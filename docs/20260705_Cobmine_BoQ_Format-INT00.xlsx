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03-Project Freelance\PJR-2026-001_Chong Cherng Chinese School\08_BOQ\"/>
    </mc:Choice>
  </mc:AlternateContent>
  <xr:revisionPtr revIDLastSave="0" documentId="13_ncr:1_{E745A676-A367-471D-A11C-18F23730B15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over" sheetId="1" r:id="rId1"/>
    <sheet name="BoQ Breakdown" sheetId="2" r:id="rId2"/>
    <sheet name="Project Budget" sheetId="3" r:id="rId3"/>
    <sheet name="Floor Code (2)" sheetId="4" state="hidden" r:id="rId4"/>
    <sheet name="Floor Code" sheetId="5" state="hidden" r:id="rId5"/>
    <sheet name="CS BoQ Level" sheetId="6" state="hidden" r:id="rId6"/>
    <sheet name="RFQ_Rawdata" sheetId="7" state="hidden" r:id="rId7"/>
    <sheet name="Preliminaries" sheetId="8" r:id="rId8"/>
    <sheet name="Raw Data" sheetId="9" r:id="rId9"/>
    <sheet name="Price List" sheetId="10" r:id="rId10"/>
    <sheet name="Budget Code" sheetId="11" r:id="rId11"/>
    <sheet name="Sheet1" sheetId="12" state="hidden" r:id="rId12"/>
    <sheet name="main truss" sheetId="13" state="hidden" r:id="rId13"/>
    <sheet name="Level" sheetId="14" state="hidden" r:id="rId14"/>
    <sheet name="ground beam" sheetId="15" state="hidden" r:id="rId15"/>
    <sheet name="mz beam" sheetId="16" state="hidden" r:id="rId16"/>
    <sheet name="rebar weight" sheetId="17" state="hidden" r:id="rId17"/>
    <sheet name="1F,2F beam" sheetId="18" state="hidden" r:id="rId18"/>
    <sheet name="3F beam" sheetId="19" state="hidden" r:id="rId19"/>
    <sheet name="4F beam" sheetId="20" state="hidden" r:id="rId20"/>
    <sheet name="5F&amp;6F beam" sheetId="21" state="hidden" r:id="rId21"/>
    <sheet name="7F,8F,9F beam" sheetId="22" state="hidden" r:id="rId22"/>
    <sheet name="10F beam" sheetId="23" state="hidden" r:id="rId23"/>
    <sheet name="TR beam" sheetId="24" state="hidden" r:id="rId24"/>
    <sheet name="RR beam" sheetId="25" state="hidden" r:id="rId25"/>
    <sheet name="Sheet6 (2)" sheetId="26" state="hidden" r:id="rId26"/>
    <sheet name="bored pile" sheetId="27" state="hidden" r:id="rId27"/>
    <sheet name="pile cap" sheetId="28" state="hidden" r:id="rId28"/>
    <sheet name="Stump" sheetId="29" state="hidden" r:id="rId29"/>
    <sheet name="Column GF" sheetId="30" state="hidden" r:id="rId30"/>
    <sheet name="Column MF" sheetId="31" state="hidden" r:id="rId31"/>
    <sheet name="Column 1F" sheetId="32" state="hidden" r:id="rId32"/>
    <sheet name="Column 2F" sheetId="33" state="hidden" r:id="rId33"/>
    <sheet name="Column 3F " sheetId="34" state="hidden" r:id="rId34"/>
    <sheet name="Column 4F" sheetId="35" state="hidden" r:id="rId35"/>
    <sheet name="Column 5F&amp;6F" sheetId="36" state="hidden" r:id="rId36"/>
    <sheet name="Column 7F,8F,9F" sheetId="37" state="hidden" r:id="rId37"/>
    <sheet name="TR Column" sheetId="38" state="hidden" r:id="rId38"/>
    <sheet name="Column TF" sheetId="39" state="hidden" r:id="rId39"/>
    <sheet name="GF wall" sheetId="40" state="hidden" r:id="rId40"/>
    <sheet name="TF wall" sheetId="41" state="hidden" r:id="rId41"/>
    <sheet name="TR wall" sheetId="42" state="hidden" r:id="rId42"/>
    <sheet name="4F to 6F wall" sheetId="43" state="hidden" r:id="rId43"/>
    <sheet name="GF Staircase" sheetId="44" state="hidden" r:id="rId44"/>
    <sheet name="Concrete Type" sheetId="45" state="hidden" r:id="rId45"/>
    <sheet name="PTB Code" sheetId="46" state="hidden" r:id="rId46"/>
    <sheet name="Design Stage" sheetId="47" state="hidden" r:id="rId47"/>
    <sheet name="Building Code" sheetId="48" state="hidden" r:id="rId48"/>
  </sheets>
  <definedNames>
    <definedName name="_xlnm._FilterDatabase" localSheetId="8" hidden="1">'Raw Data'!$A$1:$AA$494</definedName>
    <definedName name="_xlnm._FilterDatabase" localSheetId="6" hidden="1">RFQ_Rawdata!$A$2:$M$136</definedName>
    <definedName name="A" localSheetId="6">#REF!,#REF!,#REF!</definedName>
    <definedName name="A">#REF!,#REF!,#REF!</definedName>
    <definedName name="AAA" localSheetId="6">#REF!,#REF!,#REF!</definedName>
    <definedName name="AAA">#REF!,#REF!,#REF!</definedName>
    <definedName name="ALl" localSheetId="6">#REF!</definedName>
    <definedName name="ALl">#REF!</definedName>
    <definedName name="CHFL" localSheetId="6">#REF!</definedName>
    <definedName name="CHFL">#REF!</definedName>
    <definedName name="DHFL" localSheetId="6">#REF!</definedName>
    <definedName name="DHFL">#REF!</definedName>
    <definedName name="FLCODE" localSheetId="6">#REF!</definedName>
    <definedName name="FLCODE">#REF!</definedName>
    <definedName name="JHFL" localSheetId="6">#REF!</definedName>
    <definedName name="JHFL">#REF!</definedName>
    <definedName name="LHFL" localSheetId="6">#REF!</definedName>
    <definedName name="LHFL">#REF!</definedName>
    <definedName name="LOCATION" localSheetId="6">#REF!</definedName>
    <definedName name="LOCATION">#REF!</definedName>
    <definedName name="MHFL" localSheetId="6">#REF!</definedName>
    <definedName name="MHFL">#REF!</definedName>
    <definedName name="MM" localSheetId="6">#REF!,#REF!,#REF!,#REF!,#REF!,#REF!,#REF!,#REF!,#REF!,#REF!,#REF!,#REF!,#REF!,#REF!,#REF!,#REF!,#REF!,#REF!,#REF!,#REF!,#REF!,#REF!,#REF!,#REF!,#REF!,#REF!,#REF!,#REF!,#REF!,#REF!</definedName>
    <definedName name="MM">#REF!,#REF!,#REF!,#REF!,#REF!,#REF!,#REF!,#REF!,#REF!,#REF!,#REF!,#REF!,#REF!,#REF!,#REF!,#REF!,#REF!,#REF!,#REF!,#REF!,#REF!,#REF!,#REF!,#REF!,#REF!,#REF!,#REF!,#REF!,#REF!,#REF!</definedName>
    <definedName name="PHFL" localSheetId="6">#REF!</definedName>
    <definedName name="PHFL">#REF!</definedName>
    <definedName name="PLFL" localSheetId="6">#REF!</definedName>
    <definedName name="PLFL">#REF!</definedName>
    <definedName name="_xlnm.Print_Area" localSheetId="0">Cover!$A$1:$F$54</definedName>
    <definedName name="_xlnm.Print_Area" localSheetId="2">'Project Budget'!$A$1:$H$46</definedName>
    <definedName name="_xlnm.Print_Area" localSheetId="6">RFQ_Rawdata!$A$1:$M$136</definedName>
    <definedName name="_xlnm.Print_Titles" localSheetId="1">'BoQ Breakdown'!$5:$5</definedName>
    <definedName name="Slicer_Level1">#N/A</definedName>
    <definedName name="Slicer_Material_Type">#N/A</definedName>
    <definedName name="Slicer_Material_Type1">#N/A</definedName>
    <definedName name="Slicer_Section1">#N/A</definedName>
    <definedName name="Slicer_Sub_Element">#N/A</definedName>
    <definedName name="Slicer_Sub_Element1">#N/A</definedName>
    <definedName name="Slicer_Sub_Section1">#N/A</definedName>
    <definedName name="test" localSheetId="6">#REF!,#REF!,#REF!,#REF!,#REF!,#REF!,#REF!,#REF!,#REF!,#REF!,#REF!,#REF!,#REF!,#REF!,#REF!,#REF!,#REF!,#REF!,#REF!,#REF!,#REF!,#REF!,#REF!,#REF!,#REF!,#REF!,#REF!,#REF!,#REF!,#REF!,#REF!,#REF!,#REF!</definedName>
    <definedName name="test">#REF!,#REF!,#REF!,#REF!,#REF!,#REF!,#REF!,#REF!,#REF!,#REF!,#REF!,#REF!,#REF!,#REF!,#REF!,#REF!,#REF!,#REF!,#REF!,#REF!,#REF!,#REF!,#REF!,#REF!,#REF!,#REF!,#REF!,#REF!,#REF!,#REF!,#REF!,#REF!,#REF!</definedName>
  </definedNames>
  <calcPr calcId="191029" iterateDelta="1E-4"/>
  <pivotCaches>
    <pivotCache cacheId="0" r:id="rId4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44" l="1"/>
  <c r="M13" i="44"/>
  <c r="R5" i="44"/>
  <c r="N5" i="44"/>
  <c r="H5" i="44"/>
  <c r="G5" i="44"/>
  <c r="R4" i="44"/>
  <c r="N4" i="44"/>
  <c r="H4" i="44"/>
  <c r="G4" i="44"/>
  <c r="U3" i="44"/>
  <c r="Q3" i="44"/>
  <c r="R3" i="44" s="1"/>
  <c r="P3" i="44"/>
  <c r="N3" i="44"/>
  <c r="M16" i="44" s="1"/>
  <c r="R78" i="9" s="1"/>
  <c r="K3" i="44"/>
  <c r="J3" i="44"/>
  <c r="I3" i="44"/>
  <c r="H3" i="44"/>
  <c r="G3" i="44"/>
  <c r="E2" i="44"/>
  <c r="C5" i="43"/>
  <c r="D5" i="43" s="1"/>
  <c r="B5" i="43"/>
  <c r="C4" i="43"/>
  <c r="B4" i="43"/>
  <c r="C3" i="43"/>
  <c r="D3" i="43" s="1"/>
  <c r="C2" i="43"/>
  <c r="D2" i="43" s="1"/>
  <c r="B2" i="43"/>
  <c r="D4" i="42"/>
  <c r="B3" i="42"/>
  <c r="D3" i="42" s="1"/>
  <c r="B2" i="42"/>
  <c r="D2" i="42" s="1"/>
  <c r="D5" i="41"/>
  <c r="C5" i="41"/>
  <c r="B5" i="41"/>
  <c r="C4" i="41"/>
  <c r="D4" i="41" s="1"/>
  <c r="B4" i="41"/>
  <c r="C3" i="41"/>
  <c r="D3" i="41" s="1"/>
  <c r="C2" i="41"/>
  <c r="D2" i="41" s="1"/>
  <c r="B2" i="41"/>
  <c r="C5" i="40"/>
  <c r="D5" i="40" s="1"/>
  <c r="B5" i="40"/>
  <c r="C4" i="40"/>
  <c r="D4" i="40" s="1"/>
  <c r="B4" i="40"/>
  <c r="D3" i="40"/>
  <c r="C3" i="40"/>
  <c r="C2" i="40"/>
  <c r="B2" i="40"/>
  <c r="N6" i="39"/>
  <c r="O6" i="39" s="1"/>
  <c r="J6" i="39"/>
  <c r="K6" i="39" s="1"/>
  <c r="G6" i="39"/>
  <c r="F6" i="39"/>
  <c r="O5" i="39"/>
  <c r="N5" i="39"/>
  <c r="J5" i="39"/>
  <c r="K5" i="39" s="1"/>
  <c r="G5" i="39"/>
  <c r="F5" i="39"/>
  <c r="O4" i="39"/>
  <c r="J4" i="39"/>
  <c r="K4" i="39" s="1"/>
  <c r="G4" i="39"/>
  <c r="F4" i="39"/>
  <c r="O3" i="39"/>
  <c r="J3" i="39"/>
  <c r="K3" i="39" s="1"/>
  <c r="G3" i="39"/>
  <c r="F3" i="39"/>
  <c r="O2" i="39"/>
  <c r="N2" i="39"/>
  <c r="J2" i="39"/>
  <c r="K2" i="39" s="1"/>
  <c r="I10" i="39" s="1"/>
  <c r="G2" i="39"/>
  <c r="G7" i="39" s="1"/>
  <c r="F2" i="39"/>
  <c r="N2" i="38"/>
  <c r="O2" i="38" s="1"/>
  <c r="I5" i="38" s="1"/>
  <c r="J2" i="38"/>
  <c r="K2" i="38" s="1"/>
  <c r="I6" i="38" s="1"/>
  <c r="R472" i="9" s="1"/>
  <c r="G2" i="38"/>
  <c r="G3" i="38" s="1"/>
  <c r="F2" i="38"/>
  <c r="F3" i="38" s="1"/>
  <c r="R469" i="9" s="1"/>
  <c r="Q469" i="9" s="1"/>
  <c r="N6" i="37"/>
  <c r="O6" i="37" s="1"/>
  <c r="J6" i="37"/>
  <c r="K6" i="37" s="1"/>
  <c r="G6" i="37"/>
  <c r="F6" i="37"/>
  <c r="O5" i="37"/>
  <c r="N5" i="37"/>
  <c r="J5" i="37"/>
  <c r="K5" i="37" s="1"/>
  <c r="G5" i="37"/>
  <c r="F5" i="37"/>
  <c r="O4" i="37"/>
  <c r="K4" i="37"/>
  <c r="J4" i="37"/>
  <c r="G4" i="37"/>
  <c r="F4" i="37"/>
  <c r="O3" i="37"/>
  <c r="K3" i="37"/>
  <c r="J3" i="37"/>
  <c r="G3" i="37"/>
  <c r="F3" i="37"/>
  <c r="N2" i="37"/>
  <c r="O2" i="37" s="1"/>
  <c r="J2" i="37"/>
  <c r="K2" i="37" s="1"/>
  <c r="G2" i="37"/>
  <c r="F2" i="37"/>
  <c r="O6" i="36"/>
  <c r="N6" i="36"/>
  <c r="J6" i="36"/>
  <c r="K6" i="36" s="1"/>
  <c r="G6" i="36"/>
  <c r="F6" i="36"/>
  <c r="O5" i="36"/>
  <c r="N5" i="36"/>
  <c r="K5" i="36"/>
  <c r="J5" i="36"/>
  <c r="G5" i="36"/>
  <c r="F5" i="36"/>
  <c r="O4" i="36"/>
  <c r="J4" i="36"/>
  <c r="K4" i="36" s="1"/>
  <c r="G4" i="36"/>
  <c r="F4" i="36"/>
  <c r="O3" i="36"/>
  <c r="J3" i="36"/>
  <c r="K3" i="36" s="1"/>
  <c r="G3" i="36"/>
  <c r="F3" i="36"/>
  <c r="N2" i="36"/>
  <c r="O2" i="36" s="1"/>
  <c r="I9" i="36" s="1"/>
  <c r="K2" i="36"/>
  <c r="I11" i="36" s="1"/>
  <c r="J2" i="36"/>
  <c r="G2" i="36"/>
  <c r="F2" i="36"/>
  <c r="N6" i="35"/>
  <c r="O6" i="35" s="1"/>
  <c r="J6" i="35"/>
  <c r="K6" i="35" s="1"/>
  <c r="G6" i="35"/>
  <c r="F6" i="35"/>
  <c r="O5" i="35"/>
  <c r="N5" i="35"/>
  <c r="K5" i="35"/>
  <c r="J5" i="35"/>
  <c r="G5" i="35"/>
  <c r="F5" i="35"/>
  <c r="O4" i="35"/>
  <c r="I10" i="35" s="1"/>
  <c r="J4" i="35"/>
  <c r="K4" i="35" s="1"/>
  <c r="G4" i="35"/>
  <c r="F4" i="35"/>
  <c r="O3" i="35"/>
  <c r="J3" i="35"/>
  <c r="K3" i="35" s="1"/>
  <c r="I11" i="35" s="1"/>
  <c r="G3" i="35"/>
  <c r="F3" i="35"/>
  <c r="F7" i="35" s="1"/>
  <c r="N2" i="35"/>
  <c r="O2" i="35" s="1"/>
  <c r="I9" i="35" s="1"/>
  <c r="K2" i="35"/>
  <c r="J2" i="35"/>
  <c r="G2" i="35"/>
  <c r="F2" i="35"/>
  <c r="F7" i="34"/>
  <c r="N6" i="34"/>
  <c r="O6" i="34" s="1"/>
  <c r="K6" i="34"/>
  <c r="J6" i="34"/>
  <c r="G6" i="34"/>
  <c r="F6" i="34"/>
  <c r="O5" i="34"/>
  <c r="N5" i="34"/>
  <c r="J5" i="34"/>
  <c r="K5" i="34" s="1"/>
  <c r="G5" i="34"/>
  <c r="F5" i="34"/>
  <c r="O4" i="34"/>
  <c r="J4" i="34"/>
  <c r="K4" i="34" s="1"/>
  <c r="G4" i="34"/>
  <c r="F4" i="34"/>
  <c r="O3" i="34"/>
  <c r="J3" i="34"/>
  <c r="K3" i="34" s="1"/>
  <c r="G3" i="34"/>
  <c r="F3" i="34"/>
  <c r="O2" i="34"/>
  <c r="N2" i="34"/>
  <c r="J2" i="34"/>
  <c r="K2" i="34" s="1"/>
  <c r="G2" i="34"/>
  <c r="F2" i="34"/>
  <c r="O6" i="33"/>
  <c r="J6" i="33"/>
  <c r="K6" i="33" s="1"/>
  <c r="G6" i="33"/>
  <c r="F6" i="33"/>
  <c r="O5" i="33"/>
  <c r="J5" i="33"/>
  <c r="K5" i="33" s="1"/>
  <c r="G5" i="33"/>
  <c r="F5" i="33"/>
  <c r="O4" i="33"/>
  <c r="J4" i="33"/>
  <c r="K4" i="33" s="1"/>
  <c r="G4" i="33"/>
  <c r="F4" i="33"/>
  <c r="O3" i="33"/>
  <c r="O7" i="33" s="1"/>
  <c r="I9" i="33" s="1"/>
  <c r="K3" i="33"/>
  <c r="J3" i="33"/>
  <c r="G3" i="33"/>
  <c r="F3" i="33"/>
  <c r="O2" i="33"/>
  <c r="N2" i="33"/>
  <c r="J2" i="33"/>
  <c r="K2" i="33" s="1"/>
  <c r="G2" i="33"/>
  <c r="F2" i="33"/>
  <c r="O6" i="32"/>
  <c r="J6" i="32"/>
  <c r="K6" i="32" s="1"/>
  <c r="I11" i="32" s="1"/>
  <c r="G6" i="32"/>
  <c r="F6" i="32"/>
  <c r="O5" i="32"/>
  <c r="J5" i="32"/>
  <c r="K5" i="32" s="1"/>
  <c r="G5" i="32"/>
  <c r="F5" i="32"/>
  <c r="O4" i="32"/>
  <c r="K4" i="32"/>
  <c r="J4" i="32"/>
  <c r="G4" i="32"/>
  <c r="F4" i="32"/>
  <c r="O3" i="32"/>
  <c r="O7" i="32" s="1"/>
  <c r="I9" i="32" s="1"/>
  <c r="J3" i="32"/>
  <c r="K3" i="32" s="1"/>
  <c r="G3" i="32"/>
  <c r="F3" i="32"/>
  <c r="O2" i="32"/>
  <c r="N2" i="32"/>
  <c r="J2" i="32"/>
  <c r="K2" i="32" s="1"/>
  <c r="G2" i="32"/>
  <c r="F2" i="32"/>
  <c r="O6" i="31"/>
  <c r="J6" i="31"/>
  <c r="K6" i="31" s="1"/>
  <c r="G6" i="31"/>
  <c r="F6" i="31"/>
  <c r="O5" i="31"/>
  <c r="J5" i="31"/>
  <c r="K5" i="31" s="1"/>
  <c r="G5" i="31"/>
  <c r="F5" i="31"/>
  <c r="O4" i="31"/>
  <c r="J4" i="31"/>
  <c r="K4" i="31" s="1"/>
  <c r="I11" i="31" s="1"/>
  <c r="G4" i="31"/>
  <c r="F4" i="31"/>
  <c r="O3" i="31"/>
  <c r="J3" i="31"/>
  <c r="K3" i="31" s="1"/>
  <c r="G3" i="31"/>
  <c r="F3" i="31"/>
  <c r="O2" i="31"/>
  <c r="N2" i="31"/>
  <c r="J2" i="31"/>
  <c r="K2" i="31" s="1"/>
  <c r="I10" i="31" s="1"/>
  <c r="G2" i="31"/>
  <c r="F2" i="31"/>
  <c r="I10" i="30"/>
  <c r="G7" i="30"/>
  <c r="N6" i="30"/>
  <c r="O6" i="30" s="1"/>
  <c r="J6" i="30"/>
  <c r="K6" i="30" s="1"/>
  <c r="G6" i="30"/>
  <c r="F6" i="30"/>
  <c r="N5" i="30"/>
  <c r="O5" i="30" s="1"/>
  <c r="J5" i="30"/>
  <c r="K5" i="30" s="1"/>
  <c r="G5" i="30"/>
  <c r="F5" i="30"/>
  <c r="O4" i="30"/>
  <c r="N4" i="30"/>
  <c r="J4" i="30"/>
  <c r="K4" i="30" s="1"/>
  <c r="I11" i="30" s="1"/>
  <c r="G4" i="30"/>
  <c r="F4" i="30"/>
  <c r="N3" i="30"/>
  <c r="O3" i="30" s="1"/>
  <c r="K3" i="30"/>
  <c r="J3" i="30"/>
  <c r="G3" i="30"/>
  <c r="F3" i="30"/>
  <c r="N2" i="30"/>
  <c r="O2" i="30" s="1"/>
  <c r="J2" i="30"/>
  <c r="K2" i="30" s="1"/>
  <c r="G2" i="30"/>
  <c r="F2" i="30"/>
  <c r="J6" i="29"/>
  <c r="I6" i="29"/>
  <c r="F6" i="29"/>
  <c r="I5" i="29"/>
  <c r="J5" i="29" s="1"/>
  <c r="F5" i="29"/>
  <c r="I4" i="29"/>
  <c r="J4" i="29" s="1"/>
  <c r="F4" i="29"/>
  <c r="I3" i="29"/>
  <c r="J3" i="29" s="1"/>
  <c r="J7" i="29" s="1"/>
  <c r="F3" i="29"/>
  <c r="I2" i="29"/>
  <c r="J2" i="29" s="1"/>
  <c r="F2" i="29"/>
  <c r="U5" i="28"/>
  <c r="U4" i="28"/>
  <c r="Q4" i="28"/>
  <c r="M4" i="28"/>
  <c r="G4" i="28"/>
  <c r="I4" i="28" s="1"/>
  <c r="F4" i="28"/>
  <c r="Q3" i="28"/>
  <c r="Q5" i="28" s="1"/>
  <c r="J3" i="28"/>
  <c r="M3" i="28" s="1"/>
  <c r="M5" i="28" s="1"/>
  <c r="H3" i="28"/>
  <c r="H5" i="28" s="1"/>
  <c r="G3" i="28"/>
  <c r="F3" i="28"/>
  <c r="Q2" i="28"/>
  <c r="M2" i="28"/>
  <c r="J2" i="28"/>
  <c r="H2" i="28"/>
  <c r="I2" i="28" s="1"/>
  <c r="G2" i="28"/>
  <c r="F2" i="28"/>
  <c r="I4" i="27"/>
  <c r="H4" i="27"/>
  <c r="J3" i="27"/>
  <c r="J4" i="27" s="1"/>
  <c r="I3" i="27"/>
  <c r="H3" i="27"/>
  <c r="J2" i="27"/>
  <c r="I2" i="27"/>
  <c r="H2" i="27"/>
  <c r="V10" i="25"/>
  <c r="R10" i="25"/>
  <c r="Q10" i="25"/>
  <c r="S10" i="25" s="1"/>
  <c r="N10" i="25"/>
  <c r="O10" i="25" s="1"/>
  <c r="J16" i="25" s="1"/>
  <c r="M10" i="25"/>
  <c r="K10" i="25"/>
  <c r="H10" i="25"/>
  <c r="G10" i="25"/>
  <c r="V9" i="25"/>
  <c r="S9" i="25"/>
  <c r="R9" i="25"/>
  <c r="N9" i="25"/>
  <c r="O9" i="25" s="1"/>
  <c r="K9" i="25"/>
  <c r="H9" i="25"/>
  <c r="G9" i="25"/>
  <c r="V8" i="25"/>
  <c r="S8" i="25"/>
  <c r="R8" i="25"/>
  <c r="Q8" i="25"/>
  <c r="N8" i="25"/>
  <c r="M8" i="25"/>
  <c r="O8" i="25" s="1"/>
  <c r="K8" i="25"/>
  <c r="J19" i="25" s="1"/>
  <c r="H8" i="25"/>
  <c r="G8" i="25"/>
  <c r="V7" i="25"/>
  <c r="R7" i="25"/>
  <c r="Q7" i="25"/>
  <c r="S7" i="25" s="1"/>
  <c r="N7" i="25"/>
  <c r="M7" i="25"/>
  <c r="O7" i="25" s="1"/>
  <c r="K7" i="25"/>
  <c r="H7" i="25"/>
  <c r="G7" i="25"/>
  <c r="V6" i="25"/>
  <c r="R6" i="25"/>
  <c r="Q6" i="25"/>
  <c r="S6" i="25" s="1"/>
  <c r="N6" i="25"/>
  <c r="M6" i="25"/>
  <c r="O6" i="25" s="1"/>
  <c r="J15" i="25" s="1"/>
  <c r="K6" i="25"/>
  <c r="H6" i="25"/>
  <c r="G6" i="25"/>
  <c r="V5" i="25"/>
  <c r="R5" i="25"/>
  <c r="Q5" i="25"/>
  <c r="S5" i="25" s="1"/>
  <c r="O5" i="25"/>
  <c r="N5" i="25"/>
  <c r="M5" i="25"/>
  <c r="K5" i="25"/>
  <c r="J18" i="25" s="1"/>
  <c r="H5" i="25"/>
  <c r="G5" i="25"/>
  <c r="G11" i="25" s="1"/>
  <c r="V4" i="25"/>
  <c r="R4" i="25"/>
  <c r="Q4" i="25"/>
  <c r="S4" i="25" s="1"/>
  <c r="J14" i="25" s="1"/>
  <c r="N4" i="25"/>
  <c r="M4" i="25"/>
  <c r="O4" i="25" s="1"/>
  <c r="K4" i="25"/>
  <c r="H4" i="25"/>
  <c r="G4" i="25"/>
  <c r="V3" i="25"/>
  <c r="S3" i="25"/>
  <c r="R3" i="25"/>
  <c r="N3" i="25"/>
  <c r="O3" i="25" s="1"/>
  <c r="K3" i="25"/>
  <c r="H3" i="25"/>
  <c r="H11" i="25" s="1"/>
  <c r="G3" i="25"/>
  <c r="J17" i="24"/>
  <c r="J16" i="24"/>
  <c r="H11" i="24"/>
  <c r="R443" i="9" s="1"/>
  <c r="V10" i="24"/>
  <c r="R10" i="24"/>
  <c r="Q10" i="24"/>
  <c r="S10" i="24" s="1"/>
  <c r="O10" i="24"/>
  <c r="N10" i="24"/>
  <c r="M10" i="24"/>
  <c r="K10" i="24"/>
  <c r="H10" i="24"/>
  <c r="G10" i="24"/>
  <c r="V9" i="24"/>
  <c r="R9" i="24"/>
  <c r="S9" i="24" s="1"/>
  <c r="N9" i="24"/>
  <c r="O9" i="24" s="1"/>
  <c r="K9" i="24"/>
  <c r="H9" i="24"/>
  <c r="G9" i="24"/>
  <c r="V8" i="24"/>
  <c r="R8" i="24"/>
  <c r="Q8" i="24"/>
  <c r="S8" i="24" s="1"/>
  <c r="O8" i="24"/>
  <c r="N8" i="24"/>
  <c r="M8" i="24"/>
  <c r="K8" i="24"/>
  <c r="J19" i="24" s="1"/>
  <c r="H8" i="24"/>
  <c r="G8" i="24"/>
  <c r="V7" i="24"/>
  <c r="R7" i="24"/>
  <c r="Q7" i="24"/>
  <c r="S7" i="24" s="1"/>
  <c r="N7" i="24"/>
  <c r="O7" i="24" s="1"/>
  <c r="M7" i="24"/>
  <c r="K7" i="24"/>
  <c r="H7" i="24"/>
  <c r="G7" i="24"/>
  <c r="V6" i="24"/>
  <c r="S6" i="24"/>
  <c r="R6" i="24"/>
  <c r="Q6" i="24"/>
  <c r="O6" i="24"/>
  <c r="N6" i="24"/>
  <c r="M6" i="24"/>
  <c r="K6" i="24"/>
  <c r="H6" i="24"/>
  <c r="G6" i="24"/>
  <c r="V5" i="24"/>
  <c r="S5" i="24"/>
  <c r="R5" i="24"/>
  <c r="Q5" i="24"/>
  <c r="N5" i="24"/>
  <c r="M5" i="24"/>
  <c r="O5" i="24" s="1"/>
  <c r="K5" i="24"/>
  <c r="J18" i="24" s="1"/>
  <c r="H5" i="24"/>
  <c r="G5" i="24"/>
  <c r="V4" i="24"/>
  <c r="R4" i="24"/>
  <c r="Q4" i="24"/>
  <c r="S4" i="24" s="1"/>
  <c r="N4" i="24"/>
  <c r="M4" i="24"/>
  <c r="K4" i="24"/>
  <c r="H4" i="24"/>
  <c r="G4" i="24"/>
  <c r="V3" i="24"/>
  <c r="S3" i="24"/>
  <c r="R3" i="24"/>
  <c r="O3" i="24"/>
  <c r="N3" i="24"/>
  <c r="K3" i="24"/>
  <c r="H3" i="24"/>
  <c r="G3" i="24"/>
  <c r="J16" i="23"/>
  <c r="K16" i="23" s="1"/>
  <c r="V10" i="23"/>
  <c r="R10" i="23"/>
  <c r="Q10" i="23"/>
  <c r="S10" i="23" s="1"/>
  <c r="N10" i="23"/>
  <c r="M10" i="23"/>
  <c r="O10" i="23" s="1"/>
  <c r="K10" i="23"/>
  <c r="H10" i="23"/>
  <c r="G10" i="23"/>
  <c r="V9" i="23"/>
  <c r="R9" i="23"/>
  <c r="S9" i="23" s="1"/>
  <c r="O9" i="23"/>
  <c r="N9" i="23"/>
  <c r="K9" i="23"/>
  <c r="H9" i="23"/>
  <c r="G9" i="23"/>
  <c r="V8" i="23"/>
  <c r="R8" i="23"/>
  <c r="Q8" i="23"/>
  <c r="N8" i="23"/>
  <c r="M8" i="23"/>
  <c r="O8" i="23" s="1"/>
  <c r="K8" i="23"/>
  <c r="J19" i="23" s="1"/>
  <c r="H8" i="23"/>
  <c r="G8" i="23"/>
  <c r="V7" i="23"/>
  <c r="J17" i="23" s="1"/>
  <c r="K17" i="23" s="1"/>
  <c r="R7" i="23"/>
  <c r="Q7" i="23"/>
  <c r="S7" i="23" s="1"/>
  <c r="O7" i="23"/>
  <c r="N7" i="23"/>
  <c r="M7" i="23"/>
  <c r="K7" i="23"/>
  <c r="H7" i="23"/>
  <c r="G7" i="23"/>
  <c r="V6" i="23"/>
  <c r="R6" i="23"/>
  <c r="Q6" i="23"/>
  <c r="S6" i="23" s="1"/>
  <c r="N6" i="23"/>
  <c r="M6" i="23"/>
  <c r="O6" i="23" s="1"/>
  <c r="J15" i="23" s="1"/>
  <c r="K6" i="23"/>
  <c r="H6" i="23"/>
  <c r="H11" i="23" s="1"/>
  <c r="G6" i="23"/>
  <c r="V5" i="23"/>
  <c r="R5" i="23"/>
  <c r="Q5" i="23"/>
  <c r="S5" i="23" s="1"/>
  <c r="N5" i="23"/>
  <c r="M5" i="23"/>
  <c r="O5" i="23" s="1"/>
  <c r="K5" i="23"/>
  <c r="H5" i="23"/>
  <c r="G5" i="23"/>
  <c r="V4" i="23"/>
  <c r="R4" i="23"/>
  <c r="Q4" i="23"/>
  <c r="S4" i="23" s="1"/>
  <c r="N4" i="23"/>
  <c r="O4" i="23" s="1"/>
  <c r="J14" i="23" s="1"/>
  <c r="M4" i="23"/>
  <c r="K4" i="23"/>
  <c r="H4" i="23"/>
  <c r="G4" i="23"/>
  <c r="V3" i="23"/>
  <c r="S3" i="23"/>
  <c r="R3" i="23"/>
  <c r="O3" i="23"/>
  <c r="N3" i="23"/>
  <c r="K3" i="23"/>
  <c r="H3" i="23"/>
  <c r="G3" i="23"/>
  <c r="J19" i="22"/>
  <c r="J18" i="22"/>
  <c r="J14" i="22"/>
  <c r="V10" i="22"/>
  <c r="R10" i="22"/>
  <c r="Q10" i="22"/>
  <c r="S10" i="22" s="1"/>
  <c r="O10" i="22"/>
  <c r="N10" i="22"/>
  <c r="M10" i="22"/>
  <c r="K10" i="22"/>
  <c r="H10" i="22"/>
  <c r="G10" i="22"/>
  <c r="V9" i="22"/>
  <c r="R9" i="22"/>
  <c r="S9" i="22" s="1"/>
  <c r="O9" i="22"/>
  <c r="N9" i="22"/>
  <c r="K9" i="22"/>
  <c r="H9" i="22"/>
  <c r="G9" i="22"/>
  <c r="V8" i="22"/>
  <c r="R8" i="22"/>
  <c r="Q8" i="22"/>
  <c r="S8" i="22" s="1"/>
  <c r="N8" i="22"/>
  <c r="M8" i="22"/>
  <c r="O8" i="22" s="1"/>
  <c r="K8" i="22"/>
  <c r="H8" i="22"/>
  <c r="G8" i="22"/>
  <c r="V7" i="22"/>
  <c r="R7" i="22"/>
  <c r="S7" i="22" s="1"/>
  <c r="Q7" i="22"/>
  <c r="N7" i="22"/>
  <c r="M7" i="22"/>
  <c r="O7" i="22" s="1"/>
  <c r="J15" i="22" s="1"/>
  <c r="K7" i="22"/>
  <c r="H7" i="22"/>
  <c r="G7" i="22"/>
  <c r="V6" i="22"/>
  <c r="R6" i="22"/>
  <c r="Q6" i="22"/>
  <c r="S6" i="22" s="1"/>
  <c r="N6" i="22"/>
  <c r="M6" i="22"/>
  <c r="O6" i="22" s="1"/>
  <c r="K6" i="22"/>
  <c r="H6" i="22"/>
  <c r="G6" i="22"/>
  <c r="V5" i="22"/>
  <c r="R5" i="22"/>
  <c r="Q5" i="22"/>
  <c r="S5" i="22" s="1"/>
  <c r="N5" i="22"/>
  <c r="O5" i="22" s="1"/>
  <c r="M5" i="22"/>
  <c r="K5" i="22"/>
  <c r="H5" i="22"/>
  <c r="G5" i="22"/>
  <c r="V4" i="22"/>
  <c r="R4" i="22"/>
  <c r="Q4" i="22"/>
  <c r="S4" i="22" s="1"/>
  <c r="N4" i="22"/>
  <c r="O4" i="22" s="1"/>
  <c r="M4" i="22"/>
  <c r="K4" i="22"/>
  <c r="H4" i="22"/>
  <c r="G4" i="22"/>
  <c r="V3" i="22"/>
  <c r="S3" i="22"/>
  <c r="R3" i="22"/>
  <c r="O3" i="22"/>
  <c r="N3" i="22"/>
  <c r="K3" i="22"/>
  <c r="H3" i="22"/>
  <c r="G3" i="22"/>
  <c r="V10" i="21"/>
  <c r="R10" i="21"/>
  <c r="Q10" i="21"/>
  <c r="S10" i="21" s="1"/>
  <c r="N10" i="21"/>
  <c r="M10" i="21"/>
  <c r="O10" i="21" s="1"/>
  <c r="J16" i="21" s="1"/>
  <c r="K10" i="21"/>
  <c r="H10" i="21"/>
  <c r="G10" i="21"/>
  <c r="V9" i="21"/>
  <c r="S9" i="21"/>
  <c r="R9" i="21"/>
  <c r="N9" i="21"/>
  <c r="O9" i="21" s="1"/>
  <c r="K9" i="21"/>
  <c r="H9" i="21"/>
  <c r="G9" i="21"/>
  <c r="V8" i="21"/>
  <c r="R8" i="21"/>
  <c r="Q8" i="21"/>
  <c r="S8" i="21" s="1"/>
  <c r="N8" i="21"/>
  <c r="M8" i="21"/>
  <c r="O8" i="21" s="1"/>
  <c r="K8" i="21"/>
  <c r="J19" i="21" s="1"/>
  <c r="H8" i="21"/>
  <c r="G8" i="21"/>
  <c r="V7" i="21"/>
  <c r="R7" i="21"/>
  <c r="Q7" i="21"/>
  <c r="S7" i="21" s="1"/>
  <c r="N7" i="21"/>
  <c r="M7" i="21"/>
  <c r="O7" i="21" s="1"/>
  <c r="K7" i="21"/>
  <c r="H7" i="21"/>
  <c r="G7" i="21"/>
  <c r="V6" i="21"/>
  <c r="R6" i="21"/>
  <c r="Q6" i="21"/>
  <c r="S6" i="21" s="1"/>
  <c r="N6" i="21"/>
  <c r="O6" i="21" s="1"/>
  <c r="J15" i="21" s="1"/>
  <c r="M6" i="21"/>
  <c r="K6" i="21"/>
  <c r="H6" i="21"/>
  <c r="G6" i="21"/>
  <c r="V5" i="21"/>
  <c r="R5" i="21"/>
  <c r="Q5" i="21"/>
  <c r="S5" i="21" s="1"/>
  <c r="N5" i="21"/>
  <c r="M5" i="21"/>
  <c r="O5" i="21" s="1"/>
  <c r="K5" i="21"/>
  <c r="J18" i="21" s="1"/>
  <c r="H5" i="21"/>
  <c r="G5" i="21"/>
  <c r="V4" i="21"/>
  <c r="S4" i="21"/>
  <c r="R4" i="21"/>
  <c r="Q4" i="21"/>
  <c r="N4" i="21"/>
  <c r="M4" i="21"/>
  <c r="O4" i="21" s="1"/>
  <c r="K4" i="21"/>
  <c r="H4" i="21"/>
  <c r="G4" i="21"/>
  <c r="V3" i="21"/>
  <c r="R3" i="21"/>
  <c r="S3" i="21" s="1"/>
  <c r="N3" i="21"/>
  <c r="O3" i="21" s="1"/>
  <c r="K3" i="21"/>
  <c r="J17" i="21" s="1"/>
  <c r="H3" i="21"/>
  <c r="G3" i="21"/>
  <c r="V10" i="20"/>
  <c r="S10" i="20"/>
  <c r="R10" i="20"/>
  <c r="Q10" i="20"/>
  <c r="N10" i="20"/>
  <c r="M10" i="20"/>
  <c r="O10" i="20" s="1"/>
  <c r="K10" i="20"/>
  <c r="H10" i="20"/>
  <c r="G10" i="20"/>
  <c r="V9" i="20"/>
  <c r="S9" i="20"/>
  <c r="R9" i="20"/>
  <c r="N9" i="20"/>
  <c r="O9" i="20" s="1"/>
  <c r="K9" i="20"/>
  <c r="H9" i="20"/>
  <c r="G9" i="20"/>
  <c r="V8" i="20"/>
  <c r="R8" i="20"/>
  <c r="Q8" i="20"/>
  <c r="S8" i="20" s="1"/>
  <c r="N8" i="20"/>
  <c r="M8" i="20"/>
  <c r="O8" i="20" s="1"/>
  <c r="K8" i="20"/>
  <c r="H8" i="20"/>
  <c r="G8" i="20"/>
  <c r="V7" i="20"/>
  <c r="R7" i="20"/>
  <c r="Q7" i="20"/>
  <c r="S7" i="20" s="1"/>
  <c r="N7" i="20"/>
  <c r="O7" i="20" s="1"/>
  <c r="M7" i="20"/>
  <c r="K7" i="20"/>
  <c r="H7" i="20"/>
  <c r="G7" i="20"/>
  <c r="V6" i="20"/>
  <c r="R6" i="20"/>
  <c r="S6" i="20" s="1"/>
  <c r="Q6" i="20"/>
  <c r="N6" i="20"/>
  <c r="M6" i="20"/>
  <c r="O6" i="20" s="1"/>
  <c r="K6" i="20"/>
  <c r="H6" i="20"/>
  <c r="G6" i="20"/>
  <c r="V5" i="20"/>
  <c r="S5" i="20"/>
  <c r="R5" i="20"/>
  <c r="Q5" i="20"/>
  <c r="N5" i="20"/>
  <c r="M5" i="20"/>
  <c r="O5" i="20" s="1"/>
  <c r="K5" i="20"/>
  <c r="J18" i="20" s="1"/>
  <c r="H5" i="20"/>
  <c r="G5" i="20"/>
  <c r="G11" i="20" s="1"/>
  <c r="V4" i="20"/>
  <c r="R4" i="20"/>
  <c r="Q4" i="20"/>
  <c r="S4" i="20" s="1"/>
  <c r="N4" i="20"/>
  <c r="M4" i="20"/>
  <c r="O4" i="20" s="1"/>
  <c r="K4" i="20"/>
  <c r="H4" i="20"/>
  <c r="G4" i="20"/>
  <c r="V3" i="20"/>
  <c r="R3" i="20"/>
  <c r="S3" i="20" s="1"/>
  <c r="N3" i="20"/>
  <c r="O3" i="20" s="1"/>
  <c r="J14" i="20" s="1"/>
  <c r="K14" i="20" s="1"/>
  <c r="K3" i="20"/>
  <c r="H3" i="20"/>
  <c r="H11" i="20" s="1"/>
  <c r="G3" i="20"/>
  <c r="G11" i="19"/>
  <c r="R182" i="9" s="1"/>
  <c r="Q182" i="9" s="1"/>
  <c r="V10" i="19"/>
  <c r="R10" i="19"/>
  <c r="Q10" i="19"/>
  <c r="S10" i="19" s="1"/>
  <c r="O10" i="19"/>
  <c r="N10" i="19"/>
  <c r="M10" i="19"/>
  <c r="K10" i="19"/>
  <c r="J19" i="19" s="1"/>
  <c r="H10" i="19"/>
  <c r="G10" i="19"/>
  <c r="V9" i="19"/>
  <c r="R9" i="19"/>
  <c r="S9" i="19" s="1"/>
  <c r="N9" i="19"/>
  <c r="O9" i="19" s="1"/>
  <c r="K9" i="19"/>
  <c r="H9" i="19"/>
  <c r="H11" i="19" s="1"/>
  <c r="G9" i="19"/>
  <c r="V8" i="19"/>
  <c r="R8" i="19"/>
  <c r="Q8" i="19"/>
  <c r="S8" i="19" s="1"/>
  <c r="N8" i="19"/>
  <c r="O8" i="19" s="1"/>
  <c r="M8" i="19"/>
  <c r="K8" i="19"/>
  <c r="H8" i="19"/>
  <c r="G8" i="19"/>
  <c r="V7" i="19"/>
  <c r="R7" i="19"/>
  <c r="Q7" i="19"/>
  <c r="S7" i="19" s="1"/>
  <c r="N7" i="19"/>
  <c r="M7" i="19"/>
  <c r="O7" i="19" s="1"/>
  <c r="K7" i="19"/>
  <c r="H7" i="19"/>
  <c r="G7" i="19"/>
  <c r="V6" i="19"/>
  <c r="S6" i="19"/>
  <c r="R6" i="19"/>
  <c r="Q6" i="19"/>
  <c r="N6" i="19"/>
  <c r="M6" i="19"/>
  <c r="O6" i="19" s="1"/>
  <c r="K6" i="19"/>
  <c r="H6" i="19"/>
  <c r="G6" i="19"/>
  <c r="V5" i="19"/>
  <c r="R5" i="19"/>
  <c r="Q5" i="19"/>
  <c r="S5" i="19" s="1"/>
  <c r="O5" i="19"/>
  <c r="N5" i="19"/>
  <c r="M5" i="19"/>
  <c r="K5" i="19"/>
  <c r="H5" i="19"/>
  <c r="G5" i="19"/>
  <c r="V4" i="19"/>
  <c r="R4" i="19"/>
  <c r="Q4" i="19"/>
  <c r="S4" i="19" s="1"/>
  <c r="N4" i="19"/>
  <c r="M4" i="19"/>
  <c r="O4" i="19" s="1"/>
  <c r="K4" i="19"/>
  <c r="H4" i="19"/>
  <c r="G4" i="19"/>
  <c r="V3" i="19"/>
  <c r="R3" i="19"/>
  <c r="S3" i="19" s="1"/>
  <c r="O3" i="19"/>
  <c r="N3" i="19"/>
  <c r="K3" i="19"/>
  <c r="H3" i="19"/>
  <c r="G3" i="19"/>
  <c r="J17" i="18"/>
  <c r="J16" i="18"/>
  <c r="K16" i="18" s="1"/>
  <c r="V10" i="18"/>
  <c r="R10" i="18"/>
  <c r="Q10" i="18"/>
  <c r="N10" i="18"/>
  <c r="M10" i="18"/>
  <c r="O10" i="18" s="1"/>
  <c r="K10" i="18"/>
  <c r="H10" i="18"/>
  <c r="G10" i="18"/>
  <c r="V9" i="18"/>
  <c r="R9" i="18"/>
  <c r="S9" i="18" s="1"/>
  <c r="O9" i="18"/>
  <c r="N9" i="18"/>
  <c r="K9" i="18"/>
  <c r="H9" i="18"/>
  <c r="G9" i="18"/>
  <c r="V8" i="18"/>
  <c r="R8" i="18"/>
  <c r="Q8" i="18"/>
  <c r="S8" i="18" s="1"/>
  <c r="N8" i="18"/>
  <c r="M8" i="18"/>
  <c r="K8" i="18"/>
  <c r="J19" i="18" s="1"/>
  <c r="H8" i="18"/>
  <c r="G8" i="18"/>
  <c r="V7" i="18"/>
  <c r="S7" i="18"/>
  <c r="R7" i="18"/>
  <c r="Q7" i="18"/>
  <c r="N7" i="18"/>
  <c r="M7" i="18"/>
  <c r="O7" i="18" s="1"/>
  <c r="K7" i="18"/>
  <c r="H7" i="18"/>
  <c r="G7" i="18"/>
  <c r="V6" i="18"/>
  <c r="R6" i="18"/>
  <c r="Q6" i="18"/>
  <c r="S6" i="18" s="1"/>
  <c r="N6" i="18"/>
  <c r="M6" i="18"/>
  <c r="O6" i="18" s="1"/>
  <c r="K6" i="18"/>
  <c r="J18" i="18" s="1"/>
  <c r="H6" i="18"/>
  <c r="G6" i="18"/>
  <c r="V5" i="18"/>
  <c r="R5" i="18"/>
  <c r="Q5" i="18"/>
  <c r="N5" i="18"/>
  <c r="M5" i="18"/>
  <c r="O5" i="18" s="1"/>
  <c r="K5" i="18"/>
  <c r="H5" i="18"/>
  <c r="G5" i="18"/>
  <c r="V4" i="18"/>
  <c r="S4" i="18"/>
  <c r="R4" i="18"/>
  <c r="Q4" i="18"/>
  <c r="N4" i="18"/>
  <c r="M4" i="18"/>
  <c r="O4" i="18" s="1"/>
  <c r="K4" i="18"/>
  <c r="H4" i="18"/>
  <c r="G4" i="18"/>
  <c r="V3" i="18"/>
  <c r="S3" i="18"/>
  <c r="R3" i="18"/>
  <c r="O3" i="18"/>
  <c r="N3" i="18"/>
  <c r="K3" i="18"/>
  <c r="H3" i="18"/>
  <c r="H11" i="18" s="1"/>
  <c r="G3" i="18"/>
  <c r="G11" i="18" s="1"/>
  <c r="V10" i="16"/>
  <c r="R10" i="16"/>
  <c r="Q10" i="16"/>
  <c r="S10" i="16" s="1"/>
  <c r="O10" i="16"/>
  <c r="N10" i="16"/>
  <c r="M10" i="16"/>
  <c r="K10" i="16"/>
  <c r="H10" i="16"/>
  <c r="G10" i="16"/>
  <c r="V9" i="16"/>
  <c r="S9" i="16"/>
  <c r="R9" i="16"/>
  <c r="O9" i="16"/>
  <c r="N9" i="16"/>
  <c r="K9" i="16"/>
  <c r="H9" i="16"/>
  <c r="G9" i="16"/>
  <c r="V8" i="16"/>
  <c r="S8" i="16"/>
  <c r="R8" i="16"/>
  <c r="Q8" i="16"/>
  <c r="N8" i="16"/>
  <c r="M8" i="16"/>
  <c r="O8" i="16" s="1"/>
  <c r="K8" i="16"/>
  <c r="J19" i="16" s="1"/>
  <c r="H8" i="16"/>
  <c r="G8" i="16"/>
  <c r="V7" i="16"/>
  <c r="R7" i="16"/>
  <c r="S7" i="16" s="1"/>
  <c r="Q7" i="16"/>
  <c r="N7" i="16"/>
  <c r="M7" i="16"/>
  <c r="O7" i="16" s="1"/>
  <c r="K7" i="16"/>
  <c r="H7" i="16"/>
  <c r="G7" i="16"/>
  <c r="V6" i="16"/>
  <c r="R6" i="16"/>
  <c r="Q6" i="16"/>
  <c r="S6" i="16" s="1"/>
  <c r="N6" i="16"/>
  <c r="M6" i="16"/>
  <c r="O6" i="16" s="1"/>
  <c r="J15" i="16" s="1"/>
  <c r="K6" i="16"/>
  <c r="H6" i="16"/>
  <c r="G6" i="16"/>
  <c r="V5" i="16"/>
  <c r="R5" i="16"/>
  <c r="Q5" i="16"/>
  <c r="S5" i="16" s="1"/>
  <c r="O5" i="16"/>
  <c r="N5" i="16"/>
  <c r="M5" i="16"/>
  <c r="K5" i="16"/>
  <c r="J18" i="16" s="1"/>
  <c r="H5" i="16"/>
  <c r="G5" i="16"/>
  <c r="V4" i="16"/>
  <c r="J16" i="16" s="1"/>
  <c r="R4" i="16"/>
  <c r="Q4" i="16"/>
  <c r="S4" i="16" s="1"/>
  <c r="N4" i="16"/>
  <c r="O4" i="16" s="1"/>
  <c r="M4" i="16"/>
  <c r="K4" i="16"/>
  <c r="H4" i="16"/>
  <c r="G4" i="16"/>
  <c r="V3" i="16"/>
  <c r="R3" i="16"/>
  <c r="S3" i="16" s="1"/>
  <c r="N3" i="16"/>
  <c r="O3" i="16" s="1"/>
  <c r="K3" i="16"/>
  <c r="J17" i="16" s="1"/>
  <c r="H3" i="16"/>
  <c r="G3" i="16"/>
  <c r="K9" i="15"/>
  <c r="J9" i="15"/>
  <c r="I9" i="15"/>
  <c r="H9" i="15"/>
  <c r="G9" i="15"/>
  <c r="K8" i="15"/>
  <c r="J8" i="15"/>
  <c r="I8" i="15"/>
  <c r="H8" i="15"/>
  <c r="G8" i="15"/>
  <c r="U7" i="15"/>
  <c r="Q7" i="15"/>
  <c r="P7" i="15"/>
  <c r="R7" i="15" s="1"/>
  <c r="N7" i="15"/>
  <c r="K7" i="15"/>
  <c r="J7" i="15"/>
  <c r="I7" i="15"/>
  <c r="H7" i="15"/>
  <c r="G7" i="15"/>
  <c r="U6" i="15"/>
  <c r="R6" i="15"/>
  <c r="Q6" i="15"/>
  <c r="P6" i="15"/>
  <c r="N6" i="15"/>
  <c r="M17" i="15" s="1"/>
  <c r="K6" i="15"/>
  <c r="J6" i="15"/>
  <c r="I6" i="15"/>
  <c r="H6" i="15"/>
  <c r="G6" i="15"/>
  <c r="U5" i="15"/>
  <c r="Q5" i="15"/>
  <c r="P5" i="15"/>
  <c r="R5" i="15" s="1"/>
  <c r="N5" i="15"/>
  <c r="K5" i="15"/>
  <c r="J5" i="15"/>
  <c r="I5" i="15"/>
  <c r="H5" i="15"/>
  <c r="G5" i="15"/>
  <c r="U4" i="15"/>
  <c r="M15" i="15" s="1"/>
  <c r="R4" i="15"/>
  <c r="Q4" i="15"/>
  <c r="P4" i="15"/>
  <c r="N4" i="15"/>
  <c r="K4" i="15"/>
  <c r="J4" i="15"/>
  <c r="I4" i="15"/>
  <c r="H4" i="15"/>
  <c r="G4" i="15"/>
  <c r="U3" i="15"/>
  <c r="Q3" i="15"/>
  <c r="P3" i="15"/>
  <c r="R3" i="15" s="1"/>
  <c r="N3" i="15"/>
  <c r="M16" i="15" s="1"/>
  <c r="K3" i="15"/>
  <c r="J3" i="15"/>
  <c r="I3" i="15"/>
  <c r="H3" i="15"/>
  <c r="G3" i="15"/>
  <c r="Q2" i="15"/>
  <c r="R2" i="15" s="1"/>
  <c r="N2" i="15"/>
  <c r="K2" i="15"/>
  <c r="J2" i="15"/>
  <c r="I2" i="15"/>
  <c r="H2" i="15"/>
  <c r="G2" i="15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G77" i="13"/>
  <c r="G76" i="13"/>
  <c r="G75" i="13"/>
  <c r="G74" i="13"/>
  <c r="K83" i="13" s="1"/>
  <c r="R493" i="9" s="1"/>
  <c r="Q493" i="9" s="1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K82" i="13" s="1"/>
  <c r="G9" i="13"/>
  <c r="G8" i="13"/>
  <c r="G7" i="13"/>
  <c r="G6" i="13"/>
  <c r="G5" i="13"/>
  <c r="G4" i="13"/>
  <c r="G3" i="13"/>
  <c r="G2" i="13"/>
  <c r="E6" i="12"/>
  <c r="E5" i="12"/>
  <c r="E7" i="12" s="1"/>
  <c r="B3" i="12"/>
  <c r="D3" i="12" s="1"/>
  <c r="F3" i="12" s="1"/>
  <c r="F2" i="12"/>
  <c r="D2" i="12"/>
  <c r="O74" i="10"/>
  <c r="L74" i="10"/>
  <c r="I74" i="10"/>
  <c r="M74" i="10" s="1"/>
  <c r="O73" i="10"/>
  <c r="L73" i="10"/>
  <c r="I73" i="10"/>
  <c r="M73" i="10" s="1"/>
  <c r="O72" i="10"/>
  <c r="L72" i="10"/>
  <c r="I72" i="10"/>
  <c r="O71" i="10"/>
  <c r="L71" i="10"/>
  <c r="M71" i="10" s="1"/>
  <c r="I71" i="10"/>
  <c r="O70" i="10"/>
  <c r="L70" i="10"/>
  <c r="I70" i="10"/>
  <c r="M70" i="10" s="1"/>
  <c r="O69" i="10"/>
  <c r="M69" i="10"/>
  <c r="L69" i="10"/>
  <c r="I69" i="10"/>
  <c r="O68" i="10"/>
  <c r="L68" i="10"/>
  <c r="I68" i="10"/>
  <c r="M68" i="10" s="1"/>
  <c r="O67" i="10"/>
  <c r="L67" i="10"/>
  <c r="M67" i="10" s="1"/>
  <c r="I67" i="10"/>
  <c r="O66" i="10"/>
  <c r="L66" i="10"/>
  <c r="I66" i="10"/>
  <c r="M66" i="10" s="1"/>
  <c r="O65" i="10"/>
  <c r="M65" i="10"/>
  <c r="L65" i="10"/>
  <c r="I65" i="10"/>
  <c r="O64" i="10"/>
  <c r="M64" i="10"/>
  <c r="L64" i="10"/>
  <c r="I64" i="10"/>
  <c r="O63" i="10"/>
  <c r="M63" i="10"/>
  <c r="L63" i="10"/>
  <c r="I63" i="10"/>
  <c r="O62" i="10"/>
  <c r="L62" i="10"/>
  <c r="I62" i="10"/>
  <c r="M62" i="10" s="1"/>
  <c r="O61" i="10"/>
  <c r="L61" i="10"/>
  <c r="M61" i="10" s="1"/>
  <c r="I61" i="10"/>
  <c r="O60" i="10"/>
  <c r="L60" i="10"/>
  <c r="M60" i="10" s="1"/>
  <c r="I60" i="10"/>
  <c r="O59" i="10"/>
  <c r="M59" i="10"/>
  <c r="L59" i="10"/>
  <c r="I59" i="10"/>
  <c r="O58" i="10"/>
  <c r="L58" i="10"/>
  <c r="I58" i="10"/>
  <c r="M58" i="10" s="1"/>
  <c r="O57" i="10"/>
  <c r="L57" i="10"/>
  <c r="I57" i="10"/>
  <c r="M57" i="10" s="1"/>
  <c r="O56" i="10"/>
  <c r="L56" i="10"/>
  <c r="I56" i="10"/>
  <c r="M56" i="10" s="1"/>
  <c r="O55" i="10"/>
  <c r="L55" i="10"/>
  <c r="M55" i="10" s="1"/>
  <c r="I55" i="10"/>
  <c r="O54" i="10"/>
  <c r="L54" i="10"/>
  <c r="I54" i="10"/>
  <c r="M54" i="10" s="1"/>
  <c r="O53" i="10"/>
  <c r="L53" i="10"/>
  <c r="I53" i="10"/>
  <c r="M53" i="10" s="1"/>
  <c r="O52" i="10"/>
  <c r="M52" i="10"/>
  <c r="L52" i="10"/>
  <c r="I52" i="10"/>
  <c r="O51" i="10"/>
  <c r="L51" i="10"/>
  <c r="M51" i="10" s="1"/>
  <c r="I51" i="10"/>
  <c r="O50" i="10"/>
  <c r="L50" i="10"/>
  <c r="I50" i="10"/>
  <c r="M50" i="10" s="1"/>
  <c r="O49" i="10"/>
  <c r="M49" i="10"/>
  <c r="L49" i="10"/>
  <c r="I49" i="10"/>
  <c r="O48" i="10"/>
  <c r="M48" i="10"/>
  <c r="L48" i="10"/>
  <c r="I48" i="10"/>
  <c r="O47" i="10"/>
  <c r="L47" i="10"/>
  <c r="M47" i="10" s="1"/>
  <c r="I47" i="10"/>
  <c r="O46" i="10"/>
  <c r="L46" i="10"/>
  <c r="I46" i="10"/>
  <c r="M46" i="10" s="1"/>
  <c r="O45" i="10"/>
  <c r="L45" i="10"/>
  <c r="I45" i="10"/>
  <c r="M45" i="10" s="1"/>
  <c r="O44" i="10"/>
  <c r="L44" i="10"/>
  <c r="M44" i="10" s="1"/>
  <c r="I44" i="10"/>
  <c r="O43" i="10"/>
  <c r="M43" i="10"/>
  <c r="L43" i="10"/>
  <c r="I43" i="10"/>
  <c r="O42" i="10"/>
  <c r="L42" i="10"/>
  <c r="I42" i="10"/>
  <c r="M42" i="10" s="1"/>
  <c r="O41" i="10"/>
  <c r="L41" i="10"/>
  <c r="I41" i="10"/>
  <c r="M41" i="10" s="1"/>
  <c r="O40" i="10"/>
  <c r="L40" i="10"/>
  <c r="I40" i="10"/>
  <c r="M40" i="10" s="1"/>
  <c r="O39" i="10"/>
  <c r="L39" i="10"/>
  <c r="M39" i="10" s="1"/>
  <c r="I39" i="10"/>
  <c r="O38" i="10"/>
  <c r="L38" i="10"/>
  <c r="I38" i="10"/>
  <c r="M38" i="10" s="1"/>
  <c r="O37" i="10"/>
  <c r="L37" i="10"/>
  <c r="I37" i="10"/>
  <c r="M37" i="10" s="1"/>
  <c r="O36" i="10"/>
  <c r="L36" i="10"/>
  <c r="M36" i="10" s="1"/>
  <c r="I36" i="10"/>
  <c r="O35" i="10"/>
  <c r="M35" i="10"/>
  <c r="L35" i="10"/>
  <c r="I35" i="10"/>
  <c r="O34" i="10"/>
  <c r="L34" i="10"/>
  <c r="I34" i="10"/>
  <c r="M34" i="10" s="1"/>
  <c r="O33" i="10"/>
  <c r="L33" i="10"/>
  <c r="I33" i="10"/>
  <c r="M33" i="10" s="1"/>
  <c r="O32" i="10"/>
  <c r="L32" i="10"/>
  <c r="I32" i="10"/>
  <c r="M32" i="10" s="1"/>
  <c r="O31" i="10"/>
  <c r="M31" i="10"/>
  <c r="L31" i="10"/>
  <c r="I31" i="10"/>
  <c r="O30" i="10"/>
  <c r="L30" i="10"/>
  <c r="I30" i="10"/>
  <c r="M30" i="10" s="1"/>
  <c r="O29" i="10"/>
  <c r="L29" i="10"/>
  <c r="I29" i="10"/>
  <c r="M29" i="10" s="1"/>
  <c r="O28" i="10"/>
  <c r="L28" i="10"/>
  <c r="I28" i="10"/>
  <c r="M28" i="10" s="1"/>
  <c r="O27" i="10"/>
  <c r="L27" i="10"/>
  <c r="M27" i="10" s="1"/>
  <c r="I27" i="10"/>
  <c r="O26" i="10"/>
  <c r="L26" i="10"/>
  <c r="I26" i="10"/>
  <c r="M26" i="10" s="1"/>
  <c r="O25" i="10"/>
  <c r="L25" i="10"/>
  <c r="I25" i="10"/>
  <c r="M25" i="10" s="1"/>
  <c r="O24" i="10"/>
  <c r="L24" i="10"/>
  <c r="I24" i="10"/>
  <c r="M24" i="10" s="1"/>
  <c r="O23" i="10"/>
  <c r="L23" i="10"/>
  <c r="M23" i="10" s="1"/>
  <c r="I23" i="10"/>
  <c r="O22" i="10"/>
  <c r="L22" i="10"/>
  <c r="I22" i="10"/>
  <c r="M22" i="10" s="1"/>
  <c r="O21" i="10"/>
  <c r="L21" i="10"/>
  <c r="I21" i="10"/>
  <c r="M21" i="10" s="1"/>
  <c r="O20" i="10"/>
  <c r="M20" i="10"/>
  <c r="L20" i="10"/>
  <c r="I20" i="10"/>
  <c r="O19" i="10"/>
  <c r="L19" i="10"/>
  <c r="M19" i="10" s="1"/>
  <c r="I19" i="10"/>
  <c r="O18" i="10"/>
  <c r="L18" i="10"/>
  <c r="I18" i="10"/>
  <c r="M18" i="10" s="1"/>
  <c r="O17" i="10"/>
  <c r="L17" i="10"/>
  <c r="I17" i="10"/>
  <c r="M17" i="10" s="1"/>
  <c r="O16" i="10"/>
  <c r="L16" i="10"/>
  <c r="I16" i="10"/>
  <c r="M16" i="10" s="1"/>
  <c r="O15" i="10"/>
  <c r="L15" i="10"/>
  <c r="M15" i="10" s="1"/>
  <c r="I15" i="10"/>
  <c r="O14" i="10"/>
  <c r="L14" i="10"/>
  <c r="I14" i="10"/>
  <c r="M14" i="10" s="1"/>
  <c r="O13" i="10"/>
  <c r="L13" i="10"/>
  <c r="I13" i="10"/>
  <c r="M13" i="10" s="1"/>
  <c r="O12" i="10"/>
  <c r="L12" i="10"/>
  <c r="I12" i="10"/>
  <c r="M12" i="10" s="1"/>
  <c r="O11" i="10"/>
  <c r="L11" i="10"/>
  <c r="M11" i="10" s="1"/>
  <c r="I11" i="10"/>
  <c r="O10" i="10"/>
  <c r="L10" i="10"/>
  <c r="I10" i="10"/>
  <c r="M10" i="10" s="1"/>
  <c r="O9" i="10"/>
  <c r="L9" i="10"/>
  <c r="I9" i="10"/>
  <c r="M9" i="10" s="1"/>
  <c r="O8" i="10"/>
  <c r="L8" i="10"/>
  <c r="I8" i="10"/>
  <c r="M8" i="10" s="1"/>
  <c r="O7" i="10"/>
  <c r="L7" i="10"/>
  <c r="M7" i="10" s="1"/>
  <c r="I7" i="10"/>
  <c r="O6" i="10"/>
  <c r="L6" i="10"/>
  <c r="I6" i="10"/>
  <c r="M6" i="10" s="1"/>
  <c r="O5" i="10"/>
  <c r="M5" i="10"/>
  <c r="L5" i="10"/>
  <c r="I5" i="10"/>
  <c r="D832" i="9"/>
  <c r="U831" i="9"/>
  <c r="T831" i="9"/>
  <c r="V831" i="9" s="1"/>
  <c r="D831" i="9"/>
  <c r="T830" i="9"/>
  <c r="D830" i="9"/>
  <c r="D829" i="9"/>
  <c r="D828" i="9"/>
  <c r="D827" i="9"/>
  <c r="D826" i="9"/>
  <c r="D825" i="9"/>
  <c r="T824" i="9"/>
  <c r="D824" i="9"/>
  <c r="W823" i="9"/>
  <c r="D823" i="9"/>
  <c r="X822" i="9"/>
  <c r="D822" i="9"/>
  <c r="D821" i="9"/>
  <c r="D820" i="9"/>
  <c r="U819" i="9"/>
  <c r="D819" i="9"/>
  <c r="D818" i="9"/>
  <c r="D817" i="9"/>
  <c r="D816" i="9"/>
  <c r="D815" i="9"/>
  <c r="D173" i="2" s="1"/>
  <c r="D814" i="9"/>
  <c r="D813" i="9"/>
  <c r="X812" i="9"/>
  <c r="W812" i="9"/>
  <c r="Y812" i="9" s="1"/>
  <c r="D812" i="9"/>
  <c r="U811" i="9"/>
  <c r="D811" i="9"/>
  <c r="D810" i="9"/>
  <c r="D809" i="9"/>
  <c r="D808" i="9"/>
  <c r="D807" i="9"/>
  <c r="D806" i="9"/>
  <c r="D805" i="9"/>
  <c r="X804" i="9"/>
  <c r="W804" i="9"/>
  <c r="Y804" i="9" s="1"/>
  <c r="D804" i="9"/>
  <c r="D803" i="9"/>
  <c r="D802" i="9"/>
  <c r="D801" i="9"/>
  <c r="D800" i="9"/>
  <c r="D799" i="9"/>
  <c r="D798" i="9"/>
  <c r="D797" i="9"/>
  <c r="D796" i="9"/>
  <c r="X795" i="9"/>
  <c r="W795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W779" i="9"/>
  <c r="D779" i="9"/>
  <c r="D778" i="9"/>
  <c r="D777" i="9"/>
  <c r="D776" i="9"/>
  <c r="D775" i="9"/>
  <c r="D774" i="9"/>
  <c r="D773" i="9"/>
  <c r="D772" i="9"/>
  <c r="X771" i="9"/>
  <c r="W771" i="9"/>
  <c r="Y771" i="9" s="1"/>
  <c r="U771" i="9"/>
  <c r="D771" i="9"/>
  <c r="D770" i="9"/>
  <c r="D769" i="9"/>
  <c r="D768" i="9"/>
  <c r="D767" i="9"/>
  <c r="D766" i="9"/>
  <c r="D765" i="9"/>
  <c r="D764" i="9"/>
  <c r="U763" i="9"/>
  <c r="T763" i="9"/>
  <c r="D763" i="9"/>
  <c r="D762" i="9"/>
  <c r="D761" i="9"/>
  <c r="D760" i="9"/>
  <c r="U759" i="9"/>
  <c r="D759" i="9"/>
  <c r="D758" i="9"/>
  <c r="D757" i="9"/>
  <c r="D756" i="9"/>
  <c r="D755" i="9"/>
  <c r="U754" i="9"/>
  <c r="D754" i="9"/>
  <c r="U753" i="9"/>
  <c r="T753" i="9"/>
  <c r="V753" i="9" s="1"/>
  <c r="D753" i="9"/>
  <c r="D752" i="9"/>
  <c r="D751" i="9"/>
  <c r="D750" i="9"/>
  <c r="D749" i="9"/>
  <c r="D748" i="9"/>
  <c r="D747" i="9"/>
  <c r="D746" i="9"/>
  <c r="D745" i="9"/>
  <c r="D744" i="9"/>
  <c r="D743" i="9"/>
  <c r="W742" i="9"/>
  <c r="D742" i="9"/>
  <c r="D741" i="9"/>
  <c r="D740" i="9"/>
  <c r="T739" i="9"/>
  <c r="D739" i="9"/>
  <c r="D738" i="9"/>
  <c r="D737" i="9"/>
  <c r="D736" i="9"/>
  <c r="D735" i="9"/>
  <c r="X734" i="9"/>
  <c r="D734" i="9"/>
  <c r="W733" i="9"/>
  <c r="U733" i="9"/>
  <c r="D733" i="9"/>
  <c r="D732" i="9"/>
  <c r="D731" i="9"/>
  <c r="D730" i="9"/>
  <c r="D729" i="9"/>
  <c r="D728" i="9"/>
  <c r="X727" i="9"/>
  <c r="D727" i="9"/>
  <c r="D726" i="9"/>
  <c r="U725" i="9"/>
  <c r="D725" i="9"/>
  <c r="D724" i="9"/>
  <c r="D723" i="9"/>
  <c r="D722" i="9"/>
  <c r="D721" i="9"/>
  <c r="W720" i="9"/>
  <c r="U720" i="9"/>
  <c r="V720" i="9" s="1"/>
  <c r="T720" i="9"/>
  <c r="D720" i="9"/>
  <c r="D719" i="9"/>
  <c r="D718" i="9"/>
  <c r="D717" i="9"/>
  <c r="D716" i="9"/>
  <c r="D715" i="9"/>
  <c r="T714" i="9"/>
  <c r="D714" i="9"/>
  <c r="D713" i="9"/>
  <c r="U712" i="9"/>
  <c r="T712" i="9"/>
  <c r="V712" i="9" s="1"/>
  <c r="D712" i="9"/>
  <c r="D711" i="9"/>
  <c r="U710" i="9"/>
  <c r="T710" i="9"/>
  <c r="V710" i="9" s="1"/>
  <c r="D710" i="9"/>
  <c r="D709" i="9"/>
  <c r="D708" i="9"/>
  <c r="D707" i="9"/>
  <c r="D706" i="9"/>
  <c r="X705" i="9"/>
  <c r="W705" i="9"/>
  <c r="V705" i="9"/>
  <c r="U705" i="9"/>
  <c r="T705" i="9"/>
  <c r="D705" i="9"/>
  <c r="D704" i="9"/>
  <c r="D703" i="9"/>
  <c r="D702" i="9"/>
  <c r="D701" i="9"/>
  <c r="T700" i="9"/>
  <c r="D700" i="9"/>
  <c r="D699" i="9"/>
  <c r="D698" i="9"/>
  <c r="D697" i="9"/>
  <c r="X696" i="9"/>
  <c r="W696" i="9"/>
  <c r="U696" i="9"/>
  <c r="D696" i="9"/>
  <c r="D695" i="9"/>
  <c r="D694" i="9"/>
  <c r="D693" i="9"/>
  <c r="W692" i="9"/>
  <c r="U692" i="9"/>
  <c r="T692" i="9"/>
  <c r="V692" i="9" s="1"/>
  <c r="D692" i="9"/>
  <c r="D158" i="2" s="1"/>
  <c r="D691" i="9"/>
  <c r="U690" i="9"/>
  <c r="D690" i="9"/>
  <c r="D689" i="9"/>
  <c r="D688" i="9"/>
  <c r="W687" i="9"/>
  <c r="U687" i="9"/>
  <c r="T687" i="9"/>
  <c r="V687" i="9" s="1"/>
  <c r="D687" i="9"/>
  <c r="D686" i="9"/>
  <c r="D685" i="9"/>
  <c r="D684" i="9"/>
  <c r="D683" i="9"/>
  <c r="D682" i="9"/>
  <c r="D681" i="9"/>
  <c r="D680" i="9"/>
  <c r="X679" i="9"/>
  <c r="W679" i="9"/>
  <c r="U679" i="9"/>
  <c r="D679" i="9"/>
  <c r="D678" i="9"/>
  <c r="D677" i="9"/>
  <c r="D676" i="9"/>
  <c r="D675" i="9"/>
  <c r="X674" i="9"/>
  <c r="W674" i="9"/>
  <c r="Y674" i="9" s="1"/>
  <c r="U674" i="9"/>
  <c r="T674" i="9"/>
  <c r="V674" i="9" s="1"/>
  <c r="Z674" i="9" s="1"/>
  <c r="D674" i="9"/>
  <c r="U673" i="9"/>
  <c r="D673" i="9"/>
  <c r="D672" i="9"/>
  <c r="D671" i="9"/>
  <c r="T670" i="9"/>
  <c r="D670" i="9"/>
  <c r="D669" i="9"/>
  <c r="U668" i="9"/>
  <c r="T668" i="9"/>
  <c r="V668" i="9" s="1"/>
  <c r="D668" i="9"/>
  <c r="D667" i="9"/>
  <c r="W666" i="9"/>
  <c r="D666" i="9"/>
  <c r="D665" i="9"/>
  <c r="D664" i="9"/>
  <c r="D180" i="2" s="1"/>
  <c r="D663" i="9"/>
  <c r="D662" i="9"/>
  <c r="X661" i="9"/>
  <c r="W661" i="9"/>
  <c r="Y661" i="9" s="1"/>
  <c r="D661" i="9"/>
  <c r="D660" i="9"/>
  <c r="D659" i="9"/>
  <c r="D658" i="9"/>
  <c r="T657" i="9"/>
  <c r="D657" i="9"/>
  <c r="X656" i="9"/>
  <c r="W656" i="9"/>
  <c r="Y656" i="9" s="1"/>
  <c r="U656" i="9"/>
  <c r="D656" i="9"/>
  <c r="D655" i="9"/>
  <c r="D654" i="9"/>
  <c r="W653" i="9"/>
  <c r="D653" i="9"/>
  <c r="U652" i="9"/>
  <c r="D652" i="9"/>
  <c r="T651" i="9"/>
  <c r="D651" i="9"/>
  <c r="D650" i="9"/>
  <c r="D649" i="9"/>
  <c r="D648" i="9"/>
  <c r="D647" i="9"/>
  <c r="X646" i="9"/>
  <c r="W646" i="9"/>
  <c r="Y646" i="9" s="1"/>
  <c r="U646" i="9"/>
  <c r="T646" i="9"/>
  <c r="V646" i="9" s="1"/>
  <c r="D646" i="9"/>
  <c r="D645" i="9"/>
  <c r="D644" i="9"/>
  <c r="D643" i="9"/>
  <c r="T642" i="9"/>
  <c r="D642" i="9"/>
  <c r="D184" i="2" s="1"/>
  <c r="D641" i="9"/>
  <c r="D640" i="9"/>
  <c r="X639" i="9"/>
  <c r="W639" i="9"/>
  <c r="Y639" i="9" s="1"/>
  <c r="T639" i="9"/>
  <c r="D639" i="9"/>
  <c r="D638" i="9"/>
  <c r="D637" i="9"/>
  <c r="X636" i="9"/>
  <c r="W636" i="9"/>
  <c r="U636" i="9"/>
  <c r="D636" i="9"/>
  <c r="U635" i="9"/>
  <c r="T635" i="9"/>
  <c r="V635" i="9" s="1"/>
  <c r="D635" i="9"/>
  <c r="X634" i="9"/>
  <c r="D634" i="9"/>
  <c r="D633" i="9"/>
  <c r="U632" i="9"/>
  <c r="T632" i="9"/>
  <c r="D632" i="9"/>
  <c r="D189" i="2" s="1"/>
  <c r="D631" i="9"/>
  <c r="D630" i="9"/>
  <c r="X629" i="9"/>
  <c r="D629" i="9"/>
  <c r="D628" i="9"/>
  <c r="D627" i="9"/>
  <c r="T626" i="9"/>
  <c r="D626" i="9"/>
  <c r="X625" i="9"/>
  <c r="W625" i="9"/>
  <c r="Y625" i="9" s="1"/>
  <c r="U625" i="9"/>
  <c r="T625" i="9"/>
  <c r="V625" i="9" s="1"/>
  <c r="Z625" i="9" s="1"/>
  <c r="D625" i="9"/>
  <c r="D624" i="9"/>
  <c r="D623" i="9"/>
  <c r="X622" i="9"/>
  <c r="W622" i="9"/>
  <c r="Y622" i="9" s="1"/>
  <c r="D622" i="9"/>
  <c r="X621" i="9"/>
  <c r="W621" i="9"/>
  <c r="Y621" i="9" s="1"/>
  <c r="U621" i="9"/>
  <c r="T621" i="9"/>
  <c r="D621" i="9"/>
  <c r="D620" i="9"/>
  <c r="U619" i="9"/>
  <c r="D619" i="9"/>
  <c r="U618" i="9"/>
  <c r="T618" i="9"/>
  <c r="V618" i="9" s="1"/>
  <c r="D618" i="9"/>
  <c r="D617" i="9"/>
  <c r="U616" i="9"/>
  <c r="T616" i="9"/>
  <c r="D616" i="9"/>
  <c r="D615" i="9"/>
  <c r="D614" i="9"/>
  <c r="D613" i="9"/>
  <c r="U612" i="9"/>
  <c r="T612" i="9"/>
  <c r="V612" i="9" s="1"/>
  <c r="D612" i="9"/>
  <c r="X611" i="9"/>
  <c r="W611" i="9"/>
  <c r="Y611" i="9" s="1"/>
  <c r="U611" i="9"/>
  <c r="D611" i="9"/>
  <c r="D610" i="9"/>
  <c r="D609" i="9"/>
  <c r="D608" i="9"/>
  <c r="X607" i="9"/>
  <c r="D607" i="9"/>
  <c r="W606" i="9"/>
  <c r="D606" i="9"/>
  <c r="X605" i="9"/>
  <c r="W605" i="9"/>
  <c r="Y605" i="9" s="1"/>
  <c r="D605" i="9"/>
  <c r="D604" i="9"/>
  <c r="D603" i="9"/>
  <c r="X602" i="9"/>
  <c r="W602" i="9"/>
  <c r="Y602" i="9" s="1"/>
  <c r="U602" i="9"/>
  <c r="T602" i="9"/>
  <c r="V602" i="9" s="1"/>
  <c r="D602" i="9"/>
  <c r="D601" i="9"/>
  <c r="D600" i="9"/>
  <c r="D599" i="9"/>
  <c r="W598" i="9"/>
  <c r="U598" i="9"/>
  <c r="T598" i="9"/>
  <c r="V598" i="9" s="1"/>
  <c r="D598" i="9"/>
  <c r="D597" i="9"/>
  <c r="T596" i="9"/>
  <c r="D596" i="9"/>
  <c r="D595" i="9"/>
  <c r="U594" i="9"/>
  <c r="D594" i="9"/>
  <c r="U593" i="9"/>
  <c r="T593" i="9"/>
  <c r="V593" i="9" s="1"/>
  <c r="D593" i="9"/>
  <c r="U592" i="9"/>
  <c r="T592" i="9"/>
  <c r="V592" i="9" s="1"/>
  <c r="D592" i="9"/>
  <c r="D591" i="9"/>
  <c r="D590" i="9"/>
  <c r="X589" i="9"/>
  <c r="W589" i="9"/>
  <c r="U589" i="9"/>
  <c r="T589" i="9"/>
  <c r="V589" i="9" s="1"/>
  <c r="D589" i="9"/>
  <c r="D588" i="9"/>
  <c r="D587" i="9"/>
  <c r="D586" i="9"/>
  <c r="U585" i="9"/>
  <c r="T585" i="9"/>
  <c r="V585" i="9" s="1"/>
  <c r="D585" i="9"/>
  <c r="D584" i="9"/>
  <c r="W583" i="9"/>
  <c r="V583" i="9"/>
  <c r="U583" i="9"/>
  <c r="T583" i="9"/>
  <c r="D583" i="9"/>
  <c r="D582" i="9"/>
  <c r="D581" i="9"/>
  <c r="D580" i="9"/>
  <c r="X579" i="9"/>
  <c r="W579" i="9"/>
  <c r="Y579" i="9" s="1"/>
  <c r="U579" i="9"/>
  <c r="T579" i="9"/>
  <c r="V579" i="9" s="1"/>
  <c r="Z579" i="9" s="1"/>
  <c r="D579" i="9"/>
  <c r="D578" i="9"/>
  <c r="T577" i="9"/>
  <c r="D577" i="9"/>
  <c r="D576" i="9"/>
  <c r="D575" i="9"/>
  <c r="D132" i="2" s="1"/>
  <c r="D574" i="9"/>
  <c r="D573" i="9"/>
  <c r="D572" i="9"/>
  <c r="X571" i="9"/>
  <c r="W571" i="9"/>
  <c r="Y571" i="9" s="1"/>
  <c r="U571" i="9"/>
  <c r="T571" i="9"/>
  <c r="V571" i="9" s="1"/>
  <c r="D571" i="9"/>
  <c r="D570" i="9"/>
  <c r="D569" i="9"/>
  <c r="D568" i="9"/>
  <c r="X567" i="9"/>
  <c r="W567" i="9"/>
  <c r="Y567" i="9" s="1"/>
  <c r="D567" i="9"/>
  <c r="D566" i="9"/>
  <c r="D565" i="9"/>
  <c r="D564" i="9"/>
  <c r="U563" i="9"/>
  <c r="T563" i="9"/>
  <c r="V563" i="9" s="1"/>
  <c r="D563" i="9"/>
  <c r="D562" i="9"/>
  <c r="D561" i="9"/>
  <c r="D560" i="9"/>
  <c r="Y559" i="9"/>
  <c r="X559" i="9"/>
  <c r="W559" i="9"/>
  <c r="U559" i="9"/>
  <c r="V559" i="9" s="1"/>
  <c r="T559" i="9"/>
  <c r="D559" i="9"/>
  <c r="D558" i="9"/>
  <c r="D557" i="9"/>
  <c r="D556" i="9"/>
  <c r="X555" i="9"/>
  <c r="D555" i="9"/>
  <c r="D554" i="9"/>
  <c r="X553" i="9"/>
  <c r="Y553" i="9" s="1"/>
  <c r="W553" i="9"/>
  <c r="D553" i="9"/>
  <c r="D552" i="9"/>
  <c r="U551" i="9"/>
  <c r="T551" i="9"/>
  <c r="V551" i="9" s="1"/>
  <c r="D551" i="9"/>
  <c r="D550" i="9"/>
  <c r="D549" i="9"/>
  <c r="D548" i="9"/>
  <c r="W547" i="9"/>
  <c r="U547" i="9"/>
  <c r="T547" i="9"/>
  <c r="V547" i="9" s="1"/>
  <c r="D547" i="9"/>
  <c r="D546" i="9"/>
  <c r="X545" i="9"/>
  <c r="W545" i="9"/>
  <c r="Y545" i="9" s="1"/>
  <c r="U545" i="9"/>
  <c r="D545" i="9"/>
  <c r="D544" i="9"/>
  <c r="D543" i="9"/>
  <c r="D542" i="9"/>
  <c r="X541" i="9"/>
  <c r="W541" i="9"/>
  <c r="Y541" i="9" s="1"/>
  <c r="U541" i="9"/>
  <c r="D541" i="9"/>
  <c r="D540" i="9"/>
  <c r="U539" i="9"/>
  <c r="T539" i="9"/>
  <c r="V539" i="9" s="1"/>
  <c r="D539" i="9"/>
  <c r="D538" i="9"/>
  <c r="T537" i="9"/>
  <c r="D537" i="9"/>
  <c r="D536" i="9"/>
  <c r="D535" i="9"/>
  <c r="W534" i="9"/>
  <c r="U534" i="9"/>
  <c r="T534" i="9"/>
  <c r="V534" i="9" s="1"/>
  <c r="D534" i="9"/>
  <c r="D167" i="2" s="1"/>
  <c r="X533" i="9"/>
  <c r="W533" i="9"/>
  <c r="Y533" i="9" s="1"/>
  <c r="D533" i="9"/>
  <c r="D532" i="9"/>
  <c r="X531" i="9"/>
  <c r="W531" i="9"/>
  <c r="Y531" i="9" s="1"/>
  <c r="U531" i="9"/>
  <c r="T531" i="9"/>
  <c r="V531" i="9" s="1"/>
  <c r="Z531" i="9" s="1"/>
  <c r="D531" i="9"/>
  <c r="D530" i="9"/>
  <c r="X529" i="9"/>
  <c r="D529" i="9"/>
  <c r="D528" i="9"/>
  <c r="X527" i="9"/>
  <c r="W527" i="9"/>
  <c r="Y527" i="9" s="1"/>
  <c r="U527" i="9"/>
  <c r="T527" i="9"/>
  <c r="V527" i="9" s="1"/>
  <c r="D527" i="9"/>
  <c r="D526" i="9"/>
  <c r="U525" i="9"/>
  <c r="T525" i="9"/>
  <c r="V525" i="9" s="1"/>
  <c r="D525" i="9"/>
  <c r="X524" i="9"/>
  <c r="D524" i="9"/>
  <c r="X523" i="9"/>
  <c r="W523" i="9"/>
  <c r="Y523" i="9" s="1"/>
  <c r="D523" i="9"/>
  <c r="W522" i="9"/>
  <c r="D522" i="9"/>
  <c r="W521" i="9"/>
  <c r="U521" i="9"/>
  <c r="T521" i="9"/>
  <c r="V521" i="9" s="1"/>
  <c r="D521" i="9"/>
  <c r="X520" i="9"/>
  <c r="D520" i="9"/>
  <c r="D519" i="9"/>
  <c r="X518" i="9"/>
  <c r="Y518" i="9" s="1"/>
  <c r="Z518" i="9" s="1"/>
  <c r="W518" i="9"/>
  <c r="U518" i="9"/>
  <c r="T518" i="9"/>
  <c r="V518" i="9" s="1"/>
  <c r="D518" i="9"/>
  <c r="U517" i="9"/>
  <c r="T517" i="9"/>
  <c r="D517" i="9"/>
  <c r="T516" i="9"/>
  <c r="D516" i="9"/>
  <c r="T515" i="9"/>
  <c r="D515" i="9"/>
  <c r="X514" i="9"/>
  <c r="Y514" i="9" s="1"/>
  <c r="W514" i="9"/>
  <c r="U514" i="9"/>
  <c r="T514" i="9"/>
  <c r="D514" i="9"/>
  <c r="D513" i="9"/>
  <c r="W512" i="9"/>
  <c r="U512" i="9"/>
  <c r="T512" i="9"/>
  <c r="D512" i="9"/>
  <c r="D511" i="9"/>
  <c r="X510" i="9"/>
  <c r="D510" i="9"/>
  <c r="X509" i="9"/>
  <c r="D509" i="9"/>
  <c r="X508" i="9"/>
  <c r="W508" i="9"/>
  <c r="Y508" i="9" s="1"/>
  <c r="U508" i="9"/>
  <c r="T508" i="9"/>
  <c r="V508" i="9" s="1"/>
  <c r="D508" i="9"/>
  <c r="D507" i="9"/>
  <c r="T506" i="9"/>
  <c r="D506" i="9"/>
  <c r="X505" i="9"/>
  <c r="Y505" i="9" s="1"/>
  <c r="W505" i="9"/>
  <c r="D505" i="9"/>
  <c r="W504" i="9"/>
  <c r="U504" i="9"/>
  <c r="D504" i="9"/>
  <c r="U503" i="9"/>
  <c r="D503" i="9"/>
  <c r="U502" i="9"/>
  <c r="T502" i="9"/>
  <c r="V502" i="9" s="1"/>
  <c r="D502" i="9"/>
  <c r="X501" i="9"/>
  <c r="W501" i="9"/>
  <c r="Y501" i="9" s="1"/>
  <c r="D501" i="9"/>
  <c r="D500" i="9"/>
  <c r="X499" i="9"/>
  <c r="W499" i="9"/>
  <c r="Y499" i="9" s="1"/>
  <c r="U499" i="9"/>
  <c r="T499" i="9"/>
  <c r="V499" i="9" s="1"/>
  <c r="Z499" i="9" s="1"/>
  <c r="D499" i="9"/>
  <c r="D498" i="9"/>
  <c r="D497" i="9"/>
  <c r="D496" i="9"/>
  <c r="X495" i="9"/>
  <c r="Y495" i="9" s="1"/>
  <c r="W495" i="9"/>
  <c r="U495" i="9"/>
  <c r="T495" i="9"/>
  <c r="V495" i="9" s="1"/>
  <c r="Z495" i="9" s="1"/>
  <c r="D495" i="9"/>
  <c r="Z494" i="9"/>
  <c r="Y494" i="9"/>
  <c r="X494" i="9"/>
  <c r="W494" i="9"/>
  <c r="U494" i="9"/>
  <c r="T494" i="9"/>
  <c r="V494" i="9" s="1"/>
  <c r="R494" i="9"/>
  <c r="Q494" i="9"/>
  <c r="D494" i="9"/>
  <c r="H124" i="2" s="1"/>
  <c r="Y493" i="9"/>
  <c r="X493" i="9"/>
  <c r="W493" i="9"/>
  <c r="U493" i="9"/>
  <c r="V493" i="9" s="1"/>
  <c r="Z493" i="9" s="1"/>
  <c r="T493" i="9"/>
  <c r="D493" i="9"/>
  <c r="X492" i="9"/>
  <c r="W492" i="9"/>
  <c r="Y492" i="9" s="1"/>
  <c r="U492" i="9"/>
  <c r="T492" i="9"/>
  <c r="V492" i="9" s="1"/>
  <c r="R492" i="9"/>
  <c r="Q492" i="9"/>
  <c r="Z492" i="9" s="1"/>
  <c r="D492" i="9"/>
  <c r="X491" i="9"/>
  <c r="Y491" i="9" s="1"/>
  <c r="Z491" i="9" s="1"/>
  <c r="W491" i="9"/>
  <c r="V491" i="9"/>
  <c r="U491" i="9"/>
  <c r="T491" i="9"/>
  <c r="Q491" i="9"/>
  <c r="D491" i="9"/>
  <c r="X490" i="9"/>
  <c r="W490" i="9"/>
  <c r="Y490" i="9" s="1"/>
  <c r="U490" i="9"/>
  <c r="T490" i="9"/>
  <c r="V490" i="9" s="1"/>
  <c r="Q490" i="9"/>
  <c r="D490" i="9"/>
  <c r="D125" i="2" s="1"/>
  <c r="X489" i="9"/>
  <c r="Y489" i="9" s="1"/>
  <c r="Z489" i="9" s="1"/>
  <c r="W489" i="9"/>
  <c r="U489" i="9"/>
  <c r="T489" i="9"/>
  <c r="V489" i="9" s="1"/>
  <c r="Q489" i="9"/>
  <c r="D489" i="9"/>
  <c r="X488" i="9"/>
  <c r="W488" i="9"/>
  <c r="U488" i="9"/>
  <c r="T488" i="9"/>
  <c r="R488" i="9"/>
  <c r="Q488" i="9"/>
  <c r="D488" i="9"/>
  <c r="X487" i="9"/>
  <c r="W487" i="9"/>
  <c r="U487" i="9"/>
  <c r="T487" i="9"/>
  <c r="V487" i="9" s="1"/>
  <c r="D487" i="9"/>
  <c r="X486" i="9"/>
  <c r="W486" i="9"/>
  <c r="Y486" i="9" s="1"/>
  <c r="U486" i="9"/>
  <c r="T486" i="9"/>
  <c r="D486" i="9"/>
  <c r="X485" i="9"/>
  <c r="W485" i="9"/>
  <c r="Y485" i="9" s="1"/>
  <c r="U485" i="9"/>
  <c r="T485" i="9"/>
  <c r="V485" i="9" s="1"/>
  <c r="Q485" i="9"/>
  <c r="Z485" i="9" s="1"/>
  <c r="D485" i="9"/>
  <c r="Y484" i="9"/>
  <c r="X484" i="9"/>
  <c r="W484" i="9"/>
  <c r="U484" i="9"/>
  <c r="T484" i="9"/>
  <c r="V484" i="9" s="1"/>
  <c r="R484" i="9"/>
  <c r="D484" i="9"/>
  <c r="X483" i="9"/>
  <c r="W483" i="9"/>
  <c r="Y483" i="9" s="1"/>
  <c r="U483" i="9"/>
  <c r="T483" i="9"/>
  <c r="V483" i="9" s="1"/>
  <c r="D483" i="9"/>
  <c r="X482" i="9"/>
  <c r="W482" i="9"/>
  <c r="Y482" i="9" s="1"/>
  <c r="V482" i="9"/>
  <c r="U482" i="9"/>
  <c r="T482" i="9"/>
  <c r="D482" i="9"/>
  <c r="X481" i="9"/>
  <c r="Y481" i="9" s="1"/>
  <c r="W481" i="9"/>
  <c r="U481" i="9"/>
  <c r="V481" i="9" s="1"/>
  <c r="T481" i="9"/>
  <c r="R481" i="9"/>
  <c r="Q481" i="9"/>
  <c r="D481" i="9"/>
  <c r="X480" i="9"/>
  <c r="Y480" i="9" s="1"/>
  <c r="W480" i="9"/>
  <c r="U480" i="9"/>
  <c r="T480" i="9"/>
  <c r="V480" i="9" s="1"/>
  <c r="D480" i="9"/>
  <c r="Y479" i="9"/>
  <c r="X479" i="9"/>
  <c r="W479" i="9"/>
  <c r="U479" i="9"/>
  <c r="T479" i="9"/>
  <c r="V479" i="9" s="1"/>
  <c r="D479" i="9"/>
  <c r="X478" i="9"/>
  <c r="W478" i="9"/>
  <c r="Y478" i="9" s="1"/>
  <c r="U478" i="9"/>
  <c r="T478" i="9"/>
  <c r="V478" i="9" s="1"/>
  <c r="D478" i="9"/>
  <c r="X477" i="9"/>
  <c r="W477" i="9"/>
  <c r="Y477" i="9" s="1"/>
  <c r="U477" i="9"/>
  <c r="V477" i="9" s="1"/>
  <c r="T477" i="9"/>
  <c r="D477" i="9"/>
  <c r="Y476" i="9"/>
  <c r="Z476" i="9" s="1"/>
  <c r="X476" i="9"/>
  <c r="W476" i="9"/>
  <c r="U476" i="9"/>
  <c r="T476" i="9"/>
  <c r="V476" i="9" s="1"/>
  <c r="R476" i="9"/>
  <c r="Q476" i="9"/>
  <c r="D476" i="9"/>
  <c r="X475" i="9"/>
  <c r="Y475" i="9" s="1"/>
  <c r="W475" i="9"/>
  <c r="U475" i="9"/>
  <c r="T475" i="9"/>
  <c r="V475" i="9" s="1"/>
  <c r="R475" i="9"/>
  <c r="Q475" i="9" s="1"/>
  <c r="Z475" i="9" s="1"/>
  <c r="D475" i="9"/>
  <c r="Y474" i="9"/>
  <c r="X474" i="9"/>
  <c r="W474" i="9"/>
  <c r="U474" i="9"/>
  <c r="T474" i="9"/>
  <c r="V474" i="9" s="1"/>
  <c r="D474" i="9"/>
  <c r="X473" i="9"/>
  <c r="W473" i="9"/>
  <c r="Y473" i="9" s="1"/>
  <c r="V473" i="9"/>
  <c r="U473" i="9"/>
  <c r="T473" i="9"/>
  <c r="D473" i="9"/>
  <c r="X472" i="9"/>
  <c r="W472" i="9"/>
  <c r="Y472" i="9" s="1"/>
  <c r="U472" i="9"/>
  <c r="T472" i="9"/>
  <c r="V472" i="9" s="1"/>
  <c r="D472" i="9"/>
  <c r="X471" i="9"/>
  <c r="W471" i="9"/>
  <c r="Y471" i="9" s="1"/>
  <c r="V471" i="9"/>
  <c r="Z471" i="9" s="1"/>
  <c r="U471" i="9"/>
  <c r="T471" i="9"/>
  <c r="R471" i="9"/>
  <c r="Q471" i="9"/>
  <c r="D471" i="9"/>
  <c r="Y470" i="9"/>
  <c r="X470" i="9"/>
  <c r="W470" i="9"/>
  <c r="U470" i="9"/>
  <c r="T470" i="9"/>
  <c r="V470" i="9" s="1"/>
  <c r="R470" i="9"/>
  <c r="Q470" i="9" s="1"/>
  <c r="Z470" i="9" s="1"/>
  <c r="D470" i="9"/>
  <c r="X469" i="9"/>
  <c r="W469" i="9"/>
  <c r="Y469" i="9" s="1"/>
  <c r="U469" i="9"/>
  <c r="T469" i="9"/>
  <c r="V469" i="9" s="1"/>
  <c r="Z469" i="9" s="1"/>
  <c r="H112" i="2" s="1"/>
  <c r="D469" i="9"/>
  <c r="X468" i="9"/>
  <c r="W468" i="9"/>
  <c r="Y468" i="9" s="1"/>
  <c r="U468" i="9"/>
  <c r="T468" i="9"/>
  <c r="R468" i="9"/>
  <c r="Q468" i="9" s="1"/>
  <c r="D468" i="9"/>
  <c r="X467" i="9"/>
  <c r="W467" i="9"/>
  <c r="Y467" i="9" s="1"/>
  <c r="U467" i="9"/>
  <c r="T467" i="9"/>
  <c r="V467" i="9" s="1"/>
  <c r="Z467" i="9" s="1"/>
  <c r="D467" i="9"/>
  <c r="X466" i="9"/>
  <c r="W466" i="9"/>
  <c r="Y466" i="9" s="1"/>
  <c r="V466" i="9"/>
  <c r="U466" i="9"/>
  <c r="T466" i="9"/>
  <c r="D466" i="9"/>
  <c r="X465" i="9"/>
  <c r="W465" i="9"/>
  <c r="Y465" i="9" s="1"/>
  <c r="U465" i="9"/>
  <c r="T465" i="9"/>
  <c r="V465" i="9" s="1"/>
  <c r="Z465" i="9" s="1"/>
  <c r="D465" i="9"/>
  <c r="X464" i="9"/>
  <c r="W464" i="9"/>
  <c r="Y464" i="9" s="1"/>
  <c r="U464" i="9"/>
  <c r="V464" i="9" s="1"/>
  <c r="Z464" i="9" s="1"/>
  <c r="T464" i="9"/>
  <c r="D464" i="9"/>
  <c r="Y463" i="9"/>
  <c r="X463" i="9"/>
  <c r="W463" i="9"/>
  <c r="U463" i="9"/>
  <c r="T463" i="9"/>
  <c r="V463" i="9" s="1"/>
  <c r="R463" i="9"/>
  <c r="Q463" i="9" s="1"/>
  <c r="Z463" i="9" s="1"/>
  <c r="D463" i="9"/>
  <c r="X462" i="9"/>
  <c r="W462" i="9"/>
  <c r="Y462" i="9" s="1"/>
  <c r="U462" i="9"/>
  <c r="T462" i="9"/>
  <c r="V462" i="9" s="1"/>
  <c r="Q462" i="9"/>
  <c r="D462" i="9"/>
  <c r="Y461" i="9"/>
  <c r="X461" i="9"/>
  <c r="W461" i="9"/>
  <c r="U461" i="9"/>
  <c r="V461" i="9" s="1"/>
  <c r="Z461" i="9" s="1"/>
  <c r="T461" i="9"/>
  <c r="Q461" i="9"/>
  <c r="D461" i="9"/>
  <c r="X460" i="9"/>
  <c r="W460" i="9"/>
  <c r="Y460" i="9" s="1"/>
  <c r="U460" i="9"/>
  <c r="T460" i="9"/>
  <c r="V460" i="9" s="1"/>
  <c r="Q460" i="9"/>
  <c r="D460" i="9"/>
  <c r="Y459" i="9"/>
  <c r="X459" i="9"/>
  <c r="W459" i="9"/>
  <c r="U459" i="9"/>
  <c r="T459" i="9"/>
  <c r="V459" i="9" s="1"/>
  <c r="Q459" i="9"/>
  <c r="Z459" i="9" s="1"/>
  <c r="D459" i="9"/>
  <c r="X458" i="9"/>
  <c r="W458" i="9"/>
  <c r="Y458" i="9" s="1"/>
  <c r="U458" i="9"/>
  <c r="T458" i="9"/>
  <c r="V458" i="9" s="1"/>
  <c r="Z458" i="9" s="1"/>
  <c r="R458" i="9"/>
  <c r="Q458" i="9"/>
  <c r="D458" i="9"/>
  <c r="X457" i="9"/>
  <c r="W457" i="9"/>
  <c r="Y457" i="9" s="1"/>
  <c r="U457" i="9"/>
  <c r="T457" i="9"/>
  <c r="V457" i="9" s="1"/>
  <c r="R457" i="9"/>
  <c r="Q457" i="9"/>
  <c r="Z457" i="9" s="1"/>
  <c r="D457" i="9"/>
  <c r="X456" i="9"/>
  <c r="Y456" i="9" s="1"/>
  <c r="W456" i="9"/>
  <c r="V456" i="9"/>
  <c r="U456" i="9"/>
  <c r="T456" i="9"/>
  <c r="D456" i="9"/>
  <c r="X455" i="9"/>
  <c r="W455" i="9"/>
  <c r="Y455" i="9" s="1"/>
  <c r="U455" i="9"/>
  <c r="V455" i="9" s="1"/>
  <c r="T455" i="9"/>
  <c r="R455" i="9"/>
  <c r="Q455" i="9"/>
  <c r="Z455" i="9" s="1"/>
  <c r="D455" i="9"/>
  <c r="X454" i="9"/>
  <c r="Y454" i="9" s="1"/>
  <c r="W454" i="9"/>
  <c r="U454" i="9"/>
  <c r="T454" i="9"/>
  <c r="V454" i="9" s="1"/>
  <c r="D454" i="9"/>
  <c r="X453" i="9"/>
  <c r="W453" i="9"/>
  <c r="Y453" i="9" s="1"/>
  <c r="V453" i="9"/>
  <c r="U453" i="9"/>
  <c r="T453" i="9"/>
  <c r="Q453" i="9"/>
  <c r="D453" i="9"/>
  <c r="X452" i="9"/>
  <c r="W452" i="9"/>
  <c r="Y452" i="9" s="1"/>
  <c r="U452" i="9"/>
  <c r="V452" i="9" s="1"/>
  <c r="T452" i="9"/>
  <c r="R452" i="9"/>
  <c r="R454" i="9" s="1"/>
  <c r="D452" i="9"/>
  <c r="Y451" i="9"/>
  <c r="X451" i="9"/>
  <c r="W451" i="9"/>
  <c r="U451" i="9"/>
  <c r="V451" i="9" s="1"/>
  <c r="T451" i="9"/>
  <c r="D451" i="9"/>
  <c r="X450" i="9"/>
  <c r="W450" i="9"/>
  <c r="Y450" i="9" s="1"/>
  <c r="U450" i="9"/>
  <c r="T450" i="9"/>
  <c r="V450" i="9" s="1"/>
  <c r="R450" i="9"/>
  <c r="Q450" i="9" s="1"/>
  <c r="D450" i="9"/>
  <c r="X449" i="9"/>
  <c r="W449" i="9"/>
  <c r="Y449" i="9" s="1"/>
  <c r="U449" i="9"/>
  <c r="T449" i="9"/>
  <c r="V449" i="9" s="1"/>
  <c r="R449" i="9"/>
  <c r="Q449" i="9"/>
  <c r="D449" i="9"/>
  <c r="Y448" i="9"/>
  <c r="Z448" i="9" s="1"/>
  <c r="X448" i="9"/>
  <c r="W448" i="9"/>
  <c r="U448" i="9"/>
  <c r="T448" i="9"/>
  <c r="V448" i="9" s="1"/>
  <c r="R448" i="9"/>
  <c r="Q448" i="9" s="1"/>
  <c r="D448" i="9"/>
  <c r="X447" i="9"/>
  <c r="W447" i="9"/>
  <c r="Y447" i="9" s="1"/>
  <c r="U447" i="9"/>
  <c r="V447" i="9" s="1"/>
  <c r="T447" i="9"/>
  <c r="R447" i="9"/>
  <c r="Q447" i="9" s="1"/>
  <c r="D447" i="9"/>
  <c r="Y446" i="9"/>
  <c r="X446" i="9"/>
  <c r="W446" i="9"/>
  <c r="U446" i="9"/>
  <c r="T446" i="9"/>
  <c r="V446" i="9" s="1"/>
  <c r="D446" i="9"/>
  <c r="X445" i="9"/>
  <c r="W445" i="9"/>
  <c r="Y445" i="9" s="1"/>
  <c r="U445" i="9"/>
  <c r="V445" i="9" s="1"/>
  <c r="T445" i="9"/>
  <c r="D445" i="9"/>
  <c r="X444" i="9"/>
  <c r="W444" i="9"/>
  <c r="V444" i="9"/>
  <c r="U444" i="9"/>
  <c r="T444" i="9"/>
  <c r="D444" i="9"/>
  <c r="Z443" i="9"/>
  <c r="Y443" i="9"/>
  <c r="X443" i="9"/>
  <c r="W443" i="9"/>
  <c r="U443" i="9"/>
  <c r="V443" i="9" s="1"/>
  <c r="T443" i="9"/>
  <c r="Q443" i="9"/>
  <c r="D443" i="9"/>
  <c r="X442" i="9"/>
  <c r="W442" i="9"/>
  <c r="Y442" i="9" s="1"/>
  <c r="U442" i="9"/>
  <c r="T442" i="9"/>
  <c r="V442" i="9" s="1"/>
  <c r="R442" i="9"/>
  <c r="Q442" i="9" s="1"/>
  <c r="Z442" i="9" s="1"/>
  <c r="D442" i="9"/>
  <c r="X441" i="9"/>
  <c r="W441" i="9"/>
  <c r="Y441" i="9" s="1"/>
  <c r="V441" i="9"/>
  <c r="Z441" i="9" s="1"/>
  <c r="U441" i="9"/>
  <c r="T441" i="9"/>
  <c r="D441" i="9"/>
  <c r="Y440" i="9"/>
  <c r="Z440" i="9" s="1"/>
  <c r="X440" i="9"/>
  <c r="W440" i="9"/>
  <c r="U440" i="9"/>
  <c r="V440" i="9" s="1"/>
  <c r="T440" i="9"/>
  <c r="D440" i="9"/>
  <c r="X439" i="9"/>
  <c r="W439" i="9"/>
  <c r="Y439" i="9" s="1"/>
  <c r="U439" i="9"/>
  <c r="T439" i="9"/>
  <c r="V439" i="9" s="1"/>
  <c r="Z439" i="9" s="1"/>
  <c r="D439" i="9"/>
  <c r="X438" i="9"/>
  <c r="W438" i="9"/>
  <c r="Y438" i="9" s="1"/>
  <c r="Z438" i="9" s="1"/>
  <c r="U438" i="9"/>
  <c r="V438" i="9" s="1"/>
  <c r="T438" i="9"/>
  <c r="D438" i="9"/>
  <c r="X437" i="9"/>
  <c r="W437" i="9"/>
  <c r="Y437" i="9" s="1"/>
  <c r="U437" i="9"/>
  <c r="V437" i="9" s="1"/>
  <c r="T437" i="9"/>
  <c r="D437" i="9"/>
  <c r="X436" i="9"/>
  <c r="W436" i="9"/>
  <c r="Y436" i="9" s="1"/>
  <c r="Z436" i="9" s="1"/>
  <c r="U436" i="9"/>
  <c r="T436" i="9"/>
  <c r="V436" i="9" s="1"/>
  <c r="D436" i="9"/>
  <c r="X435" i="9"/>
  <c r="W435" i="9"/>
  <c r="Y435" i="9" s="1"/>
  <c r="U435" i="9"/>
  <c r="T435" i="9"/>
  <c r="V435" i="9" s="1"/>
  <c r="D435" i="9"/>
  <c r="Y434" i="9"/>
  <c r="X434" i="9"/>
  <c r="W434" i="9"/>
  <c r="U434" i="9"/>
  <c r="T434" i="9"/>
  <c r="V434" i="9" s="1"/>
  <c r="R434" i="9"/>
  <c r="Q434" i="9"/>
  <c r="D434" i="9"/>
  <c r="X433" i="9"/>
  <c r="W433" i="9"/>
  <c r="Y433" i="9" s="1"/>
  <c r="U433" i="9"/>
  <c r="V433" i="9" s="1"/>
  <c r="T433" i="9"/>
  <c r="D433" i="9"/>
  <c r="X432" i="9"/>
  <c r="W432" i="9"/>
  <c r="Y432" i="9" s="1"/>
  <c r="V432" i="9"/>
  <c r="U432" i="9"/>
  <c r="T432" i="9"/>
  <c r="R432" i="9"/>
  <c r="Q432" i="9"/>
  <c r="D432" i="9"/>
  <c r="Y431" i="9"/>
  <c r="X431" i="9"/>
  <c r="W431" i="9"/>
  <c r="U431" i="9"/>
  <c r="T431" i="9"/>
  <c r="V431" i="9" s="1"/>
  <c r="R431" i="9"/>
  <c r="Q431" i="9"/>
  <c r="D431" i="9"/>
  <c r="Y430" i="9"/>
  <c r="X430" i="9"/>
  <c r="W430" i="9"/>
  <c r="U430" i="9"/>
  <c r="T430" i="9"/>
  <c r="V430" i="9" s="1"/>
  <c r="Z430" i="9" s="1"/>
  <c r="Q430" i="9"/>
  <c r="D430" i="9"/>
  <c r="X429" i="9"/>
  <c r="W429" i="9"/>
  <c r="Y429" i="9" s="1"/>
  <c r="U429" i="9"/>
  <c r="T429" i="9"/>
  <c r="Q429" i="9"/>
  <c r="D429" i="9"/>
  <c r="X428" i="9"/>
  <c r="Y428" i="9" s="1"/>
  <c r="Z428" i="9" s="1"/>
  <c r="W428" i="9"/>
  <c r="V428" i="9"/>
  <c r="U428" i="9"/>
  <c r="T428" i="9"/>
  <c r="Q428" i="9"/>
  <c r="D428" i="9"/>
  <c r="X427" i="9"/>
  <c r="W427" i="9"/>
  <c r="Y427" i="9" s="1"/>
  <c r="U427" i="9"/>
  <c r="T427" i="9"/>
  <c r="V427" i="9" s="1"/>
  <c r="Q427" i="9"/>
  <c r="D427" i="9"/>
  <c r="X426" i="9"/>
  <c r="Y426" i="9" s="1"/>
  <c r="Z426" i="9" s="1"/>
  <c r="W426" i="9"/>
  <c r="U426" i="9"/>
  <c r="V426" i="9" s="1"/>
  <c r="T426" i="9"/>
  <c r="R426" i="9"/>
  <c r="Q426" i="9" s="1"/>
  <c r="D426" i="9"/>
  <c r="X425" i="9"/>
  <c r="W425" i="9"/>
  <c r="Y425" i="9" s="1"/>
  <c r="U425" i="9"/>
  <c r="T425" i="9"/>
  <c r="V425" i="9" s="1"/>
  <c r="R425" i="9"/>
  <c r="Q425" i="9"/>
  <c r="D425" i="9"/>
  <c r="X424" i="9"/>
  <c r="W424" i="9"/>
  <c r="Y424" i="9" s="1"/>
  <c r="U424" i="9"/>
  <c r="T424" i="9"/>
  <c r="V424" i="9" s="1"/>
  <c r="R424" i="9"/>
  <c r="Q424" i="9" s="1"/>
  <c r="Z424" i="9" s="1"/>
  <c r="D424" i="9"/>
  <c r="X423" i="9"/>
  <c r="W423" i="9"/>
  <c r="Y423" i="9" s="1"/>
  <c r="U423" i="9"/>
  <c r="V423" i="9" s="1"/>
  <c r="Z423" i="9" s="1"/>
  <c r="T423" i="9"/>
  <c r="R423" i="9"/>
  <c r="Q423" i="9" s="1"/>
  <c r="D423" i="9"/>
  <c r="X422" i="9"/>
  <c r="W422" i="9"/>
  <c r="V422" i="9"/>
  <c r="U422" i="9"/>
  <c r="T422" i="9"/>
  <c r="Q422" i="9"/>
  <c r="D422" i="9"/>
  <c r="X421" i="9"/>
  <c r="Y421" i="9" s="1"/>
  <c r="Z421" i="9" s="1"/>
  <c r="W421" i="9"/>
  <c r="U421" i="9"/>
  <c r="T421" i="9"/>
  <c r="V421" i="9" s="1"/>
  <c r="R421" i="9"/>
  <c r="Q421" i="9"/>
  <c r="D421" i="9"/>
  <c r="X420" i="9"/>
  <c r="W420" i="9"/>
  <c r="Y420" i="9" s="1"/>
  <c r="U420" i="9"/>
  <c r="T420" i="9"/>
  <c r="V420" i="9" s="1"/>
  <c r="D420" i="9"/>
  <c r="X419" i="9"/>
  <c r="Y419" i="9" s="1"/>
  <c r="W419" i="9"/>
  <c r="U419" i="9"/>
  <c r="T419" i="9"/>
  <c r="R419" i="9"/>
  <c r="Q419" i="9" s="1"/>
  <c r="D419" i="9"/>
  <c r="Y418" i="9"/>
  <c r="X418" i="9"/>
  <c r="W418" i="9"/>
  <c r="V418" i="9"/>
  <c r="U418" i="9"/>
  <c r="T418" i="9"/>
  <c r="D418" i="9"/>
  <c r="X417" i="9"/>
  <c r="W417" i="9"/>
  <c r="Y417" i="9" s="1"/>
  <c r="U417" i="9"/>
  <c r="V417" i="9" s="1"/>
  <c r="T417" i="9"/>
  <c r="R417" i="9"/>
  <c r="Q417" i="9" s="1"/>
  <c r="D417" i="9"/>
  <c r="X416" i="9"/>
  <c r="Y416" i="9" s="1"/>
  <c r="W416" i="9"/>
  <c r="U416" i="9"/>
  <c r="T416" i="9"/>
  <c r="V416" i="9" s="1"/>
  <c r="R416" i="9"/>
  <c r="Q416" i="9"/>
  <c r="Z416" i="9" s="1"/>
  <c r="D416" i="9"/>
  <c r="X415" i="9"/>
  <c r="W415" i="9"/>
  <c r="Y415" i="9" s="1"/>
  <c r="V415" i="9"/>
  <c r="U415" i="9"/>
  <c r="T415" i="9"/>
  <c r="D415" i="9"/>
  <c r="X414" i="9"/>
  <c r="W414" i="9"/>
  <c r="U414" i="9"/>
  <c r="T414" i="9"/>
  <c r="V414" i="9" s="1"/>
  <c r="D414" i="9"/>
  <c r="Y413" i="9"/>
  <c r="X413" i="9"/>
  <c r="W413" i="9"/>
  <c r="U413" i="9"/>
  <c r="T413" i="9"/>
  <c r="V413" i="9" s="1"/>
  <c r="D413" i="9"/>
  <c r="X412" i="9"/>
  <c r="Y412" i="9" s="1"/>
  <c r="W412" i="9"/>
  <c r="U412" i="9"/>
  <c r="T412" i="9"/>
  <c r="R412" i="9"/>
  <c r="Q412" i="9"/>
  <c r="D412" i="9"/>
  <c r="X411" i="9"/>
  <c r="Y411" i="9" s="1"/>
  <c r="W411" i="9"/>
  <c r="U411" i="9"/>
  <c r="V411" i="9" s="1"/>
  <c r="T411" i="9"/>
  <c r="R411" i="9"/>
  <c r="Q411" i="9"/>
  <c r="D411" i="9"/>
  <c r="X410" i="9"/>
  <c r="W410" i="9"/>
  <c r="Y410" i="9" s="1"/>
  <c r="V410" i="9"/>
  <c r="U410" i="9"/>
  <c r="T410" i="9"/>
  <c r="D410" i="9"/>
  <c r="X409" i="9"/>
  <c r="W409" i="9"/>
  <c r="Y409" i="9" s="1"/>
  <c r="U409" i="9"/>
  <c r="T409" i="9"/>
  <c r="V409" i="9" s="1"/>
  <c r="Z409" i="9" s="1"/>
  <c r="D409" i="9"/>
  <c r="X408" i="9"/>
  <c r="Y408" i="9" s="1"/>
  <c r="W408" i="9"/>
  <c r="V408" i="9"/>
  <c r="Z408" i="9" s="1"/>
  <c r="U408" i="9"/>
  <c r="T408" i="9"/>
  <c r="D408" i="9"/>
  <c r="X407" i="9"/>
  <c r="W407" i="9"/>
  <c r="Y407" i="9" s="1"/>
  <c r="U407" i="9"/>
  <c r="T407" i="9"/>
  <c r="V407" i="9" s="1"/>
  <c r="Z407" i="9" s="1"/>
  <c r="D407" i="9"/>
  <c r="X406" i="9"/>
  <c r="W406" i="9"/>
  <c r="Y406" i="9" s="1"/>
  <c r="V406" i="9"/>
  <c r="U406" i="9"/>
  <c r="T406" i="9"/>
  <c r="D406" i="9"/>
  <c r="Y405" i="9"/>
  <c r="X405" i="9"/>
  <c r="W405" i="9"/>
  <c r="U405" i="9"/>
  <c r="T405" i="9"/>
  <c r="V405" i="9" s="1"/>
  <c r="R405" i="9"/>
  <c r="R436" i="9" s="1"/>
  <c r="Q436" i="9" s="1"/>
  <c r="Q405" i="9"/>
  <c r="Z405" i="9" s="1"/>
  <c r="D405" i="9"/>
  <c r="X404" i="9"/>
  <c r="Y404" i="9" s="1"/>
  <c r="W404" i="9"/>
  <c r="U404" i="9"/>
  <c r="T404" i="9"/>
  <c r="V404" i="9" s="1"/>
  <c r="R404" i="9"/>
  <c r="Q404" i="9"/>
  <c r="Z404" i="9" s="1"/>
  <c r="D404" i="9"/>
  <c r="X403" i="9"/>
  <c r="W403" i="9"/>
  <c r="Y403" i="9" s="1"/>
  <c r="U403" i="9"/>
  <c r="T403" i="9"/>
  <c r="V403" i="9" s="1"/>
  <c r="Z403" i="9" s="1"/>
  <c r="R403" i="9"/>
  <c r="Q403" i="9"/>
  <c r="D403" i="9"/>
  <c r="X402" i="9"/>
  <c r="W402" i="9"/>
  <c r="U402" i="9"/>
  <c r="T402" i="9"/>
  <c r="V402" i="9" s="1"/>
  <c r="R402" i="9"/>
  <c r="D402" i="9"/>
  <c r="X401" i="9"/>
  <c r="Y401" i="9" s="1"/>
  <c r="Z401" i="9" s="1"/>
  <c r="W401" i="9"/>
  <c r="V401" i="9"/>
  <c r="U401" i="9"/>
  <c r="T401" i="9"/>
  <c r="Q401" i="9"/>
  <c r="D401" i="9"/>
  <c r="X400" i="9"/>
  <c r="W400" i="9"/>
  <c r="Y400" i="9" s="1"/>
  <c r="U400" i="9"/>
  <c r="T400" i="9"/>
  <c r="V400" i="9" s="1"/>
  <c r="R400" i="9"/>
  <c r="Q400" i="9"/>
  <c r="D400" i="9"/>
  <c r="X399" i="9"/>
  <c r="W399" i="9"/>
  <c r="Y399" i="9" s="1"/>
  <c r="U399" i="9"/>
  <c r="T399" i="9"/>
  <c r="V399" i="9" s="1"/>
  <c r="Q399" i="9"/>
  <c r="D399" i="9"/>
  <c r="X398" i="9"/>
  <c r="W398" i="9"/>
  <c r="Y398" i="9" s="1"/>
  <c r="U398" i="9"/>
  <c r="T398" i="9"/>
  <c r="V398" i="9" s="1"/>
  <c r="Z398" i="9" s="1"/>
  <c r="Q398" i="9"/>
  <c r="D398" i="9"/>
  <c r="Y397" i="9"/>
  <c r="Z397" i="9" s="1"/>
  <c r="X397" i="9"/>
  <c r="W397" i="9"/>
  <c r="V397" i="9"/>
  <c r="U397" i="9"/>
  <c r="T397" i="9"/>
  <c r="Q397" i="9"/>
  <c r="D397" i="9"/>
  <c r="X396" i="9"/>
  <c r="W396" i="9"/>
  <c r="Y396" i="9" s="1"/>
  <c r="U396" i="9"/>
  <c r="T396" i="9"/>
  <c r="V396" i="9" s="1"/>
  <c r="Z396" i="9" s="1"/>
  <c r="Q396" i="9"/>
  <c r="D396" i="9"/>
  <c r="Y395" i="9"/>
  <c r="X395" i="9"/>
  <c r="W395" i="9"/>
  <c r="U395" i="9"/>
  <c r="V395" i="9" s="1"/>
  <c r="T395" i="9"/>
  <c r="R395" i="9"/>
  <c r="Q395" i="9"/>
  <c r="Z395" i="9" s="1"/>
  <c r="D395" i="9"/>
  <c r="X394" i="9"/>
  <c r="W394" i="9"/>
  <c r="Y394" i="9" s="1"/>
  <c r="U394" i="9"/>
  <c r="V394" i="9" s="1"/>
  <c r="Z394" i="9" s="1"/>
  <c r="T394" i="9"/>
  <c r="R394" i="9"/>
  <c r="Q394" i="9" s="1"/>
  <c r="D394" i="9"/>
  <c r="X393" i="9"/>
  <c r="W393" i="9"/>
  <c r="Y393" i="9" s="1"/>
  <c r="U393" i="9"/>
  <c r="T393" i="9"/>
  <c r="V393" i="9" s="1"/>
  <c r="D393" i="9"/>
  <c r="X392" i="9"/>
  <c r="W392" i="9"/>
  <c r="Y392" i="9" s="1"/>
  <c r="Z392" i="9" s="1"/>
  <c r="U392" i="9"/>
  <c r="T392" i="9"/>
  <c r="V392" i="9" s="1"/>
  <c r="R392" i="9"/>
  <c r="Q392" i="9" s="1"/>
  <c r="D392" i="9"/>
  <c r="X391" i="9"/>
  <c r="W391" i="9"/>
  <c r="Y391" i="9" s="1"/>
  <c r="U391" i="9"/>
  <c r="T391" i="9"/>
  <c r="V391" i="9" s="1"/>
  <c r="R391" i="9"/>
  <c r="R393" i="9" s="1"/>
  <c r="Q393" i="9" s="1"/>
  <c r="Q391" i="9"/>
  <c r="D391" i="9"/>
  <c r="Y390" i="9"/>
  <c r="X390" i="9"/>
  <c r="W390" i="9"/>
  <c r="U390" i="9"/>
  <c r="T390" i="9"/>
  <c r="V390" i="9" s="1"/>
  <c r="Q390" i="9"/>
  <c r="D390" i="9"/>
  <c r="X389" i="9"/>
  <c r="W389" i="9"/>
  <c r="Y389" i="9" s="1"/>
  <c r="U389" i="9"/>
  <c r="T389" i="9"/>
  <c r="V389" i="9" s="1"/>
  <c r="Z389" i="9" s="1"/>
  <c r="R389" i="9"/>
  <c r="Q389" i="9"/>
  <c r="D389" i="9"/>
  <c r="X388" i="9"/>
  <c r="W388" i="9"/>
  <c r="Y388" i="9" s="1"/>
  <c r="U388" i="9"/>
  <c r="T388" i="9"/>
  <c r="V388" i="9" s="1"/>
  <c r="D388" i="9"/>
  <c r="X387" i="9"/>
  <c r="Y387" i="9" s="1"/>
  <c r="W387" i="9"/>
  <c r="V387" i="9"/>
  <c r="U387" i="9"/>
  <c r="T387" i="9"/>
  <c r="D387" i="9"/>
  <c r="Y386" i="9"/>
  <c r="Z386" i="9" s="1"/>
  <c r="X386" i="9"/>
  <c r="W386" i="9"/>
  <c r="U386" i="9"/>
  <c r="T386" i="9"/>
  <c r="V386" i="9" s="1"/>
  <c r="R386" i="9"/>
  <c r="Q386" i="9"/>
  <c r="D386" i="9"/>
  <c r="X385" i="9"/>
  <c r="Y385" i="9" s="1"/>
  <c r="W385" i="9"/>
  <c r="U385" i="9"/>
  <c r="T385" i="9"/>
  <c r="V385" i="9" s="1"/>
  <c r="D385" i="9"/>
  <c r="X384" i="9"/>
  <c r="W384" i="9"/>
  <c r="Y384" i="9" s="1"/>
  <c r="V384" i="9"/>
  <c r="U384" i="9"/>
  <c r="T384" i="9"/>
  <c r="D384" i="9"/>
  <c r="X383" i="9"/>
  <c r="W383" i="9"/>
  <c r="Y383" i="9" s="1"/>
  <c r="U383" i="9"/>
  <c r="T383" i="9"/>
  <c r="V383" i="9" s="1"/>
  <c r="R383" i="9"/>
  <c r="Q383" i="9"/>
  <c r="Z383" i="9" s="1"/>
  <c r="D383" i="9"/>
  <c r="X382" i="9"/>
  <c r="W382" i="9"/>
  <c r="Y382" i="9" s="1"/>
  <c r="U382" i="9"/>
  <c r="T382" i="9"/>
  <c r="V382" i="9" s="1"/>
  <c r="R382" i="9"/>
  <c r="Q382" i="9"/>
  <c r="Z382" i="9" s="1"/>
  <c r="D382" i="9"/>
  <c r="X381" i="9"/>
  <c r="W381" i="9"/>
  <c r="Y381" i="9" s="1"/>
  <c r="U381" i="9"/>
  <c r="T381" i="9"/>
  <c r="V381" i="9" s="1"/>
  <c r="D381" i="9"/>
  <c r="X380" i="9"/>
  <c r="W380" i="9"/>
  <c r="Y380" i="9" s="1"/>
  <c r="U380" i="9"/>
  <c r="T380" i="9"/>
  <c r="V380" i="9" s="1"/>
  <c r="D380" i="9"/>
  <c r="X379" i="9"/>
  <c r="Y379" i="9" s="1"/>
  <c r="Z379" i="9" s="1"/>
  <c r="W379" i="9"/>
  <c r="V379" i="9"/>
  <c r="U379" i="9"/>
  <c r="T379" i="9"/>
  <c r="R379" i="9"/>
  <c r="Q379" i="9"/>
  <c r="D379" i="9"/>
  <c r="X378" i="9"/>
  <c r="Y378" i="9" s="1"/>
  <c r="W378" i="9"/>
  <c r="U378" i="9"/>
  <c r="T378" i="9"/>
  <c r="V378" i="9" s="1"/>
  <c r="Q378" i="9"/>
  <c r="D378" i="9"/>
  <c r="Y377" i="9"/>
  <c r="X377" i="9"/>
  <c r="W377" i="9"/>
  <c r="U377" i="9"/>
  <c r="T377" i="9"/>
  <c r="V377" i="9" s="1"/>
  <c r="Q377" i="9"/>
  <c r="D377" i="9"/>
  <c r="X376" i="9"/>
  <c r="Y376" i="9" s="1"/>
  <c r="W376" i="9"/>
  <c r="U376" i="9"/>
  <c r="T376" i="9"/>
  <c r="V376" i="9" s="1"/>
  <c r="Z376" i="9" s="1"/>
  <c r="Q376" i="9"/>
  <c r="D376" i="9"/>
  <c r="X375" i="9"/>
  <c r="W375" i="9"/>
  <c r="Y375" i="9" s="1"/>
  <c r="U375" i="9"/>
  <c r="T375" i="9"/>
  <c r="V375" i="9" s="1"/>
  <c r="Q375" i="9"/>
  <c r="D375" i="9"/>
  <c r="X374" i="9"/>
  <c r="Y374" i="9" s="1"/>
  <c r="W374" i="9"/>
  <c r="V374" i="9"/>
  <c r="U374" i="9"/>
  <c r="T374" i="9"/>
  <c r="D374" i="9"/>
  <c r="X373" i="9"/>
  <c r="Y373" i="9" s="1"/>
  <c r="W373" i="9"/>
  <c r="V373" i="9"/>
  <c r="U373" i="9"/>
  <c r="T373" i="9"/>
  <c r="R373" i="9"/>
  <c r="Q373" i="9"/>
  <c r="D373" i="9"/>
  <c r="X372" i="9"/>
  <c r="W372" i="9"/>
  <c r="Y372" i="9" s="1"/>
  <c r="U372" i="9"/>
  <c r="T372" i="9"/>
  <c r="V372" i="9" s="1"/>
  <c r="R372" i="9"/>
  <c r="R374" i="9" s="1"/>
  <c r="Q374" i="9" s="1"/>
  <c r="Z374" i="9" s="1"/>
  <c r="Q372" i="9"/>
  <c r="Z372" i="9" s="1"/>
  <c r="D372" i="9"/>
  <c r="Y371" i="9"/>
  <c r="Z371" i="9" s="1"/>
  <c r="X371" i="9"/>
  <c r="W371" i="9"/>
  <c r="V371" i="9"/>
  <c r="U371" i="9"/>
  <c r="T371" i="9"/>
  <c r="R371" i="9"/>
  <c r="Q371" i="9"/>
  <c r="D371" i="9"/>
  <c r="X370" i="9"/>
  <c r="W370" i="9"/>
  <c r="Y370" i="9" s="1"/>
  <c r="U370" i="9"/>
  <c r="T370" i="9"/>
  <c r="V370" i="9" s="1"/>
  <c r="R370" i="9"/>
  <c r="Q370" i="9"/>
  <c r="Z370" i="9" s="1"/>
  <c r="D370" i="9"/>
  <c r="Z369" i="9"/>
  <c r="Y369" i="9"/>
  <c r="X369" i="9"/>
  <c r="W369" i="9"/>
  <c r="V369" i="9"/>
  <c r="U369" i="9"/>
  <c r="T369" i="9"/>
  <c r="Q369" i="9"/>
  <c r="D369" i="9"/>
  <c r="X368" i="9"/>
  <c r="W368" i="9"/>
  <c r="Y368" i="9" s="1"/>
  <c r="U368" i="9"/>
  <c r="T368" i="9"/>
  <c r="V368" i="9" s="1"/>
  <c r="R368" i="9"/>
  <c r="Q368" i="9"/>
  <c r="Z368" i="9" s="1"/>
  <c r="D368" i="9"/>
  <c r="Y367" i="9"/>
  <c r="X367" i="9"/>
  <c r="W367" i="9"/>
  <c r="U367" i="9"/>
  <c r="T367" i="9"/>
  <c r="V367" i="9" s="1"/>
  <c r="Q367" i="9"/>
  <c r="D367" i="9"/>
  <c r="X366" i="9"/>
  <c r="W366" i="9"/>
  <c r="Y366" i="9" s="1"/>
  <c r="U366" i="9"/>
  <c r="T366" i="9"/>
  <c r="V366" i="9" s="1"/>
  <c r="Z366" i="9" s="1"/>
  <c r="Q366" i="9"/>
  <c r="D366" i="9"/>
  <c r="X365" i="9"/>
  <c r="W365" i="9"/>
  <c r="Y365" i="9" s="1"/>
  <c r="U365" i="9"/>
  <c r="T365" i="9"/>
  <c r="V365" i="9" s="1"/>
  <c r="Q365" i="9"/>
  <c r="D365" i="9"/>
  <c r="X364" i="9"/>
  <c r="W364" i="9"/>
  <c r="Y364" i="9" s="1"/>
  <c r="V364" i="9"/>
  <c r="Z364" i="9" s="1"/>
  <c r="U364" i="9"/>
  <c r="T364" i="9"/>
  <c r="Q364" i="9"/>
  <c r="D364" i="9"/>
  <c r="X363" i="9"/>
  <c r="W363" i="9"/>
  <c r="Y363" i="9" s="1"/>
  <c r="U363" i="9"/>
  <c r="T363" i="9"/>
  <c r="V363" i="9" s="1"/>
  <c r="R363" i="9"/>
  <c r="Q363" i="9"/>
  <c r="D363" i="9"/>
  <c r="Y362" i="9"/>
  <c r="X362" i="9"/>
  <c r="W362" i="9"/>
  <c r="U362" i="9"/>
  <c r="V362" i="9" s="1"/>
  <c r="T362" i="9"/>
  <c r="R362" i="9"/>
  <c r="Q362" i="9"/>
  <c r="Z362" i="9" s="1"/>
  <c r="D362" i="9"/>
  <c r="X361" i="9"/>
  <c r="W361" i="9"/>
  <c r="Y361" i="9" s="1"/>
  <c r="U361" i="9"/>
  <c r="T361" i="9"/>
  <c r="V361" i="9" s="1"/>
  <c r="D361" i="9"/>
  <c r="X360" i="9"/>
  <c r="W360" i="9"/>
  <c r="Y360" i="9" s="1"/>
  <c r="U360" i="9"/>
  <c r="T360" i="9"/>
  <c r="V360" i="9" s="1"/>
  <c r="R360" i="9"/>
  <c r="Q360" i="9" s="1"/>
  <c r="D360" i="9"/>
  <c r="X359" i="9"/>
  <c r="Y359" i="9" s="1"/>
  <c r="W359" i="9"/>
  <c r="U359" i="9"/>
  <c r="T359" i="9"/>
  <c r="V359" i="9" s="1"/>
  <c r="D359" i="9"/>
  <c r="X358" i="9"/>
  <c r="W358" i="9"/>
  <c r="Y358" i="9" s="1"/>
  <c r="U358" i="9"/>
  <c r="T358" i="9"/>
  <c r="V358" i="9" s="1"/>
  <c r="Z358" i="9" s="1"/>
  <c r="Q358" i="9"/>
  <c r="D358" i="9"/>
  <c r="X357" i="9"/>
  <c r="W357" i="9"/>
  <c r="Y357" i="9" s="1"/>
  <c r="U357" i="9"/>
  <c r="T357" i="9"/>
  <c r="V357" i="9" s="1"/>
  <c r="R357" i="9"/>
  <c r="R359" i="9" s="1"/>
  <c r="Q357" i="9"/>
  <c r="Z357" i="9" s="1"/>
  <c r="D357" i="9"/>
  <c r="X356" i="9"/>
  <c r="W356" i="9"/>
  <c r="Y356" i="9" s="1"/>
  <c r="U356" i="9"/>
  <c r="V356" i="9" s="1"/>
  <c r="T356" i="9"/>
  <c r="D356" i="9"/>
  <c r="X355" i="9"/>
  <c r="W355" i="9"/>
  <c r="Y355" i="9" s="1"/>
  <c r="U355" i="9"/>
  <c r="T355" i="9"/>
  <c r="V355" i="9" s="1"/>
  <c r="R355" i="9"/>
  <c r="Q355" i="9"/>
  <c r="Z355" i="9" s="1"/>
  <c r="D355" i="9"/>
  <c r="Y354" i="9"/>
  <c r="Z354" i="9" s="1"/>
  <c r="X354" i="9"/>
  <c r="W354" i="9"/>
  <c r="V354" i="9"/>
  <c r="U354" i="9"/>
  <c r="T354" i="9"/>
  <c r="R354" i="9"/>
  <c r="Q354" i="9"/>
  <c r="D354" i="9"/>
  <c r="X353" i="9"/>
  <c r="W353" i="9"/>
  <c r="Y353" i="9" s="1"/>
  <c r="U353" i="9"/>
  <c r="T353" i="9"/>
  <c r="V353" i="9" s="1"/>
  <c r="D353" i="9"/>
  <c r="Y352" i="9"/>
  <c r="X352" i="9"/>
  <c r="W352" i="9"/>
  <c r="U352" i="9"/>
  <c r="T352" i="9"/>
  <c r="D352" i="9"/>
  <c r="X351" i="9"/>
  <c r="W351" i="9"/>
  <c r="Y351" i="9" s="1"/>
  <c r="V351" i="9"/>
  <c r="U351" i="9"/>
  <c r="T351" i="9"/>
  <c r="D351" i="9"/>
  <c r="Y350" i="9"/>
  <c r="X350" i="9"/>
  <c r="W350" i="9"/>
  <c r="V350" i="9"/>
  <c r="U350" i="9"/>
  <c r="T350" i="9"/>
  <c r="R350" i="9"/>
  <c r="Q350" i="9" s="1"/>
  <c r="D350" i="9"/>
  <c r="X349" i="9"/>
  <c r="W349" i="9"/>
  <c r="Y349" i="9" s="1"/>
  <c r="U349" i="9"/>
  <c r="T349" i="9"/>
  <c r="V349" i="9" s="1"/>
  <c r="D349" i="9"/>
  <c r="X348" i="9"/>
  <c r="W348" i="9"/>
  <c r="Y348" i="9" s="1"/>
  <c r="U348" i="9"/>
  <c r="V348" i="9" s="1"/>
  <c r="T348" i="9"/>
  <c r="D348" i="9"/>
  <c r="X347" i="9"/>
  <c r="W347" i="9"/>
  <c r="Y347" i="9" s="1"/>
  <c r="U347" i="9"/>
  <c r="T347" i="9"/>
  <c r="V347" i="9" s="1"/>
  <c r="R347" i="9"/>
  <c r="Q347" i="9"/>
  <c r="D347" i="9"/>
  <c r="X346" i="9"/>
  <c r="Y346" i="9" s="1"/>
  <c r="Z346" i="9" s="1"/>
  <c r="W346" i="9"/>
  <c r="U346" i="9"/>
  <c r="V346" i="9" s="1"/>
  <c r="T346" i="9"/>
  <c r="Q346" i="9"/>
  <c r="D346" i="9"/>
  <c r="X345" i="9"/>
  <c r="W345" i="9"/>
  <c r="Y345" i="9" s="1"/>
  <c r="U345" i="9"/>
  <c r="T345" i="9"/>
  <c r="V345" i="9" s="1"/>
  <c r="Q345" i="9"/>
  <c r="Z345" i="9" s="1"/>
  <c r="D345" i="9"/>
  <c r="X344" i="9"/>
  <c r="W344" i="9"/>
  <c r="Y344" i="9" s="1"/>
  <c r="U344" i="9"/>
  <c r="T344" i="9"/>
  <c r="V344" i="9" s="1"/>
  <c r="Q344" i="9"/>
  <c r="Z344" i="9" s="1"/>
  <c r="D344" i="9"/>
  <c r="X343" i="9"/>
  <c r="W343" i="9"/>
  <c r="Y343" i="9" s="1"/>
  <c r="U343" i="9"/>
  <c r="T343" i="9"/>
  <c r="V343" i="9" s="1"/>
  <c r="Q343" i="9"/>
  <c r="D343" i="9"/>
  <c r="Y342" i="9"/>
  <c r="X342" i="9"/>
  <c r="W342" i="9"/>
  <c r="U342" i="9"/>
  <c r="T342" i="9"/>
  <c r="V342" i="9" s="1"/>
  <c r="D342" i="9"/>
  <c r="X341" i="9"/>
  <c r="W341" i="9"/>
  <c r="Y341" i="9" s="1"/>
  <c r="V341" i="9"/>
  <c r="U341" i="9"/>
  <c r="T341" i="9"/>
  <c r="R341" i="9"/>
  <c r="Q341" i="9" s="1"/>
  <c r="Z341" i="9" s="1"/>
  <c r="D341" i="9"/>
  <c r="Y340" i="9"/>
  <c r="X340" i="9"/>
  <c r="W340" i="9"/>
  <c r="U340" i="9"/>
  <c r="T340" i="9"/>
  <c r="V340" i="9" s="1"/>
  <c r="R340" i="9"/>
  <c r="Q340" i="9"/>
  <c r="D340" i="9"/>
  <c r="X339" i="9"/>
  <c r="W339" i="9"/>
  <c r="Y339" i="9" s="1"/>
  <c r="U339" i="9"/>
  <c r="T339" i="9"/>
  <c r="V339" i="9" s="1"/>
  <c r="R339" i="9"/>
  <c r="Q339" i="9" s="1"/>
  <c r="Z339" i="9" s="1"/>
  <c r="D339" i="9"/>
  <c r="X338" i="9"/>
  <c r="Y338" i="9" s="1"/>
  <c r="W338" i="9"/>
  <c r="U338" i="9"/>
  <c r="T338" i="9"/>
  <c r="R338" i="9"/>
  <c r="Q338" i="9"/>
  <c r="D338" i="9"/>
  <c r="X337" i="9"/>
  <c r="W337" i="9"/>
  <c r="Y337" i="9" s="1"/>
  <c r="U337" i="9"/>
  <c r="V337" i="9" s="1"/>
  <c r="T337" i="9"/>
  <c r="Q337" i="9"/>
  <c r="D337" i="9"/>
  <c r="X336" i="9"/>
  <c r="W336" i="9"/>
  <c r="Y336" i="9" s="1"/>
  <c r="U336" i="9"/>
  <c r="T336" i="9"/>
  <c r="V336" i="9" s="1"/>
  <c r="Z336" i="9" s="1"/>
  <c r="R336" i="9"/>
  <c r="Q336" i="9"/>
  <c r="D336" i="9"/>
  <c r="X335" i="9"/>
  <c r="W335" i="9"/>
  <c r="Y335" i="9" s="1"/>
  <c r="Z335" i="9" s="1"/>
  <c r="U335" i="9"/>
  <c r="T335" i="9"/>
  <c r="V335" i="9" s="1"/>
  <c r="Q335" i="9"/>
  <c r="D335" i="9"/>
  <c r="X334" i="9"/>
  <c r="W334" i="9"/>
  <c r="Y334" i="9" s="1"/>
  <c r="U334" i="9"/>
  <c r="T334" i="9"/>
  <c r="V334" i="9" s="1"/>
  <c r="Q334" i="9"/>
  <c r="Z334" i="9" s="1"/>
  <c r="D334" i="9"/>
  <c r="Y333" i="9"/>
  <c r="Z333" i="9" s="1"/>
  <c r="X333" i="9"/>
  <c r="W333" i="9"/>
  <c r="U333" i="9"/>
  <c r="T333" i="9"/>
  <c r="V333" i="9" s="1"/>
  <c r="Q333" i="9"/>
  <c r="D333" i="9"/>
  <c r="Y332" i="9"/>
  <c r="X332" i="9"/>
  <c r="W332" i="9"/>
  <c r="U332" i="9"/>
  <c r="T332" i="9"/>
  <c r="V332" i="9" s="1"/>
  <c r="Q332" i="9"/>
  <c r="Z332" i="9" s="1"/>
  <c r="D332" i="9"/>
  <c r="X331" i="9"/>
  <c r="Y331" i="9" s="1"/>
  <c r="Z331" i="9" s="1"/>
  <c r="W331" i="9"/>
  <c r="U331" i="9"/>
  <c r="V331" i="9" s="1"/>
  <c r="T331" i="9"/>
  <c r="R331" i="9"/>
  <c r="Q331" i="9" s="1"/>
  <c r="D331" i="9"/>
  <c r="X330" i="9"/>
  <c r="W330" i="9"/>
  <c r="Y330" i="9" s="1"/>
  <c r="U330" i="9"/>
  <c r="T330" i="9"/>
  <c r="V330" i="9" s="1"/>
  <c r="R330" i="9"/>
  <c r="Q330" i="9"/>
  <c r="D330" i="9"/>
  <c r="Y329" i="9"/>
  <c r="X329" i="9"/>
  <c r="W329" i="9"/>
  <c r="V329" i="9"/>
  <c r="U329" i="9"/>
  <c r="T329" i="9"/>
  <c r="D329" i="9"/>
  <c r="X328" i="9"/>
  <c r="W328" i="9"/>
  <c r="Y328" i="9" s="1"/>
  <c r="U328" i="9"/>
  <c r="T328" i="9"/>
  <c r="V328" i="9" s="1"/>
  <c r="R328" i="9"/>
  <c r="Q328" i="9" s="1"/>
  <c r="D328" i="9"/>
  <c r="X327" i="9"/>
  <c r="W327" i="9"/>
  <c r="Y327" i="9" s="1"/>
  <c r="V327" i="9"/>
  <c r="U327" i="9"/>
  <c r="T327" i="9"/>
  <c r="R327" i="9"/>
  <c r="Q327" i="9" s="1"/>
  <c r="Z327" i="9" s="1"/>
  <c r="D327" i="9"/>
  <c r="X326" i="9"/>
  <c r="W326" i="9"/>
  <c r="Y326" i="9" s="1"/>
  <c r="U326" i="9"/>
  <c r="T326" i="9"/>
  <c r="V326" i="9" s="1"/>
  <c r="Z326" i="9" s="1"/>
  <c r="Q326" i="9"/>
  <c r="D326" i="9"/>
  <c r="Y325" i="9"/>
  <c r="X325" i="9"/>
  <c r="W325" i="9"/>
  <c r="U325" i="9"/>
  <c r="T325" i="9"/>
  <c r="V325" i="9" s="1"/>
  <c r="R325" i="9"/>
  <c r="Q325" i="9"/>
  <c r="D325" i="9"/>
  <c r="X324" i="9"/>
  <c r="W324" i="9"/>
  <c r="Y324" i="9" s="1"/>
  <c r="U324" i="9"/>
  <c r="T324" i="9"/>
  <c r="V324" i="9" s="1"/>
  <c r="D324" i="9"/>
  <c r="Y323" i="9"/>
  <c r="X323" i="9"/>
  <c r="W323" i="9"/>
  <c r="U323" i="9"/>
  <c r="T323" i="9"/>
  <c r="V323" i="9" s="1"/>
  <c r="D323" i="9"/>
  <c r="X322" i="9"/>
  <c r="W322" i="9"/>
  <c r="Y322" i="9" s="1"/>
  <c r="U322" i="9"/>
  <c r="T322" i="9"/>
  <c r="V322" i="9" s="1"/>
  <c r="R322" i="9"/>
  <c r="Q322" i="9"/>
  <c r="D322" i="9"/>
  <c r="Y321" i="9"/>
  <c r="X321" i="9"/>
  <c r="W321" i="9"/>
  <c r="U321" i="9"/>
  <c r="V321" i="9" s="1"/>
  <c r="T321" i="9"/>
  <c r="D321" i="9"/>
  <c r="X320" i="9"/>
  <c r="W320" i="9"/>
  <c r="Y320" i="9" s="1"/>
  <c r="U320" i="9"/>
  <c r="T320" i="9"/>
  <c r="V320" i="9" s="1"/>
  <c r="D320" i="9"/>
  <c r="Y319" i="9"/>
  <c r="X319" i="9"/>
  <c r="W319" i="9"/>
  <c r="U319" i="9"/>
  <c r="T319" i="9"/>
  <c r="D319" i="9"/>
  <c r="X318" i="9"/>
  <c r="W318" i="9"/>
  <c r="Y318" i="9" s="1"/>
  <c r="V318" i="9"/>
  <c r="Z318" i="9" s="1"/>
  <c r="U318" i="9"/>
  <c r="T318" i="9"/>
  <c r="R318" i="9"/>
  <c r="Q318" i="9" s="1"/>
  <c r="D318" i="9"/>
  <c r="X317" i="9"/>
  <c r="W317" i="9"/>
  <c r="Y317" i="9" s="1"/>
  <c r="U317" i="9"/>
  <c r="T317" i="9"/>
  <c r="V317" i="9" s="1"/>
  <c r="D317" i="9"/>
  <c r="X316" i="9"/>
  <c r="W316" i="9"/>
  <c r="Y316" i="9" s="1"/>
  <c r="U316" i="9"/>
  <c r="T316" i="9"/>
  <c r="V316" i="9" s="1"/>
  <c r="D316" i="9"/>
  <c r="X315" i="9"/>
  <c r="W315" i="9"/>
  <c r="Y315" i="9" s="1"/>
  <c r="U315" i="9"/>
  <c r="T315" i="9"/>
  <c r="V315" i="9" s="1"/>
  <c r="Z315" i="9" s="1"/>
  <c r="R315" i="9"/>
  <c r="Q315" i="9"/>
  <c r="D315" i="9"/>
  <c r="X314" i="9"/>
  <c r="W314" i="9"/>
  <c r="Y314" i="9" s="1"/>
  <c r="V314" i="9"/>
  <c r="U314" i="9"/>
  <c r="T314" i="9"/>
  <c r="Q314" i="9"/>
  <c r="D314" i="9"/>
  <c r="X313" i="9"/>
  <c r="W313" i="9"/>
  <c r="Y313" i="9" s="1"/>
  <c r="U313" i="9"/>
  <c r="T313" i="9"/>
  <c r="V313" i="9" s="1"/>
  <c r="Z313" i="9" s="1"/>
  <c r="Q313" i="9"/>
  <c r="D313" i="9"/>
  <c r="X312" i="9"/>
  <c r="W312" i="9"/>
  <c r="Y312" i="9" s="1"/>
  <c r="V312" i="9"/>
  <c r="U312" i="9"/>
  <c r="T312" i="9"/>
  <c r="Q312" i="9"/>
  <c r="D312" i="9"/>
  <c r="Z311" i="9"/>
  <c r="Y311" i="9"/>
  <c r="X311" i="9"/>
  <c r="W311" i="9"/>
  <c r="V311" i="9"/>
  <c r="U311" i="9"/>
  <c r="T311" i="9"/>
  <c r="Q311" i="9"/>
  <c r="D311" i="9"/>
  <c r="X310" i="9"/>
  <c r="Y310" i="9" s="1"/>
  <c r="Z310" i="9" s="1"/>
  <c r="W310" i="9"/>
  <c r="V310" i="9"/>
  <c r="U310" i="9"/>
  <c r="T310" i="9"/>
  <c r="Q310" i="9"/>
  <c r="D310" i="9"/>
  <c r="X309" i="9"/>
  <c r="Y309" i="9" s="1"/>
  <c r="W309" i="9"/>
  <c r="U309" i="9"/>
  <c r="T309" i="9"/>
  <c r="V309" i="9" s="1"/>
  <c r="Q309" i="9"/>
  <c r="Z309" i="9" s="1"/>
  <c r="D309" i="9"/>
  <c r="X308" i="9"/>
  <c r="W308" i="9"/>
  <c r="Y308" i="9" s="1"/>
  <c r="U308" i="9"/>
  <c r="T308" i="9"/>
  <c r="V308" i="9" s="1"/>
  <c r="D308" i="9"/>
  <c r="X307" i="9"/>
  <c r="W307" i="9"/>
  <c r="Y307" i="9" s="1"/>
  <c r="U307" i="9"/>
  <c r="T307" i="9"/>
  <c r="V307" i="9" s="1"/>
  <c r="R307" i="9"/>
  <c r="Q307" i="9"/>
  <c r="Z307" i="9" s="1"/>
  <c r="D307" i="9"/>
  <c r="X306" i="9"/>
  <c r="Y306" i="9" s="1"/>
  <c r="Z306" i="9" s="1"/>
  <c r="W306" i="9"/>
  <c r="U306" i="9"/>
  <c r="V306" i="9" s="1"/>
  <c r="T306" i="9"/>
  <c r="R306" i="9"/>
  <c r="Q306" i="9"/>
  <c r="D306" i="9"/>
  <c r="X305" i="9"/>
  <c r="W305" i="9"/>
  <c r="Y305" i="9" s="1"/>
  <c r="U305" i="9"/>
  <c r="T305" i="9"/>
  <c r="V305" i="9" s="1"/>
  <c r="R305" i="9"/>
  <c r="Q305" i="9"/>
  <c r="D305" i="9"/>
  <c r="Y304" i="9"/>
  <c r="X304" i="9"/>
  <c r="W304" i="9"/>
  <c r="U304" i="9"/>
  <c r="T304" i="9"/>
  <c r="R304" i="9"/>
  <c r="Q304" i="9" s="1"/>
  <c r="D304" i="9"/>
  <c r="X303" i="9"/>
  <c r="W303" i="9"/>
  <c r="Y303" i="9" s="1"/>
  <c r="V303" i="9"/>
  <c r="Z303" i="9" s="1"/>
  <c r="U303" i="9"/>
  <c r="T303" i="9"/>
  <c r="Q303" i="9"/>
  <c r="D303" i="9"/>
  <c r="X302" i="9"/>
  <c r="W302" i="9"/>
  <c r="Y302" i="9" s="1"/>
  <c r="U302" i="9"/>
  <c r="T302" i="9"/>
  <c r="V302" i="9" s="1"/>
  <c r="R302" i="9"/>
  <c r="Q302" i="9"/>
  <c r="D302" i="9"/>
  <c r="Y301" i="9"/>
  <c r="Z301" i="9" s="1"/>
  <c r="X301" i="9"/>
  <c r="W301" i="9"/>
  <c r="V301" i="9"/>
  <c r="U301" i="9"/>
  <c r="T301" i="9"/>
  <c r="Q301" i="9"/>
  <c r="D301" i="9"/>
  <c r="X300" i="9"/>
  <c r="W300" i="9"/>
  <c r="Y300" i="9" s="1"/>
  <c r="U300" i="9"/>
  <c r="T300" i="9"/>
  <c r="V300" i="9" s="1"/>
  <c r="Q300" i="9"/>
  <c r="Z300" i="9" s="1"/>
  <c r="D300" i="9"/>
  <c r="X299" i="9"/>
  <c r="W299" i="9"/>
  <c r="Y299" i="9" s="1"/>
  <c r="U299" i="9"/>
  <c r="T299" i="9"/>
  <c r="V299" i="9" s="1"/>
  <c r="Q299" i="9"/>
  <c r="Z299" i="9" s="1"/>
  <c r="D299" i="9"/>
  <c r="Y298" i="9"/>
  <c r="X298" i="9"/>
  <c r="W298" i="9"/>
  <c r="U298" i="9"/>
  <c r="T298" i="9"/>
  <c r="V298" i="9" s="1"/>
  <c r="Z298" i="9" s="1"/>
  <c r="Q298" i="9"/>
  <c r="D298" i="9"/>
  <c r="X297" i="9"/>
  <c r="W297" i="9"/>
  <c r="Y297" i="9" s="1"/>
  <c r="V297" i="9"/>
  <c r="U297" i="9"/>
  <c r="T297" i="9"/>
  <c r="R297" i="9"/>
  <c r="Q297" i="9"/>
  <c r="D297" i="9"/>
  <c r="X296" i="9"/>
  <c r="W296" i="9"/>
  <c r="Y296" i="9" s="1"/>
  <c r="U296" i="9"/>
  <c r="T296" i="9"/>
  <c r="V296" i="9" s="1"/>
  <c r="R296" i="9"/>
  <c r="Q296" i="9" s="1"/>
  <c r="Z296" i="9" s="1"/>
  <c r="D296" i="9"/>
  <c r="X295" i="9"/>
  <c r="W295" i="9"/>
  <c r="Y295" i="9" s="1"/>
  <c r="V295" i="9"/>
  <c r="U295" i="9"/>
  <c r="T295" i="9"/>
  <c r="D295" i="9"/>
  <c r="X294" i="9"/>
  <c r="Y294" i="9" s="1"/>
  <c r="W294" i="9"/>
  <c r="U294" i="9"/>
  <c r="T294" i="9"/>
  <c r="V294" i="9" s="1"/>
  <c r="R294" i="9"/>
  <c r="R295" i="9" s="1"/>
  <c r="Q295" i="9" s="1"/>
  <c r="Q294" i="9"/>
  <c r="Z294" i="9" s="1"/>
  <c r="D294" i="9"/>
  <c r="X293" i="9"/>
  <c r="W293" i="9"/>
  <c r="Y293" i="9" s="1"/>
  <c r="U293" i="9"/>
  <c r="V293" i="9" s="1"/>
  <c r="Z293" i="9" s="1"/>
  <c r="T293" i="9"/>
  <c r="R293" i="9"/>
  <c r="Q293" i="9"/>
  <c r="D293" i="9"/>
  <c r="X292" i="9"/>
  <c r="W292" i="9"/>
  <c r="U292" i="9"/>
  <c r="T292" i="9"/>
  <c r="V292" i="9" s="1"/>
  <c r="Q292" i="9"/>
  <c r="D292" i="9"/>
  <c r="X291" i="9"/>
  <c r="Y291" i="9" s="1"/>
  <c r="Z291" i="9" s="1"/>
  <c r="W291" i="9"/>
  <c r="U291" i="9"/>
  <c r="T291" i="9"/>
  <c r="V291" i="9" s="1"/>
  <c r="R291" i="9"/>
  <c r="Q291" i="9"/>
  <c r="D291" i="9"/>
  <c r="X290" i="9"/>
  <c r="W290" i="9"/>
  <c r="Y290" i="9" s="1"/>
  <c r="U290" i="9"/>
  <c r="T290" i="9"/>
  <c r="V290" i="9" s="1"/>
  <c r="D290" i="9"/>
  <c r="Y289" i="9"/>
  <c r="X289" i="9"/>
  <c r="W289" i="9"/>
  <c r="U289" i="9"/>
  <c r="T289" i="9"/>
  <c r="R289" i="9"/>
  <c r="Q289" i="9"/>
  <c r="D289" i="9"/>
  <c r="X288" i="9"/>
  <c r="W288" i="9"/>
  <c r="Y288" i="9" s="1"/>
  <c r="V288" i="9"/>
  <c r="U288" i="9"/>
  <c r="T288" i="9"/>
  <c r="R288" i="9"/>
  <c r="Q288" i="9" s="1"/>
  <c r="D288" i="9"/>
  <c r="Y287" i="9"/>
  <c r="X287" i="9"/>
  <c r="W287" i="9"/>
  <c r="U287" i="9"/>
  <c r="T287" i="9"/>
  <c r="V287" i="9" s="1"/>
  <c r="R287" i="9"/>
  <c r="Q287" i="9"/>
  <c r="D287" i="9"/>
  <c r="X286" i="9"/>
  <c r="W286" i="9"/>
  <c r="Y286" i="9" s="1"/>
  <c r="U286" i="9"/>
  <c r="T286" i="9"/>
  <c r="V286" i="9" s="1"/>
  <c r="R286" i="9"/>
  <c r="Q286" i="9"/>
  <c r="Z286" i="9" s="1"/>
  <c r="D286" i="9"/>
  <c r="Y285" i="9"/>
  <c r="X285" i="9"/>
  <c r="W285" i="9"/>
  <c r="U285" i="9"/>
  <c r="T285" i="9"/>
  <c r="V285" i="9" s="1"/>
  <c r="Z285" i="9" s="1"/>
  <c r="R285" i="9"/>
  <c r="Q285" i="9"/>
  <c r="D285" i="9"/>
  <c r="X284" i="9"/>
  <c r="W284" i="9"/>
  <c r="Y284" i="9" s="1"/>
  <c r="U284" i="9"/>
  <c r="T284" i="9"/>
  <c r="V284" i="9" s="1"/>
  <c r="D284" i="9"/>
  <c r="X283" i="9"/>
  <c r="Y283" i="9" s="1"/>
  <c r="W283" i="9"/>
  <c r="U283" i="9"/>
  <c r="T283" i="9"/>
  <c r="V283" i="9" s="1"/>
  <c r="D283" i="9"/>
  <c r="X282" i="9"/>
  <c r="W282" i="9"/>
  <c r="Y282" i="9" s="1"/>
  <c r="U282" i="9"/>
  <c r="T282" i="9"/>
  <c r="V282" i="9" s="1"/>
  <c r="D282" i="9"/>
  <c r="Y281" i="9"/>
  <c r="X281" i="9"/>
  <c r="W281" i="9"/>
  <c r="U281" i="9"/>
  <c r="T281" i="9"/>
  <c r="V281" i="9" s="1"/>
  <c r="R281" i="9"/>
  <c r="Q281" i="9"/>
  <c r="Z281" i="9" s="1"/>
  <c r="D281" i="9"/>
  <c r="X280" i="9"/>
  <c r="W280" i="9"/>
  <c r="Y280" i="9" s="1"/>
  <c r="Z280" i="9" s="1"/>
  <c r="V280" i="9"/>
  <c r="U280" i="9"/>
  <c r="T280" i="9"/>
  <c r="Q280" i="9"/>
  <c r="D280" i="9"/>
  <c r="X279" i="9"/>
  <c r="W279" i="9"/>
  <c r="U279" i="9"/>
  <c r="T279" i="9"/>
  <c r="V279" i="9" s="1"/>
  <c r="Q279" i="9"/>
  <c r="D279" i="9"/>
  <c r="D88" i="2" s="1"/>
  <c r="Y278" i="9"/>
  <c r="Z278" i="9" s="1"/>
  <c r="X278" i="9"/>
  <c r="W278" i="9"/>
  <c r="U278" i="9"/>
  <c r="T278" i="9"/>
  <c r="V278" i="9" s="1"/>
  <c r="Q278" i="9"/>
  <c r="D278" i="9"/>
  <c r="X277" i="9"/>
  <c r="W277" i="9"/>
  <c r="Y277" i="9" s="1"/>
  <c r="U277" i="9"/>
  <c r="T277" i="9"/>
  <c r="V277" i="9" s="1"/>
  <c r="Q277" i="9"/>
  <c r="D277" i="9"/>
  <c r="X276" i="9"/>
  <c r="W276" i="9"/>
  <c r="Y276" i="9" s="1"/>
  <c r="Z276" i="9" s="1"/>
  <c r="U276" i="9"/>
  <c r="T276" i="9"/>
  <c r="V276" i="9" s="1"/>
  <c r="Q276" i="9"/>
  <c r="D276" i="9"/>
  <c r="X275" i="9"/>
  <c r="W275" i="9"/>
  <c r="Y275" i="9" s="1"/>
  <c r="U275" i="9"/>
  <c r="T275" i="9"/>
  <c r="V275" i="9" s="1"/>
  <c r="Q275" i="9"/>
  <c r="D275" i="9"/>
  <c r="Y274" i="9"/>
  <c r="X274" i="9"/>
  <c r="W274" i="9"/>
  <c r="U274" i="9"/>
  <c r="T274" i="9"/>
  <c r="D274" i="9"/>
  <c r="X273" i="9"/>
  <c r="W273" i="9"/>
  <c r="Y273" i="9" s="1"/>
  <c r="V273" i="9"/>
  <c r="U273" i="9"/>
  <c r="T273" i="9"/>
  <c r="R273" i="9"/>
  <c r="Q273" i="9" s="1"/>
  <c r="Z273" i="9" s="1"/>
  <c r="D273" i="9"/>
  <c r="X272" i="9"/>
  <c r="W272" i="9"/>
  <c r="Y272" i="9" s="1"/>
  <c r="U272" i="9"/>
  <c r="T272" i="9"/>
  <c r="V272" i="9" s="1"/>
  <c r="R272" i="9"/>
  <c r="Q272" i="9"/>
  <c r="D272" i="9"/>
  <c r="X271" i="9"/>
  <c r="W271" i="9"/>
  <c r="Y271" i="9" s="1"/>
  <c r="U271" i="9"/>
  <c r="T271" i="9"/>
  <c r="V271" i="9" s="1"/>
  <c r="R271" i="9"/>
  <c r="R274" i="9" s="1"/>
  <c r="Q274" i="9" s="1"/>
  <c r="Q271" i="9"/>
  <c r="Z271" i="9" s="1"/>
  <c r="D271" i="9"/>
  <c r="Y270" i="9"/>
  <c r="X270" i="9"/>
  <c r="W270" i="9"/>
  <c r="U270" i="9"/>
  <c r="T270" i="9"/>
  <c r="V270" i="9" s="1"/>
  <c r="Z270" i="9" s="1"/>
  <c r="R270" i="9"/>
  <c r="Q270" i="9"/>
  <c r="D270" i="9"/>
  <c r="X269" i="9"/>
  <c r="W269" i="9"/>
  <c r="Y269" i="9" s="1"/>
  <c r="U269" i="9"/>
  <c r="T269" i="9"/>
  <c r="V269" i="9" s="1"/>
  <c r="Q269" i="9"/>
  <c r="D269" i="9"/>
  <c r="X268" i="9"/>
  <c r="W268" i="9"/>
  <c r="Y268" i="9" s="1"/>
  <c r="Z268" i="9" s="1"/>
  <c r="U268" i="9"/>
  <c r="T268" i="9"/>
  <c r="V268" i="9" s="1"/>
  <c r="R268" i="9"/>
  <c r="Q268" i="9"/>
  <c r="D268" i="9"/>
  <c r="X267" i="9"/>
  <c r="W267" i="9"/>
  <c r="Y267" i="9" s="1"/>
  <c r="U267" i="9"/>
  <c r="T267" i="9"/>
  <c r="V267" i="9" s="1"/>
  <c r="Z267" i="9" s="1"/>
  <c r="Q267" i="9"/>
  <c r="D267" i="9"/>
  <c r="X266" i="9"/>
  <c r="W266" i="9"/>
  <c r="Y266" i="9" s="1"/>
  <c r="U266" i="9"/>
  <c r="T266" i="9"/>
  <c r="V266" i="9" s="1"/>
  <c r="Q266" i="9"/>
  <c r="Z266" i="9" s="1"/>
  <c r="D266" i="9"/>
  <c r="Z265" i="9"/>
  <c r="Y265" i="9"/>
  <c r="X265" i="9"/>
  <c r="W265" i="9"/>
  <c r="U265" i="9"/>
  <c r="T265" i="9"/>
  <c r="V265" i="9" s="1"/>
  <c r="Q265" i="9"/>
  <c r="D265" i="9"/>
  <c r="Y264" i="9"/>
  <c r="X264" i="9"/>
  <c r="W264" i="9"/>
  <c r="U264" i="9"/>
  <c r="T264" i="9"/>
  <c r="Q264" i="9"/>
  <c r="D264" i="9"/>
  <c r="Y263" i="9"/>
  <c r="Z263" i="9" s="1"/>
  <c r="X263" i="9"/>
  <c r="W263" i="9"/>
  <c r="U263" i="9"/>
  <c r="V263" i="9" s="1"/>
  <c r="T263" i="9"/>
  <c r="R263" i="9"/>
  <c r="Q263" i="9" s="1"/>
  <c r="D263" i="9"/>
  <c r="X262" i="9"/>
  <c r="W262" i="9"/>
  <c r="U262" i="9"/>
  <c r="V262" i="9" s="1"/>
  <c r="T262" i="9"/>
  <c r="R262" i="9"/>
  <c r="Q262" i="9"/>
  <c r="D262" i="9"/>
  <c r="Y261" i="9"/>
  <c r="X261" i="9"/>
  <c r="W261" i="9"/>
  <c r="U261" i="9"/>
  <c r="T261" i="9"/>
  <c r="V261" i="9" s="1"/>
  <c r="D261" i="9"/>
  <c r="X260" i="9"/>
  <c r="W260" i="9"/>
  <c r="Y260" i="9" s="1"/>
  <c r="U260" i="9"/>
  <c r="T260" i="9"/>
  <c r="V260" i="9" s="1"/>
  <c r="R260" i="9"/>
  <c r="Q260" i="9" s="1"/>
  <c r="Z260" i="9" s="1"/>
  <c r="D260" i="9"/>
  <c r="X259" i="9"/>
  <c r="W259" i="9"/>
  <c r="Y259" i="9" s="1"/>
  <c r="U259" i="9"/>
  <c r="V259" i="9" s="1"/>
  <c r="T259" i="9"/>
  <c r="R259" i="9"/>
  <c r="D259" i="9"/>
  <c r="X258" i="9"/>
  <c r="Y258" i="9" s="1"/>
  <c r="W258" i="9"/>
  <c r="U258" i="9"/>
  <c r="T258" i="9"/>
  <c r="V258" i="9" s="1"/>
  <c r="Z258" i="9" s="1"/>
  <c r="Q258" i="9"/>
  <c r="D258" i="9"/>
  <c r="X257" i="9"/>
  <c r="W257" i="9"/>
  <c r="Y257" i="9" s="1"/>
  <c r="U257" i="9"/>
  <c r="T257" i="9"/>
  <c r="V257" i="9" s="1"/>
  <c r="R257" i="9"/>
  <c r="Q257" i="9"/>
  <c r="D257" i="9"/>
  <c r="X256" i="9"/>
  <c r="W256" i="9"/>
  <c r="Y256" i="9" s="1"/>
  <c r="U256" i="9"/>
  <c r="T256" i="9"/>
  <c r="V256" i="9" s="1"/>
  <c r="D256" i="9"/>
  <c r="X255" i="9"/>
  <c r="W255" i="9"/>
  <c r="Y255" i="9" s="1"/>
  <c r="V255" i="9"/>
  <c r="Z255" i="9" s="1"/>
  <c r="U255" i="9"/>
  <c r="T255" i="9"/>
  <c r="R255" i="9"/>
  <c r="Q255" i="9"/>
  <c r="D255" i="9"/>
  <c r="X254" i="9"/>
  <c r="W254" i="9"/>
  <c r="Y254" i="9" s="1"/>
  <c r="U254" i="9"/>
  <c r="T254" i="9"/>
  <c r="V254" i="9" s="1"/>
  <c r="R254" i="9"/>
  <c r="Q254" i="9"/>
  <c r="D254" i="9"/>
  <c r="X253" i="9"/>
  <c r="Y253" i="9" s="1"/>
  <c r="Z253" i="9" s="1"/>
  <c r="W253" i="9"/>
  <c r="V253" i="9"/>
  <c r="U253" i="9"/>
  <c r="T253" i="9"/>
  <c r="R253" i="9"/>
  <c r="Q253" i="9"/>
  <c r="D253" i="9"/>
  <c r="X252" i="9"/>
  <c r="W252" i="9"/>
  <c r="Y252" i="9" s="1"/>
  <c r="U252" i="9"/>
  <c r="T252" i="9"/>
  <c r="V252" i="9" s="1"/>
  <c r="R252" i="9"/>
  <c r="Q252" i="9" s="1"/>
  <c r="Z252" i="9" s="1"/>
  <c r="D252" i="9"/>
  <c r="X251" i="9"/>
  <c r="W251" i="9"/>
  <c r="Y251" i="9" s="1"/>
  <c r="U251" i="9"/>
  <c r="T251" i="9"/>
  <c r="V251" i="9" s="1"/>
  <c r="R251" i="9"/>
  <c r="Q251" i="9"/>
  <c r="Z251" i="9" s="1"/>
  <c r="D251" i="9"/>
  <c r="X250" i="9"/>
  <c r="W250" i="9"/>
  <c r="Y250" i="9" s="1"/>
  <c r="V250" i="9"/>
  <c r="U250" i="9"/>
  <c r="T250" i="9"/>
  <c r="D250" i="9"/>
  <c r="X249" i="9"/>
  <c r="W249" i="9"/>
  <c r="Y249" i="9" s="1"/>
  <c r="U249" i="9"/>
  <c r="V249" i="9" s="1"/>
  <c r="T249" i="9"/>
  <c r="D249" i="9"/>
  <c r="X248" i="9"/>
  <c r="W248" i="9"/>
  <c r="Y248" i="9" s="1"/>
  <c r="U248" i="9"/>
  <c r="T248" i="9"/>
  <c r="V248" i="9" s="1"/>
  <c r="D248" i="9"/>
  <c r="X247" i="9"/>
  <c r="W247" i="9"/>
  <c r="Y247" i="9" s="1"/>
  <c r="U247" i="9"/>
  <c r="T247" i="9"/>
  <c r="V247" i="9" s="1"/>
  <c r="Z247" i="9" s="1"/>
  <c r="R247" i="9"/>
  <c r="Q247" i="9"/>
  <c r="D247" i="9"/>
  <c r="X246" i="9"/>
  <c r="W246" i="9"/>
  <c r="Y246" i="9" s="1"/>
  <c r="U246" i="9"/>
  <c r="T246" i="9"/>
  <c r="V246" i="9" s="1"/>
  <c r="Q246" i="9"/>
  <c r="D246" i="9"/>
  <c r="X245" i="9"/>
  <c r="Y245" i="9" s="1"/>
  <c r="W245" i="9"/>
  <c r="U245" i="9"/>
  <c r="T245" i="9"/>
  <c r="V245" i="9" s="1"/>
  <c r="Z245" i="9" s="1"/>
  <c r="Q245" i="9"/>
  <c r="D245" i="9"/>
  <c r="X244" i="9"/>
  <c r="W244" i="9"/>
  <c r="Y244" i="9" s="1"/>
  <c r="U244" i="9"/>
  <c r="T244" i="9"/>
  <c r="V244" i="9" s="1"/>
  <c r="Q244" i="9"/>
  <c r="D244" i="9"/>
  <c r="Y243" i="9"/>
  <c r="X243" i="9"/>
  <c r="W243" i="9"/>
  <c r="U243" i="9"/>
  <c r="T243" i="9"/>
  <c r="V243" i="9" s="1"/>
  <c r="Z243" i="9" s="1"/>
  <c r="Q243" i="9"/>
  <c r="D243" i="9"/>
  <c r="X242" i="9"/>
  <c r="W242" i="9"/>
  <c r="Y242" i="9" s="1"/>
  <c r="U242" i="9"/>
  <c r="V242" i="9" s="1"/>
  <c r="Z242" i="9" s="1"/>
  <c r="T242" i="9"/>
  <c r="Q242" i="9"/>
  <c r="D242" i="9"/>
  <c r="Y241" i="9"/>
  <c r="X241" i="9"/>
  <c r="W241" i="9"/>
  <c r="U241" i="9"/>
  <c r="T241" i="9"/>
  <c r="V241" i="9" s="1"/>
  <c r="Q241" i="9"/>
  <c r="Z241" i="9" s="1"/>
  <c r="D241" i="9"/>
  <c r="D82" i="2" s="1"/>
  <c r="X240" i="9"/>
  <c r="W240" i="9"/>
  <c r="Y240" i="9" s="1"/>
  <c r="U240" i="9"/>
  <c r="V240" i="9" s="1"/>
  <c r="T240" i="9"/>
  <c r="D240" i="9"/>
  <c r="X239" i="9"/>
  <c r="W239" i="9"/>
  <c r="Y239" i="9" s="1"/>
  <c r="U239" i="9"/>
  <c r="T239" i="9"/>
  <c r="V239" i="9" s="1"/>
  <c r="R239" i="9"/>
  <c r="Q239" i="9"/>
  <c r="Z239" i="9" s="1"/>
  <c r="D239" i="9"/>
  <c r="Y238" i="9"/>
  <c r="Z238" i="9" s="1"/>
  <c r="X238" i="9"/>
  <c r="W238" i="9"/>
  <c r="V238" i="9"/>
  <c r="U238" i="9"/>
  <c r="T238" i="9"/>
  <c r="R238" i="9"/>
  <c r="Q238" i="9"/>
  <c r="D238" i="9"/>
  <c r="X237" i="9"/>
  <c r="W237" i="9"/>
  <c r="Y237" i="9" s="1"/>
  <c r="U237" i="9"/>
  <c r="T237" i="9"/>
  <c r="V237" i="9" s="1"/>
  <c r="R237" i="9"/>
  <c r="Q237" i="9"/>
  <c r="Z237" i="9" s="1"/>
  <c r="D237" i="9"/>
  <c r="X236" i="9"/>
  <c r="W236" i="9"/>
  <c r="Y236" i="9" s="1"/>
  <c r="U236" i="9"/>
  <c r="T236" i="9"/>
  <c r="V236" i="9" s="1"/>
  <c r="R236" i="9"/>
  <c r="Q236" i="9"/>
  <c r="D236" i="9"/>
  <c r="X235" i="9"/>
  <c r="W235" i="9"/>
  <c r="Y235" i="9" s="1"/>
  <c r="V235" i="9"/>
  <c r="Z235" i="9" s="1"/>
  <c r="U235" i="9"/>
  <c r="T235" i="9"/>
  <c r="Q235" i="9"/>
  <c r="D235" i="9"/>
  <c r="X234" i="9"/>
  <c r="W234" i="9"/>
  <c r="Y234" i="9" s="1"/>
  <c r="U234" i="9"/>
  <c r="T234" i="9"/>
  <c r="V234" i="9" s="1"/>
  <c r="R234" i="9"/>
  <c r="Q234" i="9"/>
  <c r="D234" i="9"/>
  <c r="Y233" i="9"/>
  <c r="X233" i="9"/>
  <c r="W233" i="9"/>
  <c r="U233" i="9"/>
  <c r="T233" i="9"/>
  <c r="V233" i="9" s="1"/>
  <c r="Z233" i="9" s="1"/>
  <c r="Q233" i="9"/>
  <c r="D233" i="9"/>
  <c r="Z232" i="9"/>
  <c r="Y232" i="9"/>
  <c r="X232" i="9"/>
  <c r="W232" i="9"/>
  <c r="U232" i="9"/>
  <c r="T232" i="9"/>
  <c r="V232" i="9" s="1"/>
  <c r="Q232" i="9"/>
  <c r="D232" i="9"/>
  <c r="Y231" i="9"/>
  <c r="X231" i="9"/>
  <c r="W231" i="9"/>
  <c r="U231" i="9"/>
  <c r="T231" i="9"/>
  <c r="V231" i="9" s="1"/>
  <c r="Q231" i="9"/>
  <c r="Z231" i="9" s="1"/>
  <c r="D231" i="9"/>
  <c r="Y230" i="9"/>
  <c r="Z230" i="9" s="1"/>
  <c r="X230" i="9"/>
  <c r="W230" i="9"/>
  <c r="U230" i="9"/>
  <c r="T230" i="9"/>
  <c r="V230" i="9" s="1"/>
  <c r="Q230" i="9"/>
  <c r="D230" i="9"/>
  <c r="X229" i="9"/>
  <c r="W229" i="9"/>
  <c r="Y229" i="9" s="1"/>
  <c r="U229" i="9"/>
  <c r="T229" i="9"/>
  <c r="V229" i="9" s="1"/>
  <c r="R229" i="9"/>
  <c r="Q229" i="9"/>
  <c r="D229" i="9"/>
  <c r="X228" i="9"/>
  <c r="W228" i="9"/>
  <c r="Y228" i="9" s="1"/>
  <c r="Z228" i="9" s="1"/>
  <c r="U228" i="9"/>
  <c r="T228" i="9"/>
  <c r="V228" i="9" s="1"/>
  <c r="R228" i="9"/>
  <c r="Q228" i="9"/>
  <c r="D228" i="9"/>
  <c r="X227" i="9"/>
  <c r="W227" i="9"/>
  <c r="Y227" i="9" s="1"/>
  <c r="U227" i="9"/>
  <c r="T227" i="9"/>
  <c r="V227" i="9" s="1"/>
  <c r="R227" i="9"/>
  <c r="Q227" i="9" s="1"/>
  <c r="Z227" i="9" s="1"/>
  <c r="D227" i="9"/>
  <c r="Y226" i="9"/>
  <c r="X226" i="9"/>
  <c r="W226" i="9"/>
  <c r="U226" i="9"/>
  <c r="T226" i="9"/>
  <c r="V226" i="9" s="1"/>
  <c r="R226" i="9"/>
  <c r="Q226" i="9" s="1"/>
  <c r="Z226" i="9" s="1"/>
  <c r="D226" i="9"/>
  <c r="X225" i="9"/>
  <c r="W225" i="9"/>
  <c r="Y225" i="9" s="1"/>
  <c r="U225" i="9"/>
  <c r="V225" i="9" s="1"/>
  <c r="Z225" i="9" s="1"/>
  <c r="T225" i="9"/>
  <c r="R225" i="9"/>
  <c r="Q225" i="9" s="1"/>
  <c r="D225" i="9"/>
  <c r="X224" i="9"/>
  <c r="W224" i="9"/>
  <c r="Y224" i="9" s="1"/>
  <c r="U224" i="9"/>
  <c r="T224" i="9"/>
  <c r="V224" i="9" s="1"/>
  <c r="Q224" i="9"/>
  <c r="Z224" i="9" s="1"/>
  <c r="D224" i="9"/>
  <c r="X223" i="9"/>
  <c r="Y223" i="9" s="1"/>
  <c r="Z223" i="9" s="1"/>
  <c r="W223" i="9"/>
  <c r="V223" i="9"/>
  <c r="U223" i="9"/>
  <c r="T223" i="9"/>
  <c r="R223" i="9"/>
  <c r="Q223" i="9"/>
  <c r="D223" i="9"/>
  <c r="X222" i="9"/>
  <c r="W222" i="9"/>
  <c r="Y222" i="9" s="1"/>
  <c r="V222" i="9"/>
  <c r="U222" i="9"/>
  <c r="T222" i="9"/>
  <c r="D222" i="9"/>
  <c r="X221" i="9"/>
  <c r="W221" i="9"/>
  <c r="Y221" i="9" s="1"/>
  <c r="U221" i="9"/>
  <c r="T221" i="9"/>
  <c r="V221" i="9" s="1"/>
  <c r="D221" i="9"/>
  <c r="X220" i="9"/>
  <c r="W220" i="9"/>
  <c r="Y220" i="9" s="1"/>
  <c r="V220" i="9"/>
  <c r="Z220" i="9" s="1"/>
  <c r="U220" i="9"/>
  <c r="T220" i="9"/>
  <c r="R220" i="9"/>
  <c r="Q220" i="9"/>
  <c r="D220" i="9"/>
  <c r="Y219" i="9"/>
  <c r="X219" i="9"/>
  <c r="W219" i="9"/>
  <c r="U219" i="9"/>
  <c r="T219" i="9"/>
  <c r="V219" i="9" s="1"/>
  <c r="D219" i="9"/>
  <c r="X218" i="9"/>
  <c r="W218" i="9"/>
  <c r="Y218" i="9" s="1"/>
  <c r="U218" i="9"/>
  <c r="T218" i="9"/>
  <c r="V218" i="9" s="1"/>
  <c r="D218" i="9"/>
  <c r="Y217" i="9"/>
  <c r="X217" i="9"/>
  <c r="W217" i="9"/>
  <c r="U217" i="9"/>
  <c r="T217" i="9"/>
  <c r="V217" i="9" s="1"/>
  <c r="D217" i="9"/>
  <c r="X216" i="9"/>
  <c r="W216" i="9"/>
  <c r="Y216" i="9" s="1"/>
  <c r="U216" i="9"/>
  <c r="T216" i="9"/>
  <c r="V216" i="9" s="1"/>
  <c r="R216" i="9"/>
  <c r="Q216" i="9"/>
  <c r="D216" i="9"/>
  <c r="Y215" i="9"/>
  <c r="Z215" i="9" s="1"/>
  <c r="X215" i="9"/>
  <c r="W215" i="9"/>
  <c r="V215" i="9"/>
  <c r="U215" i="9"/>
  <c r="T215" i="9"/>
  <c r="R215" i="9"/>
  <c r="Q215" i="9"/>
  <c r="D215" i="9"/>
  <c r="X214" i="9"/>
  <c r="W214" i="9"/>
  <c r="Y214" i="9" s="1"/>
  <c r="V214" i="9"/>
  <c r="U214" i="9"/>
  <c r="T214" i="9"/>
  <c r="R214" i="9"/>
  <c r="Q214" i="9" s="1"/>
  <c r="D214" i="9"/>
  <c r="X213" i="9"/>
  <c r="W213" i="9"/>
  <c r="Y213" i="9" s="1"/>
  <c r="U213" i="9"/>
  <c r="T213" i="9"/>
  <c r="V213" i="9" s="1"/>
  <c r="R213" i="9"/>
  <c r="Q213" i="9"/>
  <c r="Z213" i="9" s="1"/>
  <c r="D213" i="9"/>
  <c r="X212" i="9"/>
  <c r="W212" i="9"/>
  <c r="Y212" i="9" s="1"/>
  <c r="V212" i="9"/>
  <c r="Z212" i="9" s="1"/>
  <c r="U212" i="9"/>
  <c r="T212" i="9"/>
  <c r="Q212" i="9"/>
  <c r="D212" i="9"/>
  <c r="X211" i="9"/>
  <c r="W211" i="9"/>
  <c r="U211" i="9"/>
  <c r="T211" i="9"/>
  <c r="V211" i="9" s="1"/>
  <c r="Q211" i="9"/>
  <c r="D211" i="9"/>
  <c r="X210" i="9"/>
  <c r="Y210" i="9" s="1"/>
  <c r="Z210" i="9" s="1"/>
  <c r="W210" i="9"/>
  <c r="U210" i="9"/>
  <c r="T210" i="9"/>
  <c r="V210" i="9" s="1"/>
  <c r="Q210" i="9"/>
  <c r="D210" i="9"/>
  <c r="X209" i="9"/>
  <c r="W209" i="9"/>
  <c r="Y209" i="9" s="1"/>
  <c r="U209" i="9"/>
  <c r="T209" i="9"/>
  <c r="V209" i="9" s="1"/>
  <c r="Q209" i="9"/>
  <c r="D209" i="9"/>
  <c r="X208" i="9"/>
  <c r="W208" i="9"/>
  <c r="Y208" i="9" s="1"/>
  <c r="Z208" i="9" s="1"/>
  <c r="U208" i="9"/>
  <c r="T208" i="9"/>
  <c r="V208" i="9" s="1"/>
  <c r="Q208" i="9"/>
  <c r="D208" i="9"/>
  <c r="X207" i="9"/>
  <c r="W207" i="9"/>
  <c r="Y207" i="9" s="1"/>
  <c r="U207" i="9"/>
  <c r="V207" i="9" s="1"/>
  <c r="T207" i="9"/>
  <c r="R207" i="9"/>
  <c r="Q207" i="9" s="1"/>
  <c r="D207" i="9"/>
  <c r="X206" i="9"/>
  <c r="W206" i="9"/>
  <c r="Y206" i="9" s="1"/>
  <c r="U206" i="9"/>
  <c r="V206" i="9" s="1"/>
  <c r="T206" i="9"/>
  <c r="R206" i="9"/>
  <c r="Q206" i="9" s="1"/>
  <c r="D206" i="9"/>
  <c r="X205" i="9"/>
  <c r="W205" i="9"/>
  <c r="Y205" i="9" s="1"/>
  <c r="U205" i="9"/>
  <c r="T205" i="9"/>
  <c r="V205" i="9" s="1"/>
  <c r="Z205" i="9" s="1"/>
  <c r="R205" i="9"/>
  <c r="Q205" i="9"/>
  <c r="D205" i="9"/>
  <c r="X204" i="9"/>
  <c r="Y204" i="9" s="1"/>
  <c r="W204" i="9"/>
  <c r="V204" i="9"/>
  <c r="U204" i="9"/>
  <c r="T204" i="9"/>
  <c r="R204" i="9"/>
  <c r="Q204" i="9" s="1"/>
  <c r="D204" i="9"/>
  <c r="X203" i="9"/>
  <c r="Y203" i="9" s="1"/>
  <c r="W203" i="9"/>
  <c r="U203" i="9"/>
  <c r="T203" i="9"/>
  <c r="V203" i="9" s="1"/>
  <c r="R203" i="9"/>
  <c r="Q203" i="9"/>
  <c r="Z203" i="9" s="1"/>
  <c r="D203" i="9"/>
  <c r="Y202" i="9"/>
  <c r="X202" i="9"/>
  <c r="W202" i="9"/>
  <c r="U202" i="9"/>
  <c r="V202" i="9" s="1"/>
  <c r="Z202" i="9" s="1"/>
  <c r="T202" i="9"/>
  <c r="Q202" i="9"/>
  <c r="D202" i="9"/>
  <c r="X201" i="9"/>
  <c r="W201" i="9"/>
  <c r="Y201" i="9" s="1"/>
  <c r="U201" i="9"/>
  <c r="T201" i="9"/>
  <c r="V201" i="9" s="1"/>
  <c r="R201" i="9"/>
  <c r="Q201" i="9"/>
  <c r="D201" i="9"/>
  <c r="Z200" i="9"/>
  <c r="X200" i="9"/>
  <c r="Y200" i="9" s="1"/>
  <c r="W200" i="9"/>
  <c r="U200" i="9"/>
  <c r="T200" i="9"/>
  <c r="V200" i="9" s="1"/>
  <c r="Q200" i="9"/>
  <c r="D200" i="9"/>
  <c r="X199" i="9"/>
  <c r="W199" i="9"/>
  <c r="Y199" i="9" s="1"/>
  <c r="U199" i="9"/>
  <c r="T199" i="9"/>
  <c r="V199" i="9" s="1"/>
  <c r="Q199" i="9"/>
  <c r="D199" i="9"/>
  <c r="X198" i="9"/>
  <c r="W198" i="9"/>
  <c r="Y198" i="9" s="1"/>
  <c r="U198" i="9"/>
  <c r="T198" i="9"/>
  <c r="V198" i="9" s="1"/>
  <c r="Q198" i="9"/>
  <c r="Z198" i="9" s="1"/>
  <c r="D198" i="9"/>
  <c r="X197" i="9"/>
  <c r="W197" i="9"/>
  <c r="Y197" i="9" s="1"/>
  <c r="U197" i="9"/>
  <c r="T197" i="9"/>
  <c r="V197" i="9" s="1"/>
  <c r="Q197" i="9"/>
  <c r="D197" i="9"/>
  <c r="Y196" i="9"/>
  <c r="X196" i="9"/>
  <c r="W196" i="9"/>
  <c r="U196" i="9"/>
  <c r="T196" i="9"/>
  <c r="V196" i="9" s="1"/>
  <c r="R196" i="9"/>
  <c r="Q196" i="9"/>
  <c r="Z196" i="9" s="1"/>
  <c r="D196" i="9"/>
  <c r="X195" i="9"/>
  <c r="W195" i="9"/>
  <c r="Y195" i="9" s="1"/>
  <c r="V195" i="9"/>
  <c r="U195" i="9"/>
  <c r="T195" i="9"/>
  <c r="R195" i="9"/>
  <c r="Q195" i="9" s="1"/>
  <c r="D195" i="9"/>
  <c r="Y194" i="9"/>
  <c r="X194" i="9"/>
  <c r="W194" i="9"/>
  <c r="U194" i="9"/>
  <c r="T194" i="9"/>
  <c r="V194" i="9" s="1"/>
  <c r="D194" i="9"/>
  <c r="X193" i="9"/>
  <c r="W193" i="9"/>
  <c r="Y193" i="9" s="1"/>
  <c r="U193" i="9"/>
  <c r="T193" i="9"/>
  <c r="V193" i="9" s="1"/>
  <c r="R193" i="9"/>
  <c r="D193" i="9"/>
  <c r="X192" i="9"/>
  <c r="Y192" i="9" s="1"/>
  <c r="W192" i="9"/>
  <c r="U192" i="9"/>
  <c r="T192" i="9"/>
  <c r="V192" i="9" s="1"/>
  <c r="D192" i="9"/>
  <c r="X191" i="9"/>
  <c r="W191" i="9"/>
  <c r="Y191" i="9" s="1"/>
  <c r="U191" i="9"/>
  <c r="T191" i="9"/>
  <c r="V191" i="9" s="1"/>
  <c r="Q191" i="9"/>
  <c r="Z191" i="9" s="1"/>
  <c r="D191" i="9"/>
  <c r="X190" i="9"/>
  <c r="W190" i="9"/>
  <c r="Y190" i="9" s="1"/>
  <c r="U190" i="9"/>
  <c r="T190" i="9"/>
  <c r="V190" i="9" s="1"/>
  <c r="R190" i="9"/>
  <c r="R192" i="9" s="1"/>
  <c r="Q192" i="9" s="1"/>
  <c r="Q190" i="9"/>
  <c r="D190" i="9"/>
  <c r="X189" i="9"/>
  <c r="W189" i="9"/>
  <c r="Y189" i="9" s="1"/>
  <c r="U189" i="9"/>
  <c r="V189" i="9" s="1"/>
  <c r="T189" i="9"/>
  <c r="D189" i="9"/>
  <c r="X188" i="9"/>
  <c r="Y188" i="9" s="1"/>
  <c r="W188" i="9"/>
  <c r="U188" i="9"/>
  <c r="T188" i="9"/>
  <c r="V188" i="9" s="1"/>
  <c r="R188" i="9"/>
  <c r="Q188" i="9"/>
  <c r="D188" i="9"/>
  <c r="X187" i="9"/>
  <c r="W187" i="9"/>
  <c r="Y187" i="9" s="1"/>
  <c r="V187" i="9"/>
  <c r="U187" i="9"/>
  <c r="T187" i="9"/>
  <c r="D187" i="9"/>
  <c r="X186" i="9"/>
  <c r="W186" i="9"/>
  <c r="Y186" i="9" s="1"/>
  <c r="U186" i="9"/>
  <c r="T186" i="9"/>
  <c r="V186" i="9" s="1"/>
  <c r="D186" i="9"/>
  <c r="Y185" i="9"/>
  <c r="X185" i="9"/>
  <c r="W185" i="9"/>
  <c r="V185" i="9"/>
  <c r="U185" i="9"/>
  <c r="T185" i="9"/>
  <c r="D185" i="9"/>
  <c r="X184" i="9"/>
  <c r="W184" i="9"/>
  <c r="Y184" i="9" s="1"/>
  <c r="U184" i="9"/>
  <c r="T184" i="9"/>
  <c r="V184" i="9" s="1"/>
  <c r="D184" i="9"/>
  <c r="X183" i="9"/>
  <c r="W183" i="9"/>
  <c r="Y183" i="9" s="1"/>
  <c r="V183" i="9"/>
  <c r="U183" i="9"/>
  <c r="T183" i="9"/>
  <c r="D183" i="9"/>
  <c r="X182" i="9"/>
  <c r="W182" i="9"/>
  <c r="Y182" i="9" s="1"/>
  <c r="U182" i="9"/>
  <c r="T182" i="9"/>
  <c r="V182" i="9" s="1"/>
  <c r="D182" i="9"/>
  <c r="X181" i="9"/>
  <c r="Y181" i="9" s="1"/>
  <c r="Z181" i="9" s="1"/>
  <c r="W181" i="9"/>
  <c r="U181" i="9"/>
  <c r="T181" i="9"/>
  <c r="V181" i="9" s="1"/>
  <c r="R181" i="9"/>
  <c r="Q181" i="9"/>
  <c r="D181" i="9"/>
  <c r="X180" i="9"/>
  <c r="Y180" i="9" s="1"/>
  <c r="W180" i="9"/>
  <c r="U180" i="9"/>
  <c r="T180" i="9"/>
  <c r="V180" i="9" s="1"/>
  <c r="R180" i="9"/>
  <c r="Q180" i="9"/>
  <c r="Z180" i="9" s="1"/>
  <c r="D180" i="9"/>
  <c r="X179" i="9"/>
  <c r="Y179" i="9" s="1"/>
  <c r="Z179" i="9" s="1"/>
  <c r="W179" i="9"/>
  <c r="V179" i="9"/>
  <c r="U179" i="9"/>
  <c r="T179" i="9"/>
  <c r="Q179" i="9"/>
  <c r="D179" i="9"/>
  <c r="X178" i="9"/>
  <c r="W178" i="9"/>
  <c r="Y178" i="9" s="1"/>
  <c r="U178" i="9"/>
  <c r="T178" i="9"/>
  <c r="V178" i="9" s="1"/>
  <c r="Q178" i="9"/>
  <c r="D178" i="9"/>
  <c r="X177" i="9"/>
  <c r="Y177" i="9" s="1"/>
  <c r="Z177" i="9" s="1"/>
  <c r="W177" i="9"/>
  <c r="U177" i="9"/>
  <c r="T177" i="9"/>
  <c r="V177" i="9" s="1"/>
  <c r="Q177" i="9"/>
  <c r="D177" i="9"/>
  <c r="X176" i="9"/>
  <c r="W176" i="9"/>
  <c r="Y176" i="9" s="1"/>
  <c r="U176" i="9"/>
  <c r="T176" i="9"/>
  <c r="V176" i="9" s="1"/>
  <c r="Q176" i="9"/>
  <c r="D176" i="9"/>
  <c r="Y175" i="9"/>
  <c r="Z175" i="9" s="1"/>
  <c r="X175" i="9"/>
  <c r="W175" i="9"/>
  <c r="V175" i="9"/>
  <c r="U175" i="9"/>
  <c r="T175" i="9"/>
  <c r="Q175" i="9"/>
  <c r="D175" i="9"/>
  <c r="X174" i="9"/>
  <c r="W174" i="9"/>
  <c r="Y174" i="9" s="1"/>
  <c r="U174" i="9"/>
  <c r="T174" i="9"/>
  <c r="V174" i="9" s="1"/>
  <c r="R174" i="9"/>
  <c r="Q174" i="9"/>
  <c r="Z174" i="9" s="1"/>
  <c r="D174" i="9"/>
  <c r="X173" i="9"/>
  <c r="W173" i="9"/>
  <c r="Y173" i="9" s="1"/>
  <c r="U173" i="9"/>
  <c r="T173" i="9"/>
  <c r="V173" i="9" s="1"/>
  <c r="R173" i="9"/>
  <c r="Q173" i="9" s="1"/>
  <c r="Z173" i="9" s="1"/>
  <c r="D173" i="9"/>
  <c r="X172" i="9"/>
  <c r="W172" i="9"/>
  <c r="Y172" i="9" s="1"/>
  <c r="V172" i="9"/>
  <c r="U172" i="9"/>
  <c r="T172" i="9"/>
  <c r="R172" i="9"/>
  <c r="Q172" i="9" s="1"/>
  <c r="Z172" i="9" s="1"/>
  <c r="D172" i="9"/>
  <c r="X171" i="9"/>
  <c r="W171" i="9"/>
  <c r="Y171" i="9" s="1"/>
  <c r="U171" i="9"/>
  <c r="V171" i="9" s="1"/>
  <c r="T171" i="9"/>
  <c r="R171" i="9"/>
  <c r="Q171" i="9"/>
  <c r="D171" i="9"/>
  <c r="X170" i="9"/>
  <c r="W170" i="9"/>
  <c r="Y170" i="9" s="1"/>
  <c r="U170" i="9"/>
  <c r="T170" i="9"/>
  <c r="V170" i="9" s="1"/>
  <c r="R170" i="9"/>
  <c r="Q170" i="9"/>
  <c r="Z170" i="9" s="1"/>
  <c r="D170" i="9"/>
  <c r="X169" i="9"/>
  <c r="W169" i="9"/>
  <c r="Y169" i="9" s="1"/>
  <c r="U169" i="9"/>
  <c r="T169" i="9"/>
  <c r="Q169" i="9"/>
  <c r="D169" i="9"/>
  <c r="X168" i="9"/>
  <c r="W168" i="9"/>
  <c r="Y168" i="9" s="1"/>
  <c r="U168" i="9"/>
  <c r="T168" i="9"/>
  <c r="V168" i="9" s="1"/>
  <c r="R168" i="9"/>
  <c r="Q168" i="9" s="1"/>
  <c r="D168" i="9"/>
  <c r="X167" i="9"/>
  <c r="Y167" i="9" s="1"/>
  <c r="W167" i="9"/>
  <c r="U167" i="9"/>
  <c r="T167" i="9"/>
  <c r="V167" i="9" s="1"/>
  <c r="Z167" i="9" s="1"/>
  <c r="Q167" i="9"/>
  <c r="D167" i="9"/>
  <c r="X166" i="9"/>
  <c r="W166" i="9"/>
  <c r="Y166" i="9" s="1"/>
  <c r="U166" i="9"/>
  <c r="T166" i="9"/>
  <c r="V166" i="9" s="1"/>
  <c r="Q166" i="9"/>
  <c r="D166" i="9"/>
  <c r="Y165" i="9"/>
  <c r="X165" i="9"/>
  <c r="W165" i="9"/>
  <c r="U165" i="9"/>
  <c r="T165" i="9"/>
  <c r="V165" i="9" s="1"/>
  <c r="Z165" i="9" s="1"/>
  <c r="Q165" i="9"/>
  <c r="D165" i="9"/>
  <c r="D95" i="2" s="1"/>
  <c r="X164" i="9"/>
  <c r="W164" i="9"/>
  <c r="Y164" i="9" s="1"/>
  <c r="U164" i="9"/>
  <c r="V164" i="9" s="1"/>
  <c r="Z164" i="9" s="1"/>
  <c r="T164" i="9"/>
  <c r="Q164" i="9"/>
  <c r="D164" i="9"/>
  <c r="Y163" i="9"/>
  <c r="X163" i="9"/>
  <c r="W163" i="9"/>
  <c r="U163" i="9"/>
  <c r="T163" i="9"/>
  <c r="V163" i="9" s="1"/>
  <c r="R163" i="9"/>
  <c r="Q163" i="9"/>
  <c r="Z163" i="9" s="1"/>
  <c r="D163" i="9"/>
  <c r="X162" i="9"/>
  <c r="W162" i="9"/>
  <c r="Y162" i="9" s="1"/>
  <c r="V162" i="9"/>
  <c r="Z162" i="9" s="1"/>
  <c r="U162" i="9"/>
  <c r="T162" i="9"/>
  <c r="R162" i="9"/>
  <c r="Q162" i="9" s="1"/>
  <c r="D162" i="9"/>
  <c r="X161" i="9"/>
  <c r="W161" i="9"/>
  <c r="U161" i="9"/>
  <c r="T161" i="9"/>
  <c r="V161" i="9" s="1"/>
  <c r="R161" i="9"/>
  <c r="Q161" i="9"/>
  <c r="D161" i="9"/>
  <c r="Z160" i="9"/>
  <c r="Y160" i="9"/>
  <c r="X160" i="9"/>
  <c r="W160" i="9"/>
  <c r="U160" i="9"/>
  <c r="T160" i="9"/>
  <c r="V160" i="9" s="1"/>
  <c r="R160" i="9"/>
  <c r="Q160" i="9"/>
  <c r="D160" i="9"/>
  <c r="X159" i="9"/>
  <c r="W159" i="9"/>
  <c r="U159" i="9"/>
  <c r="T159" i="9"/>
  <c r="V159" i="9" s="1"/>
  <c r="R159" i="9"/>
  <c r="Q159" i="9" s="1"/>
  <c r="D159" i="9"/>
  <c r="X158" i="9"/>
  <c r="Y158" i="9" s="1"/>
  <c r="W158" i="9"/>
  <c r="U158" i="9"/>
  <c r="T158" i="9"/>
  <c r="V158" i="9" s="1"/>
  <c r="Q158" i="9"/>
  <c r="D158" i="9"/>
  <c r="X157" i="9"/>
  <c r="W157" i="9"/>
  <c r="Y157" i="9" s="1"/>
  <c r="V157" i="9"/>
  <c r="U157" i="9"/>
  <c r="T157" i="9"/>
  <c r="R157" i="9"/>
  <c r="Q157" i="9"/>
  <c r="D157" i="9"/>
  <c r="Y156" i="9"/>
  <c r="X156" i="9"/>
  <c r="W156" i="9"/>
  <c r="U156" i="9"/>
  <c r="T156" i="9"/>
  <c r="V156" i="9" s="1"/>
  <c r="D156" i="9"/>
  <c r="X155" i="9"/>
  <c r="Y155" i="9" s="1"/>
  <c r="W155" i="9"/>
  <c r="U155" i="9"/>
  <c r="T155" i="9"/>
  <c r="V155" i="9" s="1"/>
  <c r="R155" i="9"/>
  <c r="Q155" i="9"/>
  <c r="Z155" i="9" s="1"/>
  <c r="D155" i="9"/>
  <c r="Y154" i="9"/>
  <c r="X154" i="9"/>
  <c r="W154" i="9"/>
  <c r="U154" i="9"/>
  <c r="T154" i="9"/>
  <c r="V154" i="9" s="1"/>
  <c r="Z154" i="9" s="1"/>
  <c r="R154" i="9"/>
  <c r="Q154" i="9"/>
  <c r="D154" i="9"/>
  <c r="X153" i="9"/>
  <c r="W153" i="9"/>
  <c r="Y153" i="9" s="1"/>
  <c r="U153" i="9"/>
  <c r="T153" i="9"/>
  <c r="V153" i="9" s="1"/>
  <c r="R153" i="9"/>
  <c r="D153" i="9"/>
  <c r="X152" i="9"/>
  <c r="Y152" i="9" s="1"/>
  <c r="W152" i="9"/>
  <c r="V152" i="9"/>
  <c r="U152" i="9"/>
  <c r="T152" i="9"/>
  <c r="R152" i="9"/>
  <c r="Q152" i="9" s="1"/>
  <c r="D152" i="9"/>
  <c r="X151" i="9"/>
  <c r="W151" i="9"/>
  <c r="Y151" i="9" s="1"/>
  <c r="V151" i="9"/>
  <c r="U151" i="9"/>
  <c r="T151" i="9"/>
  <c r="D151" i="9"/>
  <c r="X150" i="9"/>
  <c r="W150" i="9"/>
  <c r="Y150" i="9" s="1"/>
  <c r="U150" i="9"/>
  <c r="T150" i="9"/>
  <c r="V150" i="9" s="1"/>
  <c r="D150" i="9"/>
  <c r="X149" i="9"/>
  <c r="W149" i="9"/>
  <c r="Y149" i="9" s="1"/>
  <c r="Z149" i="9" s="1"/>
  <c r="V149" i="9"/>
  <c r="U149" i="9"/>
  <c r="T149" i="9"/>
  <c r="R149" i="9"/>
  <c r="Q149" i="9"/>
  <c r="D149" i="9"/>
  <c r="Y148" i="9"/>
  <c r="X148" i="9"/>
  <c r="W148" i="9"/>
  <c r="U148" i="9"/>
  <c r="T148" i="9"/>
  <c r="V148" i="9" s="1"/>
  <c r="R148" i="9"/>
  <c r="Q148" i="9"/>
  <c r="D148" i="9"/>
  <c r="X147" i="9"/>
  <c r="Y147" i="9" s="1"/>
  <c r="W147" i="9"/>
  <c r="U147" i="9"/>
  <c r="T147" i="9"/>
  <c r="V147" i="9" s="1"/>
  <c r="R147" i="9"/>
  <c r="Q147" i="9" s="1"/>
  <c r="Z147" i="9" s="1"/>
  <c r="D147" i="9"/>
  <c r="X146" i="9"/>
  <c r="W146" i="9"/>
  <c r="Y146" i="9" s="1"/>
  <c r="U146" i="9"/>
  <c r="T146" i="9"/>
  <c r="V146" i="9" s="1"/>
  <c r="Z146" i="9" s="1"/>
  <c r="Q146" i="9"/>
  <c r="D146" i="9"/>
  <c r="X145" i="9"/>
  <c r="W145" i="9"/>
  <c r="Y145" i="9" s="1"/>
  <c r="U145" i="9"/>
  <c r="T145" i="9"/>
  <c r="V145" i="9" s="1"/>
  <c r="Q145" i="9"/>
  <c r="D145" i="9"/>
  <c r="Y144" i="9"/>
  <c r="Z144" i="9" s="1"/>
  <c r="X144" i="9"/>
  <c r="W144" i="9"/>
  <c r="V144" i="9"/>
  <c r="U144" i="9"/>
  <c r="T144" i="9"/>
  <c r="Q144" i="9"/>
  <c r="D144" i="9"/>
  <c r="X143" i="9"/>
  <c r="W143" i="9"/>
  <c r="Y143" i="9" s="1"/>
  <c r="U143" i="9"/>
  <c r="T143" i="9"/>
  <c r="V143" i="9" s="1"/>
  <c r="Q143" i="9"/>
  <c r="D143" i="9"/>
  <c r="X142" i="9"/>
  <c r="Y142" i="9" s="1"/>
  <c r="Z142" i="9" s="1"/>
  <c r="W142" i="9"/>
  <c r="V142" i="9"/>
  <c r="U142" i="9"/>
  <c r="T142" i="9"/>
  <c r="Q142" i="9"/>
  <c r="D142" i="9"/>
  <c r="Y141" i="9"/>
  <c r="X141" i="9"/>
  <c r="W141" i="9"/>
  <c r="U141" i="9"/>
  <c r="T141" i="9"/>
  <c r="V141" i="9" s="1"/>
  <c r="R141" i="9"/>
  <c r="Q141" i="9"/>
  <c r="Z141" i="9" s="1"/>
  <c r="D141" i="9"/>
  <c r="Y140" i="9"/>
  <c r="X140" i="9"/>
  <c r="W140" i="9"/>
  <c r="U140" i="9"/>
  <c r="T140" i="9"/>
  <c r="V140" i="9" s="1"/>
  <c r="R140" i="9"/>
  <c r="Q140" i="9" s="1"/>
  <c r="Z140" i="9" s="1"/>
  <c r="D140" i="9"/>
  <c r="X139" i="9"/>
  <c r="Y139" i="9" s="1"/>
  <c r="W139" i="9"/>
  <c r="U139" i="9"/>
  <c r="V139" i="9" s="1"/>
  <c r="T139" i="9"/>
  <c r="R139" i="9"/>
  <c r="Q139" i="9" s="1"/>
  <c r="D139" i="9"/>
  <c r="X138" i="9"/>
  <c r="W138" i="9"/>
  <c r="Y138" i="9" s="1"/>
  <c r="U138" i="9"/>
  <c r="V138" i="9" s="1"/>
  <c r="T138" i="9"/>
  <c r="R138" i="9"/>
  <c r="Q138" i="9"/>
  <c r="D138" i="9"/>
  <c r="Y137" i="9"/>
  <c r="X137" i="9"/>
  <c r="W137" i="9"/>
  <c r="U137" i="9"/>
  <c r="T137" i="9"/>
  <c r="V137" i="9" s="1"/>
  <c r="R137" i="9"/>
  <c r="Q137" i="9"/>
  <c r="Z137" i="9" s="1"/>
  <c r="D137" i="9"/>
  <c r="X136" i="9"/>
  <c r="W136" i="9"/>
  <c r="Y136" i="9" s="1"/>
  <c r="Z136" i="9" s="1"/>
  <c r="U136" i="9"/>
  <c r="T136" i="9"/>
  <c r="V136" i="9" s="1"/>
  <c r="Q136" i="9"/>
  <c r="D136" i="9"/>
  <c r="X135" i="9"/>
  <c r="W135" i="9"/>
  <c r="Y135" i="9" s="1"/>
  <c r="U135" i="9"/>
  <c r="T135" i="9"/>
  <c r="V135" i="9" s="1"/>
  <c r="R135" i="9"/>
  <c r="Q135" i="9"/>
  <c r="Z135" i="9" s="1"/>
  <c r="D135" i="9"/>
  <c r="X134" i="9"/>
  <c r="W134" i="9"/>
  <c r="Y134" i="9" s="1"/>
  <c r="Z134" i="9" s="1"/>
  <c r="V134" i="9"/>
  <c r="U134" i="9"/>
  <c r="T134" i="9"/>
  <c r="Q134" i="9"/>
  <c r="D134" i="9"/>
  <c r="X133" i="9"/>
  <c r="W133" i="9"/>
  <c r="Y133" i="9" s="1"/>
  <c r="U133" i="9"/>
  <c r="T133" i="9"/>
  <c r="V133" i="9" s="1"/>
  <c r="Q133" i="9"/>
  <c r="D133" i="9"/>
  <c r="X132" i="9"/>
  <c r="Y132" i="9" s="1"/>
  <c r="Z132" i="9" s="1"/>
  <c r="W132" i="9"/>
  <c r="U132" i="9"/>
  <c r="T132" i="9"/>
  <c r="V132" i="9" s="1"/>
  <c r="Q132" i="9"/>
  <c r="D132" i="9"/>
  <c r="X131" i="9"/>
  <c r="W131" i="9"/>
  <c r="Y131" i="9" s="1"/>
  <c r="U131" i="9"/>
  <c r="T131" i="9"/>
  <c r="V131" i="9" s="1"/>
  <c r="Q131" i="9"/>
  <c r="D131" i="9"/>
  <c r="D94" i="2" s="1"/>
  <c r="Z130" i="9"/>
  <c r="Y130" i="9"/>
  <c r="X130" i="9"/>
  <c r="W130" i="9"/>
  <c r="V130" i="9"/>
  <c r="U130" i="9"/>
  <c r="T130" i="9"/>
  <c r="R130" i="9"/>
  <c r="Q130" i="9" s="1"/>
  <c r="D130" i="9"/>
  <c r="X129" i="9"/>
  <c r="W129" i="9"/>
  <c r="Y129" i="9" s="1"/>
  <c r="U129" i="9"/>
  <c r="T129" i="9"/>
  <c r="V129" i="9" s="1"/>
  <c r="R129" i="9"/>
  <c r="Q129" i="9" s="1"/>
  <c r="Z129" i="9" s="1"/>
  <c r="D129" i="9"/>
  <c r="X128" i="9"/>
  <c r="W128" i="9"/>
  <c r="Y128" i="9" s="1"/>
  <c r="U128" i="9"/>
  <c r="T128" i="9"/>
  <c r="V128" i="9" s="1"/>
  <c r="D128" i="9"/>
  <c r="X127" i="9"/>
  <c r="Y127" i="9" s="1"/>
  <c r="W127" i="9"/>
  <c r="U127" i="9"/>
  <c r="T127" i="9"/>
  <c r="V127" i="9" s="1"/>
  <c r="Z127" i="9" s="1"/>
  <c r="R127" i="9"/>
  <c r="Q127" i="9"/>
  <c r="D127" i="9"/>
  <c r="X126" i="9"/>
  <c r="W126" i="9"/>
  <c r="Y126" i="9" s="1"/>
  <c r="U126" i="9"/>
  <c r="T126" i="9"/>
  <c r="V126" i="9" s="1"/>
  <c r="R126" i="9"/>
  <c r="D126" i="9"/>
  <c r="X125" i="9"/>
  <c r="Y125" i="9" s="1"/>
  <c r="W125" i="9"/>
  <c r="U125" i="9"/>
  <c r="T125" i="9"/>
  <c r="V125" i="9" s="1"/>
  <c r="Q125" i="9"/>
  <c r="Z125" i="9" s="1"/>
  <c r="D125" i="9"/>
  <c r="X124" i="9"/>
  <c r="W124" i="9"/>
  <c r="Y124" i="9" s="1"/>
  <c r="U124" i="9"/>
  <c r="V124" i="9" s="1"/>
  <c r="Z124" i="9" s="1"/>
  <c r="T124" i="9"/>
  <c r="R124" i="9"/>
  <c r="Q124" i="9"/>
  <c r="D124" i="9"/>
  <c r="X123" i="9"/>
  <c r="W123" i="9"/>
  <c r="U123" i="9"/>
  <c r="T123" i="9"/>
  <c r="V123" i="9" s="1"/>
  <c r="D123" i="9"/>
  <c r="Y122" i="9"/>
  <c r="X122" i="9"/>
  <c r="W122" i="9"/>
  <c r="U122" i="9"/>
  <c r="T122" i="9"/>
  <c r="V122" i="9" s="1"/>
  <c r="R122" i="9"/>
  <c r="Q122" i="9"/>
  <c r="Z122" i="9" s="1"/>
  <c r="D122" i="9"/>
  <c r="X121" i="9"/>
  <c r="Y121" i="9" s="1"/>
  <c r="Z121" i="9" s="1"/>
  <c r="W121" i="9"/>
  <c r="U121" i="9"/>
  <c r="T121" i="9"/>
  <c r="V121" i="9" s="1"/>
  <c r="R121" i="9"/>
  <c r="Q121" i="9" s="1"/>
  <c r="D121" i="9"/>
  <c r="Y120" i="9"/>
  <c r="X120" i="9"/>
  <c r="W120" i="9"/>
  <c r="U120" i="9"/>
  <c r="T120" i="9"/>
  <c r="V120" i="9" s="1"/>
  <c r="R120" i="9"/>
  <c r="Q120" i="9"/>
  <c r="Z120" i="9" s="1"/>
  <c r="D120" i="9"/>
  <c r="Y119" i="9"/>
  <c r="Z119" i="9" s="1"/>
  <c r="X119" i="9"/>
  <c r="W119" i="9"/>
  <c r="V119" i="9"/>
  <c r="U119" i="9"/>
  <c r="T119" i="9"/>
  <c r="R119" i="9"/>
  <c r="Q119" i="9" s="1"/>
  <c r="D119" i="9"/>
  <c r="X118" i="9"/>
  <c r="W118" i="9"/>
  <c r="Y118" i="9" s="1"/>
  <c r="U118" i="9"/>
  <c r="T118" i="9"/>
  <c r="V118" i="9" s="1"/>
  <c r="D118" i="9"/>
  <c r="X117" i="9"/>
  <c r="W117" i="9"/>
  <c r="Y117" i="9" s="1"/>
  <c r="U117" i="9"/>
  <c r="T117" i="9"/>
  <c r="V117" i="9" s="1"/>
  <c r="D117" i="9"/>
  <c r="X116" i="9"/>
  <c r="W116" i="9"/>
  <c r="Y116" i="9" s="1"/>
  <c r="U116" i="9"/>
  <c r="V116" i="9" s="1"/>
  <c r="Z116" i="9" s="1"/>
  <c r="T116" i="9"/>
  <c r="R116" i="9"/>
  <c r="Q116" i="9"/>
  <c r="D116" i="9"/>
  <c r="X115" i="9"/>
  <c r="W115" i="9"/>
  <c r="Y115" i="9" s="1"/>
  <c r="U115" i="9"/>
  <c r="T115" i="9"/>
  <c r="V115" i="9" s="1"/>
  <c r="R115" i="9"/>
  <c r="Q115" i="9"/>
  <c r="Z115" i="9" s="1"/>
  <c r="D115" i="9"/>
  <c r="Y114" i="9"/>
  <c r="X114" i="9"/>
  <c r="W114" i="9"/>
  <c r="U114" i="9"/>
  <c r="T114" i="9"/>
  <c r="V114" i="9" s="1"/>
  <c r="D114" i="9"/>
  <c r="X113" i="9"/>
  <c r="Y113" i="9" s="1"/>
  <c r="W113" i="9"/>
  <c r="U113" i="9"/>
  <c r="T113" i="9"/>
  <c r="V113" i="9" s="1"/>
  <c r="D113" i="9"/>
  <c r="Y112" i="9"/>
  <c r="X112" i="9"/>
  <c r="W112" i="9"/>
  <c r="U112" i="9"/>
  <c r="V112" i="9" s="1"/>
  <c r="T112" i="9"/>
  <c r="D112" i="9"/>
  <c r="X111" i="9"/>
  <c r="W111" i="9"/>
  <c r="Y111" i="9" s="1"/>
  <c r="U111" i="9"/>
  <c r="V111" i="9" s="1"/>
  <c r="T111" i="9"/>
  <c r="D111" i="9"/>
  <c r="X110" i="9"/>
  <c r="W110" i="9"/>
  <c r="Y110" i="9" s="1"/>
  <c r="V110" i="9"/>
  <c r="Z110" i="9" s="1"/>
  <c r="U110" i="9"/>
  <c r="T110" i="9"/>
  <c r="R110" i="9"/>
  <c r="Q110" i="9"/>
  <c r="D110" i="9"/>
  <c r="X109" i="9"/>
  <c r="W109" i="9"/>
  <c r="Y109" i="9" s="1"/>
  <c r="U109" i="9"/>
  <c r="T109" i="9"/>
  <c r="V109" i="9" s="1"/>
  <c r="D109" i="9"/>
  <c r="X108" i="9"/>
  <c r="W108" i="9"/>
  <c r="Y108" i="9" s="1"/>
  <c r="U108" i="9"/>
  <c r="V108" i="9" s="1"/>
  <c r="T108" i="9"/>
  <c r="D108" i="9"/>
  <c r="X107" i="9"/>
  <c r="W107" i="9"/>
  <c r="U107" i="9"/>
  <c r="T107" i="9"/>
  <c r="V107" i="9" s="1"/>
  <c r="R107" i="9"/>
  <c r="Q107" i="9" s="1"/>
  <c r="D107" i="9"/>
  <c r="Y106" i="9"/>
  <c r="Z106" i="9" s="1"/>
  <c r="X106" i="9"/>
  <c r="W106" i="9"/>
  <c r="U106" i="9"/>
  <c r="T106" i="9"/>
  <c r="V106" i="9" s="1"/>
  <c r="R106" i="9"/>
  <c r="Q106" i="9"/>
  <c r="D106" i="9"/>
  <c r="X105" i="9"/>
  <c r="W105" i="9"/>
  <c r="Y105" i="9" s="1"/>
  <c r="U105" i="9"/>
  <c r="V105" i="9" s="1"/>
  <c r="T105" i="9"/>
  <c r="Q105" i="9"/>
  <c r="D105" i="9"/>
  <c r="X104" i="9"/>
  <c r="W104" i="9"/>
  <c r="Y104" i="9" s="1"/>
  <c r="U104" i="9"/>
  <c r="T104" i="9"/>
  <c r="V104" i="9" s="1"/>
  <c r="Q104" i="9"/>
  <c r="D104" i="9"/>
  <c r="X103" i="9"/>
  <c r="W103" i="9"/>
  <c r="Y103" i="9" s="1"/>
  <c r="U103" i="9"/>
  <c r="V103" i="9" s="1"/>
  <c r="Z103" i="9" s="1"/>
  <c r="T103" i="9"/>
  <c r="Q103" i="9"/>
  <c r="D103" i="9"/>
  <c r="X102" i="9"/>
  <c r="W102" i="9"/>
  <c r="Y102" i="9" s="1"/>
  <c r="V102" i="9"/>
  <c r="U102" i="9"/>
  <c r="T102" i="9"/>
  <c r="Q102" i="9"/>
  <c r="D102" i="9"/>
  <c r="X101" i="9"/>
  <c r="W101" i="9"/>
  <c r="Y101" i="9" s="1"/>
  <c r="V101" i="9"/>
  <c r="U101" i="9"/>
  <c r="T101" i="9"/>
  <c r="R101" i="9"/>
  <c r="Q101" i="9" s="1"/>
  <c r="Z101" i="9" s="1"/>
  <c r="D101" i="9"/>
  <c r="Y100" i="9"/>
  <c r="Z100" i="9" s="1"/>
  <c r="X100" i="9"/>
  <c r="W100" i="9"/>
  <c r="V100" i="9"/>
  <c r="U100" i="9"/>
  <c r="T100" i="9"/>
  <c r="R100" i="9"/>
  <c r="Q100" i="9" s="1"/>
  <c r="D100" i="9"/>
  <c r="X99" i="9"/>
  <c r="W99" i="9"/>
  <c r="Y99" i="9" s="1"/>
  <c r="U99" i="9"/>
  <c r="T99" i="9"/>
  <c r="V99" i="9" s="1"/>
  <c r="R99" i="9"/>
  <c r="Q99" i="9"/>
  <c r="Z99" i="9" s="1"/>
  <c r="D99" i="9"/>
  <c r="Y98" i="9"/>
  <c r="Z98" i="9" s="1"/>
  <c r="X98" i="9"/>
  <c r="W98" i="9"/>
  <c r="U98" i="9"/>
  <c r="V98" i="9" s="1"/>
  <c r="T98" i="9"/>
  <c r="Q98" i="9"/>
  <c r="D98" i="9"/>
  <c r="X97" i="9"/>
  <c r="W97" i="9"/>
  <c r="Y97" i="9" s="1"/>
  <c r="U97" i="9"/>
  <c r="T97" i="9"/>
  <c r="V97" i="9" s="1"/>
  <c r="Q97" i="9"/>
  <c r="Z97" i="9" s="1"/>
  <c r="D97" i="9"/>
  <c r="D85" i="2" s="1"/>
  <c r="Y96" i="9"/>
  <c r="Z96" i="9" s="1"/>
  <c r="X96" i="9"/>
  <c r="W96" i="9"/>
  <c r="U96" i="9"/>
  <c r="T96" i="9"/>
  <c r="V96" i="9" s="1"/>
  <c r="Q96" i="9"/>
  <c r="D96" i="9"/>
  <c r="X95" i="9"/>
  <c r="W95" i="9"/>
  <c r="Y95" i="9" s="1"/>
  <c r="U95" i="9"/>
  <c r="T95" i="9"/>
  <c r="V95" i="9" s="1"/>
  <c r="Q95" i="9"/>
  <c r="Z95" i="9" s="1"/>
  <c r="D95" i="9"/>
  <c r="D83" i="2" s="1"/>
  <c r="Y94" i="9"/>
  <c r="Z94" i="9" s="1"/>
  <c r="X94" i="9"/>
  <c r="W94" i="9"/>
  <c r="U94" i="9"/>
  <c r="V94" i="9" s="1"/>
  <c r="T94" i="9"/>
  <c r="Q94" i="9"/>
  <c r="D94" i="9"/>
  <c r="X93" i="9"/>
  <c r="W93" i="9"/>
  <c r="Y93" i="9" s="1"/>
  <c r="U93" i="9"/>
  <c r="T93" i="9"/>
  <c r="V93" i="9" s="1"/>
  <c r="R93" i="9"/>
  <c r="Q93" i="9" s="1"/>
  <c r="Z93" i="9" s="1"/>
  <c r="D93" i="9"/>
  <c r="X92" i="9"/>
  <c r="Y92" i="9" s="1"/>
  <c r="W92" i="9"/>
  <c r="U92" i="9"/>
  <c r="T92" i="9"/>
  <c r="V92" i="9" s="1"/>
  <c r="R92" i="9"/>
  <c r="Q92" i="9" s="1"/>
  <c r="Z92" i="9" s="1"/>
  <c r="D92" i="9"/>
  <c r="X91" i="9"/>
  <c r="W91" i="9"/>
  <c r="Y91" i="9" s="1"/>
  <c r="V91" i="9"/>
  <c r="U91" i="9"/>
  <c r="T91" i="9"/>
  <c r="D91" i="9"/>
  <c r="Y90" i="9"/>
  <c r="X90" i="9"/>
  <c r="W90" i="9"/>
  <c r="U90" i="9"/>
  <c r="T90" i="9"/>
  <c r="V90" i="9" s="1"/>
  <c r="Q90" i="9"/>
  <c r="D90" i="9"/>
  <c r="Y89" i="9"/>
  <c r="X89" i="9"/>
  <c r="W89" i="9"/>
  <c r="U89" i="9"/>
  <c r="T89" i="9"/>
  <c r="V89" i="9" s="1"/>
  <c r="R89" i="9"/>
  <c r="R91" i="9" s="1"/>
  <c r="Q91" i="9" s="1"/>
  <c r="Z91" i="9" s="1"/>
  <c r="Q89" i="9"/>
  <c r="Z89" i="9" s="1"/>
  <c r="D89" i="9"/>
  <c r="Y88" i="9"/>
  <c r="X88" i="9"/>
  <c r="W88" i="9"/>
  <c r="U88" i="9"/>
  <c r="T88" i="9"/>
  <c r="V88" i="9" s="1"/>
  <c r="D88" i="9"/>
  <c r="Y87" i="9"/>
  <c r="X87" i="9"/>
  <c r="W87" i="9"/>
  <c r="U87" i="9"/>
  <c r="T87" i="9"/>
  <c r="V87" i="9" s="1"/>
  <c r="R87" i="9"/>
  <c r="Q87" i="9" s="1"/>
  <c r="D87" i="9"/>
  <c r="X86" i="9"/>
  <c r="Y86" i="9" s="1"/>
  <c r="W86" i="9"/>
  <c r="U86" i="9"/>
  <c r="V86" i="9" s="1"/>
  <c r="T86" i="9"/>
  <c r="R86" i="9"/>
  <c r="Q86" i="9" s="1"/>
  <c r="D86" i="9"/>
  <c r="X85" i="9"/>
  <c r="W85" i="9"/>
  <c r="Y85" i="9" s="1"/>
  <c r="U85" i="9"/>
  <c r="V85" i="9" s="1"/>
  <c r="T85" i="9"/>
  <c r="R85" i="9"/>
  <c r="Q85" i="9" s="1"/>
  <c r="D85" i="9"/>
  <c r="X84" i="9"/>
  <c r="W84" i="9"/>
  <c r="Y84" i="9" s="1"/>
  <c r="U84" i="9"/>
  <c r="T84" i="9"/>
  <c r="V84" i="9" s="1"/>
  <c r="R84" i="9"/>
  <c r="Q84" i="9" s="1"/>
  <c r="Z84" i="9" s="1"/>
  <c r="D84" i="9"/>
  <c r="X83" i="9"/>
  <c r="W83" i="9"/>
  <c r="Y83" i="9" s="1"/>
  <c r="V83" i="9"/>
  <c r="U83" i="9"/>
  <c r="T83" i="9"/>
  <c r="R83" i="9"/>
  <c r="Q83" i="9" s="1"/>
  <c r="D83" i="9"/>
  <c r="X82" i="9"/>
  <c r="W82" i="9"/>
  <c r="U82" i="9"/>
  <c r="T82" i="9"/>
  <c r="V82" i="9" s="1"/>
  <c r="D82" i="9"/>
  <c r="Y81" i="9"/>
  <c r="X81" i="9"/>
  <c r="W81" i="9"/>
  <c r="U81" i="9"/>
  <c r="T81" i="9"/>
  <c r="V81" i="9" s="1"/>
  <c r="D81" i="9"/>
  <c r="X80" i="9"/>
  <c r="W80" i="9"/>
  <c r="Y80" i="9" s="1"/>
  <c r="U80" i="9"/>
  <c r="T80" i="9"/>
  <c r="V80" i="9" s="1"/>
  <c r="D80" i="9"/>
  <c r="Y79" i="9"/>
  <c r="X79" i="9"/>
  <c r="W79" i="9"/>
  <c r="U79" i="9"/>
  <c r="T79" i="9"/>
  <c r="V79" i="9" s="1"/>
  <c r="D79" i="9"/>
  <c r="X78" i="9"/>
  <c r="Y78" i="9" s="1"/>
  <c r="W78" i="9"/>
  <c r="U78" i="9"/>
  <c r="T78" i="9"/>
  <c r="V78" i="9" s="1"/>
  <c r="D78" i="9"/>
  <c r="X77" i="9"/>
  <c r="W77" i="9"/>
  <c r="Y77" i="9" s="1"/>
  <c r="U77" i="9"/>
  <c r="V77" i="9" s="1"/>
  <c r="T77" i="9"/>
  <c r="D77" i="9"/>
  <c r="X76" i="9"/>
  <c r="W76" i="9"/>
  <c r="Y76" i="9" s="1"/>
  <c r="U76" i="9"/>
  <c r="T76" i="9"/>
  <c r="V76" i="9" s="1"/>
  <c r="R76" i="9"/>
  <c r="Q76" i="9"/>
  <c r="Z76" i="9" s="1"/>
  <c r="D76" i="9"/>
  <c r="AC75" i="9"/>
  <c r="Y75" i="9"/>
  <c r="X75" i="9"/>
  <c r="W75" i="9"/>
  <c r="U75" i="9"/>
  <c r="T75" i="9"/>
  <c r="V75" i="9" s="1"/>
  <c r="R75" i="9"/>
  <c r="Q75" i="9"/>
  <c r="Z75" i="9" s="1"/>
  <c r="D75" i="9"/>
  <c r="H105" i="2" s="1"/>
  <c r="X74" i="9"/>
  <c r="W74" i="9"/>
  <c r="Y74" i="9" s="1"/>
  <c r="V74" i="9"/>
  <c r="U74" i="9"/>
  <c r="T74" i="9"/>
  <c r="D74" i="9"/>
  <c r="X73" i="9"/>
  <c r="W73" i="9"/>
  <c r="Y73" i="9" s="1"/>
  <c r="U73" i="9"/>
  <c r="T73" i="9"/>
  <c r="V73" i="9" s="1"/>
  <c r="R73" i="9"/>
  <c r="R108" i="9" s="1"/>
  <c r="Q108" i="9" s="1"/>
  <c r="Z108" i="9" s="1"/>
  <c r="Q73" i="9"/>
  <c r="Z73" i="9" s="1"/>
  <c r="D73" i="9"/>
  <c r="X72" i="9"/>
  <c r="Y72" i="9" s="1"/>
  <c r="Z72" i="9" s="1"/>
  <c r="W72" i="9"/>
  <c r="U72" i="9"/>
  <c r="T72" i="9"/>
  <c r="V72" i="9" s="1"/>
  <c r="R72" i="9"/>
  <c r="Q72" i="9"/>
  <c r="D72" i="9"/>
  <c r="X71" i="9"/>
  <c r="W71" i="9"/>
  <c r="U71" i="9"/>
  <c r="T71" i="9"/>
  <c r="V71" i="9" s="1"/>
  <c r="R71" i="9"/>
  <c r="Q71" i="9"/>
  <c r="D71" i="9"/>
  <c r="X70" i="9"/>
  <c r="W70" i="9"/>
  <c r="Y70" i="9" s="1"/>
  <c r="U70" i="9"/>
  <c r="T70" i="9"/>
  <c r="V70" i="9" s="1"/>
  <c r="Q70" i="9"/>
  <c r="D70" i="9"/>
  <c r="X69" i="9"/>
  <c r="W69" i="9"/>
  <c r="V69" i="9"/>
  <c r="U69" i="9"/>
  <c r="T69" i="9"/>
  <c r="Q69" i="9"/>
  <c r="D69" i="9"/>
  <c r="X68" i="9"/>
  <c r="W68" i="9"/>
  <c r="Y68" i="9" s="1"/>
  <c r="V68" i="9"/>
  <c r="U68" i="9"/>
  <c r="T68" i="9"/>
  <c r="Q68" i="9"/>
  <c r="D68" i="9"/>
  <c r="X67" i="9"/>
  <c r="W67" i="9"/>
  <c r="Y67" i="9" s="1"/>
  <c r="Z67" i="9" s="1"/>
  <c r="V67" i="9"/>
  <c r="U67" i="9"/>
  <c r="T67" i="9"/>
  <c r="Q67" i="9"/>
  <c r="D67" i="9"/>
  <c r="X66" i="9"/>
  <c r="W66" i="9"/>
  <c r="Y66" i="9" s="1"/>
  <c r="U66" i="9"/>
  <c r="T66" i="9"/>
  <c r="V66" i="9" s="1"/>
  <c r="R66" i="9"/>
  <c r="Q66" i="9"/>
  <c r="D66" i="9"/>
  <c r="X65" i="9"/>
  <c r="W65" i="9"/>
  <c r="Y65" i="9" s="1"/>
  <c r="Z65" i="9" s="1"/>
  <c r="V65" i="9"/>
  <c r="U65" i="9"/>
  <c r="T65" i="9"/>
  <c r="R65" i="9"/>
  <c r="Q65" i="9"/>
  <c r="D65" i="9"/>
  <c r="X64" i="9"/>
  <c r="W64" i="9"/>
  <c r="Y64" i="9" s="1"/>
  <c r="U64" i="9"/>
  <c r="V64" i="9" s="1"/>
  <c r="T64" i="9"/>
  <c r="R64" i="9"/>
  <c r="Q64" i="9" s="1"/>
  <c r="D64" i="9"/>
  <c r="X63" i="9"/>
  <c r="W63" i="9"/>
  <c r="Y63" i="9" s="1"/>
  <c r="U63" i="9"/>
  <c r="V63" i="9" s="1"/>
  <c r="T63" i="9"/>
  <c r="Q63" i="9"/>
  <c r="D63" i="9"/>
  <c r="X62" i="9"/>
  <c r="W62" i="9"/>
  <c r="Y62" i="9" s="1"/>
  <c r="Z62" i="9" s="1"/>
  <c r="U62" i="9"/>
  <c r="T62" i="9"/>
  <c r="V62" i="9" s="1"/>
  <c r="Q62" i="9"/>
  <c r="D62" i="9"/>
  <c r="X61" i="9"/>
  <c r="W61" i="9"/>
  <c r="Y61" i="9" s="1"/>
  <c r="U61" i="9"/>
  <c r="T61" i="9"/>
  <c r="V61" i="9" s="1"/>
  <c r="Q61" i="9"/>
  <c r="D61" i="9"/>
  <c r="D84" i="2" s="1"/>
  <c r="Z60" i="9"/>
  <c r="Y60" i="9"/>
  <c r="X60" i="9"/>
  <c r="W60" i="9"/>
  <c r="V60" i="9"/>
  <c r="U60" i="9"/>
  <c r="T60" i="9"/>
  <c r="Q60" i="9"/>
  <c r="D60" i="9"/>
  <c r="X59" i="9"/>
  <c r="W59" i="9"/>
  <c r="Y59" i="9" s="1"/>
  <c r="V59" i="9"/>
  <c r="U59" i="9"/>
  <c r="T59" i="9"/>
  <c r="Q59" i="9"/>
  <c r="D59" i="9"/>
  <c r="X58" i="9"/>
  <c r="W58" i="9"/>
  <c r="Y58" i="9" s="1"/>
  <c r="U58" i="9"/>
  <c r="T58" i="9"/>
  <c r="V58" i="9" s="1"/>
  <c r="R58" i="9"/>
  <c r="Q58" i="9"/>
  <c r="Z58" i="9" s="1"/>
  <c r="D58" i="9"/>
  <c r="D79" i="2" s="1"/>
  <c r="X57" i="9"/>
  <c r="W57" i="9"/>
  <c r="Y57" i="9" s="1"/>
  <c r="V57" i="9"/>
  <c r="U57" i="9"/>
  <c r="T57" i="9"/>
  <c r="R57" i="9"/>
  <c r="Q57" i="9"/>
  <c r="D57" i="9"/>
  <c r="X56" i="9"/>
  <c r="W56" i="9"/>
  <c r="Y56" i="9" s="1"/>
  <c r="U56" i="9"/>
  <c r="T56" i="9"/>
  <c r="V56" i="9" s="1"/>
  <c r="R56" i="9"/>
  <c r="Q56" i="9"/>
  <c r="Z56" i="9" s="1"/>
  <c r="D56" i="9"/>
  <c r="H77" i="2" s="1"/>
  <c r="Y55" i="9"/>
  <c r="X55" i="9"/>
  <c r="W55" i="9"/>
  <c r="U55" i="9"/>
  <c r="T55" i="9"/>
  <c r="V55" i="9" s="1"/>
  <c r="D55" i="9"/>
  <c r="X54" i="9"/>
  <c r="Y54" i="9" s="1"/>
  <c r="W54" i="9"/>
  <c r="U54" i="9"/>
  <c r="T54" i="9"/>
  <c r="V54" i="9" s="1"/>
  <c r="R54" i="9"/>
  <c r="Q54" i="9" s="1"/>
  <c r="D54" i="9"/>
  <c r="X53" i="9"/>
  <c r="W53" i="9"/>
  <c r="Y53" i="9" s="1"/>
  <c r="U53" i="9"/>
  <c r="T53" i="9"/>
  <c r="V53" i="9" s="1"/>
  <c r="R53" i="9"/>
  <c r="Q53" i="9"/>
  <c r="D53" i="9"/>
  <c r="X52" i="9"/>
  <c r="W52" i="9"/>
  <c r="Y52" i="9" s="1"/>
  <c r="U52" i="9"/>
  <c r="T52" i="9"/>
  <c r="V52" i="9" s="1"/>
  <c r="Z52" i="9" s="1"/>
  <c r="R52" i="9"/>
  <c r="Q52" i="9"/>
  <c r="D52" i="9"/>
  <c r="X51" i="9"/>
  <c r="W51" i="9"/>
  <c r="U51" i="9"/>
  <c r="T51" i="9"/>
  <c r="V51" i="9" s="1"/>
  <c r="R51" i="9"/>
  <c r="Q51" i="9"/>
  <c r="D51" i="9"/>
  <c r="X50" i="9"/>
  <c r="W50" i="9"/>
  <c r="Y50" i="9" s="1"/>
  <c r="U50" i="9"/>
  <c r="T50" i="9"/>
  <c r="V50" i="9" s="1"/>
  <c r="Q50" i="9"/>
  <c r="Z50" i="9" s="1"/>
  <c r="D50" i="9"/>
  <c r="X49" i="9"/>
  <c r="W49" i="9"/>
  <c r="Y49" i="9" s="1"/>
  <c r="U49" i="9"/>
  <c r="T49" i="9"/>
  <c r="V49" i="9" s="1"/>
  <c r="Q49" i="9"/>
  <c r="D49" i="9"/>
  <c r="X48" i="9"/>
  <c r="W48" i="9"/>
  <c r="Y48" i="9" s="1"/>
  <c r="U48" i="9"/>
  <c r="T48" i="9"/>
  <c r="V48" i="9" s="1"/>
  <c r="Q48" i="9"/>
  <c r="D48" i="9"/>
  <c r="X47" i="9"/>
  <c r="W47" i="9"/>
  <c r="Y47" i="9" s="1"/>
  <c r="Z47" i="9" s="1"/>
  <c r="V47" i="9"/>
  <c r="U47" i="9"/>
  <c r="T47" i="9"/>
  <c r="R47" i="9"/>
  <c r="Q47" i="9" s="1"/>
  <c r="D47" i="9"/>
  <c r="X46" i="9"/>
  <c r="W46" i="9"/>
  <c r="Y46" i="9" s="1"/>
  <c r="U46" i="9"/>
  <c r="T46" i="9"/>
  <c r="V46" i="9" s="1"/>
  <c r="Q46" i="9"/>
  <c r="D46" i="9"/>
  <c r="Y45" i="9"/>
  <c r="Z45" i="9" s="1"/>
  <c r="X45" i="9"/>
  <c r="W45" i="9"/>
  <c r="U45" i="9"/>
  <c r="T45" i="9"/>
  <c r="V45" i="9" s="1"/>
  <c r="Q45" i="9"/>
  <c r="D45" i="9"/>
  <c r="Y44" i="9"/>
  <c r="X44" i="9"/>
  <c r="W44" i="9"/>
  <c r="U44" i="9"/>
  <c r="T44" i="9"/>
  <c r="V44" i="9" s="1"/>
  <c r="Q44" i="9"/>
  <c r="D44" i="9"/>
  <c r="X43" i="9"/>
  <c r="W43" i="9"/>
  <c r="Y43" i="9" s="1"/>
  <c r="U43" i="9"/>
  <c r="T43" i="9"/>
  <c r="V43" i="9" s="1"/>
  <c r="Q43" i="9"/>
  <c r="D43" i="9"/>
  <c r="X42" i="9"/>
  <c r="W42" i="9"/>
  <c r="Y42" i="9" s="1"/>
  <c r="V42" i="9"/>
  <c r="Z42" i="9" s="1"/>
  <c r="U42" i="9"/>
  <c r="T42" i="9"/>
  <c r="Q42" i="9"/>
  <c r="D42" i="9"/>
  <c r="X41" i="9"/>
  <c r="W41" i="9"/>
  <c r="Y41" i="9" s="1"/>
  <c r="V41" i="9"/>
  <c r="U41" i="9"/>
  <c r="T41" i="9"/>
  <c r="Q41" i="9"/>
  <c r="D41" i="9"/>
  <c r="X40" i="9"/>
  <c r="W40" i="9"/>
  <c r="Y40" i="9" s="1"/>
  <c r="V40" i="9"/>
  <c r="Z40" i="9" s="1"/>
  <c r="U40" i="9"/>
  <c r="T40" i="9"/>
  <c r="Q40" i="9"/>
  <c r="D40" i="9"/>
  <c r="X39" i="9"/>
  <c r="W39" i="9"/>
  <c r="Y39" i="9" s="1"/>
  <c r="V39" i="9"/>
  <c r="U39" i="9"/>
  <c r="T39" i="9"/>
  <c r="R39" i="9"/>
  <c r="Q39" i="9"/>
  <c r="D39" i="9"/>
  <c r="Y38" i="9"/>
  <c r="X38" i="9"/>
  <c r="W38" i="9"/>
  <c r="U38" i="9"/>
  <c r="T38" i="9"/>
  <c r="V38" i="9" s="1"/>
  <c r="R38" i="9"/>
  <c r="Q38" i="9"/>
  <c r="D38" i="9"/>
  <c r="Y37" i="9"/>
  <c r="X37" i="9"/>
  <c r="W37" i="9"/>
  <c r="U37" i="9"/>
  <c r="T37" i="9"/>
  <c r="V37" i="9" s="1"/>
  <c r="Z37" i="9" s="1"/>
  <c r="H50" i="2" s="1"/>
  <c r="D37" i="9"/>
  <c r="T36" i="9"/>
  <c r="R36" i="9"/>
  <c r="Q36" i="9"/>
  <c r="D36" i="9"/>
  <c r="X35" i="9"/>
  <c r="Y35" i="9" s="1"/>
  <c r="Z35" i="9" s="1"/>
  <c r="H48" i="2" s="1"/>
  <c r="W35" i="9"/>
  <c r="V35" i="9"/>
  <c r="U35" i="9"/>
  <c r="T35" i="9"/>
  <c r="R35" i="9"/>
  <c r="Q35" i="9" s="1"/>
  <c r="D35" i="9"/>
  <c r="X34" i="9"/>
  <c r="W34" i="9"/>
  <c r="Y34" i="9" s="1"/>
  <c r="U34" i="9"/>
  <c r="T34" i="9"/>
  <c r="V34" i="9" s="1"/>
  <c r="Q34" i="9"/>
  <c r="Z34" i="9" s="1"/>
  <c r="D34" i="9"/>
  <c r="D47" i="2" s="1"/>
  <c r="X33" i="9"/>
  <c r="Y33" i="9" s="1"/>
  <c r="Z33" i="9" s="1"/>
  <c r="H46" i="2" s="1"/>
  <c r="W33" i="9"/>
  <c r="U33" i="9"/>
  <c r="T33" i="9"/>
  <c r="V33" i="9" s="1"/>
  <c r="Q33" i="9"/>
  <c r="D33" i="9"/>
  <c r="X32" i="9"/>
  <c r="Y32" i="9" s="1"/>
  <c r="W32" i="9"/>
  <c r="U32" i="9"/>
  <c r="T32" i="9"/>
  <c r="V32" i="9" s="1"/>
  <c r="Q32" i="9"/>
  <c r="D32" i="9"/>
  <c r="D45" i="2" s="1"/>
  <c r="X31" i="9"/>
  <c r="W31" i="9"/>
  <c r="Y31" i="9" s="1"/>
  <c r="V31" i="9"/>
  <c r="U31" i="9"/>
  <c r="T31" i="9"/>
  <c r="D31" i="9"/>
  <c r="X30" i="9"/>
  <c r="W30" i="9"/>
  <c r="Y30" i="9" s="1"/>
  <c r="U30" i="9"/>
  <c r="T30" i="9"/>
  <c r="V30" i="9" s="1"/>
  <c r="D30" i="9"/>
  <c r="X29" i="9"/>
  <c r="W29" i="9"/>
  <c r="Y29" i="9" s="1"/>
  <c r="U29" i="9"/>
  <c r="V29" i="9" s="1"/>
  <c r="T29" i="9"/>
  <c r="R29" i="9"/>
  <c r="R30" i="9" s="1"/>
  <c r="Q30" i="9" s="1"/>
  <c r="Z30" i="9" s="1"/>
  <c r="H43" i="2" s="1"/>
  <c r="D29" i="9"/>
  <c r="X28" i="9"/>
  <c r="Y28" i="9" s="1"/>
  <c r="W28" i="9"/>
  <c r="U28" i="9"/>
  <c r="T28" i="9"/>
  <c r="V28" i="9" s="1"/>
  <c r="R28" i="9"/>
  <c r="Q28" i="9"/>
  <c r="D28" i="9"/>
  <c r="D39" i="2" s="1"/>
  <c r="X27" i="9"/>
  <c r="Y27" i="9" s="1"/>
  <c r="Z27" i="9" s="1"/>
  <c r="H38" i="2" s="1"/>
  <c r="W27" i="9"/>
  <c r="V27" i="9"/>
  <c r="U27" i="9"/>
  <c r="T27" i="9"/>
  <c r="Q27" i="9"/>
  <c r="D27" i="9"/>
  <c r="X26" i="9"/>
  <c r="W26" i="9"/>
  <c r="Y26" i="9" s="1"/>
  <c r="U26" i="9"/>
  <c r="T26" i="9"/>
  <c r="V26" i="9" s="1"/>
  <c r="R26" i="9"/>
  <c r="Q26" i="9"/>
  <c r="Z26" i="9" s="1"/>
  <c r="D26" i="9"/>
  <c r="X25" i="9"/>
  <c r="Y25" i="9" s="1"/>
  <c r="Z25" i="9" s="1"/>
  <c r="H36" i="2" s="1"/>
  <c r="W25" i="9"/>
  <c r="V25" i="9"/>
  <c r="U25" i="9"/>
  <c r="T25" i="9"/>
  <c r="R25" i="9"/>
  <c r="Q25" i="9"/>
  <c r="D25" i="9"/>
  <c r="X24" i="9"/>
  <c r="W24" i="9"/>
  <c r="Y24" i="9" s="1"/>
  <c r="U24" i="9"/>
  <c r="T24" i="9"/>
  <c r="V24" i="9" s="1"/>
  <c r="D24" i="9"/>
  <c r="Y23" i="9"/>
  <c r="X23" i="9"/>
  <c r="W23" i="9"/>
  <c r="U23" i="9"/>
  <c r="V23" i="9" s="1"/>
  <c r="T23" i="9"/>
  <c r="R23" i="9"/>
  <c r="Q23" i="9"/>
  <c r="Z23" i="9" s="1"/>
  <c r="H34" i="2" s="1"/>
  <c r="D23" i="9"/>
  <c r="X22" i="9"/>
  <c r="W22" i="9"/>
  <c r="Y22" i="9" s="1"/>
  <c r="U22" i="9"/>
  <c r="T22" i="9"/>
  <c r="V22" i="9" s="1"/>
  <c r="Q22" i="9"/>
  <c r="D33" i="2" s="1"/>
  <c r="D22" i="9"/>
  <c r="X21" i="9"/>
  <c r="Y21" i="9" s="1"/>
  <c r="W21" i="9"/>
  <c r="U21" i="9"/>
  <c r="T21" i="9"/>
  <c r="V21" i="9" s="1"/>
  <c r="R21" i="9"/>
  <c r="Q21" i="9"/>
  <c r="Z21" i="9" s="1"/>
  <c r="H32" i="2" s="1"/>
  <c r="D21" i="9"/>
  <c r="X20" i="9"/>
  <c r="W20" i="9"/>
  <c r="Y20" i="9" s="1"/>
  <c r="V20" i="9"/>
  <c r="U20" i="9"/>
  <c r="T20" i="9"/>
  <c r="Q20" i="9"/>
  <c r="D20" i="9"/>
  <c r="X19" i="9"/>
  <c r="W19" i="9"/>
  <c r="U19" i="9"/>
  <c r="V19" i="9" s="1"/>
  <c r="T19" i="9"/>
  <c r="R19" i="9"/>
  <c r="R24" i="9" s="1"/>
  <c r="Q24" i="9" s="1"/>
  <c r="Q19" i="9"/>
  <c r="D19" i="9"/>
  <c r="Y18" i="9"/>
  <c r="X18" i="9"/>
  <c r="W18" i="9"/>
  <c r="U18" i="9"/>
  <c r="T18" i="9"/>
  <c r="V18" i="9" s="1"/>
  <c r="Z18" i="9" s="1"/>
  <c r="H29" i="2" s="1"/>
  <c r="Q18" i="9"/>
  <c r="D18" i="9"/>
  <c r="X17" i="9"/>
  <c r="W17" i="9"/>
  <c r="Y17" i="9" s="1"/>
  <c r="U17" i="9"/>
  <c r="T17" i="9"/>
  <c r="V17" i="9" s="1"/>
  <c r="Q17" i="9"/>
  <c r="Z17" i="9" s="1"/>
  <c r="D17" i="9"/>
  <c r="X16" i="9"/>
  <c r="W16" i="9"/>
  <c r="Y16" i="9" s="1"/>
  <c r="U16" i="9"/>
  <c r="T16" i="9"/>
  <c r="V16" i="9" s="1"/>
  <c r="R16" i="9"/>
  <c r="R15" i="9" s="1"/>
  <c r="Q15" i="9" s="1"/>
  <c r="Q16" i="9"/>
  <c r="Z16" i="9" s="1"/>
  <c r="D16" i="9"/>
  <c r="X15" i="9"/>
  <c r="W15" i="9"/>
  <c r="Y15" i="9" s="1"/>
  <c r="U15" i="9"/>
  <c r="V15" i="9" s="1"/>
  <c r="T15" i="9"/>
  <c r="D15" i="9"/>
  <c r="X14" i="9"/>
  <c r="W14" i="9"/>
  <c r="Y14" i="9" s="1"/>
  <c r="U14" i="9"/>
  <c r="T14" i="9"/>
  <c r="V14" i="9" s="1"/>
  <c r="R14" i="9"/>
  <c r="Q14" i="9"/>
  <c r="D14" i="9"/>
  <c r="Y13" i="9"/>
  <c r="X13" i="9"/>
  <c r="W13" i="9"/>
  <c r="U13" i="9"/>
  <c r="T13" i="9"/>
  <c r="V13" i="9" s="1"/>
  <c r="Z13" i="9" s="1"/>
  <c r="Q13" i="9"/>
  <c r="D13" i="9"/>
  <c r="H24" i="2" s="1"/>
  <c r="X12" i="9"/>
  <c r="W12" i="9"/>
  <c r="Y12" i="9" s="1"/>
  <c r="U12" i="9"/>
  <c r="V12" i="9" s="1"/>
  <c r="Z12" i="9" s="1"/>
  <c r="H18" i="2" s="1"/>
  <c r="T12" i="9"/>
  <c r="Q12" i="9"/>
  <c r="D12" i="9"/>
  <c r="X11" i="9"/>
  <c r="W11" i="9"/>
  <c r="Y11" i="9" s="1"/>
  <c r="U11" i="9"/>
  <c r="T11" i="9"/>
  <c r="V11" i="9" s="1"/>
  <c r="R11" i="9"/>
  <c r="Q11" i="9"/>
  <c r="Z11" i="9" s="1"/>
  <c r="D11" i="9"/>
  <c r="H17" i="2" s="1"/>
  <c r="X10" i="9"/>
  <c r="W10" i="9"/>
  <c r="U10" i="9"/>
  <c r="V10" i="9" s="1"/>
  <c r="T10" i="9"/>
  <c r="R10" i="9"/>
  <c r="Q10" i="9" s="1"/>
  <c r="D10" i="9"/>
  <c r="X9" i="9"/>
  <c r="W9" i="9"/>
  <c r="Y9" i="9" s="1"/>
  <c r="U9" i="9"/>
  <c r="T9" i="9"/>
  <c r="V9" i="9" s="1"/>
  <c r="Q9" i="9"/>
  <c r="Z9" i="9" s="1"/>
  <c r="D9" i="9"/>
  <c r="D15" i="2" s="1"/>
  <c r="X8" i="9"/>
  <c r="Y8" i="9" s="1"/>
  <c r="W8" i="9"/>
  <c r="U8" i="9"/>
  <c r="T8" i="9"/>
  <c r="V8" i="9" s="1"/>
  <c r="Z8" i="9" s="1"/>
  <c r="H14" i="2" s="1"/>
  <c r="Q8" i="9"/>
  <c r="D8" i="9"/>
  <c r="X7" i="9"/>
  <c r="W7" i="9"/>
  <c r="Y7" i="9" s="1"/>
  <c r="U7" i="9"/>
  <c r="T7" i="9"/>
  <c r="V7" i="9" s="1"/>
  <c r="R7" i="9"/>
  <c r="Q7" i="9"/>
  <c r="Z7" i="9" s="1"/>
  <c r="D7" i="9"/>
  <c r="X6" i="9"/>
  <c r="W6" i="9"/>
  <c r="Y6" i="9" s="1"/>
  <c r="U6" i="9"/>
  <c r="T6" i="9"/>
  <c r="V6" i="9" s="1"/>
  <c r="Q6" i="9"/>
  <c r="D6" i="9"/>
  <c r="X5" i="9"/>
  <c r="W5" i="9"/>
  <c r="Y5" i="9" s="1"/>
  <c r="U5" i="9"/>
  <c r="T5" i="9"/>
  <c r="V5" i="9" s="1"/>
  <c r="Q5" i="9"/>
  <c r="D5" i="9"/>
  <c r="Y4" i="9"/>
  <c r="X4" i="9"/>
  <c r="W4" i="9"/>
  <c r="U4" i="9"/>
  <c r="T4" i="9"/>
  <c r="V4" i="9" s="1"/>
  <c r="Q4" i="9"/>
  <c r="D4" i="9"/>
  <c r="X3" i="9"/>
  <c r="Y3" i="9" s="1"/>
  <c r="W3" i="9"/>
  <c r="V3" i="9"/>
  <c r="Z3" i="9" s="1"/>
  <c r="U3" i="9"/>
  <c r="T3" i="9"/>
  <c r="Q3" i="9"/>
  <c r="D3" i="9"/>
  <c r="X2" i="9"/>
  <c r="W2" i="9"/>
  <c r="Y2" i="9" s="1"/>
  <c r="U2" i="9"/>
  <c r="T2" i="9"/>
  <c r="Q2" i="9"/>
  <c r="D2" i="9"/>
  <c r="D11" i="4"/>
  <c r="D10" i="4"/>
  <c r="D9" i="4"/>
  <c r="D8" i="4"/>
  <c r="D7" i="4"/>
  <c r="D6" i="4"/>
  <c r="D5" i="4"/>
  <c r="D4" i="4"/>
  <c r="D3" i="4"/>
  <c r="D232" i="2"/>
  <c r="E231" i="2"/>
  <c r="D231" i="2"/>
  <c r="F225" i="2"/>
  <c r="E225" i="2"/>
  <c r="G225" i="2" s="1"/>
  <c r="D225" i="2"/>
  <c r="G216" i="2"/>
  <c r="F216" i="2"/>
  <c r="E216" i="2"/>
  <c r="D216" i="2"/>
  <c r="F213" i="2"/>
  <c r="D213" i="2"/>
  <c r="E210" i="2"/>
  <c r="D210" i="2"/>
  <c r="F204" i="2"/>
  <c r="E204" i="2"/>
  <c r="G204" i="2" s="1"/>
  <c r="D204" i="2"/>
  <c r="F201" i="2"/>
  <c r="F198" i="2"/>
  <c r="E198" i="2"/>
  <c r="G198" i="2" s="1"/>
  <c r="F195" i="2"/>
  <c r="E195" i="2"/>
  <c r="G195" i="2" s="1"/>
  <c r="F189" i="2"/>
  <c r="E189" i="2"/>
  <c r="F186" i="2"/>
  <c r="E186" i="2"/>
  <c r="G186" i="2" s="1"/>
  <c r="D186" i="2"/>
  <c r="E185" i="2"/>
  <c r="D185" i="2"/>
  <c r="F184" i="2"/>
  <c r="E184" i="2"/>
  <c r="G184" i="2" s="1"/>
  <c r="F181" i="2"/>
  <c r="E181" i="2"/>
  <c r="G181" i="2" s="1"/>
  <c r="D181" i="2"/>
  <c r="E180" i="2"/>
  <c r="F179" i="2"/>
  <c r="E179" i="2"/>
  <c r="G179" i="2" s="1"/>
  <c r="D179" i="2"/>
  <c r="G173" i="2"/>
  <c r="F173" i="2"/>
  <c r="E173" i="2"/>
  <c r="F170" i="2"/>
  <c r="E170" i="2"/>
  <c r="G170" i="2" s="1"/>
  <c r="F167" i="2"/>
  <c r="E167" i="2"/>
  <c r="G167" i="2" s="1"/>
  <c r="G166" i="2"/>
  <c r="F166" i="2"/>
  <c r="E166" i="2"/>
  <c r="E160" i="2"/>
  <c r="D160" i="2"/>
  <c r="F159" i="2"/>
  <c r="E159" i="2"/>
  <c r="G159" i="2" s="1"/>
  <c r="D159" i="2"/>
  <c r="F158" i="2"/>
  <c r="E158" i="2"/>
  <c r="G158" i="2" s="1"/>
  <c r="F157" i="2"/>
  <c r="D157" i="2"/>
  <c r="G156" i="2"/>
  <c r="F156" i="2"/>
  <c r="E156" i="2"/>
  <c r="D156" i="2"/>
  <c r="F155" i="2"/>
  <c r="E155" i="2"/>
  <c r="G155" i="2" s="1"/>
  <c r="D155" i="2"/>
  <c r="F154" i="2"/>
  <c r="E154" i="2"/>
  <c r="G154" i="2" s="1"/>
  <c r="F153" i="2"/>
  <c r="E153" i="2"/>
  <c r="G153" i="2" s="1"/>
  <c r="D153" i="2"/>
  <c r="F147" i="2"/>
  <c r="E147" i="2"/>
  <c r="G147" i="2" s="1"/>
  <c r="E144" i="2"/>
  <c r="F138" i="2"/>
  <c r="E138" i="2"/>
  <c r="G138" i="2" s="1"/>
  <c r="D138" i="2"/>
  <c r="F135" i="2"/>
  <c r="G135" i="2" s="1"/>
  <c r="E135" i="2"/>
  <c r="D135" i="2"/>
  <c r="F134" i="2"/>
  <c r="E134" i="2"/>
  <c r="G134" i="2" s="1"/>
  <c r="D134" i="2"/>
  <c r="F133" i="2"/>
  <c r="E133" i="2"/>
  <c r="G133" i="2" s="1"/>
  <c r="F132" i="2"/>
  <c r="E132" i="2"/>
  <c r="G132" i="2" s="1"/>
  <c r="F126" i="2"/>
  <c r="E126" i="2"/>
  <c r="G126" i="2" s="1"/>
  <c r="F125" i="2"/>
  <c r="E125" i="2"/>
  <c r="G125" i="2" s="1"/>
  <c r="F124" i="2"/>
  <c r="E124" i="2"/>
  <c r="G124" i="2" s="1"/>
  <c r="D124" i="2"/>
  <c r="F123" i="2"/>
  <c r="E123" i="2"/>
  <c r="G123" i="2" s="1"/>
  <c r="F122" i="2"/>
  <c r="G122" i="2" s="1"/>
  <c r="E122" i="2"/>
  <c r="F121" i="2"/>
  <c r="E121" i="2"/>
  <c r="G121" i="2" s="1"/>
  <c r="F120" i="2"/>
  <c r="E120" i="2"/>
  <c r="G120" i="2" s="1"/>
  <c r="F117" i="2"/>
  <c r="E117" i="2"/>
  <c r="G117" i="2" s="1"/>
  <c r="F116" i="2"/>
  <c r="G116" i="2" s="1"/>
  <c r="E116" i="2"/>
  <c r="F115" i="2"/>
  <c r="E115" i="2"/>
  <c r="G115" i="2" s="1"/>
  <c r="F114" i="2"/>
  <c r="E114" i="2"/>
  <c r="G114" i="2" s="1"/>
  <c r="F113" i="2"/>
  <c r="E113" i="2"/>
  <c r="G113" i="2" s="1"/>
  <c r="D113" i="2"/>
  <c r="G112" i="2"/>
  <c r="F112" i="2"/>
  <c r="E112" i="2"/>
  <c r="F109" i="2"/>
  <c r="E109" i="2"/>
  <c r="F108" i="2"/>
  <c r="E108" i="2"/>
  <c r="G108" i="2" s="1"/>
  <c r="G107" i="2"/>
  <c r="F107" i="2"/>
  <c r="E107" i="2"/>
  <c r="F106" i="2"/>
  <c r="E106" i="2"/>
  <c r="G106" i="2" s="1"/>
  <c r="F105" i="2"/>
  <c r="E105" i="2"/>
  <c r="G105" i="2" s="1"/>
  <c r="F104" i="2"/>
  <c r="G104" i="2" s="1"/>
  <c r="E104" i="2"/>
  <c r="F103" i="2"/>
  <c r="G103" i="2" s="1"/>
  <c r="E103" i="2"/>
  <c r="F102" i="2"/>
  <c r="E102" i="2"/>
  <c r="G102" i="2" s="1"/>
  <c r="F99" i="2"/>
  <c r="G99" i="2" s="1"/>
  <c r="E99" i="2"/>
  <c r="F98" i="2"/>
  <c r="G98" i="2" s="1"/>
  <c r="E98" i="2"/>
  <c r="F97" i="2"/>
  <c r="E97" i="2"/>
  <c r="D97" i="2"/>
  <c r="G96" i="2"/>
  <c r="F96" i="2"/>
  <c r="E96" i="2"/>
  <c r="F95" i="2"/>
  <c r="E95" i="2"/>
  <c r="G95" i="2" s="1"/>
  <c r="F94" i="2"/>
  <c r="E94" i="2"/>
  <c r="G94" i="2" s="1"/>
  <c r="F93" i="2"/>
  <c r="E93" i="2"/>
  <c r="G93" i="2" s="1"/>
  <c r="D93" i="2"/>
  <c r="G92" i="2"/>
  <c r="F92" i="2"/>
  <c r="E92" i="2"/>
  <c r="F89" i="2"/>
  <c r="E89" i="2"/>
  <c r="G89" i="2" s="1"/>
  <c r="F88" i="2"/>
  <c r="E88" i="2"/>
  <c r="G88" i="2" s="1"/>
  <c r="G87" i="2"/>
  <c r="F87" i="2"/>
  <c r="E87" i="2"/>
  <c r="F86" i="2"/>
  <c r="G86" i="2" s="1"/>
  <c r="E86" i="2"/>
  <c r="D86" i="2"/>
  <c r="F85" i="2"/>
  <c r="E85" i="2"/>
  <c r="G85" i="2" s="1"/>
  <c r="F84" i="2"/>
  <c r="E84" i="2"/>
  <c r="G84" i="2" s="1"/>
  <c r="F83" i="2"/>
  <c r="E83" i="2"/>
  <c r="G83" i="2" s="1"/>
  <c r="F82" i="2"/>
  <c r="G82" i="2" s="1"/>
  <c r="E82" i="2"/>
  <c r="F79" i="2"/>
  <c r="E79" i="2"/>
  <c r="G79" i="2" s="1"/>
  <c r="F78" i="2"/>
  <c r="E78" i="2"/>
  <c r="G78" i="2" s="1"/>
  <c r="D78" i="2"/>
  <c r="F77" i="2"/>
  <c r="E77" i="2"/>
  <c r="G77" i="2" s="1"/>
  <c r="D77" i="2"/>
  <c r="G76" i="2"/>
  <c r="F76" i="2"/>
  <c r="E76" i="2"/>
  <c r="F75" i="2"/>
  <c r="E75" i="2"/>
  <c r="G75" i="2" s="1"/>
  <c r="F74" i="2"/>
  <c r="E74" i="2"/>
  <c r="G74" i="2" s="1"/>
  <c r="F73" i="2"/>
  <c r="G73" i="2" s="1"/>
  <c r="E73" i="2"/>
  <c r="D73" i="2"/>
  <c r="F72" i="2"/>
  <c r="G72" i="2" s="1"/>
  <c r="E72" i="2"/>
  <c r="F69" i="2"/>
  <c r="E69" i="2"/>
  <c r="G69" i="2" s="1"/>
  <c r="H68" i="2"/>
  <c r="F68" i="2"/>
  <c r="G68" i="2" s="1"/>
  <c r="E68" i="2"/>
  <c r="D68" i="2"/>
  <c r="F67" i="2"/>
  <c r="G67" i="2" s="1"/>
  <c r="E67" i="2"/>
  <c r="D67" i="2"/>
  <c r="F66" i="2"/>
  <c r="E66" i="2"/>
  <c r="G66" i="2" s="1"/>
  <c r="F65" i="2"/>
  <c r="E65" i="2"/>
  <c r="G65" i="2" s="1"/>
  <c r="F64" i="2"/>
  <c r="E64" i="2"/>
  <c r="G64" i="2" s="1"/>
  <c r="G63" i="2"/>
  <c r="F63" i="2"/>
  <c r="E63" i="2"/>
  <c r="F62" i="2"/>
  <c r="E62" i="2"/>
  <c r="G62" i="2" s="1"/>
  <c r="G61" i="2"/>
  <c r="F61" i="2"/>
  <c r="E61" i="2"/>
  <c r="F60" i="2"/>
  <c r="E60" i="2"/>
  <c r="G60" i="2" s="1"/>
  <c r="F59" i="2"/>
  <c r="G59" i="2" s="1"/>
  <c r="E59" i="2"/>
  <c r="F58" i="2"/>
  <c r="E58" i="2"/>
  <c r="G58" i="2" s="1"/>
  <c r="F52" i="2"/>
  <c r="E52" i="2"/>
  <c r="G52" i="2" s="1"/>
  <c r="D52" i="2"/>
  <c r="F51" i="2"/>
  <c r="E51" i="2"/>
  <c r="G51" i="2" s="1"/>
  <c r="D51" i="2"/>
  <c r="G50" i="2"/>
  <c r="F50" i="2"/>
  <c r="E50" i="2"/>
  <c r="D50" i="2"/>
  <c r="F49" i="2"/>
  <c r="E49" i="2"/>
  <c r="G49" i="2" s="1"/>
  <c r="F48" i="2"/>
  <c r="E48" i="2"/>
  <c r="G48" i="2" s="1"/>
  <c r="D48" i="2"/>
  <c r="F47" i="2"/>
  <c r="E47" i="2"/>
  <c r="F46" i="2"/>
  <c r="E46" i="2"/>
  <c r="D46" i="2"/>
  <c r="F45" i="2"/>
  <c r="E45" i="2"/>
  <c r="G45" i="2" s="1"/>
  <c r="F44" i="2"/>
  <c r="E44" i="2"/>
  <c r="G44" i="2" s="1"/>
  <c r="F43" i="2"/>
  <c r="E43" i="2"/>
  <c r="G43" i="2" s="1"/>
  <c r="D43" i="2"/>
  <c r="G42" i="2"/>
  <c r="F42" i="2"/>
  <c r="E42" i="2"/>
  <c r="F39" i="2"/>
  <c r="E39" i="2"/>
  <c r="G39" i="2" s="1"/>
  <c r="F38" i="2"/>
  <c r="E38" i="2"/>
  <c r="G38" i="2" s="1"/>
  <c r="D38" i="2"/>
  <c r="H37" i="2"/>
  <c r="F37" i="2"/>
  <c r="E37" i="2"/>
  <c r="G37" i="2" s="1"/>
  <c r="D37" i="2"/>
  <c r="G36" i="2"/>
  <c r="F36" i="2"/>
  <c r="E36" i="2"/>
  <c r="D36" i="2"/>
  <c r="F35" i="2"/>
  <c r="G35" i="2" s="1"/>
  <c r="E35" i="2"/>
  <c r="F34" i="2"/>
  <c r="E34" i="2"/>
  <c r="G34" i="2" s="1"/>
  <c r="D34" i="2"/>
  <c r="F33" i="2"/>
  <c r="G33" i="2" s="1"/>
  <c r="E33" i="2"/>
  <c r="F32" i="2"/>
  <c r="E32" i="2"/>
  <c r="G32" i="2" s="1"/>
  <c r="F31" i="2"/>
  <c r="E31" i="2"/>
  <c r="G31" i="2" s="1"/>
  <c r="D31" i="2"/>
  <c r="F30" i="2"/>
  <c r="E30" i="2"/>
  <c r="G30" i="2" s="1"/>
  <c r="D30" i="2"/>
  <c r="G29" i="2"/>
  <c r="F29" i="2"/>
  <c r="E29" i="2"/>
  <c r="D29" i="2"/>
  <c r="F28" i="2"/>
  <c r="E28" i="2"/>
  <c r="G28" i="2" s="1"/>
  <c r="H27" i="2"/>
  <c r="F27" i="2"/>
  <c r="E27" i="2"/>
  <c r="G27" i="2" s="1"/>
  <c r="D27" i="2"/>
  <c r="F26" i="2"/>
  <c r="E26" i="2"/>
  <c r="G26" i="2" s="1"/>
  <c r="F25" i="2"/>
  <c r="E25" i="2"/>
  <c r="G25" i="2" s="1"/>
  <c r="D25" i="2"/>
  <c r="F24" i="2"/>
  <c r="E24" i="2"/>
  <c r="G24" i="2" s="1"/>
  <c r="G18" i="2"/>
  <c r="F18" i="2"/>
  <c r="E18" i="2"/>
  <c r="D18" i="2"/>
  <c r="F17" i="2"/>
  <c r="E17" i="2"/>
  <c r="G17" i="2" s="1"/>
  <c r="D17" i="2"/>
  <c r="G16" i="2"/>
  <c r="F16" i="2"/>
  <c r="E16" i="2"/>
  <c r="D16" i="2"/>
  <c r="F15" i="2"/>
  <c r="E15" i="2"/>
  <c r="G15" i="2" s="1"/>
  <c r="F14" i="2"/>
  <c r="E14" i="2"/>
  <c r="G14" i="2" s="1"/>
  <c r="D14" i="2"/>
  <c r="H13" i="2"/>
  <c r="F13" i="2"/>
  <c r="E13" i="2"/>
  <c r="G13" i="2" s="1"/>
  <c r="D13" i="2"/>
  <c r="G12" i="2"/>
  <c r="F12" i="2"/>
  <c r="E12" i="2"/>
  <c r="F11" i="2"/>
  <c r="E11" i="2"/>
  <c r="G11" i="2" s="1"/>
  <c r="D11" i="2"/>
  <c r="F10" i="2"/>
  <c r="E10" i="2"/>
  <c r="G10" i="2" s="1"/>
  <c r="D10" i="2"/>
  <c r="H9" i="2"/>
  <c r="F9" i="2"/>
  <c r="G9" i="2" s="1"/>
  <c r="E9" i="2"/>
  <c r="D9" i="2"/>
  <c r="F8" i="2"/>
  <c r="E8" i="2"/>
  <c r="G8" i="2" s="1"/>
  <c r="D8" i="2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Z59" i="9" l="1"/>
  <c r="Z57" i="9"/>
  <c r="H78" i="2" s="1"/>
  <c r="Z161" i="9"/>
  <c r="Z279" i="9"/>
  <c r="Y10" i="9"/>
  <c r="Z10" i="9" s="1"/>
  <c r="H16" i="2" s="1"/>
  <c r="Z197" i="9"/>
  <c r="H94" i="2" s="1"/>
  <c r="R433" i="9"/>
  <c r="Q433" i="9" s="1"/>
  <c r="Z433" i="9" s="1"/>
  <c r="Q402" i="9"/>
  <c r="D103" i="2" s="1"/>
  <c r="R415" i="9"/>
  <c r="Q415" i="9" s="1"/>
  <c r="Z415" i="9" s="1"/>
  <c r="K15" i="23"/>
  <c r="D102" i="2"/>
  <c r="K14" i="23"/>
  <c r="R414" i="9"/>
  <c r="Q414" i="9" s="1"/>
  <c r="Z393" i="9"/>
  <c r="K14" i="22"/>
  <c r="D49" i="2"/>
  <c r="Z199" i="9"/>
  <c r="R406" i="9"/>
  <c r="Q406" i="9" s="1"/>
  <c r="Z406" i="9" s="1"/>
  <c r="R435" i="9"/>
  <c r="G97" i="2"/>
  <c r="G185" i="2"/>
  <c r="Z6" i="9"/>
  <c r="H12" i="2" s="1"/>
  <c r="D12" i="2"/>
  <c r="Y159" i="9"/>
  <c r="Z195" i="9"/>
  <c r="Z204" i="9"/>
  <c r="Z462" i="9"/>
  <c r="AC76" i="9"/>
  <c r="R111" i="9"/>
  <c r="Q111" i="9" s="1"/>
  <c r="Z111" i="9" s="1"/>
  <c r="Q78" i="9"/>
  <c r="Z78" i="9" s="1"/>
  <c r="H108" i="2" s="1"/>
  <c r="R113" i="9"/>
  <c r="Q113" i="9" s="1"/>
  <c r="Z113" i="9" s="1"/>
  <c r="AC78" i="9"/>
  <c r="Z24" i="9"/>
  <c r="D35" i="2"/>
  <c r="H28" i="2"/>
  <c r="D28" i="2"/>
  <c r="Z201" i="9"/>
  <c r="H89" i="2"/>
  <c r="D89" i="2"/>
  <c r="H66" i="2"/>
  <c r="Z295" i="9"/>
  <c r="G47" i="2"/>
  <c r="D98" i="2"/>
  <c r="Z214" i="9"/>
  <c r="Z216" i="9"/>
  <c r="Q359" i="9"/>
  <c r="Z359" i="9" s="1"/>
  <c r="R361" i="9"/>
  <c r="Q361" i="9" s="1"/>
  <c r="Z361" i="9" s="1"/>
  <c r="Z547" i="9"/>
  <c r="V596" i="9"/>
  <c r="Z596" i="9" s="1"/>
  <c r="Z20" i="9"/>
  <c r="H31" i="2" s="1"/>
  <c r="Y51" i="9"/>
  <c r="Z51" i="9" s="1"/>
  <c r="Z83" i="9"/>
  <c r="Z157" i="9"/>
  <c r="Z178" i="9"/>
  <c r="R128" i="9"/>
  <c r="Q128" i="9" s="1"/>
  <c r="Z128" i="9" s="1"/>
  <c r="Q126" i="9"/>
  <c r="Z126" i="9" s="1"/>
  <c r="Q193" i="9"/>
  <c r="Z193" i="9" s="1"/>
  <c r="R194" i="9"/>
  <c r="Q194" i="9" s="1"/>
  <c r="Z194" i="9" s="1"/>
  <c r="Z19" i="9"/>
  <c r="H30" i="2" s="1"/>
  <c r="H40" i="2" s="1"/>
  <c r="Z262" i="9"/>
  <c r="H92" i="2" s="1"/>
  <c r="F27" i="8"/>
  <c r="H47" i="2"/>
  <c r="Z49" i="9"/>
  <c r="H67" i="2" s="1"/>
  <c r="Q153" i="9"/>
  <c r="Z153" i="9" s="1"/>
  <c r="V338" i="9"/>
  <c r="Z338" i="9" s="1"/>
  <c r="Z343" i="9"/>
  <c r="Z460" i="9"/>
  <c r="D133" i="2"/>
  <c r="Z527" i="9"/>
  <c r="Y589" i="9"/>
  <c r="Z182" i="9"/>
  <c r="Z330" i="9"/>
  <c r="Z412" i="9"/>
  <c r="Z254" i="9"/>
  <c r="Z288" i="9"/>
  <c r="H114" i="2"/>
  <c r="D115" i="2"/>
  <c r="K19" i="25"/>
  <c r="R482" i="9"/>
  <c r="Z292" i="9"/>
  <c r="Z305" i="9"/>
  <c r="D112" i="2"/>
  <c r="Z322" i="9"/>
  <c r="Z419" i="9"/>
  <c r="V657" i="9"/>
  <c r="G144" i="2"/>
  <c r="D166" i="2"/>
  <c r="H15" i="2"/>
  <c r="D121" i="2"/>
  <c r="Z46" i="9"/>
  <c r="H123" i="2"/>
  <c r="H126" i="2"/>
  <c r="D123" i="2"/>
  <c r="D120" i="2"/>
  <c r="D126" i="2"/>
  <c r="Z490" i="9"/>
  <c r="H122" i="2" s="1"/>
  <c r="V651" i="9"/>
  <c r="Z152" i="9"/>
  <c r="Z274" i="9"/>
  <c r="Z277" i="9"/>
  <c r="V515" i="9"/>
  <c r="D87" i="2"/>
  <c r="K15" i="22"/>
  <c r="R351" i="9"/>
  <c r="Q351" i="9" s="1"/>
  <c r="Z351" i="9" s="1"/>
  <c r="R319" i="9"/>
  <c r="Q319" i="9" s="1"/>
  <c r="Z319" i="9" s="1"/>
  <c r="Z133" i="9"/>
  <c r="Z447" i="9"/>
  <c r="Z131" i="9"/>
  <c r="Z168" i="9"/>
  <c r="Z206" i="9"/>
  <c r="Z148" i="9"/>
  <c r="Z417" i="9"/>
  <c r="R456" i="9"/>
  <c r="Q456" i="9" s="1"/>
  <c r="Z456" i="9" s="1"/>
  <c r="Q454" i="9"/>
  <c r="Z454" i="9" s="1"/>
  <c r="Y779" i="9"/>
  <c r="D24" i="2"/>
  <c r="V2" i="9"/>
  <c r="Z48" i="9"/>
  <c r="Z269" i="9"/>
  <c r="Z15" i="9"/>
  <c r="H26" i="2" s="1"/>
  <c r="D26" i="2"/>
  <c r="Z171" i="9"/>
  <c r="Z209" i="9"/>
  <c r="D99" i="2"/>
  <c r="Z297" i="9"/>
  <c r="D144" i="2"/>
  <c r="Z328" i="9"/>
  <c r="Z275" i="9"/>
  <c r="Z54" i="9"/>
  <c r="H35" i="2"/>
  <c r="Z44" i="9"/>
  <c r="D66" i="2"/>
  <c r="H79" i="2"/>
  <c r="H45" i="2"/>
  <c r="G109" i="2"/>
  <c r="H115" i="2"/>
  <c r="D198" i="2"/>
  <c r="Z28" i="9"/>
  <c r="H86" i="2"/>
  <c r="Y71" i="9"/>
  <c r="Z85" i="9"/>
  <c r="R88" i="9"/>
  <c r="Q88" i="9" s="1"/>
  <c r="V488" i="9"/>
  <c r="Z488" i="9" s="1"/>
  <c r="H120" i="2" s="1"/>
  <c r="Z559" i="9"/>
  <c r="V616" i="9"/>
  <c r="Y636" i="9"/>
  <c r="Y696" i="9"/>
  <c r="Y705" i="9"/>
  <c r="Z705" i="9" s="1"/>
  <c r="D96" i="2"/>
  <c r="Z139" i="9"/>
  <c r="Z360" i="9"/>
  <c r="Z32" i="9"/>
  <c r="H113" i="2"/>
  <c r="K15" i="25"/>
  <c r="R478" i="9"/>
  <c r="Q478" i="9" s="1"/>
  <c r="Z478" i="9" s="1"/>
  <c r="D114" i="2"/>
  <c r="Z71" i="9"/>
  <c r="Z571" i="9"/>
  <c r="K14" i="25"/>
  <c r="R477" i="9"/>
  <c r="Q477" i="9" s="1"/>
  <c r="Z477" i="9" s="1"/>
  <c r="K16" i="25"/>
  <c r="R479" i="9"/>
  <c r="Q479" i="9" s="1"/>
  <c r="Z479" i="9" s="1"/>
  <c r="O7" i="30"/>
  <c r="I9" i="30" s="1"/>
  <c r="Z64" i="9"/>
  <c r="Z350" i="9"/>
  <c r="H39" i="2"/>
  <c r="D105" i="2"/>
  <c r="Z5" i="9"/>
  <c r="H11" i="2" s="1"/>
  <c r="Z14" i="9"/>
  <c r="H25" i="2" s="1"/>
  <c r="Z22" i="9"/>
  <c r="H33" i="2" s="1"/>
  <c r="Z63" i="9"/>
  <c r="Z105" i="9"/>
  <c r="Z188" i="9"/>
  <c r="Z192" i="9"/>
  <c r="Z207" i="9"/>
  <c r="R261" i="9"/>
  <c r="Q261" i="9" s="1"/>
  <c r="Z261" i="9" s="1"/>
  <c r="Q259" i="9"/>
  <c r="Z259" i="9" s="1"/>
  <c r="Z340" i="9"/>
  <c r="Z391" i="9"/>
  <c r="Z450" i="9"/>
  <c r="Z481" i="9"/>
  <c r="Z602" i="9"/>
  <c r="H135" i="2" s="1"/>
  <c r="Z646" i="9"/>
  <c r="Z347" i="9"/>
  <c r="R323" i="9"/>
  <c r="R387" i="9"/>
  <c r="Z87" i="9"/>
  <c r="Z176" i="9"/>
  <c r="Z229" i="9"/>
  <c r="D75" i="2"/>
  <c r="D147" i="2"/>
  <c r="D92" i="2"/>
  <c r="H121" i="2"/>
  <c r="H125" i="2"/>
  <c r="G46" i="2"/>
  <c r="D122" i="2"/>
  <c r="D32" i="2"/>
  <c r="Z38" i="9"/>
  <c r="H51" i="2" s="1"/>
  <c r="Z61" i="9"/>
  <c r="Y69" i="9"/>
  <c r="Z69" i="9" s="1"/>
  <c r="H96" i="2" s="1"/>
  <c r="Z86" i="9"/>
  <c r="Y123" i="9"/>
  <c r="Z159" i="9"/>
  <c r="V169" i="9"/>
  <c r="Z169" i="9" s="1"/>
  <c r="Z190" i="9"/>
  <c r="R342" i="9"/>
  <c r="Q342" i="9" s="1"/>
  <c r="Z342" i="9" s="1"/>
  <c r="Z378" i="9"/>
  <c r="Z264" i="9"/>
  <c r="Y606" i="9"/>
  <c r="Q472" i="9"/>
  <c r="Z472" i="9" s="1"/>
  <c r="R474" i="9"/>
  <c r="Q474" i="9" s="1"/>
  <c r="Y82" i="9"/>
  <c r="Z90" i="9"/>
  <c r="Y107" i="9"/>
  <c r="Z107" i="9" s="1"/>
  <c r="H102" i="2" s="1"/>
  <c r="Z143" i="9"/>
  <c r="H83" i="2" s="1"/>
  <c r="Z145" i="9"/>
  <c r="H85" i="2" s="1"/>
  <c r="Y161" i="9"/>
  <c r="Y211" i="9"/>
  <c r="Z211" i="9" s="1"/>
  <c r="H88" i="2" s="1"/>
  <c r="V264" i="9"/>
  <c r="Y279" i="9"/>
  <c r="Y292" i="9"/>
  <c r="V319" i="9"/>
  <c r="Z365" i="9"/>
  <c r="Z367" i="9"/>
  <c r="V412" i="9"/>
  <c r="Z431" i="9"/>
  <c r="V486" i="9"/>
  <c r="V512" i="9"/>
  <c r="V517" i="9"/>
  <c r="Z517" i="9" s="1"/>
  <c r="V632" i="9"/>
  <c r="Y692" i="9"/>
  <c r="Z692" i="9" s="1"/>
  <c r="Y795" i="9"/>
  <c r="Z66" i="9"/>
  <c r="Z234" i="9"/>
  <c r="Z272" i="9"/>
  <c r="R329" i="9"/>
  <c r="Q329" i="9" s="1"/>
  <c r="Z329" i="9" s="1"/>
  <c r="Z425" i="9"/>
  <c r="Z508" i="9"/>
  <c r="V639" i="9"/>
  <c r="Z639" i="9" s="1"/>
  <c r="V830" i="9"/>
  <c r="Z287" i="9"/>
  <c r="Z39" i="9"/>
  <c r="H52" i="2" s="1"/>
  <c r="Z158" i="9"/>
  <c r="Z236" i="9"/>
  <c r="V304" i="9"/>
  <c r="Z304" i="9" s="1"/>
  <c r="Z410" i="9"/>
  <c r="Z427" i="9"/>
  <c r="Z466" i="9"/>
  <c r="R486" i="9"/>
  <c r="Q484" i="9"/>
  <c r="Z484" i="9" s="1"/>
  <c r="Y521" i="9"/>
  <c r="Z521" i="9" s="1"/>
  <c r="V621" i="9"/>
  <c r="Z621" i="9" s="1"/>
  <c r="V670" i="9"/>
  <c r="V763" i="9"/>
  <c r="Z302" i="9"/>
  <c r="Z325" i="9"/>
  <c r="Z363" i="9"/>
  <c r="Y19" i="9"/>
  <c r="Q29" i="9"/>
  <c r="Z41" i="9"/>
  <c r="Z43" i="9"/>
  <c r="Z68" i="9"/>
  <c r="Z70" i="9"/>
  <c r="Z102" i="9"/>
  <c r="Z104" i="9"/>
  <c r="Y262" i="9"/>
  <c r="V289" i="9"/>
  <c r="Z289" i="9" s="1"/>
  <c r="R308" i="9"/>
  <c r="Q308" i="9" s="1"/>
  <c r="Z308" i="9" s="1"/>
  <c r="Z312" i="9"/>
  <c r="Z314" i="9"/>
  <c r="V352" i="9"/>
  <c r="Z390" i="9"/>
  <c r="V429" i="9"/>
  <c r="Z429" i="9" s="1"/>
  <c r="H99" i="2" s="1"/>
  <c r="R473" i="9"/>
  <c r="Q473" i="9" s="1"/>
  <c r="Z473" i="9" s="1"/>
  <c r="H116" i="2" s="1"/>
  <c r="D195" i="2"/>
  <c r="D201" i="2"/>
  <c r="D170" i="2"/>
  <c r="D154" i="2"/>
  <c r="D219" i="2"/>
  <c r="R31" i="9"/>
  <c r="Q31" i="9" s="1"/>
  <c r="Z53" i="9"/>
  <c r="Z138" i="9"/>
  <c r="R240" i="9"/>
  <c r="Q240" i="9" s="1"/>
  <c r="Z240" i="9" s="1"/>
  <c r="Z257" i="9"/>
  <c r="Z337" i="9"/>
  <c r="Z373" i="9"/>
  <c r="Z400" i="9"/>
  <c r="Z449" i="9"/>
  <c r="Y547" i="9"/>
  <c r="Z589" i="9"/>
  <c r="G189" i="2"/>
  <c r="Z2" i="9"/>
  <c r="Z4" i="9"/>
  <c r="H10" i="2" s="1"/>
  <c r="R55" i="9"/>
  <c r="Q55" i="9" s="1"/>
  <c r="Z166" i="9"/>
  <c r="Z244" i="9"/>
  <c r="Z246" i="9"/>
  <c r="V274" i="9"/>
  <c r="Z375" i="9"/>
  <c r="Z377" i="9"/>
  <c r="V419" i="9"/>
  <c r="Z453" i="9"/>
  <c r="V514" i="9"/>
  <c r="Z514" i="9" s="1"/>
  <c r="Y679" i="9"/>
  <c r="Y742" i="9"/>
  <c r="T708" i="9"/>
  <c r="V708" i="9" s="1"/>
  <c r="X694" i="9"/>
  <c r="T679" i="9"/>
  <c r="V679" i="9" s="1"/>
  <c r="Z679" i="9" s="1"/>
  <c r="U676" i="9"/>
  <c r="U666" i="9"/>
  <c r="X663" i="9"/>
  <c r="X660" i="9"/>
  <c r="T658" i="9"/>
  <c r="T653" i="9"/>
  <c r="X650" i="9"/>
  <c r="U648" i="9"/>
  <c r="W643" i="9"/>
  <c r="T636" i="9"/>
  <c r="V636" i="9" s="1"/>
  <c r="X631" i="9"/>
  <c r="U629" i="9"/>
  <c r="X624" i="9"/>
  <c r="T620" i="9"/>
  <c r="V620" i="9" s="1"/>
  <c r="X615" i="9"/>
  <c r="U613" i="9"/>
  <c r="X608" i="9"/>
  <c r="T604" i="9"/>
  <c r="V604" i="9" s="1"/>
  <c r="Z604" i="9" s="1"/>
  <c r="X599" i="9"/>
  <c r="U597" i="9"/>
  <c r="T595" i="9"/>
  <c r="X586" i="9"/>
  <c r="X584" i="9"/>
  <c r="X582" i="9"/>
  <c r="X580" i="9"/>
  <c r="X578" i="9"/>
  <c r="X576" i="9"/>
  <c r="X574" i="9"/>
  <c r="X572" i="9"/>
  <c r="X570" i="9"/>
  <c r="X568" i="9"/>
  <c r="X566" i="9"/>
  <c r="X564" i="9"/>
  <c r="X562" i="9"/>
  <c r="X560" i="9"/>
  <c r="X558" i="9"/>
  <c r="X556" i="9"/>
  <c r="X554" i="9"/>
  <c r="X552" i="9"/>
  <c r="X550" i="9"/>
  <c r="X548" i="9"/>
  <c r="X546" i="9"/>
  <c r="X544" i="9"/>
  <c r="X542" i="9"/>
  <c r="X540" i="9"/>
  <c r="X538" i="9"/>
  <c r="X536" i="9"/>
  <c r="X534" i="9"/>
  <c r="Y534" i="9" s="1"/>
  <c r="Z534" i="9" s="1"/>
  <c r="X532" i="9"/>
  <c r="T757" i="9"/>
  <c r="V757" i="9" s="1"/>
  <c r="T746" i="9"/>
  <c r="V746" i="9" s="1"/>
  <c r="U741" i="9"/>
  <c r="W694" i="9"/>
  <c r="X691" i="9"/>
  <c r="T688" i="9"/>
  <c r="U685" i="9"/>
  <c r="T666" i="9"/>
  <c r="W663" i="9"/>
  <c r="Y663" i="9" s="1"/>
  <c r="W660" i="9"/>
  <c r="Y660" i="9" s="1"/>
  <c r="X655" i="9"/>
  <c r="W650" i="9"/>
  <c r="Y650" i="9" s="1"/>
  <c r="T648" i="9"/>
  <c r="V648" i="9" s="1"/>
  <c r="T643" i="9"/>
  <c r="V643" i="9" s="1"/>
  <c r="X640" i="9"/>
  <c r="U638" i="9"/>
  <c r="W631" i="9"/>
  <c r="Y631" i="9" s="1"/>
  <c r="T629" i="9"/>
  <c r="W624" i="9"/>
  <c r="U622" i="9"/>
  <c r="W615" i="9"/>
  <c r="T613" i="9"/>
  <c r="W608" i="9"/>
  <c r="U606" i="9"/>
  <c r="W599" i="9"/>
  <c r="Y599" i="9" s="1"/>
  <c r="T597" i="9"/>
  <c r="V597" i="9" s="1"/>
  <c r="X588" i="9"/>
  <c r="W586" i="9"/>
  <c r="Y586" i="9" s="1"/>
  <c r="W584" i="9"/>
  <c r="Y584" i="9" s="1"/>
  <c r="W582" i="9"/>
  <c r="Y582" i="9" s="1"/>
  <c r="W580" i="9"/>
  <c r="Y580" i="9" s="1"/>
  <c r="W578" i="9"/>
  <c r="Y578" i="9" s="1"/>
  <c r="W576" i="9"/>
  <c r="Y576" i="9" s="1"/>
  <c r="W574" i="9"/>
  <c r="W572" i="9"/>
  <c r="W570" i="9"/>
  <c r="W568" i="9"/>
  <c r="W566" i="9"/>
  <c r="W564" i="9"/>
  <c r="W562" i="9"/>
  <c r="W560" i="9"/>
  <c r="Y560" i="9" s="1"/>
  <c r="W558" i="9"/>
  <c r="Y558" i="9" s="1"/>
  <c r="W556" i="9"/>
  <c r="Y556" i="9" s="1"/>
  <c r="W554" i="9"/>
  <c r="Y554" i="9" s="1"/>
  <c r="W552" i="9"/>
  <c r="Y552" i="9" s="1"/>
  <c r="W550" i="9"/>
  <c r="Y550" i="9" s="1"/>
  <c r="W548" i="9"/>
  <c r="Y548" i="9" s="1"/>
  <c r="W546" i="9"/>
  <c r="Y546" i="9" s="1"/>
  <c r="W544" i="9"/>
  <c r="Y544" i="9" s="1"/>
  <c r="W542" i="9"/>
  <c r="W540" i="9"/>
  <c r="W538" i="9"/>
  <c r="W536" i="9"/>
  <c r="U736" i="9"/>
  <c r="X731" i="9"/>
  <c r="X726" i="9"/>
  <c r="X722" i="9"/>
  <c r="T718" i="9"/>
  <c r="V718" i="9" s="1"/>
  <c r="X714" i="9"/>
  <c r="X704" i="9"/>
  <c r="U694" i="9"/>
  <c r="W691" i="9"/>
  <c r="Y691" i="9" s="1"/>
  <c r="T685" i="9"/>
  <c r="V685" i="9" s="1"/>
  <c r="Z685" i="9" s="1"/>
  <c r="X681" i="9"/>
  <c r="X672" i="9"/>
  <c r="W655" i="9"/>
  <c r="X645" i="9"/>
  <c r="W640" i="9"/>
  <c r="T638" i="9"/>
  <c r="X633" i="9"/>
  <c r="U631" i="9"/>
  <c r="X626" i="9"/>
  <c r="T622" i="9"/>
  <c r="V622" i="9" s="1"/>
  <c r="Z622" i="9" s="1"/>
  <c r="X617" i="9"/>
  <c r="U615" i="9"/>
  <c r="X610" i="9"/>
  <c r="T606" i="9"/>
  <c r="V606" i="9" s="1"/>
  <c r="Z606" i="9" s="1"/>
  <c r="X601" i="9"/>
  <c r="U599" i="9"/>
  <c r="X590" i="9"/>
  <c r="W588" i="9"/>
  <c r="Y588" i="9" s="1"/>
  <c r="X762" i="9"/>
  <c r="X750" i="9"/>
  <c r="X745" i="9"/>
  <c r="T736" i="9"/>
  <c r="W731" i="9"/>
  <c r="Y731" i="9" s="1"/>
  <c r="W726" i="9"/>
  <c r="W722" i="9"/>
  <c r="W714" i="9"/>
  <c r="X710" i="9"/>
  <c r="X707" i="9"/>
  <c r="X700" i="9"/>
  <c r="X697" i="9"/>
  <c r="T694" i="9"/>
  <c r="V694" i="9" s="1"/>
  <c r="W681" i="9"/>
  <c r="U675" i="9"/>
  <c r="W672" i="9"/>
  <c r="Y672" i="9" s="1"/>
  <c r="U660" i="9"/>
  <c r="T655" i="9"/>
  <c r="X652" i="9"/>
  <c r="U650" i="9"/>
  <c r="W645" i="9"/>
  <c r="W633" i="9"/>
  <c r="T631" i="9"/>
  <c r="V631" i="9" s="1"/>
  <c r="W626" i="9"/>
  <c r="Y626" i="9" s="1"/>
  <c r="U624" i="9"/>
  <c r="W617" i="9"/>
  <c r="Y617" i="9" s="1"/>
  <c r="T615" i="9"/>
  <c r="V615" i="9" s="1"/>
  <c r="W610" i="9"/>
  <c r="Y610" i="9" s="1"/>
  <c r="U608" i="9"/>
  <c r="W601" i="9"/>
  <c r="Y601" i="9" s="1"/>
  <c r="T599" i="9"/>
  <c r="V599" i="9" s="1"/>
  <c r="Z599" i="9" s="1"/>
  <c r="X592" i="9"/>
  <c r="W590" i="9"/>
  <c r="U586" i="9"/>
  <c r="U584" i="9"/>
  <c r="U582" i="9"/>
  <c r="U580" i="9"/>
  <c r="U578" i="9"/>
  <c r="U576" i="9"/>
  <c r="U574" i="9"/>
  <c r="U572" i="9"/>
  <c r="U570" i="9"/>
  <c r="U568" i="9"/>
  <c r="U566" i="9"/>
  <c r="U564" i="9"/>
  <c r="U562" i="9"/>
  <c r="U560" i="9"/>
  <c r="U558" i="9"/>
  <c r="U556" i="9"/>
  <c r="U554" i="9"/>
  <c r="U552" i="9"/>
  <c r="U550" i="9"/>
  <c r="U548" i="9"/>
  <c r="U546" i="9"/>
  <c r="U544" i="9"/>
  <c r="U542" i="9"/>
  <c r="U540" i="9"/>
  <c r="U538" i="9"/>
  <c r="U536" i="9"/>
  <c r="X780" i="9"/>
  <c r="U775" i="9"/>
  <c r="W762" i="9"/>
  <c r="Y762" i="9" s="1"/>
  <c r="W750" i="9"/>
  <c r="Y750" i="9" s="1"/>
  <c r="U740" i="9"/>
  <c r="W710" i="9"/>
  <c r="W707" i="9"/>
  <c r="W703" i="9"/>
  <c r="U691" i="9"/>
  <c r="X678" i="9"/>
  <c r="T675" i="9"/>
  <c r="U672" i="9"/>
  <c r="X668" i="9"/>
  <c r="X662" i="9"/>
  <c r="T660" i="9"/>
  <c r="V660" i="9" s="1"/>
  <c r="Z660" i="9" s="1"/>
  <c r="X657" i="9"/>
  <c r="W652" i="9"/>
  <c r="Y652" i="9" s="1"/>
  <c r="T650" i="9"/>
  <c r="V650" i="9" s="1"/>
  <c r="Z650" i="9" s="1"/>
  <c r="T645" i="9"/>
  <c r="V645" i="9" s="1"/>
  <c r="X642" i="9"/>
  <c r="U640" i="9"/>
  <c r="X635" i="9"/>
  <c r="U633" i="9"/>
  <c r="X628" i="9"/>
  <c r="T624" i="9"/>
  <c r="X619" i="9"/>
  <c r="U617" i="9"/>
  <c r="X612" i="9"/>
  <c r="T608" i="9"/>
  <c r="X603" i="9"/>
  <c r="U601" i="9"/>
  <c r="X594" i="9"/>
  <c r="W592" i="9"/>
  <c r="U588" i="9"/>
  <c r="T586" i="9"/>
  <c r="V586" i="9" s="1"/>
  <c r="Z586" i="9" s="1"/>
  <c r="T584" i="9"/>
  <c r="V584" i="9" s="1"/>
  <c r="Z584" i="9" s="1"/>
  <c r="T582" i="9"/>
  <c r="V582" i="9" s="1"/>
  <c r="Z582" i="9" s="1"/>
  <c r="T580" i="9"/>
  <c r="V580" i="9" s="1"/>
  <c r="T578" i="9"/>
  <c r="V578" i="9" s="1"/>
  <c r="T576" i="9"/>
  <c r="T574" i="9"/>
  <c r="T572" i="9"/>
  <c r="T570" i="9"/>
  <c r="T568" i="9"/>
  <c r="T566" i="9"/>
  <c r="T564" i="9"/>
  <c r="T562" i="9"/>
  <c r="T560" i="9"/>
  <c r="T558" i="9"/>
  <c r="T556" i="9"/>
  <c r="V556" i="9" s="1"/>
  <c r="Z556" i="9" s="1"/>
  <c r="T554" i="9"/>
  <c r="V554" i="9" s="1"/>
  <c r="Z554" i="9" s="1"/>
  <c r="T552" i="9"/>
  <c r="V552" i="9" s="1"/>
  <c r="Z552" i="9" s="1"/>
  <c r="T550" i="9"/>
  <c r="V550" i="9" s="1"/>
  <c r="Z550" i="9" s="1"/>
  <c r="T548" i="9"/>
  <c r="V548" i="9" s="1"/>
  <c r="T546" i="9"/>
  <c r="V546" i="9" s="1"/>
  <c r="T544" i="9"/>
  <c r="T542" i="9"/>
  <c r="T540" i="9"/>
  <c r="T538" i="9"/>
  <c r="W780" i="9"/>
  <c r="X767" i="9"/>
  <c r="U745" i="9"/>
  <c r="X735" i="9"/>
  <c r="W725" i="9"/>
  <c r="Y725" i="9" s="1"/>
  <c r="U722" i="9"/>
  <c r="X717" i="9"/>
  <c r="U714" i="9"/>
  <c r="V714" i="9" s="1"/>
  <c r="U700" i="9"/>
  <c r="V700" i="9" s="1"/>
  <c r="X687" i="9"/>
  <c r="Y687" i="9" s="1"/>
  <c r="Z687" i="9" s="1"/>
  <c r="U681" i="9"/>
  <c r="W678" i="9"/>
  <c r="Y678" i="9" s="1"/>
  <c r="T672" i="9"/>
  <c r="W668" i="9"/>
  <c r="X665" i="9"/>
  <c r="W662" i="9"/>
  <c r="W657" i="9"/>
  <c r="X647" i="9"/>
  <c r="W642" i="9"/>
  <c r="T640" i="9"/>
  <c r="W635" i="9"/>
  <c r="Y635" i="9" s="1"/>
  <c r="Z635" i="9" s="1"/>
  <c r="T633" i="9"/>
  <c r="V633" i="9" s="1"/>
  <c r="W628" i="9"/>
  <c r="Y628" i="9" s="1"/>
  <c r="U626" i="9"/>
  <c r="V626" i="9" s="1"/>
  <c r="Z626" i="9" s="1"/>
  <c r="W619" i="9"/>
  <c r="Y619" i="9" s="1"/>
  <c r="T617" i="9"/>
  <c r="V617" i="9" s="1"/>
  <c r="Z617" i="9" s="1"/>
  <c r="W612" i="9"/>
  <c r="Y612" i="9" s="1"/>
  <c r="Z612" i="9" s="1"/>
  <c r="U610" i="9"/>
  <c r="W603" i="9"/>
  <c r="T601" i="9"/>
  <c r="X596" i="9"/>
  <c r="W594" i="9"/>
  <c r="U590" i="9"/>
  <c r="T588" i="9"/>
  <c r="X784" i="9"/>
  <c r="T776" i="9"/>
  <c r="V776" i="9" s="1"/>
  <c r="T759" i="9"/>
  <c r="V759" i="9" s="1"/>
  <c r="U743" i="9"/>
  <c r="T725" i="9"/>
  <c r="V725" i="9" s="1"/>
  <c r="Z725" i="9" s="1"/>
  <c r="W695" i="9"/>
  <c r="Y695" i="9" s="1"/>
  <c r="T677" i="9"/>
  <c r="V677" i="9" s="1"/>
  <c r="T673" i="9"/>
  <c r="V673" i="9" s="1"/>
  <c r="X659" i="9"/>
  <c r="T656" i="9"/>
  <c r="V656" i="9" s="1"/>
  <c r="Z656" i="9" s="1"/>
  <c r="T652" i="9"/>
  <c r="V652" i="9" s="1"/>
  <c r="X637" i="9"/>
  <c r="W634" i="9"/>
  <c r="Y634" i="9" s="1"/>
  <c r="X630" i="9"/>
  <c r="T614" i="9"/>
  <c r="V614" i="9" s="1"/>
  <c r="T611" i="9"/>
  <c r="V611" i="9" s="1"/>
  <c r="Z611" i="9" s="1"/>
  <c r="W607" i="9"/>
  <c r="Y607" i="9" s="1"/>
  <c r="W600" i="9"/>
  <c r="Y600" i="9" s="1"/>
  <c r="X597" i="9"/>
  <c r="T594" i="9"/>
  <c r="V594" i="9" s="1"/>
  <c r="U591" i="9"/>
  <c r="X587" i="9"/>
  <c r="X581" i="9"/>
  <c r="T573" i="9"/>
  <c r="V573" i="9" s="1"/>
  <c r="U567" i="9"/>
  <c r="W555" i="9"/>
  <c r="Y555" i="9" s="1"/>
  <c r="X549" i="9"/>
  <c r="T541" i="9"/>
  <c r="V541" i="9" s="1"/>
  <c r="Z541" i="9" s="1"/>
  <c r="T533" i="9"/>
  <c r="X526" i="9"/>
  <c r="W524" i="9"/>
  <c r="Y524" i="9" s="1"/>
  <c r="U522" i="9"/>
  <c r="T520" i="9"/>
  <c r="X511" i="9"/>
  <c r="W509" i="9"/>
  <c r="Y509" i="9" s="1"/>
  <c r="U505" i="9"/>
  <c r="T503" i="9"/>
  <c r="V503" i="9" s="1"/>
  <c r="W826" i="9"/>
  <c r="Y826" i="9" s="1"/>
  <c r="U809" i="9"/>
  <c r="W784" i="9"/>
  <c r="Y784" i="9" s="1"/>
  <c r="T743" i="9"/>
  <c r="U703" i="9"/>
  <c r="T681" i="9"/>
  <c r="W659" i="9"/>
  <c r="X648" i="9"/>
  <c r="X644" i="9"/>
  <c r="X641" i="9"/>
  <c r="W637" i="9"/>
  <c r="Y637" i="9" s="1"/>
  <c r="W630" i="9"/>
  <c r="Y630" i="9" s="1"/>
  <c r="X627" i="9"/>
  <c r="U607" i="9"/>
  <c r="U604" i="9"/>
  <c r="W597" i="9"/>
  <c r="Y597" i="9" s="1"/>
  <c r="T591" i="9"/>
  <c r="V591" i="9" s="1"/>
  <c r="Z591" i="9" s="1"/>
  <c r="W587" i="9"/>
  <c r="Y587" i="9" s="1"/>
  <c r="W581" i="9"/>
  <c r="Y581" i="9" s="1"/>
  <c r="X575" i="9"/>
  <c r="T567" i="9"/>
  <c r="V567" i="9" s="1"/>
  <c r="Z567" i="9" s="1"/>
  <c r="U561" i="9"/>
  <c r="W549" i="9"/>
  <c r="Y549" i="9" s="1"/>
  <c r="X543" i="9"/>
  <c r="U535" i="9"/>
  <c r="X528" i="9"/>
  <c r="W526" i="9"/>
  <c r="Y526" i="9" s="1"/>
  <c r="U524" i="9"/>
  <c r="T522" i="9"/>
  <c r="V522" i="9" s="1"/>
  <c r="X513" i="9"/>
  <c r="W511" i="9"/>
  <c r="Y511" i="9" s="1"/>
  <c r="U507" i="9"/>
  <c r="T505" i="9"/>
  <c r="V505" i="9" s="1"/>
  <c r="Z505" i="9" s="1"/>
  <c r="X496" i="9"/>
  <c r="T809" i="9"/>
  <c r="V809" i="9" s="1"/>
  <c r="Z809" i="9" s="1"/>
  <c r="X766" i="9"/>
  <c r="X729" i="9"/>
  <c r="T703" i="9"/>
  <c r="X698" i="9"/>
  <c r="X685" i="9"/>
  <c r="W648" i="9"/>
  <c r="W644" i="9"/>
  <c r="Y644" i="9" s="1"/>
  <c r="W641" i="9"/>
  <c r="Y641" i="9" s="1"/>
  <c r="U637" i="9"/>
  <c r="U634" i="9"/>
  <c r="W627" i="9"/>
  <c r="Y627" i="9" s="1"/>
  <c r="X620" i="9"/>
  <c r="T610" i="9"/>
  <c r="V610" i="9" s="1"/>
  <c r="Z610" i="9" s="1"/>
  <c r="T607" i="9"/>
  <c r="V607" i="9" s="1"/>
  <c r="Z607" i="9" s="1"/>
  <c r="U600" i="9"/>
  <c r="U587" i="9"/>
  <c r="W575" i="9"/>
  <c r="Y575" i="9" s="1"/>
  <c r="X569" i="9"/>
  <c r="T561" i="9"/>
  <c r="V561" i="9" s="1"/>
  <c r="U555" i="9"/>
  <c r="W543" i="9"/>
  <c r="Y543" i="9" s="1"/>
  <c r="X537" i="9"/>
  <c r="T535" i="9"/>
  <c r="V535" i="9" s="1"/>
  <c r="X530" i="9"/>
  <c r="W528" i="9"/>
  <c r="Y528" i="9" s="1"/>
  <c r="U526" i="9"/>
  <c r="T524" i="9"/>
  <c r="V524" i="9" s="1"/>
  <c r="Z524" i="9" s="1"/>
  <c r="X515" i="9"/>
  <c r="W513" i="9"/>
  <c r="Y513" i="9" s="1"/>
  <c r="U509" i="9"/>
  <c r="T507" i="9"/>
  <c r="V507" i="9" s="1"/>
  <c r="X498" i="9"/>
  <c r="W496" i="9"/>
  <c r="U826" i="9"/>
  <c r="U791" i="9"/>
  <c r="U784" i="9"/>
  <c r="U750" i="9"/>
  <c r="X736" i="9"/>
  <c r="W729" i="9"/>
  <c r="X712" i="9"/>
  <c r="U708" i="9"/>
  <c r="W698" i="9"/>
  <c r="Y698" i="9" s="1"/>
  <c r="X689" i="9"/>
  <c r="W685" i="9"/>
  <c r="Y685" i="9" s="1"/>
  <c r="T671" i="9"/>
  <c r="T641" i="9"/>
  <c r="V641" i="9" s="1"/>
  <c r="Z641" i="9" s="1"/>
  <c r="T637" i="9"/>
  <c r="V637" i="9" s="1"/>
  <c r="Z637" i="9" s="1"/>
  <c r="T634" i="9"/>
  <c r="V634" i="9" s="1"/>
  <c r="Z634" i="9" s="1"/>
  <c r="U630" i="9"/>
  <c r="U627" i="9"/>
  <c r="X623" i="9"/>
  <c r="W620" i="9"/>
  <c r="X616" i="9"/>
  <c r="U603" i="9"/>
  <c r="T600" i="9"/>
  <c r="W596" i="9"/>
  <c r="Y596" i="9" s="1"/>
  <c r="T590" i="9"/>
  <c r="V590" i="9" s="1"/>
  <c r="T587" i="9"/>
  <c r="U581" i="9"/>
  <c r="W569" i="9"/>
  <c r="Y569" i="9" s="1"/>
  <c r="X563" i="9"/>
  <c r="T555" i="9"/>
  <c r="V555" i="9" s="1"/>
  <c r="Z555" i="9" s="1"/>
  <c r="U549" i="9"/>
  <c r="W537" i="9"/>
  <c r="Y537" i="9" s="1"/>
  <c r="W530" i="9"/>
  <c r="U528" i="9"/>
  <c r="T526" i="9"/>
  <c r="X517" i="9"/>
  <c r="W515" i="9"/>
  <c r="U511" i="9"/>
  <c r="T509" i="9"/>
  <c r="X500" i="9"/>
  <c r="W498" i="9"/>
  <c r="U496" i="9"/>
  <c r="T791" i="9"/>
  <c r="V791" i="9" s="1"/>
  <c r="X765" i="9"/>
  <c r="W723" i="9"/>
  <c r="Y723" i="9" s="1"/>
  <c r="T717" i="9"/>
  <c r="V717" i="9" s="1"/>
  <c r="W712" i="9"/>
  <c r="Y712" i="9" s="1"/>
  <c r="Z712" i="9" s="1"/>
  <c r="U698" i="9"/>
  <c r="X693" i="9"/>
  <c r="W689" i="9"/>
  <c r="X676" i="9"/>
  <c r="U662" i="9"/>
  <c r="X658" i="9"/>
  <c r="X654" i="9"/>
  <c r="X651" i="9"/>
  <c r="U644" i="9"/>
  <c r="T630" i="9"/>
  <c r="V630" i="9" s="1"/>
  <c r="Z630" i="9" s="1"/>
  <c r="T627" i="9"/>
  <c r="V627" i="9" s="1"/>
  <c r="W623" i="9"/>
  <c r="Y623" i="9" s="1"/>
  <c r="W616" i="9"/>
  <c r="Y616" i="9" s="1"/>
  <c r="X613" i="9"/>
  <c r="T603" i="9"/>
  <c r="V603" i="9" s="1"/>
  <c r="X593" i="9"/>
  <c r="T581" i="9"/>
  <c r="V581" i="9" s="1"/>
  <c r="Z581" i="9" s="1"/>
  <c r="U575" i="9"/>
  <c r="W563" i="9"/>
  <c r="X557" i="9"/>
  <c r="T549" i="9"/>
  <c r="U543" i="9"/>
  <c r="W532" i="9"/>
  <c r="U530" i="9"/>
  <c r="T528" i="9"/>
  <c r="V528" i="9" s="1"/>
  <c r="X519" i="9"/>
  <c r="W517" i="9"/>
  <c r="Y517" i="9" s="1"/>
  <c r="U513" i="9"/>
  <c r="T511" i="9"/>
  <c r="V511" i="9" s="1"/>
  <c r="Z511" i="9" s="1"/>
  <c r="X502" i="9"/>
  <c r="W500" i="9"/>
  <c r="Y500" i="9" s="1"/>
  <c r="U498" i="9"/>
  <c r="T496" i="9"/>
  <c r="V496" i="9" s="1"/>
  <c r="T772" i="9"/>
  <c r="W765" i="9"/>
  <c r="X742" i="9"/>
  <c r="W735" i="9"/>
  <c r="U729" i="9"/>
  <c r="U723" i="9"/>
  <c r="U707" i="9"/>
  <c r="T698" i="9"/>
  <c r="W693" i="9"/>
  <c r="Y693" i="9" s="1"/>
  <c r="X680" i="9"/>
  <c r="W676" i="9"/>
  <c r="Y676" i="9" s="1"/>
  <c r="X666" i="9"/>
  <c r="Y666" i="9" s="1"/>
  <c r="T662" i="9"/>
  <c r="V662" i="9" s="1"/>
  <c r="W658" i="9"/>
  <c r="Y658" i="9" s="1"/>
  <c r="W654" i="9"/>
  <c r="Y654" i="9" s="1"/>
  <c r="W651" i="9"/>
  <c r="Y651" i="9" s="1"/>
  <c r="W647" i="9"/>
  <c r="T644" i="9"/>
  <c r="U623" i="9"/>
  <c r="U620" i="9"/>
  <c r="W613" i="9"/>
  <c r="X606" i="9"/>
  <c r="U596" i="9"/>
  <c r="W593" i="9"/>
  <c r="X583" i="9"/>
  <c r="Y583" i="9" s="1"/>
  <c r="Z583" i="9" s="1"/>
  <c r="T575" i="9"/>
  <c r="V575" i="9" s="1"/>
  <c r="Z575" i="9" s="1"/>
  <c r="U569" i="9"/>
  <c r="W557" i="9"/>
  <c r="Y557" i="9" s="1"/>
  <c r="X551" i="9"/>
  <c r="T543" i="9"/>
  <c r="V543" i="9" s="1"/>
  <c r="Z543" i="9" s="1"/>
  <c r="U537" i="9"/>
  <c r="V537" i="9" s="1"/>
  <c r="Z537" i="9" s="1"/>
  <c r="U532" i="9"/>
  <c r="T530" i="9"/>
  <c r="V530" i="9" s="1"/>
  <c r="X521" i="9"/>
  <c r="W519" i="9"/>
  <c r="U515" i="9"/>
  <c r="T513" i="9"/>
  <c r="X504" i="9"/>
  <c r="Y504" i="9" s="1"/>
  <c r="W502" i="9"/>
  <c r="U500" i="9"/>
  <c r="T498" i="9"/>
  <c r="T819" i="9"/>
  <c r="V819" i="9" s="1"/>
  <c r="U732" i="9"/>
  <c r="T723" i="9"/>
  <c r="V723" i="9" s="1"/>
  <c r="X716" i="9"/>
  <c r="T696" i="9"/>
  <c r="V696" i="9" s="1"/>
  <c r="Z696" i="9" s="1"/>
  <c r="T690" i="9"/>
  <c r="V690" i="9" s="1"/>
  <c r="X683" i="9"/>
  <c r="U654" i="9"/>
  <c r="X649" i="9"/>
  <c r="W629" i="9"/>
  <c r="Y629" i="9" s="1"/>
  <c r="T619" i="9"/>
  <c r="V619" i="9" s="1"/>
  <c r="X614" i="9"/>
  <c r="U605" i="9"/>
  <c r="X565" i="9"/>
  <c r="U557" i="9"/>
  <c r="T545" i="9"/>
  <c r="V545" i="9" s="1"/>
  <c r="Z545" i="9" s="1"/>
  <c r="T536" i="9"/>
  <c r="U533" i="9"/>
  <c r="W529" i="9"/>
  <c r="Y529" i="9" s="1"/>
  <c r="U523" i="9"/>
  <c r="W520" i="9"/>
  <c r="Y520" i="9" s="1"/>
  <c r="W510" i="9"/>
  <c r="Y510" i="9" s="1"/>
  <c r="X507" i="9"/>
  <c r="T504" i="9"/>
  <c r="V504" i="9" s="1"/>
  <c r="F232" i="2"/>
  <c r="E213" i="2"/>
  <c r="G213" i="2" s="1"/>
  <c r="F185" i="2"/>
  <c r="F180" i="2"/>
  <c r="G180" i="2" s="1"/>
  <c r="W829" i="9"/>
  <c r="X798" i="9"/>
  <c r="X748" i="9"/>
  <c r="W716" i="9"/>
  <c r="X709" i="9"/>
  <c r="W702" i="9"/>
  <c r="Y702" i="9" s="1"/>
  <c r="W683" i="9"/>
  <c r="W677" i="9"/>
  <c r="T654" i="9"/>
  <c r="V654" i="9" s="1"/>
  <c r="W649" i="9"/>
  <c r="Y649" i="9" s="1"/>
  <c r="W614" i="9"/>
  <c r="Y614" i="9" s="1"/>
  <c r="X609" i="9"/>
  <c r="T605" i="9"/>
  <c r="V605" i="9" s="1"/>
  <c r="Z605" i="9" s="1"/>
  <c r="X600" i="9"/>
  <c r="X591" i="9"/>
  <c r="W565" i="9"/>
  <c r="X561" i="9"/>
  <c r="T557" i="9"/>
  <c r="U553" i="9"/>
  <c r="T523" i="9"/>
  <c r="U520" i="9"/>
  <c r="U510" i="9"/>
  <c r="W507" i="9"/>
  <c r="U501" i="9"/>
  <c r="X497" i="9"/>
  <c r="E232" i="2"/>
  <c r="G232" i="2" s="1"/>
  <c r="W798" i="9"/>
  <c r="Y798" i="9" s="1"/>
  <c r="X777" i="9"/>
  <c r="W709" i="9"/>
  <c r="U702" i="9"/>
  <c r="U689" i="9"/>
  <c r="X664" i="9"/>
  <c r="T649" i="9"/>
  <c r="X643" i="9"/>
  <c r="X638" i="9"/>
  <c r="W609" i="9"/>
  <c r="Y609" i="9" s="1"/>
  <c r="X595" i="9"/>
  <c r="W591" i="9"/>
  <c r="Y591" i="9" s="1"/>
  <c r="X577" i="9"/>
  <c r="X573" i="9"/>
  <c r="T569" i="9"/>
  <c r="V569" i="9" s="1"/>
  <c r="Z569" i="9" s="1"/>
  <c r="W561" i="9"/>
  <c r="Y561" i="9" s="1"/>
  <c r="T553" i="9"/>
  <c r="V553" i="9" s="1"/>
  <c r="Z553" i="9" s="1"/>
  <c r="T532" i="9"/>
  <c r="U529" i="9"/>
  <c r="T510" i="9"/>
  <c r="T501" i="9"/>
  <c r="W497" i="9"/>
  <c r="X36" i="9"/>
  <c r="U805" i="9"/>
  <c r="X754" i="9"/>
  <c r="X738" i="9"/>
  <c r="W715" i="9"/>
  <c r="Y715" i="9" s="1"/>
  <c r="T702" i="9"/>
  <c r="V702" i="9" s="1"/>
  <c r="Z702" i="9" s="1"/>
  <c r="T689" i="9"/>
  <c r="V689" i="9" s="1"/>
  <c r="U683" i="9"/>
  <c r="U677" i="9"/>
  <c r="X670" i="9"/>
  <c r="W664" i="9"/>
  <c r="Y664" i="9" s="1"/>
  <c r="W638" i="9"/>
  <c r="X632" i="9"/>
  <c r="U628" i="9"/>
  <c r="T623" i="9"/>
  <c r="V623" i="9" s="1"/>
  <c r="X618" i="9"/>
  <c r="U614" i="9"/>
  <c r="U609" i="9"/>
  <c r="W595" i="9"/>
  <c r="W577" i="9"/>
  <c r="W573" i="9"/>
  <c r="U565" i="9"/>
  <c r="X539" i="9"/>
  <c r="T529" i="9"/>
  <c r="V529" i="9" s="1"/>
  <c r="Z529" i="9" s="1"/>
  <c r="X525" i="9"/>
  <c r="X516" i="9"/>
  <c r="X506" i="9"/>
  <c r="W36" i="9"/>
  <c r="Y36" i="9" s="1"/>
  <c r="F219" i="2"/>
  <c r="E201" i="2"/>
  <c r="G201" i="2" s="1"/>
  <c r="T805" i="9"/>
  <c r="W754" i="9"/>
  <c r="U747" i="9"/>
  <c r="W738" i="9"/>
  <c r="T729" i="9"/>
  <c r="V729" i="9" s="1"/>
  <c r="U715" i="9"/>
  <c r="X695" i="9"/>
  <c r="T683" i="9"/>
  <c r="W670" i="9"/>
  <c r="U664" i="9"/>
  <c r="U658" i="9"/>
  <c r="W632" i="9"/>
  <c r="Y632" i="9" s="1"/>
  <c r="T628" i="9"/>
  <c r="V628" i="9" s="1"/>
  <c r="Z628" i="9" s="1"/>
  <c r="W618" i="9"/>
  <c r="Y618" i="9" s="1"/>
  <c r="Z618" i="9" s="1"/>
  <c r="T609" i="9"/>
  <c r="V609" i="9" s="1"/>
  <c r="X604" i="9"/>
  <c r="U595" i="9"/>
  <c r="X585" i="9"/>
  <c r="T565" i="9"/>
  <c r="W539" i="9"/>
  <c r="X535" i="9"/>
  <c r="W525" i="9"/>
  <c r="U519" i="9"/>
  <c r="W516" i="9"/>
  <c r="W506" i="9"/>
  <c r="X503" i="9"/>
  <c r="T500" i="9"/>
  <c r="V500" i="9" s="1"/>
  <c r="Z500" i="9" s="1"/>
  <c r="U497" i="9"/>
  <c r="E219" i="2"/>
  <c r="G219" i="2" s="1"/>
  <c r="F160" i="2"/>
  <c r="G160" i="2" s="1"/>
  <c r="E157" i="2"/>
  <c r="G157" i="2" s="1"/>
  <c r="F144" i="2"/>
  <c r="T815" i="9"/>
  <c r="X720" i="9"/>
  <c r="Y720" i="9" s="1"/>
  <c r="Z720" i="9" s="1"/>
  <c r="T707" i="9"/>
  <c r="T701" i="9"/>
  <c r="U670" i="9"/>
  <c r="T664" i="9"/>
  <c r="X653" i="9"/>
  <c r="Y653" i="9" s="1"/>
  <c r="T647" i="9"/>
  <c r="U642" i="9"/>
  <c r="V642" i="9" s="1"/>
  <c r="W604" i="9"/>
  <c r="Y604" i="9" s="1"/>
  <c r="X598" i="9"/>
  <c r="Y598" i="9" s="1"/>
  <c r="Z598" i="9" s="1"/>
  <c r="W585" i="9"/>
  <c r="Y585" i="9" s="1"/>
  <c r="Z585" i="9" s="1"/>
  <c r="U577" i="9"/>
  <c r="V577" i="9" s="1"/>
  <c r="U573" i="9"/>
  <c r="W551" i="9"/>
  <c r="X547" i="9"/>
  <c r="W535" i="9"/>
  <c r="X522" i="9"/>
  <c r="Y522" i="9" s="1"/>
  <c r="T519" i="9"/>
  <c r="U516" i="9"/>
  <c r="V516" i="9" s="1"/>
  <c r="X512" i="9"/>
  <c r="Y512" i="9" s="1"/>
  <c r="U506" i="9"/>
  <c r="V506" i="9" s="1"/>
  <c r="W503" i="9"/>
  <c r="T497" i="9"/>
  <c r="U36" i="9"/>
  <c r="V36" i="9" s="1"/>
  <c r="Z36" i="9" s="1"/>
  <c r="H49" i="2" s="1"/>
  <c r="F231" i="2"/>
  <c r="G231" i="2" s="1"/>
  <c r="F210" i="2"/>
  <c r="G210" i="2" s="1"/>
  <c r="K16" i="24"/>
  <c r="Y402" i="9"/>
  <c r="Y488" i="9"/>
  <c r="H11" i="21"/>
  <c r="K18" i="21"/>
  <c r="Z432" i="9"/>
  <c r="Z434" i="9"/>
  <c r="K17" i="21"/>
  <c r="Z399" i="9"/>
  <c r="Y414" i="9"/>
  <c r="Q452" i="9"/>
  <c r="Z452" i="9" s="1"/>
  <c r="V468" i="9"/>
  <c r="Z468" i="9" s="1"/>
  <c r="J14" i="21"/>
  <c r="Z411" i="9"/>
  <c r="K19" i="16"/>
  <c r="Y422" i="9"/>
  <c r="Z422" i="9" s="1"/>
  <c r="Y444" i="9"/>
  <c r="J14" i="16"/>
  <c r="K19" i="23"/>
  <c r="U746" i="9"/>
  <c r="J14" i="19"/>
  <c r="K16" i="21"/>
  <c r="I12" i="35"/>
  <c r="Q2" i="44"/>
  <c r="R2" i="44" s="1"/>
  <c r="M12" i="44" s="1"/>
  <c r="R74" i="9" s="1"/>
  <c r="N2" i="44"/>
  <c r="M15" i="44" s="1"/>
  <c r="R77" i="9" s="1"/>
  <c r="K2" i="44"/>
  <c r="J2" i="44"/>
  <c r="I2" i="44"/>
  <c r="H2" i="44"/>
  <c r="G2" i="44"/>
  <c r="K15" i="21"/>
  <c r="K19" i="24"/>
  <c r="I11" i="33"/>
  <c r="Y487" i="9"/>
  <c r="K19" i="21"/>
  <c r="T786" i="9"/>
  <c r="T794" i="9"/>
  <c r="X800" i="9"/>
  <c r="W819" i="9"/>
  <c r="G11" i="23"/>
  <c r="R413" i="9" s="1"/>
  <c r="Q413" i="9" s="1"/>
  <c r="Z413" i="9" s="1"/>
  <c r="O7" i="34"/>
  <c r="I9" i="34" s="1"/>
  <c r="U794" i="9"/>
  <c r="F7" i="33"/>
  <c r="W775" i="9"/>
  <c r="Y775" i="9" s="1"/>
  <c r="W781" i="9"/>
  <c r="Y781" i="9" s="1"/>
  <c r="X807" i="9"/>
  <c r="X814" i="9"/>
  <c r="T820" i="9"/>
  <c r="T829" i="9"/>
  <c r="V829" i="9" s="1"/>
  <c r="W822" i="9"/>
  <c r="Y822" i="9" s="1"/>
  <c r="W807" i="9"/>
  <c r="X788" i="9"/>
  <c r="T784" i="9"/>
  <c r="V784" i="9" s="1"/>
  <c r="T775" i="9"/>
  <c r="W769" i="9"/>
  <c r="Y769" i="9" s="1"/>
  <c r="W748" i="9"/>
  <c r="Y748" i="9" s="1"/>
  <c r="T745" i="9"/>
  <c r="V745" i="9" s="1"/>
  <c r="T741" i="9"/>
  <c r="V741" i="9" s="1"/>
  <c r="Z741" i="9" s="1"/>
  <c r="U738" i="9"/>
  <c r="W734" i="9"/>
  <c r="Y734" i="9" s="1"/>
  <c r="W727" i="9"/>
  <c r="Y727" i="9" s="1"/>
  <c r="T722" i="9"/>
  <c r="X711" i="9"/>
  <c r="U709" i="9"/>
  <c r="X699" i="9"/>
  <c r="W697" i="9"/>
  <c r="U693" i="9"/>
  <c r="T691" i="9"/>
  <c r="V691" i="9" s="1"/>
  <c r="X682" i="9"/>
  <c r="W680" i="9"/>
  <c r="Y680" i="9" s="1"/>
  <c r="U678" i="9"/>
  <c r="T676" i="9"/>
  <c r="X667" i="9"/>
  <c r="W665" i="9"/>
  <c r="Y665" i="9" s="1"/>
  <c r="T827" i="9"/>
  <c r="V827" i="9" s="1"/>
  <c r="U812" i="9"/>
  <c r="X802" i="9"/>
  <c r="U798" i="9"/>
  <c r="W788" i="9"/>
  <c r="W778" i="9"/>
  <c r="U765" i="9"/>
  <c r="W760" i="9"/>
  <c r="X756" i="9"/>
  <c r="T738" i="9"/>
  <c r="U731" i="9"/>
  <c r="X724" i="9"/>
  <c r="U716" i="9"/>
  <c r="W711" i="9"/>
  <c r="Y711" i="9" s="1"/>
  <c r="T709" i="9"/>
  <c r="V709" i="9" s="1"/>
  <c r="U704" i="9"/>
  <c r="W699" i="9"/>
  <c r="Y699" i="9" s="1"/>
  <c r="U695" i="9"/>
  <c r="T693" i="9"/>
  <c r="V693" i="9" s="1"/>
  <c r="X684" i="9"/>
  <c r="W682" i="9"/>
  <c r="U680" i="9"/>
  <c r="T678" i="9"/>
  <c r="X669" i="9"/>
  <c r="W667" i="9"/>
  <c r="U663" i="9"/>
  <c r="U661" i="9"/>
  <c r="U659" i="9"/>
  <c r="U657" i="9"/>
  <c r="U655" i="9"/>
  <c r="U653" i="9"/>
  <c r="U651" i="9"/>
  <c r="U649" i="9"/>
  <c r="U647" i="9"/>
  <c r="U645" i="9"/>
  <c r="U643" i="9"/>
  <c r="U641" i="9"/>
  <c r="U639" i="9"/>
  <c r="U822" i="9"/>
  <c r="X816" i="9"/>
  <c r="T812" i="9"/>
  <c r="U807" i="9"/>
  <c r="W802" i="9"/>
  <c r="Y802" i="9" s="1"/>
  <c r="T798" i="9"/>
  <c r="V798" i="9" s="1"/>
  <c r="U774" i="9"/>
  <c r="U769" i="9"/>
  <c r="T765" i="9"/>
  <c r="V765" i="9" s="1"/>
  <c r="W756" i="9"/>
  <c r="Y756" i="9" s="1"/>
  <c r="U748" i="9"/>
  <c r="U734" i="9"/>
  <c r="T731" i="9"/>
  <c r="U727" i="9"/>
  <c r="W724" i="9"/>
  <c r="X718" i="9"/>
  <c r="T716" i="9"/>
  <c r="X713" i="9"/>
  <c r="W706" i="9"/>
  <c r="T704" i="9"/>
  <c r="X701" i="9"/>
  <c r="U697" i="9"/>
  <c r="T695" i="9"/>
  <c r="X686" i="9"/>
  <c r="W684" i="9"/>
  <c r="Y684" i="9" s="1"/>
  <c r="U682" i="9"/>
  <c r="T680" i="9"/>
  <c r="V680" i="9" s="1"/>
  <c r="Z680" i="9" s="1"/>
  <c r="H186" i="2" s="1"/>
  <c r="X671" i="9"/>
  <c r="W669" i="9"/>
  <c r="Y669" i="9" s="1"/>
  <c r="U665" i="9"/>
  <c r="T663" i="9"/>
  <c r="T661" i="9"/>
  <c r="T659" i="9"/>
  <c r="T822" i="9"/>
  <c r="W816" i="9"/>
  <c r="Y816" i="9" s="1"/>
  <c r="U778" i="9"/>
  <c r="T769" i="9"/>
  <c r="U760" i="9"/>
  <c r="U751" i="9"/>
  <c r="T748" i="9"/>
  <c r="T734" i="9"/>
  <c r="T727" i="9"/>
  <c r="V727" i="9" s="1"/>
  <c r="Z727" i="9" s="1"/>
  <c r="T721" i="9"/>
  <c r="V721" i="9" s="1"/>
  <c r="W718" i="9"/>
  <c r="Y718" i="9" s="1"/>
  <c r="W713" i="9"/>
  <c r="Y713" i="9" s="1"/>
  <c r="U711" i="9"/>
  <c r="W701" i="9"/>
  <c r="U699" i="9"/>
  <c r="T697" i="9"/>
  <c r="X688" i="9"/>
  <c r="W686" i="9"/>
  <c r="U684" i="9"/>
  <c r="T682" i="9"/>
  <c r="X673" i="9"/>
  <c r="W671" i="9"/>
  <c r="U667" i="9"/>
  <c r="T665" i="9"/>
  <c r="V665" i="9" s="1"/>
  <c r="W832" i="9"/>
  <c r="Y832" i="9" s="1"/>
  <c r="W811" i="9"/>
  <c r="U802" i="9"/>
  <c r="X797" i="9"/>
  <c r="X791" i="9"/>
  <c r="U787" i="9"/>
  <c r="U782" i="9"/>
  <c r="T778" i="9"/>
  <c r="U773" i="9"/>
  <c r="U756" i="9"/>
  <c r="T751" i="9"/>
  <c r="X743" i="9"/>
  <c r="X740" i="9"/>
  <c r="T730" i="9"/>
  <c r="U724" i="9"/>
  <c r="X708" i="9"/>
  <c r="U706" i="9"/>
  <c r="T699" i="9"/>
  <c r="V699" i="9" s="1"/>
  <c r="Z699" i="9" s="1"/>
  <c r="X690" i="9"/>
  <c r="W688" i="9"/>
  <c r="Y688" i="9" s="1"/>
  <c r="U686" i="9"/>
  <c r="T684" i="9"/>
  <c r="X675" i="9"/>
  <c r="W673" i="9"/>
  <c r="U669" i="9"/>
  <c r="T667" i="9"/>
  <c r="X826" i="9"/>
  <c r="W805" i="9"/>
  <c r="T802" i="9"/>
  <c r="W797" i="9"/>
  <c r="Y797" i="9" s="1"/>
  <c r="W791" i="9"/>
  <c r="Y791" i="9" s="1"/>
  <c r="T787" i="9"/>
  <c r="V787" i="9" s="1"/>
  <c r="T782" i="9"/>
  <c r="V782" i="9" s="1"/>
  <c r="T773" i="9"/>
  <c r="V773" i="9" s="1"/>
  <c r="X747" i="9"/>
  <c r="W740" i="9"/>
  <c r="X733" i="9"/>
  <c r="Y733" i="9" s="1"/>
  <c r="U718" i="9"/>
  <c r="X715" i="9"/>
  <c r="T713" i="9"/>
  <c r="V713" i="9" s="1"/>
  <c r="W708" i="9"/>
  <c r="T706" i="9"/>
  <c r="X703" i="9"/>
  <c r="U701" i="9"/>
  <c r="X692" i="9"/>
  <c r="W690" i="9"/>
  <c r="U688" i="9"/>
  <c r="T686" i="9"/>
  <c r="V686" i="9" s="1"/>
  <c r="X677" i="9"/>
  <c r="W675" i="9"/>
  <c r="Y675" i="9" s="1"/>
  <c r="U671" i="9"/>
  <c r="T669" i="9"/>
  <c r="V669" i="9" s="1"/>
  <c r="Z669" i="9" s="1"/>
  <c r="G7" i="33"/>
  <c r="X775" i="9"/>
  <c r="X781" i="9"/>
  <c r="T795" i="9"/>
  <c r="U829" i="9"/>
  <c r="F7" i="31"/>
  <c r="I10" i="37"/>
  <c r="U719" i="9"/>
  <c r="T732" i="9"/>
  <c r="W736" i="9"/>
  <c r="Y736" i="9" s="1"/>
  <c r="U757" i="9"/>
  <c r="U795" i="9"/>
  <c r="J17" i="19"/>
  <c r="G11" i="21"/>
  <c r="O4" i="24"/>
  <c r="J14" i="24" s="1"/>
  <c r="G7" i="31"/>
  <c r="I9" i="37"/>
  <c r="K17" i="18"/>
  <c r="F7" i="30"/>
  <c r="G7" i="35"/>
  <c r="F4" i="12"/>
  <c r="G7" i="34"/>
  <c r="J16" i="19"/>
  <c r="K17" i="24"/>
  <c r="F7" i="32"/>
  <c r="I10" i="34"/>
  <c r="I9" i="39"/>
  <c r="D2" i="40"/>
  <c r="G11" i="24"/>
  <c r="R444" i="9" s="1"/>
  <c r="Q444" i="9" s="1"/>
  <c r="Z444" i="9" s="1"/>
  <c r="G7" i="32"/>
  <c r="G11" i="16"/>
  <c r="R81" i="9" s="1"/>
  <c r="Q81" i="9" s="1"/>
  <c r="K18" i="18"/>
  <c r="K18" i="25"/>
  <c r="I10" i="32"/>
  <c r="X831" i="9"/>
  <c r="X829" i="9"/>
  <c r="X827" i="9"/>
  <c r="X825" i="9"/>
  <c r="X823" i="9"/>
  <c r="Y823" i="9" s="1"/>
  <c r="X821" i="9"/>
  <c r="X819" i="9"/>
  <c r="X817" i="9"/>
  <c r="X815" i="9"/>
  <c r="X813" i="9"/>
  <c r="X811" i="9"/>
  <c r="X809" i="9"/>
  <c r="W828" i="9"/>
  <c r="T826" i="9"/>
  <c r="X818" i="9"/>
  <c r="U816" i="9"/>
  <c r="W813" i="9"/>
  <c r="T811" i="9"/>
  <c r="V811" i="9" s="1"/>
  <c r="W806" i="9"/>
  <c r="U804" i="9"/>
  <c r="W799" i="9"/>
  <c r="U797" i="9"/>
  <c r="W790" i="9"/>
  <c r="Y790" i="9" s="1"/>
  <c r="U788" i="9"/>
  <c r="W783" i="9"/>
  <c r="Y783" i="9" s="1"/>
  <c r="U779" i="9"/>
  <c r="T777" i="9"/>
  <c r="V777" i="9" s="1"/>
  <c r="X768" i="9"/>
  <c r="W766" i="9"/>
  <c r="Y766" i="9" s="1"/>
  <c r="U762" i="9"/>
  <c r="T760" i="9"/>
  <c r="T758" i="9"/>
  <c r="V758" i="9" s="1"/>
  <c r="T756" i="9"/>
  <c r="T754" i="9"/>
  <c r="V754" i="9" s="1"/>
  <c r="T752" i="9"/>
  <c r="V752" i="9" s="1"/>
  <c r="T750" i="9"/>
  <c r="V750" i="9" s="1"/>
  <c r="U823" i="9"/>
  <c r="W818" i="9"/>
  <c r="Y818" i="9" s="1"/>
  <c r="T816" i="9"/>
  <c r="V816" i="9" s="1"/>
  <c r="Z816" i="9" s="1"/>
  <c r="X808" i="9"/>
  <c r="T804" i="9"/>
  <c r="V804" i="9" s="1"/>
  <c r="Z804" i="9" s="1"/>
  <c r="H216" i="2" s="1"/>
  <c r="H217" i="2" s="1"/>
  <c r="X801" i="9"/>
  <c r="T797" i="9"/>
  <c r="V797" i="9" s="1"/>
  <c r="Z797" i="9" s="1"/>
  <c r="X792" i="9"/>
  <c r="T788" i="9"/>
  <c r="X785" i="9"/>
  <c r="U781" i="9"/>
  <c r="T779" i="9"/>
  <c r="X770" i="9"/>
  <c r="W768" i="9"/>
  <c r="U764" i="9"/>
  <c r="T762" i="9"/>
  <c r="V762" i="9" s="1"/>
  <c r="X830" i="9"/>
  <c r="U828" i="9"/>
  <c r="W825" i="9"/>
  <c r="Y825" i="9" s="1"/>
  <c r="T823" i="9"/>
  <c r="V823" i="9" s="1"/>
  <c r="U813" i="9"/>
  <c r="W808" i="9"/>
  <c r="Y808" i="9" s="1"/>
  <c r="U806" i="9"/>
  <c r="W801" i="9"/>
  <c r="U799" i="9"/>
  <c r="W792" i="9"/>
  <c r="U790" i="9"/>
  <c r="W785" i="9"/>
  <c r="Y785" i="9" s="1"/>
  <c r="U783" i="9"/>
  <c r="T781" i="9"/>
  <c r="V781" i="9" s="1"/>
  <c r="X772" i="9"/>
  <c r="W770" i="9"/>
  <c r="Y770" i="9" s="1"/>
  <c r="U766" i="9"/>
  <c r="T764" i="9"/>
  <c r="V764" i="9" s="1"/>
  <c r="W830" i="9"/>
  <c r="Y830" i="9" s="1"/>
  <c r="T828" i="9"/>
  <c r="V828" i="9" s="1"/>
  <c r="X820" i="9"/>
  <c r="U818" i="9"/>
  <c r="W815" i="9"/>
  <c r="Y815" i="9" s="1"/>
  <c r="T813" i="9"/>
  <c r="T806" i="9"/>
  <c r="X803" i="9"/>
  <c r="T799" i="9"/>
  <c r="X794" i="9"/>
  <c r="T790" i="9"/>
  <c r="V790" i="9" s="1"/>
  <c r="X787" i="9"/>
  <c r="T783" i="9"/>
  <c r="V783" i="9" s="1"/>
  <c r="X774" i="9"/>
  <c r="W772" i="9"/>
  <c r="Y772" i="9" s="1"/>
  <c r="U768" i="9"/>
  <c r="T766" i="9"/>
  <c r="V766" i="9" s="1"/>
  <c r="Z766" i="9" s="1"/>
  <c r="U825" i="9"/>
  <c r="W820" i="9"/>
  <c r="Y820" i="9" s="1"/>
  <c r="T818" i="9"/>
  <c r="V818" i="9" s="1"/>
  <c r="Z818" i="9" s="1"/>
  <c r="X810" i="9"/>
  <c r="U808" i="9"/>
  <c r="W803" i="9"/>
  <c r="Y803" i="9" s="1"/>
  <c r="U801" i="9"/>
  <c r="W794" i="9"/>
  <c r="U792" i="9"/>
  <c r="W787" i="9"/>
  <c r="U785" i="9"/>
  <c r="X776" i="9"/>
  <c r="W774" i="9"/>
  <c r="Y774" i="9" s="1"/>
  <c r="U770" i="9"/>
  <c r="T768" i="9"/>
  <c r="V768" i="9" s="1"/>
  <c r="X761" i="9"/>
  <c r="X759" i="9"/>
  <c r="X757" i="9"/>
  <c r="X755" i="9"/>
  <c r="X753" i="9"/>
  <c r="X751" i="9"/>
  <c r="X749" i="9"/>
  <c r="X832" i="9"/>
  <c r="U830" i="9"/>
  <c r="W827" i="9"/>
  <c r="T825" i="9"/>
  <c r="U815" i="9"/>
  <c r="W810" i="9"/>
  <c r="T808" i="9"/>
  <c r="V808" i="9" s="1"/>
  <c r="X805" i="9"/>
  <c r="T801" i="9"/>
  <c r="V801" i="9" s="1"/>
  <c r="X796" i="9"/>
  <c r="T792" i="9"/>
  <c r="V792" i="9" s="1"/>
  <c r="X789" i="9"/>
  <c r="T785" i="9"/>
  <c r="V785" i="9" s="1"/>
  <c r="Z785" i="9" s="1"/>
  <c r="X778" i="9"/>
  <c r="W776" i="9"/>
  <c r="U772" i="9"/>
  <c r="T770" i="9"/>
  <c r="X763" i="9"/>
  <c r="W761" i="9"/>
  <c r="W759" i="9"/>
  <c r="W757" i="9"/>
  <c r="W755" i="9"/>
  <c r="W753" i="9"/>
  <c r="W751" i="9"/>
  <c r="Y751" i="9" s="1"/>
  <c r="W749" i="9"/>
  <c r="Y749" i="9" s="1"/>
  <c r="W747" i="9"/>
  <c r="W745" i="9"/>
  <c r="Y745" i="9" s="1"/>
  <c r="W743" i="9"/>
  <c r="Y743" i="9" s="1"/>
  <c r="W821" i="9"/>
  <c r="Y821" i="9" s="1"/>
  <c r="W817" i="9"/>
  <c r="Y817" i="9" s="1"/>
  <c r="W814" i="9"/>
  <c r="Y814" i="9" s="1"/>
  <c r="T807" i="9"/>
  <c r="W800" i="9"/>
  <c r="X793" i="9"/>
  <c r="X790" i="9"/>
  <c r="W777" i="9"/>
  <c r="T774" i="9"/>
  <c r="T771" i="9"/>
  <c r="V771" i="9" s="1"/>
  <c r="Z771" i="9" s="1"/>
  <c r="W767" i="9"/>
  <c r="Y767" i="9" s="1"/>
  <c r="U761" i="9"/>
  <c r="X758" i="9"/>
  <c r="T747" i="9"/>
  <c r="V747" i="9" s="1"/>
  <c r="T740" i="9"/>
  <c r="X737" i="9"/>
  <c r="T733" i="9"/>
  <c r="V733" i="9" s="1"/>
  <c r="X728" i="9"/>
  <c r="T724" i="9"/>
  <c r="X719" i="9"/>
  <c r="W717" i="9"/>
  <c r="U713" i="9"/>
  <c r="T711" i="9"/>
  <c r="X702" i="9"/>
  <c r="W700" i="9"/>
  <c r="U832" i="9"/>
  <c r="U803" i="9"/>
  <c r="W793" i="9"/>
  <c r="Y793" i="9" s="1"/>
  <c r="X783" i="9"/>
  <c r="U780" i="9"/>
  <c r="X764" i="9"/>
  <c r="T761" i="9"/>
  <c r="V761" i="9" s="1"/>
  <c r="W758" i="9"/>
  <c r="Y758" i="9" s="1"/>
  <c r="U755" i="9"/>
  <c r="X752" i="9"/>
  <c r="X744" i="9"/>
  <c r="U742" i="9"/>
  <c r="W737" i="9"/>
  <c r="U735" i="9"/>
  <c r="W728" i="9"/>
  <c r="U726" i="9"/>
  <c r="X721" i="9"/>
  <c r="W719" i="9"/>
  <c r="Y719" i="9" s="1"/>
  <c r="T832" i="9"/>
  <c r="V832" i="9" s="1"/>
  <c r="X828" i="9"/>
  <c r="X824" i="9"/>
  <c r="U821" i="9"/>
  <c r="U817" i="9"/>
  <c r="U814" i="9"/>
  <c r="U810" i="9"/>
  <c r="T803" i="9"/>
  <c r="U800" i="9"/>
  <c r="W796" i="9"/>
  <c r="W789" i="9"/>
  <c r="X786" i="9"/>
  <c r="T780" i="9"/>
  <c r="U777" i="9"/>
  <c r="U767" i="9"/>
  <c r="W764" i="9"/>
  <c r="T755" i="9"/>
  <c r="W752" i="9"/>
  <c r="Y752" i="9" s="1"/>
  <c r="U749" i="9"/>
  <c r="W744" i="9"/>
  <c r="Y744" i="9" s="1"/>
  <c r="T742" i="9"/>
  <c r="V742" i="9" s="1"/>
  <c r="Z742" i="9" s="1"/>
  <c r="X739" i="9"/>
  <c r="T735" i="9"/>
  <c r="V735" i="9" s="1"/>
  <c r="X730" i="9"/>
  <c r="T726" i="9"/>
  <c r="V726" i="9" s="1"/>
  <c r="X723" i="9"/>
  <c r="W721" i="9"/>
  <c r="U717" i="9"/>
  <c r="T715" i="9"/>
  <c r="X706" i="9"/>
  <c r="W704" i="9"/>
  <c r="W824" i="9"/>
  <c r="T821" i="9"/>
  <c r="T817" i="9"/>
  <c r="T814" i="9"/>
  <c r="T810" i="9"/>
  <c r="T800" i="9"/>
  <c r="V800" i="9" s="1"/>
  <c r="U793" i="9"/>
  <c r="W786" i="9"/>
  <c r="Y786" i="9" s="1"/>
  <c r="X773" i="9"/>
  <c r="T767" i="9"/>
  <c r="U758" i="9"/>
  <c r="T749" i="9"/>
  <c r="W739" i="9"/>
  <c r="U737" i="9"/>
  <c r="W730" i="9"/>
  <c r="U728" i="9"/>
  <c r="W831" i="9"/>
  <c r="Y831" i="9" s="1"/>
  <c r="Z831" i="9" s="1"/>
  <c r="X806" i="9"/>
  <c r="U796" i="9"/>
  <c r="T793" i="9"/>
  <c r="U789" i="9"/>
  <c r="X782" i="9"/>
  <c r="W773" i="9"/>
  <c r="Y773" i="9" s="1"/>
  <c r="W763" i="9"/>
  <c r="Y763" i="9" s="1"/>
  <c r="U752" i="9"/>
  <c r="X746" i="9"/>
  <c r="U744" i="9"/>
  <c r="X741" i="9"/>
  <c r="T737" i="9"/>
  <c r="V737" i="9" s="1"/>
  <c r="X732" i="9"/>
  <c r="T728" i="9"/>
  <c r="X725" i="9"/>
  <c r="U721" i="9"/>
  <c r="T719" i="9"/>
  <c r="V719" i="9" s="1"/>
  <c r="Z719" i="9" s="1"/>
  <c r="U827" i="9"/>
  <c r="U824" i="9"/>
  <c r="V824" i="9" s="1"/>
  <c r="U820" i="9"/>
  <c r="W809" i="9"/>
  <c r="Y809" i="9" s="1"/>
  <c r="X799" i="9"/>
  <c r="T796" i="9"/>
  <c r="V796" i="9" s="1"/>
  <c r="T789" i="9"/>
  <c r="U786" i="9"/>
  <c r="W782" i="9"/>
  <c r="X779" i="9"/>
  <c r="U776" i="9"/>
  <c r="X769" i="9"/>
  <c r="X760" i="9"/>
  <c r="W746" i="9"/>
  <c r="Y746" i="9" s="1"/>
  <c r="T744" i="9"/>
  <c r="V744" i="9" s="1"/>
  <c r="W741" i="9"/>
  <c r="Y741" i="9" s="1"/>
  <c r="U739" i="9"/>
  <c r="V739" i="9" s="1"/>
  <c r="W732" i="9"/>
  <c r="Y732" i="9" s="1"/>
  <c r="U730" i="9"/>
  <c r="H11" i="16"/>
  <c r="R80" i="9" s="1"/>
  <c r="Q80" i="9" s="1"/>
  <c r="K18" i="16"/>
  <c r="J15" i="20"/>
  <c r="J16" i="20"/>
  <c r="J17" i="25"/>
  <c r="K18" i="24"/>
  <c r="I10" i="33"/>
  <c r="F7" i="36"/>
  <c r="J18" i="19"/>
  <c r="G5" i="28"/>
  <c r="G7" i="36"/>
  <c r="K18" i="20"/>
  <c r="I11" i="34"/>
  <c r="G10" i="15"/>
  <c r="J17" i="20"/>
  <c r="G11" i="22"/>
  <c r="I3" i="28"/>
  <c r="I5" i="28" s="1"/>
  <c r="H10" i="15"/>
  <c r="O16" i="15" s="1"/>
  <c r="K19" i="18"/>
  <c r="K19" i="19"/>
  <c r="H11" i="22"/>
  <c r="K19" i="22" s="1"/>
  <c r="J16" i="22"/>
  <c r="J18" i="23"/>
  <c r="M72" i="10"/>
  <c r="I10" i="15"/>
  <c r="M14" i="15"/>
  <c r="O8" i="18"/>
  <c r="J15" i="18" s="1"/>
  <c r="J17" i="22"/>
  <c r="O7" i="31"/>
  <c r="I9" i="31" s="1"/>
  <c r="F7" i="39"/>
  <c r="J15" i="19"/>
  <c r="F5" i="28"/>
  <c r="J10" i="15"/>
  <c r="I12" i="36"/>
  <c r="F7" i="37"/>
  <c r="K10" i="15"/>
  <c r="S10" i="18"/>
  <c r="S8" i="23"/>
  <c r="J15" i="24"/>
  <c r="I10" i="36"/>
  <c r="G7" i="37"/>
  <c r="M13" i="15"/>
  <c r="S5" i="18"/>
  <c r="J14" i="18" s="1"/>
  <c r="J19" i="20"/>
  <c r="D4" i="43"/>
  <c r="K14" i="24" l="1"/>
  <c r="R445" i="9"/>
  <c r="Q445" i="9" s="1"/>
  <c r="Z445" i="9" s="1"/>
  <c r="K14" i="18"/>
  <c r="R117" i="9"/>
  <c r="Q117" i="9" s="1"/>
  <c r="Z117" i="9" s="1"/>
  <c r="R150" i="9"/>
  <c r="Q150" i="9" s="1"/>
  <c r="Z150" i="9" s="1"/>
  <c r="H103" i="2"/>
  <c r="Z506" i="9"/>
  <c r="H72" i="2"/>
  <c r="H127" i="2"/>
  <c r="D26" i="1"/>
  <c r="H234" i="2"/>
  <c r="H231" i="2"/>
  <c r="H233" i="2" s="1"/>
  <c r="E18" i="3"/>
  <c r="Z577" i="9"/>
  <c r="Z594" i="9"/>
  <c r="V558" i="9"/>
  <c r="Z558" i="9" s="1"/>
  <c r="Z648" i="9"/>
  <c r="V817" i="9"/>
  <c r="Z817" i="9" s="1"/>
  <c r="Z801" i="9"/>
  <c r="V497" i="9"/>
  <c r="Z497" i="9" s="1"/>
  <c r="Z791" i="9"/>
  <c r="V560" i="9"/>
  <c r="Z560" i="9" s="1"/>
  <c r="D44" i="2"/>
  <c r="Z31" i="9"/>
  <c r="H44" i="2" s="1"/>
  <c r="K19" i="20"/>
  <c r="R221" i="9"/>
  <c r="Z832" i="9"/>
  <c r="H232" i="2" s="1"/>
  <c r="Y799" i="9"/>
  <c r="Z798" i="9"/>
  <c r="Q74" i="9"/>
  <c r="R109" i="9"/>
  <c r="Q109" i="9" s="1"/>
  <c r="Z109" i="9" s="1"/>
  <c r="AC74" i="9"/>
  <c r="V562" i="9"/>
  <c r="K15" i="18"/>
  <c r="R151" i="9"/>
  <c r="R118" i="9"/>
  <c r="Y824" i="9"/>
  <c r="Z824" i="9" s="1"/>
  <c r="Z762" i="9"/>
  <c r="Y525" i="9"/>
  <c r="Z525" i="9" s="1"/>
  <c r="Y716" i="9"/>
  <c r="Z616" i="9"/>
  <c r="Y806" i="9"/>
  <c r="K16" i="16"/>
  <c r="V738" i="9"/>
  <c r="Z738" i="9" s="1"/>
  <c r="V794" i="9"/>
  <c r="Y757" i="9"/>
  <c r="Z757" i="9" s="1"/>
  <c r="Z781" i="9"/>
  <c r="V667" i="9"/>
  <c r="V812" i="9"/>
  <c r="Z812" i="9" s="1"/>
  <c r="Y807" i="9"/>
  <c r="V701" i="9"/>
  <c r="Z701" i="9" s="1"/>
  <c r="Y729" i="9"/>
  <c r="Z729" i="9" s="1"/>
  <c r="Y657" i="9"/>
  <c r="Y722" i="9"/>
  <c r="K18" i="19"/>
  <c r="R187" i="9"/>
  <c r="V715" i="9"/>
  <c r="Z715" i="9" s="1"/>
  <c r="V780" i="9"/>
  <c r="Y728" i="9"/>
  <c r="Y777" i="9"/>
  <c r="Y759" i="9"/>
  <c r="V825" i="9"/>
  <c r="Z825" i="9" s="1"/>
  <c r="Y787" i="9"/>
  <c r="Z790" i="9"/>
  <c r="V756" i="9"/>
  <c r="Z756" i="9" s="1"/>
  <c r="Y813" i="9"/>
  <c r="Y708" i="9"/>
  <c r="Z708" i="9" s="1"/>
  <c r="V822" i="9"/>
  <c r="Z822" i="9" s="1"/>
  <c r="Y760" i="9"/>
  <c r="Y697" i="9"/>
  <c r="V519" i="9"/>
  <c r="V707" i="9"/>
  <c r="V565" i="9"/>
  <c r="V649" i="9"/>
  <c r="Z649" i="9" s="1"/>
  <c r="Y829" i="9"/>
  <c r="Y532" i="9"/>
  <c r="Y648" i="9"/>
  <c r="Y594" i="9"/>
  <c r="Y662" i="9"/>
  <c r="V538" i="9"/>
  <c r="V570" i="9"/>
  <c r="V675" i="9"/>
  <c r="Z675" i="9" s="1"/>
  <c r="Y633" i="9"/>
  <c r="Y726" i="9"/>
  <c r="Z726" i="9" s="1"/>
  <c r="Y564" i="9"/>
  <c r="Y608" i="9"/>
  <c r="H95" i="2"/>
  <c r="R487" i="9"/>
  <c r="Q487" i="9" s="1"/>
  <c r="Z487" i="9" s="1"/>
  <c r="Q486" i="9"/>
  <c r="Q323" i="9"/>
  <c r="Z323" i="9" s="1"/>
  <c r="D108" i="2"/>
  <c r="K15" i="20"/>
  <c r="R217" i="9"/>
  <c r="Q217" i="9" s="1"/>
  <c r="Z217" i="9" s="1"/>
  <c r="Z777" i="9"/>
  <c r="Z677" i="9"/>
  <c r="Z632" i="9"/>
  <c r="Z651" i="9"/>
  <c r="Z657" i="9"/>
  <c r="V810" i="9"/>
  <c r="Z810" i="9" s="1"/>
  <c r="Z665" i="9"/>
  <c r="K14" i="21"/>
  <c r="R250" i="9"/>
  <c r="R284" i="9"/>
  <c r="Y677" i="9"/>
  <c r="Z662" i="9"/>
  <c r="V814" i="9"/>
  <c r="Z814" i="9" s="1"/>
  <c r="Y747" i="9"/>
  <c r="V676" i="9"/>
  <c r="Z676" i="9" s="1"/>
  <c r="Z633" i="9"/>
  <c r="Z763" i="9"/>
  <c r="Z512" i="9"/>
  <c r="V730" i="9"/>
  <c r="Z730" i="9" s="1"/>
  <c r="Q77" i="9"/>
  <c r="R112" i="9"/>
  <c r="R79" i="9"/>
  <c r="Q79" i="9" s="1"/>
  <c r="AC77" i="9"/>
  <c r="V683" i="9"/>
  <c r="Z759" i="9"/>
  <c r="V821" i="9"/>
  <c r="Z821" i="9" s="1"/>
  <c r="V802" i="9"/>
  <c r="Z802" i="9" s="1"/>
  <c r="Y503" i="9"/>
  <c r="V536" i="9"/>
  <c r="Z536" i="9" s="1"/>
  <c r="V587" i="9"/>
  <c r="Z587" i="9" s="1"/>
  <c r="Z474" i="9"/>
  <c r="H117" i="2" s="1"/>
  <c r="H118" i="2" s="1"/>
  <c r="D117" i="2"/>
  <c r="V682" i="9"/>
  <c r="Z682" i="9" s="1"/>
  <c r="Z784" i="9"/>
  <c r="Y577" i="9"/>
  <c r="Z718" i="9"/>
  <c r="O13" i="15"/>
  <c r="O14" i="15"/>
  <c r="Y810" i="9"/>
  <c r="V751" i="9"/>
  <c r="Z751" i="9" s="1"/>
  <c r="V704" i="9"/>
  <c r="V698" i="9"/>
  <c r="Z698" i="9" s="1"/>
  <c r="V608" i="9"/>
  <c r="Y714" i="9"/>
  <c r="Z714" i="9" s="1"/>
  <c r="V774" i="9"/>
  <c r="Z774" i="9" s="1"/>
  <c r="Z811" i="9"/>
  <c r="V786" i="9"/>
  <c r="Z786" i="9" s="1"/>
  <c r="Y738" i="9"/>
  <c r="V557" i="9"/>
  <c r="Z557" i="9" s="1"/>
  <c r="V509" i="9"/>
  <c r="Z509" i="9" s="1"/>
  <c r="Z614" i="9"/>
  <c r="V568" i="9"/>
  <c r="V666" i="9"/>
  <c r="Z666" i="9" s="1"/>
  <c r="H97" i="2"/>
  <c r="K15" i="24"/>
  <c r="R446" i="9"/>
  <c r="Y673" i="9"/>
  <c r="Z673" i="9" s="1"/>
  <c r="H181" i="2" s="1"/>
  <c r="V716" i="9"/>
  <c r="Z829" i="9"/>
  <c r="Y754" i="9"/>
  <c r="Z754" i="9" s="1"/>
  <c r="V513" i="9"/>
  <c r="Z513" i="9" s="1"/>
  <c r="Y613" i="9"/>
  <c r="Y515" i="9"/>
  <c r="V533" i="9"/>
  <c r="Z533" i="9" s="1"/>
  <c r="V540" i="9"/>
  <c r="V572" i="9"/>
  <c r="Y645" i="9"/>
  <c r="Z645" i="9" s="1"/>
  <c r="Y566" i="9"/>
  <c r="V613" i="9"/>
  <c r="V688" i="9"/>
  <c r="Z688" i="9" s="1"/>
  <c r="Z88" i="9"/>
  <c r="Q482" i="9"/>
  <c r="Z482" i="9" s="1"/>
  <c r="R483" i="9"/>
  <c r="Q483" i="9" s="1"/>
  <c r="Z483" i="9" s="1"/>
  <c r="Z414" i="9"/>
  <c r="H82" i="2"/>
  <c r="H90" i="2" s="1"/>
  <c r="Z573" i="9"/>
  <c r="Z773" i="9"/>
  <c r="Z690" i="9"/>
  <c r="Z507" i="9"/>
  <c r="R381" i="9"/>
  <c r="Q381" i="9" s="1"/>
  <c r="Z381" i="9" s="1"/>
  <c r="R317" i="9"/>
  <c r="Q317" i="9" s="1"/>
  <c r="Z317" i="9" s="1"/>
  <c r="R349" i="9"/>
  <c r="Q349" i="9" s="1"/>
  <c r="Z349" i="9" s="1"/>
  <c r="Z782" i="9"/>
  <c r="K17" i="16"/>
  <c r="Z603" i="9"/>
  <c r="Z787" i="9"/>
  <c r="Z745" i="9"/>
  <c r="Z643" i="9"/>
  <c r="H87" i="2"/>
  <c r="R437" i="9"/>
  <c r="Q437" i="9" s="1"/>
  <c r="Z437" i="9" s="1"/>
  <c r="Q435" i="9"/>
  <c r="Z435" i="9" s="1"/>
  <c r="H106" i="2" s="1"/>
  <c r="K17" i="22"/>
  <c r="R321" i="9"/>
  <c r="Q321" i="9" s="1"/>
  <c r="Z321" i="9" s="1"/>
  <c r="R385" i="9"/>
  <c r="Q385" i="9" s="1"/>
  <c r="Z385" i="9" s="1"/>
  <c r="R353" i="9"/>
  <c r="V732" i="9"/>
  <c r="Z732" i="9" s="1"/>
  <c r="V775" i="9"/>
  <c r="Z775" i="9" s="1"/>
  <c r="Y573" i="9"/>
  <c r="Z522" i="9"/>
  <c r="Z776" i="9"/>
  <c r="Y764" i="9"/>
  <c r="Z764" i="9" s="1"/>
  <c r="Y753" i="9"/>
  <c r="Z753" i="9" s="1"/>
  <c r="Y805" i="9"/>
  <c r="V664" i="9"/>
  <c r="Z664" i="9" s="1"/>
  <c r="Y498" i="9"/>
  <c r="Y642" i="9"/>
  <c r="Z642" i="9" s="1"/>
  <c r="D72" i="2"/>
  <c r="Y730" i="9"/>
  <c r="Y700" i="9"/>
  <c r="Z700" i="9" s="1"/>
  <c r="Y768" i="9"/>
  <c r="Z768" i="9" s="1"/>
  <c r="Y706" i="9"/>
  <c r="V600" i="9"/>
  <c r="Z600" i="9" s="1"/>
  <c r="Z631" i="9"/>
  <c r="Y562" i="9"/>
  <c r="Y643" i="9"/>
  <c r="Q387" i="9"/>
  <c r="Z387" i="9" s="1"/>
  <c r="R388" i="9"/>
  <c r="Q388" i="9" s="1"/>
  <c r="Z388" i="9" s="1"/>
  <c r="K18" i="23"/>
  <c r="R418" i="9"/>
  <c r="Y739" i="9"/>
  <c r="Z739" i="9" s="1"/>
  <c r="V711" i="9"/>
  <c r="Z711" i="9" s="1"/>
  <c r="Y827" i="9"/>
  <c r="Z827" i="9" s="1"/>
  <c r="Z758" i="9"/>
  <c r="Z713" i="9"/>
  <c r="V697" i="9"/>
  <c r="Y497" i="9"/>
  <c r="K16" i="22"/>
  <c r="R384" i="9"/>
  <c r="Q384" i="9" s="1"/>
  <c r="Z384" i="9" s="1"/>
  <c r="R352" i="9"/>
  <c r="Q352" i="9" s="1"/>
  <c r="Z352" i="9" s="1"/>
  <c r="R320" i="9"/>
  <c r="Q320" i="9" s="1"/>
  <c r="Z320" i="9" s="1"/>
  <c r="V749" i="9"/>
  <c r="Z749" i="9" s="1"/>
  <c r="Y721" i="9"/>
  <c r="Z721" i="9" s="1"/>
  <c r="Y789" i="9"/>
  <c r="Y737" i="9"/>
  <c r="Z737" i="9" s="1"/>
  <c r="Y794" i="9"/>
  <c r="V799" i="9"/>
  <c r="V760" i="9"/>
  <c r="V661" i="9"/>
  <c r="Z661" i="9" s="1"/>
  <c r="Y778" i="9"/>
  <c r="V820" i="9"/>
  <c r="Z820" i="9" s="1"/>
  <c r="K15" i="16"/>
  <c r="Y535" i="9"/>
  <c r="V815" i="9"/>
  <c r="Z815" i="9" s="1"/>
  <c r="V805" i="9"/>
  <c r="Z623" i="9"/>
  <c r="V501" i="9"/>
  <c r="Z501" i="9" s="1"/>
  <c r="Z619" i="9"/>
  <c r="Y735" i="9"/>
  <c r="Z735" i="9" s="1"/>
  <c r="V549" i="9"/>
  <c r="Z549" i="9" s="1"/>
  <c r="Y620" i="9"/>
  <c r="Z620" i="9" s="1"/>
  <c r="Y659" i="9"/>
  <c r="V601" i="9"/>
  <c r="Z601" i="9" s="1"/>
  <c r="Y668" i="9"/>
  <c r="Z668" i="9" s="1"/>
  <c r="V542" i="9"/>
  <c r="V574" i="9"/>
  <c r="V624" i="9"/>
  <c r="V736" i="9"/>
  <c r="Z736" i="9" s="1"/>
  <c r="V638" i="9"/>
  <c r="Y536" i="9"/>
  <c r="Y568" i="9"/>
  <c r="Y615" i="9"/>
  <c r="Z615" i="9" s="1"/>
  <c r="V653" i="9"/>
  <c r="Z653" i="9" s="1"/>
  <c r="H75" i="2"/>
  <c r="Z496" i="9"/>
  <c r="Z733" i="9"/>
  <c r="R283" i="9"/>
  <c r="Q283" i="9" s="1"/>
  <c r="Z283" i="9" s="1"/>
  <c r="R249" i="9"/>
  <c r="Q249" i="9" s="1"/>
  <c r="Z249" i="9" s="1"/>
  <c r="O15" i="15"/>
  <c r="K17" i="19"/>
  <c r="R186" i="9"/>
  <c r="Q186" i="9" s="1"/>
  <c r="Z186" i="9" s="1"/>
  <c r="Z654" i="9"/>
  <c r="Y681" i="9"/>
  <c r="Z402" i="9"/>
  <c r="Z765" i="9"/>
  <c r="V671" i="9"/>
  <c r="Z671" i="9" s="1"/>
  <c r="Z503" i="9"/>
  <c r="Z694" i="9"/>
  <c r="H154" i="2" s="1"/>
  <c r="H73" i="2"/>
  <c r="V748" i="9"/>
  <c r="Z748" i="9" s="1"/>
  <c r="Y506" i="9"/>
  <c r="Y507" i="9"/>
  <c r="Y690" i="9"/>
  <c r="H84" i="2"/>
  <c r="Y819" i="9"/>
  <c r="Z819" i="9"/>
  <c r="Z627" i="9"/>
  <c r="V640" i="9"/>
  <c r="Z808" i="9"/>
  <c r="Z750" i="9"/>
  <c r="H160" i="2" s="1"/>
  <c r="V769" i="9"/>
  <c r="Z769" i="9" s="1"/>
  <c r="V498" i="9"/>
  <c r="Z498" i="9" s="1"/>
  <c r="Z597" i="9"/>
  <c r="E8" i="3"/>
  <c r="Y755" i="9"/>
  <c r="Z783" i="9"/>
  <c r="Z752" i="9"/>
  <c r="Z691" i="9"/>
  <c r="H157" i="2" s="1"/>
  <c r="Y595" i="9"/>
  <c r="Y593" i="9"/>
  <c r="Z593" i="9" s="1"/>
  <c r="Z528" i="9"/>
  <c r="V588" i="9"/>
  <c r="Z588" i="9" s="1"/>
  <c r="V566" i="9"/>
  <c r="Z636" i="9"/>
  <c r="Z515" i="9"/>
  <c r="V728" i="9"/>
  <c r="Z728" i="9" s="1"/>
  <c r="V706" i="9"/>
  <c r="Z706" i="9" s="1"/>
  <c r="Y686" i="9"/>
  <c r="Z686" i="9" s="1"/>
  <c r="Y667" i="9"/>
  <c r="K14" i="19"/>
  <c r="R183" i="9"/>
  <c r="Q183" i="9" s="1"/>
  <c r="Z183" i="9" s="1"/>
  <c r="Y539" i="9"/>
  <c r="Z539" i="9" s="1"/>
  <c r="Y502" i="9"/>
  <c r="Z502" i="9" s="1"/>
  <c r="Z535" i="9"/>
  <c r="Y780" i="9"/>
  <c r="Y761" i="9"/>
  <c r="V779" i="9"/>
  <c r="Z779" i="9" s="1"/>
  <c r="V795" i="9"/>
  <c r="Z795" i="9" s="1"/>
  <c r="V778" i="9"/>
  <c r="Z778" i="9" s="1"/>
  <c r="V659" i="9"/>
  <c r="V678" i="9"/>
  <c r="Z678" i="9" s="1"/>
  <c r="Y565" i="9"/>
  <c r="R348" i="9"/>
  <c r="Q348" i="9" s="1"/>
  <c r="Z348" i="9" s="1"/>
  <c r="R316" i="9"/>
  <c r="Q316" i="9" s="1"/>
  <c r="Z316" i="9" s="1"/>
  <c r="R380" i="9"/>
  <c r="Q380" i="9" s="1"/>
  <c r="Z380" i="9" s="1"/>
  <c r="Y782" i="9"/>
  <c r="Y796" i="9"/>
  <c r="Y717" i="9"/>
  <c r="Z717" i="9" s="1"/>
  <c r="Y800" i="9"/>
  <c r="V770" i="9"/>
  <c r="Z770" i="9" s="1"/>
  <c r="Y792" i="9"/>
  <c r="V826" i="9"/>
  <c r="Z826" i="9" s="1"/>
  <c r="V684" i="9"/>
  <c r="Z684" i="9" s="1"/>
  <c r="Y701" i="9"/>
  <c r="V663" i="9"/>
  <c r="Z663" i="9" s="1"/>
  <c r="Y724" i="9"/>
  <c r="Y682" i="9"/>
  <c r="Y788" i="9"/>
  <c r="K14" i="16"/>
  <c r="R82" i="9"/>
  <c r="Q82" i="9" s="1"/>
  <c r="R282" i="9"/>
  <c r="Q282" i="9" s="1"/>
  <c r="Z282" i="9" s="1"/>
  <c r="R248" i="9"/>
  <c r="Q248" i="9" s="1"/>
  <c r="Z248" i="9" s="1"/>
  <c r="V510" i="9"/>
  <c r="Z510" i="9" s="1"/>
  <c r="Y519" i="9"/>
  <c r="V526" i="9"/>
  <c r="Z526" i="9" s="1"/>
  <c r="Z561" i="9"/>
  <c r="V703" i="9"/>
  <c r="V681" i="9"/>
  <c r="Z652" i="9"/>
  <c r="Y603" i="9"/>
  <c r="V672" i="9"/>
  <c r="Z672" i="9" s="1"/>
  <c r="V544" i="9"/>
  <c r="Z544" i="9" s="1"/>
  <c r="V576" i="9"/>
  <c r="Z576" i="9" s="1"/>
  <c r="Y703" i="9"/>
  <c r="Y640" i="9"/>
  <c r="Y538" i="9"/>
  <c r="Y570" i="9"/>
  <c r="Y694" i="9"/>
  <c r="V595" i="9"/>
  <c r="V658" i="9"/>
  <c r="Z658" i="9" s="1"/>
  <c r="Z29" i="9"/>
  <c r="D42" i="2"/>
  <c r="Y811" i="9"/>
  <c r="Z80" i="9"/>
  <c r="Z800" i="9"/>
  <c r="Z761" i="9"/>
  <c r="D76" i="2"/>
  <c r="Z55" i="9"/>
  <c r="H76" i="2" s="1"/>
  <c r="K15" i="19"/>
  <c r="R184" i="9"/>
  <c r="Q184" i="9" s="1"/>
  <c r="Z184" i="9" s="1"/>
  <c r="V740" i="9"/>
  <c r="Z823" i="9"/>
  <c r="O17" i="15"/>
  <c r="Z689" i="9"/>
  <c r="Z723" i="9"/>
  <c r="Y592" i="9"/>
  <c r="Z592" i="9" s="1"/>
  <c r="H8" i="2"/>
  <c r="H19" i="2" s="1"/>
  <c r="D15" i="1"/>
  <c r="H20" i="2"/>
  <c r="E7" i="3"/>
  <c r="Z830" i="9"/>
  <c r="H138" i="2" s="1"/>
  <c r="H139" i="2" s="1"/>
  <c r="V695" i="9"/>
  <c r="Z695" i="9" s="1"/>
  <c r="V647" i="9"/>
  <c r="Z647" i="9" s="1"/>
  <c r="V755" i="9"/>
  <c r="Z755" i="9" s="1"/>
  <c r="E20" i="3"/>
  <c r="D20" i="3"/>
  <c r="E28" i="3" s="1"/>
  <c r="D35" i="1"/>
  <c r="K17" i="25"/>
  <c r="R480" i="9"/>
  <c r="Q480" i="9" s="1"/>
  <c r="Z480" i="9" s="1"/>
  <c r="V767" i="9"/>
  <c r="Z767" i="9" s="1"/>
  <c r="V807" i="9"/>
  <c r="V806" i="9"/>
  <c r="Z806" i="9" s="1"/>
  <c r="V788" i="9"/>
  <c r="Y828" i="9"/>
  <c r="Z828" i="9" s="1"/>
  <c r="D59" i="2"/>
  <c r="Z81" i="9"/>
  <c r="H59" i="2" s="1"/>
  <c r="V722" i="9"/>
  <c r="Z722" i="9" s="1"/>
  <c r="Y551" i="9"/>
  <c r="Z551" i="9" s="1"/>
  <c r="Z609" i="9"/>
  <c r="Y709" i="9"/>
  <c r="V644" i="9"/>
  <c r="Z644" i="9" s="1"/>
  <c r="Y765" i="9"/>
  <c r="Y563" i="9"/>
  <c r="Z563" i="9" s="1"/>
  <c r="Y689" i="9"/>
  <c r="Z546" i="9"/>
  <c r="Z578" i="9"/>
  <c r="Y707" i="9"/>
  <c r="V655" i="9"/>
  <c r="Z655" i="9" s="1"/>
  <c r="Y540" i="9"/>
  <c r="Y572" i="9"/>
  <c r="Y624" i="9"/>
  <c r="H93" i="2"/>
  <c r="H100" i="2" s="1"/>
  <c r="H98" i="2"/>
  <c r="K18" i="22"/>
  <c r="Z796" i="9"/>
  <c r="K17" i="20"/>
  <c r="R219" i="9"/>
  <c r="Q219" i="9" s="1"/>
  <c r="Z219" i="9" s="1"/>
  <c r="Z792" i="9"/>
  <c r="V734" i="9"/>
  <c r="Z734" i="9" s="1"/>
  <c r="Z709" i="9"/>
  <c r="V793" i="9"/>
  <c r="Z793" i="9" s="1"/>
  <c r="Z747" i="9"/>
  <c r="Y670" i="9"/>
  <c r="Z670" i="9" s="1"/>
  <c r="Y683" i="9"/>
  <c r="Y671" i="9"/>
  <c r="Y516" i="9"/>
  <c r="Z516" i="9" s="1"/>
  <c r="Z744" i="9"/>
  <c r="K16" i="19"/>
  <c r="R185" i="9"/>
  <c r="Q185" i="9" s="1"/>
  <c r="V523" i="9"/>
  <c r="Z523" i="9" s="1"/>
  <c r="V520" i="9"/>
  <c r="Z520" i="9" s="1"/>
  <c r="V564" i="9"/>
  <c r="Y704" i="9"/>
  <c r="K16" i="20"/>
  <c r="R218" i="9"/>
  <c r="Q218" i="9" s="1"/>
  <c r="Z218" i="9" s="1"/>
  <c r="V789" i="9"/>
  <c r="Z789" i="9" s="1"/>
  <c r="V803" i="9"/>
  <c r="Z803" i="9" s="1"/>
  <c r="H213" i="2" s="1"/>
  <c r="H214" i="2" s="1"/>
  <c r="V724" i="9"/>
  <c r="Z724" i="9" s="1"/>
  <c r="Y776" i="9"/>
  <c r="V813" i="9"/>
  <c r="Y801" i="9"/>
  <c r="Y740" i="9"/>
  <c r="V731" i="9"/>
  <c r="Z731" i="9" s="1"/>
  <c r="Z693" i="9"/>
  <c r="Y638" i="9"/>
  <c r="V532" i="9"/>
  <c r="Z504" i="9"/>
  <c r="Y647" i="9"/>
  <c r="V772" i="9"/>
  <c r="Z772" i="9" s="1"/>
  <c r="Y530" i="9"/>
  <c r="Z530" i="9" s="1"/>
  <c r="Y496" i="9"/>
  <c r="V743" i="9"/>
  <c r="Z743" i="9" s="1"/>
  <c r="Z548" i="9"/>
  <c r="Z580" i="9"/>
  <c r="Y710" i="9"/>
  <c r="Z710" i="9" s="1"/>
  <c r="Y590" i="9"/>
  <c r="Z590" i="9" s="1"/>
  <c r="Y655" i="9"/>
  <c r="Y542" i="9"/>
  <c r="Y574" i="9"/>
  <c r="V629" i="9"/>
  <c r="Z629" i="9" s="1"/>
  <c r="Z746" i="9"/>
  <c r="D116" i="2"/>
  <c r="H179" i="2" l="1"/>
  <c r="Q418" i="9"/>
  <c r="Z418" i="9" s="1"/>
  <c r="R420" i="9"/>
  <c r="Q420" i="9" s="1"/>
  <c r="Z420" i="9" s="1"/>
  <c r="Z82" i="9"/>
  <c r="Z788" i="9"/>
  <c r="H227" i="2" s="1"/>
  <c r="Q118" i="9"/>
  <c r="D7" i="3" s="1"/>
  <c r="R123" i="9"/>
  <c r="Q123" i="9" s="1"/>
  <c r="H58" i="2"/>
  <c r="Z566" i="9"/>
  <c r="Z805" i="9"/>
  <c r="Q446" i="9"/>
  <c r="Z446" i="9" s="1"/>
  <c r="R451" i="9"/>
  <c r="Q451" i="9" s="1"/>
  <c r="Z451" i="9" s="1"/>
  <c r="Z704" i="9"/>
  <c r="Z562" i="9"/>
  <c r="Z532" i="9"/>
  <c r="H134" i="2" s="1"/>
  <c r="D58" i="2"/>
  <c r="H153" i="2"/>
  <c r="D24" i="1"/>
  <c r="H221" i="2"/>
  <c r="H210" i="2"/>
  <c r="H211" i="2" s="1"/>
  <c r="E16" i="3"/>
  <c r="Z185" i="9"/>
  <c r="H62" i="2" s="1"/>
  <c r="D62" i="2"/>
  <c r="Z681" i="9"/>
  <c r="Z638" i="9"/>
  <c r="H189" i="2" s="1"/>
  <c r="H190" i="2" s="1"/>
  <c r="Z613" i="9"/>
  <c r="Q284" i="9"/>
  <c r="Z284" i="9" s="1"/>
  <c r="R290" i="9"/>
  <c r="Q290" i="9" s="1"/>
  <c r="Z290" i="9" s="1"/>
  <c r="D106" i="2"/>
  <c r="H167" i="2"/>
  <c r="Z659" i="9"/>
  <c r="Z564" i="9"/>
  <c r="Z807" i="9"/>
  <c r="H144" i="2" s="1"/>
  <c r="H145" i="2" s="1"/>
  <c r="Z624" i="9"/>
  <c r="Z568" i="9"/>
  <c r="Z683" i="9"/>
  <c r="R324" i="9"/>
  <c r="Q324" i="9" s="1"/>
  <c r="Z324" i="9" s="1"/>
  <c r="H132" i="2"/>
  <c r="D16" i="1"/>
  <c r="Z716" i="9"/>
  <c r="Z608" i="9"/>
  <c r="H166" i="2"/>
  <c r="H168" i="2" s="1"/>
  <c r="D21" i="1"/>
  <c r="H175" i="2"/>
  <c r="E13" i="3"/>
  <c r="H147" i="2"/>
  <c r="H148" i="2" s="1"/>
  <c r="Z570" i="9"/>
  <c r="Q151" i="9"/>
  <c r="Z151" i="9" s="1"/>
  <c r="R156" i="9"/>
  <c r="Q156" i="9" s="1"/>
  <c r="Z156" i="9" s="1"/>
  <c r="H219" i="2"/>
  <c r="H220" i="2" s="1"/>
  <c r="Z703" i="9"/>
  <c r="H80" i="2"/>
  <c r="Z780" i="9"/>
  <c r="H170" i="2" s="1"/>
  <c r="H171" i="2" s="1"/>
  <c r="H42" i="2"/>
  <c r="H53" i="2" s="1"/>
  <c r="H54" i="2"/>
  <c r="Z574" i="9"/>
  <c r="H156" i="2"/>
  <c r="Z572" i="9"/>
  <c r="H195" i="2" s="1"/>
  <c r="H196" i="2" s="1"/>
  <c r="Z540" i="9"/>
  <c r="H133" i="2" s="1"/>
  <c r="Z79" i="9"/>
  <c r="H109" i="2" s="1"/>
  <c r="Z486" i="9"/>
  <c r="H74" i="2" s="1"/>
  <c r="D74" i="2"/>
  <c r="Z565" i="9"/>
  <c r="Z538" i="9"/>
  <c r="Z667" i="9"/>
  <c r="H185" i="2" s="1"/>
  <c r="Z794" i="9"/>
  <c r="H204" i="2" s="1"/>
  <c r="H205" i="2" s="1"/>
  <c r="D104" i="2"/>
  <c r="Z74" i="9"/>
  <c r="H104" i="2" s="1"/>
  <c r="D17" i="3"/>
  <c r="Z542" i="9"/>
  <c r="Z813" i="9"/>
  <c r="H158" i="2" s="1"/>
  <c r="Z640" i="9"/>
  <c r="H180" i="2" s="1"/>
  <c r="Z697" i="9"/>
  <c r="H159" i="2" s="1"/>
  <c r="Q353" i="9"/>
  <c r="Z353" i="9" s="1"/>
  <c r="H63" i="2" s="1"/>
  <c r="R356" i="9"/>
  <c r="Q356" i="9" s="1"/>
  <c r="Z356" i="9" s="1"/>
  <c r="Q250" i="9"/>
  <c r="Z250" i="9" s="1"/>
  <c r="R256" i="9"/>
  <c r="Q256" i="9" s="1"/>
  <c r="Z256" i="9" s="1"/>
  <c r="D9" i="3"/>
  <c r="Z740" i="9"/>
  <c r="Z595" i="9"/>
  <c r="Z760" i="9"/>
  <c r="H201" i="2" s="1"/>
  <c r="H202" i="2" s="1"/>
  <c r="R114" i="9"/>
  <c r="Q114" i="9" s="1"/>
  <c r="Z114" i="9" s="1"/>
  <c r="Q112" i="9"/>
  <c r="Z707" i="9"/>
  <c r="H155" i="2" s="1"/>
  <c r="Q187" i="9"/>
  <c r="R189" i="9"/>
  <c r="Q189" i="9" s="1"/>
  <c r="Z189" i="9" s="1"/>
  <c r="Q221" i="9"/>
  <c r="R222" i="9"/>
  <c r="Q222" i="9" s="1"/>
  <c r="Z222" i="9" s="1"/>
  <c r="Z799" i="9"/>
  <c r="D107" i="2"/>
  <c r="Z77" i="9"/>
  <c r="Z519" i="9"/>
  <c r="E11" i="3" s="1"/>
  <c r="F7" i="3" l="1"/>
  <c r="G7" i="3" s="1"/>
  <c r="D12" i="3"/>
  <c r="D23" i="1"/>
  <c r="E15" i="3"/>
  <c r="H206" i="2"/>
  <c r="Z187" i="9"/>
  <c r="H64" i="2" s="1"/>
  <c r="D64" i="2"/>
  <c r="H225" i="2"/>
  <c r="H226" i="2" s="1"/>
  <c r="H136" i="2"/>
  <c r="D25" i="1"/>
  <c r="D14" i="3"/>
  <c r="Z221" i="9"/>
  <c r="H69" i="2" s="1"/>
  <c r="D69" i="2"/>
  <c r="E17" i="3"/>
  <c r="Z112" i="9"/>
  <c r="D16" i="3"/>
  <c r="F16" i="3" s="1"/>
  <c r="G16" i="3" s="1"/>
  <c r="D15" i="3"/>
  <c r="D60" i="2"/>
  <c r="H60" i="2"/>
  <c r="H70" i="2" s="1"/>
  <c r="D8" i="3"/>
  <c r="F8" i="3" s="1"/>
  <c r="G8" i="3" s="1"/>
  <c r="E10" i="3"/>
  <c r="H173" i="2"/>
  <c r="H174" i="2" s="1"/>
  <c r="D109" i="2"/>
  <c r="H140" i="2"/>
  <c r="H182" i="2"/>
  <c r="D63" i="2"/>
  <c r="D19" i="1"/>
  <c r="D18" i="1"/>
  <c r="E12" i="3"/>
  <c r="H161" i="2"/>
  <c r="D61" i="2"/>
  <c r="Z118" i="9"/>
  <c r="H61" i="2" s="1"/>
  <c r="D11" i="3"/>
  <c r="F11" i="3" s="1"/>
  <c r="G11" i="3" s="1"/>
  <c r="H198" i="2"/>
  <c r="H199" i="2" s="1"/>
  <c r="H149" i="2"/>
  <c r="H162" i="2"/>
  <c r="D10" i="3"/>
  <c r="H184" i="2"/>
  <c r="H187" i="2" s="1"/>
  <c r="H191" i="2"/>
  <c r="E14" i="3"/>
  <c r="D22" i="1"/>
  <c r="H107" i="2"/>
  <c r="H110" i="2" s="1"/>
  <c r="D13" i="3"/>
  <c r="F13" i="3" s="1"/>
  <c r="G13" i="3" s="1"/>
  <c r="D18" i="3"/>
  <c r="F18" i="3" s="1"/>
  <c r="G18" i="3" s="1"/>
  <c r="D20" i="1"/>
  <c r="Z123" i="9"/>
  <c r="H65" i="2" s="1"/>
  <c r="D65" i="2"/>
  <c r="D17" i="1" l="1"/>
  <c r="D30" i="1" s="1"/>
  <c r="D34" i="1" s="1"/>
  <c r="D36" i="1" s="1"/>
  <c r="F15" i="3"/>
  <c r="G15" i="3" s="1"/>
  <c r="E9" i="3"/>
  <c r="H128" i="2"/>
  <c r="H236" i="2" s="1"/>
  <c r="F17" i="3"/>
  <c r="G17" i="3"/>
  <c r="F12" i="3"/>
  <c r="G12" i="3" s="1"/>
  <c r="D19" i="3"/>
  <c r="E27" i="3" s="1"/>
  <c r="F10" i="3"/>
  <c r="G10" i="3"/>
  <c r="G14" i="3"/>
  <c r="F14" i="3"/>
  <c r="F9" i="3" l="1"/>
  <c r="G9" i="3"/>
  <c r="E19" i="3"/>
  <c r="D37" i="1"/>
  <c r="E29" i="3" s="1"/>
  <c r="E30" i="3" s="1"/>
  <c r="D39" i="1"/>
  <c r="E33" i="3" s="1"/>
  <c r="D38" i="1"/>
  <c r="E34" i="3" s="1"/>
  <c r="D40" i="1" l="1"/>
  <c r="F19" i="3"/>
  <c r="E32" i="3" s="1"/>
  <c r="G19" i="3"/>
  <c r="E25" i="3" l="1"/>
  <c r="D41" i="1"/>
  <c r="E24" i="3" s="1"/>
  <c r="D42" i="1" l="1"/>
  <c r="E23" i="3" s="1"/>
  <c r="E35" i="3"/>
  <c r="F38" i="3"/>
  <c r="F35" i="3" l="1"/>
  <c r="E36" i="3"/>
  <c r="F36" i="3" s="1"/>
</calcChain>
</file>

<file path=xl/sharedStrings.xml><?xml version="1.0" encoding="utf-8"?>
<sst xmlns="http://schemas.openxmlformats.org/spreadsheetml/2006/main" count="10165" uniqueCount="1261">
  <si>
    <t>TENDER COST SUMMARY</t>
  </si>
  <si>
    <t>Structure + Architecture + Preliminaries — For Submission to Client — For Approval</t>
  </si>
  <si>
    <t>Project Name</t>
  </si>
  <si>
    <t>10-Storey School Building</t>
  </si>
  <si>
    <t>Scope</t>
  </si>
  <si>
    <t>Structure + Architecture + Preliminaries</t>
  </si>
  <si>
    <t>Client</t>
  </si>
  <si>
    <t>( client name )</t>
  </si>
  <si>
    <t>Location</t>
  </si>
  <si>
    <t>Phnom Penh, Cambodia</t>
  </si>
  <si>
    <t>Contractor</t>
  </si>
  <si>
    <t>( your company )</t>
  </si>
  <si>
    <t>Tender Ref.</t>
  </si>
  <si>
    <t>SCH-COMB-002</t>
  </si>
  <si>
    <t>Date</t>
  </si>
  <si>
    <t>( dd/mm/yyyy )</t>
  </si>
  <si>
    <t>1.  ELEMENTAL COST SUMMARY</t>
  </si>
  <si>
    <t>Code</t>
  </si>
  <si>
    <t>Description</t>
  </si>
  <si>
    <t>Amount ($)</t>
  </si>
  <si>
    <t>Remark</t>
  </si>
  <si>
    <t>A.00</t>
  </si>
  <si>
    <t>Early Work</t>
  </si>
  <si>
    <t>—</t>
  </si>
  <si>
    <t>Excluded</t>
  </si>
  <si>
    <t>B.01</t>
  </si>
  <si>
    <t>Piling Work</t>
  </si>
  <si>
    <t>Priced</t>
  </si>
  <si>
    <t>B.03</t>
  </si>
  <si>
    <t>Ground Floor / Foundation</t>
  </si>
  <si>
    <t>B.04</t>
  </si>
  <si>
    <t>Super Structure</t>
  </si>
  <si>
    <t>C.01</t>
  </si>
  <si>
    <t>Exterior Wall &amp; Partition</t>
  </si>
  <si>
    <t>C.02</t>
  </si>
  <si>
    <t>Exterior Wall Finishes</t>
  </si>
  <si>
    <t>C.04</t>
  </si>
  <si>
    <t>Exterior Window &amp; Louver</t>
  </si>
  <si>
    <t>C.09</t>
  </si>
  <si>
    <t>Interior Wall &amp; Partition</t>
  </si>
  <si>
    <t>C.10</t>
  </si>
  <si>
    <t>Interior Door / Windows</t>
  </si>
  <si>
    <t>D.01</t>
  </si>
  <si>
    <t>Interior Wall Finishes</t>
  </si>
  <si>
    <t>D.02</t>
  </si>
  <si>
    <t>Interior Floor Finishes</t>
  </si>
  <si>
    <t>D.03</t>
  </si>
  <si>
    <t>Ceiling Finishes</t>
  </si>
  <si>
    <t>E.04</t>
  </si>
  <si>
    <t>Signage</t>
  </si>
  <si>
    <t>F.00</t>
  </si>
  <si>
    <t>MEP Services</t>
  </si>
  <si>
    <t>G.00</t>
  </si>
  <si>
    <t>External Works</t>
  </si>
  <si>
    <t>X.00</t>
  </si>
  <si>
    <t>Authority &amp; Insurance</t>
  </si>
  <si>
    <t>DIRECT WORKS COST  (A)</t>
  </si>
  <si>
    <t>2.  COMMERCIAL BUILD-UP TO TENDER PRICE</t>
  </si>
  <si>
    <t>Item</t>
  </si>
  <si>
    <t>% (input)</t>
  </si>
  <si>
    <t>Direct Works Cost (A)</t>
  </si>
  <si>
    <t>Add: Preliminaries &amp; General (Z)</t>
  </si>
  <si>
    <t>(itemized, 22 items)</t>
  </si>
  <si>
    <t>Subtotal</t>
  </si>
  <si>
    <t>Add: Head Office Overhead</t>
  </si>
  <si>
    <t>Add: Risk &amp; Contingency</t>
  </si>
  <si>
    <t>Add: Profit</t>
  </si>
  <si>
    <t>Subtotal before VAT</t>
  </si>
  <si>
    <t>Add: VAT</t>
  </si>
  <si>
    <t>TENDER PRICE  (USD)</t>
  </si>
  <si>
    <t>Amount in words: ____________________________________________________________</t>
  </si>
  <si>
    <t>3.  APPROVAL</t>
  </si>
  <si>
    <t>Prepared by  (QS / Estimator)</t>
  </si>
  <si>
    <t>Checked by  (QS Manager)</t>
  </si>
  <si>
    <t>Name / Signature / Date</t>
  </si>
  <si>
    <t>Approved by  (Contractor)</t>
  </si>
  <si>
    <t>Accepted by  (Client)</t>
  </si>
  <si>
    <t>BILL OF QUANTITIES — STRUCTURE + ARCHITECTURE — DETAILED BREAKDOWN</t>
  </si>
  <si>
    <t>10-Storey School Building  |  Phnom Penh, Cambodia  |  USD ($)</t>
  </si>
  <si>
    <t>Quantities &amp; amounts roll up live from Raw Data; rates flow from the Price List (70 items).</t>
  </si>
  <si>
    <t>Unit</t>
  </si>
  <si>
    <t>Quantity</t>
  </si>
  <si>
    <t>Labor Rate ($)</t>
  </si>
  <si>
    <t>Material Rate ($)</t>
  </si>
  <si>
    <t>Total Rate ($)</t>
  </si>
  <si>
    <t>B.01  —  PILING WORK</t>
  </si>
  <si>
    <t xml:space="preserve">   Bored Pile</t>
  </si>
  <si>
    <t>B.01.01</t>
  </si>
  <si>
    <t>Pile Head Cutting up to required level D1000mm</t>
  </si>
  <si>
    <t>Nos</t>
  </si>
  <si>
    <t>B.01.02</t>
  </si>
  <si>
    <t>Pile Head Cutting up to required level D800mm</t>
  </si>
  <si>
    <t>B.01.03</t>
  </si>
  <si>
    <t>Sonic Logging Test (SLT)</t>
  </si>
  <si>
    <t>B.01.04</t>
  </si>
  <si>
    <t>Soil Coring for Bored Pile D1000mm, Depth 30m</t>
  </si>
  <si>
    <t>B.01.05</t>
  </si>
  <si>
    <t>Soil Coring for Bored Pile D800mm, Depth 30m</t>
  </si>
  <si>
    <t>B.01.06</t>
  </si>
  <si>
    <t>Normal Concrete, 35Mpa (Cylinder), Slump 15+-2.5</t>
  </si>
  <si>
    <t>m3</t>
  </si>
  <si>
    <t>B.01.07</t>
  </si>
  <si>
    <t>Deform Bar, DB10(fy=390 Mpa)</t>
  </si>
  <si>
    <t>kg</t>
  </si>
  <si>
    <t>B.01.08</t>
  </si>
  <si>
    <t>Deform Bar, DB25(fy=390 Mpa)</t>
  </si>
  <si>
    <t>B.01.09</t>
  </si>
  <si>
    <t>Steel Tie Wire 1mm (Estimated 4% of Total Rebar Weight)</t>
  </si>
  <si>
    <t>B.01.10</t>
  </si>
  <si>
    <t>Steel Round Pipe (D49x2mm) with rush primer and paint</t>
  </si>
  <si>
    <t>m</t>
  </si>
  <si>
    <t>B.01.11</t>
  </si>
  <si>
    <t>Rebar Testing as per Specification</t>
  </si>
  <si>
    <t>Lot</t>
  </si>
  <si>
    <t xml:space="preserve">   Subtotal — Bored Pile</t>
  </si>
  <si>
    <t>SUBTOTAL B.01</t>
  </si>
  <si>
    <t>B.03  —  GROUND FLOOR / FOUNDATION</t>
  </si>
  <si>
    <t xml:space="preserve">   Pile Cap &amp; Stump</t>
  </si>
  <si>
    <t>B.03.01</t>
  </si>
  <si>
    <t>Soil Excavation</t>
  </si>
  <si>
    <t>B.03.02</t>
  </si>
  <si>
    <t>Soil Disposal</t>
  </si>
  <si>
    <t>B.03.03</t>
  </si>
  <si>
    <t>Soil Backfill</t>
  </si>
  <si>
    <t>B.03.04</t>
  </si>
  <si>
    <t>Normal Concrete, 35Mpa (Cylinder), Slump 13+-2.5</t>
  </si>
  <si>
    <t>B.03.05</t>
  </si>
  <si>
    <t>Formwork</t>
  </si>
  <si>
    <t>m2</t>
  </si>
  <si>
    <t>B.03.06</t>
  </si>
  <si>
    <t>B.03.07</t>
  </si>
  <si>
    <t>Deform Bar, DB12(fy=390 Mpa)</t>
  </si>
  <si>
    <t>B.03.08</t>
  </si>
  <si>
    <t>Deform Bar, DB16(fy=390 Mpa)</t>
  </si>
  <si>
    <t>B.03.09</t>
  </si>
  <si>
    <t>Deform Bar, DB20(fy=390 Mpa)</t>
  </si>
  <si>
    <t>B.03.10</t>
  </si>
  <si>
    <t>B.03.11</t>
  </si>
  <si>
    <t>Deform Bar, DB32(fy=390 Mpa)</t>
  </si>
  <si>
    <t>B.03.12</t>
  </si>
  <si>
    <t>B.03.13</t>
  </si>
  <si>
    <t>Well Soil Compact</t>
  </si>
  <si>
    <t>B.03.14</t>
  </si>
  <si>
    <t>Lean Concrete, 15Mpa (Cylinder)</t>
  </si>
  <si>
    <t>B.03.15</t>
  </si>
  <si>
    <t>PVC Waterbar® V VN 20 (Width 200mm)</t>
  </si>
  <si>
    <t>B.03.16</t>
  </si>
  <si>
    <t>Membrance sheet 2mm thk</t>
  </si>
  <si>
    <t xml:space="preserve">   Subtotal — Pile Cap &amp; Stump</t>
  </si>
  <si>
    <t xml:space="preserve">   Septic tank</t>
  </si>
  <si>
    <t>B.03.17</t>
  </si>
  <si>
    <t>B.03.18</t>
  </si>
  <si>
    <t>B.03.19</t>
  </si>
  <si>
    <t>B.03.20</t>
  </si>
  <si>
    <t>B.03.21</t>
  </si>
  <si>
    <t>B.03.22</t>
  </si>
  <si>
    <t>B.03.23</t>
  </si>
  <si>
    <t>B.03.24</t>
  </si>
  <si>
    <t>Crush Stone 40x60mm 150mm Thk.</t>
  </si>
  <si>
    <t>B.03.25</t>
  </si>
  <si>
    <t>B.03.26</t>
  </si>
  <si>
    <t>B.03.27</t>
  </si>
  <si>
    <t xml:space="preserve">   Subtotal — Septic tank</t>
  </si>
  <si>
    <t>SUBTOTAL B.03</t>
  </si>
  <si>
    <t>B.04  —  SUPER STRUCTURE</t>
  </si>
  <si>
    <t xml:space="preserve">   Structural Beam</t>
  </si>
  <si>
    <t>B.04.01</t>
  </si>
  <si>
    <t>B.04.02</t>
  </si>
  <si>
    <t>B.04.03</t>
  </si>
  <si>
    <t>Round Bar, RB8(fy=250 Mpa)</t>
  </si>
  <si>
    <t>B.04.04</t>
  </si>
  <si>
    <t>B.04.05</t>
  </si>
  <si>
    <t>B.04.06</t>
  </si>
  <si>
    <t>B.04.07</t>
  </si>
  <si>
    <t>B.04.08</t>
  </si>
  <si>
    <t>B.04.09</t>
  </si>
  <si>
    <t>B.04.10</t>
  </si>
  <si>
    <t>Crush Stone 40x60mm 100mm Thk.</t>
  </si>
  <si>
    <t>B.04.11</t>
  </si>
  <si>
    <t>Anti-Termite with Plastic Membrane</t>
  </si>
  <si>
    <t>B.04.12</t>
  </si>
  <si>
    <t xml:space="preserve">   Subtotal — Structural Beam</t>
  </si>
  <si>
    <t xml:space="preserve">   Structural Slab</t>
  </si>
  <si>
    <t>B.04.13</t>
  </si>
  <si>
    <t>B.04.14</t>
  </si>
  <si>
    <t>B.04.15</t>
  </si>
  <si>
    <t>B.04.16</t>
  </si>
  <si>
    <t>B.04.17</t>
  </si>
  <si>
    <t>B.04.18</t>
  </si>
  <si>
    <t>B.04.19</t>
  </si>
  <si>
    <t>B.04.20</t>
  </si>
  <si>
    <t xml:space="preserve">   Subtotal — Structural Slab</t>
  </si>
  <si>
    <t xml:space="preserve">   Structural Column</t>
  </si>
  <si>
    <t>B.04.21</t>
  </si>
  <si>
    <t>B.04.22</t>
  </si>
  <si>
    <t>B.04.23</t>
  </si>
  <si>
    <t>B.04.24</t>
  </si>
  <si>
    <t>B.04.25</t>
  </si>
  <si>
    <t>B.04.26</t>
  </si>
  <si>
    <t>B.04.27</t>
  </si>
  <si>
    <t>B.04.28</t>
  </si>
  <si>
    <t xml:space="preserve">   Subtotal — Structural Column</t>
  </si>
  <si>
    <t xml:space="preserve">   Structural Wall</t>
  </si>
  <si>
    <t>B.04.29</t>
  </si>
  <si>
    <t>B.04.30</t>
  </si>
  <si>
    <t>B.04.31</t>
  </si>
  <si>
    <t>B.04.32</t>
  </si>
  <si>
    <t>B.04.33</t>
  </si>
  <si>
    <t>B.04.34</t>
  </si>
  <si>
    <t>B.04.35</t>
  </si>
  <si>
    <t>B.04.36</t>
  </si>
  <si>
    <t>Deform Bar, DB14(fy=390 Mpa)</t>
  </si>
  <si>
    <t xml:space="preserve">   Subtotal — Structural Wall</t>
  </si>
  <si>
    <t xml:space="preserve">   Structural Staircase</t>
  </si>
  <si>
    <t>B.04.37</t>
  </si>
  <si>
    <t>B.04.38</t>
  </si>
  <si>
    <t>B.04.39</t>
  </si>
  <si>
    <t>B.04.40</t>
  </si>
  <si>
    <t>B.04.41</t>
  </si>
  <si>
    <t>B.04.42</t>
  </si>
  <si>
    <t>B.04.43</t>
  </si>
  <si>
    <t>B.04.44</t>
  </si>
  <si>
    <t xml:space="preserve">   Subtotal — Structural Staircase</t>
  </si>
  <si>
    <t xml:space="preserve">   Parapet wall &amp; Stiffener Column</t>
  </si>
  <si>
    <t>B.04.45</t>
  </si>
  <si>
    <t>B.04.46</t>
  </si>
  <si>
    <t>B.04.47</t>
  </si>
  <si>
    <t>B.04.48</t>
  </si>
  <si>
    <t>B.04.49</t>
  </si>
  <si>
    <t>B.04.50</t>
  </si>
  <si>
    <t xml:space="preserve">   Subtotal — Parapet wall &amp; Stiffener Column</t>
  </si>
  <si>
    <t xml:space="preserve">   Structural Steel</t>
  </si>
  <si>
    <t>B.04.51</t>
  </si>
  <si>
    <t>J bolt M12, L=600mm, grade 5.6</t>
  </si>
  <si>
    <t>pcs</t>
  </si>
  <si>
    <t>B.04.52</t>
  </si>
  <si>
    <t>Steel plate 200x230x12mm</t>
  </si>
  <si>
    <t>B.04.53</t>
  </si>
  <si>
    <t>Zinc sheet 0.4mm</t>
  </si>
  <si>
    <t>B.04.54</t>
  </si>
  <si>
    <t>Sag rod 12mm</t>
  </si>
  <si>
    <t>B.04.55</t>
  </si>
  <si>
    <t>U-50*100*5mm</t>
  </si>
  <si>
    <t>B.04.56</t>
  </si>
  <si>
    <t>Tub-50*100*2mm</t>
  </si>
  <si>
    <t>B.04.57</t>
  </si>
  <si>
    <t>Flashing cover roof</t>
  </si>
  <si>
    <t xml:space="preserve">   Subtotal — Structural Steel</t>
  </si>
  <si>
    <t>SUBTOTAL B.04</t>
  </si>
  <si>
    <t>C.01  —  EXTERIOR WALL &amp; PARTITION</t>
  </si>
  <si>
    <t xml:space="preserve">   Hollow clay brick</t>
  </si>
  <si>
    <t>C.01.01</t>
  </si>
  <si>
    <t>Hollow clay brick (80x80x180)mm, thickness 500mm Thk.</t>
  </si>
  <si>
    <t>C.01.02</t>
  </si>
  <si>
    <t>Hollow clay brick (80x80x180)mm, thickness 200mm Thk.</t>
  </si>
  <si>
    <t>C.01.03</t>
  </si>
  <si>
    <t>Hollow clay brick (80x80x180)mm, thickness 800mm Thk.</t>
  </si>
  <si>
    <t>C.01.04</t>
  </si>
  <si>
    <t>Hollow clay brick (80x80x180)mm, thickness 400mm Thk.</t>
  </si>
  <si>
    <t xml:space="preserve">   Subtotal — Hollow clay brick</t>
  </si>
  <si>
    <t xml:space="preserve">   External façade</t>
  </si>
  <si>
    <t>C.01.05</t>
  </si>
  <si>
    <t>concrete block</t>
  </si>
  <si>
    <t xml:space="preserve">   Subtotal — External façade</t>
  </si>
  <si>
    <t>SUBTOTAL C.01</t>
  </si>
  <si>
    <t>C.02  —  EXTERIOR WALL FINISHES</t>
  </si>
  <si>
    <t xml:space="preserve">   Plastering</t>
  </si>
  <si>
    <t>C.02.01</t>
  </si>
  <si>
    <t>20mm cement plaster</t>
  </si>
  <si>
    <t xml:space="preserve">   Subtotal — Plastering</t>
  </si>
  <si>
    <t xml:space="preserve">   Painting</t>
  </si>
  <si>
    <t>C.02.02</t>
  </si>
  <si>
    <t>Painting</t>
  </si>
  <si>
    <t xml:space="preserve">   Subtotal — Painting</t>
  </si>
  <si>
    <t>SUBTOTAL C.02</t>
  </si>
  <si>
    <t>C.04  —  EXTERIOR WINDOW &amp; LOUVER</t>
  </si>
  <si>
    <t xml:space="preserve">   Glass Window</t>
  </si>
  <si>
    <t>C.04.01</t>
  </si>
  <si>
    <t>Internal Fix Windoor (L:3000,H:500)mm</t>
  </si>
  <si>
    <t>C.04.02</t>
  </si>
  <si>
    <t>Internal Fix Windoor (L:1800,H:500)mm</t>
  </si>
  <si>
    <t>C.04.03</t>
  </si>
  <si>
    <t>Internal Fix Windoor (L:1200,H:500)mm &amp; Slide window (L:1200,H:1000)mm</t>
  </si>
  <si>
    <t>C.04.04</t>
  </si>
  <si>
    <t>Internal Fix Windoor (L:2000,H:500)mm &amp; Slide window (L:2000,H:1000)mm</t>
  </si>
  <si>
    <t>C.04.05</t>
  </si>
  <si>
    <t>Internal Fix Windoor (L:3000,H:500)mm &amp; Slide window (L:3000,H:1000)mm</t>
  </si>
  <si>
    <t>C.04.06</t>
  </si>
  <si>
    <t>Internal Fix Windoor (L:900,H:1000)mm</t>
  </si>
  <si>
    <t>C.04.07</t>
  </si>
  <si>
    <t>Internal Fix Windoor (L:4000,H:500)mm &amp; Slide window (L:4000,H:1700)mm</t>
  </si>
  <si>
    <t>C.04.08</t>
  </si>
  <si>
    <t>Internal Fix Windoor (L:2000,H:500)mm &amp; Slide window (L:2000,H:10300)mm</t>
  </si>
  <si>
    <t xml:space="preserve">   Subtotal — Glass Window</t>
  </si>
  <si>
    <t>SUBTOTAL C.04</t>
  </si>
  <si>
    <t>C.09  —  INTERIOR WALL &amp; PARTITION</t>
  </si>
  <si>
    <t>C.09.01</t>
  </si>
  <si>
    <t>Hollow clay brick (80x80x180)mm, thickness 100mm Thk.</t>
  </si>
  <si>
    <t>C.09.02</t>
  </si>
  <si>
    <t xml:space="preserve">   Handrail</t>
  </si>
  <si>
    <t>C.09.03</t>
  </si>
  <si>
    <t>Steel handrail with paiting H=1m</t>
  </si>
  <si>
    <t xml:space="preserve">   Subtotal — Handrail</t>
  </si>
  <si>
    <t xml:space="preserve">   Handrail on staircase</t>
  </si>
  <si>
    <t>C.09.04</t>
  </si>
  <si>
    <t>Steel handrail with paiting Handrail on staircase, H=1m</t>
  </si>
  <si>
    <t xml:space="preserve">   Subtotal — Handrail on staircase</t>
  </si>
  <si>
    <t>SUBTOTAL C.09</t>
  </si>
  <si>
    <t>C.10  —  INTERIOR DOOR</t>
  </si>
  <si>
    <t xml:space="preserve">   PVC door</t>
  </si>
  <si>
    <t>C.10.01</t>
  </si>
  <si>
    <t>PVC door size (L:750,H:2000,W:400)mm</t>
  </si>
  <si>
    <t>C.10.02</t>
  </si>
  <si>
    <t>PVC door size (L:800,H:2100,W:400)mm</t>
  </si>
  <si>
    <t>C.10.03</t>
  </si>
  <si>
    <t>PVC door size (L:900,H:2100,W:400)mm</t>
  </si>
  <si>
    <t xml:space="preserve">   Subtotal — PVC door</t>
  </si>
  <si>
    <t xml:space="preserve">   Wood door</t>
  </si>
  <si>
    <t>C.10.04</t>
  </si>
  <si>
    <t>Wood door size (L:900,H:2100,W:500)mm</t>
  </si>
  <si>
    <t>C.10.05</t>
  </si>
  <si>
    <t>Wood door size (L:900,H:2100,W:400)mm</t>
  </si>
  <si>
    <t>C.10.06</t>
  </si>
  <si>
    <t>Wood door size (L:1600,H:2100,W:500)mm</t>
  </si>
  <si>
    <t xml:space="preserve">   Subtotal — Wood door</t>
  </si>
  <si>
    <t xml:space="preserve">   Steel Door</t>
  </si>
  <si>
    <t>C.10.07</t>
  </si>
  <si>
    <t>Steel door size (L:880,H:2100,W:400)mm</t>
  </si>
  <si>
    <t xml:space="preserve">   Subtotal — Steel Door</t>
  </si>
  <si>
    <t>SUBTOTAL C.10</t>
  </si>
  <si>
    <t>D.01  —  INTERIOR WALL FINISHES</t>
  </si>
  <si>
    <t>D.01.01</t>
  </si>
  <si>
    <t>D.01.02</t>
  </si>
  <si>
    <t xml:space="preserve">   Toilet Wall tile</t>
  </si>
  <si>
    <t>D.01.03</t>
  </si>
  <si>
    <t>tile size (300x600)mm</t>
  </si>
  <si>
    <t xml:space="preserve">   Subtotal — Toilet Wall tile</t>
  </si>
  <si>
    <t xml:space="preserve">   Wall tiling</t>
  </si>
  <si>
    <t>D.01.04</t>
  </si>
  <si>
    <t>Wall tile Size 0.6x0.6m,Height 1.2m, at cooridor</t>
  </si>
  <si>
    <t xml:space="preserve">   Subtotal — Wall tiling</t>
  </si>
  <si>
    <t>SUBTOTAL D.01</t>
  </si>
  <si>
    <t>D.02  —  INTERIOR FLOOR FINISHES</t>
  </si>
  <si>
    <t xml:space="preserve">   Toilet Floor tile</t>
  </si>
  <si>
    <t>D.02.01</t>
  </si>
  <si>
    <t>tile size (300x300)mm</t>
  </si>
  <si>
    <t xml:space="preserve">   Subtotal — Toilet Floor tile</t>
  </si>
  <si>
    <t xml:space="preserve">   anti termite</t>
  </si>
  <si>
    <t>D.02.02</t>
  </si>
  <si>
    <t>anti termite</t>
  </si>
  <si>
    <t xml:space="preserve">   Subtotal — anti termite</t>
  </si>
  <si>
    <t xml:space="preserve">   Waterproofing</t>
  </si>
  <si>
    <t>D.02.03</t>
  </si>
  <si>
    <t>Sika Waterproofing</t>
  </si>
  <si>
    <t xml:space="preserve">   Subtotal — Waterproofing</t>
  </si>
  <si>
    <t xml:space="preserve">   Marble on staircase</t>
  </si>
  <si>
    <t>D.02.04</t>
  </si>
  <si>
    <t>Marble on staircase</t>
  </si>
  <si>
    <t xml:space="preserve">   Subtotal — Marble on staircase</t>
  </si>
  <si>
    <t>SUBTOTAL D.02</t>
  </si>
  <si>
    <t>D.03  —  CEILING FINISHES</t>
  </si>
  <si>
    <t xml:space="preserve">   Suspended ceiling</t>
  </si>
  <si>
    <t>D.03.01</t>
  </si>
  <si>
    <t>10mm Plasterboard with 600mm ceiling frame height</t>
  </si>
  <si>
    <t xml:space="preserve">   Subtotal — Suspended ceiling</t>
  </si>
  <si>
    <t>SUBTOTAL D.03</t>
  </si>
  <si>
    <t>E.04  —  SIGNAGE</t>
  </si>
  <si>
    <t xml:space="preserve">   Signage</t>
  </si>
  <si>
    <t>E.04.01</t>
  </si>
  <si>
    <t>External round logo include framing</t>
  </si>
  <si>
    <t>E.04.02</t>
  </si>
  <si>
    <t>Khmer and chinesse text</t>
  </si>
  <si>
    <t>lot</t>
  </si>
  <si>
    <t xml:space="preserve">   Subtotal — Signage</t>
  </si>
  <si>
    <t>SUBTOTAL E.04</t>
  </si>
  <si>
    <t>TOTAL DIRECT WORKS COST  (carried to Cover)</t>
  </si>
  <si>
    <t>PROJECT BUDGET &amp; PROFIT PLAN</t>
  </si>
  <si>
    <t>INTERNAL DOCUMENT — FOR COST MANAGEMENT ONLY — NOT FOR CLIENT ISSUE</t>
  </si>
  <si>
    <t>10-Storey School Building | Phnom Penh, Cambodia | USD ($) | Linked live to Raw Data, Price List, Preliminaries &amp; Cover</t>
  </si>
  <si>
    <t>1.  COST PLAN BY ELEMENT  (Original Budget vs Selling)</t>
  </si>
  <si>
    <t>Element</t>
  </si>
  <si>
    <t>Cost Budget (Net) ($)</t>
  </si>
  <si>
    <t>Selling / BoQ ($)</t>
  </si>
  <si>
    <t>Embedded Margin ($)</t>
  </si>
  <si>
    <t>Margin %</t>
  </si>
  <si>
    <t>DIRECT WORKS TOTAL</t>
  </si>
  <si>
    <t>Z</t>
  </si>
  <si>
    <t>Preliminaries &amp; General (at cost)</t>
  </si>
  <si>
    <t>2.  PROJECT TOTALS &amp; PROFIT PLAN</t>
  </si>
  <si>
    <t>CONTRACT VALUE — Tender Price (incl. VAT)</t>
  </si>
  <si>
    <t>less: VAT payable to tax authority (pass-through)</t>
  </si>
  <si>
    <t>REVENUE (excl. VAT)</t>
  </si>
  <si>
    <t>ORIGINAL COST BUDGET (what the project should cost):</t>
  </si>
  <si>
    <t xml:space="preserve">    Direct works at net cost (labor + material, no margin)</t>
  </si>
  <si>
    <t xml:space="preserve">    Preliminaries at cost</t>
  </si>
  <si>
    <t xml:space="preserve">    Head office overhead (real cost, per Cover %)</t>
  </si>
  <si>
    <t>TOTAL ORIGINAL BUDGET</t>
  </si>
  <si>
    <t>PROFIT PLAN (where the margin lives):</t>
  </si>
  <si>
    <t xml:space="preserve">    Embedded margin inside unit rates</t>
  </si>
  <si>
    <t xml:space="preserve">    Explicit profit line on Cover</t>
  </si>
  <si>
    <t xml:space="preserve">    Risk &amp; contingency (becomes profit only if unused)</t>
  </si>
  <si>
    <t>PLANNED GROSS PROFIT (if risk unused)</t>
  </si>
  <si>
    <t>TARGET GROSS PROFIT (risk held in reserve)</t>
  </si>
  <si>
    <t>Check: Revenue − Budget − Embedded − Profit − Risk = $0  →</t>
  </si>
  <si>
    <t>3.  HOW TO USE THIS SHEET FOR COST CONTROL</t>
  </si>
  <si>
    <t>1.  The "Cost Budget (Net)" column is your baseline: every purchase order and subcontract for an element is tracked against it.</t>
  </si>
  <si>
    <t>2.  Each month, record Committed Cost (orders placed) and Actual Cost (invoices) per code vs this budget — overrun on any code eats the embedded margin first, then profit.</t>
  </si>
  <si>
    <t>3.  Risk &amp; Contingency is NOT profit yet: hold it against variations, rework and escalation; release to profit only at final account.</t>
  </si>
  <si>
    <t>4.  VAT is collected from the client and paid to GDT — never count it as project money.</t>
  </si>
  <si>
    <t>5.  When real supplier quotations replace benchmark rates in the Price List, this sheet re-baselines automatically.</t>
  </si>
  <si>
    <t>Floor Code</t>
  </si>
  <si>
    <t>Building Code</t>
  </si>
  <si>
    <t>Sequence Number</t>
  </si>
  <si>
    <t xml:space="preserve">Level Code on Design </t>
  </si>
  <si>
    <t>BA</t>
  </si>
  <si>
    <t>01</t>
  </si>
  <si>
    <t>U01</t>
  </si>
  <si>
    <t>02</t>
  </si>
  <si>
    <t>B02</t>
  </si>
  <si>
    <t>03</t>
  </si>
  <si>
    <t>B01</t>
  </si>
  <si>
    <t>04</t>
  </si>
  <si>
    <t>L00</t>
  </si>
  <si>
    <t>05</t>
  </si>
  <si>
    <t>L01</t>
  </si>
  <si>
    <t>06</t>
  </si>
  <si>
    <t>L02</t>
  </si>
  <si>
    <t>07</t>
  </si>
  <si>
    <t>L03</t>
  </si>
  <si>
    <t>08</t>
  </si>
  <si>
    <t>L04</t>
  </si>
  <si>
    <t>09</t>
  </si>
  <si>
    <t>L05</t>
  </si>
  <si>
    <t>Floor Naming</t>
  </si>
  <si>
    <t>Building Name</t>
  </si>
  <si>
    <t>Level</t>
  </si>
  <si>
    <t>Level Function</t>
  </si>
  <si>
    <t>CFA (m2)</t>
  </si>
  <si>
    <t>Level Code</t>
  </si>
  <si>
    <t>Civil and Structure Level Breakdown</t>
  </si>
  <si>
    <t>Discipline</t>
  </si>
  <si>
    <t xml:space="preserve">Section </t>
  </si>
  <si>
    <t xml:space="preserve">Sub Section </t>
  </si>
  <si>
    <t>Material Type</t>
  </si>
  <si>
    <t>Civil and Structure</t>
  </si>
  <si>
    <t>Foundation</t>
  </si>
  <si>
    <t>Pile</t>
  </si>
  <si>
    <t>D1000 Concrete Grade C30/37</t>
  </si>
  <si>
    <t>D400 Concrete Grade C30/37</t>
  </si>
  <si>
    <t>D600 Concrete Grade C30/37</t>
  </si>
  <si>
    <t>D800 Concrete Grade C30/37</t>
  </si>
  <si>
    <t>Pile Caps</t>
  </si>
  <si>
    <t>Anti-Termite</t>
  </si>
  <si>
    <t>Concrete Grade C40/50</t>
  </si>
  <si>
    <t>Rebar DB10 SD390</t>
  </si>
  <si>
    <t>Rebar DB12 SD390</t>
  </si>
  <si>
    <t>Rebar DB16 SD390</t>
  </si>
  <si>
    <t>Rebar DB20 SD390</t>
  </si>
  <si>
    <t>Rebar DB25 SD390</t>
  </si>
  <si>
    <t>Rebar DB8 SD235</t>
  </si>
  <si>
    <t>Excavation</t>
  </si>
  <si>
    <t>Gravel 4x6cm Compaction 100mm thk. &amp; Concrete Grade C25/30 50mm thk.</t>
  </si>
  <si>
    <t>Plywood Formwork</t>
  </si>
  <si>
    <t>Temperary Protection</t>
  </si>
  <si>
    <t>H-Beam(400x400x13x21)mm, SD365</t>
  </si>
  <si>
    <t>Steel sheet piles (6x0.75)m</t>
  </si>
  <si>
    <t>Sub Structure</t>
  </si>
  <si>
    <t>Sewage Treatment Plant (STP)</t>
  </si>
  <si>
    <t>Normal Concrete, C35/45 Mpa</t>
  </si>
  <si>
    <t>Retaining Wall</t>
  </si>
  <si>
    <t>Sika Waterbar</t>
  </si>
  <si>
    <t>Water Tank</t>
  </si>
  <si>
    <t>Concrete Grade C35/45</t>
  </si>
  <si>
    <t>Beam</t>
  </si>
  <si>
    <t>W(8x10)cm Steel ASTM A992</t>
  </si>
  <si>
    <t>Column</t>
  </si>
  <si>
    <t>W(150x29)cm Steel ASTM A992</t>
  </si>
  <si>
    <t>Floor</t>
  </si>
  <si>
    <t>Rebar RB8 SD235</t>
  </si>
  <si>
    <t>Stair</t>
  </si>
  <si>
    <t>Structural Walls</t>
  </si>
  <si>
    <t>External Work</t>
  </si>
  <si>
    <t>Canopy</t>
  </si>
  <si>
    <t>Roofing</t>
  </si>
  <si>
    <t>U-Drain</t>
  </si>
  <si>
    <t>Manhole</t>
  </si>
  <si>
    <t>Road</t>
  </si>
  <si>
    <t>Permanent Fence</t>
  </si>
  <si>
    <t>Logo Support</t>
  </si>
  <si>
    <t>Design Data</t>
  </si>
  <si>
    <t>RFQ DATA</t>
  </si>
  <si>
    <t>Sub Section</t>
  </si>
  <si>
    <t>Sub Element</t>
  </si>
  <si>
    <t>Designated Brand</t>
  </si>
  <si>
    <t>Supplier ID</t>
  </si>
  <si>
    <t>Proposed Brand</t>
  </si>
  <si>
    <t>Specification</t>
  </si>
  <si>
    <t xml:space="preserve">Labor Rate </t>
  </si>
  <si>
    <t xml:space="preserve">Material Rate </t>
  </si>
  <si>
    <t>RQF No</t>
  </si>
  <si>
    <t>Submit by</t>
  </si>
  <si>
    <t>Submit Date</t>
  </si>
  <si>
    <t>Bored Pile</t>
  </si>
  <si>
    <t>Preliminary Works</t>
  </si>
  <si>
    <t xml:space="preserve">Mobilization and Demobilization </t>
  </si>
  <si>
    <t>Management fee and field engineer</t>
  </si>
  <si>
    <t>Survey and setting out &amp; As-Built drawing</t>
  </si>
  <si>
    <t>Casing length 6m and Steel plate</t>
  </si>
  <si>
    <t>Coring Works</t>
  </si>
  <si>
    <t>Bentonite</t>
  </si>
  <si>
    <t>Rock Coring for Bored Pile D1500mm</t>
  </si>
  <si>
    <t>Soil Coring for Bored Pile D1500mm</t>
  </si>
  <si>
    <t>Concrete</t>
  </si>
  <si>
    <t>Rebar</t>
  </si>
  <si>
    <t>Deform Bar, DB10 SD500 Mpa</t>
  </si>
  <si>
    <t>Deform Bar, DB16 SD500 Mpa</t>
  </si>
  <si>
    <t xml:space="preserve">Deform Bar, DB20 SD500 Mpa </t>
  </si>
  <si>
    <t>Steel Wire</t>
  </si>
  <si>
    <t>Steel Tie Wire 1mm</t>
  </si>
  <si>
    <t>Steel Tube</t>
  </si>
  <si>
    <t>Steel Tube D49x1.9mm with Anti rust and black paint finish</t>
  </si>
  <si>
    <t xml:space="preserve">Grouting works </t>
  </si>
  <si>
    <t>Grouting works after sonic logging test</t>
  </si>
  <si>
    <t>Pile Load Testing</t>
  </si>
  <si>
    <t>Mobilization and demobilization</t>
  </si>
  <si>
    <t>ls</t>
  </si>
  <si>
    <t>Pile Head Cutting &amp; Preparation</t>
  </si>
  <si>
    <t>Pile Head Cutting &amp; Preparation for bored pile D1500mm</t>
  </si>
  <si>
    <t>nos</t>
  </si>
  <si>
    <t>Working Load Test and Ultimate Load Test, TL=2550Tons &amp; 4250Tons, FS=1.5 &amp; 2.5 with Kengledge method. 
Included : Mobiliztion and crane service</t>
  </si>
  <si>
    <t>Quality Testing</t>
  </si>
  <si>
    <t>PIT Testing</t>
  </si>
  <si>
    <t>Ultrasonic Testing</t>
  </si>
  <si>
    <t>PDA Test for bored pile D1500mm</t>
  </si>
  <si>
    <t>Spun Pile</t>
  </si>
  <si>
    <t>Mobilization</t>
  </si>
  <si>
    <t>trip</t>
  </si>
  <si>
    <t>Precast Concrete</t>
  </si>
  <si>
    <t>Spun Pile D600mm</t>
  </si>
  <si>
    <t>PDA Test</t>
  </si>
  <si>
    <t>Driven Pile</t>
  </si>
  <si>
    <t>Driven Pile (300x300)mm, L=8m</t>
  </si>
  <si>
    <t>Hammer test on site</t>
  </si>
  <si>
    <t xml:space="preserve">Soil Back Fill </t>
  </si>
  <si>
    <t>Soil Back Fill (Use the existing excavation material)</t>
  </si>
  <si>
    <t>Base Preparation</t>
  </si>
  <si>
    <t>Polyethylene Sheet</t>
  </si>
  <si>
    <t>Polyethylene Sheet, 2m width x 100m length</t>
  </si>
  <si>
    <t>Crush Stone</t>
  </si>
  <si>
    <t>Gravel 40x60mm Compaction 150mm thk.</t>
  </si>
  <si>
    <t>Lean Concrete</t>
  </si>
  <si>
    <t>Lean Concrete Grade C20/25 50mm thk.</t>
  </si>
  <si>
    <t xml:space="preserve">Deform Bar, DB12 SD500 Mpa </t>
  </si>
  <si>
    <t xml:space="preserve">Deform Bar, DB16 SD500 Mpa </t>
  </si>
  <si>
    <t xml:space="preserve">Deform Bar, DB25 SD500 Mpa </t>
  </si>
  <si>
    <t xml:space="preserve">Deform Bar, DB32 SD500 Mpa </t>
  </si>
  <si>
    <t>Testing</t>
  </si>
  <si>
    <t>Rebar Testing as per approved Specification</t>
  </si>
  <si>
    <t>Gravel 40x60mm Compaction 100mm thk.</t>
  </si>
  <si>
    <t xml:space="preserve">Deform Bar, DB10 SD500 Mpa </t>
  </si>
  <si>
    <t xml:space="preserve">Deform Bar, DB14 SD500 Mpa </t>
  </si>
  <si>
    <t>Water Stop</t>
  </si>
  <si>
    <t>Sika Waterbar V VN 20=20m (Width 200mm)</t>
  </si>
  <si>
    <t>SikaSwell 20mm</t>
  </si>
  <si>
    <t>Structural Beam</t>
  </si>
  <si>
    <t>Normal Concrete, C30/37 Mpa</t>
  </si>
  <si>
    <t xml:space="preserve">Formwork </t>
  </si>
  <si>
    <t>Deform Bar, DB32 SD500 Mpa</t>
  </si>
  <si>
    <t>Structural Slab</t>
  </si>
  <si>
    <t>Normal Concrete, C32/40 Mpa</t>
  </si>
  <si>
    <t>Post Tension Works</t>
  </si>
  <si>
    <t>PT Work For Slab 200mm thickness</t>
  </si>
  <si>
    <t>Deform Bar, DB14 SD500 Mpa</t>
  </si>
  <si>
    <t>Structural Column</t>
  </si>
  <si>
    <t>Deform Bar, DB20 SD500 Mpa</t>
  </si>
  <si>
    <t>Deform Bar, DB25 SD500 Mpa</t>
  </si>
  <si>
    <t>Deform Bar, DB28 SD500 Mpa</t>
  </si>
  <si>
    <t>Parapet Wall</t>
  </si>
  <si>
    <t>Structural Staircase</t>
  </si>
  <si>
    <t>Structural Ramp</t>
  </si>
  <si>
    <t>Structural Canopy</t>
  </si>
  <si>
    <t>Steel Structure</t>
  </si>
  <si>
    <t>I-(600x300x16x20)mm Grade 235 Mpa</t>
  </si>
  <si>
    <t>include bolt &amp; steel plate for connection</t>
  </si>
  <si>
    <t>Tube-(100x100x6)mm x 1.8mm thk grade 235 Mpa</t>
  </si>
  <si>
    <t>PRELIMINARIES &amp; GENERAL (Z)</t>
  </si>
  <si>
    <t>10-Storey School Building | Phnom Penh, Cambodia | USD ($). Yellow = input (Qty &amp; Rate). Time items assume ~18-month programme.</t>
  </si>
  <si>
    <t>Qty</t>
  </si>
  <si>
    <t>Rate ($)</t>
  </si>
  <si>
    <t>Z.01</t>
  </si>
  <si>
    <t>Site office, store &amp; welfare facilities</t>
  </si>
  <si>
    <t>Month</t>
  </si>
  <si>
    <t>Z.02</t>
  </si>
  <si>
    <t>Site management &amp; supervision staff</t>
  </si>
  <si>
    <t>Z.03</t>
  </si>
  <si>
    <t>Temporary fencing &amp; hoarding</t>
  </si>
  <si>
    <t>Z.04</t>
  </si>
  <si>
    <t>Temporary water supply</t>
  </si>
  <si>
    <t>Z.05</t>
  </si>
  <si>
    <t>Temporary electricity supply</t>
  </si>
  <si>
    <t>Z.06</t>
  </si>
  <si>
    <t>Health, safety &amp; PPE</t>
  </si>
  <si>
    <t>Z.07</t>
  </si>
  <si>
    <t>Site security</t>
  </si>
  <si>
    <t>Z.08</t>
  </si>
  <si>
    <t>Site cleaning &amp; waste removal</t>
  </si>
  <si>
    <t>Z.09</t>
  </si>
  <si>
    <t>Setting out &amp; survey</t>
  </si>
  <si>
    <t>Z.10</t>
  </si>
  <si>
    <t>Material &amp; concrete testing</t>
  </si>
  <si>
    <t>Z.11</t>
  </si>
  <si>
    <t>Insurance (CAR / third party)</t>
  </si>
  <si>
    <t>Z.12</t>
  </si>
  <si>
    <t>Performance bond / guarantees</t>
  </si>
  <si>
    <t>Z.13</t>
  </si>
  <si>
    <t>Z.14</t>
  </si>
  <si>
    <t>Demobilization</t>
  </si>
  <si>
    <t>Z.15</t>
  </si>
  <si>
    <t>Shop drawings</t>
  </si>
  <si>
    <t>Z.16</t>
  </si>
  <si>
    <t>As-built drawings</t>
  </si>
  <si>
    <t>Z.17</t>
  </si>
  <si>
    <t>Temporary access &amp; roads</t>
  </si>
  <si>
    <t>Z.18</t>
  </si>
  <si>
    <t>Scaffolding (general)</t>
  </si>
  <si>
    <t>Z.19</t>
  </si>
  <si>
    <t>Tower crane / hoist (10 storeys)</t>
  </si>
  <si>
    <t>Z.20</t>
  </si>
  <si>
    <t>Safety net</t>
  </si>
  <si>
    <t>Z.21</t>
  </si>
  <si>
    <t>Washing bay</t>
  </si>
  <si>
    <t>Z.22</t>
  </si>
  <si>
    <t>Temporary sheet pile length 6m</t>
  </si>
  <si>
    <t>TOTAL PRELIMINARIES  (Z)</t>
  </si>
  <si>
    <t>Note: Benchmark inputs for a ~18-month programme — adjust Qty (months/no.) and Rate per your resourcing &amp; quotations.</t>
  </si>
  <si>
    <t>Nº</t>
  </si>
  <si>
    <t>PTB Code</t>
  </si>
  <si>
    <t>Budget Code</t>
  </si>
  <si>
    <t>Section</t>
  </si>
  <si>
    <t>Element group</t>
  </si>
  <si>
    <t>Element ID</t>
  </si>
  <si>
    <t>Brand</t>
  </si>
  <si>
    <t>Supplier</t>
  </si>
  <si>
    <t>Actual Q.ty</t>
  </si>
  <si>
    <t>%</t>
  </si>
  <si>
    <t>Labor Net Cost ($)</t>
  </si>
  <si>
    <t>Labor Margin (%)</t>
  </si>
  <si>
    <t>Labor Rate</t>
  </si>
  <si>
    <t>Material Net Cost ($)</t>
  </si>
  <si>
    <t>Material Margin (%)</t>
  </si>
  <si>
    <t>Material Rate</t>
  </si>
  <si>
    <t>Amount</t>
  </si>
  <si>
    <t>Package Name</t>
  </si>
  <si>
    <t>01.UG</t>
  </si>
  <si>
    <t>Bored Pile Head Cutting</t>
  </si>
  <si>
    <t>Bored Pile Testing</t>
  </si>
  <si>
    <t>Bored Pile Coring</t>
  </si>
  <si>
    <t>Steel Tie Wire</t>
  </si>
  <si>
    <t>Steel Round Pipe</t>
  </si>
  <si>
    <t>Rebar Testing</t>
  </si>
  <si>
    <t>Pile Cap &amp; Stump</t>
  </si>
  <si>
    <t>Earthwork</t>
  </si>
  <si>
    <t>Waterproofing</t>
  </si>
  <si>
    <t>Septic tank</t>
  </si>
  <si>
    <t>02.GF</t>
  </si>
  <si>
    <t>Structural Wall</t>
  </si>
  <si>
    <t>slab, beam, column</t>
  </si>
  <si>
    <t>03.MZ</t>
  </si>
  <si>
    <t>04.1F</t>
  </si>
  <si>
    <t>05.2F</t>
  </si>
  <si>
    <t>06.3F</t>
  </si>
  <si>
    <t>07.4F</t>
  </si>
  <si>
    <t>08.5F</t>
  </si>
  <si>
    <t>09.6F</t>
  </si>
  <si>
    <t>10.7F</t>
  </si>
  <si>
    <t>11.8F</t>
  </si>
  <si>
    <t>12.9F</t>
  </si>
  <si>
    <t>13.10F</t>
  </si>
  <si>
    <t>14.TR</t>
  </si>
  <si>
    <t>Parapet wall &amp; Stiffener Column</t>
  </si>
  <si>
    <t>15.RF</t>
  </si>
  <si>
    <t>Structural Steel</t>
  </si>
  <si>
    <t>J bolt</t>
  </si>
  <si>
    <t>Steel plate</t>
  </si>
  <si>
    <t>Zinc sheet</t>
  </si>
  <si>
    <t>Sag rod</t>
  </si>
  <si>
    <t>U steel</t>
  </si>
  <si>
    <t>Hollow steel tube</t>
  </si>
  <si>
    <t>Flashing</t>
  </si>
  <si>
    <t>Architecture</t>
  </si>
  <si>
    <t>Exterior Wall and Partition</t>
  </si>
  <si>
    <t>Hollow clay brick</t>
  </si>
  <si>
    <t>Hollow clay brick 500mm Thk.</t>
  </si>
  <si>
    <t>Hollow clay brick 200mm Thk.</t>
  </si>
  <si>
    <t>Interior Wall and Partition</t>
  </si>
  <si>
    <t>Hollow clay brick 100mm Thk.</t>
  </si>
  <si>
    <t>Plastering</t>
  </si>
  <si>
    <t>Internal Wall Finishes</t>
  </si>
  <si>
    <t>Hollow clay brick 800mm Thk.</t>
  </si>
  <si>
    <t>Hollow clay brick 400mm Thk.</t>
  </si>
  <si>
    <t>Interior Door</t>
  </si>
  <si>
    <t>PVC door</t>
  </si>
  <si>
    <t>D01</t>
  </si>
  <si>
    <t>D02</t>
  </si>
  <si>
    <t>Open left</t>
  </si>
  <si>
    <t>D02A</t>
  </si>
  <si>
    <t>Open right</t>
  </si>
  <si>
    <t>Wood door</t>
  </si>
  <si>
    <t>D3</t>
  </si>
  <si>
    <t>D4</t>
  </si>
  <si>
    <t>D4A</t>
  </si>
  <si>
    <t>Steel Door</t>
  </si>
  <si>
    <t>D7</t>
  </si>
  <si>
    <t>D5</t>
  </si>
  <si>
    <t>D5A</t>
  </si>
  <si>
    <t>D6</t>
  </si>
  <si>
    <t>D3A</t>
  </si>
  <si>
    <t>External Windows and Louvers</t>
  </si>
  <si>
    <t>Glass Window</t>
  </si>
  <si>
    <t>W01</t>
  </si>
  <si>
    <t>W02</t>
  </si>
  <si>
    <t>W03</t>
  </si>
  <si>
    <t>W04</t>
  </si>
  <si>
    <t>W05</t>
  </si>
  <si>
    <t>W07</t>
  </si>
  <si>
    <t>W06</t>
  </si>
  <si>
    <t>W08</t>
  </si>
  <si>
    <t>Toilet Floor tile</t>
  </si>
  <si>
    <t>Toilet Wall tile</t>
  </si>
  <si>
    <t>Handrail</t>
  </si>
  <si>
    <t>Ceiling Finshes</t>
  </si>
  <si>
    <t>Suspended ceiling</t>
  </si>
  <si>
    <t>Wall tiling</t>
  </si>
  <si>
    <t>Internal Floor Finishes</t>
  </si>
  <si>
    <t>Handrail on staircase</t>
  </si>
  <si>
    <t>All</t>
  </si>
  <si>
    <t>External Wall and Partition</t>
  </si>
  <si>
    <t>External façade</t>
  </si>
  <si>
    <t>Fittings, furnishings and equipment</t>
  </si>
  <si>
    <t>10-STOREY SCHOOL — COMBINED PRICE LIST (STRUCTURE + ARCHITECTURE)</t>
  </si>
  <si>
    <t>Rate = Net Cost x (1+Margin%). USD. Yellow=input. Cambodia (Phnom Penh) benchmark — replace with quotations.</t>
  </si>
  <si>
    <t>LABOR</t>
  </si>
  <si>
    <t>MATERIAL / SUPPLY &amp; FIX</t>
  </si>
  <si>
    <t>Item Code</t>
  </si>
  <si>
    <t>Basis / Source (est.)</t>
  </si>
  <si>
    <t>MatchKey</t>
  </si>
  <si>
    <t>BudgetCode</t>
  </si>
  <si>
    <t>PL-001</t>
  </si>
  <si>
    <t>Pile head breaking D1000 - own labour+breaker, est.</t>
  </si>
  <si>
    <t>PL-002</t>
  </si>
  <si>
    <t>Pile head breaking D800 - own labour+breaker, est.</t>
  </si>
  <si>
    <t>PL-003</t>
  </si>
  <si>
    <t>SLT specialist subcontract per pile, provisional</t>
  </si>
  <si>
    <t>PL-004</t>
  </si>
  <si>
    <t xml:space="preserve">Bored Pile Coring </t>
  </si>
  <si>
    <t>Coring D1000 30m subcontract, provisional</t>
  </si>
  <si>
    <t>PL-005</t>
  </si>
  <si>
    <t>Coring D800 30m subcontract, provisional</t>
  </si>
  <si>
    <t>PL-006</t>
  </si>
  <si>
    <t>Ready-mix C35/30 +pump; CPAC list escalated 2026</t>
  </si>
  <si>
    <t>PL-007</t>
  </si>
  <si>
    <t>Deformed bar ~$720/t; small dia +labour</t>
  </si>
  <si>
    <t>PL-008</t>
  </si>
  <si>
    <t>Deformed bar ~$720/t (large dia)</t>
  </si>
  <si>
    <t>PL-009</t>
  </si>
  <si>
    <t>Annealed tie wire ~$1.2/kg</t>
  </si>
  <si>
    <t>PL-010</t>
  </si>
  <si>
    <t>Steel pipe D49x2 + primer/paint, est.</t>
  </si>
  <si>
    <t>PL-011</t>
  </si>
  <si>
    <t>Rebar lab testing per lot subcontract, provisional</t>
  </si>
  <si>
    <t>PL-012</t>
  </si>
  <si>
    <t>Machine excavation, est. $/m3</t>
  </si>
  <si>
    <t>PL-013</t>
  </si>
  <si>
    <t>Cart-away + tipping, est. $/m3</t>
  </si>
  <si>
    <t>PL-014</t>
  </si>
  <si>
    <t>Backfill incl. compaction, est. $/m3</t>
  </si>
  <si>
    <t>PL-015</t>
  </si>
  <si>
    <t>PL-016</t>
  </si>
  <si>
    <t>Plywood formwork (cost per use)</t>
  </si>
  <si>
    <t>PL-017</t>
  </si>
  <si>
    <t>Deformed bar ~$720/t</t>
  </si>
  <si>
    <t>PL-018</t>
  </si>
  <si>
    <t>PL-019</t>
  </si>
  <si>
    <t>PL-020</t>
  </si>
  <si>
    <t>PL-021</t>
  </si>
  <si>
    <t>Base compaction, est. $/m2</t>
  </si>
  <si>
    <t>PL-022</t>
  </si>
  <si>
    <t>Lean concrete C15; CPAC list escalated 2026</t>
  </si>
  <si>
    <t>PL-023</t>
  </si>
  <si>
    <t>PVC waterstop 200mm supply+install, est.</t>
  </si>
  <si>
    <t>PL-024</t>
  </si>
  <si>
    <t>2mm waterproof membrane supply+apply, est.</t>
  </si>
  <si>
    <t>PL-025</t>
  </si>
  <si>
    <t>Round mild bar ~$770/t</t>
  </si>
  <si>
    <t>PL-026</t>
  </si>
  <si>
    <t>Crushed stone base, est. $/m3</t>
  </si>
  <si>
    <t>PL-027</t>
  </si>
  <si>
    <t>Anti-termite chemical + PE sheet, est.</t>
  </si>
  <si>
    <t>PL-028</t>
  </si>
  <si>
    <t>PL-029</t>
  </si>
  <si>
    <t xml:space="preserve">J bolt </t>
  </si>
  <si>
    <t>Anchor bolt M12x600 supply+set, est. NEW</t>
  </si>
  <si>
    <t>PL-030</t>
  </si>
  <si>
    <t>MS plate ~4.3kg @~$1.1/kg +fab, est. NEW</t>
  </si>
  <si>
    <t>PL-031</t>
  </si>
  <si>
    <t>GI/zinc roof sheet 0.4mm supply+fix, est. NEW</t>
  </si>
  <si>
    <t>PL-032</t>
  </si>
  <si>
    <t>12mm sag rod supply+install, est. NEW</t>
  </si>
  <si>
    <t>PL-033</t>
  </si>
  <si>
    <t>MS channel 100x50x5 ~7.5kg/m +fab/erect, est. NEW</t>
  </si>
  <si>
    <t>PL-034</t>
  </si>
  <si>
    <t>RHS 100x50x2 ~4.7kg/m +fab/erect, est. NEW</t>
  </si>
  <si>
    <t>PL-035</t>
  </si>
  <si>
    <t>Bent metal flashing supply+fix, est. NEW</t>
  </si>
  <si>
    <t>PL-036</t>
  </si>
  <si>
    <t>Hollow clay brick wall 500mm thk, supply &amp; lay only (plaster excl.), PP est.</t>
  </si>
  <si>
    <t>PL-037</t>
  </si>
  <si>
    <t>Hollow clay brick wall 200mm thk, supply &amp; lay only (plaster excl.), PP est.</t>
  </si>
  <si>
    <t>PL-038</t>
  </si>
  <si>
    <t>Hollow clay brick wall 100mm thk, supply &amp; lay only (plaster excl.), PP est.</t>
  </si>
  <si>
    <t>PL-039</t>
  </si>
  <si>
    <t>Hollow clay brick wall 800mm thk, supply &amp; lay only (plaster excl.), PP est.</t>
  </si>
  <si>
    <t>PL-040</t>
  </si>
  <si>
    <t>Hollow clay brick wall 400mm thk, supply &amp; lay only (plaster excl.), PP est.</t>
  </si>
  <si>
    <t>PL-041</t>
  </si>
  <si>
    <t>PVC door leaf+frame supply &amp; install, PP est. ($40/pc)</t>
  </si>
  <si>
    <t>PL-042</t>
  </si>
  <si>
    <t>PVC door leaf+frame supply &amp; install, PP est. ($45/pc)</t>
  </si>
  <si>
    <t>PL-043</t>
  </si>
  <si>
    <t>Solid timber door+frame supply &amp; install, PP est. ($120/pc)</t>
  </si>
  <si>
    <t>PL-044</t>
  </si>
  <si>
    <t>Solid timber door+frame supply &amp; install, PP est. ($110/pc)</t>
  </si>
  <si>
    <t>PL-045</t>
  </si>
  <si>
    <t>Hollow-metal steel door+frame supply &amp; install, PP est. ($135/pc)</t>
  </si>
  <si>
    <t>PL-046</t>
  </si>
  <si>
    <t>PVC door leaf+frame supply &amp; install, PP est. ($50/pc)</t>
  </si>
  <si>
    <t>PL-047</t>
  </si>
  <si>
    <t>Solid timber door+frame supply &amp; install, PP est. ($210/pc)</t>
  </si>
  <si>
    <t>PL-048</t>
  </si>
  <si>
    <t>Aluminium frame + glass windoor supply &amp; install (fix $55 / slide $70 per m2), PP est.</t>
  </si>
  <si>
    <t>PL-049</t>
  </si>
  <si>
    <t>PL-050</t>
  </si>
  <si>
    <t>PL-051</t>
  </si>
  <si>
    <t>PL-052</t>
  </si>
  <si>
    <t>PL-053</t>
  </si>
  <si>
    <t>PL-054</t>
  </si>
  <si>
    <t>PL-055</t>
  </si>
  <si>
    <t>PL-056</t>
  </si>
  <si>
    <t>Ceramic floor tile 300x300 supply &amp; lay incl adhesive/grout, PP est.</t>
  </si>
  <si>
    <t>PL-057</t>
  </si>
  <si>
    <t>Ceramic wall tile 300x600 supply &amp; lay incl adhesive/grout, PP est.</t>
  </si>
  <si>
    <t>PL-058</t>
  </si>
  <si>
    <t>Crushed stone base 150mm, as existing crush stone rate, est.</t>
  </si>
  <si>
    <t>PL-059</t>
  </si>
  <si>
    <t>2-coat 20mm cement:sand plaster; ~6kg cement+sand/m2; PP est.</t>
  </si>
  <si>
    <t>PL-060</t>
  </si>
  <si>
    <t>Primer+2 coats emulsion/weathershield blended int/ext; PP mkt ~$4/m2 incl mat.</t>
  </si>
  <si>
    <t>PL-061</t>
  </si>
  <si>
    <t>Steel pipe handrail H=1m fab+install+paint, est. $/m</t>
  </si>
  <si>
    <t>PL-062</t>
  </si>
  <si>
    <t>Gypsum 10mm susp. ceiling incl frame/drop 600mm, PP est.</t>
  </si>
  <si>
    <t>PL-063</t>
  </si>
  <si>
    <t>Ceramic 600x600 wall tile to 1.2m dado incl adhesive/grout, est.</t>
  </si>
  <si>
    <t>PL-064</t>
  </si>
  <si>
    <t>Anti-termite chemical treatment, as existing rate</t>
  </si>
  <si>
    <t>PL-065</t>
  </si>
  <si>
    <t>Sika cementitious/membrane WP to wet areas, supply+apply est.</t>
  </si>
  <si>
    <t>PL-066</t>
  </si>
  <si>
    <t>Staircase steel handrail H=1m fab+install+paint (raked), est. $/m</t>
  </si>
  <si>
    <t>PL-067</t>
  </si>
  <si>
    <t>Marble/granite treads &amp; risers supply+lay, mid-range, est.</t>
  </si>
  <si>
    <t>PL-068</t>
  </si>
  <si>
    <t>Concrete block facade wall supply+lay, est.</t>
  </si>
  <si>
    <t>PL-069</t>
  </si>
  <si>
    <t>Signage logo fabricated incl steel framing, allowance subcontract</t>
  </si>
  <si>
    <t>PL-070</t>
  </si>
  <si>
    <t>Building name signage Khmer+Chinese text, lot allowance subcontract</t>
  </si>
  <si>
    <t>BUDGET CODE</t>
  </si>
  <si>
    <t>A.Early Work</t>
  </si>
  <si>
    <t>Topography Survey</t>
  </si>
  <si>
    <t>A.01</t>
  </si>
  <si>
    <t xml:space="preserve">   A.01.Topography Survey</t>
  </si>
  <si>
    <t xml:space="preserve">Soil Investigation </t>
  </si>
  <si>
    <t>A.02</t>
  </si>
  <si>
    <t xml:space="preserve">   A.02.Soil Investigation </t>
  </si>
  <si>
    <t>Mine / UXO Clearance</t>
  </si>
  <si>
    <t>A.03</t>
  </si>
  <si>
    <t xml:space="preserve">   A.03.Mine / UXO Clearance</t>
  </si>
  <si>
    <t>Soil Leveling</t>
  </si>
  <si>
    <t>A.04</t>
  </si>
  <si>
    <t xml:space="preserve">   A.04.Soil Leveling</t>
  </si>
  <si>
    <t>Demolition</t>
  </si>
  <si>
    <t>A.05</t>
  </si>
  <si>
    <t xml:space="preserve">   A.05.Demolition</t>
  </si>
  <si>
    <t>Cleaning</t>
  </si>
  <si>
    <t>A.06</t>
  </si>
  <si>
    <t xml:space="preserve">   A.06.Cleaning</t>
  </si>
  <si>
    <t>Repair exiting services</t>
  </si>
  <si>
    <t>A.07</t>
  </si>
  <si>
    <t xml:space="preserve">   A.07.Repair exiting services</t>
  </si>
  <si>
    <t>Renovation</t>
  </si>
  <si>
    <t>A.08</t>
  </si>
  <si>
    <t xml:space="preserve">   A.08.Renovation</t>
  </si>
  <si>
    <t>B.00</t>
  </si>
  <si>
    <t>B.0.Sub Structure</t>
  </si>
  <si>
    <t xml:space="preserve">   B.01.Piling Work</t>
  </si>
  <si>
    <t>Basement</t>
  </si>
  <si>
    <t>B.02</t>
  </si>
  <si>
    <t xml:space="preserve">   B.02.Basement</t>
  </si>
  <si>
    <t>Ground Floor</t>
  </si>
  <si>
    <t xml:space="preserve">   B.03.Ground Floor</t>
  </si>
  <si>
    <t>Super structure</t>
  </si>
  <si>
    <t xml:space="preserve">   B.04.Super structure</t>
  </si>
  <si>
    <t>C.00</t>
  </si>
  <si>
    <t>C.0.Architecture</t>
  </si>
  <si>
    <t xml:space="preserve">   C.01.Exterior Wall and Partition</t>
  </si>
  <si>
    <t>Masonry Wall, Dry Wall, Glass partition</t>
  </si>
  <si>
    <t xml:space="preserve">   C.02.Exterior Wall Finishes</t>
  </si>
  <si>
    <t>Plastering, painting, cladding, molding</t>
  </si>
  <si>
    <t>Exterior Door</t>
  </si>
  <si>
    <t>C.03</t>
  </si>
  <si>
    <t xml:space="preserve">   C.03.Exterior Door </t>
  </si>
  <si>
    <t>Wooden door, Glass door, Steel door</t>
  </si>
  <si>
    <t>Exterior Window and Louver</t>
  </si>
  <si>
    <t xml:space="preserve">   C.04.Exterior Window and Louver</t>
  </si>
  <si>
    <t>Glass window, window fence, steel louver</t>
  </si>
  <si>
    <t>Exterior floor</t>
  </si>
  <si>
    <t>C.05</t>
  </si>
  <si>
    <t xml:space="preserve">   C.05.Exterior floor</t>
  </si>
  <si>
    <t>Screeding, floor tiling, hardening, Waterproofing</t>
  </si>
  <si>
    <t>Exterior soffit</t>
  </si>
  <si>
    <t>C.06</t>
  </si>
  <si>
    <t xml:space="preserve">   C.06.Exterior soffit</t>
  </si>
  <si>
    <t>Soffit slab finish</t>
  </si>
  <si>
    <t>Exterior Stair Ramp</t>
  </si>
  <si>
    <t>C.07</t>
  </si>
  <si>
    <t xml:space="preserve">   C.07.Exterior Stair Ramp</t>
  </si>
  <si>
    <t>Barrier, ramp</t>
  </si>
  <si>
    <t>C.08</t>
  </si>
  <si>
    <t xml:space="preserve">   C.08.Roofing</t>
  </si>
  <si>
    <t xml:space="preserve">   C.09.Interior Wall Partition</t>
  </si>
  <si>
    <t>Interior Doors</t>
  </si>
  <si>
    <t xml:space="preserve">   C.10.Interior Door /Windows and Louvers</t>
  </si>
  <si>
    <t>Steel door, wooden door, glass door</t>
  </si>
  <si>
    <t>Special installation</t>
  </si>
  <si>
    <t>C.11</t>
  </si>
  <si>
    <t xml:space="preserve">   C.11.Special installation</t>
  </si>
  <si>
    <t>LPG Gas</t>
  </si>
  <si>
    <t>Exterior Finishes</t>
  </si>
  <si>
    <t>C.12</t>
  </si>
  <si>
    <t xml:space="preserve">   C.12.Exterior Finishes</t>
  </si>
  <si>
    <t>Interior Finish</t>
  </si>
  <si>
    <t>D.00</t>
  </si>
  <si>
    <t>D.0.Interior Finish</t>
  </si>
  <si>
    <t xml:space="preserve">   D.01.Interior Wall Finishes</t>
  </si>
  <si>
    <t>Wall tiling, Plastering, Painting, Skirting, Wall Marble</t>
  </si>
  <si>
    <t xml:space="preserve">   D.02.Interior Floor Finishes</t>
  </si>
  <si>
    <t>Screeding, floor tiling, Wooden Flooring, Marble flooring, Carpet Flooring, Epoxy Flooring, waterproofing, Floor strip divider</t>
  </si>
  <si>
    <t xml:space="preserve">   D.03.Ceiling Finish</t>
  </si>
  <si>
    <t>Suspended Ceiling</t>
  </si>
  <si>
    <t>E.00</t>
  </si>
  <si>
    <t>E.0.Fitting, furnishings and equipment</t>
  </si>
  <si>
    <t>General Fitting</t>
  </si>
  <si>
    <t>E.01</t>
  </si>
  <si>
    <t xml:space="preserve">   E.01.General Fitting</t>
  </si>
  <si>
    <t>Domestic Kitchen Fitting</t>
  </si>
  <si>
    <t>E.02</t>
  </si>
  <si>
    <t xml:space="preserve">   E.02.Domestic Kitchen Fitting</t>
  </si>
  <si>
    <t>Special purpose Fitting</t>
  </si>
  <si>
    <t>E.03</t>
  </si>
  <si>
    <t xml:space="preserve">   E.03.Special purpose Fitting</t>
  </si>
  <si>
    <t xml:space="preserve">   E.04.Signage</t>
  </si>
  <si>
    <t>Art</t>
  </si>
  <si>
    <t>E.05</t>
  </si>
  <si>
    <t xml:space="preserve">   E.05.Art</t>
  </si>
  <si>
    <t>Non-Mechanical and Non Electrical Equipement</t>
  </si>
  <si>
    <t>E.06</t>
  </si>
  <si>
    <t xml:space="preserve">   E.06.Non-Mechanical and Non Electrical Equipement</t>
  </si>
  <si>
    <t>Internal Planting</t>
  </si>
  <si>
    <t>E.07</t>
  </si>
  <si>
    <t xml:space="preserve">   E.07.Internal Planting</t>
  </si>
  <si>
    <t>Bird and Vermin Control</t>
  </si>
  <si>
    <t>E.08</t>
  </si>
  <si>
    <t xml:space="preserve">   E.08.Bird and Vermin Control</t>
  </si>
  <si>
    <t>Services</t>
  </si>
  <si>
    <t>F.0.Services</t>
  </si>
  <si>
    <t>Sanitary Installations</t>
  </si>
  <si>
    <t>F.01</t>
  </si>
  <si>
    <t xml:space="preserve">   F.01.Sanitary Installations</t>
  </si>
  <si>
    <t>AIR-CONDITIONAL SYSTEM</t>
  </si>
  <si>
    <t>F.02</t>
  </si>
  <si>
    <t xml:space="preserve">   F.02.AC SYSTEM</t>
  </si>
  <si>
    <t>MECHANICAL VENTILATION SYSTEM</t>
  </si>
  <si>
    <t>F.03</t>
  </si>
  <si>
    <t xml:space="preserve">   F.03.MECHANICAL VENTILATION SYSTEM (MV)</t>
  </si>
  <si>
    <t>MV DISTRIBUTION SYSTEM</t>
  </si>
  <si>
    <t>F.04</t>
  </si>
  <si>
    <t xml:space="preserve">   F.04.MV DISTRIBUTION SYSTEM</t>
  </si>
  <si>
    <t>ELECTRICAL SYSTEM</t>
  </si>
  <si>
    <t>F.05</t>
  </si>
  <si>
    <t xml:space="preserve">   F.05.ELECTRICAL SYSTEM</t>
  </si>
  <si>
    <t>ELV INSTALLATION</t>
  </si>
  <si>
    <t>F.06</t>
  </si>
  <si>
    <t xml:space="preserve">   F.06.ELV INSTALLATION</t>
  </si>
  <si>
    <t>PLUMBING SYSTEM</t>
  </si>
  <si>
    <t>F.07</t>
  </si>
  <si>
    <t xml:space="preserve">   F.07.PLUMBING SYSTEM</t>
  </si>
  <si>
    <t>FIRE FIGHTING SYSTEM</t>
  </si>
  <si>
    <t>F.08</t>
  </si>
  <si>
    <t xml:space="preserve">   F.08.FIRE FIGHTING SYSTEM</t>
  </si>
  <si>
    <t>Specialist Installations</t>
  </si>
  <si>
    <t>F.09</t>
  </si>
  <si>
    <t xml:space="preserve">   F.09.Specialist Installations</t>
  </si>
  <si>
    <t>VERTICAL TRANSPORTATION SYSTEM</t>
  </si>
  <si>
    <t>F.10</t>
  </si>
  <si>
    <t xml:space="preserve">   F.10.VERTICAL TRANSPORTATION SYSTEM</t>
  </si>
  <si>
    <t>G.External Work</t>
  </si>
  <si>
    <t>Site preparation</t>
  </si>
  <si>
    <t>G.01</t>
  </si>
  <si>
    <t xml:space="preserve">   G.01.Site preparation</t>
  </si>
  <si>
    <t>Roads, path, paveing Surfacing</t>
  </si>
  <si>
    <t>G.02</t>
  </si>
  <si>
    <t xml:space="preserve">   G.02.Roads, path, paveing Surfacing</t>
  </si>
  <si>
    <t>Land scape</t>
  </si>
  <si>
    <t>G.03</t>
  </si>
  <si>
    <t xml:space="preserve">   G.03.Land scape</t>
  </si>
  <si>
    <t>Fence Railing wall</t>
  </si>
  <si>
    <t>G.04</t>
  </si>
  <si>
    <t xml:space="preserve">   G.04.Fence Railing wall</t>
  </si>
  <si>
    <t>Exteranal Fixture</t>
  </si>
  <si>
    <t>G.05</t>
  </si>
  <si>
    <t xml:space="preserve">   G.05.Exteranal Fixture</t>
  </si>
  <si>
    <t>AUTHORITY RELATED , INSURANCE</t>
  </si>
  <si>
    <t>X.0.AUTHORITY RELATED , INSURANCE</t>
  </si>
  <si>
    <t>CONSTRUCTION PERMIT, OPEN SITE AND CLOSE SITE PERMITS</t>
  </si>
  <si>
    <t>X.01</t>
  </si>
  <si>
    <t xml:space="preserve">   X.01.CONSTRUCTION PERMIT, OPEN SITE AND CLOSE SITE PERMITS</t>
  </si>
  <si>
    <t>CAR Insurance + DLP Insurance</t>
  </si>
  <si>
    <t>X.02</t>
  </si>
  <si>
    <t xml:space="preserve">   X.02.CAR Insurance + DLP Insurance</t>
  </si>
  <si>
    <t>DLP 24 Month Budget</t>
  </si>
  <si>
    <t>X.03</t>
  </si>
  <si>
    <t xml:space="preserve">   X.03.DLP 24 Month Budget</t>
  </si>
  <si>
    <t>E.I.A</t>
  </si>
  <si>
    <t>X.04</t>
  </si>
  <si>
    <t xml:space="preserve">   X.04.E.I.A</t>
  </si>
  <si>
    <t>Z.0.CONTRACTOR'S PRELIMINARIES / DESIGN / OTHERS</t>
  </si>
  <si>
    <t>Z.00</t>
  </si>
  <si>
    <t>Temporary Works</t>
  </si>
  <si>
    <t>Z.01.Temporary Works</t>
  </si>
  <si>
    <t>Site Preparation</t>
  </si>
  <si>
    <t>Z.01.01</t>
  </si>
  <si>
    <t>Z.01.01.Site Preparation</t>
  </si>
  <si>
    <t>General Protection</t>
  </si>
  <si>
    <t>Z.01.02</t>
  </si>
  <si>
    <t>Z.01.02.General Protection</t>
  </si>
  <si>
    <t>Temporary Building</t>
  </si>
  <si>
    <t>Z.01.03</t>
  </si>
  <si>
    <t>Z.01.03.Temporary Building</t>
  </si>
  <si>
    <t>Temporary site labor</t>
  </si>
  <si>
    <t>Z.01.04</t>
  </si>
  <si>
    <t>Z.01.04.Temporary site labor</t>
  </si>
  <si>
    <t>Machinery</t>
  </si>
  <si>
    <t>Z.01.05</t>
  </si>
  <si>
    <t>Z.01.05.Machinery</t>
  </si>
  <si>
    <t>Light equiment hand tools</t>
  </si>
  <si>
    <t>Z.01.06</t>
  </si>
  <si>
    <t>Z.01.06.Light equiment hand tools</t>
  </si>
  <si>
    <t>Temporary Elecrical Plumbing Drainage</t>
  </si>
  <si>
    <t>Z.01.07</t>
  </si>
  <si>
    <t>Z.01.07.Temporary Elecrical Plumbing Drainage</t>
  </si>
  <si>
    <t>Safe and environment control</t>
  </si>
  <si>
    <t>Z.01.08</t>
  </si>
  <si>
    <t>Z.01.08.Safe and environment control</t>
  </si>
  <si>
    <t>Foreign Country Employee</t>
  </si>
  <si>
    <t>Z.30.01</t>
  </si>
  <si>
    <t>Z.30.01.Foreign Country Employee</t>
  </si>
  <si>
    <t>Local Country employee</t>
  </si>
  <si>
    <t>Z.30.02</t>
  </si>
  <si>
    <t>Z.30.02.Local Country employee</t>
  </si>
  <si>
    <t>Other personnel</t>
  </si>
  <si>
    <t>Z.30.03</t>
  </si>
  <si>
    <t>Z.30.03.Other personnel</t>
  </si>
  <si>
    <t>Welfare expense</t>
  </si>
  <si>
    <t>Z.30.04</t>
  </si>
  <si>
    <t>Z.30.04.Welfare expense</t>
  </si>
  <si>
    <t>office supplies expenses</t>
  </si>
  <si>
    <t>Z.30.05</t>
  </si>
  <si>
    <t>Z.30.05.office supplies expenses</t>
  </si>
  <si>
    <t>Communication &amp; Travel expense</t>
  </si>
  <si>
    <t>Z.30.06</t>
  </si>
  <si>
    <t>Z.30.06.Communication &amp; Travel expense</t>
  </si>
  <si>
    <t>Social expense</t>
  </si>
  <si>
    <t>Z.30.07</t>
  </si>
  <si>
    <t>Z.30.07.Social expense</t>
  </si>
  <si>
    <t>Taxes &amp; Public imposition</t>
  </si>
  <si>
    <t>Z.30.08</t>
  </si>
  <si>
    <t>Z.30.08.Taxes &amp; Public imposition</t>
  </si>
  <si>
    <t>Meeting expense</t>
  </si>
  <si>
    <t>Z.30.09</t>
  </si>
  <si>
    <t>Z.30.09.Meeting expense</t>
  </si>
  <si>
    <t>Miscellaneous expense</t>
  </si>
  <si>
    <t>Z.30.10</t>
  </si>
  <si>
    <t>Z.30.10.Miscellaneous expense</t>
  </si>
  <si>
    <t>Design expenses</t>
  </si>
  <si>
    <t>Z.50</t>
  </si>
  <si>
    <t>Z.50.Design expenses</t>
  </si>
  <si>
    <t>Risks and Opportunities</t>
  </si>
  <si>
    <t>Z.70</t>
  </si>
  <si>
    <t>Z.70.Risks and Opportunities</t>
  </si>
  <si>
    <t>slab</t>
  </si>
  <si>
    <t>wall</t>
  </si>
  <si>
    <t>ID</t>
  </si>
  <si>
    <t>Truss Name</t>
  </si>
  <si>
    <t>Number of Truss (pcs)</t>
  </si>
  <si>
    <t>Steel section Name</t>
  </si>
  <si>
    <t>Number of steel (pcs)</t>
  </si>
  <si>
    <t>Length per pcs (m)</t>
  </si>
  <si>
    <t>Total Length (m)</t>
  </si>
  <si>
    <t>Truss 01</t>
  </si>
  <si>
    <t>Truss 02</t>
  </si>
  <si>
    <t>Truss 03</t>
  </si>
  <si>
    <t>Turss 04</t>
  </si>
  <si>
    <t>Truss 05</t>
  </si>
  <si>
    <t>Truss 06</t>
  </si>
  <si>
    <t>Truss 07</t>
  </si>
  <si>
    <t>Truss 08</t>
  </si>
  <si>
    <t>Truss 09</t>
  </si>
  <si>
    <t>Purlin</t>
  </si>
  <si>
    <t>Name</t>
  </si>
  <si>
    <t>Combine</t>
  </si>
  <si>
    <t>Under Ground</t>
  </si>
  <si>
    <t>Mezzanine Floor</t>
  </si>
  <si>
    <t>04.L01</t>
  </si>
  <si>
    <t>L01 Floor</t>
  </si>
  <si>
    <t>05.L02</t>
  </si>
  <si>
    <t>L02 Floor</t>
  </si>
  <si>
    <t>06.L03</t>
  </si>
  <si>
    <t>L03 Floor</t>
  </si>
  <si>
    <t>07.L04</t>
  </si>
  <si>
    <t>L04 Floor</t>
  </si>
  <si>
    <t>08.L05</t>
  </si>
  <si>
    <t>L05 Floor</t>
  </si>
  <si>
    <t>09.L06</t>
  </si>
  <si>
    <t>L06 Floor</t>
  </si>
  <si>
    <t>10.L07</t>
  </si>
  <si>
    <t>L07 Floor</t>
  </si>
  <si>
    <t>11.L08</t>
  </si>
  <si>
    <t>L08 Floor</t>
  </si>
  <si>
    <t>12.L09</t>
  </si>
  <si>
    <t>L09 Floor</t>
  </si>
  <si>
    <t>13.L10</t>
  </si>
  <si>
    <t>L10 Floor</t>
  </si>
  <si>
    <t>05.LWR</t>
  </si>
  <si>
    <t>Lower Roof Floor</t>
  </si>
  <si>
    <t>05.LRF</t>
  </si>
  <si>
    <t>Roof Floor</t>
  </si>
  <si>
    <t>level</t>
  </si>
  <si>
    <t>Beam Name</t>
  </si>
  <si>
    <t>Beam width (m)</t>
  </si>
  <si>
    <t>Beam Height (m)</t>
  </si>
  <si>
    <t>Beam Length (m)</t>
  </si>
  <si>
    <t>Slab thickness (m)</t>
  </si>
  <si>
    <t>Formwork (m2)</t>
  </si>
  <si>
    <t>Concrete (m3)</t>
  </si>
  <si>
    <t>lean (m3)</t>
  </si>
  <si>
    <t xml:space="preserve">crush stone </t>
  </si>
  <si>
    <t>area</t>
  </si>
  <si>
    <t xml:space="preserve">Main bar dia </t>
  </si>
  <si>
    <t>Main bar (amount)</t>
  </si>
  <si>
    <t>weight (kg)</t>
  </si>
  <si>
    <t>stirrup</t>
  </si>
  <si>
    <t>length(m)</t>
  </si>
  <si>
    <t>amount stirrup(pcs)</t>
  </si>
  <si>
    <t xml:space="preserve">side bar dia </t>
  </si>
  <si>
    <t>side bar (amount)</t>
  </si>
  <si>
    <t>GF</t>
  </si>
  <si>
    <t>B1(250x400)</t>
  </si>
  <si>
    <t>B2(250x500)</t>
  </si>
  <si>
    <t>B3(300x500)</t>
  </si>
  <si>
    <t>B4(300x600)</t>
  </si>
  <si>
    <t>B5(400x600)</t>
  </si>
  <si>
    <t>B6(400x700)</t>
  </si>
  <si>
    <t>B7(200x400)</t>
  </si>
  <si>
    <t>B8(400x700)</t>
  </si>
  <si>
    <t>Beam information</t>
  </si>
  <si>
    <t>hook</t>
  </si>
  <si>
    <t>MZ</t>
  </si>
  <si>
    <t>Grade of Rebar</t>
  </si>
  <si>
    <t>SD240</t>
  </si>
  <si>
    <t>SD390</t>
  </si>
  <si>
    <t>Diametre  ø (mm)</t>
  </si>
  <si>
    <t>Area As (cm²)</t>
  </si>
  <si>
    <t>Weight  G (kg/m)</t>
  </si>
  <si>
    <t>Sum of Quantity</t>
  </si>
  <si>
    <t>Total Result</t>
  </si>
  <si>
    <t>Dia. (mm)</t>
  </si>
  <si>
    <t>Length (m)</t>
  </si>
  <si>
    <t>Nuumber (pcs)</t>
  </si>
  <si>
    <t>rebar number (pcs)</t>
  </si>
  <si>
    <t>main Rebar dia. (mm)</t>
  </si>
  <si>
    <t>stirrup length per pipe (m)</t>
  </si>
  <si>
    <t>main bar db25(kg)</t>
  </si>
  <si>
    <t>stirrup db10 (kg)</t>
  </si>
  <si>
    <t>P1 &amp; P2</t>
  </si>
  <si>
    <t>P3</t>
  </si>
  <si>
    <t>width(m)</t>
  </si>
  <si>
    <t>depth(m)</t>
  </si>
  <si>
    <t>amount</t>
  </si>
  <si>
    <t>Concrete(m3)</t>
  </si>
  <si>
    <t>Soil exavation (m3)</t>
  </si>
  <si>
    <t>Soil Backfill (m3)</t>
  </si>
  <si>
    <t>dia</t>
  </si>
  <si>
    <t>length per pcs (m)</t>
  </si>
  <si>
    <t>F1</t>
  </si>
  <si>
    <t>F2</t>
  </si>
  <si>
    <t>F3</t>
  </si>
  <si>
    <t>amount column (pcs)</t>
  </si>
  <si>
    <t>main bar (mm)</t>
  </si>
  <si>
    <t>amount(pcs)</t>
  </si>
  <si>
    <t>main bar weight (kg)</t>
  </si>
  <si>
    <t>Stirrup dia.(mm)</t>
  </si>
  <si>
    <t>Stirrup amount (pcs)</t>
  </si>
  <si>
    <t>Stirrup length (m)</t>
  </si>
  <si>
    <t>Stirrup weight (kg)</t>
  </si>
  <si>
    <t>C1</t>
  </si>
  <si>
    <t>C2</t>
  </si>
  <si>
    <t>C3</t>
  </si>
  <si>
    <t>C4</t>
  </si>
  <si>
    <t>C5</t>
  </si>
  <si>
    <t>width (m)</t>
  </si>
  <si>
    <t>Height (m)</t>
  </si>
  <si>
    <t>C7</t>
  </si>
  <si>
    <t>main bar dia. (mm)</t>
  </si>
  <si>
    <t>amount (pcs)</t>
  </si>
  <si>
    <t>B9(200x300)</t>
  </si>
  <si>
    <t xml:space="preserve">Waterproof Concrete, C35/45 Mpa </t>
  </si>
  <si>
    <t xml:space="preserve">Early Strength Concrete, C35/45 Mpa </t>
  </si>
  <si>
    <t xml:space="preserve">Self Compacting Concrete, C35/45 Mpa </t>
  </si>
  <si>
    <t>PTB 01</t>
  </si>
  <si>
    <t>Contract Budget</t>
  </si>
  <si>
    <t>Budget after contract sign off</t>
  </si>
  <si>
    <t>PTB 02</t>
  </si>
  <si>
    <t>Concept Design Budget</t>
  </si>
  <si>
    <t>Budget after completed concept design</t>
  </si>
  <si>
    <t>PTB 03</t>
  </si>
  <si>
    <t>DDF Design Budget</t>
  </si>
  <si>
    <t>Budget after completed design development</t>
  </si>
  <si>
    <t>PTB 04</t>
  </si>
  <si>
    <t>SD Budget</t>
  </si>
  <si>
    <t xml:space="preserve">Budget after completed shop drawing </t>
  </si>
  <si>
    <t>Design Proposal</t>
  </si>
  <si>
    <t>Design Concept</t>
  </si>
  <si>
    <t>Design Development</t>
  </si>
  <si>
    <t>Shop Drawing</t>
  </si>
  <si>
    <t>Bank Tower</t>
  </si>
  <si>
    <t>BB</t>
  </si>
  <si>
    <t>Parking Building</t>
  </si>
  <si>
    <t>BX</t>
  </si>
  <si>
    <t>BZ</t>
  </si>
  <si>
    <t>Boundary Permanent 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</si>
</sst>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"/>
    <numFmt numFmtId="166" formatCode="\$#,##0"/>
    <numFmt numFmtId="167" formatCode="_(\$* #,##0.00_);_(\$* \(#,##0.00\);_(\$* \-??_);_(@_)"/>
    <numFmt numFmtId="168" formatCode="0.000"/>
  </numFmts>
  <fonts count="5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i/>
      <sz val="9"/>
      <color rgb="FFFFFFFF"/>
      <name val="Arial"/>
      <charset val="1"/>
    </font>
    <font>
      <b/>
      <sz val="9"/>
      <color rgb="FF1F4E78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808080"/>
      <name val="Arial"/>
      <charset val="1"/>
    </font>
    <font>
      <sz val="9"/>
      <color rgb="FFA6A6A6"/>
      <name val="Arial"/>
      <charset val="1"/>
    </font>
    <font>
      <i/>
      <sz val="8"/>
      <color rgb="FFC00000"/>
      <name val="Arial"/>
      <charset val="1"/>
    </font>
    <font>
      <sz val="9"/>
      <color rgb="FF000000"/>
      <name val="Arial"/>
      <charset val="1"/>
    </font>
    <font>
      <i/>
      <sz val="8"/>
      <color rgb="FF548235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i/>
      <sz val="8"/>
      <color rgb="FF808080"/>
      <name val="Arial"/>
      <charset val="1"/>
    </font>
    <font>
      <sz val="9"/>
      <color rgb="FF0000FF"/>
      <name val="Arial"/>
      <charset val="1"/>
    </font>
    <font>
      <b/>
      <sz val="12"/>
      <color rgb="FFFFFFFF"/>
      <name val="Arial"/>
      <charset val="1"/>
    </font>
    <font>
      <b/>
      <sz val="14"/>
      <color rgb="FF1F4E78"/>
      <name val="Arial"/>
      <charset val="1"/>
    </font>
    <font>
      <i/>
      <sz val="9"/>
      <color rgb="FF808080"/>
      <name val="Arial"/>
      <charset val="1"/>
    </font>
    <font>
      <i/>
      <sz val="8"/>
      <color rgb="FFA6A6A6"/>
      <name val="Arial"/>
      <charset val="1"/>
    </font>
    <font>
      <b/>
      <sz val="10"/>
      <color rgb="FF1F4E78"/>
      <name val="Arial"/>
      <charset val="1"/>
    </font>
    <font>
      <b/>
      <i/>
      <sz val="9"/>
      <color rgb="FF000000"/>
      <name val="Arial"/>
      <charset val="1"/>
    </font>
    <font>
      <b/>
      <sz val="16"/>
      <color rgb="FFFFFFFF"/>
      <name val="Arial"/>
      <charset val="1"/>
    </font>
    <font>
      <b/>
      <sz val="9"/>
      <color rgb="FF006100"/>
      <name val="Arial"/>
      <charset val="1"/>
    </font>
    <font>
      <b/>
      <sz val="8"/>
      <color rgb="FF808080"/>
      <name val="Arial"/>
      <charset val="1"/>
    </font>
    <font>
      <sz val="8"/>
      <color rgb="FF404040"/>
      <name val="Arial"/>
      <charset val="1"/>
    </font>
    <font>
      <sz val="10"/>
      <color theme="1"/>
      <name val="Arial"/>
      <family val="2"/>
      <charset val="1"/>
    </font>
    <font>
      <b/>
      <sz val="14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name val="Arial"/>
      <family val="2"/>
      <charset val="1"/>
    </font>
    <font>
      <b/>
      <sz val="14"/>
      <color rgb="FF1F4E78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1F4E78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FF"/>
      <name val="Arial"/>
      <family val="2"/>
      <charset val="1"/>
    </font>
    <font>
      <b/>
      <sz val="11"/>
      <color rgb="FFFFFFFF"/>
      <name val="Arial"/>
      <family val="2"/>
      <charset val="1"/>
    </font>
    <font>
      <i/>
      <sz val="8"/>
      <color rgb="FF808080"/>
      <name val="Arial"/>
      <family val="2"/>
      <charset val="1"/>
    </font>
    <font>
      <sz val="8"/>
      <color theme="1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8"/>
      <color theme="1"/>
      <name val="Arial"/>
      <family val="2"/>
      <charset val="1"/>
    </font>
    <font>
      <sz val="10"/>
      <color rgb="FF7030A0"/>
      <name val="Arial"/>
      <charset val="1"/>
    </font>
    <font>
      <sz val="10"/>
      <color rgb="FF008000"/>
      <name val="Arial"/>
      <charset val="1"/>
    </font>
    <font>
      <sz val="8"/>
      <name val="Arial"/>
      <family val="2"/>
      <charset val="1"/>
    </font>
    <font>
      <b/>
      <sz val="12"/>
      <color rgb="FF1F4E78"/>
      <name val="Arial"/>
      <family val="2"/>
      <charset val="1"/>
    </font>
    <font>
      <sz val="8"/>
      <color rgb="FF999999"/>
      <name val="Arial"/>
      <family val="2"/>
      <charset val="1"/>
    </font>
    <font>
      <sz val="8"/>
      <color rgb="FF999999"/>
      <name val="Arial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i/>
      <sz val="8"/>
      <color rgb="FF666666"/>
      <name val="Arial"/>
      <family val="2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i/>
      <sz val="8"/>
      <color rgb="FF666666"/>
      <name val="Arial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666666"/>
      </patternFill>
    </fill>
    <fill>
      <patternFill patternType="solid">
        <fgColor rgb="FFFFF2CC"/>
        <bgColor rgb="FFFBE5D6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DAE3F3"/>
      </patternFill>
    </fill>
    <fill>
      <patternFill patternType="solid">
        <fgColor rgb="FFC00000"/>
        <bgColor rgb="FFFF0000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3" tint="0.79979857783745845"/>
        <bgColor rgb="FFD9E1F2"/>
      </patternFill>
    </fill>
    <fill>
      <patternFill patternType="solid">
        <fgColor theme="5" tint="0.79979857783745845"/>
        <bgColor rgb="FFFFF2CC"/>
      </patternFill>
    </fill>
    <fill>
      <patternFill patternType="solid">
        <fgColor theme="4" tint="0.79979857783745845"/>
        <bgColor rgb="FFD9E1F2"/>
      </patternFill>
    </fill>
    <fill>
      <patternFill patternType="solid">
        <fgColor theme="0"/>
        <bgColor rgb="FFF2F2F2"/>
      </patternFill>
    </fill>
    <fill>
      <patternFill patternType="solid">
        <fgColor rgb="FFD9E1F2"/>
        <bgColor rgb="FFDAE3F3"/>
      </patternFill>
    </fill>
    <fill>
      <patternFill patternType="solid">
        <fgColor rgb="FFBF8F00"/>
        <bgColor rgb="FFFF6600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56" fillId="0" borderId="0">
      <alignment horizontal="left"/>
    </xf>
    <xf numFmtId="0" fontId="56" fillId="0" borderId="0"/>
    <xf numFmtId="0" fontId="56" fillId="0" borderId="0"/>
    <xf numFmtId="0" fontId="1" fillId="0" borderId="0"/>
    <xf numFmtId="0" fontId="1" fillId="0" borderId="0">
      <alignment horizontal="left"/>
    </xf>
    <xf numFmtId="0" fontId="56" fillId="0" borderId="0"/>
  </cellStyleXfs>
  <cellXfs count="217">
    <xf numFmtId="0" fontId="0" fillId="0" borderId="0" xfId="0"/>
    <xf numFmtId="0" fontId="11" fillId="0" borderId="1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14" fillId="0" borderId="1" xfId="0" applyFont="1" applyBorder="1" applyAlignment="1">
      <alignment horizontal="left" vertical="center" wrapText="1"/>
    </xf>
    <xf numFmtId="0" fontId="0" fillId="0" borderId="1" xfId="0" applyBorder="1"/>
    <xf numFmtId="164" fontId="14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164" fontId="14" fillId="5" borderId="1" xfId="0" applyNumberFormat="1" applyFont="1" applyFill="1" applyBorder="1" applyAlignment="1">
      <alignment horizontal="right" vertical="center"/>
    </xf>
    <xf numFmtId="165" fontId="16" fillId="4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164" fontId="17" fillId="2" borderId="1" xfId="0" applyNumberFormat="1" applyFont="1" applyFill="1" applyBorder="1" applyAlignment="1">
      <alignment horizontal="right" vertical="center"/>
    </xf>
    <xf numFmtId="0" fontId="15" fillId="0" borderId="2" xfId="0" applyFont="1" applyBorder="1"/>
    <xf numFmtId="0" fontId="0" fillId="0" borderId="2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/>
    <xf numFmtId="164" fontId="0" fillId="0" borderId="1" xfId="0" applyNumberFormat="1" applyBorder="1"/>
    <xf numFmtId="164" fontId="14" fillId="0" borderId="1" xfId="0" applyNumberFormat="1" applyFont="1" applyBorder="1"/>
    <xf numFmtId="0" fontId="22" fillId="5" borderId="1" xfId="0" applyFont="1" applyFill="1" applyBorder="1"/>
    <xf numFmtId="164" fontId="14" fillId="5" borderId="1" xfId="0" applyNumberFormat="1" applyFont="1" applyFill="1" applyBorder="1"/>
    <xf numFmtId="0" fontId="0" fillId="3" borderId="1" xfId="0" applyFill="1" applyBorder="1"/>
    <xf numFmtId="0" fontId="13" fillId="3" borderId="1" xfId="0" applyFont="1" applyFill="1" applyBorder="1"/>
    <xf numFmtId="164" fontId="13" fillId="3" borderId="1" xfId="0" applyNumberFormat="1" applyFont="1" applyFill="1" applyBorder="1"/>
    <xf numFmtId="0" fontId="17" fillId="2" borderId="1" xfId="0" applyFont="1" applyFill="1" applyBorder="1"/>
    <xf numFmtId="164" fontId="17" fillId="2" borderId="1" xfId="0" applyNumberFormat="1" applyFont="1" applyFill="1" applyBorder="1"/>
    <xf numFmtId="166" fontId="11" fillId="0" borderId="1" xfId="0" applyNumberFormat="1" applyFont="1" applyBorder="1" applyAlignment="1">
      <alignment horizontal="right" vertical="center"/>
    </xf>
    <xf numFmtId="165" fontId="11" fillId="0" borderId="1" xfId="0" applyNumberFormat="1" applyFont="1" applyBorder="1" applyAlignment="1">
      <alignment horizontal="center" vertical="center" wrapText="1"/>
    </xf>
    <xf numFmtId="166" fontId="13" fillId="3" borderId="1" xfId="0" applyNumberFormat="1" applyFont="1" applyFill="1" applyBorder="1" applyAlignment="1">
      <alignment horizontal="right" vertical="center"/>
    </xf>
    <xf numFmtId="165" fontId="13" fillId="3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4" fillId="5" borderId="1" xfId="0" applyNumberFormat="1" applyFont="1" applyFill="1" applyBorder="1" applyAlignment="1">
      <alignment horizontal="right" vertical="center"/>
    </xf>
    <xf numFmtId="166" fontId="14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166" fontId="14" fillId="0" borderId="1" xfId="0" applyNumberFormat="1" applyFont="1" applyBorder="1" applyAlignment="1">
      <alignment horizontal="right" vertical="center"/>
    </xf>
    <xf numFmtId="166" fontId="14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166" fontId="24" fillId="8" borderId="1" xfId="0" applyNumberFormat="1" applyFont="1" applyFill="1" applyBorder="1" applyAlignment="1">
      <alignment horizontal="right" vertical="center"/>
    </xf>
    <xf numFmtId="165" fontId="24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166" fontId="25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9" borderId="3" xfId="0" applyFont="1" applyFill="1" applyBorder="1" applyAlignment="1">
      <alignment horizontal="center"/>
    </xf>
    <xf numFmtId="0" fontId="27" fillId="0" borderId="3" xfId="0" applyFont="1" applyBorder="1" applyAlignment="1">
      <alignment horizontal="center"/>
    </xf>
    <xf numFmtId="49" fontId="27" fillId="0" borderId="3" xfId="0" applyNumberFormat="1" applyFont="1" applyBorder="1" applyAlignment="1">
      <alignment horizontal="center"/>
    </xf>
    <xf numFmtId="0" fontId="29" fillId="9" borderId="3" xfId="0" applyFont="1" applyFill="1" applyBorder="1"/>
    <xf numFmtId="0" fontId="27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167" fontId="27" fillId="0" borderId="0" xfId="0" applyNumberFormat="1" applyFont="1"/>
    <xf numFmtId="0" fontId="29" fillId="10" borderId="3" xfId="0" applyFont="1" applyFill="1" applyBorder="1" applyAlignment="1">
      <alignment horizontal="center" vertical="center"/>
    </xf>
    <xf numFmtId="0" fontId="29" fillId="11" borderId="3" xfId="0" applyFont="1" applyFill="1" applyBorder="1" applyAlignment="1">
      <alignment horizontal="center" vertical="center"/>
    </xf>
    <xf numFmtId="0" fontId="29" fillId="12" borderId="3" xfId="0" applyFont="1" applyFill="1" applyBorder="1" applyAlignment="1">
      <alignment horizontal="left" vertical="center"/>
    </xf>
    <xf numFmtId="0" fontId="29" fillId="10" borderId="3" xfId="0" applyFont="1" applyFill="1" applyBorder="1" applyAlignment="1">
      <alignment horizontal="left" vertical="center"/>
    </xf>
    <xf numFmtId="167" fontId="29" fillId="11" borderId="3" xfId="0" applyNumberFormat="1" applyFont="1" applyFill="1" applyBorder="1" applyAlignment="1">
      <alignment horizontal="center" vertical="center"/>
    </xf>
    <xf numFmtId="0" fontId="27" fillId="0" borderId="3" xfId="0" applyFont="1" applyBorder="1" applyAlignment="1">
      <alignment horizontal="left"/>
    </xf>
    <xf numFmtId="167" fontId="27" fillId="0" borderId="3" xfId="0" applyNumberFormat="1" applyFont="1" applyBorder="1"/>
    <xf numFmtId="0" fontId="27" fillId="0" borderId="3" xfId="0" applyFont="1" applyBorder="1" applyAlignment="1">
      <alignment horizontal="left" wrapText="1"/>
    </xf>
    <xf numFmtId="0" fontId="27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center" vertical="center"/>
    </xf>
    <xf numFmtId="167" fontId="27" fillId="0" borderId="3" xfId="0" applyNumberFormat="1" applyFont="1" applyBorder="1" applyAlignment="1">
      <alignment vertical="center"/>
    </xf>
    <xf numFmtId="0" fontId="27" fillId="0" borderId="0" xfId="0" applyFont="1" applyAlignment="1">
      <alignment vertical="top"/>
    </xf>
    <xf numFmtId="10" fontId="27" fillId="13" borderId="3" xfId="0" applyNumberFormat="1" applyFont="1" applyFill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13" borderId="3" xfId="0" applyFont="1" applyFill="1" applyBorder="1" applyAlignment="1">
      <alignment horizontal="left" vertical="center"/>
    </xf>
    <xf numFmtId="0" fontId="30" fillId="0" borderId="3" xfId="0" applyFont="1" applyBorder="1"/>
    <xf numFmtId="0" fontId="30" fillId="13" borderId="3" xfId="0" applyFont="1" applyFill="1" applyBorder="1" applyAlignment="1">
      <alignment horizontal="left" vertical="center"/>
    </xf>
    <xf numFmtId="0" fontId="30" fillId="0" borderId="3" xfId="0" applyFont="1" applyBorder="1" applyAlignment="1">
      <alignment horizontal="center"/>
    </xf>
    <xf numFmtId="167" fontId="30" fillId="0" borderId="3" xfId="0" applyNumberFormat="1" applyFont="1" applyBorder="1"/>
    <xf numFmtId="0" fontId="30" fillId="0" borderId="3" xfId="0" applyFont="1" applyBorder="1" applyAlignment="1">
      <alignment horizontal="left"/>
    </xf>
    <xf numFmtId="0" fontId="30" fillId="0" borderId="3" xfId="0" applyFont="1" applyBorder="1" applyAlignment="1">
      <alignment vertical="center"/>
    </xf>
    <xf numFmtId="0" fontId="27" fillId="13" borderId="3" xfId="0" applyFont="1" applyFill="1" applyBorder="1" applyAlignment="1">
      <alignment horizontal="center" vertical="center"/>
    </xf>
    <xf numFmtId="0" fontId="27" fillId="13" borderId="3" xfId="0" applyFont="1" applyFill="1" applyBorder="1" applyAlignment="1">
      <alignment horizontal="center"/>
    </xf>
    <xf numFmtId="0" fontId="27" fillId="13" borderId="3" xfId="0" applyFont="1" applyFill="1" applyBorder="1" applyAlignment="1">
      <alignment horizontal="left"/>
    </xf>
    <xf numFmtId="0" fontId="27" fillId="0" borderId="8" xfId="0" applyFont="1" applyBorder="1"/>
    <xf numFmtId="0" fontId="27" fillId="0" borderId="8" xfId="0" applyFont="1" applyBorder="1" applyAlignment="1">
      <alignment horizontal="left" vertical="center"/>
    </xf>
    <xf numFmtId="0" fontId="27" fillId="13" borderId="8" xfId="0" applyFont="1" applyFill="1" applyBorder="1" applyAlignment="1">
      <alignment horizontal="left" vertical="center"/>
    </xf>
    <xf numFmtId="0" fontId="27" fillId="13" borderId="8" xfId="0" applyFont="1" applyFill="1" applyBorder="1" applyAlignment="1">
      <alignment horizontal="center" vertical="center"/>
    </xf>
    <xf numFmtId="167" fontId="27" fillId="0" borderId="8" xfId="0" applyNumberFormat="1" applyFont="1" applyBorder="1"/>
    <xf numFmtId="0" fontId="27" fillId="13" borderId="0" xfId="0" applyFont="1" applyFill="1" applyAlignment="1">
      <alignment horizontal="left" vertical="center" indent="1"/>
    </xf>
    <xf numFmtId="0" fontId="27" fillId="13" borderId="0" xfId="0" applyFont="1" applyFill="1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33" fillId="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3" fontId="36" fillId="4" borderId="1" xfId="0" applyNumberFormat="1" applyFont="1" applyFill="1" applyBorder="1" applyAlignment="1">
      <alignment horizontal="center" vertical="center" wrapText="1"/>
    </xf>
    <xf numFmtId="164" fontId="36" fillId="4" borderId="1" xfId="0" applyNumberFormat="1" applyFont="1" applyFill="1" applyBorder="1" applyAlignment="1">
      <alignment horizontal="right" vertical="center"/>
    </xf>
    <xf numFmtId="164" fontId="35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3" fontId="16" fillId="4" borderId="1" xfId="0" applyNumberFormat="1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right" vertical="center"/>
    </xf>
    <xf numFmtId="0" fontId="37" fillId="2" borderId="1" xfId="0" applyFont="1" applyFill="1" applyBorder="1"/>
    <xf numFmtId="164" fontId="37" fillId="2" borderId="1" xfId="0" applyNumberFormat="1" applyFont="1" applyFill="1" applyBorder="1"/>
    <xf numFmtId="0" fontId="38" fillId="0" borderId="0" xfId="0" applyFont="1"/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right" vertical="center"/>
    </xf>
    <xf numFmtId="0" fontId="40" fillId="14" borderId="3" xfId="0" applyFont="1" applyFill="1" applyBorder="1" applyAlignment="1">
      <alignment horizontal="center" vertical="center"/>
    </xf>
    <xf numFmtId="0" fontId="41" fillId="12" borderId="3" xfId="0" applyFont="1" applyFill="1" applyBorder="1" applyAlignment="1">
      <alignment horizontal="center" vertical="center"/>
    </xf>
    <xf numFmtId="0" fontId="41" fillId="12" borderId="3" xfId="0" applyFont="1" applyFill="1" applyBorder="1" applyAlignment="1">
      <alignment horizontal="left" vertical="center"/>
    </xf>
    <xf numFmtId="0" fontId="41" fillId="12" borderId="3" xfId="0" applyFont="1" applyFill="1" applyBorder="1" applyAlignment="1">
      <alignment horizontal="left" vertical="center" wrapText="1"/>
    </xf>
    <xf numFmtId="0" fontId="41" fillId="0" borderId="3" xfId="0" applyFont="1" applyBorder="1" applyAlignment="1">
      <alignment horizontal="center" vertical="center"/>
    </xf>
    <xf numFmtId="9" fontId="41" fillId="9" borderId="3" xfId="0" applyNumberFormat="1" applyFont="1" applyFill="1" applyBorder="1" applyAlignment="1">
      <alignment horizontal="center" vertical="center"/>
    </xf>
    <xf numFmtId="0" fontId="40" fillId="9" borderId="3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167" fontId="40" fillId="14" borderId="3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39" fillId="0" borderId="3" xfId="0" applyFont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2" fontId="39" fillId="0" borderId="3" xfId="0" applyNumberFormat="1" applyFont="1" applyBorder="1" applyAlignment="1">
      <alignment horizontal="right" vertical="center"/>
    </xf>
    <xf numFmtId="9" fontId="39" fillId="9" borderId="3" xfId="0" applyNumberFormat="1" applyFont="1" applyFill="1" applyBorder="1" applyAlignment="1">
      <alignment horizontal="center" vertical="center"/>
    </xf>
    <xf numFmtId="164" fontId="43" fillId="9" borderId="3" xfId="0" applyNumberFormat="1" applyFont="1" applyFill="1" applyBorder="1" applyAlignment="1">
      <alignment horizontal="center" vertical="center"/>
    </xf>
    <xf numFmtId="165" fontId="43" fillId="9" borderId="3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164" fontId="43" fillId="9" borderId="3" xfId="0" applyNumberFormat="1" applyFont="1" applyFill="1" applyBorder="1" applyAlignment="1">
      <alignment vertical="center"/>
    </xf>
    <xf numFmtId="165" fontId="43" fillId="9" borderId="3" xfId="0" applyNumberFormat="1" applyFont="1" applyFill="1" applyBorder="1" applyAlignment="1">
      <alignment vertical="center"/>
    </xf>
    <xf numFmtId="0" fontId="39" fillId="0" borderId="3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42" fillId="0" borderId="3" xfId="0" applyFont="1" applyBorder="1" applyAlignment="1">
      <alignment horizontal="center"/>
    </xf>
    <xf numFmtId="0" fontId="39" fillId="9" borderId="3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right" vertical="center"/>
    </xf>
    <xf numFmtId="164" fontId="43" fillId="0" borderId="3" xfId="0" applyNumberFormat="1" applyFont="1" applyBorder="1" applyAlignment="1">
      <alignment horizontal="center" vertical="center"/>
    </xf>
    <xf numFmtId="165" fontId="43" fillId="0" borderId="3" xfId="0" applyNumberFormat="1" applyFont="1" applyBorder="1" applyAlignment="1">
      <alignment horizontal="center" vertical="center"/>
    </xf>
    <xf numFmtId="164" fontId="43" fillId="0" borderId="3" xfId="0" applyNumberFormat="1" applyFont="1" applyBorder="1" applyAlignment="1">
      <alignment vertical="center"/>
    </xf>
    <xf numFmtId="165" fontId="43" fillId="0" borderId="3" xfId="0" applyNumberFormat="1" applyFont="1" applyBorder="1" applyAlignment="1">
      <alignment vertical="center"/>
    </xf>
    <xf numFmtId="0" fontId="45" fillId="0" borderId="0" xfId="0" applyFont="1"/>
    <xf numFmtId="0" fontId="46" fillId="0" borderId="0" xfId="0" applyFont="1"/>
    <xf numFmtId="0" fontId="47" fillId="0" borderId="0" xfId="0" applyFont="1"/>
    <xf numFmtId="164" fontId="48" fillId="4" borderId="1" xfId="0" applyNumberFormat="1" applyFont="1" applyFill="1" applyBorder="1" applyAlignment="1">
      <alignment horizontal="right" vertical="center"/>
    </xf>
    <xf numFmtId="165" fontId="48" fillId="4" borderId="1" xfId="0" applyNumberFormat="1" applyFont="1" applyFill="1" applyBorder="1" applyAlignment="1">
      <alignment horizontal="right" vertical="center"/>
    </xf>
    <xf numFmtId="164" fontId="49" fillId="0" borderId="1" xfId="0" applyNumberFormat="1" applyFont="1" applyBorder="1" applyAlignment="1">
      <alignment horizontal="right" vertical="center"/>
    </xf>
    <xf numFmtId="164" fontId="50" fillId="0" borderId="1" xfId="0" applyNumberFormat="1" applyFont="1" applyBorder="1" applyAlignment="1">
      <alignment horizontal="right" vertical="center"/>
    </xf>
    <xf numFmtId="0" fontId="51" fillId="0" borderId="1" xfId="0" applyFont="1" applyBorder="1" applyAlignment="1">
      <alignment horizontal="left" vertical="center" wrapText="1"/>
    </xf>
    <xf numFmtId="164" fontId="52" fillId="4" borderId="1" xfId="0" applyNumberFormat="1" applyFont="1" applyFill="1" applyBorder="1" applyAlignment="1">
      <alignment horizontal="right" vertical="center"/>
    </xf>
    <xf numFmtId="165" fontId="52" fillId="4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53" fillId="0" borderId="1" xfId="0" applyNumberFormat="1" applyFont="1" applyBorder="1" applyAlignment="1">
      <alignment horizontal="right" vertical="center"/>
    </xf>
    <xf numFmtId="0" fontId="54" fillId="0" borderId="1" xfId="0" applyFont="1" applyBorder="1" applyAlignment="1">
      <alignment horizontal="left" vertical="center" wrapText="1"/>
    </xf>
    <xf numFmtId="0" fontId="33" fillId="2" borderId="0" xfId="0" applyFont="1" applyFill="1"/>
    <xf numFmtId="0" fontId="3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55" fillId="0" borderId="3" xfId="0" applyFont="1" applyBorder="1"/>
    <xf numFmtId="168" fontId="0" fillId="0" borderId="3" xfId="0" applyNumberFormat="1" applyBorder="1"/>
    <xf numFmtId="2" fontId="0" fillId="0" borderId="3" xfId="0" applyNumberFormat="1" applyBorder="1"/>
    <xf numFmtId="2" fontId="0" fillId="0" borderId="0" xfId="0" applyNumberFormat="1"/>
    <xf numFmtId="0" fontId="56" fillId="0" borderId="9" xfId="3" applyBorder="1"/>
    <xf numFmtId="0" fontId="56" fillId="0" borderId="10" xfId="3" applyBorder="1"/>
    <xf numFmtId="0" fontId="56" fillId="0" borderId="11" xfId="2" applyBorder="1"/>
    <xf numFmtId="0" fontId="56" fillId="0" borderId="12" xfId="1" applyBorder="1" applyAlignment="1">
      <alignment horizontal="left" indent="1"/>
    </xf>
    <xf numFmtId="0" fontId="56" fillId="0" borderId="13" xfId="1" applyBorder="1">
      <alignment horizontal="left"/>
    </xf>
    <xf numFmtId="2" fontId="56" fillId="0" borderId="14" xfId="6" applyNumberFormat="1" applyBorder="1"/>
    <xf numFmtId="0" fontId="56" fillId="0" borderId="15" xfId="1" applyBorder="1" applyAlignment="1">
      <alignment horizontal="left" indent="1"/>
    </xf>
    <xf numFmtId="0" fontId="56" fillId="0" borderId="16" xfId="1" applyBorder="1">
      <alignment horizontal="left"/>
    </xf>
    <xf numFmtId="0" fontId="1" fillId="0" borderId="17" xfId="5" applyBorder="1">
      <alignment horizontal="left"/>
    </xf>
    <xf numFmtId="0" fontId="1" fillId="0" borderId="18" xfId="5" applyBorder="1">
      <alignment horizontal="left"/>
    </xf>
    <xf numFmtId="2" fontId="1" fillId="0" borderId="19" xfId="4" applyNumberFormat="1" applyBorder="1"/>
    <xf numFmtId="168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4" fillId="0" borderId="2" xfId="0" applyFont="1" applyBorder="1"/>
    <xf numFmtId="0" fontId="13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5" fillId="0" borderId="0" xfId="0" applyFont="1"/>
    <xf numFmtId="0" fontId="5" fillId="4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right" vertical="center"/>
    </xf>
    <xf numFmtId="0" fontId="14" fillId="4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29" fillId="10" borderId="3" xfId="0" applyFont="1" applyFill="1" applyBorder="1" applyAlignment="1">
      <alignment horizontal="center" vertical="center"/>
    </xf>
    <xf numFmtId="0" fontId="29" fillId="11" borderId="3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vertical="center" wrapText="1"/>
    </xf>
    <xf numFmtId="0" fontId="33" fillId="15" borderId="0" xfId="0" applyFont="1" applyFill="1" applyAlignment="1">
      <alignment horizontal="center" vertical="center" wrapText="1"/>
    </xf>
    <xf numFmtId="0" fontId="1" fillId="9" borderId="8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A6A6A6"/>
      <rgbColor rgb="FF7030A0"/>
      <rgbColor rgb="FFFFF2CC"/>
      <rgbColor rgb="FFD6E4F0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EFDA"/>
      <rgbColor rgb="FFF2F2F2"/>
      <rgbColor rgb="FFD9E1F2"/>
      <rgbColor rgb="FFFF99CC"/>
      <rgbColor rgb="FFCC99FF"/>
      <rgbColor rgb="FFFBE5D6"/>
      <rgbColor rgb="FF3366FF"/>
      <rgbColor rgb="FF33CCCC"/>
      <rgbColor rgb="FF99CC00"/>
      <rgbColor rgb="FFFFCC00"/>
      <rgbColor rgb="FFBF8F00"/>
      <rgbColor rgb="FFFF6600"/>
      <rgbColor rgb="FF666666"/>
      <rgbColor rgb="FF999999"/>
      <rgbColor rgb="FF003366"/>
      <rgbColor rgb="FF339966"/>
      <rgbColor rgb="FF0061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85" xr:uid="{00000000-000A-0000-FFFF-FFFF01000000}">
  <cacheSource type="worksheet">
    <worksheetSource ref="A1:AA486" sheet="Raw Data"/>
  </cacheSource>
  <cacheFields count="27">
    <cacheField name="Nº" numFmtId="0">
      <sharedItems containsString="0" containsBlank="1" count="1">
        <m/>
      </sharedItems>
    </cacheField>
    <cacheField name="PTB Code" numFmtId="0">
      <sharedItems containsString="0" containsBlank="1" count="1">
        <m/>
      </sharedItems>
    </cacheField>
    <cacheField name="Discipline" numFmtId="0">
      <sharedItems count="1">
        <s v="Civil and Structure"/>
      </sharedItems>
    </cacheField>
    <cacheField name="Budget Code" numFmtId="0">
      <sharedItems count="3">
        <s v="B.01"/>
        <s v="B.03"/>
        <s v="B.04"/>
      </sharedItems>
    </cacheField>
    <cacheField name="Building Code" numFmtId="0">
      <sharedItems count="1">
        <s v="BA"/>
      </sharedItems>
    </cacheField>
    <cacheField name="Level" numFmtId="0">
      <sharedItems count="15">
        <s v="01.UG"/>
        <s v="02.GF"/>
        <s v="03.MZ"/>
        <s v="04.1F"/>
        <s v="05.2F"/>
        <s v="06.3F"/>
        <s v="07.4F"/>
        <s v="08.5F"/>
        <s v="09.6F"/>
        <s v="10.7F"/>
        <s v="11.8F"/>
        <s v="12.9F"/>
        <s v="13.10F"/>
        <s v="14.TR"/>
        <s v="15.RF"/>
      </sharedItems>
    </cacheField>
    <cacheField name="Section" numFmtId="0">
      <sharedItems count="2">
        <s v="Sub Structure"/>
        <s v="Super Structure"/>
      </sharedItems>
    </cacheField>
    <cacheField name="Sub Section" numFmtId="0">
      <sharedItems count="9">
        <s v="Bored Pile"/>
        <s v="Parapet wall &amp; Stiffener Column"/>
        <s v="Pile Cap &amp; Stump"/>
        <s v="Septic tank"/>
        <s v="Structural Beam"/>
        <s v="Structural Column"/>
        <s v="Structural Slab"/>
        <s v="Structural Staircase"/>
        <s v="Structural Wall"/>
      </sharedItems>
    </cacheField>
    <cacheField name="Sub Element" numFmtId="0">
      <sharedItems count="16">
        <s v="Anti-Termite"/>
        <s v="Base Preparation"/>
        <s v="Bored Pile Coring"/>
        <s v="Bored Pile Head Cutting"/>
        <s v="Bored Pile Testing"/>
        <s v="Concrete"/>
        <s v="Crush Stone"/>
        <s v="Earthwork"/>
        <s v="Formwork"/>
        <s v="Lean Concrete"/>
        <s v="Rebar"/>
        <s v="Rebar Testing"/>
        <s v="Steel Round Pipe"/>
        <s v="Steel Tie Wire"/>
        <s v="Water Stop"/>
        <s v="Waterproofing"/>
      </sharedItems>
    </cacheField>
    <cacheField name="Material Type" numFmtId="0">
      <sharedItems count="29">
        <s v="Anti-Termite with Plastic Membrane"/>
        <s v="Crush Stone 40x60mm 100mm Thk."/>
        <s v="Crush Stone 40x60mm 150mm Thk."/>
        <s v="Deform Bar, DB10(fy=390 Mpa)"/>
        <s v="Deform Bar, DB12(fy=390 Mpa)"/>
        <s v="Deform Bar, DB14(fy=390 Mpa)"/>
        <s v="Deform Bar, DB16(fy=390 Mpa)"/>
        <s v="Deform Bar, DB20(fy=390 Mpa)"/>
        <s v="Deform Bar, DB25(fy=390 Mpa)"/>
        <s v="Deform Bar, DB32(fy=390 Mpa)"/>
        <s v="Formwork"/>
        <s v="Lean Concrete, 15Mpa (Cylinder)"/>
        <s v="Membrance sheet 2mm thk"/>
        <s v="Normal Concrete, 35Mpa (Cylinder), Slump 13+-2.5"/>
        <s v="Normal Concrete, 35Mpa (Cylinder), Slump 15+-2.5"/>
        <s v="Pile Head Cutting up to required level D1000mm"/>
        <s v="Pile Head Cutting up to required level D800mm"/>
        <s v="PVC Waterbar® V VN 20 (Width 200mm)"/>
        <s v="Rebar Testing as per Specification"/>
        <s v="Round Bar, RB8(fy=250 Mpa)"/>
        <s v="Soil Backfill"/>
        <s v="Soil Coring for Bored Pile D1000mm, Depth 30m"/>
        <s v="Soil Coring for Bored Pile D800mm, Depth 30m"/>
        <s v="Soil Disposal"/>
        <s v="Soil Excavation"/>
        <s v="Sonic Logging Test (SLT)"/>
        <s v="Steel Round Pipe (D49x2mm) with rush primer and paint"/>
        <s v="Steel Tie Wire 1mm (Estimated 4% of Total Rebar Weight)"/>
        <s v="Well Soil Compact"/>
      </sharedItems>
    </cacheField>
    <cacheField name="Element group" numFmtId="0">
      <sharedItems containsString="0" containsBlank="1" count="1">
        <m/>
      </sharedItems>
    </cacheField>
    <cacheField name="Element ID" numFmtId="0">
      <sharedItems containsString="0" containsBlank="1" count="1">
        <m/>
      </sharedItems>
    </cacheField>
    <cacheField name="Description" numFmtId="0">
      <sharedItems containsBlank="1" count="2">
        <s v="slab, beam, column"/>
        <m/>
      </sharedItems>
    </cacheField>
    <cacheField name="Brand" numFmtId="0">
      <sharedItems containsString="0" containsBlank="1" count="1">
        <m/>
      </sharedItems>
    </cacheField>
    <cacheField name="Supplier" numFmtId="0">
      <sharedItems containsString="0" containsBlank="1" count="1">
        <m/>
      </sharedItems>
    </cacheField>
    <cacheField name="Unit" numFmtId="0">
      <sharedItems count="6">
        <s v="kg"/>
        <s v="Lot"/>
        <s v="m"/>
        <s v="m2"/>
        <s v="m3"/>
        <s v="Nos"/>
      </sharedItems>
    </cacheField>
    <cacheField name="Quantity" numFmtId="0">
      <sharedItems containsSemiMixedTypes="0" containsString="0" containsNumber="1" minValue="1" maxValue="33921.811999999998" count="196">
        <n v="1"/>
        <n v="3.5"/>
        <n v="5"/>
        <n v="5.016"/>
        <n v="6.0191999999999997"/>
        <n v="7.2694999999999999"/>
        <n v="7.3"/>
        <n v="10.5"/>
        <n v="13.342000000000001"/>
        <n v="14.56"/>
        <n v="14.8565"/>
        <n v="15.54"/>
        <n v="17"/>
        <n v="18"/>
        <n v="19.2"/>
        <n v="20.05"/>
        <n v="20.309999999999999"/>
        <n v="21.853439999999999"/>
        <n v="22"/>
        <n v="22.574999999999999"/>
        <n v="23.43"/>
        <n v="26.015999999999998"/>
        <n v="27.59"/>
        <n v="27.6"/>
        <n v="31.0992"/>
        <n v="32.903750000000002"/>
        <n v="33.609499999999997"/>
        <n v="34.549999999999997"/>
        <n v="37.319040000000001"/>
        <n v="38.304000000000002"/>
        <n v="38.42"/>
        <n v="38.975999999999999"/>
        <n v="39.311999999999998"/>
        <n v="39.9"/>
        <n v="45.863999999999997"/>
        <n v="46.741149999999998"/>
        <n v="50.16"/>
        <n v="55.2"/>
        <n v="55.5"/>
        <n v="60"/>
        <n v="60.192"/>
        <n v="66"/>
        <n v="70"/>
        <n v="75.239999999999995"/>
        <n v="87.15"/>
        <n v="90.287999999999997"/>
        <n v="99.9"/>
        <n v="103.73699999999999"/>
        <n v="107.44"/>
        <n v="113.57"/>
        <n v="118.9"/>
        <n v="120.5"/>
        <n v="125.4"/>
        <n v="129.22"/>
        <n v="130.31968000000001"/>
        <n v="130.937568"/>
        <n v="131.43"/>
        <n v="132.84652800000001"/>
        <n v="134.74600000000001"/>
        <n v="138.84339168"/>
        <n v="139.69999999999999"/>
        <n v="145.57"/>
        <n v="150.47999999999999"/>
        <n v="150.5"/>
        <n v="151.806016"/>
        <n v="165.28975199999999"/>
        <n v="165.3"/>
        <n v="166.5"/>
        <n v="172.269461333333"/>
        <n v="173.88"/>
        <n v="174.31440000000001"/>
        <n v="178.336288"/>
        <n v="184.76220000000001"/>
        <n v="190.08"/>
        <n v="194.34352533333299"/>
        <n v="200.935"/>
        <n v="203.28"/>
        <n v="204.96"/>
        <n v="207"/>
        <n v="207.31200000000001"/>
        <n v="213.68256"/>
        <n v="218.876"/>
        <n v="219.95500000000001"/>
        <n v="221.76"/>
        <n v="222"/>
        <n v="227.86080000000001"/>
        <n v="231.698688"/>
        <n v="241.864"/>
        <n v="254.38399999999999"/>
        <n v="266"/>
        <n v="268.46070400000002"/>
        <n v="281.14080000000001"/>
        <n v="288"/>
        <n v="288.8664"/>
        <n v="293.69200000000001"/>
        <n v="295.33103999999997"/>
        <n v="308.3184"/>
        <n v="313.0752"/>
        <n v="314.331568"/>
        <n v="314.89"/>
        <n v="319.12"/>
        <n v="322.54066399999999"/>
        <n v="327.80160000000001"/>
        <n v="359.03"/>
        <n v="365.33679999999998"/>
        <n v="370"/>
        <n v="372.681984"/>
        <n v="372.96"/>
        <n v="374.16368504254399"/>
        <n v="390.24"/>
        <n v="418.07920000000001"/>
        <n v="422.4"/>
        <n v="426.14133333333302"/>
        <n v="429.09544533333298"/>
        <n v="436.52439733333301"/>
        <n v="446.52600000000001"/>
        <n v="450.22723200000001"/>
        <n v="465.78399999999999"/>
        <n v="467.24"/>
        <n v="472.13760000000002"/>
        <n v="487.00866666666701"/>
        <n v="492.86520000000002"/>
        <n v="528.65544799999998"/>
        <n v="535.98479999999995"/>
        <n v="545.0853376"/>
        <n v="552"/>
        <n v="556"/>
        <n v="581"/>
        <n v="601.70399999999995"/>
        <n v="601.91999999999996"/>
        <n v="619.98622720000003"/>
        <n v="620.0733864"/>
        <n v="624.19479999999999"/>
        <n v="711.36"/>
        <n v="722.30399999999997"/>
        <n v="727.16800000000001"/>
        <n v="822.01599999999996"/>
        <n v="828.18333333333305"/>
        <n v="918.54719999999998"/>
        <n v="948.48"/>
        <n v="1016.8632"/>
        <n v="1069.6365840000001"/>
        <n v="1071.6384"/>
        <n v="1072.3333333333301"/>
        <n v="1122.4736"/>
        <n v="1148.424"/>
        <n v="1231.0272"/>
        <n v="1283.17"/>
        <n v="1301.2752"/>
        <n v="1372.3879999999999"/>
        <n v="1436.22"/>
        <n v="1459.027936"/>
        <n v="1468.136"/>
        <n v="1575.4752000000001"/>
        <n v="1600.7231999999999"/>
        <n v="1659.6320000000001"/>
        <n v="1694"/>
        <n v="1700.16"/>
        <n v="1819.6614"/>
        <n v="1889.9944"/>
        <n v="1914.96"/>
        <n v="1921.92"/>
        <n v="1927.44333333333"/>
        <n v="1953.0719999999999"/>
        <n v="2016.0933333333301"/>
        <n v="2060.3429999999998"/>
        <n v="2118.4128000000001"/>
        <n v="2201"/>
        <n v="2411.8152"/>
        <n v="2448.5328"/>
        <n v="2553.8863999999999"/>
        <n v="2623.9334399999998"/>
        <n v="2639.1376"/>
        <n v="2720.1215999999999"/>
        <n v="2780.3247999999999"/>
        <n v="2823.6114200000002"/>
        <n v="2914.92"/>
        <n v="2934.75"/>
        <n v="3061.2556800000002"/>
        <n v="3408.4576000000002"/>
        <n v="4568.1167999999998"/>
        <n v="4821.5231999999996"/>
        <n v="4876.3567999999996"/>
        <n v="5312.9970000000003"/>
        <n v="5365.9008000000003"/>
        <n v="5372"/>
        <n v="7335"/>
        <n v="7527.2208000000001"/>
        <n v="9303.0400000000009"/>
        <n v="10516.48"/>
        <n v="10560"/>
        <n v="10611.798000000001"/>
        <n v="11514.5"/>
        <n v="11795.978999999999"/>
        <n v="12843.4262"/>
        <n v="33921.811999999998"/>
      </sharedItems>
    </cacheField>
    <cacheField name="Actual Q.ty" numFmtId="0">
      <sharedItems containsSemiMixedTypes="0" containsString="0" containsNumber="1" minValue="1" maxValue="33921.811999999998" count="203">
        <n v="1"/>
        <n v="3.5"/>
        <n v="5"/>
        <n v="5.016"/>
        <n v="6.0191999999999997"/>
        <n v="7.2694999999999999"/>
        <n v="7.3"/>
        <n v="10.5"/>
        <n v="13.342000000000001"/>
        <n v="14.56"/>
        <n v="14.8565"/>
        <n v="15.54"/>
        <n v="17"/>
        <n v="18"/>
        <n v="19.2"/>
        <n v="20.05"/>
        <n v="20.309999999999999"/>
        <n v="21.853439999999999"/>
        <n v="22"/>
        <n v="22.574999999999999"/>
        <n v="23.43"/>
        <n v="26.015999999999998"/>
        <n v="27.59"/>
        <n v="27.6"/>
        <n v="31.0992"/>
        <n v="31.92"/>
        <n v="32.903750000000002"/>
        <n v="33.609499999999997"/>
        <n v="34.549999999999997"/>
        <n v="37.319040000000001"/>
        <n v="38.304000000000002"/>
        <n v="38.42"/>
        <n v="38.975999999999999"/>
        <n v="39.311999999999998"/>
        <n v="39.9"/>
        <n v="45.6"/>
        <n v="45.863999999999997"/>
        <n v="46.741149999999998"/>
        <n v="50.16"/>
        <n v="55.2"/>
        <n v="55.5"/>
        <n v="60.192"/>
        <n v="66"/>
        <n v="70"/>
        <n v="75.239999999999995"/>
        <n v="87.15"/>
        <n v="90.287999999999997"/>
        <n v="99.9"/>
        <n v="103.73699999999999"/>
        <n v="107.44"/>
        <n v="113.57"/>
        <n v="118.9"/>
        <n v="120.5"/>
        <n v="125.4"/>
        <n v="129.22"/>
        <n v="130.31968000000001"/>
        <n v="130.937568"/>
        <n v="131.43"/>
        <n v="132.84652800000001"/>
        <n v="134.74600000000001"/>
        <n v="138.84339168"/>
        <n v="139.69999999999999"/>
        <n v="145.57"/>
        <n v="150.47999999999999"/>
        <n v="150.5"/>
        <n v="151.806016"/>
        <n v="165.28975199999999"/>
        <n v="165.3"/>
        <n v="166.5"/>
        <n v="169.4"/>
        <n v="172.269461333333"/>
        <n v="173.88"/>
        <n v="174.31440000000001"/>
        <n v="178.336288"/>
        <n v="184.76220000000001"/>
        <n v="190.08"/>
        <n v="194.34352533333299"/>
        <n v="200.935"/>
        <n v="203.28"/>
        <n v="204.96"/>
        <n v="207"/>
        <n v="207.31200000000001"/>
        <n v="213.68256"/>
        <n v="218.876"/>
        <n v="219.95500000000001"/>
        <n v="221.76"/>
        <n v="222"/>
        <n v="227.86080000000001"/>
        <n v="231.698688"/>
        <n v="241.864"/>
        <n v="242"/>
        <n v="254.38399999999999"/>
        <n v="266"/>
        <n v="268.46070400000002"/>
        <n v="281.14080000000001"/>
        <n v="288"/>
        <n v="288.8664"/>
        <n v="293.69200000000001"/>
        <n v="295.33103999999997"/>
        <n v="308.3184"/>
        <n v="313.0752"/>
        <n v="314.331568"/>
        <n v="314.89"/>
        <n v="319.12"/>
        <n v="322.54066399999999"/>
        <n v="327.80160000000001"/>
        <n v="359.03"/>
        <n v="365.33679999999998"/>
        <n v="370"/>
        <n v="372.681984"/>
        <n v="372.96"/>
        <n v="374.16368504254399"/>
        <n v="390.24"/>
        <n v="418.07920000000001"/>
        <n v="422.4"/>
        <n v="426.14133333333302"/>
        <n v="429.09544533333298"/>
        <n v="436.52439733333301"/>
        <n v="446.52600000000001"/>
        <n v="450.22723200000001"/>
        <n v="465.78399999999999"/>
        <n v="467.24"/>
        <n v="472.13760000000002"/>
        <n v="487.00866666666701"/>
        <n v="492.86520000000002"/>
        <n v="528.65544799999998"/>
        <n v="535.98479999999995"/>
        <n v="545.0853376"/>
        <n v="552"/>
        <n v="556"/>
        <n v="581"/>
        <n v="601.70399999999995"/>
        <n v="601.91999999999996"/>
        <n v="619.98622720000003"/>
        <n v="620.0733864"/>
        <n v="624.19479999999999"/>
        <n v="711.36"/>
        <n v="722.30399999999997"/>
        <n v="727.16800000000001"/>
        <n v="822.01599999999996"/>
        <n v="828.18333333333305"/>
        <n v="918.54719999999998"/>
        <n v="948.48"/>
        <n v="1016.8632"/>
        <n v="1069.6365840000001"/>
        <n v="1071.6384"/>
        <n v="1072.3333333333301"/>
        <n v="1122.4736"/>
        <n v="1148.424"/>
        <n v="1231.0272"/>
        <n v="1283.17"/>
        <n v="1301.2752"/>
        <n v="1372.3879999999999"/>
        <n v="1436.22"/>
        <n v="1459.027936"/>
        <n v="1468.136"/>
        <n v="1575.4752000000001"/>
        <n v="1600.7231999999999"/>
        <n v="1619.9952000000001"/>
        <n v="1659.6320000000001"/>
        <n v="1694"/>
        <n v="1700.16"/>
        <n v="1819.6614"/>
        <n v="1889.9944"/>
        <n v="1914.96"/>
        <n v="1921.92"/>
        <n v="1927.44333333333"/>
        <n v="1953.0719999999999"/>
        <n v="2016.0933333333301"/>
        <n v="2060.3429999999998"/>
        <n v="2118.4128000000001"/>
        <n v="2201"/>
        <n v="2294.9931999999999"/>
        <n v="2411.8152"/>
        <n v="2448.5328"/>
        <n v="2553.8863999999999"/>
        <n v="2623.9334399999998"/>
        <n v="2639.1376"/>
        <n v="2720.1215999999999"/>
        <n v="2780.3247999999999"/>
        <n v="2823.6114200000002"/>
        <n v="2914.92"/>
        <n v="2934.75"/>
        <n v="3061.2556800000002"/>
        <n v="3408.4576000000002"/>
        <n v="4172.4719999999998"/>
        <n v="4568.1167999999998"/>
        <n v="4821.5231999999996"/>
        <n v="4876.3567999999996"/>
        <n v="5312.9970000000003"/>
        <n v="5365.9008000000003"/>
        <n v="5372"/>
        <n v="5563.2960000000003"/>
        <n v="7335"/>
        <n v="7527.2208000000001"/>
        <n v="9303.0400000000009"/>
        <n v="10516.48"/>
        <n v="10560"/>
        <n v="10611.798000000001"/>
        <n v="11514.5"/>
        <n v="11795.978999999999"/>
        <n v="12843.4262"/>
        <n v="33921.811999999998"/>
      </sharedItems>
    </cacheField>
    <cacheField name="%" numFmtId="0">
      <sharedItems containsString="0" containsBlank="1" containsNumber="1" containsInteger="1" minValue="0" maxValue="0" count="2">
        <n v="0"/>
        <m/>
      </sharedItems>
    </cacheField>
    <cacheField name="Labor Net Cost ($)" numFmtId="0">
      <sharedItems containsSemiMixedTypes="0" containsString="0" containsNumber="1" minValue="0" maxValue="55" count="18">
        <n v="0"/>
        <n v="0.05"/>
        <n v="0.08"/>
        <n v="0.09"/>
        <n v="0.1"/>
        <n v="0.11"/>
        <n v="0.12"/>
        <n v="1"/>
        <n v="1.5"/>
        <n v="2"/>
        <n v="3"/>
        <n v="4"/>
        <n v="6"/>
        <n v="7"/>
        <n v="8"/>
        <n v="10"/>
        <n v="40"/>
        <n v="55"/>
      </sharedItems>
    </cacheField>
    <cacheField name="Labor Margin (%)" numFmtId="0">
      <sharedItems containsSemiMixedTypes="0" containsString="0" containsNumber="1" minValue="0" maxValue="0.2" count="2">
        <n v="0"/>
        <n v="0.2"/>
      </sharedItems>
    </cacheField>
    <cacheField name="Labor Rate" numFmtId="0">
      <sharedItems containsSemiMixedTypes="0" containsString="0" containsNumber="1" minValue="0" maxValue="66" count="18">
        <n v="0"/>
        <n v="0.06"/>
        <n v="9.6000000000000002E-2"/>
        <n v="0.108"/>
        <n v="0.12"/>
        <n v="0.13200000000000001"/>
        <n v="0.14399999999999999"/>
        <n v="1.2"/>
        <n v="1.8"/>
        <n v="2.4"/>
        <n v="3.6"/>
        <n v="4.8"/>
        <n v="7.2"/>
        <n v="8.4"/>
        <n v="9.6"/>
        <n v="12"/>
        <n v="48"/>
        <n v="66"/>
      </sharedItems>
    </cacheField>
    <cacheField name="Material Net Cost ($)" numFmtId="0">
      <sharedItems containsSemiMixedTypes="0" containsString="0" containsNumber="1" minValue="0" maxValue="350" count="22">
        <n v="0"/>
        <n v="0.71"/>
        <n v="0.72"/>
        <n v="0.73"/>
        <n v="0.74"/>
        <n v="0.75"/>
        <n v="0.76"/>
        <n v="0.77"/>
        <n v="0.78"/>
        <n v="1.2"/>
        <n v="2.5"/>
        <n v="4"/>
        <n v="4.5"/>
        <n v="5"/>
        <n v="6.5"/>
        <n v="18"/>
        <n v="50"/>
        <n v="75"/>
        <n v="98"/>
        <n v="200"/>
        <n v="300"/>
        <n v="350"/>
      </sharedItems>
    </cacheField>
    <cacheField name="Material Margin (%)" numFmtId="0">
      <sharedItems containsSemiMixedTypes="0" containsString="0" containsNumber="1" minValue="0" maxValue="0.12" count="3">
        <n v="0"/>
        <n v="0.1"/>
        <n v="0.12"/>
      </sharedItems>
    </cacheField>
    <cacheField name="Material Rate" numFmtId="0">
      <sharedItems containsSemiMixedTypes="0" containsString="0" containsNumber="1" minValue="0" maxValue="385" count="22">
        <n v="0"/>
        <n v="0.79520000000000002"/>
        <n v="0.80640000000000001"/>
        <n v="0.81759999999999999"/>
        <n v="0.82879999999999998"/>
        <n v="0.84"/>
        <n v="0.85119999999999996"/>
        <n v="0.86240000000000006"/>
        <n v="0.87360000000000004"/>
        <n v="1.3440000000000001"/>
        <n v="2.8"/>
        <n v="4.4800000000000004"/>
        <n v="5.04"/>
        <n v="5.6"/>
        <n v="7.28"/>
        <n v="20.16"/>
        <n v="55"/>
        <n v="84"/>
        <n v="109.76"/>
        <n v="220"/>
        <n v="330"/>
        <n v="385"/>
      </sharedItems>
    </cacheField>
    <cacheField name="Amount" numFmtId="0">
      <sharedItems containsSemiMixedTypes="0" containsString="0" containsNumber="1" minValue="35.158079999999998" maxValue="44660.177446678099" count="200">
        <n v="35.158079999999998"/>
        <n v="43.663276799999998"/>
        <n v="50.481023999999998"/>
        <n v="52.395932160000001"/>
        <n v="60.5772288"/>
        <n v="70.368759999999995"/>
        <n v="98.221680000000006"/>
        <n v="108.127616"/>
        <n v="113.04"/>
        <n v="118.97951999999999"/>
        <n v="142.77542399999999"/>
        <n v="163.7028"/>
        <n v="168"/>
        <n v="171.38591808000001"/>
        <n v="176.94028800000001"/>
        <n v="182.96883072"/>
        <n v="183.836345472"/>
        <n v="185.94467807999999"/>
        <n v="186.516525312"/>
        <n v="194.93612191872"/>
        <n v="197.784577536"/>
        <n v="210.64320000000001"/>
        <n v="210.96069120000001"/>
        <n v="213.13564646399999"/>
        <n v="220"/>
        <n v="221.36271199999999"/>
        <n v="224.03273856000001"/>
        <n v="232.06681180800001"/>
        <n v="235.45783040000001"/>
        <n v="241.866323712"/>
        <n v="245.76"/>
        <n v="246.12080639999999"/>
        <n v="249.48"/>
        <n v="250.38414835200001"/>
        <n v="272.85830956799998"/>
        <n v="276.41763456000001"/>
        <n v="284.01344447999998"/>
        <n v="290.369478528"/>
        <n v="297.04574975999998"/>
        <n v="298.86097919999997"/>
        <n v="307.30190399999998"/>
        <n v="315.43200000000002"/>
        <n v="323.39999999999998"/>
        <n v="325.304957952"/>
        <n v="330"/>
        <n v="345.94560000000001"/>
        <n v="366.69427200000001"/>
        <n v="376.8"/>
        <n v="376.918828416"/>
        <n v="425.43739391999998"/>
        <n v="427.17559772160001"/>
        <n v="432.87903360000001"/>
        <n v="433.64142079999999"/>
        <n v="441.32152147199997"/>
        <n v="447.96415488000002"/>
        <n v="452.847092256"/>
        <n v="468.76501760000002"/>
        <n v="490.12552213333402"/>
        <n v="496.01953728000001"/>
        <n v="508.54237824000001"/>
        <n v="512.93286720000003"/>
        <n v="523.245505536"/>
        <n v="556.9372224"/>
        <n v="582.28"/>
        <n v="591.80774399999996"/>
        <n v="593.04960000000005"/>
        <n v="602.45000524800002"/>
        <n v="610.74815999999998"/>
        <n v="612.88025385599997"/>
        <n v="628.18964672000004"/>
        <n v="656.00495999999998"/>
        <n v="658.43481599999996"/>
        <n v="673.06670080000004"/>
        <n v="674.52"/>
        <n v="710.16929279999999"/>
        <n v="732.89779199999998"/>
        <n v="742.232248992"/>
        <n v="760.85800959999995"/>
        <n v="765.29981399040003"/>
        <n v="816"/>
        <n v="842.75936000000002"/>
        <n v="870.46066298879998"/>
        <n v="870.58303450560004"/>
        <n v="877.91308800000002"/>
        <n v="903.11560703999999"/>
        <n v="963.072"/>
        <n v="964.79980416000001"/>
        <n v="1036.8"/>
        <n v="1053.6348748800001"/>
        <n v="1065.5999999999999"/>
        <n v="1077.574656"/>
        <n v="1091.2064"/>
        <n v="1139.43877632"/>
        <n v="1155.6864"/>
        <n v="1210"/>
        <n v="1279.4137766399999"/>
        <n v="1302.1217343999999"/>
        <n v="1311.5519999999999"/>
        <n v="1372.7406000000001"/>
        <n v="1378.7711999999999"/>
        <n v="1382.4"/>
        <n v="1392.9674368000001"/>
        <n v="1453.6959999999999"/>
        <n v="1494.8108697600001"/>
        <n v="1501.7697639359999"/>
        <n v="1518.76617216"/>
        <n v="1521.92"/>
        <n v="1528.6656"/>
        <n v="1534.2243840000001"/>
        <n v="1542.4"/>
        <n v="1574.6588416"/>
        <n v="1624.5219199999999"/>
        <n v="1654.0160000000001"/>
        <n v="1684.27859184"/>
        <n v="1734.340608"/>
        <n v="1788.16"/>
        <n v="1807.7634432"/>
        <n v="1838.3616"/>
        <n v="1892.1504"/>
        <n v="1907.0534808"/>
        <n v="1923.25830144"/>
        <n v="1925"/>
        <n v="1926.4"/>
        <n v="1961.366336"/>
        <n v="2048.4752221439999"/>
        <n v="2051.5765759999999"/>
        <n v="2082.8234649599999"/>
        <n v="2115.84"/>
        <n v="2208"/>
        <n v="2288.3302617600002"/>
        <n v="2407.39744896"/>
        <n v="2433.0239999999999"/>
        <n v="2441.288"/>
        <n v="2472.9456"/>
        <n v="2508.96509952"/>
        <n v="2550.2399999999998"/>
        <n v="2571.9679999999998"/>
        <n v="2579.851358208"/>
        <n v="2594.8000883200002"/>
        <n v="2598.8348006400001"/>
        <n v="2601.9839999999999"/>
        <n v="2623.4879999999998"/>
        <n v="2660.8748544"/>
        <n v="2674.4235571200002"/>
        <n v="2748.732"/>
        <n v="2838.5279999999998"/>
        <n v="2852.8368"/>
        <n v="2865.9493440000001"/>
        <n v="2873.3069809919998"/>
        <n v="2986.4016000000001"/>
        <n v="3009.8265845760002"/>
        <n v="3167.7081600000001"/>
        <n v="3351.19551232"/>
        <n v="3359.3584000000001"/>
        <n v="3404.8"/>
        <n v="4006.3606"/>
        <n v="4030.5920000000001"/>
        <n v="4084.7359999999999"/>
        <n v="4092.2927199999999"/>
        <n v="4122.2686003199997"/>
        <n v="4195.8604800000003"/>
        <n v="4400.4243763200002"/>
        <n v="4462.8018739199997"/>
        <n v="4595.5839999999998"/>
        <n v="4619.4120000000003"/>
        <n v="4663.8950400000003"/>
        <n v="4678.0191999999997"/>
        <n v="4736"/>
        <n v="4745.7177600000005"/>
        <n v="4786.6291199999996"/>
        <n v="4842.1888819200003"/>
        <n v="4858.2240000000002"/>
        <n v="4917.7100232000003"/>
        <n v="4995.0720000000001"/>
        <n v="5466.5472"/>
        <n v="5512.4351999999999"/>
        <n v="5584.4006399999998"/>
        <n v="5610"/>
        <n v="5691.2024240000001"/>
        <n v="5715.5328"/>
        <n v="6159.2160000000003"/>
        <n v="6757.68"/>
        <n v="6792.5640499199999"/>
        <n v="7116.8"/>
        <n v="7436.8"/>
        <n v="7464.0959999999995"/>
        <n v="8036.16"/>
        <n v="8290.8692480000009"/>
        <n v="9372.2869759999994"/>
        <n v="9457.2343775999998"/>
        <n v="10382.592000000001"/>
        <n v="10611.384"/>
        <n v="10918.3581624"/>
        <n v="11717.155199999999"/>
        <n v="12631.01712"/>
        <n v="13069.47050112"/>
        <n v="15054.84"/>
        <n v="16406.67296"/>
        <n v="30611.043148799999"/>
        <n v="44660.177446678099"/>
      </sharedItems>
    </cacheField>
    <cacheField name="Package Name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5">
  <r>
    <x v="0"/>
    <x v="0"/>
    <x v="0"/>
    <x v="0"/>
    <x v="0"/>
    <x v="0"/>
    <x v="0"/>
    <x v="0"/>
    <x v="3"/>
    <x v="15"/>
    <x v="0"/>
    <x v="0"/>
    <x v="1"/>
    <x v="0"/>
    <x v="0"/>
    <x v="5"/>
    <x v="2"/>
    <x v="2"/>
    <x v="0"/>
    <x v="17"/>
    <x v="1"/>
    <x v="17"/>
    <x v="0"/>
    <x v="0"/>
    <x v="0"/>
    <x v="44"/>
    <x v="0"/>
  </r>
  <r>
    <x v="0"/>
    <x v="0"/>
    <x v="0"/>
    <x v="0"/>
    <x v="0"/>
    <x v="0"/>
    <x v="0"/>
    <x v="0"/>
    <x v="3"/>
    <x v="16"/>
    <x v="0"/>
    <x v="0"/>
    <x v="1"/>
    <x v="0"/>
    <x v="0"/>
    <x v="5"/>
    <x v="12"/>
    <x v="12"/>
    <x v="0"/>
    <x v="16"/>
    <x v="1"/>
    <x v="16"/>
    <x v="0"/>
    <x v="0"/>
    <x v="0"/>
    <x v="79"/>
    <x v="0"/>
  </r>
  <r>
    <x v="0"/>
    <x v="0"/>
    <x v="0"/>
    <x v="0"/>
    <x v="0"/>
    <x v="0"/>
    <x v="0"/>
    <x v="0"/>
    <x v="4"/>
    <x v="25"/>
    <x v="0"/>
    <x v="0"/>
    <x v="1"/>
    <x v="0"/>
    <x v="0"/>
    <x v="5"/>
    <x v="18"/>
    <x v="18"/>
    <x v="0"/>
    <x v="0"/>
    <x v="0"/>
    <x v="0"/>
    <x v="16"/>
    <x v="1"/>
    <x v="16"/>
    <x v="94"/>
    <x v="0"/>
  </r>
  <r>
    <x v="0"/>
    <x v="0"/>
    <x v="0"/>
    <x v="0"/>
    <x v="0"/>
    <x v="0"/>
    <x v="0"/>
    <x v="0"/>
    <x v="2"/>
    <x v="21"/>
    <x v="0"/>
    <x v="0"/>
    <x v="1"/>
    <x v="0"/>
    <x v="0"/>
    <x v="5"/>
    <x v="2"/>
    <x v="2"/>
    <x v="0"/>
    <x v="0"/>
    <x v="0"/>
    <x v="0"/>
    <x v="21"/>
    <x v="1"/>
    <x v="21"/>
    <x v="121"/>
    <x v="0"/>
  </r>
  <r>
    <x v="0"/>
    <x v="0"/>
    <x v="0"/>
    <x v="0"/>
    <x v="0"/>
    <x v="0"/>
    <x v="0"/>
    <x v="0"/>
    <x v="2"/>
    <x v="22"/>
    <x v="0"/>
    <x v="0"/>
    <x v="1"/>
    <x v="0"/>
    <x v="0"/>
    <x v="5"/>
    <x v="12"/>
    <x v="12"/>
    <x v="0"/>
    <x v="0"/>
    <x v="0"/>
    <x v="0"/>
    <x v="20"/>
    <x v="1"/>
    <x v="20"/>
    <x v="177"/>
    <x v="0"/>
  </r>
  <r>
    <x v="0"/>
    <x v="0"/>
    <x v="0"/>
    <x v="0"/>
    <x v="0"/>
    <x v="0"/>
    <x v="0"/>
    <x v="0"/>
    <x v="5"/>
    <x v="14"/>
    <x v="0"/>
    <x v="0"/>
    <x v="1"/>
    <x v="0"/>
    <x v="0"/>
    <x v="4"/>
    <x v="108"/>
    <x v="111"/>
    <x v="1"/>
    <x v="14"/>
    <x v="1"/>
    <x v="14"/>
    <x v="18"/>
    <x v="2"/>
    <x v="18"/>
    <x v="199"/>
    <x v="0"/>
  </r>
  <r>
    <x v="0"/>
    <x v="0"/>
    <x v="0"/>
    <x v="0"/>
    <x v="0"/>
    <x v="0"/>
    <x v="0"/>
    <x v="0"/>
    <x v="10"/>
    <x v="3"/>
    <x v="0"/>
    <x v="0"/>
    <x v="1"/>
    <x v="0"/>
    <x v="0"/>
    <x v="0"/>
    <x v="170"/>
    <x v="175"/>
    <x v="1"/>
    <x v="6"/>
    <x v="1"/>
    <x v="6"/>
    <x v="8"/>
    <x v="2"/>
    <x v="8"/>
    <x v="139"/>
    <x v="0"/>
  </r>
  <r>
    <x v="0"/>
    <x v="0"/>
    <x v="0"/>
    <x v="0"/>
    <x v="0"/>
    <x v="0"/>
    <x v="0"/>
    <x v="0"/>
    <x v="10"/>
    <x v="8"/>
    <x v="0"/>
    <x v="0"/>
    <x v="1"/>
    <x v="0"/>
    <x v="0"/>
    <x v="0"/>
    <x v="195"/>
    <x v="202"/>
    <x v="1"/>
    <x v="2"/>
    <x v="1"/>
    <x v="2"/>
    <x v="2"/>
    <x v="2"/>
    <x v="2"/>
    <x v="198"/>
    <x v="0"/>
  </r>
  <r>
    <x v="0"/>
    <x v="0"/>
    <x v="0"/>
    <x v="0"/>
    <x v="0"/>
    <x v="0"/>
    <x v="0"/>
    <x v="0"/>
    <x v="13"/>
    <x v="27"/>
    <x v="0"/>
    <x v="0"/>
    <x v="1"/>
    <x v="0"/>
    <x v="0"/>
    <x v="0"/>
    <x v="151"/>
    <x v="154"/>
    <x v="1"/>
    <x v="1"/>
    <x v="1"/>
    <x v="1"/>
    <x v="9"/>
    <x v="2"/>
    <x v="9"/>
    <x v="124"/>
    <x v="0"/>
  </r>
  <r>
    <x v="0"/>
    <x v="0"/>
    <x v="0"/>
    <x v="0"/>
    <x v="0"/>
    <x v="0"/>
    <x v="0"/>
    <x v="0"/>
    <x v="12"/>
    <x v="26"/>
    <x v="0"/>
    <x v="0"/>
    <x v="1"/>
    <x v="0"/>
    <x v="0"/>
    <x v="2"/>
    <x v="167"/>
    <x v="171"/>
    <x v="1"/>
    <x v="8"/>
    <x v="1"/>
    <x v="8"/>
    <x v="12"/>
    <x v="2"/>
    <x v="12"/>
    <x v="196"/>
    <x v="0"/>
  </r>
  <r>
    <x v="0"/>
    <x v="0"/>
    <x v="0"/>
    <x v="0"/>
    <x v="0"/>
    <x v="0"/>
    <x v="0"/>
    <x v="0"/>
    <x v="11"/>
    <x v="18"/>
    <x v="0"/>
    <x v="0"/>
    <x v="1"/>
    <x v="0"/>
    <x v="0"/>
    <x v="1"/>
    <x v="0"/>
    <x v="0"/>
    <x v="0"/>
    <x v="0"/>
    <x v="0"/>
    <x v="0"/>
    <x v="19"/>
    <x v="1"/>
    <x v="19"/>
    <x v="24"/>
    <x v="0"/>
  </r>
  <r>
    <x v="0"/>
    <x v="0"/>
    <x v="0"/>
    <x v="1"/>
    <x v="0"/>
    <x v="0"/>
    <x v="0"/>
    <x v="2"/>
    <x v="7"/>
    <x v="24"/>
    <x v="0"/>
    <x v="0"/>
    <x v="1"/>
    <x v="0"/>
    <x v="0"/>
    <x v="4"/>
    <x v="147"/>
    <x v="150"/>
    <x v="1"/>
    <x v="10"/>
    <x v="1"/>
    <x v="10"/>
    <x v="0"/>
    <x v="0"/>
    <x v="0"/>
    <x v="164"/>
    <x v="0"/>
  </r>
  <r>
    <x v="0"/>
    <x v="0"/>
    <x v="0"/>
    <x v="1"/>
    <x v="0"/>
    <x v="0"/>
    <x v="0"/>
    <x v="2"/>
    <x v="7"/>
    <x v="23"/>
    <x v="0"/>
    <x v="0"/>
    <x v="1"/>
    <x v="0"/>
    <x v="0"/>
    <x v="4"/>
    <x v="147"/>
    <x v="150"/>
    <x v="1"/>
    <x v="11"/>
    <x v="1"/>
    <x v="11"/>
    <x v="0"/>
    <x v="0"/>
    <x v="0"/>
    <x v="180"/>
    <x v="0"/>
  </r>
  <r>
    <x v="0"/>
    <x v="0"/>
    <x v="0"/>
    <x v="1"/>
    <x v="0"/>
    <x v="0"/>
    <x v="0"/>
    <x v="2"/>
    <x v="7"/>
    <x v="20"/>
    <x v="0"/>
    <x v="0"/>
    <x v="1"/>
    <x v="0"/>
    <x v="0"/>
    <x v="4"/>
    <x v="145"/>
    <x v="148"/>
    <x v="1"/>
    <x v="11"/>
    <x v="1"/>
    <x v="11"/>
    <x v="0"/>
    <x v="0"/>
    <x v="0"/>
    <x v="175"/>
    <x v="0"/>
  </r>
  <r>
    <x v="0"/>
    <x v="0"/>
    <x v="0"/>
    <x v="1"/>
    <x v="0"/>
    <x v="0"/>
    <x v="0"/>
    <x v="2"/>
    <x v="5"/>
    <x v="13"/>
    <x v="0"/>
    <x v="0"/>
    <x v="1"/>
    <x v="0"/>
    <x v="0"/>
    <x v="4"/>
    <x v="58"/>
    <x v="59"/>
    <x v="1"/>
    <x v="15"/>
    <x v="1"/>
    <x v="15"/>
    <x v="18"/>
    <x v="2"/>
    <x v="18"/>
    <x v="197"/>
    <x v="0"/>
  </r>
  <r>
    <x v="0"/>
    <x v="0"/>
    <x v="0"/>
    <x v="1"/>
    <x v="0"/>
    <x v="0"/>
    <x v="0"/>
    <x v="2"/>
    <x v="8"/>
    <x v="10"/>
    <x v="0"/>
    <x v="0"/>
    <x v="1"/>
    <x v="0"/>
    <x v="0"/>
    <x v="3"/>
    <x v="75"/>
    <x v="77"/>
    <x v="1"/>
    <x v="12"/>
    <x v="1"/>
    <x v="12"/>
    <x v="13"/>
    <x v="2"/>
    <x v="13"/>
    <x v="136"/>
    <x v="0"/>
  </r>
  <r>
    <x v="0"/>
    <x v="0"/>
    <x v="0"/>
    <x v="1"/>
    <x v="0"/>
    <x v="0"/>
    <x v="0"/>
    <x v="2"/>
    <x v="10"/>
    <x v="3"/>
    <x v="0"/>
    <x v="0"/>
    <x v="1"/>
    <x v="0"/>
    <x v="0"/>
    <x v="0"/>
    <x v="27"/>
    <x v="28"/>
    <x v="1"/>
    <x v="6"/>
    <x v="1"/>
    <x v="6"/>
    <x v="8"/>
    <x v="2"/>
    <x v="8"/>
    <x v="0"/>
    <x v="0"/>
  </r>
  <r>
    <x v="0"/>
    <x v="0"/>
    <x v="0"/>
    <x v="1"/>
    <x v="0"/>
    <x v="0"/>
    <x v="0"/>
    <x v="2"/>
    <x v="10"/>
    <x v="4"/>
    <x v="0"/>
    <x v="0"/>
    <x v="1"/>
    <x v="0"/>
    <x v="0"/>
    <x v="0"/>
    <x v="172"/>
    <x v="177"/>
    <x v="1"/>
    <x v="5"/>
    <x v="1"/>
    <x v="5"/>
    <x v="6"/>
    <x v="2"/>
    <x v="6"/>
    <x v="138"/>
    <x v="0"/>
  </r>
  <r>
    <x v="0"/>
    <x v="0"/>
    <x v="0"/>
    <x v="1"/>
    <x v="0"/>
    <x v="0"/>
    <x v="0"/>
    <x v="2"/>
    <x v="10"/>
    <x v="6"/>
    <x v="0"/>
    <x v="0"/>
    <x v="1"/>
    <x v="0"/>
    <x v="0"/>
    <x v="0"/>
    <x v="149"/>
    <x v="152"/>
    <x v="1"/>
    <x v="4"/>
    <x v="1"/>
    <x v="4"/>
    <x v="4"/>
    <x v="2"/>
    <x v="4"/>
    <x v="96"/>
    <x v="0"/>
  </r>
  <r>
    <x v="0"/>
    <x v="0"/>
    <x v="0"/>
    <x v="1"/>
    <x v="0"/>
    <x v="0"/>
    <x v="0"/>
    <x v="2"/>
    <x v="10"/>
    <x v="7"/>
    <x v="0"/>
    <x v="0"/>
    <x v="1"/>
    <x v="0"/>
    <x v="0"/>
    <x v="0"/>
    <x v="193"/>
    <x v="200"/>
    <x v="1"/>
    <x v="3"/>
    <x v="1"/>
    <x v="3"/>
    <x v="3"/>
    <x v="2"/>
    <x v="3"/>
    <x v="192"/>
    <x v="0"/>
  </r>
  <r>
    <x v="0"/>
    <x v="0"/>
    <x v="0"/>
    <x v="1"/>
    <x v="0"/>
    <x v="0"/>
    <x v="0"/>
    <x v="2"/>
    <x v="10"/>
    <x v="8"/>
    <x v="0"/>
    <x v="0"/>
    <x v="1"/>
    <x v="0"/>
    <x v="0"/>
    <x v="0"/>
    <x v="156"/>
    <x v="160"/>
    <x v="1"/>
    <x v="2"/>
    <x v="1"/>
    <x v="2"/>
    <x v="2"/>
    <x v="2"/>
    <x v="2"/>
    <x v="107"/>
    <x v="0"/>
  </r>
  <r>
    <x v="0"/>
    <x v="0"/>
    <x v="0"/>
    <x v="1"/>
    <x v="0"/>
    <x v="0"/>
    <x v="0"/>
    <x v="2"/>
    <x v="10"/>
    <x v="9"/>
    <x v="0"/>
    <x v="0"/>
    <x v="1"/>
    <x v="0"/>
    <x v="0"/>
    <x v="0"/>
    <x v="191"/>
    <x v="198"/>
    <x v="1"/>
    <x v="2"/>
    <x v="1"/>
    <x v="2"/>
    <x v="1"/>
    <x v="2"/>
    <x v="1"/>
    <x v="189"/>
    <x v="0"/>
  </r>
  <r>
    <x v="0"/>
    <x v="0"/>
    <x v="0"/>
    <x v="1"/>
    <x v="0"/>
    <x v="0"/>
    <x v="0"/>
    <x v="2"/>
    <x v="13"/>
    <x v="27"/>
    <x v="0"/>
    <x v="0"/>
    <x v="1"/>
    <x v="0"/>
    <x v="0"/>
    <x v="0"/>
    <x v="141"/>
    <x v="144"/>
    <x v="1"/>
    <x v="1"/>
    <x v="1"/>
    <x v="1"/>
    <x v="9"/>
    <x v="2"/>
    <x v="9"/>
    <x v="104"/>
    <x v="0"/>
  </r>
  <r>
    <x v="0"/>
    <x v="0"/>
    <x v="0"/>
    <x v="1"/>
    <x v="0"/>
    <x v="0"/>
    <x v="0"/>
    <x v="2"/>
    <x v="1"/>
    <x v="28"/>
    <x v="0"/>
    <x v="0"/>
    <x v="1"/>
    <x v="0"/>
    <x v="0"/>
    <x v="3"/>
    <x v="56"/>
    <x v="57"/>
    <x v="1"/>
    <x v="9"/>
    <x v="1"/>
    <x v="9"/>
    <x v="0"/>
    <x v="0"/>
    <x v="0"/>
    <x v="41"/>
    <x v="0"/>
  </r>
  <r>
    <x v="0"/>
    <x v="0"/>
    <x v="0"/>
    <x v="1"/>
    <x v="0"/>
    <x v="0"/>
    <x v="0"/>
    <x v="2"/>
    <x v="9"/>
    <x v="11"/>
    <x v="0"/>
    <x v="0"/>
    <x v="1"/>
    <x v="0"/>
    <x v="0"/>
    <x v="4"/>
    <x v="10"/>
    <x v="10"/>
    <x v="1"/>
    <x v="13"/>
    <x v="1"/>
    <x v="13"/>
    <x v="17"/>
    <x v="2"/>
    <x v="17"/>
    <x v="98"/>
    <x v="0"/>
  </r>
  <r>
    <x v="0"/>
    <x v="0"/>
    <x v="0"/>
    <x v="1"/>
    <x v="0"/>
    <x v="0"/>
    <x v="0"/>
    <x v="2"/>
    <x v="14"/>
    <x v="17"/>
    <x v="0"/>
    <x v="0"/>
    <x v="1"/>
    <x v="0"/>
    <x v="0"/>
    <x v="2"/>
    <x v="13"/>
    <x v="13"/>
    <x v="0"/>
    <x v="8"/>
    <x v="1"/>
    <x v="8"/>
    <x v="11"/>
    <x v="2"/>
    <x v="11"/>
    <x v="8"/>
    <x v="0"/>
  </r>
  <r>
    <x v="0"/>
    <x v="0"/>
    <x v="0"/>
    <x v="1"/>
    <x v="0"/>
    <x v="0"/>
    <x v="0"/>
    <x v="2"/>
    <x v="15"/>
    <x v="12"/>
    <x v="0"/>
    <x v="0"/>
    <x v="1"/>
    <x v="0"/>
    <x v="0"/>
    <x v="3"/>
    <x v="5"/>
    <x v="5"/>
    <x v="1"/>
    <x v="9"/>
    <x v="1"/>
    <x v="9"/>
    <x v="14"/>
    <x v="2"/>
    <x v="14"/>
    <x v="5"/>
    <x v="0"/>
  </r>
  <r>
    <x v="0"/>
    <x v="0"/>
    <x v="0"/>
    <x v="1"/>
    <x v="0"/>
    <x v="0"/>
    <x v="0"/>
    <x v="3"/>
    <x v="7"/>
    <x v="24"/>
    <x v="0"/>
    <x v="0"/>
    <x v="1"/>
    <x v="0"/>
    <x v="0"/>
    <x v="4"/>
    <x v="92"/>
    <x v="95"/>
    <x v="1"/>
    <x v="10"/>
    <x v="1"/>
    <x v="10"/>
    <x v="0"/>
    <x v="0"/>
    <x v="0"/>
    <x v="87"/>
    <x v="0"/>
  </r>
  <r>
    <x v="0"/>
    <x v="0"/>
    <x v="0"/>
    <x v="1"/>
    <x v="0"/>
    <x v="0"/>
    <x v="0"/>
    <x v="3"/>
    <x v="7"/>
    <x v="23"/>
    <x v="0"/>
    <x v="0"/>
    <x v="1"/>
    <x v="0"/>
    <x v="0"/>
    <x v="4"/>
    <x v="92"/>
    <x v="95"/>
    <x v="1"/>
    <x v="11"/>
    <x v="1"/>
    <x v="11"/>
    <x v="0"/>
    <x v="0"/>
    <x v="0"/>
    <x v="100"/>
    <x v="0"/>
  </r>
  <r>
    <x v="0"/>
    <x v="0"/>
    <x v="0"/>
    <x v="1"/>
    <x v="0"/>
    <x v="0"/>
    <x v="0"/>
    <x v="3"/>
    <x v="7"/>
    <x v="20"/>
    <x v="0"/>
    <x v="0"/>
    <x v="1"/>
    <x v="0"/>
    <x v="0"/>
    <x v="4"/>
    <x v="84"/>
    <x v="86"/>
    <x v="1"/>
    <x v="11"/>
    <x v="1"/>
    <x v="11"/>
    <x v="0"/>
    <x v="0"/>
    <x v="0"/>
    <x v="89"/>
    <x v="0"/>
  </r>
  <r>
    <x v="0"/>
    <x v="0"/>
    <x v="0"/>
    <x v="1"/>
    <x v="0"/>
    <x v="0"/>
    <x v="0"/>
    <x v="3"/>
    <x v="5"/>
    <x v="13"/>
    <x v="0"/>
    <x v="0"/>
    <x v="1"/>
    <x v="0"/>
    <x v="0"/>
    <x v="4"/>
    <x v="41"/>
    <x v="42"/>
    <x v="1"/>
    <x v="15"/>
    <x v="1"/>
    <x v="15"/>
    <x v="18"/>
    <x v="2"/>
    <x v="18"/>
    <x v="186"/>
    <x v="0"/>
  </r>
  <r>
    <x v="0"/>
    <x v="0"/>
    <x v="0"/>
    <x v="1"/>
    <x v="0"/>
    <x v="0"/>
    <x v="0"/>
    <x v="3"/>
    <x v="8"/>
    <x v="10"/>
    <x v="0"/>
    <x v="0"/>
    <x v="1"/>
    <x v="0"/>
    <x v="0"/>
    <x v="3"/>
    <x v="126"/>
    <x v="129"/>
    <x v="1"/>
    <x v="12"/>
    <x v="1"/>
    <x v="12"/>
    <x v="13"/>
    <x v="2"/>
    <x v="13"/>
    <x v="183"/>
    <x v="0"/>
  </r>
  <r>
    <x v="0"/>
    <x v="0"/>
    <x v="0"/>
    <x v="1"/>
    <x v="0"/>
    <x v="0"/>
    <x v="0"/>
    <x v="3"/>
    <x v="1"/>
    <x v="28"/>
    <x v="0"/>
    <x v="0"/>
    <x v="1"/>
    <x v="0"/>
    <x v="0"/>
    <x v="3"/>
    <x v="42"/>
    <x v="43"/>
    <x v="1"/>
    <x v="9"/>
    <x v="1"/>
    <x v="9"/>
    <x v="0"/>
    <x v="0"/>
    <x v="0"/>
    <x v="12"/>
    <x v="0"/>
  </r>
  <r>
    <x v="0"/>
    <x v="0"/>
    <x v="0"/>
    <x v="1"/>
    <x v="0"/>
    <x v="0"/>
    <x v="0"/>
    <x v="3"/>
    <x v="9"/>
    <x v="11"/>
    <x v="0"/>
    <x v="0"/>
    <x v="1"/>
    <x v="0"/>
    <x v="0"/>
    <x v="4"/>
    <x v="1"/>
    <x v="1"/>
    <x v="1"/>
    <x v="13"/>
    <x v="1"/>
    <x v="13"/>
    <x v="17"/>
    <x v="2"/>
    <x v="17"/>
    <x v="42"/>
    <x v="0"/>
  </r>
  <r>
    <x v="0"/>
    <x v="0"/>
    <x v="0"/>
    <x v="1"/>
    <x v="0"/>
    <x v="0"/>
    <x v="0"/>
    <x v="3"/>
    <x v="6"/>
    <x v="2"/>
    <x v="0"/>
    <x v="0"/>
    <x v="1"/>
    <x v="0"/>
    <x v="0"/>
    <x v="4"/>
    <x v="7"/>
    <x v="7"/>
    <x v="1"/>
    <x v="10"/>
    <x v="1"/>
    <x v="10"/>
    <x v="15"/>
    <x v="2"/>
    <x v="15"/>
    <x v="32"/>
    <x v="0"/>
  </r>
  <r>
    <x v="0"/>
    <x v="0"/>
    <x v="0"/>
    <x v="1"/>
    <x v="0"/>
    <x v="0"/>
    <x v="0"/>
    <x v="3"/>
    <x v="14"/>
    <x v="17"/>
    <x v="0"/>
    <x v="0"/>
    <x v="1"/>
    <x v="0"/>
    <x v="0"/>
    <x v="2"/>
    <x v="39"/>
    <x v="13"/>
    <x v="0"/>
    <x v="8"/>
    <x v="1"/>
    <x v="8"/>
    <x v="11"/>
    <x v="2"/>
    <x v="11"/>
    <x v="47"/>
    <x v="0"/>
  </r>
  <r>
    <x v="0"/>
    <x v="0"/>
    <x v="0"/>
    <x v="1"/>
    <x v="0"/>
    <x v="0"/>
    <x v="0"/>
    <x v="3"/>
    <x v="10"/>
    <x v="4"/>
    <x v="0"/>
    <x v="0"/>
    <x v="1"/>
    <x v="0"/>
    <x v="0"/>
    <x v="0"/>
    <x v="190"/>
    <x v="197"/>
    <x v="1"/>
    <x v="5"/>
    <x v="1"/>
    <x v="5"/>
    <x v="6"/>
    <x v="2"/>
    <x v="6"/>
    <x v="190"/>
    <x v="0"/>
  </r>
  <r>
    <x v="0"/>
    <x v="0"/>
    <x v="0"/>
    <x v="1"/>
    <x v="0"/>
    <x v="0"/>
    <x v="0"/>
    <x v="3"/>
    <x v="13"/>
    <x v="27"/>
    <x v="0"/>
    <x v="0"/>
    <x v="1"/>
    <x v="0"/>
    <x v="0"/>
    <x v="0"/>
    <x v="111"/>
    <x v="114"/>
    <x v="1"/>
    <x v="1"/>
    <x v="1"/>
    <x v="1"/>
    <x v="9"/>
    <x v="2"/>
    <x v="9"/>
    <x v="65"/>
    <x v="0"/>
  </r>
  <r>
    <x v="0"/>
    <x v="0"/>
    <x v="0"/>
    <x v="2"/>
    <x v="0"/>
    <x v="1"/>
    <x v="1"/>
    <x v="4"/>
    <x v="5"/>
    <x v="13"/>
    <x v="0"/>
    <x v="0"/>
    <x v="1"/>
    <x v="0"/>
    <x v="0"/>
    <x v="4"/>
    <x v="30"/>
    <x v="31"/>
    <x v="1"/>
    <x v="15"/>
    <x v="1"/>
    <x v="15"/>
    <x v="18"/>
    <x v="2"/>
    <x v="18"/>
    <x v="166"/>
    <x v="0"/>
  </r>
  <r>
    <x v="0"/>
    <x v="0"/>
    <x v="0"/>
    <x v="2"/>
    <x v="0"/>
    <x v="1"/>
    <x v="1"/>
    <x v="4"/>
    <x v="8"/>
    <x v="10"/>
    <x v="0"/>
    <x v="0"/>
    <x v="1"/>
    <x v="0"/>
    <x v="0"/>
    <x v="3"/>
    <x v="103"/>
    <x v="106"/>
    <x v="1"/>
    <x v="12"/>
    <x v="1"/>
    <x v="12"/>
    <x v="13"/>
    <x v="2"/>
    <x v="13"/>
    <x v="163"/>
    <x v="0"/>
  </r>
  <r>
    <x v="0"/>
    <x v="0"/>
    <x v="0"/>
    <x v="2"/>
    <x v="0"/>
    <x v="1"/>
    <x v="1"/>
    <x v="4"/>
    <x v="10"/>
    <x v="19"/>
    <x v="0"/>
    <x v="0"/>
    <x v="1"/>
    <x v="0"/>
    <x v="0"/>
    <x v="0"/>
    <x v="120"/>
    <x v="123"/>
    <x v="1"/>
    <x v="6"/>
    <x v="1"/>
    <x v="6"/>
    <x v="7"/>
    <x v="2"/>
    <x v="7"/>
    <x v="57"/>
    <x v="0"/>
  </r>
  <r>
    <x v="0"/>
    <x v="0"/>
    <x v="0"/>
    <x v="2"/>
    <x v="0"/>
    <x v="1"/>
    <x v="1"/>
    <x v="4"/>
    <x v="10"/>
    <x v="3"/>
    <x v="0"/>
    <x v="0"/>
    <x v="1"/>
    <x v="0"/>
    <x v="0"/>
    <x v="0"/>
    <x v="143"/>
    <x v="146"/>
    <x v="1"/>
    <x v="6"/>
    <x v="1"/>
    <x v="6"/>
    <x v="8"/>
    <x v="2"/>
    <x v="8"/>
    <x v="91"/>
    <x v="0"/>
  </r>
  <r>
    <x v="0"/>
    <x v="0"/>
    <x v="0"/>
    <x v="2"/>
    <x v="0"/>
    <x v="1"/>
    <x v="1"/>
    <x v="4"/>
    <x v="10"/>
    <x v="4"/>
    <x v="0"/>
    <x v="0"/>
    <x v="1"/>
    <x v="0"/>
    <x v="0"/>
    <x v="0"/>
    <x v="70"/>
    <x v="72"/>
    <x v="1"/>
    <x v="5"/>
    <x v="1"/>
    <x v="5"/>
    <x v="6"/>
    <x v="2"/>
    <x v="6"/>
    <x v="13"/>
    <x v="0"/>
  </r>
  <r>
    <x v="0"/>
    <x v="0"/>
    <x v="0"/>
    <x v="2"/>
    <x v="0"/>
    <x v="1"/>
    <x v="1"/>
    <x v="4"/>
    <x v="10"/>
    <x v="6"/>
    <x v="0"/>
    <x v="0"/>
    <x v="1"/>
    <x v="0"/>
    <x v="0"/>
    <x v="0"/>
    <x v="140"/>
    <x v="143"/>
    <x v="1"/>
    <x v="4"/>
    <x v="1"/>
    <x v="4"/>
    <x v="4"/>
    <x v="2"/>
    <x v="4"/>
    <x v="86"/>
    <x v="0"/>
  </r>
  <r>
    <x v="0"/>
    <x v="0"/>
    <x v="0"/>
    <x v="2"/>
    <x v="0"/>
    <x v="1"/>
    <x v="1"/>
    <x v="4"/>
    <x v="10"/>
    <x v="7"/>
    <x v="0"/>
    <x v="0"/>
    <x v="1"/>
    <x v="0"/>
    <x v="0"/>
    <x v="0"/>
    <x v="183"/>
    <x v="189"/>
    <x v="1"/>
    <x v="3"/>
    <x v="1"/>
    <x v="3"/>
    <x v="3"/>
    <x v="2"/>
    <x v="3"/>
    <x v="172"/>
    <x v="0"/>
  </r>
  <r>
    <x v="0"/>
    <x v="0"/>
    <x v="0"/>
    <x v="2"/>
    <x v="0"/>
    <x v="1"/>
    <x v="1"/>
    <x v="4"/>
    <x v="13"/>
    <x v="27"/>
    <x v="0"/>
    <x v="0"/>
    <x v="1"/>
    <x v="0"/>
    <x v="0"/>
    <x v="0"/>
    <x v="101"/>
    <x v="104"/>
    <x v="1"/>
    <x v="1"/>
    <x v="1"/>
    <x v="1"/>
    <x v="9"/>
    <x v="2"/>
    <x v="9"/>
    <x v="55"/>
    <x v="0"/>
  </r>
  <r>
    <x v="0"/>
    <x v="0"/>
    <x v="0"/>
    <x v="2"/>
    <x v="0"/>
    <x v="1"/>
    <x v="1"/>
    <x v="4"/>
    <x v="9"/>
    <x v="11"/>
    <x v="0"/>
    <x v="0"/>
    <x v="1"/>
    <x v="0"/>
    <x v="0"/>
    <x v="4"/>
    <x v="6"/>
    <x v="6"/>
    <x v="1"/>
    <x v="13"/>
    <x v="1"/>
    <x v="13"/>
    <x v="17"/>
    <x v="2"/>
    <x v="17"/>
    <x v="73"/>
    <x v="0"/>
  </r>
  <r>
    <x v="0"/>
    <x v="0"/>
    <x v="0"/>
    <x v="2"/>
    <x v="0"/>
    <x v="1"/>
    <x v="1"/>
    <x v="4"/>
    <x v="6"/>
    <x v="1"/>
    <x v="0"/>
    <x v="0"/>
    <x v="1"/>
    <x v="0"/>
    <x v="0"/>
    <x v="4"/>
    <x v="9"/>
    <x v="9"/>
    <x v="1"/>
    <x v="10"/>
    <x v="1"/>
    <x v="10"/>
    <x v="15"/>
    <x v="2"/>
    <x v="15"/>
    <x v="45"/>
    <x v="0"/>
  </r>
  <r>
    <x v="0"/>
    <x v="0"/>
    <x v="0"/>
    <x v="2"/>
    <x v="0"/>
    <x v="1"/>
    <x v="1"/>
    <x v="4"/>
    <x v="0"/>
    <x v="0"/>
    <x v="0"/>
    <x v="0"/>
    <x v="1"/>
    <x v="0"/>
    <x v="0"/>
    <x v="3"/>
    <x v="61"/>
    <x v="62"/>
    <x v="1"/>
    <x v="7"/>
    <x v="1"/>
    <x v="7"/>
    <x v="10"/>
    <x v="2"/>
    <x v="10"/>
    <x v="63"/>
    <x v="0"/>
  </r>
  <r>
    <x v="0"/>
    <x v="0"/>
    <x v="0"/>
    <x v="2"/>
    <x v="0"/>
    <x v="1"/>
    <x v="1"/>
    <x v="6"/>
    <x v="5"/>
    <x v="13"/>
    <x v="0"/>
    <x v="0"/>
    <x v="1"/>
    <x v="0"/>
    <x v="0"/>
    <x v="4"/>
    <x v="47"/>
    <x v="48"/>
    <x v="1"/>
    <x v="15"/>
    <x v="1"/>
    <x v="15"/>
    <x v="18"/>
    <x v="2"/>
    <x v="18"/>
    <x v="194"/>
    <x v="0"/>
  </r>
  <r>
    <x v="0"/>
    <x v="0"/>
    <x v="0"/>
    <x v="2"/>
    <x v="0"/>
    <x v="1"/>
    <x v="1"/>
    <x v="6"/>
    <x v="8"/>
    <x v="10"/>
    <x v="0"/>
    <x v="0"/>
    <x v="1"/>
    <x v="0"/>
    <x v="0"/>
    <x v="3"/>
    <x v="14"/>
    <x v="14"/>
    <x v="1"/>
    <x v="12"/>
    <x v="1"/>
    <x v="12"/>
    <x v="13"/>
    <x v="2"/>
    <x v="13"/>
    <x v="30"/>
    <x v="0"/>
  </r>
  <r>
    <x v="0"/>
    <x v="0"/>
    <x v="0"/>
    <x v="2"/>
    <x v="0"/>
    <x v="1"/>
    <x v="1"/>
    <x v="6"/>
    <x v="10"/>
    <x v="3"/>
    <x v="0"/>
    <x v="0"/>
    <x v="1"/>
    <x v="0"/>
    <x v="0"/>
    <x v="0"/>
    <x v="194"/>
    <x v="201"/>
    <x v="1"/>
    <x v="6"/>
    <x v="1"/>
    <x v="6"/>
    <x v="8"/>
    <x v="2"/>
    <x v="8"/>
    <x v="195"/>
    <x v="0"/>
  </r>
  <r>
    <x v="0"/>
    <x v="0"/>
    <x v="0"/>
    <x v="2"/>
    <x v="0"/>
    <x v="1"/>
    <x v="1"/>
    <x v="6"/>
    <x v="10"/>
    <x v="4"/>
    <x v="0"/>
    <x v="0"/>
    <x v="1"/>
    <x v="0"/>
    <x v="0"/>
    <x v="0"/>
    <x v="107"/>
    <x v="110"/>
    <x v="1"/>
    <x v="5"/>
    <x v="1"/>
    <x v="5"/>
    <x v="6"/>
    <x v="2"/>
    <x v="6"/>
    <x v="46"/>
    <x v="0"/>
  </r>
  <r>
    <x v="0"/>
    <x v="0"/>
    <x v="0"/>
    <x v="2"/>
    <x v="0"/>
    <x v="1"/>
    <x v="1"/>
    <x v="6"/>
    <x v="13"/>
    <x v="27"/>
    <x v="0"/>
    <x v="0"/>
    <x v="1"/>
    <x v="0"/>
    <x v="0"/>
    <x v="0"/>
    <x v="122"/>
    <x v="125"/>
    <x v="1"/>
    <x v="1"/>
    <x v="1"/>
    <x v="1"/>
    <x v="9"/>
    <x v="2"/>
    <x v="9"/>
    <x v="76"/>
    <x v="0"/>
  </r>
  <r>
    <x v="0"/>
    <x v="0"/>
    <x v="0"/>
    <x v="2"/>
    <x v="0"/>
    <x v="1"/>
    <x v="1"/>
    <x v="6"/>
    <x v="9"/>
    <x v="11"/>
    <x v="0"/>
    <x v="0"/>
    <x v="1"/>
    <x v="0"/>
    <x v="0"/>
    <x v="4"/>
    <x v="23"/>
    <x v="23"/>
    <x v="1"/>
    <x v="13"/>
    <x v="1"/>
    <x v="13"/>
    <x v="17"/>
    <x v="2"/>
    <x v="17"/>
    <x v="135"/>
    <x v="0"/>
  </r>
  <r>
    <x v="0"/>
    <x v="0"/>
    <x v="0"/>
    <x v="2"/>
    <x v="0"/>
    <x v="1"/>
    <x v="1"/>
    <x v="6"/>
    <x v="6"/>
    <x v="1"/>
    <x v="0"/>
    <x v="0"/>
    <x v="1"/>
    <x v="0"/>
    <x v="0"/>
    <x v="4"/>
    <x v="37"/>
    <x v="39"/>
    <x v="1"/>
    <x v="10"/>
    <x v="1"/>
    <x v="10"/>
    <x v="15"/>
    <x v="2"/>
    <x v="15"/>
    <x v="97"/>
    <x v="0"/>
  </r>
  <r>
    <x v="0"/>
    <x v="0"/>
    <x v="0"/>
    <x v="2"/>
    <x v="0"/>
    <x v="1"/>
    <x v="1"/>
    <x v="6"/>
    <x v="0"/>
    <x v="0"/>
    <x v="0"/>
    <x v="0"/>
    <x v="1"/>
    <x v="0"/>
    <x v="0"/>
    <x v="3"/>
    <x v="125"/>
    <x v="128"/>
    <x v="1"/>
    <x v="7"/>
    <x v="1"/>
    <x v="7"/>
    <x v="10"/>
    <x v="2"/>
    <x v="10"/>
    <x v="128"/>
    <x v="0"/>
  </r>
  <r>
    <x v="0"/>
    <x v="0"/>
    <x v="0"/>
    <x v="2"/>
    <x v="0"/>
    <x v="1"/>
    <x v="1"/>
    <x v="5"/>
    <x v="5"/>
    <x v="13"/>
    <x v="0"/>
    <x v="0"/>
    <x v="1"/>
    <x v="0"/>
    <x v="0"/>
    <x v="4"/>
    <x v="34"/>
    <x v="36"/>
    <x v="1"/>
    <x v="15"/>
    <x v="1"/>
    <x v="15"/>
    <x v="18"/>
    <x v="2"/>
    <x v="18"/>
    <x v="176"/>
    <x v="0"/>
  </r>
  <r>
    <x v="0"/>
    <x v="0"/>
    <x v="0"/>
    <x v="2"/>
    <x v="0"/>
    <x v="1"/>
    <x v="1"/>
    <x v="5"/>
    <x v="8"/>
    <x v="10"/>
    <x v="0"/>
    <x v="0"/>
    <x v="1"/>
    <x v="0"/>
    <x v="0"/>
    <x v="3"/>
    <x v="83"/>
    <x v="85"/>
    <x v="1"/>
    <x v="12"/>
    <x v="1"/>
    <x v="12"/>
    <x v="13"/>
    <x v="2"/>
    <x v="13"/>
    <x v="145"/>
    <x v="0"/>
  </r>
  <r>
    <x v="0"/>
    <x v="0"/>
    <x v="0"/>
    <x v="2"/>
    <x v="0"/>
    <x v="1"/>
    <x v="1"/>
    <x v="5"/>
    <x v="10"/>
    <x v="4"/>
    <x v="0"/>
    <x v="0"/>
    <x v="1"/>
    <x v="0"/>
    <x v="0"/>
    <x v="0"/>
    <x v="178"/>
    <x v="183"/>
    <x v="1"/>
    <x v="5"/>
    <x v="1"/>
    <x v="5"/>
    <x v="6"/>
    <x v="2"/>
    <x v="6"/>
    <x v="150"/>
    <x v="0"/>
  </r>
  <r>
    <x v="0"/>
    <x v="0"/>
    <x v="0"/>
    <x v="2"/>
    <x v="0"/>
    <x v="1"/>
    <x v="1"/>
    <x v="5"/>
    <x v="10"/>
    <x v="8"/>
    <x v="0"/>
    <x v="0"/>
    <x v="1"/>
    <x v="0"/>
    <x v="0"/>
    <x v="0"/>
    <x v="161"/>
    <x v="165"/>
    <x v="1"/>
    <x v="2"/>
    <x v="1"/>
    <x v="2"/>
    <x v="2"/>
    <x v="2"/>
    <x v="2"/>
    <x v="114"/>
    <x v="0"/>
  </r>
  <r>
    <x v="0"/>
    <x v="0"/>
    <x v="0"/>
    <x v="2"/>
    <x v="0"/>
    <x v="1"/>
    <x v="1"/>
    <x v="5"/>
    <x v="10"/>
    <x v="9"/>
    <x v="0"/>
    <x v="0"/>
    <x v="1"/>
    <x v="0"/>
    <x v="0"/>
    <x v="0"/>
    <x v="189"/>
    <x v="196"/>
    <x v="1"/>
    <x v="2"/>
    <x v="1"/>
    <x v="2"/>
    <x v="1"/>
    <x v="2"/>
    <x v="1"/>
    <x v="188"/>
    <x v="0"/>
  </r>
  <r>
    <x v="0"/>
    <x v="0"/>
    <x v="0"/>
    <x v="2"/>
    <x v="0"/>
    <x v="1"/>
    <x v="1"/>
    <x v="5"/>
    <x v="13"/>
    <x v="27"/>
    <x v="0"/>
    <x v="0"/>
    <x v="1"/>
    <x v="0"/>
    <x v="0"/>
    <x v="0"/>
    <x v="130"/>
    <x v="133"/>
    <x v="1"/>
    <x v="1"/>
    <x v="1"/>
    <x v="1"/>
    <x v="9"/>
    <x v="2"/>
    <x v="9"/>
    <x v="81"/>
    <x v="0"/>
  </r>
  <r>
    <x v="0"/>
    <x v="0"/>
    <x v="0"/>
    <x v="2"/>
    <x v="0"/>
    <x v="1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1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1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1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1"/>
    <x v="1"/>
    <x v="8"/>
    <x v="10"/>
    <x v="6"/>
    <x v="0"/>
    <x v="0"/>
    <x v="1"/>
    <x v="0"/>
    <x v="0"/>
    <x v="0"/>
    <x v="155"/>
    <x v="159"/>
    <x v="1"/>
    <x v="4"/>
    <x v="1"/>
    <x v="4"/>
    <x v="4"/>
    <x v="2"/>
    <x v="4"/>
    <x v="110"/>
    <x v="0"/>
  </r>
  <r>
    <x v="0"/>
    <x v="0"/>
    <x v="0"/>
    <x v="2"/>
    <x v="0"/>
    <x v="1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1"/>
    <x v="1"/>
    <x v="8"/>
    <x v="13"/>
    <x v="27"/>
    <x v="0"/>
    <x v="0"/>
    <x v="1"/>
    <x v="0"/>
    <x v="0"/>
    <x v="0"/>
    <x v="64"/>
    <x v="65"/>
    <x v="1"/>
    <x v="1"/>
    <x v="1"/>
    <x v="1"/>
    <x v="9"/>
    <x v="2"/>
    <x v="9"/>
    <x v="23"/>
    <x v="0"/>
  </r>
  <r>
    <x v="0"/>
    <x v="0"/>
    <x v="0"/>
    <x v="2"/>
    <x v="0"/>
    <x v="1"/>
    <x v="1"/>
    <x v="7"/>
    <x v="5"/>
    <x v="13"/>
    <x v="0"/>
    <x v="0"/>
    <x v="0"/>
    <x v="0"/>
    <x v="0"/>
    <x v="4"/>
    <x v="21"/>
    <x v="21"/>
    <x v="1"/>
    <x v="15"/>
    <x v="1"/>
    <x v="15"/>
    <x v="18"/>
    <x v="2"/>
    <x v="18"/>
    <x v="151"/>
    <x v="0"/>
  </r>
  <r>
    <x v="0"/>
    <x v="0"/>
    <x v="0"/>
    <x v="2"/>
    <x v="0"/>
    <x v="1"/>
    <x v="1"/>
    <x v="7"/>
    <x v="8"/>
    <x v="10"/>
    <x v="0"/>
    <x v="0"/>
    <x v="1"/>
    <x v="0"/>
    <x v="0"/>
    <x v="3"/>
    <x v="109"/>
    <x v="112"/>
    <x v="1"/>
    <x v="12"/>
    <x v="1"/>
    <x v="12"/>
    <x v="13"/>
    <x v="2"/>
    <x v="13"/>
    <x v="173"/>
    <x v="0"/>
  </r>
  <r>
    <x v="0"/>
    <x v="0"/>
    <x v="0"/>
    <x v="2"/>
    <x v="0"/>
    <x v="1"/>
    <x v="1"/>
    <x v="7"/>
    <x v="10"/>
    <x v="19"/>
    <x v="0"/>
    <x v="0"/>
    <x v="1"/>
    <x v="0"/>
    <x v="0"/>
    <x v="0"/>
    <x v="82"/>
    <x v="84"/>
    <x v="1"/>
    <x v="6"/>
    <x v="1"/>
    <x v="6"/>
    <x v="7"/>
    <x v="2"/>
    <x v="7"/>
    <x v="25"/>
    <x v="0"/>
  </r>
  <r>
    <x v="0"/>
    <x v="0"/>
    <x v="0"/>
    <x v="2"/>
    <x v="0"/>
    <x v="1"/>
    <x v="1"/>
    <x v="7"/>
    <x v="10"/>
    <x v="3"/>
    <x v="0"/>
    <x v="0"/>
    <x v="1"/>
    <x v="0"/>
    <x v="0"/>
    <x v="0"/>
    <x v="78"/>
    <x v="80"/>
    <x v="1"/>
    <x v="6"/>
    <x v="1"/>
    <x v="6"/>
    <x v="8"/>
    <x v="2"/>
    <x v="8"/>
    <x v="21"/>
    <x v="0"/>
  </r>
  <r>
    <x v="0"/>
    <x v="0"/>
    <x v="0"/>
    <x v="2"/>
    <x v="0"/>
    <x v="1"/>
    <x v="1"/>
    <x v="7"/>
    <x v="10"/>
    <x v="4"/>
    <x v="0"/>
    <x v="0"/>
    <x v="1"/>
    <x v="0"/>
    <x v="0"/>
    <x v="0"/>
    <x v="176"/>
    <x v="181"/>
    <x v="1"/>
    <x v="5"/>
    <x v="1"/>
    <x v="5"/>
    <x v="6"/>
    <x v="2"/>
    <x v="6"/>
    <x v="147"/>
    <x v="0"/>
  </r>
  <r>
    <x v="0"/>
    <x v="0"/>
    <x v="0"/>
    <x v="2"/>
    <x v="0"/>
    <x v="1"/>
    <x v="1"/>
    <x v="7"/>
    <x v="10"/>
    <x v="6"/>
    <x v="0"/>
    <x v="0"/>
    <x v="1"/>
    <x v="0"/>
    <x v="0"/>
    <x v="0"/>
    <x v="123"/>
    <x v="126"/>
    <x v="1"/>
    <x v="4"/>
    <x v="1"/>
    <x v="4"/>
    <x v="4"/>
    <x v="2"/>
    <x v="4"/>
    <x v="59"/>
    <x v="0"/>
  </r>
  <r>
    <x v="0"/>
    <x v="0"/>
    <x v="0"/>
    <x v="2"/>
    <x v="0"/>
    <x v="1"/>
    <x v="1"/>
    <x v="7"/>
    <x v="10"/>
    <x v="7"/>
    <x v="0"/>
    <x v="0"/>
    <x v="1"/>
    <x v="0"/>
    <x v="0"/>
    <x v="0"/>
    <x v="88"/>
    <x v="91"/>
    <x v="1"/>
    <x v="3"/>
    <x v="1"/>
    <x v="3"/>
    <x v="3"/>
    <x v="2"/>
    <x v="3"/>
    <x v="28"/>
    <x v="0"/>
  </r>
  <r>
    <x v="0"/>
    <x v="0"/>
    <x v="0"/>
    <x v="2"/>
    <x v="0"/>
    <x v="1"/>
    <x v="1"/>
    <x v="7"/>
    <x v="13"/>
    <x v="27"/>
    <x v="0"/>
    <x v="0"/>
    <x v="1"/>
    <x v="0"/>
    <x v="0"/>
    <x v="0"/>
    <x v="65"/>
    <x v="66"/>
    <x v="1"/>
    <x v="1"/>
    <x v="1"/>
    <x v="1"/>
    <x v="9"/>
    <x v="2"/>
    <x v="9"/>
    <x v="27"/>
    <x v="0"/>
  </r>
  <r>
    <x v="0"/>
    <x v="0"/>
    <x v="0"/>
    <x v="2"/>
    <x v="0"/>
    <x v="2"/>
    <x v="1"/>
    <x v="4"/>
    <x v="5"/>
    <x v="13"/>
    <x v="0"/>
    <x v="0"/>
    <x v="1"/>
    <x v="0"/>
    <x v="0"/>
    <x v="4"/>
    <x v="26"/>
    <x v="27"/>
    <x v="1"/>
    <x v="15"/>
    <x v="1"/>
    <x v="15"/>
    <x v="18"/>
    <x v="2"/>
    <x v="18"/>
    <x v="158"/>
    <x v="0"/>
  </r>
  <r>
    <x v="0"/>
    <x v="0"/>
    <x v="0"/>
    <x v="2"/>
    <x v="0"/>
    <x v="2"/>
    <x v="1"/>
    <x v="4"/>
    <x v="8"/>
    <x v="10"/>
    <x v="0"/>
    <x v="0"/>
    <x v="1"/>
    <x v="0"/>
    <x v="0"/>
    <x v="3"/>
    <x v="100"/>
    <x v="103"/>
    <x v="1"/>
    <x v="12"/>
    <x v="1"/>
    <x v="12"/>
    <x v="13"/>
    <x v="2"/>
    <x v="13"/>
    <x v="157"/>
    <x v="0"/>
  </r>
  <r>
    <x v="0"/>
    <x v="0"/>
    <x v="0"/>
    <x v="2"/>
    <x v="0"/>
    <x v="2"/>
    <x v="1"/>
    <x v="4"/>
    <x v="10"/>
    <x v="19"/>
    <x v="0"/>
    <x v="0"/>
    <x v="1"/>
    <x v="0"/>
    <x v="0"/>
    <x v="0"/>
    <x v="117"/>
    <x v="120"/>
    <x v="1"/>
    <x v="6"/>
    <x v="1"/>
    <x v="6"/>
    <x v="7"/>
    <x v="2"/>
    <x v="7"/>
    <x v="56"/>
    <x v="0"/>
  </r>
  <r>
    <x v="0"/>
    <x v="0"/>
    <x v="0"/>
    <x v="2"/>
    <x v="0"/>
    <x v="2"/>
    <x v="1"/>
    <x v="4"/>
    <x v="10"/>
    <x v="3"/>
    <x v="0"/>
    <x v="0"/>
    <x v="1"/>
    <x v="0"/>
    <x v="0"/>
    <x v="0"/>
    <x v="164"/>
    <x v="168"/>
    <x v="1"/>
    <x v="6"/>
    <x v="1"/>
    <x v="6"/>
    <x v="8"/>
    <x v="2"/>
    <x v="8"/>
    <x v="125"/>
    <x v="0"/>
  </r>
  <r>
    <x v="0"/>
    <x v="0"/>
    <x v="0"/>
    <x v="2"/>
    <x v="0"/>
    <x v="2"/>
    <x v="1"/>
    <x v="4"/>
    <x v="10"/>
    <x v="4"/>
    <x v="0"/>
    <x v="0"/>
    <x v="1"/>
    <x v="0"/>
    <x v="0"/>
    <x v="0"/>
    <x v="91"/>
    <x v="94"/>
    <x v="1"/>
    <x v="5"/>
    <x v="1"/>
    <x v="5"/>
    <x v="6"/>
    <x v="2"/>
    <x v="6"/>
    <x v="35"/>
    <x v="0"/>
  </r>
  <r>
    <x v="0"/>
    <x v="0"/>
    <x v="0"/>
    <x v="2"/>
    <x v="0"/>
    <x v="2"/>
    <x v="1"/>
    <x v="4"/>
    <x v="10"/>
    <x v="6"/>
    <x v="0"/>
    <x v="0"/>
    <x v="1"/>
    <x v="0"/>
    <x v="0"/>
    <x v="0"/>
    <x v="154"/>
    <x v="157"/>
    <x v="1"/>
    <x v="4"/>
    <x v="1"/>
    <x v="4"/>
    <x v="4"/>
    <x v="2"/>
    <x v="4"/>
    <x v="105"/>
    <x v="0"/>
  </r>
  <r>
    <x v="0"/>
    <x v="0"/>
    <x v="0"/>
    <x v="2"/>
    <x v="0"/>
    <x v="2"/>
    <x v="1"/>
    <x v="4"/>
    <x v="10"/>
    <x v="7"/>
    <x v="0"/>
    <x v="0"/>
    <x v="1"/>
    <x v="0"/>
    <x v="0"/>
    <x v="0"/>
    <x v="163"/>
    <x v="167"/>
    <x v="1"/>
    <x v="3"/>
    <x v="1"/>
    <x v="3"/>
    <x v="3"/>
    <x v="2"/>
    <x v="3"/>
    <x v="116"/>
    <x v="0"/>
  </r>
  <r>
    <x v="0"/>
    <x v="0"/>
    <x v="0"/>
    <x v="2"/>
    <x v="0"/>
    <x v="2"/>
    <x v="1"/>
    <x v="4"/>
    <x v="10"/>
    <x v="8"/>
    <x v="0"/>
    <x v="0"/>
    <x v="1"/>
    <x v="0"/>
    <x v="0"/>
    <x v="0"/>
    <x v="182"/>
    <x v="188"/>
    <x v="1"/>
    <x v="2"/>
    <x v="1"/>
    <x v="2"/>
    <x v="2"/>
    <x v="2"/>
    <x v="2"/>
    <x v="161"/>
    <x v="0"/>
  </r>
  <r>
    <x v="0"/>
    <x v="0"/>
    <x v="0"/>
    <x v="2"/>
    <x v="0"/>
    <x v="2"/>
    <x v="1"/>
    <x v="4"/>
    <x v="13"/>
    <x v="27"/>
    <x v="0"/>
    <x v="0"/>
    <x v="1"/>
    <x v="0"/>
    <x v="0"/>
    <x v="0"/>
    <x v="113"/>
    <x v="116"/>
    <x v="1"/>
    <x v="1"/>
    <x v="1"/>
    <x v="1"/>
    <x v="9"/>
    <x v="2"/>
    <x v="9"/>
    <x v="66"/>
    <x v="0"/>
  </r>
  <r>
    <x v="0"/>
    <x v="0"/>
    <x v="0"/>
    <x v="2"/>
    <x v="0"/>
    <x v="2"/>
    <x v="1"/>
    <x v="6"/>
    <x v="5"/>
    <x v="13"/>
    <x v="0"/>
    <x v="0"/>
    <x v="1"/>
    <x v="0"/>
    <x v="0"/>
    <x v="4"/>
    <x v="38"/>
    <x v="40"/>
    <x v="1"/>
    <x v="15"/>
    <x v="1"/>
    <x v="15"/>
    <x v="18"/>
    <x v="2"/>
    <x v="18"/>
    <x v="181"/>
    <x v="0"/>
  </r>
  <r>
    <x v="0"/>
    <x v="0"/>
    <x v="0"/>
    <x v="2"/>
    <x v="0"/>
    <x v="2"/>
    <x v="1"/>
    <x v="6"/>
    <x v="8"/>
    <x v="10"/>
    <x v="0"/>
    <x v="0"/>
    <x v="1"/>
    <x v="0"/>
    <x v="0"/>
    <x v="3"/>
    <x v="105"/>
    <x v="108"/>
    <x v="1"/>
    <x v="12"/>
    <x v="1"/>
    <x v="12"/>
    <x v="13"/>
    <x v="2"/>
    <x v="13"/>
    <x v="167"/>
    <x v="0"/>
  </r>
  <r>
    <x v="0"/>
    <x v="0"/>
    <x v="0"/>
    <x v="2"/>
    <x v="0"/>
    <x v="2"/>
    <x v="1"/>
    <x v="6"/>
    <x v="10"/>
    <x v="3"/>
    <x v="0"/>
    <x v="0"/>
    <x v="1"/>
    <x v="0"/>
    <x v="0"/>
    <x v="0"/>
    <x v="186"/>
    <x v="193"/>
    <x v="1"/>
    <x v="6"/>
    <x v="1"/>
    <x v="6"/>
    <x v="8"/>
    <x v="2"/>
    <x v="8"/>
    <x v="185"/>
    <x v="0"/>
  </r>
  <r>
    <x v="0"/>
    <x v="0"/>
    <x v="0"/>
    <x v="2"/>
    <x v="0"/>
    <x v="2"/>
    <x v="1"/>
    <x v="6"/>
    <x v="10"/>
    <x v="4"/>
    <x v="0"/>
    <x v="0"/>
    <x v="1"/>
    <x v="0"/>
    <x v="0"/>
    <x v="0"/>
    <x v="107"/>
    <x v="110"/>
    <x v="1"/>
    <x v="5"/>
    <x v="1"/>
    <x v="5"/>
    <x v="6"/>
    <x v="2"/>
    <x v="6"/>
    <x v="46"/>
    <x v="0"/>
  </r>
  <r>
    <x v="0"/>
    <x v="0"/>
    <x v="0"/>
    <x v="2"/>
    <x v="0"/>
    <x v="2"/>
    <x v="1"/>
    <x v="6"/>
    <x v="13"/>
    <x v="27"/>
    <x v="0"/>
    <x v="0"/>
    <x v="1"/>
    <x v="0"/>
    <x v="0"/>
    <x v="0"/>
    <x v="96"/>
    <x v="99"/>
    <x v="1"/>
    <x v="1"/>
    <x v="1"/>
    <x v="1"/>
    <x v="9"/>
    <x v="2"/>
    <x v="9"/>
    <x v="51"/>
    <x v="0"/>
  </r>
  <r>
    <x v="0"/>
    <x v="0"/>
    <x v="0"/>
    <x v="2"/>
    <x v="0"/>
    <x v="2"/>
    <x v="1"/>
    <x v="5"/>
    <x v="5"/>
    <x v="13"/>
    <x v="0"/>
    <x v="0"/>
    <x v="1"/>
    <x v="0"/>
    <x v="0"/>
    <x v="4"/>
    <x v="32"/>
    <x v="33"/>
    <x v="1"/>
    <x v="15"/>
    <x v="1"/>
    <x v="15"/>
    <x v="18"/>
    <x v="2"/>
    <x v="18"/>
    <x v="169"/>
    <x v="0"/>
  </r>
  <r>
    <x v="0"/>
    <x v="0"/>
    <x v="0"/>
    <x v="2"/>
    <x v="0"/>
    <x v="2"/>
    <x v="1"/>
    <x v="5"/>
    <x v="8"/>
    <x v="10"/>
    <x v="0"/>
    <x v="0"/>
    <x v="1"/>
    <x v="0"/>
    <x v="0"/>
    <x v="3"/>
    <x v="73"/>
    <x v="75"/>
    <x v="1"/>
    <x v="12"/>
    <x v="1"/>
    <x v="12"/>
    <x v="13"/>
    <x v="2"/>
    <x v="13"/>
    <x v="131"/>
    <x v="0"/>
  </r>
  <r>
    <x v="0"/>
    <x v="0"/>
    <x v="0"/>
    <x v="2"/>
    <x v="0"/>
    <x v="2"/>
    <x v="1"/>
    <x v="5"/>
    <x v="10"/>
    <x v="4"/>
    <x v="0"/>
    <x v="0"/>
    <x v="1"/>
    <x v="0"/>
    <x v="0"/>
    <x v="0"/>
    <x v="171"/>
    <x v="176"/>
    <x v="1"/>
    <x v="5"/>
    <x v="1"/>
    <x v="5"/>
    <x v="6"/>
    <x v="2"/>
    <x v="6"/>
    <x v="137"/>
    <x v="0"/>
  </r>
  <r>
    <x v="0"/>
    <x v="0"/>
    <x v="0"/>
    <x v="2"/>
    <x v="0"/>
    <x v="2"/>
    <x v="1"/>
    <x v="5"/>
    <x v="10"/>
    <x v="8"/>
    <x v="0"/>
    <x v="0"/>
    <x v="1"/>
    <x v="0"/>
    <x v="0"/>
    <x v="0"/>
    <x v="157"/>
    <x v="161"/>
    <x v="1"/>
    <x v="2"/>
    <x v="1"/>
    <x v="2"/>
    <x v="2"/>
    <x v="2"/>
    <x v="2"/>
    <x v="108"/>
    <x v="0"/>
  </r>
  <r>
    <x v="0"/>
    <x v="0"/>
    <x v="0"/>
    <x v="2"/>
    <x v="0"/>
    <x v="2"/>
    <x v="1"/>
    <x v="5"/>
    <x v="10"/>
    <x v="9"/>
    <x v="0"/>
    <x v="0"/>
    <x v="1"/>
    <x v="0"/>
    <x v="0"/>
    <x v="0"/>
    <x v="188"/>
    <x v="195"/>
    <x v="1"/>
    <x v="2"/>
    <x v="1"/>
    <x v="2"/>
    <x v="1"/>
    <x v="2"/>
    <x v="1"/>
    <x v="187"/>
    <x v="0"/>
  </r>
  <r>
    <x v="0"/>
    <x v="0"/>
    <x v="0"/>
    <x v="2"/>
    <x v="0"/>
    <x v="2"/>
    <x v="1"/>
    <x v="5"/>
    <x v="13"/>
    <x v="27"/>
    <x v="0"/>
    <x v="0"/>
    <x v="1"/>
    <x v="0"/>
    <x v="0"/>
    <x v="0"/>
    <x v="124"/>
    <x v="127"/>
    <x v="1"/>
    <x v="1"/>
    <x v="1"/>
    <x v="1"/>
    <x v="9"/>
    <x v="2"/>
    <x v="9"/>
    <x v="78"/>
    <x v="0"/>
  </r>
  <r>
    <x v="0"/>
    <x v="0"/>
    <x v="0"/>
    <x v="2"/>
    <x v="0"/>
    <x v="2"/>
    <x v="1"/>
    <x v="8"/>
    <x v="5"/>
    <x v="13"/>
    <x v="0"/>
    <x v="0"/>
    <x v="1"/>
    <x v="0"/>
    <x v="0"/>
    <x v="4"/>
    <x v="16"/>
    <x v="16"/>
    <x v="1"/>
    <x v="15"/>
    <x v="1"/>
    <x v="15"/>
    <x v="18"/>
    <x v="2"/>
    <x v="18"/>
    <x v="133"/>
    <x v="0"/>
  </r>
  <r>
    <x v="0"/>
    <x v="0"/>
    <x v="0"/>
    <x v="2"/>
    <x v="0"/>
    <x v="2"/>
    <x v="1"/>
    <x v="8"/>
    <x v="8"/>
    <x v="10"/>
    <x v="0"/>
    <x v="0"/>
    <x v="1"/>
    <x v="0"/>
    <x v="0"/>
    <x v="3"/>
    <x v="51"/>
    <x v="52"/>
    <x v="1"/>
    <x v="12"/>
    <x v="1"/>
    <x v="12"/>
    <x v="13"/>
    <x v="2"/>
    <x v="13"/>
    <x v="109"/>
    <x v="0"/>
  </r>
  <r>
    <x v="0"/>
    <x v="0"/>
    <x v="0"/>
    <x v="2"/>
    <x v="0"/>
    <x v="2"/>
    <x v="1"/>
    <x v="8"/>
    <x v="10"/>
    <x v="3"/>
    <x v="0"/>
    <x v="0"/>
    <x v="1"/>
    <x v="0"/>
    <x v="0"/>
    <x v="0"/>
    <x v="79"/>
    <x v="81"/>
    <x v="1"/>
    <x v="6"/>
    <x v="1"/>
    <x v="6"/>
    <x v="8"/>
    <x v="2"/>
    <x v="8"/>
    <x v="22"/>
    <x v="0"/>
  </r>
  <r>
    <x v="0"/>
    <x v="0"/>
    <x v="0"/>
    <x v="2"/>
    <x v="0"/>
    <x v="2"/>
    <x v="1"/>
    <x v="8"/>
    <x v="10"/>
    <x v="4"/>
    <x v="0"/>
    <x v="0"/>
    <x v="1"/>
    <x v="0"/>
    <x v="0"/>
    <x v="0"/>
    <x v="138"/>
    <x v="141"/>
    <x v="1"/>
    <x v="5"/>
    <x v="1"/>
    <x v="5"/>
    <x v="6"/>
    <x v="2"/>
    <x v="6"/>
    <x v="84"/>
    <x v="0"/>
  </r>
  <r>
    <x v="0"/>
    <x v="0"/>
    <x v="0"/>
    <x v="2"/>
    <x v="0"/>
    <x v="2"/>
    <x v="1"/>
    <x v="8"/>
    <x v="10"/>
    <x v="6"/>
    <x v="0"/>
    <x v="0"/>
    <x v="1"/>
    <x v="0"/>
    <x v="0"/>
    <x v="0"/>
    <x v="152"/>
    <x v="155"/>
    <x v="1"/>
    <x v="4"/>
    <x v="1"/>
    <x v="4"/>
    <x v="4"/>
    <x v="2"/>
    <x v="4"/>
    <x v="101"/>
    <x v="0"/>
  </r>
  <r>
    <x v="0"/>
    <x v="0"/>
    <x v="0"/>
    <x v="2"/>
    <x v="0"/>
    <x v="2"/>
    <x v="1"/>
    <x v="8"/>
    <x v="10"/>
    <x v="7"/>
    <x v="0"/>
    <x v="0"/>
    <x v="1"/>
    <x v="0"/>
    <x v="0"/>
    <x v="0"/>
    <x v="135"/>
    <x v="138"/>
    <x v="1"/>
    <x v="3"/>
    <x v="1"/>
    <x v="3"/>
    <x v="3"/>
    <x v="2"/>
    <x v="3"/>
    <x v="72"/>
    <x v="0"/>
  </r>
  <r>
    <x v="0"/>
    <x v="0"/>
    <x v="0"/>
    <x v="2"/>
    <x v="0"/>
    <x v="2"/>
    <x v="1"/>
    <x v="8"/>
    <x v="13"/>
    <x v="27"/>
    <x v="0"/>
    <x v="0"/>
    <x v="1"/>
    <x v="0"/>
    <x v="0"/>
    <x v="0"/>
    <x v="57"/>
    <x v="58"/>
    <x v="1"/>
    <x v="1"/>
    <x v="1"/>
    <x v="1"/>
    <x v="9"/>
    <x v="2"/>
    <x v="9"/>
    <x v="18"/>
    <x v="0"/>
  </r>
  <r>
    <x v="0"/>
    <x v="0"/>
    <x v="0"/>
    <x v="2"/>
    <x v="0"/>
    <x v="2"/>
    <x v="1"/>
    <x v="7"/>
    <x v="5"/>
    <x v="13"/>
    <x v="0"/>
    <x v="0"/>
    <x v="1"/>
    <x v="0"/>
    <x v="0"/>
    <x v="4"/>
    <x v="17"/>
    <x v="17"/>
    <x v="1"/>
    <x v="15"/>
    <x v="1"/>
    <x v="15"/>
    <x v="18"/>
    <x v="2"/>
    <x v="18"/>
    <x v="142"/>
    <x v="0"/>
  </r>
  <r>
    <x v="0"/>
    <x v="0"/>
    <x v="0"/>
    <x v="2"/>
    <x v="0"/>
    <x v="2"/>
    <x v="1"/>
    <x v="7"/>
    <x v="8"/>
    <x v="10"/>
    <x v="0"/>
    <x v="0"/>
    <x v="1"/>
    <x v="0"/>
    <x v="0"/>
    <x v="3"/>
    <x v="102"/>
    <x v="105"/>
    <x v="1"/>
    <x v="12"/>
    <x v="1"/>
    <x v="12"/>
    <x v="13"/>
    <x v="2"/>
    <x v="13"/>
    <x v="160"/>
    <x v="0"/>
  </r>
  <r>
    <x v="0"/>
    <x v="0"/>
    <x v="0"/>
    <x v="2"/>
    <x v="0"/>
    <x v="2"/>
    <x v="1"/>
    <x v="7"/>
    <x v="10"/>
    <x v="19"/>
    <x v="0"/>
    <x v="0"/>
    <x v="1"/>
    <x v="0"/>
    <x v="0"/>
    <x v="0"/>
    <x v="72"/>
    <x v="74"/>
    <x v="1"/>
    <x v="6"/>
    <x v="1"/>
    <x v="6"/>
    <x v="7"/>
    <x v="2"/>
    <x v="7"/>
    <x v="17"/>
    <x v="0"/>
  </r>
  <r>
    <x v="0"/>
    <x v="0"/>
    <x v="0"/>
    <x v="2"/>
    <x v="0"/>
    <x v="2"/>
    <x v="1"/>
    <x v="7"/>
    <x v="10"/>
    <x v="3"/>
    <x v="0"/>
    <x v="0"/>
    <x v="1"/>
    <x v="0"/>
    <x v="0"/>
    <x v="0"/>
    <x v="69"/>
    <x v="71"/>
    <x v="1"/>
    <x v="6"/>
    <x v="1"/>
    <x v="6"/>
    <x v="8"/>
    <x v="2"/>
    <x v="8"/>
    <x v="14"/>
    <x v="0"/>
  </r>
  <r>
    <x v="0"/>
    <x v="0"/>
    <x v="0"/>
    <x v="2"/>
    <x v="0"/>
    <x v="2"/>
    <x v="1"/>
    <x v="7"/>
    <x v="10"/>
    <x v="4"/>
    <x v="0"/>
    <x v="0"/>
    <x v="1"/>
    <x v="0"/>
    <x v="0"/>
    <x v="0"/>
    <x v="169"/>
    <x v="174"/>
    <x v="1"/>
    <x v="5"/>
    <x v="1"/>
    <x v="5"/>
    <x v="6"/>
    <x v="2"/>
    <x v="6"/>
    <x v="130"/>
    <x v="0"/>
  </r>
  <r>
    <x v="0"/>
    <x v="0"/>
    <x v="0"/>
    <x v="2"/>
    <x v="0"/>
    <x v="2"/>
    <x v="1"/>
    <x v="7"/>
    <x v="10"/>
    <x v="6"/>
    <x v="0"/>
    <x v="0"/>
    <x v="1"/>
    <x v="0"/>
    <x v="0"/>
    <x v="0"/>
    <x v="116"/>
    <x v="119"/>
    <x v="1"/>
    <x v="4"/>
    <x v="1"/>
    <x v="4"/>
    <x v="4"/>
    <x v="2"/>
    <x v="4"/>
    <x v="50"/>
    <x v="0"/>
  </r>
  <r>
    <x v="0"/>
    <x v="0"/>
    <x v="0"/>
    <x v="2"/>
    <x v="0"/>
    <x v="2"/>
    <x v="1"/>
    <x v="7"/>
    <x v="10"/>
    <x v="7"/>
    <x v="0"/>
    <x v="0"/>
    <x v="1"/>
    <x v="0"/>
    <x v="0"/>
    <x v="0"/>
    <x v="80"/>
    <x v="82"/>
    <x v="1"/>
    <x v="3"/>
    <x v="1"/>
    <x v="3"/>
    <x v="3"/>
    <x v="2"/>
    <x v="3"/>
    <x v="20"/>
    <x v="0"/>
  </r>
  <r>
    <x v="0"/>
    <x v="0"/>
    <x v="0"/>
    <x v="2"/>
    <x v="0"/>
    <x v="2"/>
    <x v="1"/>
    <x v="7"/>
    <x v="13"/>
    <x v="27"/>
    <x v="0"/>
    <x v="0"/>
    <x v="1"/>
    <x v="0"/>
    <x v="0"/>
    <x v="0"/>
    <x v="59"/>
    <x v="60"/>
    <x v="1"/>
    <x v="1"/>
    <x v="1"/>
    <x v="1"/>
    <x v="9"/>
    <x v="2"/>
    <x v="9"/>
    <x v="19"/>
    <x v="0"/>
  </r>
  <r>
    <x v="0"/>
    <x v="0"/>
    <x v="0"/>
    <x v="2"/>
    <x v="0"/>
    <x v="3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3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3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3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3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3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3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3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3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3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3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3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3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3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3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3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3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3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3"/>
    <x v="1"/>
    <x v="8"/>
    <x v="10"/>
    <x v="6"/>
    <x v="0"/>
    <x v="0"/>
    <x v="1"/>
    <x v="0"/>
    <x v="0"/>
    <x v="0"/>
    <x v="155"/>
    <x v="159"/>
    <x v="1"/>
    <x v="4"/>
    <x v="1"/>
    <x v="4"/>
    <x v="4"/>
    <x v="2"/>
    <x v="4"/>
    <x v="110"/>
    <x v="0"/>
  </r>
  <r>
    <x v="0"/>
    <x v="0"/>
    <x v="0"/>
    <x v="2"/>
    <x v="0"/>
    <x v="3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3"/>
    <x v="1"/>
    <x v="8"/>
    <x v="13"/>
    <x v="27"/>
    <x v="0"/>
    <x v="0"/>
    <x v="1"/>
    <x v="0"/>
    <x v="0"/>
    <x v="0"/>
    <x v="64"/>
    <x v="65"/>
    <x v="1"/>
    <x v="1"/>
    <x v="1"/>
    <x v="1"/>
    <x v="9"/>
    <x v="2"/>
    <x v="9"/>
    <x v="23"/>
    <x v="0"/>
  </r>
  <r>
    <x v="0"/>
    <x v="0"/>
    <x v="0"/>
    <x v="2"/>
    <x v="0"/>
    <x v="3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3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3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3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3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3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3"/>
    <x v="1"/>
    <x v="5"/>
    <x v="5"/>
    <x v="13"/>
    <x v="0"/>
    <x v="0"/>
    <x v="1"/>
    <x v="0"/>
    <x v="0"/>
    <x v="4"/>
    <x v="34"/>
    <x v="36"/>
    <x v="1"/>
    <x v="15"/>
    <x v="1"/>
    <x v="15"/>
    <x v="18"/>
    <x v="2"/>
    <x v="18"/>
    <x v="176"/>
    <x v="0"/>
  </r>
  <r>
    <x v="0"/>
    <x v="0"/>
    <x v="0"/>
    <x v="2"/>
    <x v="0"/>
    <x v="3"/>
    <x v="1"/>
    <x v="5"/>
    <x v="8"/>
    <x v="10"/>
    <x v="0"/>
    <x v="0"/>
    <x v="1"/>
    <x v="0"/>
    <x v="0"/>
    <x v="3"/>
    <x v="83"/>
    <x v="85"/>
    <x v="1"/>
    <x v="12"/>
    <x v="1"/>
    <x v="12"/>
    <x v="13"/>
    <x v="2"/>
    <x v="13"/>
    <x v="145"/>
    <x v="0"/>
  </r>
  <r>
    <x v="0"/>
    <x v="0"/>
    <x v="0"/>
    <x v="2"/>
    <x v="0"/>
    <x v="3"/>
    <x v="1"/>
    <x v="5"/>
    <x v="10"/>
    <x v="4"/>
    <x v="0"/>
    <x v="0"/>
    <x v="1"/>
    <x v="0"/>
    <x v="0"/>
    <x v="0"/>
    <x v="178"/>
    <x v="183"/>
    <x v="1"/>
    <x v="5"/>
    <x v="1"/>
    <x v="5"/>
    <x v="6"/>
    <x v="2"/>
    <x v="6"/>
    <x v="150"/>
    <x v="0"/>
  </r>
  <r>
    <x v="0"/>
    <x v="0"/>
    <x v="0"/>
    <x v="2"/>
    <x v="0"/>
    <x v="3"/>
    <x v="1"/>
    <x v="5"/>
    <x v="10"/>
    <x v="8"/>
    <x v="0"/>
    <x v="0"/>
    <x v="1"/>
    <x v="0"/>
    <x v="0"/>
    <x v="0"/>
    <x v="161"/>
    <x v="165"/>
    <x v="1"/>
    <x v="2"/>
    <x v="1"/>
    <x v="2"/>
    <x v="2"/>
    <x v="2"/>
    <x v="2"/>
    <x v="114"/>
    <x v="0"/>
  </r>
  <r>
    <x v="0"/>
    <x v="0"/>
    <x v="0"/>
    <x v="2"/>
    <x v="0"/>
    <x v="3"/>
    <x v="1"/>
    <x v="5"/>
    <x v="10"/>
    <x v="9"/>
    <x v="0"/>
    <x v="0"/>
    <x v="1"/>
    <x v="0"/>
    <x v="0"/>
    <x v="0"/>
    <x v="189"/>
    <x v="196"/>
    <x v="1"/>
    <x v="2"/>
    <x v="1"/>
    <x v="2"/>
    <x v="1"/>
    <x v="2"/>
    <x v="1"/>
    <x v="188"/>
    <x v="0"/>
  </r>
  <r>
    <x v="0"/>
    <x v="0"/>
    <x v="0"/>
    <x v="2"/>
    <x v="0"/>
    <x v="3"/>
    <x v="1"/>
    <x v="5"/>
    <x v="13"/>
    <x v="27"/>
    <x v="0"/>
    <x v="0"/>
    <x v="1"/>
    <x v="0"/>
    <x v="0"/>
    <x v="0"/>
    <x v="130"/>
    <x v="133"/>
    <x v="1"/>
    <x v="1"/>
    <x v="1"/>
    <x v="1"/>
    <x v="9"/>
    <x v="2"/>
    <x v="9"/>
    <x v="81"/>
    <x v="0"/>
  </r>
  <r>
    <x v="0"/>
    <x v="0"/>
    <x v="0"/>
    <x v="2"/>
    <x v="0"/>
    <x v="4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4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4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4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4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4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4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4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4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4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4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4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4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4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4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4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4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4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4"/>
    <x v="1"/>
    <x v="8"/>
    <x v="10"/>
    <x v="6"/>
    <x v="0"/>
    <x v="0"/>
    <x v="1"/>
    <x v="0"/>
    <x v="0"/>
    <x v="0"/>
    <x v="155"/>
    <x v="159"/>
    <x v="1"/>
    <x v="4"/>
    <x v="1"/>
    <x v="4"/>
    <x v="4"/>
    <x v="2"/>
    <x v="4"/>
    <x v="110"/>
    <x v="0"/>
  </r>
  <r>
    <x v="0"/>
    <x v="0"/>
    <x v="0"/>
    <x v="2"/>
    <x v="0"/>
    <x v="4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4"/>
    <x v="1"/>
    <x v="8"/>
    <x v="13"/>
    <x v="27"/>
    <x v="0"/>
    <x v="0"/>
    <x v="1"/>
    <x v="0"/>
    <x v="0"/>
    <x v="0"/>
    <x v="64"/>
    <x v="65"/>
    <x v="1"/>
    <x v="1"/>
    <x v="1"/>
    <x v="1"/>
    <x v="9"/>
    <x v="2"/>
    <x v="9"/>
    <x v="23"/>
    <x v="0"/>
  </r>
  <r>
    <x v="0"/>
    <x v="0"/>
    <x v="0"/>
    <x v="2"/>
    <x v="0"/>
    <x v="4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4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4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4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4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4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4"/>
    <x v="1"/>
    <x v="5"/>
    <x v="5"/>
    <x v="13"/>
    <x v="0"/>
    <x v="0"/>
    <x v="1"/>
    <x v="0"/>
    <x v="0"/>
    <x v="4"/>
    <x v="34"/>
    <x v="36"/>
    <x v="1"/>
    <x v="15"/>
    <x v="1"/>
    <x v="15"/>
    <x v="18"/>
    <x v="2"/>
    <x v="18"/>
    <x v="176"/>
    <x v="0"/>
  </r>
  <r>
    <x v="0"/>
    <x v="0"/>
    <x v="0"/>
    <x v="2"/>
    <x v="0"/>
    <x v="4"/>
    <x v="1"/>
    <x v="5"/>
    <x v="8"/>
    <x v="10"/>
    <x v="0"/>
    <x v="0"/>
    <x v="1"/>
    <x v="0"/>
    <x v="0"/>
    <x v="3"/>
    <x v="83"/>
    <x v="85"/>
    <x v="1"/>
    <x v="12"/>
    <x v="1"/>
    <x v="12"/>
    <x v="13"/>
    <x v="2"/>
    <x v="13"/>
    <x v="145"/>
    <x v="0"/>
  </r>
  <r>
    <x v="0"/>
    <x v="0"/>
    <x v="0"/>
    <x v="2"/>
    <x v="0"/>
    <x v="4"/>
    <x v="1"/>
    <x v="5"/>
    <x v="10"/>
    <x v="4"/>
    <x v="0"/>
    <x v="0"/>
    <x v="1"/>
    <x v="0"/>
    <x v="0"/>
    <x v="0"/>
    <x v="178"/>
    <x v="183"/>
    <x v="1"/>
    <x v="5"/>
    <x v="1"/>
    <x v="5"/>
    <x v="6"/>
    <x v="2"/>
    <x v="6"/>
    <x v="150"/>
    <x v="0"/>
  </r>
  <r>
    <x v="0"/>
    <x v="0"/>
    <x v="0"/>
    <x v="2"/>
    <x v="0"/>
    <x v="4"/>
    <x v="1"/>
    <x v="5"/>
    <x v="10"/>
    <x v="8"/>
    <x v="0"/>
    <x v="0"/>
    <x v="1"/>
    <x v="0"/>
    <x v="0"/>
    <x v="0"/>
    <x v="161"/>
    <x v="165"/>
    <x v="1"/>
    <x v="2"/>
    <x v="1"/>
    <x v="2"/>
    <x v="2"/>
    <x v="2"/>
    <x v="2"/>
    <x v="114"/>
    <x v="0"/>
  </r>
  <r>
    <x v="0"/>
    <x v="0"/>
    <x v="0"/>
    <x v="2"/>
    <x v="0"/>
    <x v="4"/>
    <x v="1"/>
    <x v="5"/>
    <x v="10"/>
    <x v="9"/>
    <x v="0"/>
    <x v="0"/>
    <x v="1"/>
    <x v="0"/>
    <x v="0"/>
    <x v="0"/>
    <x v="189"/>
    <x v="196"/>
    <x v="1"/>
    <x v="2"/>
    <x v="1"/>
    <x v="2"/>
    <x v="1"/>
    <x v="2"/>
    <x v="1"/>
    <x v="188"/>
    <x v="0"/>
  </r>
  <r>
    <x v="0"/>
    <x v="0"/>
    <x v="0"/>
    <x v="2"/>
    <x v="0"/>
    <x v="4"/>
    <x v="1"/>
    <x v="5"/>
    <x v="13"/>
    <x v="27"/>
    <x v="0"/>
    <x v="0"/>
    <x v="1"/>
    <x v="0"/>
    <x v="0"/>
    <x v="0"/>
    <x v="130"/>
    <x v="133"/>
    <x v="1"/>
    <x v="1"/>
    <x v="1"/>
    <x v="1"/>
    <x v="9"/>
    <x v="2"/>
    <x v="9"/>
    <x v="81"/>
    <x v="0"/>
  </r>
  <r>
    <x v="0"/>
    <x v="0"/>
    <x v="0"/>
    <x v="2"/>
    <x v="0"/>
    <x v="5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5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5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5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5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5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5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5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5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5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5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5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5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5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5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5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5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5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5"/>
    <x v="1"/>
    <x v="8"/>
    <x v="10"/>
    <x v="6"/>
    <x v="0"/>
    <x v="0"/>
    <x v="1"/>
    <x v="0"/>
    <x v="0"/>
    <x v="0"/>
    <x v="155"/>
    <x v="159"/>
    <x v="1"/>
    <x v="4"/>
    <x v="1"/>
    <x v="4"/>
    <x v="4"/>
    <x v="2"/>
    <x v="4"/>
    <x v="110"/>
    <x v="0"/>
  </r>
  <r>
    <x v="0"/>
    <x v="0"/>
    <x v="0"/>
    <x v="2"/>
    <x v="0"/>
    <x v="5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5"/>
    <x v="1"/>
    <x v="8"/>
    <x v="13"/>
    <x v="27"/>
    <x v="0"/>
    <x v="0"/>
    <x v="1"/>
    <x v="0"/>
    <x v="0"/>
    <x v="0"/>
    <x v="64"/>
    <x v="65"/>
    <x v="1"/>
    <x v="1"/>
    <x v="1"/>
    <x v="1"/>
    <x v="9"/>
    <x v="2"/>
    <x v="9"/>
    <x v="23"/>
    <x v="0"/>
  </r>
  <r>
    <x v="0"/>
    <x v="0"/>
    <x v="0"/>
    <x v="2"/>
    <x v="0"/>
    <x v="5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5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5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5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5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5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5"/>
    <x v="1"/>
    <x v="5"/>
    <x v="5"/>
    <x v="13"/>
    <x v="0"/>
    <x v="0"/>
    <x v="1"/>
    <x v="0"/>
    <x v="0"/>
    <x v="4"/>
    <x v="31"/>
    <x v="32"/>
    <x v="1"/>
    <x v="15"/>
    <x v="1"/>
    <x v="15"/>
    <x v="18"/>
    <x v="2"/>
    <x v="18"/>
    <x v="168"/>
    <x v="0"/>
  </r>
  <r>
    <x v="0"/>
    <x v="0"/>
    <x v="0"/>
    <x v="2"/>
    <x v="0"/>
    <x v="5"/>
    <x v="1"/>
    <x v="5"/>
    <x v="8"/>
    <x v="10"/>
    <x v="0"/>
    <x v="0"/>
    <x v="1"/>
    <x v="0"/>
    <x v="0"/>
    <x v="3"/>
    <x v="77"/>
    <x v="79"/>
    <x v="1"/>
    <x v="12"/>
    <x v="1"/>
    <x v="12"/>
    <x v="13"/>
    <x v="2"/>
    <x v="13"/>
    <x v="141"/>
    <x v="0"/>
  </r>
  <r>
    <x v="0"/>
    <x v="0"/>
    <x v="0"/>
    <x v="2"/>
    <x v="0"/>
    <x v="5"/>
    <x v="1"/>
    <x v="5"/>
    <x v="10"/>
    <x v="4"/>
    <x v="0"/>
    <x v="0"/>
    <x v="1"/>
    <x v="0"/>
    <x v="0"/>
    <x v="0"/>
    <x v="173"/>
    <x v="178"/>
    <x v="1"/>
    <x v="5"/>
    <x v="1"/>
    <x v="5"/>
    <x v="6"/>
    <x v="2"/>
    <x v="6"/>
    <x v="143"/>
    <x v="0"/>
  </r>
  <r>
    <x v="0"/>
    <x v="0"/>
    <x v="0"/>
    <x v="2"/>
    <x v="0"/>
    <x v="5"/>
    <x v="1"/>
    <x v="5"/>
    <x v="10"/>
    <x v="7"/>
    <x v="0"/>
    <x v="0"/>
    <x v="1"/>
    <x v="0"/>
    <x v="0"/>
    <x v="0"/>
    <x v="146"/>
    <x v="149"/>
    <x v="1"/>
    <x v="3"/>
    <x v="1"/>
    <x v="3"/>
    <x v="3"/>
    <x v="2"/>
    <x v="3"/>
    <x v="92"/>
    <x v="0"/>
  </r>
  <r>
    <x v="0"/>
    <x v="0"/>
    <x v="0"/>
    <x v="2"/>
    <x v="0"/>
    <x v="5"/>
    <x v="1"/>
    <x v="5"/>
    <x v="10"/>
    <x v="8"/>
    <x v="0"/>
    <x v="0"/>
    <x v="1"/>
    <x v="0"/>
    <x v="0"/>
    <x v="0"/>
    <x v="184"/>
    <x v="190"/>
    <x v="1"/>
    <x v="2"/>
    <x v="1"/>
    <x v="2"/>
    <x v="2"/>
    <x v="2"/>
    <x v="2"/>
    <x v="170"/>
    <x v="0"/>
  </r>
  <r>
    <x v="0"/>
    <x v="0"/>
    <x v="0"/>
    <x v="2"/>
    <x v="0"/>
    <x v="5"/>
    <x v="1"/>
    <x v="5"/>
    <x v="13"/>
    <x v="27"/>
    <x v="0"/>
    <x v="0"/>
    <x v="1"/>
    <x v="0"/>
    <x v="0"/>
    <x v="0"/>
    <x v="106"/>
    <x v="109"/>
    <x v="1"/>
    <x v="1"/>
    <x v="1"/>
    <x v="1"/>
    <x v="9"/>
    <x v="2"/>
    <x v="9"/>
    <x v="61"/>
    <x v="0"/>
  </r>
  <r>
    <x v="0"/>
    <x v="0"/>
    <x v="0"/>
    <x v="2"/>
    <x v="0"/>
    <x v="6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6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6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6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6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6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6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6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6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6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6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6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6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6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6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6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6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6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6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6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6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6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6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6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6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6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6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6"/>
    <x v="1"/>
    <x v="5"/>
    <x v="5"/>
    <x v="13"/>
    <x v="0"/>
    <x v="0"/>
    <x v="1"/>
    <x v="0"/>
    <x v="0"/>
    <x v="4"/>
    <x v="31"/>
    <x v="32"/>
    <x v="1"/>
    <x v="15"/>
    <x v="1"/>
    <x v="15"/>
    <x v="18"/>
    <x v="2"/>
    <x v="18"/>
    <x v="168"/>
    <x v="0"/>
  </r>
  <r>
    <x v="0"/>
    <x v="0"/>
    <x v="0"/>
    <x v="2"/>
    <x v="0"/>
    <x v="6"/>
    <x v="1"/>
    <x v="5"/>
    <x v="8"/>
    <x v="10"/>
    <x v="0"/>
    <x v="0"/>
    <x v="1"/>
    <x v="0"/>
    <x v="0"/>
    <x v="3"/>
    <x v="77"/>
    <x v="79"/>
    <x v="1"/>
    <x v="12"/>
    <x v="1"/>
    <x v="12"/>
    <x v="13"/>
    <x v="2"/>
    <x v="13"/>
    <x v="141"/>
    <x v="0"/>
  </r>
  <r>
    <x v="0"/>
    <x v="0"/>
    <x v="0"/>
    <x v="2"/>
    <x v="0"/>
    <x v="6"/>
    <x v="1"/>
    <x v="5"/>
    <x v="10"/>
    <x v="3"/>
    <x v="0"/>
    <x v="0"/>
    <x v="1"/>
    <x v="0"/>
    <x v="0"/>
    <x v="0"/>
    <x v="110"/>
    <x v="113"/>
    <x v="1"/>
    <x v="6"/>
    <x v="1"/>
    <x v="6"/>
    <x v="8"/>
    <x v="2"/>
    <x v="8"/>
    <x v="49"/>
    <x v="0"/>
  </r>
  <r>
    <x v="0"/>
    <x v="0"/>
    <x v="0"/>
    <x v="2"/>
    <x v="0"/>
    <x v="6"/>
    <x v="1"/>
    <x v="5"/>
    <x v="10"/>
    <x v="4"/>
    <x v="0"/>
    <x v="0"/>
    <x v="1"/>
    <x v="0"/>
    <x v="0"/>
    <x v="0"/>
    <x v="166"/>
    <x v="170"/>
    <x v="1"/>
    <x v="5"/>
    <x v="1"/>
    <x v="5"/>
    <x v="6"/>
    <x v="2"/>
    <x v="6"/>
    <x v="126"/>
    <x v="0"/>
  </r>
  <r>
    <x v="0"/>
    <x v="0"/>
    <x v="0"/>
    <x v="2"/>
    <x v="0"/>
    <x v="6"/>
    <x v="1"/>
    <x v="5"/>
    <x v="10"/>
    <x v="7"/>
    <x v="0"/>
    <x v="0"/>
    <x v="1"/>
    <x v="0"/>
    <x v="0"/>
    <x v="0"/>
    <x v="146"/>
    <x v="149"/>
    <x v="1"/>
    <x v="3"/>
    <x v="1"/>
    <x v="3"/>
    <x v="3"/>
    <x v="2"/>
    <x v="3"/>
    <x v="92"/>
    <x v="0"/>
  </r>
  <r>
    <x v="0"/>
    <x v="0"/>
    <x v="0"/>
    <x v="2"/>
    <x v="0"/>
    <x v="6"/>
    <x v="1"/>
    <x v="5"/>
    <x v="10"/>
    <x v="8"/>
    <x v="0"/>
    <x v="0"/>
    <x v="1"/>
    <x v="0"/>
    <x v="0"/>
    <x v="0"/>
    <x v="184"/>
    <x v="190"/>
    <x v="1"/>
    <x v="2"/>
    <x v="1"/>
    <x v="2"/>
    <x v="2"/>
    <x v="2"/>
    <x v="2"/>
    <x v="170"/>
    <x v="0"/>
  </r>
  <r>
    <x v="0"/>
    <x v="0"/>
    <x v="0"/>
    <x v="2"/>
    <x v="0"/>
    <x v="6"/>
    <x v="1"/>
    <x v="5"/>
    <x v="13"/>
    <x v="27"/>
    <x v="0"/>
    <x v="0"/>
    <x v="1"/>
    <x v="0"/>
    <x v="0"/>
    <x v="0"/>
    <x v="104"/>
    <x v="107"/>
    <x v="1"/>
    <x v="1"/>
    <x v="1"/>
    <x v="1"/>
    <x v="9"/>
    <x v="2"/>
    <x v="9"/>
    <x v="60"/>
    <x v="0"/>
  </r>
  <r>
    <x v="0"/>
    <x v="0"/>
    <x v="0"/>
    <x v="2"/>
    <x v="0"/>
    <x v="7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7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7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7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7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7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7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7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7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7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7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7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7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7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7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7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7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7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7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7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7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7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7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7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7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7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7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7"/>
    <x v="1"/>
    <x v="5"/>
    <x v="5"/>
    <x v="13"/>
    <x v="0"/>
    <x v="0"/>
    <x v="1"/>
    <x v="0"/>
    <x v="0"/>
    <x v="4"/>
    <x v="31"/>
    <x v="32"/>
    <x v="1"/>
    <x v="15"/>
    <x v="1"/>
    <x v="15"/>
    <x v="18"/>
    <x v="2"/>
    <x v="18"/>
    <x v="168"/>
    <x v="0"/>
  </r>
  <r>
    <x v="0"/>
    <x v="0"/>
    <x v="0"/>
    <x v="2"/>
    <x v="0"/>
    <x v="7"/>
    <x v="1"/>
    <x v="5"/>
    <x v="8"/>
    <x v="10"/>
    <x v="0"/>
    <x v="0"/>
    <x v="1"/>
    <x v="0"/>
    <x v="0"/>
    <x v="3"/>
    <x v="77"/>
    <x v="79"/>
    <x v="1"/>
    <x v="12"/>
    <x v="1"/>
    <x v="12"/>
    <x v="13"/>
    <x v="2"/>
    <x v="13"/>
    <x v="141"/>
    <x v="0"/>
  </r>
  <r>
    <x v="0"/>
    <x v="0"/>
    <x v="0"/>
    <x v="2"/>
    <x v="0"/>
    <x v="7"/>
    <x v="1"/>
    <x v="5"/>
    <x v="10"/>
    <x v="3"/>
    <x v="0"/>
    <x v="0"/>
    <x v="1"/>
    <x v="0"/>
    <x v="0"/>
    <x v="0"/>
    <x v="110"/>
    <x v="113"/>
    <x v="1"/>
    <x v="6"/>
    <x v="1"/>
    <x v="6"/>
    <x v="8"/>
    <x v="2"/>
    <x v="8"/>
    <x v="49"/>
    <x v="0"/>
  </r>
  <r>
    <x v="0"/>
    <x v="0"/>
    <x v="0"/>
    <x v="2"/>
    <x v="0"/>
    <x v="7"/>
    <x v="1"/>
    <x v="5"/>
    <x v="10"/>
    <x v="4"/>
    <x v="0"/>
    <x v="0"/>
    <x v="1"/>
    <x v="0"/>
    <x v="0"/>
    <x v="0"/>
    <x v="166"/>
    <x v="170"/>
    <x v="1"/>
    <x v="5"/>
    <x v="1"/>
    <x v="5"/>
    <x v="6"/>
    <x v="2"/>
    <x v="6"/>
    <x v="126"/>
    <x v="0"/>
  </r>
  <r>
    <x v="0"/>
    <x v="0"/>
    <x v="0"/>
    <x v="2"/>
    <x v="0"/>
    <x v="7"/>
    <x v="1"/>
    <x v="5"/>
    <x v="10"/>
    <x v="7"/>
    <x v="0"/>
    <x v="0"/>
    <x v="1"/>
    <x v="0"/>
    <x v="0"/>
    <x v="0"/>
    <x v="146"/>
    <x v="149"/>
    <x v="1"/>
    <x v="3"/>
    <x v="1"/>
    <x v="3"/>
    <x v="3"/>
    <x v="2"/>
    <x v="3"/>
    <x v="92"/>
    <x v="0"/>
  </r>
  <r>
    <x v="0"/>
    <x v="0"/>
    <x v="0"/>
    <x v="2"/>
    <x v="0"/>
    <x v="7"/>
    <x v="1"/>
    <x v="5"/>
    <x v="10"/>
    <x v="8"/>
    <x v="0"/>
    <x v="0"/>
    <x v="1"/>
    <x v="0"/>
    <x v="0"/>
    <x v="0"/>
    <x v="184"/>
    <x v="190"/>
    <x v="1"/>
    <x v="2"/>
    <x v="1"/>
    <x v="2"/>
    <x v="2"/>
    <x v="2"/>
    <x v="2"/>
    <x v="170"/>
    <x v="0"/>
  </r>
  <r>
    <x v="0"/>
    <x v="0"/>
    <x v="0"/>
    <x v="2"/>
    <x v="0"/>
    <x v="7"/>
    <x v="1"/>
    <x v="5"/>
    <x v="13"/>
    <x v="27"/>
    <x v="0"/>
    <x v="0"/>
    <x v="1"/>
    <x v="0"/>
    <x v="0"/>
    <x v="0"/>
    <x v="104"/>
    <x v="107"/>
    <x v="1"/>
    <x v="1"/>
    <x v="1"/>
    <x v="1"/>
    <x v="9"/>
    <x v="2"/>
    <x v="9"/>
    <x v="60"/>
    <x v="0"/>
  </r>
  <r>
    <x v="0"/>
    <x v="0"/>
    <x v="0"/>
    <x v="2"/>
    <x v="0"/>
    <x v="8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8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8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8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8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8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8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8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8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8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8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8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8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8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8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8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8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8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8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8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8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8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8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8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8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8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8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8"/>
    <x v="1"/>
    <x v="5"/>
    <x v="5"/>
    <x v="13"/>
    <x v="0"/>
    <x v="0"/>
    <x v="1"/>
    <x v="0"/>
    <x v="0"/>
    <x v="4"/>
    <x v="31"/>
    <x v="32"/>
    <x v="1"/>
    <x v="15"/>
    <x v="1"/>
    <x v="15"/>
    <x v="18"/>
    <x v="2"/>
    <x v="18"/>
    <x v="168"/>
    <x v="0"/>
  </r>
  <r>
    <x v="0"/>
    <x v="0"/>
    <x v="0"/>
    <x v="2"/>
    <x v="0"/>
    <x v="8"/>
    <x v="1"/>
    <x v="5"/>
    <x v="8"/>
    <x v="10"/>
    <x v="0"/>
    <x v="0"/>
    <x v="1"/>
    <x v="0"/>
    <x v="0"/>
    <x v="3"/>
    <x v="77"/>
    <x v="79"/>
    <x v="1"/>
    <x v="12"/>
    <x v="1"/>
    <x v="12"/>
    <x v="13"/>
    <x v="2"/>
    <x v="13"/>
    <x v="141"/>
    <x v="0"/>
  </r>
  <r>
    <x v="0"/>
    <x v="0"/>
    <x v="0"/>
    <x v="2"/>
    <x v="0"/>
    <x v="8"/>
    <x v="1"/>
    <x v="5"/>
    <x v="10"/>
    <x v="3"/>
    <x v="0"/>
    <x v="0"/>
    <x v="1"/>
    <x v="0"/>
    <x v="0"/>
    <x v="0"/>
    <x v="110"/>
    <x v="113"/>
    <x v="1"/>
    <x v="6"/>
    <x v="1"/>
    <x v="6"/>
    <x v="8"/>
    <x v="2"/>
    <x v="8"/>
    <x v="49"/>
    <x v="0"/>
  </r>
  <r>
    <x v="0"/>
    <x v="0"/>
    <x v="0"/>
    <x v="2"/>
    <x v="0"/>
    <x v="8"/>
    <x v="1"/>
    <x v="5"/>
    <x v="10"/>
    <x v="4"/>
    <x v="0"/>
    <x v="0"/>
    <x v="1"/>
    <x v="0"/>
    <x v="0"/>
    <x v="0"/>
    <x v="166"/>
    <x v="170"/>
    <x v="1"/>
    <x v="5"/>
    <x v="1"/>
    <x v="5"/>
    <x v="6"/>
    <x v="2"/>
    <x v="6"/>
    <x v="126"/>
    <x v="0"/>
  </r>
  <r>
    <x v="0"/>
    <x v="0"/>
    <x v="0"/>
    <x v="2"/>
    <x v="0"/>
    <x v="8"/>
    <x v="1"/>
    <x v="5"/>
    <x v="10"/>
    <x v="7"/>
    <x v="0"/>
    <x v="0"/>
    <x v="1"/>
    <x v="0"/>
    <x v="0"/>
    <x v="0"/>
    <x v="146"/>
    <x v="149"/>
    <x v="1"/>
    <x v="3"/>
    <x v="1"/>
    <x v="3"/>
    <x v="3"/>
    <x v="2"/>
    <x v="3"/>
    <x v="92"/>
    <x v="0"/>
  </r>
  <r>
    <x v="0"/>
    <x v="0"/>
    <x v="0"/>
    <x v="2"/>
    <x v="0"/>
    <x v="8"/>
    <x v="1"/>
    <x v="5"/>
    <x v="10"/>
    <x v="8"/>
    <x v="0"/>
    <x v="0"/>
    <x v="1"/>
    <x v="0"/>
    <x v="0"/>
    <x v="0"/>
    <x v="184"/>
    <x v="190"/>
    <x v="1"/>
    <x v="2"/>
    <x v="1"/>
    <x v="2"/>
    <x v="2"/>
    <x v="2"/>
    <x v="2"/>
    <x v="170"/>
    <x v="0"/>
  </r>
  <r>
    <x v="0"/>
    <x v="0"/>
    <x v="0"/>
    <x v="2"/>
    <x v="0"/>
    <x v="8"/>
    <x v="1"/>
    <x v="5"/>
    <x v="13"/>
    <x v="27"/>
    <x v="0"/>
    <x v="0"/>
    <x v="1"/>
    <x v="0"/>
    <x v="0"/>
    <x v="0"/>
    <x v="104"/>
    <x v="107"/>
    <x v="1"/>
    <x v="1"/>
    <x v="1"/>
    <x v="1"/>
    <x v="9"/>
    <x v="2"/>
    <x v="9"/>
    <x v="60"/>
    <x v="0"/>
  </r>
  <r>
    <x v="0"/>
    <x v="0"/>
    <x v="0"/>
    <x v="2"/>
    <x v="0"/>
    <x v="9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9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9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9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9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9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9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9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9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9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9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9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9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9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9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9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9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9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9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9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9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9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9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9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9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9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9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9"/>
    <x v="1"/>
    <x v="5"/>
    <x v="5"/>
    <x v="13"/>
    <x v="0"/>
    <x v="0"/>
    <x v="1"/>
    <x v="0"/>
    <x v="0"/>
    <x v="4"/>
    <x v="29"/>
    <x v="30"/>
    <x v="1"/>
    <x v="15"/>
    <x v="1"/>
    <x v="15"/>
    <x v="18"/>
    <x v="2"/>
    <x v="18"/>
    <x v="165"/>
    <x v="0"/>
  </r>
  <r>
    <x v="0"/>
    <x v="0"/>
    <x v="0"/>
    <x v="2"/>
    <x v="0"/>
    <x v="9"/>
    <x v="1"/>
    <x v="5"/>
    <x v="8"/>
    <x v="10"/>
    <x v="0"/>
    <x v="0"/>
    <x v="1"/>
    <x v="0"/>
    <x v="0"/>
    <x v="3"/>
    <x v="76"/>
    <x v="78"/>
    <x v="1"/>
    <x v="12"/>
    <x v="1"/>
    <x v="12"/>
    <x v="13"/>
    <x v="2"/>
    <x v="13"/>
    <x v="140"/>
    <x v="0"/>
  </r>
  <r>
    <x v="0"/>
    <x v="0"/>
    <x v="0"/>
    <x v="2"/>
    <x v="0"/>
    <x v="9"/>
    <x v="1"/>
    <x v="5"/>
    <x v="10"/>
    <x v="3"/>
    <x v="0"/>
    <x v="0"/>
    <x v="1"/>
    <x v="0"/>
    <x v="0"/>
    <x v="0"/>
    <x v="159"/>
    <x v="163"/>
    <x v="1"/>
    <x v="6"/>
    <x v="1"/>
    <x v="6"/>
    <x v="8"/>
    <x v="2"/>
    <x v="8"/>
    <x v="120"/>
    <x v="0"/>
  </r>
  <r>
    <x v="0"/>
    <x v="0"/>
    <x v="0"/>
    <x v="2"/>
    <x v="0"/>
    <x v="9"/>
    <x v="1"/>
    <x v="5"/>
    <x v="10"/>
    <x v="7"/>
    <x v="0"/>
    <x v="0"/>
    <x v="1"/>
    <x v="0"/>
    <x v="0"/>
    <x v="0"/>
    <x v="181"/>
    <x v="187"/>
    <x v="1"/>
    <x v="3"/>
    <x v="1"/>
    <x v="3"/>
    <x v="3"/>
    <x v="2"/>
    <x v="3"/>
    <x v="162"/>
    <x v="0"/>
  </r>
  <r>
    <x v="0"/>
    <x v="0"/>
    <x v="0"/>
    <x v="2"/>
    <x v="0"/>
    <x v="9"/>
    <x v="1"/>
    <x v="5"/>
    <x v="13"/>
    <x v="27"/>
    <x v="0"/>
    <x v="0"/>
    <x v="1"/>
    <x v="0"/>
    <x v="0"/>
    <x v="0"/>
    <x v="90"/>
    <x v="93"/>
    <x v="1"/>
    <x v="1"/>
    <x v="1"/>
    <x v="1"/>
    <x v="9"/>
    <x v="2"/>
    <x v="9"/>
    <x v="48"/>
    <x v="0"/>
  </r>
  <r>
    <x v="0"/>
    <x v="0"/>
    <x v="0"/>
    <x v="2"/>
    <x v="0"/>
    <x v="10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10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10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10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10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10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10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10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10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10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10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10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10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10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10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10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10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10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10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10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10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10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10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10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10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10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10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10"/>
    <x v="1"/>
    <x v="5"/>
    <x v="5"/>
    <x v="13"/>
    <x v="0"/>
    <x v="0"/>
    <x v="1"/>
    <x v="0"/>
    <x v="0"/>
    <x v="4"/>
    <x v="29"/>
    <x v="30"/>
    <x v="1"/>
    <x v="15"/>
    <x v="1"/>
    <x v="15"/>
    <x v="18"/>
    <x v="2"/>
    <x v="18"/>
    <x v="165"/>
    <x v="0"/>
  </r>
  <r>
    <x v="0"/>
    <x v="0"/>
    <x v="0"/>
    <x v="2"/>
    <x v="0"/>
    <x v="10"/>
    <x v="1"/>
    <x v="5"/>
    <x v="8"/>
    <x v="10"/>
    <x v="0"/>
    <x v="0"/>
    <x v="1"/>
    <x v="0"/>
    <x v="0"/>
    <x v="3"/>
    <x v="76"/>
    <x v="78"/>
    <x v="1"/>
    <x v="12"/>
    <x v="1"/>
    <x v="12"/>
    <x v="13"/>
    <x v="2"/>
    <x v="13"/>
    <x v="140"/>
    <x v="0"/>
  </r>
  <r>
    <x v="0"/>
    <x v="0"/>
    <x v="0"/>
    <x v="2"/>
    <x v="0"/>
    <x v="10"/>
    <x v="1"/>
    <x v="5"/>
    <x v="10"/>
    <x v="3"/>
    <x v="0"/>
    <x v="0"/>
    <x v="1"/>
    <x v="0"/>
    <x v="0"/>
    <x v="0"/>
    <x v="159"/>
    <x v="163"/>
    <x v="1"/>
    <x v="6"/>
    <x v="1"/>
    <x v="6"/>
    <x v="8"/>
    <x v="2"/>
    <x v="8"/>
    <x v="120"/>
    <x v="0"/>
  </r>
  <r>
    <x v="0"/>
    <x v="0"/>
    <x v="0"/>
    <x v="2"/>
    <x v="0"/>
    <x v="10"/>
    <x v="1"/>
    <x v="5"/>
    <x v="10"/>
    <x v="7"/>
    <x v="0"/>
    <x v="0"/>
    <x v="1"/>
    <x v="0"/>
    <x v="0"/>
    <x v="0"/>
    <x v="181"/>
    <x v="187"/>
    <x v="1"/>
    <x v="3"/>
    <x v="1"/>
    <x v="3"/>
    <x v="3"/>
    <x v="2"/>
    <x v="3"/>
    <x v="162"/>
    <x v="0"/>
  </r>
  <r>
    <x v="0"/>
    <x v="0"/>
    <x v="0"/>
    <x v="2"/>
    <x v="0"/>
    <x v="10"/>
    <x v="1"/>
    <x v="5"/>
    <x v="13"/>
    <x v="27"/>
    <x v="0"/>
    <x v="0"/>
    <x v="1"/>
    <x v="0"/>
    <x v="0"/>
    <x v="0"/>
    <x v="90"/>
    <x v="93"/>
    <x v="1"/>
    <x v="1"/>
    <x v="1"/>
    <x v="1"/>
    <x v="9"/>
    <x v="2"/>
    <x v="9"/>
    <x v="48"/>
    <x v="0"/>
  </r>
  <r>
    <x v="0"/>
    <x v="0"/>
    <x v="0"/>
    <x v="2"/>
    <x v="0"/>
    <x v="11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11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11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11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11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11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11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11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11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11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11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11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11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11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11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11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11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11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11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11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11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11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11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11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11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11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11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11"/>
    <x v="1"/>
    <x v="5"/>
    <x v="5"/>
    <x v="13"/>
    <x v="0"/>
    <x v="0"/>
    <x v="1"/>
    <x v="0"/>
    <x v="0"/>
    <x v="4"/>
    <x v="29"/>
    <x v="30"/>
    <x v="1"/>
    <x v="15"/>
    <x v="1"/>
    <x v="15"/>
    <x v="18"/>
    <x v="2"/>
    <x v="18"/>
    <x v="165"/>
    <x v="0"/>
  </r>
  <r>
    <x v="0"/>
    <x v="0"/>
    <x v="0"/>
    <x v="2"/>
    <x v="0"/>
    <x v="11"/>
    <x v="1"/>
    <x v="5"/>
    <x v="8"/>
    <x v="10"/>
    <x v="0"/>
    <x v="0"/>
    <x v="1"/>
    <x v="0"/>
    <x v="0"/>
    <x v="3"/>
    <x v="76"/>
    <x v="78"/>
    <x v="1"/>
    <x v="12"/>
    <x v="1"/>
    <x v="12"/>
    <x v="13"/>
    <x v="2"/>
    <x v="13"/>
    <x v="140"/>
    <x v="0"/>
  </r>
  <r>
    <x v="0"/>
    <x v="0"/>
    <x v="0"/>
    <x v="2"/>
    <x v="0"/>
    <x v="11"/>
    <x v="1"/>
    <x v="5"/>
    <x v="10"/>
    <x v="3"/>
    <x v="0"/>
    <x v="0"/>
    <x v="1"/>
    <x v="0"/>
    <x v="0"/>
    <x v="0"/>
    <x v="159"/>
    <x v="163"/>
    <x v="1"/>
    <x v="6"/>
    <x v="1"/>
    <x v="6"/>
    <x v="8"/>
    <x v="2"/>
    <x v="8"/>
    <x v="120"/>
    <x v="0"/>
  </r>
  <r>
    <x v="0"/>
    <x v="0"/>
    <x v="0"/>
    <x v="2"/>
    <x v="0"/>
    <x v="11"/>
    <x v="1"/>
    <x v="5"/>
    <x v="10"/>
    <x v="7"/>
    <x v="0"/>
    <x v="0"/>
    <x v="1"/>
    <x v="0"/>
    <x v="0"/>
    <x v="0"/>
    <x v="181"/>
    <x v="187"/>
    <x v="1"/>
    <x v="3"/>
    <x v="1"/>
    <x v="3"/>
    <x v="3"/>
    <x v="2"/>
    <x v="3"/>
    <x v="162"/>
    <x v="0"/>
  </r>
  <r>
    <x v="0"/>
    <x v="0"/>
    <x v="0"/>
    <x v="2"/>
    <x v="0"/>
    <x v="11"/>
    <x v="1"/>
    <x v="5"/>
    <x v="13"/>
    <x v="27"/>
    <x v="0"/>
    <x v="0"/>
    <x v="1"/>
    <x v="0"/>
    <x v="0"/>
    <x v="0"/>
    <x v="90"/>
    <x v="93"/>
    <x v="1"/>
    <x v="1"/>
    <x v="1"/>
    <x v="1"/>
    <x v="9"/>
    <x v="2"/>
    <x v="9"/>
    <x v="48"/>
    <x v="0"/>
  </r>
  <r>
    <x v="0"/>
    <x v="0"/>
    <x v="0"/>
    <x v="2"/>
    <x v="0"/>
    <x v="12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12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12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12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12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12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12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12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12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12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12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12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12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12"/>
    <x v="1"/>
    <x v="8"/>
    <x v="5"/>
    <x v="13"/>
    <x v="0"/>
    <x v="0"/>
    <x v="1"/>
    <x v="0"/>
    <x v="0"/>
    <x v="4"/>
    <x v="22"/>
    <x v="22"/>
    <x v="1"/>
    <x v="15"/>
    <x v="1"/>
    <x v="15"/>
    <x v="18"/>
    <x v="2"/>
    <x v="18"/>
    <x v="153"/>
    <x v="0"/>
  </r>
  <r>
    <x v="0"/>
    <x v="0"/>
    <x v="0"/>
    <x v="2"/>
    <x v="0"/>
    <x v="12"/>
    <x v="1"/>
    <x v="8"/>
    <x v="8"/>
    <x v="10"/>
    <x v="0"/>
    <x v="0"/>
    <x v="1"/>
    <x v="0"/>
    <x v="0"/>
    <x v="3"/>
    <x v="66"/>
    <x v="67"/>
    <x v="1"/>
    <x v="12"/>
    <x v="1"/>
    <x v="12"/>
    <x v="13"/>
    <x v="2"/>
    <x v="13"/>
    <x v="127"/>
    <x v="0"/>
  </r>
  <r>
    <x v="0"/>
    <x v="0"/>
    <x v="0"/>
    <x v="2"/>
    <x v="0"/>
    <x v="12"/>
    <x v="1"/>
    <x v="8"/>
    <x v="10"/>
    <x v="3"/>
    <x v="0"/>
    <x v="0"/>
    <x v="1"/>
    <x v="0"/>
    <x v="0"/>
    <x v="0"/>
    <x v="94"/>
    <x v="97"/>
    <x v="1"/>
    <x v="6"/>
    <x v="1"/>
    <x v="6"/>
    <x v="8"/>
    <x v="2"/>
    <x v="8"/>
    <x v="39"/>
    <x v="0"/>
  </r>
  <r>
    <x v="0"/>
    <x v="0"/>
    <x v="0"/>
    <x v="2"/>
    <x v="0"/>
    <x v="12"/>
    <x v="1"/>
    <x v="8"/>
    <x v="10"/>
    <x v="4"/>
    <x v="0"/>
    <x v="0"/>
    <x v="1"/>
    <x v="0"/>
    <x v="0"/>
    <x v="0"/>
    <x v="148"/>
    <x v="151"/>
    <x v="1"/>
    <x v="5"/>
    <x v="1"/>
    <x v="5"/>
    <x v="6"/>
    <x v="2"/>
    <x v="6"/>
    <x v="95"/>
    <x v="0"/>
  </r>
  <r>
    <x v="0"/>
    <x v="0"/>
    <x v="0"/>
    <x v="2"/>
    <x v="0"/>
    <x v="12"/>
    <x v="1"/>
    <x v="8"/>
    <x v="10"/>
    <x v="5"/>
    <x v="0"/>
    <x v="0"/>
    <x v="1"/>
    <x v="0"/>
    <x v="0"/>
    <x v="0"/>
    <x v="160"/>
    <x v="164"/>
    <x v="1"/>
    <x v="4"/>
    <x v="1"/>
    <x v="4"/>
    <x v="5"/>
    <x v="2"/>
    <x v="5"/>
    <x v="117"/>
    <x v="0"/>
  </r>
  <r>
    <x v="0"/>
    <x v="0"/>
    <x v="0"/>
    <x v="2"/>
    <x v="0"/>
    <x v="12"/>
    <x v="1"/>
    <x v="8"/>
    <x v="10"/>
    <x v="7"/>
    <x v="0"/>
    <x v="0"/>
    <x v="1"/>
    <x v="0"/>
    <x v="0"/>
    <x v="0"/>
    <x v="139"/>
    <x v="142"/>
    <x v="1"/>
    <x v="3"/>
    <x v="1"/>
    <x v="3"/>
    <x v="3"/>
    <x v="2"/>
    <x v="3"/>
    <x v="83"/>
    <x v="0"/>
  </r>
  <r>
    <x v="0"/>
    <x v="0"/>
    <x v="0"/>
    <x v="2"/>
    <x v="0"/>
    <x v="12"/>
    <x v="1"/>
    <x v="8"/>
    <x v="13"/>
    <x v="27"/>
    <x v="0"/>
    <x v="0"/>
    <x v="1"/>
    <x v="0"/>
    <x v="0"/>
    <x v="0"/>
    <x v="71"/>
    <x v="73"/>
    <x v="1"/>
    <x v="1"/>
    <x v="1"/>
    <x v="1"/>
    <x v="9"/>
    <x v="2"/>
    <x v="9"/>
    <x v="33"/>
    <x v="0"/>
  </r>
  <r>
    <x v="0"/>
    <x v="0"/>
    <x v="0"/>
    <x v="2"/>
    <x v="0"/>
    <x v="12"/>
    <x v="1"/>
    <x v="7"/>
    <x v="5"/>
    <x v="13"/>
    <x v="0"/>
    <x v="0"/>
    <x v="1"/>
    <x v="0"/>
    <x v="0"/>
    <x v="4"/>
    <x v="4"/>
    <x v="4"/>
    <x v="1"/>
    <x v="15"/>
    <x v="1"/>
    <x v="15"/>
    <x v="18"/>
    <x v="2"/>
    <x v="18"/>
    <x v="75"/>
    <x v="0"/>
  </r>
  <r>
    <x v="0"/>
    <x v="0"/>
    <x v="0"/>
    <x v="2"/>
    <x v="0"/>
    <x v="12"/>
    <x v="1"/>
    <x v="7"/>
    <x v="8"/>
    <x v="10"/>
    <x v="0"/>
    <x v="0"/>
    <x v="1"/>
    <x v="0"/>
    <x v="0"/>
    <x v="3"/>
    <x v="45"/>
    <x v="46"/>
    <x v="1"/>
    <x v="12"/>
    <x v="1"/>
    <x v="12"/>
    <x v="13"/>
    <x v="2"/>
    <x v="13"/>
    <x v="93"/>
    <x v="0"/>
  </r>
  <r>
    <x v="0"/>
    <x v="0"/>
    <x v="0"/>
    <x v="2"/>
    <x v="0"/>
    <x v="12"/>
    <x v="1"/>
    <x v="7"/>
    <x v="10"/>
    <x v="19"/>
    <x v="0"/>
    <x v="0"/>
    <x v="1"/>
    <x v="0"/>
    <x v="0"/>
    <x v="0"/>
    <x v="40"/>
    <x v="41"/>
    <x v="1"/>
    <x v="6"/>
    <x v="1"/>
    <x v="6"/>
    <x v="7"/>
    <x v="2"/>
    <x v="7"/>
    <x v="4"/>
    <x v="0"/>
  </r>
  <r>
    <x v="0"/>
    <x v="0"/>
    <x v="0"/>
    <x v="2"/>
    <x v="0"/>
    <x v="12"/>
    <x v="1"/>
    <x v="7"/>
    <x v="10"/>
    <x v="4"/>
    <x v="0"/>
    <x v="0"/>
    <x v="1"/>
    <x v="0"/>
    <x v="0"/>
    <x v="0"/>
    <x v="134"/>
    <x v="137"/>
    <x v="1"/>
    <x v="5"/>
    <x v="1"/>
    <x v="5"/>
    <x v="6"/>
    <x v="2"/>
    <x v="6"/>
    <x v="74"/>
    <x v="0"/>
  </r>
  <r>
    <x v="0"/>
    <x v="0"/>
    <x v="0"/>
    <x v="2"/>
    <x v="0"/>
    <x v="12"/>
    <x v="1"/>
    <x v="7"/>
    <x v="10"/>
    <x v="6"/>
    <x v="0"/>
    <x v="0"/>
    <x v="1"/>
    <x v="0"/>
    <x v="0"/>
    <x v="0"/>
    <x v="62"/>
    <x v="63"/>
    <x v="1"/>
    <x v="4"/>
    <x v="1"/>
    <x v="4"/>
    <x v="4"/>
    <x v="2"/>
    <x v="4"/>
    <x v="10"/>
    <x v="0"/>
  </r>
  <r>
    <x v="0"/>
    <x v="0"/>
    <x v="0"/>
    <x v="2"/>
    <x v="0"/>
    <x v="12"/>
    <x v="1"/>
    <x v="7"/>
    <x v="13"/>
    <x v="27"/>
    <x v="0"/>
    <x v="0"/>
    <x v="1"/>
    <x v="0"/>
    <x v="0"/>
    <x v="0"/>
    <x v="28"/>
    <x v="29"/>
    <x v="1"/>
    <x v="1"/>
    <x v="1"/>
    <x v="1"/>
    <x v="9"/>
    <x v="2"/>
    <x v="9"/>
    <x v="3"/>
    <x v="0"/>
  </r>
  <r>
    <x v="0"/>
    <x v="0"/>
    <x v="0"/>
    <x v="2"/>
    <x v="0"/>
    <x v="12"/>
    <x v="1"/>
    <x v="5"/>
    <x v="5"/>
    <x v="13"/>
    <x v="0"/>
    <x v="0"/>
    <x v="1"/>
    <x v="0"/>
    <x v="0"/>
    <x v="4"/>
    <x v="29"/>
    <x v="35"/>
    <x v="1"/>
    <x v="15"/>
    <x v="1"/>
    <x v="15"/>
    <x v="18"/>
    <x v="2"/>
    <x v="18"/>
    <x v="165"/>
    <x v="0"/>
  </r>
  <r>
    <x v="0"/>
    <x v="0"/>
    <x v="0"/>
    <x v="2"/>
    <x v="0"/>
    <x v="12"/>
    <x v="1"/>
    <x v="5"/>
    <x v="8"/>
    <x v="10"/>
    <x v="0"/>
    <x v="0"/>
    <x v="1"/>
    <x v="0"/>
    <x v="0"/>
    <x v="3"/>
    <x v="76"/>
    <x v="90"/>
    <x v="1"/>
    <x v="12"/>
    <x v="1"/>
    <x v="12"/>
    <x v="13"/>
    <x v="2"/>
    <x v="13"/>
    <x v="140"/>
    <x v="0"/>
  </r>
  <r>
    <x v="0"/>
    <x v="0"/>
    <x v="0"/>
    <x v="2"/>
    <x v="0"/>
    <x v="12"/>
    <x v="1"/>
    <x v="5"/>
    <x v="10"/>
    <x v="3"/>
    <x v="0"/>
    <x v="0"/>
    <x v="1"/>
    <x v="0"/>
    <x v="0"/>
    <x v="0"/>
    <x v="159"/>
    <x v="172"/>
    <x v="1"/>
    <x v="6"/>
    <x v="1"/>
    <x v="6"/>
    <x v="8"/>
    <x v="2"/>
    <x v="8"/>
    <x v="120"/>
    <x v="0"/>
  </r>
  <r>
    <x v="0"/>
    <x v="0"/>
    <x v="0"/>
    <x v="2"/>
    <x v="0"/>
    <x v="12"/>
    <x v="1"/>
    <x v="5"/>
    <x v="10"/>
    <x v="7"/>
    <x v="0"/>
    <x v="0"/>
    <x v="1"/>
    <x v="0"/>
    <x v="0"/>
    <x v="0"/>
    <x v="181"/>
    <x v="192"/>
    <x v="1"/>
    <x v="3"/>
    <x v="1"/>
    <x v="3"/>
    <x v="3"/>
    <x v="2"/>
    <x v="3"/>
    <x v="162"/>
    <x v="0"/>
  </r>
  <r>
    <x v="0"/>
    <x v="0"/>
    <x v="0"/>
    <x v="2"/>
    <x v="0"/>
    <x v="12"/>
    <x v="1"/>
    <x v="5"/>
    <x v="13"/>
    <x v="27"/>
    <x v="0"/>
    <x v="0"/>
    <x v="1"/>
    <x v="0"/>
    <x v="0"/>
    <x v="0"/>
    <x v="98"/>
    <x v="101"/>
    <x v="1"/>
    <x v="1"/>
    <x v="1"/>
    <x v="1"/>
    <x v="9"/>
    <x v="2"/>
    <x v="9"/>
    <x v="53"/>
    <x v="0"/>
  </r>
  <r>
    <x v="0"/>
    <x v="0"/>
    <x v="0"/>
    <x v="2"/>
    <x v="0"/>
    <x v="13"/>
    <x v="1"/>
    <x v="4"/>
    <x v="5"/>
    <x v="13"/>
    <x v="0"/>
    <x v="0"/>
    <x v="1"/>
    <x v="0"/>
    <x v="0"/>
    <x v="4"/>
    <x v="25"/>
    <x v="26"/>
    <x v="1"/>
    <x v="15"/>
    <x v="1"/>
    <x v="15"/>
    <x v="18"/>
    <x v="2"/>
    <x v="18"/>
    <x v="155"/>
    <x v="0"/>
  </r>
  <r>
    <x v="0"/>
    <x v="0"/>
    <x v="0"/>
    <x v="2"/>
    <x v="0"/>
    <x v="13"/>
    <x v="1"/>
    <x v="4"/>
    <x v="8"/>
    <x v="10"/>
    <x v="0"/>
    <x v="0"/>
    <x v="1"/>
    <x v="0"/>
    <x v="0"/>
    <x v="3"/>
    <x v="99"/>
    <x v="102"/>
    <x v="1"/>
    <x v="12"/>
    <x v="1"/>
    <x v="12"/>
    <x v="13"/>
    <x v="2"/>
    <x v="13"/>
    <x v="156"/>
    <x v="0"/>
  </r>
  <r>
    <x v="0"/>
    <x v="0"/>
    <x v="0"/>
    <x v="2"/>
    <x v="0"/>
    <x v="13"/>
    <x v="1"/>
    <x v="4"/>
    <x v="10"/>
    <x v="19"/>
    <x v="0"/>
    <x v="0"/>
    <x v="1"/>
    <x v="0"/>
    <x v="0"/>
    <x v="0"/>
    <x v="121"/>
    <x v="124"/>
    <x v="1"/>
    <x v="6"/>
    <x v="1"/>
    <x v="6"/>
    <x v="7"/>
    <x v="2"/>
    <x v="7"/>
    <x v="58"/>
    <x v="0"/>
  </r>
  <r>
    <x v="0"/>
    <x v="0"/>
    <x v="0"/>
    <x v="2"/>
    <x v="0"/>
    <x v="13"/>
    <x v="1"/>
    <x v="4"/>
    <x v="10"/>
    <x v="3"/>
    <x v="0"/>
    <x v="0"/>
    <x v="1"/>
    <x v="0"/>
    <x v="0"/>
    <x v="0"/>
    <x v="162"/>
    <x v="166"/>
    <x v="1"/>
    <x v="6"/>
    <x v="1"/>
    <x v="6"/>
    <x v="8"/>
    <x v="2"/>
    <x v="8"/>
    <x v="123"/>
    <x v="0"/>
  </r>
  <r>
    <x v="0"/>
    <x v="0"/>
    <x v="0"/>
    <x v="2"/>
    <x v="0"/>
    <x v="13"/>
    <x v="1"/>
    <x v="4"/>
    <x v="10"/>
    <x v="4"/>
    <x v="0"/>
    <x v="0"/>
    <x v="1"/>
    <x v="0"/>
    <x v="0"/>
    <x v="0"/>
    <x v="93"/>
    <x v="96"/>
    <x v="1"/>
    <x v="5"/>
    <x v="1"/>
    <x v="5"/>
    <x v="6"/>
    <x v="2"/>
    <x v="6"/>
    <x v="36"/>
    <x v="0"/>
  </r>
  <r>
    <x v="0"/>
    <x v="0"/>
    <x v="0"/>
    <x v="2"/>
    <x v="0"/>
    <x v="13"/>
    <x v="1"/>
    <x v="4"/>
    <x v="10"/>
    <x v="6"/>
    <x v="0"/>
    <x v="0"/>
    <x v="1"/>
    <x v="0"/>
    <x v="0"/>
    <x v="0"/>
    <x v="153"/>
    <x v="156"/>
    <x v="1"/>
    <x v="4"/>
    <x v="1"/>
    <x v="4"/>
    <x v="4"/>
    <x v="2"/>
    <x v="4"/>
    <x v="103"/>
    <x v="0"/>
  </r>
  <r>
    <x v="0"/>
    <x v="0"/>
    <x v="0"/>
    <x v="2"/>
    <x v="0"/>
    <x v="13"/>
    <x v="1"/>
    <x v="4"/>
    <x v="10"/>
    <x v="7"/>
    <x v="0"/>
    <x v="0"/>
    <x v="1"/>
    <x v="0"/>
    <x v="0"/>
    <x v="0"/>
    <x v="165"/>
    <x v="169"/>
    <x v="1"/>
    <x v="3"/>
    <x v="1"/>
    <x v="3"/>
    <x v="3"/>
    <x v="2"/>
    <x v="3"/>
    <x v="119"/>
    <x v="0"/>
  </r>
  <r>
    <x v="0"/>
    <x v="0"/>
    <x v="0"/>
    <x v="2"/>
    <x v="0"/>
    <x v="13"/>
    <x v="1"/>
    <x v="4"/>
    <x v="10"/>
    <x v="8"/>
    <x v="0"/>
    <x v="0"/>
    <x v="1"/>
    <x v="0"/>
    <x v="0"/>
    <x v="0"/>
    <x v="180"/>
    <x v="186"/>
    <x v="1"/>
    <x v="2"/>
    <x v="1"/>
    <x v="2"/>
    <x v="2"/>
    <x v="2"/>
    <x v="2"/>
    <x v="159"/>
    <x v="0"/>
  </r>
  <r>
    <x v="0"/>
    <x v="0"/>
    <x v="0"/>
    <x v="2"/>
    <x v="0"/>
    <x v="13"/>
    <x v="1"/>
    <x v="4"/>
    <x v="13"/>
    <x v="27"/>
    <x v="0"/>
    <x v="0"/>
    <x v="1"/>
    <x v="0"/>
    <x v="0"/>
    <x v="0"/>
    <x v="114"/>
    <x v="117"/>
    <x v="1"/>
    <x v="1"/>
    <x v="1"/>
    <x v="1"/>
    <x v="9"/>
    <x v="2"/>
    <x v="9"/>
    <x v="68"/>
    <x v="0"/>
  </r>
  <r>
    <x v="0"/>
    <x v="0"/>
    <x v="0"/>
    <x v="2"/>
    <x v="0"/>
    <x v="13"/>
    <x v="1"/>
    <x v="6"/>
    <x v="5"/>
    <x v="13"/>
    <x v="0"/>
    <x v="0"/>
    <x v="1"/>
    <x v="0"/>
    <x v="0"/>
    <x v="4"/>
    <x v="33"/>
    <x v="34"/>
    <x v="1"/>
    <x v="15"/>
    <x v="1"/>
    <x v="15"/>
    <x v="18"/>
    <x v="2"/>
    <x v="18"/>
    <x v="171"/>
    <x v="0"/>
  </r>
  <r>
    <x v="0"/>
    <x v="0"/>
    <x v="0"/>
    <x v="2"/>
    <x v="0"/>
    <x v="13"/>
    <x v="1"/>
    <x v="6"/>
    <x v="8"/>
    <x v="10"/>
    <x v="0"/>
    <x v="0"/>
    <x v="1"/>
    <x v="0"/>
    <x v="0"/>
    <x v="3"/>
    <x v="89"/>
    <x v="92"/>
    <x v="1"/>
    <x v="12"/>
    <x v="1"/>
    <x v="12"/>
    <x v="13"/>
    <x v="2"/>
    <x v="13"/>
    <x v="154"/>
    <x v="0"/>
  </r>
  <r>
    <x v="0"/>
    <x v="0"/>
    <x v="0"/>
    <x v="2"/>
    <x v="0"/>
    <x v="13"/>
    <x v="1"/>
    <x v="6"/>
    <x v="10"/>
    <x v="3"/>
    <x v="0"/>
    <x v="0"/>
    <x v="1"/>
    <x v="0"/>
    <x v="0"/>
    <x v="0"/>
    <x v="185"/>
    <x v="191"/>
    <x v="1"/>
    <x v="6"/>
    <x v="1"/>
    <x v="6"/>
    <x v="8"/>
    <x v="2"/>
    <x v="8"/>
    <x v="174"/>
    <x v="0"/>
  </r>
  <r>
    <x v="0"/>
    <x v="0"/>
    <x v="0"/>
    <x v="2"/>
    <x v="0"/>
    <x v="13"/>
    <x v="1"/>
    <x v="6"/>
    <x v="10"/>
    <x v="4"/>
    <x v="0"/>
    <x v="0"/>
    <x v="1"/>
    <x v="0"/>
    <x v="0"/>
    <x v="0"/>
    <x v="46"/>
    <x v="47"/>
    <x v="1"/>
    <x v="5"/>
    <x v="1"/>
    <x v="5"/>
    <x v="6"/>
    <x v="2"/>
    <x v="6"/>
    <x v="6"/>
    <x v="0"/>
  </r>
  <r>
    <x v="0"/>
    <x v="0"/>
    <x v="0"/>
    <x v="2"/>
    <x v="0"/>
    <x v="13"/>
    <x v="1"/>
    <x v="6"/>
    <x v="13"/>
    <x v="27"/>
    <x v="0"/>
    <x v="0"/>
    <x v="1"/>
    <x v="0"/>
    <x v="0"/>
    <x v="0"/>
    <x v="81"/>
    <x v="83"/>
    <x v="1"/>
    <x v="1"/>
    <x v="1"/>
    <x v="1"/>
    <x v="9"/>
    <x v="2"/>
    <x v="9"/>
    <x v="40"/>
    <x v="0"/>
  </r>
  <r>
    <x v="0"/>
    <x v="0"/>
    <x v="0"/>
    <x v="2"/>
    <x v="0"/>
    <x v="13"/>
    <x v="1"/>
    <x v="8"/>
    <x v="5"/>
    <x v="13"/>
    <x v="0"/>
    <x v="0"/>
    <x v="1"/>
    <x v="0"/>
    <x v="0"/>
    <x v="4"/>
    <x v="15"/>
    <x v="15"/>
    <x v="1"/>
    <x v="15"/>
    <x v="1"/>
    <x v="15"/>
    <x v="18"/>
    <x v="2"/>
    <x v="18"/>
    <x v="132"/>
    <x v="0"/>
  </r>
  <r>
    <x v="0"/>
    <x v="0"/>
    <x v="0"/>
    <x v="2"/>
    <x v="0"/>
    <x v="13"/>
    <x v="1"/>
    <x v="8"/>
    <x v="8"/>
    <x v="10"/>
    <x v="0"/>
    <x v="0"/>
    <x v="1"/>
    <x v="0"/>
    <x v="0"/>
    <x v="3"/>
    <x v="50"/>
    <x v="51"/>
    <x v="1"/>
    <x v="12"/>
    <x v="1"/>
    <x v="12"/>
    <x v="13"/>
    <x v="2"/>
    <x v="13"/>
    <x v="106"/>
    <x v="0"/>
  </r>
  <r>
    <x v="0"/>
    <x v="0"/>
    <x v="0"/>
    <x v="2"/>
    <x v="0"/>
    <x v="13"/>
    <x v="1"/>
    <x v="8"/>
    <x v="10"/>
    <x v="3"/>
    <x v="0"/>
    <x v="0"/>
    <x v="1"/>
    <x v="0"/>
    <x v="0"/>
    <x v="0"/>
    <x v="79"/>
    <x v="81"/>
    <x v="1"/>
    <x v="6"/>
    <x v="1"/>
    <x v="6"/>
    <x v="8"/>
    <x v="2"/>
    <x v="8"/>
    <x v="22"/>
    <x v="0"/>
  </r>
  <r>
    <x v="0"/>
    <x v="0"/>
    <x v="0"/>
    <x v="2"/>
    <x v="0"/>
    <x v="13"/>
    <x v="1"/>
    <x v="8"/>
    <x v="10"/>
    <x v="4"/>
    <x v="0"/>
    <x v="0"/>
    <x v="1"/>
    <x v="0"/>
    <x v="0"/>
    <x v="0"/>
    <x v="138"/>
    <x v="141"/>
    <x v="1"/>
    <x v="5"/>
    <x v="1"/>
    <x v="5"/>
    <x v="6"/>
    <x v="2"/>
    <x v="6"/>
    <x v="84"/>
    <x v="0"/>
  </r>
  <r>
    <x v="0"/>
    <x v="0"/>
    <x v="0"/>
    <x v="2"/>
    <x v="0"/>
    <x v="13"/>
    <x v="1"/>
    <x v="8"/>
    <x v="10"/>
    <x v="5"/>
    <x v="0"/>
    <x v="0"/>
    <x v="1"/>
    <x v="0"/>
    <x v="0"/>
    <x v="0"/>
    <x v="150"/>
    <x v="153"/>
    <x v="1"/>
    <x v="4"/>
    <x v="1"/>
    <x v="4"/>
    <x v="5"/>
    <x v="2"/>
    <x v="5"/>
    <x v="99"/>
    <x v="0"/>
  </r>
  <r>
    <x v="0"/>
    <x v="0"/>
    <x v="0"/>
    <x v="2"/>
    <x v="0"/>
    <x v="13"/>
    <x v="1"/>
    <x v="8"/>
    <x v="10"/>
    <x v="7"/>
    <x v="0"/>
    <x v="0"/>
    <x v="1"/>
    <x v="0"/>
    <x v="0"/>
    <x v="0"/>
    <x v="133"/>
    <x v="136"/>
    <x v="1"/>
    <x v="3"/>
    <x v="1"/>
    <x v="3"/>
    <x v="3"/>
    <x v="2"/>
    <x v="3"/>
    <x v="71"/>
    <x v="0"/>
  </r>
  <r>
    <x v="0"/>
    <x v="0"/>
    <x v="0"/>
    <x v="2"/>
    <x v="0"/>
    <x v="13"/>
    <x v="1"/>
    <x v="8"/>
    <x v="13"/>
    <x v="27"/>
    <x v="0"/>
    <x v="0"/>
    <x v="1"/>
    <x v="0"/>
    <x v="0"/>
    <x v="0"/>
    <x v="55"/>
    <x v="56"/>
    <x v="1"/>
    <x v="1"/>
    <x v="1"/>
    <x v="1"/>
    <x v="9"/>
    <x v="2"/>
    <x v="9"/>
    <x v="16"/>
    <x v="0"/>
  </r>
  <r>
    <x v="0"/>
    <x v="0"/>
    <x v="0"/>
    <x v="2"/>
    <x v="0"/>
    <x v="13"/>
    <x v="1"/>
    <x v="5"/>
    <x v="5"/>
    <x v="13"/>
    <x v="0"/>
    <x v="0"/>
    <x v="1"/>
    <x v="0"/>
    <x v="0"/>
    <x v="4"/>
    <x v="29"/>
    <x v="25"/>
    <x v="1"/>
    <x v="15"/>
    <x v="1"/>
    <x v="15"/>
    <x v="18"/>
    <x v="2"/>
    <x v="18"/>
    <x v="165"/>
    <x v="0"/>
  </r>
  <r>
    <x v="0"/>
    <x v="0"/>
    <x v="0"/>
    <x v="2"/>
    <x v="0"/>
    <x v="13"/>
    <x v="1"/>
    <x v="5"/>
    <x v="8"/>
    <x v="10"/>
    <x v="0"/>
    <x v="0"/>
    <x v="1"/>
    <x v="0"/>
    <x v="0"/>
    <x v="3"/>
    <x v="76"/>
    <x v="69"/>
    <x v="1"/>
    <x v="12"/>
    <x v="1"/>
    <x v="12"/>
    <x v="13"/>
    <x v="2"/>
    <x v="13"/>
    <x v="140"/>
    <x v="0"/>
  </r>
  <r>
    <x v="0"/>
    <x v="0"/>
    <x v="0"/>
    <x v="2"/>
    <x v="0"/>
    <x v="13"/>
    <x v="1"/>
    <x v="5"/>
    <x v="10"/>
    <x v="3"/>
    <x v="0"/>
    <x v="0"/>
    <x v="1"/>
    <x v="0"/>
    <x v="0"/>
    <x v="0"/>
    <x v="159"/>
    <x v="158"/>
    <x v="1"/>
    <x v="6"/>
    <x v="1"/>
    <x v="6"/>
    <x v="8"/>
    <x v="2"/>
    <x v="8"/>
    <x v="120"/>
    <x v="0"/>
  </r>
  <r>
    <x v="0"/>
    <x v="0"/>
    <x v="0"/>
    <x v="2"/>
    <x v="0"/>
    <x v="13"/>
    <x v="1"/>
    <x v="5"/>
    <x v="10"/>
    <x v="7"/>
    <x v="0"/>
    <x v="0"/>
    <x v="1"/>
    <x v="0"/>
    <x v="0"/>
    <x v="0"/>
    <x v="181"/>
    <x v="185"/>
    <x v="1"/>
    <x v="3"/>
    <x v="1"/>
    <x v="3"/>
    <x v="3"/>
    <x v="2"/>
    <x v="3"/>
    <x v="162"/>
    <x v="0"/>
  </r>
  <r>
    <x v="0"/>
    <x v="0"/>
    <x v="0"/>
    <x v="2"/>
    <x v="0"/>
    <x v="13"/>
    <x v="1"/>
    <x v="5"/>
    <x v="13"/>
    <x v="27"/>
    <x v="0"/>
    <x v="0"/>
    <x v="1"/>
    <x v="0"/>
    <x v="0"/>
    <x v="0"/>
    <x v="86"/>
    <x v="88"/>
    <x v="1"/>
    <x v="1"/>
    <x v="1"/>
    <x v="1"/>
    <x v="9"/>
    <x v="2"/>
    <x v="9"/>
    <x v="43"/>
    <x v="0"/>
  </r>
  <r>
    <x v="0"/>
    <x v="0"/>
    <x v="0"/>
    <x v="2"/>
    <x v="0"/>
    <x v="13"/>
    <x v="1"/>
    <x v="1"/>
    <x v="5"/>
    <x v="13"/>
    <x v="0"/>
    <x v="0"/>
    <x v="1"/>
    <x v="0"/>
    <x v="0"/>
    <x v="4"/>
    <x v="11"/>
    <x v="11"/>
    <x v="1"/>
    <x v="15"/>
    <x v="1"/>
    <x v="15"/>
    <x v="18"/>
    <x v="2"/>
    <x v="18"/>
    <x v="118"/>
    <x v="0"/>
  </r>
  <r>
    <x v="0"/>
    <x v="0"/>
    <x v="0"/>
    <x v="2"/>
    <x v="0"/>
    <x v="13"/>
    <x v="1"/>
    <x v="1"/>
    <x v="8"/>
    <x v="10"/>
    <x v="0"/>
    <x v="0"/>
    <x v="1"/>
    <x v="0"/>
    <x v="0"/>
    <x v="3"/>
    <x v="53"/>
    <x v="54"/>
    <x v="1"/>
    <x v="12"/>
    <x v="1"/>
    <x v="12"/>
    <x v="13"/>
    <x v="2"/>
    <x v="13"/>
    <x v="112"/>
    <x v="0"/>
  </r>
  <r>
    <x v="0"/>
    <x v="0"/>
    <x v="0"/>
    <x v="2"/>
    <x v="0"/>
    <x v="13"/>
    <x v="1"/>
    <x v="1"/>
    <x v="10"/>
    <x v="3"/>
    <x v="0"/>
    <x v="0"/>
    <x v="1"/>
    <x v="0"/>
    <x v="0"/>
    <x v="0"/>
    <x v="112"/>
    <x v="115"/>
    <x v="1"/>
    <x v="6"/>
    <x v="1"/>
    <x v="6"/>
    <x v="8"/>
    <x v="2"/>
    <x v="8"/>
    <x v="52"/>
    <x v="0"/>
  </r>
  <r>
    <x v="0"/>
    <x v="0"/>
    <x v="0"/>
    <x v="2"/>
    <x v="0"/>
    <x v="13"/>
    <x v="1"/>
    <x v="1"/>
    <x v="10"/>
    <x v="4"/>
    <x v="0"/>
    <x v="0"/>
    <x v="1"/>
    <x v="0"/>
    <x v="0"/>
    <x v="0"/>
    <x v="179"/>
    <x v="184"/>
    <x v="1"/>
    <x v="5"/>
    <x v="1"/>
    <x v="5"/>
    <x v="6"/>
    <x v="2"/>
    <x v="6"/>
    <x v="152"/>
    <x v="0"/>
  </r>
  <r>
    <x v="0"/>
    <x v="0"/>
    <x v="0"/>
    <x v="2"/>
    <x v="0"/>
    <x v="13"/>
    <x v="1"/>
    <x v="1"/>
    <x v="10"/>
    <x v="6"/>
    <x v="0"/>
    <x v="0"/>
    <x v="1"/>
    <x v="0"/>
    <x v="0"/>
    <x v="0"/>
    <x v="119"/>
    <x v="122"/>
    <x v="1"/>
    <x v="4"/>
    <x v="1"/>
    <x v="4"/>
    <x v="4"/>
    <x v="2"/>
    <x v="4"/>
    <x v="54"/>
    <x v="0"/>
  </r>
  <r>
    <x v="0"/>
    <x v="0"/>
    <x v="0"/>
    <x v="2"/>
    <x v="0"/>
    <x v="13"/>
    <x v="1"/>
    <x v="1"/>
    <x v="13"/>
    <x v="27"/>
    <x v="0"/>
    <x v="0"/>
    <x v="1"/>
    <x v="0"/>
    <x v="0"/>
    <x v="0"/>
    <x v="68"/>
    <x v="70"/>
    <x v="1"/>
    <x v="1"/>
    <x v="1"/>
    <x v="1"/>
    <x v="9"/>
    <x v="2"/>
    <x v="9"/>
    <x v="29"/>
    <x v="0"/>
  </r>
  <r>
    <x v="0"/>
    <x v="0"/>
    <x v="0"/>
    <x v="2"/>
    <x v="0"/>
    <x v="14"/>
    <x v="1"/>
    <x v="4"/>
    <x v="5"/>
    <x v="13"/>
    <x v="0"/>
    <x v="0"/>
    <x v="1"/>
    <x v="0"/>
    <x v="0"/>
    <x v="4"/>
    <x v="8"/>
    <x v="8"/>
    <x v="1"/>
    <x v="15"/>
    <x v="1"/>
    <x v="15"/>
    <x v="18"/>
    <x v="2"/>
    <x v="18"/>
    <x v="111"/>
    <x v="0"/>
  </r>
  <r>
    <x v="0"/>
    <x v="0"/>
    <x v="0"/>
    <x v="2"/>
    <x v="0"/>
    <x v="14"/>
    <x v="1"/>
    <x v="4"/>
    <x v="8"/>
    <x v="10"/>
    <x v="0"/>
    <x v="0"/>
    <x v="1"/>
    <x v="0"/>
    <x v="0"/>
    <x v="3"/>
    <x v="49"/>
    <x v="50"/>
    <x v="1"/>
    <x v="12"/>
    <x v="1"/>
    <x v="12"/>
    <x v="13"/>
    <x v="2"/>
    <x v="13"/>
    <x v="102"/>
    <x v="0"/>
  </r>
  <r>
    <x v="0"/>
    <x v="0"/>
    <x v="0"/>
    <x v="2"/>
    <x v="0"/>
    <x v="14"/>
    <x v="1"/>
    <x v="4"/>
    <x v="10"/>
    <x v="19"/>
    <x v="0"/>
    <x v="0"/>
    <x v="1"/>
    <x v="0"/>
    <x v="0"/>
    <x v="0"/>
    <x v="48"/>
    <x v="49"/>
    <x v="1"/>
    <x v="6"/>
    <x v="1"/>
    <x v="6"/>
    <x v="7"/>
    <x v="2"/>
    <x v="7"/>
    <x v="7"/>
    <x v="0"/>
  </r>
  <r>
    <x v="0"/>
    <x v="0"/>
    <x v="0"/>
    <x v="2"/>
    <x v="0"/>
    <x v="14"/>
    <x v="1"/>
    <x v="4"/>
    <x v="10"/>
    <x v="3"/>
    <x v="0"/>
    <x v="0"/>
    <x v="1"/>
    <x v="0"/>
    <x v="0"/>
    <x v="0"/>
    <x v="137"/>
    <x v="140"/>
    <x v="1"/>
    <x v="6"/>
    <x v="1"/>
    <x v="6"/>
    <x v="8"/>
    <x v="2"/>
    <x v="8"/>
    <x v="80"/>
    <x v="0"/>
  </r>
  <r>
    <x v="0"/>
    <x v="0"/>
    <x v="0"/>
    <x v="2"/>
    <x v="0"/>
    <x v="14"/>
    <x v="1"/>
    <x v="4"/>
    <x v="10"/>
    <x v="4"/>
    <x v="0"/>
    <x v="0"/>
    <x v="1"/>
    <x v="0"/>
    <x v="0"/>
    <x v="0"/>
    <x v="85"/>
    <x v="87"/>
    <x v="1"/>
    <x v="5"/>
    <x v="1"/>
    <x v="5"/>
    <x v="6"/>
    <x v="2"/>
    <x v="6"/>
    <x v="26"/>
    <x v="0"/>
  </r>
  <r>
    <x v="0"/>
    <x v="0"/>
    <x v="0"/>
    <x v="2"/>
    <x v="0"/>
    <x v="14"/>
    <x v="1"/>
    <x v="4"/>
    <x v="10"/>
    <x v="6"/>
    <x v="0"/>
    <x v="0"/>
    <x v="1"/>
    <x v="0"/>
    <x v="0"/>
    <x v="0"/>
    <x v="97"/>
    <x v="100"/>
    <x v="1"/>
    <x v="4"/>
    <x v="1"/>
    <x v="4"/>
    <x v="4"/>
    <x v="2"/>
    <x v="4"/>
    <x v="38"/>
    <x v="0"/>
  </r>
  <r>
    <x v="0"/>
    <x v="0"/>
    <x v="0"/>
    <x v="2"/>
    <x v="0"/>
    <x v="14"/>
    <x v="1"/>
    <x v="4"/>
    <x v="10"/>
    <x v="7"/>
    <x v="0"/>
    <x v="0"/>
    <x v="1"/>
    <x v="0"/>
    <x v="0"/>
    <x v="0"/>
    <x v="128"/>
    <x v="131"/>
    <x v="1"/>
    <x v="3"/>
    <x v="1"/>
    <x v="3"/>
    <x v="3"/>
    <x v="2"/>
    <x v="3"/>
    <x v="62"/>
    <x v="0"/>
  </r>
  <r>
    <x v="0"/>
    <x v="0"/>
    <x v="0"/>
    <x v="2"/>
    <x v="0"/>
    <x v="14"/>
    <x v="1"/>
    <x v="4"/>
    <x v="10"/>
    <x v="8"/>
    <x v="0"/>
    <x v="0"/>
    <x v="1"/>
    <x v="0"/>
    <x v="0"/>
    <x v="0"/>
    <x v="174"/>
    <x v="179"/>
    <x v="1"/>
    <x v="2"/>
    <x v="1"/>
    <x v="2"/>
    <x v="2"/>
    <x v="2"/>
    <x v="2"/>
    <x v="134"/>
    <x v="0"/>
  </r>
  <r>
    <x v="0"/>
    <x v="0"/>
    <x v="0"/>
    <x v="2"/>
    <x v="0"/>
    <x v="14"/>
    <x v="1"/>
    <x v="4"/>
    <x v="13"/>
    <x v="27"/>
    <x v="0"/>
    <x v="0"/>
    <x v="1"/>
    <x v="0"/>
    <x v="0"/>
    <x v="0"/>
    <x v="74"/>
    <x v="76"/>
    <x v="1"/>
    <x v="1"/>
    <x v="1"/>
    <x v="1"/>
    <x v="9"/>
    <x v="2"/>
    <x v="9"/>
    <x v="34"/>
    <x v="0"/>
  </r>
  <r>
    <x v="0"/>
    <x v="0"/>
    <x v="0"/>
    <x v="2"/>
    <x v="0"/>
    <x v="14"/>
    <x v="1"/>
    <x v="6"/>
    <x v="5"/>
    <x v="13"/>
    <x v="0"/>
    <x v="0"/>
    <x v="1"/>
    <x v="0"/>
    <x v="0"/>
    <x v="4"/>
    <x v="19"/>
    <x v="19"/>
    <x v="1"/>
    <x v="15"/>
    <x v="1"/>
    <x v="15"/>
    <x v="18"/>
    <x v="2"/>
    <x v="18"/>
    <x v="144"/>
    <x v="0"/>
  </r>
  <r>
    <x v="0"/>
    <x v="0"/>
    <x v="0"/>
    <x v="2"/>
    <x v="0"/>
    <x v="14"/>
    <x v="1"/>
    <x v="6"/>
    <x v="8"/>
    <x v="10"/>
    <x v="0"/>
    <x v="0"/>
    <x v="1"/>
    <x v="0"/>
    <x v="0"/>
    <x v="3"/>
    <x v="63"/>
    <x v="64"/>
    <x v="1"/>
    <x v="12"/>
    <x v="1"/>
    <x v="12"/>
    <x v="13"/>
    <x v="2"/>
    <x v="13"/>
    <x v="122"/>
    <x v="0"/>
  </r>
  <r>
    <x v="0"/>
    <x v="0"/>
    <x v="0"/>
    <x v="2"/>
    <x v="0"/>
    <x v="14"/>
    <x v="1"/>
    <x v="6"/>
    <x v="10"/>
    <x v="3"/>
    <x v="0"/>
    <x v="0"/>
    <x v="1"/>
    <x v="0"/>
    <x v="0"/>
    <x v="0"/>
    <x v="177"/>
    <x v="182"/>
    <x v="1"/>
    <x v="6"/>
    <x v="1"/>
    <x v="6"/>
    <x v="8"/>
    <x v="2"/>
    <x v="8"/>
    <x v="1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900-000000000000}" name="PivotTable1" cacheId="0" applyNumberFormats="0" applyBorderFormats="0" applyFontFormats="0" applyPatternFormats="0" applyAlignmentFormats="0" applyWidthHeightFormats="0" dataCaption="Values" itemPrintTitles="1" indent="0" compact="0" compactData="0">
  <location ref="A3:C33" firstHeaderRow="1" firstDataRow="1" firstDataCol="2"/>
  <pivotFields count="2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9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/>
    <pivotField compact="0" showAll="0"/>
    <pivotField compact="0" outline="0" showAll="0"/>
    <pivotField compact="0" showAll="0"/>
    <pivotField compact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</pivotFields>
  <rowFields count="2">
    <field x="9"/>
    <field x="15"/>
  </rowFields>
  <dataFields count="1">
    <dataField name="Sum of Quantity" fld="16" baseField="0" baseItem="0" numFmtId="2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52"/>
  <sheetViews>
    <sheetView showGridLines="0" tabSelected="1" topLeftCell="A23" zoomScaleNormal="100" workbookViewId="0">
      <selection activeCell="C42" sqref="C42"/>
    </sheetView>
  </sheetViews>
  <sheetFormatPr defaultColWidth="8.6328125" defaultRowHeight="14.5" x14ac:dyDescent="0.35"/>
  <cols>
    <col min="1" max="1" width="4" customWidth="1"/>
    <col min="2" max="2" width="24.7265625" bestFit="1" customWidth="1"/>
    <col min="3" max="3" width="34" customWidth="1"/>
    <col min="4" max="4" width="16" customWidth="1"/>
    <col min="5" max="5" width="18" customWidth="1"/>
    <col min="6" max="6" width="4" customWidth="1"/>
  </cols>
  <sheetData>
    <row r="1" spans="2:5" ht="27.75" customHeight="1" x14ac:dyDescent="0.35">
      <c r="B1" s="195" t="s">
        <v>0</v>
      </c>
      <c r="C1" s="195"/>
      <c r="D1" s="195"/>
      <c r="E1" s="195"/>
    </row>
    <row r="2" spans="2:5" ht="15" customHeight="1" x14ac:dyDescent="0.35">
      <c r="B2" s="196" t="s">
        <v>1</v>
      </c>
      <c r="C2" s="196"/>
      <c r="D2" s="196"/>
      <c r="E2" s="196"/>
    </row>
    <row r="4" spans="2:5" ht="15" customHeight="1" x14ac:dyDescent="0.35">
      <c r="B4" s="3" t="s">
        <v>2</v>
      </c>
      <c r="C4" s="194" t="s">
        <v>3</v>
      </c>
      <c r="D4" s="194"/>
      <c r="E4" s="194"/>
    </row>
    <row r="5" spans="2:5" ht="15" customHeight="1" x14ac:dyDescent="0.35">
      <c r="B5" s="3" t="s">
        <v>4</v>
      </c>
      <c r="C5" s="194" t="s">
        <v>5</v>
      </c>
      <c r="D5" s="194"/>
      <c r="E5" s="194"/>
    </row>
    <row r="6" spans="2:5" ht="15" customHeight="1" x14ac:dyDescent="0.35">
      <c r="B6" s="3" t="s">
        <v>6</v>
      </c>
      <c r="C6" s="194" t="s">
        <v>7</v>
      </c>
      <c r="D6" s="194"/>
      <c r="E6" s="194"/>
    </row>
    <row r="7" spans="2:5" ht="15" customHeight="1" x14ac:dyDescent="0.35">
      <c r="B7" s="3" t="s">
        <v>8</v>
      </c>
      <c r="C7" s="194" t="s">
        <v>9</v>
      </c>
      <c r="D7" s="194"/>
      <c r="E7" s="194"/>
    </row>
    <row r="8" spans="2:5" ht="15" customHeight="1" x14ac:dyDescent="0.35">
      <c r="B8" s="3" t="s">
        <v>10</v>
      </c>
      <c r="C8" s="194" t="s">
        <v>11</v>
      </c>
      <c r="D8" s="194"/>
      <c r="E8" s="194"/>
    </row>
    <row r="9" spans="2:5" ht="15" customHeight="1" x14ac:dyDescent="0.35">
      <c r="B9" s="3" t="s">
        <v>12</v>
      </c>
      <c r="C9" s="194" t="s">
        <v>13</v>
      </c>
      <c r="D9" s="194"/>
      <c r="E9" s="194"/>
    </row>
    <row r="10" spans="2:5" ht="15" customHeight="1" x14ac:dyDescent="0.35">
      <c r="B10" s="3" t="s">
        <v>14</v>
      </c>
      <c r="C10" s="194" t="s">
        <v>15</v>
      </c>
      <c r="D10" s="194"/>
      <c r="E10" s="194"/>
    </row>
    <row r="12" spans="2:5" ht="15" customHeight="1" x14ac:dyDescent="0.35">
      <c r="B12" s="192" t="s">
        <v>16</v>
      </c>
      <c r="C12" s="192"/>
      <c r="D12" s="192"/>
      <c r="E12" s="192"/>
    </row>
    <row r="13" spans="2:5" ht="15" customHeight="1" x14ac:dyDescent="0.35">
      <c r="B13" s="4" t="s">
        <v>17</v>
      </c>
      <c r="C13" s="4" t="s">
        <v>18</v>
      </c>
      <c r="D13" s="4" t="s">
        <v>19</v>
      </c>
      <c r="E13" s="4" t="s">
        <v>20</v>
      </c>
    </row>
    <row r="14" spans="2:5" ht="15" customHeight="1" x14ac:dyDescent="0.35">
      <c r="B14" s="5" t="s">
        <v>21</v>
      </c>
      <c r="C14" s="6" t="s">
        <v>22</v>
      </c>
      <c r="D14" s="7" t="s">
        <v>23</v>
      </c>
      <c r="E14" s="8" t="s">
        <v>24</v>
      </c>
    </row>
    <row r="15" spans="2:5" ht="15" customHeight="1" x14ac:dyDescent="0.35">
      <c r="B15" s="9" t="s">
        <v>25</v>
      </c>
      <c r="C15" s="1" t="s">
        <v>26</v>
      </c>
      <c r="D15" s="10">
        <f>SUMIF('Raw Data'!$D:$D,"B.01",'Raw Data'!$Z:$Z)</f>
        <v>105084.37061826208</v>
      </c>
      <c r="E15" s="11" t="s">
        <v>27</v>
      </c>
    </row>
    <row r="16" spans="2:5" ht="15" customHeight="1" x14ac:dyDescent="0.35">
      <c r="B16" s="9" t="s">
        <v>28</v>
      </c>
      <c r="C16" s="1" t="s">
        <v>29</v>
      </c>
      <c r="D16" s="10">
        <f>SUMIF('Raw Data'!$D:$D,"B.03",'Raw Data'!$Z:$Z)</f>
        <v>95210.47492665601</v>
      </c>
      <c r="E16" s="11" t="s">
        <v>27</v>
      </c>
    </row>
    <row r="17" spans="2:5" ht="15" customHeight="1" x14ac:dyDescent="0.35">
      <c r="B17" s="9" t="s">
        <v>30</v>
      </c>
      <c r="C17" s="1" t="s">
        <v>31</v>
      </c>
      <c r="D17" s="10">
        <f>SUMIF('Raw Data'!$D:$D,"B.04",'Raw Data'!$Z:$Z)</f>
        <v>1124399.6639339789</v>
      </c>
      <c r="E17" s="11" t="s">
        <v>27</v>
      </c>
    </row>
    <row r="18" spans="2:5" ht="15" customHeight="1" x14ac:dyDescent="0.35">
      <c r="B18" s="9" t="s">
        <v>32</v>
      </c>
      <c r="C18" s="1" t="s">
        <v>33</v>
      </c>
      <c r="D18" s="10">
        <f>SUMIF('Raw Data'!$D:$D,"C.01",'Raw Data'!$Z:$Z)</f>
        <v>103864.40923999999</v>
      </c>
      <c r="E18" s="11" t="s">
        <v>27</v>
      </c>
    </row>
    <row r="19" spans="2:5" ht="15" customHeight="1" x14ac:dyDescent="0.35">
      <c r="B19" s="9" t="s">
        <v>34</v>
      </c>
      <c r="C19" s="1" t="s">
        <v>35</v>
      </c>
      <c r="D19" s="10">
        <f>SUMIF('Raw Data'!$D:$D,"C.02",'Raw Data'!$Z:$Z)</f>
        <v>97761.364319999993</v>
      </c>
      <c r="E19" s="11" t="s">
        <v>27</v>
      </c>
    </row>
    <row r="20" spans="2:5" ht="15" customHeight="1" x14ac:dyDescent="0.35">
      <c r="B20" s="9" t="s">
        <v>36</v>
      </c>
      <c r="C20" s="1" t="s">
        <v>37</v>
      </c>
      <c r="D20" s="10">
        <f>SUMIF('Raw Data'!$D:$D,"C.04",'Raw Data'!$Z:$Z)</f>
        <v>95868.191999999995</v>
      </c>
      <c r="E20" s="11" t="s">
        <v>27</v>
      </c>
    </row>
    <row r="21" spans="2:5" ht="15" customHeight="1" x14ac:dyDescent="0.35">
      <c r="B21" s="9" t="s">
        <v>38</v>
      </c>
      <c r="C21" s="1" t="s">
        <v>39</v>
      </c>
      <c r="D21" s="10">
        <f>SUMIF('Raw Data'!$D:$D,"C.09",'Raw Data'!$Z:$Z)</f>
        <v>100365.77015999997</v>
      </c>
      <c r="E21" s="11" t="s">
        <v>27</v>
      </c>
    </row>
    <row r="22" spans="2:5" ht="15" customHeight="1" x14ac:dyDescent="0.35">
      <c r="B22" s="9" t="s">
        <v>40</v>
      </c>
      <c r="C22" s="1" t="s">
        <v>41</v>
      </c>
      <c r="D22" s="10">
        <f>SUMIF('Raw Data'!$D:$D,"C.10",'Raw Data'!$Z:$Z)</f>
        <v>44984.799999999996</v>
      </c>
      <c r="E22" s="11" t="s">
        <v>27</v>
      </c>
    </row>
    <row r="23" spans="2:5" ht="15" customHeight="1" x14ac:dyDescent="0.35">
      <c r="B23" s="9" t="s">
        <v>42</v>
      </c>
      <c r="C23" s="1" t="s">
        <v>43</v>
      </c>
      <c r="D23" s="10">
        <f>SUMIF('Raw Data'!$D:$D,"D.01",'Raw Data'!$Z:$Z)</f>
        <v>139757.6354400001</v>
      </c>
      <c r="E23" s="11" t="s">
        <v>27</v>
      </c>
    </row>
    <row r="24" spans="2:5" ht="15" customHeight="1" x14ac:dyDescent="0.35">
      <c r="B24" s="9" t="s">
        <v>44</v>
      </c>
      <c r="C24" s="1" t="s">
        <v>45</v>
      </c>
      <c r="D24" s="10">
        <f>SUMIF('Raw Data'!$D:$D,"D.02",'Raw Data'!$Z:$Z)</f>
        <v>43665.439999999995</v>
      </c>
      <c r="E24" s="11" t="s">
        <v>27</v>
      </c>
    </row>
    <row r="25" spans="2:5" ht="15" customHeight="1" x14ac:dyDescent="0.35">
      <c r="B25" s="9" t="s">
        <v>46</v>
      </c>
      <c r="C25" s="1" t="s">
        <v>47</v>
      </c>
      <c r="D25" s="10">
        <f>SUMIF('Raw Data'!$D:$D,"D.03",'Raw Data'!$Z:$Z)</f>
        <v>72072.000000000015</v>
      </c>
      <c r="E25" s="11" t="s">
        <v>27</v>
      </c>
    </row>
    <row r="26" spans="2:5" ht="15" customHeight="1" x14ac:dyDescent="0.35">
      <c r="B26" s="9" t="s">
        <v>48</v>
      </c>
      <c r="C26" s="1" t="s">
        <v>49</v>
      </c>
      <c r="D26" s="10">
        <f>SUMIF('Raw Data'!$D:$D,"E.04",'Raw Data'!$Z:$Z)</f>
        <v>6600</v>
      </c>
      <c r="E26" s="11" t="s">
        <v>27</v>
      </c>
    </row>
    <row r="27" spans="2:5" ht="15" customHeight="1" x14ac:dyDescent="0.35">
      <c r="B27" s="5" t="s">
        <v>50</v>
      </c>
      <c r="C27" s="6" t="s">
        <v>51</v>
      </c>
      <c r="D27" s="7" t="s">
        <v>23</v>
      </c>
      <c r="E27" s="8" t="s">
        <v>24</v>
      </c>
    </row>
    <row r="28" spans="2:5" ht="15" customHeight="1" x14ac:dyDescent="0.35">
      <c r="B28" s="5" t="s">
        <v>52</v>
      </c>
      <c r="C28" s="6" t="s">
        <v>53</v>
      </c>
      <c r="D28" s="7" t="s">
        <v>23</v>
      </c>
      <c r="E28" s="8" t="s">
        <v>24</v>
      </c>
    </row>
    <row r="29" spans="2:5" ht="15" customHeight="1" x14ac:dyDescent="0.35">
      <c r="B29" s="5" t="s">
        <v>54</v>
      </c>
      <c r="C29" s="6" t="s">
        <v>55</v>
      </c>
      <c r="D29" s="7" t="s">
        <v>23</v>
      </c>
      <c r="E29" s="8" t="s">
        <v>24</v>
      </c>
    </row>
    <row r="30" spans="2:5" ht="15" customHeight="1" x14ac:dyDescent="0.35">
      <c r="B30" s="191" t="s">
        <v>56</v>
      </c>
      <c r="C30" s="191"/>
      <c r="D30" s="12">
        <f>D15+D16+D17+D18+D19+D20+D21+D22+D23+D24+D25+D26</f>
        <v>2029634.1206388969</v>
      </c>
      <c r="E30" s="13"/>
    </row>
    <row r="32" spans="2:5" ht="15" customHeight="1" x14ac:dyDescent="0.35">
      <c r="B32" s="192" t="s">
        <v>57</v>
      </c>
      <c r="C32" s="192"/>
      <c r="D32" s="192"/>
      <c r="E32" s="192"/>
    </row>
    <row r="33" spans="2:5" ht="15" customHeight="1" x14ac:dyDescent="0.35">
      <c r="B33" s="4" t="s">
        <v>58</v>
      </c>
      <c r="C33" s="4" t="s">
        <v>59</v>
      </c>
      <c r="D33" s="4" t="s">
        <v>19</v>
      </c>
      <c r="E33" s="4"/>
    </row>
    <row r="34" spans="2:5" ht="15" customHeight="1" x14ac:dyDescent="0.35">
      <c r="B34" s="14" t="s">
        <v>60</v>
      </c>
      <c r="C34" s="15"/>
      <c r="D34" s="16">
        <f>D30</f>
        <v>2029634.1206388969</v>
      </c>
      <c r="E34" s="15"/>
    </row>
    <row r="35" spans="2:5" ht="21.75" customHeight="1" x14ac:dyDescent="0.35">
      <c r="B35" s="1" t="s">
        <v>61</v>
      </c>
      <c r="C35" s="17" t="s">
        <v>62</v>
      </c>
      <c r="D35" s="10">
        <f>Preliminaries!$F$27</f>
        <v>403700</v>
      </c>
      <c r="E35" s="15"/>
    </row>
    <row r="36" spans="2:5" ht="15" customHeight="1" x14ac:dyDescent="0.35">
      <c r="B36" s="2" t="s">
        <v>63</v>
      </c>
      <c r="C36" s="18"/>
      <c r="D36" s="19">
        <f>D34+D35</f>
        <v>2433334.1206388967</v>
      </c>
      <c r="E36" s="18"/>
    </row>
    <row r="37" spans="2:5" ht="15" customHeight="1" x14ac:dyDescent="0.35">
      <c r="B37" s="1" t="s">
        <v>64</v>
      </c>
      <c r="C37" s="20">
        <v>0.05</v>
      </c>
      <c r="D37" s="10">
        <f>D36*C37</f>
        <v>121666.70603194484</v>
      </c>
      <c r="E37" s="15"/>
    </row>
    <row r="38" spans="2:5" ht="15" customHeight="1" x14ac:dyDescent="0.35">
      <c r="B38" s="1" t="s">
        <v>65</v>
      </c>
      <c r="C38" s="20">
        <v>0.03</v>
      </c>
      <c r="D38" s="10">
        <f>D36*C38</f>
        <v>73000.023619166896</v>
      </c>
      <c r="E38" s="15"/>
    </row>
    <row r="39" spans="2:5" ht="15" customHeight="1" x14ac:dyDescent="0.35">
      <c r="B39" s="1" t="s">
        <v>66</v>
      </c>
      <c r="C39" s="20">
        <v>0.08</v>
      </c>
      <c r="D39" s="10">
        <f>D36*C39</f>
        <v>194666.72965111173</v>
      </c>
      <c r="E39" s="15"/>
    </row>
    <row r="40" spans="2:5" ht="15" customHeight="1" x14ac:dyDescent="0.35">
      <c r="B40" s="2" t="s">
        <v>67</v>
      </c>
      <c r="C40" s="18"/>
      <c r="D40" s="19">
        <f>D36+D37+D38+D39</f>
        <v>2822667.57994112</v>
      </c>
      <c r="E40" s="18"/>
    </row>
    <row r="41" spans="2:5" ht="15" customHeight="1" x14ac:dyDescent="0.35">
      <c r="B41" s="1" t="s">
        <v>68</v>
      </c>
      <c r="C41" s="20">
        <v>0.1</v>
      </c>
      <c r="D41" s="10">
        <f>D40*C41</f>
        <v>282266.75799411203</v>
      </c>
      <c r="E41" s="15"/>
    </row>
    <row r="42" spans="2:5" ht="26.25" customHeight="1" x14ac:dyDescent="0.35">
      <c r="B42" s="21" t="s">
        <v>69</v>
      </c>
      <c r="C42" s="13"/>
      <c r="D42" s="22">
        <f>D40+D41</f>
        <v>3104934.3379352321</v>
      </c>
      <c r="E42" s="13"/>
    </row>
    <row r="43" spans="2:5" ht="15" customHeight="1" x14ac:dyDescent="0.35">
      <c r="B43" s="193" t="s">
        <v>70</v>
      </c>
      <c r="C43" s="193"/>
      <c r="D43" s="193"/>
      <c r="E43" s="193"/>
    </row>
    <row r="45" spans="2:5" ht="15" customHeight="1" x14ac:dyDescent="0.35">
      <c r="B45" s="192" t="s">
        <v>71</v>
      </c>
      <c r="C45" s="192"/>
      <c r="D45" s="192"/>
      <c r="E45" s="192"/>
    </row>
    <row r="46" spans="2:5" ht="15" customHeight="1" x14ac:dyDescent="0.35">
      <c r="B46" s="190" t="s">
        <v>72</v>
      </c>
      <c r="C46" s="190"/>
      <c r="D46" s="190" t="s">
        <v>73</v>
      </c>
      <c r="E46" s="190"/>
    </row>
    <row r="47" spans="2:5" ht="30" customHeight="1" x14ac:dyDescent="0.35"/>
    <row r="48" spans="2:5" ht="15" customHeight="1" x14ac:dyDescent="0.35">
      <c r="B48" s="23" t="s">
        <v>74</v>
      </c>
      <c r="C48" s="24"/>
      <c r="D48" s="23" t="s">
        <v>74</v>
      </c>
      <c r="E48" s="24"/>
    </row>
    <row r="50" spans="2:5" ht="15" customHeight="1" x14ac:dyDescent="0.35">
      <c r="B50" s="190" t="s">
        <v>75</v>
      </c>
      <c r="C50" s="190"/>
      <c r="D50" s="190" t="s">
        <v>76</v>
      </c>
      <c r="E50" s="190"/>
    </row>
    <row r="51" spans="2:5" ht="30" customHeight="1" x14ac:dyDescent="0.35"/>
    <row r="52" spans="2:5" ht="15" customHeight="1" x14ac:dyDescent="0.35">
      <c r="B52" s="23" t="s">
        <v>74</v>
      </c>
      <c r="C52" s="24"/>
      <c r="D52" s="23" t="s">
        <v>74</v>
      </c>
      <c r="E52" s="24"/>
    </row>
  </sheetData>
  <mergeCells count="18">
    <mergeCell ref="B1:E1"/>
    <mergeCell ref="B2:E2"/>
    <mergeCell ref="C4:E4"/>
    <mergeCell ref="C5:E5"/>
    <mergeCell ref="C6:E6"/>
    <mergeCell ref="C7:E7"/>
    <mergeCell ref="C8:E8"/>
    <mergeCell ref="C9:E9"/>
    <mergeCell ref="C10:E10"/>
    <mergeCell ref="B12:E12"/>
    <mergeCell ref="B50:C50"/>
    <mergeCell ref="D50:E50"/>
    <mergeCell ref="B30:C30"/>
    <mergeCell ref="B32:E32"/>
    <mergeCell ref="B43:E43"/>
    <mergeCell ref="B45:E45"/>
    <mergeCell ref="B46:C46"/>
    <mergeCell ref="D46:E46"/>
  </mergeCells>
  <pageMargins left="0.4" right="0.4" top="0.4" bottom="0.4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6"/>
  <sheetViews>
    <sheetView showGridLines="0" zoomScaleNormal="100" workbookViewId="0">
      <pane ySplit="5" topLeftCell="A69" activePane="bottomLeft" state="frozen"/>
      <selection pane="bottomLeft" activeCell="E9" sqref="E9"/>
    </sheetView>
  </sheetViews>
  <sheetFormatPr defaultColWidth="8.6328125" defaultRowHeight="14.5" x14ac:dyDescent="0.35"/>
  <cols>
    <col min="1" max="1" width="10" customWidth="1"/>
    <col min="2" max="2" width="54" customWidth="1"/>
    <col min="3" max="3" width="7" customWidth="1"/>
    <col min="4" max="4" width="12" customWidth="1"/>
    <col min="5" max="5" width="13" customWidth="1"/>
    <col min="6" max="6" width="15" bestFit="1" customWidth="1"/>
    <col min="7" max="7" width="13" customWidth="1"/>
    <col min="8" max="8" width="15" customWidth="1"/>
  </cols>
  <sheetData>
    <row r="1" spans="1:8" ht="17.25" customHeight="1" x14ac:dyDescent="0.4">
      <c r="A1" s="25" t="s">
        <v>77</v>
      </c>
    </row>
    <row r="2" spans="1:8" ht="15" customHeight="1" x14ac:dyDescent="0.35">
      <c r="A2" s="26" t="s">
        <v>78</v>
      </c>
    </row>
    <row r="3" spans="1:8" ht="15" customHeight="1" x14ac:dyDescent="0.35">
      <c r="A3" s="27" t="s">
        <v>79</v>
      </c>
    </row>
    <row r="5" spans="1:8" ht="23.25" customHeight="1" x14ac:dyDescent="0.35">
      <c r="A5" s="28" t="s">
        <v>58</v>
      </c>
      <c r="B5" s="28" t="s">
        <v>18</v>
      </c>
      <c r="C5" s="28" t="s">
        <v>80</v>
      </c>
      <c r="D5" s="28" t="s">
        <v>81</v>
      </c>
      <c r="E5" s="28" t="s">
        <v>82</v>
      </c>
      <c r="F5" s="216" t="s">
        <v>83</v>
      </c>
      <c r="G5" s="28" t="s">
        <v>84</v>
      </c>
      <c r="H5" s="28" t="s">
        <v>19</v>
      </c>
    </row>
    <row r="6" spans="1:8" ht="15" customHeight="1" x14ac:dyDescent="0.35">
      <c r="A6" s="192" t="s">
        <v>85</v>
      </c>
      <c r="B6" s="192"/>
      <c r="C6" s="192"/>
      <c r="D6" s="192"/>
      <c r="E6" s="192"/>
      <c r="F6" s="192"/>
      <c r="G6" s="192"/>
      <c r="H6" s="192"/>
    </row>
    <row r="7" spans="1:8" ht="15" customHeight="1" x14ac:dyDescent="0.35">
      <c r="A7" s="197" t="s">
        <v>86</v>
      </c>
      <c r="B7" s="197"/>
      <c r="C7" s="197"/>
      <c r="D7" s="197"/>
      <c r="E7" s="197"/>
      <c r="F7" s="197"/>
      <c r="G7" s="197"/>
      <c r="H7" s="197"/>
    </row>
    <row r="8" spans="1:8" ht="15" customHeight="1" x14ac:dyDescent="0.35">
      <c r="A8" s="29" t="s">
        <v>87</v>
      </c>
      <c r="B8" s="30" t="s">
        <v>88</v>
      </c>
      <c r="C8" s="29" t="s">
        <v>89</v>
      </c>
      <c r="D8" s="31">
        <f>SUMIFS('Raw Data'!$Q:$Q,'Raw Data'!$D:$D,"B.01",'Raw Data'!$H:$H,"Bored Pile",'Raw Data'!$J:$J,"Pile Head Cutting up to required level D1000mm")</f>
        <v>5</v>
      </c>
      <c r="E8" s="32">
        <f>IFERROR(INDEX('Price List'!$I$5:$I$74,MATCH("Pile Head Cutting up to required level D1000mm|Nos",'Price List'!$O$5:$O$74,0)),0)</f>
        <v>66</v>
      </c>
      <c r="F8" s="32">
        <f>IFERROR(INDEX('Price List'!$L$5:$L$74,MATCH("Pile Head Cutting up to required level D1000mm|Nos",'Price List'!$O$5:$O$74,0)),0)</f>
        <v>0</v>
      </c>
      <c r="G8" s="32">
        <f t="shared" ref="G8:G18" si="0">E8+F8</f>
        <v>66</v>
      </c>
      <c r="H8" s="33">
        <f>SUMIFS('Raw Data'!$Z:$Z,'Raw Data'!$D:$D,"B.01",'Raw Data'!$H:$H,"Bored Pile",'Raw Data'!$J:$J,"Pile Head Cutting up to required level D1000mm")</f>
        <v>330</v>
      </c>
    </row>
    <row r="9" spans="1:8" ht="15" customHeight="1" x14ac:dyDescent="0.35">
      <c r="A9" s="29" t="s">
        <v>90</v>
      </c>
      <c r="B9" s="30" t="s">
        <v>91</v>
      </c>
      <c r="C9" s="29" t="s">
        <v>89</v>
      </c>
      <c r="D9" s="31">
        <f>SUMIFS('Raw Data'!$Q:$Q,'Raw Data'!$D:$D,"B.01",'Raw Data'!$H:$H,"Bored Pile",'Raw Data'!$J:$J,"Pile Head Cutting up to required level D800mm")</f>
        <v>17</v>
      </c>
      <c r="E9" s="32">
        <f>IFERROR(INDEX('Price List'!$I$5:$I$74,MATCH("Pile Head Cutting up to required level D800mm|Nos",'Price List'!$O$5:$O$74,0)),0)</f>
        <v>48</v>
      </c>
      <c r="F9" s="32">
        <f>IFERROR(INDEX('Price List'!$L$5:$L$74,MATCH("Pile Head Cutting up to required level D800mm|Nos",'Price List'!$O$5:$O$74,0)),0)</f>
        <v>0</v>
      </c>
      <c r="G9" s="32">
        <f t="shared" si="0"/>
        <v>48</v>
      </c>
      <c r="H9" s="33">
        <f>SUMIFS('Raw Data'!$Z:$Z,'Raw Data'!$D:$D,"B.01",'Raw Data'!$H:$H,"Bored Pile",'Raw Data'!$J:$J,"Pile Head Cutting up to required level D800mm")</f>
        <v>816</v>
      </c>
    </row>
    <row r="10" spans="1:8" ht="15" customHeight="1" x14ac:dyDescent="0.35">
      <c r="A10" s="29" t="s">
        <v>92</v>
      </c>
      <c r="B10" s="30" t="s">
        <v>93</v>
      </c>
      <c r="C10" s="29" t="s">
        <v>89</v>
      </c>
      <c r="D10" s="31">
        <f>SUMIFS('Raw Data'!$Q:$Q,'Raw Data'!$D:$D,"B.01",'Raw Data'!$H:$H,"Bored Pile",'Raw Data'!$J:$J,"Sonic Logging Test (SLT)")</f>
        <v>22</v>
      </c>
      <c r="E10" s="32">
        <f>IFERROR(INDEX('Price List'!$I$5:$I$74,MATCH("Sonic Logging Test (SLT)|Nos",'Price List'!$O$5:$O$74,0)),0)</f>
        <v>0</v>
      </c>
      <c r="F10" s="32">
        <f>IFERROR(INDEX('Price List'!$L$5:$L$74,MATCH("Sonic Logging Test (SLT)|Nos",'Price List'!$O$5:$O$74,0)),0)</f>
        <v>55.000000000000007</v>
      </c>
      <c r="G10" s="32">
        <f t="shared" si="0"/>
        <v>55.000000000000007</v>
      </c>
      <c r="H10" s="33">
        <f>SUMIFS('Raw Data'!$Z:$Z,'Raw Data'!$D:$D,"B.01",'Raw Data'!$H:$H,"Bored Pile",'Raw Data'!$J:$J,"Sonic Logging Test (SLT)")</f>
        <v>1210.0000000000002</v>
      </c>
    </row>
    <row r="11" spans="1:8" ht="15" customHeight="1" x14ac:dyDescent="0.35">
      <c r="A11" s="29" t="s">
        <v>94</v>
      </c>
      <c r="B11" s="30" t="s">
        <v>95</v>
      </c>
      <c r="C11" s="29" t="s">
        <v>89</v>
      </c>
      <c r="D11" s="31">
        <f>SUMIFS('Raw Data'!$Q:$Q,'Raw Data'!$D:$D,"B.01",'Raw Data'!$H:$H,"Bored Pile",'Raw Data'!$J:$J,"Soil Coring for Bored Pile D1000mm, Depth 30m")</f>
        <v>5</v>
      </c>
      <c r="E11" s="32">
        <f>IFERROR(INDEX('Price List'!$I$5:$I$74,MATCH("Soil Coring for Bored Pile D1000mm, Depth 30m|Nos",'Price List'!$O$5:$O$74,0)),0)</f>
        <v>0</v>
      </c>
      <c r="F11" s="32">
        <f>IFERROR(INDEX('Price List'!$L$5:$L$74,MATCH("Soil Coring for Bored Pile D1000mm, Depth 30m|Nos",'Price List'!$O$5:$O$74,0)),0)</f>
        <v>385.00000000000006</v>
      </c>
      <c r="G11" s="32">
        <f t="shared" si="0"/>
        <v>385.00000000000006</v>
      </c>
      <c r="H11" s="33">
        <f>SUMIFS('Raw Data'!$Z:$Z,'Raw Data'!$D:$D,"B.01",'Raw Data'!$H:$H,"Bored Pile",'Raw Data'!$J:$J,"Soil Coring for Bored Pile D1000mm, Depth 30m")</f>
        <v>1925.0000000000002</v>
      </c>
    </row>
    <row r="12" spans="1:8" ht="15" customHeight="1" x14ac:dyDescent="0.35">
      <c r="A12" s="29" t="s">
        <v>96</v>
      </c>
      <c r="B12" s="30" t="s">
        <v>97</v>
      </c>
      <c r="C12" s="29" t="s">
        <v>89</v>
      </c>
      <c r="D12" s="31">
        <f>SUMIFS('Raw Data'!$Q:$Q,'Raw Data'!$D:$D,"B.01",'Raw Data'!$H:$H,"Bored Pile",'Raw Data'!$J:$J,"Soil Coring for Bored Pile D800mm, Depth 30m")</f>
        <v>17</v>
      </c>
      <c r="E12" s="32">
        <f>IFERROR(INDEX('Price List'!$I$5:$I$74,MATCH("Soil Coring for Bored Pile D800mm, Depth 30m|Nos",'Price List'!$O$5:$O$74,0)),0)</f>
        <v>0</v>
      </c>
      <c r="F12" s="32">
        <f>IFERROR(INDEX('Price List'!$L$5:$L$74,MATCH("Soil Coring for Bored Pile D800mm, Depth 30m|Nos",'Price List'!$O$5:$O$74,0)),0)</f>
        <v>330</v>
      </c>
      <c r="G12" s="32">
        <f t="shared" si="0"/>
        <v>330</v>
      </c>
      <c r="H12" s="33">
        <f>SUMIFS('Raw Data'!$Z:$Z,'Raw Data'!$D:$D,"B.01",'Raw Data'!$H:$H,"Bored Pile",'Raw Data'!$J:$J,"Soil Coring for Bored Pile D800mm, Depth 30m")</f>
        <v>5610</v>
      </c>
    </row>
    <row r="13" spans="1:8" ht="15" customHeight="1" x14ac:dyDescent="0.35">
      <c r="A13" s="29" t="s">
        <v>98</v>
      </c>
      <c r="B13" s="30" t="s">
        <v>99</v>
      </c>
      <c r="C13" s="29" t="s">
        <v>100</v>
      </c>
      <c r="D13" s="31">
        <f>SUMIFS('Raw Data'!$Q:$Q,'Raw Data'!$D:$D,"B.01",'Raw Data'!$H:$H,"Bored Pile",'Raw Data'!$J:$J,"Normal Concrete, 35Mpa (Cylinder), Slump 15+-2.5")</f>
        <v>374.16368504254439</v>
      </c>
      <c r="E13" s="32">
        <f>IFERROR(INDEX('Price List'!$I$5:$I$74,MATCH("Normal Concrete, 35Mpa (Cylinder), Slump 15+-2.5|m3",'Price List'!$O$5:$O$74,0)),0)</f>
        <v>9.6</v>
      </c>
      <c r="F13" s="32">
        <f>IFERROR(INDEX('Price List'!$L$5:$L$74,MATCH("Normal Concrete, 35Mpa (Cylinder), Slump 15+-2.5|m3",'Price List'!$O$5:$O$74,0)),0)</f>
        <v>109.76</v>
      </c>
      <c r="G13" s="32">
        <f t="shared" si="0"/>
        <v>119.36</v>
      </c>
      <c r="H13" s="33">
        <f>SUMIFS('Raw Data'!$Z:$Z,'Raw Data'!$D:$D,"B.01",'Raw Data'!$H:$H,"Bored Pile",'Raw Data'!$J:$J,"Normal Concrete, 35Mpa (Cylinder), Slump 15+-2.5")</f>
        <v>44660.177446678099</v>
      </c>
    </row>
    <row r="14" spans="1:8" ht="15" customHeight="1" x14ac:dyDescent="0.35">
      <c r="A14" s="29" t="s">
        <v>101</v>
      </c>
      <c r="B14" s="30" t="s">
        <v>102</v>
      </c>
      <c r="C14" s="29" t="s">
        <v>103</v>
      </c>
      <c r="D14" s="31">
        <f>SUMIFS('Raw Data'!$Q:$Q,'Raw Data'!$D:$D,"B.01",'Raw Data'!$H:$H,"Bored Pile",'Raw Data'!$J:$J,"Deform Bar, DB10(fy=390 Mpa)")</f>
        <v>2553.8863999999999</v>
      </c>
      <c r="E14" s="32">
        <f>IFERROR(INDEX('Price List'!$I$5:$I$74,MATCH("Deform Bar, DB10(fy=390 Mpa)|kg",'Price List'!$O$5:$O$74,0)),0)</f>
        <v>0.14399999999999999</v>
      </c>
      <c r="F14" s="32">
        <f>IFERROR(INDEX('Price List'!$L$5:$L$74,MATCH("Deform Bar, DB10(fy=390 Mpa)|kg",'Price List'!$O$5:$O$74,0)),0)</f>
        <v>0.87360000000000015</v>
      </c>
      <c r="G14" s="32">
        <f t="shared" si="0"/>
        <v>1.0176000000000001</v>
      </c>
      <c r="H14" s="33">
        <f>SUMIFS('Raw Data'!$Z:$Z,'Raw Data'!$D:$D,"B.01",'Raw Data'!$H:$H,"Bored Pile",'Raw Data'!$J:$J,"Deform Bar, DB10(fy=390 Mpa)")</f>
        <v>2598.8348006400001</v>
      </c>
    </row>
    <row r="15" spans="1:8" ht="15" customHeight="1" x14ac:dyDescent="0.35">
      <c r="A15" s="29" t="s">
        <v>104</v>
      </c>
      <c r="B15" s="30" t="s">
        <v>105</v>
      </c>
      <c r="C15" s="29" t="s">
        <v>103</v>
      </c>
      <c r="D15" s="31">
        <f>SUMIFS('Raw Data'!$Q:$Q,'Raw Data'!$D:$D,"B.01",'Raw Data'!$H:$H,"Bored Pile",'Raw Data'!$J:$J,"Deform Bar, DB25(fy=390 Mpa)")</f>
        <v>33921.811999999998</v>
      </c>
      <c r="E15" s="32">
        <f>IFERROR(INDEX('Price List'!$I$5:$I$74,MATCH("Deform Bar, DB25(fy=390 Mpa)|kg",'Price List'!$O$5:$O$74,0)),0)</f>
        <v>9.6000000000000002E-2</v>
      </c>
      <c r="F15" s="32">
        <f>IFERROR(INDEX('Price List'!$L$5:$L$74,MATCH("Deform Bar, DB25(fy=390 Mpa)|kg",'Price List'!$O$5:$O$74,0)),0)</f>
        <v>0.80640000000000001</v>
      </c>
      <c r="G15" s="32">
        <f t="shared" si="0"/>
        <v>0.90239999999999998</v>
      </c>
      <c r="H15" s="33">
        <f>SUMIFS('Raw Data'!$Z:$Z,'Raw Data'!$D:$D,"B.01",'Raw Data'!$H:$H,"Bored Pile",'Raw Data'!$J:$J,"Deform Bar, DB25(fy=390 Mpa)")</f>
        <v>30611.043148799996</v>
      </c>
    </row>
    <row r="16" spans="1:8" ht="15" customHeight="1" x14ac:dyDescent="0.35">
      <c r="A16" s="29" t="s">
        <v>106</v>
      </c>
      <c r="B16" s="30" t="s">
        <v>107</v>
      </c>
      <c r="C16" s="29" t="s">
        <v>103</v>
      </c>
      <c r="D16" s="31">
        <f>SUMIFS('Raw Data'!$Q:$Q,'Raw Data'!$D:$D,"B.01",'Raw Data'!$H:$H,"Bored Pile",'Raw Data'!$J:$J,"Steel Tie Wire 1mm (Estimated 4% of Total Rebar Weight)")</f>
        <v>1459.0279360000002</v>
      </c>
      <c r="E16" s="32">
        <f>IFERROR(INDEX('Price List'!$I$5:$I$74,MATCH("Steel Tie Wire 1mm (Estimated 4% of Total Rebar Weight)|kg",'Price List'!$O$5:$O$74,0)),0)</f>
        <v>0.06</v>
      </c>
      <c r="F16" s="32">
        <f>IFERROR(INDEX('Price List'!$L$5:$L$74,MATCH("Steel Tie Wire 1mm (Estimated 4% of Total Rebar Weight)|kg",'Price List'!$O$5:$O$74,0)),0)</f>
        <v>1.3440000000000001</v>
      </c>
      <c r="G16" s="32">
        <f t="shared" si="0"/>
        <v>1.4040000000000001</v>
      </c>
      <c r="H16" s="33">
        <f>SUMIFS('Raw Data'!$Z:$Z,'Raw Data'!$D:$D,"B.01",'Raw Data'!$H:$H,"Bored Pile",'Raw Data'!$J:$J,"Steel Tie Wire 1mm (Estimated 4% of Total Rebar Weight)")</f>
        <v>2048.4752221440003</v>
      </c>
    </row>
    <row r="17" spans="1:8" ht="15" customHeight="1" x14ac:dyDescent="0.35">
      <c r="A17" s="29" t="s">
        <v>108</v>
      </c>
      <c r="B17" s="30" t="s">
        <v>109</v>
      </c>
      <c r="C17" s="29" t="s">
        <v>110</v>
      </c>
      <c r="D17" s="31">
        <f>SUMIFS('Raw Data'!$Q:$Q,'Raw Data'!$D:$D,"B.01",'Raw Data'!$H:$H,"Bored Pile",'Raw Data'!$J:$J,"Steel Round Pipe (D49x2mm) with rush primer and paint")</f>
        <v>2201</v>
      </c>
      <c r="E17" s="32">
        <f>IFERROR(INDEX('Price List'!$I$5:$I$74,MATCH("Steel Round Pipe (D49x2mm) with rush primer and paint|m",'Price List'!$O$5:$O$74,0)),0)</f>
        <v>1.7999999999999998</v>
      </c>
      <c r="F17" s="32">
        <f>IFERROR(INDEX('Price List'!$L$5:$L$74,MATCH("Steel Round Pipe (D49x2mm) with rush primer and paint|m",'Price List'!$O$5:$O$74,0)),0)</f>
        <v>5.0400000000000009</v>
      </c>
      <c r="G17" s="32">
        <f t="shared" si="0"/>
        <v>6.8400000000000007</v>
      </c>
      <c r="H17" s="33">
        <f>SUMIFS('Raw Data'!$Z:$Z,'Raw Data'!$D:$D,"B.01",'Raw Data'!$H:$H,"Bored Pile",'Raw Data'!$J:$J,"Steel Round Pipe (D49x2mm) with rush primer and paint")</f>
        <v>15054.840000000002</v>
      </c>
    </row>
    <row r="18" spans="1:8" ht="15" customHeight="1" x14ac:dyDescent="0.35">
      <c r="A18" s="29" t="s">
        <v>111</v>
      </c>
      <c r="B18" s="30" t="s">
        <v>112</v>
      </c>
      <c r="C18" s="29" t="s">
        <v>113</v>
      </c>
      <c r="D18" s="31">
        <f>SUMIFS('Raw Data'!$Q:$Q,'Raw Data'!$D:$D,"B.01",'Raw Data'!$H:$H,"Bored Pile",'Raw Data'!$J:$J,"Rebar Testing as per Specification")</f>
        <v>1</v>
      </c>
      <c r="E18" s="32">
        <f>IFERROR(INDEX('Price List'!$I$5:$I$74,MATCH("Rebar Testing as per Specification|Lot",'Price List'!$O$5:$O$74,0)),0)</f>
        <v>0</v>
      </c>
      <c r="F18" s="32">
        <f>IFERROR(INDEX('Price List'!$L$5:$L$74,MATCH("Rebar Testing as per Specification|Lot",'Price List'!$O$5:$O$74,0)),0)</f>
        <v>220.00000000000003</v>
      </c>
      <c r="G18" s="32">
        <f t="shared" si="0"/>
        <v>220.00000000000003</v>
      </c>
      <c r="H18" s="33">
        <f>SUMIFS('Raw Data'!$Z:$Z,'Raw Data'!$D:$D,"B.01",'Raw Data'!$H:$H,"Bored Pile",'Raw Data'!$J:$J,"Rebar Testing as per Specification")</f>
        <v>220.00000000000003</v>
      </c>
    </row>
    <row r="19" spans="1:8" ht="15" customHeight="1" x14ac:dyDescent="0.35">
      <c r="A19" s="18"/>
      <c r="B19" s="34" t="s">
        <v>114</v>
      </c>
      <c r="C19" s="18"/>
      <c r="D19" s="18"/>
      <c r="E19" s="18"/>
      <c r="F19" s="18"/>
      <c r="G19" s="18"/>
      <c r="H19" s="35">
        <f>SUM(H8:H18)</f>
        <v>105084.37061826208</v>
      </c>
    </row>
    <row r="20" spans="1:8" ht="15" customHeight="1" x14ac:dyDescent="0.35">
      <c r="A20" s="36"/>
      <c r="B20" s="37" t="s">
        <v>115</v>
      </c>
      <c r="C20" s="36"/>
      <c r="D20" s="36"/>
      <c r="E20" s="36"/>
      <c r="F20" s="36"/>
      <c r="G20" s="36"/>
      <c r="H20" s="38">
        <f>SUMIFS('Raw Data'!$Z:$Z,'Raw Data'!$D:$D,"B.01")</f>
        <v>105084.37061826208</v>
      </c>
    </row>
    <row r="22" spans="1:8" ht="15" customHeight="1" x14ac:dyDescent="0.35">
      <c r="A22" s="192" t="s">
        <v>116</v>
      </c>
      <c r="B22" s="192"/>
      <c r="C22" s="192"/>
      <c r="D22" s="192"/>
      <c r="E22" s="192"/>
      <c r="F22" s="192"/>
      <c r="G22" s="192"/>
      <c r="H22" s="192"/>
    </row>
    <row r="23" spans="1:8" ht="15" customHeight="1" x14ac:dyDescent="0.35">
      <c r="A23" s="197" t="s">
        <v>117</v>
      </c>
      <c r="B23" s="197"/>
      <c r="C23" s="197"/>
      <c r="D23" s="197"/>
      <c r="E23" s="197"/>
      <c r="F23" s="197"/>
      <c r="G23" s="197"/>
      <c r="H23" s="197"/>
    </row>
    <row r="24" spans="1:8" ht="15" customHeight="1" x14ac:dyDescent="0.35">
      <c r="A24" s="29" t="s">
        <v>118</v>
      </c>
      <c r="B24" s="30" t="s">
        <v>119</v>
      </c>
      <c r="C24" s="29" t="s">
        <v>100</v>
      </c>
      <c r="D24" s="31">
        <f>SUMIFS('Raw Data'!$Q:$Q,'Raw Data'!$D:$D,"B.03",'Raw Data'!$H:$H,"Pile Cap &amp; Stump",'Raw Data'!$J:$J,"Soil Excavation")</f>
        <v>1283.17</v>
      </c>
      <c r="E24" s="32">
        <f>IFERROR(INDEX('Price List'!$I$5:$I$74,MATCH("Soil Excavation|m3",'Price List'!$O$5:$O$74,0)),0)</f>
        <v>3.5999999999999996</v>
      </c>
      <c r="F24" s="32">
        <f>IFERROR(INDEX('Price List'!$L$5:$L$74,MATCH("Soil Excavation|m3",'Price List'!$O$5:$O$74,0)),0)</f>
        <v>0</v>
      </c>
      <c r="G24" s="32">
        <f t="shared" ref="G24:G39" si="1">E24+F24</f>
        <v>3.5999999999999996</v>
      </c>
      <c r="H24" s="33">
        <f>SUMIFS('Raw Data'!$Z:$Z,'Raw Data'!$D:$D,"B.03",'Raw Data'!$H:$H,"Pile Cap &amp; Stump",'Raw Data'!$J:$J,"Soil Excavation")</f>
        <v>4619.4119999999994</v>
      </c>
    </row>
    <row r="25" spans="1:8" ht="15" customHeight="1" x14ac:dyDescent="0.35">
      <c r="A25" s="29" t="s">
        <v>120</v>
      </c>
      <c r="B25" s="30" t="s">
        <v>121</v>
      </c>
      <c r="C25" s="29" t="s">
        <v>100</v>
      </c>
      <c r="D25" s="31">
        <f>SUMIFS('Raw Data'!$Q:$Q,'Raw Data'!$D:$D,"B.03",'Raw Data'!$H:$H,"Pile Cap &amp; Stump",'Raw Data'!$J:$J,"Soil Disposal")</f>
        <v>1283.17</v>
      </c>
      <c r="E25" s="32">
        <f>IFERROR(INDEX('Price List'!$I$5:$I$74,MATCH("Soil Disposal|m3",'Price List'!$O$5:$O$74,0)),0)</f>
        <v>4.8</v>
      </c>
      <c r="F25" s="32">
        <f>IFERROR(INDEX('Price List'!$L$5:$L$74,MATCH("Soil Disposal|m3",'Price List'!$O$5:$O$74,0)),0)</f>
        <v>0</v>
      </c>
      <c r="G25" s="32">
        <f t="shared" si="1"/>
        <v>4.8</v>
      </c>
      <c r="H25" s="33">
        <f>SUMIFS('Raw Data'!$Z:$Z,'Raw Data'!$D:$D,"B.03",'Raw Data'!$H:$H,"Pile Cap &amp; Stump",'Raw Data'!$J:$J,"Soil Disposal")</f>
        <v>6159.2160000000003</v>
      </c>
    </row>
    <row r="26" spans="1:8" ht="15" customHeight="1" x14ac:dyDescent="0.35">
      <c r="A26" s="29" t="s">
        <v>122</v>
      </c>
      <c r="B26" s="30" t="s">
        <v>123</v>
      </c>
      <c r="C26" s="29" t="s">
        <v>100</v>
      </c>
      <c r="D26" s="31">
        <f>SUMIFS('Raw Data'!$Q:$Q,'Raw Data'!$D:$D,"B.03",'Raw Data'!$H:$H,"Pile Cap &amp; Stump",'Raw Data'!$J:$J,"Soil Backfill")</f>
        <v>1148.424</v>
      </c>
      <c r="E26" s="32">
        <f>IFERROR(INDEX('Price List'!$I$5:$I$74,MATCH("Soil Backfill|m3",'Price List'!$O$5:$O$74,0)),0)</f>
        <v>4.8</v>
      </c>
      <c r="F26" s="32">
        <f>IFERROR(INDEX('Price List'!$L$5:$L$74,MATCH("Soil Backfill|m3",'Price List'!$O$5:$O$74,0)),0)</f>
        <v>0</v>
      </c>
      <c r="G26" s="32">
        <f t="shared" si="1"/>
        <v>4.8</v>
      </c>
      <c r="H26" s="33">
        <f>SUMIFS('Raw Data'!$Z:$Z,'Raw Data'!$D:$D,"B.03",'Raw Data'!$H:$H,"Pile Cap &amp; Stump",'Raw Data'!$J:$J,"Soil Backfill")</f>
        <v>5512.4351999999999</v>
      </c>
    </row>
    <row r="27" spans="1:8" ht="15" customHeight="1" x14ac:dyDescent="0.35">
      <c r="A27" s="29" t="s">
        <v>124</v>
      </c>
      <c r="B27" s="30" t="s">
        <v>125</v>
      </c>
      <c r="C27" s="29" t="s">
        <v>100</v>
      </c>
      <c r="D27" s="31">
        <f>SUMIFS('Raw Data'!$Q:$Q,'Raw Data'!$D:$D,"B.03",'Raw Data'!$H:$H,"Pile Cap &amp; Stump",'Raw Data'!$J:$J,"Normal Concrete, 35Mpa (Cylinder), Slump 13+-2.5")</f>
        <v>134.74600000000001</v>
      </c>
      <c r="E27" s="32">
        <f>IFERROR(INDEX('Price List'!$I$5:$I$74,MATCH("Normal Concrete, 35Mpa (Cylinder), Slump 13+-2.5|m3",'Price List'!$O$5:$O$74,0)),0)</f>
        <v>12</v>
      </c>
      <c r="F27" s="32">
        <f>IFERROR(INDEX('Price List'!$L$5:$L$74,MATCH("Normal Concrete, 35Mpa (Cylinder), Slump 13+-2.5|m3",'Price List'!$O$5:$O$74,0)),0)</f>
        <v>109.76</v>
      </c>
      <c r="G27" s="32">
        <f t="shared" si="1"/>
        <v>121.76</v>
      </c>
      <c r="H27" s="33">
        <f>SUMIFS('Raw Data'!$Z:$Z,'Raw Data'!$D:$D,"B.03",'Raw Data'!$H:$H,"Pile Cap &amp; Stump",'Raw Data'!$J:$J,"Normal Concrete, 35Mpa (Cylinder), Slump 13+-2.5")</f>
        <v>16406.672960000004</v>
      </c>
    </row>
    <row r="28" spans="1:8" ht="15" customHeight="1" x14ac:dyDescent="0.35">
      <c r="A28" s="29" t="s">
        <v>126</v>
      </c>
      <c r="B28" s="30" t="s">
        <v>127</v>
      </c>
      <c r="C28" s="29" t="s">
        <v>128</v>
      </c>
      <c r="D28" s="31">
        <f>SUMIFS('Raw Data'!$Q:$Q,'Raw Data'!$D:$D,"B.03",'Raw Data'!$H:$H,"Pile Cap &amp; Stump",'Raw Data'!$J:$J,"Formwork")</f>
        <v>200.935</v>
      </c>
      <c r="E28" s="32">
        <f>IFERROR(INDEX('Price List'!$I$5:$I$74,MATCH("Formwork|m2",'Price List'!$O$5:$O$74,0)),0)</f>
        <v>7.1999999999999993</v>
      </c>
      <c r="F28" s="32">
        <f>IFERROR(INDEX('Price List'!$L$5:$L$74,MATCH("Formwork|m2",'Price List'!$O$5:$O$74,0)),0)</f>
        <v>5.6000000000000005</v>
      </c>
      <c r="G28" s="32">
        <f t="shared" si="1"/>
        <v>12.8</v>
      </c>
      <c r="H28" s="33">
        <f>SUMIFS('Raw Data'!$Z:$Z,'Raw Data'!$D:$D,"B.03",'Raw Data'!$H:$H,"Pile Cap &amp; Stump",'Raw Data'!$J:$J,"Formwork")</f>
        <v>2571.9680000000003</v>
      </c>
    </row>
    <row r="29" spans="1:8" ht="15" customHeight="1" x14ac:dyDescent="0.35">
      <c r="A29" s="29" t="s">
        <v>129</v>
      </c>
      <c r="B29" s="30" t="s">
        <v>102</v>
      </c>
      <c r="C29" s="29" t="s">
        <v>103</v>
      </c>
      <c r="D29" s="31">
        <f>SUMIFS('Raw Data'!$Q:$Q,'Raw Data'!$D:$D,"B.03",'Raw Data'!$H:$H,"Pile Cap &amp; Stump",'Raw Data'!$J:$J,"Deform Bar, DB10(fy=390 Mpa)")</f>
        <v>34.549999999999997</v>
      </c>
      <c r="E29" s="32">
        <f>IFERROR(INDEX('Price List'!$I$5:$I$74,MATCH("Deform Bar, DB10(fy=390 Mpa)|kg",'Price List'!$O$5:$O$74,0)),0)</f>
        <v>0.14399999999999999</v>
      </c>
      <c r="F29" s="32">
        <f>IFERROR(INDEX('Price List'!$L$5:$L$74,MATCH("Deform Bar, DB10(fy=390 Mpa)|kg",'Price List'!$O$5:$O$74,0)),0)</f>
        <v>0.87360000000000015</v>
      </c>
      <c r="G29" s="32">
        <f t="shared" si="1"/>
        <v>1.0176000000000001</v>
      </c>
      <c r="H29" s="33">
        <f>SUMIFS('Raw Data'!$Z:$Z,'Raw Data'!$D:$D,"B.03",'Raw Data'!$H:$H,"Pile Cap &amp; Stump",'Raw Data'!$J:$J,"Deform Bar, DB10(fy=390 Mpa)")</f>
        <v>35.158079999999998</v>
      </c>
    </row>
    <row r="30" spans="1:8" ht="15" customHeight="1" x14ac:dyDescent="0.35">
      <c r="A30" s="29" t="s">
        <v>130</v>
      </c>
      <c r="B30" s="30" t="s">
        <v>131</v>
      </c>
      <c r="C30" s="29" t="s">
        <v>103</v>
      </c>
      <c r="D30" s="31">
        <f>SUMIFS('Raw Data'!$Q:$Q,'Raw Data'!$D:$D,"B.03",'Raw Data'!$H:$H,"Pile Cap &amp; Stump",'Raw Data'!$J:$J,"Deform Bar, DB12(fy=390 Mpa)")</f>
        <v>2639.1376</v>
      </c>
      <c r="E30" s="32">
        <f>IFERROR(INDEX('Price List'!$I$5:$I$74,MATCH("Deform Bar, DB12(fy=390 Mpa)|kg",'Price List'!$O$5:$O$74,0)),0)</f>
        <v>0.13200000000000001</v>
      </c>
      <c r="F30" s="32">
        <f>IFERROR(INDEX('Price List'!$L$5:$L$74,MATCH("Deform Bar, DB12(fy=390 Mpa)|kg",'Price List'!$O$5:$O$74,0)),0)</f>
        <v>0.85120000000000007</v>
      </c>
      <c r="G30" s="32">
        <f t="shared" si="1"/>
        <v>0.98320000000000007</v>
      </c>
      <c r="H30" s="33">
        <f>SUMIFS('Raw Data'!$Z:$Z,'Raw Data'!$D:$D,"B.03",'Raw Data'!$H:$H,"Pile Cap &amp; Stump",'Raw Data'!$J:$J,"Deform Bar, DB12(fy=390 Mpa)")</f>
        <v>2594.8000883200002</v>
      </c>
    </row>
    <row r="31" spans="1:8" ht="15" customHeight="1" x14ac:dyDescent="0.35">
      <c r="A31" s="29" t="s">
        <v>132</v>
      </c>
      <c r="B31" s="30" t="s">
        <v>133</v>
      </c>
      <c r="C31" s="29" t="s">
        <v>103</v>
      </c>
      <c r="D31" s="31">
        <f>SUMIFS('Raw Data'!$Q:$Q,'Raw Data'!$D:$D,"B.03",'Raw Data'!$H:$H,"Pile Cap &amp; Stump",'Raw Data'!$J:$J,"Deform Bar, DB16(fy=390 Mpa)")</f>
        <v>1372.3879999999999</v>
      </c>
      <c r="E31" s="32">
        <f>IFERROR(INDEX('Price List'!$I$5:$I$74,MATCH("Deform Bar, DB16(fy=390 Mpa)|kg",'Price List'!$O$5:$O$74,0)),0)</f>
        <v>0.12</v>
      </c>
      <c r="F31" s="32">
        <f>IFERROR(INDEX('Price List'!$L$5:$L$74,MATCH("Deform Bar, DB16(fy=390 Mpa)|kg",'Price List'!$O$5:$O$74,0)),0)</f>
        <v>0.82880000000000009</v>
      </c>
      <c r="G31" s="32">
        <f t="shared" si="1"/>
        <v>0.94880000000000009</v>
      </c>
      <c r="H31" s="33">
        <f>SUMIFS('Raw Data'!$Z:$Z,'Raw Data'!$D:$D,"B.03",'Raw Data'!$H:$H,"Pile Cap &amp; Stump",'Raw Data'!$J:$J,"Deform Bar, DB16(fy=390 Mpa)")</f>
        <v>1302.1217344000002</v>
      </c>
    </row>
    <row r="32" spans="1:8" ht="15" customHeight="1" x14ac:dyDescent="0.35">
      <c r="A32" s="29" t="s">
        <v>134</v>
      </c>
      <c r="B32" s="30" t="s">
        <v>135</v>
      </c>
      <c r="C32" s="29" t="s">
        <v>103</v>
      </c>
      <c r="D32" s="31">
        <f>SUMIFS('Raw Data'!$Q:$Q,'Raw Data'!$D:$D,"B.03",'Raw Data'!$H:$H,"Pile Cap &amp; Stump",'Raw Data'!$J:$J,"Deform Bar, DB20(fy=390 Mpa)")</f>
        <v>11795.979000000001</v>
      </c>
      <c r="E32" s="32">
        <f>IFERROR(INDEX('Price List'!$I$5:$I$74,MATCH("Deform Bar, DB20(fy=390 Mpa)|kg",'Price List'!$O$5:$O$74,0)),0)</f>
        <v>0.108</v>
      </c>
      <c r="F32" s="32">
        <f>IFERROR(INDEX('Price List'!$L$5:$L$74,MATCH("Deform Bar, DB20(fy=390 Mpa)|kg",'Price List'!$O$5:$O$74,0)),0)</f>
        <v>0.8176000000000001</v>
      </c>
      <c r="G32" s="32">
        <f t="shared" si="1"/>
        <v>0.92560000000000009</v>
      </c>
      <c r="H32" s="33">
        <f>SUMIFS('Raw Data'!$Z:$Z,'Raw Data'!$D:$D,"B.03",'Raw Data'!$H:$H,"Pile Cap &amp; Stump",'Raw Data'!$J:$J,"Deform Bar, DB20(fy=390 Mpa)")</f>
        <v>10918.358162400002</v>
      </c>
    </row>
    <row r="33" spans="1:8" ht="15" customHeight="1" x14ac:dyDescent="0.35">
      <c r="A33" s="29" t="s">
        <v>136</v>
      </c>
      <c r="B33" s="30" t="s">
        <v>105</v>
      </c>
      <c r="C33" s="29" t="s">
        <v>103</v>
      </c>
      <c r="D33" s="31">
        <f>SUMIFS('Raw Data'!$Q:$Q,'Raw Data'!$D:$D,"B.03",'Raw Data'!$H:$H,"Pile Cap &amp; Stump",'Raw Data'!$J:$J,"Deform Bar, DB25(fy=390 Mpa)")</f>
        <v>1694</v>
      </c>
      <c r="E33" s="32">
        <f>IFERROR(INDEX('Price List'!$I$5:$I$74,MATCH("Deform Bar, DB25(fy=390 Mpa)|kg",'Price List'!$O$5:$O$74,0)),0)</f>
        <v>9.6000000000000002E-2</v>
      </c>
      <c r="F33" s="32">
        <f>IFERROR(INDEX('Price List'!$L$5:$L$74,MATCH("Deform Bar, DB25(fy=390 Mpa)|kg",'Price List'!$O$5:$O$74,0)),0)</f>
        <v>0.80640000000000001</v>
      </c>
      <c r="G33" s="32">
        <f t="shared" si="1"/>
        <v>0.90239999999999998</v>
      </c>
      <c r="H33" s="33">
        <f>SUMIFS('Raw Data'!$Z:$Z,'Raw Data'!$D:$D,"B.03",'Raw Data'!$H:$H,"Pile Cap &amp; Stump",'Raw Data'!$J:$J,"Deform Bar, DB25(fy=390 Mpa)")</f>
        <v>1528.6656</v>
      </c>
    </row>
    <row r="34" spans="1:8" ht="15" customHeight="1" x14ac:dyDescent="0.35">
      <c r="A34" s="29" t="s">
        <v>137</v>
      </c>
      <c r="B34" s="30" t="s">
        <v>138</v>
      </c>
      <c r="C34" s="29" t="s">
        <v>103</v>
      </c>
      <c r="D34" s="31">
        <f>SUMIFS('Raw Data'!$Q:$Q,'Raw Data'!$D:$D,"B.03",'Raw Data'!$H:$H,"Pile Cap &amp; Stump",'Raw Data'!$J:$J,"Deform Bar, DB32(fy=390 Mpa)")</f>
        <v>10611.797999999999</v>
      </c>
      <c r="E34" s="32">
        <f>IFERROR(INDEX('Price List'!$I$5:$I$74,MATCH("Deform Bar, DB32(fy=390 Mpa)|kg",'Price List'!$O$5:$O$74,0)),0)</f>
        <v>9.6000000000000002E-2</v>
      </c>
      <c r="F34" s="32">
        <f>IFERROR(INDEX('Price List'!$L$5:$L$74,MATCH("Deform Bar, DB32(fy=390 Mpa)|kg",'Price List'!$O$5:$O$74,0)),0)</f>
        <v>0.79520000000000002</v>
      </c>
      <c r="G34" s="32">
        <f t="shared" si="1"/>
        <v>0.89119999999999999</v>
      </c>
      <c r="H34" s="33">
        <f>SUMIFS('Raw Data'!$Z:$Z,'Raw Data'!$D:$D,"B.03",'Raw Data'!$H:$H,"Pile Cap &amp; Stump",'Raw Data'!$J:$J,"Deform Bar, DB32(fy=390 Mpa)")</f>
        <v>9457.2343775999998</v>
      </c>
    </row>
    <row r="35" spans="1:8" ht="15" customHeight="1" x14ac:dyDescent="0.35">
      <c r="A35" s="29" t="s">
        <v>139</v>
      </c>
      <c r="B35" s="30" t="s">
        <v>107</v>
      </c>
      <c r="C35" s="29" t="s">
        <v>103</v>
      </c>
      <c r="D35" s="31">
        <f>SUMIFS('Raw Data'!$Q:$Q,'Raw Data'!$D:$D,"B.03",'Raw Data'!$H:$H,"Pile Cap &amp; Stump",'Raw Data'!$J:$J,"Steel Tie Wire 1mm (Estimated 4% of Total Rebar Weight)")</f>
        <v>1069.6365840000001</v>
      </c>
      <c r="E35" s="32">
        <f>IFERROR(INDEX('Price List'!$I$5:$I$74,MATCH("Steel Tie Wire 1mm (Estimated 4% of Total Rebar Weight)|kg",'Price List'!$O$5:$O$74,0)),0)</f>
        <v>0.06</v>
      </c>
      <c r="F35" s="32">
        <f>IFERROR(INDEX('Price List'!$L$5:$L$74,MATCH("Steel Tie Wire 1mm (Estimated 4% of Total Rebar Weight)|kg",'Price List'!$O$5:$O$74,0)),0)</f>
        <v>1.3440000000000001</v>
      </c>
      <c r="G35" s="32">
        <f t="shared" si="1"/>
        <v>1.4040000000000001</v>
      </c>
      <c r="H35" s="33">
        <f>SUMIFS('Raw Data'!$Z:$Z,'Raw Data'!$D:$D,"B.03",'Raw Data'!$H:$H,"Pile Cap &amp; Stump",'Raw Data'!$J:$J,"Steel Tie Wire 1mm (Estimated 4% of Total Rebar Weight)")</f>
        <v>1501.7697639360003</v>
      </c>
    </row>
    <row r="36" spans="1:8" ht="15" customHeight="1" x14ac:dyDescent="0.35">
      <c r="A36" s="29" t="s">
        <v>140</v>
      </c>
      <c r="B36" s="30" t="s">
        <v>141</v>
      </c>
      <c r="C36" s="29" t="s">
        <v>128</v>
      </c>
      <c r="D36" s="31">
        <f>SUMIFS('Raw Data'!$Q:$Q,'Raw Data'!$D:$D,"B.03",'Raw Data'!$H:$H,"Pile Cap &amp; Stump",'Raw Data'!$J:$J,"Well Soil Compact")</f>
        <v>131.43</v>
      </c>
      <c r="E36" s="32">
        <f>IFERROR(INDEX('Price List'!$I$5:$I$74,MATCH("Well Soil Compact|m2",'Price List'!$O$5:$O$74,0)),0)</f>
        <v>2.4</v>
      </c>
      <c r="F36" s="32">
        <f>IFERROR(INDEX('Price List'!$L$5:$L$74,MATCH("Well Soil Compact|m2",'Price List'!$O$5:$O$74,0)),0)</f>
        <v>0</v>
      </c>
      <c r="G36" s="32">
        <f t="shared" si="1"/>
        <v>2.4</v>
      </c>
      <c r="H36" s="33">
        <f>SUMIFS('Raw Data'!$Z:$Z,'Raw Data'!$D:$D,"B.03",'Raw Data'!$H:$H,"Pile Cap &amp; Stump",'Raw Data'!$J:$J,"Well Soil Compact")</f>
        <v>315.43200000000002</v>
      </c>
    </row>
    <row r="37" spans="1:8" ht="15" customHeight="1" x14ac:dyDescent="0.35">
      <c r="A37" s="29" t="s">
        <v>142</v>
      </c>
      <c r="B37" s="30" t="s">
        <v>143</v>
      </c>
      <c r="C37" s="29" t="s">
        <v>100</v>
      </c>
      <c r="D37" s="31">
        <f>SUMIFS('Raw Data'!$Q:$Q,'Raw Data'!$D:$D,"B.03",'Raw Data'!$H:$H,"Pile Cap &amp; Stump",'Raw Data'!$J:$J,"Lean Concrete, 15Mpa (Cylinder)")</f>
        <v>14.8565</v>
      </c>
      <c r="E37" s="32">
        <f>IFERROR(INDEX('Price List'!$I$5:$I$74,MATCH("Lean Concrete, 15Mpa (Cylinder)|m3",'Price List'!$O$5:$O$74,0)),0)</f>
        <v>8.4</v>
      </c>
      <c r="F37" s="32">
        <f>IFERROR(INDEX('Price List'!$L$5:$L$74,MATCH("Lean Concrete, 15Mpa (Cylinder)|m3",'Price List'!$O$5:$O$74,0)),0)</f>
        <v>84.000000000000014</v>
      </c>
      <c r="G37" s="32">
        <f t="shared" si="1"/>
        <v>92.40000000000002</v>
      </c>
      <c r="H37" s="33">
        <f>SUMIFS('Raw Data'!$Z:$Z,'Raw Data'!$D:$D,"B.03",'Raw Data'!$H:$H,"Pile Cap &amp; Stump",'Raw Data'!$J:$J,"Lean Concrete, 15Mpa (Cylinder)")</f>
        <v>1372.7406000000003</v>
      </c>
    </row>
    <row r="38" spans="1:8" ht="15" customHeight="1" x14ac:dyDescent="0.35">
      <c r="A38" s="29" t="s">
        <v>144</v>
      </c>
      <c r="B38" s="30" t="s">
        <v>145</v>
      </c>
      <c r="C38" s="29" t="s">
        <v>110</v>
      </c>
      <c r="D38" s="31">
        <f>SUMIFS('Raw Data'!$Q:$Q,'Raw Data'!$D:$D,"B.03",'Raw Data'!$H:$H,"Pile Cap &amp; Stump",'Raw Data'!$J:$J,"PVC Waterbar® V VN 20 (Width 200mm)")</f>
        <v>18</v>
      </c>
      <c r="E38" s="32">
        <f>IFERROR(INDEX('Price List'!$I$5:$I$74,MATCH("PVC Waterbar® V VN 20 (Width 200mm)|m",'Price List'!$O$5:$O$74,0)),0)</f>
        <v>1.7999999999999998</v>
      </c>
      <c r="F38" s="32">
        <f>IFERROR(INDEX('Price List'!$L$5:$L$74,MATCH("PVC Waterbar® V VN 20 (Width 200mm)|m",'Price List'!$O$5:$O$74,0)),0)</f>
        <v>4.4800000000000004</v>
      </c>
      <c r="G38" s="32">
        <f t="shared" si="1"/>
        <v>6.28</v>
      </c>
      <c r="H38" s="33">
        <f>SUMIFS('Raw Data'!$Z:$Z,'Raw Data'!$D:$D,"B.03",'Raw Data'!$H:$H,"Pile Cap &amp; Stump",'Raw Data'!$J:$J,"PVC Waterbar® V VN 20 (Width 200mm)")</f>
        <v>113.04</v>
      </c>
    </row>
    <row r="39" spans="1:8" ht="15" customHeight="1" x14ac:dyDescent="0.35">
      <c r="A39" s="29" t="s">
        <v>146</v>
      </c>
      <c r="B39" s="30" t="s">
        <v>147</v>
      </c>
      <c r="C39" s="29" t="s">
        <v>128</v>
      </c>
      <c r="D39" s="31">
        <f>SUMIFS('Raw Data'!$Q:$Q,'Raw Data'!$D:$D,"B.03",'Raw Data'!$H:$H,"Pile Cap &amp; Stump",'Raw Data'!$J:$J,"Membrance sheet 2mm thk")</f>
        <v>7.2694999999999999</v>
      </c>
      <c r="E39" s="32">
        <f>IFERROR(INDEX('Price List'!$I$5:$I$74,MATCH("Membrance sheet 2mm thk|m2",'Price List'!$O$5:$O$74,0)),0)</f>
        <v>2.4</v>
      </c>
      <c r="F39" s="32">
        <f>IFERROR(INDEX('Price List'!$L$5:$L$74,MATCH("Membrance sheet 2mm thk|m2",'Price List'!$O$5:$O$74,0)),0)</f>
        <v>7.2800000000000011</v>
      </c>
      <c r="G39" s="32">
        <f t="shared" si="1"/>
        <v>9.6800000000000015</v>
      </c>
      <c r="H39" s="33">
        <f>SUMIFS('Raw Data'!$Z:$Z,'Raw Data'!$D:$D,"B.03",'Raw Data'!$H:$H,"Pile Cap &amp; Stump",'Raw Data'!$J:$J,"Membrance sheet 2mm thk")</f>
        <v>70.368760000000009</v>
      </c>
    </row>
    <row r="40" spans="1:8" ht="15" customHeight="1" x14ac:dyDescent="0.35">
      <c r="A40" s="18"/>
      <c r="B40" s="34" t="s">
        <v>148</v>
      </c>
      <c r="C40" s="18"/>
      <c r="D40" s="18"/>
      <c r="E40" s="18"/>
      <c r="F40" s="18"/>
      <c r="G40" s="18"/>
      <c r="H40" s="35">
        <f>SUM(H24:H39)</f>
        <v>64479.393326655998</v>
      </c>
    </row>
    <row r="41" spans="1:8" ht="15" customHeight="1" x14ac:dyDescent="0.35">
      <c r="A41" s="197" t="s">
        <v>149</v>
      </c>
      <c r="B41" s="197"/>
      <c r="C41" s="197"/>
      <c r="D41" s="197"/>
      <c r="E41" s="197"/>
      <c r="F41" s="197"/>
      <c r="G41" s="197"/>
      <c r="H41" s="197"/>
    </row>
    <row r="42" spans="1:8" ht="15" customHeight="1" x14ac:dyDescent="0.35">
      <c r="A42" s="29" t="s">
        <v>150</v>
      </c>
      <c r="B42" s="30" t="s">
        <v>119</v>
      </c>
      <c r="C42" s="29" t="s">
        <v>100</v>
      </c>
      <c r="D42" s="31">
        <f>SUMIFS('Raw Data'!$Q:$Q,'Raw Data'!$D:$D,"B.03",'Raw Data'!$H:$H,"Septic tank",'Raw Data'!$J:$J,"Soil Excavation")</f>
        <v>288</v>
      </c>
      <c r="E42" s="32">
        <f>IFERROR(INDEX('Price List'!$I$5:$I$74,MATCH("Soil Excavation|m3",'Price List'!$O$5:$O$74,0)),0)</f>
        <v>3.5999999999999996</v>
      </c>
      <c r="F42" s="32">
        <f>IFERROR(INDEX('Price List'!$L$5:$L$74,MATCH("Soil Excavation|m3",'Price List'!$O$5:$O$74,0)),0)</f>
        <v>0</v>
      </c>
      <c r="G42" s="32">
        <f t="shared" ref="G42:G52" si="2">E42+F42</f>
        <v>3.5999999999999996</v>
      </c>
      <c r="H42" s="33">
        <f>SUMIFS('Raw Data'!$Z:$Z,'Raw Data'!$D:$D,"B.03",'Raw Data'!$H:$H,"Septic tank",'Raw Data'!$J:$J,"Soil Excavation")</f>
        <v>1036.8</v>
      </c>
    </row>
    <row r="43" spans="1:8" ht="15" customHeight="1" x14ac:dyDescent="0.35">
      <c r="A43" s="29" t="s">
        <v>151</v>
      </c>
      <c r="B43" s="30" t="s">
        <v>121</v>
      </c>
      <c r="C43" s="29" t="s">
        <v>100</v>
      </c>
      <c r="D43" s="31">
        <f>SUMIFS('Raw Data'!$Q:$Q,'Raw Data'!$D:$D,"B.03",'Raw Data'!$H:$H,"Septic tank",'Raw Data'!$J:$J,"Soil Disposal")</f>
        <v>288</v>
      </c>
      <c r="E43" s="32">
        <f>IFERROR(INDEX('Price List'!$I$5:$I$74,MATCH("Soil Disposal|m3",'Price List'!$O$5:$O$74,0)),0)</f>
        <v>4.8</v>
      </c>
      <c r="F43" s="32">
        <f>IFERROR(INDEX('Price List'!$L$5:$L$74,MATCH("Soil Disposal|m3",'Price List'!$O$5:$O$74,0)),0)</f>
        <v>0</v>
      </c>
      <c r="G43" s="32">
        <f t="shared" si="2"/>
        <v>4.8</v>
      </c>
      <c r="H43" s="33">
        <f>SUMIFS('Raw Data'!$Z:$Z,'Raw Data'!$D:$D,"B.03",'Raw Data'!$H:$H,"Septic tank",'Raw Data'!$J:$J,"Soil Disposal")</f>
        <v>1382.3999999999999</v>
      </c>
    </row>
    <row r="44" spans="1:8" ht="15" customHeight="1" x14ac:dyDescent="0.35">
      <c r="A44" s="29" t="s">
        <v>152</v>
      </c>
      <c r="B44" s="30" t="s">
        <v>123</v>
      </c>
      <c r="C44" s="29" t="s">
        <v>100</v>
      </c>
      <c r="D44" s="31">
        <f>SUMIFS('Raw Data'!$Q:$Q,'Raw Data'!$D:$D,"B.03",'Raw Data'!$H:$H,"Septic tank",'Raw Data'!$J:$J,"Soil Backfill")</f>
        <v>222</v>
      </c>
      <c r="E44" s="32">
        <f>IFERROR(INDEX('Price List'!$I$5:$I$74,MATCH("Soil Backfill|m3",'Price List'!$O$5:$O$74,0)),0)</f>
        <v>4.8</v>
      </c>
      <c r="F44" s="32">
        <f>IFERROR(INDEX('Price List'!$L$5:$L$74,MATCH("Soil Backfill|m3",'Price List'!$O$5:$O$74,0)),0)</f>
        <v>0</v>
      </c>
      <c r="G44" s="32">
        <f t="shared" si="2"/>
        <v>4.8</v>
      </c>
      <c r="H44" s="33">
        <f>SUMIFS('Raw Data'!$Z:$Z,'Raw Data'!$D:$D,"B.03",'Raw Data'!$H:$H,"Septic tank",'Raw Data'!$J:$J,"Soil Backfill")</f>
        <v>1065.5999999999999</v>
      </c>
    </row>
    <row r="45" spans="1:8" ht="15" customHeight="1" x14ac:dyDescent="0.35">
      <c r="A45" s="29" t="s">
        <v>153</v>
      </c>
      <c r="B45" s="30" t="s">
        <v>125</v>
      </c>
      <c r="C45" s="29" t="s">
        <v>100</v>
      </c>
      <c r="D45" s="31">
        <f>SUMIFS('Raw Data'!$Q:$Q,'Raw Data'!$D:$D,"B.03",'Raw Data'!$H:$H,"Septic tank",'Raw Data'!$J:$J,"Normal Concrete, 35Mpa (Cylinder), Slump 13+-2.5")</f>
        <v>66</v>
      </c>
      <c r="E45" s="32">
        <f>IFERROR(INDEX('Price List'!$I$5:$I$74,MATCH("Normal Concrete, 35Mpa (Cylinder), Slump 13+-2.5|m3",'Price List'!$O$5:$O$74,0)),0)</f>
        <v>12</v>
      </c>
      <c r="F45" s="32">
        <f>IFERROR(INDEX('Price List'!$L$5:$L$74,MATCH("Normal Concrete, 35Mpa (Cylinder), Slump 13+-2.5|m3",'Price List'!$O$5:$O$74,0)),0)</f>
        <v>109.76</v>
      </c>
      <c r="G45" s="32">
        <f t="shared" si="2"/>
        <v>121.76</v>
      </c>
      <c r="H45" s="33">
        <f>SUMIFS('Raw Data'!$Z:$Z,'Raw Data'!$D:$D,"B.03",'Raw Data'!$H:$H,"Septic tank",'Raw Data'!$J:$J,"Normal Concrete, 35Mpa (Cylinder), Slump 13+-2.5")</f>
        <v>8036.1600000000008</v>
      </c>
    </row>
    <row r="46" spans="1:8" ht="15" customHeight="1" x14ac:dyDescent="0.35">
      <c r="A46" s="29" t="s">
        <v>154</v>
      </c>
      <c r="B46" s="30" t="s">
        <v>127</v>
      </c>
      <c r="C46" s="29" t="s">
        <v>128</v>
      </c>
      <c r="D46" s="31">
        <f>SUMIFS('Raw Data'!$Q:$Q,'Raw Data'!$D:$D,"B.03",'Raw Data'!$H:$H,"Septic tank",'Raw Data'!$J:$J,"Formwork")</f>
        <v>556</v>
      </c>
      <c r="E46" s="32">
        <f>IFERROR(INDEX('Price List'!$I$5:$I$74,MATCH("Formwork|m2",'Price List'!$O$5:$O$74,0)),0)</f>
        <v>7.1999999999999993</v>
      </c>
      <c r="F46" s="32">
        <f>IFERROR(INDEX('Price List'!$L$5:$L$74,MATCH("Formwork|m2",'Price List'!$O$5:$O$74,0)),0)</f>
        <v>5.6000000000000005</v>
      </c>
      <c r="G46" s="32">
        <f t="shared" si="2"/>
        <v>12.8</v>
      </c>
      <c r="H46" s="33">
        <f>SUMIFS('Raw Data'!$Z:$Z,'Raw Data'!$D:$D,"B.03",'Raw Data'!$H:$H,"Septic tank",'Raw Data'!$J:$J,"Formwork")</f>
        <v>7116.8</v>
      </c>
    </row>
    <row r="47" spans="1:8" ht="15" customHeight="1" x14ac:dyDescent="0.35">
      <c r="A47" s="29" t="s">
        <v>155</v>
      </c>
      <c r="B47" s="30" t="s">
        <v>141</v>
      </c>
      <c r="C47" s="29" t="s">
        <v>128</v>
      </c>
      <c r="D47" s="31">
        <f>SUMIFS('Raw Data'!$Q:$Q,'Raw Data'!$D:$D,"B.03",'Raw Data'!$H:$H,"Septic tank",'Raw Data'!$J:$J,"Well Soil Compact")</f>
        <v>70</v>
      </c>
      <c r="E47" s="32">
        <f>IFERROR(INDEX('Price List'!$I$5:$I$74,MATCH("Well Soil Compact|m2",'Price List'!$O$5:$O$74,0)),0)</f>
        <v>2.4</v>
      </c>
      <c r="F47" s="32">
        <f>IFERROR(INDEX('Price List'!$L$5:$L$74,MATCH("Well Soil Compact|m2",'Price List'!$O$5:$O$74,0)),0)</f>
        <v>0</v>
      </c>
      <c r="G47" s="32">
        <f t="shared" si="2"/>
        <v>2.4</v>
      </c>
      <c r="H47" s="33">
        <f>SUMIFS('Raw Data'!$Z:$Z,'Raw Data'!$D:$D,"B.03",'Raw Data'!$H:$H,"Septic tank",'Raw Data'!$J:$J,"Well Soil Compact")</f>
        <v>168</v>
      </c>
    </row>
    <row r="48" spans="1:8" ht="15" customHeight="1" x14ac:dyDescent="0.35">
      <c r="A48" s="29" t="s">
        <v>156</v>
      </c>
      <c r="B48" s="30" t="s">
        <v>143</v>
      </c>
      <c r="C48" s="29" t="s">
        <v>100</v>
      </c>
      <c r="D48" s="31">
        <f>SUMIFS('Raw Data'!$Q:$Q,'Raw Data'!$D:$D,"B.03",'Raw Data'!$H:$H,"Septic tank",'Raw Data'!$J:$J,"Lean Concrete, 15Mpa (Cylinder)")</f>
        <v>3.5</v>
      </c>
      <c r="E48" s="32">
        <f>IFERROR(INDEX('Price List'!$I$5:$I$74,MATCH("Lean Concrete, 15Mpa (Cylinder)|m3",'Price List'!$O$5:$O$74,0)),0)</f>
        <v>8.4</v>
      </c>
      <c r="F48" s="32">
        <f>IFERROR(INDEX('Price List'!$L$5:$L$74,MATCH("Lean Concrete, 15Mpa (Cylinder)|m3",'Price List'!$O$5:$O$74,0)),0)</f>
        <v>84.000000000000014</v>
      </c>
      <c r="G48" s="32">
        <f t="shared" si="2"/>
        <v>92.40000000000002</v>
      </c>
      <c r="H48" s="33">
        <f>SUMIFS('Raw Data'!$Z:$Z,'Raw Data'!$D:$D,"B.03",'Raw Data'!$H:$H,"Septic tank",'Raw Data'!$J:$J,"Lean Concrete, 15Mpa (Cylinder)")</f>
        <v>323.40000000000009</v>
      </c>
    </row>
    <row r="49" spans="1:8" ht="15" customHeight="1" x14ac:dyDescent="0.35">
      <c r="A49" s="29" t="s">
        <v>157</v>
      </c>
      <c r="B49" s="30" t="s">
        <v>158</v>
      </c>
      <c r="C49" s="29" t="s">
        <v>100</v>
      </c>
      <c r="D49" s="31">
        <f>SUMIFS('Raw Data'!$Q:$Q,'Raw Data'!$D:$D,"B.03",'Raw Data'!$H:$H,"Septic tank",'Raw Data'!$J:$J,"Crush Stone 40x60mm 150mm Thk.")</f>
        <v>10.5</v>
      </c>
      <c r="E49" s="32">
        <f>IFERROR(INDEX('Price List'!$I$5:$I$74,MATCH("Crush Stone 40x60mm 150mm Thk.|m3",'Price List'!$O$5:$O$74,0)),0)</f>
        <v>3.5999999999999996</v>
      </c>
      <c r="F49" s="32">
        <f>IFERROR(INDEX('Price List'!$L$5:$L$74,MATCH("Crush Stone 40x60mm 150mm Thk.|m3",'Price List'!$O$5:$O$74,0)),0)</f>
        <v>20.160000000000004</v>
      </c>
      <c r="G49" s="32">
        <f t="shared" si="2"/>
        <v>23.760000000000005</v>
      </c>
      <c r="H49" s="33">
        <f>SUMIFS('Raw Data'!$Z:$Z,'Raw Data'!$D:$D,"B.03",'Raw Data'!$H:$H,"Septic tank",'Raw Data'!$J:$J,"Crush Stone 40x60mm 150mm Thk.")</f>
        <v>249.48000000000005</v>
      </c>
    </row>
    <row r="50" spans="1:8" ht="15" customHeight="1" x14ac:dyDescent="0.35">
      <c r="A50" s="29" t="s">
        <v>159</v>
      </c>
      <c r="B50" s="30" t="s">
        <v>145</v>
      </c>
      <c r="C50" s="29" t="s">
        <v>110</v>
      </c>
      <c r="D50" s="31">
        <f>SUMIFS('Raw Data'!$Q:$Q,'Raw Data'!$D:$D,"B.03",'Raw Data'!$H:$H,"Septic tank",'Raw Data'!$J:$J,"PVC Waterbar® V VN 20 (Width 200mm)")</f>
        <v>60</v>
      </c>
      <c r="E50" s="32">
        <f>IFERROR(INDEX('Price List'!$I$5:$I$74,MATCH("PVC Waterbar® V VN 20 (Width 200mm)|m",'Price List'!$O$5:$O$74,0)),0)</f>
        <v>1.7999999999999998</v>
      </c>
      <c r="F50" s="32">
        <f>IFERROR(INDEX('Price List'!$L$5:$L$74,MATCH("PVC Waterbar® V VN 20 (Width 200mm)|m",'Price List'!$O$5:$O$74,0)),0)</f>
        <v>4.4800000000000004</v>
      </c>
      <c r="G50" s="32">
        <f t="shared" si="2"/>
        <v>6.28</v>
      </c>
      <c r="H50" s="33">
        <f>SUMIFS('Raw Data'!$Z:$Z,'Raw Data'!$D:$D,"B.03",'Raw Data'!$H:$H,"Septic tank",'Raw Data'!$J:$J,"PVC Waterbar® V VN 20 (Width 200mm)")</f>
        <v>376.8</v>
      </c>
    </row>
    <row r="51" spans="1:8" ht="15" customHeight="1" x14ac:dyDescent="0.35">
      <c r="A51" s="29" t="s">
        <v>160</v>
      </c>
      <c r="B51" s="30" t="s">
        <v>131</v>
      </c>
      <c r="C51" s="29" t="s">
        <v>103</v>
      </c>
      <c r="D51" s="31">
        <f>SUMIFS('Raw Data'!$Q:$Q,'Raw Data'!$D:$D,"B.03",'Raw Data'!$H:$H,"Septic tank",'Raw Data'!$J:$J,"Deform Bar, DB12(fy=390 Mpa)")</f>
        <v>10560</v>
      </c>
      <c r="E51" s="32">
        <f>IFERROR(INDEX('Price List'!$I$5:$I$74,MATCH("Deform Bar, DB12(fy=390 Mpa)|kg",'Price List'!$O$5:$O$74,0)),0)</f>
        <v>0.13200000000000001</v>
      </c>
      <c r="F51" s="32">
        <f>IFERROR(INDEX('Price List'!$L$5:$L$74,MATCH("Deform Bar, DB12(fy=390 Mpa)|kg",'Price List'!$O$5:$O$74,0)),0)</f>
        <v>0.85120000000000007</v>
      </c>
      <c r="G51" s="32">
        <f t="shared" si="2"/>
        <v>0.98320000000000007</v>
      </c>
      <c r="H51" s="33">
        <f>SUMIFS('Raw Data'!$Z:$Z,'Raw Data'!$D:$D,"B.03",'Raw Data'!$H:$H,"Septic tank",'Raw Data'!$J:$J,"Deform Bar, DB12(fy=390 Mpa)")</f>
        <v>10382.592000000001</v>
      </c>
    </row>
    <row r="52" spans="1:8" ht="15" customHeight="1" x14ac:dyDescent="0.35">
      <c r="A52" s="29" t="s">
        <v>161</v>
      </c>
      <c r="B52" s="30" t="s">
        <v>107</v>
      </c>
      <c r="C52" s="29" t="s">
        <v>103</v>
      </c>
      <c r="D52" s="31">
        <f>SUMIFS('Raw Data'!$Q:$Q,'Raw Data'!$D:$D,"B.03",'Raw Data'!$H:$H,"Septic tank",'Raw Data'!$J:$J,"Steel Tie Wire 1mm (Estimated 4% of Total Rebar Weight)")</f>
        <v>422.40000000000003</v>
      </c>
      <c r="E52" s="32">
        <f>IFERROR(INDEX('Price List'!$I$5:$I$74,MATCH("Steel Tie Wire 1mm (Estimated 4% of Total Rebar Weight)|kg",'Price List'!$O$5:$O$74,0)),0)</f>
        <v>0.06</v>
      </c>
      <c r="F52" s="32">
        <f>IFERROR(INDEX('Price List'!$L$5:$L$74,MATCH("Steel Tie Wire 1mm (Estimated 4% of Total Rebar Weight)|kg",'Price List'!$O$5:$O$74,0)),0)</f>
        <v>1.3440000000000001</v>
      </c>
      <c r="G52" s="32">
        <f t="shared" si="2"/>
        <v>1.4040000000000001</v>
      </c>
      <c r="H52" s="33">
        <f>SUMIFS('Raw Data'!$Z:$Z,'Raw Data'!$D:$D,"B.03",'Raw Data'!$H:$H,"Septic tank",'Raw Data'!$J:$J,"Steel Tie Wire 1mm (Estimated 4% of Total Rebar Weight)")</f>
        <v>593.04960000000005</v>
      </c>
    </row>
    <row r="53" spans="1:8" ht="15" customHeight="1" x14ac:dyDescent="0.35">
      <c r="A53" s="18"/>
      <c r="B53" s="34" t="s">
        <v>162</v>
      </c>
      <c r="C53" s="18"/>
      <c r="D53" s="18"/>
      <c r="E53" s="18"/>
      <c r="F53" s="18"/>
      <c r="G53" s="18"/>
      <c r="H53" s="35">
        <f>SUM(H42:H52)</f>
        <v>30731.081600000001</v>
      </c>
    </row>
    <row r="54" spans="1:8" ht="15" customHeight="1" x14ac:dyDescent="0.35">
      <c r="A54" s="36"/>
      <c r="B54" s="37" t="s">
        <v>163</v>
      </c>
      <c r="C54" s="36"/>
      <c r="D54" s="36"/>
      <c r="E54" s="36"/>
      <c r="F54" s="36"/>
      <c r="G54" s="36"/>
      <c r="H54" s="38">
        <f>SUMIFS('Raw Data'!$Z:$Z,'Raw Data'!$D:$D,"B.03")</f>
        <v>95210.47492665601</v>
      </c>
    </row>
    <row r="56" spans="1:8" ht="15" customHeight="1" x14ac:dyDescent="0.35">
      <c r="A56" s="192" t="s">
        <v>164</v>
      </c>
      <c r="B56" s="192"/>
      <c r="C56" s="192"/>
      <c r="D56" s="192"/>
      <c r="E56" s="192"/>
      <c r="F56" s="192"/>
      <c r="G56" s="192"/>
      <c r="H56" s="192"/>
    </row>
    <row r="57" spans="1:8" ht="15" customHeight="1" x14ac:dyDescent="0.35">
      <c r="A57" s="197" t="s">
        <v>165</v>
      </c>
      <c r="B57" s="197"/>
      <c r="C57" s="197"/>
      <c r="D57" s="197"/>
      <c r="E57" s="197"/>
      <c r="F57" s="197"/>
      <c r="G57" s="197"/>
      <c r="H57" s="197"/>
    </row>
    <row r="58" spans="1:8" ht="15" customHeight="1" x14ac:dyDescent="0.35">
      <c r="A58" s="29" t="s">
        <v>166</v>
      </c>
      <c r="B58" s="30" t="s">
        <v>125</v>
      </c>
      <c r="C58" s="29" t="s">
        <v>100</v>
      </c>
      <c r="D58" s="31">
        <f>SUMIFS('Raw Data'!$Q:$Q,'Raw Data'!$D:$D,"B.04",'Raw Data'!$H:$H,"Structural Beam",'Raw Data'!$J:$J,"Normal Concrete, 35Mpa (Cylinder), Slump 13+-2.5")</f>
        <v>585.68674999999996</v>
      </c>
      <c r="E58" s="32">
        <f>IFERROR(INDEX('Price List'!$I$5:$I$74,MATCH("Normal Concrete, 35Mpa (Cylinder), Slump 13+-2.5|m3",'Price List'!$O$5:$O$74,0)),0)</f>
        <v>12</v>
      </c>
      <c r="F58" s="32">
        <f>IFERROR(INDEX('Price List'!$L$5:$L$74,MATCH("Normal Concrete, 35Mpa (Cylinder), Slump 13+-2.5|m3",'Price List'!$O$5:$O$74,0)),0)</f>
        <v>109.76</v>
      </c>
      <c r="G58" s="32">
        <f t="shared" ref="G58:G69" si="3">E58+F58</f>
        <v>121.76</v>
      </c>
      <c r="H58" s="33">
        <f>SUMIFS('Raw Data'!$Z:$Z,'Raw Data'!$D:$D,"B.04",'Raw Data'!$H:$H,"Structural Beam",'Raw Data'!$J:$J,"Normal Concrete, 35Mpa (Cylinder), Slump 13+-2.5")</f>
        <v>71313.218680000005</v>
      </c>
    </row>
    <row r="59" spans="1:8" ht="15" customHeight="1" x14ac:dyDescent="0.35">
      <c r="A59" s="29" t="s">
        <v>167</v>
      </c>
      <c r="B59" s="30" t="s">
        <v>127</v>
      </c>
      <c r="C59" s="29" t="s">
        <v>128</v>
      </c>
      <c r="D59" s="31">
        <f>SUMIFS('Raw Data'!$Q:$Q,'Raw Data'!$D:$D,"B.04",'Raw Data'!$H:$H,"Structural Beam",'Raw Data'!$J:$J,"Formwork")</f>
        <v>5571.869999999999</v>
      </c>
      <c r="E59" s="32">
        <f>IFERROR(INDEX('Price List'!$I$5:$I$74,MATCH("Formwork|m2",'Price List'!$O$5:$O$74,0)),0)</f>
        <v>7.1999999999999993</v>
      </c>
      <c r="F59" s="32">
        <f>IFERROR(INDEX('Price List'!$L$5:$L$74,MATCH("Formwork|m2",'Price List'!$O$5:$O$74,0)),0)</f>
        <v>5.6000000000000005</v>
      </c>
      <c r="G59" s="32">
        <f t="shared" si="3"/>
        <v>12.8</v>
      </c>
      <c r="H59" s="33">
        <f>SUMIFS('Raw Data'!$Z:$Z,'Raw Data'!$D:$D,"B.04",'Raw Data'!$H:$H,"Structural Beam",'Raw Data'!$J:$J,"Formwork")</f>
        <v>71319.936000000002</v>
      </c>
    </row>
    <row r="60" spans="1:8" ht="15" customHeight="1" x14ac:dyDescent="0.35">
      <c r="A60" s="29" t="s">
        <v>168</v>
      </c>
      <c r="B60" s="30" t="s">
        <v>169</v>
      </c>
      <c r="C60" s="29" t="s">
        <v>103</v>
      </c>
      <c r="D60" s="31">
        <f>SUMIFS('Raw Data'!$Q:$Q,'Raw Data'!$D:$D,"B.04",'Raw Data'!$H:$H,"Structural Beam",'Raw Data'!$J:$J,"Round Bar, RB8(fy=250 Mpa)")</f>
        <v>7795.0458666666682</v>
      </c>
      <c r="E60" s="32">
        <f>IFERROR(INDEX('Price List'!$I$5:$I$74,MATCH("Round Bar, RB8(fy=250 Mpa)|kg",'Price List'!$O$5:$O$74,0)),0)</f>
        <v>0.14399999999999999</v>
      </c>
      <c r="F60" s="32">
        <f>IFERROR(INDEX('Price List'!$L$5:$L$74,MATCH("Round Bar, RB8(fy=250 Mpa)|kg",'Price List'!$O$5:$O$74,0)),0)</f>
        <v>0.86240000000000006</v>
      </c>
      <c r="G60" s="32">
        <f t="shared" si="3"/>
        <v>1.0064</v>
      </c>
      <c r="H60" s="33">
        <f>SUMIFS('Raw Data'!$Z:$Z,'Raw Data'!$D:$D,"B.04",'Raw Data'!$H:$H,"Structural Beam",'Raw Data'!$J:$J,"Round Bar, RB8(fy=250 Mpa)")</f>
        <v>7844.9341602133345</v>
      </c>
    </row>
    <row r="61" spans="1:8" ht="15" customHeight="1" x14ac:dyDescent="0.35">
      <c r="A61" s="29" t="s">
        <v>170</v>
      </c>
      <c r="B61" s="30" t="s">
        <v>102</v>
      </c>
      <c r="C61" s="29" t="s">
        <v>103</v>
      </c>
      <c r="D61" s="31">
        <f>SUMIFS('Raw Data'!$Q:$Q,'Raw Data'!$D:$D,"B.04",'Raw Data'!$H:$H,"Structural Beam",'Raw Data'!$J:$J,"Deform Bar, DB10(fy=390 Mpa)")</f>
        <v>34080.167533333341</v>
      </c>
      <c r="E61" s="32">
        <f>IFERROR(INDEX('Price List'!$I$5:$I$74,MATCH("Deform Bar, DB10(fy=390 Mpa)|kg",'Price List'!$O$5:$O$74,0)),0)</f>
        <v>0.14399999999999999</v>
      </c>
      <c r="F61" s="32">
        <f>IFERROR(INDEX('Price List'!$L$5:$L$74,MATCH("Deform Bar, DB10(fy=390 Mpa)|kg",'Price List'!$O$5:$O$74,0)),0)</f>
        <v>0.87360000000000015</v>
      </c>
      <c r="G61" s="32">
        <f t="shared" si="3"/>
        <v>1.0176000000000001</v>
      </c>
      <c r="H61" s="33">
        <f>SUMIFS('Raw Data'!$Z:$Z,'Raw Data'!$D:$D,"B.04",'Raw Data'!$H:$H,"Structural Beam",'Raw Data'!$J:$J,"Deform Bar, DB10(fy=390 Mpa)")</f>
        <v>34679.978481920014</v>
      </c>
    </row>
    <row r="62" spans="1:8" ht="15" customHeight="1" x14ac:dyDescent="0.35">
      <c r="A62" s="29" t="s">
        <v>171</v>
      </c>
      <c r="B62" s="30" t="s">
        <v>131</v>
      </c>
      <c r="C62" s="29" t="s">
        <v>103</v>
      </c>
      <c r="D62" s="31">
        <f>SUMIFS('Raw Data'!$Q:$Q,'Raw Data'!$D:$D,"B.04",'Raw Data'!$H:$H,"Structural Beam",'Raw Data'!$J:$J,"Deform Bar, DB12(fy=390 Mpa)")</f>
        <v>3925.4928</v>
      </c>
      <c r="E62" s="32">
        <f>IFERROR(INDEX('Price List'!$I$5:$I$74,MATCH("Deform Bar, DB12(fy=390 Mpa)|kg",'Price List'!$O$5:$O$74,0)),0)</f>
        <v>0.13200000000000001</v>
      </c>
      <c r="F62" s="32">
        <f>IFERROR(INDEX('Price List'!$L$5:$L$74,MATCH("Deform Bar, DB12(fy=390 Mpa)|kg",'Price List'!$O$5:$O$74,0)),0)</f>
        <v>0.85120000000000007</v>
      </c>
      <c r="G62" s="32">
        <f t="shared" si="3"/>
        <v>0.98320000000000007</v>
      </c>
      <c r="H62" s="33">
        <f>SUMIFS('Raw Data'!$Z:$Z,'Raw Data'!$D:$D,"B.04",'Raw Data'!$H:$H,"Structural Beam",'Raw Data'!$J:$J,"Deform Bar, DB12(fy=390 Mpa)")</f>
        <v>3859.5445209599998</v>
      </c>
    </row>
    <row r="63" spans="1:8" ht="15" customHeight="1" x14ac:dyDescent="0.35">
      <c r="A63" s="29" t="s">
        <v>172</v>
      </c>
      <c r="B63" s="30" t="s">
        <v>133</v>
      </c>
      <c r="C63" s="29" t="s">
        <v>103</v>
      </c>
      <c r="D63" s="31">
        <f>SUMIFS('Raw Data'!$Q:$Q,'Raw Data'!$D:$D,"B.04",'Raw Data'!$H:$H,"Structural Beam",'Raw Data'!$J:$J,"Deform Bar, DB16(fy=390 Mpa)")</f>
        <v>28624.288800000006</v>
      </c>
      <c r="E63" s="32">
        <f>IFERROR(INDEX('Price List'!$I$5:$I$74,MATCH("Deform Bar, DB16(fy=390 Mpa)|kg",'Price List'!$O$5:$O$74,0)),0)</f>
        <v>0.12</v>
      </c>
      <c r="F63" s="32">
        <f>IFERROR(INDEX('Price List'!$L$5:$L$74,MATCH("Deform Bar, DB16(fy=390 Mpa)|kg",'Price List'!$O$5:$O$74,0)),0)</f>
        <v>0.82880000000000009</v>
      </c>
      <c r="G63" s="32">
        <f t="shared" si="3"/>
        <v>0.94880000000000009</v>
      </c>
      <c r="H63" s="33">
        <f>SUMIFS('Raw Data'!$Z:$Z,'Raw Data'!$D:$D,"B.04",'Raw Data'!$H:$H,"Structural Beam",'Raw Data'!$J:$J,"Deform Bar, DB16(fy=390 Mpa)")</f>
        <v>27158.725213440001</v>
      </c>
    </row>
    <row r="64" spans="1:8" ht="15" customHeight="1" x14ac:dyDescent="0.35">
      <c r="A64" s="29" t="s">
        <v>173</v>
      </c>
      <c r="B64" s="30" t="s">
        <v>135</v>
      </c>
      <c r="C64" s="29" t="s">
        <v>103</v>
      </c>
      <c r="D64" s="31">
        <f>SUMIFS('Raw Data'!$Q:$Q,'Raw Data'!$D:$D,"B.04",'Raw Data'!$H:$H,"Structural Beam",'Raw Data'!$J:$J,"Deform Bar, DB20(fy=390 Mpa)")</f>
        <v>28124.73000000001</v>
      </c>
      <c r="E64" s="32">
        <f>IFERROR(INDEX('Price List'!$I$5:$I$74,MATCH("Deform Bar, DB20(fy=390 Mpa)|kg",'Price List'!$O$5:$O$74,0)),0)</f>
        <v>0.108</v>
      </c>
      <c r="F64" s="32">
        <f>IFERROR(INDEX('Price List'!$L$5:$L$74,MATCH("Deform Bar, DB20(fy=390 Mpa)|kg",'Price List'!$O$5:$O$74,0)),0)</f>
        <v>0.8176000000000001</v>
      </c>
      <c r="G64" s="32">
        <f t="shared" si="3"/>
        <v>0.92560000000000009</v>
      </c>
      <c r="H64" s="33">
        <f>SUMIFS('Raw Data'!$Z:$Z,'Raw Data'!$D:$D,"B.04",'Raw Data'!$H:$H,"Structural Beam",'Raw Data'!$J:$J,"Deform Bar, DB20(fy=390 Mpa)")</f>
        <v>26032.250088000008</v>
      </c>
    </row>
    <row r="65" spans="1:8" ht="15" customHeight="1" x14ac:dyDescent="0.35">
      <c r="A65" s="29" t="s">
        <v>174</v>
      </c>
      <c r="B65" s="30" t="s">
        <v>107</v>
      </c>
      <c r="C65" s="29" t="s">
        <v>103</v>
      </c>
      <c r="D65" s="31">
        <f>SUMIFS('Raw Data'!$Q:$Q,'Raw Data'!$D:$D,"B.04",'Raw Data'!$H:$H,"Structural Beam",'Raw Data'!$J:$J,"Steel Tie Wire 1mm (Estimated 4% of Total Rebar Weight)")</f>
        <v>7583.2378960000015</v>
      </c>
      <c r="E65" s="32">
        <f>IFERROR(INDEX('Price List'!$I$5:$I$74,MATCH("Steel Tie Wire 1mm (Estimated 4% of Total Rebar Weight)|kg",'Price List'!$O$5:$O$74,0)),0)</f>
        <v>0.06</v>
      </c>
      <c r="F65" s="32">
        <f>IFERROR(INDEX('Price List'!$L$5:$L$74,MATCH("Steel Tie Wire 1mm (Estimated 4% of Total Rebar Weight)|kg",'Price List'!$O$5:$O$74,0)),0)</f>
        <v>1.3440000000000001</v>
      </c>
      <c r="G65" s="32">
        <f t="shared" si="3"/>
        <v>1.4040000000000001</v>
      </c>
      <c r="H65" s="33">
        <f>SUMIFS('Raw Data'!$Z:$Z,'Raw Data'!$D:$D,"B.04",'Raw Data'!$H:$H,"Structural Beam",'Raw Data'!$J:$J,"Steel Tie Wire 1mm (Estimated 4% of Total Rebar Weight)")</f>
        <v>10646.866005984</v>
      </c>
    </row>
    <row r="66" spans="1:8" ht="15" customHeight="1" x14ac:dyDescent="0.35">
      <c r="A66" s="29" t="s">
        <v>175</v>
      </c>
      <c r="B66" s="30" t="s">
        <v>143</v>
      </c>
      <c r="C66" s="29" t="s">
        <v>100</v>
      </c>
      <c r="D66" s="31">
        <f>SUMIFS('Raw Data'!$Q:$Q,'Raw Data'!$D:$D,"B.04",'Raw Data'!$H:$H,"Structural Beam",'Raw Data'!$J:$J,"Lean Concrete, 15Mpa (Cylinder)")</f>
        <v>7.3</v>
      </c>
      <c r="E66" s="32">
        <f>IFERROR(INDEX('Price List'!$I$5:$I$74,MATCH("Lean Concrete, 15Mpa (Cylinder)|m3",'Price List'!$O$5:$O$74,0)),0)</f>
        <v>8.4</v>
      </c>
      <c r="F66" s="32">
        <f>IFERROR(INDEX('Price List'!$L$5:$L$74,MATCH("Lean Concrete, 15Mpa (Cylinder)|m3",'Price List'!$O$5:$O$74,0)),0)</f>
        <v>84.000000000000014</v>
      </c>
      <c r="G66" s="32">
        <f t="shared" si="3"/>
        <v>92.40000000000002</v>
      </c>
      <c r="H66" s="33">
        <f>SUMIFS('Raw Data'!$Z:$Z,'Raw Data'!$D:$D,"B.04",'Raw Data'!$H:$H,"Structural Beam",'Raw Data'!$J:$J,"Lean Concrete, 15Mpa (Cylinder)")</f>
        <v>674.5200000000001</v>
      </c>
    </row>
    <row r="67" spans="1:8" ht="15" customHeight="1" x14ac:dyDescent="0.35">
      <c r="A67" s="29" t="s">
        <v>176</v>
      </c>
      <c r="B67" s="30" t="s">
        <v>177</v>
      </c>
      <c r="C67" s="29" t="s">
        <v>100</v>
      </c>
      <c r="D67" s="31">
        <f>SUMIFS('Raw Data'!$Q:$Q,'Raw Data'!$D:$D,"B.04",'Raw Data'!$H:$H,"Structural Beam",'Raw Data'!$J:$J,"Crush Stone 40x60mm 100mm Thk.")</f>
        <v>14.56</v>
      </c>
      <c r="E67" s="32">
        <f>IFERROR(INDEX('Price List'!$I$5:$I$74,MATCH("Crush Stone 40x60mm 100mm Thk.|m3",'Price List'!$O$5:$O$74,0)),0)</f>
        <v>3.5999999999999996</v>
      </c>
      <c r="F67" s="32">
        <f>IFERROR(INDEX('Price List'!$L$5:$L$74,MATCH("Crush Stone 40x60mm 100mm Thk.|m3",'Price List'!$O$5:$O$74,0)),0)</f>
        <v>20.160000000000004</v>
      </c>
      <c r="G67" s="32">
        <f t="shared" si="3"/>
        <v>23.760000000000005</v>
      </c>
      <c r="H67" s="33">
        <f>SUMIFS('Raw Data'!$Z:$Z,'Raw Data'!$D:$D,"B.04",'Raw Data'!$H:$H,"Structural Beam",'Raw Data'!$J:$J,"Crush Stone 40x60mm 100mm Thk.")</f>
        <v>345.94560000000007</v>
      </c>
    </row>
    <row r="68" spans="1:8" ht="15" customHeight="1" x14ac:dyDescent="0.35">
      <c r="A68" s="29" t="s">
        <v>178</v>
      </c>
      <c r="B68" s="30" t="s">
        <v>179</v>
      </c>
      <c r="C68" s="29" t="s">
        <v>128</v>
      </c>
      <c r="D68" s="31">
        <f>SUMIFS('Raw Data'!$Q:$Q,'Raw Data'!$D:$D,"B.04",'Raw Data'!$H:$H,"Structural Beam",'Raw Data'!$J:$J,"Anti-Termite with Plastic Membrane")</f>
        <v>145.57</v>
      </c>
      <c r="E68" s="32">
        <f>IFERROR(INDEX('Price List'!$I$5:$I$74,MATCH("Anti-Termite with Plastic Membrane|m2",'Price List'!$O$5:$O$74,0)),0)</f>
        <v>1.2</v>
      </c>
      <c r="F68" s="32">
        <f>IFERROR(INDEX('Price List'!$L$5:$L$74,MATCH("Anti-Termite with Plastic Membrane|m2",'Price List'!$O$5:$O$74,0)),0)</f>
        <v>2.8000000000000003</v>
      </c>
      <c r="G68" s="32">
        <f t="shared" si="3"/>
        <v>4</v>
      </c>
      <c r="H68" s="33">
        <f>SUMIFS('Raw Data'!$Z:$Z,'Raw Data'!$D:$D,"B.04",'Raw Data'!$H:$H,"Structural Beam",'Raw Data'!$J:$J,"Anti-Termite with Plastic Membrane")</f>
        <v>582.28</v>
      </c>
    </row>
    <row r="69" spans="1:8" ht="15" customHeight="1" x14ac:dyDescent="0.35">
      <c r="A69" s="29" t="s">
        <v>180</v>
      </c>
      <c r="B69" s="30" t="s">
        <v>105</v>
      </c>
      <c r="C69" s="29" t="s">
        <v>103</v>
      </c>
      <c r="D69" s="31">
        <f>SUMIFS('Raw Data'!$Q:$Q,'Raw Data'!$D:$D,"B.04",'Raw Data'!$H:$H,"Structural Beam",'Raw Data'!$J:$J,"Deform Bar, DB25(fy=390 Mpa)")</f>
        <v>87497.006400000013</v>
      </c>
      <c r="E69" s="32">
        <f>IFERROR(INDEX('Price List'!$I$5:$I$74,MATCH("Deform Bar, DB25(fy=390 Mpa)|kg",'Price List'!$O$5:$O$74,0)),0)</f>
        <v>9.6000000000000002E-2</v>
      </c>
      <c r="F69" s="32">
        <f>IFERROR(INDEX('Price List'!$L$5:$L$74,MATCH("Deform Bar, DB25(fy=390 Mpa)|kg",'Price List'!$O$5:$O$74,0)),0)</f>
        <v>0.80640000000000001</v>
      </c>
      <c r="G69" s="32">
        <f t="shared" si="3"/>
        <v>0.90239999999999998</v>
      </c>
      <c r="H69" s="33">
        <f>SUMIFS('Raw Data'!$Z:$Z,'Raw Data'!$D:$D,"B.04",'Raw Data'!$H:$H,"Structural Beam",'Raw Data'!$J:$J,"Deform Bar, DB25(fy=390 Mpa)")</f>
        <v>78957.298575360022</v>
      </c>
    </row>
    <row r="70" spans="1:8" ht="15" customHeight="1" x14ac:dyDescent="0.35">
      <c r="A70" s="18"/>
      <c r="B70" s="34" t="s">
        <v>181</v>
      </c>
      <c r="C70" s="18"/>
      <c r="D70" s="18"/>
      <c r="E70" s="18"/>
      <c r="F70" s="18"/>
      <c r="G70" s="18"/>
      <c r="H70" s="35">
        <f>SUM(H58:H69)</f>
        <v>333415.49732587731</v>
      </c>
    </row>
    <row r="71" spans="1:8" ht="15" customHeight="1" x14ac:dyDescent="0.35">
      <c r="A71" s="197" t="s">
        <v>182</v>
      </c>
      <c r="B71" s="197"/>
      <c r="C71" s="197"/>
      <c r="D71" s="197"/>
      <c r="E71" s="197"/>
      <c r="F71" s="197"/>
      <c r="G71" s="197"/>
      <c r="H71" s="197"/>
    </row>
    <row r="72" spans="1:8" ht="15" customHeight="1" x14ac:dyDescent="0.35">
      <c r="A72" s="29" t="s">
        <v>183</v>
      </c>
      <c r="B72" s="30" t="s">
        <v>125</v>
      </c>
      <c r="C72" s="29" t="s">
        <v>100</v>
      </c>
      <c r="D72" s="31">
        <f>SUMIFS('Raw Data'!$Q:$Q,'Raw Data'!$D:$D,"B.04",'Raw Data'!$H:$H,"Structural Slab",'Raw Data'!$J:$J,"Normal Concrete, 35Mpa (Cylinder), Slump 13+-2.5")</f>
        <v>1093.212</v>
      </c>
      <c r="E72" s="32">
        <f>IFERROR(INDEX('Price List'!$I$5:$I$74,MATCH("Normal Concrete, 35Mpa (Cylinder), Slump 13+-2.5|m3",'Price List'!$O$5:$O$74,0)),0)</f>
        <v>12</v>
      </c>
      <c r="F72" s="32">
        <f>IFERROR(INDEX('Price List'!$L$5:$L$74,MATCH("Normal Concrete, 35Mpa (Cylinder), Slump 13+-2.5|m3",'Price List'!$O$5:$O$74,0)),0)</f>
        <v>109.76</v>
      </c>
      <c r="G72" s="32">
        <f t="shared" ref="G72:G79" si="4">E72+F72</f>
        <v>121.76</v>
      </c>
      <c r="H72" s="33">
        <f>SUMIFS('Raw Data'!$Z:$Z,'Raw Data'!$D:$D,"B.04",'Raw Data'!$H:$H,"Structural Slab",'Raw Data'!$J:$J,"Normal Concrete, 35Mpa (Cylinder), Slump 13+-2.5")</f>
        <v>133109.49312000003</v>
      </c>
    </row>
    <row r="73" spans="1:8" ht="15" customHeight="1" x14ac:dyDescent="0.35">
      <c r="A73" s="29" t="s">
        <v>184</v>
      </c>
      <c r="B73" s="30" t="s">
        <v>127</v>
      </c>
      <c r="C73" s="29" t="s">
        <v>128</v>
      </c>
      <c r="D73" s="31">
        <f>SUMIFS('Raw Data'!$Q:$Q,'Raw Data'!$D:$D,"B.04",'Raw Data'!$H:$H,"Structural Slab",'Raw Data'!$J:$J,"Formwork")</f>
        <v>6615.7</v>
      </c>
      <c r="E73" s="32">
        <f>IFERROR(INDEX('Price List'!$I$5:$I$74,MATCH("Formwork|m2",'Price List'!$O$5:$O$74,0)),0)</f>
        <v>7.1999999999999993</v>
      </c>
      <c r="F73" s="32">
        <f>IFERROR(INDEX('Price List'!$L$5:$L$74,MATCH("Formwork|m2",'Price List'!$O$5:$O$74,0)),0)</f>
        <v>5.6000000000000005</v>
      </c>
      <c r="G73" s="32">
        <f t="shared" si="4"/>
        <v>12.8</v>
      </c>
      <c r="H73" s="33">
        <f>SUMIFS('Raw Data'!$Z:$Z,'Raw Data'!$D:$D,"B.04",'Raw Data'!$H:$H,"Structural Slab",'Raw Data'!$J:$J,"Formwork")</f>
        <v>84680.960000000006</v>
      </c>
    </row>
    <row r="74" spans="1:8" ht="15" customHeight="1" x14ac:dyDescent="0.35">
      <c r="A74" s="29" t="s">
        <v>185</v>
      </c>
      <c r="B74" s="30" t="s">
        <v>102</v>
      </c>
      <c r="C74" s="29" t="s">
        <v>103</v>
      </c>
      <c r="D74" s="31">
        <f>SUMIFS('Raw Data'!$Q:$Q,'Raw Data'!$D:$D,"B.04",'Raw Data'!$H:$H,"Structural Slab",'Raw Data'!$J:$J,"Deform Bar, DB10(fy=390 Mpa)")</f>
        <v>143630.17619999999</v>
      </c>
      <c r="E74" s="32">
        <f>IFERROR(INDEX('Price List'!$I$5:$I$74,MATCH("Deform Bar, DB10(fy=390 Mpa)|kg",'Price List'!$O$5:$O$74,0)),0)</f>
        <v>0.14399999999999999</v>
      </c>
      <c r="F74" s="32">
        <f>IFERROR(INDEX('Price List'!$L$5:$L$74,MATCH("Deform Bar, DB10(fy=390 Mpa)|kg",'Price List'!$O$5:$O$74,0)),0)</f>
        <v>0.87360000000000015</v>
      </c>
      <c r="G74" s="32">
        <f t="shared" si="4"/>
        <v>1.0176000000000001</v>
      </c>
      <c r="H74" s="33">
        <f>SUMIFS('Raw Data'!$Z:$Z,'Raw Data'!$D:$D,"B.04",'Raw Data'!$H:$H,"Structural Slab",'Raw Data'!$J:$J,"Deform Bar, DB10(fy=390 Mpa)")</f>
        <v>146158.06730112</v>
      </c>
    </row>
    <row r="75" spans="1:8" ht="15" customHeight="1" x14ac:dyDescent="0.35">
      <c r="A75" s="29" t="s">
        <v>186</v>
      </c>
      <c r="B75" s="30" t="s">
        <v>131</v>
      </c>
      <c r="C75" s="29" t="s">
        <v>103</v>
      </c>
      <c r="D75" s="31">
        <f>SUMIFS('Raw Data'!$Q:$Q,'Raw Data'!$D:$D,"B.04",'Raw Data'!$H:$H,"Structural Slab",'Raw Data'!$J:$J,"Deform Bar, DB12(fy=390 Mpa)")</f>
        <v>2510.8200000000002</v>
      </c>
      <c r="E75" s="32">
        <f>IFERROR(INDEX('Price List'!$I$5:$I$74,MATCH("Deform Bar, DB12(fy=390 Mpa)|kg",'Price List'!$O$5:$O$74,0)),0)</f>
        <v>0.13200000000000001</v>
      </c>
      <c r="F75" s="32">
        <f>IFERROR(INDEX('Price List'!$L$5:$L$74,MATCH("Deform Bar, DB12(fy=390 Mpa)|kg",'Price List'!$O$5:$O$74,0)),0)</f>
        <v>0.85120000000000007</v>
      </c>
      <c r="G75" s="32">
        <f t="shared" si="4"/>
        <v>0.98320000000000007</v>
      </c>
      <c r="H75" s="33">
        <f>SUMIFS('Raw Data'!$Z:$Z,'Raw Data'!$D:$D,"B.04",'Raw Data'!$H:$H,"Structural Slab",'Raw Data'!$J:$J,"Deform Bar, DB12(fy=390 Mpa)")</f>
        <v>2468.6382240000003</v>
      </c>
    </row>
    <row r="76" spans="1:8" ht="15" customHeight="1" x14ac:dyDescent="0.35">
      <c r="A76" s="29" t="s">
        <v>187</v>
      </c>
      <c r="B76" s="30" t="s">
        <v>107</v>
      </c>
      <c r="C76" s="29" t="s">
        <v>103</v>
      </c>
      <c r="D76" s="31">
        <f>SUMIFS('Raw Data'!$Q:$Q,'Raw Data'!$D:$D,"B.04",'Raw Data'!$H:$H,"Structural Slab",'Raw Data'!$J:$J,"Steel Tie Wire 1mm (Estimated 4% of Total Rebar Weight)")</f>
        <v>5378.3998479999991</v>
      </c>
      <c r="E76" s="32">
        <f>IFERROR(INDEX('Price List'!$I$5:$I$74,MATCH("Steel Tie Wire 1mm (Estimated 4% of Total Rebar Weight)|kg",'Price List'!$O$5:$O$74,0)),0)</f>
        <v>0.06</v>
      </c>
      <c r="F76" s="32">
        <f>IFERROR(INDEX('Price List'!$L$5:$L$74,MATCH("Steel Tie Wire 1mm (Estimated 4% of Total Rebar Weight)|kg",'Price List'!$O$5:$O$74,0)),0)</f>
        <v>1.3440000000000001</v>
      </c>
      <c r="G76" s="32">
        <f t="shared" si="4"/>
        <v>1.4040000000000001</v>
      </c>
      <c r="H76" s="33">
        <f>SUMIFS('Raw Data'!$Z:$Z,'Raw Data'!$D:$D,"B.04",'Raw Data'!$H:$H,"Structural Slab",'Raw Data'!$J:$J,"Steel Tie Wire 1mm (Estimated 4% of Total Rebar Weight)")</f>
        <v>7551.2733865920018</v>
      </c>
    </row>
    <row r="77" spans="1:8" ht="15" customHeight="1" x14ac:dyDescent="0.35">
      <c r="A77" s="29" t="s">
        <v>188</v>
      </c>
      <c r="B77" s="30" t="s">
        <v>143</v>
      </c>
      <c r="C77" s="29" t="s">
        <v>100</v>
      </c>
      <c r="D77" s="31">
        <f>SUMIFS('Raw Data'!$Q:$Q,'Raw Data'!$D:$D,"B.04",'Raw Data'!$H:$H,"Structural Slab",'Raw Data'!$J:$J,"Lean Concrete, 15Mpa (Cylinder)")</f>
        <v>27.6</v>
      </c>
      <c r="E77" s="32">
        <f>IFERROR(INDEX('Price List'!$I$5:$I$74,MATCH("Lean Concrete, 15Mpa (Cylinder)|m3",'Price List'!$O$5:$O$74,0)),0)</f>
        <v>8.4</v>
      </c>
      <c r="F77" s="32">
        <f>IFERROR(INDEX('Price List'!$L$5:$L$74,MATCH("Lean Concrete, 15Mpa (Cylinder)|m3",'Price List'!$O$5:$O$74,0)),0)</f>
        <v>84.000000000000014</v>
      </c>
      <c r="G77" s="32">
        <f t="shared" si="4"/>
        <v>92.40000000000002</v>
      </c>
      <c r="H77" s="33">
        <f>SUMIFS('Raw Data'!$Z:$Z,'Raw Data'!$D:$D,"B.04",'Raw Data'!$H:$H,"Structural Slab",'Raw Data'!$J:$J,"Lean Concrete, 15Mpa (Cylinder)")</f>
        <v>2550.2400000000007</v>
      </c>
    </row>
    <row r="78" spans="1:8" ht="15" customHeight="1" x14ac:dyDescent="0.35">
      <c r="A78" s="29" t="s">
        <v>189</v>
      </c>
      <c r="B78" s="30" t="s">
        <v>177</v>
      </c>
      <c r="C78" s="29" t="s">
        <v>100</v>
      </c>
      <c r="D78" s="31">
        <f>SUMIFS('Raw Data'!$Q:$Q,'Raw Data'!$D:$D,"B.04",'Raw Data'!$H:$H,"Structural Slab",'Raw Data'!$J:$J,"Crush Stone 40x60mm 100mm Thk.")</f>
        <v>55.2</v>
      </c>
      <c r="E78" s="32">
        <f>IFERROR(INDEX('Price List'!$I$5:$I$74,MATCH("Crush Stone 40x60mm 100mm Thk.|m3",'Price List'!$O$5:$O$74,0)),0)</f>
        <v>3.5999999999999996</v>
      </c>
      <c r="F78" s="32">
        <f>IFERROR(INDEX('Price List'!$L$5:$L$74,MATCH("Crush Stone 40x60mm 100mm Thk.|m3",'Price List'!$O$5:$O$74,0)),0)</f>
        <v>20.160000000000004</v>
      </c>
      <c r="G78" s="32">
        <f t="shared" si="4"/>
        <v>23.760000000000005</v>
      </c>
      <c r="H78" s="33">
        <f>SUMIFS('Raw Data'!$Z:$Z,'Raw Data'!$D:$D,"B.04",'Raw Data'!$H:$H,"Structural Slab",'Raw Data'!$J:$J,"Crush Stone 40x60mm 100mm Thk.")</f>
        <v>1311.5520000000004</v>
      </c>
    </row>
    <row r="79" spans="1:8" ht="15" customHeight="1" x14ac:dyDescent="0.35">
      <c r="A79" s="29" t="s">
        <v>190</v>
      </c>
      <c r="B79" s="30" t="s">
        <v>179</v>
      </c>
      <c r="C79" s="29" t="s">
        <v>128</v>
      </c>
      <c r="D79" s="31">
        <f>SUMIFS('Raw Data'!$Q:$Q,'Raw Data'!$D:$D,"B.04",'Raw Data'!$H:$H,"Structural Slab",'Raw Data'!$J:$J,"Anti-Termite with Plastic Membrane")</f>
        <v>552</v>
      </c>
      <c r="E79" s="32">
        <f>IFERROR(INDEX('Price List'!$I$5:$I$74,MATCH("Anti-Termite with Plastic Membrane|m2",'Price List'!$O$5:$O$74,0)),0)</f>
        <v>1.2</v>
      </c>
      <c r="F79" s="32">
        <f>IFERROR(INDEX('Price List'!$L$5:$L$74,MATCH("Anti-Termite with Plastic Membrane|m2",'Price List'!$O$5:$O$74,0)),0)</f>
        <v>2.8000000000000003</v>
      </c>
      <c r="G79" s="32">
        <f t="shared" si="4"/>
        <v>4</v>
      </c>
      <c r="H79" s="33">
        <f>SUMIFS('Raw Data'!$Z:$Z,'Raw Data'!$D:$D,"B.04",'Raw Data'!$H:$H,"Structural Slab",'Raw Data'!$J:$J,"Anti-Termite with Plastic Membrane")</f>
        <v>2208</v>
      </c>
    </row>
    <row r="80" spans="1:8" ht="15" customHeight="1" x14ac:dyDescent="0.35">
      <c r="A80" s="18"/>
      <c r="B80" s="34" t="s">
        <v>191</v>
      </c>
      <c r="C80" s="18"/>
      <c r="D80" s="18"/>
      <c r="E80" s="18"/>
      <c r="F80" s="18"/>
      <c r="G80" s="18"/>
      <c r="H80" s="35">
        <f>SUM(H72:H79)</f>
        <v>380038.22403171199</v>
      </c>
    </row>
    <row r="81" spans="1:8" ht="15" customHeight="1" x14ac:dyDescent="0.35">
      <c r="A81" s="197" t="s">
        <v>192</v>
      </c>
      <c r="B81" s="197"/>
      <c r="C81" s="197"/>
      <c r="D81" s="197"/>
      <c r="E81" s="197"/>
      <c r="F81" s="197"/>
      <c r="G81" s="197"/>
      <c r="H81" s="197"/>
    </row>
    <row r="82" spans="1:8" ht="15" customHeight="1" x14ac:dyDescent="0.35">
      <c r="A82" s="29" t="s">
        <v>193</v>
      </c>
      <c r="B82" s="30" t="s">
        <v>125</v>
      </c>
      <c r="C82" s="29" t="s">
        <v>100</v>
      </c>
      <c r="D82" s="31">
        <f>SUMIFS('Raw Data'!$Q:$Q,'Raw Data'!$D:$D,"B.04",'Raw Data'!$H:$H,"Structural Column",'Raw Data'!$J:$J,"Normal Concrete, 35Mpa (Cylinder), Slump 13+-2.5")</f>
        <v>524.32799999999986</v>
      </c>
      <c r="E82" s="32">
        <f>IFERROR(INDEX('Price List'!$I$5:$I$74,MATCH("Normal Concrete, 35Mpa (Cylinder), Slump 13+-2.5|m3",'Price List'!$O$5:$O$74,0)),0)</f>
        <v>12</v>
      </c>
      <c r="F82" s="32">
        <f>IFERROR(INDEX('Price List'!$L$5:$L$74,MATCH("Normal Concrete, 35Mpa (Cylinder), Slump 13+-2.5|m3",'Price List'!$O$5:$O$74,0)),0)</f>
        <v>109.76</v>
      </c>
      <c r="G82" s="32">
        <f t="shared" ref="G82:G89" si="5">E82+F82</f>
        <v>121.76</v>
      </c>
      <c r="H82" s="33">
        <f>SUMIFS('Raw Data'!$Z:$Z,'Raw Data'!$D:$D,"B.04",'Raw Data'!$H:$H,"Structural Column",'Raw Data'!$J:$J,"Normal Concrete, 35Mpa (Cylinder), Slump 13+-2.5")</f>
        <v>63842.177280000011</v>
      </c>
    </row>
    <row r="83" spans="1:8" ht="15" customHeight="1" x14ac:dyDescent="0.35">
      <c r="A83" s="29" t="s">
        <v>194</v>
      </c>
      <c r="B83" s="30" t="s">
        <v>127</v>
      </c>
      <c r="C83" s="29" t="s">
        <v>128</v>
      </c>
      <c r="D83" s="31">
        <f>SUMIFS('Raw Data'!$Q:$Q,'Raw Data'!$D:$D,"B.04",'Raw Data'!$H:$H,"Structural Column",'Raw Data'!$J:$J,"Formwork")</f>
        <v>2691.6000000000008</v>
      </c>
      <c r="E83" s="32">
        <f>IFERROR(INDEX('Price List'!$I$5:$I$74,MATCH("Formwork|m2",'Price List'!$O$5:$O$74,0)),0)</f>
        <v>7.1999999999999993</v>
      </c>
      <c r="F83" s="32">
        <f>IFERROR(INDEX('Price List'!$L$5:$L$74,MATCH("Formwork|m2",'Price List'!$O$5:$O$74,0)),0)</f>
        <v>5.6000000000000005</v>
      </c>
      <c r="G83" s="32">
        <f t="shared" si="5"/>
        <v>12.8</v>
      </c>
      <c r="H83" s="33">
        <f>SUMIFS('Raw Data'!$Z:$Z,'Raw Data'!$D:$D,"B.04",'Raw Data'!$H:$H,"Structural Column",'Raw Data'!$J:$J,"Formwork")</f>
        <v>34452.48000000001</v>
      </c>
    </row>
    <row r="84" spans="1:8" ht="15" customHeight="1" x14ac:dyDescent="0.35">
      <c r="A84" s="29" t="s">
        <v>195</v>
      </c>
      <c r="B84" s="30" t="s">
        <v>131</v>
      </c>
      <c r="C84" s="29" t="s">
        <v>103</v>
      </c>
      <c r="D84" s="31">
        <f>SUMIFS('Raw Data'!$Q:$Q,'Raw Data'!$D:$D,"B.04",'Raw Data'!$H:$H,"Structural Column",'Raw Data'!$J:$J,"Deform Bar, DB12(fy=390 Mpa)")</f>
        <v>20883.06048</v>
      </c>
      <c r="E84" s="32">
        <f>IFERROR(INDEX('Price List'!$I$5:$I$74,MATCH("Deform Bar, DB12(fy=390 Mpa)|kg",'Price List'!$O$5:$O$74,0)),0)</f>
        <v>0.13200000000000001</v>
      </c>
      <c r="F84" s="32">
        <f>IFERROR(INDEX('Price List'!$L$5:$L$74,MATCH("Deform Bar, DB12(fy=390 Mpa)|kg",'Price List'!$O$5:$O$74,0)),0)</f>
        <v>0.85120000000000007</v>
      </c>
      <c r="G84" s="32">
        <f t="shared" si="5"/>
        <v>0.98320000000000007</v>
      </c>
      <c r="H84" s="33">
        <f>SUMIFS('Raw Data'!$Z:$Z,'Raw Data'!$D:$D,"B.04",'Raw Data'!$H:$H,"Structural Column",'Raw Data'!$J:$J,"Deform Bar, DB12(fy=390 Mpa)")</f>
        <v>20532.225063936003</v>
      </c>
    </row>
    <row r="85" spans="1:8" ht="15" customHeight="1" x14ac:dyDescent="0.35">
      <c r="A85" s="29" t="s">
        <v>196</v>
      </c>
      <c r="B85" s="30" t="s">
        <v>105</v>
      </c>
      <c r="C85" s="29" t="s">
        <v>103</v>
      </c>
      <c r="D85" s="31">
        <f>SUMIFS('Raw Data'!$Q:$Q,'Raw Data'!$D:$D,"B.04",'Raw Data'!$H:$H,"Structural Column",'Raw Data'!$J:$J,"Deform Bar, DB25(fy=390 Mpa)")</f>
        <v>28929.5232</v>
      </c>
      <c r="E85" s="32">
        <f>IFERROR(INDEX('Price List'!$I$5:$I$74,MATCH("Deform Bar, DB25(fy=390 Mpa)|kg",'Price List'!$O$5:$O$74,0)),0)</f>
        <v>9.6000000000000002E-2</v>
      </c>
      <c r="F85" s="32">
        <f>IFERROR(INDEX('Price List'!$L$5:$L$74,MATCH("Deform Bar, DB25(fy=390 Mpa)|kg",'Price List'!$O$5:$O$74,0)),0)</f>
        <v>0.80640000000000001</v>
      </c>
      <c r="G85" s="32">
        <f t="shared" si="5"/>
        <v>0.90239999999999998</v>
      </c>
      <c r="H85" s="33">
        <f>SUMIFS('Raw Data'!$Z:$Z,'Raw Data'!$D:$D,"B.04",'Raw Data'!$H:$H,"Structural Column",'Raw Data'!$J:$J,"Deform Bar, DB25(fy=390 Mpa)")</f>
        <v>26106.001735679998</v>
      </c>
    </row>
    <row r="86" spans="1:8" ht="15" customHeight="1" x14ac:dyDescent="0.35">
      <c r="A86" s="29" t="s">
        <v>197</v>
      </c>
      <c r="B86" s="30" t="s">
        <v>138</v>
      </c>
      <c r="C86" s="29" t="s">
        <v>103</v>
      </c>
      <c r="D86" s="31">
        <f>SUMIFS('Raw Data'!$Q:$Q,'Raw Data'!$D:$D,"B.04",'Raw Data'!$H:$H,"Structural Column",'Raw Data'!$J:$J,"Deform Bar, DB32(fy=390 Mpa)")</f>
        <v>40852.479999999996</v>
      </c>
      <c r="E86" s="32">
        <f>IFERROR(INDEX('Price List'!$I$5:$I$74,MATCH("Deform Bar, DB32(fy=390 Mpa)|kg",'Price List'!$O$5:$O$74,0)),0)</f>
        <v>9.6000000000000002E-2</v>
      </c>
      <c r="F86" s="32">
        <f>IFERROR(INDEX('Price List'!$L$5:$L$74,MATCH("Deform Bar, DB32(fy=390 Mpa)|kg",'Price List'!$O$5:$O$74,0)),0)</f>
        <v>0.79520000000000002</v>
      </c>
      <c r="G86" s="32">
        <f t="shared" si="5"/>
        <v>0.89119999999999999</v>
      </c>
      <c r="H86" s="33">
        <f>SUMIFS('Raw Data'!$Z:$Z,'Raw Data'!$D:$D,"B.04",'Raw Data'!$H:$H,"Structural Column",'Raw Data'!$J:$J,"Deform Bar, DB32(fy=390 Mpa)")</f>
        <v>36407.730175999997</v>
      </c>
    </row>
    <row r="87" spans="1:8" ht="15" customHeight="1" x14ac:dyDescent="0.35">
      <c r="A87" s="29" t="s">
        <v>198</v>
      </c>
      <c r="B87" s="30" t="s">
        <v>107</v>
      </c>
      <c r="C87" s="29" t="s">
        <v>103</v>
      </c>
      <c r="D87" s="31">
        <f>SUMIFS('Raw Data'!$Q:$Q,'Raw Data'!$D:$D,"B.04",'Raw Data'!$H:$H,"Structural Column",'Raw Data'!$J:$J,"Steel Tie Wire 1mm (Estimated 4% of Total Rebar Weight)")</f>
        <v>5225.1487711999998</v>
      </c>
      <c r="E87" s="32">
        <f>IFERROR(INDEX('Price List'!$I$5:$I$74,MATCH("Steel Tie Wire 1mm (Estimated 4% of Total Rebar Weight)|kg",'Price List'!$O$5:$O$74,0)),0)</f>
        <v>0.06</v>
      </c>
      <c r="F87" s="32">
        <f>IFERROR(INDEX('Price List'!$L$5:$L$74,MATCH("Steel Tie Wire 1mm (Estimated 4% of Total Rebar Weight)|kg",'Price List'!$O$5:$O$74,0)),0)</f>
        <v>1.3440000000000001</v>
      </c>
      <c r="G87" s="32">
        <f t="shared" si="5"/>
        <v>1.4040000000000001</v>
      </c>
      <c r="H87" s="33">
        <f>SUMIFS('Raw Data'!$Z:$Z,'Raw Data'!$D:$D,"B.04",'Raw Data'!$H:$H,"Structural Column",'Raw Data'!$J:$J,"Steel Tie Wire 1mm (Estimated 4% of Total Rebar Weight)")</f>
        <v>7336.1088747648009</v>
      </c>
    </row>
    <row r="88" spans="1:8" ht="15" customHeight="1" x14ac:dyDescent="0.35">
      <c r="A88" s="29" t="s">
        <v>199</v>
      </c>
      <c r="B88" s="30" t="s">
        <v>135</v>
      </c>
      <c r="C88" s="29" t="s">
        <v>103</v>
      </c>
      <c r="D88" s="31">
        <f>SUMIFS('Raw Data'!$Q:$Q,'Raw Data'!$D:$D,"B.04",'Raw Data'!$H:$H,"Structural Column",'Raw Data'!$J:$J,"Deform Bar, DB20(fy=390 Mpa)")</f>
        <v>29031.724799999996</v>
      </c>
      <c r="E88" s="32">
        <f>IFERROR(INDEX('Price List'!$I$5:$I$74,MATCH("Deform Bar, DB20(fy=390 Mpa)|kg",'Price List'!$O$5:$O$74,0)),0)</f>
        <v>0.108</v>
      </c>
      <c r="F88" s="32">
        <f>IFERROR(INDEX('Price List'!$L$5:$L$74,MATCH("Deform Bar, DB20(fy=390 Mpa)|kg",'Price List'!$O$5:$O$74,0)),0)</f>
        <v>0.8176000000000001</v>
      </c>
      <c r="G88" s="32">
        <f t="shared" si="5"/>
        <v>0.92560000000000009</v>
      </c>
      <c r="H88" s="33">
        <f>SUMIFS('Raw Data'!$Z:$Z,'Raw Data'!$D:$D,"B.04",'Raw Data'!$H:$H,"Structural Column",'Raw Data'!$J:$J,"Deform Bar, DB20(fy=390 Mpa)")</f>
        <v>26871.764474879994</v>
      </c>
    </row>
    <row r="89" spans="1:8" ht="15" customHeight="1" x14ac:dyDescent="0.35">
      <c r="A89" s="29" t="s">
        <v>200</v>
      </c>
      <c r="B89" s="30" t="s">
        <v>102</v>
      </c>
      <c r="C89" s="29" t="s">
        <v>103</v>
      </c>
      <c r="D89" s="31">
        <f>SUMIFS('Raw Data'!$Q:$Q,'Raw Data'!$D:$D,"B.04",'Raw Data'!$H:$H,"Structural Column",'Raw Data'!$J:$J,"Deform Bar, DB10(fy=390 Mpa)")</f>
        <v>10704.209599999998</v>
      </c>
      <c r="E89" s="32">
        <f>IFERROR(INDEX('Price List'!$I$5:$I$74,MATCH("Deform Bar, DB10(fy=390 Mpa)|kg",'Price List'!$O$5:$O$74,0)),0)</f>
        <v>0.14399999999999999</v>
      </c>
      <c r="F89" s="32">
        <f>IFERROR(INDEX('Price List'!$L$5:$L$74,MATCH("Deform Bar, DB10(fy=390 Mpa)|kg",'Price List'!$O$5:$O$74,0)),0)</f>
        <v>0.87360000000000015</v>
      </c>
      <c r="G89" s="32">
        <f t="shared" si="5"/>
        <v>1.0176000000000001</v>
      </c>
      <c r="H89" s="33">
        <f>SUMIFS('Raw Data'!$Z:$Z,'Raw Data'!$D:$D,"B.04",'Raw Data'!$H:$H,"Structural Column",'Raw Data'!$J:$J,"Deform Bar, DB10(fy=390 Mpa)")</f>
        <v>10892.603688960002</v>
      </c>
    </row>
    <row r="90" spans="1:8" ht="15" customHeight="1" x14ac:dyDescent="0.35">
      <c r="A90" s="18"/>
      <c r="B90" s="34" t="s">
        <v>201</v>
      </c>
      <c r="C90" s="18"/>
      <c r="D90" s="18"/>
      <c r="E90" s="18"/>
      <c r="F90" s="18"/>
      <c r="G90" s="18"/>
      <c r="H90" s="35">
        <f>SUM(H82:H89)</f>
        <v>226441.09129422079</v>
      </c>
    </row>
    <row r="91" spans="1:8" ht="15" customHeight="1" x14ac:dyDescent="0.35">
      <c r="A91" s="197" t="s">
        <v>202</v>
      </c>
      <c r="B91" s="197"/>
      <c r="C91" s="197"/>
      <c r="D91" s="197"/>
      <c r="E91" s="197"/>
      <c r="F91" s="197"/>
      <c r="G91" s="197"/>
      <c r="H91" s="197"/>
    </row>
    <row r="92" spans="1:8" ht="15" customHeight="1" x14ac:dyDescent="0.35">
      <c r="A92" s="29" t="s">
        <v>203</v>
      </c>
      <c r="B92" s="30" t="s">
        <v>125</v>
      </c>
      <c r="C92" s="29" t="s">
        <v>100</v>
      </c>
      <c r="D92" s="31">
        <f>SUMIFS('Raw Data'!$Q:$Q,'Raw Data'!$D:$D,"B.04",'Raw Data'!$H:$H,"Structural Wall",'Raw Data'!$J:$J,"Normal Concrete, 35Mpa (Cylinder), Slump 13+-2.5")</f>
        <v>302.25000000000006</v>
      </c>
      <c r="E92" s="32">
        <f>IFERROR(INDEX('Price List'!$I$5:$I$74,MATCH("Normal Concrete, 35Mpa (Cylinder), Slump 13+-2.5|m3",'Price List'!$O$5:$O$74,0)),0)</f>
        <v>12</v>
      </c>
      <c r="F92" s="32">
        <f>IFERROR(INDEX('Price List'!$L$5:$L$74,MATCH("Normal Concrete, 35Mpa (Cylinder), Slump 13+-2.5|m3",'Price List'!$O$5:$O$74,0)),0)</f>
        <v>109.76</v>
      </c>
      <c r="G92" s="32">
        <f t="shared" ref="G92:G99" si="6">E92+F92</f>
        <v>121.76</v>
      </c>
      <c r="H92" s="33">
        <f>SUMIFS('Raw Data'!$Z:$Z,'Raw Data'!$D:$D,"B.04",'Raw Data'!$H:$H,"Structural Wall",'Raw Data'!$J:$J,"Normal Concrete, 35Mpa (Cylinder), Slump 13+-2.5")</f>
        <v>36801.960000000006</v>
      </c>
    </row>
    <row r="93" spans="1:8" ht="15" customHeight="1" x14ac:dyDescent="0.35">
      <c r="A93" s="29" t="s">
        <v>204</v>
      </c>
      <c r="B93" s="30" t="s">
        <v>127</v>
      </c>
      <c r="C93" s="29" t="s">
        <v>128</v>
      </c>
      <c r="D93" s="31">
        <f>SUMIFS('Raw Data'!$Q:$Q,'Raw Data'!$D:$D,"B.04",'Raw Data'!$H:$H,"Structural Wall",'Raw Data'!$J:$J,"Formwork")</f>
        <v>1801.7000000000005</v>
      </c>
      <c r="E93" s="32">
        <f>IFERROR(INDEX('Price List'!$I$5:$I$74,MATCH("Formwork|m2",'Price List'!$O$5:$O$74,0)),0)</f>
        <v>7.1999999999999993</v>
      </c>
      <c r="F93" s="32">
        <f>IFERROR(INDEX('Price List'!$L$5:$L$74,MATCH("Formwork|m2",'Price List'!$O$5:$O$74,0)),0)</f>
        <v>5.6000000000000005</v>
      </c>
      <c r="G93" s="32">
        <f t="shared" si="6"/>
        <v>12.8</v>
      </c>
      <c r="H93" s="33">
        <f>SUMIFS('Raw Data'!$Z:$Z,'Raw Data'!$D:$D,"B.04",'Raw Data'!$H:$H,"Structural Wall",'Raw Data'!$J:$J,"Formwork")</f>
        <v>23061.760000000002</v>
      </c>
    </row>
    <row r="94" spans="1:8" ht="15" customHeight="1" x14ac:dyDescent="0.35">
      <c r="A94" s="29" t="s">
        <v>205</v>
      </c>
      <c r="B94" s="30" t="s">
        <v>102</v>
      </c>
      <c r="C94" s="29" t="s">
        <v>103</v>
      </c>
      <c r="D94" s="31">
        <f>SUMIFS('Raw Data'!$Q:$Q,'Raw Data'!$D:$D,"B.04",'Raw Data'!$H:$H,"Structural Wall",'Raw Data'!$J:$J,"Deform Bar, DB10(fy=390 Mpa)")</f>
        <v>3126.9560000000001</v>
      </c>
      <c r="E94" s="32">
        <f>IFERROR(INDEX('Price List'!$I$5:$I$74,MATCH("Deform Bar, DB10(fy=390 Mpa)|kg",'Price List'!$O$5:$O$74,0)),0)</f>
        <v>0.14399999999999999</v>
      </c>
      <c r="F94" s="32">
        <f>IFERROR(INDEX('Price List'!$L$5:$L$74,MATCH("Deform Bar, DB10(fy=390 Mpa)|kg",'Price List'!$O$5:$O$74,0)),0)</f>
        <v>0.87360000000000015</v>
      </c>
      <c r="G94" s="32">
        <f t="shared" si="6"/>
        <v>1.0176000000000001</v>
      </c>
      <c r="H94" s="33">
        <f>SUMIFS('Raw Data'!$Z:$Z,'Raw Data'!$D:$D,"B.04",'Raw Data'!$H:$H,"Structural Wall",'Raw Data'!$J:$J,"Deform Bar, DB10(fy=390 Mpa)")</f>
        <v>3181.9904256000009</v>
      </c>
    </row>
    <row r="95" spans="1:8" ht="15" customHeight="1" x14ac:dyDescent="0.35">
      <c r="A95" s="29" t="s">
        <v>206</v>
      </c>
      <c r="B95" s="30" t="s">
        <v>131</v>
      </c>
      <c r="C95" s="29" t="s">
        <v>103</v>
      </c>
      <c r="D95" s="31">
        <f>SUMIFS('Raw Data'!$Q:$Q,'Raw Data'!$D:$D,"B.04",'Raw Data'!$H:$H,"Structural Wall",'Raw Data'!$J:$J,"Deform Bar, DB12(fy=390 Mpa)")</f>
        <v>13854.7536</v>
      </c>
      <c r="E95" s="32">
        <f>IFERROR(INDEX('Price List'!$I$5:$I$74,MATCH("Deform Bar, DB12(fy=390 Mpa)|kg",'Price List'!$O$5:$O$74,0)),0)</f>
        <v>0.13200000000000001</v>
      </c>
      <c r="F95" s="32">
        <f>IFERROR(INDEX('Price List'!$L$5:$L$74,MATCH("Deform Bar, DB12(fy=390 Mpa)|kg",'Price List'!$O$5:$O$74,0)),0)</f>
        <v>0.85120000000000007</v>
      </c>
      <c r="G95" s="32">
        <f t="shared" si="6"/>
        <v>0.98320000000000007</v>
      </c>
      <c r="H95" s="33">
        <f>SUMIFS('Raw Data'!$Z:$Z,'Raw Data'!$D:$D,"B.04",'Raw Data'!$H:$H,"Structural Wall",'Raw Data'!$J:$J,"Deform Bar, DB12(fy=390 Mpa)")</f>
        <v>13621.993739520001</v>
      </c>
    </row>
    <row r="96" spans="1:8" ht="15" customHeight="1" x14ac:dyDescent="0.35">
      <c r="A96" s="29" t="s">
        <v>207</v>
      </c>
      <c r="B96" s="30" t="s">
        <v>133</v>
      </c>
      <c r="C96" s="29" t="s">
        <v>103</v>
      </c>
      <c r="D96" s="31">
        <f>SUMIFS('Raw Data'!$Q:$Q,'Raw Data'!$D:$D,"B.04",'Raw Data'!$H:$H,"Structural Wall",'Raw Data'!$J:$J,"Deform Bar, DB16(fy=390 Mpa)")</f>
        <v>8106.6639999999989</v>
      </c>
      <c r="E96" s="32">
        <f>IFERROR(INDEX('Price List'!$I$5:$I$74,MATCH("Deform Bar, DB16(fy=390 Mpa)|kg",'Price List'!$O$5:$O$74,0)),0)</f>
        <v>0.12</v>
      </c>
      <c r="F96" s="32">
        <f>IFERROR(INDEX('Price List'!$L$5:$L$74,MATCH("Deform Bar, DB16(fy=390 Mpa)|kg",'Price List'!$O$5:$O$74,0)),0)</f>
        <v>0.82880000000000009</v>
      </c>
      <c r="G96" s="32">
        <f t="shared" si="6"/>
        <v>0.94880000000000009</v>
      </c>
      <c r="H96" s="33">
        <f>SUMIFS('Raw Data'!$Z:$Z,'Raw Data'!$D:$D,"B.04",'Raw Data'!$H:$H,"Structural Wall",'Raw Data'!$J:$J,"Deform Bar, DB16(fy=390 Mpa)")</f>
        <v>7691.6028032000013</v>
      </c>
    </row>
    <row r="97" spans="1:8" ht="15" customHeight="1" x14ac:dyDescent="0.35">
      <c r="A97" s="29" t="s">
        <v>208</v>
      </c>
      <c r="B97" s="30" t="s">
        <v>135</v>
      </c>
      <c r="C97" s="29" t="s">
        <v>103</v>
      </c>
      <c r="D97" s="31">
        <f>SUMIFS('Raw Data'!$Q:$Q,'Raw Data'!$D:$D,"B.04",'Raw Data'!$H:$H,"Structural Wall",'Raw Data'!$J:$J,"Deform Bar, DB20(fy=390 Mpa)")</f>
        <v>10607.167999999998</v>
      </c>
      <c r="E97" s="32">
        <f>IFERROR(INDEX('Price List'!$I$5:$I$74,MATCH("Deform Bar, DB20(fy=390 Mpa)|kg",'Price List'!$O$5:$O$74,0)),0)</f>
        <v>0.108</v>
      </c>
      <c r="F97" s="32">
        <f>IFERROR(INDEX('Price List'!$L$5:$L$74,MATCH("Deform Bar, DB20(fy=390 Mpa)|kg",'Price List'!$O$5:$O$74,0)),0)</f>
        <v>0.8176000000000001</v>
      </c>
      <c r="G97" s="32">
        <f t="shared" si="6"/>
        <v>0.92560000000000009</v>
      </c>
      <c r="H97" s="33">
        <f>SUMIFS('Raw Data'!$Z:$Z,'Raw Data'!$D:$D,"B.04",'Raw Data'!$H:$H,"Structural Wall",'Raw Data'!$J:$J,"Deform Bar, DB20(fy=390 Mpa)")</f>
        <v>9817.9947008000036</v>
      </c>
    </row>
    <row r="98" spans="1:8" ht="15" customHeight="1" x14ac:dyDescent="0.35">
      <c r="A98" s="29" t="s">
        <v>209</v>
      </c>
      <c r="B98" s="30" t="s">
        <v>107</v>
      </c>
      <c r="C98" s="29" t="s">
        <v>103</v>
      </c>
      <c r="D98" s="31">
        <f>SUMIFS('Raw Data'!$Q:$Q,'Raw Data'!$D:$D,"B.04",'Raw Data'!$H:$H,"Structural Wall",'Raw Data'!$J:$J,"Steel Tie Wire 1mm (Estimated 4% of Total Rebar Weight)")</f>
        <v>1831.2625280000004</v>
      </c>
      <c r="E98" s="32">
        <f>IFERROR(INDEX('Price List'!$I$5:$I$74,MATCH("Steel Tie Wire 1mm (Estimated 4% of Total Rebar Weight)|kg",'Price List'!$O$5:$O$74,0)),0)</f>
        <v>0.06</v>
      </c>
      <c r="F98" s="32">
        <f>IFERROR(INDEX('Price List'!$L$5:$L$74,MATCH("Steel Tie Wire 1mm (Estimated 4% of Total Rebar Weight)|kg",'Price List'!$O$5:$O$74,0)),0)</f>
        <v>1.3440000000000001</v>
      </c>
      <c r="G98" s="32">
        <f t="shared" si="6"/>
        <v>1.4040000000000001</v>
      </c>
      <c r="H98" s="33">
        <f>SUMIFS('Raw Data'!$Z:$Z,'Raw Data'!$D:$D,"B.04",'Raw Data'!$H:$H,"Structural Wall",'Raw Data'!$J:$J,"Steel Tie Wire 1mm (Estimated 4% of Total Rebar Weight)")</f>
        <v>2571.0925893119997</v>
      </c>
    </row>
    <row r="99" spans="1:8" ht="15" customHeight="1" x14ac:dyDescent="0.35">
      <c r="A99" s="29" t="s">
        <v>210</v>
      </c>
      <c r="B99" s="30" t="s">
        <v>211</v>
      </c>
      <c r="C99" s="29" t="s">
        <v>103</v>
      </c>
      <c r="D99" s="31">
        <f>SUMIFS('Raw Data'!$Q:$Q,'Raw Data'!$D:$D,"B.04",'Raw Data'!$H:$H,"Structural Wall",'Raw Data'!$J:$J,"Deform Bar, DB14(fy=390 Mpa)")</f>
        <v>10086.0216</v>
      </c>
      <c r="E99" s="32">
        <f>IFERROR(INDEX('Price List'!$I$5:$I$74,MATCH("Deform Bar, DB14(fy=390 Mpa)|kg",'Price List'!$O$5:$O$74,0)),0)</f>
        <v>0.12</v>
      </c>
      <c r="F99" s="32">
        <f>IFERROR(INDEX('Price List'!$L$5:$L$74,MATCH("Deform Bar, DB14(fy=390 Mpa)|kg",'Price List'!$O$5:$O$74,0)),0)</f>
        <v>0.84000000000000008</v>
      </c>
      <c r="G99" s="32">
        <f t="shared" si="6"/>
        <v>0.96000000000000008</v>
      </c>
      <c r="H99" s="33">
        <f>SUMIFS('Raw Data'!$Z:$Z,'Raw Data'!$D:$D,"B.04",'Raw Data'!$H:$H,"Structural Wall",'Raw Data'!$J:$J,"Deform Bar, DB14(fy=390 Mpa)")</f>
        <v>9682.5807359999999</v>
      </c>
    </row>
    <row r="100" spans="1:8" ht="15" customHeight="1" x14ac:dyDescent="0.35">
      <c r="A100" s="18"/>
      <c r="B100" s="34" t="s">
        <v>212</v>
      </c>
      <c r="C100" s="18"/>
      <c r="D100" s="18"/>
      <c r="E100" s="18"/>
      <c r="F100" s="18"/>
      <c r="G100" s="18"/>
      <c r="H100" s="35">
        <f>SUM(H92:H99)</f>
        <v>106430.97499443202</v>
      </c>
    </row>
    <row r="101" spans="1:8" ht="15" customHeight="1" x14ac:dyDescent="0.35">
      <c r="A101" s="197" t="s">
        <v>213</v>
      </c>
      <c r="B101" s="197"/>
      <c r="C101" s="197"/>
      <c r="D101" s="197"/>
      <c r="E101" s="197"/>
      <c r="F101" s="197"/>
      <c r="G101" s="197"/>
      <c r="H101" s="197"/>
    </row>
    <row r="102" spans="1:8" ht="15" customHeight="1" x14ac:dyDescent="0.35">
      <c r="A102" s="29" t="s">
        <v>214</v>
      </c>
      <c r="B102" s="30" t="s">
        <v>125</v>
      </c>
      <c r="C102" s="29" t="s">
        <v>100</v>
      </c>
      <c r="D102" s="31">
        <f>SUMIFS('Raw Data'!$Q:$Q,'Raw Data'!$D:$D,"B.04",'Raw Data'!$H:$H,"Structural Staircase",'Raw Data'!$J:$J,"Normal Concrete, 35Mpa (Cylinder), Slump 13+-2.5")</f>
        <v>99.032640000000015</v>
      </c>
      <c r="E102" s="32">
        <f>IFERROR(INDEX('Price List'!$I$5:$I$74,MATCH("Normal Concrete, 35Mpa (Cylinder), Slump 13+-2.5|m3",'Price List'!$O$5:$O$74,0)),0)</f>
        <v>12</v>
      </c>
      <c r="F102" s="32">
        <f>IFERROR(INDEX('Price List'!$L$5:$L$74,MATCH("Normal Concrete, 35Mpa (Cylinder), Slump 13+-2.5|m3",'Price List'!$O$5:$O$74,0)),0)</f>
        <v>109.76</v>
      </c>
      <c r="G102" s="32">
        <f t="shared" ref="G102:G109" si="7">E102+F102</f>
        <v>121.76</v>
      </c>
      <c r="H102" s="33">
        <f>SUMIFS('Raw Data'!$Z:$Z,'Raw Data'!$D:$D,"B.04",'Raw Data'!$H:$H,"Structural Staircase",'Raw Data'!$J:$J,"Normal Concrete, 35Mpa (Cylinder), Slump 13+-2.5")</f>
        <v>12058.214246399995</v>
      </c>
    </row>
    <row r="103" spans="1:8" ht="15" customHeight="1" x14ac:dyDescent="0.35">
      <c r="A103" s="29" t="s">
        <v>215</v>
      </c>
      <c r="B103" s="30" t="s">
        <v>127</v>
      </c>
      <c r="C103" s="29" t="s">
        <v>128</v>
      </c>
      <c r="D103" s="31">
        <f>SUMIFS('Raw Data'!$Q:$Q,'Raw Data'!$D:$D,"B.04",'Raw Data'!$H:$H,"Structural Staircase",'Raw Data'!$J:$J,"Formwork")</f>
        <v>1485.4895999999999</v>
      </c>
      <c r="E103" s="32">
        <f>IFERROR(INDEX('Price List'!$I$5:$I$74,MATCH("Formwork|m2",'Price List'!$O$5:$O$74,0)),0)</f>
        <v>7.1999999999999993</v>
      </c>
      <c r="F103" s="32">
        <f>IFERROR(INDEX('Price List'!$L$5:$L$74,MATCH("Formwork|m2",'Price List'!$O$5:$O$74,0)),0)</f>
        <v>5.6000000000000005</v>
      </c>
      <c r="G103" s="32">
        <f t="shared" si="7"/>
        <v>12.8</v>
      </c>
      <c r="H103" s="33">
        <f>SUMIFS('Raw Data'!$Z:$Z,'Raw Data'!$D:$D,"B.04",'Raw Data'!$H:$H,"Structural Staircase",'Raw Data'!$J:$J,"Formwork")</f>
        <v>19014.266879999999</v>
      </c>
    </row>
    <row r="104" spans="1:8" ht="15" customHeight="1" x14ac:dyDescent="0.35">
      <c r="A104" s="29" t="s">
        <v>216</v>
      </c>
      <c r="B104" s="30" t="s">
        <v>169</v>
      </c>
      <c r="C104" s="29" t="s">
        <v>103</v>
      </c>
      <c r="D104" s="31">
        <f>SUMIFS('Raw Data'!$Q:$Q,'Raw Data'!$D:$D,"B.04",'Raw Data'!$H:$H,"Structural Staircase",'Raw Data'!$J:$J,"Round Bar, RB8(fy=250 Mpa)")</f>
        <v>916.34919999999966</v>
      </c>
      <c r="E104" s="32">
        <f>IFERROR(INDEX('Price List'!$I$5:$I$74,MATCH("Round Bar, RB8(fy=250 Mpa)|kg",'Price List'!$O$5:$O$74,0)),0)</f>
        <v>0.14399999999999999</v>
      </c>
      <c r="F104" s="32">
        <f>IFERROR(INDEX('Price List'!$L$5:$L$74,MATCH("Round Bar, RB8(fy=250 Mpa)|kg",'Price List'!$O$5:$O$74,0)),0)</f>
        <v>0.86240000000000006</v>
      </c>
      <c r="G104" s="32">
        <f t="shared" si="7"/>
        <v>1.0064</v>
      </c>
      <c r="H104" s="33">
        <f>SUMIFS('Raw Data'!$Z:$Z,'Raw Data'!$D:$D,"B.04",'Raw Data'!$H:$H,"Structural Staircase",'Raw Data'!$J:$J,"Round Bar, RB8(fy=250 Mpa)")</f>
        <v>922.21383488000015</v>
      </c>
    </row>
    <row r="105" spans="1:8" ht="15" customHeight="1" x14ac:dyDescent="0.35">
      <c r="A105" s="29" t="s">
        <v>217</v>
      </c>
      <c r="B105" s="30" t="s">
        <v>102</v>
      </c>
      <c r="C105" s="29" t="s">
        <v>103</v>
      </c>
      <c r="D105" s="31">
        <f>SUMIFS('Raw Data'!$Q:$Q,'Raw Data'!$D:$D,"B.04",'Raw Data'!$H:$H,"Structural Staircase",'Raw Data'!$J:$J,"Deform Bar, DB10(fy=390 Mpa)")</f>
        <v>380.88</v>
      </c>
      <c r="E105" s="32">
        <f>IFERROR(INDEX('Price List'!$I$5:$I$74,MATCH("Deform Bar, DB10(fy=390 Mpa)|kg",'Price List'!$O$5:$O$74,0)),0)</f>
        <v>0.14399999999999999</v>
      </c>
      <c r="F105" s="32">
        <f>IFERROR(INDEX('Price List'!$L$5:$L$74,MATCH("Deform Bar, DB10(fy=390 Mpa)|kg",'Price List'!$O$5:$O$74,0)),0)</f>
        <v>0.87360000000000015</v>
      </c>
      <c r="G105" s="32">
        <f t="shared" si="7"/>
        <v>1.0176000000000001</v>
      </c>
      <c r="H105" s="33">
        <f>SUMIFS('Raw Data'!$Z:$Z,'Raw Data'!$D:$D,"B.04",'Raw Data'!$H:$H,"Structural Staircase",'Raw Data'!$J:$J,"Deform Bar, DB10(fy=390 Mpa)")</f>
        <v>387.58348799999999</v>
      </c>
    </row>
    <row r="106" spans="1:8" ht="15" customHeight="1" x14ac:dyDescent="0.35">
      <c r="A106" s="29" t="s">
        <v>218</v>
      </c>
      <c r="B106" s="30" t="s">
        <v>131</v>
      </c>
      <c r="C106" s="29" t="s">
        <v>103</v>
      </c>
      <c r="D106" s="31">
        <f>SUMIFS('Raw Data'!$Q:$Q,'Raw Data'!$D:$D,"B.04",'Raw Data'!$H:$H,"Structural Staircase",'Raw Data'!$J:$J,"Deform Bar, DB12(fy=390 Mpa)")</f>
        <v>11503.0368</v>
      </c>
      <c r="E106" s="32">
        <f>IFERROR(INDEX('Price List'!$I$5:$I$74,MATCH("Deform Bar, DB12(fy=390 Mpa)|kg",'Price List'!$O$5:$O$74,0)),0)</f>
        <v>0.13200000000000001</v>
      </c>
      <c r="F106" s="32">
        <f>IFERROR(INDEX('Price List'!$L$5:$L$74,MATCH("Deform Bar, DB12(fy=390 Mpa)|kg",'Price List'!$O$5:$O$74,0)),0)</f>
        <v>0.85120000000000007</v>
      </c>
      <c r="G106" s="32">
        <f t="shared" si="7"/>
        <v>0.98320000000000007</v>
      </c>
      <c r="H106" s="33">
        <f>SUMIFS('Raw Data'!$Z:$Z,'Raw Data'!$D:$D,"B.04",'Raw Data'!$H:$H,"Structural Staircase",'Raw Data'!$J:$J,"Deform Bar, DB12(fy=390 Mpa)")</f>
        <v>11309.785781759998</v>
      </c>
    </row>
    <row r="107" spans="1:8" ht="15" customHeight="1" x14ac:dyDescent="0.35">
      <c r="A107" s="29" t="s">
        <v>219</v>
      </c>
      <c r="B107" s="30" t="s">
        <v>133</v>
      </c>
      <c r="C107" s="29" t="s">
        <v>103</v>
      </c>
      <c r="D107" s="31">
        <f>SUMIFS('Raw Data'!$Q:$Q,'Raw Data'!$D:$D,"B.04",'Raw Data'!$H:$H,"Structural Staircase",'Raw Data'!$J:$J,"Deform Bar, DB16(fy=390 Mpa)")</f>
        <v>2265.2920320000007</v>
      </c>
      <c r="E107" s="32">
        <f>IFERROR(INDEX('Price List'!$I$5:$I$74,MATCH("Deform Bar, DB16(fy=390 Mpa)|kg",'Price List'!$O$5:$O$74,0)),0)</f>
        <v>0.12</v>
      </c>
      <c r="F107" s="32">
        <f>IFERROR(INDEX('Price List'!$L$5:$L$74,MATCH("Deform Bar, DB16(fy=390 Mpa)|kg",'Price List'!$O$5:$O$74,0)),0)</f>
        <v>0.82880000000000009</v>
      </c>
      <c r="G107" s="32">
        <f t="shared" si="7"/>
        <v>0.94880000000000009</v>
      </c>
      <c r="H107" s="33">
        <f>SUMIFS('Raw Data'!$Z:$Z,'Raw Data'!$D:$D,"B.04",'Raw Data'!$H:$H,"Structural Staircase",'Raw Data'!$J:$J,"Deform Bar, DB16(fy=390 Mpa)")</f>
        <v>2149.3090799616011</v>
      </c>
    </row>
    <row r="108" spans="1:8" ht="15" customHeight="1" x14ac:dyDescent="0.35">
      <c r="A108" s="29" t="s">
        <v>220</v>
      </c>
      <c r="B108" s="30" t="s">
        <v>135</v>
      </c>
      <c r="C108" s="29" t="s">
        <v>103</v>
      </c>
      <c r="D108" s="31">
        <f>SUMIFS('Raw Data'!$Q:$Q,'Raw Data'!$D:$D,"B.04",'Raw Data'!$H:$H,"Structural Staircase",'Raw Data'!$J:$J,"Deform Bar, DB20(fy=390 Mpa)")</f>
        <v>468.06656000000004</v>
      </c>
      <c r="E108" s="32">
        <f>IFERROR(INDEX('Price List'!$I$5:$I$74,MATCH("Deform Bar, DB20(fy=390 Mpa)|kg",'Price List'!$O$5:$O$74,0)),0)</f>
        <v>0.108</v>
      </c>
      <c r="F108" s="32">
        <f>IFERROR(INDEX('Price List'!$L$5:$L$74,MATCH("Deform Bar, DB20(fy=390 Mpa)|kg",'Price List'!$O$5:$O$74,0)),0)</f>
        <v>0.8176000000000001</v>
      </c>
      <c r="G108" s="32">
        <f t="shared" si="7"/>
        <v>0.92560000000000009</v>
      </c>
      <c r="H108" s="33">
        <f>SUMIFS('Raw Data'!$Z:$Z,'Raw Data'!$D:$D,"B.04",'Raw Data'!$H:$H,"Structural Staircase",'Raw Data'!$J:$J,"Deform Bar, DB20(fy=390 Mpa)")</f>
        <v>433.24240793600006</v>
      </c>
    </row>
    <row r="109" spans="1:8" ht="15" customHeight="1" x14ac:dyDescent="0.35">
      <c r="A109" s="29" t="s">
        <v>221</v>
      </c>
      <c r="B109" s="30" t="s">
        <v>107</v>
      </c>
      <c r="C109" s="29" t="s">
        <v>103</v>
      </c>
      <c r="D109" s="31">
        <f>SUMIFS('Raw Data'!$Q:$Q,'Raw Data'!$D:$D,"B.04",'Raw Data'!$H:$H,"Structural Staircase",'Raw Data'!$J:$J,"Steel Tie Wire 1mm (Estimated 4% of Total Rebar Weight)")</f>
        <v>621.34498367999993</v>
      </c>
      <c r="E109" s="32">
        <f>IFERROR(INDEX('Price List'!$I$5:$I$74,MATCH("Steel Tie Wire 1mm (Estimated 4% of Total Rebar Weight)|kg",'Price List'!$O$5:$O$74,0)),0)</f>
        <v>0.06</v>
      </c>
      <c r="F109" s="32">
        <f>IFERROR(INDEX('Price List'!$L$5:$L$74,MATCH("Steel Tie Wire 1mm (Estimated 4% of Total Rebar Weight)|kg",'Price List'!$O$5:$O$74,0)),0)</f>
        <v>1.3440000000000001</v>
      </c>
      <c r="G109" s="32">
        <f t="shared" si="7"/>
        <v>1.4040000000000001</v>
      </c>
      <c r="H109" s="33">
        <f>SUMIFS('Raw Data'!$Z:$Z,'Raw Data'!$D:$D,"B.04",'Raw Data'!$H:$H,"Structural Staircase",'Raw Data'!$J:$J,"Steel Tie Wire 1mm (Estimated 4% of Total Rebar Weight)")</f>
        <v>872.36835708671981</v>
      </c>
    </row>
    <row r="110" spans="1:8" ht="15" customHeight="1" x14ac:dyDescent="0.35">
      <c r="A110" s="18"/>
      <c r="B110" s="34" t="s">
        <v>222</v>
      </c>
      <c r="C110" s="18"/>
      <c r="D110" s="18"/>
      <c r="E110" s="18"/>
      <c r="F110" s="18"/>
      <c r="G110" s="18"/>
      <c r="H110" s="35">
        <f>SUM(H102:H109)</f>
        <v>47146.984076024317</v>
      </c>
    </row>
    <row r="111" spans="1:8" ht="15" customHeight="1" x14ac:dyDescent="0.35">
      <c r="A111" s="197" t="s">
        <v>223</v>
      </c>
      <c r="B111" s="197"/>
      <c r="C111" s="197"/>
      <c r="D111" s="197"/>
      <c r="E111" s="197"/>
      <c r="F111" s="197"/>
      <c r="G111" s="197"/>
      <c r="H111" s="197"/>
    </row>
    <row r="112" spans="1:8" ht="15" customHeight="1" x14ac:dyDescent="0.35">
      <c r="A112" s="29" t="s">
        <v>224</v>
      </c>
      <c r="B112" s="30" t="s">
        <v>125</v>
      </c>
      <c r="C112" s="29" t="s">
        <v>100</v>
      </c>
      <c r="D112" s="31">
        <f>SUMIFS('Raw Data'!$Q:$Q,'Raw Data'!$D:$D,"B.04",'Raw Data'!$H:$H,"Parapet wall &amp; Stiffener Column",'Raw Data'!$J:$J,"Normal Concrete, 35Mpa (Cylinder), Slump 13+-2.5")</f>
        <v>15.54</v>
      </c>
      <c r="E112" s="32">
        <f>IFERROR(INDEX('Price List'!$I$5:$I$74,MATCH("Normal Concrete, 35Mpa (Cylinder), Slump 13+-2.5|m3",'Price List'!$O$5:$O$74,0)),0)</f>
        <v>12</v>
      </c>
      <c r="F112" s="32">
        <f>IFERROR(INDEX('Price List'!$L$5:$L$74,MATCH("Normal Concrete, 35Mpa (Cylinder), Slump 13+-2.5|m3",'Price List'!$O$5:$O$74,0)),0)</f>
        <v>109.76</v>
      </c>
      <c r="G112" s="32">
        <f t="shared" ref="G112:G117" si="8">E112+F112</f>
        <v>121.76</v>
      </c>
      <c r="H112" s="33">
        <f>SUMIFS('Raw Data'!$Z:$Z,'Raw Data'!$D:$D,"B.04",'Raw Data'!$H:$H,"Parapet wall &amp; Stiffener Column",'Raw Data'!$J:$J,"Normal Concrete, 35Mpa (Cylinder), Slump 13+-2.5")</f>
        <v>1892.1504</v>
      </c>
    </row>
    <row r="113" spans="1:8" ht="15" customHeight="1" x14ac:dyDescent="0.35">
      <c r="A113" s="29" t="s">
        <v>225</v>
      </c>
      <c r="B113" s="30" t="s">
        <v>127</v>
      </c>
      <c r="C113" s="29" t="s">
        <v>128</v>
      </c>
      <c r="D113" s="31">
        <f>SUMIFS('Raw Data'!$Q:$Q,'Raw Data'!$D:$D,"B.04",'Raw Data'!$H:$H,"Parapet wall &amp; Stiffener Column",'Raw Data'!$J:$J,"Formwork")</f>
        <v>129.22</v>
      </c>
      <c r="E113" s="32">
        <f>IFERROR(INDEX('Price List'!$I$5:$I$74,MATCH("Formwork|m2",'Price List'!$O$5:$O$74,0)),0)</f>
        <v>7.1999999999999993</v>
      </c>
      <c r="F113" s="32">
        <f>IFERROR(INDEX('Price List'!$L$5:$L$74,MATCH("Formwork|m2",'Price List'!$O$5:$O$74,0)),0)</f>
        <v>5.6000000000000005</v>
      </c>
      <c r="G113" s="32">
        <f t="shared" si="8"/>
        <v>12.8</v>
      </c>
      <c r="H113" s="33">
        <f>SUMIFS('Raw Data'!$Z:$Z,'Raw Data'!$D:$D,"B.04",'Raw Data'!$H:$H,"Parapet wall &amp; Stiffener Column",'Raw Data'!$J:$J,"Formwork")</f>
        <v>1654.0160000000001</v>
      </c>
    </row>
    <row r="114" spans="1:8" ht="15" customHeight="1" x14ac:dyDescent="0.35">
      <c r="A114" s="29" t="s">
        <v>226</v>
      </c>
      <c r="B114" s="30" t="s">
        <v>102</v>
      </c>
      <c r="C114" s="29" t="s">
        <v>103</v>
      </c>
      <c r="D114" s="31">
        <f>SUMIFS('Raw Data'!$Q:$Q,'Raw Data'!$D:$D,"B.04",'Raw Data'!$H:$H,"Parapet wall &amp; Stiffener Column",'Raw Data'!$J:$J,"Deform Bar, DB10(fy=390 Mpa)")</f>
        <v>426.14133333333336</v>
      </c>
      <c r="E114" s="32">
        <f>IFERROR(INDEX('Price List'!$I$5:$I$74,MATCH("Deform Bar, DB10(fy=390 Mpa)|kg",'Price List'!$O$5:$O$74,0)),0)</f>
        <v>0.14399999999999999</v>
      </c>
      <c r="F114" s="32">
        <f>IFERROR(INDEX('Price List'!$L$5:$L$74,MATCH("Deform Bar, DB10(fy=390 Mpa)|kg",'Price List'!$O$5:$O$74,0)),0)</f>
        <v>0.87360000000000015</v>
      </c>
      <c r="G114" s="32">
        <f t="shared" si="8"/>
        <v>1.0176000000000001</v>
      </c>
      <c r="H114" s="33">
        <f>SUMIFS('Raw Data'!$Z:$Z,'Raw Data'!$D:$D,"B.04",'Raw Data'!$H:$H,"Parapet wall &amp; Stiffener Column",'Raw Data'!$J:$J,"Deform Bar, DB10(fy=390 Mpa)")</f>
        <v>433.64142080000005</v>
      </c>
    </row>
    <row r="115" spans="1:8" ht="15" customHeight="1" x14ac:dyDescent="0.35">
      <c r="A115" s="29" t="s">
        <v>227</v>
      </c>
      <c r="B115" s="30" t="s">
        <v>131</v>
      </c>
      <c r="C115" s="29" t="s">
        <v>103</v>
      </c>
      <c r="D115" s="31">
        <f>SUMIFS('Raw Data'!$Q:$Q,'Raw Data'!$D:$D,"B.04",'Raw Data'!$H:$H,"Parapet wall &amp; Stiffener Column",'Raw Data'!$J:$J,"Deform Bar, DB12(fy=390 Mpa)")</f>
        <v>3408.4576000000006</v>
      </c>
      <c r="E115" s="32">
        <f>IFERROR(INDEX('Price List'!$I$5:$I$74,MATCH("Deform Bar, DB12(fy=390 Mpa)|kg",'Price List'!$O$5:$O$74,0)),0)</f>
        <v>0.13200000000000001</v>
      </c>
      <c r="F115" s="32">
        <f>IFERROR(INDEX('Price List'!$L$5:$L$74,MATCH("Deform Bar, DB12(fy=390 Mpa)|kg",'Price List'!$O$5:$O$74,0)),0)</f>
        <v>0.85120000000000007</v>
      </c>
      <c r="G115" s="32">
        <f t="shared" si="8"/>
        <v>0.98320000000000007</v>
      </c>
      <c r="H115" s="33">
        <f>SUMIFS('Raw Data'!$Z:$Z,'Raw Data'!$D:$D,"B.04",'Raw Data'!$H:$H,"Parapet wall &amp; Stiffener Column",'Raw Data'!$J:$J,"Deform Bar, DB12(fy=390 Mpa)")</f>
        <v>3351.1955123200009</v>
      </c>
    </row>
    <row r="116" spans="1:8" ht="15" customHeight="1" x14ac:dyDescent="0.35">
      <c r="A116" s="29" t="s">
        <v>228</v>
      </c>
      <c r="B116" s="30" t="s">
        <v>133</v>
      </c>
      <c r="C116" s="29" t="s">
        <v>103</v>
      </c>
      <c r="D116" s="31">
        <f>SUMIFS('Raw Data'!$Q:$Q,'Raw Data'!$D:$D,"B.04",'Raw Data'!$H:$H,"Parapet wall &amp; Stiffener Column",'Raw Data'!$J:$J,"Deform Bar, DB16(fy=390 Mpa)")</f>
        <v>472.13760000000002</v>
      </c>
      <c r="E116" s="32">
        <f>IFERROR(INDEX('Price List'!$I$5:$I$74,MATCH("Deform Bar, DB16(fy=390 Mpa)|kg",'Price List'!$O$5:$O$74,0)),0)</f>
        <v>0.12</v>
      </c>
      <c r="F116" s="32">
        <f>IFERROR(INDEX('Price List'!$L$5:$L$74,MATCH("Deform Bar, DB16(fy=390 Mpa)|kg",'Price List'!$O$5:$O$74,0)),0)</f>
        <v>0.82880000000000009</v>
      </c>
      <c r="G116" s="32">
        <f t="shared" si="8"/>
        <v>0.94880000000000009</v>
      </c>
      <c r="H116" s="33">
        <f>SUMIFS('Raw Data'!$Z:$Z,'Raw Data'!$D:$D,"B.04",'Raw Data'!$H:$H,"Parapet wall &amp; Stiffener Column",'Raw Data'!$J:$J,"Deform Bar, DB16(fy=390 Mpa)")</f>
        <v>447.96415488000008</v>
      </c>
    </row>
    <row r="117" spans="1:8" ht="15" customHeight="1" x14ac:dyDescent="0.35">
      <c r="A117" s="29" t="s">
        <v>229</v>
      </c>
      <c r="B117" s="30" t="s">
        <v>107</v>
      </c>
      <c r="C117" s="29" t="s">
        <v>103</v>
      </c>
      <c r="D117" s="31">
        <f>SUMIFS('Raw Data'!$Q:$Q,'Raw Data'!$D:$D,"B.04",'Raw Data'!$H:$H,"Parapet wall &amp; Stiffener Column",'Raw Data'!$J:$J,"Steel Tie Wire 1mm (Estimated 4% of Total Rebar Weight)")</f>
        <v>172.26946133333334</v>
      </c>
      <c r="E117" s="32">
        <f>IFERROR(INDEX('Price List'!$I$5:$I$74,MATCH("Steel Tie Wire 1mm (Estimated 4% of Total Rebar Weight)|kg",'Price List'!$O$5:$O$74,0)),0)</f>
        <v>0.06</v>
      </c>
      <c r="F117" s="32">
        <f>IFERROR(INDEX('Price List'!$L$5:$L$74,MATCH("Steel Tie Wire 1mm (Estimated 4% of Total Rebar Weight)|kg",'Price List'!$O$5:$O$74,0)),0)</f>
        <v>1.3440000000000001</v>
      </c>
      <c r="G117" s="32">
        <f t="shared" si="8"/>
        <v>1.4040000000000001</v>
      </c>
      <c r="H117" s="33">
        <f>SUMIFS('Raw Data'!$Z:$Z,'Raw Data'!$D:$D,"B.04",'Raw Data'!$H:$H,"Parapet wall &amp; Stiffener Column",'Raw Data'!$J:$J,"Steel Tie Wire 1mm (Estimated 4% of Total Rebar Weight)")</f>
        <v>241.86632371200002</v>
      </c>
    </row>
    <row r="118" spans="1:8" ht="15" customHeight="1" x14ac:dyDescent="0.35">
      <c r="A118" s="18"/>
      <c r="B118" s="34" t="s">
        <v>230</v>
      </c>
      <c r="C118" s="18"/>
      <c r="D118" s="18"/>
      <c r="E118" s="18"/>
      <c r="F118" s="18"/>
      <c r="G118" s="18"/>
      <c r="H118" s="35">
        <f>SUM(H112:H117)</f>
        <v>8020.8338117120011</v>
      </c>
    </row>
    <row r="119" spans="1:8" ht="15" customHeight="1" x14ac:dyDescent="0.35">
      <c r="A119" s="197" t="s">
        <v>231</v>
      </c>
      <c r="B119" s="197"/>
      <c r="C119" s="197"/>
      <c r="D119" s="197"/>
      <c r="E119" s="197"/>
      <c r="F119" s="197"/>
      <c r="G119" s="197"/>
      <c r="H119" s="197"/>
    </row>
    <row r="120" spans="1:8" ht="15" customHeight="1" x14ac:dyDescent="0.35">
      <c r="A120" s="29" t="s">
        <v>232</v>
      </c>
      <c r="B120" s="30" t="s">
        <v>233</v>
      </c>
      <c r="C120" s="29" t="s">
        <v>234</v>
      </c>
      <c r="D120" s="31">
        <f>SUMIFS('Raw Data'!$Q:$Q,'Raw Data'!$D:$D,"B.04",'Raw Data'!$H:$H,"Structural Steel",'Raw Data'!$J:$J,"J bolt M12, L=600mm, grade 5.6")</f>
        <v>120</v>
      </c>
      <c r="E120" s="32">
        <f>IFERROR(INDEX('Price List'!$I$5:$I$74,MATCH("J bolt M12, L=600mm, grade 5.6|pcs",'Price List'!$O$5:$O$74,0)),0)</f>
        <v>0.6</v>
      </c>
      <c r="F120" s="32">
        <f>IFERROR(INDEX('Price List'!$L$5:$L$74,MATCH("J bolt M12, L=600mm, grade 5.6|pcs",'Price List'!$O$5:$O$74,0)),0)</f>
        <v>2.2400000000000002</v>
      </c>
      <c r="G120" s="32">
        <f t="shared" ref="G120:G126" si="9">E120+F120</f>
        <v>2.8400000000000003</v>
      </c>
      <c r="H120" s="33">
        <f>SUMIFS('Raw Data'!$Z:$Z,'Raw Data'!$D:$D,"B.04",'Raw Data'!$H:$H,"Structural Steel",'Raw Data'!$J:$J,"J bolt M12, L=600mm, grade 5.6")</f>
        <v>340.8</v>
      </c>
    </row>
    <row r="121" spans="1:8" ht="15" customHeight="1" x14ac:dyDescent="0.35">
      <c r="A121" s="29" t="s">
        <v>235</v>
      </c>
      <c r="B121" s="30" t="s">
        <v>236</v>
      </c>
      <c r="C121" s="29" t="s">
        <v>234</v>
      </c>
      <c r="D121" s="31">
        <f>SUMIFS('Raw Data'!$Q:$Q,'Raw Data'!$D:$D,"B.04",'Raw Data'!$H:$H,"Structural Steel",'Raw Data'!$J:$J,"Steel plate 200x230x12mm")</f>
        <v>120</v>
      </c>
      <c r="E121" s="32">
        <f>IFERROR(INDEX('Price List'!$I$5:$I$74,MATCH("Steel plate 200x230x12mm|pcs",'Price List'!$O$5:$O$74,0)),0)</f>
        <v>2.4</v>
      </c>
      <c r="F121" s="32">
        <f>IFERROR(INDEX('Price List'!$L$5:$L$74,MATCH("Steel plate 200x230x12mm|pcs",'Price List'!$O$5:$O$74,0)),0)</f>
        <v>6.16</v>
      </c>
      <c r="G121" s="32">
        <f t="shared" si="9"/>
        <v>8.56</v>
      </c>
      <c r="H121" s="33">
        <f>SUMIFS('Raw Data'!$Z:$Z,'Raw Data'!$D:$D,"B.04",'Raw Data'!$H:$H,"Structural Steel",'Raw Data'!$J:$J,"Steel plate 200x230x12mm")</f>
        <v>1027.2</v>
      </c>
    </row>
    <row r="122" spans="1:8" ht="15" customHeight="1" x14ac:dyDescent="0.35">
      <c r="A122" s="29" t="s">
        <v>237</v>
      </c>
      <c r="B122" s="30" t="s">
        <v>238</v>
      </c>
      <c r="C122" s="29" t="s">
        <v>128</v>
      </c>
      <c r="D122" s="31">
        <f>SUMIFS('Raw Data'!$Q:$Q,'Raw Data'!$D:$D,"B.04",'Raw Data'!$H:$H,"Structural Steel",'Raw Data'!$J:$J,"Zinc sheet 0.4mm")</f>
        <v>485</v>
      </c>
      <c r="E122" s="32">
        <f>IFERROR(INDEX('Price List'!$I$5:$I$74,MATCH("Zinc sheet 0.4mm|m2",'Price List'!$O$5:$O$74,0)),0)</f>
        <v>2.4</v>
      </c>
      <c r="F122" s="32">
        <f>IFERROR(INDEX('Price List'!$L$5:$L$74,MATCH("Zinc sheet 0.4mm|m2",'Price List'!$O$5:$O$74,0)),0)</f>
        <v>6.16</v>
      </c>
      <c r="G122" s="32">
        <f t="shared" si="9"/>
        <v>8.56</v>
      </c>
      <c r="H122" s="33">
        <f>SUMIFS('Raw Data'!$Z:$Z,'Raw Data'!$D:$D,"B.04",'Raw Data'!$H:$H,"Structural Steel",'Raw Data'!$J:$J,"Zinc sheet 0.4mm")</f>
        <v>4151.6000000000004</v>
      </c>
    </row>
    <row r="123" spans="1:8" ht="15" customHeight="1" x14ac:dyDescent="0.35">
      <c r="A123" s="29" t="s">
        <v>239</v>
      </c>
      <c r="B123" s="30" t="s">
        <v>240</v>
      </c>
      <c r="C123" s="29" t="s">
        <v>110</v>
      </c>
      <c r="D123" s="31">
        <f>SUMIFS('Raw Data'!$Q:$Q,'Raw Data'!$D:$D,"B.04",'Raw Data'!$H:$H,"Structural Steel",'Raw Data'!$J:$J,"Sag rod 12mm")</f>
        <v>235</v>
      </c>
      <c r="E123" s="32">
        <f>IFERROR(INDEX('Price List'!$I$5:$I$74,MATCH("Sag rod 12mm|m",'Price List'!$O$5:$O$74,0)),0)</f>
        <v>0.6</v>
      </c>
      <c r="F123" s="32">
        <f>IFERROR(INDEX('Price List'!$L$5:$L$74,MATCH("Sag rod 12mm|m",'Price List'!$O$5:$O$74,0)),0)</f>
        <v>1.3440000000000001</v>
      </c>
      <c r="G123" s="32">
        <f t="shared" si="9"/>
        <v>1.944</v>
      </c>
      <c r="H123" s="33">
        <f>SUMIFS('Raw Data'!$Z:$Z,'Raw Data'!$D:$D,"B.04",'Raw Data'!$H:$H,"Structural Steel",'Raw Data'!$J:$J,"Sag rod 12mm")</f>
        <v>456.84</v>
      </c>
    </row>
    <row r="124" spans="1:8" ht="15" customHeight="1" x14ac:dyDescent="0.35">
      <c r="A124" s="29" t="s">
        <v>241</v>
      </c>
      <c r="B124" s="30" t="s">
        <v>242</v>
      </c>
      <c r="C124" s="29" t="s">
        <v>110</v>
      </c>
      <c r="D124" s="31">
        <f>SUMIFS('Raw Data'!$Q:$Q,'Raw Data'!$D:$D,"B.04",'Raw Data'!$H:$H,"Structural Steel",'Raw Data'!$J:$J,"U-50~*100~*5mm")</f>
        <v>775.88</v>
      </c>
      <c r="E124" s="32">
        <f>IFERROR(INDEX('Price List'!$I$5:$I$74,MATCH("U-50~*100~*5mm|m",'Price List'!$O$5:$O$74,0)),0)</f>
        <v>3.5999999999999996</v>
      </c>
      <c r="F124" s="32">
        <f>IFERROR(INDEX('Price List'!$L$5:$L$74,MATCH("U-50~*100~*5mm|m",'Price List'!$O$5:$O$74,0)),0)</f>
        <v>9.5200000000000014</v>
      </c>
      <c r="G124" s="32">
        <f t="shared" si="9"/>
        <v>13.120000000000001</v>
      </c>
      <c r="H124" s="33">
        <f>SUMIFS('Raw Data'!$Z:$Z,'Raw Data'!$D:$D,"B.04",'Raw Data'!$H:$H,"Structural Steel",'Raw Data'!$J:$J,"U-50~*100~*5mm")</f>
        <v>10179.545600000001</v>
      </c>
    </row>
    <row r="125" spans="1:8" ht="15" customHeight="1" x14ac:dyDescent="0.35">
      <c r="A125" s="29" t="s">
        <v>243</v>
      </c>
      <c r="B125" s="30" t="s">
        <v>244</v>
      </c>
      <c r="C125" s="29" t="s">
        <v>110</v>
      </c>
      <c r="D125" s="31">
        <f>SUMIFS('Raw Data'!$Q:$Q,'Raw Data'!$D:$D,"B.04",'Raw Data'!$H:$H,"Structural Steel",'Raw Data'!$J:$J,"Tub-50~*100~*2mm")</f>
        <v>691.57999999999993</v>
      </c>
      <c r="E125" s="32">
        <f>IFERROR(INDEX('Price List'!$I$5:$I$74,MATCH("Tub-50~*100~*2mm|m",'Price List'!$O$5:$O$74,0)),0)</f>
        <v>3</v>
      </c>
      <c r="F125" s="32">
        <f>IFERROR(INDEX('Price List'!$L$5:$L$74,MATCH("Tub-50~*100~*2mm|m",'Price List'!$O$5:$O$74,0)),0)</f>
        <v>6.16</v>
      </c>
      <c r="G125" s="32">
        <f t="shared" si="9"/>
        <v>9.16</v>
      </c>
      <c r="H125" s="33">
        <f>SUMIFS('Raw Data'!$Z:$Z,'Raw Data'!$D:$D,"B.04",'Raw Data'!$H:$H,"Structural Steel",'Raw Data'!$J:$J,"Tub-50~*100~*2mm")</f>
        <v>6334.8727999999992</v>
      </c>
    </row>
    <row r="126" spans="1:8" ht="15" customHeight="1" x14ac:dyDescent="0.35">
      <c r="A126" s="29" t="s">
        <v>245</v>
      </c>
      <c r="B126" s="30" t="s">
        <v>246</v>
      </c>
      <c r="C126" s="29" t="s">
        <v>110</v>
      </c>
      <c r="D126" s="31">
        <f>SUMIFS('Raw Data'!$Q:$Q,'Raw Data'!$D:$D,"B.04",'Raw Data'!$H:$H,"Structural Steel",'Raw Data'!$J:$J,"Flashing cover roof")</f>
        <v>103.8</v>
      </c>
      <c r="E126" s="32">
        <f>IFERROR(INDEX('Price List'!$I$5:$I$74,MATCH("Flashing cover roof|m",'Price List'!$O$5:$O$74,0)),0)</f>
        <v>1.2</v>
      </c>
      <c r="F126" s="32">
        <f>IFERROR(INDEX('Price List'!$L$5:$L$74,MATCH("Flashing cover roof|m",'Price List'!$O$5:$O$74,0)),0)</f>
        <v>2.8000000000000003</v>
      </c>
      <c r="G126" s="32">
        <f t="shared" si="9"/>
        <v>4</v>
      </c>
      <c r="H126" s="33">
        <f>SUMIFS('Raw Data'!$Z:$Z,'Raw Data'!$D:$D,"B.04",'Raw Data'!$H:$H,"Structural Steel",'Raw Data'!$J:$J,"Flashing cover roof")</f>
        <v>415.2</v>
      </c>
    </row>
    <row r="127" spans="1:8" ht="15" customHeight="1" x14ac:dyDescent="0.35">
      <c r="A127" s="18"/>
      <c r="B127" s="34" t="s">
        <v>247</v>
      </c>
      <c r="C127" s="18"/>
      <c r="D127" s="18"/>
      <c r="E127" s="18"/>
      <c r="F127" s="18"/>
      <c r="G127" s="18"/>
      <c r="H127" s="35">
        <f>SUM(H120:H126)</f>
        <v>22906.058400000002</v>
      </c>
    </row>
    <row r="128" spans="1:8" ht="15" customHeight="1" x14ac:dyDescent="0.35">
      <c r="A128" s="36"/>
      <c r="B128" s="37" t="s">
        <v>248</v>
      </c>
      <c r="C128" s="36"/>
      <c r="D128" s="36"/>
      <c r="E128" s="36"/>
      <c r="F128" s="36"/>
      <c r="G128" s="36"/>
      <c r="H128" s="38">
        <f>SUMIFS('Raw Data'!$Z:$Z,'Raw Data'!$D:$D,"B.04")</f>
        <v>1124399.6639339789</v>
      </c>
    </row>
    <row r="130" spans="1:8" ht="15" customHeight="1" x14ac:dyDescent="0.35">
      <c r="A130" s="192" t="s">
        <v>249</v>
      </c>
      <c r="B130" s="192"/>
      <c r="C130" s="192"/>
      <c r="D130" s="192"/>
      <c r="E130" s="192"/>
      <c r="F130" s="192"/>
      <c r="G130" s="192"/>
      <c r="H130" s="192"/>
    </row>
    <row r="131" spans="1:8" ht="15" customHeight="1" x14ac:dyDescent="0.35">
      <c r="A131" s="197" t="s">
        <v>250</v>
      </c>
      <c r="B131" s="197"/>
      <c r="C131" s="197"/>
      <c r="D131" s="197"/>
      <c r="E131" s="197"/>
      <c r="F131" s="197"/>
      <c r="G131" s="197"/>
      <c r="H131" s="197"/>
    </row>
    <row r="132" spans="1:8" ht="15" customHeight="1" x14ac:dyDescent="0.35">
      <c r="A132" s="29" t="s">
        <v>251</v>
      </c>
      <c r="B132" s="30" t="s">
        <v>252</v>
      </c>
      <c r="C132" s="29" t="s">
        <v>128</v>
      </c>
      <c r="D132" s="31">
        <f>SUMIFS('Raw Data'!$Q:$Q,'Raw Data'!$D:$D,"C.01",'Raw Data'!$H:$H,"Hollow clay brick",'Raw Data'!$J:$J,"Hollow clay brick (80x80x180)mm, thickness 500mm Thk.")</f>
        <v>231.24199999999996</v>
      </c>
      <c r="E132" s="32">
        <f>IFERROR(INDEX('Price List'!$I$5:$I$74,MATCH("Hollow clay brick (80x80x180)mm, thickness 500mm Thk.|m2",'Price List'!$O$5:$O$74,0)),0)</f>
        <v>10.199999999999999</v>
      </c>
      <c r="F132" s="32">
        <f>IFERROR(INDEX('Price List'!$L$5:$L$74,MATCH("Hollow clay brick (80x80x180)mm, thickness 500mm Thk.|m2",'Price List'!$O$5:$O$74,0)),0)</f>
        <v>28.000000000000004</v>
      </c>
      <c r="G132" s="32">
        <f>E132+F132</f>
        <v>38.200000000000003</v>
      </c>
      <c r="H132" s="33">
        <f>SUMIFS('Raw Data'!$Z:$Z,'Raw Data'!$D:$D,"C.01",'Raw Data'!$H:$H,"Hollow clay brick",'Raw Data'!$J:$J,"Hollow clay brick (80x80x180)mm, thickness 500mm Thk.")</f>
        <v>8833.4443999999985</v>
      </c>
    </row>
    <row r="133" spans="1:8" ht="15" customHeight="1" x14ac:dyDescent="0.35">
      <c r="A133" s="29" t="s">
        <v>253</v>
      </c>
      <c r="B133" s="30" t="s">
        <v>254</v>
      </c>
      <c r="C133" s="29" t="s">
        <v>128</v>
      </c>
      <c r="D133" s="31">
        <f>SUMIFS('Raw Data'!$Q:$Q,'Raw Data'!$D:$D,"C.01",'Raw Data'!$H:$H,"Hollow clay brick",'Raw Data'!$J:$J,"Hollow clay brick (80x80x180)mm, thickness 200mm Thk.")</f>
        <v>4529.3870000000015</v>
      </c>
      <c r="E133" s="32">
        <f>IFERROR(INDEX('Price List'!$I$5:$I$74,MATCH("Hollow clay brick (80x80x180)mm, thickness 200mm Thk.|m2",'Price List'!$O$5:$O$74,0)),0)</f>
        <v>5.3999999999999995</v>
      </c>
      <c r="F133" s="32">
        <f>IFERROR(INDEX('Price List'!$L$5:$L$74,MATCH("Hollow clay brick (80x80x180)mm, thickness 200mm Thk.|m2",'Price List'!$O$5:$O$74,0)),0)</f>
        <v>12.32</v>
      </c>
      <c r="G133" s="32">
        <f>E133+F133</f>
        <v>17.72</v>
      </c>
      <c r="H133" s="33">
        <f>SUMIFS('Raw Data'!$Z:$Z,'Raw Data'!$D:$D,"C.01",'Raw Data'!$H:$H,"Hollow clay brick",'Raw Data'!$J:$J,"Hollow clay brick (80x80x180)mm, thickness 200mm Thk.")</f>
        <v>80260.737639999992</v>
      </c>
    </row>
    <row r="134" spans="1:8" ht="15" customHeight="1" x14ac:dyDescent="0.35">
      <c r="A134" s="29" t="s">
        <v>255</v>
      </c>
      <c r="B134" s="30" t="s">
        <v>256</v>
      </c>
      <c r="C134" s="29" t="s">
        <v>128</v>
      </c>
      <c r="D134" s="31">
        <f>SUMIFS('Raw Data'!$Q:$Q,'Raw Data'!$D:$D,"C.01",'Raw Data'!$H:$H,"Hollow clay brick",'Raw Data'!$J:$J,"Hollow clay brick (80x80x180)mm, thickness 800mm Thk.")</f>
        <v>187.32</v>
      </c>
      <c r="E134" s="32">
        <f>IFERROR(INDEX('Price List'!$I$5:$I$74,MATCH("Hollow clay brick (80x80x180)mm, thickness 800mm Thk.|m2",'Price List'!$O$5:$O$74,0)),0)</f>
        <v>14.399999999999999</v>
      </c>
      <c r="F134" s="32">
        <f>IFERROR(INDEX('Price List'!$L$5:$L$74,MATCH("Hollow clay brick (80x80x180)mm, thickness 800mm Thk.|m2",'Price List'!$O$5:$O$74,0)),0)</f>
        <v>42.56</v>
      </c>
      <c r="G134" s="32">
        <f>E134+F134</f>
        <v>56.96</v>
      </c>
      <c r="H134" s="33">
        <f>SUMIFS('Raw Data'!$Z:$Z,'Raw Data'!$D:$D,"C.01",'Raw Data'!$H:$H,"Hollow clay brick",'Raw Data'!$J:$J,"Hollow clay brick (80x80x180)mm, thickness 800mm Thk.")</f>
        <v>10669.747200000002</v>
      </c>
    </row>
    <row r="135" spans="1:8" ht="15" customHeight="1" x14ac:dyDescent="0.35">
      <c r="A135" s="29" t="s">
        <v>257</v>
      </c>
      <c r="B135" s="30" t="s">
        <v>258</v>
      </c>
      <c r="C135" s="29" t="s">
        <v>128</v>
      </c>
      <c r="D135" s="31">
        <f>SUMIFS('Raw Data'!$Q:$Q,'Raw Data'!$D:$D,"C.01",'Raw Data'!$H:$H,"Hollow clay brick",'Raw Data'!$J:$J,"Hollow clay brick (80x80x180)mm, thickness 400mm Thk.")</f>
        <v>19.600000000000001</v>
      </c>
      <c r="E135" s="32">
        <f>IFERROR(INDEX('Price List'!$I$5:$I$74,MATCH("Hollow clay brick (80x80x180)mm, thickness 400mm Thk.|m2",'Price List'!$O$5:$O$74,0)),0)</f>
        <v>8.4</v>
      </c>
      <c r="F135" s="32">
        <f>IFERROR(INDEX('Price List'!$L$5:$L$74,MATCH("Hollow clay brick (80x80x180)mm, thickness 400mm Thk.|m2",'Price List'!$O$5:$O$74,0)),0)</f>
        <v>22.400000000000002</v>
      </c>
      <c r="G135" s="32">
        <f>E135+F135</f>
        <v>30.800000000000004</v>
      </c>
      <c r="H135" s="33">
        <f>SUMIFS('Raw Data'!$Z:$Z,'Raw Data'!$D:$D,"C.01",'Raw Data'!$H:$H,"Hollow clay brick",'Raw Data'!$J:$J,"Hollow clay brick (80x80x180)mm, thickness 400mm Thk.")</f>
        <v>603.68000000000018</v>
      </c>
    </row>
    <row r="136" spans="1:8" ht="15" customHeight="1" x14ac:dyDescent="0.35">
      <c r="A136" s="18"/>
      <c r="B136" s="34" t="s">
        <v>259</v>
      </c>
      <c r="C136" s="18"/>
      <c r="D136" s="18"/>
      <c r="E136" s="18"/>
      <c r="F136" s="18"/>
      <c r="G136" s="18"/>
      <c r="H136" s="35">
        <f>SUM(H132:H135)</f>
        <v>100367.60923999998</v>
      </c>
    </row>
    <row r="137" spans="1:8" ht="15" customHeight="1" x14ac:dyDescent="0.35">
      <c r="A137" s="197" t="s">
        <v>260</v>
      </c>
      <c r="B137" s="197"/>
      <c r="C137" s="197"/>
      <c r="D137" s="197"/>
      <c r="E137" s="197"/>
      <c r="F137" s="197"/>
      <c r="G137" s="197"/>
      <c r="H137" s="197"/>
    </row>
    <row r="138" spans="1:8" ht="15" customHeight="1" x14ac:dyDescent="0.35">
      <c r="A138" s="29" t="s">
        <v>261</v>
      </c>
      <c r="B138" s="30" t="s">
        <v>262</v>
      </c>
      <c r="C138" s="29" t="s">
        <v>128</v>
      </c>
      <c r="D138" s="31">
        <f>SUMIFS('Raw Data'!$Q:$Q,'Raw Data'!$D:$D,"C.01",'Raw Data'!$H:$H,"External façade",'Raw Data'!$J:$J,"concrete block")</f>
        <v>235</v>
      </c>
      <c r="E138" s="32">
        <f>IFERROR(INDEX('Price List'!$I$5:$I$74,MATCH("concrete block|m2",'Price List'!$O$5:$O$74,0)),0)</f>
        <v>4.8</v>
      </c>
      <c r="F138" s="32">
        <f>IFERROR(INDEX('Price List'!$L$5:$L$74,MATCH("concrete block|m2",'Price List'!$O$5:$O$74,0)),0)</f>
        <v>10.080000000000002</v>
      </c>
      <c r="G138" s="32">
        <f>E138+F138</f>
        <v>14.880000000000003</v>
      </c>
      <c r="H138" s="33">
        <f>SUMIFS('Raw Data'!$Z:$Z,'Raw Data'!$D:$D,"C.01",'Raw Data'!$H:$H,"External façade",'Raw Data'!$J:$J,"concrete block")</f>
        <v>3496.8000000000006</v>
      </c>
    </row>
    <row r="139" spans="1:8" ht="15" customHeight="1" x14ac:dyDescent="0.35">
      <c r="A139" s="18"/>
      <c r="B139" s="34" t="s">
        <v>263</v>
      </c>
      <c r="C139" s="18"/>
      <c r="D139" s="18"/>
      <c r="E139" s="18"/>
      <c r="F139" s="18"/>
      <c r="G139" s="18"/>
      <c r="H139" s="35">
        <f>SUM(H138:H138)</f>
        <v>3496.8000000000006</v>
      </c>
    </row>
    <row r="140" spans="1:8" ht="15" customHeight="1" x14ac:dyDescent="0.35">
      <c r="A140" s="36"/>
      <c r="B140" s="37" t="s">
        <v>264</v>
      </c>
      <c r="C140" s="36"/>
      <c r="D140" s="36"/>
      <c r="E140" s="36"/>
      <c r="F140" s="36"/>
      <c r="G140" s="36"/>
      <c r="H140" s="38">
        <f>SUMIFS('Raw Data'!$Z:$Z,'Raw Data'!$D:$D,"C.01")</f>
        <v>103864.40923999999</v>
      </c>
    </row>
    <row r="142" spans="1:8" ht="15" customHeight="1" x14ac:dyDescent="0.35">
      <c r="A142" s="192" t="s">
        <v>265</v>
      </c>
      <c r="B142" s="192"/>
      <c r="C142" s="192"/>
      <c r="D142" s="192"/>
      <c r="E142" s="192"/>
      <c r="F142" s="192"/>
      <c r="G142" s="192"/>
      <c r="H142" s="192"/>
    </row>
    <row r="143" spans="1:8" ht="15" customHeight="1" x14ac:dyDescent="0.35">
      <c r="A143" s="197" t="s">
        <v>266</v>
      </c>
      <c r="B143" s="197"/>
      <c r="C143" s="197"/>
      <c r="D143" s="197"/>
      <c r="E143" s="197"/>
      <c r="F143" s="197"/>
      <c r="G143" s="197"/>
      <c r="H143" s="197"/>
    </row>
    <row r="144" spans="1:8" ht="15" customHeight="1" x14ac:dyDescent="0.35">
      <c r="A144" s="29" t="s">
        <v>267</v>
      </c>
      <c r="B144" s="30" t="s">
        <v>268</v>
      </c>
      <c r="C144" s="29" t="s">
        <v>128</v>
      </c>
      <c r="D144" s="31">
        <f>SUMIFS('Raw Data'!$Q:$Q,'Raw Data'!$D:$D,"C.02",'Raw Data'!$H:$H,"Plastering",'Raw Data'!$J:$J,"20mm cement plaster")</f>
        <v>9935.098</v>
      </c>
      <c r="E144" s="32">
        <f>IFERROR(INDEX('Price List'!$I$5:$I$74,MATCH("20mm cement plaster|m2",'Price List'!$O$5:$O$74,0)),0)</f>
        <v>3</v>
      </c>
      <c r="F144" s="32">
        <f>IFERROR(INDEX('Price List'!$L$5:$L$74,MATCH("20mm cement plaster|m2",'Price List'!$O$5:$O$74,0)),0)</f>
        <v>2.2400000000000002</v>
      </c>
      <c r="G144" s="32">
        <f>E144+F144</f>
        <v>5.24</v>
      </c>
      <c r="H144" s="33">
        <f>SUMIFS('Raw Data'!$Z:$Z,'Raw Data'!$D:$D,"C.02",'Raw Data'!$H:$H,"Plastering",'Raw Data'!$J:$J,"20mm cement plaster")</f>
        <v>52059.913520000002</v>
      </c>
    </row>
    <row r="145" spans="1:8" ht="15" customHeight="1" x14ac:dyDescent="0.35">
      <c r="A145" s="18"/>
      <c r="B145" s="34" t="s">
        <v>269</v>
      </c>
      <c r="C145" s="18"/>
      <c r="D145" s="18"/>
      <c r="E145" s="18"/>
      <c r="F145" s="18"/>
      <c r="G145" s="18"/>
      <c r="H145" s="35">
        <f>SUM(H144:H144)</f>
        <v>52059.913520000002</v>
      </c>
    </row>
    <row r="146" spans="1:8" ht="15" customHeight="1" x14ac:dyDescent="0.35">
      <c r="A146" s="197" t="s">
        <v>270</v>
      </c>
      <c r="B146" s="197"/>
      <c r="C146" s="197"/>
      <c r="D146" s="197"/>
      <c r="E146" s="197"/>
      <c r="F146" s="197"/>
      <c r="G146" s="197"/>
      <c r="H146" s="197"/>
    </row>
    <row r="147" spans="1:8" ht="15" customHeight="1" x14ac:dyDescent="0.35">
      <c r="A147" s="29" t="s">
        <v>271</v>
      </c>
      <c r="B147" s="30" t="s">
        <v>272</v>
      </c>
      <c r="C147" s="29" t="s">
        <v>128</v>
      </c>
      <c r="D147" s="31">
        <f>SUMIFS('Raw Data'!$Q:$Q,'Raw Data'!$D:$D,"C.02",'Raw Data'!$H:$H,"Painting",'Raw Data'!$J:$J,"Painting")</f>
        <v>9935.098</v>
      </c>
      <c r="E147" s="32">
        <f>IFERROR(INDEX('Price List'!$I$5:$I$74,MATCH("Painting|m2",'Price List'!$O$5:$O$74,0)),0)</f>
        <v>1.7999999999999998</v>
      </c>
      <c r="F147" s="32">
        <f>IFERROR(INDEX('Price List'!$L$5:$L$74,MATCH("Painting|m2",'Price List'!$O$5:$O$74,0)),0)</f>
        <v>2.8000000000000003</v>
      </c>
      <c r="G147" s="32">
        <f>E147+F147</f>
        <v>4.5999999999999996</v>
      </c>
      <c r="H147" s="33">
        <f>SUMIFS('Raw Data'!$Z:$Z,'Raw Data'!$D:$D,"C.02",'Raw Data'!$H:$H,"Painting",'Raw Data'!$J:$J,"Painting")</f>
        <v>45701.450799999999</v>
      </c>
    </row>
    <row r="148" spans="1:8" ht="15" customHeight="1" x14ac:dyDescent="0.35">
      <c r="A148" s="18"/>
      <c r="B148" s="34" t="s">
        <v>273</v>
      </c>
      <c r="C148" s="18"/>
      <c r="D148" s="18"/>
      <c r="E148" s="18"/>
      <c r="F148" s="18"/>
      <c r="G148" s="18"/>
      <c r="H148" s="35">
        <f>SUM(H147:H147)</f>
        <v>45701.450799999999</v>
      </c>
    </row>
    <row r="149" spans="1:8" ht="15" customHeight="1" x14ac:dyDescent="0.35">
      <c r="A149" s="36"/>
      <c r="B149" s="37" t="s">
        <v>274</v>
      </c>
      <c r="C149" s="36"/>
      <c r="D149" s="36"/>
      <c r="E149" s="36"/>
      <c r="F149" s="36"/>
      <c r="G149" s="36"/>
      <c r="H149" s="38">
        <f>SUMIFS('Raw Data'!$Z:$Z,'Raw Data'!$D:$D,"C.02")</f>
        <v>97761.364319999993</v>
      </c>
    </row>
    <row r="151" spans="1:8" ht="15" customHeight="1" x14ac:dyDescent="0.35">
      <c r="A151" s="192" t="s">
        <v>275</v>
      </c>
      <c r="B151" s="192"/>
      <c r="C151" s="192"/>
      <c r="D151" s="192"/>
      <c r="E151" s="192"/>
      <c r="F151" s="192"/>
      <c r="G151" s="192"/>
      <c r="H151" s="192"/>
    </row>
    <row r="152" spans="1:8" ht="15" customHeight="1" x14ac:dyDescent="0.35">
      <c r="A152" s="197" t="s">
        <v>276</v>
      </c>
      <c r="B152" s="197"/>
      <c r="C152" s="197"/>
      <c r="D152" s="197"/>
      <c r="E152" s="197"/>
      <c r="F152" s="197"/>
      <c r="G152" s="197"/>
      <c r="H152" s="197"/>
    </row>
    <row r="153" spans="1:8" ht="15" customHeight="1" x14ac:dyDescent="0.35">
      <c r="A153" s="29" t="s">
        <v>277</v>
      </c>
      <c r="B153" s="30" t="s">
        <v>278</v>
      </c>
      <c r="C153" s="29" t="s">
        <v>234</v>
      </c>
      <c r="D153" s="31">
        <f>SUMIFS('Raw Data'!$Q:$Q,'Raw Data'!$D:$D,"C.04",'Raw Data'!$H:$H,"Glass Window",'Raw Data'!$J:$J,"Internal Fix Windoor (L:3000,H:500)mm")</f>
        <v>30</v>
      </c>
      <c r="E153" s="32">
        <f>IFERROR(INDEX('Price List'!$I$5:$I$74,MATCH("Internal Fix Windoor (L:3000,H:500)mm|pcs",'Price List'!$O$5:$O$74,0)),0)</f>
        <v>0</v>
      </c>
      <c r="F153" s="32">
        <f>IFERROR(INDEX('Price List'!$L$5:$L$74,MATCH("Internal Fix Windoor (L:3000,H:500)mm|pcs",'Price List'!$O$5:$O$74,0)),0)</f>
        <v>92.4</v>
      </c>
      <c r="G153" s="32">
        <f t="shared" ref="G153:G160" si="10">E153+F153</f>
        <v>92.4</v>
      </c>
      <c r="H153" s="33">
        <f>SUMIFS('Raw Data'!$Z:$Z,'Raw Data'!$D:$D,"C.04",'Raw Data'!$H:$H,"Glass Window",'Raw Data'!$J:$J,"Internal Fix Windoor (L:3000,H:500)mm")</f>
        <v>2772</v>
      </c>
    </row>
    <row r="154" spans="1:8" ht="15" customHeight="1" x14ac:dyDescent="0.35">
      <c r="A154" s="29" t="s">
        <v>279</v>
      </c>
      <c r="B154" s="30" t="s">
        <v>280</v>
      </c>
      <c r="C154" s="29" t="s">
        <v>234</v>
      </c>
      <c r="D154" s="31">
        <f>SUMIFS('Raw Data'!$Q:$Q,'Raw Data'!$D:$D,"C.04",'Raw Data'!$H:$H,"Glass Window",'Raw Data'!$J:$J,"Internal Fix Windoor (L:1800,H:500)mm")</f>
        <v>30</v>
      </c>
      <c r="E154" s="32">
        <f>IFERROR(INDEX('Price List'!$I$5:$I$74,MATCH("Internal Fix Windoor (L:1800,H:500)mm|pcs",'Price List'!$O$5:$O$74,0)),0)</f>
        <v>0</v>
      </c>
      <c r="F154" s="32">
        <f>IFERROR(INDEX('Price List'!$L$5:$L$74,MATCH("Internal Fix Windoor (L:1800,H:500)mm|pcs",'Price List'!$O$5:$O$74,0)),0)</f>
        <v>55.440000000000005</v>
      </c>
      <c r="G154" s="32">
        <f t="shared" si="10"/>
        <v>55.440000000000005</v>
      </c>
      <c r="H154" s="33">
        <f>SUMIFS('Raw Data'!$Z:$Z,'Raw Data'!$D:$D,"C.04",'Raw Data'!$H:$H,"Glass Window",'Raw Data'!$J:$J,"Internal Fix Windoor (L:1800,H:500)mm")</f>
        <v>1663.2000000000003</v>
      </c>
    </row>
    <row r="155" spans="1:8" ht="27.75" customHeight="1" x14ac:dyDescent="0.35">
      <c r="A155" s="29" t="s">
        <v>281</v>
      </c>
      <c r="B155" s="30" t="s">
        <v>282</v>
      </c>
      <c r="C155" s="29" t="s">
        <v>234</v>
      </c>
      <c r="D155" s="31">
        <f>SUMIFS('Raw Data'!$Q:$Q,'Raw Data'!$D:$D,"C.04",'Raw Data'!$H:$H,"Glass Window",'Raw Data'!$J:$J,"Internal Fix Windoor (L:1200,H:500)mm &amp; Slide window (L:1200,H:1000)mm")</f>
        <v>32</v>
      </c>
      <c r="E155" s="32">
        <f>IFERROR(INDEX('Price List'!$I$5:$I$74,MATCH("Internal Fix Windoor (L:1200,H:500)mm &amp; Slide window (L:1200,H:1000)mm|pcs",'Price List'!$O$5:$O$74,0)),0)</f>
        <v>0</v>
      </c>
      <c r="F155" s="32">
        <f>IFERROR(INDEX('Price List'!$L$5:$L$74,MATCH("Internal Fix Windoor (L:1200,H:500)mm &amp; Slide window (L:1200,H:1000)mm|pcs",'Price List'!$O$5:$O$74,0)),0)</f>
        <v>131.04000000000002</v>
      </c>
      <c r="G155" s="32">
        <f t="shared" si="10"/>
        <v>131.04000000000002</v>
      </c>
      <c r="H155" s="33">
        <f>SUMIFS('Raw Data'!$Z:$Z,'Raw Data'!$D:$D,"C.04",'Raw Data'!$H:$H,"Glass Window",'Raw Data'!$J:$J,"Internal Fix Windoor (L:1200,H:500)mm &amp; Slide window (L:1200,H:1000)mm")</f>
        <v>4193.28</v>
      </c>
    </row>
    <row r="156" spans="1:8" ht="27.75" customHeight="1" x14ac:dyDescent="0.35">
      <c r="A156" s="29" t="s">
        <v>283</v>
      </c>
      <c r="B156" s="30" t="s">
        <v>284</v>
      </c>
      <c r="C156" s="29" t="s">
        <v>234</v>
      </c>
      <c r="D156" s="31">
        <f>SUMIFS('Raw Data'!$Q:$Q,'Raw Data'!$D:$D,"C.04",'Raw Data'!$H:$H,"Glass Window",'Raw Data'!$J:$J,"Internal Fix Windoor (L:2000,H:500)mm &amp; Slide window (L:2000,H:1000)mm")</f>
        <v>224</v>
      </c>
      <c r="E156" s="32">
        <f>IFERROR(INDEX('Price List'!$I$5:$I$74,MATCH("Internal Fix Windoor (L:2000,H:500)mm &amp; Slide window (L:2000,H:1000)mm|pcs",'Price List'!$O$5:$O$74,0)),0)</f>
        <v>0</v>
      </c>
      <c r="F156" s="32">
        <f>IFERROR(INDEX('Price List'!$L$5:$L$74,MATCH("Internal Fix Windoor (L:2000,H:500)mm &amp; Slide window (L:2000,H:1000)mm|pcs",'Price List'!$O$5:$O$74,0)),0)</f>
        <v>218.40000000000003</v>
      </c>
      <c r="G156" s="32">
        <f t="shared" si="10"/>
        <v>218.40000000000003</v>
      </c>
      <c r="H156" s="33">
        <f>SUMIFS('Raw Data'!$Z:$Z,'Raw Data'!$D:$D,"C.04",'Raw Data'!$H:$H,"Glass Window",'Raw Data'!$J:$J,"Internal Fix Windoor (L:2000,H:500)mm &amp; Slide window (L:2000,H:1000)mm")</f>
        <v>48921.600000000013</v>
      </c>
    </row>
    <row r="157" spans="1:8" ht="27.75" customHeight="1" x14ac:dyDescent="0.35">
      <c r="A157" s="29" t="s">
        <v>285</v>
      </c>
      <c r="B157" s="30" t="s">
        <v>286</v>
      </c>
      <c r="C157" s="29" t="s">
        <v>234</v>
      </c>
      <c r="D157" s="31">
        <f>SUMIFS('Raw Data'!$Q:$Q,'Raw Data'!$D:$D,"C.04",'Raw Data'!$H:$H,"Glass Window",'Raw Data'!$J:$J,"Internal Fix Windoor (L:3000,H:500)mm &amp; Slide window (L:3000,H:1000)mm")</f>
        <v>2</v>
      </c>
      <c r="E157" s="32">
        <f>IFERROR(INDEX('Price List'!$I$5:$I$74,MATCH("Internal Fix Windoor (L:3000,H:500)mm &amp; Slide window (L:3000,H:1000)mm|pcs",'Price List'!$O$5:$O$74,0)),0)</f>
        <v>0</v>
      </c>
      <c r="F157" s="32">
        <f>IFERROR(INDEX('Price List'!$L$5:$L$74,MATCH("Internal Fix Windoor (L:3000,H:500)mm &amp; Slide window (L:3000,H:1000)mm|pcs",'Price List'!$O$5:$O$74,0)),0)</f>
        <v>327.60000000000002</v>
      </c>
      <c r="G157" s="32">
        <f t="shared" si="10"/>
        <v>327.60000000000002</v>
      </c>
      <c r="H157" s="33">
        <f>SUMIFS('Raw Data'!$Z:$Z,'Raw Data'!$D:$D,"C.04",'Raw Data'!$H:$H,"Glass Window",'Raw Data'!$J:$J,"Internal Fix Windoor (L:3000,H:500)mm &amp; Slide window (L:3000,H:1000)mm")</f>
        <v>655.20000000000005</v>
      </c>
    </row>
    <row r="158" spans="1:8" ht="15" customHeight="1" x14ac:dyDescent="0.35">
      <c r="A158" s="29" t="s">
        <v>287</v>
      </c>
      <c r="B158" s="30" t="s">
        <v>288</v>
      </c>
      <c r="C158" s="29" t="s">
        <v>234</v>
      </c>
      <c r="D158" s="31">
        <f>SUMIFS('Raw Data'!$Q:$Q,'Raw Data'!$D:$D,"C.04",'Raw Data'!$H:$H,"Glass Window",'Raw Data'!$J:$J,"Internal Fix Windoor (L:900,H:1000)mm")</f>
        <v>28</v>
      </c>
      <c r="E158" s="32">
        <f>IFERROR(INDEX('Price List'!$I$5:$I$74,MATCH("Internal Fix Windoor (L:900,H:1000)mm|pcs",'Price List'!$O$5:$O$74,0)),0)</f>
        <v>0</v>
      </c>
      <c r="F158" s="32">
        <f>IFERROR(INDEX('Price List'!$L$5:$L$74,MATCH("Internal Fix Windoor (L:900,H:1000)mm|pcs",'Price List'!$O$5:$O$74,0)),0)</f>
        <v>55.440000000000005</v>
      </c>
      <c r="G158" s="32">
        <f t="shared" si="10"/>
        <v>55.440000000000005</v>
      </c>
      <c r="H158" s="33">
        <f>SUMIFS('Raw Data'!$Z:$Z,'Raw Data'!$D:$D,"C.04",'Raw Data'!$H:$H,"Glass Window",'Raw Data'!$J:$J,"Internal Fix Windoor (L:900,H:1000)mm")</f>
        <v>1552.3200000000002</v>
      </c>
    </row>
    <row r="159" spans="1:8" ht="27.75" customHeight="1" x14ac:dyDescent="0.35">
      <c r="A159" s="29" t="s">
        <v>289</v>
      </c>
      <c r="B159" s="30" t="s">
        <v>290</v>
      </c>
      <c r="C159" s="29" t="s">
        <v>234</v>
      </c>
      <c r="D159" s="31">
        <f>SUMIFS('Raw Data'!$Q:$Q,'Raw Data'!$D:$D,"C.04",'Raw Data'!$H:$H,"Glass Window",'Raw Data'!$J:$J,"Internal Fix Windoor (L:4000,H:500)mm &amp; Slide window (L:4000,H:1700)mm")</f>
        <v>54</v>
      </c>
      <c r="E159" s="32">
        <f>IFERROR(INDEX('Price List'!$I$5:$I$74,MATCH("Internal Fix Windoor (L:4000,H:500)mm &amp; Slide window (L:4000,H:1700)mm|pcs",'Price List'!$O$5:$O$74,0)),0)</f>
        <v>0</v>
      </c>
      <c r="F159" s="32">
        <f>IFERROR(INDEX('Price List'!$L$5:$L$74,MATCH("Internal Fix Windoor (L:4000,H:500)mm &amp; Slide window (L:4000,H:1700)mm|pcs",'Price List'!$O$5:$O$74,0)),0)</f>
        <v>656.32</v>
      </c>
      <c r="G159" s="32">
        <f t="shared" si="10"/>
        <v>656.32</v>
      </c>
      <c r="H159" s="33">
        <f>SUMIFS('Raw Data'!$Z:$Z,'Raw Data'!$D:$D,"C.04",'Raw Data'!$H:$H,"Glass Window",'Raw Data'!$J:$J,"Internal Fix Windoor (L:4000,H:500)mm &amp; Slide window (L:4000,H:1700)mm")</f>
        <v>35441.279999999999</v>
      </c>
    </row>
    <row r="160" spans="1:8" ht="27.75" customHeight="1" x14ac:dyDescent="0.35">
      <c r="A160" s="29" t="s">
        <v>291</v>
      </c>
      <c r="B160" s="30" t="s">
        <v>292</v>
      </c>
      <c r="C160" s="29" t="s">
        <v>234</v>
      </c>
      <c r="D160" s="31">
        <f>SUMIFS('Raw Data'!$Q:$Q,'Raw Data'!$D:$D,"C.04",'Raw Data'!$H:$H,"Glass Window",'Raw Data'!$J:$J,"Internal Fix Windoor (L:2000,H:500)mm &amp; Slide window (L:2000,H:10300)mm")</f>
        <v>3</v>
      </c>
      <c r="E160" s="32">
        <f>IFERROR(INDEX('Price List'!$I$5:$I$74,MATCH("Internal Fix Windoor (L:2000,H:500)mm &amp; Slide window (L:2000,H:10300)mm|pcs",'Price List'!$O$5:$O$74,0)),0)</f>
        <v>0</v>
      </c>
      <c r="F160" s="32">
        <f>IFERROR(INDEX('Price List'!$L$5:$L$74,MATCH("Internal Fix Windoor (L:2000,H:500)mm &amp; Slide window (L:2000,H:10300)mm|pcs",'Price List'!$O$5:$O$74,0)),0)</f>
        <v>223.10400000000001</v>
      </c>
      <c r="G160" s="32">
        <f t="shared" si="10"/>
        <v>223.10400000000001</v>
      </c>
      <c r="H160" s="33">
        <f>SUMIFS('Raw Data'!$Z:$Z,'Raw Data'!$D:$D,"C.04",'Raw Data'!$H:$H,"Glass Window",'Raw Data'!$J:$J,"Internal Fix Windoor (L:2000,H:500)mm &amp; Slide window (L:2000,H:10300)mm")</f>
        <v>669.31200000000001</v>
      </c>
    </row>
    <row r="161" spans="1:8" ht="15" customHeight="1" x14ac:dyDescent="0.35">
      <c r="A161" s="18"/>
      <c r="B161" s="34" t="s">
        <v>293</v>
      </c>
      <c r="C161" s="18"/>
      <c r="D161" s="18"/>
      <c r="E161" s="18"/>
      <c r="F161" s="18"/>
      <c r="G161" s="18"/>
      <c r="H161" s="35">
        <f>SUM(H153:H160)</f>
        <v>95868.19200000001</v>
      </c>
    </row>
    <row r="162" spans="1:8" ht="15" customHeight="1" x14ac:dyDescent="0.35">
      <c r="A162" s="36"/>
      <c r="B162" s="37" t="s">
        <v>294</v>
      </c>
      <c r="C162" s="36"/>
      <c r="D162" s="36"/>
      <c r="E162" s="36"/>
      <c r="F162" s="36"/>
      <c r="G162" s="36"/>
      <c r="H162" s="38">
        <f>SUMIFS('Raw Data'!$Z:$Z,'Raw Data'!$D:$D,"C.04")</f>
        <v>95868.191999999995</v>
      </c>
    </row>
    <row r="164" spans="1:8" ht="15" customHeight="1" x14ac:dyDescent="0.35">
      <c r="A164" s="192" t="s">
        <v>295</v>
      </c>
      <c r="B164" s="192"/>
      <c r="C164" s="192"/>
      <c r="D164" s="192"/>
      <c r="E164" s="192"/>
      <c r="F164" s="192"/>
      <c r="G164" s="192"/>
      <c r="H164" s="192"/>
    </row>
    <row r="165" spans="1:8" ht="15" customHeight="1" x14ac:dyDescent="0.35">
      <c r="A165" s="197" t="s">
        <v>250</v>
      </c>
      <c r="B165" s="197"/>
      <c r="C165" s="197"/>
      <c r="D165" s="197"/>
      <c r="E165" s="197"/>
      <c r="F165" s="197"/>
      <c r="G165" s="197"/>
      <c r="H165" s="197"/>
    </row>
    <row r="166" spans="1:8" ht="15" customHeight="1" x14ac:dyDescent="0.35">
      <c r="A166" s="29" t="s">
        <v>296</v>
      </c>
      <c r="B166" s="30" t="s">
        <v>297</v>
      </c>
      <c r="C166" s="29" t="s">
        <v>128</v>
      </c>
      <c r="D166" s="31">
        <f>SUMIFS('Raw Data'!$Q:$Q,'Raw Data'!$D:$D,"C.09",'Raw Data'!$H:$H,"Hollow clay brick",'Raw Data'!$J:$J,"Hollow clay brick (80x80x180)mm, thickness 100mm Thk.")</f>
        <v>1153.6399999999996</v>
      </c>
      <c r="E166" s="32">
        <f>IFERROR(INDEX('Price List'!$I$5:$I$74,MATCH("Hollow clay brick (80x80x180)mm, thickness 100mm Thk.|m2",'Price List'!$O$5:$O$74,0)),0)</f>
        <v>3.5999999999999996</v>
      </c>
      <c r="F166" s="32">
        <f>IFERROR(INDEX('Price List'!$L$5:$L$74,MATCH("Hollow clay brick (80x80x180)mm, thickness 100mm Thk.|m2",'Price List'!$O$5:$O$74,0)),0)</f>
        <v>6.7200000000000006</v>
      </c>
      <c r="G166" s="32">
        <f>E166+F166</f>
        <v>10.32</v>
      </c>
      <c r="H166" s="33">
        <f>SUMIFS('Raw Data'!$Z:$Z,'Raw Data'!$D:$D,"C.09",'Raw Data'!$H:$H,"Hollow clay brick",'Raw Data'!$J:$J,"Hollow clay brick (80x80x180)mm, thickness 100mm Thk.")</f>
        <v>11905.5648</v>
      </c>
    </row>
    <row r="167" spans="1:8" ht="15" customHeight="1" x14ac:dyDescent="0.35">
      <c r="A167" s="29" t="s">
        <v>298</v>
      </c>
      <c r="B167" s="30" t="s">
        <v>254</v>
      </c>
      <c r="C167" s="29" t="s">
        <v>128</v>
      </c>
      <c r="D167" s="31">
        <f>SUMIFS('Raw Data'!$Q:$Q,'Raw Data'!$D:$D,"C.09",'Raw Data'!$H:$H,"Hollow clay brick",'Raw Data'!$J:$J,"Hollow clay brick (80x80x180)mm, thickness 200mm Thk.")</f>
        <v>4210.1379999999999</v>
      </c>
      <c r="E167" s="32">
        <f>IFERROR(INDEX('Price List'!$I$5:$I$74,MATCH("Hollow clay brick (80x80x180)mm, thickness 200mm Thk.|m2",'Price List'!$O$5:$O$74,0)),0)</f>
        <v>5.3999999999999995</v>
      </c>
      <c r="F167" s="32">
        <f>IFERROR(INDEX('Price List'!$L$5:$L$74,MATCH("Hollow clay brick (80x80x180)mm, thickness 200mm Thk.|m2",'Price List'!$O$5:$O$74,0)),0)</f>
        <v>12.32</v>
      </c>
      <c r="G167" s="32">
        <f>E167+F167</f>
        <v>17.72</v>
      </c>
      <c r="H167" s="33">
        <f>SUMIFS('Raw Data'!$Z:$Z,'Raw Data'!$D:$D,"C.09",'Raw Data'!$H:$H,"Hollow clay brick",'Raw Data'!$J:$J,"Hollow clay brick (80x80x180)mm, thickness 200mm Thk.")</f>
        <v>74603.64535999998</v>
      </c>
    </row>
    <row r="168" spans="1:8" ht="15" customHeight="1" x14ac:dyDescent="0.35">
      <c r="A168" s="18"/>
      <c r="B168" s="34" t="s">
        <v>259</v>
      </c>
      <c r="C168" s="18"/>
      <c r="D168" s="18"/>
      <c r="E168" s="18"/>
      <c r="F168" s="18"/>
      <c r="G168" s="18"/>
      <c r="H168" s="35">
        <f>SUM(H166:H167)</f>
        <v>86509.210159999988</v>
      </c>
    </row>
    <row r="169" spans="1:8" ht="15" customHeight="1" x14ac:dyDescent="0.35">
      <c r="A169" s="197" t="s">
        <v>299</v>
      </c>
      <c r="B169" s="197"/>
      <c r="C169" s="197"/>
      <c r="D169" s="197"/>
      <c r="E169" s="197"/>
      <c r="F169" s="197"/>
      <c r="G169" s="197"/>
      <c r="H169" s="197"/>
    </row>
    <row r="170" spans="1:8" ht="15" customHeight="1" x14ac:dyDescent="0.35">
      <c r="A170" s="29" t="s">
        <v>300</v>
      </c>
      <c r="B170" s="30" t="s">
        <v>301</v>
      </c>
      <c r="C170" s="29" t="s">
        <v>110</v>
      </c>
      <c r="D170" s="31">
        <f>SUMIFS('Raw Data'!$Q:$Q,'Raw Data'!$D:$D,"C.09",'Raw Data'!$H:$H,"Handrail",'Raw Data'!$J:$J,"Steel handrail with paiting H=1m")</f>
        <v>89</v>
      </c>
      <c r="E170" s="32">
        <f>IFERROR(INDEX('Price List'!$I$5:$I$74,MATCH("Steel handrail with paiting H=1m|m",'Price List'!$O$5:$O$74,0)),0)</f>
        <v>9.6</v>
      </c>
      <c r="F170" s="32">
        <f>IFERROR(INDEX('Price List'!$L$5:$L$74,MATCH("Steel handrail with paiting H=1m|m",'Price List'!$O$5:$O$74,0)),0)</f>
        <v>24.64</v>
      </c>
      <c r="G170" s="32">
        <f>E170+F170</f>
        <v>34.24</v>
      </c>
      <c r="H170" s="33">
        <f>SUMIFS('Raw Data'!$Z:$Z,'Raw Data'!$D:$D,"C.09",'Raw Data'!$H:$H,"Handrail",'Raw Data'!$J:$J,"Steel handrail with paiting H=1m")</f>
        <v>3047.3600000000006</v>
      </c>
    </row>
    <row r="171" spans="1:8" ht="15" customHeight="1" x14ac:dyDescent="0.35">
      <c r="A171" s="18"/>
      <c r="B171" s="34" t="s">
        <v>302</v>
      </c>
      <c r="C171" s="18"/>
      <c r="D171" s="18"/>
      <c r="E171" s="18"/>
      <c r="F171" s="18"/>
      <c r="G171" s="18"/>
      <c r="H171" s="35">
        <f>SUM(H170:H170)</f>
        <v>3047.3600000000006</v>
      </c>
    </row>
    <row r="172" spans="1:8" ht="15" customHeight="1" x14ac:dyDescent="0.35">
      <c r="A172" s="197" t="s">
        <v>303</v>
      </c>
      <c r="B172" s="197"/>
      <c r="C172" s="197"/>
      <c r="D172" s="197"/>
      <c r="E172" s="197"/>
      <c r="F172" s="197"/>
      <c r="G172" s="197"/>
      <c r="H172" s="197"/>
    </row>
    <row r="173" spans="1:8" ht="15" customHeight="1" x14ac:dyDescent="0.35">
      <c r="A173" s="29" t="s">
        <v>304</v>
      </c>
      <c r="B173" s="30" t="s">
        <v>305</v>
      </c>
      <c r="C173" s="29" t="s">
        <v>110</v>
      </c>
      <c r="D173" s="31">
        <f>SUMIFS('Raw Data'!$Q:$Q,'Raw Data'!$D:$D,"C.09",'Raw Data'!$H:$H,"Handrail on staircase",'Raw Data'!$J:$J,"Steel handrail with paiting Handrail on staircase, H=1m")</f>
        <v>305</v>
      </c>
      <c r="E173" s="32">
        <f>IFERROR(INDEX('Price List'!$I$5:$I$74,MATCH("Steel handrail with paiting Handrail on staircase, H=1m|m",'Price List'!$O$5:$O$74,0)),0)</f>
        <v>10.799999999999999</v>
      </c>
      <c r="F173" s="32">
        <f>IFERROR(INDEX('Price List'!$L$5:$L$74,MATCH("Steel handrail with paiting Handrail on staircase, H=1m|m",'Price List'!$O$5:$O$74,0)),0)</f>
        <v>24.64</v>
      </c>
      <c r="G173" s="32">
        <f>E173+F173</f>
        <v>35.44</v>
      </c>
      <c r="H173" s="33">
        <f>SUMIFS('Raw Data'!$Z:$Z,'Raw Data'!$D:$D,"C.09",'Raw Data'!$H:$H,"Handrail on staircase",'Raw Data'!$J:$J,"Steel handrail with paiting Handrail on staircase, H=1m")</f>
        <v>10809.2</v>
      </c>
    </row>
    <row r="174" spans="1:8" ht="15" customHeight="1" x14ac:dyDescent="0.35">
      <c r="A174" s="18"/>
      <c r="B174" s="34" t="s">
        <v>306</v>
      </c>
      <c r="C174" s="18"/>
      <c r="D174" s="18"/>
      <c r="E174" s="18"/>
      <c r="F174" s="18"/>
      <c r="G174" s="18"/>
      <c r="H174" s="35">
        <f>SUM(H173:H173)</f>
        <v>10809.2</v>
      </c>
    </row>
    <row r="175" spans="1:8" ht="15" customHeight="1" x14ac:dyDescent="0.35">
      <c r="A175" s="36"/>
      <c r="B175" s="37" t="s">
        <v>307</v>
      </c>
      <c r="C175" s="36"/>
      <c r="D175" s="36"/>
      <c r="E175" s="36"/>
      <c r="F175" s="36"/>
      <c r="G175" s="36"/>
      <c r="H175" s="38">
        <f>SUMIFS('Raw Data'!$Z:$Z,'Raw Data'!$D:$D,"C.09")</f>
        <v>100365.77015999997</v>
      </c>
    </row>
    <row r="177" spans="1:8" ht="15" customHeight="1" x14ac:dyDescent="0.35">
      <c r="A177" s="192" t="s">
        <v>308</v>
      </c>
      <c r="B177" s="192"/>
      <c r="C177" s="192"/>
      <c r="D177" s="192"/>
      <c r="E177" s="192"/>
      <c r="F177" s="192"/>
      <c r="G177" s="192"/>
      <c r="H177" s="192"/>
    </row>
    <row r="178" spans="1:8" ht="15" customHeight="1" x14ac:dyDescent="0.35">
      <c r="A178" s="197" t="s">
        <v>309</v>
      </c>
      <c r="B178" s="197"/>
      <c r="C178" s="197"/>
      <c r="D178" s="197"/>
      <c r="E178" s="197"/>
      <c r="F178" s="197"/>
      <c r="G178" s="197"/>
      <c r="H178" s="197"/>
    </row>
    <row r="179" spans="1:8" ht="15" customHeight="1" x14ac:dyDescent="0.35">
      <c r="A179" s="29" t="s">
        <v>310</v>
      </c>
      <c r="B179" s="30" t="s">
        <v>311</v>
      </c>
      <c r="C179" s="29" t="s">
        <v>234</v>
      </c>
      <c r="D179" s="31">
        <f>SUMIFS('Raw Data'!$Q:$Q,'Raw Data'!$D:$D,"C.10",'Raw Data'!$H:$H,"PVC door",'Raw Data'!$J:$J,"PVC door size (L:750,H:2000,W:400)mm")</f>
        <v>146</v>
      </c>
      <c r="E179" s="32">
        <f>IFERROR(INDEX('Price List'!$I$5:$I$74,MATCH("PVC door size (L:750,H:2000,W:400)mm|pcs",'Price List'!$O$5:$O$74,0)),0)</f>
        <v>0</v>
      </c>
      <c r="F179" s="32">
        <f>IFERROR(INDEX('Price List'!$L$5:$L$74,MATCH("PVC door size (L:750,H:2000,W:400)mm|pcs",'Price List'!$O$5:$O$74,0)),0)</f>
        <v>44.800000000000004</v>
      </c>
      <c r="G179" s="32">
        <f>E179+F179</f>
        <v>44.800000000000004</v>
      </c>
      <c r="H179" s="33">
        <f>SUMIFS('Raw Data'!$Z:$Z,'Raw Data'!$D:$D,"C.10",'Raw Data'!$H:$H,"PVC door",'Raw Data'!$J:$J,"PVC door size (L:750,H:2000,W:400)mm")</f>
        <v>6540.8</v>
      </c>
    </row>
    <row r="180" spans="1:8" ht="15" customHeight="1" x14ac:dyDescent="0.35">
      <c r="A180" s="29" t="s">
        <v>312</v>
      </c>
      <c r="B180" s="30" t="s">
        <v>313</v>
      </c>
      <c r="C180" s="29" t="s">
        <v>234</v>
      </c>
      <c r="D180" s="31">
        <f>SUMIFS('Raw Data'!$Q:$Q,'Raw Data'!$D:$D,"C.10",'Raw Data'!$H:$H,"PVC door",'Raw Data'!$J:$J,"PVC door size (L:800,H:2100,W:400)mm")</f>
        <v>60</v>
      </c>
      <c r="E180" s="32">
        <f>IFERROR(INDEX('Price List'!$I$5:$I$74,MATCH("PVC door size (L:800,H:2100,W:400)mm|pcs",'Price List'!$O$5:$O$74,0)),0)</f>
        <v>0</v>
      </c>
      <c r="F180" s="32">
        <f>IFERROR(INDEX('Price List'!$L$5:$L$74,MATCH("PVC door size (L:800,H:2100,W:400)mm|pcs",'Price List'!$O$5:$O$74,0)),0)</f>
        <v>50.400000000000006</v>
      </c>
      <c r="G180" s="32">
        <f>E180+F180</f>
        <v>50.400000000000006</v>
      </c>
      <c r="H180" s="33">
        <f>SUMIFS('Raw Data'!$Z:$Z,'Raw Data'!$D:$D,"C.10",'Raw Data'!$H:$H,"PVC door",'Raw Data'!$J:$J,"PVC door size (L:800,H:2100,W:400)mm")</f>
        <v>3024</v>
      </c>
    </row>
    <row r="181" spans="1:8" ht="15" customHeight="1" x14ac:dyDescent="0.35">
      <c r="A181" s="29" t="s">
        <v>314</v>
      </c>
      <c r="B181" s="30" t="s">
        <v>315</v>
      </c>
      <c r="C181" s="29" t="s">
        <v>234</v>
      </c>
      <c r="D181" s="31">
        <f>SUMIFS('Raw Data'!$Q:$Q,'Raw Data'!$D:$D,"C.10",'Raw Data'!$H:$H,"PVC door",'Raw Data'!$J:$J,"PVC door size (L:900,H:2100,W:400)mm")</f>
        <v>4</v>
      </c>
      <c r="E181" s="32">
        <f>IFERROR(INDEX('Price List'!$I$5:$I$74,MATCH("PVC door size (L:900,H:2100,W:400)mm|pcs",'Price List'!$O$5:$O$74,0)),0)</f>
        <v>0</v>
      </c>
      <c r="F181" s="32">
        <f>IFERROR(INDEX('Price List'!$L$5:$L$74,MATCH("PVC door size (L:900,H:2100,W:400)mm|pcs",'Price List'!$O$5:$O$74,0)),0)</f>
        <v>56.000000000000007</v>
      </c>
      <c r="G181" s="32">
        <f>E181+F181</f>
        <v>56.000000000000007</v>
      </c>
      <c r="H181" s="33">
        <f>SUMIFS('Raw Data'!$Z:$Z,'Raw Data'!$D:$D,"C.10",'Raw Data'!$H:$H,"PVC door",'Raw Data'!$J:$J,"PVC door size (L:900,H:2100,W:400)mm")</f>
        <v>224.00000000000003</v>
      </c>
    </row>
    <row r="182" spans="1:8" ht="15" customHeight="1" x14ac:dyDescent="0.35">
      <c r="A182" s="18"/>
      <c r="B182" s="34" t="s">
        <v>316</v>
      </c>
      <c r="C182" s="18"/>
      <c r="D182" s="18"/>
      <c r="E182" s="18"/>
      <c r="F182" s="18"/>
      <c r="G182" s="18"/>
      <c r="H182" s="35">
        <f>SUM(H179:H181)</f>
        <v>9788.7999999999993</v>
      </c>
    </row>
    <row r="183" spans="1:8" ht="15" customHeight="1" x14ac:dyDescent="0.35">
      <c r="A183" s="197" t="s">
        <v>317</v>
      </c>
      <c r="B183" s="197"/>
      <c r="C183" s="197"/>
      <c r="D183" s="197"/>
      <c r="E183" s="197"/>
      <c r="F183" s="197"/>
      <c r="G183" s="197"/>
      <c r="H183" s="197"/>
    </row>
    <row r="184" spans="1:8" ht="15" customHeight="1" x14ac:dyDescent="0.35">
      <c r="A184" s="29" t="s">
        <v>318</v>
      </c>
      <c r="B184" s="30" t="s">
        <v>319</v>
      </c>
      <c r="C184" s="29" t="s">
        <v>234</v>
      </c>
      <c r="D184" s="31">
        <f>SUMIFS('Raw Data'!$Q:$Q,'Raw Data'!$D:$D,"C.10",'Raw Data'!$H:$H,"Wood door",'Raw Data'!$J:$J,"Wood door size (L:900,H:2100,W:500)mm")</f>
        <v>37</v>
      </c>
      <c r="E184" s="32">
        <f>IFERROR(INDEX('Price List'!$I$5:$I$74,MATCH("Wood door size (L:900,H:2100,W:500)mm|pcs",'Price List'!$O$5:$O$74,0)),0)</f>
        <v>0</v>
      </c>
      <c r="F184" s="32">
        <f>IFERROR(INDEX('Price List'!$L$5:$L$74,MATCH("Wood door size (L:900,H:2100,W:500)mm|pcs",'Price List'!$O$5:$O$74,0)),0)</f>
        <v>134.4</v>
      </c>
      <c r="G184" s="32">
        <f>E184+F184</f>
        <v>134.4</v>
      </c>
      <c r="H184" s="33">
        <f>SUMIFS('Raw Data'!$Z:$Z,'Raw Data'!$D:$D,"C.10",'Raw Data'!$H:$H,"Wood door",'Raw Data'!$J:$J,"Wood door size (L:900,H:2100,W:500)mm")</f>
        <v>4972.7999999999993</v>
      </c>
    </row>
    <row r="185" spans="1:8" ht="15" customHeight="1" x14ac:dyDescent="0.35">
      <c r="A185" s="29" t="s">
        <v>320</v>
      </c>
      <c r="B185" s="30" t="s">
        <v>321</v>
      </c>
      <c r="C185" s="29" t="s">
        <v>234</v>
      </c>
      <c r="D185" s="31">
        <f>SUMIFS('Raw Data'!$Q:$Q,'Raw Data'!$D:$D,"C.10",'Raw Data'!$H:$H,"Wood door",'Raw Data'!$J:$J,"Wood door size (L:900,H:2100,W:400)mm")</f>
        <v>204</v>
      </c>
      <c r="E185" s="32">
        <f>IFERROR(INDEX('Price List'!$I$5:$I$74,MATCH("Wood door size (L:900,H:2100,W:400)mm|pcs",'Price List'!$O$5:$O$74,0)),0)</f>
        <v>0</v>
      </c>
      <c r="F185" s="32">
        <f>IFERROR(INDEX('Price List'!$L$5:$L$74,MATCH("Wood door size (L:900,H:2100,W:400)mm|pcs",'Price List'!$O$5:$O$74,0)),0)</f>
        <v>123.20000000000002</v>
      </c>
      <c r="G185" s="32">
        <f>E185+F185</f>
        <v>123.20000000000002</v>
      </c>
      <c r="H185" s="33">
        <f>SUMIFS('Raw Data'!$Z:$Z,'Raw Data'!$D:$D,"C.10",'Raw Data'!$H:$H,"Wood door",'Raw Data'!$J:$J,"Wood door size (L:900,H:2100,W:400)mm")</f>
        <v>25132.800000000007</v>
      </c>
    </row>
    <row r="186" spans="1:8" ht="15" customHeight="1" x14ac:dyDescent="0.35">
      <c r="A186" s="29" t="s">
        <v>322</v>
      </c>
      <c r="B186" s="30" t="s">
        <v>323</v>
      </c>
      <c r="C186" s="29" t="s">
        <v>234</v>
      </c>
      <c r="D186" s="31">
        <f>SUMIFS('Raw Data'!$Q:$Q,'Raw Data'!$D:$D,"C.10",'Raw Data'!$H:$H,"Wood door",'Raw Data'!$J:$J,"Wood door size (L:1600,H:2100,W:500)mm")</f>
        <v>3</v>
      </c>
      <c r="E186" s="32">
        <f>IFERROR(INDEX('Price List'!$I$5:$I$74,MATCH("Wood door size (L:1600,H:2100,W:500)mm|pcs",'Price List'!$O$5:$O$74,0)),0)</f>
        <v>0</v>
      </c>
      <c r="F186" s="32">
        <f>IFERROR(INDEX('Price List'!$L$5:$L$74,MATCH("Wood door size (L:1600,H:2100,W:500)mm|pcs",'Price List'!$O$5:$O$74,0)),0)</f>
        <v>235.20000000000002</v>
      </c>
      <c r="G186" s="32">
        <f>E186+F186</f>
        <v>235.20000000000002</v>
      </c>
      <c r="H186" s="33">
        <f>SUMIFS('Raw Data'!$Z:$Z,'Raw Data'!$D:$D,"C.10",'Raw Data'!$H:$H,"Wood door",'Raw Data'!$J:$J,"Wood door size (L:1600,H:2100,W:500)mm")</f>
        <v>705.6</v>
      </c>
    </row>
    <row r="187" spans="1:8" ht="15" customHeight="1" x14ac:dyDescent="0.35">
      <c r="A187" s="18"/>
      <c r="B187" s="34" t="s">
        <v>324</v>
      </c>
      <c r="C187" s="18"/>
      <c r="D187" s="18"/>
      <c r="E187" s="18"/>
      <c r="F187" s="18"/>
      <c r="G187" s="18"/>
      <c r="H187" s="35">
        <f>SUM(H184:H186)</f>
        <v>30811.200000000004</v>
      </c>
    </row>
    <row r="188" spans="1:8" ht="15" customHeight="1" x14ac:dyDescent="0.35">
      <c r="A188" s="197" t="s">
        <v>325</v>
      </c>
      <c r="B188" s="197"/>
      <c r="C188" s="197"/>
      <c r="D188" s="197"/>
      <c r="E188" s="197"/>
      <c r="F188" s="197"/>
      <c r="G188" s="197"/>
      <c r="H188" s="197"/>
    </row>
    <row r="189" spans="1:8" ht="15" customHeight="1" x14ac:dyDescent="0.35">
      <c r="A189" s="29" t="s">
        <v>326</v>
      </c>
      <c r="B189" s="30" t="s">
        <v>327</v>
      </c>
      <c r="C189" s="29" t="s">
        <v>234</v>
      </c>
      <c r="D189" s="31">
        <f>SUMIFS('Raw Data'!$Q:$Q,'Raw Data'!$D:$D,"C.10",'Raw Data'!$H:$H,"Steel Door",'Raw Data'!$J:$J,"Steel door size (L:880,H:2100,W:400)mm")</f>
        <v>29</v>
      </c>
      <c r="E189" s="32">
        <f>IFERROR(INDEX('Price List'!$I$5:$I$74,MATCH("Steel door size (L:880,H:2100,W:400)mm|pcs",'Price List'!$O$5:$O$74,0)),0)</f>
        <v>0</v>
      </c>
      <c r="F189" s="32">
        <f>IFERROR(INDEX('Price List'!$L$5:$L$74,MATCH("Steel door size (L:880,H:2100,W:400)mm|pcs",'Price List'!$O$5:$O$74,0)),0)</f>
        <v>151.20000000000002</v>
      </c>
      <c r="G189" s="32">
        <f>E189+F189</f>
        <v>151.20000000000002</v>
      </c>
      <c r="H189" s="33">
        <f>SUMIFS('Raw Data'!$Z:$Z,'Raw Data'!$D:$D,"C.10",'Raw Data'!$H:$H,"Steel Door",'Raw Data'!$J:$J,"Steel door size (L:880,H:2100,W:400)mm")</f>
        <v>4384.8000000000011</v>
      </c>
    </row>
    <row r="190" spans="1:8" ht="15" customHeight="1" x14ac:dyDescent="0.35">
      <c r="A190" s="18"/>
      <c r="B190" s="34" t="s">
        <v>328</v>
      </c>
      <c r="C190" s="18"/>
      <c r="D190" s="18"/>
      <c r="E190" s="18"/>
      <c r="F190" s="18"/>
      <c r="G190" s="18"/>
      <c r="H190" s="35">
        <f>SUM(H189:H189)</f>
        <v>4384.8000000000011</v>
      </c>
    </row>
    <row r="191" spans="1:8" ht="15" customHeight="1" x14ac:dyDescent="0.35">
      <c r="A191" s="36"/>
      <c r="B191" s="37" t="s">
        <v>329</v>
      </c>
      <c r="C191" s="36"/>
      <c r="D191" s="36"/>
      <c r="E191" s="36"/>
      <c r="F191" s="36"/>
      <c r="G191" s="36"/>
      <c r="H191" s="38">
        <f>SUMIFS('Raw Data'!$Z:$Z,'Raw Data'!$D:$D,"C.10")</f>
        <v>44984.799999999996</v>
      </c>
    </row>
    <row r="193" spans="1:8" ht="15" customHeight="1" x14ac:dyDescent="0.35">
      <c r="A193" s="192" t="s">
        <v>330</v>
      </c>
      <c r="B193" s="192"/>
      <c r="C193" s="192"/>
      <c r="D193" s="192"/>
      <c r="E193" s="192"/>
      <c r="F193" s="192"/>
      <c r="G193" s="192"/>
      <c r="H193" s="192"/>
    </row>
    <row r="194" spans="1:8" ht="15" customHeight="1" x14ac:dyDescent="0.35">
      <c r="A194" s="197" t="s">
        <v>266</v>
      </c>
      <c r="B194" s="197"/>
      <c r="C194" s="197"/>
      <c r="D194" s="197"/>
      <c r="E194" s="197"/>
      <c r="F194" s="197"/>
      <c r="G194" s="197"/>
      <c r="H194" s="197"/>
    </row>
    <row r="195" spans="1:8" ht="15" customHeight="1" x14ac:dyDescent="0.35">
      <c r="A195" s="29" t="s">
        <v>331</v>
      </c>
      <c r="B195" s="30" t="s">
        <v>268</v>
      </c>
      <c r="C195" s="29" t="s">
        <v>128</v>
      </c>
      <c r="D195" s="31">
        <f>SUMIFS('Raw Data'!$Q:$Q,'Raw Data'!$D:$D,"D.01",'Raw Data'!$H:$H,"Plastering",'Raw Data'!$J:$J,"20mm cement plaster")</f>
        <v>10727.555999999999</v>
      </c>
      <c r="E195" s="32">
        <f>IFERROR(INDEX('Price List'!$I$5:$I$74,MATCH("20mm cement plaster|m2",'Price List'!$O$5:$O$74,0)),0)</f>
        <v>3</v>
      </c>
      <c r="F195" s="32">
        <f>IFERROR(INDEX('Price List'!$L$5:$L$74,MATCH("20mm cement plaster|m2",'Price List'!$O$5:$O$74,0)),0)</f>
        <v>2.2400000000000002</v>
      </c>
      <c r="G195" s="32">
        <f>E195+F195</f>
        <v>5.24</v>
      </c>
      <c r="H195" s="33">
        <f>SUMIFS('Raw Data'!$Z:$Z,'Raw Data'!$D:$D,"D.01",'Raw Data'!$H:$H,"Plastering",'Raw Data'!$J:$J,"20mm cement plaster")</f>
        <v>56212.393440000014</v>
      </c>
    </row>
    <row r="196" spans="1:8" ht="15" customHeight="1" x14ac:dyDescent="0.35">
      <c r="A196" s="18"/>
      <c r="B196" s="34" t="s">
        <v>269</v>
      </c>
      <c r="C196" s="18"/>
      <c r="D196" s="18"/>
      <c r="E196" s="18"/>
      <c r="F196" s="18"/>
      <c r="G196" s="18"/>
      <c r="H196" s="35">
        <f>SUM(H195:H195)</f>
        <v>56212.393440000014</v>
      </c>
    </row>
    <row r="197" spans="1:8" ht="15" customHeight="1" x14ac:dyDescent="0.35">
      <c r="A197" s="197" t="s">
        <v>270</v>
      </c>
      <c r="B197" s="197"/>
      <c r="C197" s="197"/>
      <c r="D197" s="197"/>
      <c r="E197" s="197"/>
      <c r="F197" s="197"/>
      <c r="G197" s="197"/>
      <c r="H197" s="197"/>
    </row>
    <row r="198" spans="1:8" ht="15" customHeight="1" x14ac:dyDescent="0.35">
      <c r="A198" s="29" t="s">
        <v>332</v>
      </c>
      <c r="B198" s="30" t="s">
        <v>272</v>
      </c>
      <c r="C198" s="29" t="s">
        <v>128</v>
      </c>
      <c r="D198" s="31">
        <f>SUMIFS('Raw Data'!$Q:$Q,'Raw Data'!$D:$D,"D.01",'Raw Data'!$H:$H,"Painting",'Raw Data'!$J:$J,"Painting")</f>
        <v>10715.981999999998</v>
      </c>
      <c r="E198" s="32">
        <f>IFERROR(INDEX('Price List'!$I$5:$I$74,MATCH("Painting|m2",'Price List'!$O$5:$O$74,0)),0)</f>
        <v>1.7999999999999998</v>
      </c>
      <c r="F198" s="32">
        <f>IFERROR(INDEX('Price List'!$L$5:$L$74,MATCH("Painting|m2",'Price List'!$O$5:$O$74,0)),0)</f>
        <v>2.8000000000000003</v>
      </c>
      <c r="G198" s="32">
        <f>E198+F198</f>
        <v>4.5999999999999996</v>
      </c>
      <c r="H198" s="33">
        <f>SUMIFS('Raw Data'!$Z:$Z,'Raw Data'!$D:$D,"D.01",'Raw Data'!$H:$H,"Painting",'Raw Data'!$J:$J,"Painting")</f>
        <v>49293.517199999987</v>
      </c>
    </row>
    <row r="199" spans="1:8" ht="15" customHeight="1" x14ac:dyDescent="0.35">
      <c r="A199" s="18"/>
      <c r="B199" s="34" t="s">
        <v>273</v>
      </c>
      <c r="C199" s="18"/>
      <c r="D199" s="18"/>
      <c r="E199" s="18"/>
      <c r="F199" s="18"/>
      <c r="G199" s="18"/>
      <c r="H199" s="35">
        <f>SUM(H198:H198)</f>
        <v>49293.517199999987</v>
      </c>
    </row>
    <row r="200" spans="1:8" ht="15" customHeight="1" x14ac:dyDescent="0.35">
      <c r="A200" s="197" t="s">
        <v>333</v>
      </c>
      <c r="B200" s="197"/>
      <c r="C200" s="197"/>
      <c r="D200" s="197"/>
      <c r="E200" s="197"/>
      <c r="F200" s="197"/>
      <c r="G200" s="197"/>
      <c r="H200" s="197"/>
    </row>
    <row r="201" spans="1:8" ht="15" customHeight="1" x14ac:dyDescent="0.35">
      <c r="A201" s="29" t="s">
        <v>334</v>
      </c>
      <c r="B201" s="30" t="s">
        <v>335</v>
      </c>
      <c r="C201" s="29" t="s">
        <v>128</v>
      </c>
      <c r="D201" s="31">
        <f>SUMIFS('Raw Data'!$Q:$Q,'Raw Data'!$D:$D,"D.01",'Raw Data'!$H:$H,"Toilet Wall tile",'Raw Data'!$J:$J,"tile size (300x600)mm")</f>
        <v>1106.3520000000001</v>
      </c>
      <c r="E201" s="32">
        <f>IFERROR(INDEX('Price List'!$I$5:$I$74,MATCH("tile size (300x600)mm|m2",'Price List'!$O$5:$O$74,0)),0)</f>
        <v>7.1999999999999993</v>
      </c>
      <c r="F201" s="32">
        <f>IFERROR(INDEX('Price List'!$L$5:$L$74,MATCH("tile size (300x600)mm|m2",'Price List'!$O$5:$O$74,0)),0)</f>
        <v>11.200000000000001</v>
      </c>
      <c r="G201" s="32">
        <f>E201+F201</f>
        <v>18.399999999999999</v>
      </c>
      <c r="H201" s="33">
        <f>SUMIFS('Raw Data'!$Z:$Z,'Raw Data'!$D:$D,"D.01",'Raw Data'!$H:$H,"Toilet Wall tile",'Raw Data'!$J:$J,"tile size (300x600)mm")</f>
        <v>20356.876799999998</v>
      </c>
    </row>
    <row r="202" spans="1:8" ht="15" customHeight="1" x14ac:dyDescent="0.35">
      <c r="A202" s="18"/>
      <c r="B202" s="34" t="s">
        <v>336</v>
      </c>
      <c r="C202" s="18"/>
      <c r="D202" s="18"/>
      <c r="E202" s="18"/>
      <c r="F202" s="18"/>
      <c r="G202" s="18"/>
      <c r="H202" s="35">
        <f>SUM(H201:H201)</f>
        <v>20356.876799999998</v>
      </c>
    </row>
    <row r="203" spans="1:8" ht="15" customHeight="1" x14ac:dyDescent="0.35">
      <c r="A203" s="197" t="s">
        <v>337</v>
      </c>
      <c r="B203" s="197"/>
      <c r="C203" s="197"/>
      <c r="D203" s="197"/>
      <c r="E203" s="197"/>
      <c r="F203" s="197"/>
      <c r="G203" s="197"/>
      <c r="H203" s="197"/>
    </row>
    <row r="204" spans="1:8" ht="15" customHeight="1" x14ac:dyDescent="0.35">
      <c r="A204" s="29" t="s">
        <v>338</v>
      </c>
      <c r="B204" s="30" t="s">
        <v>339</v>
      </c>
      <c r="C204" s="29" t="s">
        <v>128</v>
      </c>
      <c r="D204" s="31">
        <f>SUMIFS('Raw Data'!$Q:$Q,'Raw Data'!$D:$D,"D.01",'Raw Data'!$H:$H,"Wall tiling",'Raw Data'!$J:$J,"Wall tile Size 0.6x0.6m,Height 1.2m, at cooridor")</f>
        <v>673.19999999999993</v>
      </c>
      <c r="E204" s="32">
        <f>IFERROR(INDEX('Price List'!$I$5:$I$74,MATCH("Wall tile Size 0.6x0.6m,Height 1.2m, at cooridor|m2",'Price List'!$O$5:$O$74,0)),0)</f>
        <v>7.1999999999999993</v>
      </c>
      <c r="F204" s="32">
        <f>IFERROR(INDEX('Price List'!$L$5:$L$74,MATCH("Wall tile Size 0.6x0.6m,Height 1.2m, at cooridor|m2",'Price List'!$O$5:$O$74,0)),0)</f>
        <v>13.440000000000001</v>
      </c>
      <c r="G204" s="32">
        <f>E204+F204</f>
        <v>20.64</v>
      </c>
      <c r="H204" s="33">
        <f>SUMIFS('Raw Data'!$Z:$Z,'Raw Data'!$D:$D,"D.01",'Raw Data'!$H:$H,"Wall tiling",'Raw Data'!$J:$J,"Wall tile Size 0.6x0.6m,Height 1.2m, at cooridor")</f>
        <v>13894.848</v>
      </c>
    </row>
    <row r="205" spans="1:8" ht="15" customHeight="1" x14ac:dyDescent="0.35">
      <c r="A205" s="18"/>
      <c r="B205" s="34" t="s">
        <v>340</v>
      </c>
      <c r="C205" s="18"/>
      <c r="D205" s="18"/>
      <c r="E205" s="18"/>
      <c r="F205" s="18"/>
      <c r="G205" s="18"/>
      <c r="H205" s="35">
        <f>SUM(H204:H204)</f>
        <v>13894.848</v>
      </c>
    </row>
    <row r="206" spans="1:8" ht="15" customHeight="1" x14ac:dyDescent="0.35">
      <c r="A206" s="36"/>
      <c r="B206" s="37" t="s">
        <v>341</v>
      </c>
      <c r="C206" s="36"/>
      <c r="D206" s="36"/>
      <c r="E206" s="36"/>
      <c r="F206" s="36"/>
      <c r="G206" s="36"/>
      <c r="H206" s="38">
        <f>SUMIFS('Raw Data'!$Z:$Z,'Raw Data'!$D:$D,"D.01")</f>
        <v>139757.6354400001</v>
      </c>
    </row>
    <row r="208" spans="1:8" ht="15" customHeight="1" x14ac:dyDescent="0.35">
      <c r="A208" s="192" t="s">
        <v>342</v>
      </c>
      <c r="B208" s="192"/>
      <c r="C208" s="192"/>
      <c r="D208" s="192"/>
      <c r="E208" s="192"/>
      <c r="F208" s="192"/>
      <c r="G208" s="192"/>
      <c r="H208" s="192"/>
    </row>
    <row r="209" spans="1:8" ht="15" customHeight="1" x14ac:dyDescent="0.35">
      <c r="A209" s="197" t="s">
        <v>343</v>
      </c>
      <c r="B209" s="197"/>
      <c r="C209" s="197"/>
      <c r="D209" s="197"/>
      <c r="E209" s="197"/>
      <c r="F209" s="197"/>
      <c r="G209" s="197"/>
      <c r="H209" s="197"/>
    </row>
    <row r="210" spans="1:8" ht="15" customHeight="1" x14ac:dyDescent="0.35">
      <c r="A210" s="29" t="s">
        <v>344</v>
      </c>
      <c r="B210" s="30" t="s">
        <v>345</v>
      </c>
      <c r="C210" s="29" t="s">
        <v>128</v>
      </c>
      <c r="D210" s="31">
        <f>SUMIFS('Raw Data'!$Q:$Q,'Raw Data'!$D:$D,"D.02",'Raw Data'!$H:$H,"Toilet Floor tile",'Raw Data'!$J:$J,"tile size (300x300)mm")</f>
        <v>204</v>
      </c>
      <c r="E210" s="32">
        <f>IFERROR(INDEX('Price List'!$I$5:$I$74,MATCH("tile size (300x300)mm|m2",'Price List'!$O$5:$O$74,0)),0)</f>
        <v>6</v>
      </c>
      <c r="F210" s="32">
        <f>IFERROR(INDEX('Price List'!$L$5:$L$74,MATCH("tile size (300x300)mm|m2",'Price List'!$O$5:$O$74,0)),0)</f>
        <v>8.9600000000000009</v>
      </c>
      <c r="G210" s="32">
        <f>E210+F210</f>
        <v>14.96</v>
      </c>
      <c r="H210" s="33">
        <f>SUMIFS('Raw Data'!$Z:$Z,'Raw Data'!$D:$D,"D.02",'Raw Data'!$H:$H,"Toilet Floor tile",'Raw Data'!$J:$J,"tile size (300x300)mm")</f>
        <v>3051.8400000000006</v>
      </c>
    </row>
    <row r="211" spans="1:8" ht="15" customHeight="1" x14ac:dyDescent="0.35">
      <c r="A211" s="18"/>
      <c r="B211" s="34" t="s">
        <v>346</v>
      </c>
      <c r="C211" s="18"/>
      <c r="D211" s="18"/>
      <c r="E211" s="18"/>
      <c r="F211" s="18"/>
      <c r="G211" s="18"/>
      <c r="H211" s="35">
        <f>SUM(H210:H210)</f>
        <v>3051.8400000000006</v>
      </c>
    </row>
    <row r="212" spans="1:8" ht="15" customHeight="1" x14ac:dyDescent="0.35">
      <c r="A212" s="197" t="s">
        <v>347</v>
      </c>
      <c r="B212" s="197"/>
      <c r="C212" s="197"/>
      <c r="D212" s="197"/>
      <c r="E212" s="197"/>
      <c r="F212" s="197"/>
      <c r="G212" s="197"/>
      <c r="H212" s="197"/>
    </row>
    <row r="213" spans="1:8" ht="15" customHeight="1" x14ac:dyDescent="0.35">
      <c r="A213" s="29" t="s">
        <v>348</v>
      </c>
      <c r="B213" s="30" t="s">
        <v>349</v>
      </c>
      <c r="C213" s="29" t="s">
        <v>128</v>
      </c>
      <c r="D213" s="31">
        <f>SUMIFS('Raw Data'!$Q:$Q,'Raw Data'!$D:$D,"D.02",'Raw Data'!$H:$H,"anti termite",'Raw Data'!$J:$J,"anti termite")</f>
        <v>620</v>
      </c>
      <c r="E213" s="32">
        <f>IFERROR(INDEX('Price List'!$I$5:$I$74,MATCH("anti termite|m2",'Price List'!$O$5:$O$74,0)),0)</f>
        <v>1.2</v>
      </c>
      <c r="F213" s="32">
        <f>IFERROR(INDEX('Price List'!$L$5:$L$74,MATCH("anti termite|m2",'Price List'!$O$5:$O$74,0)),0)</f>
        <v>2.8000000000000003</v>
      </c>
      <c r="G213" s="32">
        <f>E213+F213</f>
        <v>4</v>
      </c>
      <c r="H213" s="33">
        <f>SUMIFS('Raw Data'!$Z:$Z,'Raw Data'!$D:$D,"D.02",'Raw Data'!$H:$H,"anti termite",'Raw Data'!$J:$J,"anti termite")</f>
        <v>2480</v>
      </c>
    </row>
    <row r="214" spans="1:8" ht="15" customHeight="1" x14ac:dyDescent="0.35">
      <c r="A214" s="18"/>
      <c r="B214" s="34" t="s">
        <v>350</v>
      </c>
      <c r="C214" s="18"/>
      <c r="D214" s="18"/>
      <c r="E214" s="18"/>
      <c r="F214" s="18"/>
      <c r="G214" s="18"/>
      <c r="H214" s="35">
        <f>SUM(H213:H213)</f>
        <v>2480</v>
      </c>
    </row>
    <row r="215" spans="1:8" ht="15" customHeight="1" x14ac:dyDescent="0.35">
      <c r="A215" s="197" t="s">
        <v>351</v>
      </c>
      <c r="B215" s="197"/>
      <c r="C215" s="197"/>
      <c r="D215" s="197"/>
      <c r="E215" s="197"/>
      <c r="F215" s="197"/>
      <c r="G215" s="197"/>
      <c r="H215" s="197"/>
    </row>
    <row r="216" spans="1:8" ht="15" customHeight="1" x14ac:dyDescent="0.35">
      <c r="A216" s="29" t="s">
        <v>352</v>
      </c>
      <c r="B216" s="30" t="s">
        <v>353</v>
      </c>
      <c r="C216" s="29" t="s">
        <v>128</v>
      </c>
      <c r="D216" s="31">
        <f>SUMIFS('Raw Data'!$Q:$Q,'Raw Data'!$D:$D,"D.02",'Raw Data'!$H:$H,"Waterproofing",'Raw Data'!$J:$J,"Sika Waterproofing")</f>
        <v>270</v>
      </c>
      <c r="E216" s="32">
        <f>IFERROR(INDEX('Price List'!$I$5:$I$74,MATCH("Sika Waterproofing|m2",'Price List'!$O$5:$O$74,0)),0)</f>
        <v>2.4</v>
      </c>
      <c r="F216" s="32">
        <f>IFERROR(INDEX('Price List'!$L$5:$L$74,MATCH("Sika Waterproofing|m2",'Price List'!$O$5:$O$74,0)),0)</f>
        <v>6.7200000000000006</v>
      </c>
      <c r="G216" s="32">
        <f>E216+F216</f>
        <v>9.120000000000001</v>
      </c>
      <c r="H216" s="33">
        <f>SUMIFS('Raw Data'!$Z:$Z,'Raw Data'!$D:$D,"D.02",'Raw Data'!$H:$H,"Waterproofing",'Raw Data'!$J:$J,"Sika Waterproofing")</f>
        <v>2462.4</v>
      </c>
    </row>
    <row r="217" spans="1:8" ht="15" customHeight="1" x14ac:dyDescent="0.35">
      <c r="A217" s="18"/>
      <c r="B217" s="34" t="s">
        <v>354</v>
      </c>
      <c r="C217" s="18"/>
      <c r="D217" s="18"/>
      <c r="E217" s="18"/>
      <c r="F217" s="18"/>
      <c r="G217" s="18"/>
      <c r="H217" s="35">
        <f>SUM(H216:H216)</f>
        <v>2462.4</v>
      </c>
    </row>
    <row r="218" spans="1:8" ht="15" customHeight="1" x14ac:dyDescent="0.35">
      <c r="A218" s="197" t="s">
        <v>355</v>
      </c>
      <c r="B218" s="197"/>
      <c r="C218" s="197"/>
      <c r="D218" s="197"/>
      <c r="E218" s="197"/>
      <c r="F218" s="197"/>
      <c r="G218" s="197"/>
      <c r="H218" s="197"/>
    </row>
    <row r="219" spans="1:8" ht="15" customHeight="1" x14ac:dyDescent="0.35">
      <c r="A219" s="29" t="s">
        <v>356</v>
      </c>
      <c r="B219" s="30" t="s">
        <v>357</v>
      </c>
      <c r="C219" s="29" t="s">
        <v>128</v>
      </c>
      <c r="D219" s="31">
        <f>SUMIFS('Raw Data'!$Q:$Q,'Raw Data'!$D:$D,"D.02",'Raw Data'!$H:$H,"Marble on staircase",'Raw Data'!$J:$J,"Marble on staircase")</f>
        <v>501</v>
      </c>
      <c r="E219" s="32">
        <f>IFERROR(INDEX('Price List'!$I$5:$I$74,MATCH("Marble on staircase|m2",'Price List'!$O$5:$O$74,0)),0)</f>
        <v>9.6</v>
      </c>
      <c r="F219" s="32">
        <f>IFERROR(INDEX('Price List'!$L$5:$L$74,MATCH("Marble on staircase|m2",'Price List'!$O$5:$O$74,0)),0)</f>
        <v>61.600000000000009</v>
      </c>
      <c r="G219" s="32">
        <f>E219+F219</f>
        <v>71.2</v>
      </c>
      <c r="H219" s="33">
        <f>SUMIFS('Raw Data'!$Z:$Z,'Raw Data'!$D:$D,"D.02",'Raw Data'!$H:$H,"Marble on staircase",'Raw Data'!$J:$J,"Marble on staircase")</f>
        <v>35671.199999999997</v>
      </c>
    </row>
    <row r="220" spans="1:8" ht="15" customHeight="1" x14ac:dyDescent="0.35">
      <c r="A220" s="18"/>
      <c r="B220" s="34" t="s">
        <v>358</v>
      </c>
      <c r="C220" s="18"/>
      <c r="D220" s="18"/>
      <c r="E220" s="18"/>
      <c r="F220" s="18"/>
      <c r="G220" s="18"/>
      <c r="H220" s="35">
        <f>SUM(H219:H219)</f>
        <v>35671.199999999997</v>
      </c>
    </row>
    <row r="221" spans="1:8" ht="15" customHeight="1" x14ac:dyDescent="0.35">
      <c r="A221" s="36"/>
      <c r="B221" s="37" t="s">
        <v>359</v>
      </c>
      <c r="C221" s="36"/>
      <c r="D221" s="36"/>
      <c r="E221" s="36"/>
      <c r="F221" s="36"/>
      <c r="G221" s="36"/>
      <c r="H221" s="38">
        <f>SUMIFS('Raw Data'!$Z:$Z,'Raw Data'!$D:$D,"D.02")</f>
        <v>43665.439999999995</v>
      </c>
    </row>
    <row r="223" spans="1:8" ht="15" customHeight="1" x14ac:dyDescent="0.35">
      <c r="A223" s="192" t="s">
        <v>360</v>
      </c>
      <c r="B223" s="192"/>
      <c r="C223" s="192"/>
      <c r="D223" s="192"/>
      <c r="E223" s="192"/>
      <c r="F223" s="192"/>
      <c r="G223" s="192"/>
      <c r="H223" s="192"/>
    </row>
    <row r="224" spans="1:8" ht="15" customHeight="1" x14ac:dyDescent="0.35">
      <c r="A224" s="197" t="s">
        <v>361</v>
      </c>
      <c r="B224" s="197"/>
      <c r="C224" s="197"/>
      <c r="D224" s="197"/>
      <c r="E224" s="197"/>
      <c r="F224" s="197"/>
      <c r="G224" s="197"/>
      <c r="H224" s="197"/>
    </row>
    <row r="225" spans="1:8" ht="15" customHeight="1" x14ac:dyDescent="0.35">
      <c r="A225" s="29" t="s">
        <v>362</v>
      </c>
      <c r="B225" s="30" t="s">
        <v>363</v>
      </c>
      <c r="C225" s="29" t="s">
        <v>128</v>
      </c>
      <c r="D225" s="31">
        <f>SUMIFS('Raw Data'!$Q:$Q,'Raw Data'!$D:$D,"D.03",'Raw Data'!$H:$H,"Suspended ceiling",'Raw Data'!$J:$J,"10mm Plasterboard with 600mm ceiling frame height")</f>
        <v>6300</v>
      </c>
      <c r="E225" s="32">
        <f>IFERROR(INDEX('Price List'!$I$5:$I$74,MATCH("10mm Plasterboard with 600mm ceiling frame height|m2",'Price List'!$O$5:$O$74,0)),0)</f>
        <v>3.5999999999999996</v>
      </c>
      <c r="F225" s="32">
        <f>IFERROR(INDEX('Price List'!$L$5:$L$74,MATCH("10mm Plasterboard with 600mm ceiling frame height|m2",'Price List'!$O$5:$O$74,0)),0)</f>
        <v>7.8400000000000007</v>
      </c>
      <c r="G225" s="32">
        <f>E225+F225</f>
        <v>11.440000000000001</v>
      </c>
      <c r="H225" s="33">
        <f>SUMIFS('Raw Data'!$Z:$Z,'Raw Data'!$D:$D,"D.03",'Raw Data'!$H:$H,"Suspended ceiling",'Raw Data'!$J:$J,"10mm Plasterboard with 600mm ceiling frame height")</f>
        <v>72072.000000000015</v>
      </c>
    </row>
    <row r="226" spans="1:8" ht="15" customHeight="1" x14ac:dyDescent="0.35">
      <c r="A226" s="18"/>
      <c r="B226" s="34" t="s">
        <v>364</v>
      </c>
      <c r="C226" s="18"/>
      <c r="D226" s="18"/>
      <c r="E226" s="18"/>
      <c r="F226" s="18"/>
      <c r="G226" s="18"/>
      <c r="H226" s="35">
        <f>SUM(H225:H225)</f>
        <v>72072.000000000015</v>
      </c>
    </row>
    <row r="227" spans="1:8" ht="15" customHeight="1" x14ac:dyDescent="0.35">
      <c r="A227" s="36"/>
      <c r="B227" s="37" t="s">
        <v>365</v>
      </c>
      <c r="C227" s="36"/>
      <c r="D227" s="36"/>
      <c r="E227" s="36"/>
      <c r="F227" s="36"/>
      <c r="G227" s="36"/>
      <c r="H227" s="38">
        <f>SUMIFS('Raw Data'!$Z:$Z,'Raw Data'!$D:$D,"D.03")</f>
        <v>72072.000000000015</v>
      </c>
    </row>
    <row r="229" spans="1:8" ht="15" customHeight="1" x14ac:dyDescent="0.35">
      <c r="A229" s="192" t="s">
        <v>366</v>
      </c>
      <c r="B229" s="192"/>
      <c r="C229" s="192"/>
      <c r="D229" s="192"/>
      <c r="E229" s="192"/>
      <c r="F229" s="192"/>
      <c r="G229" s="192"/>
      <c r="H229" s="192"/>
    </row>
    <row r="230" spans="1:8" ht="15" customHeight="1" x14ac:dyDescent="0.35">
      <c r="A230" s="197" t="s">
        <v>367</v>
      </c>
      <c r="B230" s="197"/>
      <c r="C230" s="197"/>
      <c r="D230" s="197"/>
      <c r="E230" s="197"/>
      <c r="F230" s="197"/>
      <c r="G230" s="197"/>
      <c r="H230" s="197"/>
    </row>
    <row r="231" spans="1:8" ht="15" customHeight="1" x14ac:dyDescent="0.35">
      <c r="A231" s="29" t="s">
        <v>368</v>
      </c>
      <c r="B231" s="30" t="s">
        <v>369</v>
      </c>
      <c r="C231" s="29" t="s">
        <v>128</v>
      </c>
      <c r="D231" s="31">
        <f>SUMIFS('Raw Data'!$Q:$Q,'Raw Data'!$D:$D,"E.04",'Raw Data'!$H:$H,"Signage",'Raw Data'!$J:$J,"External round logo include framing")</f>
        <v>20</v>
      </c>
      <c r="E231" s="32">
        <f>IFERROR(INDEX('Price List'!$I$5:$I$74,MATCH("External round logo include framing|m2",'Price List'!$O$5:$O$74,0)),0)</f>
        <v>0</v>
      </c>
      <c r="F231" s="32">
        <f>IFERROR(INDEX('Price List'!$L$5:$L$74,MATCH("External round logo include framing|m2",'Price List'!$O$5:$O$74,0)),0)</f>
        <v>165</v>
      </c>
      <c r="G231" s="32">
        <f>E231+F231</f>
        <v>165</v>
      </c>
      <c r="H231" s="33">
        <f>SUMIFS('Raw Data'!$Z:$Z,'Raw Data'!$D:$D,"E.04",'Raw Data'!$H:$H,"Signage",'Raw Data'!$J:$J,"External round logo include framing")</f>
        <v>3300</v>
      </c>
    </row>
    <row r="232" spans="1:8" ht="15" customHeight="1" x14ac:dyDescent="0.35">
      <c r="A232" s="29" t="s">
        <v>370</v>
      </c>
      <c r="B232" s="30" t="s">
        <v>371</v>
      </c>
      <c r="C232" s="29" t="s">
        <v>372</v>
      </c>
      <c r="D232" s="31">
        <f>SUMIFS('Raw Data'!$Q:$Q,'Raw Data'!$D:$D,"E.04",'Raw Data'!$H:$H,"Signage",'Raw Data'!$J:$J,"Khmer and chinesse text")</f>
        <v>1</v>
      </c>
      <c r="E232" s="32">
        <f>IFERROR(INDEX('Price List'!$I$5:$I$74,MATCH("Khmer and chinesse text|lot",'Price List'!$O$5:$O$74,0)),0)</f>
        <v>0</v>
      </c>
      <c r="F232" s="32">
        <f>IFERROR(INDEX('Price List'!$L$5:$L$74,MATCH("Khmer and chinesse text|lot",'Price List'!$O$5:$O$74,0)),0)</f>
        <v>3300.0000000000005</v>
      </c>
      <c r="G232" s="32">
        <f>E232+F232</f>
        <v>3300.0000000000005</v>
      </c>
      <c r="H232" s="33">
        <f>SUMIFS('Raw Data'!$Z:$Z,'Raw Data'!$D:$D,"E.04",'Raw Data'!$H:$H,"Signage",'Raw Data'!$J:$J,"Khmer and chinesse text")</f>
        <v>3300.0000000000005</v>
      </c>
    </row>
    <row r="233" spans="1:8" ht="15" customHeight="1" x14ac:dyDescent="0.35">
      <c r="A233" s="18"/>
      <c r="B233" s="34" t="s">
        <v>373</v>
      </c>
      <c r="C233" s="18"/>
      <c r="D233" s="18"/>
      <c r="E233" s="18"/>
      <c r="F233" s="18"/>
      <c r="G233" s="18"/>
      <c r="H233" s="35">
        <f>SUM(H231:H232)</f>
        <v>6600</v>
      </c>
    </row>
    <row r="234" spans="1:8" ht="15" customHeight="1" x14ac:dyDescent="0.35">
      <c r="A234" s="36"/>
      <c r="B234" s="37" t="s">
        <v>374</v>
      </c>
      <c r="C234" s="36"/>
      <c r="D234" s="36"/>
      <c r="E234" s="36"/>
      <c r="F234" s="36"/>
      <c r="G234" s="36"/>
      <c r="H234" s="38">
        <f>SUMIFS('Raw Data'!$Z:$Z,'Raw Data'!$D:$D,"E.04")</f>
        <v>6600</v>
      </c>
    </row>
    <row r="236" spans="1:8" ht="15" customHeight="1" x14ac:dyDescent="0.35">
      <c r="A236" s="13"/>
      <c r="B236" s="39" t="s">
        <v>375</v>
      </c>
      <c r="C236" s="13"/>
      <c r="D236" s="13"/>
      <c r="E236" s="13"/>
      <c r="F236" s="13"/>
      <c r="G236" s="13"/>
      <c r="H236" s="40">
        <f>H20+H54+H128+H140+H149+H162+H175+H191+H206+H221+H227+H234</f>
        <v>2029634.1206388969</v>
      </c>
    </row>
  </sheetData>
  <mergeCells count="43">
    <mergeCell ref="A6:H6"/>
    <mergeCell ref="A7:H7"/>
    <mergeCell ref="A22:H22"/>
    <mergeCell ref="A23:H23"/>
    <mergeCell ref="A41:H41"/>
    <mergeCell ref="A56:H56"/>
    <mergeCell ref="A57:H57"/>
    <mergeCell ref="A71:H71"/>
    <mergeCell ref="A81:H81"/>
    <mergeCell ref="A91:H91"/>
    <mergeCell ref="A101:H101"/>
    <mergeCell ref="A111:H111"/>
    <mergeCell ref="A119:H119"/>
    <mergeCell ref="A130:H130"/>
    <mergeCell ref="A131:H131"/>
    <mergeCell ref="A137:H137"/>
    <mergeCell ref="A142:H142"/>
    <mergeCell ref="A143:H143"/>
    <mergeCell ref="A146:H146"/>
    <mergeCell ref="A151:H151"/>
    <mergeCell ref="A152:H152"/>
    <mergeCell ref="A164:H164"/>
    <mergeCell ref="A165:H165"/>
    <mergeCell ref="A169:H169"/>
    <mergeCell ref="A172:H172"/>
    <mergeCell ref="A177:H177"/>
    <mergeCell ref="A178:H178"/>
    <mergeCell ref="A183:H183"/>
    <mergeCell ref="A188:H188"/>
    <mergeCell ref="A193:H193"/>
    <mergeCell ref="A194:H194"/>
    <mergeCell ref="A197:H197"/>
    <mergeCell ref="A200:H200"/>
    <mergeCell ref="A203:H203"/>
    <mergeCell ref="A208:H208"/>
    <mergeCell ref="A224:H224"/>
    <mergeCell ref="A229:H229"/>
    <mergeCell ref="A230:H230"/>
    <mergeCell ref="A209:H209"/>
    <mergeCell ref="A212:H212"/>
    <mergeCell ref="A215:H215"/>
    <mergeCell ref="A218:H218"/>
    <mergeCell ref="A223:H2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G45"/>
  <sheetViews>
    <sheetView showGridLines="0" topLeftCell="A14" zoomScaleNormal="100" workbookViewId="0">
      <selection activeCell="E25" sqref="E25"/>
    </sheetView>
  </sheetViews>
  <sheetFormatPr defaultColWidth="8.6328125" defaultRowHeight="14.5" x14ac:dyDescent="0.35"/>
  <cols>
    <col min="1" max="1" width="3" customWidth="1"/>
    <col min="2" max="2" width="9" customWidth="1"/>
    <col min="3" max="3" width="34" customWidth="1"/>
    <col min="4" max="5" width="17" customWidth="1"/>
    <col min="6" max="6" width="16" customWidth="1"/>
    <col min="7" max="7" width="10" customWidth="1"/>
    <col min="8" max="8" width="3" customWidth="1"/>
  </cols>
  <sheetData>
    <row r="1" spans="2:7" ht="25.5" customHeight="1" x14ac:dyDescent="0.35">
      <c r="B1" s="206" t="s">
        <v>376</v>
      </c>
      <c r="C1" s="206"/>
      <c r="D1" s="206"/>
      <c r="E1" s="206"/>
      <c r="F1" s="206"/>
      <c r="G1" s="206"/>
    </row>
    <row r="2" spans="2:7" ht="15" customHeight="1" x14ac:dyDescent="0.35">
      <c r="B2" s="207" t="s">
        <v>377</v>
      </c>
      <c r="C2" s="207"/>
      <c r="D2" s="207"/>
      <c r="E2" s="207"/>
      <c r="F2" s="207"/>
      <c r="G2" s="207"/>
    </row>
    <row r="3" spans="2:7" ht="15" customHeight="1" x14ac:dyDescent="0.35">
      <c r="B3" s="208" t="s">
        <v>378</v>
      </c>
      <c r="C3" s="208"/>
      <c r="D3" s="208"/>
      <c r="E3" s="208"/>
      <c r="F3" s="208"/>
      <c r="G3" s="208"/>
    </row>
    <row r="5" spans="2:7" ht="15" customHeight="1" x14ac:dyDescent="0.35">
      <c r="B5" s="192" t="s">
        <v>379</v>
      </c>
      <c r="C5" s="192"/>
      <c r="D5" s="192"/>
      <c r="E5" s="192"/>
      <c r="F5" s="192"/>
      <c r="G5" s="192"/>
    </row>
    <row r="6" spans="2:7" ht="23" x14ac:dyDescent="0.35">
      <c r="B6" s="4" t="s">
        <v>17</v>
      </c>
      <c r="C6" s="4" t="s">
        <v>380</v>
      </c>
      <c r="D6" s="4" t="s">
        <v>381</v>
      </c>
      <c r="E6" s="4" t="s">
        <v>382</v>
      </c>
      <c r="F6" s="4" t="s">
        <v>383</v>
      </c>
      <c r="G6" s="4" t="s">
        <v>384</v>
      </c>
    </row>
    <row r="7" spans="2:7" x14ac:dyDescent="0.35">
      <c r="B7" s="9" t="s">
        <v>25</v>
      </c>
      <c r="C7" s="1" t="s">
        <v>26</v>
      </c>
      <c r="D7" s="41">
        <f>SUMPRODUCT(('Raw Data'!$D$2:$D$832=$B7)*'Raw Data'!$Q$2:$Q$832*('Raw Data'!$T$2:$T$832+'Raw Data'!$W$2:$W$832))</f>
        <v>93232.082894509702</v>
      </c>
      <c r="E7" s="41">
        <f>SUMIF('Raw Data'!$D:$D,$B7,'Raw Data'!$Z:$Z)</f>
        <v>105084.37061826208</v>
      </c>
      <c r="F7" s="41">
        <f t="shared" ref="F7:F19" si="0">E7-D7</f>
        <v>11852.287723752379</v>
      </c>
      <c r="G7" s="42">
        <f t="shared" ref="G7:G19" si="1">IF(E7=0,0,F7/E7)</f>
        <v>0.112788301952228</v>
      </c>
    </row>
    <row r="8" spans="2:7" x14ac:dyDescent="0.35">
      <c r="B8" s="9" t="s">
        <v>28</v>
      </c>
      <c r="C8" s="1" t="s">
        <v>29</v>
      </c>
      <c r="D8" s="41">
        <f>SUMPRODUCT(('Raw Data'!$D$2:$D$832=$B8)*'Raw Data'!$Q$2:$Q$832*('Raw Data'!$T$2:$T$832+'Raw Data'!$W$2:$W$832))</f>
        <v>83049.54231199999</v>
      </c>
      <c r="E8" s="41">
        <f>SUMIF('Raw Data'!$D:$D,$B8,'Raw Data'!$Z:$Z)</f>
        <v>95210.47492665601</v>
      </c>
      <c r="F8" s="41">
        <f t="shared" si="0"/>
        <v>12160.93261465602</v>
      </c>
      <c r="G8" s="42">
        <f t="shared" si="1"/>
        <v>0.12772683493096759</v>
      </c>
    </row>
    <row r="9" spans="2:7" x14ac:dyDescent="0.35">
      <c r="B9" s="9" t="s">
        <v>30</v>
      </c>
      <c r="C9" s="1" t="s">
        <v>31</v>
      </c>
      <c r="D9" s="41">
        <f>SUMPRODUCT(('Raw Data'!$D$2:$D$832=$B9)*'Raw Data'!$Q$2:$Q$832*('Raw Data'!$T$2:$T$832+'Raw Data'!$W$2:$W$832))</f>
        <v>989807.64156128082</v>
      </c>
      <c r="E9" s="41">
        <f>SUMIF('Raw Data'!$D:$D,$B9,'Raw Data'!$Z:$Z)</f>
        <v>1124399.6639339789</v>
      </c>
      <c r="F9" s="41">
        <f t="shared" si="0"/>
        <v>134592.02237269806</v>
      </c>
      <c r="G9" s="42">
        <f t="shared" si="1"/>
        <v>0.11970122963377271</v>
      </c>
    </row>
    <row r="10" spans="2:7" x14ac:dyDescent="0.35">
      <c r="B10" s="9" t="s">
        <v>32</v>
      </c>
      <c r="C10" s="1" t="s">
        <v>33</v>
      </c>
      <c r="D10" s="41">
        <f>SUMPRODUCT(('Raw Data'!$D$2:$D$832=$B10)*'Raw Data'!$Q$2:$Q$832*('Raw Data'!$T$2:$T$832+'Raw Data'!$W$2:$W$832))</f>
        <v>90902.305500000031</v>
      </c>
      <c r="E10" s="41">
        <f>SUMIF('Raw Data'!$D:$D,$B10,'Raw Data'!$Z:$Z)</f>
        <v>103864.40923999999</v>
      </c>
      <c r="F10" s="41">
        <f t="shared" si="0"/>
        <v>12962.103739999962</v>
      </c>
      <c r="G10" s="42">
        <f t="shared" si="1"/>
        <v>0.1247983196057888</v>
      </c>
    </row>
    <row r="11" spans="2:7" x14ac:dyDescent="0.35">
      <c r="B11" s="9" t="s">
        <v>34</v>
      </c>
      <c r="C11" s="1" t="s">
        <v>35</v>
      </c>
      <c r="D11" s="41">
        <f>SUMPRODUCT(('Raw Data'!$D$2:$D$832=$B11)*'Raw Data'!$Q$2:$Q$832*('Raw Data'!$T$2:$T$832+'Raw Data'!$W$2:$W$832))</f>
        <v>84448.333000000013</v>
      </c>
      <c r="E11" s="41">
        <f>SUMIF('Raw Data'!$D:$D,$B11,'Raw Data'!$Z:$Z)</f>
        <v>97761.364319999993</v>
      </c>
      <c r="F11" s="41">
        <f t="shared" si="0"/>
        <v>13313.03131999998</v>
      </c>
      <c r="G11" s="42">
        <f t="shared" si="1"/>
        <v>0.13617886178861768</v>
      </c>
    </row>
    <row r="12" spans="2:7" x14ac:dyDescent="0.35">
      <c r="B12" s="9" t="s">
        <v>36</v>
      </c>
      <c r="C12" s="1" t="s">
        <v>37</v>
      </c>
      <c r="D12" s="41">
        <f>SUMPRODUCT(('Raw Data'!$D$2:$D$832=$B12)*'Raw Data'!$Q$2:$Q$832*('Raw Data'!$T$2:$T$832+'Raw Data'!$W$2:$W$832))</f>
        <v>85596.6</v>
      </c>
      <c r="E12" s="41">
        <f>SUMIF('Raw Data'!$D:$D,$B12,'Raw Data'!$Z:$Z)</f>
        <v>95868.191999999995</v>
      </c>
      <c r="F12" s="41">
        <f t="shared" si="0"/>
        <v>10271.59199999999</v>
      </c>
      <c r="G12" s="42">
        <f t="shared" si="1"/>
        <v>0.10714285714285704</v>
      </c>
    </row>
    <row r="13" spans="2:7" x14ac:dyDescent="0.35">
      <c r="B13" s="9" t="s">
        <v>38</v>
      </c>
      <c r="C13" s="1" t="s">
        <v>39</v>
      </c>
      <c r="D13" s="41">
        <f>SUMPRODUCT(('Raw Data'!$D$2:$D$832=$B13)*'Raw Data'!$Q$2:$Q$832*('Raw Data'!$T$2:$T$832+'Raw Data'!$W$2:$W$832))</f>
        <v>87764.899000000019</v>
      </c>
      <c r="E13" s="41">
        <f>SUMIF('Raw Data'!$D:$D,$B13,'Raw Data'!$Z:$Z)</f>
        <v>100365.77015999997</v>
      </c>
      <c r="F13" s="41">
        <f t="shared" si="0"/>
        <v>12600.871159999951</v>
      </c>
      <c r="G13" s="42">
        <f t="shared" si="1"/>
        <v>0.12554948903308405</v>
      </c>
    </row>
    <row r="14" spans="2:7" x14ac:dyDescent="0.35">
      <c r="B14" s="9" t="s">
        <v>40</v>
      </c>
      <c r="C14" s="1" t="s">
        <v>41</v>
      </c>
      <c r="D14" s="41">
        <f>SUMPRODUCT(('Raw Data'!$D$2:$D$832=$B14)*'Raw Data'!$Q$2:$Q$832*('Raw Data'!$T$2:$T$832+'Raw Data'!$W$2:$W$832))</f>
        <v>40165</v>
      </c>
      <c r="E14" s="41">
        <f>SUMIF('Raw Data'!$D:$D,$B14,'Raw Data'!$Z:$Z)</f>
        <v>44984.799999999996</v>
      </c>
      <c r="F14" s="41">
        <f t="shared" si="0"/>
        <v>4819.7999999999956</v>
      </c>
      <c r="G14" s="42">
        <f t="shared" si="1"/>
        <v>0.10714285714285705</v>
      </c>
    </row>
    <row r="15" spans="2:7" x14ac:dyDescent="0.35">
      <c r="B15" s="9" t="s">
        <v>42</v>
      </c>
      <c r="C15" s="1" t="s">
        <v>43</v>
      </c>
      <c r="D15" s="41">
        <f>SUMPRODUCT(('Raw Data'!$D$2:$D$832=$B15)*'Raw Data'!$Q$2:$Q$832*('Raw Data'!$T$2:$T$832+'Raw Data'!$W$2:$W$832))</f>
        <v>120957.16200000001</v>
      </c>
      <c r="E15" s="41">
        <f>SUMIF('Raw Data'!$D:$D,$B15,'Raw Data'!$Z:$Z)</f>
        <v>139757.6354400001</v>
      </c>
      <c r="F15" s="41">
        <f t="shared" si="0"/>
        <v>18800.473440000089</v>
      </c>
      <c r="G15" s="42">
        <f t="shared" si="1"/>
        <v>0.13452197714143063</v>
      </c>
    </row>
    <row r="16" spans="2:7" x14ac:dyDescent="0.35">
      <c r="B16" s="9" t="s">
        <v>44</v>
      </c>
      <c r="C16" s="1" t="s">
        <v>45</v>
      </c>
      <c r="D16" s="41">
        <f>SUMPRODUCT(('Raw Data'!$D$2:$D$832=$B16)*'Raw Data'!$Q$2:$Q$832*('Raw Data'!$T$2:$T$832+'Raw Data'!$W$2:$W$832))</f>
        <v>38545</v>
      </c>
      <c r="E16" s="41">
        <f>SUMIF('Raw Data'!$D:$D,$B16,'Raw Data'!$Z:$Z)</f>
        <v>43665.439999999995</v>
      </c>
      <c r="F16" s="41">
        <f t="shared" si="0"/>
        <v>5120.4399999999951</v>
      </c>
      <c r="G16" s="42">
        <f t="shared" si="1"/>
        <v>0.11726527890249121</v>
      </c>
    </row>
    <row r="17" spans="2:7" x14ac:dyDescent="0.35">
      <c r="B17" s="9" t="s">
        <v>46</v>
      </c>
      <c r="C17" s="1" t="s">
        <v>47</v>
      </c>
      <c r="D17" s="41">
        <f>SUMPRODUCT(('Raw Data'!$D$2:$D$832=$B17)*'Raw Data'!$Q$2:$Q$832*('Raw Data'!$T$2:$T$832+'Raw Data'!$W$2:$W$832))</f>
        <v>63000</v>
      </c>
      <c r="E17" s="41">
        <f>SUMIF('Raw Data'!$D:$D,$B17,'Raw Data'!$Z:$Z)</f>
        <v>72072.000000000015</v>
      </c>
      <c r="F17" s="41">
        <f t="shared" si="0"/>
        <v>9072.0000000000146</v>
      </c>
      <c r="G17" s="42">
        <f t="shared" si="1"/>
        <v>0.12587412587412605</v>
      </c>
    </row>
    <row r="18" spans="2:7" x14ac:dyDescent="0.35">
      <c r="B18" s="9" t="s">
        <v>48</v>
      </c>
      <c r="C18" s="1" t="s">
        <v>49</v>
      </c>
      <c r="D18" s="41">
        <f>SUMPRODUCT(('Raw Data'!$D$2:$D$832=$B18)*'Raw Data'!$Q$2:$Q$832*('Raw Data'!$T$2:$T$832+'Raw Data'!$W$2:$W$832))</f>
        <v>6000</v>
      </c>
      <c r="E18" s="41">
        <f>SUMIF('Raw Data'!$D:$D,$B18,'Raw Data'!$Z:$Z)</f>
        <v>6600</v>
      </c>
      <c r="F18" s="41">
        <f t="shared" si="0"/>
        <v>600</v>
      </c>
      <c r="G18" s="42">
        <f t="shared" si="1"/>
        <v>9.0909090909090912E-2</v>
      </c>
    </row>
    <row r="19" spans="2:7" x14ac:dyDescent="0.35">
      <c r="B19" s="36"/>
      <c r="C19" s="37" t="s">
        <v>385</v>
      </c>
      <c r="D19" s="43">
        <f>SUM(D7:D18)</f>
        <v>1783468.5662677907</v>
      </c>
      <c r="E19" s="43">
        <f>SUM(E7:E18)</f>
        <v>2029634.1206388969</v>
      </c>
      <c r="F19" s="43">
        <f t="shared" si="0"/>
        <v>246165.55437110621</v>
      </c>
      <c r="G19" s="44">
        <f t="shared" si="1"/>
        <v>0.12128567994985084</v>
      </c>
    </row>
    <row r="20" spans="2:7" x14ac:dyDescent="0.35">
      <c r="B20" s="9" t="s">
        <v>386</v>
      </c>
      <c r="C20" s="1" t="s">
        <v>387</v>
      </c>
      <c r="D20" s="41">
        <f>Preliminaries!$F$27</f>
        <v>403700</v>
      </c>
      <c r="E20" s="41">
        <f>Preliminaries!$F$27</f>
        <v>403700</v>
      </c>
      <c r="F20" s="41">
        <v>0</v>
      </c>
      <c r="G20" s="45">
        <v>0</v>
      </c>
    </row>
    <row r="22" spans="2:7" ht="15" customHeight="1" x14ac:dyDescent="0.35">
      <c r="B22" s="192" t="s">
        <v>388</v>
      </c>
      <c r="C22" s="192"/>
      <c r="D22" s="192"/>
      <c r="E22" s="192"/>
      <c r="F22" s="192"/>
      <c r="G22" s="192"/>
    </row>
    <row r="23" spans="2:7" ht="15" customHeight="1" x14ac:dyDescent="0.35">
      <c r="B23" s="204" t="s">
        <v>389</v>
      </c>
      <c r="C23" s="204"/>
      <c r="D23" s="204"/>
      <c r="E23" s="46">
        <f>Cover!$D$42</f>
        <v>3104934.3379352321</v>
      </c>
      <c r="F23" s="18"/>
      <c r="G23" s="18"/>
    </row>
    <row r="24" spans="2:7" ht="15" customHeight="1" x14ac:dyDescent="0.35">
      <c r="B24" s="199" t="s">
        <v>390</v>
      </c>
      <c r="C24" s="199"/>
      <c r="D24" s="199"/>
      <c r="E24" s="41">
        <f>-Cover!$D$41</f>
        <v>-282266.75799411203</v>
      </c>
      <c r="F24" s="15"/>
      <c r="G24" s="15"/>
    </row>
    <row r="25" spans="2:7" ht="15" customHeight="1" x14ac:dyDescent="0.35">
      <c r="B25" s="205" t="s">
        <v>391</v>
      </c>
      <c r="C25" s="205"/>
      <c r="D25" s="205"/>
      <c r="E25" s="47">
        <f>Cover!$D$40</f>
        <v>2822667.57994112</v>
      </c>
      <c r="F25" s="48"/>
      <c r="G25" s="48"/>
    </row>
    <row r="26" spans="2:7" ht="15" customHeight="1" x14ac:dyDescent="0.35">
      <c r="B26" s="203" t="s">
        <v>392</v>
      </c>
      <c r="C26" s="203"/>
      <c r="D26" s="203"/>
      <c r="E26" s="49"/>
      <c r="F26" s="15"/>
      <c r="G26" s="15"/>
    </row>
    <row r="27" spans="2:7" ht="15" customHeight="1" x14ac:dyDescent="0.35">
      <c r="B27" s="199" t="s">
        <v>393</v>
      </c>
      <c r="C27" s="199"/>
      <c r="D27" s="199"/>
      <c r="E27" s="41">
        <f>D19</f>
        <v>1783468.5662677907</v>
      </c>
      <c r="F27" s="15"/>
      <c r="G27" s="15"/>
    </row>
    <row r="28" spans="2:7" ht="15" customHeight="1" x14ac:dyDescent="0.35">
      <c r="B28" s="199" t="s">
        <v>394</v>
      </c>
      <c r="C28" s="199"/>
      <c r="D28" s="199"/>
      <c r="E28" s="41">
        <f>D20</f>
        <v>403700</v>
      </c>
      <c r="F28" s="15"/>
      <c r="G28" s="15"/>
    </row>
    <row r="29" spans="2:7" ht="15" customHeight="1" x14ac:dyDescent="0.35">
      <c r="B29" s="199" t="s">
        <v>395</v>
      </c>
      <c r="C29" s="199"/>
      <c r="D29" s="199"/>
      <c r="E29" s="41">
        <f>Cover!$D$37</f>
        <v>121666.70603194484</v>
      </c>
      <c r="F29" s="15"/>
      <c r="G29" s="15"/>
    </row>
    <row r="30" spans="2:7" ht="15" customHeight="1" x14ac:dyDescent="0.35">
      <c r="B30" s="202" t="s">
        <v>396</v>
      </c>
      <c r="C30" s="202"/>
      <c r="D30" s="202"/>
      <c r="E30" s="50">
        <f>E27+E28+E29</f>
        <v>2308835.2722997358</v>
      </c>
      <c r="F30" s="51"/>
      <c r="G30" s="51"/>
    </row>
    <row r="31" spans="2:7" ht="15" customHeight="1" x14ac:dyDescent="0.35">
      <c r="B31" s="203" t="s">
        <v>397</v>
      </c>
      <c r="C31" s="203"/>
      <c r="D31" s="203"/>
      <c r="E31" s="49"/>
      <c r="F31" s="15"/>
      <c r="G31" s="15"/>
    </row>
    <row r="32" spans="2:7" ht="15" customHeight="1" x14ac:dyDescent="0.35">
      <c r="B32" s="199" t="s">
        <v>398</v>
      </c>
      <c r="C32" s="199"/>
      <c r="D32" s="199"/>
      <c r="E32" s="41">
        <f>F19</f>
        <v>246165.55437110621</v>
      </c>
      <c r="F32" s="15"/>
      <c r="G32" s="15"/>
    </row>
    <row r="33" spans="2:7" ht="15" customHeight="1" x14ac:dyDescent="0.35">
      <c r="B33" s="199" t="s">
        <v>399</v>
      </c>
      <c r="C33" s="199"/>
      <c r="D33" s="199"/>
      <c r="E33" s="41">
        <f>Cover!$D$39</f>
        <v>194666.72965111173</v>
      </c>
      <c r="F33" s="15"/>
      <c r="G33" s="15"/>
    </row>
    <row r="34" spans="2:7" ht="15" customHeight="1" x14ac:dyDescent="0.35">
      <c r="B34" s="199" t="s">
        <v>400</v>
      </c>
      <c r="C34" s="199"/>
      <c r="D34" s="199"/>
      <c r="E34" s="41">
        <f>Cover!$D$38</f>
        <v>73000.023619166896</v>
      </c>
      <c r="F34" s="15"/>
      <c r="G34" s="15"/>
    </row>
    <row r="35" spans="2:7" ht="15" customHeight="1" x14ac:dyDescent="0.35">
      <c r="B35" s="200" t="s">
        <v>401</v>
      </c>
      <c r="C35" s="200"/>
      <c r="D35" s="200"/>
      <c r="E35" s="52">
        <f>E25-E30</f>
        <v>513832.30764138419</v>
      </c>
      <c r="F35" s="53">
        <f>E35/E25</f>
        <v>0.18203783941575671</v>
      </c>
      <c r="G35" s="54"/>
    </row>
    <row r="36" spans="2:7" ht="15" customHeight="1" x14ac:dyDescent="0.35">
      <c r="B36" s="200" t="s">
        <v>402</v>
      </c>
      <c r="C36" s="200"/>
      <c r="D36" s="200"/>
      <c r="E36" s="52">
        <f>E35-E34</f>
        <v>440832.28402221727</v>
      </c>
      <c r="F36" s="53">
        <f>E36/E25</f>
        <v>0.15617577045023945</v>
      </c>
      <c r="G36" s="54"/>
    </row>
    <row r="38" spans="2:7" x14ac:dyDescent="0.35">
      <c r="B38" s="201" t="s">
        <v>403</v>
      </c>
      <c r="C38" s="201"/>
      <c r="D38" s="201"/>
      <c r="E38" s="201"/>
      <c r="F38" s="55">
        <f>E25-E30-E32-E33-E34</f>
        <v>-6.4028427004814148E-10</v>
      </c>
    </row>
    <row r="40" spans="2:7" ht="15" customHeight="1" x14ac:dyDescent="0.35">
      <c r="B40" s="192" t="s">
        <v>404</v>
      </c>
      <c r="C40" s="192"/>
      <c r="D40" s="192"/>
      <c r="E40" s="192"/>
      <c r="F40" s="192"/>
      <c r="G40" s="192"/>
    </row>
    <row r="41" spans="2:7" ht="21.75" customHeight="1" x14ac:dyDescent="0.35">
      <c r="B41" s="198" t="s">
        <v>405</v>
      </c>
      <c r="C41" s="198"/>
      <c r="D41" s="198"/>
      <c r="E41" s="198"/>
      <c r="F41" s="198"/>
      <c r="G41" s="198"/>
    </row>
    <row r="42" spans="2:7" ht="21.75" customHeight="1" x14ac:dyDescent="0.35">
      <c r="B42" s="198" t="s">
        <v>406</v>
      </c>
      <c r="C42" s="198"/>
      <c r="D42" s="198"/>
      <c r="E42" s="198"/>
      <c r="F42" s="198"/>
      <c r="G42" s="198"/>
    </row>
    <row r="43" spans="2:7" ht="21.75" customHeight="1" x14ac:dyDescent="0.35">
      <c r="B43" s="198" t="s">
        <v>407</v>
      </c>
      <c r="C43" s="198"/>
      <c r="D43" s="198"/>
      <c r="E43" s="198"/>
      <c r="F43" s="198"/>
      <c r="G43" s="198"/>
    </row>
    <row r="44" spans="2:7" ht="21.75" customHeight="1" x14ac:dyDescent="0.35">
      <c r="B44" s="198" t="s">
        <v>408</v>
      </c>
      <c r="C44" s="198"/>
      <c r="D44" s="198"/>
      <c r="E44" s="198"/>
      <c r="F44" s="198"/>
      <c r="G44" s="198"/>
    </row>
    <row r="45" spans="2:7" ht="21.75" customHeight="1" x14ac:dyDescent="0.35">
      <c r="B45" s="198" t="s">
        <v>409</v>
      </c>
      <c r="C45" s="198"/>
      <c r="D45" s="198"/>
      <c r="E45" s="198"/>
      <c r="F45" s="198"/>
      <c r="G45" s="198"/>
    </row>
  </sheetData>
  <mergeCells count="26">
    <mergeCell ref="B1:G1"/>
    <mergeCell ref="B2:G2"/>
    <mergeCell ref="B3:G3"/>
    <mergeCell ref="B5:G5"/>
    <mergeCell ref="B22:G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E38"/>
    <mergeCell ref="B45:G45"/>
    <mergeCell ref="B40:G40"/>
    <mergeCell ref="B41:G41"/>
    <mergeCell ref="B42:G42"/>
    <mergeCell ref="B43:G43"/>
    <mergeCell ref="B44:G44"/>
  </mergeCells>
  <pageMargins left="0.4" right="0.4" top="0.4" bottom="0.4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>
      <selection activeCell="B36" sqref="B36"/>
    </sheetView>
  </sheetViews>
  <sheetFormatPr defaultColWidth="9.1796875" defaultRowHeight="12.5" x14ac:dyDescent="0.25"/>
  <cols>
    <col min="1" max="1" width="15.81640625" style="56" customWidth="1"/>
    <col min="2" max="2" width="18.1796875" style="56" customWidth="1"/>
    <col min="3" max="3" width="21.81640625" style="56" customWidth="1"/>
    <col min="4" max="4" width="21.1796875" style="56" customWidth="1"/>
    <col min="5" max="16384" width="9.1796875" style="57"/>
  </cols>
  <sheetData>
    <row r="1" spans="1:4" s="58" customFormat="1" ht="22.5" customHeight="1" x14ac:dyDescent="0.35">
      <c r="A1" s="209" t="s">
        <v>410</v>
      </c>
      <c r="B1" s="209"/>
      <c r="C1" s="209"/>
      <c r="D1" s="209"/>
    </row>
    <row r="2" spans="1:4" ht="12.75" customHeight="1" x14ac:dyDescent="0.3">
      <c r="A2" s="59" t="s">
        <v>411</v>
      </c>
      <c r="B2" s="59" t="s">
        <v>412</v>
      </c>
      <c r="C2" s="59" t="s">
        <v>413</v>
      </c>
      <c r="D2" s="59" t="s">
        <v>410</v>
      </c>
    </row>
    <row r="3" spans="1:4" ht="12" customHeight="1" x14ac:dyDescent="0.25">
      <c r="A3" s="60" t="s">
        <v>414</v>
      </c>
      <c r="B3" s="61" t="s">
        <v>415</v>
      </c>
      <c r="C3" s="60" t="s">
        <v>416</v>
      </c>
      <c r="D3" s="60" t="str">
        <f t="shared" ref="D3:D11" si="0">CONCATENATE(A3,"-",B3,"-",C3)</f>
        <v>BA-01-U01</v>
      </c>
    </row>
    <row r="4" spans="1:4" ht="12" customHeight="1" x14ac:dyDescent="0.25">
      <c r="A4" s="60" t="s">
        <v>414</v>
      </c>
      <c r="B4" s="61" t="s">
        <v>417</v>
      </c>
      <c r="C4" s="60" t="s">
        <v>418</v>
      </c>
      <c r="D4" s="60" t="str">
        <f t="shared" si="0"/>
        <v>BA-02-B02</v>
      </c>
    </row>
    <row r="5" spans="1:4" ht="12" customHeight="1" x14ac:dyDescent="0.25">
      <c r="A5" s="60" t="s">
        <v>414</v>
      </c>
      <c r="B5" s="61" t="s">
        <v>419</v>
      </c>
      <c r="C5" s="60" t="s">
        <v>420</v>
      </c>
      <c r="D5" s="60" t="str">
        <f t="shared" si="0"/>
        <v>BA-03-B01</v>
      </c>
    </row>
    <row r="6" spans="1:4" ht="12" customHeight="1" x14ac:dyDescent="0.25">
      <c r="A6" s="60" t="s">
        <v>414</v>
      </c>
      <c r="B6" s="61" t="s">
        <v>421</v>
      </c>
      <c r="C6" s="60" t="s">
        <v>422</v>
      </c>
      <c r="D6" s="60" t="str">
        <f t="shared" si="0"/>
        <v>BA-04-L00</v>
      </c>
    </row>
    <row r="7" spans="1:4" ht="12" customHeight="1" x14ac:dyDescent="0.25">
      <c r="A7" s="60" t="s">
        <v>414</v>
      </c>
      <c r="B7" s="61" t="s">
        <v>423</v>
      </c>
      <c r="C7" s="60" t="s">
        <v>424</v>
      </c>
      <c r="D7" s="60" t="str">
        <f t="shared" si="0"/>
        <v>BA-05-L01</v>
      </c>
    </row>
    <row r="8" spans="1:4" ht="12" customHeight="1" x14ac:dyDescent="0.25">
      <c r="A8" s="60" t="s">
        <v>414</v>
      </c>
      <c r="B8" s="61" t="s">
        <v>425</v>
      </c>
      <c r="C8" s="60" t="s">
        <v>426</v>
      </c>
      <c r="D8" s="60" t="str">
        <f t="shared" si="0"/>
        <v>BA-06-L02</v>
      </c>
    </row>
    <row r="9" spans="1:4" ht="12" customHeight="1" x14ac:dyDescent="0.25">
      <c r="A9" s="60" t="s">
        <v>414</v>
      </c>
      <c r="B9" s="61" t="s">
        <v>427</v>
      </c>
      <c r="C9" s="60" t="s">
        <v>428</v>
      </c>
      <c r="D9" s="60" t="str">
        <f t="shared" si="0"/>
        <v>BA-07-L03</v>
      </c>
    </row>
    <row r="10" spans="1:4" ht="12" customHeight="1" x14ac:dyDescent="0.25">
      <c r="A10" s="60" t="s">
        <v>414</v>
      </c>
      <c r="B10" s="61" t="s">
        <v>429</v>
      </c>
      <c r="C10" s="60" t="s">
        <v>430</v>
      </c>
      <c r="D10" s="60" t="str">
        <f t="shared" si="0"/>
        <v>BA-08-L04</v>
      </c>
    </row>
    <row r="11" spans="1:4" ht="12" customHeight="1" x14ac:dyDescent="0.25">
      <c r="A11" s="60" t="s">
        <v>414</v>
      </c>
      <c r="B11" s="61" t="s">
        <v>431</v>
      </c>
      <c r="C11" s="60" t="s">
        <v>432</v>
      </c>
      <c r="D11" s="60" t="str">
        <f t="shared" si="0"/>
        <v>BA-09-L05</v>
      </c>
    </row>
  </sheetData>
  <mergeCells count="1">
    <mergeCell ref="A1:D1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zoomScaleNormal="100" workbookViewId="0">
      <selection activeCell="D41" sqref="D41"/>
    </sheetView>
  </sheetViews>
  <sheetFormatPr defaultColWidth="9.1796875" defaultRowHeight="12.5" x14ac:dyDescent="0.25"/>
  <cols>
    <col min="1" max="1" width="15.81640625" style="57" customWidth="1"/>
    <col min="2" max="2" width="9.1796875" style="57"/>
    <col min="3" max="4" width="16.26953125" style="57" customWidth="1"/>
    <col min="5" max="5" width="15.54296875" style="57" customWidth="1"/>
    <col min="6" max="6" width="20.1796875" style="57" customWidth="1"/>
    <col min="7" max="7" width="12.7265625" style="57" customWidth="1"/>
    <col min="8" max="8" width="12.26953125" style="57" customWidth="1"/>
    <col min="9" max="16384" width="9.1796875" style="57"/>
  </cols>
  <sheetData>
    <row r="1" spans="1:8" s="58" customFormat="1" ht="22.5" customHeight="1" x14ac:dyDescent="0.35">
      <c r="A1" s="209" t="s">
        <v>433</v>
      </c>
      <c r="B1" s="209"/>
      <c r="C1" s="209"/>
      <c r="D1" s="209"/>
      <c r="E1" s="209"/>
      <c r="F1" s="209"/>
      <c r="G1" s="209"/>
      <c r="H1" s="209"/>
    </row>
    <row r="2" spans="1:8" ht="14.25" customHeight="1" x14ac:dyDescent="0.3">
      <c r="A2" s="62" t="s">
        <v>434</v>
      </c>
      <c r="B2" s="62" t="s">
        <v>435</v>
      </c>
      <c r="C2" s="62" t="s">
        <v>436</v>
      </c>
      <c r="D2" s="62" t="s">
        <v>437</v>
      </c>
      <c r="E2" s="62" t="s">
        <v>411</v>
      </c>
      <c r="F2" s="62" t="s">
        <v>412</v>
      </c>
      <c r="G2" s="62" t="s">
        <v>438</v>
      </c>
      <c r="H2" s="62" t="s">
        <v>410</v>
      </c>
    </row>
    <row r="3" spans="1:8" ht="12" customHeight="1" x14ac:dyDescent="0.25">
      <c r="A3" s="63"/>
      <c r="B3" s="63"/>
      <c r="C3" s="63"/>
      <c r="D3" s="63"/>
      <c r="E3" s="63"/>
      <c r="F3" s="63"/>
      <c r="G3" s="63"/>
      <c r="H3" s="63"/>
    </row>
    <row r="4" spans="1:8" ht="12" customHeight="1" x14ac:dyDescent="0.25">
      <c r="A4" s="63"/>
      <c r="B4" s="63"/>
      <c r="C4" s="63"/>
      <c r="D4" s="63"/>
      <c r="E4" s="63"/>
      <c r="F4" s="63"/>
      <c r="G4" s="63"/>
      <c r="H4" s="63"/>
    </row>
    <row r="5" spans="1:8" ht="12" customHeight="1" x14ac:dyDescent="0.25">
      <c r="A5" s="63"/>
      <c r="B5" s="63"/>
      <c r="C5" s="63"/>
      <c r="D5" s="63"/>
      <c r="E5" s="63"/>
      <c r="F5" s="63"/>
      <c r="G5" s="63"/>
      <c r="H5" s="63"/>
    </row>
    <row r="6" spans="1:8" ht="12" customHeight="1" x14ac:dyDescent="0.25">
      <c r="A6" s="63"/>
      <c r="B6" s="63"/>
      <c r="C6" s="63"/>
      <c r="D6" s="63"/>
      <c r="E6" s="63"/>
      <c r="F6" s="63"/>
      <c r="G6" s="63"/>
      <c r="H6" s="63"/>
    </row>
    <row r="7" spans="1:8" ht="12" customHeight="1" x14ac:dyDescent="0.25">
      <c r="A7" s="63"/>
      <c r="B7" s="63"/>
      <c r="C7" s="63"/>
      <c r="D7" s="63"/>
      <c r="E7" s="63"/>
      <c r="F7" s="63"/>
      <c r="G7" s="63"/>
      <c r="H7" s="63"/>
    </row>
    <row r="8" spans="1:8" ht="12" customHeight="1" x14ac:dyDescent="0.25">
      <c r="A8" s="63"/>
      <c r="B8" s="63"/>
      <c r="C8" s="63"/>
      <c r="D8" s="63"/>
      <c r="E8" s="63"/>
      <c r="F8" s="63"/>
      <c r="G8" s="63"/>
      <c r="H8" s="63"/>
    </row>
    <row r="9" spans="1:8" ht="12" customHeight="1" x14ac:dyDescent="0.25">
      <c r="A9" s="63"/>
      <c r="B9" s="63"/>
      <c r="C9" s="63"/>
      <c r="D9" s="63"/>
      <c r="E9" s="63"/>
      <c r="F9" s="63"/>
      <c r="G9" s="63"/>
      <c r="H9" s="63"/>
    </row>
    <row r="10" spans="1:8" ht="12" customHeight="1" x14ac:dyDescent="0.25">
      <c r="A10" s="63"/>
      <c r="B10" s="63"/>
      <c r="C10" s="63"/>
      <c r="D10" s="63"/>
      <c r="E10" s="63"/>
      <c r="F10" s="63"/>
      <c r="G10" s="63"/>
      <c r="H10" s="63"/>
    </row>
    <row r="11" spans="1:8" ht="12" customHeight="1" x14ac:dyDescent="0.25">
      <c r="A11" s="63"/>
      <c r="B11" s="63"/>
      <c r="C11" s="63"/>
      <c r="D11" s="63"/>
      <c r="E11" s="63"/>
      <c r="F11" s="63"/>
      <c r="G11" s="63"/>
      <c r="H11" s="63"/>
    </row>
    <row r="12" spans="1:8" ht="12" customHeight="1" x14ac:dyDescent="0.25">
      <c r="A12" s="63"/>
      <c r="B12" s="63"/>
      <c r="C12" s="63"/>
      <c r="D12" s="63"/>
      <c r="E12" s="63"/>
      <c r="F12" s="63"/>
      <c r="G12" s="63"/>
      <c r="H12" s="63"/>
    </row>
    <row r="13" spans="1:8" ht="12" customHeight="1" x14ac:dyDescent="0.25">
      <c r="A13" s="63"/>
      <c r="B13" s="63"/>
      <c r="C13" s="63"/>
      <c r="D13" s="63"/>
      <c r="E13" s="63"/>
      <c r="F13" s="63"/>
      <c r="G13" s="63"/>
      <c r="H13" s="63"/>
    </row>
    <row r="14" spans="1:8" ht="12" customHeight="1" x14ac:dyDescent="0.25">
      <c r="A14" s="63"/>
      <c r="B14" s="63"/>
      <c r="C14" s="63"/>
      <c r="D14" s="63"/>
      <c r="E14" s="63"/>
      <c r="F14" s="63"/>
      <c r="G14" s="63"/>
      <c r="H14" s="63"/>
    </row>
    <row r="15" spans="1:8" ht="12" customHeight="1" x14ac:dyDescent="0.25">
      <c r="A15" s="63"/>
      <c r="B15" s="63"/>
      <c r="C15" s="63"/>
      <c r="D15" s="63"/>
      <c r="E15" s="63"/>
      <c r="F15" s="63"/>
      <c r="G15" s="63"/>
      <c r="H15" s="63"/>
    </row>
    <row r="16" spans="1:8" ht="12" customHeight="1" x14ac:dyDescent="0.25">
      <c r="A16" s="63"/>
      <c r="B16" s="63"/>
      <c r="C16" s="63"/>
      <c r="D16" s="63"/>
      <c r="E16" s="63"/>
      <c r="F16" s="63"/>
      <c r="G16" s="63"/>
      <c r="H16" s="63"/>
    </row>
    <row r="17" spans="1:8" ht="12" customHeight="1" x14ac:dyDescent="0.25">
      <c r="A17" s="63"/>
      <c r="B17" s="63"/>
      <c r="C17" s="63"/>
      <c r="D17" s="63"/>
      <c r="E17" s="63"/>
      <c r="F17" s="63"/>
      <c r="G17" s="63"/>
      <c r="H17" s="63"/>
    </row>
    <row r="18" spans="1:8" ht="12" customHeight="1" x14ac:dyDescent="0.25">
      <c r="A18" s="63"/>
      <c r="B18" s="63"/>
      <c r="C18" s="63"/>
      <c r="D18" s="63"/>
      <c r="E18" s="63"/>
      <c r="F18" s="63"/>
      <c r="G18" s="63"/>
      <c r="H18" s="63"/>
    </row>
    <row r="19" spans="1:8" ht="12" customHeight="1" x14ac:dyDescent="0.25">
      <c r="A19" s="63"/>
      <c r="B19" s="63"/>
      <c r="C19" s="63"/>
      <c r="D19" s="63"/>
      <c r="E19" s="63"/>
      <c r="F19" s="63"/>
      <c r="G19" s="63"/>
      <c r="H19" s="63"/>
    </row>
    <row r="20" spans="1:8" ht="12" customHeight="1" x14ac:dyDescent="0.25">
      <c r="A20" s="63"/>
      <c r="B20" s="63"/>
      <c r="C20" s="63"/>
      <c r="D20" s="63"/>
      <c r="E20" s="63"/>
      <c r="F20" s="63"/>
      <c r="G20" s="63"/>
      <c r="H20" s="63"/>
    </row>
    <row r="21" spans="1:8" ht="12" customHeight="1" x14ac:dyDescent="0.25">
      <c r="A21" s="63"/>
      <c r="B21" s="63"/>
      <c r="C21" s="63"/>
      <c r="D21" s="63"/>
      <c r="E21" s="63"/>
      <c r="F21" s="63"/>
      <c r="G21" s="63"/>
      <c r="H21" s="63"/>
    </row>
  </sheetData>
  <mergeCells count="1">
    <mergeCell ref="A1:H1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7"/>
  <sheetViews>
    <sheetView zoomScaleNormal="100" workbookViewId="0">
      <selection activeCell="D33" sqref="D33"/>
    </sheetView>
  </sheetViews>
  <sheetFormatPr defaultColWidth="8.7265625" defaultRowHeight="14.5" x14ac:dyDescent="0.35"/>
  <cols>
    <col min="1" max="1" width="17.453125" customWidth="1"/>
    <col min="2" max="2" width="14.81640625" customWidth="1"/>
    <col min="3" max="3" width="28.1796875" customWidth="1"/>
    <col min="4" max="4" width="68.54296875" customWidth="1"/>
  </cols>
  <sheetData>
    <row r="1" spans="1:5" ht="14.25" customHeight="1" x14ac:dyDescent="0.35">
      <c r="A1" s="210" t="s">
        <v>439</v>
      </c>
      <c r="B1" s="210"/>
      <c r="C1" s="210"/>
      <c r="D1" s="210"/>
      <c r="E1" s="210"/>
    </row>
    <row r="2" spans="1:5" ht="14.25" customHeight="1" x14ac:dyDescent="0.35">
      <c r="A2" s="64" t="s">
        <v>440</v>
      </c>
      <c r="B2" s="64" t="s">
        <v>441</v>
      </c>
      <c r="C2" s="64" t="s">
        <v>442</v>
      </c>
      <c r="D2" s="65" t="s">
        <v>443</v>
      </c>
      <c r="E2" s="64" t="s">
        <v>80</v>
      </c>
    </row>
    <row r="3" spans="1:5" ht="15" customHeight="1" x14ac:dyDescent="0.35">
      <c r="A3" s="66" t="s">
        <v>444</v>
      </c>
      <c r="B3" s="66" t="s">
        <v>445</v>
      </c>
      <c r="C3" s="66" t="s">
        <v>446</v>
      </c>
      <c r="D3" s="67" t="s">
        <v>447</v>
      </c>
      <c r="E3" s="68" t="s">
        <v>110</v>
      </c>
    </row>
    <row r="4" spans="1:5" ht="15" customHeight="1" x14ac:dyDescent="0.35">
      <c r="A4" s="66"/>
      <c r="B4" s="66"/>
      <c r="C4" s="66"/>
      <c r="D4" s="69" t="s">
        <v>448</v>
      </c>
      <c r="E4" s="68" t="s">
        <v>110</v>
      </c>
    </row>
    <row r="5" spans="1:5" ht="15" customHeight="1" x14ac:dyDescent="0.35">
      <c r="A5" s="66"/>
      <c r="B5" s="66"/>
      <c r="C5" s="66"/>
      <c r="D5" s="69" t="s">
        <v>449</v>
      </c>
      <c r="E5" s="68" t="s">
        <v>110</v>
      </c>
    </row>
    <row r="6" spans="1:5" ht="15" customHeight="1" x14ac:dyDescent="0.35">
      <c r="A6" s="66"/>
      <c r="B6" s="66"/>
      <c r="C6" s="70"/>
      <c r="D6" s="69" t="s">
        <v>450</v>
      </c>
      <c r="E6" s="68" t="s">
        <v>110</v>
      </c>
    </row>
    <row r="7" spans="1:5" ht="15" customHeight="1" x14ac:dyDescent="0.35">
      <c r="A7" s="66"/>
      <c r="B7" s="66"/>
      <c r="C7" s="66" t="s">
        <v>451</v>
      </c>
      <c r="D7" s="67" t="s">
        <v>452</v>
      </c>
      <c r="E7" s="68" t="s">
        <v>128</v>
      </c>
    </row>
    <row r="8" spans="1:5" ht="15" customHeight="1" x14ac:dyDescent="0.35">
      <c r="A8" s="66"/>
      <c r="B8" s="66"/>
      <c r="C8" s="66"/>
      <c r="D8" s="69" t="s">
        <v>453</v>
      </c>
      <c r="E8" s="68" t="s">
        <v>100</v>
      </c>
    </row>
    <row r="9" spans="1:5" ht="15" customHeight="1" x14ac:dyDescent="0.35">
      <c r="A9" s="66"/>
      <c r="B9" s="66"/>
      <c r="C9" s="66"/>
      <c r="D9" s="69" t="s">
        <v>454</v>
      </c>
      <c r="E9" s="68" t="s">
        <v>103</v>
      </c>
    </row>
    <row r="10" spans="1:5" ht="15" customHeight="1" x14ac:dyDescent="0.35">
      <c r="A10" s="66"/>
      <c r="B10" s="66"/>
      <c r="C10" s="66"/>
      <c r="D10" s="69" t="s">
        <v>455</v>
      </c>
      <c r="E10" s="68" t="s">
        <v>103</v>
      </c>
    </row>
    <row r="11" spans="1:5" ht="15" customHeight="1" x14ac:dyDescent="0.35">
      <c r="A11" s="66"/>
      <c r="B11" s="66"/>
      <c r="C11" s="66"/>
      <c r="D11" s="69" t="s">
        <v>456</v>
      </c>
      <c r="E11" s="68" t="s">
        <v>103</v>
      </c>
    </row>
    <row r="12" spans="1:5" ht="15" customHeight="1" x14ac:dyDescent="0.35">
      <c r="A12" s="66"/>
      <c r="B12" s="66"/>
      <c r="C12" s="66"/>
      <c r="D12" s="69" t="s">
        <v>457</v>
      </c>
      <c r="E12" s="68" t="s">
        <v>103</v>
      </c>
    </row>
    <row r="13" spans="1:5" ht="15" customHeight="1" x14ac:dyDescent="0.35">
      <c r="A13" s="66"/>
      <c r="B13" s="66"/>
      <c r="C13" s="66"/>
      <c r="D13" s="69" t="s">
        <v>458</v>
      </c>
      <c r="E13" s="68" t="s">
        <v>103</v>
      </c>
    </row>
    <row r="14" spans="1:5" ht="15" customHeight="1" x14ac:dyDescent="0.35">
      <c r="A14" s="66"/>
      <c r="B14" s="66"/>
      <c r="C14" s="66"/>
      <c r="D14" s="69" t="s">
        <v>459</v>
      </c>
      <c r="E14" s="68" t="s">
        <v>103</v>
      </c>
    </row>
    <row r="15" spans="1:5" ht="15" customHeight="1" x14ac:dyDescent="0.35">
      <c r="A15" s="66"/>
      <c r="B15" s="66"/>
      <c r="C15" s="66"/>
      <c r="D15" s="69" t="s">
        <v>460</v>
      </c>
      <c r="E15" s="68" t="s">
        <v>100</v>
      </c>
    </row>
    <row r="16" spans="1:5" ht="15" customHeight="1" x14ac:dyDescent="0.35">
      <c r="A16" s="66"/>
      <c r="B16" s="66"/>
      <c r="C16" s="66"/>
      <c r="D16" s="69" t="s">
        <v>461</v>
      </c>
      <c r="E16" s="68" t="s">
        <v>100</v>
      </c>
    </row>
    <row r="17" spans="1:5" ht="15" customHeight="1" x14ac:dyDescent="0.35">
      <c r="A17" s="66"/>
      <c r="B17" s="66"/>
      <c r="C17" s="70"/>
      <c r="D17" s="69" t="s">
        <v>462</v>
      </c>
      <c r="E17" s="68" t="s">
        <v>128</v>
      </c>
    </row>
    <row r="18" spans="1:5" ht="15" customHeight="1" x14ac:dyDescent="0.35">
      <c r="A18" s="66"/>
      <c r="B18" s="66"/>
      <c r="C18" s="66" t="s">
        <v>463</v>
      </c>
      <c r="D18" s="67" t="s">
        <v>464</v>
      </c>
      <c r="E18" s="68" t="s">
        <v>103</v>
      </c>
    </row>
    <row r="19" spans="1:5" ht="15" customHeight="1" x14ac:dyDescent="0.35">
      <c r="A19" s="66"/>
      <c r="B19" s="70"/>
      <c r="C19" s="70"/>
      <c r="D19" s="69" t="s">
        <v>465</v>
      </c>
      <c r="E19" s="68" t="s">
        <v>110</v>
      </c>
    </row>
    <row r="20" spans="1:5" ht="15" customHeight="1" x14ac:dyDescent="0.35">
      <c r="A20" s="66"/>
      <c r="B20" s="66" t="s">
        <v>466</v>
      </c>
      <c r="C20" s="66" t="s">
        <v>467</v>
      </c>
      <c r="D20" s="67" t="s">
        <v>468</v>
      </c>
      <c r="E20" s="68" t="s">
        <v>100</v>
      </c>
    </row>
    <row r="21" spans="1:5" ht="15" customHeight="1" x14ac:dyDescent="0.35">
      <c r="A21" s="66"/>
      <c r="B21" s="66"/>
      <c r="C21" s="66"/>
      <c r="D21" s="69" t="s">
        <v>454</v>
      </c>
      <c r="E21" s="68" t="s">
        <v>103</v>
      </c>
    </row>
    <row r="22" spans="1:5" ht="15" customHeight="1" x14ac:dyDescent="0.35">
      <c r="A22" s="66"/>
      <c r="B22" s="66"/>
      <c r="C22" s="66"/>
      <c r="D22" s="69" t="s">
        <v>461</v>
      </c>
      <c r="E22" s="68" t="s">
        <v>100</v>
      </c>
    </row>
    <row r="23" spans="1:5" ht="15" customHeight="1" x14ac:dyDescent="0.35">
      <c r="A23" s="66"/>
      <c r="B23" s="66"/>
      <c r="C23" s="70"/>
      <c r="D23" s="69" t="s">
        <v>462</v>
      </c>
      <c r="E23" s="68" t="s">
        <v>128</v>
      </c>
    </row>
    <row r="24" spans="1:5" ht="15" customHeight="1" x14ac:dyDescent="0.35">
      <c r="A24" s="66"/>
      <c r="B24" s="66"/>
      <c r="C24" s="66" t="s">
        <v>469</v>
      </c>
      <c r="D24" s="67" t="s">
        <v>453</v>
      </c>
      <c r="E24" s="68" t="s">
        <v>100</v>
      </c>
    </row>
    <row r="25" spans="1:5" ht="15" customHeight="1" x14ac:dyDescent="0.35">
      <c r="A25" s="66"/>
      <c r="B25" s="66"/>
      <c r="C25" s="66"/>
      <c r="D25" s="69" t="s">
        <v>454</v>
      </c>
      <c r="E25" s="68" t="s">
        <v>103</v>
      </c>
    </row>
    <row r="26" spans="1:5" ht="15" customHeight="1" x14ac:dyDescent="0.35">
      <c r="A26" s="66"/>
      <c r="B26" s="66"/>
      <c r="C26" s="66"/>
      <c r="D26" s="69" t="s">
        <v>457</v>
      </c>
      <c r="E26" s="68" t="s">
        <v>103</v>
      </c>
    </row>
    <row r="27" spans="1:5" ht="15" customHeight="1" x14ac:dyDescent="0.35">
      <c r="A27" s="66"/>
      <c r="B27" s="66"/>
      <c r="C27" s="66"/>
      <c r="D27" s="69" t="s">
        <v>458</v>
      </c>
      <c r="E27" s="68" t="s">
        <v>103</v>
      </c>
    </row>
    <row r="28" spans="1:5" ht="15" customHeight="1" x14ac:dyDescent="0.35">
      <c r="A28" s="66"/>
      <c r="B28" s="66"/>
      <c r="C28" s="66"/>
      <c r="D28" s="69" t="s">
        <v>459</v>
      </c>
      <c r="E28" s="68" t="s">
        <v>103</v>
      </c>
    </row>
    <row r="29" spans="1:5" ht="15" customHeight="1" x14ac:dyDescent="0.35">
      <c r="A29" s="66"/>
      <c r="B29" s="66"/>
      <c r="C29" s="66"/>
      <c r="D29" s="69" t="s">
        <v>462</v>
      </c>
      <c r="E29" s="68" t="s">
        <v>128</v>
      </c>
    </row>
    <row r="30" spans="1:5" ht="15" customHeight="1" x14ac:dyDescent="0.35">
      <c r="A30" s="66"/>
      <c r="B30" s="66"/>
      <c r="C30" s="70"/>
      <c r="D30" s="69" t="s">
        <v>470</v>
      </c>
      <c r="E30" s="68" t="s">
        <v>110</v>
      </c>
    </row>
    <row r="31" spans="1:5" ht="15" customHeight="1" x14ac:dyDescent="0.35">
      <c r="A31" s="66"/>
      <c r="B31" s="66"/>
      <c r="C31" s="66" t="s">
        <v>471</v>
      </c>
      <c r="D31" s="67" t="s">
        <v>472</v>
      </c>
      <c r="E31" s="68" t="s">
        <v>100</v>
      </c>
    </row>
    <row r="32" spans="1:5" ht="15" customHeight="1" x14ac:dyDescent="0.35">
      <c r="A32" s="66"/>
      <c r="B32" s="66"/>
      <c r="C32" s="66"/>
      <c r="D32" s="69" t="s">
        <v>455</v>
      </c>
      <c r="E32" s="68" t="s">
        <v>103</v>
      </c>
    </row>
    <row r="33" spans="1:5" ht="15" customHeight="1" x14ac:dyDescent="0.35">
      <c r="A33" s="66"/>
      <c r="B33" s="70"/>
      <c r="C33" s="70"/>
      <c r="D33" s="69" t="s">
        <v>462</v>
      </c>
      <c r="E33" s="68" t="s">
        <v>128</v>
      </c>
    </row>
    <row r="34" spans="1:5" ht="15" customHeight="1" x14ac:dyDescent="0.35">
      <c r="A34" s="66"/>
      <c r="B34" s="66" t="s">
        <v>31</v>
      </c>
      <c r="C34" s="66" t="s">
        <v>473</v>
      </c>
      <c r="D34" s="67" t="s">
        <v>453</v>
      </c>
      <c r="E34" s="68" t="s">
        <v>100</v>
      </c>
    </row>
    <row r="35" spans="1:5" ht="15" customHeight="1" x14ac:dyDescent="0.35">
      <c r="A35" s="66"/>
      <c r="B35" s="66"/>
      <c r="C35" s="66"/>
      <c r="D35" s="69" t="s">
        <v>454</v>
      </c>
      <c r="E35" s="68" t="s">
        <v>103</v>
      </c>
    </row>
    <row r="36" spans="1:5" ht="15" customHeight="1" x14ac:dyDescent="0.35">
      <c r="A36" s="66"/>
      <c r="B36" s="66"/>
      <c r="C36" s="66"/>
      <c r="D36" s="69" t="s">
        <v>455</v>
      </c>
      <c r="E36" s="68" t="s">
        <v>103</v>
      </c>
    </row>
    <row r="37" spans="1:5" ht="15" customHeight="1" x14ac:dyDescent="0.35">
      <c r="A37" s="66"/>
      <c r="B37" s="66"/>
      <c r="C37" s="66"/>
      <c r="D37" s="69" t="s">
        <v>456</v>
      </c>
      <c r="E37" s="68" t="s">
        <v>103</v>
      </c>
    </row>
    <row r="38" spans="1:5" ht="15" customHeight="1" x14ac:dyDescent="0.35">
      <c r="A38" s="66"/>
      <c r="B38" s="66"/>
      <c r="C38" s="66"/>
      <c r="D38" s="69" t="s">
        <v>457</v>
      </c>
      <c r="E38" s="68" t="s">
        <v>103</v>
      </c>
    </row>
    <row r="39" spans="1:5" ht="15" customHeight="1" x14ac:dyDescent="0.35">
      <c r="A39" s="66"/>
      <c r="B39" s="66"/>
      <c r="C39" s="66"/>
      <c r="D39" s="69" t="s">
        <v>458</v>
      </c>
      <c r="E39" s="68" t="s">
        <v>103</v>
      </c>
    </row>
    <row r="40" spans="1:5" ht="15" customHeight="1" x14ac:dyDescent="0.35">
      <c r="A40" s="66"/>
      <c r="B40" s="66"/>
      <c r="C40" s="66"/>
      <c r="D40" s="69" t="s">
        <v>459</v>
      </c>
      <c r="E40" s="68" t="s">
        <v>103</v>
      </c>
    </row>
    <row r="41" spans="1:5" ht="15" customHeight="1" x14ac:dyDescent="0.35">
      <c r="A41" s="66"/>
      <c r="B41" s="66"/>
      <c r="C41" s="66"/>
      <c r="D41" s="69" t="s">
        <v>462</v>
      </c>
      <c r="E41" s="68" t="s">
        <v>128</v>
      </c>
    </row>
    <row r="42" spans="1:5" ht="15" customHeight="1" x14ac:dyDescent="0.35">
      <c r="A42" s="66"/>
      <c r="B42" s="66"/>
      <c r="C42" s="70"/>
      <c r="D42" s="69" t="s">
        <v>474</v>
      </c>
      <c r="E42" s="68" t="s">
        <v>103</v>
      </c>
    </row>
    <row r="43" spans="1:5" ht="15" customHeight="1" x14ac:dyDescent="0.35">
      <c r="A43" s="66"/>
      <c r="B43" s="66"/>
      <c r="C43" s="66" t="s">
        <v>475</v>
      </c>
      <c r="D43" s="67" t="s">
        <v>472</v>
      </c>
      <c r="E43" s="68" t="s">
        <v>100</v>
      </c>
    </row>
    <row r="44" spans="1:5" ht="15" customHeight="1" x14ac:dyDescent="0.35">
      <c r="A44" s="66"/>
      <c r="B44" s="66"/>
      <c r="C44" s="66"/>
      <c r="D44" s="69" t="s">
        <v>453</v>
      </c>
      <c r="E44" s="68" t="s">
        <v>100</v>
      </c>
    </row>
    <row r="45" spans="1:5" ht="15" customHeight="1" x14ac:dyDescent="0.35">
      <c r="A45" s="66"/>
      <c r="B45" s="66"/>
      <c r="C45" s="66"/>
      <c r="D45" s="69" t="s">
        <v>455</v>
      </c>
      <c r="E45" s="68" t="s">
        <v>103</v>
      </c>
    </row>
    <row r="46" spans="1:5" ht="15" customHeight="1" x14ac:dyDescent="0.35">
      <c r="A46" s="66"/>
      <c r="B46" s="66"/>
      <c r="C46" s="66"/>
      <c r="D46" s="69" t="s">
        <v>456</v>
      </c>
      <c r="E46" s="68" t="s">
        <v>103</v>
      </c>
    </row>
    <row r="47" spans="1:5" ht="15" customHeight="1" x14ac:dyDescent="0.35">
      <c r="A47" s="66"/>
      <c r="B47" s="66"/>
      <c r="C47" s="66"/>
      <c r="D47" s="69" t="s">
        <v>457</v>
      </c>
      <c r="E47" s="68" t="s">
        <v>103</v>
      </c>
    </row>
    <row r="48" spans="1:5" ht="15" customHeight="1" x14ac:dyDescent="0.35">
      <c r="A48" s="66"/>
      <c r="B48" s="66"/>
      <c r="C48" s="66"/>
      <c r="D48" s="69" t="s">
        <v>458</v>
      </c>
      <c r="E48" s="68" t="s">
        <v>103</v>
      </c>
    </row>
    <row r="49" spans="1:5" ht="15" customHeight="1" x14ac:dyDescent="0.35">
      <c r="A49" s="66"/>
      <c r="B49" s="66"/>
      <c r="C49" s="66"/>
      <c r="D49" s="69" t="s">
        <v>459</v>
      </c>
      <c r="E49" s="68" t="s">
        <v>103</v>
      </c>
    </row>
    <row r="50" spans="1:5" ht="15" customHeight="1" x14ac:dyDescent="0.35">
      <c r="A50" s="66"/>
      <c r="B50" s="66"/>
      <c r="C50" s="66"/>
      <c r="D50" s="69" t="s">
        <v>462</v>
      </c>
      <c r="E50" s="68" t="s">
        <v>128</v>
      </c>
    </row>
    <row r="51" spans="1:5" ht="15" customHeight="1" x14ac:dyDescent="0.35">
      <c r="A51" s="66"/>
      <c r="B51" s="66"/>
      <c r="C51" s="70"/>
      <c r="D51" s="69" t="s">
        <v>476</v>
      </c>
      <c r="E51" s="68" t="s">
        <v>103</v>
      </c>
    </row>
    <row r="52" spans="1:5" ht="15" customHeight="1" x14ac:dyDescent="0.35">
      <c r="A52" s="66"/>
      <c r="B52" s="66"/>
      <c r="C52" s="66" t="s">
        <v>477</v>
      </c>
      <c r="D52" s="67" t="s">
        <v>472</v>
      </c>
      <c r="E52" s="68" t="s">
        <v>100</v>
      </c>
    </row>
    <row r="53" spans="1:5" ht="15" customHeight="1" x14ac:dyDescent="0.35">
      <c r="A53" s="66"/>
      <c r="B53" s="66"/>
      <c r="C53" s="66"/>
      <c r="D53" s="69" t="s">
        <v>454</v>
      </c>
      <c r="E53" s="68" t="s">
        <v>103</v>
      </c>
    </row>
    <row r="54" spans="1:5" ht="15" customHeight="1" x14ac:dyDescent="0.35">
      <c r="A54" s="66"/>
      <c r="B54" s="66"/>
      <c r="C54" s="66"/>
      <c r="D54" s="69" t="s">
        <v>455</v>
      </c>
      <c r="E54" s="68" t="s">
        <v>103</v>
      </c>
    </row>
    <row r="55" spans="1:5" ht="15" customHeight="1" x14ac:dyDescent="0.35">
      <c r="A55" s="66"/>
      <c r="B55" s="66"/>
      <c r="C55" s="66"/>
      <c r="D55" s="69" t="s">
        <v>456</v>
      </c>
      <c r="E55" s="68" t="s">
        <v>103</v>
      </c>
    </row>
    <row r="56" spans="1:5" ht="15" customHeight="1" x14ac:dyDescent="0.35">
      <c r="A56" s="66"/>
      <c r="B56" s="66"/>
      <c r="C56" s="66"/>
      <c r="D56" s="69" t="s">
        <v>457</v>
      </c>
      <c r="E56" s="68" t="s">
        <v>103</v>
      </c>
    </row>
    <row r="57" spans="1:5" ht="15" customHeight="1" x14ac:dyDescent="0.35">
      <c r="A57" s="66"/>
      <c r="B57" s="66"/>
      <c r="C57" s="66"/>
      <c r="D57" s="69" t="s">
        <v>458</v>
      </c>
      <c r="E57" s="68" t="s">
        <v>103</v>
      </c>
    </row>
    <row r="58" spans="1:5" ht="15" customHeight="1" x14ac:dyDescent="0.35">
      <c r="A58" s="66"/>
      <c r="B58" s="66"/>
      <c r="C58" s="66"/>
      <c r="D58" s="69" t="s">
        <v>478</v>
      </c>
      <c r="E58" s="68" t="s">
        <v>103</v>
      </c>
    </row>
    <row r="59" spans="1:5" ht="15" customHeight="1" x14ac:dyDescent="0.35">
      <c r="A59" s="66"/>
      <c r="B59" s="66"/>
      <c r="C59" s="70"/>
      <c r="D59" s="69" t="s">
        <v>462</v>
      </c>
      <c r="E59" s="68" t="s">
        <v>128</v>
      </c>
    </row>
    <row r="60" spans="1:5" ht="15" customHeight="1" x14ac:dyDescent="0.35">
      <c r="A60" s="66"/>
      <c r="B60" s="66"/>
      <c r="C60" s="66" t="s">
        <v>479</v>
      </c>
      <c r="D60" s="67" t="s">
        <v>472</v>
      </c>
      <c r="E60" s="68" t="s">
        <v>100</v>
      </c>
    </row>
    <row r="61" spans="1:5" ht="15" customHeight="1" x14ac:dyDescent="0.35">
      <c r="A61" s="66"/>
      <c r="B61" s="71"/>
      <c r="C61" s="71"/>
      <c r="D61" s="69" t="s">
        <v>454</v>
      </c>
      <c r="E61" s="68" t="s">
        <v>103</v>
      </c>
    </row>
    <row r="62" spans="1:5" ht="15" customHeight="1" x14ac:dyDescent="0.35">
      <c r="A62" s="66"/>
      <c r="B62" s="66"/>
      <c r="C62" s="70"/>
      <c r="D62" s="69" t="s">
        <v>462</v>
      </c>
      <c r="E62" s="68" t="s">
        <v>128</v>
      </c>
    </row>
    <row r="63" spans="1:5" ht="15" customHeight="1" x14ac:dyDescent="0.35">
      <c r="A63" s="66"/>
      <c r="B63" s="66"/>
      <c r="C63" s="66" t="s">
        <v>480</v>
      </c>
      <c r="D63" s="67" t="s">
        <v>472</v>
      </c>
      <c r="E63" s="68" t="s">
        <v>100</v>
      </c>
    </row>
    <row r="64" spans="1:5" ht="15" customHeight="1" x14ac:dyDescent="0.35">
      <c r="A64" s="66"/>
      <c r="B64" s="66"/>
      <c r="C64" s="66"/>
      <c r="D64" s="69" t="s">
        <v>453</v>
      </c>
      <c r="E64" s="68" t="s">
        <v>100</v>
      </c>
    </row>
    <row r="65" spans="1:5" ht="15" customHeight="1" x14ac:dyDescent="0.35">
      <c r="A65" s="66"/>
      <c r="B65" s="66"/>
      <c r="C65" s="66"/>
      <c r="D65" s="69" t="s">
        <v>454</v>
      </c>
      <c r="E65" s="68" t="s">
        <v>103</v>
      </c>
    </row>
    <row r="66" spans="1:5" ht="15" customHeight="1" x14ac:dyDescent="0.35">
      <c r="A66" s="66"/>
      <c r="B66" s="66"/>
      <c r="C66" s="66"/>
      <c r="D66" s="69" t="s">
        <v>456</v>
      </c>
      <c r="E66" s="68" t="s">
        <v>103</v>
      </c>
    </row>
    <row r="67" spans="1:5" ht="15" customHeight="1" x14ac:dyDescent="0.35">
      <c r="A67" s="66"/>
      <c r="B67" s="66"/>
      <c r="C67" s="66"/>
      <c r="D67" s="69" t="s">
        <v>457</v>
      </c>
      <c r="E67" s="68" t="s">
        <v>103</v>
      </c>
    </row>
    <row r="68" spans="1:5" ht="15" customHeight="1" x14ac:dyDescent="0.35">
      <c r="A68" s="66"/>
      <c r="B68" s="66"/>
      <c r="C68" s="66"/>
      <c r="D68" s="69" t="s">
        <v>458</v>
      </c>
      <c r="E68" s="68" t="s">
        <v>103</v>
      </c>
    </row>
    <row r="69" spans="1:5" ht="15" customHeight="1" x14ac:dyDescent="0.35">
      <c r="A69" s="66"/>
      <c r="B69" s="66"/>
      <c r="C69" s="66"/>
      <c r="D69" s="69" t="s">
        <v>459</v>
      </c>
      <c r="E69" s="68" t="s">
        <v>103</v>
      </c>
    </row>
    <row r="70" spans="1:5" ht="15" customHeight="1" x14ac:dyDescent="0.35">
      <c r="A70" s="71"/>
      <c r="B70" s="70"/>
      <c r="C70" s="70"/>
      <c r="D70" s="69" t="s">
        <v>462</v>
      </c>
      <c r="E70" s="68" t="s">
        <v>128</v>
      </c>
    </row>
    <row r="71" spans="1:5" ht="14.25" customHeight="1" x14ac:dyDescent="0.35">
      <c r="B71" t="s">
        <v>481</v>
      </c>
      <c r="C71" t="s">
        <v>482</v>
      </c>
    </row>
    <row r="72" spans="1:5" ht="14.25" customHeight="1" x14ac:dyDescent="0.35">
      <c r="C72" t="s">
        <v>483</v>
      </c>
    </row>
    <row r="73" spans="1:5" ht="14.25" customHeight="1" x14ac:dyDescent="0.35">
      <c r="C73" t="s">
        <v>484</v>
      </c>
    </row>
    <row r="74" spans="1:5" ht="14.25" customHeight="1" x14ac:dyDescent="0.35">
      <c r="C74" t="s">
        <v>485</v>
      </c>
    </row>
    <row r="75" spans="1:5" ht="14.25" customHeight="1" x14ac:dyDescent="0.35">
      <c r="C75" t="s">
        <v>486</v>
      </c>
    </row>
    <row r="76" spans="1:5" ht="14.25" customHeight="1" x14ac:dyDescent="0.35">
      <c r="C76" t="s">
        <v>487</v>
      </c>
    </row>
    <row r="77" spans="1:5" ht="14.25" customHeight="1" x14ac:dyDescent="0.35">
      <c r="C77" t="s">
        <v>488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6"/>
  <sheetViews>
    <sheetView zoomScaleNormal="100" workbookViewId="0">
      <pane ySplit="2" topLeftCell="A3" activePane="bottomLeft" state="frozen"/>
      <selection pane="bottomLeft" activeCell="E20" sqref="E20"/>
    </sheetView>
  </sheetViews>
  <sheetFormatPr defaultColWidth="9.1796875" defaultRowHeight="12.5" outlineLevelCol="1" x14ac:dyDescent="0.25"/>
  <cols>
    <col min="1" max="2" width="27.81640625" style="57" customWidth="1"/>
    <col min="3" max="3" width="51.81640625" style="57" customWidth="1"/>
    <col min="4" max="4" width="9.1796875" style="56"/>
    <col min="5" max="5" width="22" style="56" customWidth="1"/>
    <col min="6" max="6" width="15.453125" style="57" hidden="1" customWidth="1" outlineLevel="1"/>
    <col min="7" max="7" width="19.81640625" style="57" hidden="1" customWidth="1" outlineLevel="1"/>
    <col min="8" max="8" width="18" style="57" hidden="1" customWidth="1" outlineLevel="1"/>
    <col min="9" max="9" width="16.26953125" style="72" customWidth="1"/>
    <col min="10" max="10" width="17.7265625" style="72" customWidth="1"/>
    <col min="11" max="11" width="17.7265625" style="57" hidden="1" customWidth="1" outlineLevel="1"/>
    <col min="12" max="12" width="15" style="57" hidden="1" customWidth="1" outlineLevel="1"/>
    <col min="13" max="13" width="20.26953125" style="57" hidden="1" customWidth="1" outlineLevel="1"/>
    <col min="14" max="14" width="9.1796875" style="57"/>
    <col min="15" max="15" width="14.453125" style="57" customWidth="1"/>
    <col min="16" max="16" width="33.81640625" style="57" customWidth="1"/>
    <col min="17" max="16384" width="9.1796875" style="57"/>
  </cols>
  <sheetData>
    <row r="1" spans="1:14" ht="24.75" customHeight="1" x14ac:dyDescent="0.25">
      <c r="A1" s="211" t="s">
        <v>489</v>
      </c>
      <c r="B1" s="211"/>
      <c r="C1" s="211"/>
      <c r="D1" s="211"/>
      <c r="E1" s="211"/>
      <c r="F1" s="212" t="s">
        <v>490</v>
      </c>
      <c r="G1" s="212"/>
      <c r="H1" s="212"/>
      <c r="I1" s="212"/>
      <c r="J1" s="212"/>
      <c r="K1" s="212"/>
      <c r="L1" s="212"/>
      <c r="M1" s="212"/>
      <c r="N1" s="57" t="s">
        <v>20</v>
      </c>
    </row>
    <row r="2" spans="1:14" ht="24.75" customHeight="1" x14ac:dyDescent="0.25">
      <c r="A2" s="75" t="s">
        <v>491</v>
      </c>
      <c r="B2" s="76" t="s">
        <v>492</v>
      </c>
      <c r="C2" s="76" t="s">
        <v>443</v>
      </c>
      <c r="D2" s="73" t="s">
        <v>80</v>
      </c>
      <c r="E2" s="73" t="s">
        <v>493</v>
      </c>
      <c r="F2" s="74" t="s">
        <v>494</v>
      </c>
      <c r="G2" s="74" t="s">
        <v>495</v>
      </c>
      <c r="H2" s="74" t="s">
        <v>496</v>
      </c>
      <c r="I2" s="77" t="s">
        <v>497</v>
      </c>
      <c r="J2" s="77" t="s">
        <v>498</v>
      </c>
      <c r="K2" s="74" t="s">
        <v>499</v>
      </c>
      <c r="L2" s="74" t="s">
        <v>500</v>
      </c>
      <c r="M2" s="74" t="s">
        <v>501</v>
      </c>
    </row>
    <row r="3" spans="1:14" ht="12.75" customHeight="1" x14ac:dyDescent="0.25">
      <c r="A3" s="63" t="s">
        <v>502</v>
      </c>
      <c r="B3" s="63" t="s">
        <v>503</v>
      </c>
      <c r="C3" s="78" t="s">
        <v>504</v>
      </c>
      <c r="D3" s="60" t="s">
        <v>372</v>
      </c>
      <c r="E3" s="60"/>
      <c r="F3" s="63"/>
      <c r="G3" s="63"/>
      <c r="H3" s="63"/>
      <c r="I3" s="79">
        <v>13000</v>
      </c>
      <c r="J3" s="79">
        <v>0</v>
      </c>
      <c r="K3" s="63"/>
      <c r="L3" s="63"/>
      <c r="M3" s="63"/>
    </row>
    <row r="4" spans="1:14" ht="12.75" customHeight="1" x14ac:dyDescent="0.25">
      <c r="A4" s="63" t="s">
        <v>502</v>
      </c>
      <c r="B4" s="63" t="s">
        <v>503</v>
      </c>
      <c r="C4" s="63" t="s">
        <v>505</v>
      </c>
      <c r="D4" s="60" t="s">
        <v>372</v>
      </c>
      <c r="E4" s="60"/>
      <c r="F4" s="63"/>
      <c r="G4" s="63"/>
      <c r="H4" s="63"/>
      <c r="I4" s="79">
        <v>28000</v>
      </c>
      <c r="J4" s="79">
        <v>0</v>
      </c>
      <c r="K4" s="63"/>
      <c r="L4" s="63"/>
      <c r="M4" s="63"/>
    </row>
    <row r="5" spans="1:14" ht="12.75" customHeight="1" x14ac:dyDescent="0.25">
      <c r="A5" s="63" t="s">
        <v>502</v>
      </c>
      <c r="B5" s="63" t="s">
        <v>503</v>
      </c>
      <c r="C5" s="78" t="s">
        <v>506</v>
      </c>
      <c r="D5" s="60" t="s">
        <v>372</v>
      </c>
      <c r="E5" s="60"/>
      <c r="F5" s="63"/>
      <c r="G5" s="63"/>
      <c r="H5" s="63"/>
      <c r="I5" s="79">
        <v>3470</v>
      </c>
      <c r="J5" s="79">
        <v>0</v>
      </c>
      <c r="K5" s="63"/>
      <c r="L5" s="63"/>
      <c r="M5" s="63"/>
    </row>
    <row r="6" spans="1:14" ht="12.75" customHeight="1" x14ac:dyDescent="0.25">
      <c r="A6" s="63" t="s">
        <v>502</v>
      </c>
      <c r="B6" s="63" t="s">
        <v>503</v>
      </c>
      <c r="C6" s="78" t="s">
        <v>507</v>
      </c>
      <c r="D6" s="60" t="s">
        <v>372</v>
      </c>
      <c r="E6" s="60"/>
      <c r="F6" s="63"/>
      <c r="G6" s="63"/>
      <c r="H6" s="63"/>
      <c r="I6" s="79"/>
      <c r="J6" s="79"/>
      <c r="K6" s="63"/>
      <c r="L6" s="63"/>
      <c r="M6" s="63"/>
    </row>
    <row r="7" spans="1:14" ht="12.75" customHeight="1" x14ac:dyDescent="0.25">
      <c r="A7" s="63" t="s">
        <v>502</v>
      </c>
      <c r="B7" s="63" t="s">
        <v>508</v>
      </c>
      <c r="C7" s="78" t="s">
        <v>509</v>
      </c>
      <c r="D7" s="60" t="s">
        <v>372</v>
      </c>
      <c r="E7" s="60"/>
      <c r="F7" s="63"/>
      <c r="G7" s="63"/>
      <c r="H7" s="63"/>
      <c r="I7" s="79"/>
      <c r="J7" s="79"/>
      <c r="K7" s="63"/>
      <c r="L7" s="63"/>
      <c r="M7" s="63"/>
    </row>
    <row r="8" spans="1:14" ht="12.75" customHeight="1" x14ac:dyDescent="0.25">
      <c r="A8" s="63" t="s">
        <v>502</v>
      </c>
      <c r="B8" s="63" t="s">
        <v>508</v>
      </c>
      <c r="C8" s="78" t="s">
        <v>510</v>
      </c>
      <c r="D8" s="60" t="s">
        <v>110</v>
      </c>
      <c r="E8" s="60"/>
      <c r="F8" s="63"/>
      <c r="G8" s="63"/>
      <c r="H8" s="63"/>
      <c r="I8" s="79">
        <v>260</v>
      </c>
      <c r="J8" s="79">
        <v>0</v>
      </c>
      <c r="K8" s="63"/>
      <c r="L8" s="63"/>
      <c r="M8" s="63"/>
    </row>
    <row r="9" spans="1:14" ht="12.75" customHeight="1" x14ac:dyDescent="0.25">
      <c r="A9" s="63" t="s">
        <v>502</v>
      </c>
      <c r="B9" s="63" t="s">
        <v>508</v>
      </c>
      <c r="C9" s="78" t="s">
        <v>511</v>
      </c>
      <c r="D9" s="60" t="s">
        <v>110</v>
      </c>
      <c r="E9" s="60"/>
      <c r="F9" s="63"/>
      <c r="G9" s="63"/>
      <c r="H9" s="63"/>
      <c r="I9" s="79">
        <v>60</v>
      </c>
      <c r="J9" s="79">
        <v>0</v>
      </c>
      <c r="K9" s="63"/>
      <c r="L9" s="63"/>
      <c r="M9" s="63"/>
    </row>
    <row r="10" spans="1:14" ht="12.75" customHeight="1" x14ac:dyDescent="0.25">
      <c r="A10" s="63" t="s">
        <v>502</v>
      </c>
      <c r="B10" s="63" t="s">
        <v>512</v>
      </c>
      <c r="C10" s="78" t="s">
        <v>468</v>
      </c>
      <c r="D10" s="60" t="s">
        <v>100</v>
      </c>
      <c r="E10" s="60"/>
      <c r="F10" s="63"/>
      <c r="G10" s="63"/>
      <c r="H10" s="63"/>
      <c r="I10" s="79">
        <v>16</v>
      </c>
      <c r="J10" s="79">
        <v>63</v>
      </c>
      <c r="K10" s="63"/>
      <c r="L10" s="63"/>
      <c r="M10" s="63"/>
    </row>
    <row r="11" spans="1:14" ht="12.75" customHeight="1" x14ac:dyDescent="0.25">
      <c r="A11" s="63" t="s">
        <v>502</v>
      </c>
      <c r="B11" s="63" t="s">
        <v>513</v>
      </c>
      <c r="C11" s="78" t="s">
        <v>514</v>
      </c>
      <c r="D11" s="60" t="s">
        <v>103</v>
      </c>
      <c r="E11" s="60"/>
      <c r="F11" s="63"/>
      <c r="G11" s="63"/>
      <c r="H11" s="63"/>
      <c r="I11" s="79">
        <v>7.0000000000000007E-2</v>
      </c>
      <c r="J11" s="79">
        <v>0.78</v>
      </c>
      <c r="K11" s="63"/>
      <c r="L11" s="63"/>
      <c r="M11" s="63"/>
    </row>
    <row r="12" spans="1:14" ht="12.75" customHeight="1" x14ac:dyDescent="0.25">
      <c r="A12" s="63" t="s">
        <v>502</v>
      </c>
      <c r="B12" s="63" t="s">
        <v>513</v>
      </c>
      <c r="C12" s="78" t="s">
        <v>515</v>
      </c>
      <c r="D12" s="60" t="s">
        <v>103</v>
      </c>
      <c r="E12" s="60"/>
      <c r="F12" s="63"/>
      <c r="G12" s="63"/>
      <c r="H12" s="63"/>
      <c r="I12" s="79">
        <v>7.0000000000000007E-2</v>
      </c>
      <c r="J12" s="79">
        <v>0.78</v>
      </c>
      <c r="K12" s="63"/>
      <c r="L12" s="63"/>
      <c r="M12" s="63"/>
    </row>
    <row r="13" spans="1:14" ht="12.75" customHeight="1" x14ac:dyDescent="0.25">
      <c r="A13" s="63" t="s">
        <v>502</v>
      </c>
      <c r="B13" s="63" t="s">
        <v>513</v>
      </c>
      <c r="C13" s="80" t="s">
        <v>516</v>
      </c>
      <c r="D13" s="60" t="s">
        <v>103</v>
      </c>
      <c r="E13" s="60"/>
      <c r="F13" s="63"/>
      <c r="G13" s="63"/>
      <c r="H13" s="63"/>
      <c r="I13" s="79">
        <v>7.0000000000000007E-2</v>
      </c>
      <c r="J13" s="79">
        <v>0.78</v>
      </c>
      <c r="K13" s="63"/>
      <c r="L13" s="63"/>
      <c r="M13" s="63"/>
    </row>
    <row r="14" spans="1:14" ht="12.75" customHeight="1" x14ac:dyDescent="0.25">
      <c r="A14" s="63" t="s">
        <v>502</v>
      </c>
      <c r="B14" s="63" t="s">
        <v>517</v>
      </c>
      <c r="C14" s="78" t="s">
        <v>518</v>
      </c>
      <c r="D14" s="60" t="s">
        <v>103</v>
      </c>
      <c r="E14" s="60"/>
      <c r="F14" s="63"/>
      <c r="G14" s="63"/>
      <c r="H14" s="63"/>
      <c r="I14" s="79">
        <v>0.12</v>
      </c>
      <c r="J14" s="79">
        <v>0.90800000000000003</v>
      </c>
      <c r="K14" s="63"/>
      <c r="L14" s="63"/>
      <c r="M14" s="63"/>
    </row>
    <row r="15" spans="1:14" ht="12.75" customHeight="1" x14ac:dyDescent="0.25">
      <c r="A15" s="63" t="s">
        <v>502</v>
      </c>
      <c r="B15" s="63" t="s">
        <v>519</v>
      </c>
      <c r="C15" s="78" t="s">
        <v>520</v>
      </c>
      <c r="D15" s="60" t="s">
        <v>110</v>
      </c>
      <c r="E15" s="60"/>
      <c r="F15" s="63"/>
      <c r="G15" s="63"/>
      <c r="H15" s="63"/>
      <c r="I15" s="79">
        <v>3.7</v>
      </c>
      <c r="J15" s="79">
        <v>0</v>
      </c>
      <c r="K15" s="63"/>
      <c r="L15" s="63"/>
      <c r="M15" s="63"/>
    </row>
    <row r="16" spans="1:14" ht="12.75" customHeight="1" x14ac:dyDescent="0.25">
      <c r="A16" s="63" t="s">
        <v>502</v>
      </c>
      <c r="B16" s="63" t="s">
        <v>521</v>
      </c>
      <c r="C16" s="63" t="s">
        <v>522</v>
      </c>
      <c r="D16" s="60" t="s">
        <v>110</v>
      </c>
      <c r="E16" s="60"/>
      <c r="F16" s="63"/>
      <c r="G16" s="63"/>
      <c r="H16" s="63"/>
      <c r="I16" s="79">
        <v>3.5</v>
      </c>
      <c r="J16" s="79">
        <v>0</v>
      </c>
      <c r="K16" s="63"/>
      <c r="L16" s="63"/>
      <c r="M16" s="63"/>
    </row>
    <row r="17" spans="1:13" ht="12.75" customHeight="1" x14ac:dyDescent="0.25">
      <c r="A17" s="63" t="s">
        <v>502</v>
      </c>
      <c r="B17" s="63" t="s">
        <v>523</v>
      </c>
      <c r="C17" s="78" t="s">
        <v>524</v>
      </c>
      <c r="D17" s="60" t="s">
        <v>525</v>
      </c>
      <c r="E17" s="60"/>
      <c r="F17" s="63"/>
      <c r="G17" s="63"/>
      <c r="H17" s="63"/>
      <c r="I17" s="79">
        <v>13000</v>
      </c>
      <c r="J17" s="79">
        <v>0</v>
      </c>
      <c r="K17" s="63"/>
      <c r="L17" s="63"/>
      <c r="M17" s="63"/>
    </row>
    <row r="18" spans="1:13" ht="12.75" customHeight="1" x14ac:dyDescent="0.25">
      <c r="A18" s="63" t="s">
        <v>502</v>
      </c>
      <c r="B18" s="63" t="s">
        <v>526</v>
      </c>
      <c r="C18" s="78" t="s">
        <v>527</v>
      </c>
      <c r="D18" s="60" t="s">
        <v>528</v>
      </c>
      <c r="E18" s="60"/>
      <c r="F18" s="63"/>
      <c r="G18" s="63"/>
      <c r="H18" s="63"/>
      <c r="I18" s="79">
        <v>150</v>
      </c>
      <c r="J18" s="79">
        <v>0</v>
      </c>
      <c r="K18" s="63"/>
      <c r="L18" s="63"/>
      <c r="M18" s="63"/>
    </row>
    <row r="19" spans="1:13" s="85" customFormat="1" ht="39" customHeight="1" x14ac:dyDescent="0.35">
      <c r="A19" s="81" t="s">
        <v>502</v>
      </c>
      <c r="B19" s="81" t="s">
        <v>523</v>
      </c>
      <c r="C19" s="82" t="s">
        <v>529</v>
      </c>
      <c r="D19" s="83" t="s">
        <v>528</v>
      </c>
      <c r="E19" s="83"/>
      <c r="F19" s="81"/>
      <c r="G19" s="81"/>
      <c r="H19" s="81"/>
      <c r="I19" s="84">
        <v>22000</v>
      </c>
      <c r="J19" s="84">
        <v>0</v>
      </c>
      <c r="K19" s="81"/>
      <c r="L19" s="81"/>
      <c r="M19" s="81"/>
    </row>
    <row r="20" spans="1:13" ht="12.75" customHeight="1" x14ac:dyDescent="0.25">
      <c r="A20" s="63" t="s">
        <v>502</v>
      </c>
      <c r="B20" s="63" t="s">
        <v>530</v>
      </c>
      <c r="C20" s="78" t="s">
        <v>531</v>
      </c>
      <c r="D20" s="60" t="s">
        <v>528</v>
      </c>
      <c r="E20" s="60"/>
      <c r="F20" s="63"/>
      <c r="G20" s="63"/>
      <c r="H20" s="63"/>
      <c r="I20" s="79">
        <v>30</v>
      </c>
      <c r="J20" s="79">
        <v>0</v>
      </c>
      <c r="K20" s="63"/>
      <c r="L20" s="63"/>
      <c r="M20" s="63"/>
    </row>
    <row r="21" spans="1:13" ht="12.75" customHeight="1" x14ac:dyDescent="0.25">
      <c r="A21" s="63" t="s">
        <v>502</v>
      </c>
      <c r="B21" s="63" t="s">
        <v>530</v>
      </c>
      <c r="C21" s="86" t="s">
        <v>532</v>
      </c>
      <c r="D21" s="60" t="s">
        <v>528</v>
      </c>
      <c r="E21" s="60"/>
      <c r="F21" s="63"/>
      <c r="G21" s="63"/>
      <c r="H21" s="63"/>
      <c r="I21" s="79">
        <v>60</v>
      </c>
      <c r="J21" s="79">
        <v>0</v>
      </c>
      <c r="K21" s="63"/>
      <c r="L21" s="63"/>
      <c r="M21" s="63"/>
    </row>
    <row r="22" spans="1:13" ht="12.75" customHeight="1" x14ac:dyDescent="0.25">
      <c r="A22" s="63" t="s">
        <v>502</v>
      </c>
      <c r="B22" s="63" t="s">
        <v>523</v>
      </c>
      <c r="C22" s="78" t="s">
        <v>533</v>
      </c>
      <c r="D22" s="60" t="s">
        <v>372</v>
      </c>
      <c r="E22" s="60"/>
      <c r="F22" s="63"/>
      <c r="G22" s="63"/>
      <c r="H22" s="63"/>
      <c r="I22" s="79">
        <v>1000</v>
      </c>
      <c r="J22" s="79">
        <v>0</v>
      </c>
      <c r="K22" s="63"/>
      <c r="L22" s="63"/>
      <c r="M22" s="63"/>
    </row>
    <row r="23" spans="1:13" ht="12.75" customHeight="1" x14ac:dyDescent="0.25">
      <c r="A23" s="63" t="s">
        <v>534</v>
      </c>
      <c r="B23" s="63" t="s">
        <v>535</v>
      </c>
      <c r="C23" s="78" t="s">
        <v>524</v>
      </c>
      <c r="D23" s="60" t="s">
        <v>536</v>
      </c>
      <c r="E23" s="60"/>
      <c r="F23" s="63"/>
      <c r="G23" s="63"/>
      <c r="H23" s="63"/>
      <c r="I23" s="79">
        <v>0</v>
      </c>
      <c r="J23" s="79">
        <v>10000</v>
      </c>
      <c r="K23" s="63"/>
      <c r="L23" s="63"/>
      <c r="M23" s="63"/>
    </row>
    <row r="24" spans="1:13" ht="12.75" customHeight="1" x14ac:dyDescent="0.25">
      <c r="A24" s="63" t="s">
        <v>534</v>
      </c>
      <c r="B24" s="63" t="s">
        <v>537</v>
      </c>
      <c r="C24" s="78" t="s">
        <v>538</v>
      </c>
      <c r="D24" s="60" t="s">
        <v>110</v>
      </c>
      <c r="E24" s="60"/>
      <c r="F24" s="63"/>
      <c r="G24" s="63"/>
      <c r="H24" s="63"/>
      <c r="I24" s="79">
        <v>0</v>
      </c>
      <c r="J24" s="79">
        <v>59</v>
      </c>
      <c r="K24" s="63"/>
      <c r="L24" s="63"/>
      <c r="M24" s="63"/>
    </row>
    <row r="25" spans="1:13" ht="12.75" customHeight="1" x14ac:dyDescent="0.25">
      <c r="A25" s="63" t="s">
        <v>534</v>
      </c>
      <c r="B25" s="63" t="s">
        <v>526</v>
      </c>
      <c r="C25" s="78" t="s">
        <v>538</v>
      </c>
      <c r="D25" s="60" t="s">
        <v>528</v>
      </c>
      <c r="E25" s="60"/>
      <c r="F25" s="63"/>
      <c r="G25" s="63"/>
      <c r="H25" s="63"/>
      <c r="I25" s="79">
        <v>20</v>
      </c>
      <c r="J25" s="79">
        <v>0</v>
      </c>
      <c r="K25" s="63"/>
      <c r="L25" s="63"/>
      <c r="M25" s="63"/>
    </row>
    <row r="26" spans="1:13" ht="12.75" customHeight="1" x14ac:dyDescent="0.25">
      <c r="A26" s="63" t="s">
        <v>534</v>
      </c>
      <c r="B26" s="63" t="s">
        <v>539</v>
      </c>
      <c r="C26" s="78" t="s">
        <v>538</v>
      </c>
      <c r="D26" s="60" t="s">
        <v>372</v>
      </c>
      <c r="E26" s="60"/>
      <c r="F26" s="63"/>
      <c r="G26" s="63"/>
      <c r="H26" s="63"/>
      <c r="I26" s="79">
        <v>500</v>
      </c>
      <c r="J26" s="79">
        <v>0</v>
      </c>
      <c r="K26" s="63"/>
      <c r="L26" s="63"/>
      <c r="M26" s="63"/>
    </row>
    <row r="27" spans="1:13" ht="12.75" customHeight="1" x14ac:dyDescent="0.25">
      <c r="A27" s="63" t="s">
        <v>540</v>
      </c>
      <c r="B27" s="63" t="s">
        <v>535</v>
      </c>
      <c r="C27" s="78" t="s">
        <v>524</v>
      </c>
      <c r="D27" s="60" t="s">
        <v>372</v>
      </c>
      <c r="E27" s="60"/>
      <c r="F27" s="63"/>
      <c r="G27" s="63"/>
      <c r="H27" s="63"/>
      <c r="I27" s="79">
        <v>10000</v>
      </c>
      <c r="J27" s="79">
        <v>0</v>
      </c>
      <c r="K27" s="63"/>
      <c r="L27" s="63"/>
      <c r="M27" s="63"/>
    </row>
    <row r="28" spans="1:13" ht="12.75" customHeight="1" x14ac:dyDescent="0.25">
      <c r="A28" s="63" t="s">
        <v>540</v>
      </c>
      <c r="B28" s="63" t="s">
        <v>537</v>
      </c>
      <c r="C28" s="78" t="s">
        <v>541</v>
      </c>
      <c r="D28" s="60" t="s">
        <v>110</v>
      </c>
      <c r="E28" s="60"/>
      <c r="F28" s="63"/>
      <c r="G28" s="63"/>
      <c r="H28" s="63"/>
      <c r="I28" s="79">
        <v>4.4000000000000004</v>
      </c>
      <c r="J28" s="79">
        <v>11.6</v>
      </c>
      <c r="K28" s="63"/>
      <c r="L28" s="63"/>
      <c r="M28" s="63"/>
    </row>
    <row r="29" spans="1:13" ht="12.75" customHeight="1" x14ac:dyDescent="0.25">
      <c r="A29" s="63" t="s">
        <v>540</v>
      </c>
      <c r="B29" s="63" t="s">
        <v>542</v>
      </c>
      <c r="C29" s="78" t="s">
        <v>541</v>
      </c>
      <c r="D29" s="60" t="s">
        <v>528</v>
      </c>
      <c r="E29" s="60"/>
      <c r="F29" s="63"/>
      <c r="G29" s="63"/>
      <c r="H29" s="63"/>
      <c r="I29" s="79">
        <v>18.75</v>
      </c>
      <c r="J29" s="79">
        <v>0</v>
      </c>
      <c r="K29" s="63"/>
      <c r="L29" s="63"/>
      <c r="M29" s="63"/>
    </row>
    <row r="30" spans="1:13" ht="12.75" customHeight="1" x14ac:dyDescent="0.25">
      <c r="A30" s="63" t="s">
        <v>451</v>
      </c>
      <c r="B30" s="63" t="s">
        <v>119</v>
      </c>
      <c r="C30" s="63" t="s">
        <v>119</v>
      </c>
      <c r="D30" s="60" t="s">
        <v>100</v>
      </c>
      <c r="E30" s="60"/>
      <c r="F30" s="63"/>
      <c r="G30" s="63"/>
      <c r="H30" s="63"/>
      <c r="I30" s="79">
        <v>3.5</v>
      </c>
      <c r="J30" s="79">
        <v>4.7</v>
      </c>
      <c r="K30" s="63"/>
      <c r="L30" s="63"/>
      <c r="M30" s="63"/>
    </row>
    <row r="31" spans="1:13" ht="12.75" customHeight="1" x14ac:dyDescent="0.25">
      <c r="A31" s="63" t="s">
        <v>451</v>
      </c>
      <c r="B31" s="87" t="s">
        <v>121</v>
      </c>
      <c r="C31" s="87" t="s">
        <v>121</v>
      </c>
      <c r="D31" s="60" t="s">
        <v>100</v>
      </c>
      <c r="E31" s="60"/>
      <c r="F31" s="63"/>
      <c r="G31" s="63"/>
      <c r="H31" s="63"/>
      <c r="I31" s="79">
        <v>3.5</v>
      </c>
      <c r="J31" s="79">
        <v>4.7</v>
      </c>
      <c r="K31" s="63"/>
      <c r="L31" s="63"/>
      <c r="M31" s="63"/>
    </row>
    <row r="32" spans="1:13" ht="12.75" customHeight="1" x14ac:dyDescent="0.25">
      <c r="A32" s="63" t="s">
        <v>451</v>
      </c>
      <c r="B32" s="63" t="s">
        <v>543</v>
      </c>
      <c r="C32" s="78" t="s">
        <v>544</v>
      </c>
      <c r="D32" s="60" t="s">
        <v>100</v>
      </c>
      <c r="E32" s="60"/>
      <c r="F32" s="63"/>
      <c r="G32" s="63"/>
      <c r="H32" s="63"/>
      <c r="I32" s="79">
        <v>3.5</v>
      </c>
      <c r="J32" s="79">
        <v>0</v>
      </c>
      <c r="K32" s="63"/>
      <c r="L32" s="63"/>
      <c r="M32" s="63"/>
    </row>
    <row r="33" spans="1:13" ht="12.75" customHeight="1" x14ac:dyDescent="0.25">
      <c r="A33" s="63" t="s">
        <v>451</v>
      </c>
      <c r="B33" s="81" t="s">
        <v>545</v>
      </c>
      <c r="C33" s="87" t="s">
        <v>141</v>
      </c>
      <c r="D33" s="60" t="s">
        <v>128</v>
      </c>
      <c r="E33" s="60"/>
      <c r="F33" s="63"/>
      <c r="G33" s="63"/>
      <c r="H33" s="63"/>
      <c r="I33" s="79">
        <v>1.8</v>
      </c>
      <c r="J33" s="79">
        <v>0</v>
      </c>
      <c r="K33" s="63"/>
      <c r="L33" s="63"/>
      <c r="M33" s="63"/>
    </row>
    <row r="34" spans="1:13" ht="12.75" customHeight="1" x14ac:dyDescent="0.25">
      <c r="A34" s="63" t="s">
        <v>451</v>
      </c>
      <c r="B34" s="63" t="s">
        <v>546</v>
      </c>
      <c r="C34" s="78" t="s">
        <v>547</v>
      </c>
      <c r="D34" s="60" t="s">
        <v>128</v>
      </c>
      <c r="E34" s="60"/>
      <c r="F34" s="63"/>
      <c r="G34" s="63"/>
      <c r="H34" s="63"/>
      <c r="I34" s="79"/>
      <c r="J34" s="79"/>
      <c r="K34" s="63"/>
      <c r="L34" s="63"/>
      <c r="M34" s="63"/>
    </row>
    <row r="35" spans="1:13" ht="12.75" customHeight="1" x14ac:dyDescent="0.25">
      <c r="A35" s="63" t="s">
        <v>451</v>
      </c>
      <c r="B35" s="63" t="s">
        <v>548</v>
      </c>
      <c r="C35" s="78" t="s">
        <v>549</v>
      </c>
      <c r="D35" s="60" t="s">
        <v>100</v>
      </c>
      <c r="E35" s="60"/>
      <c r="F35" s="63"/>
      <c r="G35" s="63"/>
      <c r="H35" s="63"/>
      <c r="I35" s="79">
        <v>11</v>
      </c>
      <c r="J35" s="79">
        <v>52</v>
      </c>
      <c r="K35" s="63"/>
      <c r="L35" s="63"/>
      <c r="M35" s="63"/>
    </row>
    <row r="36" spans="1:13" ht="12.75" customHeight="1" x14ac:dyDescent="0.25">
      <c r="A36" s="63" t="s">
        <v>451</v>
      </c>
      <c r="B36" s="63" t="s">
        <v>550</v>
      </c>
      <c r="C36" s="78" t="s">
        <v>551</v>
      </c>
      <c r="D36" s="60" t="s">
        <v>100</v>
      </c>
      <c r="E36" s="60"/>
      <c r="F36" s="63"/>
      <c r="G36" s="63"/>
      <c r="H36" s="63"/>
      <c r="I36" s="79">
        <v>11</v>
      </c>
      <c r="J36" s="79">
        <v>52</v>
      </c>
      <c r="K36" s="63"/>
      <c r="L36" s="63"/>
      <c r="M36" s="63"/>
    </row>
    <row r="37" spans="1:13" ht="12.75" customHeight="1" x14ac:dyDescent="0.25">
      <c r="A37" s="63" t="s">
        <v>451</v>
      </c>
      <c r="B37" s="63" t="s">
        <v>512</v>
      </c>
      <c r="C37" s="78" t="s">
        <v>468</v>
      </c>
      <c r="D37" s="60" t="s">
        <v>100</v>
      </c>
      <c r="E37" s="60"/>
      <c r="F37" s="63"/>
      <c r="G37" s="63"/>
      <c r="H37" s="63"/>
      <c r="I37" s="79">
        <v>11</v>
      </c>
      <c r="J37" s="79">
        <v>63</v>
      </c>
      <c r="K37" s="63"/>
      <c r="L37" s="63"/>
      <c r="M37" s="63"/>
    </row>
    <row r="38" spans="1:13" ht="12.75" customHeight="1" x14ac:dyDescent="0.25">
      <c r="A38" s="63" t="s">
        <v>451</v>
      </c>
      <c r="B38" s="63" t="s">
        <v>127</v>
      </c>
      <c r="C38" s="78" t="s">
        <v>127</v>
      </c>
      <c r="D38" s="60" t="s">
        <v>128</v>
      </c>
      <c r="E38" s="60"/>
      <c r="F38" s="63"/>
      <c r="G38" s="63"/>
      <c r="H38" s="63"/>
      <c r="I38" s="79">
        <v>14</v>
      </c>
      <c r="J38" s="79">
        <v>12</v>
      </c>
      <c r="K38" s="63"/>
      <c r="L38" s="63"/>
      <c r="M38" s="63"/>
    </row>
    <row r="39" spans="1:13" ht="12.75" customHeight="1" x14ac:dyDescent="0.25">
      <c r="A39" s="63" t="s">
        <v>451</v>
      </c>
      <c r="B39" s="63" t="s">
        <v>513</v>
      </c>
      <c r="C39" s="78" t="s">
        <v>514</v>
      </c>
      <c r="D39" s="60" t="s">
        <v>103</v>
      </c>
      <c r="E39" s="60"/>
      <c r="F39" s="63"/>
      <c r="G39" s="63"/>
      <c r="H39" s="63"/>
      <c r="I39" s="79">
        <v>0.14499999999999999</v>
      </c>
      <c r="J39" s="79">
        <v>0.78</v>
      </c>
      <c r="K39" s="63"/>
      <c r="L39" s="63"/>
      <c r="M39" s="63"/>
    </row>
    <row r="40" spans="1:13" ht="12.75" customHeight="1" x14ac:dyDescent="0.25">
      <c r="A40" s="63" t="s">
        <v>451</v>
      </c>
      <c r="B40" s="63" t="s">
        <v>513</v>
      </c>
      <c r="C40" s="78" t="s">
        <v>552</v>
      </c>
      <c r="D40" s="60" t="s">
        <v>103</v>
      </c>
      <c r="E40" s="60"/>
      <c r="F40" s="63"/>
      <c r="G40" s="63"/>
      <c r="H40" s="63"/>
      <c r="I40" s="79">
        <v>0.14499999999999999</v>
      </c>
      <c r="J40" s="79">
        <v>0.78</v>
      </c>
      <c r="K40" s="63"/>
      <c r="L40" s="63"/>
      <c r="M40" s="63"/>
    </row>
    <row r="41" spans="1:13" ht="12.75" customHeight="1" x14ac:dyDescent="0.25">
      <c r="A41" s="63" t="s">
        <v>451</v>
      </c>
      <c r="B41" s="63" t="s">
        <v>513</v>
      </c>
      <c r="C41" s="78" t="s">
        <v>553</v>
      </c>
      <c r="D41" s="60" t="s">
        <v>103</v>
      </c>
      <c r="E41" s="60"/>
      <c r="F41" s="63"/>
      <c r="G41" s="63"/>
      <c r="H41" s="63"/>
      <c r="I41" s="79">
        <v>0.14499999999999999</v>
      </c>
      <c r="J41" s="79">
        <v>0.78</v>
      </c>
      <c r="K41" s="63"/>
      <c r="L41" s="63"/>
      <c r="M41" s="63"/>
    </row>
    <row r="42" spans="1:13" ht="12.75" customHeight="1" x14ac:dyDescent="0.25">
      <c r="A42" s="63" t="s">
        <v>451</v>
      </c>
      <c r="B42" s="63" t="s">
        <v>513</v>
      </c>
      <c r="C42" s="78" t="s">
        <v>516</v>
      </c>
      <c r="D42" s="60" t="s">
        <v>103</v>
      </c>
      <c r="E42" s="60"/>
      <c r="F42" s="63"/>
      <c r="G42" s="63"/>
      <c r="H42" s="63"/>
      <c r="I42" s="79">
        <v>0.14499999999999999</v>
      </c>
      <c r="J42" s="79">
        <v>0.78</v>
      </c>
      <c r="K42" s="63"/>
      <c r="L42" s="63"/>
      <c r="M42" s="63"/>
    </row>
    <row r="43" spans="1:13" ht="12.75" customHeight="1" x14ac:dyDescent="0.25">
      <c r="A43" s="63" t="s">
        <v>451</v>
      </c>
      <c r="B43" s="63" t="s">
        <v>513</v>
      </c>
      <c r="C43" s="78" t="s">
        <v>554</v>
      </c>
      <c r="D43" s="60" t="s">
        <v>103</v>
      </c>
      <c r="E43" s="60"/>
      <c r="F43" s="63"/>
      <c r="G43" s="63"/>
      <c r="H43" s="63"/>
      <c r="I43" s="79">
        <v>0.14499999999999999</v>
      </c>
      <c r="J43" s="79">
        <v>0.78</v>
      </c>
      <c r="K43" s="63"/>
      <c r="L43" s="63"/>
      <c r="M43" s="63"/>
    </row>
    <row r="44" spans="1:13" ht="12.75" customHeight="1" x14ac:dyDescent="0.25">
      <c r="A44" s="63" t="s">
        <v>451</v>
      </c>
      <c r="B44" s="63" t="s">
        <v>513</v>
      </c>
      <c r="C44" s="78" t="s">
        <v>555</v>
      </c>
      <c r="D44" s="60" t="s">
        <v>103</v>
      </c>
      <c r="E44" s="60"/>
      <c r="F44" s="63"/>
      <c r="G44" s="63"/>
      <c r="H44" s="63"/>
      <c r="I44" s="79">
        <v>0.14499999999999999</v>
      </c>
      <c r="J44" s="79">
        <v>0.78</v>
      </c>
      <c r="K44" s="63"/>
      <c r="L44" s="63"/>
      <c r="M44" s="63"/>
    </row>
    <row r="45" spans="1:13" ht="12.75" customHeight="1" x14ac:dyDescent="0.25">
      <c r="A45" s="63" t="s">
        <v>451</v>
      </c>
      <c r="B45" s="63" t="s">
        <v>517</v>
      </c>
      <c r="C45" s="78" t="s">
        <v>518</v>
      </c>
      <c r="D45" s="60" t="s">
        <v>103</v>
      </c>
      <c r="E45" s="60"/>
      <c r="F45" s="63"/>
      <c r="G45" s="63"/>
      <c r="H45" s="63"/>
      <c r="I45" s="79">
        <v>0.12</v>
      </c>
      <c r="J45" s="79">
        <v>0.90800000000000003</v>
      </c>
      <c r="K45" s="63"/>
      <c r="L45" s="63"/>
      <c r="M45" s="63"/>
    </row>
    <row r="46" spans="1:13" ht="12.75" customHeight="1" x14ac:dyDescent="0.25">
      <c r="A46" s="63" t="s">
        <v>451</v>
      </c>
      <c r="B46" s="63" t="s">
        <v>556</v>
      </c>
      <c r="C46" s="78" t="s">
        <v>557</v>
      </c>
      <c r="D46" s="60" t="s">
        <v>372</v>
      </c>
      <c r="E46" s="60"/>
      <c r="F46" s="63"/>
      <c r="G46" s="63"/>
      <c r="H46" s="63"/>
      <c r="I46" s="79">
        <v>0.12</v>
      </c>
      <c r="J46" s="79">
        <v>0.12</v>
      </c>
      <c r="K46" s="63"/>
      <c r="L46" s="63"/>
      <c r="M46" s="63"/>
    </row>
    <row r="47" spans="1:13" ht="12.75" customHeight="1" x14ac:dyDescent="0.25">
      <c r="A47" s="81" t="s">
        <v>467</v>
      </c>
      <c r="B47" s="63" t="s">
        <v>119</v>
      </c>
      <c r="C47" s="63" t="s">
        <v>119</v>
      </c>
      <c r="D47" s="60" t="s">
        <v>100</v>
      </c>
      <c r="E47" s="60"/>
      <c r="F47" s="63"/>
      <c r="G47" s="63"/>
      <c r="H47" s="63"/>
      <c r="I47" s="79">
        <v>3.5</v>
      </c>
      <c r="J47" s="79">
        <v>4.7</v>
      </c>
      <c r="K47" s="63"/>
      <c r="L47" s="63"/>
      <c r="M47" s="63"/>
    </row>
    <row r="48" spans="1:13" ht="12.75" customHeight="1" x14ac:dyDescent="0.25">
      <c r="A48" s="81" t="s">
        <v>467</v>
      </c>
      <c r="B48" s="87" t="s">
        <v>121</v>
      </c>
      <c r="C48" s="87" t="s">
        <v>121</v>
      </c>
      <c r="D48" s="60" t="s">
        <v>100</v>
      </c>
      <c r="E48" s="60"/>
      <c r="F48" s="63"/>
      <c r="G48" s="63"/>
      <c r="H48" s="63"/>
      <c r="I48" s="79">
        <v>3.5</v>
      </c>
      <c r="J48" s="79">
        <v>4.7</v>
      </c>
      <c r="K48" s="63"/>
      <c r="L48" s="63"/>
      <c r="M48" s="63"/>
    </row>
    <row r="49" spans="1:13" ht="12.75" customHeight="1" x14ac:dyDescent="0.25">
      <c r="A49" s="81" t="s">
        <v>467</v>
      </c>
      <c r="B49" s="63" t="s">
        <v>543</v>
      </c>
      <c r="C49" s="78" t="s">
        <v>544</v>
      </c>
      <c r="D49" s="60" t="s">
        <v>100</v>
      </c>
      <c r="E49" s="60"/>
      <c r="F49" s="63"/>
      <c r="G49" s="63"/>
      <c r="H49" s="63"/>
      <c r="I49" s="79">
        <v>3.5</v>
      </c>
      <c r="J49" s="79">
        <v>0</v>
      </c>
      <c r="K49" s="63"/>
      <c r="L49" s="63"/>
      <c r="M49" s="63"/>
    </row>
    <row r="50" spans="1:13" ht="12.75" customHeight="1" x14ac:dyDescent="0.25">
      <c r="A50" s="81" t="s">
        <v>467</v>
      </c>
      <c r="B50" s="81" t="s">
        <v>545</v>
      </c>
      <c r="C50" s="87" t="s">
        <v>141</v>
      </c>
      <c r="D50" s="60" t="s">
        <v>128</v>
      </c>
      <c r="E50" s="60"/>
      <c r="F50" s="63"/>
      <c r="G50" s="63"/>
      <c r="H50" s="63"/>
      <c r="I50" s="79"/>
      <c r="J50" s="79"/>
      <c r="K50" s="63"/>
      <c r="L50" s="63"/>
      <c r="M50" s="63"/>
    </row>
    <row r="51" spans="1:13" ht="12.75" customHeight="1" x14ac:dyDescent="0.25">
      <c r="A51" s="81" t="s">
        <v>467</v>
      </c>
      <c r="B51" s="63" t="s">
        <v>548</v>
      </c>
      <c r="C51" s="88" t="s">
        <v>558</v>
      </c>
      <c r="D51" s="60" t="s">
        <v>100</v>
      </c>
      <c r="E51" s="60"/>
      <c r="F51" s="63"/>
      <c r="G51" s="63"/>
      <c r="H51" s="63"/>
      <c r="I51" s="79">
        <v>11</v>
      </c>
      <c r="J51" s="79">
        <v>50</v>
      </c>
      <c r="K51" s="63"/>
      <c r="L51" s="63"/>
      <c r="M51" s="63"/>
    </row>
    <row r="52" spans="1:13" ht="12.75" customHeight="1" x14ac:dyDescent="0.25">
      <c r="A52" s="81" t="s">
        <v>467</v>
      </c>
      <c r="B52" s="63" t="s">
        <v>550</v>
      </c>
      <c r="C52" s="78" t="s">
        <v>551</v>
      </c>
      <c r="D52" s="60" t="s">
        <v>100</v>
      </c>
      <c r="E52" s="60"/>
      <c r="F52" s="63"/>
      <c r="G52" s="63"/>
      <c r="H52" s="63"/>
      <c r="I52" s="79">
        <v>11</v>
      </c>
      <c r="J52" s="79">
        <v>50</v>
      </c>
      <c r="K52" s="63"/>
      <c r="L52" s="63"/>
      <c r="M52" s="63"/>
    </row>
    <row r="53" spans="1:13" ht="12.75" customHeight="1" x14ac:dyDescent="0.25">
      <c r="A53" s="81" t="s">
        <v>467</v>
      </c>
      <c r="B53" s="63" t="s">
        <v>512</v>
      </c>
      <c r="C53" s="88" t="s">
        <v>468</v>
      </c>
      <c r="D53" s="60" t="s">
        <v>100</v>
      </c>
      <c r="E53" s="60"/>
      <c r="F53" s="63"/>
      <c r="G53" s="63"/>
      <c r="H53" s="63"/>
      <c r="I53" s="79">
        <v>11</v>
      </c>
      <c r="J53" s="79">
        <v>63</v>
      </c>
      <c r="K53" s="63"/>
      <c r="L53" s="63"/>
      <c r="M53" s="63"/>
    </row>
    <row r="54" spans="1:13" ht="12.75" customHeight="1" x14ac:dyDescent="0.25">
      <c r="A54" s="81" t="s">
        <v>467</v>
      </c>
      <c r="B54" s="63" t="s">
        <v>127</v>
      </c>
      <c r="C54" s="88" t="s">
        <v>127</v>
      </c>
      <c r="D54" s="60" t="s">
        <v>128</v>
      </c>
      <c r="E54" s="60"/>
      <c r="F54" s="63"/>
      <c r="G54" s="63"/>
      <c r="H54" s="63"/>
      <c r="I54" s="79">
        <v>14</v>
      </c>
      <c r="J54" s="79">
        <v>12</v>
      </c>
      <c r="K54" s="63"/>
      <c r="L54" s="63"/>
      <c r="M54" s="63"/>
    </row>
    <row r="55" spans="1:13" ht="12.75" customHeight="1" x14ac:dyDescent="0.25">
      <c r="A55" s="81" t="s">
        <v>467</v>
      </c>
      <c r="B55" s="63" t="s">
        <v>513</v>
      </c>
      <c r="C55" s="88" t="s">
        <v>559</v>
      </c>
      <c r="D55" s="60" t="s">
        <v>103</v>
      </c>
      <c r="E55" s="60"/>
      <c r="F55" s="63"/>
      <c r="G55" s="63"/>
      <c r="H55" s="63"/>
      <c r="I55" s="79">
        <v>0.14499999999999999</v>
      </c>
      <c r="J55" s="79">
        <v>0.78</v>
      </c>
      <c r="K55" s="63"/>
      <c r="L55" s="63"/>
      <c r="M55" s="63"/>
    </row>
    <row r="56" spans="1:13" ht="12.75" customHeight="1" x14ac:dyDescent="0.25">
      <c r="A56" s="81" t="s">
        <v>467</v>
      </c>
      <c r="B56" s="63" t="s">
        <v>513</v>
      </c>
      <c r="C56" s="88" t="s">
        <v>552</v>
      </c>
      <c r="D56" s="60" t="s">
        <v>103</v>
      </c>
      <c r="E56" s="60"/>
      <c r="F56" s="63"/>
      <c r="G56" s="63"/>
      <c r="H56" s="63"/>
      <c r="I56" s="79">
        <v>0.14499999999999999</v>
      </c>
      <c r="J56" s="79">
        <v>0.78</v>
      </c>
      <c r="K56" s="63"/>
      <c r="L56" s="63"/>
      <c r="M56" s="63"/>
    </row>
    <row r="57" spans="1:13" ht="12.75" customHeight="1" x14ac:dyDescent="0.25">
      <c r="A57" s="81" t="s">
        <v>467</v>
      </c>
      <c r="B57" s="63" t="s">
        <v>513</v>
      </c>
      <c r="C57" s="88" t="s">
        <v>560</v>
      </c>
      <c r="D57" s="60" t="s">
        <v>103</v>
      </c>
      <c r="E57" s="60"/>
      <c r="F57" s="63"/>
      <c r="G57" s="63"/>
      <c r="H57" s="63"/>
      <c r="I57" s="79">
        <v>0.14499999999999999</v>
      </c>
      <c r="J57" s="79">
        <v>0.78</v>
      </c>
      <c r="K57" s="63"/>
      <c r="L57" s="63"/>
      <c r="M57" s="63"/>
    </row>
    <row r="58" spans="1:13" ht="12.75" customHeight="1" x14ac:dyDescent="0.25">
      <c r="A58" s="81" t="s">
        <v>467</v>
      </c>
      <c r="B58" s="63" t="s">
        <v>517</v>
      </c>
      <c r="C58" s="78" t="s">
        <v>518</v>
      </c>
      <c r="D58" s="60" t="s">
        <v>103</v>
      </c>
      <c r="E58" s="60"/>
      <c r="F58" s="63"/>
      <c r="G58" s="63"/>
      <c r="H58" s="63"/>
      <c r="I58" s="79">
        <v>0.12</v>
      </c>
      <c r="J58" s="79">
        <v>0.90800000000000003</v>
      </c>
      <c r="K58" s="63"/>
      <c r="L58" s="63"/>
      <c r="M58" s="63"/>
    </row>
    <row r="59" spans="1:13" ht="12.75" customHeight="1" x14ac:dyDescent="0.25">
      <c r="A59" s="81" t="s">
        <v>467</v>
      </c>
      <c r="B59" s="63" t="s">
        <v>561</v>
      </c>
      <c r="C59" s="81" t="s">
        <v>562</v>
      </c>
      <c r="D59" s="60" t="s">
        <v>110</v>
      </c>
      <c r="E59" s="60"/>
      <c r="F59" s="63"/>
      <c r="G59" s="63"/>
      <c r="H59" s="63"/>
      <c r="I59" s="79">
        <v>0</v>
      </c>
      <c r="J59" s="79">
        <v>11.75</v>
      </c>
      <c r="K59" s="63"/>
      <c r="L59" s="63"/>
      <c r="M59" s="63"/>
    </row>
    <row r="60" spans="1:13" ht="12.75" customHeight="1" x14ac:dyDescent="0.25">
      <c r="A60" s="81" t="s">
        <v>471</v>
      </c>
      <c r="B60" s="63" t="s">
        <v>119</v>
      </c>
      <c r="C60" s="63" t="s">
        <v>119</v>
      </c>
      <c r="D60" s="60" t="s">
        <v>100</v>
      </c>
      <c r="E60" s="60"/>
      <c r="F60" s="63"/>
      <c r="G60" s="63"/>
      <c r="H60" s="63"/>
      <c r="I60" s="79">
        <v>3.5</v>
      </c>
      <c r="J60" s="79">
        <v>4.7</v>
      </c>
      <c r="K60" s="63"/>
      <c r="L60" s="63"/>
      <c r="M60" s="63"/>
    </row>
    <row r="61" spans="1:13" ht="12.75" customHeight="1" x14ac:dyDescent="0.25">
      <c r="A61" s="81" t="s">
        <v>471</v>
      </c>
      <c r="B61" s="87" t="s">
        <v>121</v>
      </c>
      <c r="C61" s="87" t="s">
        <v>121</v>
      </c>
      <c r="D61" s="60" t="s">
        <v>100</v>
      </c>
      <c r="E61" s="60"/>
      <c r="F61" s="63"/>
      <c r="G61" s="63"/>
      <c r="H61" s="63"/>
      <c r="I61" s="79">
        <v>3.5</v>
      </c>
      <c r="J61" s="79">
        <v>4.7</v>
      </c>
      <c r="K61" s="63"/>
      <c r="L61" s="63"/>
      <c r="M61" s="63"/>
    </row>
    <row r="62" spans="1:13" ht="12.75" customHeight="1" x14ac:dyDescent="0.25">
      <c r="A62" s="81" t="s">
        <v>471</v>
      </c>
      <c r="B62" s="63" t="s">
        <v>543</v>
      </c>
      <c r="C62" s="78" t="s">
        <v>544</v>
      </c>
      <c r="D62" s="60" t="s">
        <v>100</v>
      </c>
      <c r="E62" s="60"/>
      <c r="F62" s="63"/>
      <c r="G62" s="63"/>
      <c r="H62" s="63"/>
      <c r="I62" s="79">
        <v>3.5</v>
      </c>
      <c r="J62" s="79">
        <v>0</v>
      </c>
      <c r="K62" s="63"/>
      <c r="L62" s="63"/>
      <c r="M62" s="63"/>
    </row>
    <row r="63" spans="1:13" ht="12.75" customHeight="1" x14ac:dyDescent="0.25">
      <c r="A63" s="81" t="s">
        <v>471</v>
      </c>
      <c r="B63" s="63" t="s">
        <v>548</v>
      </c>
      <c r="C63" s="88" t="s">
        <v>558</v>
      </c>
      <c r="D63" s="60" t="s">
        <v>100</v>
      </c>
      <c r="E63" s="60"/>
      <c r="F63" s="63"/>
      <c r="G63" s="63"/>
      <c r="H63" s="63"/>
      <c r="I63" s="79">
        <v>11</v>
      </c>
      <c r="J63" s="79">
        <v>50</v>
      </c>
      <c r="K63" s="63"/>
      <c r="L63" s="63"/>
      <c r="M63" s="63"/>
    </row>
    <row r="64" spans="1:13" ht="12.75" customHeight="1" x14ac:dyDescent="0.25">
      <c r="A64" s="81" t="s">
        <v>471</v>
      </c>
      <c r="B64" s="63" t="s">
        <v>550</v>
      </c>
      <c r="C64" s="78" t="s">
        <v>551</v>
      </c>
      <c r="D64" s="60" t="s">
        <v>100</v>
      </c>
      <c r="E64" s="60"/>
      <c r="F64" s="63"/>
      <c r="G64" s="63"/>
      <c r="H64" s="63"/>
      <c r="I64" s="79">
        <v>11</v>
      </c>
      <c r="J64" s="79">
        <v>50</v>
      </c>
      <c r="K64" s="63"/>
      <c r="L64" s="63"/>
      <c r="M64" s="63"/>
    </row>
    <row r="65" spans="1:13" ht="12.75" customHeight="1" x14ac:dyDescent="0.25">
      <c r="A65" s="81" t="s">
        <v>471</v>
      </c>
      <c r="B65" s="63" t="s">
        <v>512</v>
      </c>
      <c r="C65" s="88" t="s">
        <v>468</v>
      </c>
      <c r="D65" s="60" t="s">
        <v>100</v>
      </c>
      <c r="E65" s="60"/>
      <c r="F65" s="63"/>
      <c r="G65" s="63"/>
      <c r="H65" s="63"/>
      <c r="I65" s="79">
        <v>11</v>
      </c>
      <c r="J65" s="79">
        <v>63</v>
      </c>
      <c r="K65" s="63"/>
      <c r="L65" s="63"/>
      <c r="M65" s="63"/>
    </row>
    <row r="66" spans="1:13" ht="12.75" customHeight="1" x14ac:dyDescent="0.25">
      <c r="A66" s="81" t="s">
        <v>471</v>
      </c>
      <c r="B66" s="63" t="s">
        <v>127</v>
      </c>
      <c r="C66" s="88" t="s">
        <v>127</v>
      </c>
      <c r="D66" s="60" t="s">
        <v>128</v>
      </c>
      <c r="E66" s="60"/>
      <c r="F66" s="63"/>
      <c r="G66" s="63"/>
      <c r="H66" s="63"/>
      <c r="I66" s="79">
        <v>14</v>
      </c>
      <c r="J66" s="79">
        <v>12</v>
      </c>
      <c r="K66" s="63"/>
      <c r="L66" s="63"/>
      <c r="M66" s="63"/>
    </row>
    <row r="67" spans="1:13" ht="12.75" customHeight="1" x14ac:dyDescent="0.25">
      <c r="A67" s="81" t="s">
        <v>471</v>
      </c>
      <c r="B67" s="63" t="s">
        <v>513</v>
      </c>
      <c r="C67" s="88" t="s">
        <v>559</v>
      </c>
      <c r="D67" s="60" t="s">
        <v>103</v>
      </c>
      <c r="E67" s="60"/>
      <c r="F67" s="63"/>
      <c r="G67" s="63"/>
      <c r="H67" s="63"/>
      <c r="I67" s="79">
        <v>0.14499999999999999</v>
      </c>
      <c r="J67" s="79">
        <v>0.78</v>
      </c>
      <c r="K67" s="63"/>
      <c r="L67" s="63"/>
      <c r="M67" s="63"/>
    </row>
    <row r="68" spans="1:13" ht="12.75" customHeight="1" x14ac:dyDescent="0.25">
      <c r="A68" s="81" t="s">
        <v>471</v>
      </c>
      <c r="B68" s="63" t="s">
        <v>513</v>
      </c>
      <c r="C68" s="88" t="s">
        <v>552</v>
      </c>
      <c r="D68" s="60" t="s">
        <v>103</v>
      </c>
      <c r="E68" s="60"/>
      <c r="F68" s="63"/>
      <c r="G68" s="63"/>
      <c r="H68" s="63"/>
      <c r="I68" s="79">
        <v>0.14499999999999999</v>
      </c>
      <c r="J68" s="79">
        <v>0.78</v>
      </c>
      <c r="K68" s="63"/>
      <c r="L68" s="63"/>
      <c r="M68" s="63"/>
    </row>
    <row r="69" spans="1:13" ht="12.75" customHeight="1" x14ac:dyDescent="0.25">
      <c r="A69" s="81" t="s">
        <v>471</v>
      </c>
      <c r="B69" s="63" t="s">
        <v>513</v>
      </c>
      <c r="C69" s="88" t="s">
        <v>560</v>
      </c>
      <c r="D69" s="60" t="s">
        <v>103</v>
      </c>
      <c r="E69" s="60"/>
      <c r="F69" s="63"/>
      <c r="G69" s="63"/>
      <c r="H69" s="63"/>
      <c r="I69" s="79">
        <v>0.14499999999999999</v>
      </c>
      <c r="J69" s="79">
        <v>0.78</v>
      </c>
      <c r="K69" s="63"/>
      <c r="L69" s="63"/>
      <c r="M69" s="63"/>
    </row>
    <row r="70" spans="1:13" ht="12.75" customHeight="1" x14ac:dyDescent="0.25">
      <c r="A70" s="81" t="s">
        <v>471</v>
      </c>
      <c r="B70" s="63" t="s">
        <v>517</v>
      </c>
      <c r="C70" s="78" t="s">
        <v>518</v>
      </c>
      <c r="D70" s="60" t="s">
        <v>103</v>
      </c>
      <c r="E70" s="60"/>
      <c r="F70" s="63"/>
      <c r="G70" s="63"/>
      <c r="H70" s="63"/>
      <c r="I70" s="79">
        <v>0.12</v>
      </c>
      <c r="J70" s="79">
        <v>0.90800000000000003</v>
      </c>
      <c r="K70" s="63"/>
      <c r="L70" s="63"/>
      <c r="M70" s="63"/>
    </row>
    <row r="71" spans="1:13" ht="12.75" customHeight="1" x14ac:dyDescent="0.25">
      <c r="A71" s="81" t="s">
        <v>471</v>
      </c>
      <c r="B71" s="63" t="s">
        <v>561</v>
      </c>
      <c r="C71" s="81" t="s">
        <v>562</v>
      </c>
      <c r="D71" s="60" t="s">
        <v>110</v>
      </c>
      <c r="E71" s="60"/>
      <c r="F71" s="63"/>
      <c r="G71" s="63"/>
      <c r="H71" s="63"/>
      <c r="I71" s="79">
        <v>0</v>
      </c>
      <c r="J71" s="79">
        <v>11.75</v>
      </c>
      <c r="K71" s="63"/>
      <c r="L71" s="63"/>
      <c r="M71" s="63"/>
    </row>
    <row r="72" spans="1:13" ht="12.75" customHeight="1" x14ac:dyDescent="0.25">
      <c r="A72" s="89" t="s">
        <v>469</v>
      </c>
      <c r="B72" s="89" t="s">
        <v>512</v>
      </c>
      <c r="C72" s="90" t="s">
        <v>468</v>
      </c>
      <c r="D72" s="91" t="s">
        <v>100</v>
      </c>
      <c r="E72" s="91"/>
      <c r="F72" s="89"/>
      <c r="G72" s="89"/>
      <c r="H72" s="89"/>
      <c r="I72" s="92">
        <v>11</v>
      </c>
      <c r="J72" s="92">
        <v>63</v>
      </c>
      <c r="K72" s="63"/>
      <c r="L72" s="63"/>
      <c r="M72" s="63"/>
    </row>
    <row r="73" spans="1:13" ht="12.75" customHeight="1" x14ac:dyDescent="0.25">
      <c r="A73" s="89" t="s">
        <v>469</v>
      </c>
      <c r="B73" s="89" t="s">
        <v>127</v>
      </c>
      <c r="C73" s="90" t="s">
        <v>127</v>
      </c>
      <c r="D73" s="91" t="s">
        <v>128</v>
      </c>
      <c r="E73" s="91"/>
      <c r="F73" s="89"/>
      <c r="G73" s="89"/>
      <c r="H73" s="89"/>
      <c r="I73" s="92">
        <v>14</v>
      </c>
      <c r="J73" s="92">
        <v>12</v>
      </c>
      <c r="K73" s="63"/>
      <c r="L73" s="63"/>
      <c r="M73" s="63"/>
    </row>
    <row r="74" spans="1:13" ht="12.75" customHeight="1" x14ac:dyDescent="0.25">
      <c r="A74" s="89" t="s">
        <v>469</v>
      </c>
      <c r="B74" s="89" t="s">
        <v>513</v>
      </c>
      <c r="C74" s="90" t="s">
        <v>559</v>
      </c>
      <c r="D74" s="91" t="s">
        <v>103</v>
      </c>
      <c r="E74" s="91"/>
      <c r="F74" s="89"/>
      <c r="G74" s="89"/>
      <c r="H74" s="89"/>
      <c r="I74" s="92">
        <v>0.14499999999999999</v>
      </c>
      <c r="J74" s="92">
        <v>0.78</v>
      </c>
      <c r="K74" s="63"/>
      <c r="L74" s="63"/>
      <c r="M74" s="63"/>
    </row>
    <row r="75" spans="1:13" ht="12.75" customHeight="1" x14ac:dyDescent="0.25">
      <c r="A75" s="89" t="s">
        <v>469</v>
      </c>
      <c r="B75" s="89" t="s">
        <v>513</v>
      </c>
      <c r="C75" s="90" t="s">
        <v>552</v>
      </c>
      <c r="D75" s="91" t="s">
        <v>103</v>
      </c>
      <c r="E75" s="91"/>
      <c r="F75" s="89"/>
      <c r="G75" s="89"/>
      <c r="H75" s="89"/>
      <c r="I75" s="92">
        <v>0.14499999999999999</v>
      </c>
      <c r="J75" s="92">
        <v>0.78</v>
      </c>
      <c r="K75" s="63"/>
      <c r="L75" s="63"/>
      <c r="M75" s="63"/>
    </row>
    <row r="76" spans="1:13" ht="12.75" customHeight="1" x14ac:dyDescent="0.25">
      <c r="A76" s="89" t="s">
        <v>469</v>
      </c>
      <c r="B76" s="89" t="s">
        <v>513</v>
      </c>
      <c r="C76" s="90" t="s">
        <v>560</v>
      </c>
      <c r="D76" s="91" t="s">
        <v>103</v>
      </c>
      <c r="E76" s="91"/>
      <c r="F76" s="89"/>
      <c r="G76" s="89"/>
      <c r="H76" s="89"/>
      <c r="I76" s="92">
        <v>0.14499999999999999</v>
      </c>
      <c r="J76" s="92">
        <v>0.78</v>
      </c>
      <c r="K76" s="63"/>
      <c r="L76" s="63"/>
      <c r="M76" s="63"/>
    </row>
    <row r="77" spans="1:13" ht="12.75" customHeight="1" x14ac:dyDescent="0.25">
      <c r="A77" s="89" t="s">
        <v>469</v>
      </c>
      <c r="B77" s="89" t="s">
        <v>517</v>
      </c>
      <c r="C77" s="93" t="s">
        <v>518</v>
      </c>
      <c r="D77" s="91" t="s">
        <v>103</v>
      </c>
      <c r="E77" s="91"/>
      <c r="F77" s="89"/>
      <c r="G77" s="89"/>
      <c r="H77" s="89"/>
      <c r="I77" s="92">
        <v>0.12</v>
      </c>
      <c r="J77" s="92">
        <v>0.90800000000000003</v>
      </c>
      <c r="K77" s="63"/>
      <c r="L77" s="63"/>
      <c r="M77" s="63"/>
    </row>
    <row r="78" spans="1:13" ht="12.75" customHeight="1" x14ac:dyDescent="0.25">
      <c r="A78" s="89" t="s">
        <v>469</v>
      </c>
      <c r="B78" s="89" t="s">
        <v>561</v>
      </c>
      <c r="C78" s="94" t="s">
        <v>562</v>
      </c>
      <c r="D78" s="91" t="s">
        <v>110</v>
      </c>
      <c r="E78" s="91"/>
      <c r="F78" s="89"/>
      <c r="G78" s="89"/>
      <c r="H78" s="89"/>
      <c r="I78" s="92">
        <v>0</v>
      </c>
      <c r="J78" s="92">
        <v>11.75</v>
      </c>
      <c r="K78" s="63"/>
      <c r="L78" s="63"/>
      <c r="M78" s="63"/>
    </row>
    <row r="79" spans="1:13" ht="12.75" customHeight="1" x14ac:dyDescent="0.25">
      <c r="A79" s="89" t="s">
        <v>469</v>
      </c>
      <c r="B79" s="89" t="s">
        <v>561</v>
      </c>
      <c r="C79" s="94" t="s">
        <v>563</v>
      </c>
      <c r="D79" s="91" t="s">
        <v>110</v>
      </c>
      <c r="E79" s="91"/>
      <c r="F79" s="89"/>
      <c r="G79" s="89"/>
      <c r="H79" s="89"/>
      <c r="I79" s="92">
        <v>0</v>
      </c>
      <c r="J79" s="92">
        <v>11.75</v>
      </c>
      <c r="K79" s="63"/>
      <c r="L79" s="63"/>
      <c r="M79" s="63"/>
    </row>
    <row r="80" spans="1:13" ht="12.75" customHeight="1" x14ac:dyDescent="0.25">
      <c r="A80" s="63" t="s">
        <v>564</v>
      </c>
      <c r="B80" s="63" t="s">
        <v>512</v>
      </c>
      <c r="C80" s="78" t="s">
        <v>565</v>
      </c>
      <c r="D80" s="60" t="s">
        <v>100</v>
      </c>
      <c r="E80" s="60"/>
      <c r="F80" s="63"/>
      <c r="G80" s="63"/>
      <c r="H80" s="63"/>
      <c r="I80" s="79">
        <v>7</v>
      </c>
      <c r="J80" s="79">
        <v>55</v>
      </c>
      <c r="K80" s="63"/>
      <c r="L80" s="63"/>
      <c r="M80" s="63"/>
    </row>
    <row r="81" spans="1:13" ht="12.75" customHeight="1" x14ac:dyDescent="0.25">
      <c r="A81" s="63" t="s">
        <v>564</v>
      </c>
      <c r="B81" s="63" t="s">
        <v>127</v>
      </c>
      <c r="C81" s="88" t="s">
        <v>566</v>
      </c>
      <c r="D81" s="60" t="s">
        <v>128</v>
      </c>
      <c r="E81" s="60"/>
      <c r="F81" s="63"/>
      <c r="G81" s="63"/>
      <c r="H81" s="63"/>
      <c r="I81" s="79">
        <v>8</v>
      </c>
      <c r="J81" s="79">
        <v>12</v>
      </c>
      <c r="K81" s="63"/>
      <c r="L81" s="63"/>
      <c r="M81" s="63"/>
    </row>
    <row r="82" spans="1:13" ht="12.75" customHeight="1" x14ac:dyDescent="0.25">
      <c r="A82" s="63" t="s">
        <v>564</v>
      </c>
      <c r="B82" s="63" t="s">
        <v>513</v>
      </c>
      <c r="C82" s="88" t="s">
        <v>514</v>
      </c>
      <c r="D82" s="60" t="s">
        <v>103</v>
      </c>
      <c r="E82" s="60"/>
      <c r="F82" s="63"/>
      <c r="G82" s="63"/>
      <c r="H82" s="63"/>
      <c r="I82" s="79">
        <v>0.12</v>
      </c>
      <c r="J82" s="79">
        <v>0.78</v>
      </c>
      <c r="K82" s="63"/>
      <c r="L82" s="63"/>
      <c r="M82" s="63"/>
    </row>
    <row r="83" spans="1:13" ht="12.75" customHeight="1" x14ac:dyDescent="0.25">
      <c r="A83" s="63" t="s">
        <v>564</v>
      </c>
      <c r="B83" s="63" t="s">
        <v>513</v>
      </c>
      <c r="C83" s="88" t="s">
        <v>552</v>
      </c>
      <c r="D83" s="60" t="s">
        <v>103</v>
      </c>
      <c r="E83" s="60"/>
      <c r="F83" s="63"/>
      <c r="G83" s="63"/>
      <c r="H83" s="63"/>
      <c r="I83" s="79">
        <v>0.12</v>
      </c>
      <c r="J83" s="79">
        <v>0.78</v>
      </c>
      <c r="K83" s="63"/>
      <c r="L83" s="63"/>
      <c r="M83" s="63"/>
    </row>
    <row r="84" spans="1:13" ht="12.75" customHeight="1" x14ac:dyDescent="0.25">
      <c r="A84" s="63" t="s">
        <v>564</v>
      </c>
      <c r="B84" s="63" t="s">
        <v>513</v>
      </c>
      <c r="C84" s="88" t="s">
        <v>515</v>
      </c>
      <c r="D84" s="60" t="s">
        <v>103</v>
      </c>
      <c r="E84" s="60"/>
      <c r="F84" s="63"/>
      <c r="G84" s="63"/>
      <c r="H84" s="63"/>
      <c r="I84" s="79">
        <v>0.12</v>
      </c>
      <c r="J84" s="79">
        <v>0.78</v>
      </c>
      <c r="K84" s="63"/>
      <c r="L84" s="63"/>
      <c r="M84" s="63"/>
    </row>
    <row r="85" spans="1:13" ht="12.75" customHeight="1" x14ac:dyDescent="0.25">
      <c r="A85" s="63" t="s">
        <v>564</v>
      </c>
      <c r="B85" s="63" t="s">
        <v>513</v>
      </c>
      <c r="C85" s="78" t="s">
        <v>516</v>
      </c>
      <c r="D85" s="60" t="s">
        <v>103</v>
      </c>
      <c r="E85" s="60"/>
      <c r="F85" s="63"/>
      <c r="G85" s="63"/>
      <c r="H85" s="63"/>
      <c r="I85" s="79">
        <v>0.12</v>
      </c>
      <c r="J85" s="79">
        <v>0.78</v>
      </c>
      <c r="K85" s="63"/>
      <c r="L85" s="63"/>
      <c r="M85" s="63"/>
    </row>
    <row r="86" spans="1:13" ht="12.75" customHeight="1" x14ac:dyDescent="0.25">
      <c r="A86" s="63" t="s">
        <v>564</v>
      </c>
      <c r="B86" s="63" t="s">
        <v>513</v>
      </c>
      <c r="C86" s="78" t="s">
        <v>554</v>
      </c>
      <c r="D86" s="60" t="s">
        <v>103</v>
      </c>
      <c r="E86" s="60"/>
      <c r="F86" s="63"/>
      <c r="G86" s="63"/>
      <c r="H86" s="63"/>
      <c r="I86" s="79">
        <v>0.12</v>
      </c>
      <c r="J86" s="79">
        <v>0.78</v>
      </c>
      <c r="K86" s="63"/>
      <c r="L86" s="63"/>
      <c r="M86" s="63"/>
    </row>
    <row r="87" spans="1:13" ht="12.75" customHeight="1" x14ac:dyDescent="0.25">
      <c r="A87" s="63" t="s">
        <v>564</v>
      </c>
      <c r="B87" s="63" t="s">
        <v>513</v>
      </c>
      <c r="C87" s="78" t="s">
        <v>567</v>
      </c>
      <c r="D87" s="60" t="s">
        <v>103</v>
      </c>
      <c r="E87" s="60"/>
      <c r="F87" s="63"/>
      <c r="G87" s="63"/>
      <c r="H87" s="63"/>
      <c r="I87" s="79">
        <v>0.12</v>
      </c>
      <c r="J87" s="79">
        <v>0.78</v>
      </c>
      <c r="K87" s="63"/>
      <c r="L87" s="63"/>
      <c r="M87" s="63"/>
    </row>
    <row r="88" spans="1:13" ht="12.75" customHeight="1" x14ac:dyDescent="0.25">
      <c r="A88" s="63" t="s">
        <v>564</v>
      </c>
      <c r="B88" s="63" t="s">
        <v>517</v>
      </c>
      <c r="C88" s="78" t="s">
        <v>518</v>
      </c>
      <c r="D88" s="60" t="s">
        <v>103</v>
      </c>
      <c r="E88" s="60"/>
      <c r="F88" s="63"/>
      <c r="G88" s="63"/>
      <c r="H88" s="63"/>
      <c r="I88" s="79">
        <v>0.12</v>
      </c>
      <c r="J88" s="79">
        <v>0.90800000000000003</v>
      </c>
      <c r="K88" s="63"/>
      <c r="L88" s="63"/>
      <c r="M88" s="63"/>
    </row>
    <row r="89" spans="1:13" ht="12.75" customHeight="1" x14ac:dyDescent="0.25">
      <c r="A89" s="63" t="s">
        <v>568</v>
      </c>
      <c r="B89" s="63" t="s">
        <v>512</v>
      </c>
      <c r="C89" s="78" t="s">
        <v>565</v>
      </c>
      <c r="D89" s="60" t="s">
        <v>100</v>
      </c>
      <c r="E89" s="60"/>
      <c r="F89" s="63"/>
      <c r="G89" s="63"/>
      <c r="H89" s="63"/>
      <c r="I89" s="79">
        <v>7</v>
      </c>
      <c r="J89" s="79">
        <v>55</v>
      </c>
      <c r="K89" s="63"/>
      <c r="L89" s="63"/>
      <c r="M89" s="63"/>
    </row>
    <row r="90" spans="1:13" ht="12.75" customHeight="1" x14ac:dyDescent="0.25">
      <c r="A90" s="63" t="s">
        <v>568</v>
      </c>
      <c r="B90" s="63" t="s">
        <v>512</v>
      </c>
      <c r="C90" s="78" t="s">
        <v>569</v>
      </c>
      <c r="D90" s="60" t="s">
        <v>100</v>
      </c>
      <c r="E90" s="60"/>
      <c r="F90" s="63"/>
      <c r="G90" s="63"/>
      <c r="H90" s="63"/>
      <c r="I90" s="79">
        <v>7</v>
      </c>
      <c r="J90" s="79">
        <v>63</v>
      </c>
      <c r="K90" s="63"/>
      <c r="L90" s="63"/>
      <c r="M90" s="63"/>
    </row>
    <row r="91" spans="1:13" ht="12.75" customHeight="1" x14ac:dyDescent="0.25">
      <c r="A91" s="63" t="s">
        <v>568</v>
      </c>
      <c r="B91" s="63" t="s">
        <v>127</v>
      </c>
      <c r="C91" s="78" t="s">
        <v>127</v>
      </c>
      <c r="D91" s="60" t="s">
        <v>128</v>
      </c>
      <c r="E91" s="60"/>
      <c r="F91" s="63"/>
      <c r="G91" s="63"/>
      <c r="H91" s="63"/>
      <c r="I91" s="79">
        <v>8</v>
      </c>
      <c r="J91" s="79">
        <v>12</v>
      </c>
      <c r="K91" s="63"/>
      <c r="L91" s="63"/>
      <c r="M91" s="63"/>
    </row>
    <row r="92" spans="1:13" ht="12.75" customHeight="1" x14ac:dyDescent="0.25">
      <c r="A92" s="63" t="s">
        <v>568</v>
      </c>
      <c r="B92" s="63" t="s">
        <v>570</v>
      </c>
      <c r="C92" s="78" t="s">
        <v>571</v>
      </c>
      <c r="D92" s="60" t="s">
        <v>128</v>
      </c>
      <c r="E92" s="60"/>
      <c r="F92" s="63"/>
      <c r="G92" s="63"/>
      <c r="H92" s="63"/>
      <c r="I92" s="79">
        <v>13.8</v>
      </c>
      <c r="J92" s="79">
        <v>3</v>
      </c>
      <c r="K92" s="63"/>
      <c r="L92" s="63"/>
      <c r="M92" s="63"/>
    </row>
    <row r="93" spans="1:13" ht="12.75" customHeight="1" x14ac:dyDescent="0.25">
      <c r="A93" s="63" t="s">
        <v>568</v>
      </c>
      <c r="B93" s="63" t="s">
        <v>513</v>
      </c>
      <c r="C93" s="78" t="s">
        <v>514</v>
      </c>
      <c r="D93" s="60" t="s">
        <v>103</v>
      </c>
      <c r="E93" s="60"/>
      <c r="F93" s="63"/>
      <c r="G93" s="63"/>
      <c r="H93" s="63"/>
      <c r="I93" s="79">
        <v>0.12</v>
      </c>
      <c r="J93" s="79">
        <v>0.78</v>
      </c>
      <c r="K93" s="63"/>
      <c r="L93" s="63"/>
      <c r="M93" s="63"/>
    </row>
    <row r="94" spans="1:13" ht="12.75" customHeight="1" x14ac:dyDescent="0.25">
      <c r="A94" s="63" t="s">
        <v>568</v>
      </c>
      <c r="B94" s="63" t="s">
        <v>513</v>
      </c>
      <c r="C94" s="78" t="s">
        <v>552</v>
      </c>
      <c r="D94" s="60" t="s">
        <v>103</v>
      </c>
      <c r="E94" s="60"/>
      <c r="F94" s="63"/>
      <c r="G94" s="63"/>
      <c r="H94" s="63"/>
      <c r="I94" s="79">
        <v>0.12</v>
      </c>
      <c r="J94" s="79">
        <v>0.78</v>
      </c>
      <c r="K94" s="63"/>
      <c r="L94" s="63"/>
      <c r="M94" s="63"/>
    </row>
    <row r="95" spans="1:13" ht="12.75" customHeight="1" x14ac:dyDescent="0.25">
      <c r="A95" s="63" t="s">
        <v>568</v>
      </c>
      <c r="B95" s="63" t="s">
        <v>513</v>
      </c>
      <c r="C95" s="78" t="s">
        <v>572</v>
      </c>
      <c r="D95" s="60" t="s">
        <v>103</v>
      </c>
      <c r="E95" s="60"/>
      <c r="F95" s="63"/>
      <c r="G95" s="63"/>
      <c r="H95" s="63"/>
      <c r="I95" s="79">
        <v>0.12</v>
      </c>
      <c r="J95" s="79">
        <v>0.78</v>
      </c>
      <c r="K95" s="63"/>
      <c r="L95" s="63"/>
      <c r="M95" s="63"/>
    </row>
    <row r="96" spans="1:13" ht="12.75" customHeight="1" x14ac:dyDescent="0.25">
      <c r="A96" s="63" t="s">
        <v>568</v>
      </c>
      <c r="B96" s="63" t="s">
        <v>513</v>
      </c>
      <c r="C96" s="78" t="s">
        <v>515</v>
      </c>
      <c r="D96" s="60" t="s">
        <v>103</v>
      </c>
      <c r="E96" s="60"/>
      <c r="F96" s="63"/>
      <c r="G96" s="63"/>
      <c r="H96" s="63"/>
      <c r="I96" s="79">
        <v>0.12</v>
      </c>
      <c r="J96" s="79">
        <v>0.78</v>
      </c>
      <c r="K96" s="63"/>
      <c r="L96" s="63"/>
      <c r="M96" s="63"/>
    </row>
    <row r="97" spans="1:13" ht="12.75" customHeight="1" x14ac:dyDescent="0.25">
      <c r="A97" s="63" t="s">
        <v>568</v>
      </c>
      <c r="B97" s="63" t="s">
        <v>517</v>
      </c>
      <c r="C97" s="78" t="s">
        <v>518</v>
      </c>
      <c r="D97" s="60" t="s">
        <v>103</v>
      </c>
      <c r="E97" s="60"/>
      <c r="F97" s="63"/>
      <c r="G97" s="63"/>
      <c r="H97" s="63"/>
      <c r="I97" s="79">
        <v>0.12</v>
      </c>
      <c r="J97" s="79">
        <v>0.90800000000000003</v>
      </c>
      <c r="K97" s="63"/>
      <c r="L97" s="63"/>
      <c r="M97" s="63"/>
    </row>
    <row r="98" spans="1:13" ht="12.75" customHeight="1" x14ac:dyDescent="0.25">
      <c r="A98" s="63" t="s">
        <v>573</v>
      </c>
      <c r="B98" s="63" t="s">
        <v>512</v>
      </c>
      <c r="C98" s="78" t="s">
        <v>468</v>
      </c>
      <c r="D98" s="60" t="s">
        <v>100</v>
      </c>
      <c r="E98" s="60"/>
      <c r="F98" s="63"/>
      <c r="G98" s="63"/>
      <c r="H98" s="63"/>
      <c r="I98" s="79">
        <v>7</v>
      </c>
      <c r="J98" s="79">
        <v>63</v>
      </c>
      <c r="K98" s="63"/>
      <c r="L98" s="63"/>
      <c r="M98" s="63"/>
    </row>
    <row r="99" spans="1:13" ht="12.75" customHeight="1" x14ac:dyDescent="0.25">
      <c r="A99" s="63" t="s">
        <v>573</v>
      </c>
      <c r="B99" s="63" t="s">
        <v>127</v>
      </c>
      <c r="C99" s="78" t="s">
        <v>127</v>
      </c>
      <c r="D99" s="60" t="s">
        <v>128</v>
      </c>
      <c r="E99" s="60"/>
      <c r="F99" s="63"/>
      <c r="G99" s="63"/>
      <c r="H99" s="63"/>
      <c r="I99" s="79">
        <v>8</v>
      </c>
      <c r="J99" s="79">
        <v>12</v>
      </c>
      <c r="K99" s="63"/>
      <c r="L99" s="63"/>
      <c r="M99" s="63"/>
    </row>
    <row r="100" spans="1:13" ht="12.75" customHeight="1" x14ac:dyDescent="0.25">
      <c r="A100" s="63" t="s">
        <v>573</v>
      </c>
      <c r="B100" s="63" t="s">
        <v>513</v>
      </c>
      <c r="C100" s="78" t="s">
        <v>514</v>
      </c>
      <c r="D100" s="60" t="s">
        <v>103</v>
      </c>
      <c r="E100" s="60"/>
      <c r="F100" s="63"/>
      <c r="G100" s="63"/>
      <c r="H100" s="63"/>
      <c r="I100" s="79">
        <v>0.12</v>
      </c>
      <c r="J100" s="79">
        <v>0.78</v>
      </c>
      <c r="K100" s="63"/>
      <c r="L100" s="63"/>
      <c r="M100" s="63"/>
    </row>
    <row r="101" spans="1:13" ht="12.75" customHeight="1" x14ac:dyDescent="0.25">
      <c r="A101" s="63" t="s">
        <v>573</v>
      </c>
      <c r="B101" s="63" t="s">
        <v>513</v>
      </c>
      <c r="C101" s="78" t="s">
        <v>574</v>
      </c>
      <c r="D101" s="60" t="s">
        <v>103</v>
      </c>
      <c r="E101" s="60"/>
      <c r="F101" s="63"/>
      <c r="G101" s="63"/>
      <c r="H101" s="63"/>
      <c r="I101" s="79">
        <v>0.12</v>
      </c>
      <c r="J101" s="79">
        <v>0.78</v>
      </c>
      <c r="K101" s="63"/>
      <c r="L101" s="63"/>
      <c r="M101" s="63"/>
    </row>
    <row r="102" spans="1:13" ht="12.75" customHeight="1" x14ac:dyDescent="0.25">
      <c r="A102" s="63" t="s">
        <v>573</v>
      </c>
      <c r="B102" s="63" t="s">
        <v>513</v>
      </c>
      <c r="C102" s="78" t="s">
        <v>575</v>
      </c>
      <c r="D102" s="60" t="s">
        <v>103</v>
      </c>
      <c r="E102" s="60"/>
      <c r="F102" s="63"/>
      <c r="G102" s="63"/>
      <c r="H102" s="63"/>
      <c r="I102" s="79">
        <v>0.12</v>
      </c>
      <c r="J102" s="79">
        <v>0.78</v>
      </c>
      <c r="K102" s="63"/>
      <c r="L102" s="63"/>
      <c r="M102" s="63"/>
    </row>
    <row r="103" spans="1:13" ht="12.75" customHeight="1" x14ac:dyDescent="0.25">
      <c r="A103" s="63" t="s">
        <v>573</v>
      </c>
      <c r="B103" s="63" t="s">
        <v>513</v>
      </c>
      <c r="C103" s="78" t="s">
        <v>576</v>
      </c>
      <c r="D103" s="60" t="s">
        <v>103</v>
      </c>
      <c r="E103" s="60"/>
      <c r="F103" s="63"/>
      <c r="G103" s="63"/>
      <c r="H103" s="63"/>
      <c r="I103" s="79">
        <v>0.12</v>
      </c>
      <c r="J103" s="79">
        <v>0.78</v>
      </c>
      <c r="K103" s="63"/>
      <c r="L103" s="63"/>
      <c r="M103" s="63"/>
    </row>
    <row r="104" spans="1:13" ht="12.75" customHeight="1" x14ac:dyDescent="0.25">
      <c r="A104" s="63" t="s">
        <v>573</v>
      </c>
      <c r="B104" s="63" t="s">
        <v>513</v>
      </c>
      <c r="C104" s="78" t="s">
        <v>567</v>
      </c>
      <c r="D104" s="60" t="s">
        <v>103</v>
      </c>
      <c r="E104" s="60"/>
      <c r="F104" s="63"/>
      <c r="G104" s="63"/>
      <c r="H104" s="63"/>
      <c r="I104" s="79">
        <v>0.12</v>
      </c>
      <c r="J104" s="79">
        <v>0.78</v>
      </c>
      <c r="K104" s="63"/>
      <c r="L104" s="63"/>
      <c r="M104" s="63"/>
    </row>
    <row r="105" spans="1:13" ht="12.75" customHeight="1" x14ac:dyDescent="0.25">
      <c r="A105" s="63" t="s">
        <v>573</v>
      </c>
      <c r="B105" s="63" t="s">
        <v>517</v>
      </c>
      <c r="C105" s="78" t="s">
        <v>518</v>
      </c>
      <c r="D105" s="60" t="s">
        <v>103</v>
      </c>
      <c r="E105" s="60"/>
      <c r="F105" s="63"/>
      <c r="G105" s="63"/>
      <c r="H105" s="63"/>
      <c r="I105" s="79">
        <v>0.12</v>
      </c>
      <c r="J105" s="79">
        <v>0.90800000000000003</v>
      </c>
      <c r="K105" s="63"/>
      <c r="L105" s="63"/>
      <c r="M105" s="63"/>
    </row>
    <row r="106" spans="1:13" ht="12.75" customHeight="1" x14ac:dyDescent="0.25">
      <c r="A106" s="63" t="s">
        <v>480</v>
      </c>
      <c r="B106" s="87" t="s">
        <v>512</v>
      </c>
      <c r="C106" s="88" t="s">
        <v>468</v>
      </c>
      <c r="D106" s="95" t="s">
        <v>100</v>
      </c>
      <c r="E106" s="95"/>
      <c r="F106" s="63"/>
      <c r="G106" s="63"/>
      <c r="H106" s="63"/>
      <c r="I106" s="79">
        <v>7</v>
      </c>
      <c r="J106" s="79">
        <v>63</v>
      </c>
      <c r="K106" s="63"/>
      <c r="L106" s="63"/>
      <c r="M106" s="63"/>
    </row>
    <row r="107" spans="1:13" ht="12.75" customHeight="1" x14ac:dyDescent="0.25">
      <c r="A107" s="63" t="s">
        <v>480</v>
      </c>
      <c r="B107" s="87" t="s">
        <v>127</v>
      </c>
      <c r="C107" s="88" t="s">
        <v>127</v>
      </c>
      <c r="D107" s="95" t="s">
        <v>128</v>
      </c>
      <c r="E107" s="95"/>
      <c r="F107" s="63"/>
      <c r="G107" s="63"/>
      <c r="H107" s="63"/>
      <c r="I107" s="79">
        <v>8</v>
      </c>
      <c r="J107" s="79">
        <v>12</v>
      </c>
      <c r="K107" s="63"/>
      <c r="L107" s="63"/>
      <c r="M107" s="63"/>
    </row>
    <row r="108" spans="1:13" ht="12.75" customHeight="1" x14ac:dyDescent="0.25">
      <c r="A108" s="63" t="s">
        <v>480</v>
      </c>
      <c r="B108" s="87" t="s">
        <v>513</v>
      </c>
      <c r="C108" s="88" t="s">
        <v>514</v>
      </c>
      <c r="D108" s="95" t="s">
        <v>103</v>
      </c>
      <c r="E108" s="95"/>
      <c r="F108" s="63"/>
      <c r="G108" s="63"/>
      <c r="H108" s="63"/>
      <c r="I108" s="79">
        <v>0.12</v>
      </c>
      <c r="J108" s="79">
        <v>0.78</v>
      </c>
      <c r="K108" s="63"/>
      <c r="L108" s="63"/>
      <c r="M108" s="63"/>
    </row>
    <row r="109" spans="1:13" ht="12.75" customHeight="1" x14ac:dyDescent="0.25">
      <c r="A109" s="63" t="s">
        <v>480</v>
      </c>
      <c r="B109" s="87" t="s">
        <v>513</v>
      </c>
      <c r="C109" s="88" t="s">
        <v>552</v>
      </c>
      <c r="D109" s="95" t="s">
        <v>103</v>
      </c>
      <c r="E109" s="95"/>
      <c r="F109" s="63"/>
      <c r="G109" s="63"/>
      <c r="H109" s="63"/>
      <c r="I109" s="79">
        <v>0.12</v>
      </c>
      <c r="J109" s="79">
        <v>0.78</v>
      </c>
      <c r="K109" s="63"/>
      <c r="L109" s="63"/>
      <c r="M109" s="63"/>
    </row>
    <row r="110" spans="1:13" ht="12.75" customHeight="1" x14ac:dyDescent="0.25">
      <c r="A110" s="63" t="s">
        <v>480</v>
      </c>
      <c r="B110" s="87" t="s">
        <v>513</v>
      </c>
      <c r="C110" s="88" t="s">
        <v>572</v>
      </c>
      <c r="D110" s="95" t="s">
        <v>103</v>
      </c>
      <c r="E110" s="95"/>
      <c r="F110" s="63"/>
      <c r="G110" s="63"/>
      <c r="H110" s="63"/>
      <c r="I110" s="79">
        <v>0.12</v>
      </c>
      <c r="J110" s="79">
        <v>0.78</v>
      </c>
      <c r="K110" s="63"/>
      <c r="L110" s="63"/>
      <c r="M110" s="63"/>
    </row>
    <row r="111" spans="1:13" ht="12.75" customHeight="1" x14ac:dyDescent="0.25">
      <c r="A111" s="63" t="s">
        <v>480</v>
      </c>
      <c r="B111" s="87" t="s">
        <v>513</v>
      </c>
      <c r="C111" s="88" t="s">
        <v>515</v>
      </c>
      <c r="D111" s="95" t="s">
        <v>103</v>
      </c>
      <c r="E111" s="95"/>
      <c r="F111" s="63"/>
      <c r="G111" s="63"/>
      <c r="H111" s="63"/>
      <c r="I111" s="79">
        <v>0.12</v>
      </c>
      <c r="J111" s="79">
        <v>0.78</v>
      </c>
      <c r="K111" s="63"/>
      <c r="L111" s="63"/>
      <c r="M111" s="63"/>
    </row>
    <row r="112" spans="1:13" ht="12.75" customHeight="1" x14ac:dyDescent="0.25">
      <c r="A112" s="63" t="s">
        <v>480</v>
      </c>
      <c r="B112" s="87" t="s">
        <v>513</v>
      </c>
      <c r="C112" s="88" t="s">
        <v>574</v>
      </c>
      <c r="D112" s="95" t="s">
        <v>103</v>
      </c>
      <c r="E112" s="95"/>
      <c r="F112" s="63"/>
      <c r="G112" s="63"/>
      <c r="H112" s="63"/>
      <c r="I112" s="79">
        <v>0.12</v>
      </c>
      <c r="J112" s="79">
        <v>0.78</v>
      </c>
      <c r="K112" s="63"/>
      <c r="L112" s="63"/>
      <c r="M112" s="63"/>
    </row>
    <row r="113" spans="1:13" ht="12.75" customHeight="1" x14ac:dyDescent="0.25">
      <c r="A113" s="63" t="s">
        <v>480</v>
      </c>
      <c r="B113" s="87" t="s">
        <v>513</v>
      </c>
      <c r="C113" s="88" t="s">
        <v>518</v>
      </c>
      <c r="D113" s="95" t="s">
        <v>103</v>
      </c>
      <c r="E113" s="95"/>
      <c r="F113" s="63"/>
      <c r="G113" s="63"/>
      <c r="H113" s="63"/>
      <c r="I113" s="79">
        <v>0.12</v>
      </c>
      <c r="J113" s="79">
        <v>0.78</v>
      </c>
      <c r="K113" s="63"/>
      <c r="L113" s="63"/>
      <c r="M113" s="63"/>
    </row>
    <row r="114" spans="1:13" ht="12.75" customHeight="1" x14ac:dyDescent="0.25">
      <c r="A114" s="63" t="s">
        <v>577</v>
      </c>
      <c r="B114" s="87" t="s">
        <v>512</v>
      </c>
      <c r="C114" s="88" t="s">
        <v>468</v>
      </c>
      <c r="D114" s="95" t="s">
        <v>100</v>
      </c>
      <c r="E114" s="95"/>
      <c r="F114" s="63"/>
      <c r="G114" s="63"/>
      <c r="H114" s="63"/>
      <c r="I114" s="79">
        <v>7</v>
      </c>
      <c r="J114" s="79">
        <v>63</v>
      </c>
      <c r="K114" s="63"/>
      <c r="L114" s="63"/>
      <c r="M114" s="63"/>
    </row>
    <row r="115" spans="1:13" ht="12.75" customHeight="1" x14ac:dyDescent="0.25">
      <c r="A115" s="63" t="s">
        <v>577</v>
      </c>
      <c r="B115" s="87" t="s">
        <v>127</v>
      </c>
      <c r="C115" s="88" t="s">
        <v>127</v>
      </c>
      <c r="D115" s="95" t="s">
        <v>128</v>
      </c>
      <c r="E115" s="95"/>
      <c r="F115" s="63"/>
      <c r="G115" s="63"/>
      <c r="H115" s="63"/>
      <c r="I115" s="79">
        <v>8</v>
      </c>
      <c r="J115" s="79">
        <v>12</v>
      </c>
      <c r="K115" s="63"/>
      <c r="L115" s="63"/>
      <c r="M115" s="63"/>
    </row>
    <row r="116" spans="1:13" ht="12.75" customHeight="1" x14ac:dyDescent="0.25">
      <c r="A116" s="63" t="s">
        <v>577</v>
      </c>
      <c r="B116" s="87" t="s">
        <v>513</v>
      </c>
      <c r="C116" s="88" t="s">
        <v>514</v>
      </c>
      <c r="D116" s="95" t="s">
        <v>103</v>
      </c>
      <c r="E116" s="95"/>
      <c r="F116" s="63"/>
      <c r="G116" s="63"/>
      <c r="H116" s="63"/>
      <c r="I116" s="79">
        <v>0.12</v>
      </c>
      <c r="J116" s="79">
        <v>0.78</v>
      </c>
      <c r="K116" s="63"/>
      <c r="L116" s="63"/>
      <c r="M116" s="63"/>
    </row>
    <row r="117" spans="1:13" ht="12.75" customHeight="1" x14ac:dyDescent="0.25">
      <c r="A117" s="63" t="s">
        <v>578</v>
      </c>
      <c r="B117" s="63" t="s">
        <v>512</v>
      </c>
      <c r="C117" s="78" t="s">
        <v>565</v>
      </c>
      <c r="D117" s="60" t="s">
        <v>100</v>
      </c>
      <c r="E117" s="60"/>
      <c r="F117" s="63"/>
      <c r="G117" s="63"/>
      <c r="H117" s="63"/>
      <c r="I117" s="79">
        <v>7</v>
      </c>
      <c r="J117" s="79">
        <v>55</v>
      </c>
      <c r="K117" s="63"/>
      <c r="L117" s="63"/>
      <c r="M117" s="63"/>
    </row>
    <row r="118" spans="1:13" ht="12.75" customHeight="1" x14ac:dyDescent="0.25">
      <c r="A118" s="63" t="s">
        <v>578</v>
      </c>
      <c r="B118" s="63" t="s">
        <v>512</v>
      </c>
      <c r="C118" s="78" t="s">
        <v>569</v>
      </c>
      <c r="D118" s="96" t="s">
        <v>100</v>
      </c>
      <c r="E118" s="96"/>
      <c r="F118" s="63"/>
      <c r="G118" s="63"/>
      <c r="H118" s="63"/>
      <c r="I118" s="79">
        <v>7</v>
      </c>
      <c r="J118" s="79">
        <v>61</v>
      </c>
      <c r="K118" s="63"/>
      <c r="L118" s="63"/>
      <c r="M118" s="63"/>
    </row>
    <row r="119" spans="1:13" ht="12.75" customHeight="1" x14ac:dyDescent="0.25">
      <c r="A119" s="63" t="s">
        <v>578</v>
      </c>
      <c r="B119" s="87" t="s">
        <v>127</v>
      </c>
      <c r="C119" s="87" t="s">
        <v>127</v>
      </c>
      <c r="D119" s="60" t="s">
        <v>128</v>
      </c>
      <c r="E119" s="60"/>
      <c r="F119" s="63"/>
      <c r="G119" s="63"/>
      <c r="H119" s="63"/>
      <c r="I119" s="79">
        <v>8</v>
      </c>
      <c r="J119" s="79">
        <v>12</v>
      </c>
      <c r="K119" s="63"/>
      <c r="L119" s="63"/>
      <c r="M119" s="63"/>
    </row>
    <row r="120" spans="1:13" ht="12.75" customHeight="1" x14ac:dyDescent="0.25">
      <c r="A120" s="63" t="s">
        <v>578</v>
      </c>
      <c r="B120" s="87" t="s">
        <v>513</v>
      </c>
      <c r="C120" s="97" t="s">
        <v>514</v>
      </c>
      <c r="D120" s="95" t="s">
        <v>103</v>
      </c>
      <c r="E120" s="95"/>
      <c r="F120" s="63"/>
      <c r="G120" s="63"/>
      <c r="H120" s="63"/>
      <c r="I120" s="79">
        <v>0.12</v>
      </c>
      <c r="J120" s="79">
        <v>0.78</v>
      </c>
      <c r="K120" s="63"/>
      <c r="L120" s="63"/>
      <c r="M120" s="63"/>
    </row>
    <row r="121" spans="1:13" ht="12.75" customHeight="1" x14ac:dyDescent="0.25">
      <c r="A121" s="63" t="s">
        <v>578</v>
      </c>
      <c r="B121" s="87" t="s">
        <v>513</v>
      </c>
      <c r="C121" s="97" t="s">
        <v>552</v>
      </c>
      <c r="D121" s="95" t="s">
        <v>103</v>
      </c>
      <c r="E121" s="95"/>
      <c r="F121" s="63"/>
      <c r="G121" s="63"/>
      <c r="H121" s="63"/>
      <c r="I121" s="79">
        <v>0.12</v>
      </c>
      <c r="J121" s="79">
        <v>0.78</v>
      </c>
      <c r="K121" s="63"/>
      <c r="L121" s="63"/>
      <c r="M121" s="63"/>
    </row>
    <row r="122" spans="1:13" ht="12.75" customHeight="1" x14ac:dyDescent="0.25">
      <c r="A122" s="63" t="s">
        <v>578</v>
      </c>
      <c r="B122" s="87" t="s">
        <v>513</v>
      </c>
      <c r="C122" s="88" t="s">
        <v>515</v>
      </c>
      <c r="D122" s="95" t="s">
        <v>103</v>
      </c>
      <c r="E122" s="95"/>
      <c r="F122" s="63"/>
      <c r="G122" s="63"/>
      <c r="H122" s="63"/>
      <c r="I122" s="79">
        <v>0.12</v>
      </c>
      <c r="J122" s="79">
        <v>0.78</v>
      </c>
      <c r="K122" s="63"/>
      <c r="L122" s="63"/>
      <c r="M122" s="63"/>
    </row>
    <row r="123" spans="1:13" ht="12.75" customHeight="1" x14ac:dyDescent="0.25">
      <c r="A123" s="63" t="s">
        <v>578</v>
      </c>
      <c r="B123" s="87" t="s">
        <v>513</v>
      </c>
      <c r="C123" s="88" t="s">
        <v>574</v>
      </c>
      <c r="D123" s="95" t="s">
        <v>103</v>
      </c>
      <c r="E123" s="95"/>
      <c r="F123" s="63"/>
      <c r="G123" s="63"/>
      <c r="H123" s="63"/>
      <c r="I123" s="79">
        <v>0.12</v>
      </c>
      <c r="J123" s="79">
        <v>0.78</v>
      </c>
      <c r="K123" s="63"/>
      <c r="L123" s="63"/>
      <c r="M123" s="63"/>
    </row>
    <row r="124" spans="1:13" ht="12.75" customHeight="1" x14ac:dyDescent="0.25">
      <c r="A124" s="63" t="s">
        <v>578</v>
      </c>
      <c r="B124" s="87" t="s">
        <v>517</v>
      </c>
      <c r="C124" s="88" t="s">
        <v>518</v>
      </c>
      <c r="D124" s="95" t="s">
        <v>103</v>
      </c>
      <c r="E124" s="95"/>
      <c r="F124" s="63"/>
      <c r="G124" s="63"/>
      <c r="H124" s="63"/>
      <c r="I124" s="79">
        <v>0.12</v>
      </c>
      <c r="J124" s="79">
        <v>0.78</v>
      </c>
      <c r="K124" s="63"/>
      <c r="L124" s="63"/>
      <c r="M124" s="63"/>
    </row>
    <row r="125" spans="1:13" ht="12.75" customHeight="1" x14ac:dyDescent="0.25">
      <c r="A125" s="63" t="s">
        <v>579</v>
      </c>
      <c r="B125" s="63" t="s">
        <v>512</v>
      </c>
      <c r="C125" s="78" t="s">
        <v>565</v>
      </c>
      <c r="D125" s="60" t="s">
        <v>100</v>
      </c>
      <c r="E125" s="60"/>
      <c r="F125" s="63"/>
      <c r="G125" s="63"/>
      <c r="H125" s="63"/>
      <c r="I125" s="79">
        <v>7</v>
      </c>
      <c r="J125" s="79">
        <v>55</v>
      </c>
      <c r="K125" s="63"/>
      <c r="L125" s="63"/>
      <c r="M125" s="63"/>
    </row>
    <row r="126" spans="1:13" ht="12.75" customHeight="1" x14ac:dyDescent="0.25">
      <c r="A126" s="63" t="s">
        <v>579</v>
      </c>
      <c r="B126" s="63" t="s">
        <v>512</v>
      </c>
      <c r="C126" s="78" t="s">
        <v>569</v>
      </c>
      <c r="D126" s="96" t="s">
        <v>100</v>
      </c>
      <c r="E126" s="96"/>
      <c r="F126" s="63"/>
      <c r="G126" s="63"/>
      <c r="H126" s="63"/>
      <c r="I126" s="79">
        <v>7</v>
      </c>
      <c r="J126" s="79">
        <v>61</v>
      </c>
      <c r="K126" s="63"/>
      <c r="L126" s="63"/>
      <c r="M126" s="63"/>
    </row>
    <row r="127" spans="1:13" ht="12.75" customHeight="1" x14ac:dyDescent="0.25">
      <c r="A127" s="63" t="s">
        <v>579</v>
      </c>
      <c r="B127" s="87" t="s">
        <v>127</v>
      </c>
      <c r="C127" s="87" t="s">
        <v>127</v>
      </c>
      <c r="D127" s="60" t="s">
        <v>128</v>
      </c>
      <c r="E127" s="60"/>
      <c r="F127" s="63"/>
      <c r="G127" s="63"/>
      <c r="H127" s="63"/>
      <c r="I127" s="79">
        <v>8</v>
      </c>
      <c r="J127" s="79">
        <v>12</v>
      </c>
      <c r="K127" s="63"/>
      <c r="L127" s="63"/>
      <c r="M127" s="63"/>
    </row>
    <row r="128" spans="1:13" ht="12.75" customHeight="1" x14ac:dyDescent="0.25">
      <c r="A128" s="63" t="s">
        <v>579</v>
      </c>
      <c r="B128" s="87" t="s">
        <v>513</v>
      </c>
      <c r="C128" s="97" t="s">
        <v>514</v>
      </c>
      <c r="D128" s="95" t="s">
        <v>103</v>
      </c>
      <c r="E128" s="95"/>
      <c r="F128" s="63"/>
      <c r="G128" s="63"/>
      <c r="H128" s="63"/>
      <c r="I128" s="79">
        <v>0.12</v>
      </c>
      <c r="J128" s="79">
        <v>0.78</v>
      </c>
      <c r="K128" s="63"/>
      <c r="L128" s="63"/>
      <c r="M128" s="63"/>
    </row>
    <row r="129" spans="1:13" ht="12.75" customHeight="1" x14ac:dyDescent="0.25">
      <c r="A129" s="63" t="s">
        <v>579</v>
      </c>
      <c r="B129" s="87" t="s">
        <v>513</v>
      </c>
      <c r="C129" s="97" t="s">
        <v>552</v>
      </c>
      <c r="D129" s="95" t="s">
        <v>103</v>
      </c>
      <c r="E129" s="95"/>
      <c r="F129" s="63"/>
      <c r="G129" s="63"/>
      <c r="H129" s="63"/>
      <c r="I129" s="79">
        <v>0.12</v>
      </c>
      <c r="J129" s="79">
        <v>0.78</v>
      </c>
      <c r="K129" s="63"/>
      <c r="L129" s="63"/>
      <c r="M129" s="63"/>
    </row>
    <row r="130" spans="1:13" ht="12.75" customHeight="1" x14ac:dyDescent="0.25">
      <c r="A130" s="63" t="s">
        <v>579</v>
      </c>
      <c r="B130" s="87" t="s">
        <v>513</v>
      </c>
      <c r="C130" s="88" t="s">
        <v>515</v>
      </c>
      <c r="D130" s="95" t="s">
        <v>103</v>
      </c>
      <c r="E130" s="95"/>
      <c r="F130" s="63"/>
      <c r="G130" s="63"/>
      <c r="H130" s="63"/>
      <c r="I130" s="79">
        <v>0.12</v>
      </c>
      <c r="J130" s="79">
        <v>0.78</v>
      </c>
      <c r="K130" s="63"/>
      <c r="L130" s="63"/>
      <c r="M130" s="63"/>
    </row>
    <row r="131" spans="1:13" ht="12.75" customHeight="1" x14ac:dyDescent="0.25">
      <c r="A131" s="63" t="s">
        <v>579</v>
      </c>
      <c r="B131" s="87" t="s">
        <v>513</v>
      </c>
      <c r="C131" s="88" t="s">
        <v>574</v>
      </c>
      <c r="D131" s="95" t="s">
        <v>103</v>
      </c>
      <c r="E131" s="95"/>
      <c r="F131" s="63"/>
      <c r="G131" s="63"/>
      <c r="H131" s="63"/>
      <c r="I131" s="79">
        <v>0.12</v>
      </c>
      <c r="J131" s="79">
        <v>0.78</v>
      </c>
      <c r="K131" s="63"/>
      <c r="L131" s="63"/>
      <c r="M131" s="63"/>
    </row>
    <row r="132" spans="1:13" ht="12.75" customHeight="1" x14ac:dyDescent="0.25">
      <c r="A132" s="63" t="s">
        <v>579</v>
      </c>
      <c r="B132" s="87" t="s">
        <v>517</v>
      </c>
      <c r="C132" s="88" t="s">
        <v>518</v>
      </c>
      <c r="D132" s="95" t="s">
        <v>103</v>
      </c>
      <c r="E132" s="95"/>
      <c r="F132" s="63"/>
      <c r="G132" s="63"/>
      <c r="H132" s="63"/>
      <c r="I132" s="79">
        <v>0.12</v>
      </c>
      <c r="J132" s="79">
        <v>0.78</v>
      </c>
      <c r="K132" s="63"/>
      <c r="L132" s="63"/>
      <c r="M132" s="63"/>
    </row>
    <row r="133" spans="1:13" ht="12.75" customHeight="1" x14ac:dyDescent="0.25">
      <c r="A133" s="63" t="s">
        <v>580</v>
      </c>
      <c r="B133" s="87" t="s">
        <v>581</v>
      </c>
      <c r="C133" s="88" t="s">
        <v>582</v>
      </c>
      <c r="D133" s="95" t="s">
        <v>103</v>
      </c>
      <c r="E133" s="95"/>
      <c r="F133" s="63"/>
      <c r="G133" s="63"/>
      <c r="H133" s="63"/>
      <c r="I133" s="79">
        <v>0.5</v>
      </c>
      <c r="J133" s="79">
        <v>1.5</v>
      </c>
      <c r="K133" s="63"/>
      <c r="L133" s="63"/>
      <c r="M133" s="63"/>
    </row>
    <row r="134" spans="1:13" ht="12.75" customHeight="1" x14ac:dyDescent="0.25">
      <c r="A134" s="63" t="s">
        <v>580</v>
      </c>
      <c r="B134" s="87" t="s">
        <v>581</v>
      </c>
      <c r="C134" s="88" t="s">
        <v>583</v>
      </c>
      <c r="D134" s="95" t="s">
        <v>103</v>
      </c>
      <c r="E134" s="95"/>
      <c r="F134" s="63"/>
      <c r="G134" s="63"/>
      <c r="H134" s="63"/>
      <c r="I134" s="79">
        <v>0</v>
      </c>
      <c r="J134" s="79">
        <v>0</v>
      </c>
      <c r="K134" s="63"/>
      <c r="L134" s="63"/>
      <c r="M134" s="63"/>
    </row>
    <row r="135" spans="1:13" ht="12.75" customHeight="1" x14ac:dyDescent="0.25">
      <c r="A135" s="63" t="s">
        <v>580</v>
      </c>
      <c r="B135" s="87" t="s">
        <v>581</v>
      </c>
      <c r="C135" s="88" t="s">
        <v>581</v>
      </c>
      <c r="D135" s="95" t="s">
        <v>103</v>
      </c>
      <c r="E135" s="95"/>
      <c r="F135" s="63"/>
      <c r="G135" s="63"/>
      <c r="H135" s="63"/>
      <c r="I135" s="79">
        <v>0.5</v>
      </c>
      <c r="J135" s="79">
        <v>1.5</v>
      </c>
      <c r="K135" s="63"/>
      <c r="L135" s="63"/>
      <c r="M135" s="63"/>
    </row>
    <row r="136" spans="1:13" ht="12.75" customHeight="1" x14ac:dyDescent="0.25">
      <c r="A136" s="98" t="s">
        <v>580</v>
      </c>
      <c r="B136" s="99" t="s">
        <v>581</v>
      </c>
      <c r="C136" s="100" t="s">
        <v>584</v>
      </c>
      <c r="D136" s="101" t="s">
        <v>103</v>
      </c>
      <c r="E136" s="101"/>
      <c r="F136" s="98"/>
      <c r="G136" s="98"/>
      <c r="H136" s="98"/>
      <c r="I136" s="102">
        <v>0.5</v>
      </c>
      <c r="J136" s="102">
        <v>1.1499999999999999</v>
      </c>
      <c r="K136" s="98"/>
      <c r="L136" s="98"/>
      <c r="M136" s="98"/>
    </row>
    <row r="137" spans="1:13" ht="28.5" customHeight="1" x14ac:dyDescent="0.25">
      <c r="B137" s="103"/>
      <c r="C137" s="103"/>
      <c r="D137" s="104"/>
      <c r="E137" s="104"/>
    </row>
    <row r="138" spans="1:13" ht="28.5" customHeight="1" x14ac:dyDescent="0.25">
      <c r="B138" s="103"/>
      <c r="C138" s="103"/>
      <c r="D138" s="104"/>
      <c r="E138" s="104"/>
    </row>
    <row r="139" spans="1:13" ht="28.5" customHeight="1" x14ac:dyDescent="0.25">
      <c r="B139" s="103"/>
      <c r="C139" s="103"/>
      <c r="D139" s="104"/>
      <c r="E139" s="104"/>
    </row>
    <row r="140" spans="1:13" ht="28.5" customHeight="1" x14ac:dyDescent="0.25">
      <c r="B140" s="103"/>
      <c r="C140" s="103"/>
      <c r="D140" s="104"/>
      <c r="E140" s="104"/>
    </row>
    <row r="141" spans="1:13" ht="28.5" customHeight="1" x14ac:dyDescent="0.25">
      <c r="B141" s="103"/>
      <c r="C141" s="103"/>
      <c r="D141" s="104"/>
      <c r="E141" s="104"/>
    </row>
    <row r="142" spans="1:13" ht="28.5" customHeight="1" x14ac:dyDescent="0.25">
      <c r="B142" s="103"/>
      <c r="C142" s="103"/>
      <c r="D142" s="104"/>
      <c r="E142" s="104"/>
    </row>
    <row r="143" spans="1:13" ht="28.5" customHeight="1" x14ac:dyDescent="0.25">
      <c r="B143" s="103"/>
      <c r="C143" s="103"/>
      <c r="D143" s="104"/>
      <c r="E143" s="104"/>
    </row>
    <row r="144" spans="1:13" ht="28.5" customHeight="1" x14ac:dyDescent="0.25">
      <c r="B144" s="103"/>
      <c r="C144" s="103"/>
      <c r="D144" s="104"/>
      <c r="E144" s="104"/>
    </row>
    <row r="145" spans="2:5" ht="28.5" customHeight="1" x14ac:dyDescent="0.25">
      <c r="B145" s="103"/>
      <c r="C145" s="103"/>
      <c r="D145" s="104"/>
      <c r="E145" s="104"/>
    </row>
    <row r="146" spans="2:5" ht="28.5" customHeight="1" x14ac:dyDescent="0.25">
      <c r="B146" s="103"/>
      <c r="C146" s="103"/>
      <c r="D146" s="104"/>
      <c r="E146" s="104"/>
    </row>
    <row r="147" spans="2:5" ht="28.5" customHeight="1" x14ac:dyDescent="0.25">
      <c r="B147" s="103"/>
      <c r="C147" s="103"/>
      <c r="D147" s="104"/>
      <c r="E147" s="104"/>
    </row>
    <row r="148" spans="2:5" ht="28.5" customHeight="1" x14ac:dyDescent="0.25">
      <c r="B148" s="103"/>
      <c r="C148" s="103"/>
      <c r="D148" s="104"/>
      <c r="E148" s="104"/>
    </row>
    <row r="149" spans="2:5" ht="28.5" customHeight="1" x14ac:dyDescent="0.25">
      <c r="B149" s="103"/>
      <c r="C149" s="103"/>
      <c r="D149" s="104"/>
      <c r="E149" s="104"/>
    </row>
    <row r="150" spans="2:5" ht="28.5" customHeight="1" x14ac:dyDescent="0.25">
      <c r="B150" s="103"/>
      <c r="C150" s="103"/>
      <c r="D150" s="104"/>
      <c r="E150" s="104"/>
    </row>
    <row r="151" spans="2:5" ht="28.5" customHeight="1" x14ac:dyDescent="0.25">
      <c r="B151" s="103"/>
      <c r="C151" s="103"/>
      <c r="D151" s="104"/>
      <c r="E151" s="104"/>
    </row>
    <row r="152" spans="2:5" ht="28.5" customHeight="1" x14ac:dyDescent="0.25">
      <c r="B152" s="103"/>
      <c r="C152" s="103"/>
      <c r="D152" s="104"/>
      <c r="E152" s="104"/>
    </row>
    <row r="153" spans="2:5" ht="28.5" customHeight="1" x14ac:dyDescent="0.25">
      <c r="B153" s="103"/>
      <c r="C153" s="103"/>
      <c r="D153" s="104"/>
      <c r="E153" s="104"/>
    </row>
    <row r="154" spans="2:5" ht="28.5" customHeight="1" x14ac:dyDescent="0.25">
      <c r="B154" s="103"/>
      <c r="C154" s="103"/>
      <c r="D154" s="104"/>
      <c r="E154" s="104"/>
    </row>
    <row r="155" spans="2:5" ht="28.5" customHeight="1" x14ac:dyDescent="0.25">
      <c r="B155" s="103"/>
      <c r="C155" s="103"/>
      <c r="D155" s="104"/>
      <c r="E155" s="104"/>
    </row>
    <row r="156" spans="2:5" ht="28.5" customHeight="1" x14ac:dyDescent="0.25">
      <c r="B156" s="103"/>
      <c r="C156" s="103"/>
      <c r="D156" s="104"/>
      <c r="E156" s="104"/>
    </row>
    <row r="157" spans="2:5" ht="28.5" customHeight="1" x14ac:dyDescent="0.25">
      <c r="B157" s="103"/>
      <c r="C157" s="103"/>
      <c r="D157" s="104"/>
      <c r="E157" s="104"/>
    </row>
    <row r="158" spans="2:5" ht="28.5" customHeight="1" x14ac:dyDescent="0.25">
      <c r="B158" s="103"/>
      <c r="C158" s="103"/>
      <c r="D158" s="104"/>
      <c r="E158" s="104"/>
    </row>
    <row r="159" spans="2:5" ht="28.5" customHeight="1" x14ac:dyDescent="0.25">
      <c r="B159" s="103"/>
      <c r="C159" s="103"/>
      <c r="D159" s="104"/>
      <c r="E159" s="104"/>
    </row>
    <row r="160" spans="2:5" ht="28.5" customHeight="1" x14ac:dyDescent="0.25">
      <c r="B160" s="103"/>
      <c r="C160" s="103"/>
      <c r="D160" s="104"/>
      <c r="E160" s="104"/>
    </row>
    <row r="161" spans="2:5" ht="28.5" customHeight="1" x14ac:dyDescent="0.25">
      <c r="B161" s="103"/>
      <c r="C161" s="103"/>
      <c r="D161" s="104"/>
      <c r="E161" s="104"/>
    </row>
    <row r="162" spans="2:5" ht="28.5" customHeight="1" x14ac:dyDescent="0.25">
      <c r="B162" s="103"/>
      <c r="C162" s="103"/>
      <c r="D162" s="104"/>
      <c r="E162" s="104"/>
    </row>
    <row r="163" spans="2:5" ht="28.5" customHeight="1" x14ac:dyDescent="0.25">
      <c r="B163" s="103"/>
      <c r="C163" s="103"/>
      <c r="D163" s="104"/>
      <c r="E163" s="104"/>
    </row>
    <row r="164" spans="2:5" ht="28.5" customHeight="1" x14ac:dyDescent="0.25">
      <c r="B164" s="103"/>
      <c r="C164" s="103"/>
      <c r="D164" s="104"/>
      <c r="E164" s="104"/>
    </row>
    <row r="165" spans="2:5" ht="28.5" customHeight="1" x14ac:dyDescent="0.25">
      <c r="B165" s="103"/>
      <c r="C165" s="103"/>
      <c r="D165" s="104"/>
      <c r="E165" s="104"/>
    </row>
    <row r="166" spans="2:5" ht="28.5" customHeight="1" x14ac:dyDescent="0.25">
      <c r="B166" s="103"/>
      <c r="C166" s="103"/>
      <c r="D166" s="104"/>
      <c r="E166" s="104"/>
    </row>
    <row r="167" spans="2:5" ht="28.5" customHeight="1" x14ac:dyDescent="0.25">
      <c r="B167" s="103"/>
      <c r="C167" s="103"/>
      <c r="D167" s="104"/>
      <c r="E167" s="104"/>
    </row>
    <row r="168" spans="2:5" ht="28.5" customHeight="1" x14ac:dyDescent="0.25">
      <c r="B168" s="103"/>
      <c r="C168" s="103"/>
      <c r="D168" s="104"/>
      <c r="E168" s="104"/>
    </row>
    <row r="169" spans="2:5" ht="28.5" customHeight="1" x14ac:dyDescent="0.25">
      <c r="B169" s="103"/>
      <c r="C169" s="103"/>
      <c r="D169" s="104"/>
      <c r="E169" s="104"/>
    </row>
    <row r="170" spans="2:5" ht="28.5" customHeight="1" x14ac:dyDescent="0.25">
      <c r="B170" s="103"/>
      <c r="C170" s="103"/>
      <c r="D170" s="104"/>
      <c r="E170" s="104"/>
    </row>
    <row r="171" spans="2:5" ht="28.5" customHeight="1" x14ac:dyDescent="0.25">
      <c r="B171" s="103"/>
      <c r="C171" s="103"/>
      <c r="D171" s="104"/>
      <c r="E171" s="104"/>
    </row>
    <row r="172" spans="2:5" ht="28.5" customHeight="1" x14ac:dyDescent="0.25">
      <c r="B172" s="103"/>
      <c r="C172" s="103"/>
      <c r="D172" s="104"/>
      <c r="E172" s="104"/>
    </row>
    <row r="173" spans="2:5" ht="28.5" customHeight="1" x14ac:dyDescent="0.25">
      <c r="B173" s="103"/>
      <c r="C173" s="103"/>
      <c r="D173" s="104"/>
      <c r="E173" s="104"/>
    </row>
    <row r="174" spans="2:5" ht="28.5" customHeight="1" x14ac:dyDescent="0.25">
      <c r="B174" s="103"/>
      <c r="C174" s="103"/>
      <c r="D174" s="104"/>
      <c r="E174" s="104"/>
    </row>
    <row r="175" spans="2:5" ht="28.5" customHeight="1" x14ac:dyDescent="0.25">
      <c r="B175" s="103"/>
      <c r="C175" s="103"/>
      <c r="D175" s="104"/>
      <c r="E175" s="104"/>
    </row>
    <row r="176" spans="2:5" ht="28.5" customHeight="1" x14ac:dyDescent="0.25">
      <c r="B176" s="103"/>
      <c r="C176" s="103"/>
      <c r="D176" s="104"/>
      <c r="E176" s="104"/>
    </row>
    <row r="177" spans="2:5" ht="28.5" customHeight="1" x14ac:dyDescent="0.25">
      <c r="B177" s="103"/>
      <c r="C177" s="103"/>
      <c r="D177" s="104"/>
      <c r="E177" s="104"/>
    </row>
    <row r="178" spans="2:5" ht="28.5" customHeight="1" x14ac:dyDescent="0.25">
      <c r="B178" s="103"/>
      <c r="C178" s="103"/>
      <c r="D178" s="104"/>
      <c r="E178" s="104"/>
    </row>
    <row r="179" spans="2:5" ht="28.5" customHeight="1" x14ac:dyDescent="0.25">
      <c r="B179" s="103"/>
      <c r="C179" s="103"/>
      <c r="D179" s="104"/>
      <c r="E179" s="104"/>
    </row>
    <row r="180" spans="2:5" ht="28.5" customHeight="1" x14ac:dyDescent="0.25">
      <c r="B180" s="103"/>
      <c r="C180" s="103"/>
      <c r="D180" s="104"/>
      <c r="E180" s="104"/>
    </row>
    <row r="181" spans="2:5" ht="28.5" customHeight="1" x14ac:dyDescent="0.25">
      <c r="B181" s="103"/>
      <c r="C181" s="103"/>
      <c r="D181" s="104"/>
      <c r="E181" s="104"/>
    </row>
    <row r="182" spans="2:5" ht="28.5" customHeight="1" x14ac:dyDescent="0.25">
      <c r="B182" s="103"/>
      <c r="C182" s="103"/>
      <c r="D182" s="104"/>
      <c r="E182" s="104"/>
    </row>
    <row r="183" spans="2:5" ht="28.5" customHeight="1" x14ac:dyDescent="0.25">
      <c r="B183" s="103"/>
      <c r="C183" s="103"/>
      <c r="D183" s="104"/>
      <c r="E183" s="104"/>
    </row>
    <row r="184" spans="2:5" ht="28.5" customHeight="1" x14ac:dyDescent="0.25">
      <c r="B184" s="103"/>
      <c r="C184" s="103"/>
      <c r="D184" s="104"/>
      <c r="E184" s="104"/>
    </row>
    <row r="185" spans="2:5" ht="28.5" customHeight="1" x14ac:dyDescent="0.25">
      <c r="B185" s="103"/>
      <c r="C185" s="103"/>
      <c r="D185" s="104"/>
      <c r="E185" s="104"/>
    </row>
    <row r="186" spans="2:5" ht="28.5" customHeight="1" x14ac:dyDescent="0.25">
      <c r="B186" s="103"/>
      <c r="C186" s="103"/>
      <c r="D186" s="104"/>
      <c r="E186" s="104"/>
    </row>
    <row r="187" spans="2:5" ht="28.5" customHeight="1" x14ac:dyDescent="0.25">
      <c r="B187" s="103"/>
      <c r="C187" s="103"/>
      <c r="D187" s="104"/>
      <c r="E187" s="104"/>
    </row>
    <row r="188" spans="2:5" ht="28.5" customHeight="1" x14ac:dyDescent="0.25">
      <c r="B188" s="103"/>
      <c r="C188" s="103"/>
      <c r="D188" s="104"/>
      <c r="E188" s="104"/>
    </row>
    <row r="189" spans="2:5" ht="28.5" customHeight="1" x14ac:dyDescent="0.25">
      <c r="B189" s="103"/>
      <c r="C189" s="103"/>
      <c r="D189" s="104"/>
      <c r="E189" s="104"/>
    </row>
    <row r="190" spans="2:5" ht="28.5" customHeight="1" x14ac:dyDescent="0.25">
      <c r="B190" s="103"/>
      <c r="C190" s="103"/>
      <c r="D190" s="104"/>
      <c r="E190" s="104"/>
    </row>
    <row r="191" spans="2:5" ht="28.5" customHeight="1" x14ac:dyDescent="0.25">
      <c r="B191" s="103"/>
      <c r="C191" s="103"/>
      <c r="D191" s="104"/>
      <c r="E191" s="104"/>
    </row>
    <row r="192" spans="2:5" ht="28.5" customHeight="1" x14ac:dyDescent="0.25">
      <c r="B192" s="103"/>
      <c r="C192" s="103"/>
      <c r="D192" s="104"/>
      <c r="E192" s="104"/>
    </row>
    <row r="193" spans="2:5" ht="28.5" customHeight="1" x14ac:dyDescent="0.25">
      <c r="B193" s="103"/>
      <c r="C193" s="103"/>
      <c r="D193" s="104"/>
      <c r="E193" s="104"/>
    </row>
    <row r="194" spans="2:5" ht="28.5" customHeight="1" x14ac:dyDescent="0.25">
      <c r="B194" s="103"/>
      <c r="C194" s="103"/>
      <c r="D194" s="104"/>
      <c r="E194" s="104"/>
    </row>
    <row r="195" spans="2:5" ht="28.5" customHeight="1" x14ac:dyDescent="0.25">
      <c r="B195" s="103"/>
      <c r="C195" s="103"/>
      <c r="D195" s="104"/>
      <c r="E195" s="104"/>
    </row>
    <row r="196" spans="2:5" ht="28.5" customHeight="1" x14ac:dyDescent="0.25">
      <c r="B196" s="103"/>
      <c r="C196" s="103"/>
      <c r="D196" s="104"/>
      <c r="E196" s="104"/>
    </row>
    <row r="197" spans="2:5" ht="28.5" customHeight="1" x14ac:dyDescent="0.25">
      <c r="B197" s="103"/>
      <c r="C197" s="103"/>
      <c r="D197" s="104"/>
      <c r="E197" s="104"/>
    </row>
    <row r="198" spans="2:5" ht="28.5" customHeight="1" x14ac:dyDescent="0.25">
      <c r="B198" s="103"/>
      <c r="C198" s="103"/>
      <c r="D198" s="104"/>
      <c r="E198" s="104"/>
    </row>
    <row r="199" spans="2:5" ht="28.5" customHeight="1" x14ac:dyDescent="0.25">
      <c r="B199" s="103"/>
      <c r="C199" s="103"/>
      <c r="D199" s="104"/>
      <c r="E199" s="104"/>
    </row>
    <row r="200" spans="2:5" ht="28.5" customHeight="1" x14ac:dyDescent="0.25">
      <c r="B200" s="103"/>
      <c r="C200" s="103"/>
      <c r="D200" s="104"/>
      <c r="E200" s="104"/>
    </row>
    <row r="201" spans="2:5" ht="28.5" customHeight="1" x14ac:dyDescent="0.25">
      <c r="B201" s="103"/>
      <c r="C201" s="103"/>
      <c r="D201" s="104"/>
      <c r="E201" s="104"/>
    </row>
    <row r="202" spans="2:5" ht="28.5" customHeight="1" x14ac:dyDescent="0.25">
      <c r="B202" s="103"/>
      <c r="C202" s="103"/>
      <c r="D202" s="104"/>
      <c r="E202" s="104"/>
    </row>
    <row r="203" spans="2:5" ht="28.5" customHeight="1" x14ac:dyDescent="0.25">
      <c r="B203" s="103"/>
      <c r="C203" s="103"/>
      <c r="D203" s="104"/>
      <c r="E203" s="104"/>
    </row>
    <row r="204" spans="2:5" ht="28.5" customHeight="1" x14ac:dyDescent="0.25">
      <c r="B204" s="103"/>
      <c r="C204" s="103"/>
      <c r="D204" s="104"/>
      <c r="E204" s="104"/>
    </row>
    <row r="205" spans="2:5" ht="28.5" customHeight="1" x14ac:dyDescent="0.25">
      <c r="B205" s="103"/>
      <c r="C205" s="103"/>
      <c r="D205" s="104"/>
      <c r="E205" s="104"/>
    </row>
    <row r="206" spans="2:5" ht="28.5" customHeight="1" x14ac:dyDescent="0.25">
      <c r="B206" s="103"/>
      <c r="C206" s="103"/>
      <c r="D206" s="104"/>
      <c r="E206" s="104"/>
    </row>
    <row r="207" spans="2:5" ht="28.5" customHeight="1" x14ac:dyDescent="0.25">
      <c r="B207" s="103"/>
      <c r="C207" s="103"/>
      <c r="D207" s="104"/>
      <c r="E207" s="104"/>
    </row>
    <row r="208" spans="2:5" ht="28.5" customHeight="1" x14ac:dyDescent="0.25">
      <c r="B208" s="103"/>
      <c r="C208" s="103"/>
      <c r="D208" s="104"/>
      <c r="E208" s="104"/>
    </row>
    <row r="209" spans="2:5" ht="28.5" customHeight="1" x14ac:dyDescent="0.25">
      <c r="B209" s="103"/>
      <c r="C209" s="103"/>
      <c r="D209" s="104"/>
      <c r="E209" s="104"/>
    </row>
    <row r="210" spans="2:5" ht="28.5" customHeight="1" x14ac:dyDescent="0.25">
      <c r="B210" s="103"/>
      <c r="C210" s="103"/>
      <c r="D210" s="104"/>
      <c r="E210" s="104"/>
    </row>
    <row r="211" spans="2:5" ht="28.5" customHeight="1" x14ac:dyDescent="0.25">
      <c r="B211" s="103"/>
      <c r="C211" s="103"/>
      <c r="D211" s="104"/>
      <c r="E211" s="104"/>
    </row>
    <row r="212" spans="2:5" ht="28.5" customHeight="1" x14ac:dyDescent="0.25">
      <c r="B212" s="103"/>
      <c r="C212" s="103"/>
      <c r="D212" s="104"/>
      <c r="E212" s="104"/>
    </row>
    <row r="213" spans="2:5" ht="28.5" customHeight="1" x14ac:dyDescent="0.25">
      <c r="B213" s="103"/>
      <c r="C213" s="103"/>
      <c r="D213" s="104"/>
      <c r="E213" s="104"/>
    </row>
    <row r="214" spans="2:5" ht="28.5" customHeight="1" x14ac:dyDescent="0.25">
      <c r="B214" s="103"/>
      <c r="C214" s="103"/>
      <c r="D214" s="104"/>
      <c r="E214" s="104"/>
    </row>
    <row r="215" spans="2:5" ht="28.5" customHeight="1" x14ac:dyDescent="0.25">
      <c r="B215" s="103"/>
      <c r="C215" s="103"/>
      <c r="D215" s="104"/>
      <c r="E215" s="104"/>
    </row>
    <row r="216" spans="2:5" ht="28.5" customHeight="1" x14ac:dyDescent="0.25">
      <c r="B216" s="103"/>
      <c r="C216" s="103"/>
      <c r="D216" s="104"/>
      <c r="E216" s="104"/>
    </row>
    <row r="217" spans="2:5" ht="28.5" customHeight="1" x14ac:dyDescent="0.25">
      <c r="B217" s="103"/>
      <c r="C217" s="103"/>
      <c r="D217" s="104"/>
      <c r="E217" s="104"/>
    </row>
    <row r="218" spans="2:5" ht="28.5" customHeight="1" x14ac:dyDescent="0.25">
      <c r="B218" s="103"/>
      <c r="C218" s="103"/>
      <c r="D218" s="104"/>
      <c r="E218" s="104"/>
    </row>
    <row r="219" spans="2:5" ht="28.5" customHeight="1" x14ac:dyDescent="0.25">
      <c r="B219" s="103"/>
      <c r="C219" s="103"/>
      <c r="D219" s="104"/>
      <c r="E219" s="104"/>
    </row>
    <row r="220" spans="2:5" ht="28.5" customHeight="1" x14ac:dyDescent="0.25">
      <c r="B220" s="103"/>
      <c r="C220" s="103"/>
      <c r="D220" s="104"/>
      <c r="E220" s="104"/>
    </row>
    <row r="221" spans="2:5" ht="28.5" customHeight="1" x14ac:dyDescent="0.25">
      <c r="B221" s="103"/>
      <c r="C221" s="103"/>
      <c r="D221" s="104"/>
      <c r="E221" s="104"/>
    </row>
    <row r="222" spans="2:5" ht="28.5" customHeight="1" x14ac:dyDescent="0.25">
      <c r="B222" s="103"/>
      <c r="C222" s="103"/>
      <c r="D222" s="104"/>
      <c r="E222" s="104"/>
    </row>
    <row r="223" spans="2:5" ht="28.5" customHeight="1" x14ac:dyDescent="0.25">
      <c r="B223" s="103"/>
      <c r="C223" s="103"/>
      <c r="D223" s="104"/>
      <c r="E223" s="104"/>
    </row>
    <row r="224" spans="2:5" ht="28.5" customHeight="1" x14ac:dyDescent="0.25">
      <c r="B224" s="103"/>
      <c r="C224" s="103"/>
      <c r="D224" s="104"/>
      <c r="E224" s="104"/>
    </row>
    <row r="225" spans="2:5" ht="28.5" customHeight="1" x14ac:dyDescent="0.25">
      <c r="B225" s="103"/>
      <c r="C225" s="103"/>
      <c r="D225" s="104"/>
      <c r="E225" s="104"/>
    </row>
    <row r="226" spans="2:5" ht="28.5" customHeight="1" x14ac:dyDescent="0.25">
      <c r="B226" s="103"/>
      <c r="C226" s="103"/>
      <c r="D226" s="104"/>
      <c r="E226" s="104"/>
    </row>
    <row r="227" spans="2:5" ht="28.5" customHeight="1" x14ac:dyDescent="0.25">
      <c r="B227" s="103"/>
      <c r="C227" s="103"/>
      <c r="D227" s="104"/>
      <c r="E227" s="104"/>
    </row>
    <row r="228" spans="2:5" ht="28.5" customHeight="1" x14ac:dyDescent="0.25">
      <c r="B228" s="103"/>
      <c r="C228" s="103"/>
      <c r="D228" s="104"/>
      <c r="E228" s="104"/>
    </row>
    <row r="229" spans="2:5" ht="28.5" customHeight="1" x14ac:dyDescent="0.25">
      <c r="B229" s="103"/>
      <c r="C229" s="103"/>
      <c r="D229" s="104"/>
      <c r="E229" s="104"/>
    </row>
    <row r="230" spans="2:5" ht="28.5" customHeight="1" x14ac:dyDescent="0.25">
      <c r="B230" s="103"/>
      <c r="C230" s="103"/>
      <c r="D230" s="104"/>
      <c r="E230" s="104"/>
    </row>
    <row r="231" spans="2:5" ht="28.5" customHeight="1" x14ac:dyDescent="0.25">
      <c r="B231" s="103"/>
      <c r="C231" s="103"/>
      <c r="D231" s="104"/>
      <c r="E231" s="104"/>
    </row>
    <row r="232" spans="2:5" ht="28.5" customHeight="1" x14ac:dyDescent="0.25">
      <c r="B232" s="103"/>
      <c r="C232" s="103"/>
      <c r="D232" s="104"/>
      <c r="E232" s="104"/>
    </row>
    <row r="233" spans="2:5" ht="28.5" customHeight="1" x14ac:dyDescent="0.25">
      <c r="B233" s="103"/>
      <c r="C233" s="103"/>
      <c r="D233" s="104"/>
      <c r="E233" s="104"/>
    </row>
    <row r="234" spans="2:5" ht="28.5" customHeight="1" x14ac:dyDescent="0.25">
      <c r="B234" s="103"/>
      <c r="C234" s="103"/>
      <c r="D234" s="104"/>
      <c r="E234" s="104"/>
    </row>
    <row r="235" spans="2:5" ht="28.5" customHeight="1" x14ac:dyDescent="0.25">
      <c r="B235" s="103"/>
      <c r="C235" s="103"/>
      <c r="D235" s="104"/>
      <c r="E235" s="104"/>
    </row>
    <row r="236" spans="2:5" ht="28.5" customHeight="1" x14ac:dyDescent="0.25">
      <c r="B236" s="103"/>
      <c r="C236" s="103"/>
      <c r="D236" s="104"/>
      <c r="E236" s="104"/>
    </row>
    <row r="237" spans="2:5" ht="28.5" customHeight="1" x14ac:dyDescent="0.25">
      <c r="B237" s="103"/>
      <c r="C237" s="103"/>
      <c r="D237" s="104"/>
      <c r="E237" s="104"/>
    </row>
    <row r="238" spans="2:5" ht="28.5" customHeight="1" x14ac:dyDescent="0.25">
      <c r="B238" s="103"/>
      <c r="C238" s="103"/>
      <c r="D238" s="104"/>
      <c r="E238" s="104"/>
    </row>
    <row r="239" spans="2:5" ht="28.5" customHeight="1" x14ac:dyDescent="0.25">
      <c r="B239" s="103"/>
      <c r="C239" s="103"/>
      <c r="D239" s="104"/>
      <c r="E239" s="104"/>
    </row>
    <row r="240" spans="2:5" ht="28.5" customHeight="1" x14ac:dyDescent="0.25">
      <c r="B240" s="103"/>
      <c r="C240" s="103"/>
      <c r="D240" s="104"/>
      <c r="E240" s="104"/>
    </row>
    <row r="241" spans="2:5" ht="28.5" customHeight="1" x14ac:dyDescent="0.25">
      <c r="B241" s="103"/>
      <c r="C241" s="103"/>
      <c r="D241" s="104"/>
      <c r="E241" s="104"/>
    </row>
    <row r="242" spans="2:5" ht="28.5" customHeight="1" x14ac:dyDescent="0.25">
      <c r="B242" s="103"/>
      <c r="C242" s="103"/>
      <c r="D242" s="104"/>
      <c r="E242" s="104"/>
    </row>
    <row r="243" spans="2:5" ht="28.5" customHeight="1" x14ac:dyDescent="0.25">
      <c r="B243" s="103"/>
      <c r="C243" s="103"/>
      <c r="D243" s="104"/>
      <c r="E243" s="104"/>
    </row>
    <row r="244" spans="2:5" ht="28.5" customHeight="1" x14ac:dyDescent="0.25">
      <c r="B244" s="103"/>
      <c r="C244" s="103"/>
      <c r="D244" s="104"/>
      <c r="E244" s="104"/>
    </row>
    <row r="245" spans="2:5" ht="28.5" customHeight="1" x14ac:dyDescent="0.25">
      <c r="B245" s="103"/>
      <c r="C245" s="103"/>
      <c r="D245" s="104"/>
      <c r="E245" s="104"/>
    </row>
    <row r="246" spans="2:5" ht="28.5" customHeight="1" x14ac:dyDescent="0.25">
      <c r="B246" s="103"/>
      <c r="C246" s="103"/>
      <c r="D246" s="104"/>
      <c r="E246" s="104"/>
    </row>
    <row r="247" spans="2:5" ht="28.5" customHeight="1" x14ac:dyDescent="0.25">
      <c r="B247" s="103"/>
      <c r="C247" s="103"/>
      <c r="D247" s="104"/>
      <c r="E247" s="104"/>
    </row>
    <row r="248" spans="2:5" ht="28.5" customHeight="1" x14ac:dyDescent="0.25">
      <c r="B248" s="103"/>
      <c r="C248" s="103"/>
      <c r="D248" s="104"/>
      <c r="E248" s="104"/>
    </row>
    <row r="249" spans="2:5" ht="28.5" customHeight="1" x14ac:dyDescent="0.25">
      <c r="B249" s="103"/>
      <c r="C249" s="103"/>
      <c r="D249" s="104"/>
      <c r="E249" s="104"/>
    </row>
    <row r="250" spans="2:5" ht="28.5" customHeight="1" x14ac:dyDescent="0.25">
      <c r="B250" s="103"/>
      <c r="C250" s="103"/>
      <c r="D250" s="104"/>
      <c r="E250" s="104"/>
    </row>
    <row r="251" spans="2:5" ht="28.5" customHeight="1" x14ac:dyDescent="0.25">
      <c r="B251" s="103"/>
      <c r="C251" s="103"/>
      <c r="D251" s="104"/>
      <c r="E251" s="104"/>
    </row>
    <row r="252" spans="2:5" ht="28.5" customHeight="1" x14ac:dyDescent="0.25">
      <c r="B252" s="103"/>
      <c r="C252" s="103"/>
      <c r="D252" s="104"/>
      <c r="E252" s="104"/>
    </row>
    <row r="253" spans="2:5" ht="28.5" customHeight="1" x14ac:dyDescent="0.25">
      <c r="B253" s="103"/>
      <c r="C253" s="103"/>
      <c r="D253" s="104"/>
      <c r="E253" s="104"/>
    </row>
    <row r="254" spans="2:5" ht="28.5" customHeight="1" x14ac:dyDescent="0.25">
      <c r="B254" s="103"/>
      <c r="C254" s="103"/>
      <c r="D254" s="104"/>
      <c r="E254" s="104"/>
    </row>
    <row r="255" spans="2:5" ht="28.5" customHeight="1" x14ac:dyDescent="0.25">
      <c r="B255" s="103"/>
      <c r="C255" s="103"/>
      <c r="D255" s="104"/>
      <c r="E255" s="104"/>
    </row>
    <row r="256" spans="2:5" ht="28.5" customHeight="1" x14ac:dyDescent="0.25">
      <c r="B256" s="103"/>
      <c r="C256" s="103"/>
      <c r="D256" s="104"/>
      <c r="E256" s="104"/>
    </row>
    <row r="257" spans="2:5" ht="28.5" customHeight="1" x14ac:dyDescent="0.25">
      <c r="B257" s="103"/>
      <c r="C257" s="103"/>
      <c r="D257" s="104"/>
      <c r="E257" s="104"/>
    </row>
    <row r="258" spans="2:5" ht="28.5" customHeight="1" x14ac:dyDescent="0.25">
      <c r="B258" s="103"/>
      <c r="C258" s="103"/>
      <c r="D258" s="104"/>
      <c r="E258" s="104"/>
    </row>
    <row r="259" spans="2:5" ht="28.5" customHeight="1" x14ac:dyDescent="0.25">
      <c r="B259" s="103"/>
      <c r="C259" s="103"/>
      <c r="D259" s="104"/>
      <c r="E259" s="104"/>
    </row>
    <row r="260" spans="2:5" ht="28.5" customHeight="1" x14ac:dyDescent="0.25">
      <c r="B260" s="103"/>
      <c r="C260" s="103"/>
      <c r="D260" s="104"/>
      <c r="E260" s="104"/>
    </row>
    <row r="261" spans="2:5" ht="28.5" customHeight="1" x14ac:dyDescent="0.25">
      <c r="B261" s="103"/>
      <c r="C261" s="103"/>
      <c r="D261" s="104"/>
      <c r="E261" s="104"/>
    </row>
    <row r="262" spans="2:5" ht="28.5" customHeight="1" x14ac:dyDescent="0.25">
      <c r="B262" s="103"/>
      <c r="C262" s="103"/>
      <c r="D262" s="104"/>
      <c r="E262" s="104"/>
    </row>
    <row r="263" spans="2:5" ht="28.5" customHeight="1" x14ac:dyDescent="0.25">
      <c r="B263" s="103"/>
      <c r="C263" s="103"/>
      <c r="D263" s="104"/>
      <c r="E263" s="104"/>
    </row>
    <row r="264" spans="2:5" ht="28.5" customHeight="1" x14ac:dyDescent="0.25">
      <c r="B264" s="103"/>
      <c r="C264" s="103"/>
      <c r="D264" s="104"/>
      <c r="E264" s="104"/>
    </row>
    <row r="265" spans="2:5" ht="28.5" customHeight="1" x14ac:dyDescent="0.25">
      <c r="B265" s="103"/>
      <c r="C265" s="103"/>
      <c r="D265" s="104"/>
      <c r="E265" s="104"/>
    </row>
    <row r="266" spans="2:5" ht="28.5" customHeight="1" x14ac:dyDescent="0.25">
      <c r="B266" s="103"/>
      <c r="C266" s="103"/>
      <c r="D266" s="104"/>
      <c r="E266" s="104"/>
    </row>
    <row r="267" spans="2:5" ht="28.5" customHeight="1" x14ac:dyDescent="0.25">
      <c r="B267" s="103"/>
      <c r="C267" s="103"/>
      <c r="D267" s="104"/>
      <c r="E267" s="104"/>
    </row>
    <row r="268" spans="2:5" ht="28.5" customHeight="1" x14ac:dyDescent="0.25">
      <c r="B268" s="103"/>
      <c r="C268" s="103"/>
      <c r="D268" s="104"/>
      <c r="E268" s="104"/>
    </row>
    <row r="269" spans="2:5" ht="28.5" customHeight="1" x14ac:dyDescent="0.25">
      <c r="B269" s="103"/>
      <c r="C269" s="103"/>
      <c r="D269" s="104"/>
      <c r="E269" s="104"/>
    </row>
    <row r="270" spans="2:5" ht="28.5" customHeight="1" x14ac:dyDescent="0.25">
      <c r="B270" s="103"/>
      <c r="C270" s="103"/>
      <c r="D270" s="104"/>
      <c r="E270" s="104"/>
    </row>
    <row r="271" spans="2:5" ht="28.5" customHeight="1" x14ac:dyDescent="0.25">
      <c r="B271" s="103"/>
      <c r="C271" s="103"/>
      <c r="D271" s="104"/>
      <c r="E271" s="104"/>
    </row>
    <row r="272" spans="2:5" ht="28.5" customHeight="1" x14ac:dyDescent="0.25">
      <c r="B272" s="103"/>
      <c r="C272" s="103"/>
      <c r="D272" s="104"/>
      <c r="E272" s="104"/>
    </row>
    <row r="273" spans="2:5" ht="28.5" customHeight="1" x14ac:dyDescent="0.25">
      <c r="B273" s="103"/>
      <c r="C273" s="103"/>
      <c r="D273" s="104"/>
      <c r="E273" s="104"/>
    </row>
    <row r="274" spans="2:5" ht="28.5" customHeight="1" x14ac:dyDescent="0.25">
      <c r="B274" s="103"/>
      <c r="C274" s="103"/>
      <c r="D274" s="104"/>
      <c r="E274" s="104"/>
    </row>
    <row r="275" spans="2:5" ht="28.5" customHeight="1" x14ac:dyDescent="0.25">
      <c r="B275" s="103"/>
      <c r="C275" s="103"/>
      <c r="D275" s="104"/>
      <c r="E275" s="104"/>
    </row>
    <row r="276" spans="2:5" ht="28.5" customHeight="1" x14ac:dyDescent="0.25">
      <c r="B276" s="103"/>
      <c r="C276" s="103"/>
      <c r="D276" s="104"/>
      <c r="E276" s="104"/>
    </row>
    <row r="277" spans="2:5" ht="28.5" customHeight="1" x14ac:dyDescent="0.25">
      <c r="B277" s="103"/>
      <c r="C277" s="103"/>
      <c r="D277" s="104"/>
      <c r="E277" s="104"/>
    </row>
    <row r="278" spans="2:5" ht="28.5" customHeight="1" x14ac:dyDescent="0.25">
      <c r="B278" s="103"/>
      <c r="C278" s="103"/>
      <c r="D278" s="104"/>
      <c r="E278" s="104"/>
    </row>
    <row r="279" spans="2:5" ht="28.5" customHeight="1" x14ac:dyDescent="0.25">
      <c r="B279" s="103"/>
      <c r="C279" s="103"/>
      <c r="D279" s="104"/>
      <c r="E279" s="104"/>
    </row>
    <row r="280" spans="2:5" ht="28.5" customHeight="1" x14ac:dyDescent="0.25">
      <c r="B280" s="103"/>
      <c r="C280" s="103"/>
      <c r="D280" s="104"/>
      <c r="E280" s="104"/>
    </row>
    <row r="281" spans="2:5" ht="28.5" customHeight="1" x14ac:dyDescent="0.25">
      <c r="B281" s="103"/>
      <c r="C281" s="103"/>
      <c r="D281" s="104"/>
      <c r="E281" s="104"/>
    </row>
    <row r="282" spans="2:5" ht="28.5" customHeight="1" x14ac:dyDescent="0.25">
      <c r="B282" s="103"/>
      <c r="C282" s="103"/>
      <c r="D282" s="104"/>
      <c r="E282" s="104"/>
    </row>
    <row r="283" spans="2:5" ht="28.5" customHeight="1" x14ac:dyDescent="0.25">
      <c r="B283" s="103"/>
      <c r="C283" s="103"/>
      <c r="D283" s="104"/>
      <c r="E283" s="104"/>
    </row>
    <row r="284" spans="2:5" ht="28.5" customHeight="1" x14ac:dyDescent="0.25">
      <c r="B284" s="103"/>
      <c r="C284" s="103"/>
      <c r="D284" s="104"/>
      <c r="E284" s="104"/>
    </row>
    <row r="285" spans="2:5" ht="28.5" customHeight="1" x14ac:dyDescent="0.25">
      <c r="B285" s="103"/>
      <c r="C285" s="103"/>
      <c r="D285" s="104"/>
      <c r="E285" s="104"/>
    </row>
    <row r="286" spans="2:5" ht="28.5" customHeight="1" x14ac:dyDescent="0.25">
      <c r="B286" s="103"/>
      <c r="C286" s="103"/>
      <c r="D286" s="104"/>
      <c r="E286" s="104"/>
    </row>
    <row r="287" spans="2:5" ht="28.5" customHeight="1" x14ac:dyDescent="0.25">
      <c r="B287" s="103"/>
      <c r="C287" s="103"/>
      <c r="D287" s="104"/>
      <c r="E287" s="104"/>
    </row>
    <row r="288" spans="2:5" ht="28.5" customHeight="1" x14ac:dyDescent="0.25">
      <c r="B288" s="103"/>
      <c r="C288" s="103"/>
      <c r="D288" s="104"/>
      <c r="E288" s="104"/>
    </row>
    <row r="289" spans="2:5" ht="28.5" customHeight="1" x14ac:dyDescent="0.25">
      <c r="B289" s="103"/>
      <c r="C289" s="103"/>
      <c r="D289" s="104"/>
      <c r="E289" s="104"/>
    </row>
    <row r="290" spans="2:5" ht="28.5" customHeight="1" x14ac:dyDescent="0.25">
      <c r="B290" s="103"/>
      <c r="C290" s="103"/>
      <c r="D290" s="104"/>
      <c r="E290" s="104"/>
    </row>
    <row r="291" spans="2:5" ht="28.5" customHeight="1" x14ac:dyDescent="0.25">
      <c r="B291" s="103"/>
      <c r="C291" s="103"/>
      <c r="D291" s="104"/>
      <c r="E291" s="104"/>
    </row>
    <row r="292" spans="2:5" ht="28.5" customHeight="1" x14ac:dyDescent="0.25">
      <c r="B292" s="103"/>
      <c r="C292" s="103"/>
      <c r="D292" s="104"/>
      <c r="E292" s="104"/>
    </row>
    <row r="293" spans="2:5" ht="28.5" customHeight="1" x14ac:dyDescent="0.25">
      <c r="B293" s="103"/>
      <c r="C293" s="103"/>
      <c r="D293" s="104"/>
      <c r="E293" s="104"/>
    </row>
    <row r="294" spans="2:5" ht="28.5" customHeight="1" x14ac:dyDescent="0.25">
      <c r="B294" s="103"/>
      <c r="C294" s="103"/>
      <c r="D294" s="104"/>
      <c r="E294" s="104"/>
    </row>
    <row r="295" spans="2:5" ht="28.5" customHeight="1" x14ac:dyDescent="0.25">
      <c r="B295" s="103"/>
      <c r="C295" s="103"/>
      <c r="D295" s="104"/>
      <c r="E295" s="104"/>
    </row>
    <row r="296" spans="2:5" ht="28.5" customHeight="1" x14ac:dyDescent="0.25">
      <c r="B296" s="103"/>
      <c r="C296" s="103"/>
      <c r="D296" s="104"/>
      <c r="E296" s="104"/>
    </row>
    <row r="297" spans="2:5" ht="28.5" customHeight="1" x14ac:dyDescent="0.25">
      <c r="B297" s="103"/>
      <c r="C297" s="103"/>
      <c r="D297" s="104"/>
      <c r="E297" s="104"/>
    </row>
    <row r="298" spans="2:5" ht="28.5" customHeight="1" x14ac:dyDescent="0.25">
      <c r="B298" s="103"/>
      <c r="C298" s="103"/>
      <c r="D298" s="104"/>
      <c r="E298" s="104"/>
    </row>
    <row r="299" spans="2:5" ht="28.5" customHeight="1" x14ac:dyDescent="0.25">
      <c r="B299" s="103"/>
      <c r="C299" s="103"/>
      <c r="D299" s="104"/>
      <c r="E299" s="104"/>
    </row>
    <row r="300" spans="2:5" ht="28.5" customHeight="1" x14ac:dyDescent="0.25">
      <c r="B300" s="103"/>
      <c r="C300" s="103"/>
      <c r="D300" s="104"/>
      <c r="E300" s="104"/>
    </row>
    <row r="301" spans="2:5" ht="28.5" customHeight="1" x14ac:dyDescent="0.25">
      <c r="B301" s="103"/>
      <c r="C301" s="103"/>
      <c r="D301" s="104"/>
      <c r="E301" s="104"/>
    </row>
    <row r="302" spans="2:5" ht="28.5" customHeight="1" x14ac:dyDescent="0.25">
      <c r="B302" s="103"/>
      <c r="C302" s="103"/>
      <c r="D302" s="104"/>
      <c r="E302" s="104"/>
    </row>
    <row r="303" spans="2:5" ht="28.5" customHeight="1" x14ac:dyDescent="0.25">
      <c r="B303" s="103"/>
      <c r="C303" s="103"/>
      <c r="D303" s="104"/>
      <c r="E303" s="104"/>
    </row>
    <row r="304" spans="2:5" ht="28.5" customHeight="1" x14ac:dyDescent="0.25">
      <c r="B304" s="103"/>
      <c r="C304" s="103"/>
      <c r="D304" s="104"/>
      <c r="E304" s="104"/>
    </row>
    <row r="305" spans="2:5" ht="28.5" customHeight="1" x14ac:dyDescent="0.25">
      <c r="B305" s="103"/>
      <c r="C305" s="103"/>
      <c r="D305" s="104"/>
      <c r="E305" s="104"/>
    </row>
    <row r="306" spans="2:5" ht="28.5" customHeight="1" x14ac:dyDescent="0.25">
      <c r="B306" s="103"/>
      <c r="C306" s="103"/>
      <c r="D306" s="104"/>
      <c r="E306" s="104"/>
    </row>
    <row r="307" spans="2:5" ht="28.5" customHeight="1" x14ac:dyDescent="0.25">
      <c r="B307" s="103"/>
      <c r="C307" s="103"/>
      <c r="D307" s="104"/>
      <c r="E307" s="104"/>
    </row>
    <row r="308" spans="2:5" ht="28.5" customHeight="1" x14ac:dyDescent="0.25">
      <c r="B308" s="103"/>
      <c r="C308" s="103"/>
      <c r="D308" s="104"/>
      <c r="E308" s="104"/>
    </row>
    <row r="309" spans="2:5" ht="28.5" customHeight="1" x14ac:dyDescent="0.25">
      <c r="B309" s="103"/>
      <c r="C309" s="103"/>
      <c r="D309" s="104"/>
      <c r="E309" s="104"/>
    </row>
    <row r="310" spans="2:5" ht="28.5" customHeight="1" x14ac:dyDescent="0.25">
      <c r="B310" s="103"/>
      <c r="C310" s="103"/>
      <c r="D310" s="104"/>
      <c r="E310" s="104"/>
    </row>
    <row r="311" spans="2:5" ht="28.5" customHeight="1" x14ac:dyDescent="0.25">
      <c r="B311" s="103"/>
      <c r="C311" s="103"/>
      <c r="D311" s="104"/>
      <c r="E311" s="104"/>
    </row>
    <row r="312" spans="2:5" ht="28.5" customHeight="1" x14ac:dyDescent="0.25">
      <c r="B312" s="103"/>
      <c r="C312" s="103"/>
      <c r="D312" s="104"/>
      <c r="E312" s="104"/>
    </row>
    <row r="313" spans="2:5" ht="28.5" customHeight="1" x14ac:dyDescent="0.25">
      <c r="B313" s="103"/>
      <c r="C313" s="103"/>
      <c r="D313" s="104"/>
      <c r="E313" s="104"/>
    </row>
    <row r="314" spans="2:5" ht="28.5" customHeight="1" x14ac:dyDescent="0.25">
      <c r="B314" s="103"/>
      <c r="C314" s="103"/>
      <c r="D314" s="104"/>
      <c r="E314" s="104"/>
    </row>
    <row r="315" spans="2:5" ht="28.5" customHeight="1" x14ac:dyDescent="0.25">
      <c r="B315" s="103"/>
      <c r="C315" s="103"/>
      <c r="D315" s="104"/>
      <c r="E315" s="104"/>
    </row>
    <row r="316" spans="2:5" ht="28.5" customHeight="1" x14ac:dyDescent="0.25">
      <c r="B316" s="103"/>
      <c r="C316" s="103"/>
      <c r="D316" s="104"/>
      <c r="E316" s="104"/>
    </row>
    <row r="317" spans="2:5" ht="28.5" customHeight="1" x14ac:dyDescent="0.25">
      <c r="B317" s="103"/>
      <c r="C317" s="103"/>
      <c r="D317" s="104"/>
      <c r="E317" s="104"/>
    </row>
    <row r="318" spans="2:5" ht="28.5" customHeight="1" x14ac:dyDescent="0.25">
      <c r="B318" s="103"/>
      <c r="C318" s="103"/>
      <c r="D318" s="104"/>
      <c r="E318" s="104"/>
    </row>
    <row r="319" spans="2:5" ht="28.5" customHeight="1" x14ac:dyDescent="0.25">
      <c r="B319" s="103"/>
      <c r="C319" s="103"/>
      <c r="D319" s="104"/>
      <c r="E319" s="104"/>
    </row>
    <row r="320" spans="2:5" ht="28.5" customHeight="1" x14ac:dyDescent="0.25">
      <c r="B320" s="103"/>
      <c r="C320" s="103"/>
      <c r="D320" s="104"/>
      <c r="E320" s="104"/>
    </row>
    <row r="321" spans="2:5" ht="28.5" customHeight="1" x14ac:dyDescent="0.25">
      <c r="B321" s="103"/>
      <c r="C321" s="103"/>
      <c r="D321" s="104"/>
      <c r="E321" s="104"/>
    </row>
    <row r="322" spans="2:5" ht="28.5" customHeight="1" x14ac:dyDescent="0.25">
      <c r="B322" s="103"/>
      <c r="C322" s="103"/>
      <c r="D322" s="104"/>
      <c r="E322" s="104"/>
    </row>
    <row r="323" spans="2:5" ht="28.5" customHeight="1" x14ac:dyDescent="0.25">
      <c r="B323" s="103"/>
      <c r="C323" s="103"/>
      <c r="D323" s="104"/>
      <c r="E323" s="104"/>
    </row>
    <row r="324" spans="2:5" ht="28.5" customHeight="1" x14ac:dyDescent="0.25">
      <c r="B324" s="103"/>
      <c r="C324" s="103"/>
      <c r="D324" s="104"/>
      <c r="E324" s="104"/>
    </row>
    <row r="325" spans="2:5" ht="28.5" customHeight="1" x14ac:dyDescent="0.25">
      <c r="B325" s="103"/>
      <c r="C325" s="103"/>
      <c r="D325" s="104"/>
      <c r="E325" s="104"/>
    </row>
    <row r="326" spans="2:5" ht="28.5" customHeight="1" x14ac:dyDescent="0.25">
      <c r="B326" s="103"/>
      <c r="C326" s="103"/>
      <c r="D326" s="104"/>
      <c r="E326" s="104"/>
    </row>
    <row r="327" spans="2:5" ht="28.5" customHeight="1" x14ac:dyDescent="0.25">
      <c r="B327" s="103"/>
      <c r="C327" s="103"/>
      <c r="D327" s="104"/>
      <c r="E327" s="104"/>
    </row>
    <row r="328" spans="2:5" ht="28.5" customHeight="1" x14ac:dyDescent="0.25">
      <c r="B328" s="103"/>
      <c r="C328" s="103"/>
      <c r="D328" s="104"/>
      <c r="E328" s="104"/>
    </row>
    <row r="329" spans="2:5" ht="28.5" customHeight="1" x14ac:dyDescent="0.25">
      <c r="B329" s="103"/>
      <c r="C329" s="103"/>
      <c r="D329" s="104"/>
      <c r="E329" s="104"/>
    </row>
    <row r="330" spans="2:5" ht="28.5" customHeight="1" x14ac:dyDescent="0.25">
      <c r="B330" s="103"/>
      <c r="C330" s="103"/>
      <c r="D330" s="104"/>
      <c r="E330" s="104"/>
    </row>
    <row r="331" spans="2:5" ht="28.5" customHeight="1" x14ac:dyDescent="0.25">
      <c r="B331" s="103"/>
      <c r="C331" s="103"/>
      <c r="D331" s="104"/>
      <c r="E331" s="104"/>
    </row>
    <row r="332" spans="2:5" ht="28.5" customHeight="1" x14ac:dyDescent="0.25">
      <c r="B332" s="103"/>
      <c r="C332" s="103"/>
      <c r="D332" s="104"/>
      <c r="E332" s="104"/>
    </row>
    <row r="333" spans="2:5" ht="28.5" customHeight="1" x14ac:dyDescent="0.25">
      <c r="B333" s="103"/>
      <c r="C333" s="103"/>
      <c r="D333" s="104"/>
      <c r="E333" s="104"/>
    </row>
    <row r="334" spans="2:5" ht="28.5" customHeight="1" x14ac:dyDescent="0.25">
      <c r="B334" s="103"/>
      <c r="C334" s="103"/>
      <c r="D334" s="104"/>
      <c r="E334" s="104"/>
    </row>
    <row r="335" spans="2:5" ht="28.5" customHeight="1" x14ac:dyDescent="0.25">
      <c r="B335" s="103"/>
      <c r="C335" s="103"/>
      <c r="D335" s="104"/>
      <c r="E335" s="104"/>
    </row>
    <row r="336" spans="2:5" ht="28.5" customHeight="1" x14ac:dyDescent="0.25">
      <c r="B336" s="103"/>
      <c r="C336" s="103"/>
      <c r="D336" s="104"/>
      <c r="E336" s="104"/>
    </row>
    <row r="337" spans="2:5" ht="28.5" customHeight="1" x14ac:dyDescent="0.25">
      <c r="B337" s="103"/>
      <c r="C337" s="103"/>
      <c r="D337" s="104"/>
      <c r="E337" s="104"/>
    </row>
    <row r="338" spans="2:5" ht="28.5" customHeight="1" x14ac:dyDescent="0.25">
      <c r="B338" s="103"/>
      <c r="C338" s="103"/>
      <c r="D338" s="104"/>
      <c r="E338" s="104"/>
    </row>
    <row r="339" spans="2:5" ht="28.5" customHeight="1" x14ac:dyDescent="0.25">
      <c r="B339" s="103"/>
      <c r="C339" s="103"/>
      <c r="D339" s="104"/>
      <c r="E339" s="104"/>
    </row>
    <row r="340" spans="2:5" ht="28.5" customHeight="1" x14ac:dyDescent="0.25">
      <c r="B340" s="103"/>
      <c r="C340" s="103"/>
      <c r="D340" s="104"/>
      <c r="E340" s="104"/>
    </row>
    <row r="341" spans="2:5" ht="28.5" customHeight="1" x14ac:dyDescent="0.25">
      <c r="B341" s="103"/>
      <c r="C341" s="103"/>
      <c r="D341" s="104"/>
      <c r="E341" s="104"/>
    </row>
    <row r="342" spans="2:5" ht="28.5" customHeight="1" x14ac:dyDescent="0.25">
      <c r="B342" s="103"/>
      <c r="C342" s="103"/>
      <c r="D342" s="104"/>
      <c r="E342" s="104"/>
    </row>
    <row r="343" spans="2:5" ht="28.5" customHeight="1" x14ac:dyDescent="0.25">
      <c r="B343" s="103"/>
      <c r="C343" s="103"/>
      <c r="D343" s="104"/>
      <c r="E343" s="104"/>
    </row>
    <row r="344" spans="2:5" ht="28.5" customHeight="1" x14ac:dyDescent="0.25">
      <c r="B344" s="103"/>
      <c r="C344" s="103"/>
      <c r="D344" s="104"/>
      <c r="E344" s="104"/>
    </row>
    <row r="345" spans="2:5" ht="28.5" customHeight="1" x14ac:dyDescent="0.25">
      <c r="B345" s="103"/>
      <c r="C345" s="103"/>
      <c r="D345" s="104"/>
      <c r="E345" s="104"/>
    </row>
    <row r="346" spans="2:5" ht="28.5" customHeight="1" x14ac:dyDescent="0.25">
      <c r="B346" s="103"/>
      <c r="C346" s="103"/>
      <c r="D346" s="104"/>
      <c r="E346" s="104"/>
    </row>
    <row r="347" spans="2:5" ht="28.5" customHeight="1" x14ac:dyDescent="0.25">
      <c r="B347" s="103"/>
      <c r="C347" s="103"/>
      <c r="D347" s="104"/>
      <c r="E347" s="104"/>
    </row>
    <row r="348" spans="2:5" ht="28.5" customHeight="1" x14ac:dyDescent="0.25">
      <c r="B348" s="103"/>
      <c r="C348" s="103"/>
      <c r="D348" s="104"/>
      <c r="E348" s="104"/>
    </row>
    <row r="349" spans="2:5" ht="28.5" customHeight="1" x14ac:dyDescent="0.25">
      <c r="B349" s="103"/>
      <c r="C349" s="103"/>
      <c r="D349" s="104"/>
      <c r="E349" s="104"/>
    </row>
    <row r="350" spans="2:5" ht="28.5" customHeight="1" x14ac:dyDescent="0.25">
      <c r="B350" s="103"/>
      <c r="C350" s="103"/>
      <c r="D350" s="104"/>
      <c r="E350" s="104"/>
    </row>
    <row r="351" spans="2:5" ht="28.5" customHeight="1" x14ac:dyDescent="0.25">
      <c r="B351" s="103"/>
      <c r="C351" s="103"/>
      <c r="D351" s="104"/>
      <c r="E351" s="104"/>
    </row>
    <row r="352" spans="2:5" ht="28.5" customHeight="1" x14ac:dyDescent="0.25">
      <c r="B352" s="103"/>
      <c r="C352" s="103"/>
      <c r="D352" s="104"/>
      <c r="E352" s="104"/>
    </row>
    <row r="353" spans="2:5" ht="28.5" customHeight="1" x14ac:dyDescent="0.25">
      <c r="B353" s="103"/>
      <c r="C353" s="103"/>
      <c r="D353" s="104"/>
      <c r="E353" s="104"/>
    </row>
    <row r="354" spans="2:5" ht="28.5" customHeight="1" x14ac:dyDescent="0.25">
      <c r="B354" s="103"/>
      <c r="C354" s="103"/>
      <c r="D354" s="104"/>
      <c r="E354" s="104"/>
    </row>
    <row r="355" spans="2:5" ht="28.5" customHeight="1" x14ac:dyDescent="0.25">
      <c r="B355" s="103"/>
      <c r="C355" s="103"/>
      <c r="D355" s="104"/>
      <c r="E355" s="104"/>
    </row>
    <row r="356" spans="2:5" ht="28.5" customHeight="1" x14ac:dyDescent="0.25">
      <c r="B356" s="103"/>
      <c r="C356" s="103"/>
      <c r="D356" s="104"/>
      <c r="E356" s="104"/>
    </row>
    <row r="357" spans="2:5" ht="28.5" customHeight="1" x14ac:dyDescent="0.25">
      <c r="B357" s="103"/>
      <c r="C357" s="103"/>
      <c r="D357" s="104"/>
      <c r="E357" s="104"/>
    </row>
    <row r="358" spans="2:5" ht="28.5" customHeight="1" x14ac:dyDescent="0.25">
      <c r="B358" s="103"/>
      <c r="C358" s="103"/>
      <c r="D358" s="104"/>
      <c r="E358" s="104"/>
    </row>
    <row r="359" spans="2:5" ht="28.5" customHeight="1" x14ac:dyDescent="0.25">
      <c r="B359" s="103"/>
      <c r="C359" s="103"/>
      <c r="D359" s="104"/>
      <c r="E359" s="104"/>
    </row>
    <row r="360" spans="2:5" ht="28.5" customHeight="1" x14ac:dyDescent="0.25">
      <c r="B360" s="103"/>
      <c r="C360" s="103"/>
      <c r="D360" s="104"/>
      <c r="E360" s="104"/>
    </row>
    <row r="361" spans="2:5" ht="28.5" customHeight="1" x14ac:dyDescent="0.25">
      <c r="B361" s="103"/>
      <c r="C361" s="103"/>
      <c r="D361" s="104"/>
      <c r="E361" s="104"/>
    </row>
    <row r="362" spans="2:5" ht="28.5" customHeight="1" x14ac:dyDescent="0.25">
      <c r="B362" s="103"/>
      <c r="C362" s="103"/>
      <c r="D362" s="104"/>
      <c r="E362" s="104"/>
    </row>
    <row r="363" spans="2:5" ht="28.5" customHeight="1" x14ac:dyDescent="0.25">
      <c r="B363" s="103"/>
      <c r="C363" s="103"/>
      <c r="D363" s="104"/>
      <c r="E363" s="104"/>
    </row>
    <row r="364" spans="2:5" ht="28.5" customHeight="1" x14ac:dyDescent="0.25">
      <c r="B364" s="103"/>
      <c r="C364" s="103"/>
      <c r="D364" s="104"/>
      <c r="E364" s="104"/>
    </row>
    <row r="365" spans="2:5" ht="28.5" customHeight="1" x14ac:dyDescent="0.25">
      <c r="B365" s="103"/>
      <c r="C365" s="103"/>
      <c r="D365" s="104"/>
      <c r="E365" s="104"/>
    </row>
    <row r="366" spans="2:5" ht="28.5" customHeight="1" x14ac:dyDescent="0.25">
      <c r="B366" s="103"/>
      <c r="C366" s="103"/>
      <c r="D366" s="104"/>
      <c r="E366" s="104"/>
    </row>
    <row r="367" spans="2:5" ht="28.5" customHeight="1" x14ac:dyDescent="0.25">
      <c r="B367" s="103"/>
      <c r="C367" s="103"/>
      <c r="D367" s="104"/>
      <c r="E367" s="104"/>
    </row>
    <row r="368" spans="2:5" ht="28.5" customHeight="1" x14ac:dyDescent="0.25">
      <c r="B368" s="103"/>
      <c r="C368" s="103"/>
      <c r="D368" s="104"/>
      <c r="E368" s="104"/>
    </row>
    <row r="369" spans="2:5" ht="28.5" customHeight="1" x14ac:dyDescent="0.25">
      <c r="B369" s="103"/>
      <c r="C369" s="103"/>
      <c r="D369" s="104"/>
      <c r="E369" s="104"/>
    </row>
    <row r="370" spans="2:5" ht="28.5" customHeight="1" x14ac:dyDescent="0.25">
      <c r="B370" s="103"/>
      <c r="C370" s="103"/>
      <c r="D370" s="104"/>
      <c r="E370" s="104"/>
    </row>
    <row r="371" spans="2:5" ht="28.5" customHeight="1" x14ac:dyDescent="0.25">
      <c r="B371" s="103"/>
      <c r="C371" s="103"/>
      <c r="D371" s="104"/>
      <c r="E371" s="104"/>
    </row>
    <row r="372" spans="2:5" ht="28.5" customHeight="1" x14ac:dyDescent="0.25">
      <c r="B372" s="103"/>
      <c r="C372" s="103"/>
      <c r="D372" s="104"/>
      <c r="E372" s="104"/>
    </row>
    <row r="373" spans="2:5" ht="28.5" customHeight="1" x14ac:dyDescent="0.25">
      <c r="B373" s="103"/>
      <c r="C373" s="103"/>
      <c r="D373" s="104"/>
      <c r="E373" s="104"/>
    </row>
    <row r="374" spans="2:5" ht="28.5" customHeight="1" x14ac:dyDescent="0.25">
      <c r="B374" s="103"/>
      <c r="C374" s="103"/>
      <c r="D374" s="104"/>
      <c r="E374" s="104"/>
    </row>
    <row r="375" spans="2:5" ht="28.5" customHeight="1" x14ac:dyDescent="0.25">
      <c r="B375" s="103"/>
      <c r="C375" s="103"/>
      <c r="D375" s="104"/>
      <c r="E375" s="104"/>
    </row>
    <row r="376" spans="2:5" ht="28.5" customHeight="1" x14ac:dyDescent="0.25">
      <c r="B376" s="103"/>
      <c r="C376" s="103"/>
      <c r="D376" s="104"/>
      <c r="E376" s="104"/>
    </row>
    <row r="377" spans="2:5" ht="28.5" customHeight="1" x14ac:dyDescent="0.25">
      <c r="B377" s="103"/>
      <c r="C377" s="103"/>
      <c r="D377" s="104"/>
      <c r="E377" s="104"/>
    </row>
    <row r="378" spans="2:5" ht="28.5" customHeight="1" x14ac:dyDescent="0.25">
      <c r="B378" s="103"/>
      <c r="C378" s="103"/>
      <c r="D378" s="104"/>
      <c r="E378" s="104"/>
    </row>
    <row r="379" spans="2:5" ht="28.5" customHeight="1" x14ac:dyDescent="0.25">
      <c r="B379" s="103"/>
      <c r="C379" s="103"/>
      <c r="D379" s="104"/>
      <c r="E379" s="104"/>
    </row>
    <row r="380" spans="2:5" ht="28.5" customHeight="1" x14ac:dyDescent="0.25">
      <c r="B380" s="103"/>
      <c r="C380" s="103"/>
      <c r="D380" s="104"/>
      <c r="E380" s="104"/>
    </row>
    <row r="381" spans="2:5" ht="28.5" customHeight="1" x14ac:dyDescent="0.25">
      <c r="B381" s="103"/>
      <c r="C381" s="103"/>
      <c r="D381" s="104"/>
      <c r="E381" s="104"/>
    </row>
    <row r="382" spans="2:5" ht="28.5" customHeight="1" x14ac:dyDescent="0.25">
      <c r="B382" s="103"/>
      <c r="C382" s="103"/>
      <c r="D382" s="104"/>
      <c r="E382" s="104"/>
    </row>
    <row r="383" spans="2:5" ht="28.5" customHeight="1" x14ac:dyDescent="0.25">
      <c r="B383" s="103"/>
      <c r="C383" s="103"/>
      <c r="D383" s="104"/>
      <c r="E383" s="104"/>
    </row>
    <row r="384" spans="2:5" ht="28.5" customHeight="1" x14ac:dyDescent="0.25">
      <c r="B384" s="103"/>
      <c r="C384" s="103"/>
      <c r="D384" s="104"/>
      <c r="E384" s="104"/>
    </row>
    <row r="385" spans="2:5" ht="28.5" customHeight="1" x14ac:dyDescent="0.25">
      <c r="B385" s="103"/>
      <c r="C385" s="103"/>
      <c r="D385" s="104"/>
      <c r="E385" s="104"/>
    </row>
    <row r="386" spans="2:5" ht="28.5" customHeight="1" x14ac:dyDescent="0.25">
      <c r="B386" s="103"/>
      <c r="C386" s="103"/>
      <c r="D386" s="104"/>
      <c r="E386" s="104"/>
    </row>
  </sheetData>
  <autoFilter ref="A2:M136" xr:uid="{00000000-0009-0000-0000-000006000000}"/>
  <mergeCells count="2">
    <mergeCell ref="A1:E1"/>
    <mergeCell ref="F1:M1"/>
  </mergeCells>
  <pageMargins left="0.7" right="0.7" top="0.75" bottom="0.75" header="0.3" footer="0.3"/>
  <pageSetup paperSize="9" scale="33" orientation="portrait" horizontalDpi="300" verticalDpi="300"/>
  <headerFooter>
    <oddHeader>&amp;LCMED Construction&amp;CRFQ RAW DATA COMPILED&amp;RSubmit  By : Ek Buthen</oddHeader>
    <oddFooter>&amp;L&amp;Z&amp;F&amp;RPage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showGridLines="0" zoomScaleNormal="100" workbookViewId="0">
      <pane ySplit="4" topLeftCell="A8" activePane="bottomLeft" state="frozen"/>
      <selection activeCell="D17" sqref="D17"/>
      <selection pane="bottomLeft" activeCell="D27" sqref="D27"/>
    </sheetView>
  </sheetViews>
  <sheetFormatPr defaultColWidth="8.7265625" defaultRowHeight="14.5" x14ac:dyDescent="0.35"/>
  <cols>
    <col min="1" max="1" width="8" customWidth="1"/>
    <col min="2" max="2" width="40" customWidth="1"/>
    <col min="3" max="3" width="9" customWidth="1"/>
    <col min="4" max="4" width="8" customWidth="1"/>
    <col min="5" max="5" width="13" customWidth="1"/>
    <col min="6" max="6" width="16" customWidth="1"/>
  </cols>
  <sheetData>
    <row r="1" spans="1:6" ht="18" customHeight="1" x14ac:dyDescent="0.4">
      <c r="A1" s="105" t="s">
        <v>585</v>
      </c>
    </row>
    <row r="2" spans="1:6" ht="14.25" customHeight="1" x14ac:dyDescent="0.35">
      <c r="A2" s="106" t="s">
        <v>586</v>
      </c>
    </row>
    <row r="4" spans="1:6" ht="14.25" customHeight="1" x14ac:dyDescent="0.35">
      <c r="A4" s="107" t="s">
        <v>17</v>
      </c>
      <c r="B4" s="107" t="s">
        <v>18</v>
      </c>
      <c r="C4" s="107" t="s">
        <v>80</v>
      </c>
      <c r="D4" s="107" t="s">
        <v>587</v>
      </c>
      <c r="E4" s="107" t="s">
        <v>588</v>
      </c>
      <c r="F4" s="107" t="s">
        <v>19</v>
      </c>
    </row>
    <row r="5" spans="1:6" ht="14.25" customHeight="1" x14ac:dyDescent="0.35">
      <c r="A5" s="108" t="s">
        <v>589</v>
      </c>
      <c r="B5" s="109" t="s">
        <v>590</v>
      </c>
      <c r="C5" s="110" t="s">
        <v>591</v>
      </c>
      <c r="D5" s="111">
        <v>18</v>
      </c>
      <c r="E5" s="112">
        <v>1200</v>
      </c>
      <c r="F5" s="113">
        <f t="shared" ref="F5:F26" si="0">D5*E5</f>
        <v>21600</v>
      </c>
    </row>
    <row r="6" spans="1:6" ht="14.25" customHeight="1" x14ac:dyDescent="0.35">
      <c r="A6" s="108" t="s">
        <v>592</v>
      </c>
      <c r="B6" s="109" t="s">
        <v>593</v>
      </c>
      <c r="C6" s="110" t="s">
        <v>591</v>
      </c>
      <c r="D6" s="111">
        <v>18</v>
      </c>
      <c r="E6" s="112">
        <v>5000</v>
      </c>
      <c r="F6" s="113">
        <f t="shared" si="0"/>
        <v>90000</v>
      </c>
    </row>
    <row r="7" spans="1:6" ht="14.25" customHeight="1" x14ac:dyDescent="0.35">
      <c r="A7" s="108" t="s">
        <v>594</v>
      </c>
      <c r="B7" s="109" t="s">
        <v>595</v>
      </c>
      <c r="C7" s="110" t="s">
        <v>58</v>
      </c>
      <c r="D7" s="111">
        <v>1</v>
      </c>
      <c r="E7" s="112">
        <v>8000</v>
      </c>
      <c r="F7" s="113">
        <f t="shared" si="0"/>
        <v>8000</v>
      </c>
    </row>
    <row r="8" spans="1:6" ht="14.25" customHeight="1" x14ac:dyDescent="0.35">
      <c r="A8" s="108" t="s">
        <v>596</v>
      </c>
      <c r="B8" s="109" t="s">
        <v>597</v>
      </c>
      <c r="C8" s="110" t="s">
        <v>591</v>
      </c>
      <c r="D8" s="111">
        <v>18</v>
      </c>
      <c r="E8" s="112">
        <v>300</v>
      </c>
      <c r="F8" s="113">
        <f t="shared" si="0"/>
        <v>5400</v>
      </c>
    </row>
    <row r="9" spans="1:6" ht="14.25" customHeight="1" x14ac:dyDescent="0.35">
      <c r="A9" s="108" t="s">
        <v>598</v>
      </c>
      <c r="B9" s="109" t="s">
        <v>599</v>
      </c>
      <c r="C9" s="110" t="s">
        <v>591</v>
      </c>
      <c r="D9" s="111">
        <v>18</v>
      </c>
      <c r="E9" s="112">
        <v>800</v>
      </c>
      <c r="F9" s="113">
        <f t="shared" si="0"/>
        <v>14400</v>
      </c>
    </row>
    <row r="10" spans="1:6" ht="14.25" customHeight="1" x14ac:dyDescent="0.35">
      <c r="A10" s="108" t="s">
        <v>600</v>
      </c>
      <c r="B10" s="109" t="s">
        <v>601</v>
      </c>
      <c r="C10" s="110" t="s">
        <v>591</v>
      </c>
      <c r="D10" s="111">
        <v>18</v>
      </c>
      <c r="E10" s="112">
        <v>500</v>
      </c>
      <c r="F10" s="113">
        <f t="shared" si="0"/>
        <v>9000</v>
      </c>
    </row>
    <row r="11" spans="1:6" ht="14.25" customHeight="1" x14ac:dyDescent="0.35">
      <c r="A11" s="108" t="s">
        <v>602</v>
      </c>
      <c r="B11" s="109" t="s">
        <v>603</v>
      </c>
      <c r="C11" s="110" t="s">
        <v>591</v>
      </c>
      <c r="D11" s="111">
        <v>18</v>
      </c>
      <c r="E11" s="112">
        <v>900</v>
      </c>
      <c r="F11" s="113">
        <f t="shared" si="0"/>
        <v>16200</v>
      </c>
    </row>
    <row r="12" spans="1:6" ht="14.25" customHeight="1" x14ac:dyDescent="0.35">
      <c r="A12" s="108" t="s">
        <v>604</v>
      </c>
      <c r="B12" s="109" t="s">
        <v>605</v>
      </c>
      <c r="C12" s="110" t="s">
        <v>591</v>
      </c>
      <c r="D12" s="111">
        <v>18</v>
      </c>
      <c r="E12" s="112">
        <v>600</v>
      </c>
      <c r="F12" s="113">
        <f t="shared" si="0"/>
        <v>10800</v>
      </c>
    </row>
    <row r="13" spans="1:6" ht="14.25" customHeight="1" x14ac:dyDescent="0.35">
      <c r="A13" s="108" t="s">
        <v>606</v>
      </c>
      <c r="B13" s="109" t="s">
        <v>607</v>
      </c>
      <c r="C13" s="110" t="s">
        <v>591</v>
      </c>
      <c r="D13" s="111">
        <v>18</v>
      </c>
      <c r="E13" s="112">
        <v>400</v>
      </c>
      <c r="F13" s="113">
        <f t="shared" si="0"/>
        <v>7200</v>
      </c>
    </row>
    <row r="14" spans="1:6" ht="14.25" customHeight="1" x14ac:dyDescent="0.35">
      <c r="A14" s="108" t="s">
        <v>608</v>
      </c>
      <c r="B14" s="109" t="s">
        <v>609</v>
      </c>
      <c r="C14" s="110" t="s">
        <v>58</v>
      </c>
      <c r="D14" s="111">
        <v>1</v>
      </c>
      <c r="E14" s="112">
        <v>8000</v>
      </c>
      <c r="F14" s="113">
        <f t="shared" si="0"/>
        <v>8000</v>
      </c>
    </row>
    <row r="15" spans="1:6" ht="14.25" customHeight="1" x14ac:dyDescent="0.35">
      <c r="A15" s="108" t="s">
        <v>610</v>
      </c>
      <c r="B15" s="109" t="s">
        <v>611</v>
      </c>
      <c r="C15" s="110" t="s">
        <v>58</v>
      </c>
      <c r="D15" s="111">
        <v>1</v>
      </c>
      <c r="E15" s="112">
        <v>12000</v>
      </c>
      <c r="F15" s="113">
        <f t="shared" si="0"/>
        <v>12000</v>
      </c>
    </row>
    <row r="16" spans="1:6" ht="14.25" customHeight="1" x14ac:dyDescent="0.35">
      <c r="A16" s="108" t="s">
        <v>612</v>
      </c>
      <c r="B16" s="109" t="s">
        <v>613</v>
      </c>
      <c r="C16" s="110" t="s">
        <v>58</v>
      </c>
      <c r="D16" s="111">
        <v>1</v>
      </c>
      <c r="E16" s="112">
        <v>6000</v>
      </c>
      <c r="F16" s="113">
        <f t="shared" si="0"/>
        <v>6000</v>
      </c>
    </row>
    <row r="17" spans="1:6" ht="14.25" customHeight="1" x14ac:dyDescent="0.35">
      <c r="A17" s="108" t="s">
        <v>614</v>
      </c>
      <c r="B17" s="109" t="s">
        <v>535</v>
      </c>
      <c r="C17" s="110" t="s">
        <v>58</v>
      </c>
      <c r="D17" s="111">
        <v>1</v>
      </c>
      <c r="E17" s="112">
        <v>15000</v>
      </c>
      <c r="F17" s="113">
        <f t="shared" si="0"/>
        <v>15000</v>
      </c>
    </row>
    <row r="18" spans="1:6" ht="14.25" customHeight="1" x14ac:dyDescent="0.35">
      <c r="A18" s="108" t="s">
        <v>615</v>
      </c>
      <c r="B18" s="109" t="s">
        <v>616</v>
      </c>
      <c r="C18" s="110" t="s">
        <v>58</v>
      </c>
      <c r="D18" s="111">
        <v>1</v>
      </c>
      <c r="E18" s="112">
        <v>8000</v>
      </c>
      <c r="F18" s="113">
        <f t="shared" si="0"/>
        <v>8000</v>
      </c>
    </row>
    <row r="19" spans="1:6" ht="14.25" customHeight="1" x14ac:dyDescent="0.35">
      <c r="A19" s="108" t="s">
        <v>617</v>
      </c>
      <c r="B19" s="109" t="s">
        <v>618</v>
      </c>
      <c r="C19" s="110" t="s">
        <v>58</v>
      </c>
      <c r="D19" s="111">
        <v>1</v>
      </c>
      <c r="E19" s="112">
        <v>10000</v>
      </c>
      <c r="F19" s="113">
        <f t="shared" si="0"/>
        <v>10000</v>
      </c>
    </row>
    <row r="20" spans="1:6" ht="14.25" customHeight="1" x14ac:dyDescent="0.35">
      <c r="A20" s="108" t="s">
        <v>619</v>
      </c>
      <c r="B20" s="109" t="s">
        <v>620</v>
      </c>
      <c r="C20" s="110" t="s">
        <v>58</v>
      </c>
      <c r="D20" s="111">
        <v>1</v>
      </c>
      <c r="E20" s="112">
        <v>6000</v>
      </c>
      <c r="F20" s="113">
        <f t="shared" si="0"/>
        <v>6000</v>
      </c>
    </row>
    <row r="21" spans="1:6" ht="14.25" customHeight="1" x14ac:dyDescent="0.35">
      <c r="A21" s="108" t="s">
        <v>621</v>
      </c>
      <c r="B21" s="109" t="s">
        <v>622</v>
      </c>
      <c r="C21" s="110" t="s">
        <v>58</v>
      </c>
      <c r="D21" s="111">
        <v>1</v>
      </c>
      <c r="E21" s="112">
        <v>7000</v>
      </c>
      <c r="F21" s="113">
        <f t="shared" si="0"/>
        <v>7000</v>
      </c>
    </row>
    <row r="22" spans="1:6" ht="14.25" customHeight="1" x14ac:dyDescent="0.35">
      <c r="A22" s="108" t="s">
        <v>623</v>
      </c>
      <c r="B22" s="109" t="s">
        <v>624</v>
      </c>
      <c r="C22" s="110" t="s">
        <v>58</v>
      </c>
      <c r="D22" s="111">
        <v>1</v>
      </c>
      <c r="E22" s="112">
        <v>35000</v>
      </c>
      <c r="F22" s="113">
        <f t="shared" si="0"/>
        <v>35000</v>
      </c>
    </row>
    <row r="23" spans="1:6" ht="14.25" customHeight="1" x14ac:dyDescent="0.35">
      <c r="A23" s="108" t="s">
        <v>625</v>
      </c>
      <c r="B23" s="109" t="s">
        <v>626</v>
      </c>
      <c r="C23" s="110" t="s">
        <v>591</v>
      </c>
      <c r="D23" s="111">
        <v>18</v>
      </c>
      <c r="E23" s="112">
        <v>4500</v>
      </c>
      <c r="F23" s="113">
        <f t="shared" si="0"/>
        <v>81000</v>
      </c>
    </row>
    <row r="24" spans="1:6" ht="14.25" customHeight="1" x14ac:dyDescent="0.35">
      <c r="A24" s="108" t="s">
        <v>627</v>
      </c>
      <c r="B24" s="109" t="s">
        <v>628</v>
      </c>
      <c r="C24" s="110" t="s">
        <v>58</v>
      </c>
      <c r="D24" s="111">
        <v>1</v>
      </c>
      <c r="E24" s="112">
        <v>6000</v>
      </c>
      <c r="F24" s="113">
        <f t="shared" si="0"/>
        <v>6000</v>
      </c>
    </row>
    <row r="25" spans="1:6" ht="14.25" customHeight="1" x14ac:dyDescent="0.35">
      <c r="A25" s="9" t="s">
        <v>629</v>
      </c>
      <c r="B25" s="1" t="s">
        <v>630</v>
      </c>
      <c r="C25" s="114" t="s">
        <v>58</v>
      </c>
      <c r="D25" s="115">
        <v>1</v>
      </c>
      <c r="E25" s="116">
        <v>10000</v>
      </c>
      <c r="F25" s="10">
        <f t="shared" si="0"/>
        <v>10000</v>
      </c>
    </row>
    <row r="26" spans="1:6" ht="14.25" customHeight="1" x14ac:dyDescent="0.35">
      <c r="A26" s="9" t="s">
        <v>631</v>
      </c>
      <c r="B26" s="1" t="s">
        <v>632</v>
      </c>
      <c r="C26" s="114" t="s">
        <v>110</v>
      </c>
      <c r="D26" s="115">
        <v>95</v>
      </c>
      <c r="E26" s="116">
        <v>180</v>
      </c>
      <c r="F26" s="10">
        <f t="shared" si="0"/>
        <v>17100</v>
      </c>
    </row>
    <row r="27" spans="1:6" ht="14.25" customHeight="1" x14ac:dyDescent="0.35">
      <c r="A27" s="13"/>
      <c r="B27" s="117" t="s">
        <v>633</v>
      </c>
      <c r="C27" s="13"/>
      <c r="D27" s="13"/>
      <c r="E27" s="13"/>
      <c r="F27" s="118">
        <f>SUM(F5:F26)</f>
        <v>403700</v>
      </c>
    </row>
    <row r="29" spans="1:6" ht="14.25" customHeight="1" x14ac:dyDescent="0.35">
      <c r="B29" s="119" t="s">
        <v>634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832"/>
  <sheetViews>
    <sheetView zoomScaleNormal="100" workbookViewId="0">
      <pane ySplit="1" topLeftCell="A759" activePane="bottomLeft" state="frozen"/>
      <selection activeCell="D17" sqref="D17"/>
      <selection pane="bottomLeft" activeCell="F794" sqref="F794"/>
    </sheetView>
  </sheetViews>
  <sheetFormatPr defaultColWidth="9.1796875" defaultRowHeight="10" outlineLevelCol="1" x14ac:dyDescent="0.35"/>
  <cols>
    <col min="1" max="1" width="4.7265625" style="120" customWidth="1" outlineLevel="1"/>
    <col min="2" max="2" width="12.453125" style="120" customWidth="1" outlineLevel="1"/>
    <col min="3" max="3" width="16.1796875" style="120" customWidth="1" outlineLevel="1"/>
    <col min="4" max="4" width="14.54296875" style="121" customWidth="1" outlineLevel="1"/>
    <col min="5" max="5" width="15.453125" style="121" customWidth="1"/>
    <col min="6" max="6" width="15.81640625" style="121" customWidth="1"/>
    <col min="7" max="7" width="22.90625" style="120" customWidth="1"/>
    <col min="8" max="8" width="23.26953125" style="120" customWidth="1"/>
    <col min="9" max="9" width="24.81640625" style="120" customWidth="1"/>
    <col min="10" max="10" width="43.81640625" style="122" customWidth="1"/>
    <col min="11" max="11" width="17.26953125" style="120" customWidth="1" outlineLevel="1"/>
    <col min="12" max="12" width="11" style="120" customWidth="1" outlineLevel="1"/>
    <col min="13" max="13" width="23.54296875" style="120" customWidth="1" outlineLevel="1"/>
    <col min="14" max="14" width="12.7265625" style="120" customWidth="1" outlineLevel="1"/>
    <col min="15" max="15" width="9.1796875" style="120" outlineLevel="1"/>
    <col min="16" max="16" width="8.7265625" style="121" customWidth="1"/>
    <col min="17" max="17" width="10.453125" style="123" customWidth="1"/>
    <col min="18" max="18" width="14" style="123" customWidth="1"/>
    <col min="19" max="19" width="8.54296875" style="121" customWidth="1"/>
    <col min="20" max="20" width="19.81640625" style="121" customWidth="1"/>
    <col min="21" max="21" width="19" style="121" customWidth="1"/>
    <col min="22" max="22" width="14" style="120" customWidth="1"/>
    <col min="23" max="23" width="21.54296875" style="120" customWidth="1"/>
    <col min="24" max="24" width="20.7265625" style="120" customWidth="1"/>
    <col min="25" max="25" width="16.81640625" style="120" customWidth="1"/>
    <col min="26" max="26" width="13" style="120" customWidth="1"/>
    <col min="27" max="27" width="16" style="120" customWidth="1"/>
    <col min="28" max="16384" width="9.1796875" style="120"/>
  </cols>
  <sheetData>
    <row r="1" spans="1:27" s="133" customFormat="1" ht="15" customHeight="1" x14ac:dyDescent="0.35">
      <c r="A1" s="124" t="s">
        <v>635</v>
      </c>
      <c r="B1" s="125" t="s">
        <v>636</v>
      </c>
      <c r="C1" s="126" t="s">
        <v>440</v>
      </c>
      <c r="D1" s="125" t="s">
        <v>637</v>
      </c>
      <c r="E1" s="125" t="s">
        <v>411</v>
      </c>
      <c r="F1" s="125" t="s">
        <v>435</v>
      </c>
      <c r="G1" s="126" t="s">
        <v>638</v>
      </c>
      <c r="H1" s="126" t="s">
        <v>491</v>
      </c>
      <c r="I1" s="126" t="s">
        <v>492</v>
      </c>
      <c r="J1" s="127" t="s">
        <v>443</v>
      </c>
      <c r="K1" s="124" t="s">
        <v>639</v>
      </c>
      <c r="L1" s="124" t="s">
        <v>640</v>
      </c>
      <c r="M1" s="125" t="s">
        <v>18</v>
      </c>
      <c r="N1" s="125" t="s">
        <v>641</v>
      </c>
      <c r="O1" s="125" t="s">
        <v>642</v>
      </c>
      <c r="P1" s="125" t="s">
        <v>80</v>
      </c>
      <c r="Q1" s="125" t="s">
        <v>81</v>
      </c>
      <c r="R1" s="128" t="s">
        <v>643</v>
      </c>
      <c r="S1" s="129" t="s">
        <v>644</v>
      </c>
      <c r="T1" s="130" t="s">
        <v>645</v>
      </c>
      <c r="U1" s="130" t="s">
        <v>646</v>
      </c>
      <c r="V1" s="131" t="s">
        <v>647</v>
      </c>
      <c r="W1" s="130" t="s">
        <v>648</v>
      </c>
      <c r="X1" s="130" t="s">
        <v>649</v>
      </c>
      <c r="Y1" s="132" t="s">
        <v>650</v>
      </c>
      <c r="Z1" s="132" t="s">
        <v>651</v>
      </c>
      <c r="AA1" s="132" t="s">
        <v>652</v>
      </c>
    </row>
    <row r="2" spans="1:27" ht="15" customHeight="1" x14ac:dyDescent="0.35">
      <c r="A2" s="134"/>
      <c r="B2" s="135"/>
      <c r="C2" s="134" t="s">
        <v>444</v>
      </c>
      <c r="D2" s="136" t="str">
        <f t="shared" ref="D2:D65" si="0">IFERROR(IF(TRIM($G2)="Sub Structure",IF(TRIM($H2)="Bored Pile","B.01","B.03"),IF(TRIM($G2)="Super Structure","B.04",IF(OR(TRIM($G2)="Exterior Wall and Partition",TRIM($G2)="External Wall and Partition"),"C.01",IF(TRIM($G2)="Exterior Wall Finishes","C.02",IF(TRIM($G2)="Interior Wall and Partition","C.09",IF(TRIM($G2)="Interior Door","C.10",IF(TRIM($G2)="External Windows and Louvers","C.04",IF(OR(TRIM($G2)="Interior Floor Finishes",TRIM($G2)="Internal Floor Finishes"),"D.02",IF(OR(TRIM($G2)="Interior Wall Finishes",TRIM($G2)="Internal Wall Finishes"),"D.01",IF(OR(TRIM($G2)="Ceiling Finshes",TRIM($G2)="Ceiling Finishes"),"D.03",IF(TRIM($G2)="Fittings, furnishings and equipment","E.04","")))))))))))," ")</f>
        <v>B.01</v>
      </c>
      <c r="E2" s="135" t="s">
        <v>414</v>
      </c>
      <c r="F2" s="135" t="s">
        <v>653</v>
      </c>
      <c r="G2" s="134" t="s">
        <v>466</v>
      </c>
      <c r="H2" s="134" t="s">
        <v>502</v>
      </c>
      <c r="I2" s="134" t="s">
        <v>654</v>
      </c>
      <c r="J2" s="134" t="s">
        <v>88</v>
      </c>
      <c r="K2" s="134"/>
      <c r="L2" s="134"/>
      <c r="M2" s="134"/>
      <c r="N2" s="134"/>
      <c r="O2" s="134"/>
      <c r="P2" s="135" t="s">
        <v>89</v>
      </c>
      <c r="Q2" s="137">
        <f t="shared" ref="Q2:Q36" si="1">R2</f>
        <v>5</v>
      </c>
      <c r="R2" s="137">
        <v>5</v>
      </c>
      <c r="S2" s="138">
        <v>0</v>
      </c>
      <c r="T2" s="139">
        <f>IFERROR(INDEX('Price List'!$G$5:$G$74,MATCH(TRIM(J2)&amp;"|"&amp;TRIM(P2),'Price List'!$O$5:$O$74,0)),0)</f>
        <v>55</v>
      </c>
      <c r="U2" s="140">
        <f>IFERROR(INDEX('Price List'!$H$5:$H$74,MATCH(TRIM(J2)&amp;"|"&amp;TRIM(P2),'Price List'!$O$5:$O$74,0)),0)</f>
        <v>0.2</v>
      </c>
      <c r="V2" s="141">
        <f t="shared" ref="V2:V65" si="2">T2*(1+U2)</f>
        <v>66</v>
      </c>
      <c r="W2" s="142">
        <f>IFERROR(INDEX('Price List'!$J$5:$J$74,MATCH(TRIM(J2)&amp;"|"&amp;TRIM(P2),'Price List'!$O$5:$O$74,0)),0)</f>
        <v>0</v>
      </c>
      <c r="X2" s="143">
        <f>IFERROR(INDEX('Price List'!$K$5:$K$74,MATCH(TRIM(J2)&amp;"|"&amp;TRIM(P2),'Price List'!$O$5:$O$74,0)),0)</f>
        <v>0</v>
      </c>
      <c r="Y2" s="141">
        <f t="shared" ref="Y2:Y65" si="3">W2*(1+X2)</f>
        <v>0</v>
      </c>
      <c r="Z2" s="141">
        <f t="shared" ref="Z2:Z65" si="4">Q2*(V2+Y2)</f>
        <v>330</v>
      </c>
      <c r="AA2" s="134"/>
    </row>
    <row r="3" spans="1:27" ht="15" customHeight="1" x14ac:dyDescent="0.35">
      <c r="A3" s="134"/>
      <c r="B3" s="135"/>
      <c r="C3" s="134" t="s">
        <v>444</v>
      </c>
      <c r="D3" s="136" t="str">
        <f t="shared" si="0"/>
        <v>B.01</v>
      </c>
      <c r="E3" s="135" t="s">
        <v>414</v>
      </c>
      <c r="F3" s="135" t="s">
        <v>653</v>
      </c>
      <c r="G3" s="134" t="s">
        <v>466</v>
      </c>
      <c r="H3" s="134" t="s">
        <v>502</v>
      </c>
      <c r="I3" s="134" t="s">
        <v>654</v>
      </c>
      <c r="J3" s="134" t="s">
        <v>91</v>
      </c>
      <c r="K3" s="134"/>
      <c r="L3" s="134"/>
      <c r="M3" s="134"/>
      <c r="N3" s="134"/>
      <c r="O3" s="134"/>
      <c r="P3" s="135" t="s">
        <v>89</v>
      </c>
      <c r="Q3" s="137">
        <f t="shared" si="1"/>
        <v>17</v>
      </c>
      <c r="R3" s="137">
        <v>17</v>
      </c>
      <c r="S3" s="138">
        <v>0</v>
      </c>
      <c r="T3" s="139">
        <f>IFERROR(INDEX('Price List'!$G$5:$G$74,MATCH(TRIM(J3)&amp;"|"&amp;TRIM(P3),'Price List'!$O$5:$O$74,0)),0)</f>
        <v>40</v>
      </c>
      <c r="U3" s="140">
        <f>IFERROR(INDEX('Price List'!$H$5:$H$74,MATCH(TRIM(J3)&amp;"|"&amp;TRIM(P3),'Price List'!$O$5:$O$74,0)),0)</f>
        <v>0.2</v>
      </c>
      <c r="V3" s="141">
        <f t="shared" si="2"/>
        <v>48</v>
      </c>
      <c r="W3" s="142">
        <f>IFERROR(INDEX('Price List'!$J$5:$J$74,MATCH(TRIM(J3)&amp;"|"&amp;TRIM(P3),'Price List'!$O$5:$O$74,0)),0)</f>
        <v>0</v>
      </c>
      <c r="X3" s="143">
        <f>IFERROR(INDEX('Price List'!$K$5:$K$74,MATCH(TRIM(J3)&amp;"|"&amp;TRIM(P3),'Price List'!$O$5:$O$74,0)),0)</f>
        <v>0</v>
      </c>
      <c r="Y3" s="141">
        <f t="shared" si="3"/>
        <v>0</v>
      </c>
      <c r="Z3" s="141">
        <f t="shared" si="4"/>
        <v>816</v>
      </c>
      <c r="AA3" s="134"/>
    </row>
    <row r="4" spans="1:27" ht="15" customHeight="1" x14ac:dyDescent="0.35">
      <c r="A4" s="134"/>
      <c r="B4" s="134"/>
      <c r="C4" s="134" t="s">
        <v>444</v>
      </c>
      <c r="D4" s="136" t="str">
        <f t="shared" si="0"/>
        <v>B.01</v>
      </c>
      <c r="E4" s="135" t="s">
        <v>414</v>
      </c>
      <c r="F4" s="135" t="s">
        <v>653</v>
      </c>
      <c r="G4" s="134" t="s">
        <v>466</v>
      </c>
      <c r="H4" s="134" t="s">
        <v>502</v>
      </c>
      <c r="I4" s="134" t="s">
        <v>655</v>
      </c>
      <c r="J4" s="144" t="s">
        <v>93</v>
      </c>
      <c r="K4" s="134"/>
      <c r="L4" s="134"/>
      <c r="M4" s="134"/>
      <c r="N4" s="134"/>
      <c r="O4" s="134"/>
      <c r="P4" s="135" t="s">
        <v>89</v>
      </c>
      <c r="Q4" s="137">
        <f t="shared" si="1"/>
        <v>22</v>
      </c>
      <c r="R4" s="137">
        <v>22</v>
      </c>
      <c r="S4" s="138">
        <v>0</v>
      </c>
      <c r="T4" s="139">
        <f>IFERROR(INDEX('Price List'!$G$5:$G$74,MATCH(TRIM(J4)&amp;"|"&amp;TRIM(P4),'Price List'!$O$5:$O$74,0)),0)</f>
        <v>0</v>
      </c>
      <c r="U4" s="140">
        <f>IFERROR(INDEX('Price List'!$H$5:$H$74,MATCH(TRIM(J4)&amp;"|"&amp;TRIM(P4),'Price List'!$O$5:$O$74,0)),0)</f>
        <v>0</v>
      </c>
      <c r="V4" s="141">
        <f t="shared" si="2"/>
        <v>0</v>
      </c>
      <c r="W4" s="142">
        <f>IFERROR(INDEX('Price List'!$J$5:$J$74,MATCH(TRIM(J4)&amp;"|"&amp;TRIM(P4),'Price List'!$O$5:$O$74,0)),0)</f>
        <v>50</v>
      </c>
      <c r="X4" s="143">
        <f>IFERROR(INDEX('Price List'!$K$5:$K$74,MATCH(TRIM(J4)&amp;"|"&amp;TRIM(P4),'Price List'!$O$5:$O$74,0)),0)</f>
        <v>0.1</v>
      </c>
      <c r="Y4" s="141">
        <f t="shared" si="3"/>
        <v>55.000000000000007</v>
      </c>
      <c r="Z4" s="141">
        <f t="shared" si="4"/>
        <v>1210.0000000000002</v>
      </c>
      <c r="AA4" s="134"/>
    </row>
    <row r="5" spans="1:27" ht="15" customHeight="1" x14ac:dyDescent="0.35">
      <c r="A5" s="134"/>
      <c r="B5" s="134"/>
      <c r="C5" s="134" t="s">
        <v>444</v>
      </c>
      <c r="D5" s="136" t="str">
        <f t="shared" si="0"/>
        <v>B.01</v>
      </c>
      <c r="E5" s="135" t="s">
        <v>414</v>
      </c>
      <c r="F5" s="135" t="s">
        <v>653</v>
      </c>
      <c r="G5" s="134" t="s">
        <v>466</v>
      </c>
      <c r="H5" s="134" t="s">
        <v>502</v>
      </c>
      <c r="I5" s="134" t="s">
        <v>656</v>
      </c>
      <c r="J5" s="134" t="s">
        <v>95</v>
      </c>
      <c r="K5" s="134"/>
      <c r="L5" s="134"/>
      <c r="M5" s="134"/>
      <c r="N5" s="134"/>
      <c r="O5" s="134"/>
      <c r="P5" s="135" t="s">
        <v>89</v>
      </c>
      <c r="Q5" s="137">
        <f t="shared" si="1"/>
        <v>5</v>
      </c>
      <c r="R5" s="137">
        <v>5</v>
      </c>
      <c r="S5" s="138">
        <v>0</v>
      </c>
      <c r="T5" s="139">
        <f>IFERROR(INDEX('Price List'!$G$5:$G$74,MATCH(TRIM(J5)&amp;"|"&amp;TRIM(P5),'Price List'!$O$5:$O$74,0)),0)</f>
        <v>0</v>
      </c>
      <c r="U5" s="140">
        <f>IFERROR(INDEX('Price List'!$H$5:$H$74,MATCH(TRIM(J5)&amp;"|"&amp;TRIM(P5),'Price List'!$O$5:$O$74,0)),0)</f>
        <v>0</v>
      </c>
      <c r="V5" s="141">
        <f t="shared" si="2"/>
        <v>0</v>
      </c>
      <c r="W5" s="142">
        <f>IFERROR(INDEX('Price List'!$J$5:$J$74,MATCH(TRIM(J5)&amp;"|"&amp;TRIM(P5),'Price List'!$O$5:$O$74,0)),0)</f>
        <v>350</v>
      </c>
      <c r="X5" s="143">
        <f>IFERROR(INDEX('Price List'!$K$5:$K$74,MATCH(TRIM(J5)&amp;"|"&amp;TRIM(P5),'Price List'!$O$5:$O$74,0)),0)</f>
        <v>0.1</v>
      </c>
      <c r="Y5" s="141">
        <f t="shared" si="3"/>
        <v>385.00000000000006</v>
      </c>
      <c r="Z5" s="141">
        <f t="shared" si="4"/>
        <v>1925.0000000000002</v>
      </c>
      <c r="AA5" s="134"/>
    </row>
    <row r="6" spans="1:27" ht="15" customHeight="1" x14ac:dyDescent="0.35">
      <c r="A6" s="134"/>
      <c r="B6" s="134"/>
      <c r="C6" s="134" t="s">
        <v>444</v>
      </c>
      <c r="D6" s="136" t="str">
        <f t="shared" si="0"/>
        <v>B.01</v>
      </c>
      <c r="E6" s="135" t="s">
        <v>414</v>
      </c>
      <c r="F6" s="135" t="s">
        <v>653</v>
      </c>
      <c r="G6" s="134" t="s">
        <v>466</v>
      </c>
      <c r="H6" s="134" t="s">
        <v>502</v>
      </c>
      <c r="I6" s="134" t="s">
        <v>656</v>
      </c>
      <c r="J6" s="134" t="s">
        <v>97</v>
      </c>
      <c r="K6" s="134"/>
      <c r="L6" s="134"/>
      <c r="M6" s="134"/>
      <c r="N6" s="134"/>
      <c r="O6" s="134"/>
      <c r="P6" s="135" t="s">
        <v>89</v>
      </c>
      <c r="Q6" s="137">
        <f t="shared" si="1"/>
        <v>17</v>
      </c>
      <c r="R6" s="137">
        <v>17</v>
      </c>
      <c r="S6" s="138">
        <v>0</v>
      </c>
      <c r="T6" s="139">
        <f>IFERROR(INDEX('Price List'!$G$5:$G$74,MATCH(TRIM(J6)&amp;"|"&amp;TRIM(P6),'Price List'!$O$5:$O$74,0)),0)</f>
        <v>0</v>
      </c>
      <c r="U6" s="140">
        <f>IFERROR(INDEX('Price List'!$H$5:$H$74,MATCH(TRIM(J6)&amp;"|"&amp;TRIM(P6),'Price List'!$O$5:$O$74,0)),0)</f>
        <v>0</v>
      </c>
      <c r="V6" s="141">
        <f t="shared" si="2"/>
        <v>0</v>
      </c>
      <c r="W6" s="142">
        <f>IFERROR(INDEX('Price List'!$J$5:$J$74,MATCH(TRIM(J6)&amp;"|"&amp;TRIM(P6),'Price List'!$O$5:$O$74,0)),0)</f>
        <v>300</v>
      </c>
      <c r="X6" s="143">
        <f>IFERROR(INDEX('Price List'!$K$5:$K$74,MATCH(TRIM(J6)&amp;"|"&amp;TRIM(P6),'Price List'!$O$5:$O$74,0)),0)</f>
        <v>0.1</v>
      </c>
      <c r="Y6" s="141">
        <f t="shared" si="3"/>
        <v>330</v>
      </c>
      <c r="Z6" s="141">
        <f t="shared" si="4"/>
        <v>5610</v>
      </c>
      <c r="AA6" s="134"/>
    </row>
    <row r="7" spans="1:27" ht="15" customHeight="1" x14ac:dyDescent="0.35">
      <c r="A7" s="134"/>
      <c r="B7" s="134"/>
      <c r="C7" s="134" t="s">
        <v>444</v>
      </c>
      <c r="D7" s="136" t="str">
        <f t="shared" si="0"/>
        <v>B.01</v>
      </c>
      <c r="E7" s="135" t="s">
        <v>414</v>
      </c>
      <c r="F7" s="135" t="s">
        <v>653</v>
      </c>
      <c r="G7" s="134" t="s">
        <v>466</v>
      </c>
      <c r="H7" s="134" t="s">
        <v>502</v>
      </c>
      <c r="I7" s="134" t="s">
        <v>512</v>
      </c>
      <c r="J7" s="144" t="s">
        <v>99</v>
      </c>
      <c r="K7" s="134"/>
      <c r="L7" s="134"/>
      <c r="M7" s="134"/>
      <c r="N7" s="134"/>
      <c r="O7" s="134"/>
      <c r="P7" s="135" t="s">
        <v>100</v>
      </c>
      <c r="Q7" s="137">
        <f t="shared" si="1"/>
        <v>374.16368504254439</v>
      </c>
      <c r="R7" s="137">
        <f>((PI()*0.4^2)*30*17)+((PI()*0.5^2)*30*5)</f>
        <v>374.16368504254439</v>
      </c>
      <c r="S7" s="138"/>
      <c r="T7" s="139">
        <f>IFERROR(INDEX('Price List'!$G$5:$G$74,MATCH(TRIM(J7)&amp;"|"&amp;TRIM(P7),'Price List'!$O$5:$O$74,0)),0)</f>
        <v>8</v>
      </c>
      <c r="U7" s="140">
        <f>IFERROR(INDEX('Price List'!$H$5:$H$74,MATCH(TRIM(J7)&amp;"|"&amp;TRIM(P7),'Price List'!$O$5:$O$74,0)),0)</f>
        <v>0.2</v>
      </c>
      <c r="V7" s="141">
        <f t="shared" si="2"/>
        <v>9.6</v>
      </c>
      <c r="W7" s="142">
        <f>IFERROR(INDEX('Price List'!$J$5:$J$74,MATCH(TRIM(J7)&amp;"|"&amp;TRIM(P7),'Price List'!$O$5:$O$74,0)),0)</f>
        <v>98</v>
      </c>
      <c r="X7" s="143">
        <f>IFERROR(INDEX('Price List'!$K$5:$K$74,MATCH(TRIM(J7)&amp;"|"&amp;TRIM(P7),'Price List'!$O$5:$O$74,0)),0)</f>
        <v>0.12</v>
      </c>
      <c r="Y7" s="141">
        <f t="shared" si="3"/>
        <v>109.76</v>
      </c>
      <c r="Z7" s="141">
        <f t="shared" si="4"/>
        <v>44660.177446678099</v>
      </c>
      <c r="AA7" s="134"/>
    </row>
    <row r="8" spans="1:27" ht="15" customHeight="1" x14ac:dyDescent="0.35">
      <c r="A8" s="134"/>
      <c r="B8" s="134"/>
      <c r="C8" s="134" t="s">
        <v>444</v>
      </c>
      <c r="D8" s="136" t="str">
        <f t="shared" si="0"/>
        <v>B.01</v>
      </c>
      <c r="E8" s="135" t="s">
        <v>414</v>
      </c>
      <c r="F8" s="135" t="s">
        <v>653</v>
      </c>
      <c r="G8" s="134" t="s">
        <v>466</v>
      </c>
      <c r="H8" s="134" t="s">
        <v>502</v>
      </c>
      <c r="I8" s="134" t="s">
        <v>513</v>
      </c>
      <c r="J8" s="144" t="s">
        <v>102</v>
      </c>
      <c r="K8" s="134"/>
      <c r="L8" s="134"/>
      <c r="M8" s="134"/>
      <c r="N8" s="134"/>
      <c r="O8" s="134"/>
      <c r="P8" s="135" t="s">
        <v>103</v>
      </c>
      <c r="Q8" s="137">
        <f t="shared" si="1"/>
        <v>2553.8863999999999</v>
      </c>
      <c r="R8" s="137">
        <v>2553.8863999999999</v>
      </c>
      <c r="S8" s="138"/>
      <c r="T8" s="139">
        <f>IFERROR(INDEX('Price List'!$G$5:$G$74,MATCH(TRIM(J8)&amp;"|"&amp;TRIM(P8),'Price List'!$O$5:$O$74,0)),0)</f>
        <v>0.12</v>
      </c>
      <c r="U8" s="140">
        <f>IFERROR(INDEX('Price List'!$H$5:$H$74,MATCH(TRIM(J8)&amp;"|"&amp;TRIM(P8),'Price List'!$O$5:$O$74,0)),0)</f>
        <v>0.2</v>
      </c>
      <c r="V8" s="141">
        <f t="shared" si="2"/>
        <v>0.14399999999999999</v>
      </c>
      <c r="W8" s="142">
        <f>IFERROR(INDEX('Price List'!$J$5:$J$74,MATCH(TRIM(J8)&amp;"|"&amp;TRIM(P8),'Price List'!$O$5:$O$74,0)),0)</f>
        <v>0.78</v>
      </c>
      <c r="X8" s="143">
        <f>IFERROR(INDEX('Price List'!$K$5:$K$74,MATCH(TRIM(J8)&amp;"|"&amp;TRIM(P8),'Price List'!$O$5:$O$74,0)),0)</f>
        <v>0.12</v>
      </c>
      <c r="Y8" s="141">
        <f t="shared" si="3"/>
        <v>0.87360000000000015</v>
      </c>
      <c r="Z8" s="141">
        <f t="shared" si="4"/>
        <v>2598.8348006400001</v>
      </c>
      <c r="AA8" s="134"/>
    </row>
    <row r="9" spans="1:27" ht="15" customHeight="1" x14ac:dyDescent="0.35">
      <c r="A9" s="134"/>
      <c r="B9" s="134"/>
      <c r="C9" s="134" t="s">
        <v>444</v>
      </c>
      <c r="D9" s="136" t="str">
        <f t="shared" si="0"/>
        <v>B.01</v>
      </c>
      <c r="E9" s="135" t="s">
        <v>414</v>
      </c>
      <c r="F9" s="135" t="s">
        <v>653</v>
      </c>
      <c r="G9" s="134" t="s">
        <v>466</v>
      </c>
      <c r="H9" s="134" t="s">
        <v>502</v>
      </c>
      <c r="I9" s="134" t="s">
        <v>513</v>
      </c>
      <c r="J9" s="144" t="s">
        <v>105</v>
      </c>
      <c r="K9" s="134"/>
      <c r="L9" s="134"/>
      <c r="M9" s="134"/>
      <c r="N9" s="134"/>
      <c r="O9" s="134"/>
      <c r="P9" s="135" t="s">
        <v>103</v>
      </c>
      <c r="Q9" s="137">
        <f t="shared" si="1"/>
        <v>33921.811999999998</v>
      </c>
      <c r="R9" s="137">
        <v>33921.811999999998</v>
      </c>
      <c r="S9" s="138"/>
      <c r="T9" s="139">
        <f>IFERROR(INDEX('Price List'!$G$5:$G$74,MATCH(TRIM(J9)&amp;"|"&amp;TRIM(P9),'Price List'!$O$5:$O$74,0)),0)</f>
        <v>0.08</v>
      </c>
      <c r="U9" s="140">
        <f>IFERROR(INDEX('Price List'!$H$5:$H$74,MATCH(TRIM(J9)&amp;"|"&amp;TRIM(P9),'Price List'!$O$5:$O$74,0)),0)</f>
        <v>0.2</v>
      </c>
      <c r="V9" s="141">
        <f t="shared" si="2"/>
        <v>9.6000000000000002E-2</v>
      </c>
      <c r="W9" s="142">
        <f>IFERROR(INDEX('Price List'!$J$5:$J$74,MATCH(TRIM(J9)&amp;"|"&amp;TRIM(P9),'Price List'!$O$5:$O$74,0)),0)</f>
        <v>0.72</v>
      </c>
      <c r="X9" s="143">
        <f>IFERROR(INDEX('Price List'!$K$5:$K$74,MATCH(TRIM(J9)&amp;"|"&amp;TRIM(P9),'Price List'!$O$5:$O$74,0)),0)</f>
        <v>0.12</v>
      </c>
      <c r="Y9" s="141">
        <f t="shared" si="3"/>
        <v>0.80640000000000001</v>
      </c>
      <c r="Z9" s="141">
        <f t="shared" si="4"/>
        <v>30611.043148799996</v>
      </c>
      <c r="AA9" s="134"/>
    </row>
    <row r="10" spans="1:27" ht="15" customHeight="1" x14ac:dyDescent="0.35">
      <c r="A10" s="134"/>
      <c r="B10" s="134"/>
      <c r="C10" s="134" t="s">
        <v>444</v>
      </c>
      <c r="D10" s="136" t="str">
        <f t="shared" si="0"/>
        <v>B.01</v>
      </c>
      <c r="E10" s="135" t="s">
        <v>414</v>
      </c>
      <c r="F10" s="135" t="s">
        <v>653</v>
      </c>
      <c r="G10" s="134" t="s">
        <v>466</v>
      </c>
      <c r="H10" s="134" t="s">
        <v>502</v>
      </c>
      <c r="I10" s="134" t="s">
        <v>657</v>
      </c>
      <c r="J10" s="134" t="s">
        <v>107</v>
      </c>
      <c r="K10" s="134"/>
      <c r="L10" s="134"/>
      <c r="M10" s="134"/>
      <c r="N10" s="134"/>
      <c r="O10" s="134"/>
      <c r="P10" s="135" t="s">
        <v>103</v>
      </c>
      <c r="Q10" s="137">
        <f t="shared" si="1"/>
        <v>1459.0279360000002</v>
      </c>
      <c r="R10" s="137">
        <f>(R8+R9)*4%</f>
        <v>1459.0279360000002</v>
      </c>
      <c r="S10" s="138"/>
      <c r="T10" s="139">
        <f>IFERROR(INDEX('Price List'!$G$5:$G$74,MATCH(TRIM(J10)&amp;"|"&amp;TRIM(P10),'Price List'!$O$5:$O$74,0)),0)</f>
        <v>0.05</v>
      </c>
      <c r="U10" s="140">
        <f>IFERROR(INDEX('Price List'!$H$5:$H$74,MATCH(TRIM(J10)&amp;"|"&amp;TRIM(P10),'Price List'!$O$5:$O$74,0)),0)</f>
        <v>0.2</v>
      </c>
      <c r="V10" s="141">
        <f t="shared" si="2"/>
        <v>0.06</v>
      </c>
      <c r="W10" s="142">
        <f>IFERROR(INDEX('Price List'!$J$5:$J$74,MATCH(TRIM(J10)&amp;"|"&amp;TRIM(P10),'Price List'!$O$5:$O$74,0)),0)</f>
        <v>1.2</v>
      </c>
      <c r="X10" s="143">
        <f>IFERROR(INDEX('Price List'!$K$5:$K$74,MATCH(TRIM(J10)&amp;"|"&amp;TRIM(P10),'Price List'!$O$5:$O$74,0)),0)</f>
        <v>0.12</v>
      </c>
      <c r="Y10" s="141">
        <f t="shared" si="3"/>
        <v>1.3440000000000001</v>
      </c>
      <c r="Z10" s="141">
        <f t="shared" si="4"/>
        <v>2048.4752221440003</v>
      </c>
      <c r="AA10" s="134"/>
    </row>
    <row r="11" spans="1:27" ht="15" customHeight="1" x14ac:dyDescent="0.35">
      <c r="A11" s="134"/>
      <c r="B11" s="134"/>
      <c r="C11" s="134" t="s">
        <v>444</v>
      </c>
      <c r="D11" s="136" t="str">
        <f t="shared" si="0"/>
        <v>B.01</v>
      </c>
      <c r="E11" s="135" t="s">
        <v>414</v>
      </c>
      <c r="F11" s="135" t="s">
        <v>653</v>
      </c>
      <c r="G11" s="134" t="s">
        <v>466</v>
      </c>
      <c r="H11" s="134" t="s">
        <v>502</v>
      </c>
      <c r="I11" s="134" t="s">
        <v>658</v>
      </c>
      <c r="J11" s="134" t="s">
        <v>109</v>
      </c>
      <c r="K11" s="134"/>
      <c r="L11" s="134"/>
      <c r="M11" s="134"/>
      <c r="N11" s="134"/>
      <c r="O11" s="134"/>
      <c r="P11" s="135" t="s">
        <v>110</v>
      </c>
      <c r="Q11" s="137">
        <f t="shared" si="1"/>
        <v>2201</v>
      </c>
      <c r="R11" s="137">
        <f>(3*17*31)+(4*5*31)</f>
        <v>2201</v>
      </c>
      <c r="S11" s="138"/>
      <c r="T11" s="139">
        <f>IFERROR(INDEX('Price List'!$G$5:$G$74,MATCH(TRIM(J11)&amp;"|"&amp;TRIM(P11),'Price List'!$O$5:$O$74,0)),0)</f>
        <v>1.5</v>
      </c>
      <c r="U11" s="140">
        <f>IFERROR(INDEX('Price List'!$H$5:$H$74,MATCH(TRIM(J11)&amp;"|"&amp;TRIM(P11),'Price List'!$O$5:$O$74,0)),0)</f>
        <v>0.2</v>
      </c>
      <c r="V11" s="141">
        <f t="shared" si="2"/>
        <v>1.7999999999999998</v>
      </c>
      <c r="W11" s="142">
        <f>IFERROR(INDEX('Price List'!$J$5:$J$74,MATCH(TRIM(J11)&amp;"|"&amp;TRIM(P11),'Price List'!$O$5:$O$74,0)),0)</f>
        <v>4.5</v>
      </c>
      <c r="X11" s="143">
        <f>IFERROR(INDEX('Price List'!$K$5:$K$74,MATCH(TRIM(J11)&amp;"|"&amp;TRIM(P11),'Price List'!$O$5:$O$74,0)),0)</f>
        <v>0.12</v>
      </c>
      <c r="Y11" s="141">
        <f t="shared" si="3"/>
        <v>5.0400000000000009</v>
      </c>
      <c r="Z11" s="141">
        <f t="shared" si="4"/>
        <v>15054.840000000002</v>
      </c>
      <c r="AA11" s="134"/>
    </row>
    <row r="12" spans="1:27" ht="15" customHeight="1" x14ac:dyDescent="0.35">
      <c r="A12" s="134"/>
      <c r="B12" s="134"/>
      <c r="C12" s="134" t="s">
        <v>444</v>
      </c>
      <c r="D12" s="136" t="str">
        <f t="shared" si="0"/>
        <v>B.01</v>
      </c>
      <c r="E12" s="135" t="s">
        <v>414</v>
      </c>
      <c r="F12" s="135" t="s">
        <v>653</v>
      </c>
      <c r="G12" s="134" t="s">
        <v>466</v>
      </c>
      <c r="H12" s="134" t="s">
        <v>502</v>
      </c>
      <c r="I12" s="134" t="s">
        <v>659</v>
      </c>
      <c r="J12" s="134" t="s">
        <v>112</v>
      </c>
      <c r="K12" s="134"/>
      <c r="L12" s="134"/>
      <c r="M12" s="134"/>
      <c r="N12" s="134"/>
      <c r="O12" s="134"/>
      <c r="P12" s="135" t="s">
        <v>113</v>
      </c>
      <c r="Q12" s="137">
        <f t="shared" si="1"/>
        <v>1</v>
      </c>
      <c r="R12" s="137">
        <v>1</v>
      </c>
      <c r="S12" s="138">
        <v>0</v>
      </c>
      <c r="T12" s="139">
        <f>IFERROR(INDEX('Price List'!$G$5:$G$74,MATCH(TRIM(J12)&amp;"|"&amp;TRIM(P12),'Price List'!$O$5:$O$74,0)),0)</f>
        <v>0</v>
      </c>
      <c r="U12" s="140">
        <f>IFERROR(INDEX('Price List'!$H$5:$H$74,MATCH(TRIM(J12)&amp;"|"&amp;TRIM(P12),'Price List'!$O$5:$O$74,0)),0)</f>
        <v>0</v>
      </c>
      <c r="V12" s="141">
        <f t="shared" si="2"/>
        <v>0</v>
      </c>
      <c r="W12" s="142">
        <f>IFERROR(INDEX('Price List'!$J$5:$J$74,MATCH(TRIM(J12)&amp;"|"&amp;TRIM(P12),'Price List'!$O$5:$O$74,0)),0)</f>
        <v>200</v>
      </c>
      <c r="X12" s="143">
        <f>IFERROR(INDEX('Price List'!$K$5:$K$74,MATCH(TRIM(J12)&amp;"|"&amp;TRIM(P12),'Price List'!$O$5:$O$74,0)),0)</f>
        <v>0.1</v>
      </c>
      <c r="Y12" s="141">
        <f t="shared" si="3"/>
        <v>220.00000000000003</v>
      </c>
      <c r="Z12" s="141">
        <f t="shared" si="4"/>
        <v>220.00000000000003</v>
      </c>
      <c r="AA12" s="134"/>
    </row>
    <row r="13" spans="1:27" ht="15" customHeight="1" x14ac:dyDescent="0.35">
      <c r="A13" s="134"/>
      <c r="B13" s="135"/>
      <c r="C13" s="134" t="s">
        <v>444</v>
      </c>
      <c r="D13" s="136" t="str">
        <f t="shared" si="0"/>
        <v>B.03</v>
      </c>
      <c r="E13" s="135" t="s">
        <v>414</v>
      </c>
      <c r="F13" s="135" t="s">
        <v>653</v>
      </c>
      <c r="G13" s="134" t="s">
        <v>466</v>
      </c>
      <c r="H13" s="134" t="s">
        <v>660</v>
      </c>
      <c r="I13" s="134" t="s">
        <v>661</v>
      </c>
      <c r="J13" s="144" t="s">
        <v>119</v>
      </c>
      <c r="K13" s="134"/>
      <c r="L13" s="134"/>
      <c r="M13" s="134"/>
      <c r="N13" s="134"/>
      <c r="O13" s="134"/>
      <c r="P13" s="135" t="s">
        <v>100</v>
      </c>
      <c r="Q13" s="137">
        <f t="shared" si="1"/>
        <v>1283.17</v>
      </c>
      <c r="R13" s="137">
        <v>1283.17</v>
      </c>
      <c r="S13" s="138"/>
      <c r="T13" s="139">
        <f>IFERROR(INDEX('Price List'!$G$5:$G$74,MATCH(TRIM(J13)&amp;"|"&amp;TRIM(P13),'Price List'!$O$5:$O$74,0)),0)</f>
        <v>3</v>
      </c>
      <c r="U13" s="140">
        <f>IFERROR(INDEX('Price List'!$H$5:$H$74,MATCH(TRIM(J13)&amp;"|"&amp;TRIM(P13),'Price List'!$O$5:$O$74,0)),0)</f>
        <v>0.2</v>
      </c>
      <c r="V13" s="141">
        <f t="shared" si="2"/>
        <v>3.5999999999999996</v>
      </c>
      <c r="W13" s="142">
        <f>IFERROR(INDEX('Price List'!$J$5:$J$74,MATCH(TRIM(J13)&amp;"|"&amp;TRIM(P13),'Price List'!$O$5:$O$74,0)),0)</f>
        <v>0</v>
      </c>
      <c r="X13" s="143">
        <f>IFERROR(INDEX('Price List'!$K$5:$K$74,MATCH(TRIM(J13)&amp;"|"&amp;TRIM(P13),'Price List'!$O$5:$O$74,0)),0)</f>
        <v>0</v>
      </c>
      <c r="Y13" s="141">
        <f t="shared" si="3"/>
        <v>0</v>
      </c>
      <c r="Z13" s="141">
        <f t="shared" si="4"/>
        <v>4619.4119999999994</v>
      </c>
      <c r="AA13" s="134"/>
    </row>
    <row r="14" spans="1:27" ht="15" customHeight="1" x14ac:dyDescent="0.35">
      <c r="A14" s="134"/>
      <c r="B14" s="134"/>
      <c r="C14" s="134" t="s">
        <v>444</v>
      </c>
      <c r="D14" s="136" t="str">
        <f t="shared" si="0"/>
        <v>B.03</v>
      </c>
      <c r="E14" s="135" t="s">
        <v>414</v>
      </c>
      <c r="F14" s="135" t="s">
        <v>653</v>
      </c>
      <c r="G14" s="134" t="s">
        <v>466</v>
      </c>
      <c r="H14" s="134" t="s">
        <v>660</v>
      </c>
      <c r="I14" s="134" t="s">
        <v>661</v>
      </c>
      <c r="J14" s="144" t="s">
        <v>121</v>
      </c>
      <c r="K14" s="134"/>
      <c r="L14" s="134"/>
      <c r="M14" s="134"/>
      <c r="N14" s="134"/>
      <c r="O14" s="134"/>
      <c r="P14" s="135" t="s">
        <v>100</v>
      </c>
      <c r="Q14" s="137">
        <f t="shared" si="1"/>
        <v>1283.17</v>
      </c>
      <c r="R14" s="137">
        <f>R13</f>
        <v>1283.17</v>
      </c>
      <c r="S14" s="138"/>
      <c r="T14" s="139">
        <f>IFERROR(INDEX('Price List'!$G$5:$G$74,MATCH(TRIM(J14)&amp;"|"&amp;TRIM(P14),'Price List'!$O$5:$O$74,0)),0)</f>
        <v>4</v>
      </c>
      <c r="U14" s="140">
        <f>IFERROR(INDEX('Price List'!$H$5:$H$74,MATCH(TRIM(J14)&amp;"|"&amp;TRIM(P14),'Price List'!$O$5:$O$74,0)),0)</f>
        <v>0.2</v>
      </c>
      <c r="V14" s="141">
        <f t="shared" si="2"/>
        <v>4.8</v>
      </c>
      <c r="W14" s="142">
        <f>IFERROR(INDEX('Price List'!$J$5:$J$74,MATCH(TRIM(J14)&amp;"|"&amp;TRIM(P14),'Price List'!$O$5:$O$74,0)),0)</f>
        <v>0</v>
      </c>
      <c r="X14" s="143">
        <f>IFERROR(INDEX('Price List'!$K$5:$K$74,MATCH(TRIM(J14)&amp;"|"&amp;TRIM(P14),'Price List'!$O$5:$O$74,0)),0)</f>
        <v>0</v>
      </c>
      <c r="Y14" s="141">
        <f t="shared" si="3"/>
        <v>0</v>
      </c>
      <c r="Z14" s="141">
        <f t="shared" si="4"/>
        <v>6159.2160000000003</v>
      </c>
      <c r="AA14" s="134"/>
    </row>
    <row r="15" spans="1:27" ht="15" customHeight="1" x14ac:dyDescent="0.35">
      <c r="A15" s="134"/>
      <c r="B15" s="134"/>
      <c r="C15" s="134" t="s">
        <v>444</v>
      </c>
      <c r="D15" s="136" t="str">
        <f t="shared" si="0"/>
        <v>B.03</v>
      </c>
      <c r="E15" s="135" t="s">
        <v>414</v>
      </c>
      <c r="F15" s="135" t="s">
        <v>653</v>
      </c>
      <c r="G15" s="134" t="s">
        <v>466</v>
      </c>
      <c r="H15" s="134" t="s">
        <v>660</v>
      </c>
      <c r="I15" s="134" t="s">
        <v>661</v>
      </c>
      <c r="J15" s="144" t="s">
        <v>123</v>
      </c>
      <c r="K15" s="134"/>
      <c r="L15" s="134"/>
      <c r="M15" s="134"/>
      <c r="N15" s="134"/>
      <c r="O15" s="134"/>
      <c r="P15" s="135" t="s">
        <v>100</v>
      </c>
      <c r="Q15" s="137">
        <f t="shared" si="1"/>
        <v>1148.424</v>
      </c>
      <c r="R15" s="137">
        <f>R13-R16</f>
        <v>1148.424</v>
      </c>
      <c r="S15" s="138"/>
      <c r="T15" s="139">
        <f>IFERROR(INDEX('Price List'!$G$5:$G$74,MATCH(TRIM(J15)&amp;"|"&amp;TRIM(P15),'Price List'!$O$5:$O$74,0)),0)</f>
        <v>4</v>
      </c>
      <c r="U15" s="140">
        <f>IFERROR(INDEX('Price List'!$H$5:$H$74,MATCH(TRIM(J15)&amp;"|"&amp;TRIM(P15),'Price List'!$O$5:$O$74,0)),0)</f>
        <v>0.2</v>
      </c>
      <c r="V15" s="141">
        <f t="shared" si="2"/>
        <v>4.8</v>
      </c>
      <c r="W15" s="142">
        <f>IFERROR(INDEX('Price List'!$J$5:$J$74,MATCH(TRIM(J15)&amp;"|"&amp;TRIM(P15),'Price List'!$O$5:$O$74,0)),0)</f>
        <v>0</v>
      </c>
      <c r="X15" s="143">
        <f>IFERROR(INDEX('Price List'!$K$5:$K$74,MATCH(TRIM(J15)&amp;"|"&amp;TRIM(P15),'Price List'!$O$5:$O$74,0)),0)</f>
        <v>0</v>
      </c>
      <c r="Y15" s="141">
        <f t="shared" si="3"/>
        <v>0</v>
      </c>
      <c r="Z15" s="141">
        <f t="shared" si="4"/>
        <v>5512.4351999999999</v>
      </c>
      <c r="AA15" s="134"/>
    </row>
    <row r="16" spans="1:27" ht="15" customHeight="1" x14ac:dyDescent="0.35">
      <c r="A16" s="134"/>
      <c r="B16" s="134"/>
      <c r="C16" s="134" t="s">
        <v>444</v>
      </c>
      <c r="D16" s="136" t="str">
        <f t="shared" si="0"/>
        <v>B.03</v>
      </c>
      <c r="E16" s="135" t="s">
        <v>414</v>
      </c>
      <c r="F16" s="135" t="s">
        <v>653</v>
      </c>
      <c r="G16" s="134" t="s">
        <v>466</v>
      </c>
      <c r="H16" s="134" t="s">
        <v>660</v>
      </c>
      <c r="I16" s="134" t="s">
        <v>512</v>
      </c>
      <c r="J16" s="144" t="s">
        <v>125</v>
      </c>
      <c r="K16" s="134"/>
      <c r="L16" s="134"/>
      <c r="M16" s="134"/>
      <c r="N16" s="134"/>
      <c r="O16" s="134"/>
      <c r="P16" s="135" t="s">
        <v>100</v>
      </c>
      <c r="Q16" s="137">
        <f t="shared" si="1"/>
        <v>134.74600000000001</v>
      </c>
      <c r="R16" s="137">
        <f>124.282+(6.54*1.6)</f>
        <v>134.74600000000001</v>
      </c>
      <c r="S16" s="138"/>
      <c r="T16" s="139">
        <f>IFERROR(INDEX('Price List'!$G$5:$G$74,MATCH(TRIM(J16)&amp;"|"&amp;TRIM(P16),'Price List'!$O$5:$O$74,0)),0)</f>
        <v>10</v>
      </c>
      <c r="U16" s="140">
        <f>IFERROR(INDEX('Price List'!$H$5:$H$74,MATCH(TRIM(J16)&amp;"|"&amp;TRIM(P16),'Price List'!$O$5:$O$74,0)),0)</f>
        <v>0.2</v>
      </c>
      <c r="V16" s="141">
        <f t="shared" si="2"/>
        <v>12</v>
      </c>
      <c r="W16" s="142">
        <f>IFERROR(INDEX('Price List'!$J$5:$J$74,MATCH(TRIM(J16)&amp;"|"&amp;TRIM(P16),'Price List'!$O$5:$O$74,0)),0)</f>
        <v>98</v>
      </c>
      <c r="X16" s="143">
        <f>IFERROR(INDEX('Price List'!$K$5:$K$74,MATCH(TRIM(J16)&amp;"|"&amp;TRIM(P16),'Price List'!$O$5:$O$74,0)),0)</f>
        <v>0.12</v>
      </c>
      <c r="Y16" s="141">
        <f t="shared" si="3"/>
        <v>109.76</v>
      </c>
      <c r="Z16" s="141">
        <f t="shared" si="4"/>
        <v>16406.672960000004</v>
      </c>
      <c r="AA16" s="134"/>
    </row>
    <row r="17" spans="1:27" ht="15" customHeight="1" x14ac:dyDescent="0.35">
      <c r="A17" s="134"/>
      <c r="B17" s="134"/>
      <c r="C17" s="134" t="s">
        <v>444</v>
      </c>
      <c r="D17" s="136" t="str">
        <f t="shared" si="0"/>
        <v>B.03</v>
      </c>
      <c r="E17" s="135" t="s">
        <v>414</v>
      </c>
      <c r="F17" s="135" t="s">
        <v>653</v>
      </c>
      <c r="G17" s="134" t="s">
        <v>466</v>
      </c>
      <c r="H17" s="134" t="s">
        <v>660</v>
      </c>
      <c r="I17" s="144" t="s">
        <v>127</v>
      </c>
      <c r="J17" s="144" t="s">
        <v>127</v>
      </c>
      <c r="K17" s="144"/>
      <c r="L17" s="134"/>
      <c r="M17" s="134"/>
      <c r="N17" s="134"/>
      <c r="O17" s="134"/>
      <c r="P17" s="135" t="s">
        <v>128</v>
      </c>
      <c r="Q17" s="137">
        <f t="shared" si="1"/>
        <v>200.935</v>
      </c>
      <c r="R17" s="137">
        <v>200.935</v>
      </c>
      <c r="S17" s="138"/>
      <c r="T17" s="139">
        <f>IFERROR(INDEX('Price List'!$G$5:$G$74,MATCH(TRIM(J17)&amp;"|"&amp;TRIM(P17),'Price List'!$O$5:$O$74,0)),0)</f>
        <v>6</v>
      </c>
      <c r="U17" s="140">
        <f>IFERROR(INDEX('Price List'!$H$5:$H$74,MATCH(TRIM(J17)&amp;"|"&amp;TRIM(P17),'Price List'!$O$5:$O$74,0)),0)</f>
        <v>0.2</v>
      </c>
      <c r="V17" s="141">
        <f t="shared" si="2"/>
        <v>7.1999999999999993</v>
      </c>
      <c r="W17" s="142">
        <f>IFERROR(INDEX('Price List'!$J$5:$J$74,MATCH(TRIM(J17)&amp;"|"&amp;TRIM(P17),'Price List'!$O$5:$O$74,0)),0)</f>
        <v>5</v>
      </c>
      <c r="X17" s="143">
        <f>IFERROR(INDEX('Price List'!$K$5:$K$74,MATCH(TRIM(J17)&amp;"|"&amp;TRIM(P17),'Price List'!$O$5:$O$74,0)),0)</f>
        <v>0.12</v>
      </c>
      <c r="Y17" s="141">
        <f t="shared" si="3"/>
        <v>5.6000000000000005</v>
      </c>
      <c r="Z17" s="141">
        <f t="shared" si="4"/>
        <v>2571.9680000000003</v>
      </c>
      <c r="AA17" s="134"/>
    </row>
    <row r="18" spans="1:27" ht="15" customHeight="1" x14ac:dyDescent="0.35">
      <c r="A18" s="134"/>
      <c r="B18" s="134"/>
      <c r="C18" s="134" t="s">
        <v>444</v>
      </c>
      <c r="D18" s="136" t="str">
        <f t="shared" si="0"/>
        <v>B.03</v>
      </c>
      <c r="E18" s="135" t="s">
        <v>414</v>
      </c>
      <c r="F18" s="135" t="s">
        <v>653</v>
      </c>
      <c r="G18" s="134" t="s">
        <v>466</v>
      </c>
      <c r="H18" s="134" t="s">
        <v>660</v>
      </c>
      <c r="I18" s="134" t="s">
        <v>513</v>
      </c>
      <c r="J18" s="144" t="s">
        <v>102</v>
      </c>
      <c r="K18" s="134"/>
      <c r="L18" s="134"/>
      <c r="M18" s="134"/>
      <c r="N18" s="134"/>
      <c r="O18" s="134"/>
      <c r="P18" s="135" t="s">
        <v>103</v>
      </c>
      <c r="Q18" s="137">
        <f t="shared" si="1"/>
        <v>34.549999999999997</v>
      </c>
      <c r="R18" s="137">
        <v>34.549999999999997</v>
      </c>
      <c r="S18" s="138"/>
      <c r="T18" s="139">
        <f>IFERROR(INDEX('Price List'!$G$5:$G$74,MATCH(TRIM(J18)&amp;"|"&amp;TRIM(P18),'Price List'!$O$5:$O$74,0)),0)</f>
        <v>0.12</v>
      </c>
      <c r="U18" s="140">
        <f>IFERROR(INDEX('Price List'!$H$5:$H$74,MATCH(TRIM(J18)&amp;"|"&amp;TRIM(P18),'Price List'!$O$5:$O$74,0)),0)</f>
        <v>0.2</v>
      </c>
      <c r="V18" s="141">
        <f t="shared" si="2"/>
        <v>0.14399999999999999</v>
      </c>
      <c r="W18" s="142">
        <f>IFERROR(INDEX('Price List'!$J$5:$J$74,MATCH(TRIM(J18)&amp;"|"&amp;TRIM(P18),'Price List'!$O$5:$O$74,0)),0)</f>
        <v>0.78</v>
      </c>
      <c r="X18" s="143">
        <f>IFERROR(INDEX('Price List'!$K$5:$K$74,MATCH(TRIM(J18)&amp;"|"&amp;TRIM(P18),'Price List'!$O$5:$O$74,0)),0)</f>
        <v>0.12</v>
      </c>
      <c r="Y18" s="141">
        <f t="shared" si="3"/>
        <v>0.87360000000000015</v>
      </c>
      <c r="Z18" s="141">
        <f t="shared" si="4"/>
        <v>35.158079999999998</v>
      </c>
      <c r="AA18" s="134"/>
    </row>
    <row r="19" spans="1:27" ht="15" customHeight="1" x14ac:dyDescent="0.35">
      <c r="A19" s="134"/>
      <c r="B19" s="134"/>
      <c r="C19" s="134" t="s">
        <v>444</v>
      </c>
      <c r="D19" s="136" t="str">
        <f t="shared" si="0"/>
        <v>B.03</v>
      </c>
      <c r="E19" s="135" t="s">
        <v>414</v>
      </c>
      <c r="F19" s="135" t="s">
        <v>653</v>
      </c>
      <c r="G19" s="134" t="s">
        <v>466</v>
      </c>
      <c r="H19" s="134" t="s">
        <v>660</v>
      </c>
      <c r="I19" s="134" t="s">
        <v>513</v>
      </c>
      <c r="J19" s="144" t="s">
        <v>131</v>
      </c>
      <c r="K19" s="134"/>
      <c r="L19" s="134"/>
      <c r="M19" s="134"/>
      <c r="N19" s="134"/>
      <c r="O19" s="134"/>
      <c r="P19" s="135" t="s">
        <v>103</v>
      </c>
      <c r="Q19" s="137">
        <f t="shared" si="1"/>
        <v>2639.1376</v>
      </c>
      <c r="R19" s="137">
        <f>909.4896+1346.92+382.728</f>
        <v>2639.1376</v>
      </c>
      <c r="S19" s="138"/>
      <c r="T19" s="139">
        <f>IFERROR(INDEX('Price List'!$G$5:$G$74,MATCH(TRIM(J19)&amp;"|"&amp;TRIM(P19),'Price List'!$O$5:$O$74,0)),0)</f>
        <v>0.11</v>
      </c>
      <c r="U19" s="140">
        <f>IFERROR(INDEX('Price List'!$H$5:$H$74,MATCH(TRIM(J19)&amp;"|"&amp;TRIM(P19),'Price List'!$O$5:$O$74,0)),0)</f>
        <v>0.2</v>
      </c>
      <c r="V19" s="141">
        <f t="shared" si="2"/>
        <v>0.13200000000000001</v>
      </c>
      <c r="W19" s="142">
        <f>IFERROR(INDEX('Price List'!$J$5:$J$74,MATCH(TRIM(J19)&amp;"|"&amp;TRIM(P19),'Price List'!$O$5:$O$74,0)),0)</f>
        <v>0.76</v>
      </c>
      <c r="X19" s="143">
        <f>IFERROR(INDEX('Price List'!$K$5:$K$74,MATCH(TRIM(J19)&amp;"|"&amp;TRIM(P19),'Price List'!$O$5:$O$74,0)),0)</f>
        <v>0.12</v>
      </c>
      <c r="Y19" s="141">
        <f t="shared" si="3"/>
        <v>0.85120000000000007</v>
      </c>
      <c r="Z19" s="141">
        <f t="shared" si="4"/>
        <v>2594.8000883200002</v>
      </c>
      <c r="AA19" s="134"/>
    </row>
    <row r="20" spans="1:27" ht="15" customHeight="1" x14ac:dyDescent="0.35">
      <c r="A20" s="134"/>
      <c r="B20" s="134"/>
      <c r="C20" s="134" t="s">
        <v>444</v>
      </c>
      <c r="D20" s="136" t="str">
        <f t="shared" si="0"/>
        <v>B.03</v>
      </c>
      <c r="E20" s="135" t="s">
        <v>414</v>
      </c>
      <c r="F20" s="135" t="s">
        <v>653</v>
      </c>
      <c r="G20" s="134" t="s">
        <v>466</v>
      </c>
      <c r="H20" s="134" t="s">
        <v>660</v>
      </c>
      <c r="I20" s="134" t="s">
        <v>513</v>
      </c>
      <c r="J20" s="144" t="s">
        <v>133</v>
      </c>
      <c r="K20" s="134"/>
      <c r="L20" s="134"/>
      <c r="M20" s="134"/>
      <c r="N20" s="134"/>
      <c r="O20" s="134"/>
      <c r="P20" s="135" t="s">
        <v>103</v>
      </c>
      <c r="Q20" s="137">
        <f t="shared" si="1"/>
        <v>1372.3879999999999</v>
      </c>
      <c r="R20" s="137">
        <v>1372.3879999999999</v>
      </c>
      <c r="S20" s="138"/>
      <c r="T20" s="139">
        <f>IFERROR(INDEX('Price List'!$G$5:$G$74,MATCH(TRIM(J20)&amp;"|"&amp;TRIM(P20),'Price List'!$O$5:$O$74,0)),0)</f>
        <v>0.1</v>
      </c>
      <c r="U20" s="140">
        <f>IFERROR(INDEX('Price List'!$H$5:$H$74,MATCH(TRIM(J20)&amp;"|"&amp;TRIM(P20),'Price List'!$O$5:$O$74,0)),0)</f>
        <v>0.2</v>
      </c>
      <c r="V20" s="141">
        <f t="shared" si="2"/>
        <v>0.12</v>
      </c>
      <c r="W20" s="142">
        <f>IFERROR(INDEX('Price List'!$J$5:$J$74,MATCH(TRIM(J20)&amp;"|"&amp;TRIM(P20),'Price List'!$O$5:$O$74,0)),0)</f>
        <v>0.74</v>
      </c>
      <c r="X20" s="143">
        <f>IFERROR(INDEX('Price List'!$K$5:$K$74,MATCH(TRIM(J20)&amp;"|"&amp;TRIM(P20),'Price List'!$O$5:$O$74,0)),0)</f>
        <v>0.12</v>
      </c>
      <c r="Y20" s="141">
        <f t="shared" si="3"/>
        <v>0.82880000000000009</v>
      </c>
      <c r="Z20" s="141">
        <f t="shared" si="4"/>
        <v>1302.1217344000002</v>
      </c>
      <c r="AA20" s="134"/>
    </row>
    <row r="21" spans="1:27" ht="15" customHeight="1" x14ac:dyDescent="0.35">
      <c r="A21" s="134"/>
      <c r="B21" s="134"/>
      <c r="C21" s="134" t="s">
        <v>444</v>
      </c>
      <c r="D21" s="136" t="str">
        <f t="shared" si="0"/>
        <v>B.03</v>
      </c>
      <c r="E21" s="135" t="s">
        <v>414</v>
      </c>
      <c r="F21" s="135" t="s">
        <v>653</v>
      </c>
      <c r="G21" s="134" t="s">
        <v>466</v>
      </c>
      <c r="H21" s="134" t="s">
        <v>660</v>
      </c>
      <c r="I21" s="134" t="s">
        <v>513</v>
      </c>
      <c r="J21" s="144" t="s">
        <v>135</v>
      </c>
      <c r="K21" s="134"/>
      <c r="L21" s="134"/>
      <c r="M21" s="134"/>
      <c r="N21" s="134"/>
      <c r="O21" s="134"/>
      <c r="P21" s="135" t="s">
        <v>103</v>
      </c>
      <c r="Q21" s="137">
        <f t="shared" si="1"/>
        <v>11795.979000000001</v>
      </c>
      <c r="R21" s="137">
        <f>11116.235+679.744</f>
        <v>11795.979000000001</v>
      </c>
      <c r="S21" s="138"/>
      <c r="T21" s="139">
        <f>IFERROR(INDEX('Price List'!$G$5:$G$74,MATCH(TRIM(J21)&amp;"|"&amp;TRIM(P21),'Price List'!$O$5:$O$74,0)),0)</f>
        <v>0.09</v>
      </c>
      <c r="U21" s="140">
        <f>IFERROR(INDEX('Price List'!$H$5:$H$74,MATCH(TRIM(J21)&amp;"|"&amp;TRIM(P21),'Price List'!$O$5:$O$74,0)),0)</f>
        <v>0.2</v>
      </c>
      <c r="V21" s="141">
        <f t="shared" si="2"/>
        <v>0.108</v>
      </c>
      <c r="W21" s="142">
        <f>IFERROR(INDEX('Price List'!$J$5:$J$74,MATCH(TRIM(J21)&amp;"|"&amp;TRIM(P21),'Price List'!$O$5:$O$74,0)),0)</f>
        <v>0.73</v>
      </c>
      <c r="X21" s="143">
        <f>IFERROR(INDEX('Price List'!$K$5:$K$74,MATCH(TRIM(J21)&amp;"|"&amp;TRIM(P21),'Price List'!$O$5:$O$74,0)),0)</f>
        <v>0.12</v>
      </c>
      <c r="Y21" s="141">
        <f t="shared" si="3"/>
        <v>0.8176000000000001</v>
      </c>
      <c r="Z21" s="141">
        <f t="shared" si="4"/>
        <v>10918.358162400002</v>
      </c>
      <c r="AA21" s="134"/>
    </row>
    <row r="22" spans="1:27" ht="15" customHeight="1" x14ac:dyDescent="0.35">
      <c r="A22" s="134"/>
      <c r="B22" s="134"/>
      <c r="C22" s="134" t="s">
        <v>444</v>
      </c>
      <c r="D22" s="136" t="str">
        <f t="shared" si="0"/>
        <v>B.03</v>
      </c>
      <c r="E22" s="135" t="s">
        <v>414</v>
      </c>
      <c r="F22" s="135" t="s">
        <v>653</v>
      </c>
      <c r="G22" s="134" t="s">
        <v>466</v>
      </c>
      <c r="H22" s="134" t="s">
        <v>660</v>
      </c>
      <c r="I22" s="134" t="s">
        <v>513</v>
      </c>
      <c r="J22" s="144" t="s">
        <v>105</v>
      </c>
      <c r="K22" s="134"/>
      <c r="L22" s="134"/>
      <c r="M22" s="134"/>
      <c r="N22" s="134"/>
      <c r="O22" s="134"/>
      <c r="P22" s="135" t="s">
        <v>103</v>
      </c>
      <c r="Q22" s="137">
        <f t="shared" si="1"/>
        <v>1694</v>
      </c>
      <c r="R22" s="137">
        <v>1694</v>
      </c>
      <c r="S22" s="138"/>
      <c r="T22" s="139">
        <f>IFERROR(INDEX('Price List'!$G$5:$G$74,MATCH(TRIM(J22)&amp;"|"&amp;TRIM(P22),'Price List'!$O$5:$O$74,0)),0)</f>
        <v>0.08</v>
      </c>
      <c r="U22" s="140">
        <f>IFERROR(INDEX('Price List'!$H$5:$H$74,MATCH(TRIM(J22)&amp;"|"&amp;TRIM(P22),'Price List'!$O$5:$O$74,0)),0)</f>
        <v>0.2</v>
      </c>
      <c r="V22" s="141">
        <f t="shared" si="2"/>
        <v>9.6000000000000002E-2</v>
      </c>
      <c r="W22" s="142">
        <f>IFERROR(INDEX('Price List'!$J$5:$J$74,MATCH(TRIM(J22)&amp;"|"&amp;TRIM(P22),'Price List'!$O$5:$O$74,0)),0)</f>
        <v>0.72</v>
      </c>
      <c r="X22" s="143">
        <f>IFERROR(INDEX('Price List'!$K$5:$K$74,MATCH(TRIM(J22)&amp;"|"&amp;TRIM(P22),'Price List'!$O$5:$O$74,0)),0)</f>
        <v>0.12</v>
      </c>
      <c r="Y22" s="141">
        <f t="shared" si="3"/>
        <v>0.80640000000000001</v>
      </c>
      <c r="Z22" s="141">
        <f t="shared" si="4"/>
        <v>1528.6656</v>
      </c>
      <c r="AA22" s="134"/>
    </row>
    <row r="23" spans="1:27" ht="15" customHeight="1" x14ac:dyDescent="0.35">
      <c r="A23" s="134"/>
      <c r="B23" s="134"/>
      <c r="C23" s="134" t="s">
        <v>444</v>
      </c>
      <c r="D23" s="136" t="str">
        <f t="shared" si="0"/>
        <v>B.03</v>
      </c>
      <c r="E23" s="135" t="s">
        <v>414</v>
      </c>
      <c r="F23" s="135" t="s">
        <v>653</v>
      </c>
      <c r="G23" s="134" t="s">
        <v>466</v>
      </c>
      <c r="H23" s="134" t="s">
        <v>660</v>
      </c>
      <c r="I23" s="134" t="s">
        <v>513</v>
      </c>
      <c r="J23" s="144" t="s">
        <v>138</v>
      </c>
      <c r="K23" s="134"/>
      <c r="L23" s="134"/>
      <c r="M23" s="134"/>
      <c r="N23" s="134"/>
      <c r="O23" s="134"/>
      <c r="P23" s="135" t="s">
        <v>103</v>
      </c>
      <c r="Q23" s="137">
        <f t="shared" si="1"/>
        <v>10611.797999999999</v>
      </c>
      <c r="R23" s="137">
        <f>1268.31+9343.488</f>
        <v>10611.797999999999</v>
      </c>
      <c r="S23" s="138"/>
      <c r="T23" s="139">
        <f>IFERROR(INDEX('Price List'!$G$5:$G$74,MATCH(TRIM(J23)&amp;"|"&amp;TRIM(P23),'Price List'!$O$5:$O$74,0)),0)</f>
        <v>0.08</v>
      </c>
      <c r="U23" s="140">
        <f>IFERROR(INDEX('Price List'!$H$5:$H$74,MATCH(TRIM(J23)&amp;"|"&amp;TRIM(P23),'Price List'!$O$5:$O$74,0)),0)</f>
        <v>0.2</v>
      </c>
      <c r="V23" s="141">
        <f t="shared" si="2"/>
        <v>9.6000000000000002E-2</v>
      </c>
      <c r="W23" s="142">
        <f>IFERROR(INDEX('Price List'!$J$5:$J$74,MATCH(TRIM(J23)&amp;"|"&amp;TRIM(P23),'Price List'!$O$5:$O$74,0)),0)</f>
        <v>0.71</v>
      </c>
      <c r="X23" s="143">
        <f>IFERROR(INDEX('Price List'!$K$5:$K$74,MATCH(TRIM(J23)&amp;"|"&amp;TRIM(P23),'Price List'!$O$5:$O$74,0)),0)</f>
        <v>0.12</v>
      </c>
      <c r="Y23" s="141">
        <f t="shared" si="3"/>
        <v>0.79520000000000002</v>
      </c>
      <c r="Z23" s="141">
        <f t="shared" si="4"/>
        <v>9457.2343775999998</v>
      </c>
      <c r="AA23" s="134"/>
    </row>
    <row r="24" spans="1:27" ht="15" customHeight="1" x14ac:dyDescent="0.35">
      <c r="A24" s="134"/>
      <c r="B24" s="134"/>
      <c r="C24" s="134" t="s">
        <v>444</v>
      </c>
      <c r="D24" s="136" t="str">
        <f t="shared" si="0"/>
        <v>B.03</v>
      </c>
      <c r="E24" s="135" t="s">
        <v>414</v>
      </c>
      <c r="F24" s="135" t="s">
        <v>653</v>
      </c>
      <c r="G24" s="134" t="s">
        <v>466</v>
      </c>
      <c r="H24" s="134" t="s">
        <v>660</v>
      </c>
      <c r="I24" s="134" t="s">
        <v>657</v>
      </c>
      <c r="J24" s="134" t="s">
        <v>107</v>
      </c>
      <c r="K24" s="134"/>
      <c r="L24" s="134"/>
      <c r="M24" s="134"/>
      <c r="N24" s="134"/>
      <c r="O24" s="134"/>
      <c r="P24" s="135" t="s">
        <v>103</v>
      </c>
      <c r="Q24" s="137">
        <f t="shared" si="1"/>
        <v>1069.6365840000001</v>
      </c>
      <c r="R24" s="137">
        <f>(R19+R21+R23+R22)*4%</f>
        <v>1069.6365840000001</v>
      </c>
      <c r="S24" s="138"/>
      <c r="T24" s="139">
        <f>IFERROR(INDEX('Price List'!$G$5:$G$74,MATCH(TRIM(J24)&amp;"|"&amp;TRIM(P24),'Price List'!$O$5:$O$74,0)),0)</f>
        <v>0.05</v>
      </c>
      <c r="U24" s="140">
        <f>IFERROR(INDEX('Price List'!$H$5:$H$74,MATCH(TRIM(J24)&amp;"|"&amp;TRIM(P24),'Price List'!$O$5:$O$74,0)),0)</f>
        <v>0.2</v>
      </c>
      <c r="V24" s="141">
        <f t="shared" si="2"/>
        <v>0.06</v>
      </c>
      <c r="W24" s="142">
        <f>IFERROR(INDEX('Price List'!$J$5:$J$74,MATCH(TRIM(J24)&amp;"|"&amp;TRIM(P24),'Price List'!$O$5:$O$74,0)),0)</f>
        <v>1.2</v>
      </c>
      <c r="X24" s="143">
        <f>IFERROR(INDEX('Price List'!$K$5:$K$74,MATCH(TRIM(J24)&amp;"|"&amp;TRIM(P24),'Price List'!$O$5:$O$74,0)),0)</f>
        <v>0.12</v>
      </c>
      <c r="Y24" s="141">
        <f t="shared" si="3"/>
        <v>1.3440000000000001</v>
      </c>
      <c r="Z24" s="141">
        <f t="shared" si="4"/>
        <v>1501.7697639360003</v>
      </c>
      <c r="AA24" s="134"/>
    </row>
    <row r="25" spans="1:27" ht="15" customHeight="1" x14ac:dyDescent="0.35">
      <c r="A25" s="134"/>
      <c r="B25" s="134"/>
      <c r="C25" s="134" t="s">
        <v>444</v>
      </c>
      <c r="D25" s="136" t="str">
        <f t="shared" si="0"/>
        <v>B.03</v>
      </c>
      <c r="E25" s="135" t="s">
        <v>414</v>
      </c>
      <c r="F25" s="135" t="s">
        <v>653</v>
      </c>
      <c r="G25" s="134" t="s">
        <v>466</v>
      </c>
      <c r="H25" s="134" t="s">
        <v>660</v>
      </c>
      <c r="I25" s="134" t="s">
        <v>545</v>
      </c>
      <c r="J25" s="144" t="s">
        <v>141</v>
      </c>
      <c r="K25" s="134"/>
      <c r="L25" s="134"/>
      <c r="M25" s="134"/>
      <c r="N25" s="134"/>
      <c r="O25" s="134"/>
      <c r="P25" s="135" t="s">
        <v>128</v>
      </c>
      <c r="Q25" s="137">
        <f t="shared" si="1"/>
        <v>131.43</v>
      </c>
      <c r="R25" s="137">
        <f>(5.76*11)+(6.76*5)+(34.27)</f>
        <v>131.43</v>
      </c>
      <c r="S25" s="138"/>
      <c r="T25" s="139">
        <f>IFERROR(INDEX('Price List'!$G$5:$G$74,MATCH(TRIM(J25)&amp;"|"&amp;TRIM(P25),'Price List'!$O$5:$O$74,0)),0)</f>
        <v>2</v>
      </c>
      <c r="U25" s="140">
        <f>IFERROR(INDEX('Price List'!$H$5:$H$74,MATCH(TRIM(J25)&amp;"|"&amp;TRIM(P25),'Price List'!$O$5:$O$74,0)),0)</f>
        <v>0.2</v>
      </c>
      <c r="V25" s="141">
        <f t="shared" si="2"/>
        <v>2.4</v>
      </c>
      <c r="W25" s="142">
        <f>IFERROR(INDEX('Price List'!$J$5:$J$74,MATCH(TRIM(J25)&amp;"|"&amp;TRIM(P25),'Price List'!$O$5:$O$74,0)),0)</f>
        <v>0</v>
      </c>
      <c r="X25" s="143">
        <f>IFERROR(INDEX('Price List'!$K$5:$K$74,MATCH(TRIM(J25)&amp;"|"&amp;TRIM(P25),'Price List'!$O$5:$O$74,0)),0)</f>
        <v>0</v>
      </c>
      <c r="Y25" s="141">
        <f t="shared" si="3"/>
        <v>0</v>
      </c>
      <c r="Z25" s="141">
        <f t="shared" si="4"/>
        <v>315.43200000000002</v>
      </c>
      <c r="AA25" s="134"/>
    </row>
    <row r="26" spans="1:27" ht="15" customHeight="1" x14ac:dyDescent="0.35">
      <c r="A26" s="134"/>
      <c r="B26" s="134"/>
      <c r="C26" s="134" t="s">
        <v>444</v>
      </c>
      <c r="D26" s="136" t="str">
        <f t="shared" si="0"/>
        <v>B.03</v>
      </c>
      <c r="E26" s="135" t="s">
        <v>414</v>
      </c>
      <c r="F26" s="135" t="s">
        <v>653</v>
      </c>
      <c r="G26" s="134" t="s">
        <v>466</v>
      </c>
      <c r="H26" s="134" t="s">
        <v>660</v>
      </c>
      <c r="I26" s="134" t="s">
        <v>550</v>
      </c>
      <c r="J26" s="144" t="s">
        <v>143</v>
      </c>
      <c r="K26" s="134"/>
      <c r="L26" s="134"/>
      <c r="M26" s="134"/>
      <c r="N26" s="134"/>
      <c r="O26" s="134"/>
      <c r="P26" s="135" t="s">
        <v>100</v>
      </c>
      <c r="Q26" s="137">
        <f t="shared" si="1"/>
        <v>14.8565</v>
      </c>
      <c r="R26" s="137">
        <f>(5.76*11*0.1)+(6.76*5*0.1)+(34.27*0.15)</f>
        <v>14.8565</v>
      </c>
      <c r="S26" s="138"/>
      <c r="T26" s="139">
        <f>IFERROR(INDEX('Price List'!$G$5:$G$74,MATCH(TRIM(J26)&amp;"|"&amp;TRIM(P26),'Price List'!$O$5:$O$74,0)),0)</f>
        <v>7</v>
      </c>
      <c r="U26" s="140">
        <f>IFERROR(INDEX('Price List'!$H$5:$H$74,MATCH(TRIM(J26)&amp;"|"&amp;TRIM(P26),'Price List'!$O$5:$O$74,0)),0)</f>
        <v>0.2</v>
      </c>
      <c r="V26" s="141">
        <f t="shared" si="2"/>
        <v>8.4</v>
      </c>
      <c r="W26" s="142">
        <f>IFERROR(INDEX('Price List'!$J$5:$J$74,MATCH(TRIM(J26)&amp;"|"&amp;TRIM(P26),'Price List'!$O$5:$O$74,0)),0)</f>
        <v>75</v>
      </c>
      <c r="X26" s="143">
        <f>IFERROR(INDEX('Price List'!$K$5:$K$74,MATCH(TRIM(J26)&amp;"|"&amp;TRIM(P26),'Price List'!$O$5:$O$74,0)),0)</f>
        <v>0.12</v>
      </c>
      <c r="Y26" s="141">
        <f t="shared" si="3"/>
        <v>84.000000000000014</v>
      </c>
      <c r="Z26" s="141">
        <f t="shared" si="4"/>
        <v>1372.7406000000003</v>
      </c>
      <c r="AA26" s="134"/>
    </row>
    <row r="27" spans="1:27" ht="15" customHeight="1" x14ac:dyDescent="0.35">
      <c r="A27" s="134"/>
      <c r="B27" s="134"/>
      <c r="C27" s="134" t="s">
        <v>444</v>
      </c>
      <c r="D27" s="136" t="str">
        <f t="shared" si="0"/>
        <v>B.03</v>
      </c>
      <c r="E27" s="135" t="s">
        <v>414</v>
      </c>
      <c r="F27" s="135" t="s">
        <v>653</v>
      </c>
      <c r="G27" s="134" t="s">
        <v>466</v>
      </c>
      <c r="H27" s="134" t="s">
        <v>660</v>
      </c>
      <c r="I27" s="134" t="s">
        <v>561</v>
      </c>
      <c r="J27" s="134" t="s">
        <v>145</v>
      </c>
      <c r="K27" s="134"/>
      <c r="L27" s="134"/>
      <c r="M27" s="134"/>
      <c r="N27" s="134"/>
      <c r="O27" s="134"/>
      <c r="P27" s="135" t="s">
        <v>110</v>
      </c>
      <c r="Q27" s="137">
        <f t="shared" si="1"/>
        <v>18</v>
      </c>
      <c r="R27" s="137">
        <v>18</v>
      </c>
      <c r="S27" s="138">
        <v>0</v>
      </c>
      <c r="T27" s="139">
        <f>IFERROR(INDEX('Price List'!$G$5:$G$74,MATCH(TRIM(J27)&amp;"|"&amp;TRIM(P27),'Price List'!$O$5:$O$74,0)),0)</f>
        <v>1.5</v>
      </c>
      <c r="U27" s="140">
        <f>IFERROR(INDEX('Price List'!$H$5:$H$74,MATCH(TRIM(J27)&amp;"|"&amp;TRIM(P27),'Price List'!$O$5:$O$74,0)),0)</f>
        <v>0.2</v>
      </c>
      <c r="V27" s="141">
        <f t="shared" si="2"/>
        <v>1.7999999999999998</v>
      </c>
      <c r="W27" s="142">
        <f>IFERROR(INDEX('Price List'!$J$5:$J$74,MATCH(TRIM(J27)&amp;"|"&amp;TRIM(P27),'Price List'!$O$5:$O$74,0)),0)</f>
        <v>4</v>
      </c>
      <c r="X27" s="143">
        <f>IFERROR(INDEX('Price List'!$K$5:$K$74,MATCH(TRIM(J27)&amp;"|"&amp;TRIM(P27),'Price List'!$O$5:$O$74,0)),0)</f>
        <v>0.12</v>
      </c>
      <c r="Y27" s="141">
        <f t="shared" si="3"/>
        <v>4.4800000000000004</v>
      </c>
      <c r="Z27" s="141">
        <f t="shared" si="4"/>
        <v>113.04</v>
      </c>
      <c r="AA27" s="134"/>
    </row>
    <row r="28" spans="1:27" ht="15" customHeight="1" x14ac:dyDescent="0.35">
      <c r="A28" s="134"/>
      <c r="B28" s="134"/>
      <c r="C28" s="134" t="s">
        <v>444</v>
      </c>
      <c r="D28" s="136" t="str">
        <f t="shared" si="0"/>
        <v>B.03</v>
      </c>
      <c r="E28" s="135" t="s">
        <v>414</v>
      </c>
      <c r="F28" s="135" t="s">
        <v>653</v>
      </c>
      <c r="G28" s="134" t="s">
        <v>466</v>
      </c>
      <c r="H28" s="134" t="s">
        <v>660</v>
      </c>
      <c r="I28" s="134" t="s">
        <v>662</v>
      </c>
      <c r="J28" s="134" t="s">
        <v>147</v>
      </c>
      <c r="K28" s="134"/>
      <c r="L28" s="134"/>
      <c r="M28" s="134"/>
      <c r="N28" s="134"/>
      <c r="O28" s="134"/>
      <c r="P28" s="135" t="s">
        <v>128</v>
      </c>
      <c r="Q28" s="137">
        <f t="shared" si="1"/>
        <v>7.2694999999999999</v>
      </c>
      <c r="R28" s="137">
        <f>2.17*3.35</f>
        <v>7.2694999999999999</v>
      </c>
      <c r="S28" s="138"/>
      <c r="T28" s="139">
        <f>IFERROR(INDEX('Price List'!$G$5:$G$74,MATCH(TRIM(J28)&amp;"|"&amp;TRIM(P28),'Price List'!$O$5:$O$74,0)),0)</f>
        <v>2</v>
      </c>
      <c r="U28" s="140">
        <f>IFERROR(INDEX('Price List'!$H$5:$H$74,MATCH(TRIM(J28)&amp;"|"&amp;TRIM(P28),'Price List'!$O$5:$O$74,0)),0)</f>
        <v>0.2</v>
      </c>
      <c r="V28" s="141">
        <f t="shared" si="2"/>
        <v>2.4</v>
      </c>
      <c r="W28" s="142">
        <f>IFERROR(INDEX('Price List'!$J$5:$J$74,MATCH(TRIM(J28)&amp;"|"&amp;TRIM(P28),'Price List'!$O$5:$O$74,0)),0)</f>
        <v>6.5</v>
      </c>
      <c r="X28" s="143">
        <f>IFERROR(INDEX('Price List'!$K$5:$K$74,MATCH(TRIM(J28)&amp;"|"&amp;TRIM(P28),'Price List'!$O$5:$O$74,0)),0)</f>
        <v>0.12</v>
      </c>
      <c r="Y28" s="141">
        <f t="shared" si="3"/>
        <v>7.2800000000000011</v>
      </c>
      <c r="Z28" s="141">
        <f t="shared" si="4"/>
        <v>70.368760000000009</v>
      </c>
      <c r="AA28" s="134"/>
    </row>
    <row r="29" spans="1:27" ht="15" customHeight="1" x14ac:dyDescent="0.35">
      <c r="A29" s="134"/>
      <c r="B29" s="135"/>
      <c r="C29" s="134" t="s">
        <v>444</v>
      </c>
      <c r="D29" s="136" t="str">
        <f t="shared" si="0"/>
        <v>B.03</v>
      </c>
      <c r="E29" s="135" t="s">
        <v>414</v>
      </c>
      <c r="F29" s="135" t="s">
        <v>653</v>
      </c>
      <c r="G29" s="134" t="s">
        <v>466</v>
      </c>
      <c r="H29" s="134" t="s">
        <v>663</v>
      </c>
      <c r="I29" s="134" t="s">
        <v>661</v>
      </c>
      <c r="J29" s="144" t="s">
        <v>119</v>
      </c>
      <c r="K29" s="134"/>
      <c r="L29" s="134"/>
      <c r="M29" s="134"/>
      <c r="N29" s="134"/>
      <c r="O29" s="134"/>
      <c r="P29" s="135" t="s">
        <v>100</v>
      </c>
      <c r="Q29" s="137">
        <f t="shared" si="1"/>
        <v>288</v>
      </c>
      <c r="R29" s="137">
        <f>90*3.2</f>
        <v>288</v>
      </c>
      <c r="S29" s="138"/>
      <c r="T29" s="139">
        <f>IFERROR(INDEX('Price List'!$G$5:$G$74,MATCH(TRIM(J29)&amp;"|"&amp;TRIM(P29),'Price List'!$O$5:$O$74,0)),0)</f>
        <v>3</v>
      </c>
      <c r="U29" s="140">
        <f>IFERROR(INDEX('Price List'!$H$5:$H$74,MATCH(TRIM(J29)&amp;"|"&amp;TRIM(P29),'Price List'!$O$5:$O$74,0)),0)</f>
        <v>0.2</v>
      </c>
      <c r="V29" s="141">
        <f t="shared" si="2"/>
        <v>3.5999999999999996</v>
      </c>
      <c r="W29" s="142">
        <f>IFERROR(INDEX('Price List'!$J$5:$J$74,MATCH(TRIM(J29)&amp;"|"&amp;TRIM(P29),'Price List'!$O$5:$O$74,0)),0)</f>
        <v>0</v>
      </c>
      <c r="X29" s="143">
        <f>IFERROR(INDEX('Price List'!$K$5:$K$74,MATCH(TRIM(J29)&amp;"|"&amp;TRIM(P29),'Price List'!$O$5:$O$74,0)),0)</f>
        <v>0</v>
      </c>
      <c r="Y29" s="141">
        <f t="shared" si="3"/>
        <v>0</v>
      </c>
      <c r="Z29" s="141">
        <f t="shared" si="4"/>
        <v>1036.8</v>
      </c>
      <c r="AA29" s="134"/>
    </row>
    <row r="30" spans="1:27" ht="15" customHeight="1" x14ac:dyDescent="0.35">
      <c r="A30" s="134"/>
      <c r="B30" s="134"/>
      <c r="C30" s="134" t="s">
        <v>444</v>
      </c>
      <c r="D30" s="136" t="str">
        <f t="shared" si="0"/>
        <v>B.03</v>
      </c>
      <c r="E30" s="135" t="s">
        <v>414</v>
      </c>
      <c r="F30" s="135" t="s">
        <v>653</v>
      </c>
      <c r="G30" s="134" t="s">
        <v>466</v>
      </c>
      <c r="H30" s="134" t="s">
        <v>663</v>
      </c>
      <c r="I30" s="134" t="s">
        <v>661</v>
      </c>
      <c r="J30" s="144" t="s">
        <v>121</v>
      </c>
      <c r="K30" s="134"/>
      <c r="L30" s="134"/>
      <c r="M30" s="134"/>
      <c r="N30" s="134"/>
      <c r="O30" s="134"/>
      <c r="P30" s="135" t="s">
        <v>100</v>
      </c>
      <c r="Q30" s="137">
        <f t="shared" si="1"/>
        <v>288</v>
      </c>
      <c r="R30" s="137">
        <f>R29</f>
        <v>288</v>
      </c>
      <c r="S30" s="138"/>
      <c r="T30" s="139">
        <f>IFERROR(INDEX('Price List'!$G$5:$G$74,MATCH(TRIM(J30)&amp;"|"&amp;TRIM(P30),'Price List'!$O$5:$O$74,0)),0)</f>
        <v>4</v>
      </c>
      <c r="U30" s="140">
        <f>IFERROR(INDEX('Price List'!$H$5:$H$74,MATCH(TRIM(J30)&amp;"|"&amp;TRIM(P30),'Price List'!$O$5:$O$74,0)),0)</f>
        <v>0.2</v>
      </c>
      <c r="V30" s="141">
        <f t="shared" si="2"/>
        <v>4.8</v>
      </c>
      <c r="W30" s="142">
        <f>IFERROR(INDEX('Price List'!$J$5:$J$74,MATCH(TRIM(J30)&amp;"|"&amp;TRIM(P30),'Price List'!$O$5:$O$74,0)),0)</f>
        <v>0</v>
      </c>
      <c r="X30" s="143">
        <f>IFERROR(INDEX('Price List'!$K$5:$K$74,MATCH(TRIM(J30)&amp;"|"&amp;TRIM(P30),'Price List'!$O$5:$O$74,0)),0)</f>
        <v>0</v>
      </c>
      <c r="Y30" s="141">
        <f t="shared" si="3"/>
        <v>0</v>
      </c>
      <c r="Z30" s="141">
        <f t="shared" si="4"/>
        <v>1382.3999999999999</v>
      </c>
      <c r="AA30" s="134"/>
    </row>
    <row r="31" spans="1:27" ht="15" customHeight="1" x14ac:dyDescent="0.35">
      <c r="A31" s="134"/>
      <c r="B31" s="134"/>
      <c r="C31" s="134" t="s">
        <v>444</v>
      </c>
      <c r="D31" s="136" t="str">
        <f t="shared" si="0"/>
        <v>B.03</v>
      </c>
      <c r="E31" s="135" t="s">
        <v>414</v>
      </c>
      <c r="F31" s="135" t="s">
        <v>653</v>
      </c>
      <c r="G31" s="134" t="s">
        <v>466</v>
      </c>
      <c r="H31" s="134" t="s">
        <v>663</v>
      </c>
      <c r="I31" s="134" t="s">
        <v>661</v>
      </c>
      <c r="J31" s="144" t="s">
        <v>123</v>
      </c>
      <c r="K31" s="134"/>
      <c r="L31" s="134"/>
      <c r="M31" s="134"/>
      <c r="N31" s="134"/>
      <c r="O31" s="134"/>
      <c r="P31" s="135" t="s">
        <v>100</v>
      </c>
      <c r="Q31" s="137">
        <f t="shared" si="1"/>
        <v>222</v>
      </c>
      <c r="R31" s="137">
        <f>R29-R32</f>
        <v>222</v>
      </c>
      <c r="S31" s="138"/>
      <c r="T31" s="139">
        <f>IFERROR(INDEX('Price List'!$G$5:$G$74,MATCH(TRIM(J31)&amp;"|"&amp;TRIM(P31),'Price List'!$O$5:$O$74,0)),0)</f>
        <v>4</v>
      </c>
      <c r="U31" s="140">
        <f>IFERROR(INDEX('Price List'!$H$5:$H$74,MATCH(TRIM(J31)&amp;"|"&amp;TRIM(P31),'Price List'!$O$5:$O$74,0)),0)</f>
        <v>0.2</v>
      </c>
      <c r="V31" s="141">
        <f t="shared" si="2"/>
        <v>4.8</v>
      </c>
      <c r="W31" s="142">
        <f>IFERROR(INDEX('Price List'!$J$5:$J$74,MATCH(TRIM(J31)&amp;"|"&amp;TRIM(P31),'Price List'!$O$5:$O$74,0)),0)</f>
        <v>0</v>
      </c>
      <c r="X31" s="143">
        <f>IFERROR(INDEX('Price List'!$K$5:$K$74,MATCH(TRIM(J31)&amp;"|"&amp;TRIM(P31),'Price List'!$O$5:$O$74,0)),0)</f>
        <v>0</v>
      </c>
      <c r="Y31" s="141">
        <f t="shared" si="3"/>
        <v>0</v>
      </c>
      <c r="Z31" s="141">
        <f t="shared" si="4"/>
        <v>1065.5999999999999</v>
      </c>
      <c r="AA31" s="134"/>
    </row>
    <row r="32" spans="1:27" ht="15" customHeight="1" x14ac:dyDescent="0.35">
      <c r="A32" s="134"/>
      <c r="B32" s="134"/>
      <c r="C32" s="134" t="s">
        <v>444</v>
      </c>
      <c r="D32" s="136" t="str">
        <f t="shared" si="0"/>
        <v>B.03</v>
      </c>
      <c r="E32" s="135" t="s">
        <v>414</v>
      </c>
      <c r="F32" s="135" t="s">
        <v>653</v>
      </c>
      <c r="G32" s="134" t="s">
        <v>466</v>
      </c>
      <c r="H32" s="134" t="s">
        <v>663</v>
      </c>
      <c r="I32" s="134" t="s">
        <v>512</v>
      </c>
      <c r="J32" s="144" t="s">
        <v>125</v>
      </c>
      <c r="K32" s="134"/>
      <c r="L32" s="134"/>
      <c r="M32" s="134"/>
      <c r="N32" s="134"/>
      <c r="O32" s="134"/>
      <c r="P32" s="135" t="s">
        <v>100</v>
      </c>
      <c r="Q32" s="137">
        <f t="shared" si="1"/>
        <v>66</v>
      </c>
      <c r="R32" s="137">
        <v>66</v>
      </c>
      <c r="S32" s="138"/>
      <c r="T32" s="139">
        <f>IFERROR(INDEX('Price List'!$G$5:$G$74,MATCH(TRIM(J32)&amp;"|"&amp;TRIM(P32),'Price List'!$O$5:$O$74,0)),0)</f>
        <v>10</v>
      </c>
      <c r="U32" s="140">
        <f>IFERROR(INDEX('Price List'!$H$5:$H$74,MATCH(TRIM(J32)&amp;"|"&amp;TRIM(P32),'Price List'!$O$5:$O$74,0)),0)</f>
        <v>0.2</v>
      </c>
      <c r="V32" s="141">
        <f t="shared" si="2"/>
        <v>12</v>
      </c>
      <c r="W32" s="142">
        <f>IFERROR(INDEX('Price List'!$J$5:$J$74,MATCH(TRIM(J32)&amp;"|"&amp;TRIM(P32),'Price List'!$O$5:$O$74,0)),0)</f>
        <v>98</v>
      </c>
      <c r="X32" s="143">
        <f>IFERROR(INDEX('Price List'!$K$5:$K$74,MATCH(TRIM(J32)&amp;"|"&amp;TRIM(P32),'Price List'!$O$5:$O$74,0)),0)</f>
        <v>0.12</v>
      </c>
      <c r="Y32" s="141">
        <f t="shared" si="3"/>
        <v>109.76</v>
      </c>
      <c r="Z32" s="141">
        <f t="shared" si="4"/>
        <v>8036.1600000000008</v>
      </c>
      <c r="AA32" s="134"/>
    </row>
    <row r="33" spans="1:27" ht="14.25" customHeight="1" x14ac:dyDescent="0.35">
      <c r="A33" s="134"/>
      <c r="B33" s="134"/>
      <c r="C33" s="134" t="s">
        <v>444</v>
      </c>
      <c r="D33" s="136" t="str">
        <f t="shared" si="0"/>
        <v>B.03</v>
      </c>
      <c r="E33" s="135" t="s">
        <v>414</v>
      </c>
      <c r="F33" s="135" t="s">
        <v>653</v>
      </c>
      <c r="G33" s="134" t="s">
        <v>466</v>
      </c>
      <c r="H33" s="134" t="s">
        <v>663</v>
      </c>
      <c r="I33" s="144" t="s">
        <v>127</v>
      </c>
      <c r="J33" s="144" t="s">
        <v>127</v>
      </c>
      <c r="K33" s="144"/>
      <c r="L33" s="134"/>
      <c r="M33" s="134"/>
      <c r="N33" s="134"/>
      <c r="O33" s="134"/>
      <c r="P33" s="135" t="s">
        <v>128</v>
      </c>
      <c r="Q33" s="137">
        <f t="shared" si="1"/>
        <v>556</v>
      </c>
      <c r="R33" s="137">
        <v>556</v>
      </c>
      <c r="S33" s="138"/>
      <c r="T33" s="139">
        <f>IFERROR(INDEX('Price List'!$G$5:$G$74,MATCH(TRIM(J33)&amp;"|"&amp;TRIM(P33),'Price List'!$O$5:$O$74,0)),0)</f>
        <v>6</v>
      </c>
      <c r="U33" s="140">
        <f>IFERROR(INDEX('Price List'!$H$5:$H$74,MATCH(TRIM(J33)&amp;"|"&amp;TRIM(P33),'Price List'!$O$5:$O$74,0)),0)</f>
        <v>0.2</v>
      </c>
      <c r="V33" s="141">
        <f t="shared" si="2"/>
        <v>7.1999999999999993</v>
      </c>
      <c r="W33" s="142">
        <f>IFERROR(INDEX('Price List'!$J$5:$J$74,MATCH(TRIM(J33)&amp;"|"&amp;TRIM(P33),'Price List'!$O$5:$O$74,0)),0)</f>
        <v>5</v>
      </c>
      <c r="X33" s="143">
        <f>IFERROR(INDEX('Price List'!$K$5:$K$74,MATCH(TRIM(J33)&amp;"|"&amp;TRIM(P33),'Price List'!$O$5:$O$74,0)),0)</f>
        <v>0.12</v>
      </c>
      <c r="Y33" s="141">
        <f t="shared" si="3"/>
        <v>5.6000000000000005</v>
      </c>
      <c r="Z33" s="141">
        <f t="shared" si="4"/>
        <v>7116.8</v>
      </c>
      <c r="AA33" s="134"/>
    </row>
    <row r="34" spans="1:27" ht="15" customHeight="1" x14ac:dyDescent="0.35">
      <c r="A34" s="134"/>
      <c r="B34" s="134"/>
      <c r="C34" s="134" t="s">
        <v>444</v>
      </c>
      <c r="D34" s="136" t="str">
        <f t="shared" si="0"/>
        <v>B.03</v>
      </c>
      <c r="E34" s="135" t="s">
        <v>414</v>
      </c>
      <c r="F34" s="135" t="s">
        <v>653</v>
      </c>
      <c r="G34" s="134" t="s">
        <v>466</v>
      </c>
      <c r="H34" s="134" t="s">
        <v>663</v>
      </c>
      <c r="I34" s="134" t="s">
        <v>545</v>
      </c>
      <c r="J34" s="144" t="s">
        <v>141</v>
      </c>
      <c r="K34" s="134"/>
      <c r="L34" s="134"/>
      <c r="M34" s="134"/>
      <c r="N34" s="134"/>
      <c r="O34" s="134"/>
      <c r="P34" s="135" t="s">
        <v>128</v>
      </c>
      <c r="Q34" s="137">
        <f t="shared" si="1"/>
        <v>70</v>
      </c>
      <c r="R34" s="137">
        <v>70</v>
      </c>
      <c r="S34" s="138"/>
      <c r="T34" s="139">
        <f>IFERROR(INDEX('Price List'!$G$5:$G$74,MATCH(TRIM(J34)&amp;"|"&amp;TRIM(P34),'Price List'!$O$5:$O$74,0)),0)</f>
        <v>2</v>
      </c>
      <c r="U34" s="140">
        <f>IFERROR(INDEX('Price List'!$H$5:$H$74,MATCH(TRIM(J34)&amp;"|"&amp;TRIM(P34),'Price List'!$O$5:$O$74,0)),0)</f>
        <v>0.2</v>
      </c>
      <c r="V34" s="141">
        <f t="shared" si="2"/>
        <v>2.4</v>
      </c>
      <c r="W34" s="142">
        <f>IFERROR(INDEX('Price List'!$J$5:$J$74,MATCH(TRIM(J34)&amp;"|"&amp;TRIM(P34),'Price List'!$O$5:$O$74,0)),0)</f>
        <v>0</v>
      </c>
      <c r="X34" s="143">
        <f>IFERROR(INDEX('Price List'!$K$5:$K$74,MATCH(TRIM(J34)&amp;"|"&amp;TRIM(P34),'Price List'!$O$5:$O$74,0)),0)</f>
        <v>0</v>
      </c>
      <c r="Y34" s="141">
        <f t="shared" si="3"/>
        <v>0</v>
      </c>
      <c r="Z34" s="141">
        <f t="shared" si="4"/>
        <v>168</v>
      </c>
      <c r="AA34" s="134"/>
    </row>
    <row r="35" spans="1:27" ht="15" customHeight="1" x14ac:dyDescent="0.35">
      <c r="A35" s="134"/>
      <c r="B35" s="134"/>
      <c r="C35" s="134" t="s">
        <v>444</v>
      </c>
      <c r="D35" s="136" t="str">
        <f t="shared" si="0"/>
        <v>B.03</v>
      </c>
      <c r="E35" s="135" t="s">
        <v>414</v>
      </c>
      <c r="F35" s="135" t="s">
        <v>653</v>
      </c>
      <c r="G35" s="134" t="s">
        <v>466</v>
      </c>
      <c r="H35" s="134" t="s">
        <v>663</v>
      </c>
      <c r="I35" s="134" t="s">
        <v>550</v>
      </c>
      <c r="J35" s="144" t="s">
        <v>143</v>
      </c>
      <c r="K35" s="134"/>
      <c r="L35" s="134"/>
      <c r="M35" s="134"/>
      <c r="N35" s="134"/>
      <c r="O35" s="134"/>
      <c r="P35" s="135" t="s">
        <v>100</v>
      </c>
      <c r="Q35" s="137">
        <f t="shared" si="1"/>
        <v>3.5</v>
      </c>
      <c r="R35" s="137">
        <f>R34*0.05</f>
        <v>3.5</v>
      </c>
      <c r="S35" s="138"/>
      <c r="T35" s="139">
        <f>IFERROR(INDEX('Price List'!$G$5:$G$74,MATCH(TRIM(J35)&amp;"|"&amp;TRIM(P35),'Price List'!$O$5:$O$74,0)),0)</f>
        <v>7</v>
      </c>
      <c r="U35" s="140">
        <f>IFERROR(INDEX('Price List'!$H$5:$H$74,MATCH(TRIM(J35)&amp;"|"&amp;TRIM(P35),'Price List'!$O$5:$O$74,0)),0)</f>
        <v>0.2</v>
      </c>
      <c r="V35" s="141">
        <f t="shared" si="2"/>
        <v>8.4</v>
      </c>
      <c r="W35" s="142">
        <f>IFERROR(INDEX('Price List'!$J$5:$J$74,MATCH(TRIM(J35)&amp;"|"&amp;TRIM(P35),'Price List'!$O$5:$O$74,0)),0)</f>
        <v>75</v>
      </c>
      <c r="X35" s="143">
        <f>IFERROR(INDEX('Price List'!$K$5:$K$74,MATCH(TRIM(J35)&amp;"|"&amp;TRIM(P35),'Price List'!$O$5:$O$74,0)),0)</f>
        <v>0.12</v>
      </c>
      <c r="Y35" s="141">
        <f t="shared" si="3"/>
        <v>84.000000000000014</v>
      </c>
      <c r="Z35" s="141">
        <f t="shared" si="4"/>
        <v>323.40000000000009</v>
      </c>
      <c r="AA35" s="134"/>
    </row>
    <row r="36" spans="1:27" ht="15" customHeight="1" x14ac:dyDescent="0.35">
      <c r="A36" s="134"/>
      <c r="B36" s="134"/>
      <c r="C36" s="134" t="s">
        <v>444</v>
      </c>
      <c r="D36" s="136" t="str">
        <f t="shared" si="0"/>
        <v>B.03</v>
      </c>
      <c r="E36" s="135" t="s">
        <v>414</v>
      </c>
      <c r="F36" s="135" t="s">
        <v>653</v>
      </c>
      <c r="G36" s="134" t="s">
        <v>466</v>
      </c>
      <c r="H36" s="134" t="s">
        <v>663</v>
      </c>
      <c r="I36" s="134" t="s">
        <v>548</v>
      </c>
      <c r="J36" s="144" t="s">
        <v>158</v>
      </c>
      <c r="K36" s="134"/>
      <c r="L36" s="134"/>
      <c r="M36" s="134"/>
      <c r="N36" s="134"/>
      <c r="O36" s="134"/>
      <c r="P36" s="135" t="s">
        <v>100</v>
      </c>
      <c r="Q36" s="137">
        <f t="shared" si="1"/>
        <v>10.5</v>
      </c>
      <c r="R36" s="137">
        <f>R34*0.15</f>
        <v>10.5</v>
      </c>
      <c r="S36" s="138"/>
      <c r="T36" s="139">
        <f>IFERROR(INDEX('Price List'!$G$5:$G$74,MATCH(TRIM(J36)&amp;"|"&amp;TRIM(P36),'Price List'!$O$5:$O$74,0)),0)</f>
        <v>3</v>
      </c>
      <c r="U36" s="140">
        <f>IFERROR(INDEX('Price List'!$H$5:$H$74,MATCH(TRIM(J36)&amp;"|"&amp;TRIM(P36),'Price List'!$O$5:$O$74,0)),0)</f>
        <v>0.2</v>
      </c>
      <c r="V36" s="141">
        <f t="shared" si="2"/>
        <v>3.5999999999999996</v>
      </c>
      <c r="W36" s="142">
        <f>IFERROR(INDEX('Price List'!$J$5:$J$74,MATCH(TRIM(J36)&amp;"|"&amp;TRIM(P36),'Price List'!$O$5:$O$74,0)),0)</f>
        <v>18</v>
      </c>
      <c r="X36" s="143">
        <f>IFERROR(INDEX('Price List'!$K$5:$K$74,MATCH(TRIM(J36)&amp;"|"&amp;TRIM(P36),'Price List'!$O$5:$O$74,0)),0)</f>
        <v>0.12</v>
      </c>
      <c r="Y36" s="141">
        <f t="shared" si="3"/>
        <v>20.160000000000004</v>
      </c>
      <c r="Z36" s="141">
        <f t="shared" si="4"/>
        <v>249.48000000000005</v>
      </c>
      <c r="AA36" s="134"/>
    </row>
    <row r="37" spans="1:27" ht="15" customHeight="1" x14ac:dyDescent="0.35">
      <c r="A37" s="134"/>
      <c r="B37" s="134"/>
      <c r="C37" s="134" t="s">
        <v>444</v>
      </c>
      <c r="D37" s="136" t="str">
        <f t="shared" si="0"/>
        <v>B.03</v>
      </c>
      <c r="E37" s="135" t="s">
        <v>414</v>
      </c>
      <c r="F37" s="135" t="s">
        <v>653</v>
      </c>
      <c r="G37" s="134" t="s">
        <v>466</v>
      </c>
      <c r="H37" s="134" t="s">
        <v>663</v>
      </c>
      <c r="I37" s="134" t="s">
        <v>561</v>
      </c>
      <c r="J37" s="134" t="s">
        <v>145</v>
      </c>
      <c r="K37" s="134"/>
      <c r="L37" s="134"/>
      <c r="M37" s="134"/>
      <c r="N37" s="134"/>
      <c r="O37" s="134"/>
      <c r="P37" s="135" t="s">
        <v>110</v>
      </c>
      <c r="Q37" s="137">
        <v>60</v>
      </c>
      <c r="R37" s="137">
        <v>18</v>
      </c>
      <c r="S37" s="138">
        <v>0</v>
      </c>
      <c r="T37" s="139">
        <f>IFERROR(INDEX('Price List'!$G$5:$G$74,MATCH(TRIM(J37)&amp;"|"&amp;TRIM(P37),'Price List'!$O$5:$O$74,0)),0)</f>
        <v>1.5</v>
      </c>
      <c r="U37" s="140">
        <f>IFERROR(INDEX('Price List'!$H$5:$H$74,MATCH(TRIM(J37)&amp;"|"&amp;TRIM(P37),'Price List'!$O$5:$O$74,0)),0)</f>
        <v>0.2</v>
      </c>
      <c r="V37" s="141">
        <f t="shared" si="2"/>
        <v>1.7999999999999998</v>
      </c>
      <c r="W37" s="142">
        <f>IFERROR(INDEX('Price List'!$J$5:$J$74,MATCH(TRIM(J37)&amp;"|"&amp;TRIM(P37),'Price List'!$O$5:$O$74,0)),0)</f>
        <v>4</v>
      </c>
      <c r="X37" s="143">
        <f>IFERROR(INDEX('Price List'!$K$5:$K$74,MATCH(TRIM(J37)&amp;"|"&amp;TRIM(P37),'Price List'!$O$5:$O$74,0)),0)</f>
        <v>0.12</v>
      </c>
      <c r="Y37" s="141">
        <f t="shared" si="3"/>
        <v>4.4800000000000004</v>
      </c>
      <c r="Z37" s="141">
        <f t="shared" si="4"/>
        <v>376.8</v>
      </c>
      <c r="AA37" s="134"/>
    </row>
    <row r="38" spans="1:27" ht="15" customHeight="1" x14ac:dyDescent="0.35">
      <c r="A38" s="134"/>
      <c r="B38" s="134"/>
      <c r="C38" s="134" t="s">
        <v>444</v>
      </c>
      <c r="D38" s="136" t="str">
        <f t="shared" si="0"/>
        <v>B.03</v>
      </c>
      <c r="E38" s="135" t="s">
        <v>414</v>
      </c>
      <c r="F38" s="135" t="s">
        <v>653</v>
      </c>
      <c r="G38" s="134" t="s">
        <v>466</v>
      </c>
      <c r="H38" s="134" t="s">
        <v>663</v>
      </c>
      <c r="I38" s="134" t="s">
        <v>513</v>
      </c>
      <c r="J38" s="144" t="s">
        <v>131</v>
      </c>
      <c r="K38" s="134"/>
      <c r="L38" s="134"/>
      <c r="M38" s="134"/>
      <c r="N38" s="134"/>
      <c r="O38" s="134"/>
      <c r="P38" s="135" t="s">
        <v>103</v>
      </c>
      <c r="Q38" s="137">
        <f t="shared" ref="Q38:Q101" si="5">R38</f>
        <v>10560</v>
      </c>
      <c r="R38" s="137">
        <f>R32*160</f>
        <v>10560</v>
      </c>
      <c r="S38" s="138"/>
      <c r="T38" s="139">
        <f>IFERROR(INDEX('Price List'!$G$5:$G$74,MATCH(TRIM(J38)&amp;"|"&amp;TRIM(P38),'Price List'!$O$5:$O$74,0)),0)</f>
        <v>0.11</v>
      </c>
      <c r="U38" s="140">
        <f>IFERROR(INDEX('Price List'!$H$5:$H$74,MATCH(TRIM(J38)&amp;"|"&amp;TRIM(P38),'Price List'!$O$5:$O$74,0)),0)</f>
        <v>0.2</v>
      </c>
      <c r="V38" s="141">
        <f t="shared" si="2"/>
        <v>0.13200000000000001</v>
      </c>
      <c r="W38" s="142">
        <f>IFERROR(INDEX('Price List'!$J$5:$J$74,MATCH(TRIM(J38)&amp;"|"&amp;TRIM(P38),'Price List'!$O$5:$O$74,0)),0)</f>
        <v>0.76</v>
      </c>
      <c r="X38" s="143">
        <f>IFERROR(INDEX('Price List'!$K$5:$K$74,MATCH(TRIM(J38)&amp;"|"&amp;TRIM(P38),'Price List'!$O$5:$O$74,0)),0)</f>
        <v>0.12</v>
      </c>
      <c r="Y38" s="141">
        <f t="shared" si="3"/>
        <v>0.85120000000000007</v>
      </c>
      <c r="Z38" s="141">
        <f t="shared" si="4"/>
        <v>10382.592000000001</v>
      </c>
      <c r="AA38" s="134"/>
    </row>
    <row r="39" spans="1:27" ht="15" customHeight="1" x14ac:dyDescent="0.35">
      <c r="A39" s="134"/>
      <c r="B39" s="134"/>
      <c r="C39" s="134" t="s">
        <v>444</v>
      </c>
      <c r="D39" s="136" t="str">
        <f t="shared" si="0"/>
        <v>B.03</v>
      </c>
      <c r="E39" s="135" t="s">
        <v>414</v>
      </c>
      <c r="F39" s="135" t="s">
        <v>653</v>
      </c>
      <c r="G39" s="134" t="s">
        <v>466</v>
      </c>
      <c r="H39" s="134" t="s">
        <v>663</v>
      </c>
      <c r="I39" s="134" t="s">
        <v>657</v>
      </c>
      <c r="J39" s="134" t="s">
        <v>107</v>
      </c>
      <c r="K39" s="134"/>
      <c r="L39" s="134"/>
      <c r="M39" s="134"/>
      <c r="N39" s="134"/>
      <c r="O39" s="134"/>
      <c r="P39" s="135" t="s">
        <v>103</v>
      </c>
      <c r="Q39" s="137">
        <f t="shared" si="5"/>
        <v>422.40000000000003</v>
      </c>
      <c r="R39" s="137">
        <f>(R38)*4%</f>
        <v>422.40000000000003</v>
      </c>
      <c r="S39" s="138"/>
      <c r="T39" s="139">
        <f>IFERROR(INDEX('Price List'!$G$5:$G$74,MATCH(TRIM(J39)&amp;"|"&amp;TRIM(P39),'Price List'!$O$5:$O$74,0)),0)</f>
        <v>0.05</v>
      </c>
      <c r="U39" s="140">
        <f>IFERROR(INDEX('Price List'!$H$5:$H$74,MATCH(TRIM(J39)&amp;"|"&amp;TRIM(P39),'Price List'!$O$5:$O$74,0)),0)</f>
        <v>0.2</v>
      </c>
      <c r="V39" s="141">
        <f t="shared" si="2"/>
        <v>0.06</v>
      </c>
      <c r="W39" s="142">
        <f>IFERROR(INDEX('Price List'!$J$5:$J$74,MATCH(TRIM(J39)&amp;"|"&amp;TRIM(P39),'Price List'!$O$5:$O$74,0)),0)</f>
        <v>1.2</v>
      </c>
      <c r="X39" s="143">
        <f>IFERROR(INDEX('Price List'!$K$5:$K$74,MATCH(TRIM(J39)&amp;"|"&amp;TRIM(P39),'Price List'!$O$5:$O$74,0)),0)</f>
        <v>0.12</v>
      </c>
      <c r="Y39" s="141">
        <f t="shared" si="3"/>
        <v>1.3440000000000001</v>
      </c>
      <c r="Z39" s="141">
        <f t="shared" si="4"/>
        <v>593.04960000000005</v>
      </c>
      <c r="AA39" s="134"/>
    </row>
    <row r="40" spans="1:27" ht="15" customHeight="1" x14ac:dyDescent="0.35">
      <c r="A40" s="134"/>
      <c r="B40" s="135"/>
      <c r="C40" s="134" t="s">
        <v>444</v>
      </c>
      <c r="D40" s="136" t="str">
        <f t="shared" si="0"/>
        <v>B.04</v>
      </c>
      <c r="E40" s="135" t="s">
        <v>414</v>
      </c>
      <c r="F40" s="135" t="s">
        <v>664</v>
      </c>
      <c r="G40" s="134" t="s">
        <v>31</v>
      </c>
      <c r="H40" s="134" t="s">
        <v>564</v>
      </c>
      <c r="I40" s="134" t="s">
        <v>512</v>
      </c>
      <c r="J40" s="145" t="s">
        <v>125</v>
      </c>
      <c r="K40" s="134"/>
      <c r="L40" s="134"/>
      <c r="M40" s="134"/>
      <c r="N40" s="134"/>
      <c r="O40" s="134"/>
      <c r="P40" s="135" t="s">
        <v>100</v>
      </c>
      <c r="Q40" s="137">
        <f t="shared" si="5"/>
        <v>38.42</v>
      </c>
      <c r="R40" s="137">
        <v>38.42</v>
      </c>
      <c r="S40" s="138"/>
      <c r="T40" s="139">
        <f>IFERROR(INDEX('Price List'!$G$5:$G$74,MATCH(TRIM(J40)&amp;"|"&amp;TRIM(P40),'Price List'!$O$5:$O$74,0)),0)</f>
        <v>10</v>
      </c>
      <c r="U40" s="140">
        <f>IFERROR(INDEX('Price List'!$H$5:$H$74,MATCH(TRIM(J40)&amp;"|"&amp;TRIM(P40),'Price List'!$O$5:$O$74,0)),0)</f>
        <v>0.2</v>
      </c>
      <c r="V40" s="141">
        <f t="shared" si="2"/>
        <v>12</v>
      </c>
      <c r="W40" s="142">
        <f>IFERROR(INDEX('Price List'!$J$5:$J$74,MATCH(TRIM(J40)&amp;"|"&amp;TRIM(P40),'Price List'!$O$5:$O$74,0)),0)</f>
        <v>98</v>
      </c>
      <c r="X40" s="143">
        <f>IFERROR(INDEX('Price List'!$K$5:$K$74,MATCH(TRIM(J40)&amp;"|"&amp;TRIM(P40),'Price List'!$O$5:$O$74,0)),0)</f>
        <v>0.12</v>
      </c>
      <c r="Y40" s="141">
        <f t="shared" si="3"/>
        <v>109.76</v>
      </c>
      <c r="Z40" s="141">
        <f t="shared" si="4"/>
        <v>4678.0192000000006</v>
      </c>
      <c r="AA40" s="134"/>
    </row>
    <row r="41" spans="1:27" ht="15" customHeight="1" x14ac:dyDescent="0.35">
      <c r="A41" s="134"/>
      <c r="B41" s="134"/>
      <c r="C41" s="134" t="s">
        <v>444</v>
      </c>
      <c r="D41" s="136" t="str">
        <f t="shared" si="0"/>
        <v>B.04</v>
      </c>
      <c r="E41" s="135" t="s">
        <v>414</v>
      </c>
      <c r="F41" s="135" t="s">
        <v>664</v>
      </c>
      <c r="G41" s="134" t="s">
        <v>31</v>
      </c>
      <c r="H41" s="134" t="s">
        <v>564</v>
      </c>
      <c r="I41" s="144" t="s">
        <v>127</v>
      </c>
      <c r="J41" s="144" t="s">
        <v>127</v>
      </c>
      <c r="K41" s="144"/>
      <c r="L41" s="134"/>
      <c r="M41" s="134"/>
      <c r="N41" s="134"/>
      <c r="O41" s="134"/>
      <c r="P41" s="135" t="s">
        <v>128</v>
      </c>
      <c r="Q41" s="137">
        <f t="shared" si="5"/>
        <v>359.03</v>
      </c>
      <c r="R41" s="137">
        <v>359.03</v>
      </c>
      <c r="S41" s="138"/>
      <c r="T41" s="139">
        <f>IFERROR(INDEX('Price List'!$G$5:$G$74,MATCH(TRIM(J41)&amp;"|"&amp;TRIM(P41),'Price List'!$O$5:$O$74,0)),0)</f>
        <v>6</v>
      </c>
      <c r="U41" s="140">
        <f>IFERROR(INDEX('Price List'!$H$5:$H$74,MATCH(TRIM(J41)&amp;"|"&amp;TRIM(P41),'Price List'!$O$5:$O$74,0)),0)</f>
        <v>0.2</v>
      </c>
      <c r="V41" s="141">
        <f t="shared" si="2"/>
        <v>7.1999999999999993</v>
      </c>
      <c r="W41" s="142">
        <f>IFERROR(INDEX('Price List'!$J$5:$J$74,MATCH(TRIM(J41)&amp;"|"&amp;TRIM(P41),'Price List'!$O$5:$O$74,0)),0)</f>
        <v>5</v>
      </c>
      <c r="X41" s="143">
        <f>IFERROR(INDEX('Price List'!$K$5:$K$74,MATCH(TRIM(J41)&amp;"|"&amp;TRIM(P41),'Price List'!$O$5:$O$74,0)),0)</f>
        <v>0.12</v>
      </c>
      <c r="Y41" s="141">
        <f t="shared" si="3"/>
        <v>5.6000000000000005</v>
      </c>
      <c r="Z41" s="141">
        <f t="shared" si="4"/>
        <v>4595.5839999999998</v>
      </c>
      <c r="AA41" s="134"/>
    </row>
    <row r="42" spans="1:27" ht="15" customHeight="1" x14ac:dyDescent="0.35">
      <c r="A42" s="134"/>
      <c r="B42" s="134"/>
      <c r="C42" s="134" t="s">
        <v>444</v>
      </c>
      <c r="D42" s="136" t="str">
        <f t="shared" si="0"/>
        <v>B.04</v>
      </c>
      <c r="E42" s="135" t="s">
        <v>414</v>
      </c>
      <c r="F42" s="135" t="s">
        <v>664</v>
      </c>
      <c r="G42" s="134" t="s">
        <v>31</v>
      </c>
      <c r="H42" s="134" t="s">
        <v>564</v>
      </c>
      <c r="I42" s="134" t="s">
        <v>513</v>
      </c>
      <c r="J42" s="144" t="s">
        <v>169</v>
      </c>
      <c r="K42" s="144"/>
      <c r="L42" s="134"/>
      <c r="M42" s="134"/>
      <c r="N42" s="134"/>
      <c r="O42" s="134"/>
      <c r="P42" s="135" t="s">
        <v>103</v>
      </c>
      <c r="Q42" s="137">
        <f t="shared" si="5"/>
        <v>487.00866666666701</v>
      </c>
      <c r="R42" s="137">
        <v>487.00866666666701</v>
      </c>
      <c r="S42" s="138"/>
      <c r="T42" s="139">
        <f>IFERROR(INDEX('Price List'!$G$5:$G$74,MATCH(TRIM(J42)&amp;"|"&amp;TRIM(P42),'Price List'!$O$5:$O$74,0)),0)</f>
        <v>0.12</v>
      </c>
      <c r="U42" s="140">
        <f>IFERROR(INDEX('Price List'!$H$5:$H$74,MATCH(TRIM(J42)&amp;"|"&amp;TRIM(P42),'Price List'!$O$5:$O$74,0)),0)</f>
        <v>0.2</v>
      </c>
      <c r="V42" s="141">
        <f t="shared" si="2"/>
        <v>0.14399999999999999</v>
      </c>
      <c r="W42" s="142">
        <f>IFERROR(INDEX('Price List'!$J$5:$J$74,MATCH(TRIM(J42)&amp;"|"&amp;TRIM(P42),'Price List'!$O$5:$O$74,0)),0)</f>
        <v>0.77</v>
      </c>
      <c r="X42" s="143">
        <f>IFERROR(INDEX('Price List'!$K$5:$K$74,MATCH(TRIM(J42)&amp;"|"&amp;TRIM(P42),'Price List'!$O$5:$O$74,0)),0)</f>
        <v>0.12</v>
      </c>
      <c r="Y42" s="141">
        <f t="shared" si="3"/>
        <v>0.86240000000000006</v>
      </c>
      <c r="Z42" s="141">
        <f t="shared" si="4"/>
        <v>490.12552213333367</v>
      </c>
      <c r="AA42" s="134"/>
    </row>
    <row r="43" spans="1:27" ht="15" customHeight="1" x14ac:dyDescent="0.35">
      <c r="A43" s="134"/>
      <c r="B43" s="134"/>
      <c r="C43" s="134" t="s">
        <v>444</v>
      </c>
      <c r="D43" s="136" t="str">
        <f t="shared" si="0"/>
        <v>B.04</v>
      </c>
      <c r="E43" s="135" t="s">
        <v>414</v>
      </c>
      <c r="F43" s="135" t="s">
        <v>664</v>
      </c>
      <c r="G43" s="134" t="s">
        <v>31</v>
      </c>
      <c r="H43" s="134" t="s">
        <v>564</v>
      </c>
      <c r="I43" s="134" t="s">
        <v>513</v>
      </c>
      <c r="J43" s="144" t="s">
        <v>102</v>
      </c>
      <c r="K43" s="134"/>
      <c r="L43" s="134"/>
      <c r="M43" s="134"/>
      <c r="N43" s="134"/>
      <c r="O43" s="134"/>
      <c r="P43" s="135" t="s">
        <v>103</v>
      </c>
      <c r="Q43" s="137">
        <f t="shared" si="5"/>
        <v>1072.3333333333301</v>
      </c>
      <c r="R43" s="137">
        <v>1072.3333333333301</v>
      </c>
      <c r="S43" s="138"/>
      <c r="T43" s="139">
        <f>IFERROR(INDEX('Price List'!$G$5:$G$74,MATCH(TRIM(J43)&amp;"|"&amp;TRIM(P43),'Price List'!$O$5:$O$74,0)),0)</f>
        <v>0.12</v>
      </c>
      <c r="U43" s="140">
        <f>IFERROR(INDEX('Price List'!$H$5:$H$74,MATCH(TRIM(J43)&amp;"|"&amp;TRIM(P43),'Price List'!$O$5:$O$74,0)),0)</f>
        <v>0.2</v>
      </c>
      <c r="V43" s="141">
        <f t="shared" si="2"/>
        <v>0.14399999999999999</v>
      </c>
      <c r="W43" s="142">
        <f>IFERROR(INDEX('Price List'!$J$5:$J$74,MATCH(TRIM(J43)&amp;"|"&amp;TRIM(P43),'Price List'!$O$5:$O$74,0)),0)</f>
        <v>0.78</v>
      </c>
      <c r="X43" s="143">
        <f>IFERROR(INDEX('Price List'!$K$5:$K$74,MATCH(TRIM(J43)&amp;"|"&amp;TRIM(P43),'Price List'!$O$5:$O$74,0)),0)</f>
        <v>0.12</v>
      </c>
      <c r="Y43" s="141">
        <f t="shared" si="3"/>
        <v>0.87360000000000015</v>
      </c>
      <c r="Z43" s="141">
        <f t="shared" si="4"/>
        <v>1091.2063999999968</v>
      </c>
      <c r="AA43" s="134"/>
    </row>
    <row r="44" spans="1:27" ht="15" customHeight="1" x14ac:dyDescent="0.35">
      <c r="A44" s="134"/>
      <c r="B44" s="134"/>
      <c r="C44" s="134" t="s">
        <v>444</v>
      </c>
      <c r="D44" s="136" t="str">
        <f t="shared" si="0"/>
        <v>B.04</v>
      </c>
      <c r="E44" s="135" t="s">
        <v>414</v>
      </c>
      <c r="F44" s="135" t="s">
        <v>664</v>
      </c>
      <c r="G44" s="134" t="s">
        <v>31</v>
      </c>
      <c r="H44" s="134" t="s">
        <v>564</v>
      </c>
      <c r="I44" s="134" t="s">
        <v>513</v>
      </c>
      <c r="J44" s="144" t="s">
        <v>131</v>
      </c>
      <c r="K44" s="134"/>
      <c r="L44" s="134"/>
      <c r="M44" s="134"/>
      <c r="N44" s="134"/>
      <c r="O44" s="134"/>
      <c r="P44" s="135" t="s">
        <v>103</v>
      </c>
      <c r="Q44" s="137">
        <f t="shared" si="5"/>
        <v>174.31440000000001</v>
      </c>
      <c r="R44" s="137">
        <v>174.31440000000001</v>
      </c>
      <c r="S44" s="138"/>
      <c r="T44" s="139">
        <f>IFERROR(INDEX('Price List'!$G$5:$G$74,MATCH(TRIM(J44)&amp;"|"&amp;TRIM(P44),'Price List'!$O$5:$O$74,0)),0)</f>
        <v>0.11</v>
      </c>
      <c r="U44" s="140">
        <f>IFERROR(INDEX('Price List'!$H$5:$H$74,MATCH(TRIM(J44)&amp;"|"&amp;TRIM(P44),'Price List'!$O$5:$O$74,0)),0)</f>
        <v>0.2</v>
      </c>
      <c r="V44" s="141">
        <f t="shared" si="2"/>
        <v>0.13200000000000001</v>
      </c>
      <c r="W44" s="142">
        <f>IFERROR(INDEX('Price List'!$J$5:$J$74,MATCH(TRIM(J44)&amp;"|"&amp;TRIM(P44),'Price List'!$O$5:$O$74,0)),0)</f>
        <v>0.76</v>
      </c>
      <c r="X44" s="143">
        <f>IFERROR(INDEX('Price List'!$K$5:$K$74,MATCH(TRIM(J44)&amp;"|"&amp;TRIM(P44),'Price List'!$O$5:$O$74,0)),0)</f>
        <v>0.12</v>
      </c>
      <c r="Y44" s="141">
        <f t="shared" si="3"/>
        <v>0.85120000000000007</v>
      </c>
      <c r="Z44" s="141">
        <f t="shared" si="4"/>
        <v>171.38591808000001</v>
      </c>
      <c r="AA44" s="134"/>
    </row>
    <row r="45" spans="1:27" ht="15" customHeight="1" x14ac:dyDescent="0.35">
      <c r="A45" s="134"/>
      <c r="B45" s="134"/>
      <c r="C45" s="134" t="s">
        <v>444</v>
      </c>
      <c r="D45" s="136" t="str">
        <f t="shared" si="0"/>
        <v>B.04</v>
      </c>
      <c r="E45" s="135" t="s">
        <v>414</v>
      </c>
      <c r="F45" s="135" t="s">
        <v>664</v>
      </c>
      <c r="G45" s="134" t="s">
        <v>31</v>
      </c>
      <c r="H45" s="134" t="s">
        <v>564</v>
      </c>
      <c r="I45" s="134" t="s">
        <v>513</v>
      </c>
      <c r="J45" s="144" t="s">
        <v>133</v>
      </c>
      <c r="K45" s="134"/>
      <c r="L45" s="134"/>
      <c r="M45" s="134"/>
      <c r="N45" s="134"/>
      <c r="O45" s="134"/>
      <c r="P45" s="135" t="s">
        <v>103</v>
      </c>
      <c r="Q45" s="137">
        <f t="shared" si="5"/>
        <v>1016.8632</v>
      </c>
      <c r="R45" s="137">
        <v>1016.8632</v>
      </c>
      <c r="S45" s="138"/>
      <c r="T45" s="139">
        <f>IFERROR(INDEX('Price List'!$G$5:$G$74,MATCH(TRIM(J45)&amp;"|"&amp;TRIM(P45),'Price List'!$O$5:$O$74,0)),0)</f>
        <v>0.1</v>
      </c>
      <c r="U45" s="140">
        <f>IFERROR(INDEX('Price List'!$H$5:$H$74,MATCH(TRIM(J45)&amp;"|"&amp;TRIM(P45),'Price List'!$O$5:$O$74,0)),0)</f>
        <v>0.2</v>
      </c>
      <c r="V45" s="141">
        <f t="shared" si="2"/>
        <v>0.12</v>
      </c>
      <c r="W45" s="142">
        <f>IFERROR(INDEX('Price List'!$J$5:$J$74,MATCH(TRIM(J45)&amp;"|"&amp;TRIM(P45),'Price List'!$O$5:$O$74,0)),0)</f>
        <v>0.74</v>
      </c>
      <c r="X45" s="143">
        <f>IFERROR(INDEX('Price List'!$K$5:$K$74,MATCH(TRIM(J45)&amp;"|"&amp;TRIM(P45),'Price List'!$O$5:$O$74,0)),0)</f>
        <v>0.12</v>
      </c>
      <c r="Y45" s="141">
        <f t="shared" si="3"/>
        <v>0.82880000000000009</v>
      </c>
      <c r="Z45" s="141">
        <f t="shared" si="4"/>
        <v>964.79980416000012</v>
      </c>
      <c r="AA45" s="134"/>
    </row>
    <row r="46" spans="1:27" ht="15" customHeight="1" x14ac:dyDescent="0.35">
      <c r="A46" s="134"/>
      <c r="B46" s="134"/>
      <c r="C46" s="134" t="s">
        <v>444</v>
      </c>
      <c r="D46" s="136" t="str">
        <f t="shared" si="0"/>
        <v>B.04</v>
      </c>
      <c r="E46" s="135" t="s">
        <v>414</v>
      </c>
      <c r="F46" s="135" t="s">
        <v>664</v>
      </c>
      <c r="G46" s="134" t="s">
        <v>31</v>
      </c>
      <c r="H46" s="134" t="s">
        <v>564</v>
      </c>
      <c r="I46" s="134" t="s">
        <v>513</v>
      </c>
      <c r="J46" s="144" t="s">
        <v>135</v>
      </c>
      <c r="K46" s="134"/>
      <c r="L46" s="134"/>
      <c r="M46" s="134"/>
      <c r="N46" s="134"/>
      <c r="O46" s="134"/>
      <c r="P46" s="135" t="s">
        <v>103</v>
      </c>
      <c r="Q46" s="137">
        <f t="shared" si="5"/>
        <v>5312.9970000000003</v>
      </c>
      <c r="R46" s="137">
        <v>5312.9970000000003</v>
      </c>
      <c r="S46" s="138"/>
      <c r="T46" s="139">
        <f>IFERROR(INDEX('Price List'!$G$5:$G$74,MATCH(TRIM(J46)&amp;"|"&amp;TRIM(P46),'Price List'!$O$5:$O$74,0)),0)</f>
        <v>0.09</v>
      </c>
      <c r="U46" s="140">
        <f>IFERROR(INDEX('Price List'!$H$5:$H$74,MATCH(TRIM(J46)&amp;"|"&amp;TRIM(P46),'Price List'!$O$5:$O$74,0)),0)</f>
        <v>0.2</v>
      </c>
      <c r="V46" s="141">
        <f t="shared" si="2"/>
        <v>0.108</v>
      </c>
      <c r="W46" s="142">
        <f>IFERROR(INDEX('Price List'!$J$5:$J$74,MATCH(TRIM(J46)&amp;"|"&amp;TRIM(P46),'Price List'!$O$5:$O$74,0)),0)</f>
        <v>0.73</v>
      </c>
      <c r="X46" s="143">
        <f>IFERROR(INDEX('Price List'!$K$5:$K$74,MATCH(TRIM(J46)&amp;"|"&amp;TRIM(P46),'Price List'!$O$5:$O$74,0)),0)</f>
        <v>0.12</v>
      </c>
      <c r="Y46" s="141">
        <f t="shared" si="3"/>
        <v>0.8176000000000001</v>
      </c>
      <c r="Z46" s="141">
        <f t="shared" si="4"/>
        <v>4917.7100232000012</v>
      </c>
      <c r="AA46" s="134"/>
    </row>
    <row r="47" spans="1:27" ht="15" customHeight="1" x14ac:dyDescent="0.35">
      <c r="A47" s="134"/>
      <c r="B47" s="134"/>
      <c r="C47" s="134" t="s">
        <v>444</v>
      </c>
      <c r="D47" s="136" t="str">
        <f t="shared" si="0"/>
        <v>B.04</v>
      </c>
      <c r="E47" s="135" t="s">
        <v>414</v>
      </c>
      <c r="F47" s="135" t="s">
        <v>664</v>
      </c>
      <c r="G47" s="134" t="s">
        <v>31</v>
      </c>
      <c r="H47" s="134" t="s">
        <v>564</v>
      </c>
      <c r="I47" s="134" t="s">
        <v>657</v>
      </c>
      <c r="J47" s="134" t="s">
        <v>107</v>
      </c>
      <c r="K47" s="134"/>
      <c r="L47" s="134"/>
      <c r="M47" s="134"/>
      <c r="N47" s="134"/>
      <c r="O47" s="134"/>
      <c r="P47" s="135" t="s">
        <v>103</v>
      </c>
      <c r="Q47" s="137">
        <f t="shared" si="5"/>
        <v>322.54066399999988</v>
      </c>
      <c r="R47" s="137">
        <f>(R42+R44+R46+R45+R43)*4%</f>
        <v>322.54066399999988</v>
      </c>
      <c r="S47" s="138"/>
      <c r="T47" s="139">
        <f>IFERROR(INDEX('Price List'!$G$5:$G$74,MATCH(TRIM(J47)&amp;"|"&amp;TRIM(P47),'Price List'!$O$5:$O$74,0)),0)</f>
        <v>0.05</v>
      </c>
      <c r="U47" s="140">
        <f>IFERROR(INDEX('Price List'!$H$5:$H$74,MATCH(TRIM(J47)&amp;"|"&amp;TRIM(P47),'Price List'!$O$5:$O$74,0)),0)</f>
        <v>0.2</v>
      </c>
      <c r="V47" s="141">
        <f t="shared" si="2"/>
        <v>0.06</v>
      </c>
      <c r="W47" s="142">
        <f>IFERROR(INDEX('Price List'!$J$5:$J$74,MATCH(TRIM(J47)&amp;"|"&amp;TRIM(P47),'Price List'!$O$5:$O$74,0)),0)</f>
        <v>1.2</v>
      </c>
      <c r="X47" s="143">
        <f>IFERROR(INDEX('Price List'!$K$5:$K$74,MATCH(TRIM(J47)&amp;"|"&amp;TRIM(P47),'Price List'!$O$5:$O$74,0)),0)</f>
        <v>0.12</v>
      </c>
      <c r="Y47" s="141">
        <f t="shared" si="3"/>
        <v>1.3440000000000001</v>
      </c>
      <c r="Z47" s="141">
        <f t="shared" si="4"/>
        <v>452.84709225599988</v>
      </c>
      <c r="AA47" s="134"/>
    </row>
    <row r="48" spans="1:27" ht="15" customHeight="1" x14ac:dyDescent="0.35">
      <c r="A48" s="134"/>
      <c r="B48" s="134"/>
      <c r="C48" s="134" t="s">
        <v>444</v>
      </c>
      <c r="D48" s="136" t="str">
        <f t="shared" si="0"/>
        <v>B.04</v>
      </c>
      <c r="E48" s="135" t="s">
        <v>414</v>
      </c>
      <c r="F48" s="135" t="s">
        <v>664</v>
      </c>
      <c r="G48" s="134" t="s">
        <v>31</v>
      </c>
      <c r="H48" s="134" t="s">
        <v>564</v>
      </c>
      <c r="I48" s="134" t="s">
        <v>550</v>
      </c>
      <c r="J48" s="144" t="s">
        <v>143</v>
      </c>
      <c r="K48" s="134"/>
      <c r="L48" s="134"/>
      <c r="M48" s="134"/>
      <c r="N48" s="134"/>
      <c r="O48" s="134"/>
      <c r="P48" s="135" t="s">
        <v>100</v>
      </c>
      <c r="Q48" s="137">
        <f t="shared" si="5"/>
        <v>7.3</v>
      </c>
      <c r="R48" s="137">
        <v>7.3</v>
      </c>
      <c r="S48" s="138"/>
      <c r="T48" s="139">
        <f>IFERROR(INDEX('Price List'!$G$5:$G$74,MATCH(TRIM(J48)&amp;"|"&amp;TRIM(P48),'Price List'!$O$5:$O$74,0)),0)</f>
        <v>7</v>
      </c>
      <c r="U48" s="140">
        <f>IFERROR(INDEX('Price List'!$H$5:$H$74,MATCH(TRIM(J48)&amp;"|"&amp;TRIM(P48),'Price List'!$O$5:$O$74,0)),0)</f>
        <v>0.2</v>
      </c>
      <c r="V48" s="141">
        <f t="shared" si="2"/>
        <v>8.4</v>
      </c>
      <c r="W48" s="142">
        <f>IFERROR(INDEX('Price List'!$J$5:$J$74,MATCH(TRIM(J48)&amp;"|"&amp;TRIM(P48),'Price List'!$O$5:$O$74,0)),0)</f>
        <v>75</v>
      </c>
      <c r="X48" s="143">
        <f>IFERROR(INDEX('Price List'!$K$5:$K$74,MATCH(TRIM(J48)&amp;"|"&amp;TRIM(P48),'Price List'!$O$5:$O$74,0)),0)</f>
        <v>0.12</v>
      </c>
      <c r="Y48" s="141">
        <f t="shared" si="3"/>
        <v>84.000000000000014</v>
      </c>
      <c r="Z48" s="141">
        <f t="shared" si="4"/>
        <v>674.5200000000001</v>
      </c>
      <c r="AA48" s="134"/>
    </row>
    <row r="49" spans="1:27" ht="15" customHeight="1" x14ac:dyDescent="0.35">
      <c r="A49" s="134"/>
      <c r="B49" s="134"/>
      <c r="C49" s="134" t="s">
        <v>444</v>
      </c>
      <c r="D49" s="136" t="str">
        <f t="shared" si="0"/>
        <v>B.04</v>
      </c>
      <c r="E49" s="135" t="s">
        <v>414</v>
      </c>
      <c r="F49" s="135" t="s">
        <v>664</v>
      </c>
      <c r="G49" s="134" t="s">
        <v>31</v>
      </c>
      <c r="H49" s="134" t="s">
        <v>564</v>
      </c>
      <c r="I49" s="134" t="s">
        <v>548</v>
      </c>
      <c r="J49" s="144" t="s">
        <v>177</v>
      </c>
      <c r="K49" s="134"/>
      <c r="L49" s="134"/>
      <c r="M49" s="134"/>
      <c r="N49" s="134"/>
      <c r="O49" s="134"/>
      <c r="P49" s="135" t="s">
        <v>100</v>
      </c>
      <c r="Q49" s="137">
        <f t="shared" si="5"/>
        <v>14.56</v>
      </c>
      <c r="R49" s="137">
        <v>14.56</v>
      </c>
      <c r="S49" s="138"/>
      <c r="T49" s="139">
        <f>IFERROR(INDEX('Price List'!$G$5:$G$74,MATCH(TRIM(J49)&amp;"|"&amp;TRIM(P49),'Price List'!$O$5:$O$74,0)),0)</f>
        <v>3</v>
      </c>
      <c r="U49" s="140">
        <f>IFERROR(INDEX('Price List'!$H$5:$H$74,MATCH(TRIM(J49)&amp;"|"&amp;TRIM(P49),'Price List'!$O$5:$O$74,0)),0)</f>
        <v>0.2</v>
      </c>
      <c r="V49" s="141">
        <f t="shared" si="2"/>
        <v>3.5999999999999996</v>
      </c>
      <c r="W49" s="142">
        <f>IFERROR(INDEX('Price List'!$J$5:$J$74,MATCH(TRIM(J49)&amp;"|"&amp;TRIM(P49),'Price List'!$O$5:$O$74,0)),0)</f>
        <v>18</v>
      </c>
      <c r="X49" s="143">
        <f>IFERROR(INDEX('Price List'!$K$5:$K$74,MATCH(TRIM(J49)&amp;"|"&amp;TRIM(P49),'Price List'!$O$5:$O$74,0)),0)</f>
        <v>0.12</v>
      </c>
      <c r="Y49" s="141">
        <f t="shared" si="3"/>
        <v>20.160000000000004</v>
      </c>
      <c r="Z49" s="141">
        <f t="shared" si="4"/>
        <v>345.94560000000007</v>
      </c>
      <c r="AA49" s="134"/>
    </row>
    <row r="50" spans="1:27" ht="15" customHeight="1" x14ac:dyDescent="0.35">
      <c r="A50" s="134"/>
      <c r="B50" s="134"/>
      <c r="C50" s="134" t="s">
        <v>444</v>
      </c>
      <c r="D50" s="136" t="str">
        <f t="shared" si="0"/>
        <v>B.04</v>
      </c>
      <c r="E50" s="135" t="s">
        <v>414</v>
      </c>
      <c r="F50" s="135" t="s">
        <v>664</v>
      </c>
      <c r="G50" s="134" t="s">
        <v>31</v>
      </c>
      <c r="H50" s="134" t="s">
        <v>564</v>
      </c>
      <c r="I50" s="134" t="s">
        <v>452</v>
      </c>
      <c r="J50" s="144" t="s">
        <v>179</v>
      </c>
      <c r="K50" s="134"/>
      <c r="L50" s="134"/>
      <c r="M50" s="134"/>
      <c r="N50" s="134"/>
      <c r="O50" s="134"/>
      <c r="P50" s="135" t="s">
        <v>128</v>
      </c>
      <c r="Q50" s="137">
        <f t="shared" si="5"/>
        <v>145.57</v>
      </c>
      <c r="R50" s="137">
        <v>145.57</v>
      </c>
      <c r="S50" s="138"/>
      <c r="T50" s="139">
        <f>IFERROR(INDEX('Price List'!$G$5:$G$74,MATCH(TRIM(J50)&amp;"|"&amp;TRIM(P50),'Price List'!$O$5:$O$74,0)),0)</f>
        <v>1</v>
      </c>
      <c r="U50" s="140">
        <f>IFERROR(INDEX('Price List'!$H$5:$H$74,MATCH(TRIM(J50)&amp;"|"&amp;TRIM(P50),'Price List'!$O$5:$O$74,0)),0)</f>
        <v>0.2</v>
      </c>
      <c r="V50" s="141">
        <f t="shared" si="2"/>
        <v>1.2</v>
      </c>
      <c r="W50" s="142">
        <f>IFERROR(INDEX('Price List'!$J$5:$J$74,MATCH(TRIM(J50)&amp;"|"&amp;TRIM(P50),'Price List'!$O$5:$O$74,0)),0)</f>
        <v>2.5</v>
      </c>
      <c r="X50" s="143">
        <f>IFERROR(INDEX('Price List'!$K$5:$K$74,MATCH(TRIM(J50)&amp;"|"&amp;TRIM(P50),'Price List'!$O$5:$O$74,0)),0)</f>
        <v>0.12</v>
      </c>
      <c r="Y50" s="141">
        <f t="shared" si="3"/>
        <v>2.8000000000000003</v>
      </c>
      <c r="Z50" s="141">
        <f t="shared" si="4"/>
        <v>582.28</v>
      </c>
      <c r="AA50" s="134"/>
    </row>
    <row r="51" spans="1:27" ht="15" customHeight="1" x14ac:dyDescent="0.35">
      <c r="A51" s="134"/>
      <c r="B51" s="134"/>
      <c r="C51" s="134" t="s">
        <v>444</v>
      </c>
      <c r="D51" s="136" t="str">
        <f t="shared" si="0"/>
        <v>B.04</v>
      </c>
      <c r="E51" s="135" t="s">
        <v>414</v>
      </c>
      <c r="F51" s="135" t="s">
        <v>664</v>
      </c>
      <c r="G51" s="134" t="s">
        <v>31</v>
      </c>
      <c r="H51" s="134" t="s">
        <v>568</v>
      </c>
      <c r="I51" s="134" t="s">
        <v>512</v>
      </c>
      <c r="J51" s="145" t="s">
        <v>125</v>
      </c>
      <c r="K51" s="134"/>
      <c r="L51" s="134"/>
      <c r="M51" s="134"/>
      <c r="N51" s="134"/>
      <c r="O51" s="134"/>
      <c r="P51" s="135" t="s">
        <v>100</v>
      </c>
      <c r="Q51" s="137">
        <f t="shared" si="5"/>
        <v>103.73699999999999</v>
      </c>
      <c r="R51" s="137">
        <f>(0.15*110.94)+(0.2*435.48)</f>
        <v>103.73699999999999</v>
      </c>
      <c r="S51" s="138"/>
      <c r="T51" s="139">
        <f>IFERROR(INDEX('Price List'!$G$5:$G$74,MATCH(TRIM(J51)&amp;"|"&amp;TRIM(P51),'Price List'!$O$5:$O$74,0)),0)</f>
        <v>10</v>
      </c>
      <c r="U51" s="140">
        <f>IFERROR(INDEX('Price List'!$H$5:$H$74,MATCH(TRIM(J51)&amp;"|"&amp;TRIM(P51),'Price List'!$O$5:$O$74,0)),0)</f>
        <v>0.2</v>
      </c>
      <c r="V51" s="141">
        <f t="shared" si="2"/>
        <v>12</v>
      </c>
      <c r="W51" s="142">
        <f>IFERROR(INDEX('Price List'!$J$5:$J$74,MATCH(TRIM(J51)&amp;"|"&amp;TRIM(P51),'Price List'!$O$5:$O$74,0)),0)</f>
        <v>98</v>
      </c>
      <c r="X51" s="143">
        <f>IFERROR(INDEX('Price List'!$K$5:$K$74,MATCH(TRIM(J51)&amp;"|"&amp;TRIM(P51),'Price List'!$O$5:$O$74,0)),0)</f>
        <v>0.12</v>
      </c>
      <c r="Y51" s="141">
        <f t="shared" si="3"/>
        <v>109.76</v>
      </c>
      <c r="Z51" s="141">
        <f t="shared" si="4"/>
        <v>12631.01712</v>
      </c>
      <c r="AA51" s="134"/>
    </row>
    <row r="52" spans="1:27" ht="15" customHeight="1" x14ac:dyDescent="0.35">
      <c r="A52" s="134"/>
      <c r="B52" s="134"/>
      <c r="C52" s="134" t="s">
        <v>444</v>
      </c>
      <c r="D52" s="136" t="str">
        <f t="shared" si="0"/>
        <v>B.04</v>
      </c>
      <c r="E52" s="135" t="s">
        <v>414</v>
      </c>
      <c r="F52" s="135" t="s">
        <v>664</v>
      </c>
      <c r="G52" s="134" t="s">
        <v>31</v>
      </c>
      <c r="H52" s="134" t="s">
        <v>568</v>
      </c>
      <c r="I52" s="144" t="s">
        <v>127</v>
      </c>
      <c r="J52" s="144" t="s">
        <v>127</v>
      </c>
      <c r="K52" s="144"/>
      <c r="L52" s="134"/>
      <c r="M52" s="134"/>
      <c r="N52" s="134"/>
      <c r="O52" s="134"/>
      <c r="P52" s="135" t="s">
        <v>128</v>
      </c>
      <c r="Q52" s="137">
        <f t="shared" si="5"/>
        <v>19.200000000000003</v>
      </c>
      <c r="R52" s="137">
        <f>96*0.2</f>
        <v>19.200000000000003</v>
      </c>
      <c r="S52" s="138"/>
      <c r="T52" s="139">
        <f>IFERROR(INDEX('Price List'!$G$5:$G$74,MATCH(TRIM(J52)&amp;"|"&amp;TRIM(P52),'Price List'!$O$5:$O$74,0)),0)</f>
        <v>6</v>
      </c>
      <c r="U52" s="140">
        <f>IFERROR(INDEX('Price List'!$H$5:$H$74,MATCH(TRIM(J52)&amp;"|"&amp;TRIM(P52),'Price List'!$O$5:$O$74,0)),0)</f>
        <v>0.2</v>
      </c>
      <c r="V52" s="141">
        <f t="shared" si="2"/>
        <v>7.1999999999999993</v>
      </c>
      <c r="W52" s="142">
        <f>IFERROR(INDEX('Price List'!$J$5:$J$74,MATCH(TRIM(J52)&amp;"|"&amp;TRIM(P52),'Price List'!$O$5:$O$74,0)),0)</f>
        <v>5</v>
      </c>
      <c r="X52" s="143">
        <f>IFERROR(INDEX('Price List'!$K$5:$K$74,MATCH(TRIM(J52)&amp;"|"&amp;TRIM(P52),'Price List'!$O$5:$O$74,0)),0)</f>
        <v>0.12</v>
      </c>
      <c r="Y52" s="141">
        <f t="shared" si="3"/>
        <v>5.6000000000000005</v>
      </c>
      <c r="Z52" s="141">
        <f t="shared" si="4"/>
        <v>245.76000000000005</v>
      </c>
      <c r="AA52" s="134"/>
    </row>
    <row r="53" spans="1:27" ht="15" customHeight="1" x14ac:dyDescent="0.35">
      <c r="A53" s="134"/>
      <c r="B53" s="134"/>
      <c r="C53" s="134" t="s">
        <v>444</v>
      </c>
      <c r="D53" s="136" t="str">
        <f t="shared" si="0"/>
        <v>B.04</v>
      </c>
      <c r="E53" s="135" t="s">
        <v>414</v>
      </c>
      <c r="F53" s="135" t="s">
        <v>664</v>
      </c>
      <c r="G53" s="134" t="s">
        <v>31</v>
      </c>
      <c r="H53" s="134" t="s">
        <v>568</v>
      </c>
      <c r="I53" s="134" t="s">
        <v>513</v>
      </c>
      <c r="J53" s="144" t="s">
        <v>102</v>
      </c>
      <c r="K53" s="134"/>
      <c r="L53" s="134"/>
      <c r="M53" s="134"/>
      <c r="N53" s="134"/>
      <c r="O53" s="134"/>
      <c r="P53" s="135" t="s">
        <v>103</v>
      </c>
      <c r="Q53" s="137">
        <f t="shared" si="5"/>
        <v>12843.426200000002</v>
      </c>
      <c r="R53" s="137">
        <f>0.617*(((22.3+1)*171)*2)+(((25.6+1)*149)*2)</f>
        <v>12843.426200000002</v>
      </c>
      <c r="S53" s="138"/>
      <c r="T53" s="139">
        <f>IFERROR(INDEX('Price List'!$G$5:$G$74,MATCH(TRIM(J53)&amp;"|"&amp;TRIM(P53),'Price List'!$O$5:$O$74,0)),0)</f>
        <v>0.12</v>
      </c>
      <c r="U53" s="140">
        <f>IFERROR(INDEX('Price List'!$H$5:$H$74,MATCH(TRIM(J53)&amp;"|"&amp;TRIM(P53),'Price List'!$O$5:$O$74,0)),0)</f>
        <v>0.2</v>
      </c>
      <c r="V53" s="141">
        <f t="shared" si="2"/>
        <v>0.14399999999999999</v>
      </c>
      <c r="W53" s="142">
        <f>IFERROR(INDEX('Price List'!$J$5:$J$74,MATCH(TRIM(J53)&amp;"|"&amp;TRIM(P53),'Price List'!$O$5:$O$74,0)),0)</f>
        <v>0.78</v>
      </c>
      <c r="X53" s="143">
        <f>IFERROR(INDEX('Price List'!$K$5:$K$74,MATCH(TRIM(J53)&amp;"|"&amp;TRIM(P53),'Price List'!$O$5:$O$74,0)),0)</f>
        <v>0.12</v>
      </c>
      <c r="Y53" s="141">
        <f t="shared" si="3"/>
        <v>0.87360000000000015</v>
      </c>
      <c r="Z53" s="141">
        <f t="shared" si="4"/>
        <v>13069.470501120002</v>
      </c>
      <c r="AA53" s="134"/>
    </row>
    <row r="54" spans="1:27" ht="15" customHeight="1" x14ac:dyDescent="0.35">
      <c r="A54" s="134"/>
      <c r="B54" s="134"/>
      <c r="C54" s="134" t="s">
        <v>444</v>
      </c>
      <c r="D54" s="136" t="str">
        <f t="shared" si="0"/>
        <v>B.04</v>
      </c>
      <c r="E54" s="135" t="s">
        <v>414</v>
      </c>
      <c r="F54" s="135" t="s">
        <v>664</v>
      </c>
      <c r="G54" s="134" t="s">
        <v>31</v>
      </c>
      <c r="H54" s="134" t="s">
        <v>568</v>
      </c>
      <c r="I54" s="134" t="s">
        <v>513</v>
      </c>
      <c r="J54" s="144" t="s">
        <v>131</v>
      </c>
      <c r="K54" s="134"/>
      <c r="L54" s="134"/>
      <c r="M54" s="134"/>
      <c r="N54" s="134"/>
      <c r="O54" s="134"/>
      <c r="P54" s="135" t="s">
        <v>103</v>
      </c>
      <c r="Q54" s="137">
        <f t="shared" si="5"/>
        <v>372.96</v>
      </c>
      <c r="R54" s="137">
        <f>0.888*((2.5*31*3)+(2.5*10*3)+(2.5*15*3))</f>
        <v>372.96</v>
      </c>
      <c r="S54" s="138"/>
      <c r="T54" s="139">
        <f>IFERROR(INDEX('Price List'!$G$5:$G$74,MATCH(TRIM(J54)&amp;"|"&amp;TRIM(P54),'Price List'!$O$5:$O$74,0)),0)</f>
        <v>0.11</v>
      </c>
      <c r="U54" s="140">
        <f>IFERROR(INDEX('Price List'!$H$5:$H$74,MATCH(TRIM(J54)&amp;"|"&amp;TRIM(P54),'Price List'!$O$5:$O$74,0)),0)</f>
        <v>0.2</v>
      </c>
      <c r="V54" s="141">
        <f t="shared" si="2"/>
        <v>0.13200000000000001</v>
      </c>
      <c r="W54" s="142">
        <f>IFERROR(INDEX('Price List'!$J$5:$J$74,MATCH(TRIM(J54)&amp;"|"&amp;TRIM(P54),'Price List'!$O$5:$O$74,0)),0)</f>
        <v>0.76</v>
      </c>
      <c r="X54" s="143">
        <f>IFERROR(INDEX('Price List'!$K$5:$K$74,MATCH(TRIM(J54)&amp;"|"&amp;TRIM(P54),'Price List'!$O$5:$O$74,0)),0)</f>
        <v>0.12</v>
      </c>
      <c r="Y54" s="141">
        <f t="shared" si="3"/>
        <v>0.85120000000000007</v>
      </c>
      <c r="Z54" s="141">
        <f t="shared" si="4"/>
        <v>366.69427200000001</v>
      </c>
      <c r="AA54" s="134"/>
    </row>
    <row r="55" spans="1:27" ht="15" customHeight="1" x14ac:dyDescent="0.35">
      <c r="A55" s="134"/>
      <c r="B55" s="134"/>
      <c r="C55" s="134" t="s">
        <v>444</v>
      </c>
      <c r="D55" s="136" t="str">
        <f t="shared" si="0"/>
        <v>B.04</v>
      </c>
      <c r="E55" s="135" t="s">
        <v>414</v>
      </c>
      <c r="F55" s="135" t="s">
        <v>664</v>
      </c>
      <c r="G55" s="134" t="s">
        <v>31</v>
      </c>
      <c r="H55" s="134" t="s">
        <v>568</v>
      </c>
      <c r="I55" s="134" t="s">
        <v>657</v>
      </c>
      <c r="J55" s="134" t="s">
        <v>107</v>
      </c>
      <c r="K55" s="134"/>
      <c r="L55" s="134"/>
      <c r="M55" s="134"/>
      <c r="N55" s="134"/>
      <c r="O55" s="134"/>
      <c r="P55" s="135" t="s">
        <v>103</v>
      </c>
      <c r="Q55" s="137">
        <f t="shared" si="5"/>
        <v>528.65544800000009</v>
      </c>
      <c r="R55" s="137">
        <f>(R53+R54)*4%</f>
        <v>528.65544800000009</v>
      </c>
      <c r="S55" s="138"/>
      <c r="T55" s="139">
        <f>IFERROR(INDEX('Price List'!$G$5:$G$74,MATCH(TRIM(J55)&amp;"|"&amp;TRIM(P55),'Price List'!$O$5:$O$74,0)),0)</f>
        <v>0.05</v>
      </c>
      <c r="U55" s="140">
        <f>IFERROR(INDEX('Price List'!$H$5:$H$74,MATCH(TRIM(J55)&amp;"|"&amp;TRIM(P55),'Price List'!$O$5:$O$74,0)),0)</f>
        <v>0.2</v>
      </c>
      <c r="V55" s="141">
        <f t="shared" si="2"/>
        <v>0.06</v>
      </c>
      <c r="W55" s="142">
        <f>IFERROR(INDEX('Price List'!$J$5:$J$74,MATCH(TRIM(J55)&amp;"|"&amp;TRIM(P55),'Price List'!$O$5:$O$74,0)),0)</f>
        <v>1.2</v>
      </c>
      <c r="X55" s="143">
        <f>IFERROR(INDEX('Price List'!$K$5:$K$74,MATCH(TRIM(J55)&amp;"|"&amp;TRIM(P55),'Price List'!$O$5:$O$74,0)),0)</f>
        <v>0.12</v>
      </c>
      <c r="Y55" s="141">
        <f t="shared" si="3"/>
        <v>1.3440000000000001</v>
      </c>
      <c r="Z55" s="141">
        <f t="shared" si="4"/>
        <v>742.23224899200022</v>
      </c>
      <c r="AA55" s="134"/>
    </row>
    <row r="56" spans="1:27" ht="15" customHeight="1" x14ac:dyDescent="0.35">
      <c r="A56" s="134"/>
      <c r="B56" s="134"/>
      <c r="C56" s="134" t="s">
        <v>444</v>
      </c>
      <c r="D56" s="136" t="str">
        <f t="shared" si="0"/>
        <v>B.04</v>
      </c>
      <c r="E56" s="135" t="s">
        <v>414</v>
      </c>
      <c r="F56" s="135" t="s">
        <v>664</v>
      </c>
      <c r="G56" s="134" t="s">
        <v>31</v>
      </c>
      <c r="H56" s="134" t="s">
        <v>568</v>
      </c>
      <c r="I56" s="134" t="s">
        <v>550</v>
      </c>
      <c r="J56" s="144" t="s">
        <v>143</v>
      </c>
      <c r="K56" s="134"/>
      <c r="L56" s="134"/>
      <c r="M56" s="134"/>
      <c r="N56" s="134"/>
      <c r="O56" s="134"/>
      <c r="P56" s="135" t="s">
        <v>100</v>
      </c>
      <c r="Q56" s="137">
        <f t="shared" si="5"/>
        <v>27.6</v>
      </c>
      <c r="R56" s="137">
        <f>552*0.05</f>
        <v>27.6</v>
      </c>
      <c r="S56" s="138"/>
      <c r="T56" s="139">
        <f>IFERROR(INDEX('Price List'!$G$5:$G$74,MATCH(TRIM(J56)&amp;"|"&amp;TRIM(P56),'Price List'!$O$5:$O$74,0)),0)</f>
        <v>7</v>
      </c>
      <c r="U56" s="140">
        <f>IFERROR(INDEX('Price List'!$H$5:$H$74,MATCH(TRIM(J56)&amp;"|"&amp;TRIM(P56),'Price List'!$O$5:$O$74,0)),0)</f>
        <v>0.2</v>
      </c>
      <c r="V56" s="141">
        <f t="shared" si="2"/>
        <v>8.4</v>
      </c>
      <c r="W56" s="142">
        <f>IFERROR(INDEX('Price List'!$J$5:$J$74,MATCH(TRIM(J56)&amp;"|"&amp;TRIM(P56),'Price List'!$O$5:$O$74,0)),0)</f>
        <v>75</v>
      </c>
      <c r="X56" s="143">
        <f>IFERROR(INDEX('Price List'!$K$5:$K$74,MATCH(TRIM(J56)&amp;"|"&amp;TRIM(P56),'Price List'!$O$5:$O$74,0)),0)</f>
        <v>0.12</v>
      </c>
      <c r="Y56" s="141">
        <f t="shared" si="3"/>
        <v>84.000000000000014</v>
      </c>
      <c r="Z56" s="141">
        <f t="shared" si="4"/>
        <v>2550.2400000000007</v>
      </c>
      <c r="AA56" s="134"/>
    </row>
    <row r="57" spans="1:27" ht="15" customHeight="1" x14ac:dyDescent="0.35">
      <c r="A57" s="134"/>
      <c r="B57" s="134"/>
      <c r="C57" s="134" t="s">
        <v>444</v>
      </c>
      <c r="D57" s="136" t="str">
        <f t="shared" si="0"/>
        <v>B.04</v>
      </c>
      <c r="E57" s="135" t="s">
        <v>414</v>
      </c>
      <c r="F57" s="135" t="s">
        <v>664</v>
      </c>
      <c r="G57" s="134" t="s">
        <v>31</v>
      </c>
      <c r="H57" s="134" t="s">
        <v>568</v>
      </c>
      <c r="I57" s="134" t="s">
        <v>548</v>
      </c>
      <c r="J57" s="144" t="s">
        <v>177</v>
      </c>
      <c r="K57" s="134"/>
      <c r="L57" s="134"/>
      <c r="M57" s="134"/>
      <c r="N57" s="134"/>
      <c r="O57" s="134"/>
      <c r="P57" s="135" t="s">
        <v>100</v>
      </c>
      <c r="Q57" s="137">
        <f t="shared" si="5"/>
        <v>55.2</v>
      </c>
      <c r="R57" s="137">
        <f>552*0.1</f>
        <v>55.2</v>
      </c>
      <c r="S57" s="138"/>
      <c r="T57" s="139">
        <f>IFERROR(INDEX('Price List'!$G$5:$G$74,MATCH(TRIM(J57)&amp;"|"&amp;TRIM(P57),'Price List'!$O$5:$O$74,0)),0)</f>
        <v>3</v>
      </c>
      <c r="U57" s="140">
        <f>IFERROR(INDEX('Price List'!$H$5:$H$74,MATCH(TRIM(J57)&amp;"|"&amp;TRIM(P57),'Price List'!$O$5:$O$74,0)),0)</f>
        <v>0.2</v>
      </c>
      <c r="V57" s="141">
        <f t="shared" si="2"/>
        <v>3.5999999999999996</v>
      </c>
      <c r="W57" s="142">
        <f>IFERROR(INDEX('Price List'!$J$5:$J$74,MATCH(TRIM(J57)&amp;"|"&amp;TRIM(P57),'Price List'!$O$5:$O$74,0)),0)</f>
        <v>18</v>
      </c>
      <c r="X57" s="143">
        <f>IFERROR(INDEX('Price List'!$K$5:$K$74,MATCH(TRIM(J57)&amp;"|"&amp;TRIM(P57),'Price List'!$O$5:$O$74,0)),0)</f>
        <v>0.12</v>
      </c>
      <c r="Y57" s="141">
        <f t="shared" si="3"/>
        <v>20.160000000000004</v>
      </c>
      <c r="Z57" s="141">
        <f t="shared" si="4"/>
        <v>1311.5520000000004</v>
      </c>
      <c r="AA57" s="134"/>
    </row>
    <row r="58" spans="1:27" ht="15" customHeight="1" x14ac:dyDescent="0.35">
      <c r="A58" s="134"/>
      <c r="B58" s="134"/>
      <c r="C58" s="134" t="s">
        <v>444</v>
      </c>
      <c r="D58" s="136" t="str">
        <f t="shared" si="0"/>
        <v>B.04</v>
      </c>
      <c r="E58" s="135" t="s">
        <v>414</v>
      </c>
      <c r="F58" s="135" t="s">
        <v>664</v>
      </c>
      <c r="G58" s="134" t="s">
        <v>31</v>
      </c>
      <c r="H58" s="134" t="s">
        <v>568</v>
      </c>
      <c r="I58" s="134" t="s">
        <v>452</v>
      </c>
      <c r="J58" s="144" t="s">
        <v>179</v>
      </c>
      <c r="K58" s="134"/>
      <c r="L58" s="134"/>
      <c r="M58" s="134"/>
      <c r="N58" s="134"/>
      <c r="O58" s="134"/>
      <c r="P58" s="135" t="s">
        <v>128</v>
      </c>
      <c r="Q58" s="137">
        <f t="shared" si="5"/>
        <v>552</v>
      </c>
      <c r="R58" s="137">
        <f>552</f>
        <v>552</v>
      </c>
      <c r="S58" s="138"/>
      <c r="T58" s="139">
        <f>IFERROR(INDEX('Price List'!$G$5:$G$74,MATCH(TRIM(J58)&amp;"|"&amp;TRIM(P58),'Price List'!$O$5:$O$74,0)),0)</f>
        <v>1</v>
      </c>
      <c r="U58" s="140">
        <f>IFERROR(INDEX('Price List'!$H$5:$H$74,MATCH(TRIM(J58)&amp;"|"&amp;TRIM(P58),'Price List'!$O$5:$O$74,0)),0)</f>
        <v>0.2</v>
      </c>
      <c r="V58" s="141">
        <f t="shared" si="2"/>
        <v>1.2</v>
      </c>
      <c r="W58" s="142">
        <f>IFERROR(INDEX('Price List'!$J$5:$J$74,MATCH(TRIM(J58)&amp;"|"&amp;TRIM(P58),'Price List'!$O$5:$O$74,0)),0)</f>
        <v>2.5</v>
      </c>
      <c r="X58" s="143">
        <f>IFERROR(INDEX('Price List'!$K$5:$K$74,MATCH(TRIM(J58)&amp;"|"&amp;TRIM(P58),'Price List'!$O$5:$O$74,0)),0)</f>
        <v>0.12</v>
      </c>
      <c r="Y58" s="141">
        <f t="shared" si="3"/>
        <v>2.8000000000000003</v>
      </c>
      <c r="Z58" s="141">
        <f t="shared" si="4"/>
        <v>2208</v>
      </c>
      <c r="AA58" s="134"/>
    </row>
    <row r="59" spans="1:27" ht="15" customHeight="1" x14ac:dyDescent="0.35">
      <c r="A59" s="134"/>
      <c r="B59" s="134"/>
      <c r="C59" s="134" t="s">
        <v>444</v>
      </c>
      <c r="D59" s="136" t="str">
        <f t="shared" si="0"/>
        <v>B.04</v>
      </c>
      <c r="E59" s="135" t="s">
        <v>414</v>
      </c>
      <c r="F59" s="135" t="s">
        <v>664</v>
      </c>
      <c r="G59" s="134" t="s">
        <v>31</v>
      </c>
      <c r="H59" s="134" t="s">
        <v>573</v>
      </c>
      <c r="I59" s="134" t="s">
        <v>512</v>
      </c>
      <c r="J59" s="144" t="s">
        <v>125</v>
      </c>
      <c r="K59" s="134"/>
      <c r="L59" s="134"/>
      <c r="M59" s="134"/>
      <c r="N59" s="134"/>
      <c r="O59" s="134"/>
      <c r="P59" s="135" t="s">
        <v>100</v>
      </c>
      <c r="Q59" s="137">
        <f t="shared" si="5"/>
        <v>45.863999999999997</v>
      </c>
      <c r="R59" s="137">
        <v>45.863999999999997</v>
      </c>
      <c r="S59" s="138"/>
      <c r="T59" s="139">
        <f>IFERROR(INDEX('Price List'!$G$5:$G$74,MATCH(TRIM(J59)&amp;"|"&amp;TRIM(P59),'Price List'!$O$5:$O$74,0)),0)</f>
        <v>10</v>
      </c>
      <c r="U59" s="140">
        <f>IFERROR(INDEX('Price List'!$H$5:$H$74,MATCH(TRIM(J59)&amp;"|"&amp;TRIM(P59),'Price List'!$O$5:$O$74,0)),0)</f>
        <v>0.2</v>
      </c>
      <c r="V59" s="141">
        <f t="shared" si="2"/>
        <v>12</v>
      </c>
      <c r="W59" s="142">
        <f>IFERROR(INDEX('Price List'!$J$5:$J$74,MATCH(TRIM(J59)&amp;"|"&amp;TRIM(P59),'Price List'!$O$5:$O$74,0)),0)</f>
        <v>98</v>
      </c>
      <c r="X59" s="143">
        <f>IFERROR(INDEX('Price List'!$K$5:$K$74,MATCH(TRIM(J59)&amp;"|"&amp;TRIM(P59),'Price List'!$O$5:$O$74,0)),0)</f>
        <v>0.12</v>
      </c>
      <c r="Y59" s="141">
        <f t="shared" si="3"/>
        <v>109.76</v>
      </c>
      <c r="Z59" s="141">
        <f t="shared" si="4"/>
        <v>5584.4006399999998</v>
      </c>
      <c r="AA59" s="134"/>
    </row>
    <row r="60" spans="1:27" ht="15" customHeight="1" x14ac:dyDescent="0.35">
      <c r="A60" s="134"/>
      <c r="B60" s="134"/>
      <c r="C60" s="134" t="s">
        <v>444</v>
      </c>
      <c r="D60" s="136" t="str">
        <f t="shared" si="0"/>
        <v>B.04</v>
      </c>
      <c r="E60" s="135" t="s">
        <v>414</v>
      </c>
      <c r="F60" s="135" t="s">
        <v>664</v>
      </c>
      <c r="G60" s="134" t="s">
        <v>31</v>
      </c>
      <c r="H60" s="134" t="s">
        <v>573</v>
      </c>
      <c r="I60" s="144" t="s">
        <v>127</v>
      </c>
      <c r="J60" s="144" t="s">
        <v>127</v>
      </c>
      <c r="K60" s="144"/>
      <c r="L60" s="134"/>
      <c r="M60" s="134"/>
      <c r="N60" s="134"/>
      <c r="O60" s="134"/>
      <c r="P60" s="135" t="s">
        <v>128</v>
      </c>
      <c r="Q60" s="137">
        <f t="shared" si="5"/>
        <v>221.76</v>
      </c>
      <c r="R60" s="137">
        <v>221.76</v>
      </c>
      <c r="S60" s="138"/>
      <c r="T60" s="139">
        <f>IFERROR(INDEX('Price List'!$G$5:$G$74,MATCH(TRIM(J60)&amp;"|"&amp;TRIM(P60),'Price List'!$O$5:$O$74,0)),0)</f>
        <v>6</v>
      </c>
      <c r="U60" s="140">
        <f>IFERROR(INDEX('Price List'!$H$5:$H$74,MATCH(TRIM(J60)&amp;"|"&amp;TRIM(P60),'Price List'!$O$5:$O$74,0)),0)</f>
        <v>0.2</v>
      </c>
      <c r="V60" s="141">
        <f t="shared" si="2"/>
        <v>7.1999999999999993</v>
      </c>
      <c r="W60" s="142">
        <f>IFERROR(INDEX('Price List'!$J$5:$J$74,MATCH(TRIM(J60)&amp;"|"&amp;TRIM(P60),'Price List'!$O$5:$O$74,0)),0)</f>
        <v>5</v>
      </c>
      <c r="X60" s="143">
        <f>IFERROR(INDEX('Price List'!$K$5:$K$74,MATCH(TRIM(J60)&amp;"|"&amp;TRIM(P60),'Price List'!$O$5:$O$74,0)),0)</f>
        <v>0.12</v>
      </c>
      <c r="Y60" s="141">
        <f t="shared" si="3"/>
        <v>5.6000000000000005</v>
      </c>
      <c r="Z60" s="141">
        <f t="shared" si="4"/>
        <v>2838.5280000000002</v>
      </c>
      <c r="AA60" s="134"/>
    </row>
    <row r="61" spans="1:27" ht="15" customHeight="1" x14ac:dyDescent="0.35">
      <c r="A61" s="134"/>
      <c r="B61" s="134"/>
      <c r="C61" s="134" t="s">
        <v>444</v>
      </c>
      <c r="D61" s="136" t="str">
        <f t="shared" si="0"/>
        <v>B.04</v>
      </c>
      <c r="E61" s="135" t="s">
        <v>414</v>
      </c>
      <c r="F61" s="135" t="s">
        <v>664</v>
      </c>
      <c r="G61" s="134" t="s">
        <v>31</v>
      </c>
      <c r="H61" s="134" t="s">
        <v>573</v>
      </c>
      <c r="I61" s="134" t="s">
        <v>513</v>
      </c>
      <c r="J61" s="144" t="s">
        <v>131</v>
      </c>
      <c r="K61" s="134"/>
      <c r="L61" s="134"/>
      <c r="M61" s="134"/>
      <c r="N61" s="134"/>
      <c r="O61" s="134"/>
      <c r="P61" s="135" t="s">
        <v>103</v>
      </c>
      <c r="Q61" s="137">
        <f t="shared" si="5"/>
        <v>3061.2556800000002</v>
      </c>
      <c r="R61" s="137">
        <v>3061.2556800000002</v>
      </c>
      <c r="S61" s="138"/>
      <c r="T61" s="139">
        <f>IFERROR(INDEX('Price List'!$G$5:$G$74,MATCH(TRIM(J61)&amp;"|"&amp;TRIM(P61),'Price List'!$O$5:$O$74,0)),0)</f>
        <v>0.11</v>
      </c>
      <c r="U61" s="140">
        <f>IFERROR(INDEX('Price List'!$H$5:$H$74,MATCH(TRIM(J61)&amp;"|"&amp;TRIM(P61),'Price List'!$O$5:$O$74,0)),0)</f>
        <v>0.2</v>
      </c>
      <c r="V61" s="141">
        <f t="shared" si="2"/>
        <v>0.13200000000000001</v>
      </c>
      <c r="W61" s="142">
        <f>IFERROR(INDEX('Price List'!$J$5:$J$74,MATCH(TRIM(J61)&amp;"|"&amp;TRIM(P61),'Price List'!$O$5:$O$74,0)),0)</f>
        <v>0.76</v>
      </c>
      <c r="X61" s="143">
        <f>IFERROR(INDEX('Price List'!$K$5:$K$74,MATCH(TRIM(J61)&amp;"|"&amp;TRIM(P61),'Price List'!$O$5:$O$74,0)),0)</f>
        <v>0.12</v>
      </c>
      <c r="Y61" s="141">
        <f t="shared" si="3"/>
        <v>0.85120000000000007</v>
      </c>
      <c r="Z61" s="141">
        <f t="shared" si="4"/>
        <v>3009.8265845760006</v>
      </c>
      <c r="AA61" s="134"/>
    </row>
    <row r="62" spans="1:27" ht="15" customHeight="1" x14ac:dyDescent="0.35">
      <c r="A62" s="134"/>
      <c r="B62" s="134"/>
      <c r="C62" s="134" t="s">
        <v>444</v>
      </c>
      <c r="D62" s="136" t="str">
        <f t="shared" si="0"/>
        <v>B.04</v>
      </c>
      <c r="E62" s="135" t="s">
        <v>414</v>
      </c>
      <c r="F62" s="135" t="s">
        <v>664</v>
      </c>
      <c r="G62" s="134" t="s">
        <v>31</v>
      </c>
      <c r="H62" s="134" t="s">
        <v>573</v>
      </c>
      <c r="I62" s="134" t="s">
        <v>513</v>
      </c>
      <c r="J62" s="144" t="s">
        <v>105</v>
      </c>
      <c r="K62" s="134"/>
      <c r="L62" s="134"/>
      <c r="M62" s="134"/>
      <c r="N62" s="134"/>
      <c r="O62" s="134"/>
      <c r="P62" s="135" t="s">
        <v>103</v>
      </c>
      <c r="Q62" s="137">
        <f t="shared" si="5"/>
        <v>1921.92</v>
      </c>
      <c r="R62" s="137">
        <v>1921.92</v>
      </c>
      <c r="S62" s="138"/>
      <c r="T62" s="139">
        <f>IFERROR(INDEX('Price List'!$G$5:$G$74,MATCH(TRIM(J62)&amp;"|"&amp;TRIM(P62),'Price List'!$O$5:$O$74,0)),0)</f>
        <v>0.08</v>
      </c>
      <c r="U62" s="140">
        <f>IFERROR(INDEX('Price List'!$H$5:$H$74,MATCH(TRIM(J62)&amp;"|"&amp;TRIM(P62),'Price List'!$O$5:$O$74,0)),0)</f>
        <v>0.2</v>
      </c>
      <c r="V62" s="141">
        <f t="shared" si="2"/>
        <v>9.6000000000000002E-2</v>
      </c>
      <c r="W62" s="142">
        <f>IFERROR(INDEX('Price List'!$J$5:$J$74,MATCH(TRIM(J62)&amp;"|"&amp;TRIM(P62),'Price List'!$O$5:$O$74,0)),0)</f>
        <v>0.72</v>
      </c>
      <c r="X62" s="143">
        <f>IFERROR(INDEX('Price List'!$K$5:$K$74,MATCH(TRIM(J62)&amp;"|"&amp;TRIM(P62),'Price List'!$O$5:$O$74,0)),0)</f>
        <v>0.12</v>
      </c>
      <c r="Y62" s="141">
        <f t="shared" si="3"/>
        <v>0.80640000000000001</v>
      </c>
      <c r="Z62" s="141">
        <f t="shared" si="4"/>
        <v>1734.340608</v>
      </c>
      <c r="AA62" s="134"/>
    </row>
    <row r="63" spans="1:27" ht="15" customHeight="1" x14ac:dyDescent="0.35">
      <c r="A63" s="134"/>
      <c r="B63" s="134"/>
      <c r="C63" s="134" t="s">
        <v>444</v>
      </c>
      <c r="D63" s="136" t="str">
        <f t="shared" si="0"/>
        <v>B.04</v>
      </c>
      <c r="E63" s="135" t="s">
        <v>414</v>
      </c>
      <c r="F63" s="135" t="s">
        <v>664</v>
      </c>
      <c r="G63" s="134" t="s">
        <v>31</v>
      </c>
      <c r="H63" s="134" t="s">
        <v>573</v>
      </c>
      <c r="I63" s="134" t="s">
        <v>513</v>
      </c>
      <c r="J63" s="144" t="s">
        <v>138</v>
      </c>
      <c r="K63" s="134"/>
      <c r="L63" s="134"/>
      <c r="M63" s="134"/>
      <c r="N63" s="134"/>
      <c r="O63" s="134"/>
      <c r="P63" s="135" t="s">
        <v>103</v>
      </c>
      <c r="Q63" s="137">
        <f t="shared" si="5"/>
        <v>10516.48</v>
      </c>
      <c r="R63" s="137">
        <v>10516.48</v>
      </c>
      <c r="S63" s="138"/>
      <c r="T63" s="139">
        <f>IFERROR(INDEX('Price List'!$G$5:$G$74,MATCH(TRIM(J63)&amp;"|"&amp;TRIM(P63),'Price List'!$O$5:$O$74,0)),0)</f>
        <v>0.08</v>
      </c>
      <c r="U63" s="140">
        <f>IFERROR(INDEX('Price List'!$H$5:$H$74,MATCH(TRIM(J63)&amp;"|"&amp;TRIM(P63),'Price List'!$O$5:$O$74,0)),0)</f>
        <v>0.2</v>
      </c>
      <c r="V63" s="141">
        <f t="shared" si="2"/>
        <v>9.6000000000000002E-2</v>
      </c>
      <c r="W63" s="142">
        <f>IFERROR(INDEX('Price List'!$J$5:$J$74,MATCH(TRIM(J63)&amp;"|"&amp;TRIM(P63),'Price List'!$O$5:$O$74,0)),0)</f>
        <v>0.71</v>
      </c>
      <c r="X63" s="143">
        <f>IFERROR(INDEX('Price List'!$K$5:$K$74,MATCH(TRIM(J63)&amp;"|"&amp;TRIM(P63),'Price List'!$O$5:$O$74,0)),0)</f>
        <v>0.12</v>
      </c>
      <c r="Y63" s="141">
        <f t="shared" si="3"/>
        <v>0.79520000000000002</v>
      </c>
      <c r="Z63" s="141">
        <f t="shared" si="4"/>
        <v>9372.2869759999994</v>
      </c>
      <c r="AA63" s="134"/>
    </row>
    <row r="64" spans="1:27" ht="15" customHeight="1" x14ac:dyDescent="0.35">
      <c r="A64" s="134"/>
      <c r="B64" s="134"/>
      <c r="C64" s="134" t="s">
        <v>444</v>
      </c>
      <c r="D64" s="136" t="str">
        <f t="shared" si="0"/>
        <v>B.04</v>
      </c>
      <c r="E64" s="135" t="s">
        <v>414</v>
      </c>
      <c r="F64" s="135" t="s">
        <v>664</v>
      </c>
      <c r="G64" s="134" t="s">
        <v>31</v>
      </c>
      <c r="H64" s="134" t="s">
        <v>573</v>
      </c>
      <c r="I64" s="134" t="s">
        <v>657</v>
      </c>
      <c r="J64" s="134" t="s">
        <v>107</v>
      </c>
      <c r="K64" s="134"/>
      <c r="L64" s="134"/>
      <c r="M64" s="134"/>
      <c r="N64" s="134"/>
      <c r="O64" s="134"/>
      <c r="P64" s="135" t="s">
        <v>103</v>
      </c>
      <c r="Q64" s="137">
        <f t="shared" si="5"/>
        <v>619.98622720000003</v>
      </c>
      <c r="R64" s="137">
        <f>(R62+R63+R61)*4%</f>
        <v>619.98622720000003</v>
      </c>
      <c r="S64" s="138"/>
      <c r="T64" s="139">
        <f>IFERROR(INDEX('Price List'!$G$5:$G$74,MATCH(TRIM(J64)&amp;"|"&amp;TRIM(P64),'Price List'!$O$5:$O$74,0)),0)</f>
        <v>0.05</v>
      </c>
      <c r="U64" s="140">
        <f>IFERROR(INDEX('Price List'!$H$5:$H$74,MATCH(TRIM(J64)&amp;"|"&amp;TRIM(P64),'Price List'!$O$5:$O$74,0)),0)</f>
        <v>0.2</v>
      </c>
      <c r="V64" s="141">
        <f t="shared" si="2"/>
        <v>0.06</v>
      </c>
      <c r="W64" s="142">
        <f>IFERROR(INDEX('Price List'!$J$5:$J$74,MATCH(TRIM(J64)&amp;"|"&amp;TRIM(P64),'Price List'!$O$5:$O$74,0)),0)</f>
        <v>1.2</v>
      </c>
      <c r="X64" s="143">
        <f>IFERROR(INDEX('Price List'!$K$5:$K$74,MATCH(TRIM(J64)&amp;"|"&amp;TRIM(P64),'Price List'!$O$5:$O$74,0)),0)</f>
        <v>0.12</v>
      </c>
      <c r="Y64" s="141">
        <f t="shared" si="3"/>
        <v>1.3440000000000001</v>
      </c>
      <c r="Z64" s="141">
        <f t="shared" si="4"/>
        <v>870.4606629888001</v>
      </c>
      <c r="AA64" s="134"/>
    </row>
    <row r="65" spans="1:29" ht="15" customHeight="1" x14ac:dyDescent="0.35">
      <c r="A65" s="134"/>
      <c r="B65" s="134"/>
      <c r="C65" s="134" t="s">
        <v>444</v>
      </c>
      <c r="D65" s="136" t="str">
        <f t="shared" si="0"/>
        <v>B.04</v>
      </c>
      <c r="E65" s="135" t="s">
        <v>414</v>
      </c>
      <c r="F65" s="135" t="s">
        <v>664</v>
      </c>
      <c r="G65" s="134" t="s">
        <v>31</v>
      </c>
      <c r="H65" s="134" t="s">
        <v>665</v>
      </c>
      <c r="I65" s="134" t="s">
        <v>512</v>
      </c>
      <c r="J65" s="144" t="s">
        <v>125</v>
      </c>
      <c r="K65" s="134"/>
      <c r="L65" s="134"/>
      <c r="M65" s="134"/>
      <c r="N65" s="134"/>
      <c r="O65" s="134"/>
      <c r="P65" s="135" t="s">
        <v>100</v>
      </c>
      <c r="Q65" s="137">
        <f t="shared" si="5"/>
        <v>23.430000000000003</v>
      </c>
      <c r="R65" s="137">
        <f>(5.2*4.2)+(1.325*2*0.3*2)</f>
        <v>23.430000000000003</v>
      </c>
      <c r="S65" s="138"/>
      <c r="T65" s="139">
        <f>IFERROR(INDEX('Price List'!$G$5:$G$74,MATCH(TRIM(J65)&amp;"|"&amp;TRIM(P65),'Price List'!$O$5:$O$74,0)),0)</f>
        <v>10</v>
      </c>
      <c r="U65" s="140">
        <f>IFERROR(INDEX('Price List'!$H$5:$H$74,MATCH(TRIM(J65)&amp;"|"&amp;TRIM(P65),'Price List'!$O$5:$O$74,0)),0)</f>
        <v>0.2</v>
      </c>
      <c r="V65" s="141">
        <f t="shared" si="2"/>
        <v>12</v>
      </c>
      <c r="W65" s="142">
        <f>IFERROR(INDEX('Price List'!$J$5:$J$74,MATCH(TRIM(J65)&amp;"|"&amp;TRIM(P65),'Price List'!$O$5:$O$74,0)),0)</f>
        <v>98</v>
      </c>
      <c r="X65" s="143">
        <f>IFERROR(INDEX('Price List'!$K$5:$K$74,MATCH(TRIM(J65)&amp;"|"&amp;TRIM(P65),'Price List'!$O$5:$O$74,0)),0)</f>
        <v>0.12</v>
      </c>
      <c r="Y65" s="141">
        <f t="shared" si="3"/>
        <v>109.76</v>
      </c>
      <c r="Z65" s="141">
        <f t="shared" si="4"/>
        <v>2852.8368000000005</v>
      </c>
      <c r="AA65" s="134"/>
    </row>
    <row r="66" spans="1:29" ht="15" customHeight="1" x14ac:dyDescent="0.35">
      <c r="A66" s="134"/>
      <c r="B66" s="134"/>
      <c r="C66" s="134" t="s">
        <v>444</v>
      </c>
      <c r="D66" s="136" t="str">
        <f t="shared" ref="D66:D129" si="6">IFERROR(IF(TRIM($G66)="Sub Structure",IF(TRIM($H66)="Bored Pile","B.01","B.03"),IF(TRIM($G66)="Super Structure","B.04",IF(OR(TRIM($G66)="Exterior Wall and Partition",TRIM($G66)="External Wall and Partition"),"C.01",IF(TRIM($G66)="Exterior Wall Finishes","C.02",IF(TRIM($G66)="Interior Wall and Partition","C.09",IF(TRIM($G66)="Interior Door","C.10",IF(TRIM($G66)="External Windows and Louvers","C.04",IF(OR(TRIM($G66)="Interior Floor Finishes",TRIM($G66)="Internal Floor Finishes"),"D.02",IF(OR(TRIM($G66)="Interior Wall Finishes",TRIM($G66)="Internal Wall Finishes"),"D.01",IF(OR(TRIM($G66)="Ceiling Finshes",TRIM($G66)="Ceiling Finishes"),"D.03",IF(TRIM($G66)="Fittings, furnishings and equipment","E.04","")))))))))))," ")</f>
        <v>B.04</v>
      </c>
      <c r="E66" s="135" t="s">
        <v>414</v>
      </c>
      <c r="F66" s="135" t="s">
        <v>664</v>
      </c>
      <c r="G66" s="134" t="s">
        <v>31</v>
      </c>
      <c r="H66" s="134" t="s">
        <v>665</v>
      </c>
      <c r="I66" s="144" t="s">
        <v>127</v>
      </c>
      <c r="J66" s="144" t="s">
        <v>127</v>
      </c>
      <c r="K66" s="144"/>
      <c r="L66" s="134"/>
      <c r="M66" s="134"/>
      <c r="N66" s="134"/>
      <c r="O66" s="134"/>
      <c r="P66" s="135" t="s">
        <v>128</v>
      </c>
      <c r="Q66" s="137">
        <f t="shared" si="5"/>
        <v>139.70000000000002</v>
      </c>
      <c r="R66" s="137">
        <f>(32*4.2)+(1.325*2*2)</f>
        <v>139.70000000000002</v>
      </c>
      <c r="S66" s="138"/>
      <c r="T66" s="139">
        <f>IFERROR(INDEX('Price List'!$G$5:$G$74,MATCH(TRIM(J66)&amp;"|"&amp;TRIM(P66),'Price List'!$O$5:$O$74,0)),0)</f>
        <v>6</v>
      </c>
      <c r="U66" s="140">
        <f>IFERROR(INDEX('Price List'!$H$5:$H$74,MATCH(TRIM(J66)&amp;"|"&amp;TRIM(P66),'Price List'!$O$5:$O$74,0)),0)</f>
        <v>0.2</v>
      </c>
      <c r="V66" s="141">
        <f t="shared" ref="V66:V129" si="7">T66*(1+U66)</f>
        <v>7.1999999999999993</v>
      </c>
      <c r="W66" s="142">
        <f>IFERROR(INDEX('Price List'!$J$5:$J$74,MATCH(TRIM(J66)&amp;"|"&amp;TRIM(P66),'Price List'!$O$5:$O$74,0)),0)</f>
        <v>5</v>
      </c>
      <c r="X66" s="143">
        <f>IFERROR(INDEX('Price List'!$K$5:$K$74,MATCH(TRIM(J66)&amp;"|"&amp;TRIM(P66),'Price List'!$O$5:$O$74,0)),0)</f>
        <v>0.12</v>
      </c>
      <c r="Y66" s="141">
        <f t="shared" ref="Y66:Y129" si="8">W66*(1+X66)</f>
        <v>5.6000000000000005</v>
      </c>
      <c r="Z66" s="141">
        <f t="shared" ref="Z66:Z129" si="9">Q66*(V66+Y66)</f>
        <v>1788.1600000000003</v>
      </c>
      <c r="AA66" s="134"/>
    </row>
    <row r="67" spans="1:29" ht="15" customHeight="1" x14ac:dyDescent="0.35">
      <c r="A67" s="134"/>
      <c r="B67" s="134"/>
      <c r="C67" s="134" t="s">
        <v>444</v>
      </c>
      <c r="D67" s="136" t="str">
        <f t="shared" si="6"/>
        <v>B.04</v>
      </c>
      <c r="E67" s="135" t="s">
        <v>414</v>
      </c>
      <c r="F67" s="135" t="s">
        <v>664</v>
      </c>
      <c r="G67" s="134" t="s">
        <v>31</v>
      </c>
      <c r="H67" s="134" t="s">
        <v>665</v>
      </c>
      <c r="I67" s="134" t="s">
        <v>513</v>
      </c>
      <c r="J67" s="144" t="s">
        <v>102</v>
      </c>
      <c r="K67" s="134"/>
      <c r="L67" s="134"/>
      <c r="M67" s="134"/>
      <c r="N67" s="134"/>
      <c r="O67" s="134"/>
      <c r="P67" s="135" t="s">
        <v>103</v>
      </c>
      <c r="Q67" s="137">
        <f t="shared" si="5"/>
        <v>241.864</v>
      </c>
      <c r="R67" s="137">
        <v>241.864</v>
      </c>
      <c r="S67" s="138"/>
      <c r="T67" s="139">
        <f>IFERROR(INDEX('Price List'!$G$5:$G$74,MATCH(TRIM(J67)&amp;"|"&amp;TRIM(P67),'Price List'!$O$5:$O$74,0)),0)</f>
        <v>0.12</v>
      </c>
      <c r="U67" s="140">
        <f>IFERROR(INDEX('Price List'!$H$5:$H$74,MATCH(TRIM(J67)&amp;"|"&amp;TRIM(P67),'Price List'!$O$5:$O$74,0)),0)</f>
        <v>0.2</v>
      </c>
      <c r="V67" s="141">
        <f t="shared" si="7"/>
        <v>0.14399999999999999</v>
      </c>
      <c r="W67" s="142">
        <f>IFERROR(INDEX('Price List'!$J$5:$J$74,MATCH(TRIM(J67)&amp;"|"&amp;TRIM(P67),'Price List'!$O$5:$O$74,0)),0)</f>
        <v>0.78</v>
      </c>
      <c r="X67" s="143">
        <f>IFERROR(INDEX('Price List'!$K$5:$K$74,MATCH(TRIM(J67)&amp;"|"&amp;TRIM(P67),'Price List'!$O$5:$O$74,0)),0)</f>
        <v>0.12</v>
      </c>
      <c r="Y67" s="141">
        <f t="shared" si="8"/>
        <v>0.87360000000000015</v>
      </c>
      <c r="Z67" s="141">
        <f t="shared" si="9"/>
        <v>246.12080640000002</v>
      </c>
      <c r="AA67" s="134"/>
    </row>
    <row r="68" spans="1:29" ht="15" customHeight="1" x14ac:dyDescent="0.35">
      <c r="A68" s="134"/>
      <c r="B68" s="134"/>
      <c r="C68" s="134" t="s">
        <v>444</v>
      </c>
      <c r="D68" s="136" t="str">
        <f t="shared" si="6"/>
        <v>B.04</v>
      </c>
      <c r="E68" s="135" t="s">
        <v>414</v>
      </c>
      <c r="F68" s="135" t="s">
        <v>664</v>
      </c>
      <c r="G68" s="134" t="s">
        <v>31</v>
      </c>
      <c r="H68" s="134" t="s">
        <v>665</v>
      </c>
      <c r="I68" s="134" t="s">
        <v>513</v>
      </c>
      <c r="J68" s="144" t="s">
        <v>131</v>
      </c>
      <c r="K68" s="134"/>
      <c r="L68" s="134"/>
      <c r="M68" s="134"/>
      <c r="N68" s="134"/>
      <c r="O68" s="134"/>
      <c r="P68" s="135" t="s">
        <v>103</v>
      </c>
      <c r="Q68" s="137">
        <f t="shared" si="5"/>
        <v>1071.6384</v>
      </c>
      <c r="R68" s="137">
        <v>1071.6384</v>
      </c>
      <c r="S68" s="138"/>
      <c r="T68" s="139">
        <f>IFERROR(INDEX('Price List'!$G$5:$G$74,MATCH(TRIM(J68)&amp;"|"&amp;TRIM(P68),'Price List'!$O$5:$O$74,0)),0)</f>
        <v>0.11</v>
      </c>
      <c r="U68" s="140">
        <f>IFERROR(INDEX('Price List'!$H$5:$H$74,MATCH(TRIM(J68)&amp;"|"&amp;TRIM(P68),'Price List'!$O$5:$O$74,0)),0)</f>
        <v>0.2</v>
      </c>
      <c r="V68" s="141">
        <f t="shared" si="7"/>
        <v>0.13200000000000001</v>
      </c>
      <c r="W68" s="142">
        <f>IFERROR(INDEX('Price List'!$J$5:$J$74,MATCH(TRIM(J68)&amp;"|"&amp;TRIM(P68),'Price List'!$O$5:$O$74,0)),0)</f>
        <v>0.76</v>
      </c>
      <c r="X68" s="143">
        <f>IFERROR(INDEX('Price List'!$K$5:$K$74,MATCH(TRIM(J68)&amp;"|"&amp;TRIM(P68),'Price List'!$O$5:$O$74,0)),0)</f>
        <v>0.12</v>
      </c>
      <c r="Y68" s="141">
        <f t="shared" si="8"/>
        <v>0.85120000000000007</v>
      </c>
      <c r="Z68" s="141">
        <f t="shared" si="9"/>
        <v>1053.6348748800001</v>
      </c>
      <c r="AA68" s="134"/>
    </row>
    <row r="69" spans="1:29" ht="15" customHeight="1" x14ac:dyDescent="0.35">
      <c r="A69" s="134"/>
      <c r="B69" s="134"/>
      <c r="C69" s="134" t="s">
        <v>444</v>
      </c>
      <c r="D69" s="136" t="str">
        <f t="shared" si="6"/>
        <v>B.04</v>
      </c>
      <c r="E69" s="135" t="s">
        <v>414</v>
      </c>
      <c r="F69" s="135" t="s">
        <v>664</v>
      </c>
      <c r="G69" s="134" t="s">
        <v>31</v>
      </c>
      <c r="H69" s="134" t="s">
        <v>665</v>
      </c>
      <c r="I69" s="134" t="s">
        <v>513</v>
      </c>
      <c r="J69" s="144" t="s">
        <v>133</v>
      </c>
      <c r="K69" s="134"/>
      <c r="L69" s="134"/>
      <c r="M69" s="134"/>
      <c r="N69" s="134"/>
      <c r="O69" s="134"/>
      <c r="P69" s="135" t="s">
        <v>103</v>
      </c>
      <c r="Q69" s="137">
        <f t="shared" si="5"/>
        <v>1659.6320000000001</v>
      </c>
      <c r="R69" s="137">
        <v>1659.6320000000001</v>
      </c>
      <c r="S69" s="138"/>
      <c r="T69" s="139">
        <f>IFERROR(INDEX('Price List'!$G$5:$G$74,MATCH(TRIM(J69)&amp;"|"&amp;TRIM(P69),'Price List'!$O$5:$O$74,0)),0)</f>
        <v>0.1</v>
      </c>
      <c r="U69" s="140">
        <f>IFERROR(INDEX('Price List'!$H$5:$H$74,MATCH(TRIM(J69)&amp;"|"&amp;TRIM(P69),'Price List'!$O$5:$O$74,0)),0)</f>
        <v>0.2</v>
      </c>
      <c r="V69" s="141">
        <f t="shared" si="7"/>
        <v>0.12</v>
      </c>
      <c r="W69" s="142">
        <f>IFERROR(INDEX('Price List'!$J$5:$J$74,MATCH(TRIM(J69)&amp;"|"&amp;TRIM(P69),'Price List'!$O$5:$O$74,0)),0)</f>
        <v>0.74</v>
      </c>
      <c r="X69" s="143">
        <f>IFERROR(INDEX('Price List'!$K$5:$K$74,MATCH(TRIM(J69)&amp;"|"&amp;TRIM(P69),'Price List'!$O$5:$O$74,0)),0)</f>
        <v>0.12</v>
      </c>
      <c r="Y69" s="141">
        <f t="shared" si="8"/>
        <v>0.82880000000000009</v>
      </c>
      <c r="Z69" s="141">
        <f t="shared" si="9"/>
        <v>1574.6588416000002</v>
      </c>
      <c r="AA69" s="134"/>
    </row>
    <row r="70" spans="1:29" ht="15" customHeight="1" x14ac:dyDescent="0.35">
      <c r="A70" s="134"/>
      <c r="B70" s="134"/>
      <c r="C70" s="134" t="s">
        <v>444</v>
      </c>
      <c r="D70" s="136" t="str">
        <f t="shared" si="6"/>
        <v>B.04</v>
      </c>
      <c r="E70" s="135" t="s">
        <v>414</v>
      </c>
      <c r="F70" s="135" t="s">
        <v>664</v>
      </c>
      <c r="G70" s="134" t="s">
        <v>31</v>
      </c>
      <c r="H70" s="134" t="s">
        <v>665</v>
      </c>
      <c r="I70" s="134" t="s">
        <v>513</v>
      </c>
      <c r="J70" s="144" t="s">
        <v>135</v>
      </c>
      <c r="K70" s="134"/>
      <c r="L70" s="134"/>
      <c r="M70" s="134"/>
      <c r="N70" s="134"/>
      <c r="O70" s="134"/>
      <c r="P70" s="135" t="s">
        <v>103</v>
      </c>
      <c r="Q70" s="137">
        <f t="shared" si="5"/>
        <v>822.01599999999996</v>
      </c>
      <c r="R70" s="137">
        <v>822.01599999999996</v>
      </c>
      <c r="S70" s="138"/>
      <c r="T70" s="139">
        <f>IFERROR(INDEX('Price List'!$G$5:$G$74,MATCH(TRIM(J70)&amp;"|"&amp;TRIM(P70),'Price List'!$O$5:$O$74,0)),0)</f>
        <v>0.09</v>
      </c>
      <c r="U70" s="140">
        <f>IFERROR(INDEX('Price List'!$H$5:$H$74,MATCH(TRIM(J70)&amp;"|"&amp;TRIM(P70),'Price List'!$O$5:$O$74,0)),0)</f>
        <v>0.2</v>
      </c>
      <c r="V70" s="141">
        <f t="shared" si="7"/>
        <v>0.108</v>
      </c>
      <c r="W70" s="142">
        <f>IFERROR(INDEX('Price List'!$J$5:$J$74,MATCH(TRIM(J70)&amp;"|"&amp;TRIM(P70),'Price List'!$O$5:$O$74,0)),0)</f>
        <v>0.73</v>
      </c>
      <c r="X70" s="143">
        <f>IFERROR(INDEX('Price List'!$K$5:$K$74,MATCH(TRIM(J70)&amp;"|"&amp;TRIM(P70),'Price List'!$O$5:$O$74,0)),0)</f>
        <v>0.12</v>
      </c>
      <c r="Y70" s="141">
        <f t="shared" si="8"/>
        <v>0.8176000000000001</v>
      </c>
      <c r="Z70" s="141">
        <f t="shared" si="9"/>
        <v>760.85800960000006</v>
      </c>
      <c r="AA70" s="134"/>
    </row>
    <row r="71" spans="1:29" ht="15" customHeight="1" x14ac:dyDescent="0.35">
      <c r="A71" s="134"/>
      <c r="B71" s="134"/>
      <c r="C71" s="134" t="s">
        <v>444</v>
      </c>
      <c r="D71" s="136" t="str">
        <f t="shared" si="6"/>
        <v>B.04</v>
      </c>
      <c r="E71" s="135" t="s">
        <v>414</v>
      </c>
      <c r="F71" s="135" t="s">
        <v>664</v>
      </c>
      <c r="G71" s="134" t="s">
        <v>31</v>
      </c>
      <c r="H71" s="134" t="s">
        <v>665</v>
      </c>
      <c r="I71" s="134" t="s">
        <v>657</v>
      </c>
      <c r="J71" s="134" t="s">
        <v>107</v>
      </c>
      <c r="K71" s="134"/>
      <c r="L71" s="134"/>
      <c r="M71" s="134"/>
      <c r="N71" s="134"/>
      <c r="O71" s="134"/>
      <c r="P71" s="135" t="s">
        <v>103</v>
      </c>
      <c r="Q71" s="137">
        <f t="shared" si="5"/>
        <v>151.80601600000003</v>
      </c>
      <c r="R71" s="137">
        <f>(R69+R70+R67+R68)*4%</f>
        <v>151.80601600000003</v>
      </c>
      <c r="S71" s="138"/>
      <c r="T71" s="139">
        <f>IFERROR(INDEX('Price List'!$G$5:$G$74,MATCH(TRIM(J71)&amp;"|"&amp;TRIM(P71),'Price List'!$O$5:$O$74,0)),0)</f>
        <v>0.05</v>
      </c>
      <c r="U71" s="140">
        <f>IFERROR(INDEX('Price List'!$H$5:$H$74,MATCH(TRIM(J71)&amp;"|"&amp;TRIM(P71),'Price List'!$O$5:$O$74,0)),0)</f>
        <v>0.2</v>
      </c>
      <c r="V71" s="141">
        <f t="shared" si="7"/>
        <v>0.06</v>
      </c>
      <c r="W71" s="142">
        <f>IFERROR(INDEX('Price List'!$J$5:$J$74,MATCH(TRIM(J71)&amp;"|"&amp;TRIM(P71),'Price List'!$O$5:$O$74,0)),0)</f>
        <v>1.2</v>
      </c>
      <c r="X71" s="143">
        <f>IFERROR(INDEX('Price List'!$K$5:$K$74,MATCH(TRIM(J71)&amp;"|"&amp;TRIM(P71),'Price List'!$O$5:$O$74,0)),0)</f>
        <v>0.12</v>
      </c>
      <c r="Y71" s="141">
        <f t="shared" si="8"/>
        <v>1.3440000000000001</v>
      </c>
      <c r="Z71" s="141">
        <f t="shared" si="9"/>
        <v>213.13564646400005</v>
      </c>
      <c r="AA71" s="134"/>
    </row>
    <row r="72" spans="1:29" ht="15" customHeight="1" x14ac:dyDescent="0.35">
      <c r="A72" s="134"/>
      <c r="B72" s="134"/>
      <c r="C72" s="134" t="s">
        <v>444</v>
      </c>
      <c r="D72" s="136" t="str">
        <f t="shared" si="6"/>
        <v>B.04</v>
      </c>
      <c r="E72" s="135" t="s">
        <v>414</v>
      </c>
      <c r="F72" s="135" t="s">
        <v>664</v>
      </c>
      <c r="G72" s="134" t="s">
        <v>31</v>
      </c>
      <c r="H72" s="134" t="s">
        <v>578</v>
      </c>
      <c r="I72" s="134" t="s">
        <v>512</v>
      </c>
      <c r="J72" s="145" t="s">
        <v>125</v>
      </c>
      <c r="K72" s="134"/>
      <c r="L72" s="134"/>
      <c r="M72" s="134" t="s">
        <v>666</v>
      </c>
      <c r="N72" s="134"/>
      <c r="O72" s="134"/>
      <c r="P72" s="135" t="s">
        <v>100</v>
      </c>
      <c r="Q72" s="137">
        <f t="shared" si="5"/>
        <v>26.015999999999998</v>
      </c>
      <c r="R72" s="137">
        <f>17.55+3.45+5.016</f>
        <v>26.015999999999998</v>
      </c>
      <c r="S72" s="138"/>
      <c r="T72" s="139">
        <f>IFERROR(INDEX('Price List'!$G$5:$G$74,MATCH(TRIM(J72)&amp;"|"&amp;TRIM(P72),'Price List'!$O$5:$O$74,0)),0)</f>
        <v>10</v>
      </c>
      <c r="U72" s="140">
        <f>IFERROR(INDEX('Price List'!$H$5:$H$74,MATCH(TRIM(J72)&amp;"|"&amp;TRIM(P72),'Price List'!$O$5:$O$74,0)),0)</f>
        <v>0.2</v>
      </c>
      <c r="V72" s="141">
        <f t="shared" si="7"/>
        <v>12</v>
      </c>
      <c r="W72" s="142">
        <f>IFERROR(INDEX('Price List'!$J$5:$J$74,MATCH(TRIM(J72)&amp;"|"&amp;TRIM(P72),'Price List'!$O$5:$O$74,0)),0)</f>
        <v>98</v>
      </c>
      <c r="X72" s="143">
        <f>IFERROR(INDEX('Price List'!$K$5:$K$74,MATCH(TRIM(J72)&amp;"|"&amp;TRIM(P72),'Price List'!$O$5:$O$74,0)),0)</f>
        <v>0.12</v>
      </c>
      <c r="Y72" s="141">
        <f t="shared" si="8"/>
        <v>109.76</v>
      </c>
      <c r="Z72" s="141">
        <f t="shared" si="9"/>
        <v>3167.7081600000001</v>
      </c>
      <c r="AA72" s="134"/>
    </row>
    <row r="73" spans="1:29" ht="15" customHeight="1" x14ac:dyDescent="0.35">
      <c r="A73" s="134"/>
      <c r="B73" s="134"/>
      <c r="C73" s="134" t="s">
        <v>444</v>
      </c>
      <c r="D73" s="136" t="str">
        <f t="shared" si="6"/>
        <v>B.04</v>
      </c>
      <c r="E73" s="135" t="s">
        <v>414</v>
      </c>
      <c r="F73" s="135" t="s">
        <v>664</v>
      </c>
      <c r="G73" s="134" t="s">
        <v>31</v>
      </c>
      <c r="H73" s="134" t="s">
        <v>578</v>
      </c>
      <c r="I73" s="144" t="s">
        <v>127</v>
      </c>
      <c r="J73" s="144" t="s">
        <v>127</v>
      </c>
      <c r="K73" s="144"/>
      <c r="L73" s="134"/>
      <c r="M73" s="134"/>
      <c r="N73" s="134"/>
      <c r="O73" s="134"/>
      <c r="P73" s="135" t="s">
        <v>128</v>
      </c>
      <c r="Q73" s="137">
        <f t="shared" si="5"/>
        <v>390.23999999999995</v>
      </c>
      <c r="R73" s="137">
        <f>R72*15</f>
        <v>390.23999999999995</v>
      </c>
      <c r="S73" s="138"/>
      <c r="T73" s="139">
        <f>IFERROR(INDEX('Price List'!$G$5:$G$74,MATCH(TRIM(J73)&amp;"|"&amp;TRIM(P73),'Price List'!$O$5:$O$74,0)),0)</f>
        <v>6</v>
      </c>
      <c r="U73" s="140">
        <f>IFERROR(INDEX('Price List'!$H$5:$H$74,MATCH(TRIM(J73)&amp;"|"&amp;TRIM(P73),'Price List'!$O$5:$O$74,0)),0)</f>
        <v>0.2</v>
      </c>
      <c r="V73" s="141">
        <f t="shared" si="7"/>
        <v>7.1999999999999993</v>
      </c>
      <c r="W73" s="142">
        <f>IFERROR(INDEX('Price List'!$J$5:$J$74,MATCH(TRIM(J73)&amp;"|"&amp;TRIM(P73),'Price List'!$O$5:$O$74,0)),0)</f>
        <v>5</v>
      </c>
      <c r="X73" s="143">
        <f>IFERROR(INDEX('Price List'!$K$5:$K$74,MATCH(TRIM(J73)&amp;"|"&amp;TRIM(P73),'Price List'!$O$5:$O$74,0)),0)</f>
        <v>0.12</v>
      </c>
      <c r="Y73" s="141">
        <f t="shared" si="8"/>
        <v>5.6000000000000005</v>
      </c>
      <c r="Z73" s="141">
        <f t="shared" si="9"/>
        <v>4995.0720000000001</v>
      </c>
      <c r="AA73" s="134"/>
    </row>
    <row r="74" spans="1:29" ht="15" customHeight="1" x14ac:dyDescent="0.35">
      <c r="A74" s="134"/>
      <c r="B74" s="134"/>
      <c r="C74" s="134" t="s">
        <v>444</v>
      </c>
      <c r="D74" s="136" t="str">
        <f t="shared" si="6"/>
        <v>B.04</v>
      </c>
      <c r="E74" s="135" t="s">
        <v>414</v>
      </c>
      <c r="F74" s="135" t="s">
        <v>664</v>
      </c>
      <c r="G74" s="134" t="s">
        <v>31</v>
      </c>
      <c r="H74" s="134" t="s">
        <v>578</v>
      </c>
      <c r="I74" s="134" t="s">
        <v>513</v>
      </c>
      <c r="J74" s="144" t="s">
        <v>169</v>
      </c>
      <c r="K74" s="144"/>
      <c r="L74" s="134"/>
      <c r="M74" s="134"/>
      <c r="N74" s="134"/>
      <c r="O74" s="134"/>
      <c r="P74" s="135" t="s">
        <v>103</v>
      </c>
      <c r="Q74" s="137">
        <f t="shared" si="5"/>
        <v>219.95499999999998</v>
      </c>
      <c r="R74" s="137">
        <f>'GF Staircase'!M12</f>
        <v>219.95499999999998</v>
      </c>
      <c r="S74" s="138"/>
      <c r="T74" s="139">
        <f>IFERROR(INDEX('Price List'!$G$5:$G$74,MATCH(TRIM(J74)&amp;"|"&amp;TRIM(P74),'Price List'!$O$5:$O$74,0)),0)</f>
        <v>0.12</v>
      </c>
      <c r="U74" s="140">
        <f>IFERROR(INDEX('Price List'!$H$5:$H$74,MATCH(TRIM(J74)&amp;"|"&amp;TRIM(P74),'Price List'!$O$5:$O$74,0)),0)</f>
        <v>0.2</v>
      </c>
      <c r="V74" s="141">
        <f t="shared" si="7"/>
        <v>0.14399999999999999</v>
      </c>
      <c r="W74" s="142">
        <f>IFERROR(INDEX('Price List'!$J$5:$J$74,MATCH(TRIM(J74)&amp;"|"&amp;TRIM(P74),'Price List'!$O$5:$O$74,0)),0)</f>
        <v>0.77</v>
      </c>
      <c r="X74" s="143">
        <f>IFERROR(INDEX('Price List'!$K$5:$K$74,MATCH(TRIM(J74)&amp;"|"&amp;TRIM(P74),'Price List'!$O$5:$O$74,0)),0)</f>
        <v>0.12</v>
      </c>
      <c r="Y74" s="141">
        <f t="shared" si="8"/>
        <v>0.86240000000000006</v>
      </c>
      <c r="Z74" s="141">
        <f t="shared" si="9"/>
        <v>221.36271199999999</v>
      </c>
      <c r="AA74" s="134"/>
      <c r="AC74" s="120">
        <f>R74/$R$72</f>
        <v>8.4546048585485849</v>
      </c>
    </row>
    <row r="75" spans="1:29" ht="15" customHeight="1" x14ac:dyDescent="0.35">
      <c r="A75" s="134"/>
      <c r="B75" s="134"/>
      <c r="C75" s="134" t="s">
        <v>444</v>
      </c>
      <c r="D75" s="136" t="str">
        <f t="shared" si="6"/>
        <v>B.04</v>
      </c>
      <c r="E75" s="135" t="s">
        <v>414</v>
      </c>
      <c r="F75" s="135" t="s">
        <v>664</v>
      </c>
      <c r="G75" s="134" t="s">
        <v>31</v>
      </c>
      <c r="H75" s="134" t="s">
        <v>578</v>
      </c>
      <c r="I75" s="134" t="s">
        <v>513</v>
      </c>
      <c r="J75" s="144" t="s">
        <v>102</v>
      </c>
      <c r="K75" s="134"/>
      <c r="L75" s="134"/>
      <c r="M75" s="134"/>
      <c r="N75" s="134"/>
      <c r="O75" s="134"/>
      <c r="P75" s="135" t="s">
        <v>103</v>
      </c>
      <c r="Q75" s="137">
        <f t="shared" si="5"/>
        <v>207</v>
      </c>
      <c r="R75" s="137">
        <f>'GF Staircase'!M13</f>
        <v>207</v>
      </c>
      <c r="S75" s="138"/>
      <c r="T75" s="139">
        <f>IFERROR(INDEX('Price List'!$G$5:$G$74,MATCH(TRIM(J75)&amp;"|"&amp;TRIM(P75),'Price List'!$O$5:$O$74,0)),0)</f>
        <v>0.12</v>
      </c>
      <c r="U75" s="140">
        <f>IFERROR(INDEX('Price List'!$H$5:$H$74,MATCH(TRIM(J75)&amp;"|"&amp;TRIM(P75),'Price List'!$O$5:$O$74,0)),0)</f>
        <v>0.2</v>
      </c>
      <c r="V75" s="141">
        <f t="shared" si="7"/>
        <v>0.14399999999999999</v>
      </c>
      <c r="W75" s="142">
        <f>IFERROR(INDEX('Price List'!$J$5:$J$74,MATCH(TRIM(J75)&amp;"|"&amp;TRIM(P75),'Price List'!$O$5:$O$74,0)),0)</f>
        <v>0.78</v>
      </c>
      <c r="X75" s="143">
        <f>IFERROR(INDEX('Price List'!$K$5:$K$74,MATCH(TRIM(J75)&amp;"|"&amp;TRIM(P75),'Price List'!$O$5:$O$74,0)),0)</f>
        <v>0.12</v>
      </c>
      <c r="Y75" s="141">
        <f t="shared" si="8"/>
        <v>0.87360000000000015</v>
      </c>
      <c r="Z75" s="141">
        <f t="shared" si="9"/>
        <v>210.64320000000001</v>
      </c>
      <c r="AA75" s="134"/>
      <c r="AC75" s="120">
        <f>R75/$R$72</f>
        <v>7.956642066420665</v>
      </c>
    </row>
    <row r="76" spans="1:29" ht="15" customHeight="1" x14ac:dyDescent="0.35">
      <c r="A76" s="134"/>
      <c r="B76" s="134"/>
      <c r="C76" s="134" t="s">
        <v>444</v>
      </c>
      <c r="D76" s="136" t="str">
        <f t="shared" si="6"/>
        <v>B.04</v>
      </c>
      <c r="E76" s="135" t="s">
        <v>414</v>
      </c>
      <c r="F76" s="135" t="s">
        <v>664</v>
      </c>
      <c r="G76" s="134" t="s">
        <v>31</v>
      </c>
      <c r="H76" s="134" t="s">
        <v>578</v>
      </c>
      <c r="I76" s="134" t="s">
        <v>513</v>
      </c>
      <c r="J76" s="144" t="s">
        <v>131</v>
      </c>
      <c r="K76" s="134"/>
      <c r="L76" s="134"/>
      <c r="M76" s="134"/>
      <c r="N76" s="134"/>
      <c r="O76" s="134"/>
      <c r="P76" s="135" t="s">
        <v>103</v>
      </c>
      <c r="Q76" s="137">
        <f t="shared" si="5"/>
        <v>2914.92</v>
      </c>
      <c r="R76" s="137">
        <f>'GF Staircase'!M14</f>
        <v>2914.92</v>
      </c>
      <c r="S76" s="138"/>
      <c r="T76" s="139">
        <f>IFERROR(INDEX('Price List'!$G$5:$G$74,MATCH(TRIM(J76)&amp;"|"&amp;TRIM(P76),'Price List'!$O$5:$O$74,0)),0)</f>
        <v>0.11</v>
      </c>
      <c r="U76" s="140">
        <f>IFERROR(INDEX('Price List'!$H$5:$H$74,MATCH(TRIM(J76)&amp;"|"&amp;TRIM(P76),'Price List'!$O$5:$O$74,0)),0)</f>
        <v>0.2</v>
      </c>
      <c r="V76" s="141">
        <f t="shared" si="7"/>
        <v>0.13200000000000001</v>
      </c>
      <c r="W76" s="142">
        <f>IFERROR(INDEX('Price List'!$J$5:$J$74,MATCH(TRIM(J76)&amp;"|"&amp;TRIM(P76),'Price List'!$O$5:$O$74,0)),0)</f>
        <v>0.76</v>
      </c>
      <c r="X76" s="143">
        <f>IFERROR(INDEX('Price List'!$K$5:$K$74,MATCH(TRIM(J76)&amp;"|"&amp;TRIM(P76),'Price List'!$O$5:$O$74,0)),0)</f>
        <v>0.12</v>
      </c>
      <c r="Y76" s="141">
        <f t="shared" si="8"/>
        <v>0.85120000000000007</v>
      </c>
      <c r="Z76" s="141">
        <f t="shared" si="9"/>
        <v>2865.9493440000001</v>
      </c>
      <c r="AA76" s="134"/>
      <c r="AC76" s="120">
        <f>R76/$R$72</f>
        <v>112.04335793357934</v>
      </c>
    </row>
    <row r="77" spans="1:29" ht="15" customHeight="1" x14ac:dyDescent="0.35">
      <c r="A77" s="134"/>
      <c r="B77" s="134"/>
      <c r="C77" s="134" t="s">
        <v>444</v>
      </c>
      <c r="D77" s="136" t="str">
        <f t="shared" si="6"/>
        <v>B.04</v>
      </c>
      <c r="E77" s="135" t="s">
        <v>414</v>
      </c>
      <c r="F77" s="135" t="s">
        <v>664</v>
      </c>
      <c r="G77" s="134" t="s">
        <v>31</v>
      </c>
      <c r="H77" s="134" t="s">
        <v>578</v>
      </c>
      <c r="I77" s="134" t="s">
        <v>513</v>
      </c>
      <c r="J77" s="144" t="s">
        <v>133</v>
      </c>
      <c r="K77" s="134"/>
      <c r="L77" s="134"/>
      <c r="M77" s="134"/>
      <c r="N77" s="134"/>
      <c r="O77" s="134"/>
      <c r="P77" s="135" t="s">
        <v>103</v>
      </c>
      <c r="Q77" s="137">
        <f t="shared" si="5"/>
        <v>535.98480000000006</v>
      </c>
      <c r="R77" s="137">
        <f>'GF Staircase'!M15</f>
        <v>535.98480000000006</v>
      </c>
      <c r="S77" s="138"/>
      <c r="T77" s="139">
        <f>IFERROR(INDEX('Price List'!$G$5:$G$74,MATCH(TRIM(J77)&amp;"|"&amp;TRIM(P77),'Price List'!$O$5:$O$74,0)),0)</f>
        <v>0.1</v>
      </c>
      <c r="U77" s="140">
        <f>IFERROR(INDEX('Price List'!$H$5:$H$74,MATCH(TRIM(J77)&amp;"|"&amp;TRIM(P77),'Price List'!$O$5:$O$74,0)),0)</f>
        <v>0.2</v>
      </c>
      <c r="V77" s="141">
        <f t="shared" si="7"/>
        <v>0.12</v>
      </c>
      <c r="W77" s="142">
        <f>IFERROR(INDEX('Price List'!$J$5:$J$74,MATCH(TRIM(J77)&amp;"|"&amp;TRIM(P77),'Price List'!$O$5:$O$74,0)),0)</f>
        <v>0.74</v>
      </c>
      <c r="X77" s="143">
        <f>IFERROR(INDEX('Price List'!$K$5:$K$74,MATCH(TRIM(J77)&amp;"|"&amp;TRIM(P77),'Price List'!$O$5:$O$74,0)),0)</f>
        <v>0.12</v>
      </c>
      <c r="Y77" s="141">
        <f t="shared" si="8"/>
        <v>0.82880000000000009</v>
      </c>
      <c r="Z77" s="141">
        <f t="shared" si="9"/>
        <v>508.54237824000012</v>
      </c>
      <c r="AA77" s="134"/>
      <c r="AC77" s="120">
        <f>R77/$R$72</f>
        <v>20.602121771217718</v>
      </c>
    </row>
    <row r="78" spans="1:29" ht="15" customHeight="1" x14ac:dyDescent="0.35">
      <c r="A78" s="134"/>
      <c r="B78" s="134"/>
      <c r="C78" s="134" t="s">
        <v>444</v>
      </c>
      <c r="D78" s="136" t="str">
        <f t="shared" si="6"/>
        <v>B.04</v>
      </c>
      <c r="E78" s="135" t="s">
        <v>414</v>
      </c>
      <c r="F78" s="135" t="s">
        <v>664</v>
      </c>
      <c r="G78" s="134" t="s">
        <v>31</v>
      </c>
      <c r="H78" s="134" t="s">
        <v>578</v>
      </c>
      <c r="I78" s="134" t="s">
        <v>513</v>
      </c>
      <c r="J78" s="144" t="s">
        <v>135</v>
      </c>
      <c r="K78" s="134"/>
      <c r="L78" s="134"/>
      <c r="M78" s="134"/>
      <c r="N78" s="134"/>
      <c r="O78" s="134"/>
      <c r="P78" s="135" t="s">
        <v>103</v>
      </c>
      <c r="Q78" s="137">
        <f t="shared" si="5"/>
        <v>254.38400000000001</v>
      </c>
      <c r="R78" s="137">
        <f>'GF Staircase'!M16</f>
        <v>254.38400000000001</v>
      </c>
      <c r="S78" s="138"/>
      <c r="T78" s="139">
        <f>IFERROR(INDEX('Price List'!$G$5:$G$74,MATCH(TRIM(J78)&amp;"|"&amp;TRIM(P78),'Price List'!$O$5:$O$74,0)),0)</f>
        <v>0.09</v>
      </c>
      <c r="U78" s="140">
        <f>IFERROR(INDEX('Price List'!$H$5:$H$74,MATCH(TRIM(J78)&amp;"|"&amp;TRIM(P78),'Price List'!$O$5:$O$74,0)),0)</f>
        <v>0.2</v>
      </c>
      <c r="V78" s="141">
        <f t="shared" si="7"/>
        <v>0.108</v>
      </c>
      <c r="W78" s="142">
        <f>IFERROR(INDEX('Price List'!$J$5:$J$74,MATCH(TRIM(J78)&amp;"|"&amp;TRIM(P78),'Price List'!$O$5:$O$74,0)),0)</f>
        <v>0.73</v>
      </c>
      <c r="X78" s="143">
        <f>IFERROR(INDEX('Price List'!$K$5:$K$74,MATCH(TRIM(J78)&amp;"|"&amp;TRIM(P78),'Price List'!$O$5:$O$74,0)),0)</f>
        <v>0.12</v>
      </c>
      <c r="Y78" s="141">
        <f t="shared" si="8"/>
        <v>0.8176000000000001</v>
      </c>
      <c r="Z78" s="141">
        <f t="shared" si="9"/>
        <v>235.45783040000003</v>
      </c>
      <c r="AA78" s="134"/>
      <c r="AC78" s="120">
        <f>R78/$R$72</f>
        <v>9.7779827798278003</v>
      </c>
    </row>
    <row r="79" spans="1:29" ht="15" customHeight="1" x14ac:dyDescent="0.35">
      <c r="A79" s="134"/>
      <c r="B79" s="134"/>
      <c r="C79" s="134" t="s">
        <v>444</v>
      </c>
      <c r="D79" s="136" t="str">
        <f t="shared" si="6"/>
        <v>B.04</v>
      </c>
      <c r="E79" s="135" t="s">
        <v>414</v>
      </c>
      <c r="F79" s="135" t="s">
        <v>664</v>
      </c>
      <c r="G79" s="134" t="s">
        <v>31</v>
      </c>
      <c r="H79" s="134" t="s">
        <v>578</v>
      </c>
      <c r="I79" s="134" t="s">
        <v>657</v>
      </c>
      <c r="J79" s="134" t="s">
        <v>107</v>
      </c>
      <c r="K79" s="134"/>
      <c r="L79" s="134"/>
      <c r="M79" s="134"/>
      <c r="N79" s="134"/>
      <c r="O79" s="134"/>
      <c r="P79" s="135" t="s">
        <v>103</v>
      </c>
      <c r="Q79" s="137">
        <f t="shared" si="5"/>
        <v>165.28975200000002</v>
      </c>
      <c r="R79" s="137">
        <f>(R77+R78+R75+R76+R74)*4%</f>
        <v>165.28975200000002</v>
      </c>
      <c r="S79" s="138"/>
      <c r="T79" s="139">
        <f>IFERROR(INDEX('Price List'!$G$5:$G$74,MATCH(TRIM(J79)&amp;"|"&amp;TRIM(P79),'Price List'!$O$5:$O$74,0)),0)</f>
        <v>0.05</v>
      </c>
      <c r="U79" s="140">
        <f>IFERROR(INDEX('Price List'!$H$5:$H$74,MATCH(TRIM(J79)&amp;"|"&amp;TRIM(P79),'Price List'!$O$5:$O$74,0)),0)</f>
        <v>0.2</v>
      </c>
      <c r="V79" s="141">
        <f t="shared" si="7"/>
        <v>0.06</v>
      </c>
      <c r="W79" s="142">
        <f>IFERROR(INDEX('Price List'!$J$5:$J$74,MATCH(TRIM(J79)&amp;"|"&amp;TRIM(P79),'Price List'!$O$5:$O$74,0)),0)</f>
        <v>1.2</v>
      </c>
      <c r="X79" s="143">
        <f>IFERROR(INDEX('Price List'!$K$5:$K$74,MATCH(TRIM(J79)&amp;"|"&amp;TRIM(P79),'Price List'!$O$5:$O$74,0)),0)</f>
        <v>0.12</v>
      </c>
      <c r="Y79" s="141">
        <f t="shared" si="8"/>
        <v>1.3440000000000001</v>
      </c>
      <c r="Z79" s="141">
        <f t="shared" si="9"/>
        <v>232.06681180800004</v>
      </c>
      <c r="AA79" s="134"/>
    </row>
    <row r="80" spans="1:29" ht="15" customHeight="1" x14ac:dyDescent="0.35">
      <c r="A80" s="134"/>
      <c r="B80" s="135"/>
      <c r="C80" s="134" t="s">
        <v>444</v>
      </c>
      <c r="D80" s="136" t="str">
        <f t="shared" si="6"/>
        <v>B.04</v>
      </c>
      <c r="E80" s="135" t="s">
        <v>414</v>
      </c>
      <c r="F80" s="135" t="s">
        <v>667</v>
      </c>
      <c r="G80" s="134" t="s">
        <v>31</v>
      </c>
      <c r="H80" s="134" t="s">
        <v>564</v>
      </c>
      <c r="I80" s="134" t="s">
        <v>512</v>
      </c>
      <c r="J80" s="145" t="s">
        <v>125</v>
      </c>
      <c r="K80" s="134"/>
      <c r="L80" s="134"/>
      <c r="M80" s="134"/>
      <c r="N80" s="134"/>
      <c r="O80" s="134"/>
      <c r="P80" s="135" t="s">
        <v>100</v>
      </c>
      <c r="Q80" s="137">
        <f t="shared" si="5"/>
        <v>33.609499999999997</v>
      </c>
      <c r="R80" s="137">
        <f>'mz beam'!H11</f>
        <v>33.609499999999997</v>
      </c>
      <c r="S80" s="138"/>
      <c r="T80" s="139">
        <f>IFERROR(INDEX('Price List'!$G$5:$G$74,MATCH(TRIM(J80)&amp;"|"&amp;TRIM(P80),'Price List'!$O$5:$O$74,0)),0)</f>
        <v>10</v>
      </c>
      <c r="U80" s="140">
        <f>IFERROR(INDEX('Price List'!$H$5:$H$74,MATCH(TRIM(J80)&amp;"|"&amp;TRIM(P80),'Price List'!$O$5:$O$74,0)),0)</f>
        <v>0.2</v>
      </c>
      <c r="V80" s="141">
        <f t="shared" si="7"/>
        <v>12</v>
      </c>
      <c r="W80" s="142">
        <f>IFERROR(INDEX('Price List'!$J$5:$J$74,MATCH(TRIM(J80)&amp;"|"&amp;TRIM(P80),'Price List'!$O$5:$O$74,0)),0)</f>
        <v>98</v>
      </c>
      <c r="X80" s="143">
        <f>IFERROR(INDEX('Price List'!$K$5:$K$74,MATCH(TRIM(J80)&amp;"|"&amp;TRIM(P80),'Price List'!$O$5:$O$74,0)),0)</f>
        <v>0.12</v>
      </c>
      <c r="Y80" s="141">
        <f t="shared" si="8"/>
        <v>109.76</v>
      </c>
      <c r="Z80" s="141">
        <f t="shared" si="9"/>
        <v>4092.2927199999999</v>
      </c>
      <c r="AA80" s="134"/>
    </row>
    <row r="81" spans="1:27" ht="15" customHeight="1" x14ac:dyDescent="0.35">
      <c r="A81" s="134"/>
      <c r="B81" s="135"/>
      <c r="C81" s="134" t="s">
        <v>444</v>
      </c>
      <c r="D81" s="136" t="str">
        <f t="shared" si="6"/>
        <v>B.04</v>
      </c>
      <c r="E81" s="135" t="s">
        <v>414</v>
      </c>
      <c r="F81" s="135" t="s">
        <v>667</v>
      </c>
      <c r="G81" s="134" t="s">
        <v>31</v>
      </c>
      <c r="H81" s="134" t="s">
        <v>564</v>
      </c>
      <c r="I81" s="144" t="s">
        <v>127</v>
      </c>
      <c r="J81" s="144" t="s">
        <v>127</v>
      </c>
      <c r="K81" s="144"/>
      <c r="L81" s="134"/>
      <c r="M81" s="134"/>
      <c r="N81" s="134"/>
      <c r="O81" s="134"/>
      <c r="P81" s="135" t="s">
        <v>128</v>
      </c>
      <c r="Q81" s="137">
        <f t="shared" si="5"/>
        <v>319.12</v>
      </c>
      <c r="R81" s="137">
        <f>'mz beam'!G11</f>
        <v>319.12</v>
      </c>
      <c r="S81" s="138"/>
      <c r="T81" s="139">
        <f>IFERROR(INDEX('Price List'!$G$5:$G$74,MATCH(TRIM(J81)&amp;"|"&amp;TRIM(P81),'Price List'!$O$5:$O$74,0)),0)</f>
        <v>6</v>
      </c>
      <c r="U81" s="140">
        <f>IFERROR(INDEX('Price List'!$H$5:$H$74,MATCH(TRIM(J81)&amp;"|"&amp;TRIM(P81),'Price List'!$O$5:$O$74,0)),0)</f>
        <v>0.2</v>
      </c>
      <c r="V81" s="141">
        <f t="shared" si="7"/>
        <v>7.1999999999999993</v>
      </c>
      <c r="W81" s="142">
        <f>IFERROR(INDEX('Price List'!$J$5:$J$74,MATCH(TRIM(J81)&amp;"|"&amp;TRIM(P81),'Price List'!$O$5:$O$74,0)),0)</f>
        <v>5</v>
      </c>
      <c r="X81" s="143">
        <f>IFERROR(INDEX('Price List'!$K$5:$K$74,MATCH(TRIM(J81)&amp;"|"&amp;TRIM(P81),'Price List'!$O$5:$O$74,0)),0)</f>
        <v>0.12</v>
      </c>
      <c r="Y81" s="141">
        <f t="shared" si="8"/>
        <v>5.6000000000000005</v>
      </c>
      <c r="Z81" s="141">
        <f t="shared" si="9"/>
        <v>4084.7360000000003</v>
      </c>
      <c r="AA81" s="134"/>
    </row>
    <row r="82" spans="1:27" ht="15" customHeight="1" x14ac:dyDescent="0.35">
      <c r="A82" s="134"/>
      <c r="B82" s="135"/>
      <c r="C82" s="134" t="s">
        <v>444</v>
      </c>
      <c r="D82" s="136" t="str">
        <f t="shared" si="6"/>
        <v>B.04</v>
      </c>
      <c r="E82" s="135" t="s">
        <v>414</v>
      </c>
      <c r="F82" s="135" t="s">
        <v>667</v>
      </c>
      <c r="G82" s="134" t="s">
        <v>31</v>
      </c>
      <c r="H82" s="134" t="s">
        <v>564</v>
      </c>
      <c r="I82" s="134" t="s">
        <v>513</v>
      </c>
      <c r="J82" s="144" t="s">
        <v>169</v>
      </c>
      <c r="K82" s="134"/>
      <c r="L82" s="134"/>
      <c r="M82" s="134"/>
      <c r="N82" s="134"/>
      <c r="O82" s="134"/>
      <c r="P82" s="135" t="s">
        <v>103</v>
      </c>
      <c r="Q82" s="137">
        <f t="shared" si="5"/>
        <v>465.78399999999999</v>
      </c>
      <c r="R82" s="137">
        <f>'mz beam'!J14</f>
        <v>465.78399999999999</v>
      </c>
      <c r="S82" s="138"/>
      <c r="T82" s="139">
        <f>IFERROR(INDEX('Price List'!$G$5:$G$74,MATCH(TRIM(J82)&amp;"|"&amp;TRIM(P82),'Price List'!$O$5:$O$74,0)),0)</f>
        <v>0.12</v>
      </c>
      <c r="U82" s="140">
        <f>IFERROR(INDEX('Price List'!$H$5:$H$74,MATCH(TRIM(J82)&amp;"|"&amp;TRIM(P82),'Price List'!$O$5:$O$74,0)),0)</f>
        <v>0.2</v>
      </c>
      <c r="V82" s="141">
        <f t="shared" si="7"/>
        <v>0.14399999999999999</v>
      </c>
      <c r="W82" s="142">
        <f>IFERROR(INDEX('Price List'!$J$5:$J$74,MATCH(TRIM(J82)&amp;"|"&amp;TRIM(P82),'Price List'!$O$5:$O$74,0)),0)</f>
        <v>0.77</v>
      </c>
      <c r="X82" s="143">
        <f>IFERROR(INDEX('Price List'!$K$5:$K$74,MATCH(TRIM(J82)&amp;"|"&amp;TRIM(P82),'Price List'!$O$5:$O$74,0)),0)</f>
        <v>0.12</v>
      </c>
      <c r="Y82" s="141">
        <f t="shared" si="8"/>
        <v>0.86240000000000006</v>
      </c>
      <c r="Z82" s="141">
        <f t="shared" si="9"/>
        <v>468.76501759999996</v>
      </c>
      <c r="AA82" s="134"/>
    </row>
    <row r="83" spans="1:27" ht="15" customHeight="1" x14ac:dyDescent="0.35">
      <c r="A83" s="134"/>
      <c r="B83" s="135"/>
      <c r="C83" s="134" t="s">
        <v>444</v>
      </c>
      <c r="D83" s="136" t="str">
        <f t="shared" si="6"/>
        <v>B.04</v>
      </c>
      <c r="E83" s="135" t="s">
        <v>414</v>
      </c>
      <c r="F83" s="135" t="s">
        <v>667</v>
      </c>
      <c r="G83" s="134" t="s">
        <v>31</v>
      </c>
      <c r="H83" s="134" t="s">
        <v>564</v>
      </c>
      <c r="I83" s="134" t="s">
        <v>513</v>
      </c>
      <c r="J83" s="144" t="s">
        <v>102</v>
      </c>
      <c r="K83" s="134"/>
      <c r="L83" s="134"/>
      <c r="M83" s="134"/>
      <c r="N83" s="134"/>
      <c r="O83" s="134"/>
      <c r="P83" s="135" t="s">
        <v>103</v>
      </c>
      <c r="Q83" s="137">
        <f t="shared" si="5"/>
        <v>2016.0933333333332</v>
      </c>
      <c r="R83" s="137">
        <f>'mz beam'!J15</f>
        <v>2016.0933333333332</v>
      </c>
      <c r="S83" s="138"/>
      <c r="T83" s="139">
        <f>IFERROR(INDEX('Price List'!$G$5:$G$74,MATCH(TRIM(J83)&amp;"|"&amp;TRIM(P83),'Price List'!$O$5:$O$74,0)),0)</f>
        <v>0.12</v>
      </c>
      <c r="U83" s="140">
        <f>IFERROR(INDEX('Price List'!$H$5:$H$74,MATCH(TRIM(J83)&amp;"|"&amp;TRIM(P83),'Price List'!$O$5:$O$74,0)),0)</f>
        <v>0.2</v>
      </c>
      <c r="V83" s="141">
        <f t="shared" si="7"/>
        <v>0.14399999999999999</v>
      </c>
      <c r="W83" s="142">
        <f>IFERROR(INDEX('Price List'!$J$5:$J$74,MATCH(TRIM(J83)&amp;"|"&amp;TRIM(P83),'Price List'!$O$5:$O$74,0)),0)</f>
        <v>0.78</v>
      </c>
      <c r="X83" s="143">
        <f>IFERROR(INDEX('Price List'!$K$5:$K$74,MATCH(TRIM(J83)&amp;"|"&amp;TRIM(P83),'Price List'!$O$5:$O$74,0)),0)</f>
        <v>0.12</v>
      </c>
      <c r="Y83" s="141">
        <f t="shared" si="8"/>
        <v>0.87360000000000015</v>
      </c>
      <c r="Z83" s="141">
        <f t="shared" si="9"/>
        <v>2051.5765759999999</v>
      </c>
      <c r="AA83" s="134"/>
    </row>
    <row r="84" spans="1:27" ht="15" customHeight="1" x14ac:dyDescent="0.35">
      <c r="A84" s="134"/>
      <c r="B84" s="135"/>
      <c r="C84" s="134" t="s">
        <v>444</v>
      </c>
      <c r="D84" s="136" t="str">
        <f t="shared" si="6"/>
        <v>B.04</v>
      </c>
      <c r="E84" s="135" t="s">
        <v>414</v>
      </c>
      <c r="F84" s="135" t="s">
        <v>667</v>
      </c>
      <c r="G84" s="134" t="s">
        <v>31</v>
      </c>
      <c r="H84" s="134" t="s">
        <v>564</v>
      </c>
      <c r="I84" s="134" t="s">
        <v>513</v>
      </c>
      <c r="J84" s="144" t="s">
        <v>131</v>
      </c>
      <c r="K84" s="134"/>
      <c r="L84" s="134"/>
      <c r="M84" s="134"/>
      <c r="N84" s="134"/>
      <c r="O84" s="134"/>
      <c r="P84" s="135" t="s">
        <v>103</v>
      </c>
      <c r="Q84" s="137">
        <f t="shared" si="5"/>
        <v>281.14080000000001</v>
      </c>
      <c r="R84" s="137">
        <f>'mz beam'!J16</f>
        <v>281.14080000000001</v>
      </c>
      <c r="S84" s="138"/>
      <c r="T84" s="139">
        <f>IFERROR(INDEX('Price List'!$G$5:$G$74,MATCH(TRIM(J84)&amp;"|"&amp;TRIM(P84),'Price List'!$O$5:$O$74,0)),0)</f>
        <v>0.11</v>
      </c>
      <c r="U84" s="140">
        <f>IFERROR(INDEX('Price List'!$H$5:$H$74,MATCH(TRIM(J84)&amp;"|"&amp;TRIM(P84),'Price List'!$O$5:$O$74,0)),0)</f>
        <v>0.2</v>
      </c>
      <c r="V84" s="141">
        <f t="shared" si="7"/>
        <v>0.13200000000000001</v>
      </c>
      <c r="W84" s="142">
        <f>IFERROR(INDEX('Price List'!$J$5:$J$74,MATCH(TRIM(J84)&amp;"|"&amp;TRIM(P84),'Price List'!$O$5:$O$74,0)),0)</f>
        <v>0.76</v>
      </c>
      <c r="X84" s="143">
        <f>IFERROR(INDEX('Price List'!$K$5:$K$74,MATCH(TRIM(J84)&amp;"|"&amp;TRIM(P84),'Price List'!$O$5:$O$74,0)),0)</f>
        <v>0.12</v>
      </c>
      <c r="Y84" s="141">
        <f t="shared" si="8"/>
        <v>0.85120000000000007</v>
      </c>
      <c r="Z84" s="141">
        <f t="shared" si="9"/>
        <v>276.41763456000001</v>
      </c>
      <c r="AA84" s="134"/>
    </row>
    <row r="85" spans="1:27" ht="15" customHeight="1" x14ac:dyDescent="0.35">
      <c r="A85" s="134"/>
      <c r="B85" s="135"/>
      <c r="C85" s="134" t="s">
        <v>444</v>
      </c>
      <c r="D85" s="136" t="str">
        <f t="shared" si="6"/>
        <v>B.04</v>
      </c>
      <c r="E85" s="135" t="s">
        <v>414</v>
      </c>
      <c r="F85" s="135" t="s">
        <v>667</v>
      </c>
      <c r="G85" s="134" t="s">
        <v>31</v>
      </c>
      <c r="H85" s="134" t="s">
        <v>564</v>
      </c>
      <c r="I85" s="134" t="s">
        <v>513</v>
      </c>
      <c r="J85" s="144" t="s">
        <v>133</v>
      </c>
      <c r="K85" s="134"/>
      <c r="L85" s="134"/>
      <c r="M85" s="134"/>
      <c r="N85" s="134"/>
      <c r="O85" s="134"/>
      <c r="P85" s="135" t="s">
        <v>103</v>
      </c>
      <c r="Q85" s="137">
        <f t="shared" si="5"/>
        <v>1600.7231999999999</v>
      </c>
      <c r="R85" s="137">
        <f>'mz beam'!J17</f>
        <v>1600.7231999999999</v>
      </c>
      <c r="S85" s="138"/>
      <c r="T85" s="139">
        <f>IFERROR(INDEX('Price List'!$G$5:$G$74,MATCH(TRIM(J85)&amp;"|"&amp;TRIM(P85),'Price List'!$O$5:$O$74,0)),0)</f>
        <v>0.1</v>
      </c>
      <c r="U85" s="140">
        <f>IFERROR(INDEX('Price List'!$H$5:$H$74,MATCH(TRIM(J85)&amp;"|"&amp;TRIM(P85),'Price List'!$O$5:$O$74,0)),0)</f>
        <v>0.2</v>
      </c>
      <c r="V85" s="141">
        <f t="shared" si="7"/>
        <v>0.12</v>
      </c>
      <c r="W85" s="142">
        <f>IFERROR(INDEX('Price List'!$J$5:$J$74,MATCH(TRIM(J85)&amp;"|"&amp;TRIM(P85),'Price List'!$O$5:$O$74,0)),0)</f>
        <v>0.74</v>
      </c>
      <c r="X85" s="143">
        <f>IFERROR(INDEX('Price List'!$K$5:$K$74,MATCH(TRIM(J85)&amp;"|"&amp;TRIM(P85),'Price List'!$O$5:$O$74,0)),0)</f>
        <v>0.12</v>
      </c>
      <c r="Y85" s="141">
        <f t="shared" si="8"/>
        <v>0.82880000000000009</v>
      </c>
      <c r="Z85" s="141">
        <f t="shared" si="9"/>
        <v>1518.76617216</v>
      </c>
      <c r="AA85" s="134"/>
    </row>
    <row r="86" spans="1:27" ht="15" customHeight="1" x14ac:dyDescent="0.35">
      <c r="A86" s="134"/>
      <c r="B86" s="135"/>
      <c r="C86" s="134" t="s">
        <v>444</v>
      </c>
      <c r="D86" s="136" t="str">
        <f t="shared" si="6"/>
        <v>B.04</v>
      </c>
      <c r="E86" s="135" t="s">
        <v>414</v>
      </c>
      <c r="F86" s="135" t="s">
        <v>667</v>
      </c>
      <c r="G86" s="134" t="s">
        <v>31</v>
      </c>
      <c r="H86" s="134" t="s">
        <v>564</v>
      </c>
      <c r="I86" s="134" t="s">
        <v>513</v>
      </c>
      <c r="J86" s="144" t="s">
        <v>135</v>
      </c>
      <c r="K86" s="134"/>
      <c r="L86" s="134"/>
      <c r="M86" s="134"/>
      <c r="N86" s="134"/>
      <c r="O86" s="134"/>
      <c r="P86" s="135" t="s">
        <v>103</v>
      </c>
      <c r="Q86" s="137">
        <f t="shared" si="5"/>
        <v>1953.0720000000001</v>
      </c>
      <c r="R86" s="137">
        <f>'mz beam'!J18</f>
        <v>1953.0720000000001</v>
      </c>
      <c r="S86" s="138"/>
      <c r="T86" s="139">
        <f>IFERROR(INDEX('Price List'!$G$5:$G$74,MATCH(TRIM(J86)&amp;"|"&amp;TRIM(P86),'Price List'!$O$5:$O$74,0)),0)</f>
        <v>0.09</v>
      </c>
      <c r="U86" s="140">
        <f>IFERROR(INDEX('Price List'!$H$5:$H$74,MATCH(TRIM(J86)&amp;"|"&amp;TRIM(P86),'Price List'!$O$5:$O$74,0)),0)</f>
        <v>0.2</v>
      </c>
      <c r="V86" s="141">
        <f t="shared" si="7"/>
        <v>0.108</v>
      </c>
      <c r="W86" s="142">
        <f>IFERROR(INDEX('Price List'!$J$5:$J$74,MATCH(TRIM(J86)&amp;"|"&amp;TRIM(P86),'Price List'!$O$5:$O$74,0)),0)</f>
        <v>0.73</v>
      </c>
      <c r="X86" s="143">
        <f>IFERROR(INDEX('Price List'!$K$5:$K$74,MATCH(TRIM(J86)&amp;"|"&amp;TRIM(P86),'Price List'!$O$5:$O$74,0)),0)</f>
        <v>0.12</v>
      </c>
      <c r="Y86" s="141">
        <f t="shared" si="8"/>
        <v>0.8176000000000001</v>
      </c>
      <c r="Z86" s="141">
        <f t="shared" si="9"/>
        <v>1807.7634432000002</v>
      </c>
      <c r="AA86" s="134"/>
    </row>
    <row r="87" spans="1:27" ht="15" customHeight="1" x14ac:dyDescent="0.35">
      <c r="A87" s="134"/>
      <c r="B87" s="135"/>
      <c r="C87" s="134" t="s">
        <v>444</v>
      </c>
      <c r="D87" s="136" t="str">
        <f t="shared" si="6"/>
        <v>B.04</v>
      </c>
      <c r="E87" s="135" t="s">
        <v>414</v>
      </c>
      <c r="F87" s="135" t="s">
        <v>667</v>
      </c>
      <c r="G87" s="134" t="s">
        <v>31</v>
      </c>
      <c r="H87" s="134" t="s">
        <v>564</v>
      </c>
      <c r="I87" s="134" t="s">
        <v>513</v>
      </c>
      <c r="J87" s="144" t="s">
        <v>105</v>
      </c>
      <c r="K87" s="134"/>
      <c r="L87" s="134"/>
      <c r="M87" s="134"/>
      <c r="N87" s="134"/>
      <c r="O87" s="134"/>
      <c r="P87" s="135" t="s">
        <v>103</v>
      </c>
      <c r="Q87" s="137">
        <f t="shared" si="5"/>
        <v>4876.3568000000005</v>
      </c>
      <c r="R87" s="137">
        <f>'mz beam'!J19</f>
        <v>4876.3568000000005</v>
      </c>
      <c r="S87" s="138"/>
      <c r="T87" s="139">
        <f>IFERROR(INDEX('Price List'!$G$5:$G$74,MATCH(TRIM(J87)&amp;"|"&amp;TRIM(P87),'Price List'!$O$5:$O$74,0)),0)</f>
        <v>0.08</v>
      </c>
      <c r="U87" s="140">
        <f>IFERROR(INDEX('Price List'!$H$5:$H$74,MATCH(TRIM(J87)&amp;"|"&amp;TRIM(P87),'Price List'!$O$5:$O$74,0)),0)</f>
        <v>0.2</v>
      </c>
      <c r="V87" s="141">
        <f t="shared" si="7"/>
        <v>9.6000000000000002E-2</v>
      </c>
      <c r="W87" s="142">
        <f>IFERROR(INDEX('Price List'!$J$5:$J$74,MATCH(TRIM(J87)&amp;"|"&amp;TRIM(P87),'Price List'!$O$5:$O$74,0)),0)</f>
        <v>0.72</v>
      </c>
      <c r="X87" s="143">
        <f>IFERROR(INDEX('Price List'!$K$5:$K$74,MATCH(TRIM(J87)&amp;"|"&amp;TRIM(P87),'Price List'!$O$5:$O$74,0)),0)</f>
        <v>0.12</v>
      </c>
      <c r="Y87" s="141">
        <f t="shared" si="8"/>
        <v>0.80640000000000001</v>
      </c>
      <c r="Z87" s="141">
        <f t="shared" si="9"/>
        <v>4400.4243763200002</v>
      </c>
      <c r="AA87" s="134"/>
    </row>
    <row r="88" spans="1:27" ht="15" customHeight="1" x14ac:dyDescent="0.35">
      <c r="A88" s="134"/>
      <c r="B88" s="135"/>
      <c r="C88" s="134" t="s">
        <v>444</v>
      </c>
      <c r="D88" s="136" t="str">
        <f t="shared" si="6"/>
        <v>B.04</v>
      </c>
      <c r="E88" s="135" t="s">
        <v>414</v>
      </c>
      <c r="F88" s="135" t="s">
        <v>667</v>
      </c>
      <c r="G88" s="134" t="s">
        <v>31</v>
      </c>
      <c r="H88" s="134" t="s">
        <v>564</v>
      </c>
      <c r="I88" s="134" t="s">
        <v>657</v>
      </c>
      <c r="J88" s="134" t="s">
        <v>107</v>
      </c>
      <c r="K88" s="134"/>
      <c r="L88" s="134"/>
      <c r="M88" s="134"/>
      <c r="N88" s="134"/>
      <c r="O88" s="134"/>
      <c r="P88" s="135" t="s">
        <v>103</v>
      </c>
      <c r="Q88" s="137">
        <f t="shared" si="5"/>
        <v>429.09544533333337</v>
      </c>
      <c r="R88" s="137">
        <f>(R86+R87+R84+R85+R83)*4%</f>
        <v>429.09544533333337</v>
      </c>
      <c r="S88" s="138"/>
      <c r="T88" s="139">
        <f>IFERROR(INDEX('Price List'!$G$5:$G$74,MATCH(TRIM(J88)&amp;"|"&amp;TRIM(P88),'Price List'!$O$5:$O$74,0)),0)</f>
        <v>0.05</v>
      </c>
      <c r="U88" s="140">
        <f>IFERROR(INDEX('Price List'!$H$5:$H$74,MATCH(TRIM(J88)&amp;"|"&amp;TRIM(P88),'Price List'!$O$5:$O$74,0)),0)</f>
        <v>0.2</v>
      </c>
      <c r="V88" s="141">
        <f t="shared" si="7"/>
        <v>0.06</v>
      </c>
      <c r="W88" s="142">
        <f>IFERROR(INDEX('Price List'!$J$5:$J$74,MATCH(TRIM(J88)&amp;"|"&amp;TRIM(P88),'Price List'!$O$5:$O$74,0)),0)</f>
        <v>1.2</v>
      </c>
      <c r="X88" s="143">
        <f>IFERROR(INDEX('Price List'!$K$5:$K$74,MATCH(TRIM(J88)&amp;"|"&amp;TRIM(P88),'Price List'!$O$5:$O$74,0)),0)</f>
        <v>0.12</v>
      </c>
      <c r="Y88" s="141">
        <f t="shared" si="8"/>
        <v>1.3440000000000001</v>
      </c>
      <c r="Z88" s="141">
        <f t="shared" si="9"/>
        <v>602.45000524800014</v>
      </c>
      <c r="AA88" s="134"/>
    </row>
    <row r="89" spans="1:27" ht="15" customHeight="1" x14ac:dyDescent="0.35">
      <c r="A89" s="134"/>
      <c r="B89" s="135"/>
      <c r="C89" s="134" t="s">
        <v>444</v>
      </c>
      <c r="D89" s="136" t="str">
        <f t="shared" si="6"/>
        <v>B.04</v>
      </c>
      <c r="E89" s="135" t="s">
        <v>414</v>
      </c>
      <c r="F89" s="135" t="s">
        <v>667</v>
      </c>
      <c r="G89" s="134" t="s">
        <v>31</v>
      </c>
      <c r="H89" s="134" t="s">
        <v>568</v>
      </c>
      <c r="I89" s="134" t="s">
        <v>512</v>
      </c>
      <c r="J89" s="145" t="s">
        <v>125</v>
      </c>
      <c r="K89" s="134"/>
      <c r="L89" s="134"/>
      <c r="M89" s="134"/>
      <c r="N89" s="134"/>
      <c r="O89" s="134"/>
      <c r="P89" s="135" t="s">
        <v>100</v>
      </c>
      <c r="Q89" s="137">
        <f t="shared" si="5"/>
        <v>55.5</v>
      </c>
      <c r="R89" s="137">
        <f>370*0.15</f>
        <v>55.5</v>
      </c>
      <c r="S89" s="138"/>
      <c r="T89" s="139">
        <f>IFERROR(INDEX('Price List'!$G$5:$G$74,MATCH(TRIM(J89)&amp;"|"&amp;TRIM(P89),'Price List'!$O$5:$O$74,0)),0)</f>
        <v>10</v>
      </c>
      <c r="U89" s="140">
        <f>IFERROR(INDEX('Price List'!$H$5:$H$74,MATCH(TRIM(J89)&amp;"|"&amp;TRIM(P89),'Price List'!$O$5:$O$74,0)),0)</f>
        <v>0.2</v>
      </c>
      <c r="V89" s="141">
        <f t="shared" si="7"/>
        <v>12</v>
      </c>
      <c r="W89" s="142">
        <f>IFERROR(INDEX('Price List'!$J$5:$J$74,MATCH(TRIM(J89)&amp;"|"&amp;TRIM(P89),'Price List'!$O$5:$O$74,0)),0)</f>
        <v>98</v>
      </c>
      <c r="X89" s="143">
        <f>IFERROR(INDEX('Price List'!$K$5:$K$74,MATCH(TRIM(J89)&amp;"|"&amp;TRIM(P89),'Price List'!$O$5:$O$74,0)),0)</f>
        <v>0.12</v>
      </c>
      <c r="Y89" s="141">
        <f t="shared" si="8"/>
        <v>109.76</v>
      </c>
      <c r="Z89" s="141">
        <f t="shared" si="9"/>
        <v>6757.68</v>
      </c>
      <c r="AA89" s="134"/>
    </row>
    <row r="90" spans="1:27" ht="15" customHeight="1" x14ac:dyDescent="0.35">
      <c r="A90" s="134"/>
      <c r="B90" s="135"/>
      <c r="C90" s="134" t="s">
        <v>444</v>
      </c>
      <c r="D90" s="136" t="str">
        <f t="shared" si="6"/>
        <v>B.04</v>
      </c>
      <c r="E90" s="135" t="s">
        <v>414</v>
      </c>
      <c r="F90" s="135" t="s">
        <v>667</v>
      </c>
      <c r="G90" s="134" t="s">
        <v>31</v>
      </c>
      <c r="H90" s="134" t="s">
        <v>568</v>
      </c>
      <c r="I90" s="144" t="s">
        <v>127</v>
      </c>
      <c r="J90" s="144" t="s">
        <v>127</v>
      </c>
      <c r="K90" s="144"/>
      <c r="L90" s="134"/>
      <c r="M90" s="134"/>
      <c r="N90" s="134"/>
      <c r="O90" s="134"/>
      <c r="P90" s="135" t="s">
        <v>128</v>
      </c>
      <c r="Q90" s="137">
        <f t="shared" si="5"/>
        <v>370</v>
      </c>
      <c r="R90" s="137">
        <v>370</v>
      </c>
      <c r="S90" s="138"/>
      <c r="T90" s="139">
        <f>IFERROR(INDEX('Price List'!$G$5:$G$74,MATCH(TRIM(J90)&amp;"|"&amp;TRIM(P90),'Price List'!$O$5:$O$74,0)),0)</f>
        <v>6</v>
      </c>
      <c r="U90" s="140">
        <f>IFERROR(INDEX('Price List'!$H$5:$H$74,MATCH(TRIM(J90)&amp;"|"&amp;TRIM(P90),'Price List'!$O$5:$O$74,0)),0)</f>
        <v>0.2</v>
      </c>
      <c r="V90" s="141">
        <f t="shared" si="7"/>
        <v>7.1999999999999993</v>
      </c>
      <c r="W90" s="142">
        <f>IFERROR(INDEX('Price List'!$J$5:$J$74,MATCH(TRIM(J90)&amp;"|"&amp;TRIM(P90),'Price List'!$O$5:$O$74,0)),0)</f>
        <v>5</v>
      </c>
      <c r="X90" s="143">
        <f>IFERROR(INDEX('Price List'!$K$5:$K$74,MATCH(TRIM(J90)&amp;"|"&amp;TRIM(P90),'Price List'!$O$5:$O$74,0)),0)</f>
        <v>0.12</v>
      </c>
      <c r="Y90" s="141">
        <f t="shared" si="8"/>
        <v>5.6000000000000005</v>
      </c>
      <c r="Z90" s="141">
        <f t="shared" si="9"/>
        <v>4736</v>
      </c>
      <c r="AA90" s="134"/>
    </row>
    <row r="91" spans="1:27" ht="15" customHeight="1" x14ac:dyDescent="0.35">
      <c r="A91" s="134"/>
      <c r="B91" s="135"/>
      <c r="C91" s="134" t="s">
        <v>444</v>
      </c>
      <c r="D91" s="136" t="str">
        <f t="shared" si="6"/>
        <v>B.04</v>
      </c>
      <c r="E91" s="135" t="s">
        <v>414</v>
      </c>
      <c r="F91" s="135" t="s">
        <v>667</v>
      </c>
      <c r="G91" s="134" t="s">
        <v>31</v>
      </c>
      <c r="H91" s="134" t="s">
        <v>568</v>
      </c>
      <c r="I91" s="134" t="s">
        <v>513</v>
      </c>
      <c r="J91" s="144" t="s">
        <v>102</v>
      </c>
      <c r="K91" s="134"/>
      <c r="L91" s="134"/>
      <c r="M91" s="134"/>
      <c r="N91" s="134"/>
      <c r="O91" s="134"/>
      <c r="P91" s="135" t="s">
        <v>103</v>
      </c>
      <c r="Q91" s="137">
        <f t="shared" si="5"/>
        <v>7335</v>
      </c>
      <c r="R91" s="137">
        <f>(R89*130)+120</f>
        <v>7335</v>
      </c>
      <c r="S91" s="138"/>
      <c r="T91" s="139">
        <f>IFERROR(INDEX('Price List'!$G$5:$G$74,MATCH(TRIM(J91)&amp;"|"&amp;TRIM(P91),'Price List'!$O$5:$O$74,0)),0)</f>
        <v>0.12</v>
      </c>
      <c r="U91" s="140">
        <f>IFERROR(INDEX('Price List'!$H$5:$H$74,MATCH(TRIM(J91)&amp;"|"&amp;TRIM(P91),'Price List'!$O$5:$O$74,0)),0)</f>
        <v>0.2</v>
      </c>
      <c r="V91" s="141">
        <f t="shared" si="7"/>
        <v>0.14399999999999999</v>
      </c>
      <c r="W91" s="142">
        <f>IFERROR(INDEX('Price List'!$J$5:$J$74,MATCH(TRIM(J91)&amp;"|"&amp;TRIM(P91),'Price List'!$O$5:$O$74,0)),0)</f>
        <v>0.78</v>
      </c>
      <c r="X91" s="143">
        <f>IFERROR(INDEX('Price List'!$K$5:$K$74,MATCH(TRIM(J91)&amp;"|"&amp;TRIM(P91),'Price List'!$O$5:$O$74,0)),0)</f>
        <v>0.12</v>
      </c>
      <c r="Y91" s="141">
        <f t="shared" si="8"/>
        <v>0.87360000000000015</v>
      </c>
      <c r="Z91" s="141">
        <f t="shared" si="9"/>
        <v>7464.0960000000005</v>
      </c>
      <c r="AA91" s="134"/>
    </row>
    <row r="92" spans="1:27" ht="15" customHeight="1" x14ac:dyDescent="0.35">
      <c r="A92" s="134"/>
      <c r="B92" s="135"/>
      <c r="C92" s="134" t="s">
        <v>444</v>
      </c>
      <c r="D92" s="136" t="str">
        <f t="shared" si="6"/>
        <v>B.04</v>
      </c>
      <c r="E92" s="135" t="s">
        <v>414</v>
      </c>
      <c r="F92" s="135" t="s">
        <v>667</v>
      </c>
      <c r="G92" s="134" t="s">
        <v>31</v>
      </c>
      <c r="H92" s="134" t="s">
        <v>568</v>
      </c>
      <c r="I92" s="134" t="s">
        <v>513</v>
      </c>
      <c r="J92" s="144" t="s">
        <v>131</v>
      </c>
      <c r="K92" s="134"/>
      <c r="L92" s="134"/>
      <c r="M92" s="134"/>
      <c r="N92" s="134"/>
      <c r="O92" s="134"/>
      <c r="P92" s="135" t="s">
        <v>103</v>
      </c>
      <c r="Q92" s="137">
        <f t="shared" si="5"/>
        <v>372.96</v>
      </c>
      <c r="R92" s="137">
        <f>0.888*((2.5*31*3)+(2.5*10*3)+(2.5*15*3))</f>
        <v>372.96</v>
      </c>
      <c r="S92" s="138"/>
      <c r="T92" s="139">
        <f>IFERROR(INDEX('Price List'!$G$5:$G$74,MATCH(TRIM(J92)&amp;"|"&amp;TRIM(P92),'Price List'!$O$5:$O$74,0)),0)</f>
        <v>0.11</v>
      </c>
      <c r="U92" s="140">
        <f>IFERROR(INDEX('Price List'!$H$5:$H$74,MATCH(TRIM(J92)&amp;"|"&amp;TRIM(P92),'Price List'!$O$5:$O$74,0)),0)</f>
        <v>0.2</v>
      </c>
      <c r="V92" s="141">
        <f t="shared" si="7"/>
        <v>0.13200000000000001</v>
      </c>
      <c r="W92" s="142">
        <f>IFERROR(INDEX('Price List'!$J$5:$J$74,MATCH(TRIM(J92)&amp;"|"&amp;TRIM(P92),'Price List'!$O$5:$O$74,0)),0)</f>
        <v>0.76</v>
      </c>
      <c r="X92" s="143">
        <f>IFERROR(INDEX('Price List'!$K$5:$K$74,MATCH(TRIM(J92)&amp;"|"&amp;TRIM(P92),'Price List'!$O$5:$O$74,0)),0)</f>
        <v>0.12</v>
      </c>
      <c r="Y92" s="141">
        <f t="shared" si="8"/>
        <v>0.85120000000000007</v>
      </c>
      <c r="Z92" s="141">
        <f t="shared" si="9"/>
        <v>366.69427200000001</v>
      </c>
      <c r="AA92" s="134"/>
    </row>
    <row r="93" spans="1:27" ht="15" customHeight="1" x14ac:dyDescent="0.35">
      <c r="A93" s="134"/>
      <c r="B93" s="135"/>
      <c r="C93" s="134" t="s">
        <v>444</v>
      </c>
      <c r="D93" s="136" t="str">
        <f t="shared" si="6"/>
        <v>B.04</v>
      </c>
      <c r="E93" s="135" t="s">
        <v>414</v>
      </c>
      <c r="F93" s="135" t="s">
        <v>667</v>
      </c>
      <c r="G93" s="134" t="s">
        <v>31</v>
      </c>
      <c r="H93" s="134" t="s">
        <v>568</v>
      </c>
      <c r="I93" s="134" t="s">
        <v>657</v>
      </c>
      <c r="J93" s="134" t="s">
        <v>107</v>
      </c>
      <c r="K93" s="134"/>
      <c r="L93" s="134"/>
      <c r="M93" s="134"/>
      <c r="N93" s="134"/>
      <c r="O93" s="134"/>
      <c r="P93" s="135" t="s">
        <v>103</v>
      </c>
      <c r="Q93" s="137">
        <f t="shared" si="5"/>
        <v>308.3184</v>
      </c>
      <c r="R93" s="137">
        <f>(R91+R92)*4%</f>
        <v>308.3184</v>
      </c>
      <c r="S93" s="138"/>
      <c r="T93" s="139">
        <f>IFERROR(INDEX('Price List'!$G$5:$G$74,MATCH(TRIM(J93)&amp;"|"&amp;TRIM(P93),'Price List'!$O$5:$O$74,0)),0)</f>
        <v>0.05</v>
      </c>
      <c r="U93" s="140">
        <f>IFERROR(INDEX('Price List'!$H$5:$H$74,MATCH(TRIM(J93)&amp;"|"&amp;TRIM(P93),'Price List'!$O$5:$O$74,0)),0)</f>
        <v>0.2</v>
      </c>
      <c r="V93" s="141">
        <f t="shared" si="7"/>
        <v>0.06</v>
      </c>
      <c r="W93" s="142">
        <f>IFERROR(INDEX('Price List'!$J$5:$J$74,MATCH(TRIM(J93)&amp;"|"&amp;TRIM(P93),'Price List'!$O$5:$O$74,0)),0)</f>
        <v>1.2</v>
      </c>
      <c r="X93" s="143">
        <f>IFERROR(INDEX('Price List'!$K$5:$K$74,MATCH(TRIM(J93)&amp;"|"&amp;TRIM(P93),'Price List'!$O$5:$O$74,0)),0)</f>
        <v>0.12</v>
      </c>
      <c r="Y93" s="141">
        <f t="shared" si="8"/>
        <v>1.3440000000000001</v>
      </c>
      <c r="Z93" s="141">
        <f t="shared" si="9"/>
        <v>432.87903360000001</v>
      </c>
      <c r="AA93" s="134"/>
    </row>
    <row r="94" spans="1:27" ht="15" customHeight="1" x14ac:dyDescent="0.35">
      <c r="A94" s="134"/>
      <c r="B94" s="135"/>
      <c r="C94" s="134" t="s">
        <v>444</v>
      </c>
      <c r="D94" s="136" t="str">
        <f t="shared" si="6"/>
        <v>B.04</v>
      </c>
      <c r="E94" s="135" t="s">
        <v>414</v>
      </c>
      <c r="F94" s="135" t="s">
        <v>667</v>
      </c>
      <c r="G94" s="134" t="s">
        <v>31</v>
      </c>
      <c r="H94" s="134" t="s">
        <v>573</v>
      </c>
      <c r="I94" s="134" t="s">
        <v>512</v>
      </c>
      <c r="J94" s="144" t="s">
        <v>125</v>
      </c>
      <c r="K94" s="134"/>
      <c r="L94" s="134"/>
      <c r="M94" s="134"/>
      <c r="N94" s="134"/>
      <c r="O94" s="134"/>
      <c r="P94" s="135" t="s">
        <v>100</v>
      </c>
      <c r="Q94" s="137">
        <f t="shared" si="5"/>
        <v>39.311999999999998</v>
      </c>
      <c r="R94" s="137">
        <v>39.311999999999998</v>
      </c>
      <c r="S94" s="138"/>
      <c r="T94" s="139">
        <f>IFERROR(INDEX('Price List'!$G$5:$G$74,MATCH(TRIM(J94)&amp;"|"&amp;TRIM(P94),'Price List'!$O$5:$O$74,0)),0)</f>
        <v>10</v>
      </c>
      <c r="U94" s="140">
        <f>IFERROR(INDEX('Price List'!$H$5:$H$74,MATCH(TRIM(J94)&amp;"|"&amp;TRIM(P94),'Price List'!$O$5:$O$74,0)),0)</f>
        <v>0.2</v>
      </c>
      <c r="V94" s="141">
        <f t="shared" si="7"/>
        <v>12</v>
      </c>
      <c r="W94" s="142">
        <f>IFERROR(INDEX('Price List'!$J$5:$J$74,MATCH(TRIM(J94)&amp;"|"&amp;TRIM(P94),'Price List'!$O$5:$O$74,0)),0)</f>
        <v>98</v>
      </c>
      <c r="X94" s="143">
        <f>IFERROR(INDEX('Price List'!$K$5:$K$74,MATCH(TRIM(J94)&amp;"|"&amp;TRIM(P94),'Price List'!$O$5:$O$74,0)),0)</f>
        <v>0.12</v>
      </c>
      <c r="Y94" s="141">
        <f t="shared" si="8"/>
        <v>109.76</v>
      </c>
      <c r="Z94" s="141">
        <f t="shared" si="9"/>
        <v>4786.6291199999996</v>
      </c>
      <c r="AA94" s="134"/>
    </row>
    <row r="95" spans="1:27" ht="15" customHeight="1" x14ac:dyDescent="0.35">
      <c r="A95" s="134"/>
      <c r="B95" s="135"/>
      <c r="C95" s="134" t="s">
        <v>444</v>
      </c>
      <c r="D95" s="136" t="str">
        <f t="shared" si="6"/>
        <v>B.04</v>
      </c>
      <c r="E95" s="135" t="s">
        <v>414</v>
      </c>
      <c r="F95" s="135" t="s">
        <v>667</v>
      </c>
      <c r="G95" s="134" t="s">
        <v>31</v>
      </c>
      <c r="H95" s="134" t="s">
        <v>573</v>
      </c>
      <c r="I95" s="144" t="s">
        <v>127</v>
      </c>
      <c r="J95" s="144" t="s">
        <v>127</v>
      </c>
      <c r="K95" s="144"/>
      <c r="L95" s="134"/>
      <c r="M95" s="134"/>
      <c r="N95" s="134"/>
      <c r="O95" s="134"/>
      <c r="P95" s="135" t="s">
        <v>128</v>
      </c>
      <c r="Q95" s="137">
        <f t="shared" si="5"/>
        <v>190.08</v>
      </c>
      <c r="R95" s="137">
        <v>190.08</v>
      </c>
      <c r="S95" s="138"/>
      <c r="T95" s="139">
        <f>IFERROR(INDEX('Price List'!$G$5:$G$74,MATCH(TRIM(J95)&amp;"|"&amp;TRIM(P95),'Price List'!$O$5:$O$74,0)),0)</f>
        <v>6</v>
      </c>
      <c r="U95" s="140">
        <f>IFERROR(INDEX('Price List'!$H$5:$H$74,MATCH(TRIM(J95)&amp;"|"&amp;TRIM(P95),'Price List'!$O$5:$O$74,0)),0)</f>
        <v>0.2</v>
      </c>
      <c r="V95" s="141">
        <f t="shared" si="7"/>
        <v>7.1999999999999993</v>
      </c>
      <c r="W95" s="142">
        <f>IFERROR(INDEX('Price List'!$J$5:$J$74,MATCH(TRIM(J95)&amp;"|"&amp;TRIM(P95),'Price List'!$O$5:$O$74,0)),0)</f>
        <v>5</v>
      </c>
      <c r="X95" s="143">
        <f>IFERROR(INDEX('Price List'!$K$5:$K$74,MATCH(TRIM(J95)&amp;"|"&amp;TRIM(P95),'Price List'!$O$5:$O$74,0)),0)</f>
        <v>0.12</v>
      </c>
      <c r="Y95" s="141">
        <f t="shared" si="8"/>
        <v>5.6000000000000005</v>
      </c>
      <c r="Z95" s="141">
        <f t="shared" si="9"/>
        <v>2433.0240000000003</v>
      </c>
      <c r="AA95" s="134"/>
    </row>
    <row r="96" spans="1:27" ht="15" customHeight="1" x14ac:dyDescent="0.35">
      <c r="A96" s="134"/>
      <c r="B96" s="135"/>
      <c r="C96" s="134" t="s">
        <v>444</v>
      </c>
      <c r="D96" s="136" t="str">
        <f t="shared" si="6"/>
        <v>B.04</v>
      </c>
      <c r="E96" s="135" t="s">
        <v>414</v>
      </c>
      <c r="F96" s="135" t="s">
        <v>667</v>
      </c>
      <c r="G96" s="134" t="s">
        <v>31</v>
      </c>
      <c r="H96" s="134" t="s">
        <v>573</v>
      </c>
      <c r="I96" s="134" t="s">
        <v>513</v>
      </c>
      <c r="J96" s="144" t="s">
        <v>131</v>
      </c>
      <c r="K96" s="134"/>
      <c r="L96" s="134"/>
      <c r="M96" s="134"/>
      <c r="N96" s="134"/>
      <c r="O96" s="134"/>
      <c r="P96" s="135" t="s">
        <v>103</v>
      </c>
      <c r="Q96" s="137">
        <f t="shared" si="5"/>
        <v>2623.9334399999998</v>
      </c>
      <c r="R96" s="137">
        <v>2623.9334399999998</v>
      </c>
      <c r="S96" s="138"/>
      <c r="T96" s="139">
        <f>IFERROR(INDEX('Price List'!$G$5:$G$74,MATCH(TRIM(J96)&amp;"|"&amp;TRIM(P96),'Price List'!$O$5:$O$74,0)),0)</f>
        <v>0.11</v>
      </c>
      <c r="U96" s="140">
        <f>IFERROR(INDEX('Price List'!$H$5:$H$74,MATCH(TRIM(J96)&amp;"|"&amp;TRIM(P96),'Price List'!$O$5:$O$74,0)),0)</f>
        <v>0.2</v>
      </c>
      <c r="V96" s="141">
        <f t="shared" si="7"/>
        <v>0.13200000000000001</v>
      </c>
      <c r="W96" s="142">
        <f>IFERROR(INDEX('Price List'!$J$5:$J$74,MATCH(TRIM(J96)&amp;"|"&amp;TRIM(P96),'Price List'!$O$5:$O$74,0)),0)</f>
        <v>0.76</v>
      </c>
      <c r="X96" s="143">
        <f>IFERROR(INDEX('Price List'!$K$5:$K$74,MATCH(TRIM(J96)&amp;"|"&amp;TRIM(P96),'Price List'!$O$5:$O$74,0)),0)</f>
        <v>0.12</v>
      </c>
      <c r="Y96" s="141">
        <f t="shared" si="8"/>
        <v>0.85120000000000007</v>
      </c>
      <c r="Z96" s="141">
        <f t="shared" si="9"/>
        <v>2579.851358208</v>
      </c>
      <c r="AA96" s="134"/>
    </row>
    <row r="97" spans="1:27" ht="15" customHeight="1" x14ac:dyDescent="0.35">
      <c r="A97" s="134"/>
      <c r="B97" s="135"/>
      <c r="C97" s="134" t="s">
        <v>444</v>
      </c>
      <c r="D97" s="136" t="str">
        <f t="shared" si="6"/>
        <v>B.04</v>
      </c>
      <c r="E97" s="135" t="s">
        <v>414</v>
      </c>
      <c r="F97" s="135" t="s">
        <v>667</v>
      </c>
      <c r="G97" s="134" t="s">
        <v>31</v>
      </c>
      <c r="H97" s="134" t="s">
        <v>573</v>
      </c>
      <c r="I97" s="134" t="s">
        <v>513</v>
      </c>
      <c r="J97" s="144" t="s">
        <v>105</v>
      </c>
      <c r="K97" s="134"/>
      <c r="L97" s="134"/>
      <c r="M97" s="134"/>
      <c r="N97" s="134"/>
      <c r="O97" s="134"/>
      <c r="P97" s="135" t="s">
        <v>103</v>
      </c>
      <c r="Q97" s="137">
        <f t="shared" si="5"/>
        <v>1700.16</v>
      </c>
      <c r="R97" s="137">
        <v>1700.16</v>
      </c>
      <c r="S97" s="138"/>
      <c r="T97" s="139">
        <f>IFERROR(INDEX('Price List'!$G$5:$G$74,MATCH(TRIM(J97)&amp;"|"&amp;TRIM(P97),'Price List'!$O$5:$O$74,0)),0)</f>
        <v>0.08</v>
      </c>
      <c r="U97" s="140">
        <f>IFERROR(INDEX('Price List'!$H$5:$H$74,MATCH(TRIM(J97)&amp;"|"&amp;TRIM(P97),'Price List'!$O$5:$O$74,0)),0)</f>
        <v>0.2</v>
      </c>
      <c r="V97" s="141">
        <f t="shared" si="7"/>
        <v>9.6000000000000002E-2</v>
      </c>
      <c r="W97" s="142">
        <f>IFERROR(INDEX('Price List'!$J$5:$J$74,MATCH(TRIM(J97)&amp;"|"&amp;TRIM(P97),'Price List'!$O$5:$O$74,0)),0)</f>
        <v>0.72</v>
      </c>
      <c r="X97" s="143">
        <f>IFERROR(INDEX('Price List'!$K$5:$K$74,MATCH(TRIM(J97)&amp;"|"&amp;TRIM(P97),'Price List'!$O$5:$O$74,0)),0)</f>
        <v>0.12</v>
      </c>
      <c r="Y97" s="141">
        <f t="shared" si="8"/>
        <v>0.80640000000000001</v>
      </c>
      <c r="Z97" s="141">
        <f t="shared" si="9"/>
        <v>1534.2243840000001</v>
      </c>
      <c r="AA97" s="134"/>
    </row>
    <row r="98" spans="1:27" ht="15" customHeight="1" x14ac:dyDescent="0.35">
      <c r="A98" s="134"/>
      <c r="B98" s="135"/>
      <c r="C98" s="134" t="s">
        <v>444</v>
      </c>
      <c r="D98" s="136" t="str">
        <f t="shared" si="6"/>
        <v>B.04</v>
      </c>
      <c r="E98" s="135" t="s">
        <v>414</v>
      </c>
      <c r="F98" s="135" t="s">
        <v>667</v>
      </c>
      <c r="G98" s="134" t="s">
        <v>31</v>
      </c>
      <c r="H98" s="134" t="s">
        <v>573</v>
      </c>
      <c r="I98" s="134" t="s">
        <v>513</v>
      </c>
      <c r="J98" s="144" t="s">
        <v>138</v>
      </c>
      <c r="K98" s="134"/>
      <c r="L98" s="134"/>
      <c r="M98" s="134"/>
      <c r="N98" s="134"/>
      <c r="O98" s="134"/>
      <c r="P98" s="135" t="s">
        <v>103</v>
      </c>
      <c r="Q98" s="137">
        <f t="shared" si="5"/>
        <v>9303.0400000000009</v>
      </c>
      <c r="R98" s="137">
        <v>9303.0400000000009</v>
      </c>
      <c r="S98" s="138"/>
      <c r="T98" s="139">
        <f>IFERROR(INDEX('Price List'!$G$5:$G$74,MATCH(TRIM(J98)&amp;"|"&amp;TRIM(P98),'Price List'!$O$5:$O$74,0)),0)</f>
        <v>0.08</v>
      </c>
      <c r="U98" s="140">
        <f>IFERROR(INDEX('Price List'!$H$5:$H$74,MATCH(TRIM(J98)&amp;"|"&amp;TRIM(P98),'Price List'!$O$5:$O$74,0)),0)</f>
        <v>0.2</v>
      </c>
      <c r="V98" s="141">
        <f t="shared" si="7"/>
        <v>9.6000000000000002E-2</v>
      </c>
      <c r="W98" s="142">
        <f>IFERROR(INDEX('Price List'!$J$5:$J$74,MATCH(TRIM(J98)&amp;"|"&amp;TRIM(P98),'Price List'!$O$5:$O$74,0)),0)</f>
        <v>0.71</v>
      </c>
      <c r="X98" s="143">
        <f>IFERROR(INDEX('Price List'!$K$5:$K$74,MATCH(TRIM(J98)&amp;"|"&amp;TRIM(P98),'Price List'!$O$5:$O$74,0)),0)</f>
        <v>0.12</v>
      </c>
      <c r="Y98" s="141">
        <f t="shared" si="8"/>
        <v>0.79520000000000002</v>
      </c>
      <c r="Z98" s="141">
        <f t="shared" si="9"/>
        <v>8290.8692480000009</v>
      </c>
      <c r="AA98" s="134"/>
    </row>
    <row r="99" spans="1:27" ht="15" customHeight="1" x14ac:dyDescent="0.35">
      <c r="A99" s="134"/>
      <c r="B99" s="135"/>
      <c r="C99" s="134" t="s">
        <v>444</v>
      </c>
      <c r="D99" s="136" t="str">
        <f t="shared" si="6"/>
        <v>B.04</v>
      </c>
      <c r="E99" s="135" t="s">
        <v>414</v>
      </c>
      <c r="F99" s="135" t="s">
        <v>667</v>
      </c>
      <c r="G99" s="134" t="s">
        <v>31</v>
      </c>
      <c r="H99" s="134" t="s">
        <v>573</v>
      </c>
      <c r="I99" s="134" t="s">
        <v>657</v>
      </c>
      <c r="J99" s="134" t="s">
        <v>107</v>
      </c>
      <c r="K99" s="134"/>
      <c r="L99" s="134"/>
      <c r="M99" s="134"/>
      <c r="N99" s="134"/>
      <c r="O99" s="134"/>
      <c r="P99" s="135" t="s">
        <v>103</v>
      </c>
      <c r="Q99" s="137">
        <f t="shared" si="5"/>
        <v>545.08533760000012</v>
      </c>
      <c r="R99" s="137">
        <f>(R97+R98+R96)*4%</f>
        <v>545.08533760000012</v>
      </c>
      <c r="S99" s="138"/>
      <c r="T99" s="139">
        <f>IFERROR(INDEX('Price List'!$G$5:$G$74,MATCH(TRIM(J99)&amp;"|"&amp;TRIM(P99),'Price List'!$O$5:$O$74,0)),0)</f>
        <v>0.05</v>
      </c>
      <c r="U99" s="140">
        <f>IFERROR(INDEX('Price List'!$H$5:$H$74,MATCH(TRIM(J99)&amp;"|"&amp;TRIM(P99),'Price List'!$O$5:$O$74,0)),0)</f>
        <v>0.2</v>
      </c>
      <c r="V99" s="141">
        <f t="shared" si="7"/>
        <v>0.06</v>
      </c>
      <c r="W99" s="142">
        <f>IFERROR(INDEX('Price List'!$J$5:$J$74,MATCH(TRIM(J99)&amp;"|"&amp;TRIM(P99),'Price List'!$O$5:$O$74,0)),0)</f>
        <v>1.2</v>
      </c>
      <c r="X99" s="143">
        <f>IFERROR(INDEX('Price List'!$K$5:$K$74,MATCH(TRIM(J99)&amp;"|"&amp;TRIM(P99),'Price List'!$O$5:$O$74,0)),0)</f>
        <v>0.12</v>
      </c>
      <c r="Y99" s="141">
        <f t="shared" si="8"/>
        <v>1.3440000000000001</v>
      </c>
      <c r="Z99" s="141">
        <f t="shared" si="9"/>
        <v>765.29981399040025</v>
      </c>
      <c r="AA99" s="134"/>
    </row>
    <row r="100" spans="1:27" ht="15" customHeight="1" x14ac:dyDescent="0.35">
      <c r="A100" s="134"/>
      <c r="B100" s="135"/>
      <c r="C100" s="134" t="s">
        <v>444</v>
      </c>
      <c r="D100" s="136" t="str">
        <f t="shared" si="6"/>
        <v>B.04</v>
      </c>
      <c r="E100" s="135" t="s">
        <v>414</v>
      </c>
      <c r="F100" s="135" t="s">
        <v>667</v>
      </c>
      <c r="G100" s="134" t="s">
        <v>31</v>
      </c>
      <c r="H100" s="134" t="s">
        <v>665</v>
      </c>
      <c r="I100" s="134" t="s">
        <v>512</v>
      </c>
      <c r="J100" s="144" t="s">
        <v>125</v>
      </c>
      <c r="K100" s="134"/>
      <c r="L100" s="134"/>
      <c r="M100" s="134"/>
      <c r="N100" s="134"/>
      <c r="O100" s="134"/>
      <c r="P100" s="135" t="s">
        <v>100</v>
      </c>
      <c r="Q100" s="137">
        <f t="shared" si="5"/>
        <v>20.310000000000002</v>
      </c>
      <c r="R100" s="137">
        <f>(5.2*3.6)+(1.325*2*0.3*2)</f>
        <v>20.310000000000002</v>
      </c>
      <c r="S100" s="138"/>
      <c r="T100" s="139">
        <f>IFERROR(INDEX('Price List'!$G$5:$G$74,MATCH(TRIM(J100)&amp;"|"&amp;TRIM(P100),'Price List'!$O$5:$O$74,0)),0)</f>
        <v>10</v>
      </c>
      <c r="U100" s="140">
        <f>IFERROR(INDEX('Price List'!$H$5:$H$74,MATCH(TRIM(J100)&amp;"|"&amp;TRIM(P100),'Price List'!$O$5:$O$74,0)),0)</f>
        <v>0.2</v>
      </c>
      <c r="V100" s="141">
        <f t="shared" si="7"/>
        <v>12</v>
      </c>
      <c r="W100" s="142">
        <f>IFERROR(INDEX('Price List'!$J$5:$J$74,MATCH(TRIM(J100)&amp;"|"&amp;TRIM(P100),'Price List'!$O$5:$O$74,0)),0)</f>
        <v>98</v>
      </c>
      <c r="X100" s="143">
        <f>IFERROR(INDEX('Price List'!$K$5:$K$74,MATCH(TRIM(J100)&amp;"|"&amp;TRIM(P100),'Price List'!$O$5:$O$74,0)),0)</f>
        <v>0.12</v>
      </c>
      <c r="Y100" s="141">
        <f t="shared" si="8"/>
        <v>109.76</v>
      </c>
      <c r="Z100" s="141">
        <f t="shared" si="9"/>
        <v>2472.9456000000005</v>
      </c>
      <c r="AA100" s="134"/>
    </row>
    <row r="101" spans="1:27" ht="15" customHeight="1" x14ac:dyDescent="0.35">
      <c r="A101" s="134"/>
      <c r="B101" s="135"/>
      <c r="C101" s="134" t="s">
        <v>444</v>
      </c>
      <c r="D101" s="136" t="str">
        <f t="shared" si="6"/>
        <v>B.04</v>
      </c>
      <c r="E101" s="135" t="s">
        <v>414</v>
      </c>
      <c r="F101" s="135" t="s">
        <v>667</v>
      </c>
      <c r="G101" s="134" t="s">
        <v>31</v>
      </c>
      <c r="H101" s="134" t="s">
        <v>665</v>
      </c>
      <c r="I101" s="144" t="s">
        <v>127</v>
      </c>
      <c r="J101" s="144" t="s">
        <v>127</v>
      </c>
      <c r="K101" s="144"/>
      <c r="L101" s="134"/>
      <c r="M101" s="134"/>
      <c r="N101" s="134"/>
      <c r="O101" s="134"/>
      <c r="P101" s="135" t="s">
        <v>128</v>
      </c>
      <c r="Q101" s="137">
        <f t="shared" si="5"/>
        <v>120.5</v>
      </c>
      <c r="R101" s="137">
        <f>(32*3.6)+(1.325*2*2)</f>
        <v>120.5</v>
      </c>
      <c r="S101" s="138"/>
      <c r="T101" s="139">
        <f>IFERROR(INDEX('Price List'!$G$5:$G$74,MATCH(TRIM(J101)&amp;"|"&amp;TRIM(P101),'Price List'!$O$5:$O$74,0)),0)</f>
        <v>6</v>
      </c>
      <c r="U101" s="140">
        <f>IFERROR(INDEX('Price List'!$H$5:$H$74,MATCH(TRIM(J101)&amp;"|"&amp;TRIM(P101),'Price List'!$O$5:$O$74,0)),0)</f>
        <v>0.2</v>
      </c>
      <c r="V101" s="141">
        <f t="shared" si="7"/>
        <v>7.1999999999999993</v>
      </c>
      <c r="W101" s="142">
        <f>IFERROR(INDEX('Price List'!$J$5:$J$74,MATCH(TRIM(J101)&amp;"|"&amp;TRIM(P101),'Price List'!$O$5:$O$74,0)),0)</f>
        <v>5</v>
      </c>
      <c r="X101" s="143">
        <f>IFERROR(INDEX('Price List'!$K$5:$K$74,MATCH(TRIM(J101)&amp;"|"&amp;TRIM(P101),'Price List'!$O$5:$O$74,0)),0)</f>
        <v>0.12</v>
      </c>
      <c r="Y101" s="141">
        <f t="shared" si="8"/>
        <v>5.6000000000000005</v>
      </c>
      <c r="Z101" s="141">
        <f t="shared" si="9"/>
        <v>1542.4</v>
      </c>
      <c r="AA101" s="134"/>
    </row>
    <row r="102" spans="1:27" ht="15" customHeight="1" x14ac:dyDescent="0.35">
      <c r="A102" s="134"/>
      <c r="B102" s="135"/>
      <c r="C102" s="134" t="s">
        <v>444</v>
      </c>
      <c r="D102" s="136" t="str">
        <f t="shared" si="6"/>
        <v>B.04</v>
      </c>
      <c r="E102" s="135" t="s">
        <v>414</v>
      </c>
      <c r="F102" s="135" t="s">
        <v>667</v>
      </c>
      <c r="G102" s="134" t="s">
        <v>31</v>
      </c>
      <c r="H102" s="134" t="s">
        <v>665</v>
      </c>
      <c r="I102" s="134" t="s">
        <v>513</v>
      </c>
      <c r="J102" s="144" t="s">
        <v>102</v>
      </c>
      <c r="K102" s="134"/>
      <c r="L102" s="134"/>
      <c r="M102" s="134"/>
      <c r="N102" s="134"/>
      <c r="O102" s="134"/>
      <c r="P102" s="135" t="s">
        <v>103</v>
      </c>
      <c r="Q102" s="137">
        <f t="shared" ref="Q102:Q165" si="10">R102</f>
        <v>207.31200000000001</v>
      </c>
      <c r="R102" s="137">
        <v>207.31200000000001</v>
      </c>
      <c r="S102" s="138"/>
      <c r="T102" s="139">
        <f>IFERROR(INDEX('Price List'!$G$5:$G$74,MATCH(TRIM(J102)&amp;"|"&amp;TRIM(P102),'Price List'!$O$5:$O$74,0)),0)</f>
        <v>0.12</v>
      </c>
      <c r="U102" s="140">
        <f>IFERROR(INDEX('Price List'!$H$5:$H$74,MATCH(TRIM(J102)&amp;"|"&amp;TRIM(P102),'Price List'!$O$5:$O$74,0)),0)</f>
        <v>0.2</v>
      </c>
      <c r="V102" s="141">
        <f t="shared" si="7"/>
        <v>0.14399999999999999</v>
      </c>
      <c r="W102" s="142">
        <f>IFERROR(INDEX('Price List'!$J$5:$J$74,MATCH(TRIM(J102)&amp;"|"&amp;TRIM(P102),'Price List'!$O$5:$O$74,0)),0)</f>
        <v>0.78</v>
      </c>
      <c r="X102" s="143">
        <f>IFERROR(INDEX('Price List'!$K$5:$K$74,MATCH(TRIM(J102)&amp;"|"&amp;TRIM(P102),'Price List'!$O$5:$O$74,0)),0)</f>
        <v>0.12</v>
      </c>
      <c r="Y102" s="141">
        <f t="shared" si="8"/>
        <v>0.87360000000000015</v>
      </c>
      <c r="Z102" s="141">
        <f t="shared" si="9"/>
        <v>210.96069120000001</v>
      </c>
      <c r="AA102" s="134"/>
    </row>
    <row r="103" spans="1:27" ht="15" customHeight="1" x14ac:dyDescent="0.35">
      <c r="A103" s="134"/>
      <c r="B103" s="135"/>
      <c r="C103" s="134" t="s">
        <v>444</v>
      </c>
      <c r="D103" s="136" t="str">
        <f t="shared" si="6"/>
        <v>B.04</v>
      </c>
      <c r="E103" s="135" t="s">
        <v>414</v>
      </c>
      <c r="F103" s="135" t="s">
        <v>667</v>
      </c>
      <c r="G103" s="134" t="s">
        <v>31</v>
      </c>
      <c r="H103" s="134" t="s">
        <v>665</v>
      </c>
      <c r="I103" s="134" t="s">
        <v>513</v>
      </c>
      <c r="J103" s="144" t="s">
        <v>131</v>
      </c>
      <c r="K103" s="134"/>
      <c r="L103" s="134"/>
      <c r="M103" s="134"/>
      <c r="N103" s="134"/>
      <c r="O103" s="134"/>
      <c r="P103" s="135" t="s">
        <v>103</v>
      </c>
      <c r="Q103" s="137">
        <f t="shared" si="10"/>
        <v>918.54719999999998</v>
      </c>
      <c r="R103" s="137">
        <v>918.54719999999998</v>
      </c>
      <c r="S103" s="138"/>
      <c r="T103" s="139">
        <f>IFERROR(INDEX('Price List'!$G$5:$G$74,MATCH(TRIM(J103)&amp;"|"&amp;TRIM(P103),'Price List'!$O$5:$O$74,0)),0)</f>
        <v>0.11</v>
      </c>
      <c r="U103" s="140">
        <f>IFERROR(INDEX('Price List'!$H$5:$H$74,MATCH(TRIM(J103)&amp;"|"&amp;TRIM(P103),'Price List'!$O$5:$O$74,0)),0)</f>
        <v>0.2</v>
      </c>
      <c r="V103" s="141">
        <f t="shared" si="7"/>
        <v>0.13200000000000001</v>
      </c>
      <c r="W103" s="142">
        <f>IFERROR(INDEX('Price List'!$J$5:$J$74,MATCH(TRIM(J103)&amp;"|"&amp;TRIM(P103),'Price List'!$O$5:$O$74,0)),0)</f>
        <v>0.76</v>
      </c>
      <c r="X103" s="143">
        <f>IFERROR(INDEX('Price List'!$K$5:$K$74,MATCH(TRIM(J103)&amp;"|"&amp;TRIM(P103),'Price List'!$O$5:$O$74,0)),0)</f>
        <v>0.12</v>
      </c>
      <c r="Y103" s="141">
        <f t="shared" si="8"/>
        <v>0.85120000000000007</v>
      </c>
      <c r="Z103" s="141">
        <f t="shared" si="9"/>
        <v>903.1156070400001</v>
      </c>
      <c r="AA103" s="134"/>
    </row>
    <row r="104" spans="1:27" ht="15" customHeight="1" x14ac:dyDescent="0.35">
      <c r="A104" s="134"/>
      <c r="B104" s="135"/>
      <c r="C104" s="134" t="s">
        <v>444</v>
      </c>
      <c r="D104" s="136" t="str">
        <f t="shared" si="6"/>
        <v>B.04</v>
      </c>
      <c r="E104" s="135" t="s">
        <v>414</v>
      </c>
      <c r="F104" s="135" t="s">
        <v>667</v>
      </c>
      <c r="G104" s="134" t="s">
        <v>31</v>
      </c>
      <c r="H104" s="134" t="s">
        <v>665</v>
      </c>
      <c r="I104" s="134" t="s">
        <v>513</v>
      </c>
      <c r="J104" s="144" t="s">
        <v>133</v>
      </c>
      <c r="K104" s="134"/>
      <c r="L104" s="134"/>
      <c r="M104" s="134"/>
      <c r="N104" s="134"/>
      <c r="O104" s="134"/>
      <c r="P104" s="135" t="s">
        <v>103</v>
      </c>
      <c r="Q104" s="137">
        <f t="shared" si="10"/>
        <v>1468.136</v>
      </c>
      <c r="R104" s="137">
        <v>1468.136</v>
      </c>
      <c r="S104" s="138"/>
      <c r="T104" s="139">
        <f>IFERROR(INDEX('Price List'!$G$5:$G$74,MATCH(TRIM(J104)&amp;"|"&amp;TRIM(P104),'Price List'!$O$5:$O$74,0)),0)</f>
        <v>0.1</v>
      </c>
      <c r="U104" s="140">
        <f>IFERROR(INDEX('Price List'!$H$5:$H$74,MATCH(TRIM(J104)&amp;"|"&amp;TRIM(P104),'Price List'!$O$5:$O$74,0)),0)</f>
        <v>0.2</v>
      </c>
      <c r="V104" s="141">
        <f t="shared" si="7"/>
        <v>0.12</v>
      </c>
      <c r="W104" s="142">
        <f>IFERROR(INDEX('Price List'!$J$5:$J$74,MATCH(TRIM(J104)&amp;"|"&amp;TRIM(P104),'Price List'!$O$5:$O$74,0)),0)</f>
        <v>0.74</v>
      </c>
      <c r="X104" s="143">
        <f>IFERROR(INDEX('Price List'!$K$5:$K$74,MATCH(TRIM(J104)&amp;"|"&amp;TRIM(P104),'Price List'!$O$5:$O$74,0)),0)</f>
        <v>0.12</v>
      </c>
      <c r="Y104" s="141">
        <f t="shared" si="8"/>
        <v>0.82880000000000009</v>
      </c>
      <c r="Z104" s="141">
        <f t="shared" si="9"/>
        <v>1392.9674368000001</v>
      </c>
      <c r="AA104" s="134"/>
    </row>
    <row r="105" spans="1:27" ht="15" customHeight="1" x14ac:dyDescent="0.35">
      <c r="A105" s="134"/>
      <c r="B105" s="135"/>
      <c r="C105" s="134" t="s">
        <v>444</v>
      </c>
      <c r="D105" s="136" t="str">
        <f t="shared" si="6"/>
        <v>B.04</v>
      </c>
      <c r="E105" s="135" t="s">
        <v>414</v>
      </c>
      <c r="F105" s="135" t="s">
        <v>667</v>
      </c>
      <c r="G105" s="134" t="s">
        <v>31</v>
      </c>
      <c r="H105" s="134" t="s">
        <v>665</v>
      </c>
      <c r="I105" s="134" t="s">
        <v>513</v>
      </c>
      <c r="J105" s="144" t="s">
        <v>135</v>
      </c>
      <c r="K105" s="134"/>
      <c r="L105" s="134"/>
      <c r="M105" s="134"/>
      <c r="N105" s="134"/>
      <c r="O105" s="134"/>
      <c r="P105" s="135" t="s">
        <v>103</v>
      </c>
      <c r="Q105" s="137">
        <f t="shared" si="10"/>
        <v>727.16800000000001</v>
      </c>
      <c r="R105" s="137">
        <v>727.16800000000001</v>
      </c>
      <c r="S105" s="138"/>
      <c r="T105" s="139">
        <f>IFERROR(INDEX('Price List'!$G$5:$G$74,MATCH(TRIM(J105)&amp;"|"&amp;TRIM(P105),'Price List'!$O$5:$O$74,0)),0)</f>
        <v>0.09</v>
      </c>
      <c r="U105" s="140">
        <f>IFERROR(INDEX('Price List'!$H$5:$H$74,MATCH(TRIM(J105)&amp;"|"&amp;TRIM(P105),'Price List'!$O$5:$O$74,0)),0)</f>
        <v>0.2</v>
      </c>
      <c r="V105" s="141">
        <f t="shared" si="7"/>
        <v>0.108</v>
      </c>
      <c r="W105" s="142">
        <f>IFERROR(INDEX('Price List'!$J$5:$J$74,MATCH(TRIM(J105)&amp;"|"&amp;TRIM(P105),'Price List'!$O$5:$O$74,0)),0)</f>
        <v>0.73</v>
      </c>
      <c r="X105" s="143">
        <f>IFERROR(INDEX('Price List'!$K$5:$K$74,MATCH(TRIM(J105)&amp;"|"&amp;TRIM(P105),'Price List'!$O$5:$O$74,0)),0)</f>
        <v>0.12</v>
      </c>
      <c r="Y105" s="141">
        <f t="shared" si="8"/>
        <v>0.8176000000000001</v>
      </c>
      <c r="Z105" s="141">
        <f t="shared" si="9"/>
        <v>673.06670080000004</v>
      </c>
      <c r="AA105" s="134"/>
    </row>
    <row r="106" spans="1:27" ht="15" customHeight="1" x14ac:dyDescent="0.35">
      <c r="A106" s="134"/>
      <c r="B106" s="135"/>
      <c r="C106" s="134" t="s">
        <v>444</v>
      </c>
      <c r="D106" s="136" t="str">
        <f t="shared" si="6"/>
        <v>B.04</v>
      </c>
      <c r="E106" s="135" t="s">
        <v>414</v>
      </c>
      <c r="F106" s="135" t="s">
        <v>667</v>
      </c>
      <c r="G106" s="134" t="s">
        <v>31</v>
      </c>
      <c r="H106" s="134" t="s">
        <v>665</v>
      </c>
      <c r="I106" s="134" t="s">
        <v>657</v>
      </c>
      <c r="J106" s="134" t="s">
        <v>107</v>
      </c>
      <c r="K106" s="134"/>
      <c r="L106" s="134"/>
      <c r="M106" s="134"/>
      <c r="N106" s="134"/>
      <c r="O106" s="134"/>
      <c r="P106" s="135" t="s">
        <v>103</v>
      </c>
      <c r="Q106" s="137">
        <f t="shared" si="10"/>
        <v>132.84652800000001</v>
      </c>
      <c r="R106" s="137">
        <f>(R104+R105+R103+R102)*4%</f>
        <v>132.84652800000001</v>
      </c>
      <c r="S106" s="138"/>
      <c r="T106" s="139">
        <f>IFERROR(INDEX('Price List'!$G$5:$G$74,MATCH(TRIM(J106)&amp;"|"&amp;TRIM(P106),'Price List'!$O$5:$O$74,0)),0)</f>
        <v>0.05</v>
      </c>
      <c r="U106" s="140">
        <f>IFERROR(INDEX('Price List'!$H$5:$H$74,MATCH(TRIM(J106)&amp;"|"&amp;TRIM(P106),'Price List'!$O$5:$O$74,0)),0)</f>
        <v>0.2</v>
      </c>
      <c r="V106" s="141">
        <f t="shared" si="7"/>
        <v>0.06</v>
      </c>
      <c r="W106" s="142">
        <f>IFERROR(INDEX('Price List'!$J$5:$J$74,MATCH(TRIM(J106)&amp;"|"&amp;TRIM(P106),'Price List'!$O$5:$O$74,0)),0)</f>
        <v>1.2</v>
      </c>
      <c r="X106" s="143">
        <f>IFERROR(INDEX('Price List'!$K$5:$K$74,MATCH(TRIM(J106)&amp;"|"&amp;TRIM(P106),'Price List'!$O$5:$O$74,0)),0)</f>
        <v>0.12</v>
      </c>
      <c r="Y106" s="141">
        <f t="shared" si="8"/>
        <v>1.3440000000000001</v>
      </c>
      <c r="Z106" s="141">
        <f t="shared" si="9"/>
        <v>186.51652531200003</v>
      </c>
      <c r="AA106" s="134"/>
    </row>
    <row r="107" spans="1:27" ht="15" customHeight="1" x14ac:dyDescent="0.35">
      <c r="A107" s="134"/>
      <c r="B107" s="135"/>
      <c r="C107" s="134" t="s">
        <v>444</v>
      </c>
      <c r="D107" s="136" t="str">
        <f t="shared" si="6"/>
        <v>B.04</v>
      </c>
      <c r="E107" s="135" t="s">
        <v>414</v>
      </c>
      <c r="F107" s="135" t="s">
        <v>667</v>
      </c>
      <c r="G107" s="134" t="s">
        <v>31</v>
      </c>
      <c r="H107" s="134" t="s">
        <v>578</v>
      </c>
      <c r="I107" s="134" t="s">
        <v>512</v>
      </c>
      <c r="J107" s="145" t="s">
        <v>125</v>
      </c>
      <c r="K107" s="134"/>
      <c r="L107" s="134"/>
      <c r="M107" s="134"/>
      <c r="N107" s="134"/>
      <c r="O107" s="134"/>
      <c r="P107" s="135" t="s">
        <v>100</v>
      </c>
      <c r="Q107" s="137">
        <f t="shared" si="10"/>
        <v>21.853439999999999</v>
      </c>
      <c r="R107" s="137">
        <f t="shared" ref="R107:R113" si="11">R72-(R72*16%)</f>
        <v>21.853439999999999</v>
      </c>
      <c r="S107" s="138"/>
      <c r="T107" s="139">
        <f>IFERROR(INDEX('Price List'!$G$5:$G$74,MATCH(TRIM(J107)&amp;"|"&amp;TRIM(P107),'Price List'!$O$5:$O$74,0)),0)</f>
        <v>10</v>
      </c>
      <c r="U107" s="140">
        <f>IFERROR(INDEX('Price List'!$H$5:$H$74,MATCH(TRIM(J107)&amp;"|"&amp;TRIM(P107),'Price List'!$O$5:$O$74,0)),0)</f>
        <v>0.2</v>
      </c>
      <c r="V107" s="141">
        <f t="shared" si="7"/>
        <v>12</v>
      </c>
      <c r="W107" s="142">
        <f>IFERROR(INDEX('Price List'!$J$5:$J$74,MATCH(TRIM(J107)&amp;"|"&amp;TRIM(P107),'Price List'!$O$5:$O$74,0)),0)</f>
        <v>98</v>
      </c>
      <c r="X107" s="143">
        <f>IFERROR(INDEX('Price List'!$K$5:$K$74,MATCH(TRIM(J107)&amp;"|"&amp;TRIM(P107),'Price List'!$O$5:$O$74,0)),0)</f>
        <v>0.12</v>
      </c>
      <c r="Y107" s="141">
        <f t="shared" si="8"/>
        <v>109.76</v>
      </c>
      <c r="Z107" s="141">
        <f t="shared" si="9"/>
        <v>2660.8748544</v>
      </c>
      <c r="AA107" s="134"/>
    </row>
    <row r="108" spans="1:27" ht="15" customHeight="1" x14ac:dyDescent="0.35">
      <c r="A108" s="134"/>
      <c r="B108" s="135"/>
      <c r="C108" s="134" t="s">
        <v>444</v>
      </c>
      <c r="D108" s="136" t="str">
        <f t="shared" si="6"/>
        <v>B.04</v>
      </c>
      <c r="E108" s="135" t="s">
        <v>414</v>
      </c>
      <c r="F108" s="135" t="s">
        <v>667</v>
      </c>
      <c r="G108" s="134" t="s">
        <v>31</v>
      </c>
      <c r="H108" s="134" t="s">
        <v>578</v>
      </c>
      <c r="I108" s="144" t="s">
        <v>127</v>
      </c>
      <c r="J108" s="144" t="s">
        <v>127</v>
      </c>
      <c r="K108" s="144"/>
      <c r="L108" s="134"/>
      <c r="M108" s="134"/>
      <c r="N108" s="134"/>
      <c r="O108" s="134"/>
      <c r="P108" s="135" t="s">
        <v>128</v>
      </c>
      <c r="Q108" s="137">
        <f t="shared" si="10"/>
        <v>327.80159999999995</v>
      </c>
      <c r="R108" s="137">
        <f t="shared" si="11"/>
        <v>327.80159999999995</v>
      </c>
      <c r="S108" s="138"/>
      <c r="T108" s="139">
        <f>IFERROR(INDEX('Price List'!$G$5:$G$74,MATCH(TRIM(J108)&amp;"|"&amp;TRIM(P108),'Price List'!$O$5:$O$74,0)),0)</f>
        <v>6</v>
      </c>
      <c r="U108" s="140">
        <f>IFERROR(INDEX('Price List'!$H$5:$H$74,MATCH(TRIM(J108)&amp;"|"&amp;TRIM(P108),'Price List'!$O$5:$O$74,0)),0)</f>
        <v>0.2</v>
      </c>
      <c r="V108" s="141">
        <f t="shared" si="7"/>
        <v>7.1999999999999993</v>
      </c>
      <c r="W108" s="142">
        <f>IFERROR(INDEX('Price List'!$J$5:$J$74,MATCH(TRIM(J108)&amp;"|"&amp;TRIM(P108),'Price List'!$O$5:$O$74,0)),0)</f>
        <v>5</v>
      </c>
      <c r="X108" s="143">
        <f>IFERROR(INDEX('Price List'!$K$5:$K$74,MATCH(TRIM(J108)&amp;"|"&amp;TRIM(P108),'Price List'!$O$5:$O$74,0)),0)</f>
        <v>0.12</v>
      </c>
      <c r="Y108" s="141">
        <f t="shared" si="8"/>
        <v>5.6000000000000005</v>
      </c>
      <c r="Z108" s="141">
        <f t="shared" si="9"/>
        <v>4195.8604799999994</v>
      </c>
      <c r="AA108" s="134"/>
    </row>
    <row r="109" spans="1:27" ht="15" customHeight="1" x14ac:dyDescent="0.35">
      <c r="A109" s="134"/>
      <c r="B109" s="135"/>
      <c r="C109" s="134" t="s">
        <v>444</v>
      </c>
      <c r="D109" s="136" t="str">
        <f t="shared" si="6"/>
        <v>B.04</v>
      </c>
      <c r="E109" s="135" t="s">
        <v>414</v>
      </c>
      <c r="F109" s="135" t="s">
        <v>667</v>
      </c>
      <c r="G109" s="134" t="s">
        <v>31</v>
      </c>
      <c r="H109" s="134" t="s">
        <v>578</v>
      </c>
      <c r="I109" s="134" t="s">
        <v>513</v>
      </c>
      <c r="J109" s="144" t="s">
        <v>169</v>
      </c>
      <c r="K109" s="144"/>
      <c r="L109" s="134"/>
      <c r="M109" s="134"/>
      <c r="N109" s="134"/>
      <c r="O109" s="134"/>
      <c r="P109" s="135" t="s">
        <v>103</v>
      </c>
      <c r="Q109" s="137">
        <f t="shared" si="10"/>
        <v>184.76219999999998</v>
      </c>
      <c r="R109" s="137">
        <f t="shared" si="11"/>
        <v>184.76219999999998</v>
      </c>
      <c r="S109" s="138"/>
      <c r="T109" s="139">
        <f>IFERROR(INDEX('Price List'!$G$5:$G$74,MATCH(TRIM(J109)&amp;"|"&amp;TRIM(P109),'Price List'!$O$5:$O$74,0)),0)</f>
        <v>0.12</v>
      </c>
      <c r="U109" s="140">
        <f>IFERROR(INDEX('Price List'!$H$5:$H$74,MATCH(TRIM(J109)&amp;"|"&amp;TRIM(P109),'Price List'!$O$5:$O$74,0)),0)</f>
        <v>0.2</v>
      </c>
      <c r="V109" s="141">
        <f t="shared" si="7"/>
        <v>0.14399999999999999</v>
      </c>
      <c r="W109" s="142">
        <f>IFERROR(INDEX('Price List'!$J$5:$J$74,MATCH(TRIM(J109)&amp;"|"&amp;TRIM(P109),'Price List'!$O$5:$O$74,0)),0)</f>
        <v>0.77</v>
      </c>
      <c r="X109" s="143">
        <f>IFERROR(INDEX('Price List'!$K$5:$K$74,MATCH(TRIM(J109)&amp;"|"&amp;TRIM(P109),'Price List'!$O$5:$O$74,0)),0)</f>
        <v>0.12</v>
      </c>
      <c r="Y109" s="141">
        <f t="shared" si="8"/>
        <v>0.86240000000000006</v>
      </c>
      <c r="Z109" s="141">
        <f t="shared" si="9"/>
        <v>185.94467807999996</v>
      </c>
      <c r="AA109" s="134"/>
    </row>
    <row r="110" spans="1:27" ht="15" customHeight="1" x14ac:dyDescent="0.35">
      <c r="A110" s="134"/>
      <c r="B110" s="135"/>
      <c r="C110" s="134" t="s">
        <v>444</v>
      </c>
      <c r="D110" s="136" t="str">
        <f t="shared" si="6"/>
        <v>B.04</v>
      </c>
      <c r="E110" s="135" t="s">
        <v>414</v>
      </c>
      <c r="F110" s="135" t="s">
        <v>667</v>
      </c>
      <c r="G110" s="134" t="s">
        <v>31</v>
      </c>
      <c r="H110" s="134" t="s">
        <v>578</v>
      </c>
      <c r="I110" s="134" t="s">
        <v>513</v>
      </c>
      <c r="J110" s="144" t="s">
        <v>102</v>
      </c>
      <c r="K110" s="134"/>
      <c r="L110" s="134"/>
      <c r="M110" s="134"/>
      <c r="N110" s="134"/>
      <c r="O110" s="134"/>
      <c r="P110" s="135" t="s">
        <v>103</v>
      </c>
      <c r="Q110" s="137">
        <f t="shared" si="10"/>
        <v>173.88</v>
      </c>
      <c r="R110" s="137">
        <f t="shared" si="11"/>
        <v>173.88</v>
      </c>
      <c r="S110" s="138"/>
      <c r="T110" s="139">
        <f>IFERROR(INDEX('Price List'!$G$5:$G$74,MATCH(TRIM(J110)&amp;"|"&amp;TRIM(P110),'Price List'!$O$5:$O$74,0)),0)</f>
        <v>0.12</v>
      </c>
      <c r="U110" s="140">
        <f>IFERROR(INDEX('Price List'!$H$5:$H$74,MATCH(TRIM(J110)&amp;"|"&amp;TRIM(P110),'Price List'!$O$5:$O$74,0)),0)</f>
        <v>0.2</v>
      </c>
      <c r="V110" s="141">
        <f t="shared" si="7"/>
        <v>0.14399999999999999</v>
      </c>
      <c r="W110" s="142">
        <f>IFERROR(INDEX('Price List'!$J$5:$J$74,MATCH(TRIM(J110)&amp;"|"&amp;TRIM(P110),'Price List'!$O$5:$O$74,0)),0)</f>
        <v>0.78</v>
      </c>
      <c r="X110" s="143">
        <f>IFERROR(INDEX('Price List'!$K$5:$K$74,MATCH(TRIM(J110)&amp;"|"&amp;TRIM(P110),'Price List'!$O$5:$O$74,0)),0)</f>
        <v>0.12</v>
      </c>
      <c r="Y110" s="141">
        <f t="shared" si="8"/>
        <v>0.87360000000000015</v>
      </c>
      <c r="Z110" s="141">
        <f t="shared" si="9"/>
        <v>176.94028800000001</v>
      </c>
      <c r="AA110" s="134"/>
    </row>
    <row r="111" spans="1:27" ht="15" customHeight="1" x14ac:dyDescent="0.35">
      <c r="A111" s="134"/>
      <c r="B111" s="135"/>
      <c r="C111" s="134" t="s">
        <v>444</v>
      </c>
      <c r="D111" s="136" t="str">
        <f t="shared" si="6"/>
        <v>B.04</v>
      </c>
      <c r="E111" s="135" t="s">
        <v>414</v>
      </c>
      <c r="F111" s="135" t="s">
        <v>667</v>
      </c>
      <c r="G111" s="134" t="s">
        <v>31</v>
      </c>
      <c r="H111" s="134" t="s">
        <v>578</v>
      </c>
      <c r="I111" s="134" t="s">
        <v>513</v>
      </c>
      <c r="J111" s="144" t="s">
        <v>131</v>
      </c>
      <c r="K111" s="134"/>
      <c r="L111" s="134"/>
      <c r="M111" s="134"/>
      <c r="N111" s="134"/>
      <c r="O111" s="134"/>
      <c r="P111" s="135" t="s">
        <v>103</v>
      </c>
      <c r="Q111" s="137">
        <f t="shared" si="10"/>
        <v>2448.5328</v>
      </c>
      <c r="R111" s="137">
        <f t="shared" si="11"/>
        <v>2448.5328</v>
      </c>
      <c r="S111" s="138"/>
      <c r="T111" s="139">
        <f>IFERROR(INDEX('Price List'!$G$5:$G$74,MATCH(TRIM(J111)&amp;"|"&amp;TRIM(P111),'Price List'!$O$5:$O$74,0)),0)</f>
        <v>0.11</v>
      </c>
      <c r="U111" s="140">
        <f>IFERROR(INDEX('Price List'!$H$5:$H$74,MATCH(TRIM(J111)&amp;"|"&amp;TRIM(P111),'Price List'!$O$5:$O$74,0)),0)</f>
        <v>0.2</v>
      </c>
      <c r="V111" s="141">
        <f t="shared" si="7"/>
        <v>0.13200000000000001</v>
      </c>
      <c r="W111" s="142">
        <f>IFERROR(INDEX('Price List'!$J$5:$J$74,MATCH(TRIM(J111)&amp;"|"&amp;TRIM(P111),'Price List'!$O$5:$O$74,0)),0)</f>
        <v>0.76</v>
      </c>
      <c r="X111" s="143">
        <f>IFERROR(INDEX('Price List'!$K$5:$K$74,MATCH(TRIM(J111)&amp;"|"&amp;TRIM(P111),'Price List'!$O$5:$O$74,0)),0)</f>
        <v>0.12</v>
      </c>
      <c r="Y111" s="141">
        <f t="shared" si="8"/>
        <v>0.85120000000000007</v>
      </c>
      <c r="Z111" s="141">
        <f t="shared" si="9"/>
        <v>2407.39744896</v>
      </c>
      <c r="AA111" s="134"/>
    </row>
    <row r="112" spans="1:27" ht="15" customHeight="1" x14ac:dyDescent="0.35">
      <c r="A112" s="134"/>
      <c r="B112" s="135"/>
      <c r="C112" s="134" t="s">
        <v>444</v>
      </c>
      <c r="D112" s="136" t="str">
        <f t="shared" si="6"/>
        <v>B.04</v>
      </c>
      <c r="E112" s="135" t="s">
        <v>414</v>
      </c>
      <c r="F112" s="135" t="s">
        <v>667</v>
      </c>
      <c r="G112" s="134" t="s">
        <v>31</v>
      </c>
      <c r="H112" s="134" t="s">
        <v>578</v>
      </c>
      <c r="I112" s="134" t="s">
        <v>513</v>
      </c>
      <c r="J112" s="144" t="s">
        <v>133</v>
      </c>
      <c r="K112" s="134"/>
      <c r="L112" s="134"/>
      <c r="M112" s="134"/>
      <c r="N112" s="134"/>
      <c r="O112" s="134"/>
      <c r="P112" s="135" t="s">
        <v>103</v>
      </c>
      <c r="Q112" s="137">
        <f t="shared" si="10"/>
        <v>450.22723200000007</v>
      </c>
      <c r="R112" s="137">
        <f t="shared" si="11"/>
        <v>450.22723200000007</v>
      </c>
      <c r="S112" s="138"/>
      <c r="T112" s="139">
        <f>IFERROR(INDEX('Price List'!$G$5:$G$74,MATCH(TRIM(J112)&amp;"|"&amp;TRIM(P112),'Price List'!$O$5:$O$74,0)),0)</f>
        <v>0.1</v>
      </c>
      <c r="U112" s="140">
        <f>IFERROR(INDEX('Price List'!$H$5:$H$74,MATCH(TRIM(J112)&amp;"|"&amp;TRIM(P112),'Price List'!$O$5:$O$74,0)),0)</f>
        <v>0.2</v>
      </c>
      <c r="V112" s="141">
        <f t="shared" si="7"/>
        <v>0.12</v>
      </c>
      <c r="W112" s="142">
        <f>IFERROR(INDEX('Price List'!$J$5:$J$74,MATCH(TRIM(J112)&amp;"|"&amp;TRIM(P112),'Price List'!$O$5:$O$74,0)),0)</f>
        <v>0.74</v>
      </c>
      <c r="X112" s="143">
        <f>IFERROR(INDEX('Price List'!$K$5:$K$74,MATCH(TRIM(J112)&amp;"|"&amp;TRIM(P112),'Price List'!$O$5:$O$74,0)),0)</f>
        <v>0.12</v>
      </c>
      <c r="Y112" s="141">
        <f t="shared" si="8"/>
        <v>0.82880000000000009</v>
      </c>
      <c r="Z112" s="141">
        <f t="shared" si="9"/>
        <v>427.17559772160013</v>
      </c>
      <c r="AA112" s="134"/>
    </row>
    <row r="113" spans="1:27" ht="15" customHeight="1" x14ac:dyDescent="0.35">
      <c r="A113" s="134"/>
      <c r="B113" s="135"/>
      <c r="C113" s="134" t="s">
        <v>444</v>
      </c>
      <c r="D113" s="136" t="str">
        <f t="shared" si="6"/>
        <v>B.04</v>
      </c>
      <c r="E113" s="135" t="s">
        <v>414</v>
      </c>
      <c r="F113" s="135" t="s">
        <v>667</v>
      </c>
      <c r="G113" s="134" t="s">
        <v>31</v>
      </c>
      <c r="H113" s="134" t="s">
        <v>578</v>
      </c>
      <c r="I113" s="134" t="s">
        <v>513</v>
      </c>
      <c r="J113" s="144" t="s">
        <v>135</v>
      </c>
      <c r="K113" s="134"/>
      <c r="L113" s="134"/>
      <c r="M113" s="134"/>
      <c r="N113" s="134"/>
      <c r="O113" s="134"/>
      <c r="P113" s="135" t="s">
        <v>103</v>
      </c>
      <c r="Q113" s="137">
        <f t="shared" si="10"/>
        <v>213.68256000000002</v>
      </c>
      <c r="R113" s="137">
        <f t="shared" si="11"/>
        <v>213.68256000000002</v>
      </c>
      <c r="S113" s="138"/>
      <c r="T113" s="139">
        <f>IFERROR(INDEX('Price List'!$G$5:$G$74,MATCH(TRIM(J113)&amp;"|"&amp;TRIM(P113),'Price List'!$O$5:$O$74,0)),0)</f>
        <v>0.09</v>
      </c>
      <c r="U113" s="140">
        <f>IFERROR(INDEX('Price List'!$H$5:$H$74,MATCH(TRIM(J113)&amp;"|"&amp;TRIM(P113),'Price List'!$O$5:$O$74,0)),0)</f>
        <v>0.2</v>
      </c>
      <c r="V113" s="141">
        <f t="shared" si="7"/>
        <v>0.108</v>
      </c>
      <c r="W113" s="142">
        <f>IFERROR(INDEX('Price List'!$J$5:$J$74,MATCH(TRIM(J113)&amp;"|"&amp;TRIM(P113),'Price List'!$O$5:$O$74,0)),0)</f>
        <v>0.73</v>
      </c>
      <c r="X113" s="143">
        <f>IFERROR(INDEX('Price List'!$K$5:$K$74,MATCH(TRIM(J113)&amp;"|"&amp;TRIM(P113),'Price List'!$O$5:$O$74,0)),0)</f>
        <v>0.12</v>
      </c>
      <c r="Y113" s="141">
        <f t="shared" si="8"/>
        <v>0.8176000000000001</v>
      </c>
      <c r="Z113" s="141">
        <f t="shared" si="9"/>
        <v>197.78457753600003</v>
      </c>
      <c r="AA113" s="134"/>
    </row>
    <row r="114" spans="1:27" ht="15" customHeight="1" x14ac:dyDescent="0.35">
      <c r="A114" s="134"/>
      <c r="B114" s="135"/>
      <c r="C114" s="134" t="s">
        <v>444</v>
      </c>
      <c r="D114" s="136" t="str">
        <f t="shared" si="6"/>
        <v>B.04</v>
      </c>
      <c r="E114" s="135" t="s">
        <v>414</v>
      </c>
      <c r="F114" s="135" t="s">
        <v>667</v>
      </c>
      <c r="G114" s="134" t="s">
        <v>31</v>
      </c>
      <c r="H114" s="134" t="s">
        <v>578</v>
      </c>
      <c r="I114" s="134" t="s">
        <v>657</v>
      </c>
      <c r="J114" s="134" t="s">
        <v>107</v>
      </c>
      <c r="K114" s="134"/>
      <c r="L114" s="134"/>
      <c r="M114" s="134"/>
      <c r="N114" s="134"/>
      <c r="O114" s="134"/>
      <c r="P114" s="135" t="s">
        <v>103</v>
      </c>
      <c r="Q114" s="137">
        <f t="shared" si="10"/>
        <v>138.84339168000002</v>
      </c>
      <c r="R114" s="137">
        <f>(R112+R113+R111+R110+R109)*4%</f>
        <v>138.84339168000002</v>
      </c>
      <c r="S114" s="138"/>
      <c r="T114" s="139">
        <f>IFERROR(INDEX('Price List'!$G$5:$G$74,MATCH(TRIM(J114)&amp;"|"&amp;TRIM(P114),'Price List'!$O$5:$O$74,0)),0)</f>
        <v>0.05</v>
      </c>
      <c r="U114" s="140">
        <f>IFERROR(INDEX('Price List'!$H$5:$H$74,MATCH(TRIM(J114)&amp;"|"&amp;TRIM(P114),'Price List'!$O$5:$O$74,0)),0)</f>
        <v>0.2</v>
      </c>
      <c r="V114" s="141">
        <f t="shared" si="7"/>
        <v>0.06</v>
      </c>
      <c r="W114" s="142">
        <f>IFERROR(INDEX('Price List'!$J$5:$J$74,MATCH(TRIM(J114)&amp;"|"&amp;TRIM(P114),'Price List'!$O$5:$O$74,0)),0)</f>
        <v>1.2</v>
      </c>
      <c r="X114" s="143">
        <f>IFERROR(INDEX('Price List'!$K$5:$K$74,MATCH(TRIM(J114)&amp;"|"&amp;TRIM(P114),'Price List'!$O$5:$O$74,0)),0)</f>
        <v>0.12</v>
      </c>
      <c r="Y114" s="141">
        <f t="shared" si="8"/>
        <v>1.3440000000000001</v>
      </c>
      <c r="Z114" s="141">
        <f t="shared" si="9"/>
        <v>194.93612191872006</v>
      </c>
      <c r="AA114" s="134"/>
    </row>
    <row r="115" spans="1:27" ht="15" customHeight="1" x14ac:dyDescent="0.35">
      <c r="A115" s="134"/>
      <c r="B115" s="135"/>
      <c r="C115" s="134" t="s">
        <v>444</v>
      </c>
      <c r="D115" s="136" t="str">
        <f t="shared" si="6"/>
        <v>B.04</v>
      </c>
      <c r="E115" s="135" t="s">
        <v>414</v>
      </c>
      <c r="F115" s="135" t="s">
        <v>668</v>
      </c>
      <c r="G115" s="134" t="s">
        <v>31</v>
      </c>
      <c r="H115" s="134" t="s">
        <v>564</v>
      </c>
      <c r="I115" s="134" t="s">
        <v>512</v>
      </c>
      <c r="J115" s="145" t="s">
        <v>125</v>
      </c>
      <c r="K115" s="134"/>
      <c r="L115" s="134"/>
      <c r="M115" s="134"/>
      <c r="N115" s="134"/>
      <c r="O115" s="134"/>
      <c r="P115" s="135" t="s">
        <v>100</v>
      </c>
      <c r="Q115" s="137">
        <f t="shared" si="10"/>
        <v>46.741149999999998</v>
      </c>
      <c r="R115" s="137">
        <f>'1F,2F beam'!H11</f>
        <v>46.741149999999998</v>
      </c>
      <c r="S115" s="138"/>
      <c r="T115" s="139">
        <f>IFERROR(INDEX('Price List'!$G$5:$G$74,MATCH(TRIM(J115)&amp;"|"&amp;TRIM(P115),'Price List'!$O$5:$O$74,0)),0)</f>
        <v>10</v>
      </c>
      <c r="U115" s="140">
        <f>IFERROR(INDEX('Price List'!$H$5:$H$74,MATCH(TRIM(J115)&amp;"|"&amp;TRIM(P115),'Price List'!$O$5:$O$74,0)),0)</f>
        <v>0.2</v>
      </c>
      <c r="V115" s="141">
        <f t="shared" si="7"/>
        <v>12</v>
      </c>
      <c r="W115" s="142">
        <f>IFERROR(INDEX('Price List'!$J$5:$J$74,MATCH(TRIM(J115)&amp;"|"&amp;TRIM(P115),'Price List'!$O$5:$O$74,0)),0)</f>
        <v>98</v>
      </c>
      <c r="X115" s="143">
        <f>IFERROR(INDEX('Price List'!$K$5:$K$74,MATCH(TRIM(J115)&amp;"|"&amp;TRIM(P115),'Price List'!$O$5:$O$74,0)),0)</f>
        <v>0.12</v>
      </c>
      <c r="Y115" s="141">
        <f t="shared" si="8"/>
        <v>109.76</v>
      </c>
      <c r="Z115" s="141">
        <f t="shared" si="9"/>
        <v>5691.2024240000001</v>
      </c>
      <c r="AA115" s="134"/>
    </row>
    <row r="116" spans="1:27" ht="15" customHeight="1" x14ac:dyDescent="0.35">
      <c r="A116" s="134"/>
      <c r="B116" s="135"/>
      <c r="C116" s="134" t="s">
        <v>444</v>
      </c>
      <c r="D116" s="136" t="str">
        <f t="shared" si="6"/>
        <v>B.04</v>
      </c>
      <c r="E116" s="135" t="s">
        <v>414</v>
      </c>
      <c r="F116" s="135" t="s">
        <v>668</v>
      </c>
      <c r="G116" s="134" t="s">
        <v>31</v>
      </c>
      <c r="H116" s="134" t="s">
        <v>564</v>
      </c>
      <c r="I116" s="144" t="s">
        <v>127</v>
      </c>
      <c r="J116" s="144" t="s">
        <v>127</v>
      </c>
      <c r="K116" s="144"/>
      <c r="L116" s="134"/>
      <c r="M116" s="134"/>
      <c r="N116" s="134"/>
      <c r="O116" s="134"/>
      <c r="P116" s="135" t="s">
        <v>128</v>
      </c>
      <c r="Q116" s="137">
        <f t="shared" si="10"/>
        <v>446.52599999999995</v>
      </c>
      <c r="R116" s="137">
        <f>'1F,2F beam'!G11</f>
        <v>446.52599999999995</v>
      </c>
      <c r="S116" s="138"/>
      <c r="T116" s="139">
        <f>IFERROR(INDEX('Price List'!$G$5:$G$74,MATCH(TRIM(J116)&amp;"|"&amp;TRIM(P116),'Price List'!$O$5:$O$74,0)),0)</f>
        <v>6</v>
      </c>
      <c r="U116" s="140">
        <f>IFERROR(INDEX('Price List'!$H$5:$H$74,MATCH(TRIM(J116)&amp;"|"&amp;TRIM(P116),'Price List'!$O$5:$O$74,0)),0)</f>
        <v>0.2</v>
      </c>
      <c r="V116" s="141">
        <f t="shared" si="7"/>
        <v>7.1999999999999993</v>
      </c>
      <c r="W116" s="142">
        <f>IFERROR(INDEX('Price List'!$J$5:$J$74,MATCH(TRIM(J116)&amp;"|"&amp;TRIM(P116),'Price List'!$O$5:$O$74,0)),0)</f>
        <v>5</v>
      </c>
      <c r="X116" s="143">
        <f>IFERROR(INDEX('Price List'!$K$5:$K$74,MATCH(TRIM(J116)&amp;"|"&amp;TRIM(P116),'Price List'!$O$5:$O$74,0)),0)</f>
        <v>0.12</v>
      </c>
      <c r="Y116" s="141">
        <f t="shared" si="8"/>
        <v>5.6000000000000005</v>
      </c>
      <c r="Z116" s="141">
        <f t="shared" si="9"/>
        <v>5715.5328</v>
      </c>
      <c r="AA116" s="134"/>
    </row>
    <row r="117" spans="1:27" ht="15" customHeight="1" x14ac:dyDescent="0.35">
      <c r="A117" s="134"/>
      <c r="B117" s="135"/>
      <c r="C117" s="134" t="s">
        <v>444</v>
      </c>
      <c r="D117" s="136" t="str">
        <f t="shared" si="6"/>
        <v>B.04</v>
      </c>
      <c r="E117" s="135" t="s">
        <v>414</v>
      </c>
      <c r="F117" s="135" t="s">
        <v>668</v>
      </c>
      <c r="G117" s="134" t="s">
        <v>31</v>
      </c>
      <c r="H117" s="134" t="s">
        <v>564</v>
      </c>
      <c r="I117" s="134" t="s">
        <v>513</v>
      </c>
      <c r="J117" s="144" t="s">
        <v>169</v>
      </c>
      <c r="K117" s="134"/>
      <c r="L117" s="134"/>
      <c r="M117" s="134"/>
      <c r="N117" s="134"/>
      <c r="O117" s="134"/>
      <c r="P117" s="135" t="s">
        <v>103</v>
      </c>
      <c r="Q117" s="137">
        <f t="shared" si="10"/>
        <v>624.19479999999999</v>
      </c>
      <c r="R117" s="137">
        <f>'1F,2F beam'!J14</f>
        <v>624.19479999999999</v>
      </c>
      <c r="S117" s="138"/>
      <c r="T117" s="139">
        <f>IFERROR(INDEX('Price List'!$G$5:$G$74,MATCH(TRIM(J117)&amp;"|"&amp;TRIM(P117),'Price List'!$O$5:$O$74,0)),0)</f>
        <v>0.12</v>
      </c>
      <c r="U117" s="140">
        <f>IFERROR(INDEX('Price List'!$H$5:$H$74,MATCH(TRIM(J117)&amp;"|"&amp;TRIM(P117),'Price List'!$O$5:$O$74,0)),0)</f>
        <v>0.2</v>
      </c>
      <c r="V117" s="141">
        <f t="shared" si="7"/>
        <v>0.14399999999999999</v>
      </c>
      <c r="W117" s="142">
        <f>IFERROR(INDEX('Price List'!$J$5:$J$74,MATCH(TRIM(J117)&amp;"|"&amp;TRIM(P117),'Price List'!$O$5:$O$74,0)),0)</f>
        <v>0.77</v>
      </c>
      <c r="X117" s="143">
        <f>IFERROR(INDEX('Price List'!$K$5:$K$74,MATCH(TRIM(J117)&amp;"|"&amp;TRIM(P117),'Price List'!$O$5:$O$74,0)),0)</f>
        <v>0.12</v>
      </c>
      <c r="Y117" s="141">
        <f t="shared" si="8"/>
        <v>0.86240000000000006</v>
      </c>
      <c r="Z117" s="141">
        <f t="shared" si="9"/>
        <v>628.18964671999993</v>
      </c>
      <c r="AA117" s="134"/>
    </row>
    <row r="118" spans="1:27" ht="15" customHeight="1" x14ac:dyDescent="0.35">
      <c r="A118" s="134"/>
      <c r="B118" s="135"/>
      <c r="C118" s="134" t="s">
        <v>444</v>
      </c>
      <c r="D118" s="136" t="str">
        <f t="shared" si="6"/>
        <v>B.04</v>
      </c>
      <c r="E118" s="135" t="s">
        <v>414</v>
      </c>
      <c r="F118" s="135" t="s">
        <v>668</v>
      </c>
      <c r="G118" s="134" t="s">
        <v>31</v>
      </c>
      <c r="H118" s="134" t="s">
        <v>564</v>
      </c>
      <c r="I118" s="134" t="s">
        <v>513</v>
      </c>
      <c r="J118" s="144" t="s">
        <v>102</v>
      </c>
      <c r="K118" s="134"/>
      <c r="L118" s="134"/>
      <c r="M118" s="134"/>
      <c r="N118" s="134"/>
      <c r="O118" s="134"/>
      <c r="P118" s="135" t="s">
        <v>103</v>
      </c>
      <c r="Q118" s="137">
        <f t="shared" si="10"/>
        <v>2823.6114200000006</v>
      </c>
      <c r="R118" s="137">
        <f>'1F,2F beam'!J15</f>
        <v>2823.6114200000006</v>
      </c>
      <c r="S118" s="138"/>
      <c r="T118" s="139">
        <f>IFERROR(INDEX('Price List'!$G$5:$G$74,MATCH(TRIM(J118)&amp;"|"&amp;TRIM(P118),'Price List'!$O$5:$O$74,0)),0)</f>
        <v>0.12</v>
      </c>
      <c r="U118" s="140">
        <f>IFERROR(INDEX('Price List'!$H$5:$H$74,MATCH(TRIM(J118)&amp;"|"&amp;TRIM(P118),'Price List'!$O$5:$O$74,0)),0)</f>
        <v>0.2</v>
      </c>
      <c r="V118" s="141">
        <f t="shared" si="7"/>
        <v>0.14399999999999999</v>
      </c>
      <c r="W118" s="142">
        <f>IFERROR(INDEX('Price List'!$J$5:$J$74,MATCH(TRIM(J118)&amp;"|"&amp;TRIM(P118),'Price List'!$O$5:$O$74,0)),0)</f>
        <v>0.78</v>
      </c>
      <c r="X118" s="143">
        <f>IFERROR(INDEX('Price List'!$K$5:$K$74,MATCH(TRIM(J118)&amp;"|"&amp;TRIM(P118),'Price List'!$O$5:$O$74,0)),0)</f>
        <v>0.12</v>
      </c>
      <c r="Y118" s="141">
        <f t="shared" si="8"/>
        <v>0.87360000000000015</v>
      </c>
      <c r="Z118" s="141">
        <f t="shared" si="9"/>
        <v>2873.3069809920007</v>
      </c>
      <c r="AA118" s="134"/>
    </row>
    <row r="119" spans="1:27" ht="15" customHeight="1" x14ac:dyDescent="0.35">
      <c r="A119" s="134"/>
      <c r="B119" s="135"/>
      <c r="C119" s="134" t="s">
        <v>444</v>
      </c>
      <c r="D119" s="136" t="str">
        <f t="shared" si="6"/>
        <v>B.04</v>
      </c>
      <c r="E119" s="135" t="s">
        <v>414</v>
      </c>
      <c r="F119" s="135" t="s">
        <v>668</v>
      </c>
      <c r="G119" s="134" t="s">
        <v>31</v>
      </c>
      <c r="H119" s="134" t="s">
        <v>564</v>
      </c>
      <c r="I119" s="134" t="s">
        <v>513</v>
      </c>
      <c r="J119" s="144" t="s">
        <v>131</v>
      </c>
      <c r="K119" s="134"/>
      <c r="L119" s="134"/>
      <c r="M119" s="134"/>
      <c r="N119" s="134"/>
      <c r="O119" s="134"/>
      <c r="P119" s="135" t="s">
        <v>103</v>
      </c>
      <c r="Q119" s="137">
        <f t="shared" si="10"/>
        <v>295.33103999999997</v>
      </c>
      <c r="R119" s="137">
        <f>'1F,2F beam'!J16</f>
        <v>295.33103999999997</v>
      </c>
      <c r="S119" s="138"/>
      <c r="T119" s="139">
        <f>IFERROR(INDEX('Price List'!$G$5:$G$74,MATCH(TRIM(J119)&amp;"|"&amp;TRIM(P119),'Price List'!$O$5:$O$74,0)),0)</f>
        <v>0.11</v>
      </c>
      <c r="U119" s="140">
        <f>IFERROR(INDEX('Price List'!$H$5:$H$74,MATCH(TRIM(J119)&amp;"|"&amp;TRIM(P119),'Price List'!$O$5:$O$74,0)),0)</f>
        <v>0.2</v>
      </c>
      <c r="V119" s="141">
        <f t="shared" si="7"/>
        <v>0.13200000000000001</v>
      </c>
      <c r="W119" s="142">
        <f>IFERROR(INDEX('Price List'!$J$5:$J$74,MATCH(TRIM(J119)&amp;"|"&amp;TRIM(P119),'Price List'!$O$5:$O$74,0)),0)</f>
        <v>0.76</v>
      </c>
      <c r="X119" s="143">
        <f>IFERROR(INDEX('Price List'!$K$5:$K$74,MATCH(TRIM(J119)&amp;"|"&amp;TRIM(P119),'Price List'!$O$5:$O$74,0)),0)</f>
        <v>0.12</v>
      </c>
      <c r="Y119" s="141">
        <f t="shared" si="8"/>
        <v>0.85120000000000007</v>
      </c>
      <c r="Z119" s="141">
        <f t="shared" si="9"/>
        <v>290.369478528</v>
      </c>
      <c r="AA119" s="134"/>
    </row>
    <row r="120" spans="1:27" ht="15" customHeight="1" x14ac:dyDescent="0.35">
      <c r="A120" s="134"/>
      <c r="B120" s="135"/>
      <c r="C120" s="134" t="s">
        <v>444</v>
      </c>
      <c r="D120" s="136" t="str">
        <f t="shared" si="6"/>
        <v>B.04</v>
      </c>
      <c r="E120" s="135" t="s">
        <v>414</v>
      </c>
      <c r="F120" s="135" t="s">
        <v>668</v>
      </c>
      <c r="G120" s="134" t="s">
        <v>31</v>
      </c>
      <c r="H120" s="134" t="s">
        <v>564</v>
      </c>
      <c r="I120" s="134" t="s">
        <v>513</v>
      </c>
      <c r="J120" s="144" t="s">
        <v>133</v>
      </c>
      <c r="K120" s="134"/>
      <c r="L120" s="134"/>
      <c r="M120" s="134"/>
      <c r="N120" s="134"/>
      <c r="O120" s="134"/>
      <c r="P120" s="135" t="s">
        <v>103</v>
      </c>
      <c r="Q120" s="137">
        <f t="shared" si="10"/>
        <v>2411.8152</v>
      </c>
      <c r="R120" s="137">
        <f>'1F,2F beam'!J17</f>
        <v>2411.8152</v>
      </c>
      <c r="S120" s="138"/>
      <c r="T120" s="139">
        <f>IFERROR(INDEX('Price List'!$G$5:$G$74,MATCH(TRIM(J120)&amp;"|"&amp;TRIM(P120),'Price List'!$O$5:$O$74,0)),0)</f>
        <v>0.1</v>
      </c>
      <c r="U120" s="140">
        <f>IFERROR(INDEX('Price List'!$H$5:$H$74,MATCH(TRIM(J120)&amp;"|"&amp;TRIM(P120),'Price List'!$O$5:$O$74,0)),0)</f>
        <v>0.2</v>
      </c>
      <c r="V120" s="141">
        <f t="shared" si="7"/>
        <v>0.12</v>
      </c>
      <c r="W120" s="142">
        <f>IFERROR(INDEX('Price List'!$J$5:$J$74,MATCH(TRIM(J120)&amp;"|"&amp;TRIM(P120),'Price List'!$O$5:$O$74,0)),0)</f>
        <v>0.74</v>
      </c>
      <c r="X120" s="143">
        <f>IFERROR(INDEX('Price List'!$K$5:$K$74,MATCH(TRIM(J120)&amp;"|"&amp;TRIM(P120),'Price List'!$O$5:$O$74,0)),0)</f>
        <v>0.12</v>
      </c>
      <c r="Y120" s="141">
        <f t="shared" si="8"/>
        <v>0.82880000000000009</v>
      </c>
      <c r="Z120" s="141">
        <f t="shared" si="9"/>
        <v>2288.3302617600002</v>
      </c>
      <c r="AA120" s="134"/>
    </row>
    <row r="121" spans="1:27" ht="15" customHeight="1" x14ac:dyDescent="0.35">
      <c r="A121" s="134"/>
      <c r="B121" s="135"/>
      <c r="C121" s="134" t="s">
        <v>444</v>
      </c>
      <c r="D121" s="136" t="str">
        <f t="shared" si="6"/>
        <v>B.04</v>
      </c>
      <c r="E121" s="135" t="s">
        <v>414</v>
      </c>
      <c r="F121" s="135" t="s">
        <v>668</v>
      </c>
      <c r="G121" s="134" t="s">
        <v>31</v>
      </c>
      <c r="H121" s="134" t="s">
        <v>564</v>
      </c>
      <c r="I121" s="134" t="s">
        <v>513</v>
      </c>
      <c r="J121" s="144" t="s">
        <v>135</v>
      </c>
      <c r="K121" s="134"/>
      <c r="L121" s="134"/>
      <c r="M121" s="134"/>
      <c r="N121" s="134"/>
      <c r="O121" s="134"/>
      <c r="P121" s="135" t="s">
        <v>103</v>
      </c>
      <c r="Q121" s="137">
        <f t="shared" si="10"/>
        <v>1819.6614000000002</v>
      </c>
      <c r="R121" s="137">
        <f>'1F,2F beam'!J18</f>
        <v>1819.6614000000002</v>
      </c>
      <c r="S121" s="138"/>
      <c r="T121" s="139">
        <f>IFERROR(INDEX('Price List'!$G$5:$G$74,MATCH(TRIM(J121)&amp;"|"&amp;TRIM(P121),'Price List'!$O$5:$O$74,0)),0)</f>
        <v>0.09</v>
      </c>
      <c r="U121" s="140">
        <f>IFERROR(INDEX('Price List'!$H$5:$H$74,MATCH(TRIM(J121)&amp;"|"&amp;TRIM(P121),'Price List'!$O$5:$O$74,0)),0)</f>
        <v>0.2</v>
      </c>
      <c r="V121" s="141">
        <f t="shared" si="7"/>
        <v>0.108</v>
      </c>
      <c r="W121" s="142">
        <f>IFERROR(INDEX('Price List'!$J$5:$J$74,MATCH(TRIM(J121)&amp;"|"&amp;TRIM(P121),'Price List'!$O$5:$O$74,0)),0)</f>
        <v>0.73</v>
      </c>
      <c r="X121" s="143">
        <f>IFERROR(INDEX('Price List'!$K$5:$K$74,MATCH(TRIM(J121)&amp;"|"&amp;TRIM(P121),'Price List'!$O$5:$O$74,0)),0)</f>
        <v>0.12</v>
      </c>
      <c r="Y121" s="141">
        <f t="shared" si="8"/>
        <v>0.8176000000000001</v>
      </c>
      <c r="Z121" s="141">
        <f t="shared" si="9"/>
        <v>1684.2785918400004</v>
      </c>
      <c r="AA121" s="134"/>
    </row>
    <row r="122" spans="1:27" ht="15" customHeight="1" x14ac:dyDescent="0.35">
      <c r="A122" s="134"/>
      <c r="B122" s="135"/>
      <c r="C122" s="134" t="s">
        <v>444</v>
      </c>
      <c r="D122" s="136" t="str">
        <f t="shared" si="6"/>
        <v>B.04</v>
      </c>
      <c r="E122" s="135" t="s">
        <v>414</v>
      </c>
      <c r="F122" s="135" t="s">
        <v>668</v>
      </c>
      <c r="G122" s="134" t="s">
        <v>31</v>
      </c>
      <c r="H122" s="134" t="s">
        <v>564</v>
      </c>
      <c r="I122" s="134" t="s">
        <v>513</v>
      </c>
      <c r="J122" s="144" t="s">
        <v>105</v>
      </c>
      <c r="K122" s="134"/>
      <c r="L122" s="134"/>
      <c r="M122" s="134"/>
      <c r="N122" s="134"/>
      <c r="O122" s="134"/>
      <c r="P122" s="135" t="s">
        <v>103</v>
      </c>
      <c r="Q122" s="137">
        <f t="shared" si="10"/>
        <v>7527.2208000000001</v>
      </c>
      <c r="R122" s="137">
        <f>'1F,2F beam'!J19</f>
        <v>7527.2208000000001</v>
      </c>
      <c r="S122" s="138"/>
      <c r="T122" s="139">
        <f>IFERROR(INDEX('Price List'!$G$5:$G$74,MATCH(TRIM(J122)&amp;"|"&amp;TRIM(P122),'Price List'!$O$5:$O$74,0)),0)</f>
        <v>0.08</v>
      </c>
      <c r="U122" s="140">
        <f>IFERROR(INDEX('Price List'!$H$5:$H$74,MATCH(TRIM(J122)&amp;"|"&amp;TRIM(P122),'Price List'!$O$5:$O$74,0)),0)</f>
        <v>0.2</v>
      </c>
      <c r="V122" s="141">
        <f t="shared" si="7"/>
        <v>9.6000000000000002E-2</v>
      </c>
      <c r="W122" s="142">
        <f>IFERROR(INDEX('Price List'!$J$5:$J$74,MATCH(TRIM(J122)&amp;"|"&amp;TRIM(P122),'Price List'!$O$5:$O$74,0)),0)</f>
        <v>0.72</v>
      </c>
      <c r="X122" s="143">
        <f>IFERROR(INDEX('Price List'!$K$5:$K$74,MATCH(TRIM(J122)&amp;"|"&amp;TRIM(P122),'Price List'!$O$5:$O$74,0)),0)</f>
        <v>0.12</v>
      </c>
      <c r="Y122" s="141">
        <f t="shared" si="8"/>
        <v>0.80640000000000001</v>
      </c>
      <c r="Z122" s="141">
        <f t="shared" si="9"/>
        <v>6792.5640499199999</v>
      </c>
      <c r="AA122" s="134"/>
    </row>
    <row r="123" spans="1:27" ht="15" customHeight="1" x14ac:dyDescent="0.35">
      <c r="A123" s="134"/>
      <c r="B123" s="135"/>
      <c r="C123" s="134" t="s">
        <v>444</v>
      </c>
      <c r="D123" s="136" t="str">
        <f t="shared" si="6"/>
        <v>B.04</v>
      </c>
      <c r="E123" s="135" t="s">
        <v>414</v>
      </c>
      <c r="F123" s="135" t="s">
        <v>668</v>
      </c>
      <c r="G123" s="134" t="s">
        <v>31</v>
      </c>
      <c r="H123" s="134" t="s">
        <v>564</v>
      </c>
      <c r="I123" s="134" t="s">
        <v>657</v>
      </c>
      <c r="J123" s="134" t="s">
        <v>107</v>
      </c>
      <c r="K123" s="134"/>
      <c r="L123" s="134"/>
      <c r="M123" s="134"/>
      <c r="N123" s="134"/>
      <c r="O123" s="134"/>
      <c r="P123" s="135" t="s">
        <v>103</v>
      </c>
      <c r="Q123" s="137">
        <f t="shared" si="10"/>
        <v>620.0733864</v>
      </c>
      <c r="R123" s="137">
        <f>(R121+R122+R120+R119+R118+R117)*4%</f>
        <v>620.0733864</v>
      </c>
      <c r="S123" s="138"/>
      <c r="T123" s="139">
        <f>IFERROR(INDEX('Price List'!$G$5:$G$74,MATCH(TRIM(J123)&amp;"|"&amp;TRIM(P123),'Price List'!$O$5:$O$74,0)),0)</f>
        <v>0.05</v>
      </c>
      <c r="U123" s="140">
        <f>IFERROR(INDEX('Price List'!$H$5:$H$74,MATCH(TRIM(J123)&amp;"|"&amp;TRIM(P123),'Price List'!$O$5:$O$74,0)),0)</f>
        <v>0.2</v>
      </c>
      <c r="V123" s="141">
        <f t="shared" si="7"/>
        <v>0.06</v>
      </c>
      <c r="W123" s="142">
        <f>IFERROR(INDEX('Price List'!$J$5:$J$74,MATCH(TRIM(J123)&amp;"|"&amp;TRIM(P123),'Price List'!$O$5:$O$74,0)),0)</f>
        <v>1.2</v>
      </c>
      <c r="X123" s="143">
        <f>IFERROR(INDEX('Price List'!$K$5:$K$74,MATCH(TRIM(J123)&amp;"|"&amp;TRIM(P123),'Price List'!$O$5:$O$74,0)),0)</f>
        <v>0.12</v>
      </c>
      <c r="Y123" s="141">
        <f t="shared" si="8"/>
        <v>1.3440000000000001</v>
      </c>
      <c r="Z123" s="141">
        <f t="shared" si="9"/>
        <v>870.58303450560004</v>
      </c>
      <c r="AA123" s="134"/>
    </row>
    <row r="124" spans="1:27" ht="15" customHeight="1" x14ac:dyDescent="0.35">
      <c r="A124" s="134"/>
      <c r="B124" s="135"/>
      <c r="C124" s="134" t="s">
        <v>444</v>
      </c>
      <c r="D124" s="136" t="str">
        <f t="shared" si="6"/>
        <v>B.04</v>
      </c>
      <c r="E124" s="135" t="s">
        <v>414</v>
      </c>
      <c r="F124" s="135" t="s">
        <v>668</v>
      </c>
      <c r="G124" s="134" t="s">
        <v>31</v>
      </c>
      <c r="H124" s="134" t="s">
        <v>568</v>
      </c>
      <c r="I124" s="134" t="s">
        <v>512</v>
      </c>
      <c r="J124" s="145" t="s">
        <v>125</v>
      </c>
      <c r="K124" s="134"/>
      <c r="L124" s="134"/>
      <c r="M124" s="134"/>
      <c r="N124" s="134"/>
      <c r="O124" s="134"/>
      <c r="P124" s="135" t="s">
        <v>100</v>
      </c>
      <c r="Q124" s="137">
        <f t="shared" si="10"/>
        <v>87.149999999999991</v>
      </c>
      <c r="R124" s="137">
        <f>581*0.15</f>
        <v>87.149999999999991</v>
      </c>
      <c r="S124" s="138"/>
      <c r="T124" s="139">
        <f>IFERROR(INDEX('Price List'!$G$5:$G$74,MATCH(TRIM(J124)&amp;"|"&amp;TRIM(P124),'Price List'!$O$5:$O$74,0)),0)</f>
        <v>10</v>
      </c>
      <c r="U124" s="140">
        <f>IFERROR(INDEX('Price List'!$H$5:$H$74,MATCH(TRIM(J124)&amp;"|"&amp;TRIM(P124),'Price List'!$O$5:$O$74,0)),0)</f>
        <v>0.2</v>
      </c>
      <c r="V124" s="141">
        <f t="shared" si="7"/>
        <v>12</v>
      </c>
      <c r="W124" s="142">
        <f>IFERROR(INDEX('Price List'!$J$5:$J$74,MATCH(TRIM(J124)&amp;"|"&amp;TRIM(P124),'Price List'!$O$5:$O$74,0)),0)</f>
        <v>98</v>
      </c>
      <c r="X124" s="143">
        <f>IFERROR(INDEX('Price List'!$K$5:$K$74,MATCH(TRIM(J124)&amp;"|"&amp;TRIM(P124),'Price List'!$O$5:$O$74,0)),0)</f>
        <v>0.12</v>
      </c>
      <c r="Y124" s="141">
        <f t="shared" si="8"/>
        <v>109.76</v>
      </c>
      <c r="Z124" s="141">
        <f t="shared" si="9"/>
        <v>10611.384</v>
      </c>
      <c r="AA124" s="134"/>
    </row>
    <row r="125" spans="1:27" ht="15" customHeight="1" x14ac:dyDescent="0.35">
      <c r="A125" s="134"/>
      <c r="B125" s="135"/>
      <c r="C125" s="134" t="s">
        <v>444</v>
      </c>
      <c r="D125" s="136" t="str">
        <f t="shared" si="6"/>
        <v>B.04</v>
      </c>
      <c r="E125" s="135" t="s">
        <v>414</v>
      </c>
      <c r="F125" s="135" t="s">
        <v>668</v>
      </c>
      <c r="G125" s="134" t="s">
        <v>31</v>
      </c>
      <c r="H125" s="134" t="s">
        <v>568</v>
      </c>
      <c r="I125" s="144" t="s">
        <v>127</v>
      </c>
      <c r="J125" s="144" t="s">
        <v>127</v>
      </c>
      <c r="K125" s="144"/>
      <c r="L125" s="134"/>
      <c r="M125" s="134"/>
      <c r="N125" s="134"/>
      <c r="O125" s="134"/>
      <c r="P125" s="135" t="s">
        <v>128</v>
      </c>
      <c r="Q125" s="137">
        <f t="shared" si="10"/>
        <v>581</v>
      </c>
      <c r="R125" s="137">
        <v>581</v>
      </c>
      <c r="S125" s="138"/>
      <c r="T125" s="139">
        <f>IFERROR(INDEX('Price List'!$G$5:$G$74,MATCH(TRIM(J125)&amp;"|"&amp;TRIM(P125),'Price List'!$O$5:$O$74,0)),0)</f>
        <v>6</v>
      </c>
      <c r="U125" s="140">
        <f>IFERROR(INDEX('Price List'!$H$5:$H$74,MATCH(TRIM(J125)&amp;"|"&amp;TRIM(P125),'Price List'!$O$5:$O$74,0)),0)</f>
        <v>0.2</v>
      </c>
      <c r="V125" s="141">
        <f t="shared" si="7"/>
        <v>7.1999999999999993</v>
      </c>
      <c r="W125" s="142">
        <f>IFERROR(INDEX('Price List'!$J$5:$J$74,MATCH(TRIM(J125)&amp;"|"&amp;TRIM(P125),'Price List'!$O$5:$O$74,0)),0)</f>
        <v>5</v>
      </c>
      <c r="X125" s="143">
        <f>IFERROR(INDEX('Price List'!$K$5:$K$74,MATCH(TRIM(J125)&amp;"|"&amp;TRIM(P125),'Price List'!$O$5:$O$74,0)),0)</f>
        <v>0.12</v>
      </c>
      <c r="Y125" s="141">
        <f t="shared" si="8"/>
        <v>5.6000000000000005</v>
      </c>
      <c r="Z125" s="141">
        <f t="shared" si="9"/>
        <v>7436.8</v>
      </c>
      <c r="AA125" s="134"/>
    </row>
    <row r="126" spans="1:27" ht="15" customHeight="1" x14ac:dyDescent="0.35">
      <c r="A126" s="134"/>
      <c r="B126" s="135"/>
      <c r="C126" s="134" t="s">
        <v>444</v>
      </c>
      <c r="D126" s="136" t="str">
        <f t="shared" si="6"/>
        <v>B.04</v>
      </c>
      <c r="E126" s="135" t="s">
        <v>414</v>
      </c>
      <c r="F126" s="135" t="s">
        <v>668</v>
      </c>
      <c r="G126" s="134" t="s">
        <v>31</v>
      </c>
      <c r="H126" s="134" t="s">
        <v>568</v>
      </c>
      <c r="I126" s="134" t="s">
        <v>513</v>
      </c>
      <c r="J126" s="144" t="s">
        <v>102</v>
      </c>
      <c r="K126" s="134"/>
      <c r="L126" s="134"/>
      <c r="M126" s="134"/>
      <c r="N126" s="134"/>
      <c r="O126" s="134"/>
      <c r="P126" s="135" t="s">
        <v>103</v>
      </c>
      <c r="Q126" s="137">
        <f t="shared" si="10"/>
        <v>11514.499999999998</v>
      </c>
      <c r="R126" s="137">
        <f>(R124*130)+185</f>
        <v>11514.499999999998</v>
      </c>
      <c r="S126" s="138"/>
      <c r="T126" s="139">
        <f>IFERROR(INDEX('Price List'!$G$5:$G$74,MATCH(TRIM(J126)&amp;"|"&amp;TRIM(P126),'Price List'!$O$5:$O$74,0)),0)</f>
        <v>0.12</v>
      </c>
      <c r="U126" s="140">
        <f>IFERROR(INDEX('Price List'!$H$5:$H$74,MATCH(TRIM(J126)&amp;"|"&amp;TRIM(P126),'Price List'!$O$5:$O$74,0)),0)</f>
        <v>0.2</v>
      </c>
      <c r="V126" s="141">
        <f t="shared" si="7"/>
        <v>0.14399999999999999</v>
      </c>
      <c r="W126" s="142">
        <f>IFERROR(INDEX('Price List'!$J$5:$J$74,MATCH(TRIM(J126)&amp;"|"&amp;TRIM(P126),'Price List'!$O$5:$O$74,0)),0)</f>
        <v>0.78</v>
      </c>
      <c r="X126" s="143">
        <f>IFERROR(INDEX('Price List'!$K$5:$K$74,MATCH(TRIM(J126)&amp;"|"&amp;TRIM(P126),'Price List'!$O$5:$O$74,0)),0)</f>
        <v>0.12</v>
      </c>
      <c r="Y126" s="141">
        <f t="shared" si="8"/>
        <v>0.87360000000000015</v>
      </c>
      <c r="Z126" s="141">
        <f t="shared" si="9"/>
        <v>11717.155199999999</v>
      </c>
      <c r="AA126" s="134"/>
    </row>
    <row r="127" spans="1:27" ht="15" customHeight="1" x14ac:dyDescent="0.35">
      <c r="A127" s="134"/>
      <c r="B127" s="135"/>
      <c r="C127" s="134" t="s">
        <v>444</v>
      </c>
      <c r="D127" s="136" t="str">
        <f t="shared" si="6"/>
        <v>B.04</v>
      </c>
      <c r="E127" s="135" t="s">
        <v>414</v>
      </c>
      <c r="F127" s="135" t="s">
        <v>668</v>
      </c>
      <c r="G127" s="134" t="s">
        <v>31</v>
      </c>
      <c r="H127" s="134" t="s">
        <v>568</v>
      </c>
      <c r="I127" s="134" t="s">
        <v>513</v>
      </c>
      <c r="J127" s="144" t="s">
        <v>131</v>
      </c>
      <c r="K127" s="134"/>
      <c r="L127" s="134"/>
      <c r="M127" s="134"/>
      <c r="N127" s="134"/>
      <c r="O127" s="134"/>
      <c r="P127" s="135" t="s">
        <v>103</v>
      </c>
      <c r="Q127" s="137">
        <f t="shared" si="10"/>
        <v>166.5</v>
      </c>
      <c r="R127" s="137">
        <f>0.888*((2.5*10*3)+(2.5*15*3))</f>
        <v>166.5</v>
      </c>
      <c r="S127" s="138"/>
      <c r="T127" s="139">
        <f>IFERROR(INDEX('Price List'!$G$5:$G$74,MATCH(TRIM(J127)&amp;"|"&amp;TRIM(P127),'Price List'!$O$5:$O$74,0)),0)</f>
        <v>0.11</v>
      </c>
      <c r="U127" s="140">
        <f>IFERROR(INDEX('Price List'!$H$5:$H$74,MATCH(TRIM(J127)&amp;"|"&amp;TRIM(P127),'Price List'!$O$5:$O$74,0)),0)</f>
        <v>0.2</v>
      </c>
      <c r="V127" s="141">
        <f t="shared" si="7"/>
        <v>0.13200000000000001</v>
      </c>
      <c r="W127" s="142">
        <f>IFERROR(INDEX('Price List'!$J$5:$J$74,MATCH(TRIM(J127)&amp;"|"&amp;TRIM(P127),'Price List'!$O$5:$O$74,0)),0)</f>
        <v>0.76</v>
      </c>
      <c r="X127" s="143">
        <f>IFERROR(INDEX('Price List'!$K$5:$K$74,MATCH(TRIM(J127)&amp;"|"&amp;TRIM(P127),'Price List'!$O$5:$O$74,0)),0)</f>
        <v>0.12</v>
      </c>
      <c r="Y127" s="141">
        <f t="shared" si="8"/>
        <v>0.85120000000000007</v>
      </c>
      <c r="Z127" s="141">
        <f t="shared" si="9"/>
        <v>163.70280000000002</v>
      </c>
      <c r="AA127" s="134"/>
    </row>
    <row r="128" spans="1:27" ht="15" customHeight="1" x14ac:dyDescent="0.35">
      <c r="A128" s="134"/>
      <c r="B128" s="135"/>
      <c r="C128" s="134" t="s">
        <v>444</v>
      </c>
      <c r="D128" s="136" t="str">
        <f t="shared" si="6"/>
        <v>B.04</v>
      </c>
      <c r="E128" s="135" t="s">
        <v>414</v>
      </c>
      <c r="F128" s="135" t="s">
        <v>668</v>
      </c>
      <c r="G128" s="134" t="s">
        <v>31</v>
      </c>
      <c r="H128" s="134" t="s">
        <v>568</v>
      </c>
      <c r="I128" s="134" t="s">
        <v>657</v>
      </c>
      <c r="J128" s="134" t="s">
        <v>107</v>
      </c>
      <c r="K128" s="134"/>
      <c r="L128" s="134"/>
      <c r="M128" s="134"/>
      <c r="N128" s="134"/>
      <c r="O128" s="134"/>
      <c r="P128" s="135" t="s">
        <v>103</v>
      </c>
      <c r="Q128" s="137">
        <f t="shared" si="10"/>
        <v>467.23999999999995</v>
      </c>
      <c r="R128" s="137">
        <f>(+R126+R127)*4%</f>
        <v>467.23999999999995</v>
      </c>
      <c r="S128" s="138"/>
      <c r="T128" s="139">
        <f>IFERROR(INDEX('Price List'!$G$5:$G$74,MATCH(TRIM(J128)&amp;"|"&amp;TRIM(P128),'Price List'!$O$5:$O$74,0)),0)</f>
        <v>0.05</v>
      </c>
      <c r="U128" s="140">
        <f>IFERROR(INDEX('Price List'!$H$5:$H$74,MATCH(TRIM(J128)&amp;"|"&amp;TRIM(P128),'Price List'!$O$5:$O$74,0)),0)</f>
        <v>0.2</v>
      </c>
      <c r="V128" s="141">
        <f t="shared" si="7"/>
        <v>0.06</v>
      </c>
      <c r="W128" s="142">
        <f>IFERROR(INDEX('Price List'!$J$5:$J$74,MATCH(TRIM(J128)&amp;"|"&amp;TRIM(P128),'Price List'!$O$5:$O$74,0)),0)</f>
        <v>1.2</v>
      </c>
      <c r="X128" s="143">
        <f>IFERROR(INDEX('Price List'!$K$5:$K$74,MATCH(TRIM(J128)&amp;"|"&amp;TRIM(P128),'Price List'!$O$5:$O$74,0)),0)</f>
        <v>0.12</v>
      </c>
      <c r="Y128" s="141">
        <f t="shared" si="8"/>
        <v>1.3440000000000001</v>
      </c>
      <c r="Z128" s="141">
        <f t="shared" si="9"/>
        <v>656.00495999999998</v>
      </c>
      <c r="AA128" s="134"/>
    </row>
    <row r="129" spans="1:27" ht="15" customHeight="1" x14ac:dyDescent="0.35">
      <c r="A129" s="134"/>
      <c r="B129" s="134"/>
      <c r="C129" s="134" t="s">
        <v>444</v>
      </c>
      <c r="D129" s="136" t="str">
        <f t="shared" si="6"/>
        <v>B.04</v>
      </c>
      <c r="E129" s="135" t="s">
        <v>414</v>
      </c>
      <c r="F129" s="135" t="s">
        <v>668</v>
      </c>
      <c r="G129" s="134" t="s">
        <v>31</v>
      </c>
      <c r="H129" s="134" t="s">
        <v>665</v>
      </c>
      <c r="I129" s="134" t="s">
        <v>512</v>
      </c>
      <c r="J129" s="144" t="s">
        <v>125</v>
      </c>
      <c r="K129" s="134"/>
      <c r="L129" s="134"/>
      <c r="M129" s="134"/>
      <c r="N129" s="134"/>
      <c r="O129" s="134"/>
      <c r="P129" s="135" t="s">
        <v>100</v>
      </c>
      <c r="Q129" s="137">
        <f t="shared" si="10"/>
        <v>23.430000000000003</v>
      </c>
      <c r="R129" s="137">
        <f>(5.2*4.2)+(1.325*2*0.3*2)</f>
        <v>23.430000000000003</v>
      </c>
      <c r="S129" s="138"/>
      <c r="T129" s="139">
        <f>IFERROR(INDEX('Price List'!$G$5:$G$74,MATCH(TRIM(J129)&amp;"|"&amp;TRIM(P129),'Price List'!$O$5:$O$74,0)),0)</f>
        <v>10</v>
      </c>
      <c r="U129" s="140">
        <f>IFERROR(INDEX('Price List'!$H$5:$H$74,MATCH(TRIM(J129)&amp;"|"&amp;TRIM(P129),'Price List'!$O$5:$O$74,0)),0)</f>
        <v>0.2</v>
      </c>
      <c r="V129" s="141">
        <f t="shared" si="7"/>
        <v>12</v>
      </c>
      <c r="W129" s="142">
        <f>IFERROR(INDEX('Price List'!$J$5:$J$74,MATCH(TRIM(J129)&amp;"|"&amp;TRIM(P129),'Price List'!$O$5:$O$74,0)),0)</f>
        <v>98</v>
      </c>
      <c r="X129" s="143">
        <f>IFERROR(INDEX('Price List'!$K$5:$K$74,MATCH(TRIM(J129)&amp;"|"&amp;TRIM(P129),'Price List'!$O$5:$O$74,0)),0)</f>
        <v>0.12</v>
      </c>
      <c r="Y129" s="141">
        <f t="shared" si="8"/>
        <v>109.76</v>
      </c>
      <c r="Z129" s="141">
        <f t="shared" si="9"/>
        <v>2852.8368000000005</v>
      </c>
      <c r="AA129" s="134"/>
    </row>
    <row r="130" spans="1:27" ht="15" customHeight="1" x14ac:dyDescent="0.35">
      <c r="A130" s="134"/>
      <c r="B130" s="134"/>
      <c r="C130" s="134" t="s">
        <v>444</v>
      </c>
      <c r="D130" s="136" t="str">
        <f t="shared" ref="D130:D193" si="12">IFERROR(IF(TRIM($G130)="Sub Structure",IF(TRIM($H130)="Bored Pile","B.01","B.03"),IF(TRIM($G130)="Super Structure","B.04",IF(OR(TRIM($G130)="Exterior Wall and Partition",TRIM($G130)="External Wall and Partition"),"C.01",IF(TRIM($G130)="Exterior Wall Finishes","C.02",IF(TRIM($G130)="Interior Wall and Partition","C.09",IF(TRIM($G130)="Interior Door","C.10",IF(TRIM($G130)="External Windows and Louvers","C.04",IF(OR(TRIM($G130)="Interior Floor Finishes",TRIM($G130)="Internal Floor Finishes"),"D.02",IF(OR(TRIM($G130)="Interior Wall Finishes",TRIM($G130)="Internal Wall Finishes"),"D.01",IF(OR(TRIM($G130)="Ceiling Finshes",TRIM($G130)="Ceiling Finishes"),"D.03",IF(TRIM($G130)="Fittings, furnishings and equipment","E.04","")))))))))))," ")</f>
        <v>B.04</v>
      </c>
      <c r="E130" s="135" t="s">
        <v>414</v>
      </c>
      <c r="F130" s="135" t="s">
        <v>668</v>
      </c>
      <c r="G130" s="134" t="s">
        <v>31</v>
      </c>
      <c r="H130" s="134" t="s">
        <v>665</v>
      </c>
      <c r="I130" s="144" t="s">
        <v>127</v>
      </c>
      <c r="J130" s="144" t="s">
        <v>127</v>
      </c>
      <c r="K130" s="144"/>
      <c r="L130" s="134"/>
      <c r="M130" s="134"/>
      <c r="N130" s="134"/>
      <c r="O130" s="134"/>
      <c r="P130" s="135" t="s">
        <v>128</v>
      </c>
      <c r="Q130" s="137">
        <f t="shared" si="10"/>
        <v>139.70000000000002</v>
      </c>
      <c r="R130" s="137">
        <f>(32*4.2)+(1.325*2*2)</f>
        <v>139.70000000000002</v>
      </c>
      <c r="S130" s="138"/>
      <c r="T130" s="139">
        <f>IFERROR(INDEX('Price List'!$G$5:$G$74,MATCH(TRIM(J130)&amp;"|"&amp;TRIM(P130),'Price List'!$O$5:$O$74,0)),0)</f>
        <v>6</v>
      </c>
      <c r="U130" s="140">
        <f>IFERROR(INDEX('Price List'!$H$5:$H$74,MATCH(TRIM(J130)&amp;"|"&amp;TRIM(P130),'Price List'!$O$5:$O$74,0)),0)</f>
        <v>0.2</v>
      </c>
      <c r="V130" s="141">
        <f t="shared" ref="V130:V193" si="13">T130*(1+U130)</f>
        <v>7.1999999999999993</v>
      </c>
      <c r="W130" s="142">
        <f>IFERROR(INDEX('Price List'!$J$5:$J$74,MATCH(TRIM(J130)&amp;"|"&amp;TRIM(P130),'Price List'!$O$5:$O$74,0)),0)</f>
        <v>5</v>
      </c>
      <c r="X130" s="143">
        <f>IFERROR(INDEX('Price List'!$K$5:$K$74,MATCH(TRIM(J130)&amp;"|"&amp;TRIM(P130),'Price List'!$O$5:$O$74,0)),0)</f>
        <v>0.12</v>
      </c>
      <c r="Y130" s="141">
        <f t="shared" ref="Y130:Y193" si="14">W130*(1+X130)</f>
        <v>5.6000000000000005</v>
      </c>
      <c r="Z130" s="141">
        <f t="shared" ref="Z130:Z193" si="15">Q130*(V130+Y130)</f>
        <v>1788.1600000000003</v>
      </c>
      <c r="AA130" s="134"/>
    </row>
    <row r="131" spans="1:27" ht="15" customHeight="1" x14ac:dyDescent="0.35">
      <c r="A131" s="134"/>
      <c r="B131" s="134"/>
      <c r="C131" s="134" t="s">
        <v>444</v>
      </c>
      <c r="D131" s="136" t="str">
        <f t="shared" si="12"/>
        <v>B.04</v>
      </c>
      <c r="E131" s="135" t="s">
        <v>414</v>
      </c>
      <c r="F131" s="135" t="s">
        <v>668</v>
      </c>
      <c r="G131" s="134" t="s">
        <v>31</v>
      </c>
      <c r="H131" s="134" t="s">
        <v>665</v>
      </c>
      <c r="I131" s="134" t="s">
        <v>513</v>
      </c>
      <c r="J131" s="144" t="s">
        <v>102</v>
      </c>
      <c r="K131" s="134"/>
      <c r="L131" s="134"/>
      <c r="M131" s="134"/>
      <c r="N131" s="134"/>
      <c r="O131" s="134"/>
      <c r="P131" s="135" t="s">
        <v>103</v>
      </c>
      <c r="Q131" s="137">
        <f t="shared" si="10"/>
        <v>241.864</v>
      </c>
      <c r="R131" s="137">
        <v>241.864</v>
      </c>
      <c r="S131" s="138"/>
      <c r="T131" s="139">
        <f>IFERROR(INDEX('Price List'!$G$5:$G$74,MATCH(TRIM(J131)&amp;"|"&amp;TRIM(P131),'Price List'!$O$5:$O$74,0)),0)</f>
        <v>0.12</v>
      </c>
      <c r="U131" s="140">
        <f>IFERROR(INDEX('Price List'!$H$5:$H$74,MATCH(TRIM(J131)&amp;"|"&amp;TRIM(P131),'Price List'!$O$5:$O$74,0)),0)</f>
        <v>0.2</v>
      </c>
      <c r="V131" s="141">
        <f t="shared" si="13"/>
        <v>0.14399999999999999</v>
      </c>
      <c r="W131" s="142">
        <f>IFERROR(INDEX('Price List'!$J$5:$J$74,MATCH(TRIM(J131)&amp;"|"&amp;TRIM(P131),'Price List'!$O$5:$O$74,0)),0)</f>
        <v>0.78</v>
      </c>
      <c r="X131" s="143">
        <f>IFERROR(INDEX('Price List'!$K$5:$K$74,MATCH(TRIM(J131)&amp;"|"&amp;TRIM(P131),'Price List'!$O$5:$O$74,0)),0)</f>
        <v>0.12</v>
      </c>
      <c r="Y131" s="141">
        <f t="shared" si="14"/>
        <v>0.87360000000000015</v>
      </c>
      <c r="Z131" s="141">
        <f t="shared" si="15"/>
        <v>246.12080640000002</v>
      </c>
      <c r="AA131" s="134"/>
    </row>
    <row r="132" spans="1:27" ht="15" customHeight="1" x14ac:dyDescent="0.35">
      <c r="A132" s="134"/>
      <c r="B132" s="134"/>
      <c r="C132" s="134" t="s">
        <v>444</v>
      </c>
      <c r="D132" s="136" t="str">
        <f t="shared" si="12"/>
        <v>B.04</v>
      </c>
      <c r="E132" s="135" t="s">
        <v>414</v>
      </c>
      <c r="F132" s="135" t="s">
        <v>668</v>
      </c>
      <c r="G132" s="134" t="s">
        <v>31</v>
      </c>
      <c r="H132" s="134" t="s">
        <v>665</v>
      </c>
      <c r="I132" s="134" t="s">
        <v>513</v>
      </c>
      <c r="J132" s="144" t="s">
        <v>131</v>
      </c>
      <c r="K132" s="134"/>
      <c r="L132" s="134"/>
      <c r="M132" s="134"/>
      <c r="N132" s="134"/>
      <c r="O132" s="134"/>
      <c r="P132" s="135" t="s">
        <v>103</v>
      </c>
      <c r="Q132" s="137">
        <f t="shared" si="10"/>
        <v>1071.6384</v>
      </c>
      <c r="R132" s="137">
        <v>1071.6384</v>
      </c>
      <c r="S132" s="138"/>
      <c r="T132" s="139">
        <f>IFERROR(INDEX('Price List'!$G$5:$G$74,MATCH(TRIM(J132)&amp;"|"&amp;TRIM(P132),'Price List'!$O$5:$O$74,0)),0)</f>
        <v>0.11</v>
      </c>
      <c r="U132" s="140">
        <f>IFERROR(INDEX('Price List'!$H$5:$H$74,MATCH(TRIM(J132)&amp;"|"&amp;TRIM(P132),'Price List'!$O$5:$O$74,0)),0)</f>
        <v>0.2</v>
      </c>
      <c r="V132" s="141">
        <f t="shared" si="13"/>
        <v>0.13200000000000001</v>
      </c>
      <c r="W132" s="142">
        <f>IFERROR(INDEX('Price List'!$J$5:$J$74,MATCH(TRIM(J132)&amp;"|"&amp;TRIM(P132),'Price List'!$O$5:$O$74,0)),0)</f>
        <v>0.76</v>
      </c>
      <c r="X132" s="143">
        <f>IFERROR(INDEX('Price List'!$K$5:$K$74,MATCH(TRIM(J132)&amp;"|"&amp;TRIM(P132),'Price List'!$O$5:$O$74,0)),0)</f>
        <v>0.12</v>
      </c>
      <c r="Y132" s="141">
        <f t="shared" si="14"/>
        <v>0.85120000000000007</v>
      </c>
      <c r="Z132" s="141">
        <f t="shared" si="15"/>
        <v>1053.6348748800001</v>
      </c>
      <c r="AA132" s="134"/>
    </row>
    <row r="133" spans="1:27" ht="15" customHeight="1" x14ac:dyDescent="0.35">
      <c r="A133" s="134"/>
      <c r="B133" s="134"/>
      <c r="C133" s="134" t="s">
        <v>444</v>
      </c>
      <c r="D133" s="136" t="str">
        <f t="shared" si="12"/>
        <v>B.04</v>
      </c>
      <c r="E133" s="135" t="s">
        <v>414</v>
      </c>
      <c r="F133" s="135" t="s">
        <v>668</v>
      </c>
      <c r="G133" s="134" t="s">
        <v>31</v>
      </c>
      <c r="H133" s="134" t="s">
        <v>665</v>
      </c>
      <c r="I133" s="134" t="s">
        <v>513</v>
      </c>
      <c r="J133" s="144" t="s">
        <v>133</v>
      </c>
      <c r="K133" s="134"/>
      <c r="L133" s="134"/>
      <c r="M133" s="134"/>
      <c r="N133" s="134"/>
      <c r="O133" s="134"/>
      <c r="P133" s="135" t="s">
        <v>103</v>
      </c>
      <c r="Q133" s="137">
        <f t="shared" si="10"/>
        <v>1659.6320000000001</v>
      </c>
      <c r="R133" s="137">
        <v>1659.6320000000001</v>
      </c>
      <c r="S133" s="138"/>
      <c r="T133" s="139">
        <f>IFERROR(INDEX('Price List'!$G$5:$G$74,MATCH(TRIM(J133)&amp;"|"&amp;TRIM(P133),'Price List'!$O$5:$O$74,0)),0)</f>
        <v>0.1</v>
      </c>
      <c r="U133" s="140">
        <f>IFERROR(INDEX('Price List'!$H$5:$H$74,MATCH(TRIM(J133)&amp;"|"&amp;TRIM(P133),'Price List'!$O$5:$O$74,0)),0)</f>
        <v>0.2</v>
      </c>
      <c r="V133" s="141">
        <f t="shared" si="13"/>
        <v>0.12</v>
      </c>
      <c r="W133" s="142">
        <f>IFERROR(INDEX('Price List'!$J$5:$J$74,MATCH(TRIM(J133)&amp;"|"&amp;TRIM(P133),'Price List'!$O$5:$O$74,0)),0)</f>
        <v>0.74</v>
      </c>
      <c r="X133" s="143">
        <f>IFERROR(INDEX('Price List'!$K$5:$K$74,MATCH(TRIM(J133)&amp;"|"&amp;TRIM(P133),'Price List'!$O$5:$O$74,0)),0)</f>
        <v>0.12</v>
      </c>
      <c r="Y133" s="141">
        <f t="shared" si="14"/>
        <v>0.82880000000000009</v>
      </c>
      <c r="Z133" s="141">
        <f t="shared" si="15"/>
        <v>1574.6588416000002</v>
      </c>
      <c r="AA133" s="134"/>
    </row>
    <row r="134" spans="1:27" ht="15" customHeight="1" x14ac:dyDescent="0.35">
      <c r="A134" s="134"/>
      <c r="B134" s="134"/>
      <c r="C134" s="134" t="s">
        <v>444</v>
      </c>
      <c r="D134" s="136" t="str">
        <f t="shared" si="12"/>
        <v>B.04</v>
      </c>
      <c r="E134" s="135" t="s">
        <v>414</v>
      </c>
      <c r="F134" s="135" t="s">
        <v>668</v>
      </c>
      <c r="G134" s="134" t="s">
        <v>31</v>
      </c>
      <c r="H134" s="134" t="s">
        <v>665</v>
      </c>
      <c r="I134" s="134" t="s">
        <v>513</v>
      </c>
      <c r="J134" s="144" t="s">
        <v>135</v>
      </c>
      <c r="K134" s="134"/>
      <c r="L134" s="134"/>
      <c r="M134" s="134"/>
      <c r="N134" s="134"/>
      <c r="O134" s="134"/>
      <c r="P134" s="135" t="s">
        <v>103</v>
      </c>
      <c r="Q134" s="137">
        <f t="shared" si="10"/>
        <v>822.01599999999996</v>
      </c>
      <c r="R134" s="137">
        <v>822.01599999999996</v>
      </c>
      <c r="S134" s="138"/>
      <c r="T134" s="139">
        <f>IFERROR(INDEX('Price List'!$G$5:$G$74,MATCH(TRIM(J134)&amp;"|"&amp;TRIM(P134),'Price List'!$O$5:$O$74,0)),0)</f>
        <v>0.09</v>
      </c>
      <c r="U134" s="140">
        <f>IFERROR(INDEX('Price List'!$H$5:$H$74,MATCH(TRIM(J134)&amp;"|"&amp;TRIM(P134),'Price List'!$O$5:$O$74,0)),0)</f>
        <v>0.2</v>
      </c>
      <c r="V134" s="141">
        <f t="shared" si="13"/>
        <v>0.108</v>
      </c>
      <c r="W134" s="142">
        <f>IFERROR(INDEX('Price List'!$J$5:$J$74,MATCH(TRIM(J134)&amp;"|"&amp;TRIM(P134),'Price List'!$O$5:$O$74,0)),0)</f>
        <v>0.73</v>
      </c>
      <c r="X134" s="143">
        <f>IFERROR(INDEX('Price List'!$K$5:$K$74,MATCH(TRIM(J134)&amp;"|"&amp;TRIM(P134),'Price List'!$O$5:$O$74,0)),0)</f>
        <v>0.12</v>
      </c>
      <c r="Y134" s="141">
        <f t="shared" si="14"/>
        <v>0.8176000000000001</v>
      </c>
      <c r="Z134" s="141">
        <f t="shared" si="15"/>
        <v>760.85800960000006</v>
      </c>
      <c r="AA134" s="134"/>
    </row>
    <row r="135" spans="1:27" ht="15" customHeight="1" x14ac:dyDescent="0.35">
      <c r="A135" s="134"/>
      <c r="B135" s="134"/>
      <c r="C135" s="134" t="s">
        <v>444</v>
      </c>
      <c r="D135" s="136" t="str">
        <f t="shared" si="12"/>
        <v>B.04</v>
      </c>
      <c r="E135" s="135" t="s">
        <v>414</v>
      </c>
      <c r="F135" s="135" t="s">
        <v>668</v>
      </c>
      <c r="G135" s="134" t="s">
        <v>31</v>
      </c>
      <c r="H135" s="134" t="s">
        <v>665</v>
      </c>
      <c r="I135" s="134" t="s">
        <v>657</v>
      </c>
      <c r="J135" s="134" t="s">
        <v>107</v>
      </c>
      <c r="K135" s="134"/>
      <c r="L135" s="134"/>
      <c r="M135" s="134"/>
      <c r="N135" s="134"/>
      <c r="O135" s="134"/>
      <c r="P135" s="135" t="s">
        <v>103</v>
      </c>
      <c r="Q135" s="137">
        <f t="shared" si="10"/>
        <v>151.806016</v>
      </c>
      <c r="R135" s="137">
        <f>(+R133+R134+R132+R131)*4%</f>
        <v>151.806016</v>
      </c>
      <c r="S135" s="138"/>
      <c r="T135" s="139">
        <f>IFERROR(INDEX('Price List'!$G$5:$G$74,MATCH(TRIM(J135)&amp;"|"&amp;TRIM(P135),'Price List'!$O$5:$O$74,0)),0)</f>
        <v>0.05</v>
      </c>
      <c r="U135" s="140">
        <f>IFERROR(INDEX('Price List'!$H$5:$H$74,MATCH(TRIM(J135)&amp;"|"&amp;TRIM(P135),'Price List'!$O$5:$O$74,0)),0)</f>
        <v>0.2</v>
      </c>
      <c r="V135" s="141">
        <f t="shared" si="13"/>
        <v>0.06</v>
      </c>
      <c r="W135" s="142">
        <f>IFERROR(INDEX('Price List'!$J$5:$J$74,MATCH(TRIM(J135)&amp;"|"&amp;TRIM(P135),'Price List'!$O$5:$O$74,0)),0)</f>
        <v>1.2</v>
      </c>
      <c r="X135" s="143">
        <f>IFERROR(INDEX('Price List'!$K$5:$K$74,MATCH(TRIM(J135)&amp;"|"&amp;TRIM(P135),'Price List'!$O$5:$O$74,0)),0)</f>
        <v>0.12</v>
      </c>
      <c r="Y135" s="141">
        <f t="shared" si="14"/>
        <v>1.3440000000000001</v>
      </c>
      <c r="Z135" s="141">
        <f t="shared" si="15"/>
        <v>213.13564646400002</v>
      </c>
      <c r="AA135" s="134"/>
    </row>
    <row r="136" spans="1:27" ht="15" customHeight="1" x14ac:dyDescent="0.35">
      <c r="A136" s="134"/>
      <c r="B136" s="135"/>
      <c r="C136" s="134" t="s">
        <v>444</v>
      </c>
      <c r="D136" s="136" t="str">
        <f t="shared" si="12"/>
        <v>B.04</v>
      </c>
      <c r="E136" s="135" t="s">
        <v>414</v>
      </c>
      <c r="F136" s="135" t="s">
        <v>668</v>
      </c>
      <c r="G136" s="134" t="s">
        <v>31</v>
      </c>
      <c r="H136" s="134" t="s">
        <v>578</v>
      </c>
      <c r="I136" s="134" t="s">
        <v>512</v>
      </c>
      <c r="J136" s="145" t="s">
        <v>125</v>
      </c>
      <c r="K136" s="134"/>
      <c r="L136" s="134"/>
      <c r="M136" s="134"/>
      <c r="N136" s="134"/>
      <c r="O136" s="134"/>
      <c r="P136" s="135" t="s">
        <v>100</v>
      </c>
      <c r="Q136" s="137">
        <f t="shared" si="10"/>
        <v>5.016</v>
      </c>
      <c r="R136" s="137">
        <v>5.016</v>
      </c>
      <c r="S136" s="138"/>
      <c r="T136" s="139">
        <f>IFERROR(INDEX('Price List'!$G$5:$G$74,MATCH(TRIM(J136)&amp;"|"&amp;TRIM(P136),'Price List'!$O$5:$O$74,0)),0)</f>
        <v>10</v>
      </c>
      <c r="U136" s="140">
        <f>IFERROR(INDEX('Price List'!$H$5:$H$74,MATCH(TRIM(J136)&amp;"|"&amp;TRIM(P136),'Price List'!$O$5:$O$74,0)),0)</f>
        <v>0.2</v>
      </c>
      <c r="V136" s="141">
        <f t="shared" si="13"/>
        <v>12</v>
      </c>
      <c r="W136" s="142">
        <f>IFERROR(INDEX('Price List'!$J$5:$J$74,MATCH(TRIM(J136)&amp;"|"&amp;TRIM(P136),'Price List'!$O$5:$O$74,0)),0)</f>
        <v>98</v>
      </c>
      <c r="X136" s="143">
        <f>IFERROR(INDEX('Price List'!$K$5:$K$74,MATCH(TRIM(J136)&amp;"|"&amp;TRIM(P136),'Price List'!$O$5:$O$74,0)),0)</f>
        <v>0.12</v>
      </c>
      <c r="Y136" s="141">
        <f t="shared" si="14"/>
        <v>109.76</v>
      </c>
      <c r="Z136" s="141">
        <f t="shared" si="15"/>
        <v>610.74815999999998</v>
      </c>
      <c r="AA136" s="134"/>
    </row>
    <row r="137" spans="1:27" ht="15" customHeight="1" x14ac:dyDescent="0.35">
      <c r="A137" s="134"/>
      <c r="B137" s="135"/>
      <c r="C137" s="134" t="s">
        <v>444</v>
      </c>
      <c r="D137" s="136" t="str">
        <f t="shared" si="12"/>
        <v>B.04</v>
      </c>
      <c r="E137" s="135" t="s">
        <v>414</v>
      </c>
      <c r="F137" s="135" t="s">
        <v>668</v>
      </c>
      <c r="G137" s="134" t="s">
        <v>31</v>
      </c>
      <c r="H137" s="134" t="s">
        <v>578</v>
      </c>
      <c r="I137" s="144" t="s">
        <v>127</v>
      </c>
      <c r="J137" s="144" t="s">
        <v>127</v>
      </c>
      <c r="K137" s="144"/>
      <c r="L137" s="134"/>
      <c r="M137" s="134"/>
      <c r="N137" s="134"/>
      <c r="O137" s="134"/>
      <c r="P137" s="135" t="s">
        <v>128</v>
      </c>
      <c r="Q137" s="137">
        <f t="shared" si="10"/>
        <v>75.239999999999995</v>
      </c>
      <c r="R137" s="137">
        <f>R136*15</f>
        <v>75.239999999999995</v>
      </c>
      <c r="S137" s="138"/>
      <c r="T137" s="139">
        <f>IFERROR(INDEX('Price List'!$G$5:$G$74,MATCH(TRIM(J137)&amp;"|"&amp;TRIM(P137),'Price List'!$O$5:$O$74,0)),0)</f>
        <v>6</v>
      </c>
      <c r="U137" s="140">
        <f>IFERROR(INDEX('Price List'!$H$5:$H$74,MATCH(TRIM(J137)&amp;"|"&amp;TRIM(P137),'Price List'!$O$5:$O$74,0)),0)</f>
        <v>0.2</v>
      </c>
      <c r="V137" s="141">
        <f t="shared" si="13"/>
        <v>7.1999999999999993</v>
      </c>
      <c r="W137" s="142">
        <f>IFERROR(INDEX('Price List'!$J$5:$J$74,MATCH(TRIM(J137)&amp;"|"&amp;TRIM(P137),'Price List'!$O$5:$O$74,0)),0)</f>
        <v>5</v>
      </c>
      <c r="X137" s="143">
        <f>IFERROR(INDEX('Price List'!$K$5:$K$74,MATCH(TRIM(J137)&amp;"|"&amp;TRIM(P137),'Price List'!$O$5:$O$74,0)),0)</f>
        <v>0.12</v>
      </c>
      <c r="Y137" s="141">
        <f t="shared" si="14"/>
        <v>5.6000000000000005</v>
      </c>
      <c r="Z137" s="141">
        <f t="shared" si="15"/>
        <v>963.072</v>
      </c>
      <c r="AA137" s="134"/>
    </row>
    <row r="138" spans="1:27" ht="15" customHeight="1" x14ac:dyDescent="0.35">
      <c r="A138" s="134"/>
      <c r="B138" s="135"/>
      <c r="C138" s="134" t="s">
        <v>444</v>
      </c>
      <c r="D138" s="136" t="str">
        <f t="shared" si="12"/>
        <v>B.04</v>
      </c>
      <c r="E138" s="135" t="s">
        <v>414</v>
      </c>
      <c r="F138" s="135" t="s">
        <v>668</v>
      </c>
      <c r="G138" s="134" t="s">
        <v>31</v>
      </c>
      <c r="H138" s="134" t="s">
        <v>578</v>
      </c>
      <c r="I138" s="134" t="s">
        <v>513</v>
      </c>
      <c r="J138" s="144" t="s">
        <v>169</v>
      </c>
      <c r="K138" s="144"/>
      <c r="L138" s="134"/>
      <c r="M138" s="134"/>
      <c r="N138" s="134"/>
      <c r="O138" s="134"/>
      <c r="P138" s="135" t="s">
        <v>103</v>
      </c>
      <c r="Q138" s="137">
        <f t="shared" si="10"/>
        <v>50.16</v>
      </c>
      <c r="R138" s="137">
        <f>R136*10</f>
        <v>50.16</v>
      </c>
      <c r="S138" s="138"/>
      <c r="T138" s="139">
        <f>IFERROR(INDEX('Price List'!$G$5:$G$74,MATCH(TRIM(J138)&amp;"|"&amp;TRIM(P138),'Price List'!$O$5:$O$74,0)),0)</f>
        <v>0.12</v>
      </c>
      <c r="U138" s="140">
        <f>IFERROR(INDEX('Price List'!$H$5:$H$74,MATCH(TRIM(J138)&amp;"|"&amp;TRIM(P138),'Price List'!$O$5:$O$74,0)),0)</f>
        <v>0.2</v>
      </c>
      <c r="V138" s="141">
        <f t="shared" si="13"/>
        <v>0.14399999999999999</v>
      </c>
      <c r="W138" s="142">
        <f>IFERROR(INDEX('Price List'!$J$5:$J$74,MATCH(TRIM(J138)&amp;"|"&amp;TRIM(P138),'Price List'!$O$5:$O$74,0)),0)</f>
        <v>0.77</v>
      </c>
      <c r="X138" s="143">
        <f>IFERROR(INDEX('Price List'!$K$5:$K$74,MATCH(TRIM(J138)&amp;"|"&amp;TRIM(P138),'Price List'!$O$5:$O$74,0)),0)</f>
        <v>0.12</v>
      </c>
      <c r="Y138" s="141">
        <f t="shared" si="14"/>
        <v>0.86240000000000006</v>
      </c>
      <c r="Z138" s="141">
        <f t="shared" si="15"/>
        <v>50.481023999999998</v>
      </c>
      <c r="AA138" s="134"/>
    </row>
    <row r="139" spans="1:27" ht="15" customHeight="1" x14ac:dyDescent="0.35">
      <c r="A139" s="134"/>
      <c r="B139" s="135"/>
      <c r="C139" s="134" t="s">
        <v>444</v>
      </c>
      <c r="D139" s="136" t="str">
        <f t="shared" si="12"/>
        <v>B.04</v>
      </c>
      <c r="E139" s="135" t="s">
        <v>414</v>
      </c>
      <c r="F139" s="135" t="s">
        <v>668</v>
      </c>
      <c r="G139" s="134" t="s">
        <v>31</v>
      </c>
      <c r="H139" s="134" t="s">
        <v>578</v>
      </c>
      <c r="I139" s="134" t="s">
        <v>513</v>
      </c>
      <c r="J139" s="144" t="s">
        <v>131</v>
      </c>
      <c r="K139" s="134"/>
      <c r="L139" s="134"/>
      <c r="M139" s="134"/>
      <c r="N139" s="134"/>
      <c r="O139" s="134"/>
      <c r="P139" s="135" t="s">
        <v>103</v>
      </c>
      <c r="Q139" s="137">
        <f t="shared" si="10"/>
        <v>601.91999999999996</v>
      </c>
      <c r="R139" s="137">
        <f>R136*120</f>
        <v>601.91999999999996</v>
      </c>
      <c r="S139" s="138"/>
      <c r="T139" s="139">
        <f>IFERROR(INDEX('Price List'!$G$5:$G$74,MATCH(TRIM(J139)&amp;"|"&amp;TRIM(P139),'Price List'!$O$5:$O$74,0)),0)</f>
        <v>0.11</v>
      </c>
      <c r="U139" s="140">
        <f>IFERROR(INDEX('Price List'!$H$5:$H$74,MATCH(TRIM(J139)&amp;"|"&amp;TRIM(P139),'Price List'!$O$5:$O$74,0)),0)</f>
        <v>0.2</v>
      </c>
      <c r="V139" s="141">
        <f t="shared" si="13"/>
        <v>0.13200000000000001</v>
      </c>
      <c r="W139" s="142">
        <f>IFERROR(INDEX('Price List'!$J$5:$J$74,MATCH(TRIM(J139)&amp;"|"&amp;TRIM(P139),'Price List'!$O$5:$O$74,0)),0)</f>
        <v>0.76</v>
      </c>
      <c r="X139" s="143">
        <f>IFERROR(INDEX('Price List'!$K$5:$K$74,MATCH(TRIM(J139)&amp;"|"&amp;TRIM(P139),'Price List'!$O$5:$O$74,0)),0)</f>
        <v>0.12</v>
      </c>
      <c r="Y139" s="141">
        <f t="shared" si="14"/>
        <v>0.85120000000000007</v>
      </c>
      <c r="Z139" s="141">
        <f t="shared" si="15"/>
        <v>591.80774399999996</v>
      </c>
      <c r="AA139" s="134"/>
    </row>
    <row r="140" spans="1:27" ht="15" customHeight="1" x14ac:dyDescent="0.35">
      <c r="A140" s="134"/>
      <c r="B140" s="135"/>
      <c r="C140" s="134" t="s">
        <v>444</v>
      </c>
      <c r="D140" s="136" t="str">
        <f t="shared" si="12"/>
        <v>B.04</v>
      </c>
      <c r="E140" s="135" t="s">
        <v>414</v>
      </c>
      <c r="F140" s="135" t="s">
        <v>668</v>
      </c>
      <c r="G140" s="134" t="s">
        <v>31</v>
      </c>
      <c r="H140" s="134" t="s">
        <v>578</v>
      </c>
      <c r="I140" s="134" t="s">
        <v>513</v>
      </c>
      <c r="J140" s="144" t="s">
        <v>133</v>
      </c>
      <c r="K140" s="134"/>
      <c r="L140" s="134"/>
      <c r="M140" s="134"/>
      <c r="N140" s="134"/>
      <c r="O140" s="134"/>
      <c r="P140" s="135" t="s">
        <v>103</v>
      </c>
      <c r="Q140" s="137">
        <f t="shared" si="10"/>
        <v>125.4</v>
      </c>
      <c r="R140" s="137">
        <f>R136*25</f>
        <v>125.4</v>
      </c>
      <c r="S140" s="138"/>
      <c r="T140" s="139">
        <f>IFERROR(INDEX('Price List'!$G$5:$G$74,MATCH(TRIM(J140)&amp;"|"&amp;TRIM(P140),'Price List'!$O$5:$O$74,0)),0)</f>
        <v>0.1</v>
      </c>
      <c r="U140" s="140">
        <f>IFERROR(INDEX('Price List'!$H$5:$H$74,MATCH(TRIM(J140)&amp;"|"&amp;TRIM(P140),'Price List'!$O$5:$O$74,0)),0)</f>
        <v>0.2</v>
      </c>
      <c r="V140" s="141">
        <f t="shared" si="13"/>
        <v>0.12</v>
      </c>
      <c r="W140" s="142">
        <f>IFERROR(INDEX('Price List'!$J$5:$J$74,MATCH(TRIM(J140)&amp;"|"&amp;TRIM(P140),'Price List'!$O$5:$O$74,0)),0)</f>
        <v>0.74</v>
      </c>
      <c r="X140" s="143">
        <f>IFERROR(INDEX('Price List'!$K$5:$K$74,MATCH(TRIM(J140)&amp;"|"&amp;TRIM(P140),'Price List'!$O$5:$O$74,0)),0)</f>
        <v>0.12</v>
      </c>
      <c r="Y140" s="141">
        <f t="shared" si="14"/>
        <v>0.82880000000000009</v>
      </c>
      <c r="Z140" s="141">
        <f t="shared" si="15"/>
        <v>118.97952000000002</v>
      </c>
      <c r="AA140" s="134"/>
    </row>
    <row r="141" spans="1:27" ht="15" customHeight="1" x14ac:dyDescent="0.35">
      <c r="A141" s="134"/>
      <c r="B141" s="135"/>
      <c r="C141" s="134" t="s">
        <v>444</v>
      </c>
      <c r="D141" s="136" t="str">
        <f t="shared" si="12"/>
        <v>B.04</v>
      </c>
      <c r="E141" s="135" t="s">
        <v>414</v>
      </c>
      <c r="F141" s="135" t="s">
        <v>668</v>
      </c>
      <c r="G141" s="134" t="s">
        <v>31</v>
      </c>
      <c r="H141" s="134" t="s">
        <v>578</v>
      </c>
      <c r="I141" s="134" t="s">
        <v>657</v>
      </c>
      <c r="J141" s="134" t="s">
        <v>107</v>
      </c>
      <c r="K141" s="134"/>
      <c r="L141" s="134"/>
      <c r="M141" s="134"/>
      <c r="N141" s="134"/>
      <c r="O141" s="134"/>
      <c r="P141" s="135" t="s">
        <v>103</v>
      </c>
      <c r="Q141" s="137">
        <f t="shared" si="10"/>
        <v>31.099199999999996</v>
      </c>
      <c r="R141" s="137">
        <f>(R138+R139+R140)*4%</f>
        <v>31.099199999999996</v>
      </c>
      <c r="S141" s="138"/>
      <c r="T141" s="139">
        <f>IFERROR(INDEX('Price List'!$G$5:$G$74,MATCH(TRIM(J141)&amp;"|"&amp;TRIM(P141),'Price List'!$O$5:$O$74,0)),0)</f>
        <v>0.05</v>
      </c>
      <c r="U141" s="140">
        <f>IFERROR(INDEX('Price List'!$H$5:$H$74,MATCH(TRIM(J141)&amp;"|"&amp;TRIM(P141),'Price List'!$O$5:$O$74,0)),0)</f>
        <v>0.2</v>
      </c>
      <c r="V141" s="141">
        <f t="shared" si="13"/>
        <v>0.06</v>
      </c>
      <c r="W141" s="142">
        <f>IFERROR(INDEX('Price List'!$J$5:$J$74,MATCH(TRIM(J141)&amp;"|"&amp;TRIM(P141),'Price List'!$O$5:$O$74,0)),0)</f>
        <v>1.2</v>
      </c>
      <c r="X141" s="143">
        <f>IFERROR(INDEX('Price List'!$K$5:$K$74,MATCH(TRIM(J141)&amp;"|"&amp;TRIM(P141),'Price List'!$O$5:$O$74,0)),0)</f>
        <v>0.12</v>
      </c>
      <c r="Y141" s="141">
        <f t="shared" si="14"/>
        <v>1.3440000000000001</v>
      </c>
      <c r="Z141" s="141">
        <f t="shared" si="15"/>
        <v>43.663276799999998</v>
      </c>
      <c r="AA141" s="134"/>
    </row>
    <row r="142" spans="1:27" ht="15" customHeight="1" x14ac:dyDescent="0.35">
      <c r="A142" s="134"/>
      <c r="B142" s="135"/>
      <c r="C142" s="134" t="s">
        <v>444</v>
      </c>
      <c r="D142" s="136" t="str">
        <f t="shared" si="12"/>
        <v>B.04</v>
      </c>
      <c r="E142" s="135" t="s">
        <v>414</v>
      </c>
      <c r="F142" s="135" t="s">
        <v>668</v>
      </c>
      <c r="G142" s="134" t="s">
        <v>31</v>
      </c>
      <c r="H142" s="134" t="s">
        <v>573</v>
      </c>
      <c r="I142" s="134" t="s">
        <v>512</v>
      </c>
      <c r="J142" s="144" t="s">
        <v>125</v>
      </c>
      <c r="K142" s="134"/>
      <c r="L142" s="134"/>
      <c r="M142" s="134"/>
      <c r="N142" s="134"/>
      <c r="O142" s="134"/>
      <c r="P142" s="135" t="s">
        <v>100</v>
      </c>
      <c r="Q142" s="137">
        <f t="shared" si="10"/>
        <v>45.863999999999997</v>
      </c>
      <c r="R142" s="137">
        <v>45.863999999999997</v>
      </c>
      <c r="S142" s="138"/>
      <c r="T142" s="139">
        <f>IFERROR(INDEX('Price List'!$G$5:$G$74,MATCH(TRIM(J142)&amp;"|"&amp;TRIM(P142),'Price List'!$O$5:$O$74,0)),0)</f>
        <v>10</v>
      </c>
      <c r="U142" s="140">
        <f>IFERROR(INDEX('Price List'!$H$5:$H$74,MATCH(TRIM(J142)&amp;"|"&amp;TRIM(P142),'Price List'!$O$5:$O$74,0)),0)</f>
        <v>0.2</v>
      </c>
      <c r="V142" s="141">
        <f t="shared" si="13"/>
        <v>12</v>
      </c>
      <c r="W142" s="142">
        <f>IFERROR(INDEX('Price List'!$J$5:$J$74,MATCH(TRIM(J142)&amp;"|"&amp;TRIM(P142),'Price List'!$O$5:$O$74,0)),0)</f>
        <v>98</v>
      </c>
      <c r="X142" s="143">
        <f>IFERROR(INDEX('Price List'!$K$5:$K$74,MATCH(TRIM(J142)&amp;"|"&amp;TRIM(P142),'Price List'!$O$5:$O$74,0)),0)</f>
        <v>0.12</v>
      </c>
      <c r="Y142" s="141">
        <f t="shared" si="14"/>
        <v>109.76</v>
      </c>
      <c r="Z142" s="141">
        <f t="shared" si="15"/>
        <v>5584.4006399999998</v>
      </c>
      <c r="AA142" s="134"/>
    </row>
    <row r="143" spans="1:27" ht="15" customHeight="1" x14ac:dyDescent="0.35">
      <c r="A143" s="134"/>
      <c r="B143" s="135"/>
      <c r="C143" s="134" t="s">
        <v>444</v>
      </c>
      <c r="D143" s="136" t="str">
        <f t="shared" si="12"/>
        <v>B.04</v>
      </c>
      <c r="E143" s="135" t="s">
        <v>414</v>
      </c>
      <c r="F143" s="135" t="s">
        <v>668</v>
      </c>
      <c r="G143" s="134" t="s">
        <v>31</v>
      </c>
      <c r="H143" s="134" t="s">
        <v>573</v>
      </c>
      <c r="I143" s="144" t="s">
        <v>127</v>
      </c>
      <c r="J143" s="144" t="s">
        <v>127</v>
      </c>
      <c r="K143" s="144"/>
      <c r="L143" s="134"/>
      <c r="M143" s="134"/>
      <c r="N143" s="134"/>
      <c r="O143" s="134"/>
      <c r="P143" s="135" t="s">
        <v>128</v>
      </c>
      <c r="Q143" s="137">
        <f t="shared" si="10"/>
        <v>221.76</v>
      </c>
      <c r="R143" s="137">
        <v>221.76</v>
      </c>
      <c r="S143" s="138"/>
      <c r="T143" s="139">
        <f>IFERROR(INDEX('Price List'!$G$5:$G$74,MATCH(TRIM(J143)&amp;"|"&amp;TRIM(P143),'Price List'!$O$5:$O$74,0)),0)</f>
        <v>6</v>
      </c>
      <c r="U143" s="140">
        <f>IFERROR(INDEX('Price List'!$H$5:$H$74,MATCH(TRIM(J143)&amp;"|"&amp;TRIM(P143),'Price List'!$O$5:$O$74,0)),0)</f>
        <v>0.2</v>
      </c>
      <c r="V143" s="141">
        <f t="shared" si="13"/>
        <v>7.1999999999999993</v>
      </c>
      <c r="W143" s="142">
        <f>IFERROR(INDEX('Price List'!$J$5:$J$74,MATCH(TRIM(J143)&amp;"|"&amp;TRIM(P143),'Price List'!$O$5:$O$74,0)),0)</f>
        <v>5</v>
      </c>
      <c r="X143" s="143">
        <f>IFERROR(INDEX('Price List'!$K$5:$K$74,MATCH(TRIM(J143)&amp;"|"&amp;TRIM(P143),'Price List'!$O$5:$O$74,0)),0)</f>
        <v>0.12</v>
      </c>
      <c r="Y143" s="141">
        <f t="shared" si="14"/>
        <v>5.6000000000000005</v>
      </c>
      <c r="Z143" s="141">
        <f t="shared" si="15"/>
        <v>2838.5280000000002</v>
      </c>
      <c r="AA143" s="134"/>
    </row>
    <row r="144" spans="1:27" ht="15" customHeight="1" x14ac:dyDescent="0.35">
      <c r="A144" s="134"/>
      <c r="B144" s="135"/>
      <c r="C144" s="134" t="s">
        <v>444</v>
      </c>
      <c r="D144" s="136" t="str">
        <f t="shared" si="12"/>
        <v>B.04</v>
      </c>
      <c r="E144" s="135" t="s">
        <v>414</v>
      </c>
      <c r="F144" s="135" t="s">
        <v>668</v>
      </c>
      <c r="G144" s="134" t="s">
        <v>31</v>
      </c>
      <c r="H144" s="134" t="s">
        <v>573</v>
      </c>
      <c r="I144" s="134" t="s">
        <v>513</v>
      </c>
      <c r="J144" s="144" t="s">
        <v>131</v>
      </c>
      <c r="K144" s="134"/>
      <c r="L144" s="134"/>
      <c r="M144" s="134"/>
      <c r="N144" s="134"/>
      <c r="O144" s="134"/>
      <c r="P144" s="135" t="s">
        <v>103</v>
      </c>
      <c r="Q144" s="137">
        <f t="shared" si="10"/>
        <v>3061.2556800000002</v>
      </c>
      <c r="R144" s="137">
        <v>3061.2556800000002</v>
      </c>
      <c r="S144" s="138"/>
      <c r="T144" s="139">
        <f>IFERROR(INDEX('Price List'!$G$5:$G$74,MATCH(TRIM(J144)&amp;"|"&amp;TRIM(P144),'Price List'!$O$5:$O$74,0)),0)</f>
        <v>0.11</v>
      </c>
      <c r="U144" s="140">
        <f>IFERROR(INDEX('Price List'!$H$5:$H$74,MATCH(TRIM(J144)&amp;"|"&amp;TRIM(P144),'Price List'!$O$5:$O$74,0)),0)</f>
        <v>0.2</v>
      </c>
      <c r="V144" s="141">
        <f t="shared" si="13"/>
        <v>0.13200000000000001</v>
      </c>
      <c r="W144" s="142">
        <f>IFERROR(INDEX('Price List'!$J$5:$J$74,MATCH(TRIM(J144)&amp;"|"&amp;TRIM(P144),'Price List'!$O$5:$O$74,0)),0)</f>
        <v>0.76</v>
      </c>
      <c r="X144" s="143">
        <f>IFERROR(INDEX('Price List'!$K$5:$K$74,MATCH(TRIM(J144)&amp;"|"&amp;TRIM(P144),'Price List'!$O$5:$O$74,0)),0)</f>
        <v>0.12</v>
      </c>
      <c r="Y144" s="141">
        <f t="shared" si="14"/>
        <v>0.85120000000000007</v>
      </c>
      <c r="Z144" s="141">
        <f t="shared" si="15"/>
        <v>3009.8265845760006</v>
      </c>
      <c r="AA144" s="134"/>
    </row>
    <row r="145" spans="1:27" ht="15" customHeight="1" x14ac:dyDescent="0.35">
      <c r="A145" s="134"/>
      <c r="B145" s="135"/>
      <c r="C145" s="134" t="s">
        <v>444</v>
      </c>
      <c r="D145" s="136" t="str">
        <f t="shared" si="12"/>
        <v>B.04</v>
      </c>
      <c r="E145" s="135" t="s">
        <v>414</v>
      </c>
      <c r="F145" s="135" t="s">
        <v>668</v>
      </c>
      <c r="G145" s="134" t="s">
        <v>31</v>
      </c>
      <c r="H145" s="134" t="s">
        <v>573</v>
      </c>
      <c r="I145" s="134" t="s">
        <v>513</v>
      </c>
      <c r="J145" s="144" t="s">
        <v>105</v>
      </c>
      <c r="K145" s="134"/>
      <c r="L145" s="134"/>
      <c r="M145" s="134"/>
      <c r="N145" s="134"/>
      <c r="O145" s="134"/>
      <c r="P145" s="135" t="s">
        <v>103</v>
      </c>
      <c r="Q145" s="137">
        <f t="shared" si="10"/>
        <v>1921.92</v>
      </c>
      <c r="R145" s="137">
        <v>1921.92</v>
      </c>
      <c r="S145" s="138"/>
      <c r="T145" s="139">
        <f>IFERROR(INDEX('Price List'!$G$5:$G$74,MATCH(TRIM(J145)&amp;"|"&amp;TRIM(P145),'Price List'!$O$5:$O$74,0)),0)</f>
        <v>0.08</v>
      </c>
      <c r="U145" s="140">
        <f>IFERROR(INDEX('Price List'!$H$5:$H$74,MATCH(TRIM(J145)&amp;"|"&amp;TRIM(P145),'Price List'!$O$5:$O$74,0)),0)</f>
        <v>0.2</v>
      </c>
      <c r="V145" s="141">
        <f t="shared" si="13"/>
        <v>9.6000000000000002E-2</v>
      </c>
      <c r="W145" s="142">
        <f>IFERROR(INDEX('Price List'!$J$5:$J$74,MATCH(TRIM(J145)&amp;"|"&amp;TRIM(P145),'Price List'!$O$5:$O$74,0)),0)</f>
        <v>0.72</v>
      </c>
      <c r="X145" s="143">
        <f>IFERROR(INDEX('Price List'!$K$5:$K$74,MATCH(TRIM(J145)&amp;"|"&amp;TRIM(P145),'Price List'!$O$5:$O$74,0)),0)</f>
        <v>0.12</v>
      </c>
      <c r="Y145" s="141">
        <f t="shared" si="14"/>
        <v>0.80640000000000001</v>
      </c>
      <c r="Z145" s="141">
        <f t="shared" si="15"/>
        <v>1734.340608</v>
      </c>
      <c r="AA145" s="134"/>
    </row>
    <row r="146" spans="1:27" ht="15" customHeight="1" x14ac:dyDescent="0.35">
      <c r="A146" s="134"/>
      <c r="B146" s="135"/>
      <c r="C146" s="134" t="s">
        <v>444</v>
      </c>
      <c r="D146" s="136" t="str">
        <f t="shared" si="12"/>
        <v>B.04</v>
      </c>
      <c r="E146" s="135" t="s">
        <v>414</v>
      </c>
      <c r="F146" s="135" t="s">
        <v>668</v>
      </c>
      <c r="G146" s="134" t="s">
        <v>31</v>
      </c>
      <c r="H146" s="134" t="s">
        <v>573</v>
      </c>
      <c r="I146" s="134" t="s">
        <v>513</v>
      </c>
      <c r="J146" s="144" t="s">
        <v>138</v>
      </c>
      <c r="K146" s="134"/>
      <c r="L146" s="134"/>
      <c r="M146" s="134"/>
      <c r="N146" s="134"/>
      <c r="O146" s="134"/>
      <c r="P146" s="135" t="s">
        <v>103</v>
      </c>
      <c r="Q146" s="137">
        <f t="shared" si="10"/>
        <v>10516.48</v>
      </c>
      <c r="R146" s="137">
        <v>10516.48</v>
      </c>
      <c r="S146" s="138"/>
      <c r="T146" s="139">
        <f>IFERROR(INDEX('Price List'!$G$5:$G$74,MATCH(TRIM(J146)&amp;"|"&amp;TRIM(P146),'Price List'!$O$5:$O$74,0)),0)</f>
        <v>0.08</v>
      </c>
      <c r="U146" s="140">
        <f>IFERROR(INDEX('Price List'!$H$5:$H$74,MATCH(TRIM(J146)&amp;"|"&amp;TRIM(P146),'Price List'!$O$5:$O$74,0)),0)</f>
        <v>0.2</v>
      </c>
      <c r="V146" s="141">
        <f t="shared" si="13"/>
        <v>9.6000000000000002E-2</v>
      </c>
      <c r="W146" s="142">
        <f>IFERROR(INDEX('Price List'!$J$5:$J$74,MATCH(TRIM(J146)&amp;"|"&amp;TRIM(P146),'Price List'!$O$5:$O$74,0)),0)</f>
        <v>0.71</v>
      </c>
      <c r="X146" s="143">
        <f>IFERROR(INDEX('Price List'!$K$5:$K$74,MATCH(TRIM(J146)&amp;"|"&amp;TRIM(P146),'Price List'!$O$5:$O$74,0)),0)</f>
        <v>0.12</v>
      </c>
      <c r="Y146" s="141">
        <f t="shared" si="14"/>
        <v>0.79520000000000002</v>
      </c>
      <c r="Z146" s="141">
        <f t="shared" si="15"/>
        <v>9372.2869759999994</v>
      </c>
      <c r="AA146" s="134"/>
    </row>
    <row r="147" spans="1:27" ht="15" customHeight="1" x14ac:dyDescent="0.35">
      <c r="A147" s="134"/>
      <c r="B147" s="135"/>
      <c r="C147" s="134" t="s">
        <v>444</v>
      </c>
      <c r="D147" s="136" t="str">
        <f t="shared" si="12"/>
        <v>B.04</v>
      </c>
      <c r="E147" s="135" t="s">
        <v>414</v>
      </c>
      <c r="F147" s="135" t="s">
        <v>668</v>
      </c>
      <c r="G147" s="134" t="s">
        <v>31</v>
      </c>
      <c r="H147" s="134" t="s">
        <v>573</v>
      </c>
      <c r="I147" s="134" t="s">
        <v>657</v>
      </c>
      <c r="J147" s="134" t="s">
        <v>107</v>
      </c>
      <c r="K147" s="134"/>
      <c r="L147" s="134"/>
      <c r="M147" s="134"/>
      <c r="N147" s="134"/>
      <c r="O147" s="134"/>
      <c r="P147" s="135" t="s">
        <v>103</v>
      </c>
      <c r="Q147" s="137">
        <f t="shared" si="10"/>
        <v>619.98622720000003</v>
      </c>
      <c r="R147" s="137">
        <f>(R144+R145+R146)*4%</f>
        <v>619.98622720000003</v>
      </c>
      <c r="S147" s="138"/>
      <c r="T147" s="139">
        <f>IFERROR(INDEX('Price List'!$G$5:$G$74,MATCH(TRIM(J147)&amp;"|"&amp;TRIM(P147),'Price List'!$O$5:$O$74,0)),0)</f>
        <v>0.05</v>
      </c>
      <c r="U147" s="140">
        <f>IFERROR(INDEX('Price List'!$H$5:$H$74,MATCH(TRIM(J147)&amp;"|"&amp;TRIM(P147),'Price List'!$O$5:$O$74,0)),0)</f>
        <v>0.2</v>
      </c>
      <c r="V147" s="141">
        <f t="shared" si="13"/>
        <v>0.06</v>
      </c>
      <c r="W147" s="142">
        <f>IFERROR(INDEX('Price List'!$J$5:$J$74,MATCH(TRIM(J147)&amp;"|"&amp;TRIM(P147),'Price List'!$O$5:$O$74,0)),0)</f>
        <v>1.2</v>
      </c>
      <c r="X147" s="143">
        <f>IFERROR(INDEX('Price List'!$K$5:$K$74,MATCH(TRIM(J147)&amp;"|"&amp;TRIM(P147),'Price List'!$O$5:$O$74,0)),0)</f>
        <v>0.12</v>
      </c>
      <c r="Y147" s="141">
        <f t="shared" si="14"/>
        <v>1.3440000000000001</v>
      </c>
      <c r="Z147" s="141">
        <f t="shared" si="15"/>
        <v>870.4606629888001</v>
      </c>
      <c r="AA147" s="134"/>
    </row>
    <row r="148" spans="1:27" ht="15" customHeight="1" x14ac:dyDescent="0.35">
      <c r="A148" s="134"/>
      <c r="B148" s="135"/>
      <c r="C148" s="134" t="s">
        <v>444</v>
      </c>
      <c r="D148" s="136" t="str">
        <f t="shared" si="12"/>
        <v>B.04</v>
      </c>
      <c r="E148" s="135" t="s">
        <v>414</v>
      </c>
      <c r="F148" s="135" t="s">
        <v>669</v>
      </c>
      <c r="G148" s="134" t="s">
        <v>31</v>
      </c>
      <c r="H148" s="134" t="s">
        <v>564</v>
      </c>
      <c r="I148" s="134" t="s">
        <v>512</v>
      </c>
      <c r="J148" s="145" t="s">
        <v>125</v>
      </c>
      <c r="K148" s="134"/>
      <c r="L148" s="134"/>
      <c r="M148" s="134"/>
      <c r="N148" s="134"/>
      <c r="O148" s="134"/>
      <c r="P148" s="135" t="s">
        <v>100</v>
      </c>
      <c r="Q148" s="137">
        <f t="shared" si="10"/>
        <v>46.741149999999998</v>
      </c>
      <c r="R148" s="137">
        <f>'1F,2F beam'!H11</f>
        <v>46.741149999999998</v>
      </c>
      <c r="S148" s="138"/>
      <c r="T148" s="139">
        <f>IFERROR(INDEX('Price List'!$G$5:$G$74,MATCH(TRIM(J148)&amp;"|"&amp;TRIM(P148),'Price List'!$O$5:$O$74,0)),0)</f>
        <v>10</v>
      </c>
      <c r="U148" s="140">
        <f>IFERROR(INDEX('Price List'!$H$5:$H$74,MATCH(TRIM(J148)&amp;"|"&amp;TRIM(P148),'Price List'!$O$5:$O$74,0)),0)</f>
        <v>0.2</v>
      </c>
      <c r="V148" s="141">
        <f t="shared" si="13"/>
        <v>12</v>
      </c>
      <c r="W148" s="142">
        <f>IFERROR(INDEX('Price List'!$J$5:$J$74,MATCH(TRIM(J148)&amp;"|"&amp;TRIM(P148),'Price List'!$O$5:$O$74,0)),0)</f>
        <v>98</v>
      </c>
      <c r="X148" s="143">
        <f>IFERROR(INDEX('Price List'!$K$5:$K$74,MATCH(TRIM(J148)&amp;"|"&amp;TRIM(P148),'Price List'!$O$5:$O$74,0)),0)</f>
        <v>0.12</v>
      </c>
      <c r="Y148" s="141">
        <f t="shared" si="14"/>
        <v>109.76</v>
      </c>
      <c r="Z148" s="141">
        <f t="shared" si="15"/>
        <v>5691.2024240000001</v>
      </c>
      <c r="AA148" s="134"/>
    </row>
    <row r="149" spans="1:27" ht="15" customHeight="1" x14ac:dyDescent="0.35">
      <c r="A149" s="134"/>
      <c r="B149" s="135"/>
      <c r="C149" s="134" t="s">
        <v>444</v>
      </c>
      <c r="D149" s="136" t="str">
        <f t="shared" si="12"/>
        <v>B.04</v>
      </c>
      <c r="E149" s="135" t="s">
        <v>414</v>
      </c>
      <c r="F149" s="135" t="s">
        <v>669</v>
      </c>
      <c r="G149" s="134" t="s">
        <v>31</v>
      </c>
      <c r="H149" s="134" t="s">
        <v>564</v>
      </c>
      <c r="I149" s="144" t="s">
        <v>127</v>
      </c>
      <c r="J149" s="144" t="s">
        <v>127</v>
      </c>
      <c r="K149" s="144"/>
      <c r="L149" s="134"/>
      <c r="M149" s="134"/>
      <c r="N149" s="134"/>
      <c r="O149" s="134"/>
      <c r="P149" s="135" t="s">
        <v>128</v>
      </c>
      <c r="Q149" s="137">
        <f t="shared" si="10"/>
        <v>446.52599999999995</v>
      </c>
      <c r="R149" s="137">
        <f>'1F,2F beam'!G11</f>
        <v>446.52599999999995</v>
      </c>
      <c r="S149" s="138"/>
      <c r="T149" s="139">
        <f>IFERROR(INDEX('Price List'!$G$5:$G$74,MATCH(TRIM(J149)&amp;"|"&amp;TRIM(P149),'Price List'!$O$5:$O$74,0)),0)</f>
        <v>6</v>
      </c>
      <c r="U149" s="140">
        <f>IFERROR(INDEX('Price List'!$H$5:$H$74,MATCH(TRIM(J149)&amp;"|"&amp;TRIM(P149),'Price List'!$O$5:$O$74,0)),0)</f>
        <v>0.2</v>
      </c>
      <c r="V149" s="141">
        <f t="shared" si="13"/>
        <v>7.1999999999999993</v>
      </c>
      <c r="W149" s="142">
        <f>IFERROR(INDEX('Price List'!$J$5:$J$74,MATCH(TRIM(J149)&amp;"|"&amp;TRIM(P149),'Price List'!$O$5:$O$74,0)),0)</f>
        <v>5</v>
      </c>
      <c r="X149" s="143">
        <f>IFERROR(INDEX('Price List'!$K$5:$K$74,MATCH(TRIM(J149)&amp;"|"&amp;TRIM(P149),'Price List'!$O$5:$O$74,0)),0)</f>
        <v>0.12</v>
      </c>
      <c r="Y149" s="141">
        <f t="shared" si="14"/>
        <v>5.6000000000000005</v>
      </c>
      <c r="Z149" s="141">
        <f t="shared" si="15"/>
        <v>5715.5328</v>
      </c>
      <c r="AA149" s="134"/>
    </row>
    <row r="150" spans="1:27" ht="15" customHeight="1" x14ac:dyDescent="0.35">
      <c r="A150" s="134"/>
      <c r="B150" s="135"/>
      <c r="C150" s="134" t="s">
        <v>444</v>
      </c>
      <c r="D150" s="136" t="str">
        <f t="shared" si="12"/>
        <v>B.04</v>
      </c>
      <c r="E150" s="135" t="s">
        <v>414</v>
      </c>
      <c r="F150" s="135" t="s">
        <v>669</v>
      </c>
      <c r="G150" s="134" t="s">
        <v>31</v>
      </c>
      <c r="H150" s="134" t="s">
        <v>564</v>
      </c>
      <c r="I150" s="134" t="s">
        <v>513</v>
      </c>
      <c r="J150" s="144" t="s">
        <v>169</v>
      </c>
      <c r="K150" s="134"/>
      <c r="L150" s="134"/>
      <c r="M150" s="134"/>
      <c r="N150" s="134"/>
      <c r="O150" s="134"/>
      <c r="P150" s="135" t="s">
        <v>103</v>
      </c>
      <c r="Q150" s="137">
        <f t="shared" si="10"/>
        <v>624.19479999999999</v>
      </c>
      <c r="R150" s="137">
        <f>'1F,2F beam'!J14</f>
        <v>624.19479999999999</v>
      </c>
      <c r="S150" s="138"/>
      <c r="T150" s="139">
        <f>IFERROR(INDEX('Price List'!$G$5:$G$74,MATCH(TRIM(J150)&amp;"|"&amp;TRIM(P150),'Price List'!$O$5:$O$74,0)),0)</f>
        <v>0.12</v>
      </c>
      <c r="U150" s="140">
        <f>IFERROR(INDEX('Price List'!$H$5:$H$74,MATCH(TRIM(J150)&amp;"|"&amp;TRIM(P150),'Price List'!$O$5:$O$74,0)),0)</f>
        <v>0.2</v>
      </c>
      <c r="V150" s="141">
        <f t="shared" si="13"/>
        <v>0.14399999999999999</v>
      </c>
      <c r="W150" s="142">
        <f>IFERROR(INDEX('Price List'!$J$5:$J$74,MATCH(TRIM(J150)&amp;"|"&amp;TRIM(P150),'Price List'!$O$5:$O$74,0)),0)</f>
        <v>0.77</v>
      </c>
      <c r="X150" s="143">
        <f>IFERROR(INDEX('Price List'!$K$5:$K$74,MATCH(TRIM(J150)&amp;"|"&amp;TRIM(P150),'Price List'!$O$5:$O$74,0)),0)</f>
        <v>0.12</v>
      </c>
      <c r="Y150" s="141">
        <f t="shared" si="14"/>
        <v>0.86240000000000006</v>
      </c>
      <c r="Z150" s="141">
        <f t="shared" si="15"/>
        <v>628.18964671999993</v>
      </c>
      <c r="AA150" s="134"/>
    </row>
    <row r="151" spans="1:27" ht="15" customHeight="1" x14ac:dyDescent="0.35">
      <c r="A151" s="134"/>
      <c r="B151" s="135"/>
      <c r="C151" s="134" t="s">
        <v>444</v>
      </c>
      <c r="D151" s="136" t="str">
        <f t="shared" si="12"/>
        <v>B.04</v>
      </c>
      <c r="E151" s="135" t="s">
        <v>414</v>
      </c>
      <c r="F151" s="135" t="s">
        <v>669</v>
      </c>
      <c r="G151" s="134" t="s">
        <v>31</v>
      </c>
      <c r="H151" s="134" t="s">
        <v>564</v>
      </c>
      <c r="I151" s="134" t="s">
        <v>513</v>
      </c>
      <c r="J151" s="144" t="s">
        <v>102</v>
      </c>
      <c r="K151" s="134"/>
      <c r="L151" s="134"/>
      <c r="M151" s="134"/>
      <c r="N151" s="134"/>
      <c r="O151" s="134"/>
      <c r="P151" s="135" t="s">
        <v>103</v>
      </c>
      <c r="Q151" s="137">
        <f t="shared" si="10"/>
        <v>2823.6114200000006</v>
      </c>
      <c r="R151" s="137">
        <f>'1F,2F beam'!J15</f>
        <v>2823.6114200000006</v>
      </c>
      <c r="S151" s="138"/>
      <c r="T151" s="139">
        <f>IFERROR(INDEX('Price List'!$G$5:$G$74,MATCH(TRIM(J151)&amp;"|"&amp;TRIM(P151),'Price List'!$O$5:$O$74,0)),0)</f>
        <v>0.12</v>
      </c>
      <c r="U151" s="140">
        <f>IFERROR(INDEX('Price List'!$H$5:$H$74,MATCH(TRIM(J151)&amp;"|"&amp;TRIM(P151),'Price List'!$O$5:$O$74,0)),0)</f>
        <v>0.2</v>
      </c>
      <c r="V151" s="141">
        <f t="shared" si="13"/>
        <v>0.14399999999999999</v>
      </c>
      <c r="W151" s="142">
        <f>IFERROR(INDEX('Price List'!$J$5:$J$74,MATCH(TRIM(J151)&amp;"|"&amp;TRIM(P151),'Price List'!$O$5:$O$74,0)),0)</f>
        <v>0.78</v>
      </c>
      <c r="X151" s="143">
        <f>IFERROR(INDEX('Price List'!$K$5:$K$74,MATCH(TRIM(J151)&amp;"|"&amp;TRIM(P151),'Price List'!$O$5:$O$74,0)),0)</f>
        <v>0.12</v>
      </c>
      <c r="Y151" s="141">
        <f t="shared" si="14"/>
        <v>0.87360000000000015</v>
      </c>
      <c r="Z151" s="141">
        <f t="shared" si="15"/>
        <v>2873.3069809920007</v>
      </c>
      <c r="AA151" s="134"/>
    </row>
    <row r="152" spans="1:27" ht="15" customHeight="1" x14ac:dyDescent="0.35">
      <c r="A152" s="134"/>
      <c r="B152" s="135"/>
      <c r="C152" s="134" t="s">
        <v>444</v>
      </c>
      <c r="D152" s="136" t="str">
        <f t="shared" si="12"/>
        <v>B.04</v>
      </c>
      <c r="E152" s="135" t="s">
        <v>414</v>
      </c>
      <c r="F152" s="135" t="s">
        <v>669</v>
      </c>
      <c r="G152" s="134" t="s">
        <v>31</v>
      </c>
      <c r="H152" s="134" t="s">
        <v>564</v>
      </c>
      <c r="I152" s="134" t="s">
        <v>513</v>
      </c>
      <c r="J152" s="144" t="s">
        <v>131</v>
      </c>
      <c r="K152" s="134"/>
      <c r="L152" s="134"/>
      <c r="M152" s="134"/>
      <c r="N152" s="134"/>
      <c r="O152" s="134"/>
      <c r="P152" s="135" t="s">
        <v>103</v>
      </c>
      <c r="Q152" s="137">
        <f t="shared" si="10"/>
        <v>295.33103999999997</v>
      </c>
      <c r="R152" s="137">
        <f>'1F,2F beam'!J16</f>
        <v>295.33103999999997</v>
      </c>
      <c r="S152" s="138"/>
      <c r="T152" s="139">
        <f>IFERROR(INDEX('Price List'!$G$5:$G$74,MATCH(TRIM(J152)&amp;"|"&amp;TRIM(P152),'Price List'!$O$5:$O$74,0)),0)</f>
        <v>0.11</v>
      </c>
      <c r="U152" s="140">
        <f>IFERROR(INDEX('Price List'!$H$5:$H$74,MATCH(TRIM(J152)&amp;"|"&amp;TRIM(P152),'Price List'!$O$5:$O$74,0)),0)</f>
        <v>0.2</v>
      </c>
      <c r="V152" s="141">
        <f t="shared" si="13"/>
        <v>0.13200000000000001</v>
      </c>
      <c r="W152" s="142">
        <f>IFERROR(INDEX('Price List'!$J$5:$J$74,MATCH(TRIM(J152)&amp;"|"&amp;TRIM(P152),'Price List'!$O$5:$O$74,0)),0)</f>
        <v>0.76</v>
      </c>
      <c r="X152" s="143">
        <f>IFERROR(INDEX('Price List'!$K$5:$K$74,MATCH(TRIM(J152)&amp;"|"&amp;TRIM(P152),'Price List'!$O$5:$O$74,0)),0)</f>
        <v>0.12</v>
      </c>
      <c r="Y152" s="141">
        <f t="shared" si="14"/>
        <v>0.85120000000000007</v>
      </c>
      <c r="Z152" s="141">
        <f t="shared" si="15"/>
        <v>290.369478528</v>
      </c>
      <c r="AA152" s="134"/>
    </row>
    <row r="153" spans="1:27" ht="15" customHeight="1" x14ac:dyDescent="0.35">
      <c r="A153" s="134"/>
      <c r="B153" s="135"/>
      <c r="C153" s="134" t="s">
        <v>444</v>
      </c>
      <c r="D153" s="136" t="str">
        <f t="shared" si="12"/>
        <v>B.04</v>
      </c>
      <c r="E153" s="135" t="s">
        <v>414</v>
      </c>
      <c r="F153" s="135" t="s">
        <v>669</v>
      </c>
      <c r="G153" s="134" t="s">
        <v>31</v>
      </c>
      <c r="H153" s="134" t="s">
        <v>564</v>
      </c>
      <c r="I153" s="134" t="s">
        <v>513</v>
      </c>
      <c r="J153" s="144" t="s">
        <v>133</v>
      </c>
      <c r="K153" s="134"/>
      <c r="L153" s="134"/>
      <c r="M153" s="134"/>
      <c r="N153" s="134"/>
      <c r="O153" s="134"/>
      <c r="P153" s="135" t="s">
        <v>103</v>
      </c>
      <c r="Q153" s="137">
        <f t="shared" si="10"/>
        <v>2411.8152</v>
      </c>
      <c r="R153" s="137">
        <f>'1F,2F beam'!J17</f>
        <v>2411.8152</v>
      </c>
      <c r="S153" s="138"/>
      <c r="T153" s="139">
        <f>IFERROR(INDEX('Price List'!$G$5:$G$74,MATCH(TRIM(J153)&amp;"|"&amp;TRIM(P153),'Price List'!$O$5:$O$74,0)),0)</f>
        <v>0.1</v>
      </c>
      <c r="U153" s="140">
        <f>IFERROR(INDEX('Price List'!$H$5:$H$74,MATCH(TRIM(J153)&amp;"|"&amp;TRIM(P153),'Price List'!$O$5:$O$74,0)),0)</f>
        <v>0.2</v>
      </c>
      <c r="V153" s="141">
        <f t="shared" si="13"/>
        <v>0.12</v>
      </c>
      <c r="W153" s="142">
        <f>IFERROR(INDEX('Price List'!$J$5:$J$74,MATCH(TRIM(J153)&amp;"|"&amp;TRIM(P153),'Price List'!$O$5:$O$74,0)),0)</f>
        <v>0.74</v>
      </c>
      <c r="X153" s="143">
        <f>IFERROR(INDEX('Price List'!$K$5:$K$74,MATCH(TRIM(J153)&amp;"|"&amp;TRIM(P153),'Price List'!$O$5:$O$74,0)),0)</f>
        <v>0.12</v>
      </c>
      <c r="Y153" s="141">
        <f t="shared" si="14"/>
        <v>0.82880000000000009</v>
      </c>
      <c r="Z153" s="141">
        <f t="shared" si="15"/>
        <v>2288.3302617600002</v>
      </c>
      <c r="AA153" s="134"/>
    </row>
    <row r="154" spans="1:27" ht="15" customHeight="1" x14ac:dyDescent="0.35">
      <c r="A154" s="134"/>
      <c r="B154" s="135"/>
      <c r="C154" s="134" t="s">
        <v>444</v>
      </c>
      <c r="D154" s="136" t="str">
        <f t="shared" si="12"/>
        <v>B.04</v>
      </c>
      <c r="E154" s="135" t="s">
        <v>414</v>
      </c>
      <c r="F154" s="135" t="s">
        <v>669</v>
      </c>
      <c r="G154" s="134" t="s">
        <v>31</v>
      </c>
      <c r="H154" s="134" t="s">
        <v>564</v>
      </c>
      <c r="I154" s="134" t="s">
        <v>513</v>
      </c>
      <c r="J154" s="144" t="s">
        <v>135</v>
      </c>
      <c r="K154" s="134"/>
      <c r="L154" s="134"/>
      <c r="M154" s="134"/>
      <c r="N154" s="134"/>
      <c r="O154" s="134"/>
      <c r="P154" s="135" t="s">
        <v>103</v>
      </c>
      <c r="Q154" s="137">
        <f t="shared" si="10"/>
        <v>1819.6614000000002</v>
      </c>
      <c r="R154" s="137">
        <f>'1F,2F beam'!J18</f>
        <v>1819.6614000000002</v>
      </c>
      <c r="S154" s="138"/>
      <c r="T154" s="139">
        <f>IFERROR(INDEX('Price List'!$G$5:$G$74,MATCH(TRIM(J154)&amp;"|"&amp;TRIM(P154),'Price List'!$O$5:$O$74,0)),0)</f>
        <v>0.09</v>
      </c>
      <c r="U154" s="140">
        <f>IFERROR(INDEX('Price List'!$H$5:$H$74,MATCH(TRIM(J154)&amp;"|"&amp;TRIM(P154),'Price List'!$O$5:$O$74,0)),0)</f>
        <v>0.2</v>
      </c>
      <c r="V154" s="141">
        <f t="shared" si="13"/>
        <v>0.108</v>
      </c>
      <c r="W154" s="142">
        <f>IFERROR(INDEX('Price List'!$J$5:$J$74,MATCH(TRIM(J154)&amp;"|"&amp;TRIM(P154),'Price List'!$O$5:$O$74,0)),0)</f>
        <v>0.73</v>
      </c>
      <c r="X154" s="143">
        <f>IFERROR(INDEX('Price List'!$K$5:$K$74,MATCH(TRIM(J154)&amp;"|"&amp;TRIM(P154),'Price List'!$O$5:$O$74,0)),0)</f>
        <v>0.12</v>
      </c>
      <c r="Y154" s="141">
        <f t="shared" si="14"/>
        <v>0.8176000000000001</v>
      </c>
      <c r="Z154" s="141">
        <f t="shared" si="15"/>
        <v>1684.2785918400004</v>
      </c>
      <c r="AA154" s="134"/>
    </row>
    <row r="155" spans="1:27" ht="15" customHeight="1" x14ac:dyDescent="0.35">
      <c r="A155" s="134"/>
      <c r="B155" s="135"/>
      <c r="C155" s="134" t="s">
        <v>444</v>
      </c>
      <c r="D155" s="136" t="str">
        <f t="shared" si="12"/>
        <v>B.04</v>
      </c>
      <c r="E155" s="135" t="s">
        <v>414</v>
      </c>
      <c r="F155" s="135" t="s">
        <v>669</v>
      </c>
      <c r="G155" s="134" t="s">
        <v>31</v>
      </c>
      <c r="H155" s="134" t="s">
        <v>564</v>
      </c>
      <c r="I155" s="134" t="s">
        <v>513</v>
      </c>
      <c r="J155" s="144" t="s">
        <v>105</v>
      </c>
      <c r="K155" s="134"/>
      <c r="L155" s="134"/>
      <c r="M155" s="134"/>
      <c r="N155" s="134"/>
      <c r="O155" s="134"/>
      <c r="P155" s="135" t="s">
        <v>103</v>
      </c>
      <c r="Q155" s="137">
        <f t="shared" si="10"/>
        <v>7527.2208000000001</v>
      </c>
      <c r="R155" s="137">
        <f>'1F,2F beam'!J19</f>
        <v>7527.2208000000001</v>
      </c>
      <c r="S155" s="138"/>
      <c r="T155" s="139">
        <f>IFERROR(INDEX('Price List'!$G$5:$G$74,MATCH(TRIM(J155)&amp;"|"&amp;TRIM(P155),'Price List'!$O$5:$O$74,0)),0)</f>
        <v>0.08</v>
      </c>
      <c r="U155" s="140">
        <f>IFERROR(INDEX('Price List'!$H$5:$H$74,MATCH(TRIM(J155)&amp;"|"&amp;TRIM(P155),'Price List'!$O$5:$O$74,0)),0)</f>
        <v>0.2</v>
      </c>
      <c r="V155" s="141">
        <f t="shared" si="13"/>
        <v>9.6000000000000002E-2</v>
      </c>
      <c r="W155" s="142">
        <f>IFERROR(INDEX('Price List'!$J$5:$J$74,MATCH(TRIM(J155)&amp;"|"&amp;TRIM(P155),'Price List'!$O$5:$O$74,0)),0)</f>
        <v>0.72</v>
      </c>
      <c r="X155" s="143">
        <f>IFERROR(INDEX('Price List'!$K$5:$K$74,MATCH(TRIM(J155)&amp;"|"&amp;TRIM(P155),'Price List'!$O$5:$O$74,0)),0)</f>
        <v>0.12</v>
      </c>
      <c r="Y155" s="141">
        <f t="shared" si="14"/>
        <v>0.80640000000000001</v>
      </c>
      <c r="Z155" s="141">
        <f t="shared" si="15"/>
        <v>6792.5640499199999</v>
      </c>
      <c r="AA155" s="134"/>
    </row>
    <row r="156" spans="1:27" ht="15" customHeight="1" x14ac:dyDescent="0.35">
      <c r="A156" s="134"/>
      <c r="B156" s="135"/>
      <c r="C156" s="134" t="s">
        <v>444</v>
      </c>
      <c r="D156" s="136" t="str">
        <f t="shared" si="12"/>
        <v>B.04</v>
      </c>
      <c r="E156" s="135" t="s">
        <v>414</v>
      </c>
      <c r="F156" s="135" t="s">
        <v>669</v>
      </c>
      <c r="G156" s="134" t="s">
        <v>31</v>
      </c>
      <c r="H156" s="134" t="s">
        <v>564</v>
      </c>
      <c r="I156" s="134" t="s">
        <v>657</v>
      </c>
      <c r="J156" s="134" t="s">
        <v>107</v>
      </c>
      <c r="K156" s="134"/>
      <c r="L156" s="134"/>
      <c r="M156" s="134"/>
      <c r="N156" s="134"/>
      <c r="O156" s="134"/>
      <c r="P156" s="135" t="s">
        <v>103</v>
      </c>
      <c r="Q156" s="137">
        <f t="shared" si="10"/>
        <v>620.0733864</v>
      </c>
      <c r="R156" s="137">
        <f>(R153+R154+R155+R152+R151+R150)*4%</f>
        <v>620.0733864</v>
      </c>
      <c r="S156" s="138"/>
      <c r="T156" s="139">
        <f>IFERROR(INDEX('Price List'!$G$5:$G$74,MATCH(TRIM(J156)&amp;"|"&amp;TRIM(P156),'Price List'!$O$5:$O$74,0)),0)</f>
        <v>0.05</v>
      </c>
      <c r="U156" s="140">
        <f>IFERROR(INDEX('Price List'!$H$5:$H$74,MATCH(TRIM(J156)&amp;"|"&amp;TRIM(P156),'Price List'!$O$5:$O$74,0)),0)</f>
        <v>0.2</v>
      </c>
      <c r="V156" s="141">
        <f t="shared" si="13"/>
        <v>0.06</v>
      </c>
      <c r="W156" s="142">
        <f>IFERROR(INDEX('Price List'!$J$5:$J$74,MATCH(TRIM(J156)&amp;"|"&amp;TRIM(P156),'Price List'!$O$5:$O$74,0)),0)</f>
        <v>1.2</v>
      </c>
      <c r="X156" s="143">
        <f>IFERROR(INDEX('Price List'!$K$5:$K$74,MATCH(TRIM(J156)&amp;"|"&amp;TRIM(P156),'Price List'!$O$5:$O$74,0)),0)</f>
        <v>0.12</v>
      </c>
      <c r="Y156" s="141">
        <f t="shared" si="14"/>
        <v>1.3440000000000001</v>
      </c>
      <c r="Z156" s="141">
        <f t="shared" si="15"/>
        <v>870.58303450560004</v>
      </c>
      <c r="AA156" s="134"/>
    </row>
    <row r="157" spans="1:27" ht="15" customHeight="1" x14ac:dyDescent="0.35">
      <c r="A157" s="134"/>
      <c r="B157" s="135"/>
      <c r="C157" s="134" t="s">
        <v>444</v>
      </c>
      <c r="D157" s="136" t="str">
        <f t="shared" si="12"/>
        <v>B.04</v>
      </c>
      <c r="E157" s="135" t="s">
        <v>414</v>
      </c>
      <c r="F157" s="135" t="s">
        <v>669</v>
      </c>
      <c r="G157" s="134" t="s">
        <v>31</v>
      </c>
      <c r="H157" s="134" t="s">
        <v>568</v>
      </c>
      <c r="I157" s="134" t="s">
        <v>512</v>
      </c>
      <c r="J157" s="145" t="s">
        <v>125</v>
      </c>
      <c r="K157" s="134"/>
      <c r="L157" s="134"/>
      <c r="M157" s="134"/>
      <c r="N157" s="134"/>
      <c r="O157" s="134"/>
      <c r="P157" s="135" t="s">
        <v>100</v>
      </c>
      <c r="Q157" s="137">
        <f t="shared" si="10"/>
        <v>87.149999999999991</v>
      </c>
      <c r="R157" s="137">
        <f>581*0.15</f>
        <v>87.149999999999991</v>
      </c>
      <c r="S157" s="138"/>
      <c r="T157" s="139">
        <f>IFERROR(INDEX('Price List'!$G$5:$G$74,MATCH(TRIM(J157)&amp;"|"&amp;TRIM(P157),'Price List'!$O$5:$O$74,0)),0)</f>
        <v>10</v>
      </c>
      <c r="U157" s="140">
        <f>IFERROR(INDEX('Price List'!$H$5:$H$74,MATCH(TRIM(J157)&amp;"|"&amp;TRIM(P157),'Price List'!$O$5:$O$74,0)),0)</f>
        <v>0.2</v>
      </c>
      <c r="V157" s="141">
        <f t="shared" si="13"/>
        <v>12</v>
      </c>
      <c r="W157" s="142">
        <f>IFERROR(INDEX('Price List'!$J$5:$J$74,MATCH(TRIM(J157)&amp;"|"&amp;TRIM(P157),'Price List'!$O$5:$O$74,0)),0)</f>
        <v>98</v>
      </c>
      <c r="X157" s="143">
        <f>IFERROR(INDEX('Price List'!$K$5:$K$74,MATCH(TRIM(J157)&amp;"|"&amp;TRIM(P157),'Price List'!$O$5:$O$74,0)),0)</f>
        <v>0.12</v>
      </c>
      <c r="Y157" s="141">
        <f t="shared" si="14"/>
        <v>109.76</v>
      </c>
      <c r="Z157" s="141">
        <f t="shared" si="15"/>
        <v>10611.384</v>
      </c>
      <c r="AA157" s="134"/>
    </row>
    <row r="158" spans="1:27" ht="15" customHeight="1" x14ac:dyDescent="0.35">
      <c r="A158" s="134"/>
      <c r="B158" s="135"/>
      <c r="C158" s="134" t="s">
        <v>444</v>
      </c>
      <c r="D158" s="136" t="str">
        <f t="shared" si="12"/>
        <v>B.04</v>
      </c>
      <c r="E158" s="135" t="s">
        <v>414</v>
      </c>
      <c r="F158" s="135" t="s">
        <v>669</v>
      </c>
      <c r="G158" s="134" t="s">
        <v>31</v>
      </c>
      <c r="H158" s="134" t="s">
        <v>568</v>
      </c>
      <c r="I158" s="144" t="s">
        <v>127</v>
      </c>
      <c r="J158" s="144" t="s">
        <v>127</v>
      </c>
      <c r="K158" s="144"/>
      <c r="L158" s="134"/>
      <c r="M158" s="134"/>
      <c r="N158" s="134"/>
      <c r="O158" s="134"/>
      <c r="P158" s="135" t="s">
        <v>128</v>
      </c>
      <c r="Q158" s="137">
        <f t="shared" si="10"/>
        <v>581</v>
      </c>
      <c r="R158" s="137">
        <v>581</v>
      </c>
      <c r="S158" s="138"/>
      <c r="T158" s="139">
        <f>IFERROR(INDEX('Price List'!$G$5:$G$74,MATCH(TRIM(J158)&amp;"|"&amp;TRIM(P158),'Price List'!$O$5:$O$74,0)),0)</f>
        <v>6</v>
      </c>
      <c r="U158" s="140">
        <f>IFERROR(INDEX('Price List'!$H$5:$H$74,MATCH(TRIM(J158)&amp;"|"&amp;TRIM(P158),'Price List'!$O$5:$O$74,0)),0)</f>
        <v>0.2</v>
      </c>
      <c r="V158" s="141">
        <f t="shared" si="13"/>
        <v>7.1999999999999993</v>
      </c>
      <c r="W158" s="142">
        <f>IFERROR(INDEX('Price List'!$J$5:$J$74,MATCH(TRIM(J158)&amp;"|"&amp;TRIM(P158),'Price List'!$O$5:$O$74,0)),0)</f>
        <v>5</v>
      </c>
      <c r="X158" s="143">
        <f>IFERROR(INDEX('Price List'!$K$5:$K$74,MATCH(TRIM(J158)&amp;"|"&amp;TRIM(P158),'Price List'!$O$5:$O$74,0)),0)</f>
        <v>0.12</v>
      </c>
      <c r="Y158" s="141">
        <f t="shared" si="14"/>
        <v>5.6000000000000005</v>
      </c>
      <c r="Z158" s="141">
        <f t="shared" si="15"/>
        <v>7436.8</v>
      </c>
      <c r="AA158" s="134"/>
    </row>
    <row r="159" spans="1:27" ht="15" customHeight="1" x14ac:dyDescent="0.35">
      <c r="A159" s="134"/>
      <c r="B159" s="135"/>
      <c r="C159" s="134" t="s">
        <v>444</v>
      </c>
      <c r="D159" s="136" t="str">
        <f t="shared" si="12"/>
        <v>B.04</v>
      </c>
      <c r="E159" s="135" t="s">
        <v>414</v>
      </c>
      <c r="F159" s="135" t="s">
        <v>669</v>
      </c>
      <c r="G159" s="134" t="s">
        <v>31</v>
      </c>
      <c r="H159" s="134" t="s">
        <v>568</v>
      </c>
      <c r="I159" s="134" t="s">
        <v>513</v>
      </c>
      <c r="J159" s="144" t="s">
        <v>102</v>
      </c>
      <c r="K159" s="134"/>
      <c r="L159" s="134"/>
      <c r="M159" s="134"/>
      <c r="N159" s="134"/>
      <c r="O159" s="134"/>
      <c r="P159" s="135" t="s">
        <v>103</v>
      </c>
      <c r="Q159" s="137">
        <f t="shared" si="10"/>
        <v>11514.499999999998</v>
      </c>
      <c r="R159" s="137">
        <f>(R157*130)+185</f>
        <v>11514.499999999998</v>
      </c>
      <c r="S159" s="138"/>
      <c r="T159" s="139">
        <f>IFERROR(INDEX('Price List'!$G$5:$G$74,MATCH(TRIM(J159)&amp;"|"&amp;TRIM(P159),'Price List'!$O$5:$O$74,0)),0)</f>
        <v>0.12</v>
      </c>
      <c r="U159" s="140">
        <f>IFERROR(INDEX('Price List'!$H$5:$H$74,MATCH(TRIM(J159)&amp;"|"&amp;TRIM(P159),'Price List'!$O$5:$O$74,0)),0)</f>
        <v>0.2</v>
      </c>
      <c r="V159" s="141">
        <f t="shared" si="13"/>
        <v>0.14399999999999999</v>
      </c>
      <c r="W159" s="142">
        <f>IFERROR(INDEX('Price List'!$J$5:$J$74,MATCH(TRIM(J159)&amp;"|"&amp;TRIM(P159),'Price List'!$O$5:$O$74,0)),0)</f>
        <v>0.78</v>
      </c>
      <c r="X159" s="143">
        <f>IFERROR(INDEX('Price List'!$K$5:$K$74,MATCH(TRIM(J159)&amp;"|"&amp;TRIM(P159),'Price List'!$O$5:$O$74,0)),0)</f>
        <v>0.12</v>
      </c>
      <c r="Y159" s="141">
        <f t="shared" si="14"/>
        <v>0.87360000000000015</v>
      </c>
      <c r="Z159" s="141">
        <f t="shared" si="15"/>
        <v>11717.155199999999</v>
      </c>
      <c r="AA159" s="134"/>
    </row>
    <row r="160" spans="1:27" ht="15" customHeight="1" x14ac:dyDescent="0.35">
      <c r="A160" s="134"/>
      <c r="B160" s="135"/>
      <c r="C160" s="134" t="s">
        <v>444</v>
      </c>
      <c r="D160" s="136" t="str">
        <f t="shared" si="12"/>
        <v>B.04</v>
      </c>
      <c r="E160" s="135" t="s">
        <v>414</v>
      </c>
      <c r="F160" s="135" t="s">
        <v>669</v>
      </c>
      <c r="G160" s="134" t="s">
        <v>31</v>
      </c>
      <c r="H160" s="134" t="s">
        <v>568</v>
      </c>
      <c r="I160" s="134" t="s">
        <v>513</v>
      </c>
      <c r="J160" s="144" t="s">
        <v>131</v>
      </c>
      <c r="K160" s="134"/>
      <c r="L160" s="134"/>
      <c r="M160" s="134"/>
      <c r="N160" s="134"/>
      <c r="O160" s="134"/>
      <c r="P160" s="135" t="s">
        <v>103</v>
      </c>
      <c r="Q160" s="137">
        <f t="shared" si="10"/>
        <v>166.5</v>
      </c>
      <c r="R160" s="137">
        <f>0.888*((2.5*10*3)+(2.5*15*3))</f>
        <v>166.5</v>
      </c>
      <c r="S160" s="138"/>
      <c r="T160" s="139">
        <f>IFERROR(INDEX('Price List'!$G$5:$G$74,MATCH(TRIM(J160)&amp;"|"&amp;TRIM(P160),'Price List'!$O$5:$O$74,0)),0)</f>
        <v>0.11</v>
      </c>
      <c r="U160" s="140">
        <f>IFERROR(INDEX('Price List'!$H$5:$H$74,MATCH(TRIM(J160)&amp;"|"&amp;TRIM(P160),'Price List'!$O$5:$O$74,0)),0)</f>
        <v>0.2</v>
      </c>
      <c r="V160" s="141">
        <f t="shared" si="13"/>
        <v>0.13200000000000001</v>
      </c>
      <c r="W160" s="142">
        <f>IFERROR(INDEX('Price List'!$J$5:$J$74,MATCH(TRIM(J160)&amp;"|"&amp;TRIM(P160),'Price List'!$O$5:$O$74,0)),0)</f>
        <v>0.76</v>
      </c>
      <c r="X160" s="143">
        <f>IFERROR(INDEX('Price List'!$K$5:$K$74,MATCH(TRIM(J160)&amp;"|"&amp;TRIM(P160),'Price List'!$O$5:$O$74,0)),0)</f>
        <v>0.12</v>
      </c>
      <c r="Y160" s="141">
        <f t="shared" si="14"/>
        <v>0.85120000000000007</v>
      </c>
      <c r="Z160" s="141">
        <f t="shared" si="15"/>
        <v>163.70280000000002</v>
      </c>
      <c r="AA160" s="134"/>
    </row>
    <row r="161" spans="1:27" ht="15" customHeight="1" x14ac:dyDescent="0.35">
      <c r="A161" s="134"/>
      <c r="B161" s="135"/>
      <c r="C161" s="134" t="s">
        <v>444</v>
      </c>
      <c r="D161" s="136" t="str">
        <f t="shared" si="12"/>
        <v>B.04</v>
      </c>
      <c r="E161" s="135" t="s">
        <v>414</v>
      </c>
      <c r="F161" s="135" t="s">
        <v>669</v>
      </c>
      <c r="G161" s="134" t="s">
        <v>31</v>
      </c>
      <c r="H161" s="134" t="s">
        <v>568</v>
      </c>
      <c r="I161" s="134" t="s">
        <v>657</v>
      </c>
      <c r="J161" s="134" t="s">
        <v>107</v>
      </c>
      <c r="K161" s="134"/>
      <c r="L161" s="134"/>
      <c r="M161" s="134"/>
      <c r="N161" s="134"/>
      <c r="O161" s="134"/>
      <c r="P161" s="135" t="s">
        <v>103</v>
      </c>
      <c r="Q161" s="137">
        <f t="shared" si="10"/>
        <v>467.23999999999995</v>
      </c>
      <c r="R161" s="137">
        <f>(R159+R160)*4%</f>
        <v>467.23999999999995</v>
      </c>
      <c r="S161" s="138"/>
      <c r="T161" s="139">
        <f>IFERROR(INDEX('Price List'!$G$5:$G$74,MATCH(TRIM(J161)&amp;"|"&amp;TRIM(P161),'Price List'!$O$5:$O$74,0)),0)</f>
        <v>0.05</v>
      </c>
      <c r="U161" s="140">
        <f>IFERROR(INDEX('Price List'!$H$5:$H$74,MATCH(TRIM(J161)&amp;"|"&amp;TRIM(P161),'Price List'!$O$5:$O$74,0)),0)</f>
        <v>0.2</v>
      </c>
      <c r="V161" s="141">
        <f t="shared" si="13"/>
        <v>0.06</v>
      </c>
      <c r="W161" s="142">
        <f>IFERROR(INDEX('Price List'!$J$5:$J$74,MATCH(TRIM(J161)&amp;"|"&amp;TRIM(P161),'Price List'!$O$5:$O$74,0)),0)</f>
        <v>1.2</v>
      </c>
      <c r="X161" s="143">
        <f>IFERROR(INDEX('Price List'!$K$5:$K$74,MATCH(TRIM(J161)&amp;"|"&amp;TRIM(P161),'Price List'!$O$5:$O$74,0)),0)</f>
        <v>0.12</v>
      </c>
      <c r="Y161" s="141">
        <f t="shared" si="14"/>
        <v>1.3440000000000001</v>
      </c>
      <c r="Z161" s="141">
        <f t="shared" si="15"/>
        <v>656.00495999999998</v>
      </c>
      <c r="AA161" s="134"/>
    </row>
    <row r="162" spans="1:27" ht="15" customHeight="1" x14ac:dyDescent="0.35">
      <c r="A162" s="134"/>
      <c r="B162" s="134"/>
      <c r="C162" s="134" t="s">
        <v>444</v>
      </c>
      <c r="D162" s="136" t="str">
        <f t="shared" si="12"/>
        <v>B.04</v>
      </c>
      <c r="E162" s="135" t="s">
        <v>414</v>
      </c>
      <c r="F162" s="135" t="s">
        <v>669</v>
      </c>
      <c r="G162" s="134" t="s">
        <v>31</v>
      </c>
      <c r="H162" s="134" t="s">
        <v>665</v>
      </c>
      <c r="I162" s="134" t="s">
        <v>512</v>
      </c>
      <c r="J162" s="144" t="s">
        <v>125</v>
      </c>
      <c r="K162" s="134"/>
      <c r="L162" s="134"/>
      <c r="M162" s="134"/>
      <c r="N162" s="134"/>
      <c r="O162" s="134"/>
      <c r="P162" s="135" t="s">
        <v>100</v>
      </c>
      <c r="Q162" s="137">
        <f t="shared" si="10"/>
        <v>23.430000000000003</v>
      </c>
      <c r="R162" s="137">
        <f>(5.2*4.2)+(1.325*2*0.3*2)</f>
        <v>23.430000000000003</v>
      </c>
      <c r="S162" s="138"/>
      <c r="T162" s="139">
        <f>IFERROR(INDEX('Price List'!$G$5:$G$74,MATCH(TRIM(J162)&amp;"|"&amp;TRIM(P162),'Price List'!$O$5:$O$74,0)),0)</f>
        <v>10</v>
      </c>
      <c r="U162" s="140">
        <f>IFERROR(INDEX('Price List'!$H$5:$H$74,MATCH(TRIM(J162)&amp;"|"&amp;TRIM(P162),'Price List'!$O$5:$O$74,0)),0)</f>
        <v>0.2</v>
      </c>
      <c r="V162" s="141">
        <f t="shared" si="13"/>
        <v>12</v>
      </c>
      <c r="W162" s="142">
        <f>IFERROR(INDEX('Price List'!$J$5:$J$74,MATCH(TRIM(J162)&amp;"|"&amp;TRIM(P162),'Price List'!$O$5:$O$74,0)),0)</f>
        <v>98</v>
      </c>
      <c r="X162" s="143">
        <f>IFERROR(INDEX('Price List'!$K$5:$K$74,MATCH(TRIM(J162)&amp;"|"&amp;TRIM(P162),'Price List'!$O$5:$O$74,0)),0)</f>
        <v>0.12</v>
      </c>
      <c r="Y162" s="141">
        <f t="shared" si="14"/>
        <v>109.76</v>
      </c>
      <c r="Z162" s="141">
        <f t="shared" si="15"/>
        <v>2852.8368000000005</v>
      </c>
      <c r="AA162" s="134"/>
    </row>
    <row r="163" spans="1:27" ht="15" customHeight="1" x14ac:dyDescent="0.35">
      <c r="A163" s="134"/>
      <c r="B163" s="134"/>
      <c r="C163" s="134" t="s">
        <v>444</v>
      </c>
      <c r="D163" s="136" t="str">
        <f t="shared" si="12"/>
        <v>B.04</v>
      </c>
      <c r="E163" s="135" t="s">
        <v>414</v>
      </c>
      <c r="F163" s="135" t="s">
        <v>669</v>
      </c>
      <c r="G163" s="134" t="s">
        <v>31</v>
      </c>
      <c r="H163" s="134" t="s">
        <v>665</v>
      </c>
      <c r="I163" s="144" t="s">
        <v>127</v>
      </c>
      <c r="J163" s="144" t="s">
        <v>127</v>
      </c>
      <c r="K163" s="144"/>
      <c r="L163" s="134"/>
      <c r="M163" s="134"/>
      <c r="N163" s="134"/>
      <c r="O163" s="134"/>
      <c r="P163" s="135" t="s">
        <v>128</v>
      </c>
      <c r="Q163" s="137">
        <f t="shared" si="10"/>
        <v>139.70000000000002</v>
      </c>
      <c r="R163" s="137">
        <f>(32*4.2)+(1.325*2*2)</f>
        <v>139.70000000000002</v>
      </c>
      <c r="S163" s="138"/>
      <c r="T163" s="139">
        <f>IFERROR(INDEX('Price List'!$G$5:$G$74,MATCH(TRIM(J163)&amp;"|"&amp;TRIM(P163),'Price List'!$O$5:$O$74,0)),0)</f>
        <v>6</v>
      </c>
      <c r="U163" s="140">
        <f>IFERROR(INDEX('Price List'!$H$5:$H$74,MATCH(TRIM(J163)&amp;"|"&amp;TRIM(P163),'Price List'!$O$5:$O$74,0)),0)</f>
        <v>0.2</v>
      </c>
      <c r="V163" s="141">
        <f t="shared" si="13"/>
        <v>7.1999999999999993</v>
      </c>
      <c r="W163" s="142">
        <f>IFERROR(INDEX('Price List'!$J$5:$J$74,MATCH(TRIM(J163)&amp;"|"&amp;TRIM(P163),'Price List'!$O$5:$O$74,0)),0)</f>
        <v>5</v>
      </c>
      <c r="X163" s="143">
        <f>IFERROR(INDEX('Price List'!$K$5:$K$74,MATCH(TRIM(J163)&amp;"|"&amp;TRIM(P163),'Price List'!$O$5:$O$74,0)),0)</f>
        <v>0.12</v>
      </c>
      <c r="Y163" s="141">
        <f t="shared" si="14"/>
        <v>5.6000000000000005</v>
      </c>
      <c r="Z163" s="141">
        <f t="shared" si="15"/>
        <v>1788.1600000000003</v>
      </c>
      <c r="AA163" s="134"/>
    </row>
    <row r="164" spans="1:27" ht="15" customHeight="1" x14ac:dyDescent="0.35">
      <c r="A164" s="134"/>
      <c r="B164" s="134"/>
      <c r="C164" s="134" t="s">
        <v>444</v>
      </c>
      <c r="D164" s="136" t="str">
        <f t="shared" si="12"/>
        <v>B.04</v>
      </c>
      <c r="E164" s="135" t="s">
        <v>414</v>
      </c>
      <c r="F164" s="135" t="s">
        <v>669</v>
      </c>
      <c r="G164" s="134" t="s">
        <v>31</v>
      </c>
      <c r="H164" s="134" t="s">
        <v>665</v>
      </c>
      <c r="I164" s="134" t="s">
        <v>513</v>
      </c>
      <c r="J164" s="144" t="s">
        <v>102</v>
      </c>
      <c r="K164" s="134"/>
      <c r="L164" s="134"/>
      <c r="M164" s="134"/>
      <c r="N164" s="134"/>
      <c r="O164" s="134"/>
      <c r="P164" s="135" t="s">
        <v>103</v>
      </c>
      <c r="Q164" s="137">
        <f t="shared" si="10"/>
        <v>241.864</v>
      </c>
      <c r="R164" s="137">
        <v>241.864</v>
      </c>
      <c r="S164" s="138"/>
      <c r="T164" s="139">
        <f>IFERROR(INDEX('Price List'!$G$5:$G$74,MATCH(TRIM(J164)&amp;"|"&amp;TRIM(P164),'Price List'!$O$5:$O$74,0)),0)</f>
        <v>0.12</v>
      </c>
      <c r="U164" s="140">
        <f>IFERROR(INDEX('Price List'!$H$5:$H$74,MATCH(TRIM(J164)&amp;"|"&amp;TRIM(P164),'Price List'!$O$5:$O$74,0)),0)</f>
        <v>0.2</v>
      </c>
      <c r="V164" s="141">
        <f t="shared" si="13"/>
        <v>0.14399999999999999</v>
      </c>
      <c r="W164" s="142">
        <f>IFERROR(INDEX('Price List'!$J$5:$J$74,MATCH(TRIM(J164)&amp;"|"&amp;TRIM(P164),'Price List'!$O$5:$O$74,0)),0)</f>
        <v>0.78</v>
      </c>
      <c r="X164" s="143">
        <f>IFERROR(INDEX('Price List'!$K$5:$K$74,MATCH(TRIM(J164)&amp;"|"&amp;TRIM(P164),'Price List'!$O$5:$O$74,0)),0)</f>
        <v>0.12</v>
      </c>
      <c r="Y164" s="141">
        <f t="shared" si="14"/>
        <v>0.87360000000000015</v>
      </c>
      <c r="Z164" s="141">
        <f t="shared" si="15"/>
        <v>246.12080640000002</v>
      </c>
      <c r="AA164" s="134"/>
    </row>
    <row r="165" spans="1:27" ht="15" customHeight="1" x14ac:dyDescent="0.35">
      <c r="A165" s="134"/>
      <c r="B165" s="134"/>
      <c r="C165" s="134" t="s">
        <v>444</v>
      </c>
      <c r="D165" s="136" t="str">
        <f t="shared" si="12"/>
        <v>B.04</v>
      </c>
      <c r="E165" s="135" t="s">
        <v>414</v>
      </c>
      <c r="F165" s="135" t="s">
        <v>669</v>
      </c>
      <c r="G165" s="134" t="s">
        <v>31</v>
      </c>
      <c r="H165" s="134" t="s">
        <v>665</v>
      </c>
      <c r="I165" s="134" t="s">
        <v>513</v>
      </c>
      <c r="J165" s="144" t="s">
        <v>131</v>
      </c>
      <c r="K165" s="134"/>
      <c r="L165" s="134"/>
      <c r="M165" s="134"/>
      <c r="N165" s="134"/>
      <c r="O165" s="134"/>
      <c r="P165" s="135" t="s">
        <v>103</v>
      </c>
      <c r="Q165" s="137">
        <f t="shared" si="10"/>
        <v>1071.6384</v>
      </c>
      <c r="R165" s="137">
        <v>1071.6384</v>
      </c>
      <c r="S165" s="138"/>
      <c r="T165" s="139">
        <f>IFERROR(INDEX('Price List'!$G$5:$G$74,MATCH(TRIM(J165)&amp;"|"&amp;TRIM(P165),'Price List'!$O$5:$O$74,0)),0)</f>
        <v>0.11</v>
      </c>
      <c r="U165" s="140">
        <f>IFERROR(INDEX('Price List'!$H$5:$H$74,MATCH(TRIM(J165)&amp;"|"&amp;TRIM(P165),'Price List'!$O$5:$O$74,0)),0)</f>
        <v>0.2</v>
      </c>
      <c r="V165" s="141">
        <f t="shared" si="13"/>
        <v>0.13200000000000001</v>
      </c>
      <c r="W165" s="142">
        <f>IFERROR(INDEX('Price List'!$J$5:$J$74,MATCH(TRIM(J165)&amp;"|"&amp;TRIM(P165),'Price List'!$O$5:$O$74,0)),0)</f>
        <v>0.76</v>
      </c>
      <c r="X165" s="143">
        <f>IFERROR(INDEX('Price List'!$K$5:$K$74,MATCH(TRIM(J165)&amp;"|"&amp;TRIM(P165),'Price List'!$O$5:$O$74,0)),0)</f>
        <v>0.12</v>
      </c>
      <c r="Y165" s="141">
        <f t="shared" si="14"/>
        <v>0.85120000000000007</v>
      </c>
      <c r="Z165" s="141">
        <f t="shared" si="15"/>
        <v>1053.6348748800001</v>
      </c>
      <c r="AA165" s="134"/>
    </row>
    <row r="166" spans="1:27" ht="15" customHeight="1" x14ac:dyDescent="0.35">
      <c r="A166" s="134"/>
      <c r="B166" s="134"/>
      <c r="C166" s="134" t="s">
        <v>444</v>
      </c>
      <c r="D166" s="136" t="str">
        <f t="shared" si="12"/>
        <v>B.04</v>
      </c>
      <c r="E166" s="135" t="s">
        <v>414</v>
      </c>
      <c r="F166" s="135" t="s">
        <v>669</v>
      </c>
      <c r="G166" s="134" t="s">
        <v>31</v>
      </c>
      <c r="H166" s="134" t="s">
        <v>665</v>
      </c>
      <c r="I166" s="134" t="s">
        <v>513</v>
      </c>
      <c r="J166" s="144" t="s">
        <v>133</v>
      </c>
      <c r="K166" s="134"/>
      <c r="L166" s="134"/>
      <c r="M166" s="134"/>
      <c r="N166" s="134"/>
      <c r="O166" s="134"/>
      <c r="P166" s="135" t="s">
        <v>103</v>
      </c>
      <c r="Q166" s="137">
        <f t="shared" ref="Q166:Q229" si="16">R166</f>
        <v>1659.6320000000001</v>
      </c>
      <c r="R166" s="137">
        <v>1659.6320000000001</v>
      </c>
      <c r="S166" s="138"/>
      <c r="T166" s="139">
        <f>IFERROR(INDEX('Price List'!$G$5:$G$74,MATCH(TRIM(J166)&amp;"|"&amp;TRIM(P166),'Price List'!$O$5:$O$74,0)),0)</f>
        <v>0.1</v>
      </c>
      <c r="U166" s="140">
        <f>IFERROR(INDEX('Price List'!$H$5:$H$74,MATCH(TRIM(J166)&amp;"|"&amp;TRIM(P166),'Price List'!$O$5:$O$74,0)),0)</f>
        <v>0.2</v>
      </c>
      <c r="V166" s="141">
        <f t="shared" si="13"/>
        <v>0.12</v>
      </c>
      <c r="W166" s="142">
        <f>IFERROR(INDEX('Price List'!$J$5:$J$74,MATCH(TRIM(J166)&amp;"|"&amp;TRIM(P166),'Price List'!$O$5:$O$74,0)),0)</f>
        <v>0.74</v>
      </c>
      <c r="X166" s="143">
        <f>IFERROR(INDEX('Price List'!$K$5:$K$74,MATCH(TRIM(J166)&amp;"|"&amp;TRIM(P166),'Price List'!$O$5:$O$74,0)),0)</f>
        <v>0.12</v>
      </c>
      <c r="Y166" s="141">
        <f t="shared" si="14"/>
        <v>0.82880000000000009</v>
      </c>
      <c r="Z166" s="141">
        <f t="shared" si="15"/>
        <v>1574.6588416000002</v>
      </c>
      <c r="AA166" s="134"/>
    </row>
    <row r="167" spans="1:27" ht="15" customHeight="1" x14ac:dyDescent="0.35">
      <c r="A167" s="134"/>
      <c r="B167" s="134"/>
      <c r="C167" s="134" t="s">
        <v>444</v>
      </c>
      <c r="D167" s="136" t="str">
        <f t="shared" si="12"/>
        <v>B.04</v>
      </c>
      <c r="E167" s="135" t="s">
        <v>414</v>
      </c>
      <c r="F167" s="135" t="s">
        <v>669</v>
      </c>
      <c r="G167" s="134" t="s">
        <v>31</v>
      </c>
      <c r="H167" s="134" t="s">
        <v>665</v>
      </c>
      <c r="I167" s="134" t="s">
        <v>513</v>
      </c>
      <c r="J167" s="144" t="s">
        <v>135</v>
      </c>
      <c r="K167" s="134"/>
      <c r="L167" s="134"/>
      <c r="M167" s="134"/>
      <c r="N167" s="134"/>
      <c r="O167" s="134"/>
      <c r="P167" s="135" t="s">
        <v>103</v>
      </c>
      <c r="Q167" s="137">
        <f t="shared" si="16"/>
        <v>822.01599999999996</v>
      </c>
      <c r="R167" s="137">
        <v>822.01599999999996</v>
      </c>
      <c r="S167" s="138"/>
      <c r="T167" s="139">
        <f>IFERROR(INDEX('Price List'!$G$5:$G$74,MATCH(TRIM(J167)&amp;"|"&amp;TRIM(P167),'Price List'!$O$5:$O$74,0)),0)</f>
        <v>0.09</v>
      </c>
      <c r="U167" s="140">
        <f>IFERROR(INDEX('Price List'!$H$5:$H$74,MATCH(TRIM(J167)&amp;"|"&amp;TRIM(P167),'Price List'!$O$5:$O$74,0)),0)</f>
        <v>0.2</v>
      </c>
      <c r="V167" s="141">
        <f t="shared" si="13"/>
        <v>0.108</v>
      </c>
      <c r="W167" s="142">
        <f>IFERROR(INDEX('Price List'!$J$5:$J$74,MATCH(TRIM(J167)&amp;"|"&amp;TRIM(P167),'Price List'!$O$5:$O$74,0)),0)</f>
        <v>0.73</v>
      </c>
      <c r="X167" s="143">
        <f>IFERROR(INDEX('Price List'!$K$5:$K$74,MATCH(TRIM(J167)&amp;"|"&amp;TRIM(P167),'Price List'!$O$5:$O$74,0)),0)</f>
        <v>0.12</v>
      </c>
      <c r="Y167" s="141">
        <f t="shared" si="14"/>
        <v>0.8176000000000001</v>
      </c>
      <c r="Z167" s="141">
        <f t="shared" si="15"/>
        <v>760.85800960000006</v>
      </c>
      <c r="AA167" s="134"/>
    </row>
    <row r="168" spans="1:27" ht="15" customHeight="1" x14ac:dyDescent="0.35">
      <c r="A168" s="134"/>
      <c r="B168" s="134"/>
      <c r="C168" s="134" t="s">
        <v>444</v>
      </c>
      <c r="D168" s="136" t="str">
        <f t="shared" si="12"/>
        <v>B.04</v>
      </c>
      <c r="E168" s="135" t="s">
        <v>414</v>
      </c>
      <c r="F168" s="135" t="s">
        <v>669</v>
      </c>
      <c r="G168" s="134" t="s">
        <v>31</v>
      </c>
      <c r="H168" s="134" t="s">
        <v>665</v>
      </c>
      <c r="I168" s="134" t="s">
        <v>657</v>
      </c>
      <c r="J168" s="134" t="s">
        <v>107</v>
      </c>
      <c r="K168" s="134"/>
      <c r="L168" s="134"/>
      <c r="M168" s="134"/>
      <c r="N168" s="134"/>
      <c r="O168" s="134"/>
      <c r="P168" s="135" t="s">
        <v>103</v>
      </c>
      <c r="Q168" s="137">
        <f t="shared" si="16"/>
        <v>151.806016</v>
      </c>
      <c r="R168" s="137">
        <f>(R166+R167+R165+R164)*4%</f>
        <v>151.806016</v>
      </c>
      <c r="S168" s="138"/>
      <c r="T168" s="139">
        <f>IFERROR(INDEX('Price List'!$G$5:$G$74,MATCH(TRIM(J168)&amp;"|"&amp;TRIM(P168),'Price List'!$O$5:$O$74,0)),0)</f>
        <v>0.05</v>
      </c>
      <c r="U168" s="140">
        <f>IFERROR(INDEX('Price List'!$H$5:$H$74,MATCH(TRIM(J168)&amp;"|"&amp;TRIM(P168),'Price List'!$O$5:$O$74,0)),0)</f>
        <v>0.2</v>
      </c>
      <c r="V168" s="141">
        <f t="shared" si="13"/>
        <v>0.06</v>
      </c>
      <c r="W168" s="142">
        <f>IFERROR(INDEX('Price List'!$J$5:$J$74,MATCH(TRIM(J168)&amp;"|"&amp;TRIM(P168),'Price List'!$O$5:$O$74,0)),0)</f>
        <v>1.2</v>
      </c>
      <c r="X168" s="143">
        <f>IFERROR(INDEX('Price List'!$K$5:$K$74,MATCH(TRIM(J168)&amp;"|"&amp;TRIM(P168),'Price List'!$O$5:$O$74,0)),0)</f>
        <v>0.12</v>
      </c>
      <c r="Y168" s="141">
        <f t="shared" si="14"/>
        <v>1.3440000000000001</v>
      </c>
      <c r="Z168" s="141">
        <f t="shared" si="15"/>
        <v>213.13564646400002</v>
      </c>
      <c r="AA168" s="134"/>
    </row>
    <row r="169" spans="1:27" ht="15" customHeight="1" x14ac:dyDescent="0.35">
      <c r="A169" s="134"/>
      <c r="B169" s="135"/>
      <c r="C169" s="134" t="s">
        <v>444</v>
      </c>
      <c r="D169" s="136" t="str">
        <f t="shared" si="12"/>
        <v>B.04</v>
      </c>
      <c r="E169" s="135" t="s">
        <v>414</v>
      </c>
      <c r="F169" s="135" t="s">
        <v>669</v>
      </c>
      <c r="G169" s="134" t="s">
        <v>31</v>
      </c>
      <c r="H169" s="134" t="s">
        <v>578</v>
      </c>
      <c r="I169" s="134" t="s">
        <v>512</v>
      </c>
      <c r="J169" s="145" t="s">
        <v>125</v>
      </c>
      <c r="K169" s="134"/>
      <c r="L169" s="134"/>
      <c r="M169" s="134"/>
      <c r="N169" s="134"/>
      <c r="O169" s="134"/>
      <c r="P169" s="135" t="s">
        <v>100</v>
      </c>
      <c r="Q169" s="137">
        <f t="shared" si="16"/>
        <v>5.016</v>
      </c>
      <c r="R169" s="137">
        <v>5.016</v>
      </c>
      <c r="S169" s="138"/>
      <c r="T169" s="139">
        <f>IFERROR(INDEX('Price List'!$G$5:$G$74,MATCH(TRIM(J169)&amp;"|"&amp;TRIM(P169),'Price List'!$O$5:$O$74,0)),0)</f>
        <v>10</v>
      </c>
      <c r="U169" s="140">
        <f>IFERROR(INDEX('Price List'!$H$5:$H$74,MATCH(TRIM(J169)&amp;"|"&amp;TRIM(P169),'Price List'!$O$5:$O$74,0)),0)</f>
        <v>0.2</v>
      </c>
      <c r="V169" s="141">
        <f t="shared" si="13"/>
        <v>12</v>
      </c>
      <c r="W169" s="142">
        <f>IFERROR(INDEX('Price List'!$J$5:$J$74,MATCH(TRIM(J169)&amp;"|"&amp;TRIM(P169),'Price List'!$O$5:$O$74,0)),0)</f>
        <v>98</v>
      </c>
      <c r="X169" s="143">
        <f>IFERROR(INDEX('Price List'!$K$5:$K$74,MATCH(TRIM(J169)&amp;"|"&amp;TRIM(P169),'Price List'!$O$5:$O$74,0)),0)</f>
        <v>0.12</v>
      </c>
      <c r="Y169" s="141">
        <f t="shared" si="14"/>
        <v>109.76</v>
      </c>
      <c r="Z169" s="141">
        <f t="shared" si="15"/>
        <v>610.74815999999998</v>
      </c>
      <c r="AA169" s="134"/>
    </row>
    <row r="170" spans="1:27" ht="15" customHeight="1" x14ac:dyDescent="0.35">
      <c r="A170" s="134"/>
      <c r="B170" s="135"/>
      <c r="C170" s="134" t="s">
        <v>444</v>
      </c>
      <c r="D170" s="136" t="str">
        <f t="shared" si="12"/>
        <v>B.04</v>
      </c>
      <c r="E170" s="135" t="s">
        <v>414</v>
      </c>
      <c r="F170" s="135" t="s">
        <v>669</v>
      </c>
      <c r="G170" s="134" t="s">
        <v>31</v>
      </c>
      <c r="H170" s="134" t="s">
        <v>578</v>
      </c>
      <c r="I170" s="144" t="s">
        <v>127</v>
      </c>
      <c r="J170" s="144" t="s">
        <v>127</v>
      </c>
      <c r="K170" s="144"/>
      <c r="L170" s="134"/>
      <c r="M170" s="134"/>
      <c r="N170" s="134"/>
      <c r="O170" s="134"/>
      <c r="P170" s="135" t="s">
        <v>128</v>
      </c>
      <c r="Q170" s="137">
        <f t="shared" si="16"/>
        <v>75.239999999999995</v>
      </c>
      <c r="R170" s="137">
        <f>R169*15</f>
        <v>75.239999999999995</v>
      </c>
      <c r="S170" s="138"/>
      <c r="T170" s="139">
        <f>IFERROR(INDEX('Price List'!$G$5:$G$74,MATCH(TRIM(J170)&amp;"|"&amp;TRIM(P170),'Price List'!$O$5:$O$74,0)),0)</f>
        <v>6</v>
      </c>
      <c r="U170" s="140">
        <f>IFERROR(INDEX('Price List'!$H$5:$H$74,MATCH(TRIM(J170)&amp;"|"&amp;TRIM(P170),'Price List'!$O$5:$O$74,0)),0)</f>
        <v>0.2</v>
      </c>
      <c r="V170" s="141">
        <f t="shared" si="13"/>
        <v>7.1999999999999993</v>
      </c>
      <c r="W170" s="142">
        <f>IFERROR(INDEX('Price List'!$J$5:$J$74,MATCH(TRIM(J170)&amp;"|"&amp;TRIM(P170),'Price List'!$O$5:$O$74,0)),0)</f>
        <v>5</v>
      </c>
      <c r="X170" s="143">
        <f>IFERROR(INDEX('Price List'!$K$5:$K$74,MATCH(TRIM(J170)&amp;"|"&amp;TRIM(P170),'Price List'!$O$5:$O$74,0)),0)</f>
        <v>0.12</v>
      </c>
      <c r="Y170" s="141">
        <f t="shared" si="14"/>
        <v>5.6000000000000005</v>
      </c>
      <c r="Z170" s="141">
        <f t="shared" si="15"/>
        <v>963.072</v>
      </c>
      <c r="AA170" s="134"/>
    </row>
    <row r="171" spans="1:27" ht="15" customHeight="1" x14ac:dyDescent="0.35">
      <c r="A171" s="134"/>
      <c r="B171" s="135"/>
      <c r="C171" s="134" t="s">
        <v>444</v>
      </c>
      <c r="D171" s="136" t="str">
        <f t="shared" si="12"/>
        <v>B.04</v>
      </c>
      <c r="E171" s="135" t="s">
        <v>414</v>
      </c>
      <c r="F171" s="135" t="s">
        <v>669</v>
      </c>
      <c r="G171" s="134" t="s">
        <v>31</v>
      </c>
      <c r="H171" s="134" t="s">
        <v>578</v>
      </c>
      <c r="I171" s="134" t="s">
        <v>513</v>
      </c>
      <c r="J171" s="144" t="s">
        <v>169</v>
      </c>
      <c r="K171" s="144"/>
      <c r="L171" s="134"/>
      <c r="M171" s="134"/>
      <c r="N171" s="134"/>
      <c r="O171" s="134"/>
      <c r="P171" s="135" t="s">
        <v>103</v>
      </c>
      <c r="Q171" s="137">
        <f t="shared" si="16"/>
        <v>50.16</v>
      </c>
      <c r="R171" s="137">
        <f>R169*10</f>
        <v>50.16</v>
      </c>
      <c r="S171" s="138"/>
      <c r="T171" s="139">
        <f>IFERROR(INDEX('Price List'!$G$5:$G$74,MATCH(TRIM(J171)&amp;"|"&amp;TRIM(P171),'Price List'!$O$5:$O$74,0)),0)</f>
        <v>0.12</v>
      </c>
      <c r="U171" s="140">
        <f>IFERROR(INDEX('Price List'!$H$5:$H$74,MATCH(TRIM(J171)&amp;"|"&amp;TRIM(P171),'Price List'!$O$5:$O$74,0)),0)</f>
        <v>0.2</v>
      </c>
      <c r="V171" s="141">
        <f t="shared" si="13"/>
        <v>0.14399999999999999</v>
      </c>
      <c r="W171" s="142">
        <f>IFERROR(INDEX('Price List'!$J$5:$J$74,MATCH(TRIM(J171)&amp;"|"&amp;TRIM(P171),'Price List'!$O$5:$O$74,0)),0)</f>
        <v>0.77</v>
      </c>
      <c r="X171" s="143">
        <f>IFERROR(INDEX('Price List'!$K$5:$K$74,MATCH(TRIM(J171)&amp;"|"&amp;TRIM(P171),'Price List'!$O$5:$O$74,0)),0)</f>
        <v>0.12</v>
      </c>
      <c r="Y171" s="141">
        <f t="shared" si="14"/>
        <v>0.86240000000000006</v>
      </c>
      <c r="Z171" s="141">
        <f t="shared" si="15"/>
        <v>50.481023999999998</v>
      </c>
      <c r="AA171" s="134"/>
    </row>
    <row r="172" spans="1:27" ht="15" customHeight="1" x14ac:dyDescent="0.35">
      <c r="A172" s="134"/>
      <c r="B172" s="135"/>
      <c r="C172" s="134" t="s">
        <v>444</v>
      </c>
      <c r="D172" s="136" t="str">
        <f t="shared" si="12"/>
        <v>B.04</v>
      </c>
      <c r="E172" s="135" t="s">
        <v>414</v>
      </c>
      <c r="F172" s="135" t="s">
        <v>669</v>
      </c>
      <c r="G172" s="134" t="s">
        <v>31</v>
      </c>
      <c r="H172" s="134" t="s">
        <v>578</v>
      </c>
      <c r="I172" s="134" t="s">
        <v>513</v>
      </c>
      <c r="J172" s="144" t="s">
        <v>131</v>
      </c>
      <c r="K172" s="134"/>
      <c r="L172" s="134"/>
      <c r="M172" s="134"/>
      <c r="N172" s="134"/>
      <c r="O172" s="134"/>
      <c r="P172" s="135" t="s">
        <v>103</v>
      </c>
      <c r="Q172" s="137">
        <f t="shared" si="16"/>
        <v>601.91999999999996</v>
      </c>
      <c r="R172" s="137">
        <f>R169*120</f>
        <v>601.91999999999996</v>
      </c>
      <c r="S172" s="138"/>
      <c r="T172" s="139">
        <f>IFERROR(INDEX('Price List'!$G$5:$G$74,MATCH(TRIM(J172)&amp;"|"&amp;TRIM(P172),'Price List'!$O$5:$O$74,0)),0)</f>
        <v>0.11</v>
      </c>
      <c r="U172" s="140">
        <f>IFERROR(INDEX('Price List'!$H$5:$H$74,MATCH(TRIM(J172)&amp;"|"&amp;TRIM(P172),'Price List'!$O$5:$O$74,0)),0)</f>
        <v>0.2</v>
      </c>
      <c r="V172" s="141">
        <f t="shared" si="13"/>
        <v>0.13200000000000001</v>
      </c>
      <c r="W172" s="142">
        <f>IFERROR(INDEX('Price List'!$J$5:$J$74,MATCH(TRIM(J172)&amp;"|"&amp;TRIM(P172),'Price List'!$O$5:$O$74,0)),0)</f>
        <v>0.76</v>
      </c>
      <c r="X172" s="143">
        <f>IFERROR(INDEX('Price List'!$K$5:$K$74,MATCH(TRIM(J172)&amp;"|"&amp;TRIM(P172),'Price List'!$O$5:$O$74,0)),0)</f>
        <v>0.12</v>
      </c>
      <c r="Y172" s="141">
        <f t="shared" si="14"/>
        <v>0.85120000000000007</v>
      </c>
      <c r="Z172" s="141">
        <f t="shared" si="15"/>
        <v>591.80774399999996</v>
      </c>
      <c r="AA172" s="134"/>
    </row>
    <row r="173" spans="1:27" ht="15" customHeight="1" x14ac:dyDescent="0.35">
      <c r="A173" s="134"/>
      <c r="B173" s="135"/>
      <c r="C173" s="134" t="s">
        <v>444</v>
      </c>
      <c r="D173" s="136" t="str">
        <f t="shared" si="12"/>
        <v>B.04</v>
      </c>
      <c r="E173" s="135" t="s">
        <v>414</v>
      </c>
      <c r="F173" s="135" t="s">
        <v>669</v>
      </c>
      <c r="G173" s="134" t="s">
        <v>31</v>
      </c>
      <c r="H173" s="134" t="s">
        <v>578</v>
      </c>
      <c r="I173" s="134" t="s">
        <v>513</v>
      </c>
      <c r="J173" s="144" t="s">
        <v>133</v>
      </c>
      <c r="K173" s="134"/>
      <c r="L173" s="134"/>
      <c r="M173" s="134"/>
      <c r="N173" s="134"/>
      <c r="O173" s="134"/>
      <c r="P173" s="135" t="s">
        <v>103</v>
      </c>
      <c r="Q173" s="137">
        <f t="shared" si="16"/>
        <v>125.4</v>
      </c>
      <c r="R173" s="137">
        <f>R169*25</f>
        <v>125.4</v>
      </c>
      <c r="S173" s="138"/>
      <c r="T173" s="139">
        <f>IFERROR(INDEX('Price List'!$G$5:$G$74,MATCH(TRIM(J173)&amp;"|"&amp;TRIM(P173),'Price List'!$O$5:$O$74,0)),0)</f>
        <v>0.1</v>
      </c>
      <c r="U173" s="140">
        <f>IFERROR(INDEX('Price List'!$H$5:$H$74,MATCH(TRIM(J173)&amp;"|"&amp;TRIM(P173),'Price List'!$O$5:$O$74,0)),0)</f>
        <v>0.2</v>
      </c>
      <c r="V173" s="141">
        <f t="shared" si="13"/>
        <v>0.12</v>
      </c>
      <c r="W173" s="142">
        <f>IFERROR(INDEX('Price List'!$J$5:$J$74,MATCH(TRIM(J173)&amp;"|"&amp;TRIM(P173),'Price List'!$O$5:$O$74,0)),0)</f>
        <v>0.74</v>
      </c>
      <c r="X173" s="143">
        <f>IFERROR(INDEX('Price List'!$K$5:$K$74,MATCH(TRIM(J173)&amp;"|"&amp;TRIM(P173),'Price List'!$O$5:$O$74,0)),0)</f>
        <v>0.12</v>
      </c>
      <c r="Y173" s="141">
        <f t="shared" si="14"/>
        <v>0.82880000000000009</v>
      </c>
      <c r="Z173" s="141">
        <f t="shared" si="15"/>
        <v>118.97952000000002</v>
      </c>
      <c r="AA173" s="134"/>
    </row>
    <row r="174" spans="1:27" ht="15" customHeight="1" x14ac:dyDescent="0.35">
      <c r="A174" s="134"/>
      <c r="B174" s="135"/>
      <c r="C174" s="134" t="s">
        <v>444</v>
      </c>
      <c r="D174" s="136" t="str">
        <f t="shared" si="12"/>
        <v>B.04</v>
      </c>
      <c r="E174" s="135" t="s">
        <v>414</v>
      </c>
      <c r="F174" s="135" t="s">
        <v>669</v>
      </c>
      <c r="G174" s="134" t="s">
        <v>31</v>
      </c>
      <c r="H174" s="134" t="s">
        <v>578</v>
      </c>
      <c r="I174" s="134" t="s">
        <v>657</v>
      </c>
      <c r="J174" s="134" t="s">
        <v>107</v>
      </c>
      <c r="K174" s="134"/>
      <c r="L174" s="134"/>
      <c r="M174" s="134"/>
      <c r="N174" s="134"/>
      <c r="O174" s="134"/>
      <c r="P174" s="135" t="s">
        <v>103</v>
      </c>
      <c r="Q174" s="137">
        <f t="shared" si="16"/>
        <v>31.099199999999996</v>
      </c>
      <c r="R174" s="137">
        <f>(R172+R173+R171)*4%</f>
        <v>31.099199999999996</v>
      </c>
      <c r="S174" s="138"/>
      <c r="T174" s="139">
        <f>IFERROR(INDEX('Price List'!$G$5:$G$74,MATCH(TRIM(J174)&amp;"|"&amp;TRIM(P174),'Price List'!$O$5:$O$74,0)),0)</f>
        <v>0.05</v>
      </c>
      <c r="U174" s="140">
        <f>IFERROR(INDEX('Price List'!$H$5:$H$74,MATCH(TRIM(J174)&amp;"|"&amp;TRIM(P174),'Price List'!$O$5:$O$74,0)),0)</f>
        <v>0.2</v>
      </c>
      <c r="V174" s="141">
        <f t="shared" si="13"/>
        <v>0.06</v>
      </c>
      <c r="W174" s="142">
        <f>IFERROR(INDEX('Price List'!$J$5:$J$74,MATCH(TRIM(J174)&amp;"|"&amp;TRIM(P174),'Price List'!$O$5:$O$74,0)),0)</f>
        <v>1.2</v>
      </c>
      <c r="X174" s="143">
        <f>IFERROR(INDEX('Price List'!$K$5:$K$74,MATCH(TRIM(J174)&amp;"|"&amp;TRIM(P174),'Price List'!$O$5:$O$74,0)),0)</f>
        <v>0.12</v>
      </c>
      <c r="Y174" s="141">
        <f t="shared" si="14"/>
        <v>1.3440000000000001</v>
      </c>
      <c r="Z174" s="141">
        <f t="shared" si="15"/>
        <v>43.663276799999998</v>
      </c>
      <c r="AA174" s="134"/>
    </row>
    <row r="175" spans="1:27" ht="15" customHeight="1" x14ac:dyDescent="0.35">
      <c r="A175" s="134"/>
      <c r="B175" s="134"/>
      <c r="C175" s="134" t="s">
        <v>444</v>
      </c>
      <c r="D175" s="136" t="str">
        <f t="shared" si="12"/>
        <v>B.04</v>
      </c>
      <c r="E175" s="135" t="s">
        <v>414</v>
      </c>
      <c r="F175" s="135" t="s">
        <v>669</v>
      </c>
      <c r="G175" s="134" t="s">
        <v>31</v>
      </c>
      <c r="H175" s="134" t="s">
        <v>573</v>
      </c>
      <c r="I175" s="134" t="s">
        <v>512</v>
      </c>
      <c r="J175" s="144" t="s">
        <v>125</v>
      </c>
      <c r="K175" s="134"/>
      <c r="L175" s="134"/>
      <c r="M175" s="134"/>
      <c r="N175" s="134"/>
      <c r="O175" s="134"/>
      <c r="P175" s="135" t="s">
        <v>100</v>
      </c>
      <c r="Q175" s="137">
        <f t="shared" si="16"/>
        <v>45.863999999999997</v>
      </c>
      <c r="R175" s="137">
        <v>45.863999999999997</v>
      </c>
      <c r="S175" s="138"/>
      <c r="T175" s="139">
        <f>IFERROR(INDEX('Price List'!$G$5:$G$74,MATCH(TRIM(J175)&amp;"|"&amp;TRIM(P175),'Price List'!$O$5:$O$74,0)),0)</f>
        <v>10</v>
      </c>
      <c r="U175" s="140">
        <f>IFERROR(INDEX('Price List'!$H$5:$H$74,MATCH(TRIM(J175)&amp;"|"&amp;TRIM(P175),'Price List'!$O$5:$O$74,0)),0)</f>
        <v>0.2</v>
      </c>
      <c r="V175" s="141">
        <f t="shared" si="13"/>
        <v>12</v>
      </c>
      <c r="W175" s="142">
        <f>IFERROR(INDEX('Price List'!$J$5:$J$74,MATCH(TRIM(J175)&amp;"|"&amp;TRIM(P175),'Price List'!$O$5:$O$74,0)),0)</f>
        <v>98</v>
      </c>
      <c r="X175" s="143">
        <f>IFERROR(INDEX('Price List'!$K$5:$K$74,MATCH(TRIM(J175)&amp;"|"&amp;TRIM(P175),'Price List'!$O$5:$O$74,0)),0)</f>
        <v>0.12</v>
      </c>
      <c r="Y175" s="141">
        <f t="shared" si="14"/>
        <v>109.76</v>
      </c>
      <c r="Z175" s="141">
        <f t="shared" si="15"/>
        <v>5584.4006399999998</v>
      </c>
      <c r="AA175" s="134"/>
    </row>
    <row r="176" spans="1:27" ht="15" customHeight="1" x14ac:dyDescent="0.35">
      <c r="A176" s="134"/>
      <c r="B176" s="134"/>
      <c r="C176" s="134" t="s">
        <v>444</v>
      </c>
      <c r="D176" s="136" t="str">
        <f t="shared" si="12"/>
        <v>B.04</v>
      </c>
      <c r="E176" s="135" t="s">
        <v>414</v>
      </c>
      <c r="F176" s="135" t="s">
        <v>669</v>
      </c>
      <c r="G176" s="134" t="s">
        <v>31</v>
      </c>
      <c r="H176" s="134" t="s">
        <v>573</v>
      </c>
      <c r="I176" s="144" t="s">
        <v>127</v>
      </c>
      <c r="J176" s="144" t="s">
        <v>127</v>
      </c>
      <c r="K176" s="144"/>
      <c r="L176" s="134"/>
      <c r="M176" s="134"/>
      <c r="N176" s="134"/>
      <c r="O176" s="134"/>
      <c r="P176" s="135" t="s">
        <v>128</v>
      </c>
      <c r="Q176" s="137">
        <f t="shared" si="16"/>
        <v>221.76</v>
      </c>
      <c r="R176" s="137">
        <v>221.76</v>
      </c>
      <c r="S176" s="138"/>
      <c r="T176" s="139">
        <f>IFERROR(INDEX('Price List'!$G$5:$G$74,MATCH(TRIM(J176)&amp;"|"&amp;TRIM(P176),'Price List'!$O$5:$O$74,0)),0)</f>
        <v>6</v>
      </c>
      <c r="U176" s="140">
        <f>IFERROR(INDEX('Price List'!$H$5:$H$74,MATCH(TRIM(J176)&amp;"|"&amp;TRIM(P176),'Price List'!$O$5:$O$74,0)),0)</f>
        <v>0.2</v>
      </c>
      <c r="V176" s="141">
        <f t="shared" si="13"/>
        <v>7.1999999999999993</v>
      </c>
      <c r="W176" s="142">
        <f>IFERROR(INDEX('Price List'!$J$5:$J$74,MATCH(TRIM(J176)&amp;"|"&amp;TRIM(P176),'Price List'!$O$5:$O$74,0)),0)</f>
        <v>5</v>
      </c>
      <c r="X176" s="143">
        <f>IFERROR(INDEX('Price List'!$K$5:$K$74,MATCH(TRIM(J176)&amp;"|"&amp;TRIM(P176),'Price List'!$O$5:$O$74,0)),0)</f>
        <v>0.12</v>
      </c>
      <c r="Y176" s="141">
        <f t="shared" si="14"/>
        <v>5.6000000000000005</v>
      </c>
      <c r="Z176" s="141">
        <f t="shared" si="15"/>
        <v>2838.5280000000002</v>
      </c>
      <c r="AA176" s="134"/>
    </row>
    <row r="177" spans="1:27" ht="15" customHeight="1" x14ac:dyDescent="0.35">
      <c r="A177" s="134"/>
      <c r="B177" s="134"/>
      <c r="C177" s="134" t="s">
        <v>444</v>
      </c>
      <c r="D177" s="136" t="str">
        <f t="shared" si="12"/>
        <v>B.04</v>
      </c>
      <c r="E177" s="135" t="s">
        <v>414</v>
      </c>
      <c r="F177" s="135" t="s">
        <v>669</v>
      </c>
      <c r="G177" s="134" t="s">
        <v>31</v>
      </c>
      <c r="H177" s="134" t="s">
        <v>573</v>
      </c>
      <c r="I177" s="134" t="s">
        <v>513</v>
      </c>
      <c r="J177" s="144" t="s">
        <v>131</v>
      </c>
      <c r="K177" s="134"/>
      <c r="L177" s="134"/>
      <c r="M177" s="134"/>
      <c r="N177" s="134"/>
      <c r="O177" s="134"/>
      <c r="P177" s="135" t="s">
        <v>103</v>
      </c>
      <c r="Q177" s="137">
        <f t="shared" si="16"/>
        <v>3061.2556800000002</v>
      </c>
      <c r="R177" s="137">
        <v>3061.2556800000002</v>
      </c>
      <c r="S177" s="138"/>
      <c r="T177" s="139">
        <f>IFERROR(INDEX('Price List'!$G$5:$G$74,MATCH(TRIM(J177)&amp;"|"&amp;TRIM(P177),'Price List'!$O$5:$O$74,0)),0)</f>
        <v>0.11</v>
      </c>
      <c r="U177" s="140">
        <f>IFERROR(INDEX('Price List'!$H$5:$H$74,MATCH(TRIM(J177)&amp;"|"&amp;TRIM(P177),'Price List'!$O$5:$O$74,0)),0)</f>
        <v>0.2</v>
      </c>
      <c r="V177" s="141">
        <f t="shared" si="13"/>
        <v>0.13200000000000001</v>
      </c>
      <c r="W177" s="142">
        <f>IFERROR(INDEX('Price List'!$J$5:$J$74,MATCH(TRIM(J177)&amp;"|"&amp;TRIM(P177),'Price List'!$O$5:$O$74,0)),0)</f>
        <v>0.76</v>
      </c>
      <c r="X177" s="143">
        <f>IFERROR(INDEX('Price List'!$K$5:$K$74,MATCH(TRIM(J177)&amp;"|"&amp;TRIM(P177),'Price List'!$O$5:$O$74,0)),0)</f>
        <v>0.12</v>
      </c>
      <c r="Y177" s="141">
        <f t="shared" si="14"/>
        <v>0.85120000000000007</v>
      </c>
      <c r="Z177" s="141">
        <f t="shared" si="15"/>
        <v>3009.8265845760006</v>
      </c>
      <c r="AA177" s="134"/>
    </row>
    <row r="178" spans="1:27" ht="15" customHeight="1" x14ac:dyDescent="0.35">
      <c r="A178" s="134"/>
      <c r="B178" s="134"/>
      <c r="C178" s="134" t="s">
        <v>444</v>
      </c>
      <c r="D178" s="136" t="str">
        <f t="shared" si="12"/>
        <v>B.04</v>
      </c>
      <c r="E178" s="135" t="s">
        <v>414</v>
      </c>
      <c r="F178" s="135" t="s">
        <v>669</v>
      </c>
      <c r="G178" s="134" t="s">
        <v>31</v>
      </c>
      <c r="H178" s="134" t="s">
        <v>573</v>
      </c>
      <c r="I178" s="134" t="s">
        <v>513</v>
      </c>
      <c r="J178" s="144" t="s">
        <v>105</v>
      </c>
      <c r="K178" s="134"/>
      <c r="L178" s="134"/>
      <c r="M178" s="134"/>
      <c r="N178" s="134"/>
      <c r="O178" s="134"/>
      <c r="P178" s="135" t="s">
        <v>103</v>
      </c>
      <c r="Q178" s="137">
        <f t="shared" si="16"/>
        <v>1921.92</v>
      </c>
      <c r="R178" s="137">
        <v>1921.92</v>
      </c>
      <c r="S178" s="138"/>
      <c r="T178" s="139">
        <f>IFERROR(INDEX('Price List'!$G$5:$G$74,MATCH(TRIM(J178)&amp;"|"&amp;TRIM(P178),'Price List'!$O$5:$O$74,0)),0)</f>
        <v>0.08</v>
      </c>
      <c r="U178" s="140">
        <f>IFERROR(INDEX('Price List'!$H$5:$H$74,MATCH(TRIM(J178)&amp;"|"&amp;TRIM(P178),'Price List'!$O$5:$O$74,0)),0)</f>
        <v>0.2</v>
      </c>
      <c r="V178" s="141">
        <f t="shared" si="13"/>
        <v>9.6000000000000002E-2</v>
      </c>
      <c r="W178" s="142">
        <f>IFERROR(INDEX('Price List'!$J$5:$J$74,MATCH(TRIM(J178)&amp;"|"&amp;TRIM(P178),'Price List'!$O$5:$O$74,0)),0)</f>
        <v>0.72</v>
      </c>
      <c r="X178" s="143">
        <f>IFERROR(INDEX('Price List'!$K$5:$K$74,MATCH(TRIM(J178)&amp;"|"&amp;TRIM(P178),'Price List'!$O$5:$O$74,0)),0)</f>
        <v>0.12</v>
      </c>
      <c r="Y178" s="141">
        <f t="shared" si="14"/>
        <v>0.80640000000000001</v>
      </c>
      <c r="Z178" s="141">
        <f t="shared" si="15"/>
        <v>1734.340608</v>
      </c>
      <c r="AA178" s="134"/>
    </row>
    <row r="179" spans="1:27" ht="15" customHeight="1" x14ac:dyDescent="0.35">
      <c r="A179" s="134"/>
      <c r="B179" s="134"/>
      <c r="C179" s="134" t="s">
        <v>444</v>
      </c>
      <c r="D179" s="136" t="str">
        <f t="shared" si="12"/>
        <v>B.04</v>
      </c>
      <c r="E179" s="135" t="s">
        <v>414</v>
      </c>
      <c r="F179" s="135" t="s">
        <v>669</v>
      </c>
      <c r="G179" s="134" t="s">
        <v>31</v>
      </c>
      <c r="H179" s="134" t="s">
        <v>573</v>
      </c>
      <c r="I179" s="134" t="s">
        <v>513</v>
      </c>
      <c r="J179" s="144" t="s">
        <v>138</v>
      </c>
      <c r="K179" s="134"/>
      <c r="L179" s="134"/>
      <c r="M179" s="134"/>
      <c r="N179" s="134"/>
      <c r="O179" s="134"/>
      <c r="P179" s="135" t="s">
        <v>103</v>
      </c>
      <c r="Q179" s="137">
        <f t="shared" si="16"/>
        <v>10516.48</v>
      </c>
      <c r="R179" s="137">
        <v>10516.48</v>
      </c>
      <c r="S179" s="138"/>
      <c r="T179" s="139">
        <f>IFERROR(INDEX('Price List'!$G$5:$G$74,MATCH(TRIM(J179)&amp;"|"&amp;TRIM(P179),'Price List'!$O$5:$O$74,0)),0)</f>
        <v>0.08</v>
      </c>
      <c r="U179" s="140">
        <f>IFERROR(INDEX('Price List'!$H$5:$H$74,MATCH(TRIM(J179)&amp;"|"&amp;TRIM(P179),'Price List'!$O$5:$O$74,0)),0)</f>
        <v>0.2</v>
      </c>
      <c r="V179" s="141">
        <f t="shared" si="13"/>
        <v>9.6000000000000002E-2</v>
      </c>
      <c r="W179" s="142">
        <f>IFERROR(INDEX('Price List'!$J$5:$J$74,MATCH(TRIM(J179)&amp;"|"&amp;TRIM(P179),'Price List'!$O$5:$O$74,0)),0)</f>
        <v>0.71</v>
      </c>
      <c r="X179" s="143">
        <f>IFERROR(INDEX('Price List'!$K$5:$K$74,MATCH(TRIM(J179)&amp;"|"&amp;TRIM(P179),'Price List'!$O$5:$O$74,0)),0)</f>
        <v>0.12</v>
      </c>
      <c r="Y179" s="141">
        <f t="shared" si="14"/>
        <v>0.79520000000000002</v>
      </c>
      <c r="Z179" s="141">
        <f t="shared" si="15"/>
        <v>9372.2869759999994</v>
      </c>
      <c r="AA179" s="134"/>
    </row>
    <row r="180" spans="1:27" ht="15" customHeight="1" x14ac:dyDescent="0.35">
      <c r="A180" s="134"/>
      <c r="B180" s="134"/>
      <c r="C180" s="134" t="s">
        <v>444</v>
      </c>
      <c r="D180" s="136" t="str">
        <f t="shared" si="12"/>
        <v>B.04</v>
      </c>
      <c r="E180" s="135" t="s">
        <v>414</v>
      </c>
      <c r="F180" s="135" t="s">
        <v>669</v>
      </c>
      <c r="G180" s="134" t="s">
        <v>31</v>
      </c>
      <c r="H180" s="134" t="s">
        <v>573</v>
      </c>
      <c r="I180" s="134" t="s">
        <v>657</v>
      </c>
      <c r="J180" s="134" t="s">
        <v>107</v>
      </c>
      <c r="K180" s="134"/>
      <c r="L180" s="134"/>
      <c r="M180" s="134"/>
      <c r="N180" s="134"/>
      <c r="O180" s="134"/>
      <c r="P180" s="135" t="s">
        <v>103</v>
      </c>
      <c r="Q180" s="137">
        <f t="shared" si="16"/>
        <v>619.98622720000003</v>
      </c>
      <c r="R180" s="137">
        <f>(R178+R179+R177)*4%</f>
        <v>619.98622720000003</v>
      </c>
      <c r="S180" s="138"/>
      <c r="T180" s="139">
        <f>IFERROR(INDEX('Price List'!$G$5:$G$74,MATCH(TRIM(J180)&amp;"|"&amp;TRIM(P180),'Price List'!$O$5:$O$74,0)),0)</f>
        <v>0.05</v>
      </c>
      <c r="U180" s="140">
        <f>IFERROR(INDEX('Price List'!$H$5:$H$74,MATCH(TRIM(J180)&amp;"|"&amp;TRIM(P180),'Price List'!$O$5:$O$74,0)),0)</f>
        <v>0.2</v>
      </c>
      <c r="V180" s="141">
        <f t="shared" si="13"/>
        <v>0.06</v>
      </c>
      <c r="W180" s="142">
        <f>IFERROR(INDEX('Price List'!$J$5:$J$74,MATCH(TRIM(J180)&amp;"|"&amp;TRIM(P180),'Price List'!$O$5:$O$74,0)),0)</f>
        <v>1.2</v>
      </c>
      <c r="X180" s="143">
        <f>IFERROR(INDEX('Price List'!$K$5:$K$74,MATCH(TRIM(J180)&amp;"|"&amp;TRIM(P180),'Price List'!$O$5:$O$74,0)),0)</f>
        <v>0.12</v>
      </c>
      <c r="Y180" s="141">
        <f t="shared" si="14"/>
        <v>1.3440000000000001</v>
      </c>
      <c r="Z180" s="141">
        <f t="shared" si="15"/>
        <v>870.4606629888001</v>
      </c>
      <c r="AA180" s="134"/>
    </row>
    <row r="181" spans="1:27" ht="15" customHeight="1" x14ac:dyDescent="0.35">
      <c r="A181" s="134"/>
      <c r="B181" s="135"/>
      <c r="C181" s="134" t="s">
        <v>444</v>
      </c>
      <c r="D181" s="136" t="str">
        <f t="shared" si="12"/>
        <v>B.04</v>
      </c>
      <c r="E181" s="135" t="s">
        <v>414</v>
      </c>
      <c r="F181" s="135" t="s">
        <v>670</v>
      </c>
      <c r="G181" s="134" t="s">
        <v>31</v>
      </c>
      <c r="H181" s="134" t="s">
        <v>564</v>
      </c>
      <c r="I181" s="134" t="s">
        <v>512</v>
      </c>
      <c r="J181" s="145" t="s">
        <v>125</v>
      </c>
      <c r="K181" s="134"/>
      <c r="L181" s="134"/>
      <c r="M181" s="134"/>
      <c r="N181" s="134"/>
      <c r="O181" s="134"/>
      <c r="P181" s="135" t="s">
        <v>100</v>
      </c>
      <c r="Q181" s="137">
        <f t="shared" si="16"/>
        <v>46.741149999999998</v>
      </c>
      <c r="R181" s="137">
        <f>'3F beam'!H11</f>
        <v>46.741149999999998</v>
      </c>
      <c r="S181" s="138"/>
      <c r="T181" s="139">
        <f>IFERROR(INDEX('Price List'!$G$5:$G$74,MATCH(TRIM(J181)&amp;"|"&amp;TRIM(P181),'Price List'!$O$5:$O$74,0)),0)</f>
        <v>10</v>
      </c>
      <c r="U181" s="140">
        <f>IFERROR(INDEX('Price List'!$H$5:$H$74,MATCH(TRIM(J181)&amp;"|"&amp;TRIM(P181),'Price List'!$O$5:$O$74,0)),0)</f>
        <v>0.2</v>
      </c>
      <c r="V181" s="141">
        <f t="shared" si="13"/>
        <v>12</v>
      </c>
      <c r="W181" s="142">
        <f>IFERROR(INDEX('Price List'!$J$5:$J$74,MATCH(TRIM(J181)&amp;"|"&amp;TRIM(P181),'Price List'!$O$5:$O$74,0)),0)</f>
        <v>98</v>
      </c>
      <c r="X181" s="143">
        <f>IFERROR(INDEX('Price List'!$K$5:$K$74,MATCH(TRIM(J181)&amp;"|"&amp;TRIM(P181),'Price List'!$O$5:$O$74,0)),0)</f>
        <v>0.12</v>
      </c>
      <c r="Y181" s="141">
        <f t="shared" si="14"/>
        <v>109.76</v>
      </c>
      <c r="Z181" s="141">
        <f t="shared" si="15"/>
        <v>5691.2024240000001</v>
      </c>
      <c r="AA181" s="134"/>
    </row>
    <row r="182" spans="1:27" ht="15" customHeight="1" x14ac:dyDescent="0.35">
      <c r="A182" s="134"/>
      <c r="B182" s="135"/>
      <c r="C182" s="134" t="s">
        <v>444</v>
      </c>
      <c r="D182" s="136" t="str">
        <f t="shared" si="12"/>
        <v>B.04</v>
      </c>
      <c r="E182" s="135" t="s">
        <v>414</v>
      </c>
      <c r="F182" s="135" t="s">
        <v>670</v>
      </c>
      <c r="G182" s="134" t="s">
        <v>31</v>
      </c>
      <c r="H182" s="134" t="s">
        <v>564</v>
      </c>
      <c r="I182" s="144" t="s">
        <v>127</v>
      </c>
      <c r="J182" s="144" t="s">
        <v>127</v>
      </c>
      <c r="K182" s="144"/>
      <c r="L182" s="134"/>
      <c r="M182" s="134"/>
      <c r="N182" s="134"/>
      <c r="O182" s="134"/>
      <c r="P182" s="135" t="s">
        <v>128</v>
      </c>
      <c r="Q182" s="137">
        <f t="shared" si="16"/>
        <v>446.52599999999995</v>
      </c>
      <c r="R182" s="137">
        <f>'3F beam'!G11</f>
        <v>446.52599999999995</v>
      </c>
      <c r="S182" s="138"/>
      <c r="T182" s="139">
        <f>IFERROR(INDEX('Price List'!$G$5:$G$74,MATCH(TRIM(J182)&amp;"|"&amp;TRIM(P182),'Price List'!$O$5:$O$74,0)),0)</f>
        <v>6</v>
      </c>
      <c r="U182" s="140">
        <f>IFERROR(INDEX('Price List'!$H$5:$H$74,MATCH(TRIM(J182)&amp;"|"&amp;TRIM(P182),'Price List'!$O$5:$O$74,0)),0)</f>
        <v>0.2</v>
      </c>
      <c r="V182" s="141">
        <f t="shared" si="13"/>
        <v>7.1999999999999993</v>
      </c>
      <c r="W182" s="142">
        <f>IFERROR(INDEX('Price List'!$J$5:$J$74,MATCH(TRIM(J182)&amp;"|"&amp;TRIM(P182),'Price List'!$O$5:$O$74,0)),0)</f>
        <v>5</v>
      </c>
      <c r="X182" s="143">
        <f>IFERROR(INDEX('Price List'!$K$5:$K$74,MATCH(TRIM(J182)&amp;"|"&amp;TRIM(P182),'Price List'!$O$5:$O$74,0)),0)</f>
        <v>0.12</v>
      </c>
      <c r="Y182" s="141">
        <f t="shared" si="14"/>
        <v>5.6000000000000005</v>
      </c>
      <c r="Z182" s="141">
        <f t="shared" si="15"/>
        <v>5715.5328</v>
      </c>
      <c r="AA182" s="134"/>
    </row>
    <row r="183" spans="1:27" ht="15" customHeight="1" x14ac:dyDescent="0.35">
      <c r="A183" s="134"/>
      <c r="B183" s="135"/>
      <c r="C183" s="134" t="s">
        <v>444</v>
      </c>
      <c r="D183" s="136" t="str">
        <f t="shared" si="12"/>
        <v>B.04</v>
      </c>
      <c r="E183" s="135" t="s">
        <v>414</v>
      </c>
      <c r="F183" s="135" t="s">
        <v>670</v>
      </c>
      <c r="G183" s="134" t="s">
        <v>31</v>
      </c>
      <c r="H183" s="134" t="s">
        <v>564</v>
      </c>
      <c r="I183" s="134" t="s">
        <v>513</v>
      </c>
      <c r="J183" s="144" t="s">
        <v>169</v>
      </c>
      <c r="K183" s="134"/>
      <c r="L183" s="134"/>
      <c r="M183" s="134"/>
      <c r="N183" s="134"/>
      <c r="O183" s="134"/>
      <c r="P183" s="135" t="s">
        <v>103</v>
      </c>
      <c r="Q183" s="137">
        <f t="shared" si="16"/>
        <v>624.19479999999999</v>
      </c>
      <c r="R183" s="137">
        <f>'3F beam'!J14</f>
        <v>624.19479999999999</v>
      </c>
      <c r="S183" s="138"/>
      <c r="T183" s="139">
        <f>IFERROR(INDEX('Price List'!$G$5:$G$74,MATCH(TRIM(J183)&amp;"|"&amp;TRIM(P183),'Price List'!$O$5:$O$74,0)),0)</f>
        <v>0.12</v>
      </c>
      <c r="U183" s="140">
        <f>IFERROR(INDEX('Price List'!$H$5:$H$74,MATCH(TRIM(J183)&amp;"|"&amp;TRIM(P183),'Price List'!$O$5:$O$74,0)),0)</f>
        <v>0.2</v>
      </c>
      <c r="V183" s="141">
        <f t="shared" si="13"/>
        <v>0.14399999999999999</v>
      </c>
      <c r="W183" s="142">
        <f>IFERROR(INDEX('Price List'!$J$5:$J$74,MATCH(TRIM(J183)&amp;"|"&amp;TRIM(P183),'Price List'!$O$5:$O$74,0)),0)</f>
        <v>0.77</v>
      </c>
      <c r="X183" s="143">
        <f>IFERROR(INDEX('Price List'!$K$5:$K$74,MATCH(TRIM(J183)&amp;"|"&amp;TRIM(P183),'Price List'!$O$5:$O$74,0)),0)</f>
        <v>0.12</v>
      </c>
      <c r="Y183" s="141">
        <f t="shared" si="14"/>
        <v>0.86240000000000006</v>
      </c>
      <c r="Z183" s="141">
        <f t="shared" si="15"/>
        <v>628.18964671999993</v>
      </c>
      <c r="AA183" s="134"/>
    </row>
    <row r="184" spans="1:27" ht="15" customHeight="1" x14ac:dyDescent="0.35">
      <c r="A184" s="134"/>
      <c r="B184" s="135"/>
      <c r="C184" s="134" t="s">
        <v>444</v>
      </c>
      <c r="D184" s="136" t="str">
        <f t="shared" si="12"/>
        <v>B.04</v>
      </c>
      <c r="E184" s="135" t="s">
        <v>414</v>
      </c>
      <c r="F184" s="135" t="s">
        <v>670</v>
      </c>
      <c r="G184" s="134" t="s">
        <v>31</v>
      </c>
      <c r="H184" s="134" t="s">
        <v>564</v>
      </c>
      <c r="I184" s="134" t="s">
        <v>513</v>
      </c>
      <c r="J184" s="144" t="s">
        <v>102</v>
      </c>
      <c r="K184" s="134"/>
      <c r="L184" s="134"/>
      <c r="M184" s="134"/>
      <c r="N184" s="134"/>
      <c r="O184" s="134"/>
      <c r="P184" s="135" t="s">
        <v>103</v>
      </c>
      <c r="Q184" s="137">
        <f t="shared" si="16"/>
        <v>2823.6114200000006</v>
      </c>
      <c r="R184" s="137">
        <f>'3F beam'!J15</f>
        <v>2823.6114200000006</v>
      </c>
      <c r="S184" s="138"/>
      <c r="T184" s="139">
        <f>IFERROR(INDEX('Price List'!$G$5:$G$74,MATCH(TRIM(J184)&amp;"|"&amp;TRIM(P184),'Price List'!$O$5:$O$74,0)),0)</f>
        <v>0.12</v>
      </c>
      <c r="U184" s="140">
        <f>IFERROR(INDEX('Price List'!$H$5:$H$74,MATCH(TRIM(J184)&amp;"|"&amp;TRIM(P184),'Price List'!$O$5:$O$74,0)),0)</f>
        <v>0.2</v>
      </c>
      <c r="V184" s="141">
        <f t="shared" si="13"/>
        <v>0.14399999999999999</v>
      </c>
      <c r="W184" s="142">
        <f>IFERROR(INDEX('Price List'!$J$5:$J$74,MATCH(TRIM(J184)&amp;"|"&amp;TRIM(P184),'Price List'!$O$5:$O$74,0)),0)</f>
        <v>0.78</v>
      </c>
      <c r="X184" s="143">
        <f>IFERROR(INDEX('Price List'!$K$5:$K$74,MATCH(TRIM(J184)&amp;"|"&amp;TRIM(P184),'Price List'!$O$5:$O$74,0)),0)</f>
        <v>0.12</v>
      </c>
      <c r="Y184" s="141">
        <f t="shared" si="14"/>
        <v>0.87360000000000015</v>
      </c>
      <c r="Z184" s="141">
        <f t="shared" si="15"/>
        <v>2873.3069809920007</v>
      </c>
      <c r="AA184" s="134"/>
    </row>
    <row r="185" spans="1:27" ht="15" customHeight="1" x14ac:dyDescent="0.35">
      <c r="A185" s="134"/>
      <c r="B185" s="135"/>
      <c r="C185" s="134" t="s">
        <v>444</v>
      </c>
      <c r="D185" s="136" t="str">
        <f t="shared" si="12"/>
        <v>B.04</v>
      </c>
      <c r="E185" s="135" t="s">
        <v>414</v>
      </c>
      <c r="F185" s="135" t="s">
        <v>670</v>
      </c>
      <c r="G185" s="134" t="s">
        <v>31</v>
      </c>
      <c r="H185" s="134" t="s">
        <v>564</v>
      </c>
      <c r="I185" s="134" t="s">
        <v>513</v>
      </c>
      <c r="J185" s="144" t="s">
        <v>131</v>
      </c>
      <c r="K185" s="134"/>
      <c r="L185" s="134"/>
      <c r="M185" s="134"/>
      <c r="N185" s="134"/>
      <c r="O185" s="134"/>
      <c r="P185" s="135" t="s">
        <v>103</v>
      </c>
      <c r="Q185" s="137">
        <f t="shared" si="16"/>
        <v>295.33103999999997</v>
      </c>
      <c r="R185" s="137">
        <f>'3F beam'!J16</f>
        <v>295.33103999999997</v>
      </c>
      <c r="S185" s="138"/>
      <c r="T185" s="139">
        <f>IFERROR(INDEX('Price List'!$G$5:$G$74,MATCH(TRIM(J185)&amp;"|"&amp;TRIM(P185),'Price List'!$O$5:$O$74,0)),0)</f>
        <v>0.11</v>
      </c>
      <c r="U185" s="140">
        <f>IFERROR(INDEX('Price List'!$H$5:$H$74,MATCH(TRIM(J185)&amp;"|"&amp;TRIM(P185),'Price List'!$O$5:$O$74,0)),0)</f>
        <v>0.2</v>
      </c>
      <c r="V185" s="141">
        <f t="shared" si="13"/>
        <v>0.13200000000000001</v>
      </c>
      <c r="W185" s="142">
        <f>IFERROR(INDEX('Price List'!$J$5:$J$74,MATCH(TRIM(J185)&amp;"|"&amp;TRIM(P185),'Price List'!$O$5:$O$74,0)),0)</f>
        <v>0.76</v>
      </c>
      <c r="X185" s="143">
        <f>IFERROR(INDEX('Price List'!$K$5:$K$74,MATCH(TRIM(J185)&amp;"|"&amp;TRIM(P185),'Price List'!$O$5:$O$74,0)),0)</f>
        <v>0.12</v>
      </c>
      <c r="Y185" s="141">
        <f t="shared" si="14"/>
        <v>0.85120000000000007</v>
      </c>
      <c r="Z185" s="141">
        <f t="shared" si="15"/>
        <v>290.369478528</v>
      </c>
      <c r="AA185" s="134"/>
    </row>
    <row r="186" spans="1:27" ht="15" customHeight="1" x14ac:dyDescent="0.35">
      <c r="A186" s="134"/>
      <c r="B186" s="135"/>
      <c r="C186" s="134" t="s">
        <v>444</v>
      </c>
      <c r="D186" s="136" t="str">
        <f t="shared" si="12"/>
        <v>B.04</v>
      </c>
      <c r="E186" s="135" t="s">
        <v>414</v>
      </c>
      <c r="F186" s="135" t="s">
        <v>670</v>
      </c>
      <c r="G186" s="134" t="s">
        <v>31</v>
      </c>
      <c r="H186" s="134" t="s">
        <v>564</v>
      </c>
      <c r="I186" s="134" t="s">
        <v>513</v>
      </c>
      <c r="J186" s="144" t="s">
        <v>133</v>
      </c>
      <c r="K186" s="134"/>
      <c r="L186" s="134"/>
      <c r="M186" s="134"/>
      <c r="N186" s="134"/>
      <c r="O186" s="134"/>
      <c r="P186" s="135" t="s">
        <v>103</v>
      </c>
      <c r="Q186" s="137">
        <f t="shared" si="16"/>
        <v>2411.8152</v>
      </c>
      <c r="R186" s="137">
        <f>'3F beam'!J17</f>
        <v>2411.8152</v>
      </c>
      <c r="S186" s="138"/>
      <c r="T186" s="139">
        <f>IFERROR(INDEX('Price List'!$G$5:$G$74,MATCH(TRIM(J186)&amp;"|"&amp;TRIM(P186),'Price List'!$O$5:$O$74,0)),0)</f>
        <v>0.1</v>
      </c>
      <c r="U186" s="140">
        <f>IFERROR(INDEX('Price List'!$H$5:$H$74,MATCH(TRIM(J186)&amp;"|"&amp;TRIM(P186),'Price List'!$O$5:$O$74,0)),0)</f>
        <v>0.2</v>
      </c>
      <c r="V186" s="141">
        <f t="shared" si="13"/>
        <v>0.12</v>
      </c>
      <c r="W186" s="142">
        <f>IFERROR(INDEX('Price List'!$J$5:$J$74,MATCH(TRIM(J186)&amp;"|"&amp;TRIM(P186),'Price List'!$O$5:$O$74,0)),0)</f>
        <v>0.74</v>
      </c>
      <c r="X186" s="143">
        <f>IFERROR(INDEX('Price List'!$K$5:$K$74,MATCH(TRIM(J186)&amp;"|"&amp;TRIM(P186),'Price List'!$O$5:$O$74,0)),0)</f>
        <v>0.12</v>
      </c>
      <c r="Y186" s="141">
        <f t="shared" si="14"/>
        <v>0.82880000000000009</v>
      </c>
      <c r="Z186" s="141">
        <f t="shared" si="15"/>
        <v>2288.3302617600002</v>
      </c>
      <c r="AA186" s="134"/>
    </row>
    <row r="187" spans="1:27" ht="15" customHeight="1" x14ac:dyDescent="0.35">
      <c r="A187" s="134"/>
      <c r="B187" s="135"/>
      <c r="C187" s="134" t="s">
        <v>444</v>
      </c>
      <c r="D187" s="136" t="str">
        <f t="shared" si="12"/>
        <v>B.04</v>
      </c>
      <c r="E187" s="135" t="s">
        <v>414</v>
      </c>
      <c r="F187" s="135" t="s">
        <v>670</v>
      </c>
      <c r="G187" s="134" t="s">
        <v>31</v>
      </c>
      <c r="H187" s="134" t="s">
        <v>564</v>
      </c>
      <c r="I187" s="134" t="s">
        <v>513</v>
      </c>
      <c r="J187" s="144" t="s">
        <v>135</v>
      </c>
      <c r="K187" s="134"/>
      <c r="L187" s="134"/>
      <c r="M187" s="134"/>
      <c r="N187" s="134"/>
      <c r="O187" s="134"/>
      <c r="P187" s="135" t="s">
        <v>103</v>
      </c>
      <c r="Q187" s="137">
        <f t="shared" si="16"/>
        <v>1819.6614000000002</v>
      </c>
      <c r="R187" s="137">
        <f>'3F beam'!J18</f>
        <v>1819.6614000000002</v>
      </c>
      <c r="S187" s="138"/>
      <c r="T187" s="139">
        <f>IFERROR(INDEX('Price List'!$G$5:$G$74,MATCH(TRIM(J187)&amp;"|"&amp;TRIM(P187),'Price List'!$O$5:$O$74,0)),0)</f>
        <v>0.09</v>
      </c>
      <c r="U187" s="140">
        <f>IFERROR(INDEX('Price List'!$H$5:$H$74,MATCH(TRIM(J187)&amp;"|"&amp;TRIM(P187),'Price List'!$O$5:$O$74,0)),0)</f>
        <v>0.2</v>
      </c>
      <c r="V187" s="141">
        <f t="shared" si="13"/>
        <v>0.108</v>
      </c>
      <c r="W187" s="142">
        <f>IFERROR(INDEX('Price List'!$J$5:$J$74,MATCH(TRIM(J187)&amp;"|"&amp;TRIM(P187),'Price List'!$O$5:$O$74,0)),0)</f>
        <v>0.73</v>
      </c>
      <c r="X187" s="143">
        <f>IFERROR(INDEX('Price List'!$K$5:$K$74,MATCH(TRIM(J187)&amp;"|"&amp;TRIM(P187),'Price List'!$O$5:$O$74,0)),0)</f>
        <v>0.12</v>
      </c>
      <c r="Y187" s="141">
        <f t="shared" si="14"/>
        <v>0.8176000000000001</v>
      </c>
      <c r="Z187" s="141">
        <f t="shared" si="15"/>
        <v>1684.2785918400004</v>
      </c>
      <c r="AA187" s="134"/>
    </row>
    <row r="188" spans="1:27" ht="15" customHeight="1" x14ac:dyDescent="0.35">
      <c r="A188" s="134"/>
      <c r="B188" s="135"/>
      <c r="C188" s="134" t="s">
        <v>444</v>
      </c>
      <c r="D188" s="136" t="str">
        <f t="shared" si="12"/>
        <v>B.04</v>
      </c>
      <c r="E188" s="135" t="s">
        <v>414</v>
      </c>
      <c r="F188" s="135" t="s">
        <v>670</v>
      </c>
      <c r="G188" s="134" t="s">
        <v>31</v>
      </c>
      <c r="H188" s="134" t="s">
        <v>564</v>
      </c>
      <c r="I188" s="134" t="s">
        <v>513</v>
      </c>
      <c r="J188" s="144" t="s">
        <v>105</v>
      </c>
      <c r="K188" s="134"/>
      <c r="L188" s="134"/>
      <c r="M188" s="134"/>
      <c r="N188" s="134"/>
      <c r="O188" s="134"/>
      <c r="P188" s="135" t="s">
        <v>103</v>
      </c>
      <c r="Q188" s="137">
        <f t="shared" si="16"/>
        <v>7527.2208000000001</v>
      </c>
      <c r="R188" s="137">
        <f>'3F beam'!J19</f>
        <v>7527.2208000000001</v>
      </c>
      <c r="S188" s="138"/>
      <c r="T188" s="139">
        <f>IFERROR(INDEX('Price List'!$G$5:$G$74,MATCH(TRIM(J188)&amp;"|"&amp;TRIM(P188),'Price List'!$O$5:$O$74,0)),0)</f>
        <v>0.08</v>
      </c>
      <c r="U188" s="140">
        <f>IFERROR(INDEX('Price List'!$H$5:$H$74,MATCH(TRIM(J188)&amp;"|"&amp;TRIM(P188),'Price List'!$O$5:$O$74,0)),0)</f>
        <v>0.2</v>
      </c>
      <c r="V188" s="141">
        <f t="shared" si="13"/>
        <v>9.6000000000000002E-2</v>
      </c>
      <c r="W188" s="142">
        <f>IFERROR(INDEX('Price List'!$J$5:$J$74,MATCH(TRIM(J188)&amp;"|"&amp;TRIM(P188),'Price List'!$O$5:$O$74,0)),0)</f>
        <v>0.72</v>
      </c>
      <c r="X188" s="143">
        <f>IFERROR(INDEX('Price List'!$K$5:$K$74,MATCH(TRIM(J188)&amp;"|"&amp;TRIM(P188),'Price List'!$O$5:$O$74,0)),0)</f>
        <v>0.12</v>
      </c>
      <c r="Y188" s="141">
        <f t="shared" si="14"/>
        <v>0.80640000000000001</v>
      </c>
      <c r="Z188" s="141">
        <f t="shared" si="15"/>
        <v>6792.5640499199999</v>
      </c>
      <c r="AA188" s="134"/>
    </row>
    <row r="189" spans="1:27" ht="15" customHeight="1" x14ac:dyDescent="0.35">
      <c r="A189" s="134"/>
      <c r="B189" s="135"/>
      <c r="C189" s="134" t="s">
        <v>444</v>
      </c>
      <c r="D189" s="136" t="str">
        <f t="shared" si="12"/>
        <v>B.04</v>
      </c>
      <c r="E189" s="135" t="s">
        <v>414</v>
      </c>
      <c r="F189" s="135" t="s">
        <v>670</v>
      </c>
      <c r="G189" s="134" t="s">
        <v>31</v>
      </c>
      <c r="H189" s="134" t="s">
        <v>564</v>
      </c>
      <c r="I189" s="134" t="s">
        <v>657</v>
      </c>
      <c r="J189" s="134" t="s">
        <v>107</v>
      </c>
      <c r="K189" s="134"/>
      <c r="L189" s="134"/>
      <c r="M189" s="134"/>
      <c r="N189" s="134"/>
      <c r="O189" s="134"/>
      <c r="P189" s="135" t="s">
        <v>103</v>
      </c>
      <c r="Q189" s="137">
        <f t="shared" si="16"/>
        <v>620.0733864</v>
      </c>
      <c r="R189" s="137">
        <f>(R187+R188+R186+R185+R184+R183)*4%</f>
        <v>620.0733864</v>
      </c>
      <c r="S189" s="138"/>
      <c r="T189" s="139">
        <f>IFERROR(INDEX('Price List'!$G$5:$G$74,MATCH(TRIM(J189)&amp;"|"&amp;TRIM(P189),'Price List'!$O$5:$O$74,0)),0)</f>
        <v>0.05</v>
      </c>
      <c r="U189" s="140">
        <f>IFERROR(INDEX('Price List'!$H$5:$H$74,MATCH(TRIM(J189)&amp;"|"&amp;TRIM(P189),'Price List'!$O$5:$O$74,0)),0)</f>
        <v>0.2</v>
      </c>
      <c r="V189" s="141">
        <f t="shared" si="13"/>
        <v>0.06</v>
      </c>
      <c r="W189" s="142">
        <f>IFERROR(INDEX('Price List'!$J$5:$J$74,MATCH(TRIM(J189)&amp;"|"&amp;TRIM(P189),'Price List'!$O$5:$O$74,0)),0)</f>
        <v>1.2</v>
      </c>
      <c r="X189" s="143">
        <f>IFERROR(INDEX('Price List'!$K$5:$K$74,MATCH(TRIM(J189)&amp;"|"&amp;TRIM(P189),'Price List'!$O$5:$O$74,0)),0)</f>
        <v>0.12</v>
      </c>
      <c r="Y189" s="141">
        <f t="shared" si="14"/>
        <v>1.3440000000000001</v>
      </c>
      <c r="Z189" s="141">
        <f t="shared" si="15"/>
        <v>870.58303450560004</v>
      </c>
      <c r="AA189" s="134"/>
    </row>
    <row r="190" spans="1:27" ht="15" customHeight="1" x14ac:dyDescent="0.35">
      <c r="A190" s="134"/>
      <c r="B190" s="135"/>
      <c r="C190" s="134" t="s">
        <v>444</v>
      </c>
      <c r="D190" s="136" t="str">
        <f t="shared" si="12"/>
        <v>B.04</v>
      </c>
      <c r="E190" s="135" t="s">
        <v>414</v>
      </c>
      <c r="F190" s="135" t="s">
        <v>670</v>
      </c>
      <c r="G190" s="134" t="s">
        <v>31</v>
      </c>
      <c r="H190" s="134" t="s">
        <v>568</v>
      </c>
      <c r="I190" s="134" t="s">
        <v>512</v>
      </c>
      <c r="J190" s="145" t="s">
        <v>125</v>
      </c>
      <c r="K190" s="134"/>
      <c r="L190" s="134"/>
      <c r="M190" s="134"/>
      <c r="N190" s="134"/>
      <c r="O190" s="134"/>
      <c r="P190" s="135" t="s">
        <v>100</v>
      </c>
      <c r="Q190" s="137">
        <f t="shared" si="16"/>
        <v>87.149999999999991</v>
      </c>
      <c r="R190" s="137">
        <f>581*0.15</f>
        <v>87.149999999999991</v>
      </c>
      <c r="S190" s="138"/>
      <c r="T190" s="139">
        <f>IFERROR(INDEX('Price List'!$G$5:$G$74,MATCH(TRIM(J190)&amp;"|"&amp;TRIM(P190),'Price List'!$O$5:$O$74,0)),0)</f>
        <v>10</v>
      </c>
      <c r="U190" s="140">
        <f>IFERROR(INDEX('Price List'!$H$5:$H$74,MATCH(TRIM(J190)&amp;"|"&amp;TRIM(P190),'Price List'!$O$5:$O$74,0)),0)</f>
        <v>0.2</v>
      </c>
      <c r="V190" s="141">
        <f t="shared" si="13"/>
        <v>12</v>
      </c>
      <c r="W190" s="142">
        <f>IFERROR(INDEX('Price List'!$J$5:$J$74,MATCH(TRIM(J190)&amp;"|"&amp;TRIM(P190),'Price List'!$O$5:$O$74,0)),0)</f>
        <v>98</v>
      </c>
      <c r="X190" s="143">
        <f>IFERROR(INDEX('Price List'!$K$5:$K$74,MATCH(TRIM(J190)&amp;"|"&amp;TRIM(P190),'Price List'!$O$5:$O$74,0)),0)</f>
        <v>0.12</v>
      </c>
      <c r="Y190" s="141">
        <f t="shared" si="14"/>
        <v>109.76</v>
      </c>
      <c r="Z190" s="141">
        <f t="shared" si="15"/>
        <v>10611.384</v>
      </c>
      <c r="AA190" s="134"/>
    </row>
    <row r="191" spans="1:27" ht="15" customHeight="1" x14ac:dyDescent="0.35">
      <c r="A191" s="134"/>
      <c r="B191" s="135"/>
      <c r="C191" s="134" t="s">
        <v>444</v>
      </c>
      <c r="D191" s="136" t="str">
        <f t="shared" si="12"/>
        <v>B.04</v>
      </c>
      <c r="E191" s="135" t="s">
        <v>414</v>
      </c>
      <c r="F191" s="135" t="s">
        <v>670</v>
      </c>
      <c r="G191" s="134" t="s">
        <v>31</v>
      </c>
      <c r="H191" s="134" t="s">
        <v>568</v>
      </c>
      <c r="I191" s="144" t="s">
        <v>127</v>
      </c>
      <c r="J191" s="144" t="s">
        <v>127</v>
      </c>
      <c r="K191" s="144"/>
      <c r="L191" s="134"/>
      <c r="M191" s="134"/>
      <c r="N191" s="134"/>
      <c r="O191" s="134"/>
      <c r="P191" s="135" t="s">
        <v>128</v>
      </c>
      <c r="Q191" s="137">
        <f t="shared" si="16"/>
        <v>581</v>
      </c>
      <c r="R191" s="137">
        <v>581</v>
      </c>
      <c r="S191" s="138"/>
      <c r="T191" s="139">
        <f>IFERROR(INDEX('Price List'!$G$5:$G$74,MATCH(TRIM(J191)&amp;"|"&amp;TRIM(P191),'Price List'!$O$5:$O$74,0)),0)</f>
        <v>6</v>
      </c>
      <c r="U191" s="140">
        <f>IFERROR(INDEX('Price List'!$H$5:$H$74,MATCH(TRIM(J191)&amp;"|"&amp;TRIM(P191),'Price List'!$O$5:$O$74,0)),0)</f>
        <v>0.2</v>
      </c>
      <c r="V191" s="141">
        <f t="shared" si="13"/>
        <v>7.1999999999999993</v>
      </c>
      <c r="W191" s="142">
        <f>IFERROR(INDEX('Price List'!$J$5:$J$74,MATCH(TRIM(J191)&amp;"|"&amp;TRIM(P191),'Price List'!$O$5:$O$74,0)),0)</f>
        <v>5</v>
      </c>
      <c r="X191" s="143">
        <f>IFERROR(INDEX('Price List'!$K$5:$K$74,MATCH(TRIM(J191)&amp;"|"&amp;TRIM(P191),'Price List'!$O$5:$O$74,0)),0)</f>
        <v>0.12</v>
      </c>
      <c r="Y191" s="141">
        <f t="shared" si="14"/>
        <v>5.6000000000000005</v>
      </c>
      <c r="Z191" s="141">
        <f t="shared" si="15"/>
        <v>7436.8</v>
      </c>
      <c r="AA191" s="134"/>
    </row>
    <row r="192" spans="1:27" ht="15" customHeight="1" x14ac:dyDescent="0.35">
      <c r="A192" s="134"/>
      <c r="B192" s="135"/>
      <c r="C192" s="134" t="s">
        <v>444</v>
      </c>
      <c r="D192" s="136" t="str">
        <f t="shared" si="12"/>
        <v>B.04</v>
      </c>
      <c r="E192" s="135" t="s">
        <v>414</v>
      </c>
      <c r="F192" s="135" t="s">
        <v>670</v>
      </c>
      <c r="G192" s="134" t="s">
        <v>31</v>
      </c>
      <c r="H192" s="134" t="s">
        <v>568</v>
      </c>
      <c r="I192" s="134" t="s">
        <v>513</v>
      </c>
      <c r="J192" s="144" t="s">
        <v>102</v>
      </c>
      <c r="K192" s="134"/>
      <c r="L192" s="134"/>
      <c r="M192" s="134"/>
      <c r="N192" s="134"/>
      <c r="O192" s="134"/>
      <c r="P192" s="135" t="s">
        <v>103</v>
      </c>
      <c r="Q192" s="137">
        <f t="shared" si="16"/>
        <v>11514.499999999998</v>
      </c>
      <c r="R192" s="137">
        <f>(R190*130)+185</f>
        <v>11514.499999999998</v>
      </c>
      <c r="S192" s="138"/>
      <c r="T192" s="139">
        <f>IFERROR(INDEX('Price List'!$G$5:$G$74,MATCH(TRIM(J192)&amp;"|"&amp;TRIM(P192),'Price List'!$O$5:$O$74,0)),0)</f>
        <v>0.12</v>
      </c>
      <c r="U192" s="140">
        <f>IFERROR(INDEX('Price List'!$H$5:$H$74,MATCH(TRIM(J192)&amp;"|"&amp;TRIM(P192),'Price List'!$O$5:$O$74,0)),0)</f>
        <v>0.2</v>
      </c>
      <c r="V192" s="141">
        <f t="shared" si="13"/>
        <v>0.14399999999999999</v>
      </c>
      <c r="W192" s="142">
        <f>IFERROR(INDEX('Price List'!$J$5:$J$74,MATCH(TRIM(J192)&amp;"|"&amp;TRIM(P192),'Price List'!$O$5:$O$74,0)),0)</f>
        <v>0.78</v>
      </c>
      <c r="X192" s="143">
        <f>IFERROR(INDEX('Price List'!$K$5:$K$74,MATCH(TRIM(J192)&amp;"|"&amp;TRIM(P192),'Price List'!$O$5:$O$74,0)),0)</f>
        <v>0.12</v>
      </c>
      <c r="Y192" s="141">
        <f t="shared" si="14"/>
        <v>0.87360000000000015</v>
      </c>
      <c r="Z192" s="141">
        <f t="shared" si="15"/>
        <v>11717.155199999999</v>
      </c>
      <c r="AA192" s="134"/>
    </row>
    <row r="193" spans="1:27" ht="15" customHeight="1" x14ac:dyDescent="0.35">
      <c r="A193" s="134"/>
      <c r="B193" s="135"/>
      <c r="C193" s="134" t="s">
        <v>444</v>
      </c>
      <c r="D193" s="136" t="str">
        <f t="shared" si="12"/>
        <v>B.04</v>
      </c>
      <c r="E193" s="135" t="s">
        <v>414</v>
      </c>
      <c r="F193" s="135" t="s">
        <v>670</v>
      </c>
      <c r="G193" s="134" t="s">
        <v>31</v>
      </c>
      <c r="H193" s="134" t="s">
        <v>568</v>
      </c>
      <c r="I193" s="134" t="s">
        <v>513</v>
      </c>
      <c r="J193" s="144" t="s">
        <v>131</v>
      </c>
      <c r="K193" s="134"/>
      <c r="L193" s="134"/>
      <c r="M193" s="134"/>
      <c r="N193" s="134"/>
      <c r="O193" s="134"/>
      <c r="P193" s="135" t="s">
        <v>103</v>
      </c>
      <c r="Q193" s="137">
        <f t="shared" si="16"/>
        <v>166.5</v>
      </c>
      <c r="R193" s="137">
        <f>0.888*((2.5*10*3)+(2.5*15*3))</f>
        <v>166.5</v>
      </c>
      <c r="S193" s="138"/>
      <c r="T193" s="139">
        <f>IFERROR(INDEX('Price List'!$G$5:$G$74,MATCH(TRIM(J193)&amp;"|"&amp;TRIM(P193),'Price List'!$O$5:$O$74,0)),0)</f>
        <v>0.11</v>
      </c>
      <c r="U193" s="140">
        <f>IFERROR(INDEX('Price List'!$H$5:$H$74,MATCH(TRIM(J193)&amp;"|"&amp;TRIM(P193),'Price List'!$O$5:$O$74,0)),0)</f>
        <v>0.2</v>
      </c>
      <c r="V193" s="141">
        <f t="shared" si="13"/>
        <v>0.13200000000000001</v>
      </c>
      <c r="W193" s="142">
        <f>IFERROR(INDEX('Price List'!$J$5:$J$74,MATCH(TRIM(J193)&amp;"|"&amp;TRIM(P193),'Price List'!$O$5:$O$74,0)),0)</f>
        <v>0.76</v>
      </c>
      <c r="X193" s="143">
        <f>IFERROR(INDEX('Price List'!$K$5:$K$74,MATCH(TRIM(J193)&amp;"|"&amp;TRIM(P193),'Price List'!$O$5:$O$74,0)),0)</f>
        <v>0.12</v>
      </c>
      <c r="Y193" s="141">
        <f t="shared" si="14"/>
        <v>0.85120000000000007</v>
      </c>
      <c r="Z193" s="141">
        <f t="shared" si="15"/>
        <v>163.70280000000002</v>
      </c>
      <c r="AA193" s="134"/>
    </row>
    <row r="194" spans="1:27" ht="15" customHeight="1" x14ac:dyDescent="0.35">
      <c r="A194" s="134"/>
      <c r="B194" s="135"/>
      <c r="C194" s="134" t="s">
        <v>444</v>
      </c>
      <c r="D194" s="136" t="str">
        <f t="shared" ref="D194:D257" si="17">IFERROR(IF(TRIM($G194)="Sub Structure",IF(TRIM($H194)="Bored Pile","B.01","B.03"),IF(TRIM($G194)="Super Structure","B.04",IF(OR(TRIM($G194)="Exterior Wall and Partition",TRIM($G194)="External Wall and Partition"),"C.01",IF(TRIM($G194)="Exterior Wall Finishes","C.02",IF(TRIM($G194)="Interior Wall and Partition","C.09",IF(TRIM($G194)="Interior Door","C.10",IF(TRIM($G194)="External Windows and Louvers","C.04",IF(OR(TRIM($G194)="Interior Floor Finishes",TRIM($G194)="Internal Floor Finishes"),"D.02",IF(OR(TRIM($G194)="Interior Wall Finishes",TRIM($G194)="Internal Wall Finishes"),"D.01",IF(OR(TRIM($G194)="Ceiling Finshes",TRIM($G194)="Ceiling Finishes"),"D.03",IF(TRIM($G194)="Fittings, furnishings and equipment","E.04","")))))))))))," ")</f>
        <v>B.04</v>
      </c>
      <c r="E194" s="135" t="s">
        <v>414</v>
      </c>
      <c r="F194" s="135" t="s">
        <v>670</v>
      </c>
      <c r="G194" s="134" t="s">
        <v>31</v>
      </c>
      <c r="H194" s="134" t="s">
        <v>568</v>
      </c>
      <c r="I194" s="134" t="s">
        <v>657</v>
      </c>
      <c r="J194" s="134" t="s">
        <v>107</v>
      </c>
      <c r="K194" s="134"/>
      <c r="L194" s="134"/>
      <c r="M194" s="134"/>
      <c r="N194" s="134"/>
      <c r="O194" s="134"/>
      <c r="P194" s="135" t="s">
        <v>103</v>
      </c>
      <c r="Q194" s="137">
        <f t="shared" si="16"/>
        <v>467.23999999999995</v>
      </c>
      <c r="R194" s="137">
        <f>(R192+R193)*4%</f>
        <v>467.23999999999995</v>
      </c>
      <c r="S194" s="138"/>
      <c r="T194" s="139">
        <f>IFERROR(INDEX('Price List'!$G$5:$G$74,MATCH(TRIM(J194)&amp;"|"&amp;TRIM(P194),'Price List'!$O$5:$O$74,0)),0)</f>
        <v>0.05</v>
      </c>
      <c r="U194" s="140">
        <f>IFERROR(INDEX('Price List'!$H$5:$H$74,MATCH(TRIM(J194)&amp;"|"&amp;TRIM(P194),'Price List'!$O$5:$O$74,0)),0)</f>
        <v>0.2</v>
      </c>
      <c r="V194" s="141">
        <f t="shared" ref="V194:V257" si="18">T194*(1+U194)</f>
        <v>0.06</v>
      </c>
      <c r="W194" s="142">
        <f>IFERROR(INDEX('Price List'!$J$5:$J$74,MATCH(TRIM(J194)&amp;"|"&amp;TRIM(P194),'Price List'!$O$5:$O$74,0)),0)</f>
        <v>1.2</v>
      </c>
      <c r="X194" s="143">
        <f>IFERROR(INDEX('Price List'!$K$5:$K$74,MATCH(TRIM(J194)&amp;"|"&amp;TRIM(P194),'Price List'!$O$5:$O$74,0)),0)</f>
        <v>0.12</v>
      </c>
      <c r="Y194" s="141">
        <f t="shared" ref="Y194:Y257" si="19">W194*(1+X194)</f>
        <v>1.3440000000000001</v>
      </c>
      <c r="Z194" s="141">
        <f t="shared" ref="Z194:Z257" si="20">Q194*(V194+Y194)</f>
        <v>656.00495999999998</v>
      </c>
      <c r="AA194" s="134"/>
    </row>
    <row r="195" spans="1:27" ht="15" customHeight="1" x14ac:dyDescent="0.35">
      <c r="A195" s="134"/>
      <c r="B195" s="134"/>
      <c r="C195" s="134" t="s">
        <v>444</v>
      </c>
      <c r="D195" s="136" t="str">
        <f t="shared" si="17"/>
        <v>B.04</v>
      </c>
      <c r="E195" s="135" t="s">
        <v>414</v>
      </c>
      <c r="F195" s="135" t="s">
        <v>670</v>
      </c>
      <c r="G195" s="134" t="s">
        <v>31</v>
      </c>
      <c r="H195" s="134" t="s">
        <v>665</v>
      </c>
      <c r="I195" s="134" t="s">
        <v>512</v>
      </c>
      <c r="J195" s="144" t="s">
        <v>125</v>
      </c>
      <c r="K195" s="134"/>
      <c r="L195" s="134"/>
      <c r="M195" s="134"/>
      <c r="N195" s="134"/>
      <c r="O195" s="134"/>
      <c r="P195" s="135" t="s">
        <v>100</v>
      </c>
      <c r="Q195" s="137">
        <f t="shared" si="16"/>
        <v>23.430000000000003</v>
      </c>
      <c r="R195" s="137">
        <f>(5.2*4.2)+(1.325*2*0.3*2)</f>
        <v>23.430000000000003</v>
      </c>
      <c r="S195" s="138"/>
      <c r="T195" s="139">
        <f>IFERROR(INDEX('Price List'!$G$5:$G$74,MATCH(TRIM(J195)&amp;"|"&amp;TRIM(P195),'Price List'!$O$5:$O$74,0)),0)</f>
        <v>10</v>
      </c>
      <c r="U195" s="140">
        <f>IFERROR(INDEX('Price List'!$H$5:$H$74,MATCH(TRIM(J195)&amp;"|"&amp;TRIM(P195),'Price List'!$O$5:$O$74,0)),0)</f>
        <v>0.2</v>
      </c>
      <c r="V195" s="141">
        <f t="shared" si="18"/>
        <v>12</v>
      </c>
      <c r="W195" s="142">
        <f>IFERROR(INDEX('Price List'!$J$5:$J$74,MATCH(TRIM(J195)&amp;"|"&amp;TRIM(P195),'Price List'!$O$5:$O$74,0)),0)</f>
        <v>98</v>
      </c>
      <c r="X195" s="143">
        <f>IFERROR(INDEX('Price List'!$K$5:$K$74,MATCH(TRIM(J195)&amp;"|"&amp;TRIM(P195),'Price List'!$O$5:$O$74,0)),0)</f>
        <v>0.12</v>
      </c>
      <c r="Y195" s="141">
        <f t="shared" si="19"/>
        <v>109.76</v>
      </c>
      <c r="Z195" s="141">
        <f t="shared" si="20"/>
        <v>2852.8368000000005</v>
      </c>
      <c r="AA195" s="134"/>
    </row>
    <row r="196" spans="1:27" ht="15" customHeight="1" x14ac:dyDescent="0.35">
      <c r="A196" s="134"/>
      <c r="B196" s="134"/>
      <c r="C196" s="134" t="s">
        <v>444</v>
      </c>
      <c r="D196" s="136" t="str">
        <f t="shared" si="17"/>
        <v>B.04</v>
      </c>
      <c r="E196" s="135" t="s">
        <v>414</v>
      </c>
      <c r="F196" s="135" t="s">
        <v>670</v>
      </c>
      <c r="G196" s="134" t="s">
        <v>31</v>
      </c>
      <c r="H196" s="134" t="s">
        <v>665</v>
      </c>
      <c r="I196" s="144" t="s">
        <v>127</v>
      </c>
      <c r="J196" s="144" t="s">
        <v>127</v>
      </c>
      <c r="K196" s="144"/>
      <c r="L196" s="134"/>
      <c r="M196" s="134"/>
      <c r="N196" s="134"/>
      <c r="O196" s="134"/>
      <c r="P196" s="135" t="s">
        <v>128</v>
      </c>
      <c r="Q196" s="137">
        <f t="shared" si="16"/>
        <v>139.70000000000002</v>
      </c>
      <c r="R196" s="137">
        <f>(32*4.2)+(1.325*2*2)</f>
        <v>139.70000000000002</v>
      </c>
      <c r="S196" s="138"/>
      <c r="T196" s="139">
        <f>IFERROR(INDEX('Price List'!$G$5:$G$74,MATCH(TRIM(J196)&amp;"|"&amp;TRIM(P196),'Price List'!$O$5:$O$74,0)),0)</f>
        <v>6</v>
      </c>
      <c r="U196" s="140">
        <f>IFERROR(INDEX('Price List'!$H$5:$H$74,MATCH(TRIM(J196)&amp;"|"&amp;TRIM(P196),'Price List'!$O$5:$O$74,0)),0)</f>
        <v>0.2</v>
      </c>
      <c r="V196" s="141">
        <f t="shared" si="18"/>
        <v>7.1999999999999993</v>
      </c>
      <c r="W196" s="142">
        <f>IFERROR(INDEX('Price List'!$J$5:$J$74,MATCH(TRIM(J196)&amp;"|"&amp;TRIM(P196),'Price List'!$O$5:$O$74,0)),0)</f>
        <v>5</v>
      </c>
      <c r="X196" s="143">
        <f>IFERROR(INDEX('Price List'!$K$5:$K$74,MATCH(TRIM(J196)&amp;"|"&amp;TRIM(P196),'Price List'!$O$5:$O$74,0)),0)</f>
        <v>0.12</v>
      </c>
      <c r="Y196" s="141">
        <f t="shared" si="19"/>
        <v>5.6000000000000005</v>
      </c>
      <c r="Z196" s="141">
        <f t="shared" si="20"/>
        <v>1788.1600000000003</v>
      </c>
      <c r="AA196" s="134"/>
    </row>
    <row r="197" spans="1:27" ht="15" customHeight="1" x14ac:dyDescent="0.35">
      <c r="A197" s="134"/>
      <c r="B197" s="134"/>
      <c r="C197" s="134" t="s">
        <v>444</v>
      </c>
      <c r="D197" s="136" t="str">
        <f t="shared" si="17"/>
        <v>B.04</v>
      </c>
      <c r="E197" s="135" t="s">
        <v>414</v>
      </c>
      <c r="F197" s="135" t="s">
        <v>670</v>
      </c>
      <c r="G197" s="134" t="s">
        <v>31</v>
      </c>
      <c r="H197" s="134" t="s">
        <v>665</v>
      </c>
      <c r="I197" s="134" t="s">
        <v>513</v>
      </c>
      <c r="J197" s="144" t="s">
        <v>102</v>
      </c>
      <c r="K197" s="134"/>
      <c r="L197" s="134"/>
      <c r="M197" s="134"/>
      <c r="N197" s="134"/>
      <c r="O197" s="134"/>
      <c r="P197" s="135" t="s">
        <v>103</v>
      </c>
      <c r="Q197" s="137">
        <f t="shared" si="16"/>
        <v>241.864</v>
      </c>
      <c r="R197" s="137">
        <v>241.864</v>
      </c>
      <c r="S197" s="138"/>
      <c r="T197" s="139">
        <f>IFERROR(INDEX('Price List'!$G$5:$G$74,MATCH(TRIM(J197)&amp;"|"&amp;TRIM(P197),'Price List'!$O$5:$O$74,0)),0)</f>
        <v>0.12</v>
      </c>
      <c r="U197" s="140">
        <f>IFERROR(INDEX('Price List'!$H$5:$H$74,MATCH(TRIM(J197)&amp;"|"&amp;TRIM(P197),'Price List'!$O$5:$O$74,0)),0)</f>
        <v>0.2</v>
      </c>
      <c r="V197" s="141">
        <f t="shared" si="18"/>
        <v>0.14399999999999999</v>
      </c>
      <c r="W197" s="142">
        <f>IFERROR(INDEX('Price List'!$J$5:$J$74,MATCH(TRIM(J197)&amp;"|"&amp;TRIM(P197),'Price List'!$O$5:$O$74,0)),0)</f>
        <v>0.78</v>
      </c>
      <c r="X197" s="143">
        <f>IFERROR(INDEX('Price List'!$K$5:$K$74,MATCH(TRIM(J197)&amp;"|"&amp;TRIM(P197),'Price List'!$O$5:$O$74,0)),0)</f>
        <v>0.12</v>
      </c>
      <c r="Y197" s="141">
        <f t="shared" si="19"/>
        <v>0.87360000000000015</v>
      </c>
      <c r="Z197" s="141">
        <f t="shared" si="20"/>
        <v>246.12080640000002</v>
      </c>
      <c r="AA197" s="134"/>
    </row>
    <row r="198" spans="1:27" ht="15" customHeight="1" x14ac:dyDescent="0.35">
      <c r="A198" s="134"/>
      <c r="B198" s="134"/>
      <c r="C198" s="134" t="s">
        <v>444</v>
      </c>
      <c r="D198" s="136" t="str">
        <f t="shared" si="17"/>
        <v>B.04</v>
      </c>
      <c r="E198" s="135" t="s">
        <v>414</v>
      </c>
      <c r="F198" s="135" t="s">
        <v>670</v>
      </c>
      <c r="G198" s="134" t="s">
        <v>31</v>
      </c>
      <c r="H198" s="134" t="s">
        <v>665</v>
      </c>
      <c r="I198" s="134" t="s">
        <v>513</v>
      </c>
      <c r="J198" s="144" t="s">
        <v>131</v>
      </c>
      <c r="K198" s="134"/>
      <c r="L198" s="134"/>
      <c r="M198" s="134"/>
      <c r="N198" s="134"/>
      <c r="O198" s="134"/>
      <c r="P198" s="135" t="s">
        <v>103</v>
      </c>
      <c r="Q198" s="137">
        <f t="shared" si="16"/>
        <v>1071.6384</v>
      </c>
      <c r="R198" s="137">
        <v>1071.6384</v>
      </c>
      <c r="S198" s="138"/>
      <c r="T198" s="139">
        <f>IFERROR(INDEX('Price List'!$G$5:$G$74,MATCH(TRIM(J198)&amp;"|"&amp;TRIM(P198),'Price List'!$O$5:$O$74,0)),0)</f>
        <v>0.11</v>
      </c>
      <c r="U198" s="140">
        <f>IFERROR(INDEX('Price List'!$H$5:$H$74,MATCH(TRIM(J198)&amp;"|"&amp;TRIM(P198),'Price List'!$O$5:$O$74,0)),0)</f>
        <v>0.2</v>
      </c>
      <c r="V198" s="141">
        <f t="shared" si="18"/>
        <v>0.13200000000000001</v>
      </c>
      <c r="W198" s="142">
        <f>IFERROR(INDEX('Price List'!$J$5:$J$74,MATCH(TRIM(J198)&amp;"|"&amp;TRIM(P198),'Price List'!$O$5:$O$74,0)),0)</f>
        <v>0.76</v>
      </c>
      <c r="X198" s="143">
        <f>IFERROR(INDEX('Price List'!$K$5:$K$74,MATCH(TRIM(J198)&amp;"|"&amp;TRIM(P198),'Price List'!$O$5:$O$74,0)),0)</f>
        <v>0.12</v>
      </c>
      <c r="Y198" s="141">
        <f t="shared" si="19"/>
        <v>0.85120000000000007</v>
      </c>
      <c r="Z198" s="141">
        <f t="shared" si="20"/>
        <v>1053.6348748800001</v>
      </c>
      <c r="AA198" s="134"/>
    </row>
    <row r="199" spans="1:27" ht="15" customHeight="1" x14ac:dyDescent="0.35">
      <c r="A199" s="134"/>
      <c r="B199" s="134"/>
      <c r="C199" s="134" t="s">
        <v>444</v>
      </c>
      <c r="D199" s="136" t="str">
        <f t="shared" si="17"/>
        <v>B.04</v>
      </c>
      <c r="E199" s="135" t="s">
        <v>414</v>
      </c>
      <c r="F199" s="135" t="s">
        <v>670</v>
      </c>
      <c r="G199" s="134" t="s">
        <v>31</v>
      </c>
      <c r="H199" s="134" t="s">
        <v>665</v>
      </c>
      <c r="I199" s="134" t="s">
        <v>513</v>
      </c>
      <c r="J199" s="144" t="s">
        <v>133</v>
      </c>
      <c r="K199" s="134"/>
      <c r="L199" s="134"/>
      <c r="M199" s="134"/>
      <c r="N199" s="134"/>
      <c r="O199" s="134"/>
      <c r="P199" s="135" t="s">
        <v>103</v>
      </c>
      <c r="Q199" s="137">
        <f t="shared" si="16"/>
        <v>1659.6320000000001</v>
      </c>
      <c r="R199" s="137">
        <v>1659.6320000000001</v>
      </c>
      <c r="S199" s="138"/>
      <c r="T199" s="139">
        <f>IFERROR(INDEX('Price List'!$G$5:$G$74,MATCH(TRIM(J199)&amp;"|"&amp;TRIM(P199),'Price List'!$O$5:$O$74,0)),0)</f>
        <v>0.1</v>
      </c>
      <c r="U199" s="140">
        <f>IFERROR(INDEX('Price List'!$H$5:$H$74,MATCH(TRIM(J199)&amp;"|"&amp;TRIM(P199),'Price List'!$O$5:$O$74,0)),0)</f>
        <v>0.2</v>
      </c>
      <c r="V199" s="141">
        <f t="shared" si="18"/>
        <v>0.12</v>
      </c>
      <c r="W199" s="142">
        <f>IFERROR(INDEX('Price List'!$J$5:$J$74,MATCH(TRIM(J199)&amp;"|"&amp;TRIM(P199),'Price List'!$O$5:$O$74,0)),0)</f>
        <v>0.74</v>
      </c>
      <c r="X199" s="143">
        <f>IFERROR(INDEX('Price List'!$K$5:$K$74,MATCH(TRIM(J199)&amp;"|"&amp;TRIM(P199),'Price List'!$O$5:$O$74,0)),0)</f>
        <v>0.12</v>
      </c>
      <c r="Y199" s="141">
        <f t="shared" si="19"/>
        <v>0.82880000000000009</v>
      </c>
      <c r="Z199" s="141">
        <f t="shared" si="20"/>
        <v>1574.6588416000002</v>
      </c>
      <c r="AA199" s="134"/>
    </row>
    <row r="200" spans="1:27" ht="15" customHeight="1" x14ac:dyDescent="0.35">
      <c r="A200" s="134"/>
      <c r="B200" s="134"/>
      <c r="C200" s="134" t="s">
        <v>444</v>
      </c>
      <c r="D200" s="136" t="str">
        <f t="shared" si="17"/>
        <v>B.04</v>
      </c>
      <c r="E200" s="135" t="s">
        <v>414</v>
      </c>
      <c r="F200" s="135" t="s">
        <v>670</v>
      </c>
      <c r="G200" s="134" t="s">
        <v>31</v>
      </c>
      <c r="H200" s="134" t="s">
        <v>665</v>
      </c>
      <c r="I200" s="134" t="s">
        <v>513</v>
      </c>
      <c r="J200" s="144" t="s">
        <v>135</v>
      </c>
      <c r="K200" s="134"/>
      <c r="L200" s="134"/>
      <c r="M200" s="134"/>
      <c r="N200" s="134"/>
      <c r="O200" s="134"/>
      <c r="P200" s="135" t="s">
        <v>103</v>
      </c>
      <c r="Q200" s="137">
        <f t="shared" si="16"/>
        <v>822.01599999999996</v>
      </c>
      <c r="R200" s="137">
        <v>822.01599999999996</v>
      </c>
      <c r="S200" s="138"/>
      <c r="T200" s="139">
        <f>IFERROR(INDEX('Price List'!$G$5:$G$74,MATCH(TRIM(J200)&amp;"|"&amp;TRIM(P200),'Price List'!$O$5:$O$74,0)),0)</f>
        <v>0.09</v>
      </c>
      <c r="U200" s="140">
        <f>IFERROR(INDEX('Price List'!$H$5:$H$74,MATCH(TRIM(J200)&amp;"|"&amp;TRIM(P200),'Price List'!$O$5:$O$74,0)),0)</f>
        <v>0.2</v>
      </c>
      <c r="V200" s="141">
        <f t="shared" si="18"/>
        <v>0.108</v>
      </c>
      <c r="W200" s="142">
        <f>IFERROR(INDEX('Price List'!$J$5:$J$74,MATCH(TRIM(J200)&amp;"|"&amp;TRIM(P200),'Price List'!$O$5:$O$74,0)),0)</f>
        <v>0.73</v>
      </c>
      <c r="X200" s="143">
        <f>IFERROR(INDEX('Price List'!$K$5:$K$74,MATCH(TRIM(J200)&amp;"|"&amp;TRIM(P200),'Price List'!$O$5:$O$74,0)),0)</f>
        <v>0.12</v>
      </c>
      <c r="Y200" s="141">
        <f t="shared" si="19"/>
        <v>0.8176000000000001</v>
      </c>
      <c r="Z200" s="141">
        <f t="shared" si="20"/>
        <v>760.85800960000006</v>
      </c>
      <c r="AA200" s="134"/>
    </row>
    <row r="201" spans="1:27" ht="15" customHeight="1" x14ac:dyDescent="0.35">
      <c r="A201" s="134"/>
      <c r="B201" s="134"/>
      <c r="C201" s="134" t="s">
        <v>444</v>
      </c>
      <c r="D201" s="136" t="str">
        <f t="shared" si="17"/>
        <v>B.04</v>
      </c>
      <c r="E201" s="135" t="s">
        <v>414</v>
      </c>
      <c r="F201" s="135" t="s">
        <v>670</v>
      </c>
      <c r="G201" s="134" t="s">
        <v>31</v>
      </c>
      <c r="H201" s="134" t="s">
        <v>665</v>
      </c>
      <c r="I201" s="134" t="s">
        <v>657</v>
      </c>
      <c r="J201" s="134" t="s">
        <v>107</v>
      </c>
      <c r="K201" s="134"/>
      <c r="L201" s="134"/>
      <c r="M201" s="134"/>
      <c r="N201" s="134"/>
      <c r="O201" s="134"/>
      <c r="P201" s="135" t="s">
        <v>103</v>
      </c>
      <c r="Q201" s="137">
        <f t="shared" si="16"/>
        <v>151.806016</v>
      </c>
      <c r="R201" s="137">
        <f>(R199+R200+R198+R197)*4%</f>
        <v>151.806016</v>
      </c>
      <c r="S201" s="138"/>
      <c r="T201" s="139">
        <f>IFERROR(INDEX('Price List'!$G$5:$G$74,MATCH(TRIM(J201)&amp;"|"&amp;TRIM(P201),'Price List'!$O$5:$O$74,0)),0)</f>
        <v>0.05</v>
      </c>
      <c r="U201" s="140">
        <f>IFERROR(INDEX('Price List'!$H$5:$H$74,MATCH(TRIM(J201)&amp;"|"&amp;TRIM(P201),'Price List'!$O$5:$O$74,0)),0)</f>
        <v>0.2</v>
      </c>
      <c r="V201" s="141">
        <f t="shared" si="18"/>
        <v>0.06</v>
      </c>
      <c r="W201" s="142">
        <f>IFERROR(INDEX('Price List'!$J$5:$J$74,MATCH(TRIM(J201)&amp;"|"&amp;TRIM(P201),'Price List'!$O$5:$O$74,0)),0)</f>
        <v>1.2</v>
      </c>
      <c r="X201" s="143">
        <f>IFERROR(INDEX('Price List'!$K$5:$K$74,MATCH(TRIM(J201)&amp;"|"&amp;TRIM(P201),'Price List'!$O$5:$O$74,0)),0)</f>
        <v>0.12</v>
      </c>
      <c r="Y201" s="141">
        <f t="shared" si="19"/>
        <v>1.3440000000000001</v>
      </c>
      <c r="Z201" s="141">
        <f t="shared" si="20"/>
        <v>213.13564646400002</v>
      </c>
      <c r="AA201" s="134"/>
    </row>
    <row r="202" spans="1:27" ht="15" customHeight="1" x14ac:dyDescent="0.35">
      <c r="A202" s="134"/>
      <c r="B202" s="135"/>
      <c r="C202" s="134" t="s">
        <v>444</v>
      </c>
      <c r="D202" s="136" t="str">
        <f t="shared" si="17"/>
        <v>B.04</v>
      </c>
      <c r="E202" s="135" t="s">
        <v>414</v>
      </c>
      <c r="F202" s="135" t="s">
        <v>670</v>
      </c>
      <c r="G202" s="134" t="s">
        <v>31</v>
      </c>
      <c r="H202" s="134" t="s">
        <v>578</v>
      </c>
      <c r="I202" s="134" t="s">
        <v>512</v>
      </c>
      <c r="J202" s="145" t="s">
        <v>125</v>
      </c>
      <c r="K202" s="134"/>
      <c r="L202" s="134"/>
      <c r="M202" s="134"/>
      <c r="N202" s="134"/>
      <c r="O202" s="134"/>
      <c r="P202" s="135" t="s">
        <v>100</v>
      </c>
      <c r="Q202" s="137">
        <f t="shared" si="16"/>
        <v>5.016</v>
      </c>
      <c r="R202" s="137">
        <v>5.016</v>
      </c>
      <c r="S202" s="138"/>
      <c r="T202" s="139">
        <f>IFERROR(INDEX('Price List'!$G$5:$G$74,MATCH(TRIM(J202)&amp;"|"&amp;TRIM(P202),'Price List'!$O$5:$O$74,0)),0)</f>
        <v>10</v>
      </c>
      <c r="U202" s="140">
        <f>IFERROR(INDEX('Price List'!$H$5:$H$74,MATCH(TRIM(J202)&amp;"|"&amp;TRIM(P202),'Price List'!$O$5:$O$74,0)),0)</f>
        <v>0.2</v>
      </c>
      <c r="V202" s="141">
        <f t="shared" si="18"/>
        <v>12</v>
      </c>
      <c r="W202" s="142">
        <f>IFERROR(INDEX('Price List'!$J$5:$J$74,MATCH(TRIM(J202)&amp;"|"&amp;TRIM(P202),'Price List'!$O$5:$O$74,0)),0)</f>
        <v>98</v>
      </c>
      <c r="X202" s="143">
        <f>IFERROR(INDEX('Price List'!$K$5:$K$74,MATCH(TRIM(J202)&amp;"|"&amp;TRIM(P202),'Price List'!$O$5:$O$74,0)),0)</f>
        <v>0.12</v>
      </c>
      <c r="Y202" s="141">
        <f t="shared" si="19"/>
        <v>109.76</v>
      </c>
      <c r="Z202" s="141">
        <f t="shared" si="20"/>
        <v>610.74815999999998</v>
      </c>
      <c r="AA202" s="134"/>
    </row>
    <row r="203" spans="1:27" ht="15" customHeight="1" x14ac:dyDescent="0.35">
      <c r="A203" s="134"/>
      <c r="B203" s="135"/>
      <c r="C203" s="134" t="s">
        <v>444</v>
      </c>
      <c r="D203" s="136" t="str">
        <f t="shared" si="17"/>
        <v>B.04</v>
      </c>
      <c r="E203" s="135" t="s">
        <v>414</v>
      </c>
      <c r="F203" s="135" t="s">
        <v>670</v>
      </c>
      <c r="G203" s="134" t="s">
        <v>31</v>
      </c>
      <c r="H203" s="134" t="s">
        <v>578</v>
      </c>
      <c r="I203" s="144" t="s">
        <v>127</v>
      </c>
      <c r="J203" s="144" t="s">
        <v>127</v>
      </c>
      <c r="K203" s="144"/>
      <c r="L203" s="134"/>
      <c r="M203" s="134"/>
      <c r="N203" s="134"/>
      <c r="O203" s="134"/>
      <c r="P203" s="135" t="s">
        <v>128</v>
      </c>
      <c r="Q203" s="137">
        <f t="shared" si="16"/>
        <v>75.239999999999995</v>
      </c>
      <c r="R203" s="137">
        <f>R202*15</f>
        <v>75.239999999999995</v>
      </c>
      <c r="S203" s="138"/>
      <c r="T203" s="139">
        <f>IFERROR(INDEX('Price List'!$G$5:$G$74,MATCH(TRIM(J203)&amp;"|"&amp;TRIM(P203),'Price List'!$O$5:$O$74,0)),0)</f>
        <v>6</v>
      </c>
      <c r="U203" s="140">
        <f>IFERROR(INDEX('Price List'!$H$5:$H$74,MATCH(TRIM(J203)&amp;"|"&amp;TRIM(P203),'Price List'!$O$5:$O$74,0)),0)</f>
        <v>0.2</v>
      </c>
      <c r="V203" s="141">
        <f t="shared" si="18"/>
        <v>7.1999999999999993</v>
      </c>
      <c r="W203" s="142">
        <f>IFERROR(INDEX('Price List'!$J$5:$J$74,MATCH(TRIM(J203)&amp;"|"&amp;TRIM(P203),'Price List'!$O$5:$O$74,0)),0)</f>
        <v>5</v>
      </c>
      <c r="X203" s="143">
        <f>IFERROR(INDEX('Price List'!$K$5:$K$74,MATCH(TRIM(J203)&amp;"|"&amp;TRIM(P203),'Price List'!$O$5:$O$74,0)),0)</f>
        <v>0.12</v>
      </c>
      <c r="Y203" s="141">
        <f t="shared" si="19"/>
        <v>5.6000000000000005</v>
      </c>
      <c r="Z203" s="141">
        <f t="shared" si="20"/>
        <v>963.072</v>
      </c>
      <c r="AA203" s="134"/>
    </row>
    <row r="204" spans="1:27" ht="15" customHeight="1" x14ac:dyDescent="0.35">
      <c r="A204" s="134"/>
      <c r="B204" s="135"/>
      <c r="C204" s="134" t="s">
        <v>444</v>
      </c>
      <c r="D204" s="136" t="str">
        <f t="shared" si="17"/>
        <v>B.04</v>
      </c>
      <c r="E204" s="135" t="s">
        <v>414</v>
      </c>
      <c r="F204" s="135" t="s">
        <v>670</v>
      </c>
      <c r="G204" s="134" t="s">
        <v>31</v>
      </c>
      <c r="H204" s="134" t="s">
        <v>578</v>
      </c>
      <c r="I204" s="134" t="s">
        <v>513</v>
      </c>
      <c r="J204" s="144" t="s">
        <v>169</v>
      </c>
      <c r="K204" s="144"/>
      <c r="L204" s="134"/>
      <c r="M204" s="134"/>
      <c r="N204" s="134"/>
      <c r="O204" s="134"/>
      <c r="P204" s="135" t="s">
        <v>103</v>
      </c>
      <c r="Q204" s="137">
        <f t="shared" si="16"/>
        <v>50.16</v>
      </c>
      <c r="R204" s="137">
        <f>R202*10</f>
        <v>50.16</v>
      </c>
      <c r="S204" s="138"/>
      <c r="T204" s="139">
        <f>IFERROR(INDEX('Price List'!$G$5:$G$74,MATCH(TRIM(J204)&amp;"|"&amp;TRIM(P204),'Price List'!$O$5:$O$74,0)),0)</f>
        <v>0.12</v>
      </c>
      <c r="U204" s="140">
        <f>IFERROR(INDEX('Price List'!$H$5:$H$74,MATCH(TRIM(J204)&amp;"|"&amp;TRIM(P204),'Price List'!$O$5:$O$74,0)),0)</f>
        <v>0.2</v>
      </c>
      <c r="V204" s="141">
        <f t="shared" si="18"/>
        <v>0.14399999999999999</v>
      </c>
      <c r="W204" s="142">
        <f>IFERROR(INDEX('Price List'!$J$5:$J$74,MATCH(TRIM(J204)&amp;"|"&amp;TRIM(P204),'Price List'!$O$5:$O$74,0)),0)</f>
        <v>0.77</v>
      </c>
      <c r="X204" s="143">
        <f>IFERROR(INDEX('Price List'!$K$5:$K$74,MATCH(TRIM(J204)&amp;"|"&amp;TRIM(P204),'Price List'!$O$5:$O$74,0)),0)</f>
        <v>0.12</v>
      </c>
      <c r="Y204" s="141">
        <f t="shared" si="19"/>
        <v>0.86240000000000006</v>
      </c>
      <c r="Z204" s="141">
        <f t="shared" si="20"/>
        <v>50.481023999999998</v>
      </c>
      <c r="AA204" s="134"/>
    </row>
    <row r="205" spans="1:27" ht="15" customHeight="1" x14ac:dyDescent="0.35">
      <c r="A205" s="134"/>
      <c r="B205" s="135"/>
      <c r="C205" s="134" t="s">
        <v>444</v>
      </c>
      <c r="D205" s="136" t="str">
        <f t="shared" si="17"/>
        <v>B.04</v>
      </c>
      <c r="E205" s="135" t="s">
        <v>414</v>
      </c>
      <c r="F205" s="135" t="s">
        <v>670</v>
      </c>
      <c r="G205" s="134" t="s">
        <v>31</v>
      </c>
      <c r="H205" s="134" t="s">
        <v>578</v>
      </c>
      <c r="I205" s="134" t="s">
        <v>513</v>
      </c>
      <c r="J205" s="144" t="s">
        <v>131</v>
      </c>
      <c r="K205" s="134"/>
      <c r="L205" s="134"/>
      <c r="M205" s="134"/>
      <c r="N205" s="134"/>
      <c r="O205" s="134"/>
      <c r="P205" s="135" t="s">
        <v>103</v>
      </c>
      <c r="Q205" s="137">
        <f t="shared" si="16"/>
        <v>601.91999999999996</v>
      </c>
      <c r="R205" s="137">
        <f>R202*120</f>
        <v>601.91999999999996</v>
      </c>
      <c r="S205" s="138"/>
      <c r="T205" s="139">
        <f>IFERROR(INDEX('Price List'!$G$5:$G$74,MATCH(TRIM(J205)&amp;"|"&amp;TRIM(P205),'Price List'!$O$5:$O$74,0)),0)</f>
        <v>0.11</v>
      </c>
      <c r="U205" s="140">
        <f>IFERROR(INDEX('Price List'!$H$5:$H$74,MATCH(TRIM(J205)&amp;"|"&amp;TRIM(P205),'Price List'!$O$5:$O$74,0)),0)</f>
        <v>0.2</v>
      </c>
      <c r="V205" s="141">
        <f t="shared" si="18"/>
        <v>0.13200000000000001</v>
      </c>
      <c r="W205" s="142">
        <f>IFERROR(INDEX('Price List'!$J$5:$J$74,MATCH(TRIM(J205)&amp;"|"&amp;TRIM(P205),'Price List'!$O$5:$O$74,0)),0)</f>
        <v>0.76</v>
      </c>
      <c r="X205" s="143">
        <f>IFERROR(INDEX('Price List'!$K$5:$K$74,MATCH(TRIM(J205)&amp;"|"&amp;TRIM(P205),'Price List'!$O$5:$O$74,0)),0)</f>
        <v>0.12</v>
      </c>
      <c r="Y205" s="141">
        <f t="shared" si="19"/>
        <v>0.85120000000000007</v>
      </c>
      <c r="Z205" s="141">
        <f t="shared" si="20"/>
        <v>591.80774399999996</v>
      </c>
      <c r="AA205" s="134"/>
    </row>
    <row r="206" spans="1:27" ht="15" customHeight="1" x14ac:dyDescent="0.35">
      <c r="A206" s="134"/>
      <c r="B206" s="135"/>
      <c r="C206" s="134" t="s">
        <v>444</v>
      </c>
      <c r="D206" s="136" t="str">
        <f t="shared" si="17"/>
        <v>B.04</v>
      </c>
      <c r="E206" s="135" t="s">
        <v>414</v>
      </c>
      <c r="F206" s="135" t="s">
        <v>670</v>
      </c>
      <c r="G206" s="134" t="s">
        <v>31</v>
      </c>
      <c r="H206" s="134" t="s">
        <v>578</v>
      </c>
      <c r="I206" s="134" t="s">
        <v>513</v>
      </c>
      <c r="J206" s="144" t="s">
        <v>133</v>
      </c>
      <c r="K206" s="134"/>
      <c r="L206" s="134"/>
      <c r="M206" s="134"/>
      <c r="N206" s="134"/>
      <c r="O206" s="134"/>
      <c r="P206" s="135" t="s">
        <v>103</v>
      </c>
      <c r="Q206" s="137">
        <f t="shared" si="16"/>
        <v>125.4</v>
      </c>
      <c r="R206" s="137">
        <f>R202*25</f>
        <v>125.4</v>
      </c>
      <c r="S206" s="138"/>
      <c r="T206" s="139">
        <f>IFERROR(INDEX('Price List'!$G$5:$G$74,MATCH(TRIM(J206)&amp;"|"&amp;TRIM(P206),'Price List'!$O$5:$O$74,0)),0)</f>
        <v>0.1</v>
      </c>
      <c r="U206" s="140">
        <f>IFERROR(INDEX('Price List'!$H$5:$H$74,MATCH(TRIM(J206)&amp;"|"&amp;TRIM(P206),'Price List'!$O$5:$O$74,0)),0)</f>
        <v>0.2</v>
      </c>
      <c r="V206" s="141">
        <f t="shared" si="18"/>
        <v>0.12</v>
      </c>
      <c r="W206" s="142">
        <f>IFERROR(INDEX('Price List'!$J$5:$J$74,MATCH(TRIM(J206)&amp;"|"&amp;TRIM(P206),'Price List'!$O$5:$O$74,0)),0)</f>
        <v>0.74</v>
      </c>
      <c r="X206" s="143">
        <f>IFERROR(INDEX('Price List'!$K$5:$K$74,MATCH(TRIM(J206)&amp;"|"&amp;TRIM(P206),'Price List'!$O$5:$O$74,0)),0)</f>
        <v>0.12</v>
      </c>
      <c r="Y206" s="141">
        <f t="shared" si="19"/>
        <v>0.82880000000000009</v>
      </c>
      <c r="Z206" s="141">
        <f t="shared" si="20"/>
        <v>118.97952000000002</v>
      </c>
      <c r="AA206" s="134"/>
    </row>
    <row r="207" spans="1:27" ht="15" customHeight="1" x14ac:dyDescent="0.35">
      <c r="A207" s="134"/>
      <c r="B207" s="135"/>
      <c r="C207" s="134" t="s">
        <v>444</v>
      </c>
      <c r="D207" s="136" t="str">
        <f t="shared" si="17"/>
        <v>B.04</v>
      </c>
      <c r="E207" s="135" t="s">
        <v>414</v>
      </c>
      <c r="F207" s="135" t="s">
        <v>670</v>
      </c>
      <c r="G207" s="134" t="s">
        <v>31</v>
      </c>
      <c r="H207" s="134" t="s">
        <v>578</v>
      </c>
      <c r="I207" s="134" t="s">
        <v>657</v>
      </c>
      <c r="J207" s="134" t="s">
        <v>107</v>
      </c>
      <c r="K207" s="134"/>
      <c r="L207" s="134"/>
      <c r="M207" s="134"/>
      <c r="N207" s="134"/>
      <c r="O207" s="134"/>
      <c r="P207" s="135" t="s">
        <v>103</v>
      </c>
      <c r="Q207" s="137">
        <f t="shared" si="16"/>
        <v>31.099199999999996</v>
      </c>
      <c r="R207" s="137">
        <f>(R205+R206+R204)*4%</f>
        <v>31.099199999999996</v>
      </c>
      <c r="S207" s="138"/>
      <c r="T207" s="139">
        <f>IFERROR(INDEX('Price List'!$G$5:$G$74,MATCH(TRIM(J207)&amp;"|"&amp;TRIM(P207),'Price List'!$O$5:$O$74,0)),0)</f>
        <v>0.05</v>
      </c>
      <c r="U207" s="140">
        <f>IFERROR(INDEX('Price List'!$H$5:$H$74,MATCH(TRIM(J207)&amp;"|"&amp;TRIM(P207),'Price List'!$O$5:$O$74,0)),0)</f>
        <v>0.2</v>
      </c>
      <c r="V207" s="141">
        <f t="shared" si="18"/>
        <v>0.06</v>
      </c>
      <c r="W207" s="142">
        <f>IFERROR(INDEX('Price List'!$J$5:$J$74,MATCH(TRIM(J207)&amp;"|"&amp;TRIM(P207),'Price List'!$O$5:$O$74,0)),0)</f>
        <v>1.2</v>
      </c>
      <c r="X207" s="143">
        <f>IFERROR(INDEX('Price List'!$K$5:$K$74,MATCH(TRIM(J207)&amp;"|"&amp;TRIM(P207),'Price List'!$O$5:$O$74,0)),0)</f>
        <v>0.12</v>
      </c>
      <c r="Y207" s="141">
        <f t="shared" si="19"/>
        <v>1.3440000000000001</v>
      </c>
      <c r="Z207" s="141">
        <f t="shared" si="20"/>
        <v>43.663276799999998</v>
      </c>
      <c r="AA207" s="134"/>
    </row>
    <row r="208" spans="1:27" ht="15" customHeight="1" x14ac:dyDescent="0.35">
      <c r="A208" s="134"/>
      <c r="B208" s="134"/>
      <c r="C208" s="134" t="s">
        <v>444</v>
      </c>
      <c r="D208" s="136" t="str">
        <f t="shared" si="17"/>
        <v>B.04</v>
      </c>
      <c r="E208" s="135" t="s">
        <v>414</v>
      </c>
      <c r="F208" s="135" t="s">
        <v>670</v>
      </c>
      <c r="G208" s="134" t="s">
        <v>31</v>
      </c>
      <c r="H208" s="134" t="s">
        <v>573</v>
      </c>
      <c r="I208" s="134" t="s">
        <v>512</v>
      </c>
      <c r="J208" s="144" t="s">
        <v>125</v>
      </c>
      <c r="K208" s="134"/>
      <c r="L208" s="134"/>
      <c r="M208" s="134"/>
      <c r="N208" s="134"/>
      <c r="O208" s="134"/>
      <c r="P208" s="135" t="s">
        <v>100</v>
      </c>
      <c r="Q208" s="137">
        <f t="shared" si="16"/>
        <v>38.975999999999999</v>
      </c>
      <c r="R208" s="137">
        <v>38.975999999999999</v>
      </c>
      <c r="S208" s="138"/>
      <c r="T208" s="139">
        <f>IFERROR(INDEX('Price List'!$G$5:$G$74,MATCH(TRIM(J208)&amp;"|"&amp;TRIM(P208),'Price List'!$O$5:$O$74,0)),0)</f>
        <v>10</v>
      </c>
      <c r="U208" s="140">
        <f>IFERROR(INDEX('Price List'!$H$5:$H$74,MATCH(TRIM(J208)&amp;"|"&amp;TRIM(P208),'Price List'!$O$5:$O$74,0)),0)</f>
        <v>0.2</v>
      </c>
      <c r="V208" s="141">
        <f t="shared" si="18"/>
        <v>12</v>
      </c>
      <c r="W208" s="142">
        <f>IFERROR(INDEX('Price List'!$J$5:$J$74,MATCH(TRIM(J208)&amp;"|"&amp;TRIM(P208),'Price List'!$O$5:$O$74,0)),0)</f>
        <v>98</v>
      </c>
      <c r="X208" s="143">
        <f>IFERROR(INDEX('Price List'!$K$5:$K$74,MATCH(TRIM(J208)&amp;"|"&amp;TRIM(P208),'Price List'!$O$5:$O$74,0)),0)</f>
        <v>0.12</v>
      </c>
      <c r="Y208" s="141">
        <f t="shared" si="19"/>
        <v>109.76</v>
      </c>
      <c r="Z208" s="141">
        <f t="shared" si="20"/>
        <v>4745.7177600000005</v>
      </c>
      <c r="AA208" s="134"/>
    </row>
    <row r="209" spans="1:27" ht="15" customHeight="1" x14ac:dyDescent="0.35">
      <c r="A209" s="134"/>
      <c r="B209" s="134"/>
      <c r="C209" s="134" t="s">
        <v>444</v>
      </c>
      <c r="D209" s="136" t="str">
        <f t="shared" si="17"/>
        <v>B.04</v>
      </c>
      <c r="E209" s="135" t="s">
        <v>414</v>
      </c>
      <c r="F209" s="135" t="s">
        <v>670</v>
      </c>
      <c r="G209" s="134" t="s">
        <v>31</v>
      </c>
      <c r="H209" s="134" t="s">
        <v>573</v>
      </c>
      <c r="I209" s="144" t="s">
        <v>127</v>
      </c>
      <c r="J209" s="144" t="s">
        <v>127</v>
      </c>
      <c r="K209" s="144"/>
      <c r="L209" s="134"/>
      <c r="M209" s="134"/>
      <c r="N209" s="134"/>
      <c r="O209" s="134"/>
      <c r="P209" s="135" t="s">
        <v>128</v>
      </c>
      <c r="Q209" s="137">
        <f t="shared" si="16"/>
        <v>204.96</v>
      </c>
      <c r="R209" s="137">
        <v>204.96</v>
      </c>
      <c r="S209" s="138"/>
      <c r="T209" s="139">
        <f>IFERROR(INDEX('Price List'!$G$5:$G$74,MATCH(TRIM(J209)&amp;"|"&amp;TRIM(P209),'Price List'!$O$5:$O$74,0)),0)</f>
        <v>6</v>
      </c>
      <c r="U209" s="140">
        <f>IFERROR(INDEX('Price List'!$H$5:$H$74,MATCH(TRIM(J209)&amp;"|"&amp;TRIM(P209),'Price List'!$O$5:$O$74,0)),0)</f>
        <v>0.2</v>
      </c>
      <c r="V209" s="141">
        <f t="shared" si="18"/>
        <v>7.1999999999999993</v>
      </c>
      <c r="W209" s="142">
        <f>IFERROR(INDEX('Price List'!$J$5:$J$74,MATCH(TRIM(J209)&amp;"|"&amp;TRIM(P209),'Price List'!$O$5:$O$74,0)),0)</f>
        <v>5</v>
      </c>
      <c r="X209" s="143">
        <f>IFERROR(INDEX('Price List'!$K$5:$K$74,MATCH(TRIM(J209)&amp;"|"&amp;TRIM(P209),'Price List'!$O$5:$O$74,0)),0)</f>
        <v>0.12</v>
      </c>
      <c r="Y209" s="141">
        <f t="shared" si="19"/>
        <v>5.6000000000000005</v>
      </c>
      <c r="Z209" s="141">
        <f t="shared" si="20"/>
        <v>2623.4880000000003</v>
      </c>
      <c r="AA209" s="134"/>
    </row>
    <row r="210" spans="1:27" ht="15" customHeight="1" x14ac:dyDescent="0.35">
      <c r="A210" s="134"/>
      <c r="B210" s="134"/>
      <c r="C210" s="134" t="s">
        <v>444</v>
      </c>
      <c r="D210" s="136" t="str">
        <f t="shared" si="17"/>
        <v>B.04</v>
      </c>
      <c r="E210" s="135" t="s">
        <v>414</v>
      </c>
      <c r="F210" s="135" t="s">
        <v>670</v>
      </c>
      <c r="G210" s="134" t="s">
        <v>31</v>
      </c>
      <c r="H210" s="134" t="s">
        <v>573</v>
      </c>
      <c r="I210" s="134" t="s">
        <v>513</v>
      </c>
      <c r="J210" s="144" t="s">
        <v>131</v>
      </c>
      <c r="K210" s="134"/>
      <c r="L210" s="134"/>
      <c r="M210" s="134"/>
      <c r="N210" s="134"/>
      <c r="O210" s="134"/>
      <c r="P210" s="135" t="s">
        <v>103</v>
      </c>
      <c r="Q210" s="137">
        <f t="shared" si="16"/>
        <v>2720.1215999999999</v>
      </c>
      <c r="R210" s="137">
        <v>2720.1215999999999</v>
      </c>
      <c r="S210" s="138"/>
      <c r="T210" s="139">
        <f>IFERROR(INDEX('Price List'!$G$5:$G$74,MATCH(TRIM(J210)&amp;"|"&amp;TRIM(P210),'Price List'!$O$5:$O$74,0)),0)</f>
        <v>0.11</v>
      </c>
      <c r="U210" s="140">
        <f>IFERROR(INDEX('Price List'!$H$5:$H$74,MATCH(TRIM(J210)&amp;"|"&amp;TRIM(P210),'Price List'!$O$5:$O$74,0)),0)</f>
        <v>0.2</v>
      </c>
      <c r="V210" s="141">
        <f t="shared" si="18"/>
        <v>0.13200000000000001</v>
      </c>
      <c r="W210" s="142">
        <f>IFERROR(INDEX('Price List'!$J$5:$J$74,MATCH(TRIM(J210)&amp;"|"&amp;TRIM(P210),'Price List'!$O$5:$O$74,0)),0)</f>
        <v>0.76</v>
      </c>
      <c r="X210" s="143">
        <f>IFERROR(INDEX('Price List'!$K$5:$K$74,MATCH(TRIM(J210)&amp;"|"&amp;TRIM(P210),'Price List'!$O$5:$O$74,0)),0)</f>
        <v>0.12</v>
      </c>
      <c r="Y210" s="141">
        <f t="shared" si="19"/>
        <v>0.85120000000000007</v>
      </c>
      <c r="Z210" s="141">
        <f t="shared" si="20"/>
        <v>2674.4235571200002</v>
      </c>
      <c r="AA210" s="134"/>
    </row>
    <row r="211" spans="1:27" ht="15" customHeight="1" x14ac:dyDescent="0.35">
      <c r="A211" s="134"/>
      <c r="B211" s="134"/>
      <c r="C211" s="134" t="s">
        <v>444</v>
      </c>
      <c r="D211" s="136" t="str">
        <f t="shared" si="17"/>
        <v>B.04</v>
      </c>
      <c r="E211" s="135" t="s">
        <v>414</v>
      </c>
      <c r="F211" s="135" t="s">
        <v>670</v>
      </c>
      <c r="G211" s="134" t="s">
        <v>31</v>
      </c>
      <c r="H211" s="134" t="s">
        <v>573</v>
      </c>
      <c r="I211" s="134" t="s">
        <v>513</v>
      </c>
      <c r="J211" s="144" t="s">
        <v>135</v>
      </c>
      <c r="K211" s="134"/>
      <c r="L211" s="134"/>
      <c r="M211" s="134"/>
      <c r="N211" s="134"/>
      <c r="O211" s="134"/>
      <c r="P211" s="135" t="s">
        <v>103</v>
      </c>
      <c r="Q211" s="137">
        <f t="shared" si="16"/>
        <v>1231.0272</v>
      </c>
      <c r="R211" s="137">
        <v>1231.0272</v>
      </c>
      <c r="S211" s="138"/>
      <c r="T211" s="139">
        <f>IFERROR(INDEX('Price List'!$G$5:$G$74,MATCH(TRIM(J211)&amp;"|"&amp;TRIM(P211),'Price List'!$O$5:$O$74,0)),0)</f>
        <v>0.09</v>
      </c>
      <c r="U211" s="140">
        <f>IFERROR(INDEX('Price List'!$H$5:$H$74,MATCH(TRIM(J211)&amp;"|"&amp;TRIM(P211),'Price List'!$O$5:$O$74,0)),0)</f>
        <v>0.2</v>
      </c>
      <c r="V211" s="141">
        <f t="shared" si="18"/>
        <v>0.108</v>
      </c>
      <c r="W211" s="142">
        <f>IFERROR(INDEX('Price List'!$J$5:$J$74,MATCH(TRIM(J211)&amp;"|"&amp;TRIM(P211),'Price List'!$O$5:$O$74,0)),0)</f>
        <v>0.73</v>
      </c>
      <c r="X211" s="143">
        <f>IFERROR(INDEX('Price List'!$K$5:$K$74,MATCH(TRIM(J211)&amp;"|"&amp;TRIM(P211),'Price List'!$O$5:$O$74,0)),0)</f>
        <v>0.12</v>
      </c>
      <c r="Y211" s="141">
        <f t="shared" si="19"/>
        <v>0.8176000000000001</v>
      </c>
      <c r="Z211" s="141">
        <f t="shared" si="20"/>
        <v>1139.4387763200002</v>
      </c>
      <c r="AA211" s="134"/>
    </row>
    <row r="212" spans="1:27" ht="15" customHeight="1" x14ac:dyDescent="0.35">
      <c r="A212" s="134"/>
      <c r="B212" s="134"/>
      <c r="C212" s="134" t="s">
        <v>444</v>
      </c>
      <c r="D212" s="136" t="str">
        <f t="shared" si="17"/>
        <v>B.04</v>
      </c>
      <c r="E212" s="135" t="s">
        <v>414</v>
      </c>
      <c r="F212" s="135" t="s">
        <v>670</v>
      </c>
      <c r="G212" s="134" t="s">
        <v>31</v>
      </c>
      <c r="H212" s="134" t="s">
        <v>573</v>
      </c>
      <c r="I212" s="134" t="s">
        <v>513</v>
      </c>
      <c r="J212" s="144" t="s">
        <v>105</v>
      </c>
      <c r="K212" s="134"/>
      <c r="L212" s="134"/>
      <c r="M212" s="134"/>
      <c r="N212" s="134"/>
      <c r="O212" s="134"/>
      <c r="P212" s="135" t="s">
        <v>103</v>
      </c>
      <c r="Q212" s="137">
        <f t="shared" si="16"/>
        <v>5365.9008000000003</v>
      </c>
      <c r="R212" s="137">
        <v>5365.9008000000003</v>
      </c>
      <c r="S212" s="138"/>
      <c r="T212" s="139">
        <f>IFERROR(INDEX('Price List'!$G$5:$G$74,MATCH(TRIM(J212)&amp;"|"&amp;TRIM(P212),'Price List'!$O$5:$O$74,0)),0)</f>
        <v>0.08</v>
      </c>
      <c r="U212" s="140">
        <f>IFERROR(INDEX('Price List'!$H$5:$H$74,MATCH(TRIM(J212)&amp;"|"&amp;TRIM(P212),'Price List'!$O$5:$O$74,0)),0)</f>
        <v>0.2</v>
      </c>
      <c r="V212" s="141">
        <f t="shared" si="18"/>
        <v>9.6000000000000002E-2</v>
      </c>
      <c r="W212" s="142">
        <f>IFERROR(INDEX('Price List'!$J$5:$J$74,MATCH(TRIM(J212)&amp;"|"&amp;TRIM(P212),'Price List'!$O$5:$O$74,0)),0)</f>
        <v>0.72</v>
      </c>
      <c r="X212" s="143">
        <f>IFERROR(INDEX('Price List'!$K$5:$K$74,MATCH(TRIM(J212)&amp;"|"&amp;TRIM(P212),'Price List'!$O$5:$O$74,0)),0)</f>
        <v>0.12</v>
      </c>
      <c r="Y212" s="141">
        <f t="shared" si="19"/>
        <v>0.80640000000000001</v>
      </c>
      <c r="Z212" s="141">
        <f t="shared" si="20"/>
        <v>4842.1888819200003</v>
      </c>
      <c r="AA212" s="134"/>
    </row>
    <row r="213" spans="1:27" ht="15" customHeight="1" x14ac:dyDescent="0.35">
      <c r="A213" s="134"/>
      <c r="B213" s="134"/>
      <c r="C213" s="134" t="s">
        <v>444</v>
      </c>
      <c r="D213" s="136" t="str">
        <f t="shared" si="17"/>
        <v>B.04</v>
      </c>
      <c r="E213" s="135" t="s">
        <v>414</v>
      </c>
      <c r="F213" s="135" t="s">
        <v>670</v>
      </c>
      <c r="G213" s="134" t="s">
        <v>31</v>
      </c>
      <c r="H213" s="134" t="s">
        <v>573</v>
      </c>
      <c r="I213" s="134" t="s">
        <v>657</v>
      </c>
      <c r="J213" s="134" t="s">
        <v>107</v>
      </c>
      <c r="K213" s="134"/>
      <c r="L213" s="134"/>
      <c r="M213" s="134"/>
      <c r="N213" s="134"/>
      <c r="O213" s="134"/>
      <c r="P213" s="135" t="s">
        <v>103</v>
      </c>
      <c r="Q213" s="137">
        <f t="shared" si="16"/>
        <v>372.681984</v>
      </c>
      <c r="R213" s="137">
        <f>(R211+R212+R210)*4%</f>
        <v>372.681984</v>
      </c>
      <c r="S213" s="138"/>
      <c r="T213" s="139">
        <f>IFERROR(INDEX('Price List'!$G$5:$G$74,MATCH(TRIM(J213)&amp;"|"&amp;TRIM(P213),'Price List'!$O$5:$O$74,0)),0)</f>
        <v>0.05</v>
      </c>
      <c r="U213" s="140">
        <f>IFERROR(INDEX('Price List'!$H$5:$H$74,MATCH(TRIM(J213)&amp;"|"&amp;TRIM(P213),'Price List'!$O$5:$O$74,0)),0)</f>
        <v>0.2</v>
      </c>
      <c r="V213" s="141">
        <f t="shared" si="18"/>
        <v>0.06</v>
      </c>
      <c r="W213" s="142">
        <f>IFERROR(INDEX('Price List'!$J$5:$J$74,MATCH(TRIM(J213)&amp;"|"&amp;TRIM(P213),'Price List'!$O$5:$O$74,0)),0)</f>
        <v>1.2</v>
      </c>
      <c r="X213" s="143">
        <f>IFERROR(INDEX('Price List'!$K$5:$K$74,MATCH(TRIM(J213)&amp;"|"&amp;TRIM(P213),'Price List'!$O$5:$O$74,0)),0)</f>
        <v>0.12</v>
      </c>
      <c r="Y213" s="141">
        <f t="shared" si="19"/>
        <v>1.3440000000000001</v>
      </c>
      <c r="Z213" s="141">
        <f t="shared" si="20"/>
        <v>523.245505536</v>
      </c>
      <c r="AA213" s="134"/>
    </row>
    <row r="214" spans="1:27" ht="15" customHeight="1" x14ac:dyDescent="0.35">
      <c r="A214" s="134"/>
      <c r="B214" s="135"/>
      <c r="C214" s="134" t="s">
        <v>444</v>
      </c>
      <c r="D214" s="136" t="str">
        <f t="shared" si="17"/>
        <v>B.04</v>
      </c>
      <c r="E214" s="135" t="s">
        <v>414</v>
      </c>
      <c r="F214" s="135" t="s">
        <v>671</v>
      </c>
      <c r="G214" s="134" t="s">
        <v>31</v>
      </c>
      <c r="H214" s="134" t="s">
        <v>564</v>
      </c>
      <c r="I214" s="134" t="s">
        <v>512</v>
      </c>
      <c r="J214" s="145" t="s">
        <v>125</v>
      </c>
      <c r="K214" s="134"/>
      <c r="L214" s="134"/>
      <c r="M214" s="134"/>
      <c r="N214" s="134"/>
      <c r="O214" s="134"/>
      <c r="P214" s="135" t="s">
        <v>100</v>
      </c>
      <c r="Q214" s="137">
        <f t="shared" si="16"/>
        <v>46.741149999999998</v>
      </c>
      <c r="R214" s="137">
        <f>'4F beam'!H11</f>
        <v>46.741149999999998</v>
      </c>
      <c r="S214" s="138"/>
      <c r="T214" s="139">
        <f>IFERROR(INDEX('Price List'!$G$5:$G$74,MATCH(TRIM(J214)&amp;"|"&amp;TRIM(P214),'Price List'!$O$5:$O$74,0)),0)</f>
        <v>10</v>
      </c>
      <c r="U214" s="140">
        <f>IFERROR(INDEX('Price List'!$H$5:$H$74,MATCH(TRIM(J214)&amp;"|"&amp;TRIM(P214),'Price List'!$O$5:$O$74,0)),0)</f>
        <v>0.2</v>
      </c>
      <c r="V214" s="141">
        <f t="shared" si="18"/>
        <v>12</v>
      </c>
      <c r="W214" s="142">
        <f>IFERROR(INDEX('Price List'!$J$5:$J$74,MATCH(TRIM(J214)&amp;"|"&amp;TRIM(P214),'Price List'!$O$5:$O$74,0)),0)</f>
        <v>98</v>
      </c>
      <c r="X214" s="143">
        <f>IFERROR(INDEX('Price List'!$K$5:$K$74,MATCH(TRIM(J214)&amp;"|"&amp;TRIM(P214),'Price List'!$O$5:$O$74,0)),0)</f>
        <v>0.12</v>
      </c>
      <c r="Y214" s="141">
        <f t="shared" si="19"/>
        <v>109.76</v>
      </c>
      <c r="Z214" s="141">
        <f t="shared" si="20"/>
        <v>5691.2024240000001</v>
      </c>
      <c r="AA214" s="134"/>
    </row>
    <row r="215" spans="1:27" ht="15" customHeight="1" x14ac:dyDescent="0.35">
      <c r="A215" s="134"/>
      <c r="B215" s="135"/>
      <c r="C215" s="134" t="s">
        <v>444</v>
      </c>
      <c r="D215" s="136" t="str">
        <f t="shared" si="17"/>
        <v>B.04</v>
      </c>
      <c r="E215" s="135" t="s">
        <v>414</v>
      </c>
      <c r="F215" s="135" t="s">
        <v>671</v>
      </c>
      <c r="G215" s="134" t="s">
        <v>31</v>
      </c>
      <c r="H215" s="134" t="s">
        <v>564</v>
      </c>
      <c r="I215" s="144" t="s">
        <v>127</v>
      </c>
      <c r="J215" s="144" t="s">
        <v>127</v>
      </c>
      <c r="K215" s="144"/>
      <c r="L215" s="134"/>
      <c r="M215" s="134"/>
      <c r="N215" s="134"/>
      <c r="O215" s="134"/>
      <c r="P215" s="135" t="s">
        <v>128</v>
      </c>
      <c r="Q215" s="137">
        <f t="shared" si="16"/>
        <v>446.52599999999995</v>
      </c>
      <c r="R215" s="137">
        <f>'4F beam'!G11</f>
        <v>446.52599999999995</v>
      </c>
      <c r="S215" s="138"/>
      <c r="T215" s="139">
        <f>IFERROR(INDEX('Price List'!$G$5:$G$74,MATCH(TRIM(J215)&amp;"|"&amp;TRIM(P215),'Price List'!$O$5:$O$74,0)),0)</f>
        <v>6</v>
      </c>
      <c r="U215" s="140">
        <f>IFERROR(INDEX('Price List'!$H$5:$H$74,MATCH(TRIM(J215)&amp;"|"&amp;TRIM(P215),'Price List'!$O$5:$O$74,0)),0)</f>
        <v>0.2</v>
      </c>
      <c r="V215" s="141">
        <f t="shared" si="18"/>
        <v>7.1999999999999993</v>
      </c>
      <c r="W215" s="142">
        <f>IFERROR(INDEX('Price List'!$J$5:$J$74,MATCH(TRIM(J215)&amp;"|"&amp;TRIM(P215),'Price List'!$O$5:$O$74,0)),0)</f>
        <v>5</v>
      </c>
      <c r="X215" s="143">
        <f>IFERROR(INDEX('Price List'!$K$5:$K$74,MATCH(TRIM(J215)&amp;"|"&amp;TRIM(P215),'Price List'!$O$5:$O$74,0)),0)</f>
        <v>0.12</v>
      </c>
      <c r="Y215" s="141">
        <f t="shared" si="19"/>
        <v>5.6000000000000005</v>
      </c>
      <c r="Z215" s="141">
        <f t="shared" si="20"/>
        <v>5715.5328</v>
      </c>
      <c r="AA215" s="134"/>
    </row>
    <row r="216" spans="1:27" ht="15" customHeight="1" x14ac:dyDescent="0.35">
      <c r="A216" s="134"/>
      <c r="B216" s="135"/>
      <c r="C216" s="134" t="s">
        <v>444</v>
      </c>
      <c r="D216" s="136" t="str">
        <f t="shared" si="17"/>
        <v>B.04</v>
      </c>
      <c r="E216" s="135" t="s">
        <v>414</v>
      </c>
      <c r="F216" s="135" t="s">
        <v>671</v>
      </c>
      <c r="G216" s="134" t="s">
        <v>31</v>
      </c>
      <c r="H216" s="134" t="s">
        <v>564</v>
      </c>
      <c r="I216" s="134" t="s">
        <v>513</v>
      </c>
      <c r="J216" s="144" t="s">
        <v>169</v>
      </c>
      <c r="K216" s="134"/>
      <c r="L216" s="134"/>
      <c r="M216" s="134"/>
      <c r="N216" s="134"/>
      <c r="O216" s="134"/>
      <c r="P216" s="135" t="s">
        <v>103</v>
      </c>
      <c r="Q216" s="137">
        <f t="shared" si="16"/>
        <v>624.19479999999999</v>
      </c>
      <c r="R216" s="137">
        <f>'4F beam'!J14</f>
        <v>624.19479999999999</v>
      </c>
      <c r="S216" s="138"/>
      <c r="T216" s="139">
        <f>IFERROR(INDEX('Price List'!$G$5:$G$74,MATCH(TRIM(J216)&amp;"|"&amp;TRIM(P216),'Price List'!$O$5:$O$74,0)),0)</f>
        <v>0.12</v>
      </c>
      <c r="U216" s="140">
        <f>IFERROR(INDEX('Price List'!$H$5:$H$74,MATCH(TRIM(J216)&amp;"|"&amp;TRIM(P216),'Price List'!$O$5:$O$74,0)),0)</f>
        <v>0.2</v>
      </c>
      <c r="V216" s="141">
        <f t="shared" si="18"/>
        <v>0.14399999999999999</v>
      </c>
      <c r="W216" s="142">
        <f>IFERROR(INDEX('Price List'!$J$5:$J$74,MATCH(TRIM(J216)&amp;"|"&amp;TRIM(P216),'Price List'!$O$5:$O$74,0)),0)</f>
        <v>0.77</v>
      </c>
      <c r="X216" s="143">
        <f>IFERROR(INDEX('Price List'!$K$5:$K$74,MATCH(TRIM(J216)&amp;"|"&amp;TRIM(P216),'Price List'!$O$5:$O$74,0)),0)</f>
        <v>0.12</v>
      </c>
      <c r="Y216" s="141">
        <f t="shared" si="19"/>
        <v>0.86240000000000006</v>
      </c>
      <c r="Z216" s="141">
        <f t="shared" si="20"/>
        <v>628.18964671999993</v>
      </c>
      <c r="AA216" s="134"/>
    </row>
    <row r="217" spans="1:27" ht="15" customHeight="1" x14ac:dyDescent="0.35">
      <c r="A217" s="134"/>
      <c r="B217" s="135"/>
      <c r="C217" s="134" t="s">
        <v>444</v>
      </c>
      <c r="D217" s="136" t="str">
        <f t="shared" si="17"/>
        <v>B.04</v>
      </c>
      <c r="E217" s="135" t="s">
        <v>414</v>
      </c>
      <c r="F217" s="135" t="s">
        <v>671</v>
      </c>
      <c r="G217" s="134" t="s">
        <v>31</v>
      </c>
      <c r="H217" s="134" t="s">
        <v>564</v>
      </c>
      <c r="I217" s="134" t="s">
        <v>513</v>
      </c>
      <c r="J217" s="144" t="s">
        <v>102</v>
      </c>
      <c r="K217" s="134"/>
      <c r="L217" s="134"/>
      <c r="M217" s="134"/>
      <c r="N217" s="134"/>
      <c r="O217" s="134"/>
      <c r="P217" s="135" t="s">
        <v>103</v>
      </c>
      <c r="Q217" s="137">
        <f t="shared" si="16"/>
        <v>2823.6114200000006</v>
      </c>
      <c r="R217" s="137">
        <f>'4F beam'!J15</f>
        <v>2823.6114200000006</v>
      </c>
      <c r="S217" s="138"/>
      <c r="T217" s="139">
        <f>IFERROR(INDEX('Price List'!$G$5:$G$74,MATCH(TRIM(J217)&amp;"|"&amp;TRIM(P217),'Price List'!$O$5:$O$74,0)),0)</f>
        <v>0.12</v>
      </c>
      <c r="U217" s="140">
        <f>IFERROR(INDEX('Price List'!$H$5:$H$74,MATCH(TRIM(J217)&amp;"|"&amp;TRIM(P217),'Price List'!$O$5:$O$74,0)),0)</f>
        <v>0.2</v>
      </c>
      <c r="V217" s="141">
        <f t="shared" si="18"/>
        <v>0.14399999999999999</v>
      </c>
      <c r="W217" s="142">
        <f>IFERROR(INDEX('Price List'!$J$5:$J$74,MATCH(TRIM(J217)&amp;"|"&amp;TRIM(P217),'Price List'!$O$5:$O$74,0)),0)</f>
        <v>0.78</v>
      </c>
      <c r="X217" s="143">
        <f>IFERROR(INDEX('Price List'!$K$5:$K$74,MATCH(TRIM(J217)&amp;"|"&amp;TRIM(P217),'Price List'!$O$5:$O$74,0)),0)</f>
        <v>0.12</v>
      </c>
      <c r="Y217" s="141">
        <f t="shared" si="19"/>
        <v>0.87360000000000015</v>
      </c>
      <c r="Z217" s="141">
        <f t="shared" si="20"/>
        <v>2873.3069809920007</v>
      </c>
      <c r="AA217" s="134"/>
    </row>
    <row r="218" spans="1:27" ht="15" customHeight="1" x14ac:dyDescent="0.35">
      <c r="A218" s="134"/>
      <c r="B218" s="135"/>
      <c r="C218" s="134" t="s">
        <v>444</v>
      </c>
      <c r="D218" s="136" t="str">
        <f t="shared" si="17"/>
        <v>B.04</v>
      </c>
      <c r="E218" s="135" t="s">
        <v>414</v>
      </c>
      <c r="F218" s="135" t="s">
        <v>671</v>
      </c>
      <c r="G218" s="134" t="s">
        <v>31</v>
      </c>
      <c r="H218" s="134" t="s">
        <v>564</v>
      </c>
      <c r="I218" s="134" t="s">
        <v>513</v>
      </c>
      <c r="J218" s="144" t="s">
        <v>131</v>
      </c>
      <c r="K218" s="134"/>
      <c r="L218" s="134"/>
      <c r="M218" s="134"/>
      <c r="N218" s="134"/>
      <c r="O218" s="134"/>
      <c r="P218" s="135" t="s">
        <v>103</v>
      </c>
      <c r="Q218" s="137">
        <f t="shared" si="16"/>
        <v>295.33103999999997</v>
      </c>
      <c r="R218" s="137">
        <f>'4F beam'!J16</f>
        <v>295.33103999999997</v>
      </c>
      <c r="S218" s="138"/>
      <c r="T218" s="139">
        <f>IFERROR(INDEX('Price List'!$G$5:$G$74,MATCH(TRIM(J218)&amp;"|"&amp;TRIM(P218),'Price List'!$O$5:$O$74,0)),0)</f>
        <v>0.11</v>
      </c>
      <c r="U218" s="140">
        <f>IFERROR(INDEX('Price List'!$H$5:$H$74,MATCH(TRIM(J218)&amp;"|"&amp;TRIM(P218),'Price List'!$O$5:$O$74,0)),0)</f>
        <v>0.2</v>
      </c>
      <c r="V218" s="141">
        <f t="shared" si="18"/>
        <v>0.13200000000000001</v>
      </c>
      <c r="W218" s="142">
        <f>IFERROR(INDEX('Price List'!$J$5:$J$74,MATCH(TRIM(J218)&amp;"|"&amp;TRIM(P218),'Price List'!$O$5:$O$74,0)),0)</f>
        <v>0.76</v>
      </c>
      <c r="X218" s="143">
        <f>IFERROR(INDEX('Price List'!$K$5:$K$74,MATCH(TRIM(J218)&amp;"|"&amp;TRIM(P218),'Price List'!$O$5:$O$74,0)),0)</f>
        <v>0.12</v>
      </c>
      <c r="Y218" s="141">
        <f t="shared" si="19"/>
        <v>0.85120000000000007</v>
      </c>
      <c r="Z218" s="141">
        <f t="shared" si="20"/>
        <v>290.369478528</v>
      </c>
      <c r="AA218" s="134"/>
    </row>
    <row r="219" spans="1:27" ht="15" customHeight="1" x14ac:dyDescent="0.35">
      <c r="A219" s="134"/>
      <c r="B219" s="135"/>
      <c r="C219" s="134" t="s">
        <v>444</v>
      </c>
      <c r="D219" s="136" t="str">
        <f t="shared" si="17"/>
        <v>B.04</v>
      </c>
      <c r="E219" s="135" t="s">
        <v>414</v>
      </c>
      <c r="F219" s="135" t="s">
        <v>671</v>
      </c>
      <c r="G219" s="134" t="s">
        <v>31</v>
      </c>
      <c r="H219" s="134" t="s">
        <v>564</v>
      </c>
      <c r="I219" s="134" t="s">
        <v>513</v>
      </c>
      <c r="J219" s="144" t="s">
        <v>133</v>
      </c>
      <c r="K219" s="134"/>
      <c r="L219" s="134"/>
      <c r="M219" s="134"/>
      <c r="N219" s="134"/>
      <c r="O219" s="134"/>
      <c r="P219" s="135" t="s">
        <v>103</v>
      </c>
      <c r="Q219" s="137">
        <f t="shared" si="16"/>
        <v>2411.8152</v>
      </c>
      <c r="R219" s="137">
        <f>'4F beam'!J17</f>
        <v>2411.8152</v>
      </c>
      <c r="S219" s="138"/>
      <c r="T219" s="139">
        <f>IFERROR(INDEX('Price List'!$G$5:$G$74,MATCH(TRIM(J219)&amp;"|"&amp;TRIM(P219),'Price List'!$O$5:$O$74,0)),0)</f>
        <v>0.1</v>
      </c>
      <c r="U219" s="140">
        <f>IFERROR(INDEX('Price List'!$H$5:$H$74,MATCH(TRIM(J219)&amp;"|"&amp;TRIM(P219),'Price List'!$O$5:$O$74,0)),0)</f>
        <v>0.2</v>
      </c>
      <c r="V219" s="141">
        <f t="shared" si="18"/>
        <v>0.12</v>
      </c>
      <c r="W219" s="142">
        <f>IFERROR(INDEX('Price List'!$J$5:$J$74,MATCH(TRIM(J219)&amp;"|"&amp;TRIM(P219),'Price List'!$O$5:$O$74,0)),0)</f>
        <v>0.74</v>
      </c>
      <c r="X219" s="143">
        <f>IFERROR(INDEX('Price List'!$K$5:$K$74,MATCH(TRIM(J219)&amp;"|"&amp;TRIM(P219),'Price List'!$O$5:$O$74,0)),0)</f>
        <v>0.12</v>
      </c>
      <c r="Y219" s="141">
        <f t="shared" si="19"/>
        <v>0.82880000000000009</v>
      </c>
      <c r="Z219" s="141">
        <f t="shared" si="20"/>
        <v>2288.3302617600002</v>
      </c>
      <c r="AA219" s="134"/>
    </row>
    <row r="220" spans="1:27" ht="15" customHeight="1" x14ac:dyDescent="0.35">
      <c r="A220" s="134"/>
      <c r="B220" s="135"/>
      <c r="C220" s="134" t="s">
        <v>444</v>
      </c>
      <c r="D220" s="136" t="str">
        <f t="shared" si="17"/>
        <v>B.04</v>
      </c>
      <c r="E220" s="135" t="s">
        <v>414</v>
      </c>
      <c r="F220" s="135" t="s">
        <v>671</v>
      </c>
      <c r="G220" s="134" t="s">
        <v>31</v>
      </c>
      <c r="H220" s="134" t="s">
        <v>564</v>
      </c>
      <c r="I220" s="134" t="s">
        <v>513</v>
      </c>
      <c r="J220" s="144" t="s">
        <v>135</v>
      </c>
      <c r="K220" s="134"/>
      <c r="L220" s="134"/>
      <c r="M220" s="134"/>
      <c r="N220" s="134"/>
      <c r="O220" s="134"/>
      <c r="P220" s="135" t="s">
        <v>103</v>
      </c>
      <c r="Q220" s="137">
        <f t="shared" si="16"/>
        <v>1819.6614000000002</v>
      </c>
      <c r="R220" s="137">
        <f>'4F beam'!J18</f>
        <v>1819.6614000000002</v>
      </c>
      <c r="S220" s="138"/>
      <c r="T220" s="139">
        <f>IFERROR(INDEX('Price List'!$G$5:$G$74,MATCH(TRIM(J220)&amp;"|"&amp;TRIM(P220),'Price List'!$O$5:$O$74,0)),0)</f>
        <v>0.09</v>
      </c>
      <c r="U220" s="140">
        <f>IFERROR(INDEX('Price List'!$H$5:$H$74,MATCH(TRIM(J220)&amp;"|"&amp;TRIM(P220),'Price List'!$O$5:$O$74,0)),0)</f>
        <v>0.2</v>
      </c>
      <c r="V220" s="141">
        <f t="shared" si="18"/>
        <v>0.108</v>
      </c>
      <c r="W220" s="142">
        <f>IFERROR(INDEX('Price List'!$J$5:$J$74,MATCH(TRIM(J220)&amp;"|"&amp;TRIM(P220),'Price List'!$O$5:$O$74,0)),0)</f>
        <v>0.73</v>
      </c>
      <c r="X220" s="143">
        <f>IFERROR(INDEX('Price List'!$K$5:$K$74,MATCH(TRIM(J220)&amp;"|"&amp;TRIM(P220),'Price List'!$O$5:$O$74,0)),0)</f>
        <v>0.12</v>
      </c>
      <c r="Y220" s="141">
        <f t="shared" si="19"/>
        <v>0.8176000000000001</v>
      </c>
      <c r="Z220" s="141">
        <f t="shared" si="20"/>
        <v>1684.2785918400004</v>
      </c>
      <c r="AA220" s="134"/>
    </row>
    <row r="221" spans="1:27" ht="15" customHeight="1" x14ac:dyDescent="0.35">
      <c r="A221" s="134"/>
      <c r="B221" s="135"/>
      <c r="C221" s="134" t="s">
        <v>444</v>
      </c>
      <c r="D221" s="136" t="str">
        <f t="shared" si="17"/>
        <v>B.04</v>
      </c>
      <c r="E221" s="135" t="s">
        <v>414</v>
      </c>
      <c r="F221" s="135" t="s">
        <v>671</v>
      </c>
      <c r="G221" s="134" t="s">
        <v>31</v>
      </c>
      <c r="H221" s="134" t="s">
        <v>564</v>
      </c>
      <c r="I221" s="134" t="s">
        <v>513</v>
      </c>
      <c r="J221" s="144" t="s">
        <v>105</v>
      </c>
      <c r="K221" s="134"/>
      <c r="L221" s="134"/>
      <c r="M221" s="134"/>
      <c r="N221" s="134"/>
      <c r="O221" s="134"/>
      <c r="P221" s="135" t="s">
        <v>103</v>
      </c>
      <c r="Q221" s="137">
        <f t="shared" si="16"/>
        <v>7527.2208000000001</v>
      </c>
      <c r="R221" s="137">
        <f>'4F beam'!J19</f>
        <v>7527.2208000000001</v>
      </c>
      <c r="S221" s="138"/>
      <c r="T221" s="139">
        <f>IFERROR(INDEX('Price List'!$G$5:$G$74,MATCH(TRIM(J221)&amp;"|"&amp;TRIM(P221),'Price List'!$O$5:$O$74,0)),0)</f>
        <v>0.08</v>
      </c>
      <c r="U221" s="140">
        <f>IFERROR(INDEX('Price List'!$H$5:$H$74,MATCH(TRIM(J221)&amp;"|"&amp;TRIM(P221),'Price List'!$O$5:$O$74,0)),0)</f>
        <v>0.2</v>
      </c>
      <c r="V221" s="141">
        <f t="shared" si="18"/>
        <v>9.6000000000000002E-2</v>
      </c>
      <c r="W221" s="142">
        <f>IFERROR(INDEX('Price List'!$J$5:$J$74,MATCH(TRIM(J221)&amp;"|"&amp;TRIM(P221),'Price List'!$O$5:$O$74,0)),0)</f>
        <v>0.72</v>
      </c>
      <c r="X221" s="143">
        <f>IFERROR(INDEX('Price List'!$K$5:$K$74,MATCH(TRIM(J221)&amp;"|"&amp;TRIM(P221),'Price List'!$O$5:$O$74,0)),0)</f>
        <v>0.12</v>
      </c>
      <c r="Y221" s="141">
        <f t="shared" si="19"/>
        <v>0.80640000000000001</v>
      </c>
      <c r="Z221" s="141">
        <f t="shared" si="20"/>
        <v>6792.5640499199999</v>
      </c>
      <c r="AA221" s="134"/>
    </row>
    <row r="222" spans="1:27" ht="15" customHeight="1" x14ac:dyDescent="0.35">
      <c r="A222" s="134"/>
      <c r="B222" s="135"/>
      <c r="C222" s="134" t="s">
        <v>444</v>
      </c>
      <c r="D222" s="136" t="str">
        <f t="shared" si="17"/>
        <v>B.04</v>
      </c>
      <c r="E222" s="135" t="s">
        <v>414</v>
      </c>
      <c r="F222" s="135" t="s">
        <v>671</v>
      </c>
      <c r="G222" s="134" t="s">
        <v>31</v>
      </c>
      <c r="H222" s="134" t="s">
        <v>564</v>
      </c>
      <c r="I222" s="134" t="s">
        <v>657</v>
      </c>
      <c r="J222" s="134" t="s">
        <v>107</v>
      </c>
      <c r="K222" s="134"/>
      <c r="L222" s="134"/>
      <c r="M222" s="134"/>
      <c r="N222" s="134"/>
      <c r="O222" s="134"/>
      <c r="P222" s="135" t="s">
        <v>103</v>
      </c>
      <c r="Q222" s="137">
        <f t="shared" si="16"/>
        <v>620.0733864</v>
      </c>
      <c r="R222" s="137">
        <f>(R220+R221+R219+R218+R217+R216)*4%</f>
        <v>620.0733864</v>
      </c>
      <c r="S222" s="138"/>
      <c r="T222" s="139">
        <f>IFERROR(INDEX('Price List'!$G$5:$G$74,MATCH(TRIM(J222)&amp;"|"&amp;TRIM(P222),'Price List'!$O$5:$O$74,0)),0)</f>
        <v>0.05</v>
      </c>
      <c r="U222" s="140">
        <f>IFERROR(INDEX('Price List'!$H$5:$H$74,MATCH(TRIM(J222)&amp;"|"&amp;TRIM(P222),'Price List'!$O$5:$O$74,0)),0)</f>
        <v>0.2</v>
      </c>
      <c r="V222" s="141">
        <f t="shared" si="18"/>
        <v>0.06</v>
      </c>
      <c r="W222" s="142">
        <f>IFERROR(INDEX('Price List'!$J$5:$J$74,MATCH(TRIM(J222)&amp;"|"&amp;TRIM(P222),'Price List'!$O$5:$O$74,0)),0)</f>
        <v>1.2</v>
      </c>
      <c r="X222" s="143">
        <f>IFERROR(INDEX('Price List'!$K$5:$K$74,MATCH(TRIM(J222)&amp;"|"&amp;TRIM(P222),'Price List'!$O$5:$O$74,0)),0)</f>
        <v>0.12</v>
      </c>
      <c r="Y222" s="141">
        <f t="shared" si="19"/>
        <v>1.3440000000000001</v>
      </c>
      <c r="Z222" s="141">
        <f t="shared" si="20"/>
        <v>870.58303450560004</v>
      </c>
      <c r="AA222" s="134"/>
    </row>
    <row r="223" spans="1:27" ht="15" customHeight="1" x14ac:dyDescent="0.35">
      <c r="A223" s="134"/>
      <c r="B223" s="135"/>
      <c r="C223" s="134" t="s">
        <v>444</v>
      </c>
      <c r="D223" s="136" t="str">
        <f t="shared" si="17"/>
        <v>B.04</v>
      </c>
      <c r="E223" s="135" t="s">
        <v>414</v>
      </c>
      <c r="F223" s="135" t="s">
        <v>671</v>
      </c>
      <c r="G223" s="134" t="s">
        <v>31</v>
      </c>
      <c r="H223" s="134" t="s">
        <v>568</v>
      </c>
      <c r="I223" s="134" t="s">
        <v>512</v>
      </c>
      <c r="J223" s="145" t="s">
        <v>125</v>
      </c>
      <c r="K223" s="134"/>
      <c r="L223" s="134"/>
      <c r="M223" s="134"/>
      <c r="N223" s="134"/>
      <c r="O223" s="134"/>
      <c r="P223" s="135" t="s">
        <v>100</v>
      </c>
      <c r="Q223" s="137">
        <f t="shared" si="16"/>
        <v>87.149999999999991</v>
      </c>
      <c r="R223" s="137">
        <f>581*0.15</f>
        <v>87.149999999999991</v>
      </c>
      <c r="S223" s="138"/>
      <c r="T223" s="139">
        <f>IFERROR(INDEX('Price List'!$G$5:$G$74,MATCH(TRIM(J223)&amp;"|"&amp;TRIM(P223),'Price List'!$O$5:$O$74,0)),0)</f>
        <v>10</v>
      </c>
      <c r="U223" s="140">
        <f>IFERROR(INDEX('Price List'!$H$5:$H$74,MATCH(TRIM(J223)&amp;"|"&amp;TRIM(P223),'Price List'!$O$5:$O$74,0)),0)</f>
        <v>0.2</v>
      </c>
      <c r="V223" s="141">
        <f t="shared" si="18"/>
        <v>12</v>
      </c>
      <c r="W223" s="142">
        <f>IFERROR(INDEX('Price List'!$J$5:$J$74,MATCH(TRIM(J223)&amp;"|"&amp;TRIM(P223),'Price List'!$O$5:$O$74,0)),0)</f>
        <v>98</v>
      </c>
      <c r="X223" s="143">
        <f>IFERROR(INDEX('Price List'!$K$5:$K$74,MATCH(TRIM(J223)&amp;"|"&amp;TRIM(P223),'Price List'!$O$5:$O$74,0)),0)</f>
        <v>0.12</v>
      </c>
      <c r="Y223" s="141">
        <f t="shared" si="19"/>
        <v>109.76</v>
      </c>
      <c r="Z223" s="141">
        <f t="shared" si="20"/>
        <v>10611.384</v>
      </c>
      <c r="AA223" s="134"/>
    </row>
    <row r="224" spans="1:27" ht="15" customHeight="1" x14ac:dyDescent="0.35">
      <c r="A224" s="134"/>
      <c r="B224" s="135"/>
      <c r="C224" s="134" t="s">
        <v>444</v>
      </c>
      <c r="D224" s="136" t="str">
        <f t="shared" si="17"/>
        <v>B.04</v>
      </c>
      <c r="E224" s="135" t="s">
        <v>414</v>
      </c>
      <c r="F224" s="135" t="s">
        <v>671</v>
      </c>
      <c r="G224" s="134" t="s">
        <v>31</v>
      </c>
      <c r="H224" s="134" t="s">
        <v>568</v>
      </c>
      <c r="I224" s="144" t="s">
        <v>127</v>
      </c>
      <c r="J224" s="144" t="s">
        <v>127</v>
      </c>
      <c r="K224" s="144"/>
      <c r="L224" s="134"/>
      <c r="M224" s="134"/>
      <c r="N224" s="134"/>
      <c r="O224" s="134"/>
      <c r="P224" s="135" t="s">
        <v>128</v>
      </c>
      <c r="Q224" s="137">
        <f t="shared" si="16"/>
        <v>581</v>
      </c>
      <c r="R224" s="137">
        <v>581</v>
      </c>
      <c r="S224" s="138"/>
      <c r="T224" s="139">
        <f>IFERROR(INDEX('Price List'!$G$5:$G$74,MATCH(TRIM(J224)&amp;"|"&amp;TRIM(P224),'Price List'!$O$5:$O$74,0)),0)</f>
        <v>6</v>
      </c>
      <c r="U224" s="140">
        <f>IFERROR(INDEX('Price List'!$H$5:$H$74,MATCH(TRIM(J224)&amp;"|"&amp;TRIM(P224),'Price List'!$O$5:$O$74,0)),0)</f>
        <v>0.2</v>
      </c>
      <c r="V224" s="141">
        <f t="shared" si="18"/>
        <v>7.1999999999999993</v>
      </c>
      <c r="W224" s="142">
        <f>IFERROR(INDEX('Price List'!$J$5:$J$74,MATCH(TRIM(J224)&amp;"|"&amp;TRIM(P224),'Price List'!$O$5:$O$74,0)),0)</f>
        <v>5</v>
      </c>
      <c r="X224" s="143">
        <f>IFERROR(INDEX('Price List'!$K$5:$K$74,MATCH(TRIM(J224)&amp;"|"&amp;TRIM(P224),'Price List'!$O$5:$O$74,0)),0)</f>
        <v>0.12</v>
      </c>
      <c r="Y224" s="141">
        <f t="shared" si="19"/>
        <v>5.6000000000000005</v>
      </c>
      <c r="Z224" s="141">
        <f t="shared" si="20"/>
        <v>7436.8</v>
      </c>
      <c r="AA224" s="134"/>
    </row>
    <row r="225" spans="1:27" ht="15" customHeight="1" x14ac:dyDescent="0.35">
      <c r="A225" s="134"/>
      <c r="B225" s="135"/>
      <c r="C225" s="134" t="s">
        <v>444</v>
      </c>
      <c r="D225" s="136" t="str">
        <f t="shared" si="17"/>
        <v>B.04</v>
      </c>
      <c r="E225" s="135" t="s">
        <v>414</v>
      </c>
      <c r="F225" s="135" t="s">
        <v>671</v>
      </c>
      <c r="G225" s="134" t="s">
        <v>31</v>
      </c>
      <c r="H225" s="134" t="s">
        <v>568</v>
      </c>
      <c r="I225" s="134" t="s">
        <v>513</v>
      </c>
      <c r="J225" s="144" t="s">
        <v>102</v>
      </c>
      <c r="K225" s="134"/>
      <c r="L225" s="134"/>
      <c r="M225" s="134"/>
      <c r="N225" s="134"/>
      <c r="O225" s="134"/>
      <c r="P225" s="135" t="s">
        <v>103</v>
      </c>
      <c r="Q225" s="137">
        <f t="shared" si="16"/>
        <v>11514.499999999998</v>
      </c>
      <c r="R225" s="137">
        <f>(R223*130)+185</f>
        <v>11514.499999999998</v>
      </c>
      <c r="S225" s="138"/>
      <c r="T225" s="139">
        <f>IFERROR(INDEX('Price List'!$G$5:$G$74,MATCH(TRIM(J225)&amp;"|"&amp;TRIM(P225),'Price List'!$O$5:$O$74,0)),0)</f>
        <v>0.12</v>
      </c>
      <c r="U225" s="140">
        <f>IFERROR(INDEX('Price List'!$H$5:$H$74,MATCH(TRIM(J225)&amp;"|"&amp;TRIM(P225),'Price List'!$O$5:$O$74,0)),0)</f>
        <v>0.2</v>
      </c>
      <c r="V225" s="141">
        <f t="shared" si="18"/>
        <v>0.14399999999999999</v>
      </c>
      <c r="W225" s="142">
        <f>IFERROR(INDEX('Price List'!$J$5:$J$74,MATCH(TRIM(J225)&amp;"|"&amp;TRIM(P225),'Price List'!$O$5:$O$74,0)),0)</f>
        <v>0.78</v>
      </c>
      <c r="X225" s="143">
        <f>IFERROR(INDEX('Price List'!$K$5:$K$74,MATCH(TRIM(J225)&amp;"|"&amp;TRIM(P225),'Price List'!$O$5:$O$74,0)),0)</f>
        <v>0.12</v>
      </c>
      <c r="Y225" s="141">
        <f t="shared" si="19"/>
        <v>0.87360000000000015</v>
      </c>
      <c r="Z225" s="141">
        <f t="shared" si="20"/>
        <v>11717.155199999999</v>
      </c>
      <c r="AA225" s="134"/>
    </row>
    <row r="226" spans="1:27" ht="15" customHeight="1" x14ac:dyDescent="0.35">
      <c r="A226" s="134"/>
      <c r="B226" s="135"/>
      <c r="C226" s="134" t="s">
        <v>444</v>
      </c>
      <c r="D226" s="136" t="str">
        <f t="shared" si="17"/>
        <v>B.04</v>
      </c>
      <c r="E226" s="135" t="s">
        <v>414</v>
      </c>
      <c r="F226" s="135" t="s">
        <v>671</v>
      </c>
      <c r="G226" s="134" t="s">
        <v>31</v>
      </c>
      <c r="H226" s="134" t="s">
        <v>568</v>
      </c>
      <c r="I226" s="134" t="s">
        <v>513</v>
      </c>
      <c r="J226" s="144" t="s">
        <v>131</v>
      </c>
      <c r="K226" s="134"/>
      <c r="L226" s="134"/>
      <c r="M226" s="134"/>
      <c r="N226" s="134"/>
      <c r="O226" s="134"/>
      <c r="P226" s="135" t="s">
        <v>103</v>
      </c>
      <c r="Q226" s="137">
        <f t="shared" si="16"/>
        <v>166.5</v>
      </c>
      <c r="R226" s="137">
        <f>0.888*((2.5*10*3)+(2.5*15*3))</f>
        <v>166.5</v>
      </c>
      <c r="S226" s="138"/>
      <c r="T226" s="139">
        <f>IFERROR(INDEX('Price List'!$G$5:$G$74,MATCH(TRIM(J226)&amp;"|"&amp;TRIM(P226),'Price List'!$O$5:$O$74,0)),0)</f>
        <v>0.11</v>
      </c>
      <c r="U226" s="140">
        <f>IFERROR(INDEX('Price List'!$H$5:$H$74,MATCH(TRIM(J226)&amp;"|"&amp;TRIM(P226),'Price List'!$O$5:$O$74,0)),0)</f>
        <v>0.2</v>
      </c>
      <c r="V226" s="141">
        <f t="shared" si="18"/>
        <v>0.13200000000000001</v>
      </c>
      <c r="W226" s="142">
        <f>IFERROR(INDEX('Price List'!$J$5:$J$74,MATCH(TRIM(J226)&amp;"|"&amp;TRIM(P226),'Price List'!$O$5:$O$74,0)),0)</f>
        <v>0.76</v>
      </c>
      <c r="X226" s="143">
        <f>IFERROR(INDEX('Price List'!$K$5:$K$74,MATCH(TRIM(J226)&amp;"|"&amp;TRIM(P226),'Price List'!$O$5:$O$74,0)),0)</f>
        <v>0.12</v>
      </c>
      <c r="Y226" s="141">
        <f t="shared" si="19"/>
        <v>0.85120000000000007</v>
      </c>
      <c r="Z226" s="141">
        <f t="shared" si="20"/>
        <v>163.70280000000002</v>
      </c>
      <c r="AA226" s="134"/>
    </row>
    <row r="227" spans="1:27" ht="15" customHeight="1" x14ac:dyDescent="0.35">
      <c r="A227" s="134"/>
      <c r="B227" s="135"/>
      <c r="C227" s="134" t="s">
        <v>444</v>
      </c>
      <c r="D227" s="136" t="str">
        <f t="shared" si="17"/>
        <v>B.04</v>
      </c>
      <c r="E227" s="135" t="s">
        <v>414</v>
      </c>
      <c r="F227" s="135" t="s">
        <v>671</v>
      </c>
      <c r="G227" s="134" t="s">
        <v>31</v>
      </c>
      <c r="H227" s="134" t="s">
        <v>568</v>
      </c>
      <c r="I227" s="134" t="s">
        <v>657</v>
      </c>
      <c r="J227" s="134" t="s">
        <v>107</v>
      </c>
      <c r="K227" s="134"/>
      <c r="L227" s="134"/>
      <c r="M227" s="134"/>
      <c r="N227" s="134"/>
      <c r="O227" s="134"/>
      <c r="P227" s="135" t="s">
        <v>103</v>
      </c>
      <c r="Q227" s="137">
        <f t="shared" si="16"/>
        <v>467.23999999999995</v>
      </c>
      <c r="R227" s="137">
        <f>(R225+R226)*4%</f>
        <v>467.23999999999995</v>
      </c>
      <c r="S227" s="138"/>
      <c r="T227" s="139">
        <f>IFERROR(INDEX('Price List'!$G$5:$G$74,MATCH(TRIM(J227)&amp;"|"&amp;TRIM(P227),'Price List'!$O$5:$O$74,0)),0)</f>
        <v>0.05</v>
      </c>
      <c r="U227" s="140">
        <f>IFERROR(INDEX('Price List'!$H$5:$H$74,MATCH(TRIM(J227)&amp;"|"&amp;TRIM(P227),'Price List'!$O$5:$O$74,0)),0)</f>
        <v>0.2</v>
      </c>
      <c r="V227" s="141">
        <f t="shared" si="18"/>
        <v>0.06</v>
      </c>
      <c r="W227" s="142">
        <f>IFERROR(INDEX('Price List'!$J$5:$J$74,MATCH(TRIM(J227)&amp;"|"&amp;TRIM(P227),'Price List'!$O$5:$O$74,0)),0)</f>
        <v>1.2</v>
      </c>
      <c r="X227" s="143">
        <f>IFERROR(INDEX('Price List'!$K$5:$K$74,MATCH(TRIM(J227)&amp;"|"&amp;TRIM(P227),'Price List'!$O$5:$O$74,0)),0)</f>
        <v>0.12</v>
      </c>
      <c r="Y227" s="141">
        <f t="shared" si="19"/>
        <v>1.3440000000000001</v>
      </c>
      <c r="Z227" s="141">
        <f t="shared" si="20"/>
        <v>656.00495999999998</v>
      </c>
      <c r="AA227" s="134"/>
    </row>
    <row r="228" spans="1:27" ht="15" customHeight="1" x14ac:dyDescent="0.35">
      <c r="A228" s="134"/>
      <c r="B228" s="134"/>
      <c r="C228" s="134" t="s">
        <v>444</v>
      </c>
      <c r="D228" s="136" t="str">
        <f t="shared" si="17"/>
        <v>B.04</v>
      </c>
      <c r="E228" s="135" t="s">
        <v>414</v>
      </c>
      <c r="F228" s="135" t="s">
        <v>671</v>
      </c>
      <c r="G228" s="134" t="s">
        <v>31</v>
      </c>
      <c r="H228" s="134" t="s">
        <v>665</v>
      </c>
      <c r="I228" s="134" t="s">
        <v>512</v>
      </c>
      <c r="J228" s="144" t="s">
        <v>125</v>
      </c>
      <c r="K228" s="134"/>
      <c r="L228" s="134"/>
      <c r="M228" s="134"/>
      <c r="N228" s="134"/>
      <c r="O228" s="134"/>
      <c r="P228" s="135" t="s">
        <v>100</v>
      </c>
      <c r="Q228" s="137">
        <f t="shared" si="16"/>
        <v>23.430000000000003</v>
      </c>
      <c r="R228" s="137">
        <f>(5.2*4.2)+(1.325*2*0.3*2)</f>
        <v>23.430000000000003</v>
      </c>
      <c r="S228" s="138"/>
      <c r="T228" s="139">
        <f>IFERROR(INDEX('Price List'!$G$5:$G$74,MATCH(TRIM(J228)&amp;"|"&amp;TRIM(P228),'Price List'!$O$5:$O$74,0)),0)</f>
        <v>10</v>
      </c>
      <c r="U228" s="140">
        <f>IFERROR(INDEX('Price List'!$H$5:$H$74,MATCH(TRIM(J228)&amp;"|"&amp;TRIM(P228),'Price List'!$O$5:$O$74,0)),0)</f>
        <v>0.2</v>
      </c>
      <c r="V228" s="141">
        <f t="shared" si="18"/>
        <v>12</v>
      </c>
      <c r="W228" s="142">
        <f>IFERROR(INDEX('Price List'!$J$5:$J$74,MATCH(TRIM(J228)&amp;"|"&amp;TRIM(P228),'Price List'!$O$5:$O$74,0)),0)</f>
        <v>98</v>
      </c>
      <c r="X228" s="143">
        <f>IFERROR(INDEX('Price List'!$K$5:$K$74,MATCH(TRIM(J228)&amp;"|"&amp;TRIM(P228),'Price List'!$O$5:$O$74,0)),0)</f>
        <v>0.12</v>
      </c>
      <c r="Y228" s="141">
        <f t="shared" si="19"/>
        <v>109.76</v>
      </c>
      <c r="Z228" s="141">
        <f t="shared" si="20"/>
        <v>2852.8368000000005</v>
      </c>
      <c r="AA228" s="134"/>
    </row>
    <row r="229" spans="1:27" ht="15" customHeight="1" x14ac:dyDescent="0.35">
      <c r="A229" s="134"/>
      <c r="B229" s="134"/>
      <c r="C229" s="134" t="s">
        <v>444</v>
      </c>
      <c r="D229" s="136" t="str">
        <f t="shared" si="17"/>
        <v>B.04</v>
      </c>
      <c r="E229" s="135" t="s">
        <v>414</v>
      </c>
      <c r="F229" s="135" t="s">
        <v>671</v>
      </c>
      <c r="G229" s="134" t="s">
        <v>31</v>
      </c>
      <c r="H229" s="134" t="s">
        <v>665</v>
      </c>
      <c r="I229" s="144" t="s">
        <v>127</v>
      </c>
      <c r="J229" s="144" t="s">
        <v>127</v>
      </c>
      <c r="K229" s="144"/>
      <c r="L229" s="134"/>
      <c r="M229" s="134"/>
      <c r="N229" s="134"/>
      <c r="O229" s="134"/>
      <c r="P229" s="135" t="s">
        <v>128</v>
      </c>
      <c r="Q229" s="137">
        <f t="shared" si="16"/>
        <v>139.70000000000002</v>
      </c>
      <c r="R229" s="137">
        <f>(32*4.2)+(1.325*2*2)</f>
        <v>139.70000000000002</v>
      </c>
      <c r="S229" s="138"/>
      <c r="T229" s="139">
        <f>IFERROR(INDEX('Price List'!$G$5:$G$74,MATCH(TRIM(J229)&amp;"|"&amp;TRIM(P229),'Price List'!$O$5:$O$74,0)),0)</f>
        <v>6</v>
      </c>
      <c r="U229" s="140">
        <f>IFERROR(INDEX('Price List'!$H$5:$H$74,MATCH(TRIM(J229)&amp;"|"&amp;TRIM(P229),'Price List'!$O$5:$O$74,0)),0)</f>
        <v>0.2</v>
      </c>
      <c r="V229" s="141">
        <f t="shared" si="18"/>
        <v>7.1999999999999993</v>
      </c>
      <c r="W229" s="142">
        <f>IFERROR(INDEX('Price List'!$J$5:$J$74,MATCH(TRIM(J229)&amp;"|"&amp;TRIM(P229),'Price List'!$O$5:$O$74,0)),0)</f>
        <v>5</v>
      </c>
      <c r="X229" s="143">
        <f>IFERROR(INDEX('Price List'!$K$5:$K$74,MATCH(TRIM(J229)&amp;"|"&amp;TRIM(P229),'Price List'!$O$5:$O$74,0)),0)</f>
        <v>0.12</v>
      </c>
      <c r="Y229" s="141">
        <f t="shared" si="19"/>
        <v>5.6000000000000005</v>
      </c>
      <c r="Z229" s="141">
        <f t="shared" si="20"/>
        <v>1788.1600000000003</v>
      </c>
      <c r="AA229" s="134"/>
    </row>
    <row r="230" spans="1:27" ht="15" customHeight="1" x14ac:dyDescent="0.35">
      <c r="A230" s="134"/>
      <c r="B230" s="134"/>
      <c r="C230" s="134" t="s">
        <v>444</v>
      </c>
      <c r="D230" s="136" t="str">
        <f t="shared" si="17"/>
        <v>B.04</v>
      </c>
      <c r="E230" s="135" t="s">
        <v>414</v>
      </c>
      <c r="F230" s="135" t="s">
        <v>671</v>
      </c>
      <c r="G230" s="134" t="s">
        <v>31</v>
      </c>
      <c r="H230" s="134" t="s">
        <v>665</v>
      </c>
      <c r="I230" s="134" t="s">
        <v>513</v>
      </c>
      <c r="J230" s="144" t="s">
        <v>102</v>
      </c>
      <c r="K230" s="134"/>
      <c r="L230" s="134"/>
      <c r="M230" s="134"/>
      <c r="N230" s="134"/>
      <c r="O230" s="134"/>
      <c r="P230" s="135" t="s">
        <v>103</v>
      </c>
      <c r="Q230" s="137">
        <f t="shared" ref="Q230:Q293" si="21">R230</f>
        <v>241.864</v>
      </c>
      <c r="R230" s="137">
        <v>241.864</v>
      </c>
      <c r="S230" s="138"/>
      <c r="T230" s="139">
        <f>IFERROR(INDEX('Price List'!$G$5:$G$74,MATCH(TRIM(J230)&amp;"|"&amp;TRIM(P230),'Price List'!$O$5:$O$74,0)),0)</f>
        <v>0.12</v>
      </c>
      <c r="U230" s="140">
        <f>IFERROR(INDEX('Price List'!$H$5:$H$74,MATCH(TRIM(J230)&amp;"|"&amp;TRIM(P230),'Price List'!$O$5:$O$74,0)),0)</f>
        <v>0.2</v>
      </c>
      <c r="V230" s="141">
        <f t="shared" si="18"/>
        <v>0.14399999999999999</v>
      </c>
      <c r="W230" s="142">
        <f>IFERROR(INDEX('Price List'!$J$5:$J$74,MATCH(TRIM(J230)&amp;"|"&amp;TRIM(P230),'Price List'!$O$5:$O$74,0)),0)</f>
        <v>0.78</v>
      </c>
      <c r="X230" s="143">
        <f>IFERROR(INDEX('Price List'!$K$5:$K$74,MATCH(TRIM(J230)&amp;"|"&amp;TRIM(P230),'Price List'!$O$5:$O$74,0)),0)</f>
        <v>0.12</v>
      </c>
      <c r="Y230" s="141">
        <f t="shared" si="19"/>
        <v>0.87360000000000015</v>
      </c>
      <c r="Z230" s="141">
        <f t="shared" si="20"/>
        <v>246.12080640000002</v>
      </c>
      <c r="AA230" s="134"/>
    </row>
    <row r="231" spans="1:27" ht="15" customHeight="1" x14ac:dyDescent="0.35">
      <c r="A231" s="134"/>
      <c r="B231" s="134"/>
      <c r="C231" s="134" t="s">
        <v>444</v>
      </c>
      <c r="D231" s="136" t="str">
        <f t="shared" si="17"/>
        <v>B.04</v>
      </c>
      <c r="E231" s="135" t="s">
        <v>414</v>
      </c>
      <c r="F231" s="135" t="s">
        <v>671</v>
      </c>
      <c r="G231" s="134" t="s">
        <v>31</v>
      </c>
      <c r="H231" s="134" t="s">
        <v>665</v>
      </c>
      <c r="I231" s="134" t="s">
        <v>513</v>
      </c>
      <c r="J231" s="144" t="s">
        <v>131</v>
      </c>
      <c r="K231" s="134"/>
      <c r="L231" s="134"/>
      <c r="M231" s="134"/>
      <c r="N231" s="134"/>
      <c r="O231" s="134"/>
      <c r="P231" s="135" t="s">
        <v>103</v>
      </c>
      <c r="Q231" s="137">
        <f t="shared" si="21"/>
        <v>1071.6384</v>
      </c>
      <c r="R231" s="137">
        <v>1071.6384</v>
      </c>
      <c r="S231" s="138"/>
      <c r="T231" s="139">
        <f>IFERROR(INDEX('Price List'!$G$5:$G$74,MATCH(TRIM(J231)&amp;"|"&amp;TRIM(P231),'Price List'!$O$5:$O$74,0)),0)</f>
        <v>0.11</v>
      </c>
      <c r="U231" s="140">
        <f>IFERROR(INDEX('Price List'!$H$5:$H$74,MATCH(TRIM(J231)&amp;"|"&amp;TRIM(P231),'Price List'!$O$5:$O$74,0)),0)</f>
        <v>0.2</v>
      </c>
      <c r="V231" s="141">
        <f t="shared" si="18"/>
        <v>0.13200000000000001</v>
      </c>
      <c r="W231" s="142">
        <f>IFERROR(INDEX('Price List'!$J$5:$J$74,MATCH(TRIM(J231)&amp;"|"&amp;TRIM(P231),'Price List'!$O$5:$O$74,0)),0)</f>
        <v>0.76</v>
      </c>
      <c r="X231" s="143">
        <f>IFERROR(INDEX('Price List'!$K$5:$K$74,MATCH(TRIM(J231)&amp;"|"&amp;TRIM(P231),'Price List'!$O$5:$O$74,0)),0)</f>
        <v>0.12</v>
      </c>
      <c r="Y231" s="141">
        <f t="shared" si="19"/>
        <v>0.85120000000000007</v>
      </c>
      <c r="Z231" s="141">
        <f t="shared" si="20"/>
        <v>1053.6348748800001</v>
      </c>
      <c r="AA231" s="134"/>
    </row>
    <row r="232" spans="1:27" ht="15" customHeight="1" x14ac:dyDescent="0.35">
      <c r="A232" s="134"/>
      <c r="B232" s="134"/>
      <c r="C232" s="134" t="s">
        <v>444</v>
      </c>
      <c r="D232" s="136" t="str">
        <f t="shared" si="17"/>
        <v>B.04</v>
      </c>
      <c r="E232" s="135" t="s">
        <v>414</v>
      </c>
      <c r="F232" s="135" t="s">
        <v>671</v>
      </c>
      <c r="G232" s="134" t="s">
        <v>31</v>
      </c>
      <c r="H232" s="134" t="s">
        <v>665</v>
      </c>
      <c r="I232" s="134" t="s">
        <v>513</v>
      </c>
      <c r="J232" s="144" t="s">
        <v>211</v>
      </c>
      <c r="K232" s="134"/>
      <c r="L232" s="134"/>
      <c r="M232" s="134"/>
      <c r="N232" s="134"/>
      <c r="O232" s="134"/>
      <c r="P232" s="135" t="s">
        <v>103</v>
      </c>
      <c r="Q232" s="137">
        <f t="shared" si="21"/>
        <v>1122.4736</v>
      </c>
      <c r="R232" s="137">
        <v>1122.4736</v>
      </c>
      <c r="S232" s="138"/>
      <c r="T232" s="139">
        <f>IFERROR(INDEX('Price List'!$G$5:$G$74,MATCH(TRIM(J232)&amp;"|"&amp;TRIM(P232),'Price List'!$O$5:$O$74,0)),0)</f>
        <v>0.1</v>
      </c>
      <c r="U232" s="140">
        <f>IFERROR(INDEX('Price List'!$H$5:$H$74,MATCH(TRIM(J232)&amp;"|"&amp;TRIM(P232),'Price List'!$O$5:$O$74,0)),0)</f>
        <v>0.2</v>
      </c>
      <c r="V232" s="141">
        <f t="shared" si="18"/>
        <v>0.12</v>
      </c>
      <c r="W232" s="142">
        <f>IFERROR(INDEX('Price List'!$J$5:$J$74,MATCH(TRIM(J232)&amp;"|"&amp;TRIM(P232),'Price List'!$O$5:$O$74,0)),0)</f>
        <v>0.75</v>
      </c>
      <c r="X232" s="143">
        <f>IFERROR(INDEX('Price List'!$K$5:$K$74,MATCH(TRIM(J232)&amp;"|"&amp;TRIM(P232),'Price List'!$O$5:$O$74,0)),0)</f>
        <v>0.12</v>
      </c>
      <c r="Y232" s="141">
        <f t="shared" si="19"/>
        <v>0.84000000000000008</v>
      </c>
      <c r="Z232" s="141">
        <f t="shared" si="20"/>
        <v>1077.574656</v>
      </c>
      <c r="AA232" s="134"/>
    </row>
    <row r="233" spans="1:27" ht="15" customHeight="1" x14ac:dyDescent="0.35">
      <c r="A233" s="134"/>
      <c r="B233" s="134"/>
      <c r="C233" s="134" t="s">
        <v>444</v>
      </c>
      <c r="D233" s="136" t="str">
        <f t="shared" si="17"/>
        <v>B.04</v>
      </c>
      <c r="E233" s="135" t="s">
        <v>414</v>
      </c>
      <c r="F233" s="135" t="s">
        <v>671</v>
      </c>
      <c r="G233" s="134" t="s">
        <v>31</v>
      </c>
      <c r="H233" s="134" t="s">
        <v>665</v>
      </c>
      <c r="I233" s="134" t="s">
        <v>513</v>
      </c>
      <c r="J233" s="144" t="s">
        <v>135</v>
      </c>
      <c r="K233" s="134"/>
      <c r="L233" s="134"/>
      <c r="M233" s="134"/>
      <c r="N233" s="134"/>
      <c r="O233" s="134"/>
      <c r="P233" s="135" t="s">
        <v>103</v>
      </c>
      <c r="Q233" s="137">
        <f t="shared" si="21"/>
        <v>822.01599999999996</v>
      </c>
      <c r="R233" s="137">
        <v>822.01599999999996</v>
      </c>
      <c r="S233" s="138"/>
      <c r="T233" s="139">
        <f>IFERROR(INDEX('Price List'!$G$5:$G$74,MATCH(TRIM(J233)&amp;"|"&amp;TRIM(P233),'Price List'!$O$5:$O$74,0)),0)</f>
        <v>0.09</v>
      </c>
      <c r="U233" s="140">
        <f>IFERROR(INDEX('Price List'!$H$5:$H$74,MATCH(TRIM(J233)&amp;"|"&amp;TRIM(P233),'Price List'!$O$5:$O$74,0)),0)</f>
        <v>0.2</v>
      </c>
      <c r="V233" s="141">
        <f t="shared" si="18"/>
        <v>0.108</v>
      </c>
      <c r="W233" s="142">
        <f>IFERROR(INDEX('Price List'!$J$5:$J$74,MATCH(TRIM(J233)&amp;"|"&amp;TRIM(P233),'Price List'!$O$5:$O$74,0)),0)</f>
        <v>0.73</v>
      </c>
      <c r="X233" s="143">
        <f>IFERROR(INDEX('Price List'!$K$5:$K$74,MATCH(TRIM(J233)&amp;"|"&amp;TRIM(P233),'Price List'!$O$5:$O$74,0)),0)</f>
        <v>0.12</v>
      </c>
      <c r="Y233" s="141">
        <f t="shared" si="19"/>
        <v>0.8176000000000001</v>
      </c>
      <c r="Z233" s="141">
        <f t="shared" si="20"/>
        <v>760.85800960000006</v>
      </c>
      <c r="AA233" s="134"/>
    </row>
    <row r="234" spans="1:27" ht="15" customHeight="1" x14ac:dyDescent="0.35">
      <c r="A234" s="134"/>
      <c r="B234" s="134"/>
      <c r="C234" s="134" t="s">
        <v>444</v>
      </c>
      <c r="D234" s="136" t="str">
        <f t="shared" si="17"/>
        <v>B.04</v>
      </c>
      <c r="E234" s="135" t="s">
        <v>414</v>
      </c>
      <c r="F234" s="135" t="s">
        <v>671</v>
      </c>
      <c r="G234" s="134" t="s">
        <v>31</v>
      </c>
      <c r="H234" s="134" t="s">
        <v>665</v>
      </c>
      <c r="I234" s="134" t="s">
        <v>657</v>
      </c>
      <c r="J234" s="134" t="s">
        <v>107</v>
      </c>
      <c r="K234" s="134"/>
      <c r="L234" s="134"/>
      <c r="M234" s="134"/>
      <c r="N234" s="134"/>
      <c r="O234" s="134"/>
      <c r="P234" s="135" t="s">
        <v>103</v>
      </c>
      <c r="Q234" s="137">
        <f t="shared" si="21"/>
        <v>130.31968000000001</v>
      </c>
      <c r="R234" s="137">
        <f>(R232+R233+R231+R230)*4%</f>
        <v>130.31968000000001</v>
      </c>
      <c r="S234" s="138"/>
      <c r="T234" s="139">
        <f>IFERROR(INDEX('Price List'!$G$5:$G$74,MATCH(TRIM(J234)&amp;"|"&amp;TRIM(P234),'Price List'!$O$5:$O$74,0)),0)</f>
        <v>0.05</v>
      </c>
      <c r="U234" s="140">
        <f>IFERROR(INDEX('Price List'!$H$5:$H$74,MATCH(TRIM(J234)&amp;"|"&amp;TRIM(P234),'Price List'!$O$5:$O$74,0)),0)</f>
        <v>0.2</v>
      </c>
      <c r="V234" s="141">
        <f t="shared" si="18"/>
        <v>0.06</v>
      </c>
      <c r="W234" s="142">
        <f>IFERROR(INDEX('Price List'!$J$5:$J$74,MATCH(TRIM(J234)&amp;"|"&amp;TRIM(P234),'Price List'!$O$5:$O$74,0)),0)</f>
        <v>1.2</v>
      </c>
      <c r="X234" s="143">
        <f>IFERROR(INDEX('Price List'!$K$5:$K$74,MATCH(TRIM(J234)&amp;"|"&amp;TRIM(P234),'Price List'!$O$5:$O$74,0)),0)</f>
        <v>0.12</v>
      </c>
      <c r="Y234" s="141">
        <f t="shared" si="19"/>
        <v>1.3440000000000001</v>
      </c>
      <c r="Z234" s="141">
        <f t="shared" si="20"/>
        <v>182.96883072000003</v>
      </c>
      <c r="AA234" s="134"/>
    </row>
    <row r="235" spans="1:27" ht="15" customHeight="1" x14ac:dyDescent="0.35">
      <c r="A235" s="134"/>
      <c r="B235" s="135"/>
      <c r="C235" s="134" t="s">
        <v>444</v>
      </c>
      <c r="D235" s="136" t="str">
        <f t="shared" si="17"/>
        <v>B.04</v>
      </c>
      <c r="E235" s="135" t="s">
        <v>414</v>
      </c>
      <c r="F235" s="135" t="s">
        <v>671</v>
      </c>
      <c r="G235" s="134" t="s">
        <v>31</v>
      </c>
      <c r="H235" s="134" t="s">
        <v>578</v>
      </c>
      <c r="I235" s="134" t="s">
        <v>512</v>
      </c>
      <c r="J235" s="145" t="s">
        <v>125</v>
      </c>
      <c r="K235" s="134"/>
      <c r="L235" s="134"/>
      <c r="M235" s="134"/>
      <c r="N235" s="134"/>
      <c r="O235" s="134"/>
      <c r="P235" s="135" t="s">
        <v>100</v>
      </c>
      <c r="Q235" s="137">
        <f t="shared" si="21"/>
        <v>5.016</v>
      </c>
      <c r="R235" s="137">
        <v>5.016</v>
      </c>
      <c r="S235" s="138"/>
      <c r="T235" s="139">
        <f>IFERROR(INDEX('Price List'!$G$5:$G$74,MATCH(TRIM(J235)&amp;"|"&amp;TRIM(P235),'Price List'!$O$5:$O$74,0)),0)</f>
        <v>10</v>
      </c>
      <c r="U235" s="140">
        <f>IFERROR(INDEX('Price List'!$H$5:$H$74,MATCH(TRIM(J235)&amp;"|"&amp;TRIM(P235),'Price List'!$O$5:$O$74,0)),0)</f>
        <v>0.2</v>
      </c>
      <c r="V235" s="141">
        <f t="shared" si="18"/>
        <v>12</v>
      </c>
      <c r="W235" s="142">
        <f>IFERROR(INDEX('Price List'!$J$5:$J$74,MATCH(TRIM(J235)&amp;"|"&amp;TRIM(P235),'Price List'!$O$5:$O$74,0)),0)</f>
        <v>98</v>
      </c>
      <c r="X235" s="143">
        <f>IFERROR(INDEX('Price List'!$K$5:$K$74,MATCH(TRIM(J235)&amp;"|"&amp;TRIM(P235),'Price List'!$O$5:$O$74,0)),0)</f>
        <v>0.12</v>
      </c>
      <c r="Y235" s="141">
        <f t="shared" si="19"/>
        <v>109.76</v>
      </c>
      <c r="Z235" s="141">
        <f t="shared" si="20"/>
        <v>610.74815999999998</v>
      </c>
      <c r="AA235" s="134"/>
    </row>
    <row r="236" spans="1:27" ht="15" customHeight="1" x14ac:dyDescent="0.35">
      <c r="A236" s="134"/>
      <c r="B236" s="135"/>
      <c r="C236" s="134" t="s">
        <v>444</v>
      </c>
      <c r="D236" s="136" t="str">
        <f t="shared" si="17"/>
        <v>B.04</v>
      </c>
      <c r="E236" s="135" t="s">
        <v>414</v>
      </c>
      <c r="F236" s="135" t="s">
        <v>671</v>
      </c>
      <c r="G236" s="134" t="s">
        <v>31</v>
      </c>
      <c r="H236" s="134" t="s">
        <v>578</v>
      </c>
      <c r="I236" s="144" t="s">
        <v>127</v>
      </c>
      <c r="J236" s="144" t="s">
        <v>127</v>
      </c>
      <c r="K236" s="144"/>
      <c r="L236" s="134"/>
      <c r="M236" s="134"/>
      <c r="N236" s="134"/>
      <c r="O236" s="134"/>
      <c r="P236" s="135" t="s">
        <v>128</v>
      </c>
      <c r="Q236" s="137">
        <f t="shared" si="21"/>
        <v>75.239999999999995</v>
      </c>
      <c r="R236" s="137">
        <f>R235*15</f>
        <v>75.239999999999995</v>
      </c>
      <c r="S236" s="138"/>
      <c r="T236" s="139">
        <f>IFERROR(INDEX('Price List'!$G$5:$G$74,MATCH(TRIM(J236)&amp;"|"&amp;TRIM(P236),'Price List'!$O$5:$O$74,0)),0)</f>
        <v>6</v>
      </c>
      <c r="U236" s="140">
        <f>IFERROR(INDEX('Price List'!$H$5:$H$74,MATCH(TRIM(J236)&amp;"|"&amp;TRIM(P236),'Price List'!$O$5:$O$74,0)),0)</f>
        <v>0.2</v>
      </c>
      <c r="V236" s="141">
        <f t="shared" si="18"/>
        <v>7.1999999999999993</v>
      </c>
      <c r="W236" s="142">
        <f>IFERROR(INDEX('Price List'!$J$5:$J$74,MATCH(TRIM(J236)&amp;"|"&amp;TRIM(P236),'Price List'!$O$5:$O$74,0)),0)</f>
        <v>5</v>
      </c>
      <c r="X236" s="143">
        <f>IFERROR(INDEX('Price List'!$K$5:$K$74,MATCH(TRIM(J236)&amp;"|"&amp;TRIM(P236),'Price List'!$O$5:$O$74,0)),0)</f>
        <v>0.12</v>
      </c>
      <c r="Y236" s="141">
        <f t="shared" si="19"/>
        <v>5.6000000000000005</v>
      </c>
      <c r="Z236" s="141">
        <f t="shared" si="20"/>
        <v>963.072</v>
      </c>
      <c r="AA236" s="134"/>
    </row>
    <row r="237" spans="1:27" ht="15" customHeight="1" x14ac:dyDescent="0.35">
      <c r="A237" s="134"/>
      <c r="B237" s="135"/>
      <c r="C237" s="134" t="s">
        <v>444</v>
      </c>
      <c r="D237" s="136" t="str">
        <f t="shared" si="17"/>
        <v>B.04</v>
      </c>
      <c r="E237" s="135" t="s">
        <v>414</v>
      </c>
      <c r="F237" s="135" t="s">
        <v>671</v>
      </c>
      <c r="G237" s="134" t="s">
        <v>31</v>
      </c>
      <c r="H237" s="134" t="s">
        <v>578</v>
      </c>
      <c r="I237" s="134" t="s">
        <v>513</v>
      </c>
      <c r="J237" s="144" t="s">
        <v>169</v>
      </c>
      <c r="K237" s="144"/>
      <c r="L237" s="134"/>
      <c r="M237" s="134"/>
      <c r="N237" s="134"/>
      <c r="O237" s="134"/>
      <c r="P237" s="135" t="s">
        <v>103</v>
      </c>
      <c r="Q237" s="137">
        <f t="shared" si="21"/>
        <v>50.16</v>
      </c>
      <c r="R237" s="137">
        <f>R235*10</f>
        <v>50.16</v>
      </c>
      <c r="S237" s="138"/>
      <c r="T237" s="139">
        <f>IFERROR(INDEX('Price List'!$G$5:$G$74,MATCH(TRIM(J237)&amp;"|"&amp;TRIM(P237),'Price List'!$O$5:$O$74,0)),0)</f>
        <v>0.12</v>
      </c>
      <c r="U237" s="140">
        <f>IFERROR(INDEX('Price List'!$H$5:$H$74,MATCH(TRIM(J237)&amp;"|"&amp;TRIM(P237),'Price List'!$O$5:$O$74,0)),0)</f>
        <v>0.2</v>
      </c>
      <c r="V237" s="141">
        <f t="shared" si="18"/>
        <v>0.14399999999999999</v>
      </c>
      <c r="W237" s="142">
        <f>IFERROR(INDEX('Price List'!$J$5:$J$74,MATCH(TRIM(J237)&amp;"|"&amp;TRIM(P237),'Price List'!$O$5:$O$74,0)),0)</f>
        <v>0.77</v>
      </c>
      <c r="X237" s="143">
        <f>IFERROR(INDEX('Price List'!$K$5:$K$74,MATCH(TRIM(J237)&amp;"|"&amp;TRIM(P237),'Price List'!$O$5:$O$74,0)),0)</f>
        <v>0.12</v>
      </c>
      <c r="Y237" s="141">
        <f t="shared" si="19"/>
        <v>0.86240000000000006</v>
      </c>
      <c r="Z237" s="141">
        <f t="shared" si="20"/>
        <v>50.481023999999998</v>
      </c>
      <c r="AA237" s="134"/>
    </row>
    <row r="238" spans="1:27" ht="15" customHeight="1" x14ac:dyDescent="0.35">
      <c r="A238" s="134"/>
      <c r="B238" s="135"/>
      <c r="C238" s="134" t="s">
        <v>444</v>
      </c>
      <c r="D238" s="136" t="str">
        <f t="shared" si="17"/>
        <v>B.04</v>
      </c>
      <c r="E238" s="135" t="s">
        <v>414</v>
      </c>
      <c r="F238" s="135" t="s">
        <v>671</v>
      </c>
      <c r="G238" s="134" t="s">
        <v>31</v>
      </c>
      <c r="H238" s="134" t="s">
        <v>578</v>
      </c>
      <c r="I238" s="134" t="s">
        <v>513</v>
      </c>
      <c r="J238" s="144" t="s">
        <v>131</v>
      </c>
      <c r="K238" s="134"/>
      <c r="L238" s="134"/>
      <c r="M238" s="134"/>
      <c r="N238" s="134"/>
      <c r="O238" s="134"/>
      <c r="P238" s="135" t="s">
        <v>103</v>
      </c>
      <c r="Q238" s="137">
        <f t="shared" si="21"/>
        <v>601.91999999999996</v>
      </c>
      <c r="R238" s="137">
        <f>R235*120</f>
        <v>601.91999999999996</v>
      </c>
      <c r="S238" s="138"/>
      <c r="T238" s="139">
        <f>IFERROR(INDEX('Price List'!$G$5:$G$74,MATCH(TRIM(J238)&amp;"|"&amp;TRIM(P238),'Price List'!$O$5:$O$74,0)),0)</f>
        <v>0.11</v>
      </c>
      <c r="U238" s="140">
        <f>IFERROR(INDEX('Price List'!$H$5:$H$74,MATCH(TRIM(J238)&amp;"|"&amp;TRIM(P238),'Price List'!$O$5:$O$74,0)),0)</f>
        <v>0.2</v>
      </c>
      <c r="V238" s="141">
        <f t="shared" si="18"/>
        <v>0.13200000000000001</v>
      </c>
      <c r="W238" s="142">
        <f>IFERROR(INDEX('Price List'!$J$5:$J$74,MATCH(TRIM(J238)&amp;"|"&amp;TRIM(P238),'Price List'!$O$5:$O$74,0)),0)</f>
        <v>0.76</v>
      </c>
      <c r="X238" s="143">
        <f>IFERROR(INDEX('Price List'!$K$5:$K$74,MATCH(TRIM(J238)&amp;"|"&amp;TRIM(P238),'Price List'!$O$5:$O$74,0)),0)</f>
        <v>0.12</v>
      </c>
      <c r="Y238" s="141">
        <f t="shared" si="19"/>
        <v>0.85120000000000007</v>
      </c>
      <c r="Z238" s="141">
        <f t="shared" si="20"/>
        <v>591.80774399999996</v>
      </c>
      <c r="AA238" s="134"/>
    </row>
    <row r="239" spans="1:27" ht="15" customHeight="1" x14ac:dyDescent="0.35">
      <c r="A239" s="134"/>
      <c r="B239" s="135"/>
      <c r="C239" s="134" t="s">
        <v>444</v>
      </c>
      <c r="D239" s="136" t="str">
        <f t="shared" si="17"/>
        <v>B.04</v>
      </c>
      <c r="E239" s="135" t="s">
        <v>414</v>
      </c>
      <c r="F239" s="135" t="s">
        <v>671</v>
      </c>
      <c r="G239" s="134" t="s">
        <v>31</v>
      </c>
      <c r="H239" s="134" t="s">
        <v>578</v>
      </c>
      <c r="I239" s="134" t="s">
        <v>513</v>
      </c>
      <c r="J239" s="144" t="s">
        <v>133</v>
      </c>
      <c r="K239" s="134"/>
      <c r="L239" s="134"/>
      <c r="M239" s="134"/>
      <c r="N239" s="134"/>
      <c r="O239" s="134"/>
      <c r="P239" s="135" t="s">
        <v>103</v>
      </c>
      <c r="Q239" s="137">
        <f t="shared" si="21"/>
        <v>125.4</v>
      </c>
      <c r="R239" s="137">
        <f>R235*25</f>
        <v>125.4</v>
      </c>
      <c r="S239" s="138"/>
      <c r="T239" s="139">
        <f>IFERROR(INDEX('Price List'!$G$5:$G$74,MATCH(TRIM(J239)&amp;"|"&amp;TRIM(P239),'Price List'!$O$5:$O$74,0)),0)</f>
        <v>0.1</v>
      </c>
      <c r="U239" s="140">
        <f>IFERROR(INDEX('Price List'!$H$5:$H$74,MATCH(TRIM(J239)&amp;"|"&amp;TRIM(P239),'Price List'!$O$5:$O$74,0)),0)</f>
        <v>0.2</v>
      </c>
      <c r="V239" s="141">
        <f t="shared" si="18"/>
        <v>0.12</v>
      </c>
      <c r="W239" s="142">
        <f>IFERROR(INDEX('Price List'!$J$5:$J$74,MATCH(TRIM(J239)&amp;"|"&amp;TRIM(P239),'Price List'!$O$5:$O$74,0)),0)</f>
        <v>0.74</v>
      </c>
      <c r="X239" s="143">
        <f>IFERROR(INDEX('Price List'!$K$5:$K$74,MATCH(TRIM(J239)&amp;"|"&amp;TRIM(P239),'Price List'!$O$5:$O$74,0)),0)</f>
        <v>0.12</v>
      </c>
      <c r="Y239" s="141">
        <f t="shared" si="19"/>
        <v>0.82880000000000009</v>
      </c>
      <c r="Z239" s="141">
        <f t="shared" si="20"/>
        <v>118.97952000000002</v>
      </c>
      <c r="AA239" s="134"/>
    </row>
    <row r="240" spans="1:27" ht="15" customHeight="1" x14ac:dyDescent="0.35">
      <c r="A240" s="134"/>
      <c r="B240" s="135"/>
      <c r="C240" s="134" t="s">
        <v>444</v>
      </c>
      <c r="D240" s="136" t="str">
        <f t="shared" si="17"/>
        <v>B.04</v>
      </c>
      <c r="E240" s="135" t="s">
        <v>414</v>
      </c>
      <c r="F240" s="135" t="s">
        <v>671</v>
      </c>
      <c r="G240" s="134" t="s">
        <v>31</v>
      </c>
      <c r="H240" s="134" t="s">
        <v>578</v>
      </c>
      <c r="I240" s="134" t="s">
        <v>657</v>
      </c>
      <c r="J240" s="134" t="s">
        <v>107</v>
      </c>
      <c r="K240" s="134"/>
      <c r="L240" s="134"/>
      <c r="M240" s="134"/>
      <c r="N240" s="134"/>
      <c r="O240" s="134"/>
      <c r="P240" s="135" t="s">
        <v>103</v>
      </c>
      <c r="Q240" s="137">
        <f t="shared" si="21"/>
        <v>31.099199999999996</v>
      </c>
      <c r="R240" s="137">
        <f>(R238+R239+R237)*4%</f>
        <v>31.099199999999996</v>
      </c>
      <c r="S240" s="138"/>
      <c r="T240" s="139">
        <f>IFERROR(INDEX('Price List'!$G$5:$G$74,MATCH(TRIM(J240)&amp;"|"&amp;TRIM(P240),'Price List'!$O$5:$O$74,0)),0)</f>
        <v>0.05</v>
      </c>
      <c r="U240" s="140">
        <f>IFERROR(INDEX('Price List'!$H$5:$H$74,MATCH(TRIM(J240)&amp;"|"&amp;TRIM(P240),'Price List'!$O$5:$O$74,0)),0)</f>
        <v>0.2</v>
      </c>
      <c r="V240" s="141">
        <f t="shared" si="18"/>
        <v>0.06</v>
      </c>
      <c r="W240" s="142">
        <f>IFERROR(INDEX('Price List'!$J$5:$J$74,MATCH(TRIM(J240)&amp;"|"&amp;TRIM(P240),'Price List'!$O$5:$O$74,0)),0)</f>
        <v>1.2</v>
      </c>
      <c r="X240" s="143">
        <f>IFERROR(INDEX('Price List'!$K$5:$K$74,MATCH(TRIM(J240)&amp;"|"&amp;TRIM(P240),'Price List'!$O$5:$O$74,0)),0)</f>
        <v>0.12</v>
      </c>
      <c r="Y240" s="141">
        <f t="shared" si="19"/>
        <v>1.3440000000000001</v>
      </c>
      <c r="Z240" s="141">
        <f t="shared" si="20"/>
        <v>43.663276799999998</v>
      </c>
      <c r="AA240" s="134"/>
    </row>
    <row r="241" spans="1:27" ht="15" customHeight="1" x14ac:dyDescent="0.35">
      <c r="A241" s="134"/>
      <c r="B241" s="134"/>
      <c r="C241" s="134" t="s">
        <v>444</v>
      </c>
      <c r="D241" s="136" t="str">
        <f t="shared" si="17"/>
        <v>B.04</v>
      </c>
      <c r="E241" s="135" t="s">
        <v>414</v>
      </c>
      <c r="F241" s="135" t="s">
        <v>671</v>
      </c>
      <c r="G241" s="134" t="s">
        <v>31</v>
      </c>
      <c r="H241" s="134" t="s">
        <v>573</v>
      </c>
      <c r="I241" s="134" t="s">
        <v>512</v>
      </c>
      <c r="J241" s="144" t="s">
        <v>125</v>
      </c>
      <c r="K241" s="134"/>
      <c r="L241" s="134"/>
      <c r="M241" s="134"/>
      <c r="N241" s="134"/>
      <c r="O241" s="134"/>
      <c r="P241" s="135" t="s">
        <v>100</v>
      </c>
      <c r="Q241" s="137">
        <f t="shared" si="21"/>
        <v>38.975999999999999</v>
      </c>
      <c r="R241" s="137">
        <v>38.975999999999999</v>
      </c>
      <c r="S241" s="138"/>
      <c r="T241" s="139">
        <f>IFERROR(INDEX('Price List'!$G$5:$G$74,MATCH(TRIM(J241)&amp;"|"&amp;TRIM(P241),'Price List'!$O$5:$O$74,0)),0)</f>
        <v>10</v>
      </c>
      <c r="U241" s="140">
        <f>IFERROR(INDEX('Price List'!$H$5:$H$74,MATCH(TRIM(J241)&amp;"|"&amp;TRIM(P241),'Price List'!$O$5:$O$74,0)),0)</f>
        <v>0.2</v>
      </c>
      <c r="V241" s="141">
        <f t="shared" si="18"/>
        <v>12</v>
      </c>
      <c r="W241" s="142">
        <f>IFERROR(INDEX('Price List'!$J$5:$J$74,MATCH(TRIM(J241)&amp;"|"&amp;TRIM(P241),'Price List'!$O$5:$O$74,0)),0)</f>
        <v>98</v>
      </c>
      <c r="X241" s="143">
        <f>IFERROR(INDEX('Price List'!$K$5:$K$74,MATCH(TRIM(J241)&amp;"|"&amp;TRIM(P241),'Price List'!$O$5:$O$74,0)),0)</f>
        <v>0.12</v>
      </c>
      <c r="Y241" s="141">
        <f t="shared" si="19"/>
        <v>109.76</v>
      </c>
      <c r="Z241" s="141">
        <f t="shared" si="20"/>
        <v>4745.7177600000005</v>
      </c>
      <c r="AA241" s="134"/>
    </row>
    <row r="242" spans="1:27" ht="15" customHeight="1" x14ac:dyDescent="0.35">
      <c r="A242" s="134"/>
      <c r="B242" s="134"/>
      <c r="C242" s="134" t="s">
        <v>444</v>
      </c>
      <c r="D242" s="136" t="str">
        <f t="shared" si="17"/>
        <v>B.04</v>
      </c>
      <c r="E242" s="135" t="s">
        <v>414</v>
      </c>
      <c r="F242" s="135" t="s">
        <v>671</v>
      </c>
      <c r="G242" s="134" t="s">
        <v>31</v>
      </c>
      <c r="H242" s="134" t="s">
        <v>573</v>
      </c>
      <c r="I242" s="144" t="s">
        <v>127</v>
      </c>
      <c r="J242" s="144" t="s">
        <v>127</v>
      </c>
      <c r="K242" s="144"/>
      <c r="L242" s="134"/>
      <c r="M242" s="134"/>
      <c r="N242" s="134"/>
      <c r="O242" s="134"/>
      <c r="P242" s="135" t="s">
        <v>128</v>
      </c>
      <c r="Q242" s="137">
        <f t="shared" si="21"/>
        <v>204.96</v>
      </c>
      <c r="R242" s="137">
        <v>204.96</v>
      </c>
      <c r="S242" s="138"/>
      <c r="T242" s="139">
        <f>IFERROR(INDEX('Price List'!$G$5:$G$74,MATCH(TRIM(J242)&amp;"|"&amp;TRIM(P242),'Price List'!$O$5:$O$74,0)),0)</f>
        <v>6</v>
      </c>
      <c r="U242" s="140">
        <f>IFERROR(INDEX('Price List'!$H$5:$H$74,MATCH(TRIM(J242)&amp;"|"&amp;TRIM(P242),'Price List'!$O$5:$O$74,0)),0)</f>
        <v>0.2</v>
      </c>
      <c r="V242" s="141">
        <f t="shared" si="18"/>
        <v>7.1999999999999993</v>
      </c>
      <c r="W242" s="142">
        <f>IFERROR(INDEX('Price List'!$J$5:$J$74,MATCH(TRIM(J242)&amp;"|"&amp;TRIM(P242),'Price List'!$O$5:$O$74,0)),0)</f>
        <v>5</v>
      </c>
      <c r="X242" s="143">
        <f>IFERROR(INDEX('Price List'!$K$5:$K$74,MATCH(TRIM(J242)&amp;"|"&amp;TRIM(P242),'Price List'!$O$5:$O$74,0)),0)</f>
        <v>0.12</v>
      </c>
      <c r="Y242" s="141">
        <f t="shared" si="19"/>
        <v>5.6000000000000005</v>
      </c>
      <c r="Z242" s="141">
        <f t="shared" si="20"/>
        <v>2623.4880000000003</v>
      </c>
      <c r="AA242" s="134"/>
    </row>
    <row r="243" spans="1:27" ht="15" customHeight="1" x14ac:dyDescent="0.35">
      <c r="A243" s="134"/>
      <c r="B243" s="134"/>
      <c r="C243" s="134" t="s">
        <v>444</v>
      </c>
      <c r="D243" s="136" t="str">
        <f t="shared" si="17"/>
        <v>B.04</v>
      </c>
      <c r="E243" s="135" t="s">
        <v>414</v>
      </c>
      <c r="F243" s="135" t="s">
        <v>671</v>
      </c>
      <c r="G243" s="134" t="s">
        <v>31</v>
      </c>
      <c r="H243" s="134" t="s">
        <v>573</v>
      </c>
      <c r="I243" s="134" t="s">
        <v>513</v>
      </c>
      <c r="J243" s="144" t="s">
        <v>102</v>
      </c>
      <c r="K243" s="134"/>
      <c r="L243" s="134"/>
      <c r="M243" s="134"/>
      <c r="N243" s="134"/>
      <c r="O243" s="134"/>
      <c r="P243" s="135" t="s">
        <v>103</v>
      </c>
      <c r="Q243" s="137">
        <f t="shared" si="21"/>
        <v>418.07920000000001</v>
      </c>
      <c r="R243" s="137">
        <v>418.07920000000001</v>
      </c>
      <c r="S243" s="138"/>
      <c r="T243" s="139">
        <f>IFERROR(INDEX('Price List'!$G$5:$G$74,MATCH(TRIM(J243)&amp;"|"&amp;TRIM(P243),'Price List'!$O$5:$O$74,0)),0)</f>
        <v>0.12</v>
      </c>
      <c r="U243" s="140">
        <f>IFERROR(INDEX('Price List'!$H$5:$H$74,MATCH(TRIM(J243)&amp;"|"&amp;TRIM(P243),'Price List'!$O$5:$O$74,0)),0)</f>
        <v>0.2</v>
      </c>
      <c r="V243" s="141">
        <f t="shared" si="18"/>
        <v>0.14399999999999999</v>
      </c>
      <c r="W243" s="142">
        <f>IFERROR(INDEX('Price List'!$J$5:$J$74,MATCH(TRIM(J243)&amp;"|"&amp;TRIM(P243),'Price List'!$O$5:$O$74,0)),0)</f>
        <v>0.78</v>
      </c>
      <c r="X243" s="143">
        <f>IFERROR(INDEX('Price List'!$K$5:$K$74,MATCH(TRIM(J243)&amp;"|"&amp;TRIM(P243),'Price List'!$O$5:$O$74,0)),0)</f>
        <v>0.12</v>
      </c>
      <c r="Y243" s="141">
        <f t="shared" si="19"/>
        <v>0.87360000000000015</v>
      </c>
      <c r="Z243" s="141">
        <f t="shared" si="20"/>
        <v>425.43739392000003</v>
      </c>
      <c r="AA243" s="134"/>
    </row>
    <row r="244" spans="1:27" ht="15" customHeight="1" x14ac:dyDescent="0.35">
      <c r="A244" s="134"/>
      <c r="B244" s="134"/>
      <c r="C244" s="134" t="s">
        <v>444</v>
      </c>
      <c r="D244" s="136" t="str">
        <f t="shared" si="17"/>
        <v>B.04</v>
      </c>
      <c r="E244" s="135" t="s">
        <v>414</v>
      </c>
      <c r="F244" s="135" t="s">
        <v>671</v>
      </c>
      <c r="G244" s="134" t="s">
        <v>31</v>
      </c>
      <c r="H244" s="134" t="s">
        <v>573</v>
      </c>
      <c r="I244" s="134" t="s">
        <v>513</v>
      </c>
      <c r="J244" s="144" t="s">
        <v>131</v>
      </c>
      <c r="K244" s="134"/>
      <c r="L244" s="134"/>
      <c r="M244" s="134"/>
      <c r="N244" s="134"/>
      <c r="O244" s="134"/>
      <c r="P244" s="135" t="s">
        <v>103</v>
      </c>
      <c r="Q244" s="137">
        <f t="shared" si="21"/>
        <v>2118.4128000000001</v>
      </c>
      <c r="R244" s="137">
        <v>2118.4128000000001</v>
      </c>
      <c r="S244" s="138"/>
      <c r="T244" s="139">
        <f>IFERROR(INDEX('Price List'!$G$5:$G$74,MATCH(TRIM(J244)&amp;"|"&amp;TRIM(P244),'Price List'!$O$5:$O$74,0)),0)</f>
        <v>0.11</v>
      </c>
      <c r="U244" s="140">
        <f>IFERROR(INDEX('Price List'!$H$5:$H$74,MATCH(TRIM(J244)&amp;"|"&amp;TRIM(P244),'Price List'!$O$5:$O$74,0)),0)</f>
        <v>0.2</v>
      </c>
      <c r="V244" s="141">
        <f t="shared" si="18"/>
        <v>0.13200000000000001</v>
      </c>
      <c r="W244" s="142">
        <f>IFERROR(INDEX('Price List'!$J$5:$J$74,MATCH(TRIM(J244)&amp;"|"&amp;TRIM(P244),'Price List'!$O$5:$O$74,0)),0)</f>
        <v>0.76</v>
      </c>
      <c r="X244" s="143">
        <f>IFERROR(INDEX('Price List'!$K$5:$K$74,MATCH(TRIM(J244)&amp;"|"&amp;TRIM(P244),'Price List'!$O$5:$O$74,0)),0)</f>
        <v>0.12</v>
      </c>
      <c r="Y244" s="141">
        <f t="shared" si="19"/>
        <v>0.85120000000000007</v>
      </c>
      <c r="Z244" s="141">
        <f t="shared" si="20"/>
        <v>2082.8234649600004</v>
      </c>
      <c r="AA244" s="134"/>
    </row>
    <row r="245" spans="1:27" ht="15" customHeight="1" x14ac:dyDescent="0.35">
      <c r="A245" s="134"/>
      <c r="B245" s="134"/>
      <c r="C245" s="134" t="s">
        <v>444</v>
      </c>
      <c r="D245" s="136" t="str">
        <f t="shared" si="17"/>
        <v>B.04</v>
      </c>
      <c r="E245" s="135" t="s">
        <v>414</v>
      </c>
      <c r="F245" s="135" t="s">
        <v>671</v>
      </c>
      <c r="G245" s="134" t="s">
        <v>31</v>
      </c>
      <c r="H245" s="134" t="s">
        <v>573</v>
      </c>
      <c r="I245" s="134" t="s">
        <v>513</v>
      </c>
      <c r="J245" s="144" t="s">
        <v>135</v>
      </c>
      <c r="K245" s="134"/>
      <c r="L245" s="134"/>
      <c r="M245" s="134"/>
      <c r="N245" s="134"/>
      <c r="O245" s="134"/>
      <c r="P245" s="135" t="s">
        <v>103</v>
      </c>
      <c r="Q245" s="137">
        <f t="shared" si="21"/>
        <v>1231.0272</v>
      </c>
      <c r="R245" s="137">
        <v>1231.0272</v>
      </c>
      <c r="S245" s="138"/>
      <c r="T245" s="139">
        <f>IFERROR(INDEX('Price List'!$G$5:$G$74,MATCH(TRIM(J245)&amp;"|"&amp;TRIM(P245),'Price List'!$O$5:$O$74,0)),0)</f>
        <v>0.09</v>
      </c>
      <c r="U245" s="140">
        <f>IFERROR(INDEX('Price List'!$H$5:$H$74,MATCH(TRIM(J245)&amp;"|"&amp;TRIM(P245),'Price List'!$O$5:$O$74,0)),0)</f>
        <v>0.2</v>
      </c>
      <c r="V245" s="141">
        <f t="shared" si="18"/>
        <v>0.108</v>
      </c>
      <c r="W245" s="142">
        <f>IFERROR(INDEX('Price List'!$J$5:$J$74,MATCH(TRIM(J245)&amp;"|"&amp;TRIM(P245),'Price List'!$O$5:$O$74,0)),0)</f>
        <v>0.73</v>
      </c>
      <c r="X245" s="143">
        <f>IFERROR(INDEX('Price List'!$K$5:$K$74,MATCH(TRIM(J245)&amp;"|"&amp;TRIM(P245),'Price List'!$O$5:$O$74,0)),0)</f>
        <v>0.12</v>
      </c>
      <c r="Y245" s="141">
        <f t="shared" si="19"/>
        <v>0.8176000000000001</v>
      </c>
      <c r="Z245" s="141">
        <f t="shared" si="20"/>
        <v>1139.4387763200002</v>
      </c>
      <c r="AA245" s="134"/>
    </row>
    <row r="246" spans="1:27" ht="15" customHeight="1" x14ac:dyDescent="0.35">
      <c r="A246" s="134"/>
      <c r="B246" s="134"/>
      <c r="C246" s="134" t="s">
        <v>444</v>
      </c>
      <c r="D246" s="136" t="str">
        <f t="shared" si="17"/>
        <v>B.04</v>
      </c>
      <c r="E246" s="135" t="s">
        <v>414</v>
      </c>
      <c r="F246" s="135" t="s">
        <v>671</v>
      </c>
      <c r="G246" s="134" t="s">
        <v>31</v>
      </c>
      <c r="H246" s="134" t="s">
        <v>573</v>
      </c>
      <c r="I246" s="134" t="s">
        <v>513</v>
      </c>
      <c r="J246" s="144" t="s">
        <v>105</v>
      </c>
      <c r="K246" s="134"/>
      <c r="L246" s="134"/>
      <c r="M246" s="134"/>
      <c r="N246" s="134"/>
      <c r="O246" s="134"/>
      <c r="P246" s="135" t="s">
        <v>103</v>
      </c>
      <c r="Q246" s="137">
        <f t="shared" si="21"/>
        <v>5365.9008000000003</v>
      </c>
      <c r="R246" s="137">
        <v>5365.9008000000003</v>
      </c>
      <c r="S246" s="138"/>
      <c r="T246" s="139">
        <f>IFERROR(INDEX('Price List'!$G$5:$G$74,MATCH(TRIM(J246)&amp;"|"&amp;TRIM(P246),'Price List'!$O$5:$O$74,0)),0)</f>
        <v>0.08</v>
      </c>
      <c r="U246" s="140">
        <f>IFERROR(INDEX('Price List'!$H$5:$H$74,MATCH(TRIM(J246)&amp;"|"&amp;TRIM(P246),'Price List'!$O$5:$O$74,0)),0)</f>
        <v>0.2</v>
      </c>
      <c r="V246" s="141">
        <f t="shared" si="18"/>
        <v>9.6000000000000002E-2</v>
      </c>
      <c r="W246" s="142">
        <f>IFERROR(INDEX('Price List'!$J$5:$J$74,MATCH(TRIM(J246)&amp;"|"&amp;TRIM(P246),'Price List'!$O$5:$O$74,0)),0)</f>
        <v>0.72</v>
      </c>
      <c r="X246" s="143">
        <f>IFERROR(INDEX('Price List'!$K$5:$K$74,MATCH(TRIM(J246)&amp;"|"&amp;TRIM(P246),'Price List'!$O$5:$O$74,0)),0)</f>
        <v>0.12</v>
      </c>
      <c r="Y246" s="141">
        <f t="shared" si="19"/>
        <v>0.80640000000000001</v>
      </c>
      <c r="Z246" s="141">
        <f t="shared" si="20"/>
        <v>4842.1888819200003</v>
      </c>
      <c r="AA246" s="134"/>
    </row>
    <row r="247" spans="1:27" ht="15" customHeight="1" x14ac:dyDescent="0.35">
      <c r="A247" s="134"/>
      <c r="B247" s="134"/>
      <c r="C247" s="134" t="s">
        <v>444</v>
      </c>
      <c r="D247" s="136" t="str">
        <f t="shared" si="17"/>
        <v>B.04</v>
      </c>
      <c r="E247" s="135" t="s">
        <v>414</v>
      </c>
      <c r="F247" s="135" t="s">
        <v>671</v>
      </c>
      <c r="G247" s="134" t="s">
        <v>31</v>
      </c>
      <c r="H247" s="134" t="s">
        <v>573</v>
      </c>
      <c r="I247" s="134" t="s">
        <v>657</v>
      </c>
      <c r="J247" s="134" t="s">
        <v>107</v>
      </c>
      <c r="K247" s="134"/>
      <c r="L247" s="134"/>
      <c r="M247" s="134"/>
      <c r="N247" s="134"/>
      <c r="O247" s="134"/>
      <c r="P247" s="135" t="s">
        <v>103</v>
      </c>
      <c r="Q247" s="137">
        <f t="shared" si="21"/>
        <v>365.33679999999998</v>
      </c>
      <c r="R247" s="137">
        <f>(R245+R246+R244+R243)*4%</f>
        <v>365.33679999999998</v>
      </c>
      <c r="S247" s="138"/>
      <c r="T247" s="139">
        <f>IFERROR(INDEX('Price List'!$G$5:$G$74,MATCH(TRIM(J247)&amp;"|"&amp;TRIM(P247),'Price List'!$O$5:$O$74,0)),0)</f>
        <v>0.05</v>
      </c>
      <c r="U247" s="140">
        <f>IFERROR(INDEX('Price List'!$H$5:$H$74,MATCH(TRIM(J247)&amp;"|"&amp;TRIM(P247),'Price List'!$O$5:$O$74,0)),0)</f>
        <v>0.2</v>
      </c>
      <c r="V247" s="141">
        <f t="shared" si="18"/>
        <v>0.06</v>
      </c>
      <c r="W247" s="142">
        <f>IFERROR(INDEX('Price List'!$J$5:$J$74,MATCH(TRIM(J247)&amp;"|"&amp;TRIM(P247),'Price List'!$O$5:$O$74,0)),0)</f>
        <v>1.2</v>
      </c>
      <c r="X247" s="143">
        <f>IFERROR(INDEX('Price List'!$K$5:$K$74,MATCH(TRIM(J247)&amp;"|"&amp;TRIM(P247),'Price List'!$O$5:$O$74,0)),0)</f>
        <v>0.12</v>
      </c>
      <c r="Y247" s="141">
        <f t="shared" si="19"/>
        <v>1.3440000000000001</v>
      </c>
      <c r="Z247" s="141">
        <f t="shared" si="20"/>
        <v>512.93286720000003</v>
      </c>
      <c r="AA247" s="134"/>
    </row>
    <row r="248" spans="1:27" ht="15" customHeight="1" x14ac:dyDescent="0.35">
      <c r="A248" s="134"/>
      <c r="B248" s="135"/>
      <c r="C248" s="134" t="s">
        <v>444</v>
      </c>
      <c r="D248" s="136" t="str">
        <f t="shared" si="17"/>
        <v>B.04</v>
      </c>
      <c r="E248" s="135" t="s">
        <v>414</v>
      </c>
      <c r="F248" s="135" t="s">
        <v>672</v>
      </c>
      <c r="G248" s="134" t="s">
        <v>31</v>
      </c>
      <c r="H248" s="134" t="s">
        <v>564</v>
      </c>
      <c r="I248" s="134" t="s">
        <v>512</v>
      </c>
      <c r="J248" s="145" t="s">
        <v>125</v>
      </c>
      <c r="K248" s="134"/>
      <c r="L248" s="134"/>
      <c r="M248" s="134"/>
      <c r="N248" s="134"/>
      <c r="O248" s="134"/>
      <c r="P248" s="135" t="s">
        <v>100</v>
      </c>
      <c r="Q248" s="137">
        <f t="shared" si="21"/>
        <v>46.741149999999998</v>
      </c>
      <c r="R248" s="137">
        <f>'5F&amp;6F beam'!H11</f>
        <v>46.741149999999998</v>
      </c>
      <c r="S248" s="138"/>
      <c r="T248" s="139">
        <f>IFERROR(INDEX('Price List'!$G$5:$G$74,MATCH(TRIM(J248)&amp;"|"&amp;TRIM(P248),'Price List'!$O$5:$O$74,0)),0)</f>
        <v>10</v>
      </c>
      <c r="U248" s="140">
        <f>IFERROR(INDEX('Price List'!$H$5:$H$74,MATCH(TRIM(J248)&amp;"|"&amp;TRIM(P248),'Price List'!$O$5:$O$74,0)),0)</f>
        <v>0.2</v>
      </c>
      <c r="V248" s="141">
        <f t="shared" si="18"/>
        <v>12</v>
      </c>
      <c r="W248" s="142">
        <f>IFERROR(INDEX('Price List'!$J$5:$J$74,MATCH(TRIM(J248)&amp;"|"&amp;TRIM(P248),'Price List'!$O$5:$O$74,0)),0)</f>
        <v>98</v>
      </c>
      <c r="X248" s="143">
        <f>IFERROR(INDEX('Price List'!$K$5:$K$74,MATCH(TRIM(J248)&amp;"|"&amp;TRIM(P248),'Price List'!$O$5:$O$74,0)),0)</f>
        <v>0.12</v>
      </c>
      <c r="Y248" s="141">
        <f t="shared" si="19"/>
        <v>109.76</v>
      </c>
      <c r="Z248" s="141">
        <f t="shared" si="20"/>
        <v>5691.2024240000001</v>
      </c>
      <c r="AA248" s="134"/>
    </row>
    <row r="249" spans="1:27" ht="15" customHeight="1" x14ac:dyDescent="0.35">
      <c r="A249" s="134"/>
      <c r="B249" s="135"/>
      <c r="C249" s="134" t="s">
        <v>444</v>
      </c>
      <c r="D249" s="136" t="str">
        <f t="shared" si="17"/>
        <v>B.04</v>
      </c>
      <c r="E249" s="135" t="s">
        <v>414</v>
      </c>
      <c r="F249" s="135" t="s">
        <v>672</v>
      </c>
      <c r="G249" s="134" t="s">
        <v>31</v>
      </c>
      <c r="H249" s="134" t="s">
        <v>564</v>
      </c>
      <c r="I249" s="144" t="s">
        <v>127</v>
      </c>
      <c r="J249" s="144" t="s">
        <v>127</v>
      </c>
      <c r="K249" s="144"/>
      <c r="L249" s="134"/>
      <c r="M249" s="134"/>
      <c r="N249" s="134"/>
      <c r="O249" s="134"/>
      <c r="P249" s="135" t="s">
        <v>128</v>
      </c>
      <c r="Q249" s="137">
        <f t="shared" si="21"/>
        <v>446.52599999999995</v>
      </c>
      <c r="R249" s="137">
        <f>'5F&amp;6F beam'!G11</f>
        <v>446.52599999999995</v>
      </c>
      <c r="S249" s="138"/>
      <c r="T249" s="139">
        <f>IFERROR(INDEX('Price List'!$G$5:$G$74,MATCH(TRIM(J249)&amp;"|"&amp;TRIM(P249),'Price List'!$O$5:$O$74,0)),0)</f>
        <v>6</v>
      </c>
      <c r="U249" s="140">
        <f>IFERROR(INDEX('Price List'!$H$5:$H$74,MATCH(TRIM(J249)&amp;"|"&amp;TRIM(P249),'Price List'!$O$5:$O$74,0)),0)</f>
        <v>0.2</v>
      </c>
      <c r="V249" s="141">
        <f t="shared" si="18"/>
        <v>7.1999999999999993</v>
      </c>
      <c r="W249" s="142">
        <f>IFERROR(INDEX('Price List'!$J$5:$J$74,MATCH(TRIM(J249)&amp;"|"&amp;TRIM(P249),'Price List'!$O$5:$O$74,0)),0)</f>
        <v>5</v>
      </c>
      <c r="X249" s="143">
        <f>IFERROR(INDEX('Price List'!$K$5:$K$74,MATCH(TRIM(J249)&amp;"|"&amp;TRIM(P249),'Price List'!$O$5:$O$74,0)),0)</f>
        <v>0.12</v>
      </c>
      <c r="Y249" s="141">
        <f t="shared" si="19"/>
        <v>5.6000000000000005</v>
      </c>
      <c r="Z249" s="141">
        <f t="shared" si="20"/>
        <v>5715.5328</v>
      </c>
      <c r="AA249" s="134"/>
    </row>
    <row r="250" spans="1:27" ht="15" customHeight="1" x14ac:dyDescent="0.35">
      <c r="A250" s="134"/>
      <c r="B250" s="135"/>
      <c r="C250" s="134" t="s">
        <v>444</v>
      </c>
      <c r="D250" s="136" t="str">
        <f t="shared" si="17"/>
        <v>B.04</v>
      </c>
      <c r="E250" s="135" t="s">
        <v>414</v>
      </c>
      <c r="F250" s="135" t="s">
        <v>672</v>
      </c>
      <c r="G250" s="134" t="s">
        <v>31</v>
      </c>
      <c r="H250" s="134" t="s">
        <v>564</v>
      </c>
      <c r="I250" s="134" t="s">
        <v>513</v>
      </c>
      <c r="J250" s="144" t="s">
        <v>169</v>
      </c>
      <c r="K250" s="134"/>
      <c r="L250" s="134"/>
      <c r="M250" s="134"/>
      <c r="N250" s="134"/>
      <c r="O250" s="134"/>
      <c r="P250" s="135" t="s">
        <v>103</v>
      </c>
      <c r="Q250" s="137">
        <f t="shared" si="21"/>
        <v>624.19479999999999</v>
      </c>
      <c r="R250" s="137">
        <f>'5F&amp;6F beam'!J14</f>
        <v>624.19479999999999</v>
      </c>
      <c r="S250" s="138"/>
      <c r="T250" s="139">
        <f>IFERROR(INDEX('Price List'!$G$5:$G$74,MATCH(TRIM(J250)&amp;"|"&amp;TRIM(P250),'Price List'!$O$5:$O$74,0)),0)</f>
        <v>0.12</v>
      </c>
      <c r="U250" s="140">
        <f>IFERROR(INDEX('Price List'!$H$5:$H$74,MATCH(TRIM(J250)&amp;"|"&amp;TRIM(P250),'Price List'!$O$5:$O$74,0)),0)</f>
        <v>0.2</v>
      </c>
      <c r="V250" s="141">
        <f t="shared" si="18"/>
        <v>0.14399999999999999</v>
      </c>
      <c r="W250" s="142">
        <f>IFERROR(INDEX('Price List'!$J$5:$J$74,MATCH(TRIM(J250)&amp;"|"&amp;TRIM(P250),'Price List'!$O$5:$O$74,0)),0)</f>
        <v>0.77</v>
      </c>
      <c r="X250" s="143">
        <f>IFERROR(INDEX('Price List'!$K$5:$K$74,MATCH(TRIM(J250)&amp;"|"&amp;TRIM(P250),'Price List'!$O$5:$O$74,0)),0)</f>
        <v>0.12</v>
      </c>
      <c r="Y250" s="141">
        <f t="shared" si="19"/>
        <v>0.86240000000000006</v>
      </c>
      <c r="Z250" s="141">
        <f t="shared" si="20"/>
        <v>628.18964671999993</v>
      </c>
      <c r="AA250" s="134"/>
    </row>
    <row r="251" spans="1:27" ht="15" customHeight="1" x14ac:dyDescent="0.35">
      <c r="A251" s="134"/>
      <c r="B251" s="135"/>
      <c r="C251" s="134" t="s">
        <v>444</v>
      </c>
      <c r="D251" s="136" t="str">
        <f t="shared" si="17"/>
        <v>B.04</v>
      </c>
      <c r="E251" s="135" t="s">
        <v>414</v>
      </c>
      <c r="F251" s="135" t="s">
        <v>672</v>
      </c>
      <c r="G251" s="134" t="s">
        <v>31</v>
      </c>
      <c r="H251" s="134" t="s">
        <v>564</v>
      </c>
      <c r="I251" s="134" t="s">
        <v>513</v>
      </c>
      <c r="J251" s="144" t="s">
        <v>102</v>
      </c>
      <c r="K251" s="134"/>
      <c r="L251" s="134"/>
      <c r="M251" s="134"/>
      <c r="N251" s="134"/>
      <c r="O251" s="134"/>
      <c r="P251" s="135" t="s">
        <v>103</v>
      </c>
      <c r="Q251" s="137">
        <f t="shared" si="21"/>
        <v>2823.6114200000006</v>
      </c>
      <c r="R251" s="137">
        <f>'5F&amp;6F beam'!J15</f>
        <v>2823.6114200000006</v>
      </c>
      <c r="S251" s="138"/>
      <c r="T251" s="139">
        <f>IFERROR(INDEX('Price List'!$G$5:$G$74,MATCH(TRIM(J251)&amp;"|"&amp;TRIM(P251),'Price List'!$O$5:$O$74,0)),0)</f>
        <v>0.12</v>
      </c>
      <c r="U251" s="140">
        <f>IFERROR(INDEX('Price List'!$H$5:$H$74,MATCH(TRIM(J251)&amp;"|"&amp;TRIM(P251),'Price List'!$O$5:$O$74,0)),0)</f>
        <v>0.2</v>
      </c>
      <c r="V251" s="141">
        <f t="shared" si="18"/>
        <v>0.14399999999999999</v>
      </c>
      <c r="W251" s="142">
        <f>IFERROR(INDEX('Price List'!$J$5:$J$74,MATCH(TRIM(J251)&amp;"|"&amp;TRIM(P251),'Price List'!$O$5:$O$74,0)),0)</f>
        <v>0.78</v>
      </c>
      <c r="X251" s="143">
        <f>IFERROR(INDEX('Price List'!$K$5:$K$74,MATCH(TRIM(J251)&amp;"|"&amp;TRIM(P251),'Price List'!$O$5:$O$74,0)),0)</f>
        <v>0.12</v>
      </c>
      <c r="Y251" s="141">
        <f t="shared" si="19"/>
        <v>0.87360000000000015</v>
      </c>
      <c r="Z251" s="141">
        <f t="shared" si="20"/>
        <v>2873.3069809920007</v>
      </c>
      <c r="AA251" s="134"/>
    </row>
    <row r="252" spans="1:27" ht="15" customHeight="1" x14ac:dyDescent="0.35">
      <c r="A252" s="134"/>
      <c r="B252" s="135"/>
      <c r="C252" s="134" t="s">
        <v>444</v>
      </c>
      <c r="D252" s="136" t="str">
        <f t="shared" si="17"/>
        <v>B.04</v>
      </c>
      <c r="E252" s="135" t="s">
        <v>414</v>
      </c>
      <c r="F252" s="135" t="s">
        <v>672</v>
      </c>
      <c r="G252" s="134" t="s">
        <v>31</v>
      </c>
      <c r="H252" s="134" t="s">
        <v>564</v>
      </c>
      <c r="I252" s="134" t="s">
        <v>513</v>
      </c>
      <c r="J252" s="144" t="s">
        <v>131</v>
      </c>
      <c r="K252" s="134"/>
      <c r="L252" s="134"/>
      <c r="M252" s="134"/>
      <c r="N252" s="134"/>
      <c r="O252" s="134"/>
      <c r="P252" s="135" t="s">
        <v>103</v>
      </c>
      <c r="Q252" s="137">
        <f t="shared" si="21"/>
        <v>295.33103999999997</v>
      </c>
      <c r="R252" s="137">
        <f>'5F&amp;6F beam'!J16</f>
        <v>295.33103999999997</v>
      </c>
      <c r="S252" s="138"/>
      <c r="T252" s="139">
        <f>IFERROR(INDEX('Price List'!$G$5:$G$74,MATCH(TRIM(J252)&amp;"|"&amp;TRIM(P252),'Price List'!$O$5:$O$74,0)),0)</f>
        <v>0.11</v>
      </c>
      <c r="U252" s="140">
        <f>IFERROR(INDEX('Price List'!$H$5:$H$74,MATCH(TRIM(J252)&amp;"|"&amp;TRIM(P252),'Price List'!$O$5:$O$74,0)),0)</f>
        <v>0.2</v>
      </c>
      <c r="V252" s="141">
        <f t="shared" si="18"/>
        <v>0.13200000000000001</v>
      </c>
      <c r="W252" s="142">
        <f>IFERROR(INDEX('Price List'!$J$5:$J$74,MATCH(TRIM(J252)&amp;"|"&amp;TRIM(P252),'Price List'!$O$5:$O$74,0)),0)</f>
        <v>0.76</v>
      </c>
      <c r="X252" s="143">
        <f>IFERROR(INDEX('Price List'!$K$5:$K$74,MATCH(TRIM(J252)&amp;"|"&amp;TRIM(P252),'Price List'!$O$5:$O$74,0)),0)</f>
        <v>0.12</v>
      </c>
      <c r="Y252" s="141">
        <f t="shared" si="19"/>
        <v>0.85120000000000007</v>
      </c>
      <c r="Z252" s="141">
        <f t="shared" si="20"/>
        <v>290.369478528</v>
      </c>
      <c r="AA252" s="134"/>
    </row>
    <row r="253" spans="1:27" ht="15" customHeight="1" x14ac:dyDescent="0.35">
      <c r="A253" s="134"/>
      <c r="B253" s="135"/>
      <c r="C253" s="134" t="s">
        <v>444</v>
      </c>
      <c r="D253" s="136" t="str">
        <f t="shared" si="17"/>
        <v>B.04</v>
      </c>
      <c r="E253" s="135" t="s">
        <v>414</v>
      </c>
      <c r="F253" s="135" t="s">
        <v>672</v>
      </c>
      <c r="G253" s="134" t="s">
        <v>31</v>
      </c>
      <c r="H253" s="134" t="s">
        <v>564</v>
      </c>
      <c r="I253" s="134" t="s">
        <v>513</v>
      </c>
      <c r="J253" s="144" t="s">
        <v>133</v>
      </c>
      <c r="K253" s="134"/>
      <c r="L253" s="134"/>
      <c r="M253" s="134"/>
      <c r="N253" s="134"/>
      <c r="O253" s="134"/>
      <c r="P253" s="135" t="s">
        <v>103</v>
      </c>
      <c r="Q253" s="137">
        <f t="shared" si="21"/>
        <v>2411.8152</v>
      </c>
      <c r="R253" s="137">
        <f>'5F&amp;6F beam'!J17</f>
        <v>2411.8152</v>
      </c>
      <c r="S253" s="138"/>
      <c r="T253" s="139">
        <f>IFERROR(INDEX('Price List'!$G$5:$G$74,MATCH(TRIM(J253)&amp;"|"&amp;TRIM(P253),'Price List'!$O$5:$O$74,0)),0)</f>
        <v>0.1</v>
      </c>
      <c r="U253" s="140">
        <f>IFERROR(INDEX('Price List'!$H$5:$H$74,MATCH(TRIM(J253)&amp;"|"&amp;TRIM(P253),'Price List'!$O$5:$O$74,0)),0)</f>
        <v>0.2</v>
      </c>
      <c r="V253" s="141">
        <f t="shared" si="18"/>
        <v>0.12</v>
      </c>
      <c r="W253" s="142">
        <f>IFERROR(INDEX('Price List'!$J$5:$J$74,MATCH(TRIM(J253)&amp;"|"&amp;TRIM(P253),'Price List'!$O$5:$O$74,0)),0)</f>
        <v>0.74</v>
      </c>
      <c r="X253" s="143">
        <f>IFERROR(INDEX('Price List'!$K$5:$K$74,MATCH(TRIM(J253)&amp;"|"&amp;TRIM(P253),'Price List'!$O$5:$O$74,0)),0)</f>
        <v>0.12</v>
      </c>
      <c r="Y253" s="141">
        <f t="shared" si="19"/>
        <v>0.82880000000000009</v>
      </c>
      <c r="Z253" s="141">
        <f t="shared" si="20"/>
        <v>2288.3302617600002</v>
      </c>
      <c r="AA253" s="134"/>
    </row>
    <row r="254" spans="1:27" ht="15" customHeight="1" x14ac:dyDescent="0.35">
      <c r="A254" s="134"/>
      <c r="B254" s="135"/>
      <c r="C254" s="134" t="s">
        <v>444</v>
      </c>
      <c r="D254" s="136" t="str">
        <f t="shared" si="17"/>
        <v>B.04</v>
      </c>
      <c r="E254" s="135" t="s">
        <v>414</v>
      </c>
      <c r="F254" s="135" t="s">
        <v>672</v>
      </c>
      <c r="G254" s="134" t="s">
        <v>31</v>
      </c>
      <c r="H254" s="134" t="s">
        <v>564</v>
      </c>
      <c r="I254" s="134" t="s">
        <v>513</v>
      </c>
      <c r="J254" s="144" t="s">
        <v>135</v>
      </c>
      <c r="K254" s="134"/>
      <c r="L254" s="134"/>
      <c r="M254" s="134"/>
      <c r="N254" s="134"/>
      <c r="O254" s="134"/>
      <c r="P254" s="135" t="s">
        <v>103</v>
      </c>
      <c r="Q254" s="137">
        <f t="shared" si="21"/>
        <v>1819.6614000000002</v>
      </c>
      <c r="R254" s="137">
        <f>'5F&amp;6F beam'!J18</f>
        <v>1819.6614000000002</v>
      </c>
      <c r="S254" s="138"/>
      <c r="T254" s="139">
        <f>IFERROR(INDEX('Price List'!$G$5:$G$74,MATCH(TRIM(J254)&amp;"|"&amp;TRIM(P254),'Price List'!$O$5:$O$74,0)),0)</f>
        <v>0.09</v>
      </c>
      <c r="U254" s="140">
        <f>IFERROR(INDEX('Price List'!$H$5:$H$74,MATCH(TRIM(J254)&amp;"|"&amp;TRIM(P254),'Price List'!$O$5:$O$74,0)),0)</f>
        <v>0.2</v>
      </c>
      <c r="V254" s="141">
        <f t="shared" si="18"/>
        <v>0.108</v>
      </c>
      <c r="W254" s="142">
        <f>IFERROR(INDEX('Price List'!$J$5:$J$74,MATCH(TRIM(J254)&amp;"|"&amp;TRIM(P254),'Price List'!$O$5:$O$74,0)),0)</f>
        <v>0.73</v>
      </c>
      <c r="X254" s="143">
        <f>IFERROR(INDEX('Price List'!$K$5:$K$74,MATCH(TRIM(J254)&amp;"|"&amp;TRIM(P254),'Price List'!$O$5:$O$74,0)),0)</f>
        <v>0.12</v>
      </c>
      <c r="Y254" s="141">
        <f t="shared" si="19"/>
        <v>0.8176000000000001</v>
      </c>
      <c r="Z254" s="141">
        <f t="shared" si="20"/>
        <v>1684.2785918400004</v>
      </c>
      <c r="AA254" s="134"/>
    </row>
    <row r="255" spans="1:27" ht="15" customHeight="1" x14ac:dyDescent="0.35">
      <c r="A255" s="134"/>
      <c r="B255" s="135"/>
      <c r="C255" s="134" t="s">
        <v>444</v>
      </c>
      <c r="D255" s="136" t="str">
        <f t="shared" si="17"/>
        <v>B.04</v>
      </c>
      <c r="E255" s="135" t="s">
        <v>414</v>
      </c>
      <c r="F255" s="135" t="s">
        <v>672</v>
      </c>
      <c r="G255" s="134" t="s">
        <v>31</v>
      </c>
      <c r="H255" s="134" t="s">
        <v>564</v>
      </c>
      <c r="I255" s="134" t="s">
        <v>513</v>
      </c>
      <c r="J255" s="144" t="s">
        <v>105</v>
      </c>
      <c r="K255" s="134"/>
      <c r="L255" s="134"/>
      <c r="M255" s="134"/>
      <c r="N255" s="134"/>
      <c r="O255" s="134"/>
      <c r="P255" s="135" t="s">
        <v>103</v>
      </c>
      <c r="Q255" s="137">
        <f t="shared" si="21"/>
        <v>7527.2208000000001</v>
      </c>
      <c r="R255" s="137">
        <f>'5F&amp;6F beam'!J19</f>
        <v>7527.2208000000001</v>
      </c>
      <c r="S255" s="138"/>
      <c r="T255" s="139">
        <f>IFERROR(INDEX('Price List'!$G$5:$G$74,MATCH(TRIM(J255)&amp;"|"&amp;TRIM(P255),'Price List'!$O$5:$O$74,0)),0)</f>
        <v>0.08</v>
      </c>
      <c r="U255" s="140">
        <f>IFERROR(INDEX('Price List'!$H$5:$H$74,MATCH(TRIM(J255)&amp;"|"&amp;TRIM(P255),'Price List'!$O$5:$O$74,0)),0)</f>
        <v>0.2</v>
      </c>
      <c r="V255" s="141">
        <f t="shared" si="18"/>
        <v>9.6000000000000002E-2</v>
      </c>
      <c r="W255" s="142">
        <f>IFERROR(INDEX('Price List'!$J$5:$J$74,MATCH(TRIM(J255)&amp;"|"&amp;TRIM(P255),'Price List'!$O$5:$O$74,0)),0)</f>
        <v>0.72</v>
      </c>
      <c r="X255" s="143">
        <f>IFERROR(INDEX('Price List'!$K$5:$K$74,MATCH(TRIM(J255)&amp;"|"&amp;TRIM(P255),'Price List'!$O$5:$O$74,0)),0)</f>
        <v>0.12</v>
      </c>
      <c r="Y255" s="141">
        <f t="shared" si="19"/>
        <v>0.80640000000000001</v>
      </c>
      <c r="Z255" s="141">
        <f t="shared" si="20"/>
        <v>6792.5640499199999</v>
      </c>
      <c r="AA255" s="134"/>
    </row>
    <row r="256" spans="1:27" ht="15" customHeight="1" x14ac:dyDescent="0.35">
      <c r="A256" s="134"/>
      <c r="B256" s="135"/>
      <c r="C256" s="134" t="s">
        <v>444</v>
      </c>
      <c r="D256" s="136" t="str">
        <f t="shared" si="17"/>
        <v>B.04</v>
      </c>
      <c r="E256" s="135" t="s">
        <v>414</v>
      </c>
      <c r="F256" s="135" t="s">
        <v>672</v>
      </c>
      <c r="G256" s="134" t="s">
        <v>31</v>
      </c>
      <c r="H256" s="134" t="s">
        <v>564</v>
      </c>
      <c r="I256" s="134" t="s">
        <v>657</v>
      </c>
      <c r="J256" s="134" t="s">
        <v>107</v>
      </c>
      <c r="K256" s="134"/>
      <c r="L256" s="134"/>
      <c r="M256" s="134"/>
      <c r="N256" s="134"/>
      <c r="O256" s="134"/>
      <c r="P256" s="135" t="s">
        <v>103</v>
      </c>
      <c r="Q256" s="137">
        <f t="shared" si="21"/>
        <v>620.0733864</v>
      </c>
      <c r="R256" s="137">
        <f>(R254+R255+R253+R252+R251+R250)*4%</f>
        <v>620.0733864</v>
      </c>
      <c r="S256" s="138"/>
      <c r="T256" s="139">
        <f>IFERROR(INDEX('Price List'!$G$5:$G$74,MATCH(TRIM(J256)&amp;"|"&amp;TRIM(P256),'Price List'!$O$5:$O$74,0)),0)</f>
        <v>0.05</v>
      </c>
      <c r="U256" s="140">
        <f>IFERROR(INDEX('Price List'!$H$5:$H$74,MATCH(TRIM(J256)&amp;"|"&amp;TRIM(P256),'Price List'!$O$5:$O$74,0)),0)</f>
        <v>0.2</v>
      </c>
      <c r="V256" s="141">
        <f t="shared" si="18"/>
        <v>0.06</v>
      </c>
      <c r="W256" s="142">
        <f>IFERROR(INDEX('Price List'!$J$5:$J$74,MATCH(TRIM(J256)&amp;"|"&amp;TRIM(P256),'Price List'!$O$5:$O$74,0)),0)</f>
        <v>1.2</v>
      </c>
      <c r="X256" s="143">
        <f>IFERROR(INDEX('Price List'!$K$5:$K$74,MATCH(TRIM(J256)&amp;"|"&amp;TRIM(P256),'Price List'!$O$5:$O$74,0)),0)</f>
        <v>0.12</v>
      </c>
      <c r="Y256" s="141">
        <f t="shared" si="19"/>
        <v>1.3440000000000001</v>
      </c>
      <c r="Z256" s="141">
        <f t="shared" si="20"/>
        <v>870.58303450560004</v>
      </c>
      <c r="AA256" s="134"/>
    </row>
    <row r="257" spans="1:27" ht="15" customHeight="1" x14ac:dyDescent="0.35">
      <c r="A257" s="134"/>
      <c r="B257" s="135"/>
      <c r="C257" s="134" t="s">
        <v>444</v>
      </c>
      <c r="D257" s="136" t="str">
        <f t="shared" si="17"/>
        <v>B.04</v>
      </c>
      <c r="E257" s="135" t="s">
        <v>414</v>
      </c>
      <c r="F257" s="135" t="s">
        <v>672</v>
      </c>
      <c r="G257" s="134" t="s">
        <v>31</v>
      </c>
      <c r="H257" s="134" t="s">
        <v>568</v>
      </c>
      <c r="I257" s="134" t="s">
        <v>512</v>
      </c>
      <c r="J257" s="145" t="s">
        <v>125</v>
      </c>
      <c r="K257" s="134"/>
      <c r="L257" s="134"/>
      <c r="M257" s="134"/>
      <c r="N257" s="134"/>
      <c r="O257" s="134"/>
      <c r="P257" s="135" t="s">
        <v>100</v>
      </c>
      <c r="Q257" s="137">
        <f t="shared" si="21"/>
        <v>87.149999999999991</v>
      </c>
      <c r="R257" s="137">
        <f>581*0.15</f>
        <v>87.149999999999991</v>
      </c>
      <c r="S257" s="138"/>
      <c r="T257" s="139">
        <f>IFERROR(INDEX('Price List'!$G$5:$G$74,MATCH(TRIM(J257)&amp;"|"&amp;TRIM(P257),'Price List'!$O$5:$O$74,0)),0)</f>
        <v>10</v>
      </c>
      <c r="U257" s="140">
        <f>IFERROR(INDEX('Price List'!$H$5:$H$74,MATCH(TRIM(J257)&amp;"|"&amp;TRIM(P257),'Price List'!$O$5:$O$74,0)),0)</f>
        <v>0.2</v>
      </c>
      <c r="V257" s="141">
        <f t="shared" si="18"/>
        <v>12</v>
      </c>
      <c r="W257" s="142">
        <f>IFERROR(INDEX('Price List'!$J$5:$J$74,MATCH(TRIM(J257)&amp;"|"&amp;TRIM(P257),'Price List'!$O$5:$O$74,0)),0)</f>
        <v>98</v>
      </c>
      <c r="X257" s="143">
        <f>IFERROR(INDEX('Price List'!$K$5:$K$74,MATCH(TRIM(J257)&amp;"|"&amp;TRIM(P257),'Price List'!$O$5:$O$74,0)),0)</f>
        <v>0.12</v>
      </c>
      <c r="Y257" s="141">
        <f t="shared" si="19"/>
        <v>109.76</v>
      </c>
      <c r="Z257" s="141">
        <f t="shared" si="20"/>
        <v>10611.384</v>
      </c>
      <c r="AA257" s="134"/>
    </row>
    <row r="258" spans="1:27" ht="15" customHeight="1" x14ac:dyDescent="0.35">
      <c r="A258" s="134"/>
      <c r="B258" s="135"/>
      <c r="C258" s="134" t="s">
        <v>444</v>
      </c>
      <c r="D258" s="136" t="str">
        <f t="shared" ref="D258:D321" si="22">IFERROR(IF(TRIM($G258)="Sub Structure",IF(TRIM($H258)="Bored Pile","B.01","B.03"),IF(TRIM($G258)="Super Structure","B.04",IF(OR(TRIM($G258)="Exterior Wall and Partition",TRIM($G258)="External Wall and Partition"),"C.01",IF(TRIM($G258)="Exterior Wall Finishes","C.02",IF(TRIM($G258)="Interior Wall and Partition","C.09",IF(TRIM($G258)="Interior Door","C.10",IF(TRIM($G258)="External Windows and Louvers","C.04",IF(OR(TRIM($G258)="Interior Floor Finishes",TRIM($G258)="Internal Floor Finishes"),"D.02",IF(OR(TRIM($G258)="Interior Wall Finishes",TRIM($G258)="Internal Wall Finishes"),"D.01",IF(OR(TRIM($G258)="Ceiling Finshes",TRIM($G258)="Ceiling Finishes"),"D.03",IF(TRIM($G258)="Fittings, furnishings and equipment","E.04","")))))))))))," ")</f>
        <v>B.04</v>
      </c>
      <c r="E258" s="135" t="s">
        <v>414</v>
      </c>
      <c r="F258" s="135" t="s">
        <v>672</v>
      </c>
      <c r="G258" s="134" t="s">
        <v>31</v>
      </c>
      <c r="H258" s="134" t="s">
        <v>568</v>
      </c>
      <c r="I258" s="144" t="s">
        <v>127</v>
      </c>
      <c r="J258" s="144" t="s">
        <v>127</v>
      </c>
      <c r="K258" s="144"/>
      <c r="L258" s="134"/>
      <c r="M258" s="134"/>
      <c r="N258" s="134"/>
      <c r="O258" s="134"/>
      <c r="P258" s="135" t="s">
        <v>128</v>
      </c>
      <c r="Q258" s="137">
        <f t="shared" si="21"/>
        <v>581</v>
      </c>
      <c r="R258" s="137">
        <v>581</v>
      </c>
      <c r="S258" s="138"/>
      <c r="T258" s="139">
        <f>IFERROR(INDEX('Price List'!$G$5:$G$74,MATCH(TRIM(J258)&amp;"|"&amp;TRIM(P258),'Price List'!$O$5:$O$74,0)),0)</f>
        <v>6</v>
      </c>
      <c r="U258" s="140">
        <f>IFERROR(INDEX('Price List'!$H$5:$H$74,MATCH(TRIM(J258)&amp;"|"&amp;TRIM(P258),'Price List'!$O$5:$O$74,0)),0)</f>
        <v>0.2</v>
      </c>
      <c r="V258" s="141">
        <f t="shared" ref="V258:V321" si="23">T258*(1+U258)</f>
        <v>7.1999999999999993</v>
      </c>
      <c r="W258" s="142">
        <f>IFERROR(INDEX('Price List'!$J$5:$J$74,MATCH(TRIM(J258)&amp;"|"&amp;TRIM(P258),'Price List'!$O$5:$O$74,0)),0)</f>
        <v>5</v>
      </c>
      <c r="X258" s="143">
        <f>IFERROR(INDEX('Price List'!$K$5:$K$74,MATCH(TRIM(J258)&amp;"|"&amp;TRIM(P258),'Price List'!$O$5:$O$74,0)),0)</f>
        <v>0.12</v>
      </c>
      <c r="Y258" s="141">
        <f t="shared" ref="Y258:Y321" si="24">W258*(1+X258)</f>
        <v>5.6000000000000005</v>
      </c>
      <c r="Z258" s="141">
        <f t="shared" ref="Z258:Z321" si="25">Q258*(V258+Y258)</f>
        <v>7436.8</v>
      </c>
      <c r="AA258" s="134"/>
    </row>
    <row r="259" spans="1:27" ht="15" customHeight="1" x14ac:dyDescent="0.35">
      <c r="A259" s="134"/>
      <c r="B259" s="135"/>
      <c r="C259" s="134" t="s">
        <v>444</v>
      </c>
      <c r="D259" s="136" t="str">
        <f t="shared" si="22"/>
        <v>B.04</v>
      </c>
      <c r="E259" s="135" t="s">
        <v>414</v>
      </c>
      <c r="F259" s="135" t="s">
        <v>672</v>
      </c>
      <c r="G259" s="134" t="s">
        <v>31</v>
      </c>
      <c r="H259" s="134" t="s">
        <v>568</v>
      </c>
      <c r="I259" s="134" t="s">
        <v>513</v>
      </c>
      <c r="J259" s="144" t="s">
        <v>102</v>
      </c>
      <c r="K259" s="134"/>
      <c r="L259" s="134"/>
      <c r="M259" s="134"/>
      <c r="N259" s="134"/>
      <c r="O259" s="134"/>
      <c r="P259" s="135" t="s">
        <v>103</v>
      </c>
      <c r="Q259" s="137">
        <f t="shared" si="21"/>
        <v>11514.499999999998</v>
      </c>
      <c r="R259" s="137">
        <f>(R257*130)+185</f>
        <v>11514.499999999998</v>
      </c>
      <c r="S259" s="138"/>
      <c r="T259" s="139">
        <f>IFERROR(INDEX('Price List'!$G$5:$G$74,MATCH(TRIM(J259)&amp;"|"&amp;TRIM(P259),'Price List'!$O$5:$O$74,0)),0)</f>
        <v>0.12</v>
      </c>
      <c r="U259" s="140">
        <f>IFERROR(INDEX('Price List'!$H$5:$H$74,MATCH(TRIM(J259)&amp;"|"&amp;TRIM(P259),'Price List'!$O$5:$O$74,0)),0)</f>
        <v>0.2</v>
      </c>
      <c r="V259" s="141">
        <f t="shared" si="23"/>
        <v>0.14399999999999999</v>
      </c>
      <c r="W259" s="142">
        <f>IFERROR(INDEX('Price List'!$J$5:$J$74,MATCH(TRIM(J259)&amp;"|"&amp;TRIM(P259),'Price List'!$O$5:$O$74,0)),0)</f>
        <v>0.78</v>
      </c>
      <c r="X259" s="143">
        <f>IFERROR(INDEX('Price List'!$K$5:$K$74,MATCH(TRIM(J259)&amp;"|"&amp;TRIM(P259),'Price List'!$O$5:$O$74,0)),0)</f>
        <v>0.12</v>
      </c>
      <c r="Y259" s="141">
        <f t="shared" si="24"/>
        <v>0.87360000000000015</v>
      </c>
      <c r="Z259" s="141">
        <f t="shared" si="25"/>
        <v>11717.155199999999</v>
      </c>
      <c r="AA259" s="134"/>
    </row>
    <row r="260" spans="1:27" ht="15" customHeight="1" x14ac:dyDescent="0.35">
      <c r="A260" s="134"/>
      <c r="B260" s="135"/>
      <c r="C260" s="134" t="s">
        <v>444</v>
      </c>
      <c r="D260" s="136" t="str">
        <f t="shared" si="22"/>
        <v>B.04</v>
      </c>
      <c r="E260" s="135" t="s">
        <v>414</v>
      </c>
      <c r="F260" s="135" t="s">
        <v>672</v>
      </c>
      <c r="G260" s="134" t="s">
        <v>31</v>
      </c>
      <c r="H260" s="134" t="s">
        <v>568</v>
      </c>
      <c r="I260" s="134" t="s">
        <v>513</v>
      </c>
      <c r="J260" s="144" t="s">
        <v>131</v>
      </c>
      <c r="K260" s="134"/>
      <c r="L260" s="134"/>
      <c r="M260" s="134"/>
      <c r="N260" s="134"/>
      <c r="O260" s="134"/>
      <c r="P260" s="135" t="s">
        <v>103</v>
      </c>
      <c r="Q260" s="137">
        <f t="shared" si="21"/>
        <v>166.5</v>
      </c>
      <c r="R260" s="137">
        <f>0.888*((2.5*10*3)+(2.5*15*3))</f>
        <v>166.5</v>
      </c>
      <c r="S260" s="138"/>
      <c r="T260" s="139">
        <f>IFERROR(INDEX('Price List'!$G$5:$G$74,MATCH(TRIM(J260)&amp;"|"&amp;TRIM(P260),'Price List'!$O$5:$O$74,0)),0)</f>
        <v>0.11</v>
      </c>
      <c r="U260" s="140">
        <f>IFERROR(INDEX('Price List'!$H$5:$H$74,MATCH(TRIM(J260)&amp;"|"&amp;TRIM(P260),'Price List'!$O$5:$O$74,0)),0)</f>
        <v>0.2</v>
      </c>
      <c r="V260" s="141">
        <f t="shared" si="23"/>
        <v>0.13200000000000001</v>
      </c>
      <c r="W260" s="142">
        <f>IFERROR(INDEX('Price List'!$J$5:$J$74,MATCH(TRIM(J260)&amp;"|"&amp;TRIM(P260),'Price List'!$O$5:$O$74,0)),0)</f>
        <v>0.76</v>
      </c>
      <c r="X260" s="143">
        <f>IFERROR(INDEX('Price List'!$K$5:$K$74,MATCH(TRIM(J260)&amp;"|"&amp;TRIM(P260),'Price List'!$O$5:$O$74,0)),0)</f>
        <v>0.12</v>
      </c>
      <c r="Y260" s="141">
        <f t="shared" si="24"/>
        <v>0.85120000000000007</v>
      </c>
      <c r="Z260" s="141">
        <f t="shared" si="25"/>
        <v>163.70280000000002</v>
      </c>
      <c r="AA260" s="134"/>
    </row>
    <row r="261" spans="1:27" ht="15" customHeight="1" x14ac:dyDescent="0.35">
      <c r="A261" s="134"/>
      <c r="B261" s="135"/>
      <c r="C261" s="134" t="s">
        <v>444</v>
      </c>
      <c r="D261" s="136" t="str">
        <f t="shared" si="22"/>
        <v>B.04</v>
      </c>
      <c r="E261" s="135" t="s">
        <v>414</v>
      </c>
      <c r="F261" s="135" t="s">
        <v>672</v>
      </c>
      <c r="G261" s="134" t="s">
        <v>31</v>
      </c>
      <c r="H261" s="134" t="s">
        <v>568</v>
      </c>
      <c r="I261" s="134" t="s">
        <v>657</v>
      </c>
      <c r="J261" s="134" t="s">
        <v>107</v>
      </c>
      <c r="K261" s="134"/>
      <c r="L261" s="134"/>
      <c r="M261" s="134"/>
      <c r="N261" s="134"/>
      <c r="O261" s="134"/>
      <c r="P261" s="135" t="s">
        <v>103</v>
      </c>
      <c r="Q261" s="137">
        <f t="shared" si="21"/>
        <v>467.23999999999995</v>
      </c>
      <c r="R261" s="137">
        <f>(R259+R260)*4%</f>
        <v>467.23999999999995</v>
      </c>
      <c r="S261" s="138"/>
      <c r="T261" s="139">
        <f>IFERROR(INDEX('Price List'!$G$5:$G$74,MATCH(TRIM(J261)&amp;"|"&amp;TRIM(P261),'Price List'!$O$5:$O$74,0)),0)</f>
        <v>0.05</v>
      </c>
      <c r="U261" s="140">
        <f>IFERROR(INDEX('Price List'!$H$5:$H$74,MATCH(TRIM(J261)&amp;"|"&amp;TRIM(P261),'Price List'!$O$5:$O$74,0)),0)</f>
        <v>0.2</v>
      </c>
      <c r="V261" s="141">
        <f t="shared" si="23"/>
        <v>0.06</v>
      </c>
      <c r="W261" s="142">
        <f>IFERROR(INDEX('Price List'!$J$5:$J$74,MATCH(TRIM(J261)&amp;"|"&amp;TRIM(P261),'Price List'!$O$5:$O$74,0)),0)</f>
        <v>1.2</v>
      </c>
      <c r="X261" s="143">
        <f>IFERROR(INDEX('Price List'!$K$5:$K$74,MATCH(TRIM(J261)&amp;"|"&amp;TRIM(P261),'Price List'!$O$5:$O$74,0)),0)</f>
        <v>0.12</v>
      </c>
      <c r="Y261" s="141">
        <f t="shared" si="24"/>
        <v>1.3440000000000001</v>
      </c>
      <c r="Z261" s="141">
        <f t="shared" si="25"/>
        <v>656.00495999999998</v>
      </c>
      <c r="AA261" s="134"/>
    </row>
    <row r="262" spans="1:27" ht="15" customHeight="1" x14ac:dyDescent="0.35">
      <c r="A262" s="134"/>
      <c r="B262" s="134"/>
      <c r="C262" s="134" t="s">
        <v>444</v>
      </c>
      <c r="D262" s="136" t="str">
        <f t="shared" si="22"/>
        <v>B.04</v>
      </c>
      <c r="E262" s="135" t="s">
        <v>414</v>
      </c>
      <c r="F262" s="135" t="s">
        <v>672</v>
      </c>
      <c r="G262" s="134" t="s">
        <v>31</v>
      </c>
      <c r="H262" s="134" t="s">
        <v>665</v>
      </c>
      <c r="I262" s="134" t="s">
        <v>512</v>
      </c>
      <c r="J262" s="144" t="s">
        <v>125</v>
      </c>
      <c r="K262" s="134"/>
      <c r="L262" s="134"/>
      <c r="M262" s="134"/>
      <c r="N262" s="134"/>
      <c r="O262" s="134"/>
      <c r="P262" s="135" t="s">
        <v>100</v>
      </c>
      <c r="Q262" s="137">
        <f t="shared" si="21"/>
        <v>23.430000000000003</v>
      </c>
      <c r="R262" s="137">
        <f>(5.2*4.2)+(1.325*2*0.3*2)</f>
        <v>23.430000000000003</v>
      </c>
      <c r="S262" s="138"/>
      <c r="T262" s="139">
        <f>IFERROR(INDEX('Price List'!$G$5:$G$74,MATCH(TRIM(J262)&amp;"|"&amp;TRIM(P262),'Price List'!$O$5:$O$74,0)),0)</f>
        <v>10</v>
      </c>
      <c r="U262" s="140">
        <f>IFERROR(INDEX('Price List'!$H$5:$H$74,MATCH(TRIM(J262)&amp;"|"&amp;TRIM(P262),'Price List'!$O$5:$O$74,0)),0)</f>
        <v>0.2</v>
      </c>
      <c r="V262" s="141">
        <f t="shared" si="23"/>
        <v>12</v>
      </c>
      <c r="W262" s="142">
        <f>IFERROR(INDEX('Price List'!$J$5:$J$74,MATCH(TRIM(J262)&amp;"|"&amp;TRIM(P262),'Price List'!$O$5:$O$74,0)),0)</f>
        <v>98</v>
      </c>
      <c r="X262" s="143">
        <f>IFERROR(INDEX('Price List'!$K$5:$K$74,MATCH(TRIM(J262)&amp;"|"&amp;TRIM(P262),'Price List'!$O$5:$O$74,0)),0)</f>
        <v>0.12</v>
      </c>
      <c r="Y262" s="141">
        <f t="shared" si="24"/>
        <v>109.76</v>
      </c>
      <c r="Z262" s="141">
        <f t="shared" si="25"/>
        <v>2852.8368000000005</v>
      </c>
      <c r="AA262" s="134"/>
    </row>
    <row r="263" spans="1:27" ht="15" customHeight="1" x14ac:dyDescent="0.35">
      <c r="A263" s="134"/>
      <c r="B263" s="134"/>
      <c r="C263" s="134" t="s">
        <v>444</v>
      </c>
      <c r="D263" s="136" t="str">
        <f t="shared" si="22"/>
        <v>B.04</v>
      </c>
      <c r="E263" s="135" t="s">
        <v>414</v>
      </c>
      <c r="F263" s="135" t="s">
        <v>672</v>
      </c>
      <c r="G263" s="134" t="s">
        <v>31</v>
      </c>
      <c r="H263" s="134" t="s">
        <v>665</v>
      </c>
      <c r="I263" s="144" t="s">
        <v>127</v>
      </c>
      <c r="J263" s="144" t="s">
        <v>127</v>
      </c>
      <c r="K263" s="144"/>
      <c r="L263" s="134"/>
      <c r="M263" s="134"/>
      <c r="N263" s="134"/>
      <c r="O263" s="134"/>
      <c r="P263" s="135" t="s">
        <v>128</v>
      </c>
      <c r="Q263" s="137">
        <f t="shared" si="21"/>
        <v>139.70000000000002</v>
      </c>
      <c r="R263" s="137">
        <f>(32*4.2)+(1.325*2*2)</f>
        <v>139.70000000000002</v>
      </c>
      <c r="S263" s="138"/>
      <c r="T263" s="139">
        <f>IFERROR(INDEX('Price List'!$G$5:$G$74,MATCH(TRIM(J263)&amp;"|"&amp;TRIM(P263),'Price List'!$O$5:$O$74,0)),0)</f>
        <v>6</v>
      </c>
      <c r="U263" s="140">
        <f>IFERROR(INDEX('Price List'!$H$5:$H$74,MATCH(TRIM(J263)&amp;"|"&amp;TRIM(P263),'Price List'!$O$5:$O$74,0)),0)</f>
        <v>0.2</v>
      </c>
      <c r="V263" s="141">
        <f t="shared" si="23"/>
        <v>7.1999999999999993</v>
      </c>
      <c r="W263" s="142">
        <f>IFERROR(INDEX('Price List'!$J$5:$J$74,MATCH(TRIM(J263)&amp;"|"&amp;TRIM(P263),'Price List'!$O$5:$O$74,0)),0)</f>
        <v>5</v>
      </c>
      <c r="X263" s="143">
        <f>IFERROR(INDEX('Price List'!$K$5:$K$74,MATCH(TRIM(J263)&amp;"|"&amp;TRIM(P263),'Price List'!$O$5:$O$74,0)),0)</f>
        <v>0.12</v>
      </c>
      <c r="Y263" s="141">
        <f t="shared" si="24"/>
        <v>5.6000000000000005</v>
      </c>
      <c r="Z263" s="141">
        <f t="shared" si="25"/>
        <v>1788.1600000000003</v>
      </c>
      <c r="AA263" s="134"/>
    </row>
    <row r="264" spans="1:27" ht="15" customHeight="1" x14ac:dyDescent="0.35">
      <c r="A264" s="134"/>
      <c r="B264" s="134"/>
      <c r="C264" s="134" t="s">
        <v>444</v>
      </c>
      <c r="D264" s="136" t="str">
        <f t="shared" si="22"/>
        <v>B.04</v>
      </c>
      <c r="E264" s="135" t="s">
        <v>414</v>
      </c>
      <c r="F264" s="135" t="s">
        <v>672</v>
      </c>
      <c r="G264" s="134" t="s">
        <v>31</v>
      </c>
      <c r="H264" s="134" t="s">
        <v>665</v>
      </c>
      <c r="I264" s="134" t="s">
        <v>513</v>
      </c>
      <c r="J264" s="144" t="s">
        <v>102</v>
      </c>
      <c r="K264" s="134"/>
      <c r="L264" s="134"/>
      <c r="M264" s="134"/>
      <c r="N264" s="134"/>
      <c r="O264" s="134"/>
      <c r="P264" s="135" t="s">
        <v>103</v>
      </c>
      <c r="Q264" s="137">
        <f t="shared" si="21"/>
        <v>241.864</v>
      </c>
      <c r="R264" s="137">
        <v>241.864</v>
      </c>
      <c r="S264" s="138"/>
      <c r="T264" s="139">
        <f>IFERROR(INDEX('Price List'!$G$5:$G$74,MATCH(TRIM(J264)&amp;"|"&amp;TRIM(P264),'Price List'!$O$5:$O$74,0)),0)</f>
        <v>0.12</v>
      </c>
      <c r="U264" s="140">
        <f>IFERROR(INDEX('Price List'!$H$5:$H$74,MATCH(TRIM(J264)&amp;"|"&amp;TRIM(P264),'Price List'!$O$5:$O$74,0)),0)</f>
        <v>0.2</v>
      </c>
      <c r="V264" s="141">
        <f t="shared" si="23"/>
        <v>0.14399999999999999</v>
      </c>
      <c r="W264" s="142">
        <f>IFERROR(INDEX('Price List'!$J$5:$J$74,MATCH(TRIM(J264)&amp;"|"&amp;TRIM(P264),'Price List'!$O$5:$O$74,0)),0)</f>
        <v>0.78</v>
      </c>
      <c r="X264" s="143">
        <f>IFERROR(INDEX('Price List'!$K$5:$K$74,MATCH(TRIM(J264)&amp;"|"&amp;TRIM(P264),'Price List'!$O$5:$O$74,0)),0)</f>
        <v>0.12</v>
      </c>
      <c r="Y264" s="141">
        <f t="shared" si="24"/>
        <v>0.87360000000000015</v>
      </c>
      <c r="Z264" s="141">
        <f t="shared" si="25"/>
        <v>246.12080640000002</v>
      </c>
      <c r="AA264" s="134"/>
    </row>
    <row r="265" spans="1:27" ht="15" customHeight="1" x14ac:dyDescent="0.35">
      <c r="A265" s="134"/>
      <c r="B265" s="134"/>
      <c r="C265" s="134" t="s">
        <v>444</v>
      </c>
      <c r="D265" s="136" t="str">
        <f t="shared" si="22"/>
        <v>B.04</v>
      </c>
      <c r="E265" s="135" t="s">
        <v>414</v>
      </c>
      <c r="F265" s="135" t="s">
        <v>672</v>
      </c>
      <c r="G265" s="134" t="s">
        <v>31</v>
      </c>
      <c r="H265" s="134" t="s">
        <v>665</v>
      </c>
      <c r="I265" s="134" t="s">
        <v>513</v>
      </c>
      <c r="J265" s="144" t="s">
        <v>131</v>
      </c>
      <c r="K265" s="134"/>
      <c r="L265" s="134"/>
      <c r="M265" s="134"/>
      <c r="N265" s="134"/>
      <c r="O265" s="134"/>
      <c r="P265" s="135" t="s">
        <v>103</v>
      </c>
      <c r="Q265" s="137">
        <f t="shared" si="21"/>
        <v>1071.6384</v>
      </c>
      <c r="R265" s="137">
        <v>1071.6384</v>
      </c>
      <c r="S265" s="138"/>
      <c r="T265" s="139">
        <f>IFERROR(INDEX('Price List'!$G$5:$G$74,MATCH(TRIM(J265)&amp;"|"&amp;TRIM(P265),'Price List'!$O$5:$O$74,0)),0)</f>
        <v>0.11</v>
      </c>
      <c r="U265" s="140">
        <f>IFERROR(INDEX('Price List'!$H$5:$H$74,MATCH(TRIM(J265)&amp;"|"&amp;TRIM(P265),'Price List'!$O$5:$O$74,0)),0)</f>
        <v>0.2</v>
      </c>
      <c r="V265" s="141">
        <f t="shared" si="23"/>
        <v>0.13200000000000001</v>
      </c>
      <c r="W265" s="142">
        <f>IFERROR(INDEX('Price List'!$J$5:$J$74,MATCH(TRIM(J265)&amp;"|"&amp;TRIM(P265),'Price List'!$O$5:$O$74,0)),0)</f>
        <v>0.76</v>
      </c>
      <c r="X265" s="143">
        <f>IFERROR(INDEX('Price List'!$K$5:$K$74,MATCH(TRIM(J265)&amp;"|"&amp;TRIM(P265),'Price List'!$O$5:$O$74,0)),0)</f>
        <v>0.12</v>
      </c>
      <c r="Y265" s="141">
        <f t="shared" si="24"/>
        <v>0.85120000000000007</v>
      </c>
      <c r="Z265" s="141">
        <f t="shared" si="25"/>
        <v>1053.6348748800001</v>
      </c>
      <c r="AA265" s="134"/>
    </row>
    <row r="266" spans="1:27" ht="15" customHeight="1" x14ac:dyDescent="0.35">
      <c r="A266" s="134"/>
      <c r="B266" s="134"/>
      <c r="C266" s="134" t="s">
        <v>444</v>
      </c>
      <c r="D266" s="136" t="str">
        <f t="shared" si="22"/>
        <v>B.04</v>
      </c>
      <c r="E266" s="135" t="s">
        <v>414</v>
      </c>
      <c r="F266" s="135" t="s">
        <v>672</v>
      </c>
      <c r="G266" s="134" t="s">
        <v>31</v>
      </c>
      <c r="H266" s="134" t="s">
        <v>665</v>
      </c>
      <c r="I266" s="134" t="s">
        <v>513</v>
      </c>
      <c r="J266" s="144" t="s">
        <v>211</v>
      </c>
      <c r="K266" s="134"/>
      <c r="L266" s="134"/>
      <c r="M266" s="134"/>
      <c r="N266" s="134"/>
      <c r="O266" s="134"/>
      <c r="P266" s="135" t="s">
        <v>103</v>
      </c>
      <c r="Q266" s="137">
        <f t="shared" si="21"/>
        <v>1122.4736</v>
      </c>
      <c r="R266" s="137">
        <v>1122.4736</v>
      </c>
      <c r="S266" s="138"/>
      <c r="T266" s="139">
        <f>IFERROR(INDEX('Price List'!$G$5:$G$74,MATCH(TRIM(J266)&amp;"|"&amp;TRIM(P266),'Price List'!$O$5:$O$74,0)),0)</f>
        <v>0.1</v>
      </c>
      <c r="U266" s="140">
        <f>IFERROR(INDEX('Price List'!$H$5:$H$74,MATCH(TRIM(J266)&amp;"|"&amp;TRIM(P266),'Price List'!$O$5:$O$74,0)),0)</f>
        <v>0.2</v>
      </c>
      <c r="V266" s="141">
        <f t="shared" si="23"/>
        <v>0.12</v>
      </c>
      <c r="W266" s="142">
        <f>IFERROR(INDEX('Price List'!$J$5:$J$74,MATCH(TRIM(J266)&amp;"|"&amp;TRIM(P266),'Price List'!$O$5:$O$74,0)),0)</f>
        <v>0.75</v>
      </c>
      <c r="X266" s="143">
        <f>IFERROR(INDEX('Price List'!$K$5:$K$74,MATCH(TRIM(J266)&amp;"|"&amp;TRIM(P266),'Price List'!$O$5:$O$74,0)),0)</f>
        <v>0.12</v>
      </c>
      <c r="Y266" s="141">
        <f t="shared" si="24"/>
        <v>0.84000000000000008</v>
      </c>
      <c r="Z266" s="141">
        <f t="shared" si="25"/>
        <v>1077.574656</v>
      </c>
      <c r="AA266" s="134"/>
    </row>
    <row r="267" spans="1:27" ht="15" customHeight="1" x14ac:dyDescent="0.35">
      <c r="A267" s="134"/>
      <c r="B267" s="134"/>
      <c r="C267" s="134" t="s">
        <v>444</v>
      </c>
      <c r="D267" s="136" t="str">
        <f t="shared" si="22"/>
        <v>B.04</v>
      </c>
      <c r="E267" s="135" t="s">
        <v>414</v>
      </c>
      <c r="F267" s="135" t="s">
        <v>672</v>
      </c>
      <c r="G267" s="134" t="s">
        <v>31</v>
      </c>
      <c r="H267" s="134" t="s">
        <v>665</v>
      </c>
      <c r="I267" s="134" t="s">
        <v>513</v>
      </c>
      <c r="J267" s="144" t="s">
        <v>135</v>
      </c>
      <c r="K267" s="134"/>
      <c r="L267" s="134"/>
      <c r="M267" s="134"/>
      <c r="N267" s="134"/>
      <c r="O267" s="134"/>
      <c r="P267" s="135" t="s">
        <v>103</v>
      </c>
      <c r="Q267" s="137">
        <f t="shared" si="21"/>
        <v>822.01599999999996</v>
      </c>
      <c r="R267" s="137">
        <v>822.01599999999996</v>
      </c>
      <c r="S267" s="138"/>
      <c r="T267" s="139">
        <f>IFERROR(INDEX('Price List'!$G$5:$G$74,MATCH(TRIM(J267)&amp;"|"&amp;TRIM(P267),'Price List'!$O$5:$O$74,0)),0)</f>
        <v>0.09</v>
      </c>
      <c r="U267" s="140">
        <f>IFERROR(INDEX('Price List'!$H$5:$H$74,MATCH(TRIM(J267)&amp;"|"&amp;TRIM(P267),'Price List'!$O$5:$O$74,0)),0)</f>
        <v>0.2</v>
      </c>
      <c r="V267" s="141">
        <f t="shared" si="23"/>
        <v>0.108</v>
      </c>
      <c r="W267" s="142">
        <f>IFERROR(INDEX('Price List'!$J$5:$J$74,MATCH(TRIM(J267)&amp;"|"&amp;TRIM(P267),'Price List'!$O$5:$O$74,0)),0)</f>
        <v>0.73</v>
      </c>
      <c r="X267" s="143">
        <f>IFERROR(INDEX('Price List'!$K$5:$K$74,MATCH(TRIM(J267)&amp;"|"&amp;TRIM(P267),'Price List'!$O$5:$O$74,0)),0)</f>
        <v>0.12</v>
      </c>
      <c r="Y267" s="141">
        <f t="shared" si="24"/>
        <v>0.8176000000000001</v>
      </c>
      <c r="Z267" s="141">
        <f t="shared" si="25"/>
        <v>760.85800960000006</v>
      </c>
      <c r="AA267" s="134"/>
    </row>
    <row r="268" spans="1:27" ht="15" customHeight="1" x14ac:dyDescent="0.35">
      <c r="A268" s="134"/>
      <c r="B268" s="134"/>
      <c r="C268" s="134" t="s">
        <v>444</v>
      </c>
      <c r="D268" s="136" t="str">
        <f t="shared" si="22"/>
        <v>B.04</v>
      </c>
      <c r="E268" s="135" t="s">
        <v>414</v>
      </c>
      <c r="F268" s="135" t="s">
        <v>672</v>
      </c>
      <c r="G268" s="134" t="s">
        <v>31</v>
      </c>
      <c r="H268" s="134" t="s">
        <v>665</v>
      </c>
      <c r="I268" s="134" t="s">
        <v>657</v>
      </c>
      <c r="J268" s="134" t="s">
        <v>107</v>
      </c>
      <c r="K268" s="134"/>
      <c r="L268" s="134"/>
      <c r="M268" s="134"/>
      <c r="N268" s="134"/>
      <c r="O268" s="134"/>
      <c r="P268" s="135" t="s">
        <v>103</v>
      </c>
      <c r="Q268" s="137">
        <f t="shared" si="21"/>
        <v>130.31968000000001</v>
      </c>
      <c r="R268" s="137">
        <f>(R266+R267+R265+R264)*4%</f>
        <v>130.31968000000001</v>
      </c>
      <c r="S268" s="138"/>
      <c r="T268" s="139">
        <f>IFERROR(INDEX('Price List'!$G$5:$G$74,MATCH(TRIM(J268)&amp;"|"&amp;TRIM(P268),'Price List'!$O$5:$O$74,0)),0)</f>
        <v>0.05</v>
      </c>
      <c r="U268" s="140">
        <f>IFERROR(INDEX('Price List'!$H$5:$H$74,MATCH(TRIM(J268)&amp;"|"&amp;TRIM(P268),'Price List'!$O$5:$O$74,0)),0)</f>
        <v>0.2</v>
      </c>
      <c r="V268" s="141">
        <f t="shared" si="23"/>
        <v>0.06</v>
      </c>
      <c r="W268" s="142">
        <f>IFERROR(INDEX('Price List'!$J$5:$J$74,MATCH(TRIM(J268)&amp;"|"&amp;TRIM(P268),'Price List'!$O$5:$O$74,0)),0)</f>
        <v>1.2</v>
      </c>
      <c r="X268" s="143">
        <f>IFERROR(INDEX('Price List'!$K$5:$K$74,MATCH(TRIM(J268)&amp;"|"&amp;TRIM(P268),'Price List'!$O$5:$O$74,0)),0)</f>
        <v>0.12</v>
      </c>
      <c r="Y268" s="141">
        <f t="shared" si="24"/>
        <v>1.3440000000000001</v>
      </c>
      <c r="Z268" s="141">
        <f t="shared" si="25"/>
        <v>182.96883072000003</v>
      </c>
      <c r="AA268" s="134"/>
    </row>
    <row r="269" spans="1:27" ht="15" customHeight="1" x14ac:dyDescent="0.35">
      <c r="A269" s="134"/>
      <c r="B269" s="135"/>
      <c r="C269" s="134" t="s">
        <v>444</v>
      </c>
      <c r="D269" s="136" t="str">
        <f t="shared" si="22"/>
        <v>B.04</v>
      </c>
      <c r="E269" s="135" t="s">
        <v>414</v>
      </c>
      <c r="F269" s="135" t="s">
        <v>672</v>
      </c>
      <c r="G269" s="134" t="s">
        <v>31</v>
      </c>
      <c r="H269" s="134" t="s">
        <v>578</v>
      </c>
      <c r="I269" s="134" t="s">
        <v>512</v>
      </c>
      <c r="J269" s="145" t="s">
        <v>125</v>
      </c>
      <c r="K269" s="134"/>
      <c r="L269" s="134"/>
      <c r="M269" s="134"/>
      <c r="N269" s="134"/>
      <c r="O269" s="134"/>
      <c r="P269" s="135" t="s">
        <v>100</v>
      </c>
      <c r="Q269" s="137">
        <f t="shared" si="21"/>
        <v>5.016</v>
      </c>
      <c r="R269" s="137">
        <v>5.016</v>
      </c>
      <c r="S269" s="138"/>
      <c r="T269" s="139">
        <f>IFERROR(INDEX('Price List'!$G$5:$G$74,MATCH(TRIM(J269)&amp;"|"&amp;TRIM(P269),'Price List'!$O$5:$O$74,0)),0)</f>
        <v>10</v>
      </c>
      <c r="U269" s="140">
        <f>IFERROR(INDEX('Price List'!$H$5:$H$74,MATCH(TRIM(J269)&amp;"|"&amp;TRIM(P269),'Price List'!$O$5:$O$74,0)),0)</f>
        <v>0.2</v>
      </c>
      <c r="V269" s="141">
        <f t="shared" si="23"/>
        <v>12</v>
      </c>
      <c r="W269" s="142">
        <f>IFERROR(INDEX('Price List'!$J$5:$J$74,MATCH(TRIM(J269)&amp;"|"&amp;TRIM(P269),'Price List'!$O$5:$O$74,0)),0)</f>
        <v>98</v>
      </c>
      <c r="X269" s="143">
        <f>IFERROR(INDEX('Price List'!$K$5:$K$74,MATCH(TRIM(J269)&amp;"|"&amp;TRIM(P269),'Price List'!$O$5:$O$74,0)),0)</f>
        <v>0.12</v>
      </c>
      <c r="Y269" s="141">
        <f t="shared" si="24"/>
        <v>109.76</v>
      </c>
      <c r="Z269" s="141">
        <f t="shared" si="25"/>
        <v>610.74815999999998</v>
      </c>
      <c r="AA269" s="134"/>
    </row>
    <row r="270" spans="1:27" ht="15" customHeight="1" x14ac:dyDescent="0.35">
      <c r="A270" s="134"/>
      <c r="B270" s="135"/>
      <c r="C270" s="134" t="s">
        <v>444</v>
      </c>
      <c r="D270" s="136" t="str">
        <f t="shared" si="22"/>
        <v>B.04</v>
      </c>
      <c r="E270" s="135" t="s">
        <v>414</v>
      </c>
      <c r="F270" s="135" t="s">
        <v>672</v>
      </c>
      <c r="G270" s="134" t="s">
        <v>31</v>
      </c>
      <c r="H270" s="134" t="s">
        <v>578</v>
      </c>
      <c r="I270" s="144" t="s">
        <v>127</v>
      </c>
      <c r="J270" s="144" t="s">
        <v>127</v>
      </c>
      <c r="K270" s="144"/>
      <c r="L270" s="134"/>
      <c r="M270" s="134"/>
      <c r="N270" s="134"/>
      <c r="O270" s="134"/>
      <c r="P270" s="135" t="s">
        <v>128</v>
      </c>
      <c r="Q270" s="137">
        <f t="shared" si="21"/>
        <v>75.239999999999995</v>
      </c>
      <c r="R270" s="137">
        <f>R269*15</f>
        <v>75.239999999999995</v>
      </c>
      <c r="S270" s="138"/>
      <c r="T270" s="139">
        <f>IFERROR(INDEX('Price List'!$G$5:$G$74,MATCH(TRIM(J270)&amp;"|"&amp;TRIM(P270),'Price List'!$O$5:$O$74,0)),0)</f>
        <v>6</v>
      </c>
      <c r="U270" s="140">
        <f>IFERROR(INDEX('Price List'!$H$5:$H$74,MATCH(TRIM(J270)&amp;"|"&amp;TRIM(P270),'Price List'!$O$5:$O$74,0)),0)</f>
        <v>0.2</v>
      </c>
      <c r="V270" s="141">
        <f t="shared" si="23"/>
        <v>7.1999999999999993</v>
      </c>
      <c r="W270" s="142">
        <f>IFERROR(INDEX('Price List'!$J$5:$J$74,MATCH(TRIM(J270)&amp;"|"&amp;TRIM(P270),'Price List'!$O$5:$O$74,0)),0)</f>
        <v>5</v>
      </c>
      <c r="X270" s="143">
        <f>IFERROR(INDEX('Price List'!$K$5:$K$74,MATCH(TRIM(J270)&amp;"|"&amp;TRIM(P270),'Price List'!$O$5:$O$74,0)),0)</f>
        <v>0.12</v>
      </c>
      <c r="Y270" s="141">
        <f t="shared" si="24"/>
        <v>5.6000000000000005</v>
      </c>
      <c r="Z270" s="141">
        <f t="shared" si="25"/>
        <v>963.072</v>
      </c>
      <c r="AA270" s="134"/>
    </row>
    <row r="271" spans="1:27" ht="15" customHeight="1" x14ac:dyDescent="0.35">
      <c r="A271" s="134"/>
      <c r="B271" s="135"/>
      <c r="C271" s="134" t="s">
        <v>444</v>
      </c>
      <c r="D271" s="136" t="str">
        <f t="shared" si="22"/>
        <v>B.04</v>
      </c>
      <c r="E271" s="135" t="s">
        <v>414</v>
      </c>
      <c r="F271" s="135" t="s">
        <v>672</v>
      </c>
      <c r="G271" s="134" t="s">
        <v>31</v>
      </c>
      <c r="H271" s="134" t="s">
        <v>578</v>
      </c>
      <c r="I271" s="134" t="s">
        <v>513</v>
      </c>
      <c r="J271" s="144" t="s">
        <v>169</v>
      </c>
      <c r="K271" s="144"/>
      <c r="L271" s="134"/>
      <c r="M271" s="134"/>
      <c r="N271" s="134"/>
      <c r="O271" s="134"/>
      <c r="P271" s="135" t="s">
        <v>103</v>
      </c>
      <c r="Q271" s="137">
        <f t="shared" si="21"/>
        <v>50.16</v>
      </c>
      <c r="R271" s="137">
        <f>R269*10</f>
        <v>50.16</v>
      </c>
      <c r="S271" s="138"/>
      <c r="T271" s="139">
        <f>IFERROR(INDEX('Price List'!$G$5:$G$74,MATCH(TRIM(J271)&amp;"|"&amp;TRIM(P271),'Price List'!$O$5:$O$74,0)),0)</f>
        <v>0.12</v>
      </c>
      <c r="U271" s="140">
        <f>IFERROR(INDEX('Price List'!$H$5:$H$74,MATCH(TRIM(J271)&amp;"|"&amp;TRIM(P271),'Price List'!$O$5:$O$74,0)),0)</f>
        <v>0.2</v>
      </c>
      <c r="V271" s="141">
        <f t="shared" si="23"/>
        <v>0.14399999999999999</v>
      </c>
      <c r="W271" s="142">
        <f>IFERROR(INDEX('Price List'!$J$5:$J$74,MATCH(TRIM(J271)&amp;"|"&amp;TRIM(P271),'Price List'!$O$5:$O$74,0)),0)</f>
        <v>0.77</v>
      </c>
      <c r="X271" s="143">
        <f>IFERROR(INDEX('Price List'!$K$5:$K$74,MATCH(TRIM(J271)&amp;"|"&amp;TRIM(P271),'Price List'!$O$5:$O$74,0)),0)</f>
        <v>0.12</v>
      </c>
      <c r="Y271" s="141">
        <f t="shared" si="24"/>
        <v>0.86240000000000006</v>
      </c>
      <c r="Z271" s="141">
        <f t="shared" si="25"/>
        <v>50.481023999999998</v>
      </c>
      <c r="AA271" s="134"/>
    </row>
    <row r="272" spans="1:27" ht="15" customHeight="1" x14ac:dyDescent="0.35">
      <c r="A272" s="134"/>
      <c r="B272" s="135"/>
      <c r="C272" s="134" t="s">
        <v>444</v>
      </c>
      <c r="D272" s="136" t="str">
        <f t="shared" si="22"/>
        <v>B.04</v>
      </c>
      <c r="E272" s="135" t="s">
        <v>414</v>
      </c>
      <c r="F272" s="135" t="s">
        <v>672</v>
      </c>
      <c r="G272" s="134" t="s">
        <v>31</v>
      </c>
      <c r="H272" s="134" t="s">
        <v>578</v>
      </c>
      <c r="I272" s="134" t="s">
        <v>513</v>
      </c>
      <c r="J272" s="144" t="s">
        <v>131</v>
      </c>
      <c r="K272" s="134"/>
      <c r="L272" s="134"/>
      <c r="M272" s="134"/>
      <c r="N272" s="134"/>
      <c r="O272" s="134"/>
      <c r="P272" s="135" t="s">
        <v>103</v>
      </c>
      <c r="Q272" s="137">
        <f t="shared" si="21"/>
        <v>601.91999999999996</v>
      </c>
      <c r="R272" s="137">
        <f>R269*120</f>
        <v>601.91999999999996</v>
      </c>
      <c r="S272" s="138"/>
      <c r="T272" s="139">
        <f>IFERROR(INDEX('Price List'!$G$5:$G$74,MATCH(TRIM(J272)&amp;"|"&amp;TRIM(P272),'Price List'!$O$5:$O$74,0)),0)</f>
        <v>0.11</v>
      </c>
      <c r="U272" s="140">
        <f>IFERROR(INDEX('Price List'!$H$5:$H$74,MATCH(TRIM(J272)&amp;"|"&amp;TRIM(P272),'Price List'!$O$5:$O$74,0)),0)</f>
        <v>0.2</v>
      </c>
      <c r="V272" s="141">
        <f t="shared" si="23"/>
        <v>0.13200000000000001</v>
      </c>
      <c r="W272" s="142">
        <f>IFERROR(INDEX('Price List'!$J$5:$J$74,MATCH(TRIM(J272)&amp;"|"&amp;TRIM(P272),'Price List'!$O$5:$O$74,0)),0)</f>
        <v>0.76</v>
      </c>
      <c r="X272" s="143">
        <f>IFERROR(INDEX('Price List'!$K$5:$K$74,MATCH(TRIM(J272)&amp;"|"&amp;TRIM(P272),'Price List'!$O$5:$O$74,0)),0)</f>
        <v>0.12</v>
      </c>
      <c r="Y272" s="141">
        <f t="shared" si="24"/>
        <v>0.85120000000000007</v>
      </c>
      <c r="Z272" s="141">
        <f t="shared" si="25"/>
        <v>591.80774399999996</v>
      </c>
      <c r="AA272" s="134"/>
    </row>
    <row r="273" spans="1:27" ht="15" customHeight="1" x14ac:dyDescent="0.35">
      <c r="A273" s="134"/>
      <c r="B273" s="135"/>
      <c r="C273" s="134" t="s">
        <v>444</v>
      </c>
      <c r="D273" s="136" t="str">
        <f t="shared" si="22"/>
        <v>B.04</v>
      </c>
      <c r="E273" s="135" t="s">
        <v>414</v>
      </c>
      <c r="F273" s="135" t="s">
        <v>672</v>
      </c>
      <c r="G273" s="134" t="s">
        <v>31</v>
      </c>
      <c r="H273" s="134" t="s">
        <v>578</v>
      </c>
      <c r="I273" s="134" t="s">
        <v>513</v>
      </c>
      <c r="J273" s="144" t="s">
        <v>133</v>
      </c>
      <c r="K273" s="134"/>
      <c r="L273" s="134"/>
      <c r="M273" s="134"/>
      <c r="N273" s="134"/>
      <c r="O273" s="134"/>
      <c r="P273" s="135" t="s">
        <v>103</v>
      </c>
      <c r="Q273" s="137">
        <f t="shared" si="21"/>
        <v>125.4</v>
      </c>
      <c r="R273" s="137">
        <f>R269*25</f>
        <v>125.4</v>
      </c>
      <c r="S273" s="138"/>
      <c r="T273" s="139">
        <f>IFERROR(INDEX('Price List'!$G$5:$G$74,MATCH(TRIM(J273)&amp;"|"&amp;TRIM(P273),'Price List'!$O$5:$O$74,0)),0)</f>
        <v>0.1</v>
      </c>
      <c r="U273" s="140">
        <f>IFERROR(INDEX('Price List'!$H$5:$H$74,MATCH(TRIM(J273)&amp;"|"&amp;TRIM(P273),'Price List'!$O$5:$O$74,0)),0)</f>
        <v>0.2</v>
      </c>
      <c r="V273" s="141">
        <f t="shared" si="23"/>
        <v>0.12</v>
      </c>
      <c r="W273" s="142">
        <f>IFERROR(INDEX('Price List'!$J$5:$J$74,MATCH(TRIM(J273)&amp;"|"&amp;TRIM(P273),'Price List'!$O$5:$O$74,0)),0)</f>
        <v>0.74</v>
      </c>
      <c r="X273" s="143">
        <f>IFERROR(INDEX('Price List'!$K$5:$K$74,MATCH(TRIM(J273)&amp;"|"&amp;TRIM(P273),'Price List'!$O$5:$O$74,0)),0)</f>
        <v>0.12</v>
      </c>
      <c r="Y273" s="141">
        <f t="shared" si="24"/>
        <v>0.82880000000000009</v>
      </c>
      <c r="Z273" s="141">
        <f t="shared" si="25"/>
        <v>118.97952000000002</v>
      </c>
      <c r="AA273" s="134"/>
    </row>
    <row r="274" spans="1:27" ht="15" customHeight="1" x14ac:dyDescent="0.35">
      <c r="A274" s="134"/>
      <c r="B274" s="135"/>
      <c r="C274" s="134" t="s">
        <v>444</v>
      </c>
      <c r="D274" s="136" t="str">
        <f t="shared" si="22"/>
        <v>B.04</v>
      </c>
      <c r="E274" s="135" t="s">
        <v>414</v>
      </c>
      <c r="F274" s="135" t="s">
        <v>672</v>
      </c>
      <c r="G274" s="134" t="s">
        <v>31</v>
      </c>
      <c r="H274" s="134" t="s">
        <v>578</v>
      </c>
      <c r="I274" s="134" t="s">
        <v>657</v>
      </c>
      <c r="J274" s="134" t="s">
        <v>107</v>
      </c>
      <c r="K274" s="134"/>
      <c r="L274" s="134"/>
      <c r="M274" s="134"/>
      <c r="N274" s="134"/>
      <c r="O274" s="134"/>
      <c r="P274" s="135" t="s">
        <v>103</v>
      </c>
      <c r="Q274" s="137">
        <f t="shared" si="21"/>
        <v>31.099199999999996</v>
      </c>
      <c r="R274" s="137">
        <f>(R272+R273+R271)*4%</f>
        <v>31.099199999999996</v>
      </c>
      <c r="S274" s="138"/>
      <c r="T274" s="139">
        <f>IFERROR(INDEX('Price List'!$G$5:$G$74,MATCH(TRIM(J274)&amp;"|"&amp;TRIM(P274),'Price List'!$O$5:$O$74,0)),0)</f>
        <v>0.05</v>
      </c>
      <c r="U274" s="140">
        <f>IFERROR(INDEX('Price List'!$H$5:$H$74,MATCH(TRIM(J274)&amp;"|"&amp;TRIM(P274),'Price List'!$O$5:$O$74,0)),0)</f>
        <v>0.2</v>
      </c>
      <c r="V274" s="141">
        <f t="shared" si="23"/>
        <v>0.06</v>
      </c>
      <c r="W274" s="142">
        <f>IFERROR(INDEX('Price List'!$J$5:$J$74,MATCH(TRIM(J274)&amp;"|"&amp;TRIM(P274),'Price List'!$O$5:$O$74,0)),0)</f>
        <v>1.2</v>
      </c>
      <c r="X274" s="143">
        <f>IFERROR(INDEX('Price List'!$K$5:$K$74,MATCH(TRIM(J274)&amp;"|"&amp;TRIM(P274),'Price List'!$O$5:$O$74,0)),0)</f>
        <v>0.12</v>
      </c>
      <c r="Y274" s="141">
        <f t="shared" si="24"/>
        <v>1.3440000000000001</v>
      </c>
      <c r="Z274" s="141">
        <f t="shared" si="25"/>
        <v>43.663276799999998</v>
      </c>
      <c r="AA274" s="134"/>
    </row>
    <row r="275" spans="1:27" ht="15" customHeight="1" x14ac:dyDescent="0.35">
      <c r="A275" s="134"/>
      <c r="B275" s="134"/>
      <c r="C275" s="134" t="s">
        <v>444</v>
      </c>
      <c r="D275" s="136" t="str">
        <f t="shared" si="22"/>
        <v>B.04</v>
      </c>
      <c r="E275" s="135" t="s">
        <v>414</v>
      </c>
      <c r="F275" s="135" t="s">
        <v>672</v>
      </c>
      <c r="G275" s="134" t="s">
        <v>31</v>
      </c>
      <c r="H275" s="134" t="s">
        <v>573</v>
      </c>
      <c r="I275" s="134" t="s">
        <v>512</v>
      </c>
      <c r="J275" s="144" t="s">
        <v>125</v>
      </c>
      <c r="K275" s="134"/>
      <c r="L275" s="134"/>
      <c r="M275" s="134"/>
      <c r="N275" s="134"/>
      <c r="O275" s="134"/>
      <c r="P275" s="135" t="s">
        <v>100</v>
      </c>
      <c r="Q275" s="137">
        <f t="shared" si="21"/>
        <v>38.975999999999999</v>
      </c>
      <c r="R275" s="137">
        <v>38.975999999999999</v>
      </c>
      <c r="S275" s="138"/>
      <c r="T275" s="139">
        <f>IFERROR(INDEX('Price List'!$G$5:$G$74,MATCH(TRIM(J275)&amp;"|"&amp;TRIM(P275),'Price List'!$O$5:$O$74,0)),0)</f>
        <v>10</v>
      </c>
      <c r="U275" s="140">
        <f>IFERROR(INDEX('Price List'!$H$5:$H$74,MATCH(TRIM(J275)&amp;"|"&amp;TRIM(P275),'Price List'!$O$5:$O$74,0)),0)</f>
        <v>0.2</v>
      </c>
      <c r="V275" s="141">
        <f t="shared" si="23"/>
        <v>12</v>
      </c>
      <c r="W275" s="142">
        <f>IFERROR(INDEX('Price List'!$J$5:$J$74,MATCH(TRIM(J275)&amp;"|"&amp;TRIM(P275),'Price List'!$O$5:$O$74,0)),0)</f>
        <v>98</v>
      </c>
      <c r="X275" s="143">
        <f>IFERROR(INDEX('Price List'!$K$5:$K$74,MATCH(TRIM(J275)&amp;"|"&amp;TRIM(P275),'Price List'!$O$5:$O$74,0)),0)</f>
        <v>0.12</v>
      </c>
      <c r="Y275" s="141">
        <f t="shared" si="24"/>
        <v>109.76</v>
      </c>
      <c r="Z275" s="141">
        <f t="shared" si="25"/>
        <v>4745.7177600000005</v>
      </c>
      <c r="AA275" s="134"/>
    </row>
    <row r="276" spans="1:27" ht="15" customHeight="1" x14ac:dyDescent="0.35">
      <c r="A276" s="134"/>
      <c r="B276" s="134"/>
      <c r="C276" s="134" t="s">
        <v>444</v>
      </c>
      <c r="D276" s="136" t="str">
        <f t="shared" si="22"/>
        <v>B.04</v>
      </c>
      <c r="E276" s="135" t="s">
        <v>414</v>
      </c>
      <c r="F276" s="135" t="s">
        <v>672</v>
      </c>
      <c r="G276" s="134" t="s">
        <v>31</v>
      </c>
      <c r="H276" s="134" t="s">
        <v>573</v>
      </c>
      <c r="I276" s="144" t="s">
        <v>127</v>
      </c>
      <c r="J276" s="144" t="s">
        <v>127</v>
      </c>
      <c r="K276" s="144"/>
      <c r="L276" s="134"/>
      <c r="M276" s="134"/>
      <c r="N276" s="134"/>
      <c r="O276" s="134"/>
      <c r="P276" s="135" t="s">
        <v>128</v>
      </c>
      <c r="Q276" s="137">
        <f t="shared" si="21"/>
        <v>204.96</v>
      </c>
      <c r="R276" s="137">
        <v>204.96</v>
      </c>
      <c r="S276" s="138"/>
      <c r="T276" s="139">
        <f>IFERROR(INDEX('Price List'!$G$5:$G$74,MATCH(TRIM(J276)&amp;"|"&amp;TRIM(P276),'Price List'!$O$5:$O$74,0)),0)</f>
        <v>6</v>
      </c>
      <c r="U276" s="140">
        <f>IFERROR(INDEX('Price List'!$H$5:$H$74,MATCH(TRIM(J276)&amp;"|"&amp;TRIM(P276),'Price List'!$O$5:$O$74,0)),0)</f>
        <v>0.2</v>
      </c>
      <c r="V276" s="141">
        <f t="shared" si="23"/>
        <v>7.1999999999999993</v>
      </c>
      <c r="W276" s="142">
        <f>IFERROR(INDEX('Price List'!$J$5:$J$74,MATCH(TRIM(J276)&amp;"|"&amp;TRIM(P276),'Price List'!$O$5:$O$74,0)),0)</f>
        <v>5</v>
      </c>
      <c r="X276" s="143">
        <f>IFERROR(INDEX('Price List'!$K$5:$K$74,MATCH(TRIM(J276)&amp;"|"&amp;TRIM(P276),'Price List'!$O$5:$O$74,0)),0)</f>
        <v>0.12</v>
      </c>
      <c r="Y276" s="141">
        <f t="shared" si="24"/>
        <v>5.6000000000000005</v>
      </c>
      <c r="Z276" s="141">
        <f t="shared" si="25"/>
        <v>2623.4880000000003</v>
      </c>
      <c r="AA276" s="134"/>
    </row>
    <row r="277" spans="1:27" ht="15" customHeight="1" x14ac:dyDescent="0.35">
      <c r="A277" s="134"/>
      <c r="B277" s="134"/>
      <c r="C277" s="134" t="s">
        <v>444</v>
      </c>
      <c r="D277" s="136" t="str">
        <f t="shared" si="22"/>
        <v>B.04</v>
      </c>
      <c r="E277" s="135" t="s">
        <v>414</v>
      </c>
      <c r="F277" s="135" t="s">
        <v>672</v>
      </c>
      <c r="G277" s="134" t="s">
        <v>31</v>
      </c>
      <c r="H277" s="134" t="s">
        <v>573</v>
      </c>
      <c r="I277" s="134" t="s">
        <v>513</v>
      </c>
      <c r="J277" s="144" t="s">
        <v>102</v>
      </c>
      <c r="K277" s="134"/>
      <c r="L277" s="134"/>
      <c r="M277" s="134"/>
      <c r="N277" s="134"/>
      <c r="O277" s="134"/>
      <c r="P277" s="135" t="s">
        <v>103</v>
      </c>
      <c r="Q277" s="137">
        <f t="shared" si="21"/>
        <v>418.07920000000001</v>
      </c>
      <c r="R277" s="137">
        <v>418.07920000000001</v>
      </c>
      <c r="S277" s="138"/>
      <c r="T277" s="139">
        <f>IFERROR(INDEX('Price List'!$G$5:$G$74,MATCH(TRIM(J277)&amp;"|"&amp;TRIM(P277),'Price List'!$O$5:$O$74,0)),0)</f>
        <v>0.12</v>
      </c>
      <c r="U277" s="140">
        <f>IFERROR(INDEX('Price List'!$H$5:$H$74,MATCH(TRIM(J277)&amp;"|"&amp;TRIM(P277),'Price List'!$O$5:$O$74,0)),0)</f>
        <v>0.2</v>
      </c>
      <c r="V277" s="141">
        <f t="shared" si="23"/>
        <v>0.14399999999999999</v>
      </c>
      <c r="W277" s="142">
        <f>IFERROR(INDEX('Price List'!$J$5:$J$74,MATCH(TRIM(J277)&amp;"|"&amp;TRIM(P277),'Price List'!$O$5:$O$74,0)),0)</f>
        <v>0.78</v>
      </c>
      <c r="X277" s="143">
        <f>IFERROR(INDEX('Price List'!$K$5:$K$74,MATCH(TRIM(J277)&amp;"|"&amp;TRIM(P277),'Price List'!$O$5:$O$74,0)),0)</f>
        <v>0.12</v>
      </c>
      <c r="Y277" s="141">
        <f t="shared" si="24"/>
        <v>0.87360000000000015</v>
      </c>
      <c r="Z277" s="141">
        <f t="shared" si="25"/>
        <v>425.43739392000003</v>
      </c>
      <c r="AA277" s="134"/>
    </row>
    <row r="278" spans="1:27" ht="15" customHeight="1" x14ac:dyDescent="0.35">
      <c r="A278" s="134"/>
      <c r="B278" s="134"/>
      <c r="C278" s="134" t="s">
        <v>444</v>
      </c>
      <c r="D278" s="136" t="str">
        <f t="shared" si="22"/>
        <v>B.04</v>
      </c>
      <c r="E278" s="135" t="s">
        <v>414</v>
      </c>
      <c r="F278" s="135" t="s">
        <v>672</v>
      </c>
      <c r="G278" s="134" t="s">
        <v>31</v>
      </c>
      <c r="H278" s="134" t="s">
        <v>573</v>
      </c>
      <c r="I278" s="134" t="s">
        <v>513</v>
      </c>
      <c r="J278" s="144" t="s">
        <v>131</v>
      </c>
      <c r="K278" s="134"/>
      <c r="L278" s="134"/>
      <c r="M278" s="134"/>
      <c r="N278" s="134"/>
      <c r="O278" s="134"/>
      <c r="P278" s="135" t="s">
        <v>103</v>
      </c>
      <c r="Q278" s="137">
        <f t="shared" si="21"/>
        <v>2118.4128000000001</v>
      </c>
      <c r="R278" s="137">
        <v>2118.4128000000001</v>
      </c>
      <c r="S278" s="138"/>
      <c r="T278" s="139">
        <f>IFERROR(INDEX('Price List'!$G$5:$G$74,MATCH(TRIM(J278)&amp;"|"&amp;TRIM(P278),'Price List'!$O$5:$O$74,0)),0)</f>
        <v>0.11</v>
      </c>
      <c r="U278" s="140">
        <f>IFERROR(INDEX('Price List'!$H$5:$H$74,MATCH(TRIM(J278)&amp;"|"&amp;TRIM(P278),'Price List'!$O$5:$O$74,0)),0)</f>
        <v>0.2</v>
      </c>
      <c r="V278" s="141">
        <f t="shared" si="23"/>
        <v>0.13200000000000001</v>
      </c>
      <c r="W278" s="142">
        <f>IFERROR(INDEX('Price List'!$J$5:$J$74,MATCH(TRIM(J278)&amp;"|"&amp;TRIM(P278),'Price List'!$O$5:$O$74,0)),0)</f>
        <v>0.76</v>
      </c>
      <c r="X278" s="143">
        <f>IFERROR(INDEX('Price List'!$K$5:$K$74,MATCH(TRIM(J278)&amp;"|"&amp;TRIM(P278),'Price List'!$O$5:$O$74,0)),0)</f>
        <v>0.12</v>
      </c>
      <c r="Y278" s="141">
        <f t="shared" si="24"/>
        <v>0.85120000000000007</v>
      </c>
      <c r="Z278" s="141">
        <f t="shared" si="25"/>
        <v>2082.8234649600004</v>
      </c>
      <c r="AA278" s="134"/>
    </row>
    <row r="279" spans="1:27" ht="15" customHeight="1" x14ac:dyDescent="0.35">
      <c r="A279" s="134"/>
      <c r="B279" s="134"/>
      <c r="C279" s="134" t="s">
        <v>444</v>
      </c>
      <c r="D279" s="136" t="str">
        <f t="shared" si="22"/>
        <v>B.04</v>
      </c>
      <c r="E279" s="135" t="s">
        <v>414</v>
      </c>
      <c r="F279" s="135" t="s">
        <v>672</v>
      </c>
      <c r="G279" s="134" t="s">
        <v>31</v>
      </c>
      <c r="H279" s="134" t="s">
        <v>573</v>
      </c>
      <c r="I279" s="134" t="s">
        <v>513</v>
      </c>
      <c r="J279" s="144" t="s">
        <v>135</v>
      </c>
      <c r="K279" s="134"/>
      <c r="L279" s="134"/>
      <c r="M279" s="134"/>
      <c r="N279" s="134"/>
      <c r="O279" s="134"/>
      <c r="P279" s="135" t="s">
        <v>103</v>
      </c>
      <c r="Q279" s="137">
        <f t="shared" si="21"/>
        <v>1231.0272</v>
      </c>
      <c r="R279" s="137">
        <v>1231.0272</v>
      </c>
      <c r="S279" s="138"/>
      <c r="T279" s="139">
        <f>IFERROR(INDEX('Price List'!$G$5:$G$74,MATCH(TRIM(J279)&amp;"|"&amp;TRIM(P279),'Price List'!$O$5:$O$74,0)),0)</f>
        <v>0.09</v>
      </c>
      <c r="U279" s="140">
        <f>IFERROR(INDEX('Price List'!$H$5:$H$74,MATCH(TRIM(J279)&amp;"|"&amp;TRIM(P279),'Price List'!$O$5:$O$74,0)),0)</f>
        <v>0.2</v>
      </c>
      <c r="V279" s="141">
        <f t="shared" si="23"/>
        <v>0.108</v>
      </c>
      <c r="W279" s="142">
        <f>IFERROR(INDEX('Price List'!$J$5:$J$74,MATCH(TRIM(J279)&amp;"|"&amp;TRIM(P279),'Price List'!$O$5:$O$74,0)),0)</f>
        <v>0.73</v>
      </c>
      <c r="X279" s="143">
        <f>IFERROR(INDEX('Price List'!$K$5:$K$74,MATCH(TRIM(J279)&amp;"|"&amp;TRIM(P279),'Price List'!$O$5:$O$74,0)),0)</f>
        <v>0.12</v>
      </c>
      <c r="Y279" s="141">
        <f t="shared" si="24"/>
        <v>0.8176000000000001</v>
      </c>
      <c r="Z279" s="141">
        <f t="shared" si="25"/>
        <v>1139.4387763200002</v>
      </c>
      <c r="AA279" s="134"/>
    </row>
    <row r="280" spans="1:27" ht="15" customHeight="1" x14ac:dyDescent="0.35">
      <c r="A280" s="134"/>
      <c r="B280" s="134"/>
      <c r="C280" s="134" t="s">
        <v>444</v>
      </c>
      <c r="D280" s="136" t="str">
        <f t="shared" si="22"/>
        <v>B.04</v>
      </c>
      <c r="E280" s="135" t="s">
        <v>414</v>
      </c>
      <c r="F280" s="135" t="s">
        <v>672</v>
      </c>
      <c r="G280" s="134" t="s">
        <v>31</v>
      </c>
      <c r="H280" s="134" t="s">
        <v>573</v>
      </c>
      <c r="I280" s="134" t="s">
        <v>513</v>
      </c>
      <c r="J280" s="144" t="s">
        <v>105</v>
      </c>
      <c r="K280" s="134"/>
      <c r="L280" s="134"/>
      <c r="M280" s="134"/>
      <c r="N280" s="134"/>
      <c r="O280" s="134"/>
      <c r="P280" s="135" t="s">
        <v>103</v>
      </c>
      <c r="Q280" s="137">
        <f t="shared" si="21"/>
        <v>5365.9008000000003</v>
      </c>
      <c r="R280" s="137">
        <v>5365.9008000000003</v>
      </c>
      <c r="S280" s="138"/>
      <c r="T280" s="139">
        <f>IFERROR(INDEX('Price List'!$G$5:$G$74,MATCH(TRIM(J280)&amp;"|"&amp;TRIM(P280),'Price List'!$O$5:$O$74,0)),0)</f>
        <v>0.08</v>
      </c>
      <c r="U280" s="140">
        <f>IFERROR(INDEX('Price List'!$H$5:$H$74,MATCH(TRIM(J280)&amp;"|"&amp;TRIM(P280),'Price List'!$O$5:$O$74,0)),0)</f>
        <v>0.2</v>
      </c>
      <c r="V280" s="141">
        <f t="shared" si="23"/>
        <v>9.6000000000000002E-2</v>
      </c>
      <c r="W280" s="142">
        <f>IFERROR(INDEX('Price List'!$J$5:$J$74,MATCH(TRIM(J280)&amp;"|"&amp;TRIM(P280),'Price List'!$O$5:$O$74,0)),0)</f>
        <v>0.72</v>
      </c>
      <c r="X280" s="143">
        <f>IFERROR(INDEX('Price List'!$K$5:$K$74,MATCH(TRIM(J280)&amp;"|"&amp;TRIM(P280),'Price List'!$O$5:$O$74,0)),0)</f>
        <v>0.12</v>
      </c>
      <c r="Y280" s="141">
        <f t="shared" si="24"/>
        <v>0.80640000000000001</v>
      </c>
      <c r="Z280" s="141">
        <f t="shared" si="25"/>
        <v>4842.1888819200003</v>
      </c>
      <c r="AA280" s="134"/>
    </row>
    <row r="281" spans="1:27" ht="15" customHeight="1" x14ac:dyDescent="0.35">
      <c r="A281" s="134"/>
      <c r="B281" s="134"/>
      <c r="C281" s="134" t="s">
        <v>444</v>
      </c>
      <c r="D281" s="136" t="str">
        <f t="shared" si="22"/>
        <v>B.04</v>
      </c>
      <c r="E281" s="135" t="s">
        <v>414</v>
      </c>
      <c r="F281" s="135" t="s">
        <v>672</v>
      </c>
      <c r="G281" s="134" t="s">
        <v>31</v>
      </c>
      <c r="H281" s="134" t="s">
        <v>573</v>
      </c>
      <c r="I281" s="134" t="s">
        <v>657</v>
      </c>
      <c r="J281" s="134" t="s">
        <v>107</v>
      </c>
      <c r="K281" s="134"/>
      <c r="L281" s="134"/>
      <c r="M281" s="134"/>
      <c r="N281" s="134"/>
      <c r="O281" s="134"/>
      <c r="P281" s="135" t="s">
        <v>103</v>
      </c>
      <c r="Q281" s="137">
        <f t="shared" si="21"/>
        <v>365.33679999999998</v>
      </c>
      <c r="R281" s="137">
        <f>(R279+R280+R278+R277)*4%</f>
        <v>365.33679999999998</v>
      </c>
      <c r="S281" s="138"/>
      <c r="T281" s="139">
        <f>IFERROR(INDEX('Price List'!$G$5:$G$74,MATCH(TRIM(J281)&amp;"|"&amp;TRIM(P281),'Price List'!$O$5:$O$74,0)),0)</f>
        <v>0.05</v>
      </c>
      <c r="U281" s="140">
        <f>IFERROR(INDEX('Price List'!$H$5:$H$74,MATCH(TRIM(J281)&amp;"|"&amp;TRIM(P281),'Price List'!$O$5:$O$74,0)),0)</f>
        <v>0.2</v>
      </c>
      <c r="V281" s="141">
        <f t="shared" si="23"/>
        <v>0.06</v>
      </c>
      <c r="W281" s="142">
        <f>IFERROR(INDEX('Price List'!$J$5:$J$74,MATCH(TRIM(J281)&amp;"|"&amp;TRIM(P281),'Price List'!$O$5:$O$74,0)),0)</f>
        <v>1.2</v>
      </c>
      <c r="X281" s="143">
        <f>IFERROR(INDEX('Price List'!$K$5:$K$74,MATCH(TRIM(J281)&amp;"|"&amp;TRIM(P281),'Price List'!$O$5:$O$74,0)),0)</f>
        <v>0.12</v>
      </c>
      <c r="Y281" s="141">
        <f t="shared" si="24"/>
        <v>1.3440000000000001</v>
      </c>
      <c r="Z281" s="141">
        <f t="shared" si="25"/>
        <v>512.93286720000003</v>
      </c>
      <c r="AA281" s="134"/>
    </row>
    <row r="282" spans="1:27" ht="15" customHeight="1" x14ac:dyDescent="0.35">
      <c r="A282" s="134"/>
      <c r="B282" s="135"/>
      <c r="C282" s="134" t="s">
        <v>444</v>
      </c>
      <c r="D282" s="136" t="str">
        <f t="shared" si="22"/>
        <v>B.04</v>
      </c>
      <c r="E282" s="135" t="s">
        <v>414</v>
      </c>
      <c r="F282" s="135" t="s">
        <v>673</v>
      </c>
      <c r="G282" s="134" t="s">
        <v>31</v>
      </c>
      <c r="H282" s="134" t="s">
        <v>564</v>
      </c>
      <c r="I282" s="134" t="s">
        <v>512</v>
      </c>
      <c r="J282" s="145" t="s">
        <v>125</v>
      </c>
      <c r="K282" s="134"/>
      <c r="L282" s="134"/>
      <c r="M282" s="134"/>
      <c r="N282" s="134"/>
      <c r="O282" s="134"/>
      <c r="P282" s="135" t="s">
        <v>100</v>
      </c>
      <c r="Q282" s="137">
        <f t="shared" si="21"/>
        <v>46.741149999999998</v>
      </c>
      <c r="R282" s="137">
        <f>'5F&amp;6F beam'!H11</f>
        <v>46.741149999999998</v>
      </c>
      <c r="S282" s="138"/>
      <c r="T282" s="139">
        <f>IFERROR(INDEX('Price List'!$G$5:$G$74,MATCH(TRIM(J282)&amp;"|"&amp;TRIM(P282),'Price List'!$O$5:$O$74,0)),0)</f>
        <v>10</v>
      </c>
      <c r="U282" s="140">
        <f>IFERROR(INDEX('Price List'!$H$5:$H$74,MATCH(TRIM(J282)&amp;"|"&amp;TRIM(P282),'Price List'!$O$5:$O$74,0)),0)</f>
        <v>0.2</v>
      </c>
      <c r="V282" s="141">
        <f t="shared" si="23"/>
        <v>12</v>
      </c>
      <c r="W282" s="142">
        <f>IFERROR(INDEX('Price List'!$J$5:$J$74,MATCH(TRIM(J282)&amp;"|"&amp;TRIM(P282),'Price List'!$O$5:$O$74,0)),0)</f>
        <v>98</v>
      </c>
      <c r="X282" s="143">
        <f>IFERROR(INDEX('Price List'!$K$5:$K$74,MATCH(TRIM(J282)&amp;"|"&amp;TRIM(P282),'Price List'!$O$5:$O$74,0)),0)</f>
        <v>0.12</v>
      </c>
      <c r="Y282" s="141">
        <f t="shared" si="24"/>
        <v>109.76</v>
      </c>
      <c r="Z282" s="141">
        <f t="shared" si="25"/>
        <v>5691.2024240000001</v>
      </c>
      <c r="AA282" s="134"/>
    </row>
    <row r="283" spans="1:27" ht="15" customHeight="1" x14ac:dyDescent="0.35">
      <c r="A283" s="134"/>
      <c r="B283" s="135"/>
      <c r="C283" s="134" t="s">
        <v>444</v>
      </c>
      <c r="D283" s="136" t="str">
        <f t="shared" si="22"/>
        <v>B.04</v>
      </c>
      <c r="E283" s="135" t="s">
        <v>414</v>
      </c>
      <c r="F283" s="135" t="s">
        <v>673</v>
      </c>
      <c r="G283" s="134" t="s">
        <v>31</v>
      </c>
      <c r="H283" s="134" t="s">
        <v>564</v>
      </c>
      <c r="I283" s="144" t="s">
        <v>127</v>
      </c>
      <c r="J283" s="144" t="s">
        <v>127</v>
      </c>
      <c r="K283" s="144"/>
      <c r="L283" s="134"/>
      <c r="M283" s="134"/>
      <c r="N283" s="134"/>
      <c r="O283" s="134"/>
      <c r="P283" s="135" t="s">
        <v>128</v>
      </c>
      <c r="Q283" s="137">
        <f t="shared" si="21"/>
        <v>446.52599999999995</v>
      </c>
      <c r="R283" s="137">
        <f>'5F&amp;6F beam'!G11</f>
        <v>446.52599999999995</v>
      </c>
      <c r="S283" s="138"/>
      <c r="T283" s="139">
        <f>IFERROR(INDEX('Price List'!$G$5:$G$74,MATCH(TRIM(J283)&amp;"|"&amp;TRIM(P283),'Price List'!$O$5:$O$74,0)),0)</f>
        <v>6</v>
      </c>
      <c r="U283" s="140">
        <f>IFERROR(INDEX('Price List'!$H$5:$H$74,MATCH(TRIM(J283)&amp;"|"&amp;TRIM(P283),'Price List'!$O$5:$O$74,0)),0)</f>
        <v>0.2</v>
      </c>
      <c r="V283" s="141">
        <f t="shared" si="23"/>
        <v>7.1999999999999993</v>
      </c>
      <c r="W283" s="142">
        <f>IFERROR(INDEX('Price List'!$J$5:$J$74,MATCH(TRIM(J283)&amp;"|"&amp;TRIM(P283),'Price List'!$O$5:$O$74,0)),0)</f>
        <v>5</v>
      </c>
      <c r="X283" s="143">
        <f>IFERROR(INDEX('Price List'!$K$5:$K$74,MATCH(TRIM(J283)&amp;"|"&amp;TRIM(P283),'Price List'!$O$5:$O$74,0)),0)</f>
        <v>0.12</v>
      </c>
      <c r="Y283" s="141">
        <f t="shared" si="24"/>
        <v>5.6000000000000005</v>
      </c>
      <c r="Z283" s="141">
        <f t="shared" si="25"/>
        <v>5715.5328</v>
      </c>
      <c r="AA283" s="134"/>
    </row>
    <row r="284" spans="1:27" ht="15" customHeight="1" x14ac:dyDescent="0.35">
      <c r="A284" s="134"/>
      <c r="B284" s="135"/>
      <c r="C284" s="134" t="s">
        <v>444</v>
      </c>
      <c r="D284" s="136" t="str">
        <f t="shared" si="22"/>
        <v>B.04</v>
      </c>
      <c r="E284" s="135" t="s">
        <v>414</v>
      </c>
      <c r="F284" s="135" t="s">
        <v>673</v>
      </c>
      <c r="G284" s="134" t="s">
        <v>31</v>
      </c>
      <c r="H284" s="134" t="s">
        <v>564</v>
      </c>
      <c r="I284" s="134" t="s">
        <v>513</v>
      </c>
      <c r="J284" s="144" t="s">
        <v>169</v>
      </c>
      <c r="K284" s="134"/>
      <c r="L284" s="134"/>
      <c r="M284" s="134"/>
      <c r="N284" s="134"/>
      <c r="O284" s="134"/>
      <c r="P284" s="135" t="s">
        <v>103</v>
      </c>
      <c r="Q284" s="137">
        <f t="shared" si="21"/>
        <v>624.19479999999999</v>
      </c>
      <c r="R284" s="137">
        <f>'5F&amp;6F beam'!J14</f>
        <v>624.19479999999999</v>
      </c>
      <c r="S284" s="138"/>
      <c r="T284" s="139">
        <f>IFERROR(INDEX('Price List'!$G$5:$G$74,MATCH(TRIM(J284)&amp;"|"&amp;TRIM(P284),'Price List'!$O$5:$O$74,0)),0)</f>
        <v>0.12</v>
      </c>
      <c r="U284" s="140">
        <f>IFERROR(INDEX('Price List'!$H$5:$H$74,MATCH(TRIM(J284)&amp;"|"&amp;TRIM(P284),'Price List'!$O$5:$O$74,0)),0)</f>
        <v>0.2</v>
      </c>
      <c r="V284" s="141">
        <f t="shared" si="23"/>
        <v>0.14399999999999999</v>
      </c>
      <c r="W284" s="142">
        <f>IFERROR(INDEX('Price List'!$J$5:$J$74,MATCH(TRIM(J284)&amp;"|"&amp;TRIM(P284),'Price List'!$O$5:$O$74,0)),0)</f>
        <v>0.77</v>
      </c>
      <c r="X284" s="143">
        <f>IFERROR(INDEX('Price List'!$K$5:$K$74,MATCH(TRIM(J284)&amp;"|"&amp;TRIM(P284),'Price List'!$O$5:$O$74,0)),0)</f>
        <v>0.12</v>
      </c>
      <c r="Y284" s="141">
        <f t="shared" si="24"/>
        <v>0.86240000000000006</v>
      </c>
      <c r="Z284" s="141">
        <f t="shared" si="25"/>
        <v>628.18964671999993</v>
      </c>
      <c r="AA284" s="134"/>
    </row>
    <row r="285" spans="1:27" ht="15" customHeight="1" x14ac:dyDescent="0.35">
      <c r="A285" s="134"/>
      <c r="B285" s="135"/>
      <c r="C285" s="134" t="s">
        <v>444</v>
      </c>
      <c r="D285" s="136" t="str">
        <f t="shared" si="22"/>
        <v>B.04</v>
      </c>
      <c r="E285" s="135" t="s">
        <v>414</v>
      </c>
      <c r="F285" s="135" t="s">
        <v>673</v>
      </c>
      <c r="G285" s="134" t="s">
        <v>31</v>
      </c>
      <c r="H285" s="134" t="s">
        <v>564</v>
      </c>
      <c r="I285" s="134" t="s">
        <v>513</v>
      </c>
      <c r="J285" s="144" t="s">
        <v>102</v>
      </c>
      <c r="K285" s="134"/>
      <c r="L285" s="134"/>
      <c r="M285" s="134"/>
      <c r="N285" s="134"/>
      <c r="O285" s="134"/>
      <c r="P285" s="135" t="s">
        <v>103</v>
      </c>
      <c r="Q285" s="137">
        <f t="shared" si="21"/>
        <v>2823.6114200000006</v>
      </c>
      <c r="R285" s="137">
        <f>'5F&amp;6F beam'!J15</f>
        <v>2823.6114200000006</v>
      </c>
      <c r="S285" s="138"/>
      <c r="T285" s="139">
        <f>IFERROR(INDEX('Price List'!$G$5:$G$74,MATCH(TRIM(J285)&amp;"|"&amp;TRIM(P285),'Price List'!$O$5:$O$74,0)),0)</f>
        <v>0.12</v>
      </c>
      <c r="U285" s="140">
        <f>IFERROR(INDEX('Price List'!$H$5:$H$74,MATCH(TRIM(J285)&amp;"|"&amp;TRIM(P285),'Price List'!$O$5:$O$74,0)),0)</f>
        <v>0.2</v>
      </c>
      <c r="V285" s="141">
        <f t="shared" si="23"/>
        <v>0.14399999999999999</v>
      </c>
      <c r="W285" s="142">
        <f>IFERROR(INDEX('Price List'!$J$5:$J$74,MATCH(TRIM(J285)&amp;"|"&amp;TRIM(P285),'Price List'!$O$5:$O$74,0)),0)</f>
        <v>0.78</v>
      </c>
      <c r="X285" s="143">
        <f>IFERROR(INDEX('Price List'!$K$5:$K$74,MATCH(TRIM(J285)&amp;"|"&amp;TRIM(P285),'Price List'!$O$5:$O$74,0)),0)</f>
        <v>0.12</v>
      </c>
      <c r="Y285" s="141">
        <f t="shared" si="24"/>
        <v>0.87360000000000015</v>
      </c>
      <c r="Z285" s="141">
        <f t="shared" si="25"/>
        <v>2873.3069809920007</v>
      </c>
      <c r="AA285" s="134"/>
    </row>
    <row r="286" spans="1:27" ht="15" customHeight="1" x14ac:dyDescent="0.35">
      <c r="A286" s="134"/>
      <c r="B286" s="135"/>
      <c r="C286" s="134" t="s">
        <v>444</v>
      </c>
      <c r="D286" s="136" t="str">
        <f t="shared" si="22"/>
        <v>B.04</v>
      </c>
      <c r="E286" s="135" t="s">
        <v>414</v>
      </c>
      <c r="F286" s="135" t="s">
        <v>673</v>
      </c>
      <c r="G286" s="134" t="s">
        <v>31</v>
      </c>
      <c r="H286" s="134" t="s">
        <v>564</v>
      </c>
      <c r="I286" s="134" t="s">
        <v>513</v>
      </c>
      <c r="J286" s="144" t="s">
        <v>131</v>
      </c>
      <c r="K286" s="134"/>
      <c r="L286" s="134"/>
      <c r="M286" s="134"/>
      <c r="N286" s="134"/>
      <c r="O286" s="134"/>
      <c r="P286" s="135" t="s">
        <v>103</v>
      </c>
      <c r="Q286" s="137">
        <f t="shared" si="21"/>
        <v>295.33103999999997</v>
      </c>
      <c r="R286" s="137">
        <f>'5F&amp;6F beam'!J16</f>
        <v>295.33103999999997</v>
      </c>
      <c r="S286" s="138"/>
      <c r="T286" s="139">
        <f>IFERROR(INDEX('Price List'!$G$5:$G$74,MATCH(TRIM(J286)&amp;"|"&amp;TRIM(P286),'Price List'!$O$5:$O$74,0)),0)</f>
        <v>0.11</v>
      </c>
      <c r="U286" s="140">
        <f>IFERROR(INDEX('Price List'!$H$5:$H$74,MATCH(TRIM(J286)&amp;"|"&amp;TRIM(P286),'Price List'!$O$5:$O$74,0)),0)</f>
        <v>0.2</v>
      </c>
      <c r="V286" s="141">
        <f t="shared" si="23"/>
        <v>0.13200000000000001</v>
      </c>
      <c r="W286" s="142">
        <f>IFERROR(INDEX('Price List'!$J$5:$J$74,MATCH(TRIM(J286)&amp;"|"&amp;TRIM(P286),'Price List'!$O$5:$O$74,0)),0)</f>
        <v>0.76</v>
      </c>
      <c r="X286" s="143">
        <f>IFERROR(INDEX('Price List'!$K$5:$K$74,MATCH(TRIM(J286)&amp;"|"&amp;TRIM(P286),'Price List'!$O$5:$O$74,0)),0)</f>
        <v>0.12</v>
      </c>
      <c r="Y286" s="141">
        <f t="shared" si="24"/>
        <v>0.85120000000000007</v>
      </c>
      <c r="Z286" s="141">
        <f t="shared" si="25"/>
        <v>290.369478528</v>
      </c>
      <c r="AA286" s="134"/>
    </row>
    <row r="287" spans="1:27" ht="15" customHeight="1" x14ac:dyDescent="0.35">
      <c r="A287" s="134"/>
      <c r="B287" s="135"/>
      <c r="C287" s="134" t="s">
        <v>444</v>
      </c>
      <c r="D287" s="136" t="str">
        <f t="shared" si="22"/>
        <v>B.04</v>
      </c>
      <c r="E287" s="135" t="s">
        <v>414</v>
      </c>
      <c r="F287" s="135" t="s">
        <v>673</v>
      </c>
      <c r="G287" s="134" t="s">
        <v>31</v>
      </c>
      <c r="H287" s="134" t="s">
        <v>564</v>
      </c>
      <c r="I287" s="134" t="s">
        <v>513</v>
      </c>
      <c r="J287" s="144" t="s">
        <v>133</v>
      </c>
      <c r="K287" s="134"/>
      <c r="L287" s="134"/>
      <c r="M287" s="134"/>
      <c r="N287" s="134"/>
      <c r="O287" s="134"/>
      <c r="P287" s="135" t="s">
        <v>103</v>
      </c>
      <c r="Q287" s="137">
        <f t="shared" si="21"/>
        <v>2411.8152</v>
      </c>
      <c r="R287" s="137">
        <f>'5F&amp;6F beam'!J17</f>
        <v>2411.8152</v>
      </c>
      <c r="S287" s="138"/>
      <c r="T287" s="139">
        <f>IFERROR(INDEX('Price List'!$G$5:$G$74,MATCH(TRIM(J287)&amp;"|"&amp;TRIM(P287),'Price List'!$O$5:$O$74,0)),0)</f>
        <v>0.1</v>
      </c>
      <c r="U287" s="140">
        <f>IFERROR(INDEX('Price List'!$H$5:$H$74,MATCH(TRIM(J287)&amp;"|"&amp;TRIM(P287),'Price List'!$O$5:$O$74,0)),0)</f>
        <v>0.2</v>
      </c>
      <c r="V287" s="141">
        <f t="shared" si="23"/>
        <v>0.12</v>
      </c>
      <c r="W287" s="142">
        <f>IFERROR(INDEX('Price List'!$J$5:$J$74,MATCH(TRIM(J287)&amp;"|"&amp;TRIM(P287),'Price List'!$O$5:$O$74,0)),0)</f>
        <v>0.74</v>
      </c>
      <c r="X287" s="143">
        <f>IFERROR(INDEX('Price List'!$K$5:$K$74,MATCH(TRIM(J287)&amp;"|"&amp;TRIM(P287),'Price List'!$O$5:$O$74,0)),0)</f>
        <v>0.12</v>
      </c>
      <c r="Y287" s="141">
        <f t="shared" si="24"/>
        <v>0.82880000000000009</v>
      </c>
      <c r="Z287" s="141">
        <f t="shared" si="25"/>
        <v>2288.3302617600002</v>
      </c>
      <c r="AA287" s="134"/>
    </row>
    <row r="288" spans="1:27" ht="15" customHeight="1" x14ac:dyDescent="0.35">
      <c r="A288" s="134"/>
      <c r="B288" s="135"/>
      <c r="C288" s="134" t="s">
        <v>444</v>
      </c>
      <c r="D288" s="136" t="str">
        <f t="shared" si="22"/>
        <v>B.04</v>
      </c>
      <c r="E288" s="135" t="s">
        <v>414</v>
      </c>
      <c r="F288" s="135" t="s">
        <v>673</v>
      </c>
      <c r="G288" s="134" t="s">
        <v>31</v>
      </c>
      <c r="H288" s="134" t="s">
        <v>564</v>
      </c>
      <c r="I288" s="134" t="s">
        <v>513</v>
      </c>
      <c r="J288" s="144" t="s">
        <v>135</v>
      </c>
      <c r="K288" s="134"/>
      <c r="L288" s="134"/>
      <c r="M288" s="134"/>
      <c r="N288" s="134"/>
      <c r="O288" s="134"/>
      <c r="P288" s="135" t="s">
        <v>103</v>
      </c>
      <c r="Q288" s="137">
        <f t="shared" si="21"/>
        <v>1819.6614000000002</v>
      </c>
      <c r="R288" s="137">
        <f>'5F&amp;6F beam'!J18</f>
        <v>1819.6614000000002</v>
      </c>
      <c r="S288" s="138"/>
      <c r="T288" s="139">
        <f>IFERROR(INDEX('Price List'!$G$5:$G$74,MATCH(TRIM(J288)&amp;"|"&amp;TRIM(P288),'Price List'!$O$5:$O$74,0)),0)</f>
        <v>0.09</v>
      </c>
      <c r="U288" s="140">
        <f>IFERROR(INDEX('Price List'!$H$5:$H$74,MATCH(TRIM(J288)&amp;"|"&amp;TRIM(P288),'Price List'!$O$5:$O$74,0)),0)</f>
        <v>0.2</v>
      </c>
      <c r="V288" s="141">
        <f t="shared" si="23"/>
        <v>0.108</v>
      </c>
      <c r="W288" s="142">
        <f>IFERROR(INDEX('Price List'!$J$5:$J$74,MATCH(TRIM(J288)&amp;"|"&amp;TRIM(P288),'Price List'!$O$5:$O$74,0)),0)</f>
        <v>0.73</v>
      </c>
      <c r="X288" s="143">
        <f>IFERROR(INDEX('Price List'!$K$5:$K$74,MATCH(TRIM(J288)&amp;"|"&amp;TRIM(P288),'Price List'!$O$5:$O$74,0)),0)</f>
        <v>0.12</v>
      </c>
      <c r="Y288" s="141">
        <f t="shared" si="24"/>
        <v>0.8176000000000001</v>
      </c>
      <c r="Z288" s="141">
        <f t="shared" si="25"/>
        <v>1684.2785918400004</v>
      </c>
      <c r="AA288" s="134"/>
    </row>
    <row r="289" spans="1:27" ht="15" customHeight="1" x14ac:dyDescent="0.35">
      <c r="A289" s="134"/>
      <c r="B289" s="135"/>
      <c r="C289" s="134" t="s">
        <v>444</v>
      </c>
      <c r="D289" s="136" t="str">
        <f t="shared" si="22"/>
        <v>B.04</v>
      </c>
      <c r="E289" s="135" t="s">
        <v>414</v>
      </c>
      <c r="F289" s="135" t="s">
        <v>673</v>
      </c>
      <c r="G289" s="134" t="s">
        <v>31</v>
      </c>
      <c r="H289" s="134" t="s">
        <v>564</v>
      </c>
      <c r="I289" s="134" t="s">
        <v>513</v>
      </c>
      <c r="J289" s="144" t="s">
        <v>105</v>
      </c>
      <c r="K289" s="134"/>
      <c r="L289" s="134"/>
      <c r="M289" s="134"/>
      <c r="N289" s="134"/>
      <c r="O289" s="134"/>
      <c r="P289" s="135" t="s">
        <v>103</v>
      </c>
      <c r="Q289" s="137">
        <f t="shared" si="21"/>
        <v>7527.2208000000001</v>
      </c>
      <c r="R289" s="137">
        <f>'5F&amp;6F beam'!J19</f>
        <v>7527.2208000000001</v>
      </c>
      <c r="S289" s="138"/>
      <c r="T289" s="139">
        <f>IFERROR(INDEX('Price List'!$G$5:$G$74,MATCH(TRIM(J289)&amp;"|"&amp;TRIM(P289),'Price List'!$O$5:$O$74,0)),0)</f>
        <v>0.08</v>
      </c>
      <c r="U289" s="140">
        <f>IFERROR(INDEX('Price List'!$H$5:$H$74,MATCH(TRIM(J289)&amp;"|"&amp;TRIM(P289),'Price List'!$O$5:$O$74,0)),0)</f>
        <v>0.2</v>
      </c>
      <c r="V289" s="141">
        <f t="shared" si="23"/>
        <v>9.6000000000000002E-2</v>
      </c>
      <c r="W289" s="142">
        <f>IFERROR(INDEX('Price List'!$J$5:$J$74,MATCH(TRIM(J289)&amp;"|"&amp;TRIM(P289),'Price List'!$O$5:$O$74,0)),0)</f>
        <v>0.72</v>
      </c>
      <c r="X289" s="143">
        <f>IFERROR(INDEX('Price List'!$K$5:$K$74,MATCH(TRIM(J289)&amp;"|"&amp;TRIM(P289),'Price List'!$O$5:$O$74,0)),0)</f>
        <v>0.12</v>
      </c>
      <c r="Y289" s="141">
        <f t="shared" si="24"/>
        <v>0.80640000000000001</v>
      </c>
      <c r="Z289" s="141">
        <f t="shared" si="25"/>
        <v>6792.5640499199999</v>
      </c>
      <c r="AA289" s="134"/>
    </row>
    <row r="290" spans="1:27" ht="15" customHeight="1" x14ac:dyDescent="0.35">
      <c r="A290" s="134"/>
      <c r="B290" s="135"/>
      <c r="C290" s="134" t="s">
        <v>444</v>
      </c>
      <c r="D290" s="136" t="str">
        <f t="shared" si="22"/>
        <v>B.04</v>
      </c>
      <c r="E290" s="135" t="s">
        <v>414</v>
      </c>
      <c r="F290" s="135" t="s">
        <v>673</v>
      </c>
      <c r="G290" s="134" t="s">
        <v>31</v>
      </c>
      <c r="H290" s="134" t="s">
        <v>564</v>
      </c>
      <c r="I290" s="134" t="s">
        <v>657</v>
      </c>
      <c r="J290" s="134" t="s">
        <v>107</v>
      </c>
      <c r="K290" s="134"/>
      <c r="L290" s="134"/>
      <c r="M290" s="134"/>
      <c r="N290" s="134"/>
      <c r="O290" s="134"/>
      <c r="P290" s="135" t="s">
        <v>103</v>
      </c>
      <c r="Q290" s="137">
        <f t="shared" si="21"/>
        <v>620.0733864</v>
      </c>
      <c r="R290" s="137">
        <f>(R288+R289+R287+R286+R285+R284)*4%</f>
        <v>620.0733864</v>
      </c>
      <c r="S290" s="138"/>
      <c r="T290" s="139">
        <f>IFERROR(INDEX('Price List'!$G$5:$G$74,MATCH(TRIM(J290)&amp;"|"&amp;TRIM(P290),'Price List'!$O$5:$O$74,0)),0)</f>
        <v>0.05</v>
      </c>
      <c r="U290" s="140">
        <f>IFERROR(INDEX('Price List'!$H$5:$H$74,MATCH(TRIM(J290)&amp;"|"&amp;TRIM(P290),'Price List'!$O$5:$O$74,0)),0)</f>
        <v>0.2</v>
      </c>
      <c r="V290" s="141">
        <f t="shared" si="23"/>
        <v>0.06</v>
      </c>
      <c r="W290" s="142">
        <f>IFERROR(INDEX('Price List'!$J$5:$J$74,MATCH(TRIM(J290)&amp;"|"&amp;TRIM(P290),'Price List'!$O$5:$O$74,0)),0)</f>
        <v>1.2</v>
      </c>
      <c r="X290" s="143">
        <f>IFERROR(INDEX('Price List'!$K$5:$K$74,MATCH(TRIM(J290)&amp;"|"&amp;TRIM(P290),'Price List'!$O$5:$O$74,0)),0)</f>
        <v>0.12</v>
      </c>
      <c r="Y290" s="141">
        <f t="shared" si="24"/>
        <v>1.3440000000000001</v>
      </c>
      <c r="Z290" s="141">
        <f t="shared" si="25"/>
        <v>870.58303450560004</v>
      </c>
      <c r="AA290" s="134"/>
    </row>
    <row r="291" spans="1:27" ht="15" customHeight="1" x14ac:dyDescent="0.35">
      <c r="A291" s="134"/>
      <c r="B291" s="135"/>
      <c r="C291" s="134" t="s">
        <v>444</v>
      </c>
      <c r="D291" s="136" t="str">
        <f t="shared" si="22"/>
        <v>B.04</v>
      </c>
      <c r="E291" s="135" t="s">
        <v>414</v>
      </c>
      <c r="F291" s="135" t="s">
        <v>673</v>
      </c>
      <c r="G291" s="134" t="s">
        <v>31</v>
      </c>
      <c r="H291" s="134" t="s">
        <v>568</v>
      </c>
      <c r="I291" s="134" t="s">
        <v>512</v>
      </c>
      <c r="J291" s="145" t="s">
        <v>125</v>
      </c>
      <c r="K291" s="134"/>
      <c r="L291" s="134"/>
      <c r="M291" s="134"/>
      <c r="N291" s="134"/>
      <c r="O291" s="134"/>
      <c r="P291" s="135" t="s">
        <v>100</v>
      </c>
      <c r="Q291" s="137">
        <f t="shared" si="21"/>
        <v>87.149999999999991</v>
      </c>
      <c r="R291" s="137">
        <f>581*0.15</f>
        <v>87.149999999999991</v>
      </c>
      <c r="S291" s="138"/>
      <c r="T291" s="139">
        <f>IFERROR(INDEX('Price List'!$G$5:$G$74,MATCH(TRIM(J291)&amp;"|"&amp;TRIM(P291),'Price List'!$O$5:$O$74,0)),0)</f>
        <v>10</v>
      </c>
      <c r="U291" s="140">
        <f>IFERROR(INDEX('Price List'!$H$5:$H$74,MATCH(TRIM(J291)&amp;"|"&amp;TRIM(P291),'Price List'!$O$5:$O$74,0)),0)</f>
        <v>0.2</v>
      </c>
      <c r="V291" s="141">
        <f t="shared" si="23"/>
        <v>12</v>
      </c>
      <c r="W291" s="142">
        <f>IFERROR(INDEX('Price List'!$J$5:$J$74,MATCH(TRIM(J291)&amp;"|"&amp;TRIM(P291),'Price List'!$O$5:$O$74,0)),0)</f>
        <v>98</v>
      </c>
      <c r="X291" s="143">
        <f>IFERROR(INDEX('Price List'!$K$5:$K$74,MATCH(TRIM(J291)&amp;"|"&amp;TRIM(P291),'Price List'!$O$5:$O$74,0)),0)</f>
        <v>0.12</v>
      </c>
      <c r="Y291" s="141">
        <f t="shared" si="24"/>
        <v>109.76</v>
      </c>
      <c r="Z291" s="141">
        <f t="shared" si="25"/>
        <v>10611.384</v>
      </c>
      <c r="AA291" s="134"/>
    </row>
    <row r="292" spans="1:27" ht="15" customHeight="1" x14ac:dyDescent="0.35">
      <c r="A292" s="134"/>
      <c r="B292" s="135"/>
      <c r="C292" s="134" t="s">
        <v>444</v>
      </c>
      <c r="D292" s="136" t="str">
        <f t="shared" si="22"/>
        <v>B.04</v>
      </c>
      <c r="E292" s="135" t="s">
        <v>414</v>
      </c>
      <c r="F292" s="135" t="s">
        <v>673</v>
      </c>
      <c r="G292" s="134" t="s">
        <v>31</v>
      </c>
      <c r="H292" s="134" t="s">
        <v>568</v>
      </c>
      <c r="I292" s="144" t="s">
        <v>127</v>
      </c>
      <c r="J292" s="144" t="s">
        <v>127</v>
      </c>
      <c r="K292" s="144"/>
      <c r="L292" s="134"/>
      <c r="M292" s="134"/>
      <c r="N292" s="134"/>
      <c r="O292" s="134"/>
      <c r="P292" s="135" t="s">
        <v>128</v>
      </c>
      <c r="Q292" s="137">
        <f t="shared" si="21"/>
        <v>581</v>
      </c>
      <c r="R292" s="137">
        <v>581</v>
      </c>
      <c r="S292" s="138"/>
      <c r="T292" s="139">
        <f>IFERROR(INDEX('Price List'!$G$5:$G$74,MATCH(TRIM(J292)&amp;"|"&amp;TRIM(P292),'Price List'!$O$5:$O$74,0)),0)</f>
        <v>6</v>
      </c>
      <c r="U292" s="140">
        <f>IFERROR(INDEX('Price List'!$H$5:$H$74,MATCH(TRIM(J292)&amp;"|"&amp;TRIM(P292),'Price List'!$O$5:$O$74,0)),0)</f>
        <v>0.2</v>
      </c>
      <c r="V292" s="141">
        <f t="shared" si="23"/>
        <v>7.1999999999999993</v>
      </c>
      <c r="W292" s="142">
        <f>IFERROR(INDEX('Price List'!$J$5:$J$74,MATCH(TRIM(J292)&amp;"|"&amp;TRIM(P292),'Price List'!$O$5:$O$74,0)),0)</f>
        <v>5</v>
      </c>
      <c r="X292" s="143">
        <f>IFERROR(INDEX('Price List'!$K$5:$K$74,MATCH(TRIM(J292)&amp;"|"&amp;TRIM(P292),'Price List'!$O$5:$O$74,0)),0)</f>
        <v>0.12</v>
      </c>
      <c r="Y292" s="141">
        <f t="shared" si="24"/>
        <v>5.6000000000000005</v>
      </c>
      <c r="Z292" s="141">
        <f t="shared" si="25"/>
        <v>7436.8</v>
      </c>
      <c r="AA292" s="134"/>
    </row>
    <row r="293" spans="1:27" ht="15" customHeight="1" x14ac:dyDescent="0.35">
      <c r="A293" s="134"/>
      <c r="B293" s="135"/>
      <c r="C293" s="134" t="s">
        <v>444</v>
      </c>
      <c r="D293" s="136" t="str">
        <f t="shared" si="22"/>
        <v>B.04</v>
      </c>
      <c r="E293" s="135" t="s">
        <v>414</v>
      </c>
      <c r="F293" s="135" t="s">
        <v>673</v>
      </c>
      <c r="G293" s="134" t="s">
        <v>31</v>
      </c>
      <c r="H293" s="134" t="s">
        <v>568</v>
      </c>
      <c r="I293" s="134" t="s">
        <v>513</v>
      </c>
      <c r="J293" s="144" t="s">
        <v>102</v>
      </c>
      <c r="K293" s="134"/>
      <c r="L293" s="134"/>
      <c r="M293" s="134"/>
      <c r="N293" s="134"/>
      <c r="O293" s="134"/>
      <c r="P293" s="135" t="s">
        <v>103</v>
      </c>
      <c r="Q293" s="137">
        <f t="shared" si="21"/>
        <v>11514.499999999998</v>
      </c>
      <c r="R293" s="137">
        <f>(R291*130)+185</f>
        <v>11514.499999999998</v>
      </c>
      <c r="S293" s="138"/>
      <c r="T293" s="139">
        <f>IFERROR(INDEX('Price List'!$G$5:$G$74,MATCH(TRIM(J293)&amp;"|"&amp;TRIM(P293),'Price List'!$O$5:$O$74,0)),0)</f>
        <v>0.12</v>
      </c>
      <c r="U293" s="140">
        <f>IFERROR(INDEX('Price List'!$H$5:$H$74,MATCH(TRIM(J293)&amp;"|"&amp;TRIM(P293),'Price List'!$O$5:$O$74,0)),0)</f>
        <v>0.2</v>
      </c>
      <c r="V293" s="141">
        <f t="shared" si="23"/>
        <v>0.14399999999999999</v>
      </c>
      <c r="W293" s="142">
        <f>IFERROR(INDEX('Price List'!$J$5:$J$74,MATCH(TRIM(J293)&amp;"|"&amp;TRIM(P293),'Price List'!$O$5:$O$74,0)),0)</f>
        <v>0.78</v>
      </c>
      <c r="X293" s="143">
        <f>IFERROR(INDEX('Price List'!$K$5:$K$74,MATCH(TRIM(J293)&amp;"|"&amp;TRIM(P293),'Price List'!$O$5:$O$74,0)),0)</f>
        <v>0.12</v>
      </c>
      <c r="Y293" s="141">
        <f t="shared" si="24"/>
        <v>0.87360000000000015</v>
      </c>
      <c r="Z293" s="141">
        <f t="shared" si="25"/>
        <v>11717.155199999999</v>
      </c>
      <c r="AA293" s="134"/>
    </row>
    <row r="294" spans="1:27" ht="15" customHeight="1" x14ac:dyDescent="0.35">
      <c r="A294" s="134"/>
      <c r="B294" s="135"/>
      <c r="C294" s="134" t="s">
        <v>444</v>
      </c>
      <c r="D294" s="136" t="str">
        <f t="shared" si="22"/>
        <v>B.04</v>
      </c>
      <c r="E294" s="135" t="s">
        <v>414</v>
      </c>
      <c r="F294" s="135" t="s">
        <v>673</v>
      </c>
      <c r="G294" s="134" t="s">
        <v>31</v>
      </c>
      <c r="H294" s="134" t="s">
        <v>568</v>
      </c>
      <c r="I294" s="134" t="s">
        <v>513</v>
      </c>
      <c r="J294" s="144" t="s">
        <v>131</v>
      </c>
      <c r="K294" s="134"/>
      <c r="L294" s="134"/>
      <c r="M294" s="134"/>
      <c r="N294" s="134"/>
      <c r="O294" s="134"/>
      <c r="P294" s="135" t="s">
        <v>103</v>
      </c>
      <c r="Q294" s="137">
        <f t="shared" ref="Q294:Q357" si="26">R294</f>
        <v>166.5</v>
      </c>
      <c r="R294" s="137">
        <f>0.888*((2.5*10*3)+(2.5*15*3))</f>
        <v>166.5</v>
      </c>
      <c r="S294" s="138"/>
      <c r="T294" s="139">
        <f>IFERROR(INDEX('Price List'!$G$5:$G$74,MATCH(TRIM(J294)&amp;"|"&amp;TRIM(P294),'Price List'!$O$5:$O$74,0)),0)</f>
        <v>0.11</v>
      </c>
      <c r="U294" s="140">
        <f>IFERROR(INDEX('Price List'!$H$5:$H$74,MATCH(TRIM(J294)&amp;"|"&amp;TRIM(P294),'Price List'!$O$5:$O$74,0)),0)</f>
        <v>0.2</v>
      </c>
      <c r="V294" s="141">
        <f t="shared" si="23"/>
        <v>0.13200000000000001</v>
      </c>
      <c r="W294" s="142">
        <f>IFERROR(INDEX('Price List'!$J$5:$J$74,MATCH(TRIM(J294)&amp;"|"&amp;TRIM(P294),'Price List'!$O$5:$O$74,0)),0)</f>
        <v>0.76</v>
      </c>
      <c r="X294" s="143">
        <f>IFERROR(INDEX('Price List'!$K$5:$K$74,MATCH(TRIM(J294)&amp;"|"&amp;TRIM(P294),'Price List'!$O$5:$O$74,0)),0)</f>
        <v>0.12</v>
      </c>
      <c r="Y294" s="141">
        <f t="shared" si="24"/>
        <v>0.85120000000000007</v>
      </c>
      <c r="Z294" s="141">
        <f t="shared" si="25"/>
        <v>163.70280000000002</v>
      </c>
      <c r="AA294" s="134"/>
    </row>
    <row r="295" spans="1:27" ht="15" customHeight="1" x14ac:dyDescent="0.35">
      <c r="A295" s="134"/>
      <c r="B295" s="135"/>
      <c r="C295" s="134" t="s">
        <v>444</v>
      </c>
      <c r="D295" s="136" t="str">
        <f t="shared" si="22"/>
        <v>B.04</v>
      </c>
      <c r="E295" s="135" t="s">
        <v>414</v>
      </c>
      <c r="F295" s="135" t="s">
        <v>673</v>
      </c>
      <c r="G295" s="134" t="s">
        <v>31</v>
      </c>
      <c r="H295" s="134" t="s">
        <v>568</v>
      </c>
      <c r="I295" s="134" t="s">
        <v>657</v>
      </c>
      <c r="J295" s="134" t="s">
        <v>107</v>
      </c>
      <c r="K295" s="134"/>
      <c r="L295" s="134"/>
      <c r="M295" s="134"/>
      <c r="N295" s="134"/>
      <c r="O295" s="134"/>
      <c r="P295" s="135" t="s">
        <v>103</v>
      </c>
      <c r="Q295" s="137">
        <f t="shared" si="26"/>
        <v>467.23999999999995</v>
      </c>
      <c r="R295" s="137">
        <f>(R293+R294)*4%</f>
        <v>467.23999999999995</v>
      </c>
      <c r="S295" s="138"/>
      <c r="T295" s="139">
        <f>IFERROR(INDEX('Price List'!$G$5:$G$74,MATCH(TRIM(J295)&amp;"|"&amp;TRIM(P295),'Price List'!$O$5:$O$74,0)),0)</f>
        <v>0.05</v>
      </c>
      <c r="U295" s="140">
        <f>IFERROR(INDEX('Price List'!$H$5:$H$74,MATCH(TRIM(J295)&amp;"|"&amp;TRIM(P295),'Price List'!$O$5:$O$74,0)),0)</f>
        <v>0.2</v>
      </c>
      <c r="V295" s="141">
        <f t="shared" si="23"/>
        <v>0.06</v>
      </c>
      <c r="W295" s="142">
        <f>IFERROR(INDEX('Price List'!$J$5:$J$74,MATCH(TRIM(J295)&amp;"|"&amp;TRIM(P295),'Price List'!$O$5:$O$74,0)),0)</f>
        <v>1.2</v>
      </c>
      <c r="X295" s="143">
        <f>IFERROR(INDEX('Price List'!$K$5:$K$74,MATCH(TRIM(J295)&amp;"|"&amp;TRIM(P295),'Price List'!$O$5:$O$74,0)),0)</f>
        <v>0.12</v>
      </c>
      <c r="Y295" s="141">
        <f t="shared" si="24"/>
        <v>1.3440000000000001</v>
      </c>
      <c r="Z295" s="141">
        <f t="shared" si="25"/>
        <v>656.00495999999998</v>
      </c>
      <c r="AA295" s="134"/>
    </row>
    <row r="296" spans="1:27" ht="15" customHeight="1" x14ac:dyDescent="0.35">
      <c r="A296" s="134"/>
      <c r="B296" s="134"/>
      <c r="C296" s="134" t="s">
        <v>444</v>
      </c>
      <c r="D296" s="136" t="str">
        <f t="shared" si="22"/>
        <v>B.04</v>
      </c>
      <c r="E296" s="135" t="s">
        <v>414</v>
      </c>
      <c r="F296" s="135" t="s">
        <v>673</v>
      </c>
      <c r="G296" s="134" t="s">
        <v>31</v>
      </c>
      <c r="H296" s="134" t="s">
        <v>665</v>
      </c>
      <c r="I296" s="134" t="s">
        <v>512</v>
      </c>
      <c r="J296" s="144" t="s">
        <v>125</v>
      </c>
      <c r="K296" s="134"/>
      <c r="L296" s="134"/>
      <c r="M296" s="134"/>
      <c r="N296" s="134"/>
      <c r="O296" s="134"/>
      <c r="P296" s="135" t="s">
        <v>100</v>
      </c>
      <c r="Q296" s="137">
        <f t="shared" si="26"/>
        <v>23.430000000000003</v>
      </c>
      <c r="R296" s="137">
        <f>(5.2*4.2)+(1.325*2*0.3*2)</f>
        <v>23.430000000000003</v>
      </c>
      <c r="S296" s="138"/>
      <c r="T296" s="139">
        <f>IFERROR(INDEX('Price List'!$G$5:$G$74,MATCH(TRIM(J296)&amp;"|"&amp;TRIM(P296),'Price List'!$O$5:$O$74,0)),0)</f>
        <v>10</v>
      </c>
      <c r="U296" s="140">
        <f>IFERROR(INDEX('Price List'!$H$5:$H$74,MATCH(TRIM(J296)&amp;"|"&amp;TRIM(P296),'Price List'!$O$5:$O$74,0)),0)</f>
        <v>0.2</v>
      </c>
      <c r="V296" s="141">
        <f t="shared" si="23"/>
        <v>12</v>
      </c>
      <c r="W296" s="142">
        <f>IFERROR(INDEX('Price List'!$J$5:$J$74,MATCH(TRIM(J296)&amp;"|"&amp;TRIM(P296),'Price List'!$O$5:$O$74,0)),0)</f>
        <v>98</v>
      </c>
      <c r="X296" s="143">
        <f>IFERROR(INDEX('Price List'!$K$5:$K$74,MATCH(TRIM(J296)&amp;"|"&amp;TRIM(P296),'Price List'!$O$5:$O$74,0)),0)</f>
        <v>0.12</v>
      </c>
      <c r="Y296" s="141">
        <f t="shared" si="24"/>
        <v>109.76</v>
      </c>
      <c r="Z296" s="141">
        <f t="shared" si="25"/>
        <v>2852.8368000000005</v>
      </c>
      <c r="AA296" s="134"/>
    </row>
    <row r="297" spans="1:27" ht="15" customHeight="1" x14ac:dyDescent="0.35">
      <c r="A297" s="134"/>
      <c r="B297" s="134"/>
      <c r="C297" s="134" t="s">
        <v>444</v>
      </c>
      <c r="D297" s="136" t="str">
        <f t="shared" si="22"/>
        <v>B.04</v>
      </c>
      <c r="E297" s="135" t="s">
        <v>414</v>
      </c>
      <c r="F297" s="135" t="s">
        <v>673</v>
      </c>
      <c r="G297" s="134" t="s">
        <v>31</v>
      </c>
      <c r="H297" s="134" t="s">
        <v>665</v>
      </c>
      <c r="I297" s="144" t="s">
        <v>127</v>
      </c>
      <c r="J297" s="144" t="s">
        <v>127</v>
      </c>
      <c r="K297" s="144"/>
      <c r="L297" s="134"/>
      <c r="M297" s="134"/>
      <c r="N297" s="134"/>
      <c r="O297" s="134"/>
      <c r="P297" s="135" t="s">
        <v>128</v>
      </c>
      <c r="Q297" s="137">
        <f t="shared" si="26"/>
        <v>139.70000000000002</v>
      </c>
      <c r="R297" s="137">
        <f>(32*4.2)+(1.325*2*2)</f>
        <v>139.70000000000002</v>
      </c>
      <c r="S297" s="138"/>
      <c r="T297" s="139">
        <f>IFERROR(INDEX('Price List'!$G$5:$G$74,MATCH(TRIM(J297)&amp;"|"&amp;TRIM(P297),'Price List'!$O$5:$O$74,0)),0)</f>
        <v>6</v>
      </c>
      <c r="U297" s="140">
        <f>IFERROR(INDEX('Price List'!$H$5:$H$74,MATCH(TRIM(J297)&amp;"|"&amp;TRIM(P297),'Price List'!$O$5:$O$74,0)),0)</f>
        <v>0.2</v>
      </c>
      <c r="V297" s="141">
        <f t="shared" si="23"/>
        <v>7.1999999999999993</v>
      </c>
      <c r="W297" s="142">
        <f>IFERROR(INDEX('Price List'!$J$5:$J$74,MATCH(TRIM(J297)&amp;"|"&amp;TRIM(P297),'Price List'!$O$5:$O$74,0)),0)</f>
        <v>5</v>
      </c>
      <c r="X297" s="143">
        <f>IFERROR(INDEX('Price List'!$K$5:$K$74,MATCH(TRIM(J297)&amp;"|"&amp;TRIM(P297),'Price List'!$O$5:$O$74,0)),0)</f>
        <v>0.12</v>
      </c>
      <c r="Y297" s="141">
        <f t="shared" si="24"/>
        <v>5.6000000000000005</v>
      </c>
      <c r="Z297" s="141">
        <f t="shared" si="25"/>
        <v>1788.1600000000003</v>
      </c>
      <c r="AA297" s="134"/>
    </row>
    <row r="298" spans="1:27" ht="15" customHeight="1" x14ac:dyDescent="0.35">
      <c r="A298" s="134"/>
      <c r="B298" s="134"/>
      <c r="C298" s="134" t="s">
        <v>444</v>
      </c>
      <c r="D298" s="136" t="str">
        <f t="shared" si="22"/>
        <v>B.04</v>
      </c>
      <c r="E298" s="135" t="s">
        <v>414</v>
      </c>
      <c r="F298" s="135" t="s">
        <v>673</v>
      </c>
      <c r="G298" s="134" t="s">
        <v>31</v>
      </c>
      <c r="H298" s="134" t="s">
        <v>665</v>
      </c>
      <c r="I298" s="134" t="s">
        <v>513</v>
      </c>
      <c r="J298" s="144" t="s">
        <v>102</v>
      </c>
      <c r="K298" s="134"/>
      <c r="L298" s="134"/>
      <c r="M298" s="134"/>
      <c r="N298" s="134"/>
      <c r="O298" s="134"/>
      <c r="P298" s="135" t="s">
        <v>103</v>
      </c>
      <c r="Q298" s="137">
        <f t="shared" si="26"/>
        <v>241.864</v>
      </c>
      <c r="R298" s="137">
        <v>241.864</v>
      </c>
      <c r="S298" s="138"/>
      <c r="T298" s="139">
        <f>IFERROR(INDEX('Price List'!$G$5:$G$74,MATCH(TRIM(J298)&amp;"|"&amp;TRIM(P298),'Price List'!$O$5:$O$74,0)),0)</f>
        <v>0.12</v>
      </c>
      <c r="U298" s="140">
        <f>IFERROR(INDEX('Price List'!$H$5:$H$74,MATCH(TRIM(J298)&amp;"|"&amp;TRIM(P298),'Price List'!$O$5:$O$74,0)),0)</f>
        <v>0.2</v>
      </c>
      <c r="V298" s="141">
        <f t="shared" si="23"/>
        <v>0.14399999999999999</v>
      </c>
      <c r="W298" s="142">
        <f>IFERROR(INDEX('Price List'!$J$5:$J$74,MATCH(TRIM(J298)&amp;"|"&amp;TRIM(P298),'Price List'!$O$5:$O$74,0)),0)</f>
        <v>0.78</v>
      </c>
      <c r="X298" s="143">
        <f>IFERROR(INDEX('Price List'!$K$5:$K$74,MATCH(TRIM(J298)&amp;"|"&amp;TRIM(P298),'Price List'!$O$5:$O$74,0)),0)</f>
        <v>0.12</v>
      </c>
      <c r="Y298" s="141">
        <f t="shared" si="24"/>
        <v>0.87360000000000015</v>
      </c>
      <c r="Z298" s="141">
        <f t="shared" si="25"/>
        <v>246.12080640000002</v>
      </c>
      <c r="AA298" s="134"/>
    </row>
    <row r="299" spans="1:27" ht="15" customHeight="1" x14ac:dyDescent="0.35">
      <c r="A299" s="134"/>
      <c r="B299" s="134"/>
      <c r="C299" s="134" t="s">
        <v>444</v>
      </c>
      <c r="D299" s="136" t="str">
        <f t="shared" si="22"/>
        <v>B.04</v>
      </c>
      <c r="E299" s="135" t="s">
        <v>414</v>
      </c>
      <c r="F299" s="135" t="s">
        <v>673</v>
      </c>
      <c r="G299" s="134" t="s">
        <v>31</v>
      </c>
      <c r="H299" s="134" t="s">
        <v>665</v>
      </c>
      <c r="I299" s="134" t="s">
        <v>513</v>
      </c>
      <c r="J299" s="144" t="s">
        <v>131</v>
      </c>
      <c r="K299" s="134"/>
      <c r="L299" s="134"/>
      <c r="M299" s="134"/>
      <c r="N299" s="134"/>
      <c r="O299" s="134"/>
      <c r="P299" s="135" t="s">
        <v>103</v>
      </c>
      <c r="Q299" s="137">
        <f t="shared" si="26"/>
        <v>1071.6384</v>
      </c>
      <c r="R299" s="137">
        <v>1071.6384</v>
      </c>
      <c r="S299" s="138"/>
      <c r="T299" s="139">
        <f>IFERROR(INDEX('Price List'!$G$5:$G$74,MATCH(TRIM(J299)&amp;"|"&amp;TRIM(P299),'Price List'!$O$5:$O$74,0)),0)</f>
        <v>0.11</v>
      </c>
      <c r="U299" s="140">
        <f>IFERROR(INDEX('Price List'!$H$5:$H$74,MATCH(TRIM(J299)&amp;"|"&amp;TRIM(P299),'Price List'!$O$5:$O$74,0)),0)</f>
        <v>0.2</v>
      </c>
      <c r="V299" s="141">
        <f t="shared" si="23"/>
        <v>0.13200000000000001</v>
      </c>
      <c r="W299" s="142">
        <f>IFERROR(INDEX('Price List'!$J$5:$J$74,MATCH(TRIM(J299)&amp;"|"&amp;TRIM(P299),'Price List'!$O$5:$O$74,0)),0)</f>
        <v>0.76</v>
      </c>
      <c r="X299" s="143">
        <f>IFERROR(INDEX('Price List'!$K$5:$K$74,MATCH(TRIM(J299)&amp;"|"&amp;TRIM(P299),'Price List'!$O$5:$O$74,0)),0)</f>
        <v>0.12</v>
      </c>
      <c r="Y299" s="141">
        <f t="shared" si="24"/>
        <v>0.85120000000000007</v>
      </c>
      <c r="Z299" s="141">
        <f t="shared" si="25"/>
        <v>1053.6348748800001</v>
      </c>
      <c r="AA299" s="134"/>
    </row>
    <row r="300" spans="1:27" ht="15" customHeight="1" x14ac:dyDescent="0.35">
      <c r="A300" s="134"/>
      <c r="B300" s="134"/>
      <c r="C300" s="134" t="s">
        <v>444</v>
      </c>
      <c r="D300" s="136" t="str">
        <f t="shared" si="22"/>
        <v>B.04</v>
      </c>
      <c r="E300" s="135" t="s">
        <v>414</v>
      </c>
      <c r="F300" s="135" t="s">
        <v>673</v>
      </c>
      <c r="G300" s="134" t="s">
        <v>31</v>
      </c>
      <c r="H300" s="134" t="s">
        <v>665</v>
      </c>
      <c r="I300" s="134" t="s">
        <v>513</v>
      </c>
      <c r="J300" s="144" t="s">
        <v>211</v>
      </c>
      <c r="K300" s="134"/>
      <c r="L300" s="134"/>
      <c r="M300" s="134"/>
      <c r="N300" s="134"/>
      <c r="O300" s="134"/>
      <c r="P300" s="135" t="s">
        <v>103</v>
      </c>
      <c r="Q300" s="137">
        <f t="shared" si="26"/>
        <v>1122.4736</v>
      </c>
      <c r="R300" s="137">
        <v>1122.4736</v>
      </c>
      <c r="S300" s="138"/>
      <c r="T300" s="139">
        <f>IFERROR(INDEX('Price List'!$G$5:$G$74,MATCH(TRIM(J300)&amp;"|"&amp;TRIM(P300),'Price List'!$O$5:$O$74,0)),0)</f>
        <v>0.1</v>
      </c>
      <c r="U300" s="140">
        <f>IFERROR(INDEX('Price List'!$H$5:$H$74,MATCH(TRIM(J300)&amp;"|"&amp;TRIM(P300),'Price List'!$O$5:$O$74,0)),0)</f>
        <v>0.2</v>
      </c>
      <c r="V300" s="141">
        <f t="shared" si="23"/>
        <v>0.12</v>
      </c>
      <c r="W300" s="142">
        <f>IFERROR(INDEX('Price List'!$J$5:$J$74,MATCH(TRIM(J300)&amp;"|"&amp;TRIM(P300),'Price List'!$O$5:$O$74,0)),0)</f>
        <v>0.75</v>
      </c>
      <c r="X300" s="143">
        <f>IFERROR(INDEX('Price List'!$K$5:$K$74,MATCH(TRIM(J300)&amp;"|"&amp;TRIM(P300),'Price List'!$O$5:$O$74,0)),0)</f>
        <v>0.12</v>
      </c>
      <c r="Y300" s="141">
        <f t="shared" si="24"/>
        <v>0.84000000000000008</v>
      </c>
      <c r="Z300" s="141">
        <f t="shared" si="25"/>
        <v>1077.574656</v>
      </c>
      <c r="AA300" s="134"/>
    </row>
    <row r="301" spans="1:27" ht="15" customHeight="1" x14ac:dyDescent="0.35">
      <c r="A301" s="134"/>
      <c r="B301" s="134"/>
      <c r="C301" s="134" t="s">
        <v>444</v>
      </c>
      <c r="D301" s="136" t="str">
        <f t="shared" si="22"/>
        <v>B.04</v>
      </c>
      <c r="E301" s="135" t="s">
        <v>414</v>
      </c>
      <c r="F301" s="135" t="s">
        <v>673</v>
      </c>
      <c r="G301" s="134" t="s">
        <v>31</v>
      </c>
      <c r="H301" s="134" t="s">
        <v>665</v>
      </c>
      <c r="I301" s="134" t="s">
        <v>513</v>
      </c>
      <c r="J301" s="144" t="s">
        <v>135</v>
      </c>
      <c r="K301" s="134"/>
      <c r="L301" s="134"/>
      <c r="M301" s="134"/>
      <c r="N301" s="134"/>
      <c r="O301" s="134"/>
      <c r="P301" s="135" t="s">
        <v>103</v>
      </c>
      <c r="Q301" s="137">
        <f t="shared" si="26"/>
        <v>822.01599999999996</v>
      </c>
      <c r="R301" s="137">
        <v>822.01599999999996</v>
      </c>
      <c r="S301" s="138"/>
      <c r="T301" s="139">
        <f>IFERROR(INDEX('Price List'!$G$5:$G$74,MATCH(TRIM(J301)&amp;"|"&amp;TRIM(P301),'Price List'!$O$5:$O$74,0)),0)</f>
        <v>0.09</v>
      </c>
      <c r="U301" s="140">
        <f>IFERROR(INDEX('Price List'!$H$5:$H$74,MATCH(TRIM(J301)&amp;"|"&amp;TRIM(P301),'Price List'!$O$5:$O$74,0)),0)</f>
        <v>0.2</v>
      </c>
      <c r="V301" s="141">
        <f t="shared" si="23"/>
        <v>0.108</v>
      </c>
      <c r="W301" s="142">
        <f>IFERROR(INDEX('Price List'!$J$5:$J$74,MATCH(TRIM(J301)&amp;"|"&amp;TRIM(P301),'Price List'!$O$5:$O$74,0)),0)</f>
        <v>0.73</v>
      </c>
      <c r="X301" s="143">
        <f>IFERROR(INDEX('Price List'!$K$5:$K$74,MATCH(TRIM(J301)&amp;"|"&amp;TRIM(P301),'Price List'!$O$5:$O$74,0)),0)</f>
        <v>0.12</v>
      </c>
      <c r="Y301" s="141">
        <f t="shared" si="24"/>
        <v>0.8176000000000001</v>
      </c>
      <c r="Z301" s="141">
        <f t="shared" si="25"/>
        <v>760.85800960000006</v>
      </c>
      <c r="AA301" s="134"/>
    </row>
    <row r="302" spans="1:27" ht="15" customHeight="1" x14ac:dyDescent="0.35">
      <c r="A302" s="134"/>
      <c r="B302" s="134"/>
      <c r="C302" s="134" t="s">
        <v>444</v>
      </c>
      <c r="D302" s="136" t="str">
        <f t="shared" si="22"/>
        <v>B.04</v>
      </c>
      <c r="E302" s="135" t="s">
        <v>414</v>
      </c>
      <c r="F302" s="135" t="s">
        <v>673</v>
      </c>
      <c r="G302" s="134" t="s">
        <v>31</v>
      </c>
      <c r="H302" s="134" t="s">
        <v>665</v>
      </c>
      <c r="I302" s="134" t="s">
        <v>657</v>
      </c>
      <c r="J302" s="134" t="s">
        <v>107</v>
      </c>
      <c r="K302" s="134"/>
      <c r="L302" s="134"/>
      <c r="M302" s="134"/>
      <c r="N302" s="134"/>
      <c r="O302" s="134"/>
      <c r="P302" s="135" t="s">
        <v>103</v>
      </c>
      <c r="Q302" s="137">
        <f t="shared" si="26"/>
        <v>130.31968000000001</v>
      </c>
      <c r="R302" s="137">
        <f>(R300+R301+R299+R298)*4%</f>
        <v>130.31968000000001</v>
      </c>
      <c r="S302" s="138"/>
      <c r="T302" s="139">
        <f>IFERROR(INDEX('Price List'!$G$5:$G$74,MATCH(TRIM(J302)&amp;"|"&amp;TRIM(P302),'Price List'!$O$5:$O$74,0)),0)</f>
        <v>0.05</v>
      </c>
      <c r="U302" s="140">
        <f>IFERROR(INDEX('Price List'!$H$5:$H$74,MATCH(TRIM(J302)&amp;"|"&amp;TRIM(P302),'Price List'!$O$5:$O$74,0)),0)</f>
        <v>0.2</v>
      </c>
      <c r="V302" s="141">
        <f t="shared" si="23"/>
        <v>0.06</v>
      </c>
      <c r="W302" s="142">
        <f>IFERROR(INDEX('Price List'!$J$5:$J$74,MATCH(TRIM(J302)&amp;"|"&amp;TRIM(P302),'Price List'!$O$5:$O$74,0)),0)</f>
        <v>1.2</v>
      </c>
      <c r="X302" s="143">
        <f>IFERROR(INDEX('Price List'!$K$5:$K$74,MATCH(TRIM(J302)&amp;"|"&amp;TRIM(P302),'Price List'!$O$5:$O$74,0)),0)</f>
        <v>0.12</v>
      </c>
      <c r="Y302" s="141">
        <f t="shared" si="24"/>
        <v>1.3440000000000001</v>
      </c>
      <c r="Z302" s="141">
        <f t="shared" si="25"/>
        <v>182.96883072000003</v>
      </c>
      <c r="AA302" s="134"/>
    </row>
    <row r="303" spans="1:27" ht="15" customHeight="1" x14ac:dyDescent="0.35">
      <c r="A303" s="134"/>
      <c r="B303" s="135"/>
      <c r="C303" s="134" t="s">
        <v>444</v>
      </c>
      <c r="D303" s="136" t="str">
        <f t="shared" si="22"/>
        <v>B.04</v>
      </c>
      <c r="E303" s="135" t="s">
        <v>414</v>
      </c>
      <c r="F303" s="135" t="s">
        <v>673</v>
      </c>
      <c r="G303" s="134" t="s">
        <v>31</v>
      </c>
      <c r="H303" s="134" t="s">
        <v>578</v>
      </c>
      <c r="I303" s="134" t="s">
        <v>512</v>
      </c>
      <c r="J303" s="145" t="s">
        <v>125</v>
      </c>
      <c r="K303" s="134"/>
      <c r="L303" s="134"/>
      <c r="M303" s="134"/>
      <c r="N303" s="134"/>
      <c r="O303" s="134"/>
      <c r="P303" s="135" t="s">
        <v>100</v>
      </c>
      <c r="Q303" s="137">
        <f t="shared" si="26"/>
        <v>5.016</v>
      </c>
      <c r="R303" s="137">
        <v>5.016</v>
      </c>
      <c r="S303" s="138"/>
      <c r="T303" s="139">
        <f>IFERROR(INDEX('Price List'!$G$5:$G$74,MATCH(TRIM(J303)&amp;"|"&amp;TRIM(P303),'Price List'!$O$5:$O$74,0)),0)</f>
        <v>10</v>
      </c>
      <c r="U303" s="140">
        <f>IFERROR(INDEX('Price List'!$H$5:$H$74,MATCH(TRIM(J303)&amp;"|"&amp;TRIM(P303),'Price List'!$O$5:$O$74,0)),0)</f>
        <v>0.2</v>
      </c>
      <c r="V303" s="141">
        <f t="shared" si="23"/>
        <v>12</v>
      </c>
      <c r="W303" s="142">
        <f>IFERROR(INDEX('Price List'!$J$5:$J$74,MATCH(TRIM(J303)&amp;"|"&amp;TRIM(P303),'Price List'!$O$5:$O$74,0)),0)</f>
        <v>98</v>
      </c>
      <c r="X303" s="143">
        <f>IFERROR(INDEX('Price List'!$K$5:$K$74,MATCH(TRIM(J303)&amp;"|"&amp;TRIM(P303),'Price List'!$O$5:$O$74,0)),0)</f>
        <v>0.12</v>
      </c>
      <c r="Y303" s="141">
        <f t="shared" si="24"/>
        <v>109.76</v>
      </c>
      <c r="Z303" s="141">
        <f t="shared" si="25"/>
        <v>610.74815999999998</v>
      </c>
      <c r="AA303" s="134"/>
    </row>
    <row r="304" spans="1:27" ht="15" customHeight="1" x14ac:dyDescent="0.35">
      <c r="A304" s="134"/>
      <c r="B304" s="135"/>
      <c r="C304" s="134" t="s">
        <v>444</v>
      </c>
      <c r="D304" s="136" t="str">
        <f t="shared" si="22"/>
        <v>B.04</v>
      </c>
      <c r="E304" s="135" t="s">
        <v>414</v>
      </c>
      <c r="F304" s="135" t="s">
        <v>673</v>
      </c>
      <c r="G304" s="134" t="s">
        <v>31</v>
      </c>
      <c r="H304" s="134" t="s">
        <v>578</v>
      </c>
      <c r="I304" s="144" t="s">
        <v>127</v>
      </c>
      <c r="J304" s="144" t="s">
        <v>127</v>
      </c>
      <c r="K304" s="144"/>
      <c r="L304" s="134"/>
      <c r="M304" s="134"/>
      <c r="N304" s="134"/>
      <c r="O304" s="134"/>
      <c r="P304" s="135" t="s">
        <v>128</v>
      </c>
      <c r="Q304" s="137">
        <f t="shared" si="26"/>
        <v>75.239999999999995</v>
      </c>
      <c r="R304" s="137">
        <f>R303*15</f>
        <v>75.239999999999995</v>
      </c>
      <c r="S304" s="138"/>
      <c r="T304" s="139">
        <f>IFERROR(INDEX('Price List'!$G$5:$G$74,MATCH(TRIM(J304)&amp;"|"&amp;TRIM(P304),'Price List'!$O$5:$O$74,0)),0)</f>
        <v>6</v>
      </c>
      <c r="U304" s="140">
        <f>IFERROR(INDEX('Price List'!$H$5:$H$74,MATCH(TRIM(J304)&amp;"|"&amp;TRIM(P304),'Price List'!$O$5:$O$74,0)),0)</f>
        <v>0.2</v>
      </c>
      <c r="V304" s="141">
        <f t="shared" si="23"/>
        <v>7.1999999999999993</v>
      </c>
      <c r="W304" s="142">
        <f>IFERROR(INDEX('Price List'!$J$5:$J$74,MATCH(TRIM(J304)&amp;"|"&amp;TRIM(P304),'Price List'!$O$5:$O$74,0)),0)</f>
        <v>5</v>
      </c>
      <c r="X304" s="143">
        <f>IFERROR(INDEX('Price List'!$K$5:$K$74,MATCH(TRIM(J304)&amp;"|"&amp;TRIM(P304),'Price List'!$O$5:$O$74,0)),0)</f>
        <v>0.12</v>
      </c>
      <c r="Y304" s="141">
        <f t="shared" si="24"/>
        <v>5.6000000000000005</v>
      </c>
      <c r="Z304" s="141">
        <f t="shared" si="25"/>
        <v>963.072</v>
      </c>
      <c r="AA304" s="134"/>
    </row>
    <row r="305" spans="1:27" ht="15" customHeight="1" x14ac:dyDescent="0.35">
      <c r="A305" s="134"/>
      <c r="B305" s="135"/>
      <c r="C305" s="134" t="s">
        <v>444</v>
      </c>
      <c r="D305" s="136" t="str">
        <f t="shared" si="22"/>
        <v>B.04</v>
      </c>
      <c r="E305" s="135" t="s">
        <v>414</v>
      </c>
      <c r="F305" s="135" t="s">
        <v>673</v>
      </c>
      <c r="G305" s="134" t="s">
        <v>31</v>
      </c>
      <c r="H305" s="134" t="s">
        <v>578</v>
      </c>
      <c r="I305" s="134" t="s">
        <v>513</v>
      </c>
      <c r="J305" s="144" t="s">
        <v>169</v>
      </c>
      <c r="K305" s="144"/>
      <c r="L305" s="134"/>
      <c r="M305" s="134"/>
      <c r="N305" s="134"/>
      <c r="O305" s="134"/>
      <c r="P305" s="135" t="s">
        <v>103</v>
      </c>
      <c r="Q305" s="137">
        <f t="shared" si="26"/>
        <v>50.16</v>
      </c>
      <c r="R305" s="137">
        <f>R303*10</f>
        <v>50.16</v>
      </c>
      <c r="S305" s="138"/>
      <c r="T305" s="139">
        <f>IFERROR(INDEX('Price List'!$G$5:$G$74,MATCH(TRIM(J305)&amp;"|"&amp;TRIM(P305),'Price List'!$O$5:$O$74,0)),0)</f>
        <v>0.12</v>
      </c>
      <c r="U305" s="140">
        <f>IFERROR(INDEX('Price List'!$H$5:$H$74,MATCH(TRIM(J305)&amp;"|"&amp;TRIM(P305),'Price List'!$O$5:$O$74,0)),0)</f>
        <v>0.2</v>
      </c>
      <c r="V305" s="141">
        <f t="shared" si="23"/>
        <v>0.14399999999999999</v>
      </c>
      <c r="W305" s="142">
        <f>IFERROR(INDEX('Price List'!$J$5:$J$74,MATCH(TRIM(J305)&amp;"|"&amp;TRIM(P305),'Price List'!$O$5:$O$74,0)),0)</f>
        <v>0.77</v>
      </c>
      <c r="X305" s="143">
        <f>IFERROR(INDEX('Price List'!$K$5:$K$74,MATCH(TRIM(J305)&amp;"|"&amp;TRIM(P305),'Price List'!$O$5:$O$74,0)),0)</f>
        <v>0.12</v>
      </c>
      <c r="Y305" s="141">
        <f t="shared" si="24"/>
        <v>0.86240000000000006</v>
      </c>
      <c r="Z305" s="141">
        <f t="shared" si="25"/>
        <v>50.481023999999998</v>
      </c>
      <c r="AA305" s="134"/>
    </row>
    <row r="306" spans="1:27" ht="15" customHeight="1" x14ac:dyDescent="0.35">
      <c r="A306" s="134"/>
      <c r="B306" s="135"/>
      <c r="C306" s="134" t="s">
        <v>444</v>
      </c>
      <c r="D306" s="136" t="str">
        <f t="shared" si="22"/>
        <v>B.04</v>
      </c>
      <c r="E306" s="135" t="s">
        <v>414</v>
      </c>
      <c r="F306" s="135" t="s">
        <v>673</v>
      </c>
      <c r="G306" s="134" t="s">
        <v>31</v>
      </c>
      <c r="H306" s="134" t="s">
        <v>578</v>
      </c>
      <c r="I306" s="134" t="s">
        <v>513</v>
      </c>
      <c r="J306" s="144" t="s">
        <v>131</v>
      </c>
      <c r="K306" s="134"/>
      <c r="L306" s="134"/>
      <c r="M306" s="134"/>
      <c r="N306" s="134"/>
      <c r="O306" s="134"/>
      <c r="P306" s="135" t="s">
        <v>103</v>
      </c>
      <c r="Q306" s="137">
        <f t="shared" si="26"/>
        <v>601.91999999999996</v>
      </c>
      <c r="R306" s="137">
        <f>R303*120</f>
        <v>601.91999999999996</v>
      </c>
      <c r="S306" s="138"/>
      <c r="T306" s="139">
        <f>IFERROR(INDEX('Price List'!$G$5:$G$74,MATCH(TRIM(J306)&amp;"|"&amp;TRIM(P306),'Price List'!$O$5:$O$74,0)),0)</f>
        <v>0.11</v>
      </c>
      <c r="U306" s="140">
        <f>IFERROR(INDEX('Price List'!$H$5:$H$74,MATCH(TRIM(J306)&amp;"|"&amp;TRIM(P306),'Price List'!$O$5:$O$74,0)),0)</f>
        <v>0.2</v>
      </c>
      <c r="V306" s="141">
        <f t="shared" si="23"/>
        <v>0.13200000000000001</v>
      </c>
      <c r="W306" s="142">
        <f>IFERROR(INDEX('Price List'!$J$5:$J$74,MATCH(TRIM(J306)&amp;"|"&amp;TRIM(P306),'Price List'!$O$5:$O$74,0)),0)</f>
        <v>0.76</v>
      </c>
      <c r="X306" s="143">
        <f>IFERROR(INDEX('Price List'!$K$5:$K$74,MATCH(TRIM(J306)&amp;"|"&amp;TRIM(P306),'Price List'!$O$5:$O$74,0)),0)</f>
        <v>0.12</v>
      </c>
      <c r="Y306" s="141">
        <f t="shared" si="24"/>
        <v>0.85120000000000007</v>
      </c>
      <c r="Z306" s="141">
        <f t="shared" si="25"/>
        <v>591.80774399999996</v>
      </c>
      <c r="AA306" s="134"/>
    </row>
    <row r="307" spans="1:27" ht="15" customHeight="1" x14ac:dyDescent="0.35">
      <c r="A307" s="134"/>
      <c r="B307" s="135"/>
      <c r="C307" s="134" t="s">
        <v>444</v>
      </c>
      <c r="D307" s="136" t="str">
        <f t="shared" si="22"/>
        <v>B.04</v>
      </c>
      <c r="E307" s="135" t="s">
        <v>414</v>
      </c>
      <c r="F307" s="135" t="s">
        <v>673</v>
      </c>
      <c r="G307" s="134" t="s">
        <v>31</v>
      </c>
      <c r="H307" s="134" t="s">
        <v>578</v>
      </c>
      <c r="I307" s="134" t="s">
        <v>513</v>
      </c>
      <c r="J307" s="144" t="s">
        <v>133</v>
      </c>
      <c r="K307" s="134"/>
      <c r="L307" s="134"/>
      <c r="M307" s="134"/>
      <c r="N307" s="134"/>
      <c r="O307" s="134"/>
      <c r="P307" s="135" t="s">
        <v>103</v>
      </c>
      <c r="Q307" s="137">
        <f t="shared" si="26"/>
        <v>125.4</v>
      </c>
      <c r="R307" s="137">
        <f>R303*25</f>
        <v>125.4</v>
      </c>
      <c r="S307" s="138"/>
      <c r="T307" s="139">
        <f>IFERROR(INDEX('Price List'!$G$5:$G$74,MATCH(TRIM(J307)&amp;"|"&amp;TRIM(P307),'Price List'!$O$5:$O$74,0)),0)</f>
        <v>0.1</v>
      </c>
      <c r="U307" s="140">
        <f>IFERROR(INDEX('Price List'!$H$5:$H$74,MATCH(TRIM(J307)&amp;"|"&amp;TRIM(P307),'Price List'!$O$5:$O$74,0)),0)</f>
        <v>0.2</v>
      </c>
      <c r="V307" s="141">
        <f t="shared" si="23"/>
        <v>0.12</v>
      </c>
      <c r="W307" s="142">
        <f>IFERROR(INDEX('Price List'!$J$5:$J$74,MATCH(TRIM(J307)&amp;"|"&amp;TRIM(P307),'Price List'!$O$5:$O$74,0)),0)</f>
        <v>0.74</v>
      </c>
      <c r="X307" s="143">
        <f>IFERROR(INDEX('Price List'!$K$5:$K$74,MATCH(TRIM(J307)&amp;"|"&amp;TRIM(P307),'Price List'!$O$5:$O$74,0)),0)</f>
        <v>0.12</v>
      </c>
      <c r="Y307" s="141">
        <f t="shared" si="24"/>
        <v>0.82880000000000009</v>
      </c>
      <c r="Z307" s="141">
        <f t="shared" si="25"/>
        <v>118.97952000000002</v>
      </c>
      <c r="AA307" s="134"/>
    </row>
    <row r="308" spans="1:27" ht="15" customHeight="1" x14ac:dyDescent="0.35">
      <c r="A308" s="134"/>
      <c r="B308" s="135"/>
      <c r="C308" s="134" t="s">
        <v>444</v>
      </c>
      <c r="D308" s="136" t="str">
        <f t="shared" si="22"/>
        <v>B.04</v>
      </c>
      <c r="E308" s="135" t="s">
        <v>414</v>
      </c>
      <c r="F308" s="135" t="s">
        <v>673</v>
      </c>
      <c r="G308" s="134" t="s">
        <v>31</v>
      </c>
      <c r="H308" s="134" t="s">
        <v>578</v>
      </c>
      <c r="I308" s="134" t="s">
        <v>657</v>
      </c>
      <c r="J308" s="134" t="s">
        <v>107</v>
      </c>
      <c r="K308" s="134"/>
      <c r="L308" s="134"/>
      <c r="M308" s="134"/>
      <c r="N308" s="134"/>
      <c r="O308" s="134"/>
      <c r="P308" s="135" t="s">
        <v>103</v>
      </c>
      <c r="Q308" s="137">
        <f t="shared" si="26"/>
        <v>31.099199999999996</v>
      </c>
      <c r="R308" s="137">
        <f>(R306+R307+R305)*4%</f>
        <v>31.099199999999996</v>
      </c>
      <c r="S308" s="138"/>
      <c r="T308" s="139">
        <f>IFERROR(INDEX('Price List'!$G$5:$G$74,MATCH(TRIM(J308)&amp;"|"&amp;TRIM(P308),'Price List'!$O$5:$O$74,0)),0)</f>
        <v>0.05</v>
      </c>
      <c r="U308" s="140">
        <f>IFERROR(INDEX('Price List'!$H$5:$H$74,MATCH(TRIM(J308)&amp;"|"&amp;TRIM(P308),'Price List'!$O$5:$O$74,0)),0)</f>
        <v>0.2</v>
      </c>
      <c r="V308" s="141">
        <f t="shared" si="23"/>
        <v>0.06</v>
      </c>
      <c r="W308" s="142">
        <f>IFERROR(INDEX('Price List'!$J$5:$J$74,MATCH(TRIM(J308)&amp;"|"&amp;TRIM(P308),'Price List'!$O$5:$O$74,0)),0)</f>
        <v>1.2</v>
      </c>
      <c r="X308" s="143">
        <f>IFERROR(INDEX('Price List'!$K$5:$K$74,MATCH(TRIM(J308)&amp;"|"&amp;TRIM(P308),'Price List'!$O$5:$O$74,0)),0)</f>
        <v>0.12</v>
      </c>
      <c r="Y308" s="141">
        <f t="shared" si="24"/>
        <v>1.3440000000000001</v>
      </c>
      <c r="Z308" s="141">
        <f t="shared" si="25"/>
        <v>43.663276799999998</v>
      </c>
      <c r="AA308" s="134"/>
    </row>
    <row r="309" spans="1:27" ht="15" customHeight="1" x14ac:dyDescent="0.35">
      <c r="A309" s="134"/>
      <c r="B309" s="134"/>
      <c r="C309" s="134" t="s">
        <v>444</v>
      </c>
      <c r="D309" s="136" t="str">
        <f t="shared" si="22"/>
        <v>B.04</v>
      </c>
      <c r="E309" s="135" t="s">
        <v>414</v>
      </c>
      <c r="F309" s="135" t="s">
        <v>673</v>
      </c>
      <c r="G309" s="134" t="s">
        <v>31</v>
      </c>
      <c r="H309" s="134" t="s">
        <v>573</v>
      </c>
      <c r="I309" s="134" t="s">
        <v>512</v>
      </c>
      <c r="J309" s="144" t="s">
        <v>125</v>
      </c>
      <c r="K309" s="134"/>
      <c r="L309" s="134"/>
      <c r="M309" s="134"/>
      <c r="N309" s="134"/>
      <c r="O309" s="134"/>
      <c r="P309" s="135" t="s">
        <v>100</v>
      </c>
      <c r="Q309" s="137">
        <f t="shared" si="26"/>
        <v>38.975999999999999</v>
      </c>
      <c r="R309" s="137">
        <v>38.975999999999999</v>
      </c>
      <c r="S309" s="138"/>
      <c r="T309" s="139">
        <f>IFERROR(INDEX('Price List'!$G$5:$G$74,MATCH(TRIM(J309)&amp;"|"&amp;TRIM(P309),'Price List'!$O$5:$O$74,0)),0)</f>
        <v>10</v>
      </c>
      <c r="U309" s="140">
        <f>IFERROR(INDEX('Price List'!$H$5:$H$74,MATCH(TRIM(J309)&amp;"|"&amp;TRIM(P309),'Price List'!$O$5:$O$74,0)),0)</f>
        <v>0.2</v>
      </c>
      <c r="V309" s="141">
        <f t="shared" si="23"/>
        <v>12</v>
      </c>
      <c r="W309" s="142">
        <f>IFERROR(INDEX('Price List'!$J$5:$J$74,MATCH(TRIM(J309)&amp;"|"&amp;TRIM(P309),'Price List'!$O$5:$O$74,0)),0)</f>
        <v>98</v>
      </c>
      <c r="X309" s="143">
        <f>IFERROR(INDEX('Price List'!$K$5:$K$74,MATCH(TRIM(J309)&amp;"|"&amp;TRIM(P309),'Price List'!$O$5:$O$74,0)),0)</f>
        <v>0.12</v>
      </c>
      <c r="Y309" s="141">
        <f t="shared" si="24"/>
        <v>109.76</v>
      </c>
      <c r="Z309" s="141">
        <f t="shared" si="25"/>
        <v>4745.7177600000005</v>
      </c>
      <c r="AA309" s="134"/>
    </row>
    <row r="310" spans="1:27" ht="15" customHeight="1" x14ac:dyDescent="0.35">
      <c r="A310" s="134"/>
      <c r="B310" s="134"/>
      <c r="C310" s="134" t="s">
        <v>444</v>
      </c>
      <c r="D310" s="136" t="str">
        <f t="shared" si="22"/>
        <v>B.04</v>
      </c>
      <c r="E310" s="135" t="s">
        <v>414</v>
      </c>
      <c r="F310" s="135" t="s">
        <v>673</v>
      </c>
      <c r="G310" s="134" t="s">
        <v>31</v>
      </c>
      <c r="H310" s="134" t="s">
        <v>573</v>
      </c>
      <c r="I310" s="144" t="s">
        <v>127</v>
      </c>
      <c r="J310" s="144" t="s">
        <v>127</v>
      </c>
      <c r="K310" s="144"/>
      <c r="L310" s="134"/>
      <c r="M310" s="134"/>
      <c r="N310" s="134"/>
      <c r="O310" s="134"/>
      <c r="P310" s="135" t="s">
        <v>128</v>
      </c>
      <c r="Q310" s="137">
        <f t="shared" si="26"/>
        <v>204.96</v>
      </c>
      <c r="R310" s="137">
        <v>204.96</v>
      </c>
      <c r="S310" s="138"/>
      <c r="T310" s="139">
        <f>IFERROR(INDEX('Price List'!$G$5:$G$74,MATCH(TRIM(J310)&amp;"|"&amp;TRIM(P310),'Price List'!$O$5:$O$74,0)),0)</f>
        <v>6</v>
      </c>
      <c r="U310" s="140">
        <f>IFERROR(INDEX('Price List'!$H$5:$H$74,MATCH(TRIM(J310)&amp;"|"&amp;TRIM(P310),'Price List'!$O$5:$O$74,0)),0)</f>
        <v>0.2</v>
      </c>
      <c r="V310" s="141">
        <f t="shared" si="23"/>
        <v>7.1999999999999993</v>
      </c>
      <c r="W310" s="142">
        <f>IFERROR(INDEX('Price List'!$J$5:$J$74,MATCH(TRIM(J310)&amp;"|"&amp;TRIM(P310),'Price List'!$O$5:$O$74,0)),0)</f>
        <v>5</v>
      </c>
      <c r="X310" s="143">
        <f>IFERROR(INDEX('Price List'!$K$5:$K$74,MATCH(TRIM(J310)&amp;"|"&amp;TRIM(P310),'Price List'!$O$5:$O$74,0)),0)</f>
        <v>0.12</v>
      </c>
      <c r="Y310" s="141">
        <f t="shared" si="24"/>
        <v>5.6000000000000005</v>
      </c>
      <c r="Z310" s="141">
        <f t="shared" si="25"/>
        <v>2623.4880000000003</v>
      </c>
      <c r="AA310" s="134"/>
    </row>
    <row r="311" spans="1:27" ht="15" customHeight="1" x14ac:dyDescent="0.35">
      <c r="A311" s="134"/>
      <c r="B311" s="134"/>
      <c r="C311" s="134" t="s">
        <v>444</v>
      </c>
      <c r="D311" s="136" t="str">
        <f t="shared" si="22"/>
        <v>B.04</v>
      </c>
      <c r="E311" s="135" t="s">
        <v>414</v>
      </c>
      <c r="F311" s="135" t="s">
        <v>673</v>
      </c>
      <c r="G311" s="134" t="s">
        <v>31</v>
      </c>
      <c r="H311" s="134" t="s">
        <v>573</v>
      </c>
      <c r="I311" s="134" t="s">
        <v>513</v>
      </c>
      <c r="J311" s="144" t="s">
        <v>102</v>
      </c>
      <c r="K311" s="134"/>
      <c r="L311" s="134"/>
      <c r="M311" s="134"/>
      <c r="N311" s="134"/>
      <c r="O311" s="134"/>
      <c r="P311" s="135" t="s">
        <v>103</v>
      </c>
      <c r="Q311" s="137">
        <f t="shared" si="26"/>
        <v>418.07920000000001</v>
      </c>
      <c r="R311" s="137">
        <v>418.07920000000001</v>
      </c>
      <c r="S311" s="138"/>
      <c r="T311" s="139">
        <f>IFERROR(INDEX('Price List'!$G$5:$G$74,MATCH(TRIM(J311)&amp;"|"&amp;TRIM(P311),'Price List'!$O$5:$O$74,0)),0)</f>
        <v>0.12</v>
      </c>
      <c r="U311" s="140">
        <f>IFERROR(INDEX('Price List'!$H$5:$H$74,MATCH(TRIM(J311)&amp;"|"&amp;TRIM(P311),'Price List'!$O$5:$O$74,0)),0)</f>
        <v>0.2</v>
      </c>
      <c r="V311" s="141">
        <f t="shared" si="23"/>
        <v>0.14399999999999999</v>
      </c>
      <c r="W311" s="142">
        <f>IFERROR(INDEX('Price List'!$J$5:$J$74,MATCH(TRIM(J311)&amp;"|"&amp;TRIM(P311),'Price List'!$O$5:$O$74,0)),0)</f>
        <v>0.78</v>
      </c>
      <c r="X311" s="143">
        <f>IFERROR(INDEX('Price List'!$K$5:$K$74,MATCH(TRIM(J311)&amp;"|"&amp;TRIM(P311),'Price List'!$O$5:$O$74,0)),0)</f>
        <v>0.12</v>
      </c>
      <c r="Y311" s="141">
        <f t="shared" si="24"/>
        <v>0.87360000000000015</v>
      </c>
      <c r="Z311" s="141">
        <f t="shared" si="25"/>
        <v>425.43739392000003</v>
      </c>
      <c r="AA311" s="134"/>
    </row>
    <row r="312" spans="1:27" ht="15" customHeight="1" x14ac:dyDescent="0.35">
      <c r="A312" s="134"/>
      <c r="B312" s="134"/>
      <c r="C312" s="134" t="s">
        <v>444</v>
      </c>
      <c r="D312" s="136" t="str">
        <f t="shared" si="22"/>
        <v>B.04</v>
      </c>
      <c r="E312" s="135" t="s">
        <v>414</v>
      </c>
      <c r="F312" s="135" t="s">
        <v>673</v>
      </c>
      <c r="G312" s="134" t="s">
        <v>31</v>
      </c>
      <c r="H312" s="134" t="s">
        <v>573</v>
      </c>
      <c r="I312" s="134" t="s">
        <v>513</v>
      </c>
      <c r="J312" s="144" t="s">
        <v>131</v>
      </c>
      <c r="K312" s="134"/>
      <c r="L312" s="134"/>
      <c r="M312" s="134"/>
      <c r="N312" s="134"/>
      <c r="O312" s="134"/>
      <c r="P312" s="135" t="s">
        <v>103</v>
      </c>
      <c r="Q312" s="137">
        <f t="shared" si="26"/>
        <v>2118.4128000000001</v>
      </c>
      <c r="R312" s="137">
        <v>2118.4128000000001</v>
      </c>
      <c r="S312" s="138"/>
      <c r="T312" s="139">
        <f>IFERROR(INDEX('Price List'!$G$5:$G$74,MATCH(TRIM(J312)&amp;"|"&amp;TRIM(P312),'Price List'!$O$5:$O$74,0)),0)</f>
        <v>0.11</v>
      </c>
      <c r="U312" s="140">
        <f>IFERROR(INDEX('Price List'!$H$5:$H$74,MATCH(TRIM(J312)&amp;"|"&amp;TRIM(P312),'Price List'!$O$5:$O$74,0)),0)</f>
        <v>0.2</v>
      </c>
      <c r="V312" s="141">
        <f t="shared" si="23"/>
        <v>0.13200000000000001</v>
      </c>
      <c r="W312" s="142">
        <f>IFERROR(INDEX('Price List'!$J$5:$J$74,MATCH(TRIM(J312)&amp;"|"&amp;TRIM(P312),'Price List'!$O$5:$O$74,0)),0)</f>
        <v>0.76</v>
      </c>
      <c r="X312" s="143">
        <f>IFERROR(INDEX('Price List'!$K$5:$K$74,MATCH(TRIM(J312)&amp;"|"&amp;TRIM(P312),'Price List'!$O$5:$O$74,0)),0)</f>
        <v>0.12</v>
      </c>
      <c r="Y312" s="141">
        <f t="shared" si="24"/>
        <v>0.85120000000000007</v>
      </c>
      <c r="Z312" s="141">
        <f t="shared" si="25"/>
        <v>2082.8234649600004</v>
      </c>
      <c r="AA312" s="134"/>
    </row>
    <row r="313" spans="1:27" ht="15" customHeight="1" x14ac:dyDescent="0.35">
      <c r="A313" s="134"/>
      <c r="B313" s="134"/>
      <c r="C313" s="134" t="s">
        <v>444</v>
      </c>
      <c r="D313" s="136" t="str">
        <f t="shared" si="22"/>
        <v>B.04</v>
      </c>
      <c r="E313" s="135" t="s">
        <v>414</v>
      </c>
      <c r="F313" s="135" t="s">
        <v>673</v>
      </c>
      <c r="G313" s="134" t="s">
        <v>31</v>
      </c>
      <c r="H313" s="134" t="s">
        <v>573</v>
      </c>
      <c r="I313" s="134" t="s">
        <v>513</v>
      </c>
      <c r="J313" s="144" t="s">
        <v>135</v>
      </c>
      <c r="K313" s="134"/>
      <c r="L313" s="134"/>
      <c r="M313" s="134"/>
      <c r="N313" s="134"/>
      <c r="O313" s="134"/>
      <c r="P313" s="135" t="s">
        <v>103</v>
      </c>
      <c r="Q313" s="137">
        <f t="shared" si="26"/>
        <v>1231.0272</v>
      </c>
      <c r="R313" s="137">
        <v>1231.0272</v>
      </c>
      <c r="S313" s="138"/>
      <c r="T313" s="139">
        <f>IFERROR(INDEX('Price List'!$G$5:$G$74,MATCH(TRIM(J313)&amp;"|"&amp;TRIM(P313),'Price List'!$O$5:$O$74,0)),0)</f>
        <v>0.09</v>
      </c>
      <c r="U313" s="140">
        <f>IFERROR(INDEX('Price List'!$H$5:$H$74,MATCH(TRIM(J313)&amp;"|"&amp;TRIM(P313),'Price List'!$O$5:$O$74,0)),0)</f>
        <v>0.2</v>
      </c>
      <c r="V313" s="141">
        <f t="shared" si="23"/>
        <v>0.108</v>
      </c>
      <c r="W313" s="142">
        <f>IFERROR(INDEX('Price List'!$J$5:$J$74,MATCH(TRIM(J313)&amp;"|"&amp;TRIM(P313),'Price List'!$O$5:$O$74,0)),0)</f>
        <v>0.73</v>
      </c>
      <c r="X313" s="143">
        <f>IFERROR(INDEX('Price List'!$K$5:$K$74,MATCH(TRIM(J313)&amp;"|"&amp;TRIM(P313),'Price List'!$O$5:$O$74,0)),0)</f>
        <v>0.12</v>
      </c>
      <c r="Y313" s="141">
        <f t="shared" si="24"/>
        <v>0.8176000000000001</v>
      </c>
      <c r="Z313" s="141">
        <f t="shared" si="25"/>
        <v>1139.4387763200002</v>
      </c>
      <c r="AA313" s="134"/>
    </row>
    <row r="314" spans="1:27" ht="15" customHeight="1" x14ac:dyDescent="0.35">
      <c r="A314" s="134"/>
      <c r="B314" s="134"/>
      <c r="C314" s="134" t="s">
        <v>444</v>
      </c>
      <c r="D314" s="136" t="str">
        <f t="shared" si="22"/>
        <v>B.04</v>
      </c>
      <c r="E314" s="135" t="s">
        <v>414</v>
      </c>
      <c r="F314" s="135" t="s">
        <v>673</v>
      </c>
      <c r="G314" s="134" t="s">
        <v>31</v>
      </c>
      <c r="H314" s="134" t="s">
        <v>573</v>
      </c>
      <c r="I314" s="134" t="s">
        <v>513</v>
      </c>
      <c r="J314" s="144" t="s">
        <v>105</v>
      </c>
      <c r="K314" s="134"/>
      <c r="L314" s="134"/>
      <c r="M314" s="134"/>
      <c r="N314" s="134"/>
      <c r="O314" s="134"/>
      <c r="P314" s="135" t="s">
        <v>103</v>
      </c>
      <c r="Q314" s="137">
        <f t="shared" si="26"/>
        <v>5365.9008000000003</v>
      </c>
      <c r="R314" s="137">
        <v>5365.9008000000003</v>
      </c>
      <c r="S314" s="138"/>
      <c r="T314" s="139">
        <f>IFERROR(INDEX('Price List'!$G$5:$G$74,MATCH(TRIM(J314)&amp;"|"&amp;TRIM(P314),'Price List'!$O$5:$O$74,0)),0)</f>
        <v>0.08</v>
      </c>
      <c r="U314" s="140">
        <f>IFERROR(INDEX('Price List'!$H$5:$H$74,MATCH(TRIM(J314)&amp;"|"&amp;TRIM(P314),'Price List'!$O$5:$O$74,0)),0)</f>
        <v>0.2</v>
      </c>
      <c r="V314" s="141">
        <f t="shared" si="23"/>
        <v>9.6000000000000002E-2</v>
      </c>
      <c r="W314" s="142">
        <f>IFERROR(INDEX('Price List'!$J$5:$J$74,MATCH(TRIM(J314)&amp;"|"&amp;TRIM(P314),'Price List'!$O$5:$O$74,0)),0)</f>
        <v>0.72</v>
      </c>
      <c r="X314" s="143">
        <f>IFERROR(INDEX('Price List'!$K$5:$K$74,MATCH(TRIM(J314)&amp;"|"&amp;TRIM(P314),'Price List'!$O$5:$O$74,0)),0)</f>
        <v>0.12</v>
      </c>
      <c r="Y314" s="141">
        <f t="shared" si="24"/>
        <v>0.80640000000000001</v>
      </c>
      <c r="Z314" s="141">
        <f t="shared" si="25"/>
        <v>4842.1888819200003</v>
      </c>
      <c r="AA314" s="134"/>
    </row>
    <row r="315" spans="1:27" ht="15" customHeight="1" x14ac:dyDescent="0.35">
      <c r="A315" s="134"/>
      <c r="B315" s="134"/>
      <c r="C315" s="134" t="s">
        <v>444</v>
      </c>
      <c r="D315" s="136" t="str">
        <f t="shared" si="22"/>
        <v>B.04</v>
      </c>
      <c r="E315" s="135" t="s">
        <v>414</v>
      </c>
      <c r="F315" s="135" t="s">
        <v>673</v>
      </c>
      <c r="G315" s="134" t="s">
        <v>31</v>
      </c>
      <c r="H315" s="134" t="s">
        <v>573</v>
      </c>
      <c r="I315" s="134" t="s">
        <v>657</v>
      </c>
      <c r="J315" s="134" t="s">
        <v>107</v>
      </c>
      <c r="K315" s="134"/>
      <c r="L315" s="134"/>
      <c r="M315" s="134"/>
      <c r="N315" s="134"/>
      <c r="O315" s="134"/>
      <c r="P315" s="135" t="s">
        <v>103</v>
      </c>
      <c r="Q315" s="137">
        <f t="shared" si="26"/>
        <v>365.33679999999998</v>
      </c>
      <c r="R315" s="137">
        <f>(R313+R314+R312+R311)*4%</f>
        <v>365.33679999999998</v>
      </c>
      <c r="S315" s="138"/>
      <c r="T315" s="139">
        <f>IFERROR(INDEX('Price List'!$G$5:$G$74,MATCH(TRIM(J315)&amp;"|"&amp;TRIM(P315),'Price List'!$O$5:$O$74,0)),0)</f>
        <v>0.05</v>
      </c>
      <c r="U315" s="140">
        <f>IFERROR(INDEX('Price List'!$H$5:$H$74,MATCH(TRIM(J315)&amp;"|"&amp;TRIM(P315),'Price List'!$O$5:$O$74,0)),0)</f>
        <v>0.2</v>
      </c>
      <c r="V315" s="141">
        <f t="shared" si="23"/>
        <v>0.06</v>
      </c>
      <c r="W315" s="142">
        <f>IFERROR(INDEX('Price List'!$J$5:$J$74,MATCH(TRIM(J315)&amp;"|"&amp;TRIM(P315),'Price List'!$O$5:$O$74,0)),0)</f>
        <v>1.2</v>
      </c>
      <c r="X315" s="143">
        <f>IFERROR(INDEX('Price List'!$K$5:$K$74,MATCH(TRIM(J315)&amp;"|"&amp;TRIM(P315),'Price List'!$O$5:$O$74,0)),0)</f>
        <v>0.12</v>
      </c>
      <c r="Y315" s="141">
        <f t="shared" si="24"/>
        <v>1.3440000000000001</v>
      </c>
      <c r="Z315" s="141">
        <f t="shared" si="25"/>
        <v>512.93286720000003</v>
      </c>
      <c r="AA315" s="134"/>
    </row>
    <row r="316" spans="1:27" ht="15" customHeight="1" x14ac:dyDescent="0.35">
      <c r="A316" s="134"/>
      <c r="B316" s="135"/>
      <c r="C316" s="134" t="s">
        <v>444</v>
      </c>
      <c r="D316" s="136" t="str">
        <f t="shared" si="22"/>
        <v>B.04</v>
      </c>
      <c r="E316" s="135" t="s">
        <v>414</v>
      </c>
      <c r="F316" s="135" t="s">
        <v>674</v>
      </c>
      <c r="G316" s="134" t="s">
        <v>31</v>
      </c>
      <c r="H316" s="134" t="s">
        <v>564</v>
      </c>
      <c r="I316" s="134" t="s">
        <v>512</v>
      </c>
      <c r="J316" s="145" t="s">
        <v>125</v>
      </c>
      <c r="K316" s="134"/>
      <c r="L316" s="134"/>
      <c r="M316" s="134"/>
      <c r="N316" s="134"/>
      <c r="O316" s="134"/>
      <c r="P316" s="135" t="s">
        <v>100</v>
      </c>
      <c r="Q316" s="137">
        <f t="shared" si="26"/>
        <v>46.741149999999998</v>
      </c>
      <c r="R316" s="137">
        <f>'7F,8F,9F beam'!H11</f>
        <v>46.741149999999998</v>
      </c>
      <c r="S316" s="138"/>
      <c r="T316" s="139">
        <f>IFERROR(INDEX('Price List'!$G$5:$G$74,MATCH(TRIM(J316)&amp;"|"&amp;TRIM(P316),'Price List'!$O$5:$O$74,0)),0)</f>
        <v>10</v>
      </c>
      <c r="U316" s="140">
        <f>IFERROR(INDEX('Price List'!$H$5:$H$74,MATCH(TRIM(J316)&amp;"|"&amp;TRIM(P316),'Price List'!$O$5:$O$74,0)),0)</f>
        <v>0.2</v>
      </c>
      <c r="V316" s="141">
        <f t="shared" si="23"/>
        <v>12</v>
      </c>
      <c r="W316" s="142">
        <f>IFERROR(INDEX('Price List'!$J$5:$J$74,MATCH(TRIM(J316)&amp;"|"&amp;TRIM(P316),'Price List'!$O$5:$O$74,0)),0)</f>
        <v>98</v>
      </c>
      <c r="X316" s="143">
        <f>IFERROR(INDEX('Price List'!$K$5:$K$74,MATCH(TRIM(J316)&amp;"|"&amp;TRIM(P316),'Price List'!$O$5:$O$74,0)),0)</f>
        <v>0.12</v>
      </c>
      <c r="Y316" s="141">
        <f t="shared" si="24"/>
        <v>109.76</v>
      </c>
      <c r="Z316" s="141">
        <f t="shared" si="25"/>
        <v>5691.2024240000001</v>
      </c>
      <c r="AA316" s="134"/>
    </row>
    <row r="317" spans="1:27" ht="15" customHeight="1" x14ac:dyDescent="0.35">
      <c r="A317" s="134"/>
      <c r="B317" s="135"/>
      <c r="C317" s="134" t="s">
        <v>444</v>
      </c>
      <c r="D317" s="136" t="str">
        <f t="shared" si="22"/>
        <v>B.04</v>
      </c>
      <c r="E317" s="135" t="s">
        <v>414</v>
      </c>
      <c r="F317" s="135" t="s">
        <v>674</v>
      </c>
      <c r="G317" s="134" t="s">
        <v>31</v>
      </c>
      <c r="H317" s="134" t="s">
        <v>564</v>
      </c>
      <c r="I317" s="144" t="s">
        <v>127</v>
      </c>
      <c r="J317" s="144" t="s">
        <v>127</v>
      </c>
      <c r="K317" s="144"/>
      <c r="L317" s="134"/>
      <c r="M317" s="134"/>
      <c r="N317" s="134"/>
      <c r="O317" s="134"/>
      <c r="P317" s="135" t="s">
        <v>128</v>
      </c>
      <c r="Q317" s="137">
        <f t="shared" si="26"/>
        <v>446.52599999999995</v>
      </c>
      <c r="R317" s="137">
        <f>'7F,8F,9F beam'!G11</f>
        <v>446.52599999999995</v>
      </c>
      <c r="S317" s="138"/>
      <c r="T317" s="139">
        <f>IFERROR(INDEX('Price List'!$G$5:$G$74,MATCH(TRIM(J317)&amp;"|"&amp;TRIM(P317),'Price List'!$O$5:$O$74,0)),0)</f>
        <v>6</v>
      </c>
      <c r="U317" s="140">
        <f>IFERROR(INDEX('Price List'!$H$5:$H$74,MATCH(TRIM(J317)&amp;"|"&amp;TRIM(P317),'Price List'!$O$5:$O$74,0)),0)</f>
        <v>0.2</v>
      </c>
      <c r="V317" s="141">
        <f t="shared" si="23"/>
        <v>7.1999999999999993</v>
      </c>
      <c r="W317" s="142">
        <f>IFERROR(INDEX('Price List'!$J$5:$J$74,MATCH(TRIM(J317)&amp;"|"&amp;TRIM(P317),'Price List'!$O$5:$O$74,0)),0)</f>
        <v>5</v>
      </c>
      <c r="X317" s="143">
        <f>IFERROR(INDEX('Price List'!$K$5:$K$74,MATCH(TRIM(J317)&amp;"|"&amp;TRIM(P317),'Price List'!$O$5:$O$74,0)),0)</f>
        <v>0.12</v>
      </c>
      <c r="Y317" s="141">
        <f t="shared" si="24"/>
        <v>5.6000000000000005</v>
      </c>
      <c r="Z317" s="141">
        <f t="shared" si="25"/>
        <v>5715.5328</v>
      </c>
      <c r="AA317" s="134"/>
    </row>
    <row r="318" spans="1:27" ht="15" customHeight="1" x14ac:dyDescent="0.35">
      <c r="A318" s="134"/>
      <c r="B318" s="135"/>
      <c r="C318" s="134" t="s">
        <v>444</v>
      </c>
      <c r="D318" s="136" t="str">
        <f t="shared" si="22"/>
        <v>B.04</v>
      </c>
      <c r="E318" s="135" t="s">
        <v>414</v>
      </c>
      <c r="F318" s="135" t="s">
        <v>674</v>
      </c>
      <c r="G318" s="134" t="s">
        <v>31</v>
      </c>
      <c r="H318" s="134" t="s">
        <v>564</v>
      </c>
      <c r="I318" s="134" t="s">
        <v>513</v>
      </c>
      <c r="J318" s="144" t="s">
        <v>169</v>
      </c>
      <c r="K318" s="134"/>
      <c r="L318" s="134"/>
      <c r="M318" s="134"/>
      <c r="N318" s="134"/>
      <c r="O318" s="134"/>
      <c r="P318" s="135" t="s">
        <v>103</v>
      </c>
      <c r="Q318" s="137">
        <f t="shared" si="26"/>
        <v>624.19479999999999</v>
      </c>
      <c r="R318" s="137">
        <f>'7F,8F,9F beam'!J14</f>
        <v>624.19479999999999</v>
      </c>
      <c r="S318" s="138"/>
      <c r="T318" s="139">
        <f>IFERROR(INDEX('Price List'!$G$5:$G$74,MATCH(TRIM(J318)&amp;"|"&amp;TRIM(P318),'Price List'!$O$5:$O$74,0)),0)</f>
        <v>0.12</v>
      </c>
      <c r="U318" s="140">
        <f>IFERROR(INDEX('Price List'!$H$5:$H$74,MATCH(TRIM(J318)&amp;"|"&amp;TRIM(P318),'Price List'!$O$5:$O$74,0)),0)</f>
        <v>0.2</v>
      </c>
      <c r="V318" s="141">
        <f t="shared" si="23"/>
        <v>0.14399999999999999</v>
      </c>
      <c r="W318" s="142">
        <f>IFERROR(INDEX('Price List'!$J$5:$J$74,MATCH(TRIM(J318)&amp;"|"&amp;TRIM(P318),'Price List'!$O$5:$O$74,0)),0)</f>
        <v>0.77</v>
      </c>
      <c r="X318" s="143">
        <f>IFERROR(INDEX('Price List'!$K$5:$K$74,MATCH(TRIM(J318)&amp;"|"&amp;TRIM(P318),'Price List'!$O$5:$O$74,0)),0)</f>
        <v>0.12</v>
      </c>
      <c r="Y318" s="141">
        <f t="shared" si="24"/>
        <v>0.86240000000000006</v>
      </c>
      <c r="Z318" s="141">
        <f t="shared" si="25"/>
        <v>628.18964671999993</v>
      </c>
      <c r="AA318" s="134"/>
    </row>
    <row r="319" spans="1:27" ht="15" customHeight="1" x14ac:dyDescent="0.35">
      <c r="A319" s="134"/>
      <c r="B319" s="135"/>
      <c r="C319" s="134" t="s">
        <v>444</v>
      </c>
      <c r="D319" s="136" t="str">
        <f t="shared" si="22"/>
        <v>B.04</v>
      </c>
      <c r="E319" s="135" t="s">
        <v>414</v>
      </c>
      <c r="F319" s="135" t="s">
        <v>674</v>
      </c>
      <c r="G319" s="134" t="s">
        <v>31</v>
      </c>
      <c r="H319" s="134" t="s">
        <v>564</v>
      </c>
      <c r="I319" s="134" t="s">
        <v>513</v>
      </c>
      <c r="J319" s="144" t="s">
        <v>102</v>
      </c>
      <c r="K319" s="134"/>
      <c r="L319" s="134"/>
      <c r="M319" s="134"/>
      <c r="N319" s="134"/>
      <c r="O319" s="134"/>
      <c r="P319" s="135" t="s">
        <v>103</v>
      </c>
      <c r="Q319" s="137">
        <f t="shared" si="26"/>
        <v>2823.6114200000006</v>
      </c>
      <c r="R319" s="137">
        <f>'7F,8F,9F beam'!J15</f>
        <v>2823.6114200000006</v>
      </c>
      <c r="S319" s="138"/>
      <c r="T319" s="139">
        <f>IFERROR(INDEX('Price List'!$G$5:$G$74,MATCH(TRIM(J319)&amp;"|"&amp;TRIM(P319),'Price List'!$O$5:$O$74,0)),0)</f>
        <v>0.12</v>
      </c>
      <c r="U319" s="140">
        <f>IFERROR(INDEX('Price List'!$H$5:$H$74,MATCH(TRIM(J319)&amp;"|"&amp;TRIM(P319),'Price List'!$O$5:$O$74,0)),0)</f>
        <v>0.2</v>
      </c>
      <c r="V319" s="141">
        <f t="shared" si="23"/>
        <v>0.14399999999999999</v>
      </c>
      <c r="W319" s="142">
        <f>IFERROR(INDEX('Price List'!$J$5:$J$74,MATCH(TRIM(J319)&amp;"|"&amp;TRIM(P319),'Price List'!$O$5:$O$74,0)),0)</f>
        <v>0.78</v>
      </c>
      <c r="X319" s="143">
        <f>IFERROR(INDEX('Price List'!$K$5:$K$74,MATCH(TRIM(J319)&amp;"|"&amp;TRIM(P319),'Price List'!$O$5:$O$74,0)),0)</f>
        <v>0.12</v>
      </c>
      <c r="Y319" s="141">
        <f t="shared" si="24"/>
        <v>0.87360000000000015</v>
      </c>
      <c r="Z319" s="141">
        <f t="shared" si="25"/>
        <v>2873.3069809920007</v>
      </c>
      <c r="AA319" s="134"/>
    </row>
    <row r="320" spans="1:27" ht="15" customHeight="1" x14ac:dyDescent="0.35">
      <c r="A320" s="134"/>
      <c r="B320" s="135"/>
      <c r="C320" s="134" t="s">
        <v>444</v>
      </c>
      <c r="D320" s="136" t="str">
        <f t="shared" si="22"/>
        <v>B.04</v>
      </c>
      <c r="E320" s="135" t="s">
        <v>414</v>
      </c>
      <c r="F320" s="135" t="s">
        <v>674</v>
      </c>
      <c r="G320" s="134" t="s">
        <v>31</v>
      </c>
      <c r="H320" s="134" t="s">
        <v>564</v>
      </c>
      <c r="I320" s="134" t="s">
        <v>513</v>
      </c>
      <c r="J320" s="144" t="s">
        <v>131</v>
      </c>
      <c r="K320" s="134"/>
      <c r="L320" s="134"/>
      <c r="M320" s="134"/>
      <c r="N320" s="134"/>
      <c r="O320" s="134"/>
      <c r="P320" s="135" t="s">
        <v>103</v>
      </c>
      <c r="Q320" s="137">
        <f t="shared" si="26"/>
        <v>295.33103999999997</v>
      </c>
      <c r="R320" s="137">
        <f>'7F,8F,9F beam'!J16</f>
        <v>295.33103999999997</v>
      </c>
      <c r="S320" s="138"/>
      <c r="T320" s="139">
        <f>IFERROR(INDEX('Price List'!$G$5:$G$74,MATCH(TRIM(J320)&amp;"|"&amp;TRIM(P320),'Price List'!$O$5:$O$74,0)),0)</f>
        <v>0.11</v>
      </c>
      <c r="U320" s="140">
        <f>IFERROR(INDEX('Price List'!$H$5:$H$74,MATCH(TRIM(J320)&amp;"|"&amp;TRIM(P320),'Price List'!$O$5:$O$74,0)),0)</f>
        <v>0.2</v>
      </c>
      <c r="V320" s="141">
        <f t="shared" si="23"/>
        <v>0.13200000000000001</v>
      </c>
      <c r="W320" s="142">
        <f>IFERROR(INDEX('Price List'!$J$5:$J$74,MATCH(TRIM(J320)&amp;"|"&amp;TRIM(P320),'Price List'!$O$5:$O$74,0)),0)</f>
        <v>0.76</v>
      </c>
      <c r="X320" s="143">
        <f>IFERROR(INDEX('Price List'!$K$5:$K$74,MATCH(TRIM(J320)&amp;"|"&amp;TRIM(P320),'Price List'!$O$5:$O$74,0)),0)</f>
        <v>0.12</v>
      </c>
      <c r="Y320" s="141">
        <f t="shared" si="24"/>
        <v>0.85120000000000007</v>
      </c>
      <c r="Z320" s="141">
        <f t="shared" si="25"/>
        <v>290.369478528</v>
      </c>
      <c r="AA320" s="134"/>
    </row>
    <row r="321" spans="1:27" ht="15" customHeight="1" x14ac:dyDescent="0.35">
      <c r="A321" s="134"/>
      <c r="B321" s="135"/>
      <c r="C321" s="134" t="s">
        <v>444</v>
      </c>
      <c r="D321" s="136" t="str">
        <f t="shared" si="22"/>
        <v>B.04</v>
      </c>
      <c r="E321" s="135" t="s">
        <v>414</v>
      </c>
      <c r="F321" s="135" t="s">
        <v>674</v>
      </c>
      <c r="G321" s="134" t="s">
        <v>31</v>
      </c>
      <c r="H321" s="134" t="s">
        <v>564</v>
      </c>
      <c r="I321" s="134" t="s">
        <v>513</v>
      </c>
      <c r="J321" s="144" t="s">
        <v>133</v>
      </c>
      <c r="K321" s="134"/>
      <c r="L321" s="134"/>
      <c r="M321" s="134"/>
      <c r="N321" s="134"/>
      <c r="O321" s="134"/>
      <c r="P321" s="135" t="s">
        <v>103</v>
      </c>
      <c r="Q321" s="137">
        <f t="shared" si="26"/>
        <v>2411.8152</v>
      </c>
      <c r="R321" s="137">
        <f>'7F,8F,9F beam'!J17</f>
        <v>2411.8152</v>
      </c>
      <c r="S321" s="138"/>
      <c r="T321" s="139">
        <f>IFERROR(INDEX('Price List'!$G$5:$G$74,MATCH(TRIM(J321)&amp;"|"&amp;TRIM(P321),'Price List'!$O$5:$O$74,0)),0)</f>
        <v>0.1</v>
      </c>
      <c r="U321" s="140">
        <f>IFERROR(INDEX('Price List'!$H$5:$H$74,MATCH(TRIM(J321)&amp;"|"&amp;TRIM(P321),'Price List'!$O$5:$O$74,0)),0)</f>
        <v>0.2</v>
      </c>
      <c r="V321" s="141">
        <f t="shared" si="23"/>
        <v>0.12</v>
      </c>
      <c r="W321" s="142">
        <f>IFERROR(INDEX('Price List'!$J$5:$J$74,MATCH(TRIM(J321)&amp;"|"&amp;TRIM(P321),'Price List'!$O$5:$O$74,0)),0)</f>
        <v>0.74</v>
      </c>
      <c r="X321" s="143">
        <f>IFERROR(INDEX('Price List'!$K$5:$K$74,MATCH(TRIM(J321)&amp;"|"&amp;TRIM(P321),'Price List'!$O$5:$O$74,0)),0)</f>
        <v>0.12</v>
      </c>
      <c r="Y321" s="141">
        <f t="shared" si="24"/>
        <v>0.82880000000000009</v>
      </c>
      <c r="Z321" s="141">
        <f t="shared" si="25"/>
        <v>2288.3302617600002</v>
      </c>
      <c r="AA321" s="134"/>
    </row>
    <row r="322" spans="1:27" ht="15" customHeight="1" x14ac:dyDescent="0.35">
      <c r="A322" s="134"/>
      <c r="B322" s="135"/>
      <c r="C322" s="134" t="s">
        <v>444</v>
      </c>
      <c r="D322" s="136" t="str">
        <f t="shared" ref="D322:D385" si="27">IFERROR(IF(TRIM($G322)="Sub Structure",IF(TRIM($H322)="Bored Pile","B.01","B.03"),IF(TRIM($G322)="Super Structure","B.04",IF(OR(TRIM($G322)="Exterior Wall and Partition",TRIM($G322)="External Wall and Partition"),"C.01",IF(TRIM($G322)="Exterior Wall Finishes","C.02",IF(TRIM($G322)="Interior Wall and Partition","C.09",IF(TRIM($G322)="Interior Door","C.10",IF(TRIM($G322)="External Windows and Louvers","C.04",IF(OR(TRIM($G322)="Interior Floor Finishes",TRIM($G322)="Internal Floor Finishes"),"D.02",IF(OR(TRIM($G322)="Interior Wall Finishes",TRIM($G322)="Internal Wall Finishes"),"D.01",IF(OR(TRIM($G322)="Ceiling Finshes",TRIM($G322)="Ceiling Finishes"),"D.03",IF(TRIM($G322)="Fittings, furnishings and equipment","E.04","")))))))))))," ")</f>
        <v>B.04</v>
      </c>
      <c r="E322" s="135" t="s">
        <v>414</v>
      </c>
      <c r="F322" s="135" t="s">
        <v>674</v>
      </c>
      <c r="G322" s="134" t="s">
        <v>31</v>
      </c>
      <c r="H322" s="134" t="s">
        <v>564</v>
      </c>
      <c r="I322" s="134" t="s">
        <v>513</v>
      </c>
      <c r="J322" s="144" t="s">
        <v>135</v>
      </c>
      <c r="K322" s="134"/>
      <c r="L322" s="134"/>
      <c r="M322" s="134"/>
      <c r="N322" s="134"/>
      <c r="O322" s="134"/>
      <c r="P322" s="135" t="s">
        <v>103</v>
      </c>
      <c r="Q322" s="137">
        <f t="shared" si="26"/>
        <v>1819.6614000000002</v>
      </c>
      <c r="R322" s="137">
        <f>'7F,8F,9F beam'!J18</f>
        <v>1819.6614000000002</v>
      </c>
      <c r="S322" s="138"/>
      <c r="T322" s="139">
        <f>IFERROR(INDEX('Price List'!$G$5:$G$74,MATCH(TRIM(J322)&amp;"|"&amp;TRIM(P322),'Price List'!$O$5:$O$74,0)),0)</f>
        <v>0.09</v>
      </c>
      <c r="U322" s="140">
        <f>IFERROR(INDEX('Price List'!$H$5:$H$74,MATCH(TRIM(J322)&amp;"|"&amp;TRIM(P322),'Price List'!$O$5:$O$74,0)),0)</f>
        <v>0.2</v>
      </c>
      <c r="V322" s="141">
        <f t="shared" ref="V322:V385" si="28">T322*(1+U322)</f>
        <v>0.108</v>
      </c>
      <c r="W322" s="142">
        <f>IFERROR(INDEX('Price List'!$J$5:$J$74,MATCH(TRIM(J322)&amp;"|"&amp;TRIM(P322),'Price List'!$O$5:$O$74,0)),0)</f>
        <v>0.73</v>
      </c>
      <c r="X322" s="143">
        <f>IFERROR(INDEX('Price List'!$K$5:$K$74,MATCH(TRIM(J322)&amp;"|"&amp;TRIM(P322),'Price List'!$O$5:$O$74,0)),0)</f>
        <v>0.12</v>
      </c>
      <c r="Y322" s="141">
        <f t="shared" ref="Y322:Y385" si="29">W322*(1+X322)</f>
        <v>0.8176000000000001</v>
      </c>
      <c r="Z322" s="141">
        <f t="shared" ref="Z322:Z385" si="30">Q322*(V322+Y322)</f>
        <v>1684.2785918400004</v>
      </c>
      <c r="AA322" s="134"/>
    </row>
    <row r="323" spans="1:27" ht="15" customHeight="1" x14ac:dyDescent="0.35">
      <c r="A323" s="134"/>
      <c r="B323" s="135"/>
      <c r="C323" s="134" t="s">
        <v>444</v>
      </c>
      <c r="D323" s="136" t="str">
        <f t="shared" si="27"/>
        <v>B.04</v>
      </c>
      <c r="E323" s="135" t="s">
        <v>414</v>
      </c>
      <c r="F323" s="135" t="s">
        <v>674</v>
      </c>
      <c r="G323" s="134" t="s">
        <v>31</v>
      </c>
      <c r="H323" s="134" t="s">
        <v>564</v>
      </c>
      <c r="I323" s="134" t="s">
        <v>513</v>
      </c>
      <c r="J323" s="144" t="s">
        <v>105</v>
      </c>
      <c r="K323" s="134"/>
      <c r="L323" s="134"/>
      <c r="M323" s="134"/>
      <c r="N323" s="134"/>
      <c r="O323" s="134"/>
      <c r="P323" s="135" t="s">
        <v>103</v>
      </c>
      <c r="Q323" s="137">
        <f t="shared" si="26"/>
        <v>7527.2208000000001</v>
      </c>
      <c r="R323" s="137">
        <f>'7F,8F,9F beam'!J19</f>
        <v>7527.2208000000001</v>
      </c>
      <c r="S323" s="138"/>
      <c r="T323" s="139">
        <f>IFERROR(INDEX('Price List'!$G$5:$G$74,MATCH(TRIM(J323)&amp;"|"&amp;TRIM(P323),'Price List'!$O$5:$O$74,0)),0)</f>
        <v>0.08</v>
      </c>
      <c r="U323" s="140">
        <f>IFERROR(INDEX('Price List'!$H$5:$H$74,MATCH(TRIM(J323)&amp;"|"&amp;TRIM(P323),'Price List'!$O$5:$O$74,0)),0)</f>
        <v>0.2</v>
      </c>
      <c r="V323" s="141">
        <f t="shared" si="28"/>
        <v>9.6000000000000002E-2</v>
      </c>
      <c r="W323" s="142">
        <f>IFERROR(INDEX('Price List'!$J$5:$J$74,MATCH(TRIM(J323)&amp;"|"&amp;TRIM(P323),'Price List'!$O$5:$O$74,0)),0)</f>
        <v>0.72</v>
      </c>
      <c r="X323" s="143">
        <f>IFERROR(INDEX('Price List'!$K$5:$K$74,MATCH(TRIM(J323)&amp;"|"&amp;TRIM(P323),'Price List'!$O$5:$O$74,0)),0)</f>
        <v>0.12</v>
      </c>
      <c r="Y323" s="141">
        <f t="shared" si="29"/>
        <v>0.80640000000000001</v>
      </c>
      <c r="Z323" s="141">
        <f t="shared" si="30"/>
        <v>6792.5640499199999</v>
      </c>
      <c r="AA323" s="134"/>
    </row>
    <row r="324" spans="1:27" ht="15" customHeight="1" x14ac:dyDescent="0.35">
      <c r="A324" s="134"/>
      <c r="B324" s="135"/>
      <c r="C324" s="134" t="s">
        <v>444</v>
      </c>
      <c r="D324" s="136" t="str">
        <f t="shared" si="27"/>
        <v>B.04</v>
      </c>
      <c r="E324" s="135" t="s">
        <v>414</v>
      </c>
      <c r="F324" s="135" t="s">
        <v>674</v>
      </c>
      <c r="G324" s="134" t="s">
        <v>31</v>
      </c>
      <c r="H324" s="134" t="s">
        <v>564</v>
      </c>
      <c r="I324" s="134" t="s">
        <v>657</v>
      </c>
      <c r="J324" s="134" t="s">
        <v>107</v>
      </c>
      <c r="K324" s="134"/>
      <c r="L324" s="134"/>
      <c r="M324" s="134"/>
      <c r="N324" s="134"/>
      <c r="O324" s="134"/>
      <c r="P324" s="135" t="s">
        <v>103</v>
      </c>
      <c r="Q324" s="137">
        <f t="shared" si="26"/>
        <v>620.0733864</v>
      </c>
      <c r="R324" s="137">
        <f>(R322+R323+R321+R320+R319+R318)*4%</f>
        <v>620.0733864</v>
      </c>
      <c r="S324" s="138"/>
      <c r="T324" s="139">
        <f>IFERROR(INDEX('Price List'!$G$5:$G$74,MATCH(TRIM(J324)&amp;"|"&amp;TRIM(P324),'Price List'!$O$5:$O$74,0)),0)</f>
        <v>0.05</v>
      </c>
      <c r="U324" s="140">
        <f>IFERROR(INDEX('Price List'!$H$5:$H$74,MATCH(TRIM(J324)&amp;"|"&amp;TRIM(P324),'Price List'!$O$5:$O$74,0)),0)</f>
        <v>0.2</v>
      </c>
      <c r="V324" s="141">
        <f t="shared" si="28"/>
        <v>0.06</v>
      </c>
      <c r="W324" s="142">
        <f>IFERROR(INDEX('Price List'!$J$5:$J$74,MATCH(TRIM(J324)&amp;"|"&amp;TRIM(P324),'Price List'!$O$5:$O$74,0)),0)</f>
        <v>1.2</v>
      </c>
      <c r="X324" s="143">
        <f>IFERROR(INDEX('Price List'!$K$5:$K$74,MATCH(TRIM(J324)&amp;"|"&amp;TRIM(P324),'Price List'!$O$5:$O$74,0)),0)</f>
        <v>0.12</v>
      </c>
      <c r="Y324" s="141">
        <f t="shared" si="29"/>
        <v>1.3440000000000001</v>
      </c>
      <c r="Z324" s="141">
        <f t="shared" si="30"/>
        <v>870.58303450560004</v>
      </c>
      <c r="AA324" s="134"/>
    </row>
    <row r="325" spans="1:27" ht="15" customHeight="1" x14ac:dyDescent="0.35">
      <c r="A325" s="134"/>
      <c r="B325" s="135"/>
      <c r="C325" s="134" t="s">
        <v>444</v>
      </c>
      <c r="D325" s="136" t="str">
        <f t="shared" si="27"/>
        <v>B.04</v>
      </c>
      <c r="E325" s="135" t="s">
        <v>414</v>
      </c>
      <c r="F325" s="135" t="s">
        <v>674</v>
      </c>
      <c r="G325" s="134" t="s">
        <v>31</v>
      </c>
      <c r="H325" s="134" t="s">
        <v>568</v>
      </c>
      <c r="I325" s="134" t="s">
        <v>512</v>
      </c>
      <c r="J325" s="145" t="s">
        <v>125</v>
      </c>
      <c r="K325" s="134"/>
      <c r="L325" s="134"/>
      <c r="M325" s="134"/>
      <c r="N325" s="134"/>
      <c r="O325" s="134"/>
      <c r="P325" s="135" t="s">
        <v>100</v>
      </c>
      <c r="Q325" s="137">
        <f t="shared" si="26"/>
        <v>87.149999999999991</v>
      </c>
      <c r="R325" s="137">
        <f>581*0.15</f>
        <v>87.149999999999991</v>
      </c>
      <c r="S325" s="138"/>
      <c r="T325" s="139">
        <f>IFERROR(INDEX('Price List'!$G$5:$G$74,MATCH(TRIM(J325)&amp;"|"&amp;TRIM(P325),'Price List'!$O$5:$O$74,0)),0)</f>
        <v>10</v>
      </c>
      <c r="U325" s="140">
        <f>IFERROR(INDEX('Price List'!$H$5:$H$74,MATCH(TRIM(J325)&amp;"|"&amp;TRIM(P325),'Price List'!$O$5:$O$74,0)),0)</f>
        <v>0.2</v>
      </c>
      <c r="V325" s="141">
        <f t="shared" si="28"/>
        <v>12</v>
      </c>
      <c r="W325" s="142">
        <f>IFERROR(INDEX('Price List'!$J$5:$J$74,MATCH(TRIM(J325)&amp;"|"&amp;TRIM(P325),'Price List'!$O$5:$O$74,0)),0)</f>
        <v>98</v>
      </c>
      <c r="X325" s="143">
        <f>IFERROR(INDEX('Price List'!$K$5:$K$74,MATCH(TRIM(J325)&amp;"|"&amp;TRIM(P325),'Price List'!$O$5:$O$74,0)),0)</f>
        <v>0.12</v>
      </c>
      <c r="Y325" s="141">
        <f t="shared" si="29"/>
        <v>109.76</v>
      </c>
      <c r="Z325" s="141">
        <f t="shared" si="30"/>
        <v>10611.384</v>
      </c>
      <c r="AA325" s="134"/>
    </row>
    <row r="326" spans="1:27" ht="15" customHeight="1" x14ac:dyDescent="0.35">
      <c r="A326" s="134"/>
      <c r="B326" s="135"/>
      <c r="C326" s="134" t="s">
        <v>444</v>
      </c>
      <c r="D326" s="136" t="str">
        <f t="shared" si="27"/>
        <v>B.04</v>
      </c>
      <c r="E326" s="135" t="s">
        <v>414</v>
      </c>
      <c r="F326" s="135" t="s">
        <v>674</v>
      </c>
      <c r="G326" s="134" t="s">
        <v>31</v>
      </c>
      <c r="H326" s="134" t="s">
        <v>568</v>
      </c>
      <c r="I326" s="144" t="s">
        <v>127</v>
      </c>
      <c r="J326" s="144" t="s">
        <v>127</v>
      </c>
      <c r="K326" s="144"/>
      <c r="L326" s="134"/>
      <c r="M326" s="134"/>
      <c r="N326" s="134"/>
      <c r="O326" s="134"/>
      <c r="P326" s="135" t="s">
        <v>128</v>
      </c>
      <c r="Q326" s="137">
        <f t="shared" si="26"/>
        <v>581</v>
      </c>
      <c r="R326" s="137">
        <v>581</v>
      </c>
      <c r="S326" s="138"/>
      <c r="T326" s="139">
        <f>IFERROR(INDEX('Price List'!$G$5:$G$74,MATCH(TRIM(J326)&amp;"|"&amp;TRIM(P326),'Price List'!$O$5:$O$74,0)),0)</f>
        <v>6</v>
      </c>
      <c r="U326" s="140">
        <f>IFERROR(INDEX('Price List'!$H$5:$H$74,MATCH(TRIM(J326)&amp;"|"&amp;TRIM(P326),'Price List'!$O$5:$O$74,0)),0)</f>
        <v>0.2</v>
      </c>
      <c r="V326" s="141">
        <f t="shared" si="28"/>
        <v>7.1999999999999993</v>
      </c>
      <c r="W326" s="142">
        <f>IFERROR(INDEX('Price List'!$J$5:$J$74,MATCH(TRIM(J326)&amp;"|"&amp;TRIM(P326),'Price List'!$O$5:$O$74,0)),0)</f>
        <v>5</v>
      </c>
      <c r="X326" s="143">
        <f>IFERROR(INDEX('Price List'!$K$5:$K$74,MATCH(TRIM(J326)&amp;"|"&amp;TRIM(P326),'Price List'!$O$5:$O$74,0)),0)</f>
        <v>0.12</v>
      </c>
      <c r="Y326" s="141">
        <f t="shared" si="29"/>
        <v>5.6000000000000005</v>
      </c>
      <c r="Z326" s="141">
        <f t="shared" si="30"/>
        <v>7436.8</v>
      </c>
      <c r="AA326" s="134"/>
    </row>
    <row r="327" spans="1:27" ht="15" customHeight="1" x14ac:dyDescent="0.35">
      <c r="A327" s="134"/>
      <c r="B327" s="135"/>
      <c r="C327" s="134" t="s">
        <v>444</v>
      </c>
      <c r="D327" s="136" t="str">
        <f t="shared" si="27"/>
        <v>B.04</v>
      </c>
      <c r="E327" s="135" t="s">
        <v>414</v>
      </c>
      <c r="F327" s="135" t="s">
        <v>674</v>
      </c>
      <c r="G327" s="134" t="s">
        <v>31</v>
      </c>
      <c r="H327" s="134" t="s">
        <v>568</v>
      </c>
      <c r="I327" s="134" t="s">
        <v>513</v>
      </c>
      <c r="J327" s="144" t="s">
        <v>102</v>
      </c>
      <c r="K327" s="134"/>
      <c r="L327" s="134"/>
      <c r="M327" s="134"/>
      <c r="N327" s="134"/>
      <c r="O327" s="134"/>
      <c r="P327" s="135" t="s">
        <v>103</v>
      </c>
      <c r="Q327" s="137">
        <f t="shared" si="26"/>
        <v>11514.499999999998</v>
      </c>
      <c r="R327" s="137">
        <f>(R325*130)+185</f>
        <v>11514.499999999998</v>
      </c>
      <c r="S327" s="138"/>
      <c r="T327" s="139">
        <f>IFERROR(INDEX('Price List'!$G$5:$G$74,MATCH(TRIM(J327)&amp;"|"&amp;TRIM(P327),'Price List'!$O$5:$O$74,0)),0)</f>
        <v>0.12</v>
      </c>
      <c r="U327" s="140">
        <f>IFERROR(INDEX('Price List'!$H$5:$H$74,MATCH(TRIM(J327)&amp;"|"&amp;TRIM(P327),'Price List'!$O$5:$O$74,0)),0)</f>
        <v>0.2</v>
      </c>
      <c r="V327" s="141">
        <f t="shared" si="28"/>
        <v>0.14399999999999999</v>
      </c>
      <c r="W327" s="142">
        <f>IFERROR(INDEX('Price List'!$J$5:$J$74,MATCH(TRIM(J327)&amp;"|"&amp;TRIM(P327),'Price List'!$O$5:$O$74,0)),0)</f>
        <v>0.78</v>
      </c>
      <c r="X327" s="143">
        <f>IFERROR(INDEX('Price List'!$K$5:$K$74,MATCH(TRIM(J327)&amp;"|"&amp;TRIM(P327),'Price List'!$O$5:$O$74,0)),0)</f>
        <v>0.12</v>
      </c>
      <c r="Y327" s="141">
        <f t="shared" si="29"/>
        <v>0.87360000000000015</v>
      </c>
      <c r="Z327" s="141">
        <f t="shared" si="30"/>
        <v>11717.155199999999</v>
      </c>
      <c r="AA327" s="134"/>
    </row>
    <row r="328" spans="1:27" ht="15" customHeight="1" x14ac:dyDescent="0.35">
      <c r="A328" s="134"/>
      <c r="B328" s="135"/>
      <c r="C328" s="134" t="s">
        <v>444</v>
      </c>
      <c r="D328" s="136" t="str">
        <f t="shared" si="27"/>
        <v>B.04</v>
      </c>
      <c r="E328" s="135" t="s">
        <v>414</v>
      </c>
      <c r="F328" s="135" t="s">
        <v>674</v>
      </c>
      <c r="G328" s="134" t="s">
        <v>31</v>
      </c>
      <c r="H328" s="134" t="s">
        <v>568</v>
      </c>
      <c r="I328" s="134" t="s">
        <v>513</v>
      </c>
      <c r="J328" s="144" t="s">
        <v>131</v>
      </c>
      <c r="K328" s="134"/>
      <c r="L328" s="134"/>
      <c r="M328" s="134"/>
      <c r="N328" s="134"/>
      <c r="O328" s="134"/>
      <c r="P328" s="135" t="s">
        <v>103</v>
      </c>
      <c r="Q328" s="137">
        <f t="shared" si="26"/>
        <v>166.5</v>
      </c>
      <c r="R328" s="137">
        <f>0.888*((2.5*10*3)+(2.5*15*3))</f>
        <v>166.5</v>
      </c>
      <c r="S328" s="138"/>
      <c r="T328" s="139">
        <f>IFERROR(INDEX('Price List'!$G$5:$G$74,MATCH(TRIM(J328)&amp;"|"&amp;TRIM(P328),'Price List'!$O$5:$O$74,0)),0)</f>
        <v>0.11</v>
      </c>
      <c r="U328" s="140">
        <f>IFERROR(INDEX('Price List'!$H$5:$H$74,MATCH(TRIM(J328)&amp;"|"&amp;TRIM(P328),'Price List'!$O$5:$O$74,0)),0)</f>
        <v>0.2</v>
      </c>
      <c r="V328" s="141">
        <f t="shared" si="28"/>
        <v>0.13200000000000001</v>
      </c>
      <c r="W328" s="142">
        <f>IFERROR(INDEX('Price List'!$J$5:$J$74,MATCH(TRIM(J328)&amp;"|"&amp;TRIM(P328),'Price List'!$O$5:$O$74,0)),0)</f>
        <v>0.76</v>
      </c>
      <c r="X328" s="143">
        <f>IFERROR(INDEX('Price List'!$K$5:$K$74,MATCH(TRIM(J328)&amp;"|"&amp;TRIM(P328),'Price List'!$O$5:$O$74,0)),0)</f>
        <v>0.12</v>
      </c>
      <c r="Y328" s="141">
        <f t="shared" si="29"/>
        <v>0.85120000000000007</v>
      </c>
      <c r="Z328" s="141">
        <f t="shared" si="30"/>
        <v>163.70280000000002</v>
      </c>
      <c r="AA328" s="134"/>
    </row>
    <row r="329" spans="1:27" ht="15" customHeight="1" x14ac:dyDescent="0.35">
      <c r="A329" s="134"/>
      <c r="B329" s="135"/>
      <c r="C329" s="134" t="s">
        <v>444</v>
      </c>
      <c r="D329" s="136" t="str">
        <f t="shared" si="27"/>
        <v>B.04</v>
      </c>
      <c r="E329" s="135" t="s">
        <v>414</v>
      </c>
      <c r="F329" s="135" t="s">
        <v>674</v>
      </c>
      <c r="G329" s="134" t="s">
        <v>31</v>
      </c>
      <c r="H329" s="134" t="s">
        <v>568</v>
      </c>
      <c r="I329" s="134" t="s">
        <v>657</v>
      </c>
      <c r="J329" s="134" t="s">
        <v>107</v>
      </c>
      <c r="K329" s="134"/>
      <c r="L329" s="134"/>
      <c r="M329" s="134"/>
      <c r="N329" s="134"/>
      <c r="O329" s="134"/>
      <c r="P329" s="135" t="s">
        <v>103</v>
      </c>
      <c r="Q329" s="137">
        <f t="shared" si="26"/>
        <v>467.23999999999995</v>
      </c>
      <c r="R329" s="137">
        <f>(R327+R328)*4%</f>
        <v>467.23999999999995</v>
      </c>
      <c r="S329" s="138"/>
      <c r="T329" s="139">
        <f>IFERROR(INDEX('Price List'!$G$5:$G$74,MATCH(TRIM(J329)&amp;"|"&amp;TRIM(P329),'Price List'!$O$5:$O$74,0)),0)</f>
        <v>0.05</v>
      </c>
      <c r="U329" s="140">
        <f>IFERROR(INDEX('Price List'!$H$5:$H$74,MATCH(TRIM(J329)&amp;"|"&amp;TRIM(P329),'Price List'!$O$5:$O$74,0)),0)</f>
        <v>0.2</v>
      </c>
      <c r="V329" s="141">
        <f t="shared" si="28"/>
        <v>0.06</v>
      </c>
      <c r="W329" s="142">
        <f>IFERROR(INDEX('Price List'!$J$5:$J$74,MATCH(TRIM(J329)&amp;"|"&amp;TRIM(P329),'Price List'!$O$5:$O$74,0)),0)</f>
        <v>1.2</v>
      </c>
      <c r="X329" s="143">
        <f>IFERROR(INDEX('Price List'!$K$5:$K$74,MATCH(TRIM(J329)&amp;"|"&amp;TRIM(P329),'Price List'!$O$5:$O$74,0)),0)</f>
        <v>0.12</v>
      </c>
      <c r="Y329" s="141">
        <f t="shared" si="29"/>
        <v>1.3440000000000001</v>
      </c>
      <c r="Z329" s="141">
        <f t="shared" si="30"/>
        <v>656.00495999999998</v>
      </c>
      <c r="AA329" s="134"/>
    </row>
    <row r="330" spans="1:27" ht="15" customHeight="1" x14ac:dyDescent="0.35">
      <c r="A330" s="134"/>
      <c r="B330" s="134"/>
      <c r="C330" s="134" t="s">
        <v>444</v>
      </c>
      <c r="D330" s="136" t="str">
        <f t="shared" si="27"/>
        <v>B.04</v>
      </c>
      <c r="E330" s="135" t="s">
        <v>414</v>
      </c>
      <c r="F330" s="135" t="s">
        <v>674</v>
      </c>
      <c r="G330" s="134" t="s">
        <v>31</v>
      </c>
      <c r="H330" s="134" t="s">
        <v>665</v>
      </c>
      <c r="I330" s="134" t="s">
        <v>512</v>
      </c>
      <c r="J330" s="144" t="s">
        <v>125</v>
      </c>
      <c r="K330" s="134"/>
      <c r="L330" s="134"/>
      <c r="M330" s="134"/>
      <c r="N330" s="134"/>
      <c r="O330" s="134"/>
      <c r="P330" s="135" t="s">
        <v>100</v>
      </c>
      <c r="Q330" s="137">
        <f t="shared" si="26"/>
        <v>23.430000000000003</v>
      </c>
      <c r="R330" s="137">
        <f>(5.2*4.2)+(1.325*2*0.3*2)</f>
        <v>23.430000000000003</v>
      </c>
      <c r="S330" s="138"/>
      <c r="T330" s="139">
        <f>IFERROR(INDEX('Price List'!$G$5:$G$74,MATCH(TRIM(J330)&amp;"|"&amp;TRIM(P330),'Price List'!$O$5:$O$74,0)),0)</f>
        <v>10</v>
      </c>
      <c r="U330" s="140">
        <f>IFERROR(INDEX('Price List'!$H$5:$H$74,MATCH(TRIM(J330)&amp;"|"&amp;TRIM(P330),'Price List'!$O$5:$O$74,0)),0)</f>
        <v>0.2</v>
      </c>
      <c r="V330" s="141">
        <f t="shared" si="28"/>
        <v>12</v>
      </c>
      <c r="W330" s="142">
        <f>IFERROR(INDEX('Price List'!$J$5:$J$74,MATCH(TRIM(J330)&amp;"|"&amp;TRIM(P330),'Price List'!$O$5:$O$74,0)),0)</f>
        <v>98</v>
      </c>
      <c r="X330" s="143">
        <f>IFERROR(INDEX('Price List'!$K$5:$K$74,MATCH(TRIM(J330)&amp;"|"&amp;TRIM(P330),'Price List'!$O$5:$O$74,0)),0)</f>
        <v>0.12</v>
      </c>
      <c r="Y330" s="141">
        <f t="shared" si="29"/>
        <v>109.76</v>
      </c>
      <c r="Z330" s="141">
        <f t="shared" si="30"/>
        <v>2852.8368000000005</v>
      </c>
      <c r="AA330" s="134"/>
    </row>
    <row r="331" spans="1:27" ht="15" customHeight="1" x14ac:dyDescent="0.35">
      <c r="A331" s="134"/>
      <c r="B331" s="134"/>
      <c r="C331" s="134" t="s">
        <v>444</v>
      </c>
      <c r="D331" s="136" t="str">
        <f t="shared" si="27"/>
        <v>B.04</v>
      </c>
      <c r="E331" s="135" t="s">
        <v>414</v>
      </c>
      <c r="F331" s="135" t="s">
        <v>674</v>
      </c>
      <c r="G331" s="134" t="s">
        <v>31</v>
      </c>
      <c r="H331" s="134" t="s">
        <v>665</v>
      </c>
      <c r="I331" s="144" t="s">
        <v>127</v>
      </c>
      <c r="J331" s="144" t="s">
        <v>127</v>
      </c>
      <c r="K331" s="144"/>
      <c r="L331" s="134"/>
      <c r="M331" s="134"/>
      <c r="N331" s="134"/>
      <c r="O331" s="134"/>
      <c r="P331" s="135" t="s">
        <v>128</v>
      </c>
      <c r="Q331" s="137">
        <f t="shared" si="26"/>
        <v>139.70000000000002</v>
      </c>
      <c r="R331" s="137">
        <f>(32*4.2)+(1.325*2*2)</f>
        <v>139.70000000000002</v>
      </c>
      <c r="S331" s="138"/>
      <c r="T331" s="139">
        <f>IFERROR(INDEX('Price List'!$G$5:$G$74,MATCH(TRIM(J331)&amp;"|"&amp;TRIM(P331),'Price List'!$O$5:$O$74,0)),0)</f>
        <v>6</v>
      </c>
      <c r="U331" s="140">
        <f>IFERROR(INDEX('Price List'!$H$5:$H$74,MATCH(TRIM(J331)&amp;"|"&amp;TRIM(P331),'Price List'!$O$5:$O$74,0)),0)</f>
        <v>0.2</v>
      </c>
      <c r="V331" s="141">
        <f t="shared" si="28"/>
        <v>7.1999999999999993</v>
      </c>
      <c r="W331" s="142">
        <f>IFERROR(INDEX('Price List'!$J$5:$J$74,MATCH(TRIM(J331)&amp;"|"&amp;TRIM(P331),'Price List'!$O$5:$O$74,0)),0)</f>
        <v>5</v>
      </c>
      <c r="X331" s="143">
        <f>IFERROR(INDEX('Price List'!$K$5:$K$74,MATCH(TRIM(J331)&amp;"|"&amp;TRIM(P331),'Price List'!$O$5:$O$74,0)),0)</f>
        <v>0.12</v>
      </c>
      <c r="Y331" s="141">
        <f t="shared" si="29"/>
        <v>5.6000000000000005</v>
      </c>
      <c r="Z331" s="141">
        <f t="shared" si="30"/>
        <v>1788.1600000000003</v>
      </c>
      <c r="AA331" s="134"/>
    </row>
    <row r="332" spans="1:27" ht="15" customHeight="1" x14ac:dyDescent="0.35">
      <c r="A332" s="134"/>
      <c r="B332" s="134"/>
      <c r="C332" s="134" t="s">
        <v>444</v>
      </c>
      <c r="D332" s="136" t="str">
        <f t="shared" si="27"/>
        <v>B.04</v>
      </c>
      <c r="E332" s="135" t="s">
        <v>414</v>
      </c>
      <c r="F332" s="135" t="s">
        <v>674</v>
      </c>
      <c r="G332" s="134" t="s">
        <v>31</v>
      </c>
      <c r="H332" s="134" t="s">
        <v>665</v>
      </c>
      <c r="I332" s="134" t="s">
        <v>513</v>
      </c>
      <c r="J332" s="144" t="s">
        <v>102</v>
      </c>
      <c r="K332" s="134"/>
      <c r="L332" s="134"/>
      <c r="M332" s="134"/>
      <c r="N332" s="134"/>
      <c r="O332" s="134"/>
      <c r="P332" s="135" t="s">
        <v>103</v>
      </c>
      <c r="Q332" s="137">
        <f t="shared" si="26"/>
        <v>241.864</v>
      </c>
      <c r="R332" s="137">
        <v>241.864</v>
      </c>
      <c r="S332" s="138"/>
      <c r="T332" s="139">
        <f>IFERROR(INDEX('Price List'!$G$5:$G$74,MATCH(TRIM(J332)&amp;"|"&amp;TRIM(P332),'Price List'!$O$5:$O$74,0)),0)</f>
        <v>0.12</v>
      </c>
      <c r="U332" s="140">
        <f>IFERROR(INDEX('Price List'!$H$5:$H$74,MATCH(TRIM(J332)&amp;"|"&amp;TRIM(P332),'Price List'!$O$5:$O$74,0)),0)</f>
        <v>0.2</v>
      </c>
      <c r="V332" s="141">
        <f t="shared" si="28"/>
        <v>0.14399999999999999</v>
      </c>
      <c r="W332" s="142">
        <f>IFERROR(INDEX('Price List'!$J$5:$J$74,MATCH(TRIM(J332)&amp;"|"&amp;TRIM(P332),'Price List'!$O$5:$O$74,0)),0)</f>
        <v>0.78</v>
      </c>
      <c r="X332" s="143">
        <f>IFERROR(INDEX('Price List'!$K$5:$K$74,MATCH(TRIM(J332)&amp;"|"&amp;TRIM(P332),'Price List'!$O$5:$O$74,0)),0)</f>
        <v>0.12</v>
      </c>
      <c r="Y332" s="141">
        <f t="shared" si="29"/>
        <v>0.87360000000000015</v>
      </c>
      <c r="Z332" s="141">
        <f t="shared" si="30"/>
        <v>246.12080640000002</v>
      </c>
      <c r="AA332" s="134"/>
    </row>
    <row r="333" spans="1:27" ht="15" customHeight="1" x14ac:dyDescent="0.35">
      <c r="A333" s="134"/>
      <c r="B333" s="134"/>
      <c r="C333" s="134" t="s">
        <v>444</v>
      </c>
      <c r="D333" s="136" t="str">
        <f t="shared" si="27"/>
        <v>B.04</v>
      </c>
      <c r="E333" s="135" t="s">
        <v>414</v>
      </c>
      <c r="F333" s="135" t="s">
        <v>674</v>
      </c>
      <c r="G333" s="134" t="s">
        <v>31</v>
      </c>
      <c r="H333" s="134" t="s">
        <v>665</v>
      </c>
      <c r="I333" s="134" t="s">
        <v>513</v>
      </c>
      <c r="J333" s="144" t="s">
        <v>131</v>
      </c>
      <c r="K333" s="134"/>
      <c r="L333" s="134"/>
      <c r="M333" s="134"/>
      <c r="N333" s="134"/>
      <c r="O333" s="134"/>
      <c r="P333" s="135" t="s">
        <v>103</v>
      </c>
      <c r="Q333" s="137">
        <f t="shared" si="26"/>
        <v>1071.6384</v>
      </c>
      <c r="R333" s="137">
        <v>1071.6384</v>
      </c>
      <c r="S333" s="138"/>
      <c r="T333" s="139">
        <f>IFERROR(INDEX('Price List'!$G$5:$G$74,MATCH(TRIM(J333)&amp;"|"&amp;TRIM(P333),'Price List'!$O$5:$O$74,0)),0)</f>
        <v>0.11</v>
      </c>
      <c r="U333" s="140">
        <f>IFERROR(INDEX('Price List'!$H$5:$H$74,MATCH(TRIM(J333)&amp;"|"&amp;TRIM(P333),'Price List'!$O$5:$O$74,0)),0)</f>
        <v>0.2</v>
      </c>
      <c r="V333" s="141">
        <f t="shared" si="28"/>
        <v>0.13200000000000001</v>
      </c>
      <c r="W333" s="142">
        <f>IFERROR(INDEX('Price List'!$J$5:$J$74,MATCH(TRIM(J333)&amp;"|"&amp;TRIM(P333),'Price List'!$O$5:$O$74,0)),0)</f>
        <v>0.76</v>
      </c>
      <c r="X333" s="143">
        <f>IFERROR(INDEX('Price List'!$K$5:$K$74,MATCH(TRIM(J333)&amp;"|"&amp;TRIM(P333),'Price List'!$O$5:$O$74,0)),0)</f>
        <v>0.12</v>
      </c>
      <c r="Y333" s="141">
        <f t="shared" si="29"/>
        <v>0.85120000000000007</v>
      </c>
      <c r="Z333" s="141">
        <f t="shared" si="30"/>
        <v>1053.6348748800001</v>
      </c>
      <c r="AA333" s="134"/>
    </row>
    <row r="334" spans="1:27" ht="15" customHeight="1" x14ac:dyDescent="0.35">
      <c r="A334" s="134"/>
      <c r="B334" s="134"/>
      <c r="C334" s="134" t="s">
        <v>444</v>
      </c>
      <c r="D334" s="136" t="str">
        <f t="shared" si="27"/>
        <v>B.04</v>
      </c>
      <c r="E334" s="135" t="s">
        <v>414</v>
      </c>
      <c r="F334" s="135" t="s">
        <v>674</v>
      </c>
      <c r="G334" s="134" t="s">
        <v>31</v>
      </c>
      <c r="H334" s="134" t="s">
        <v>665</v>
      </c>
      <c r="I334" s="134" t="s">
        <v>513</v>
      </c>
      <c r="J334" s="144" t="s">
        <v>211</v>
      </c>
      <c r="K334" s="134"/>
      <c r="L334" s="134"/>
      <c r="M334" s="134"/>
      <c r="N334" s="134"/>
      <c r="O334" s="134"/>
      <c r="P334" s="135" t="s">
        <v>103</v>
      </c>
      <c r="Q334" s="137">
        <f t="shared" si="26"/>
        <v>1122.4736</v>
      </c>
      <c r="R334" s="137">
        <v>1122.4736</v>
      </c>
      <c r="S334" s="138"/>
      <c r="T334" s="139">
        <f>IFERROR(INDEX('Price List'!$G$5:$G$74,MATCH(TRIM(J334)&amp;"|"&amp;TRIM(P334),'Price List'!$O$5:$O$74,0)),0)</f>
        <v>0.1</v>
      </c>
      <c r="U334" s="140">
        <f>IFERROR(INDEX('Price List'!$H$5:$H$74,MATCH(TRIM(J334)&amp;"|"&amp;TRIM(P334),'Price List'!$O$5:$O$74,0)),0)</f>
        <v>0.2</v>
      </c>
      <c r="V334" s="141">
        <f t="shared" si="28"/>
        <v>0.12</v>
      </c>
      <c r="W334" s="142">
        <f>IFERROR(INDEX('Price List'!$J$5:$J$74,MATCH(TRIM(J334)&amp;"|"&amp;TRIM(P334),'Price List'!$O$5:$O$74,0)),0)</f>
        <v>0.75</v>
      </c>
      <c r="X334" s="143">
        <f>IFERROR(INDEX('Price List'!$K$5:$K$74,MATCH(TRIM(J334)&amp;"|"&amp;TRIM(P334),'Price List'!$O$5:$O$74,0)),0)</f>
        <v>0.12</v>
      </c>
      <c r="Y334" s="141">
        <f t="shared" si="29"/>
        <v>0.84000000000000008</v>
      </c>
      <c r="Z334" s="141">
        <f t="shared" si="30"/>
        <v>1077.574656</v>
      </c>
      <c r="AA334" s="134"/>
    </row>
    <row r="335" spans="1:27" ht="15" customHeight="1" x14ac:dyDescent="0.35">
      <c r="A335" s="134"/>
      <c r="B335" s="134"/>
      <c r="C335" s="134" t="s">
        <v>444</v>
      </c>
      <c r="D335" s="136" t="str">
        <f t="shared" si="27"/>
        <v>B.04</v>
      </c>
      <c r="E335" s="135" t="s">
        <v>414</v>
      </c>
      <c r="F335" s="135" t="s">
        <v>674</v>
      </c>
      <c r="G335" s="134" t="s">
        <v>31</v>
      </c>
      <c r="H335" s="134" t="s">
        <v>665</v>
      </c>
      <c r="I335" s="134" t="s">
        <v>513</v>
      </c>
      <c r="J335" s="144" t="s">
        <v>135</v>
      </c>
      <c r="K335" s="134"/>
      <c r="L335" s="134"/>
      <c r="M335" s="134"/>
      <c r="N335" s="134"/>
      <c r="O335" s="134"/>
      <c r="P335" s="135" t="s">
        <v>103</v>
      </c>
      <c r="Q335" s="137">
        <f t="shared" si="26"/>
        <v>822.01599999999996</v>
      </c>
      <c r="R335" s="137">
        <v>822.01599999999996</v>
      </c>
      <c r="S335" s="138"/>
      <c r="T335" s="139">
        <f>IFERROR(INDEX('Price List'!$G$5:$G$74,MATCH(TRIM(J335)&amp;"|"&amp;TRIM(P335),'Price List'!$O$5:$O$74,0)),0)</f>
        <v>0.09</v>
      </c>
      <c r="U335" s="140">
        <f>IFERROR(INDEX('Price List'!$H$5:$H$74,MATCH(TRIM(J335)&amp;"|"&amp;TRIM(P335),'Price List'!$O$5:$O$74,0)),0)</f>
        <v>0.2</v>
      </c>
      <c r="V335" s="141">
        <f t="shared" si="28"/>
        <v>0.108</v>
      </c>
      <c r="W335" s="142">
        <f>IFERROR(INDEX('Price List'!$J$5:$J$74,MATCH(TRIM(J335)&amp;"|"&amp;TRIM(P335),'Price List'!$O$5:$O$74,0)),0)</f>
        <v>0.73</v>
      </c>
      <c r="X335" s="143">
        <f>IFERROR(INDEX('Price List'!$K$5:$K$74,MATCH(TRIM(J335)&amp;"|"&amp;TRIM(P335),'Price List'!$O$5:$O$74,0)),0)</f>
        <v>0.12</v>
      </c>
      <c r="Y335" s="141">
        <f t="shared" si="29"/>
        <v>0.8176000000000001</v>
      </c>
      <c r="Z335" s="141">
        <f t="shared" si="30"/>
        <v>760.85800960000006</v>
      </c>
      <c r="AA335" s="134"/>
    </row>
    <row r="336" spans="1:27" ht="15" customHeight="1" x14ac:dyDescent="0.35">
      <c r="A336" s="134"/>
      <c r="B336" s="134"/>
      <c r="C336" s="134" t="s">
        <v>444</v>
      </c>
      <c r="D336" s="136" t="str">
        <f t="shared" si="27"/>
        <v>B.04</v>
      </c>
      <c r="E336" s="135" t="s">
        <v>414</v>
      </c>
      <c r="F336" s="135" t="s">
        <v>674</v>
      </c>
      <c r="G336" s="134" t="s">
        <v>31</v>
      </c>
      <c r="H336" s="134" t="s">
        <v>665</v>
      </c>
      <c r="I336" s="134" t="s">
        <v>657</v>
      </c>
      <c r="J336" s="134" t="s">
        <v>107</v>
      </c>
      <c r="K336" s="134"/>
      <c r="L336" s="134"/>
      <c r="M336" s="134"/>
      <c r="N336" s="134"/>
      <c r="O336" s="134"/>
      <c r="P336" s="135" t="s">
        <v>103</v>
      </c>
      <c r="Q336" s="137">
        <f t="shared" si="26"/>
        <v>130.31968000000001</v>
      </c>
      <c r="R336" s="137">
        <f>(R334+R335+R333+R332)*4%</f>
        <v>130.31968000000001</v>
      </c>
      <c r="S336" s="138"/>
      <c r="T336" s="139">
        <f>IFERROR(INDEX('Price List'!$G$5:$G$74,MATCH(TRIM(J336)&amp;"|"&amp;TRIM(P336),'Price List'!$O$5:$O$74,0)),0)</f>
        <v>0.05</v>
      </c>
      <c r="U336" s="140">
        <f>IFERROR(INDEX('Price List'!$H$5:$H$74,MATCH(TRIM(J336)&amp;"|"&amp;TRIM(P336),'Price List'!$O$5:$O$74,0)),0)</f>
        <v>0.2</v>
      </c>
      <c r="V336" s="141">
        <f t="shared" si="28"/>
        <v>0.06</v>
      </c>
      <c r="W336" s="142">
        <f>IFERROR(INDEX('Price List'!$J$5:$J$74,MATCH(TRIM(J336)&amp;"|"&amp;TRIM(P336),'Price List'!$O$5:$O$74,0)),0)</f>
        <v>1.2</v>
      </c>
      <c r="X336" s="143">
        <f>IFERROR(INDEX('Price List'!$K$5:$K$74,MATCH(TRIM(J336)&amp;"|"&amp;TRIM(P336),'Price List'!$O$5:$O$74,0)),0)</f>
        <v>0.12</v>
      </c>
      <c r="Y336" s="141">
        <f t="shared" si="29"/>
        <v>1.3440000000000001</v>
      </c>
      <c r="Z336" s="141">
        <f t="shared" si="30"/>
        <v>182.96883072000003</v>
      </c>
      <c r="AA336" s="134"/>
    </row>
    <row r="337" spans="1:27" ht="15" customHeight="1" x14ac:dyDescent="0.35">
      <c r="A337" s="134"/>
      <c r="B337" s="135"/>
      <c r="C337" s="134" t="s">
        <v>444</v>
      </c>
      <c r="D337" s="136" t="str">
        <f t="shared" si="27"/>
        <v>B.04</v>
      </c>
      <c r="E337" s="135" t="s">
        <v>414</v>
      </c>
      <c r="F337" s="135" t="s">
        <v>674</v>
      </c>
      <c r="G337" s="134" t="s">
        <v>31</v>
      </c>
      <c r="H337" s="134" t="s">
        <v>578</v>
      </c>
      <c r="I337" s="134" t="s">
        <v>512</v>
      </c>
      <c r="J337" s="145" t="s">
        <v>125</v>
      </c>
      <c r="K337" s="134"/>
      <c r="L337" s="134"/>
      <c r="M337" s="134"/>
      <c r="N337" s="134"/>
      <c r="O337" s="134"/>
      <c r="P337" s="135" t="s">
        <v>100</v>
      </c>
      <c r="Q337" s="137">
        <f t="shared" si="26"/>
        <v>5.016</v>
      </c>
      <c r="R337" s="137">
        <v>5.016</v>
      </c>
      <c r="S337" s="138"/>
      <c r="T337" s="139">
        <f>IFERROR(INDEX('Price List'!$G$5:$G$74,MATCH(TRIM(J337)&amp;"|"&amp;TRIM(P337),'Price List'!$O$5:$O$74,0)),0)</f>
        <v>10</v>
      </c>
      <c r="U337" s="140">
        <f>IFERROR(INDEX('Price List'!$H$5:$H$74,MATCH(TRIM(J337)&amp;"|"&amp;TRIM(P337),'Price List'!$O$5:$O$74,0)),0)</f>
        <v>0.2</v>
      </c>
      <c r="V337" s="141">
        <f t="shared" si="28"/>
        <v>12</v>
      </c>
      <c r="W337" s="142">
        <f>IFERROR(INDEX('Price List'!$J$5:$J$74,MATCH(TRIM(J337)&amp;"|"&amp;TRIM(P337),'Price List'!$O$5:$O$74,0)),0)</f>
        <v>98</v>
      </c>
      <c r="X337" s="143">
        <f>IFERROR(INDEX('Price List'!$K$5:$K$74,MATCH(TRIM(J337)&amp;"|"&amp;TRIM(P337),'Price List'!$O$5:$O$74,0)),0)</f>
        <v>0.12</v>
      </c>
      <c r="Y337" s="141">
        <f t="shared" si="29"/>
        <v>109.76</v>
      </c>
      <c r="Z337" s="141">
        <f t="shared" si="30"/>
        <v>610.74815999999998</v>
      </c>
      <c r="AA337" s="134"/>
    </row>
    <row r="338" spans="1:27" ht="15" customHeight="1" x14ac:dyDescent="0.35">
      <c r="A338" s="134"/>
      <c r="B338" s="135"/>
      <c r="C338" s="134" t="s">
        <v>444</v>
      </c>
      <c r="D338" s="136" t="str">
        <f t="shared" si="27"/>
        <v>B.04</v>
      </c>
      <c r="E338" s="135" t="s">
        <v>414</v>
      </c>
      <c r="F338" s="135" t="s">
        <v>674</v>
      </c>
      <c r="G338" s="134" t="s">
        <v>31</v>
      </c>
      <c r="H338" s="134" t="s">
        <v>578</v>
      </c>
      <c r="I338" s="144" t="s">
        <v>127</v>
      </c>
      <c r="J338" s="144" t="s">
        <v>127</v>
      </c>
      <c r="K338" s="144"/>
      <c r="L338" s="134"/>
      <c r="M338" s="134"/>
      <c r="N338" s="134"/>
      <c r="O338" s="134"/>
      <c r="P338" s="135" t="s">
        <v>128</v>
      </c>
      <c r="Q338" s="137">
        <f t="shared" si="26"/>
        <v>75.239999999999995</v>
      </c>
      <c r="R338" s="137">
        <f>R337*15</f>
        <v>75.239999999999995</v>
      </c>
      <c r="S338" s="138"/>
      <c r="T338" s="139">
        <f>IFERROR(INDEX('Price List'!$G$5:$G$74,MATCH(TRIM(J338)&amp;"|"&amp;TRIM(P338),'Price List'!$O$5:$O$74,0)),0)</f>
        <v>6</v>
      </c>
      <c r="U338" s="140">
        <f>IFERROR(INDEX('Price List'!$H$5:$H$74,MATCH(TRIM(J338)&amp;"|"&amp;TRIM(P338),'Price List'!$O$5:$O$74,0)),0)</f>
        <v>0.2</v>
      </c>
      <c r="V338" s="141">
        <f t="shared" si="28"/>
        <v>7.1999999999999993</v>
      </c>
      <c r="W338" s="142">
        <f>IFERROR(INDEX('Price List'!$J$5:$J$74,MATCH(TRIM(J338)&amp;"|"&amp;TRIM(P338),'Price List'!$O$5:$O$74,0)),0)</f>
        <v>5</v>
      </c>
      <c r="X338" s="143">
        <f>IFERROR(INDEX('Price List'!$K$5:$K$74,MATCH(TRIM(J338)&amp;"|"&amp;TRIM(P338),'Price List'!$O$5:$O$74,0)),0)</f>
        <v>0.12</v>
      </c>
      <c r="Y338" s="141">
        <f t="shared" si="29"/>
        <v>5.6000000000000005</v>
      </c>
      <c r="Z338" s="141">
        <f t="shared" si="30"/>
        <v>963.072</v>
      </c>
      <c r="AA338" s="134"/>
    </row>
    <row r="339" spans="1:27" ht="15" customHeight="1" x14ac:dyDescent="0.35">
      <c r="A339" s="134"/>
      <c r="B339" s="135"/>
      <c r="C339" s="134" t="s">
        <v>444</v>
      </c>
      <c r="D339" s="136" t="str">
        <f t="shared" si="27"/>
        <v>B.04</v>
      </c>
      <c r="E339" s="135" t="s">
        <v>414</v>
      </c>
      <c r="F339" s="135" t="s">
        <v>674</v>
      </c>
      <c r="G339" s="134" t="s">
        <v>31</v>
      </c>
      <c r="H339" s="134" t="s">
        <v>578</v>
      </c>
      <c r="I339" s="134" t="s">
        <v>513</v>
      </c>
      <c r="J339" s="144" t="s">
        <v>169</v>
      </c>
      <c r="K339" s="144"/>
      <c r="L339" s="134"/>
      <c r="M339" s="134"/>
      <c r="N339" s="134"/>
      <c r="O339" s="134"/>
      <c r="P339" s="135" t="s">
        <v>103</v>
      </c>
      <c r="Q339" s="137">
        <f t="shared" si="26"/>
        <v>50.16</v>
      </c>
      <c r="R339" s="137">
        <f>R337*10</f>
        <v>50.16</v>
      </c>
      <c r="S339" s="138"/>
      <c r="T339" s="139">
        <f>IFERROR(INDEX('Price List'!$G$5:$G$74,MATCH(TRIM(J339)&amp;"|"&amp;TRIM(P339),'Price List'!$O$5:$O$74,0)),0)</f>
        <v>0.12</v>
      </c>
      <c r="U339" s="140">
        <f>IFERROR(INDEX('Price List'!$H$5:$H$74,MATCH(TRIM(J339)&amp;"|"&amp;TRIM(P339),'Price List'!$O$5:$O$74,0)),0)</f>
        <v>0.2</v>
      </c>
      <c r="V339" s="141">
        <f t="shared" si="28"/>
        <v>0.14399999999999999</v>
      </c>
      <c r="W339" s="142">
        <f>IFERROR(INDEX('Price List'!$J$5:$J$74,MATCH(TRIM(J339)&amp;"|"&amp;TRIM(P339),'Price List'!$O$5:$O$74,0)),0)</f>
        <v>0.77</v>
      </c>
      <c r="X339" s="143">
        <f>IFERROR(INDEX('Price List'!$K$5:$K$74,MATCH(TRIM(J339)&amp;"|"&amp;TRIM(P339),'Price List'!$O$5:$O$74,0)),0)</f>
        <v>0.12</v>
      </c>
      <c r="Y339" s="141">
        <f t="shared" si="29"/>
        <v>0.86240000000000006</v>
      </c>
      <c r="Z339" s="141">
        <f t="shared" si="30"/>
        <v>50.481023999999998</v>
      </c>
      <c r="AA339" s="134"/>
    </row>
    <row r="340" spans="1:27" ht="15" customHeight="1" x14ac:dyDescent="0.35">
      <c r="A340" s="134"/>
      <c r="B340" s="135"/>
      <c r="C340" s="134" t="s">
        <v>444</v>
      </c>
      <c r="D340" s="136" t="str">
        <f t="shared" si="27"/>
        <v>B.04</v>
      </c>
      <c r="E340" s="135" t="s">
        <v>414</v>
      </c>
      <c r="F340" s="135" t="s">
        <v>674</v>
      </c>
      <c r="G340" s="134" t="s">
        <v>31</v>
      </c>
      <c r="H340" s="134" t="s">
        <v>578</v>
      </c>
      <c r="I340" s="134" t="s">
        <v>513</v>
      </c>
      <c r="J340" s="144" t="s">
        <v>131</v>
      </c>
      <c r="K340" s="134"/>
      <c r="L340" s="134"/>
      <c r="M340" s="134"/>
      <c r="N340" s="134"/>
      <c r="O340" s="134"/>
      <c r="P340" s="135" t="s">
        <v>103</v>
      </c>
      <c r="Q340" s="137">
        <f t="shared" si="26"/>
        <v>601.91999999999996</v>
      </c>
      <c r="R340" s="137">
        <f>R337*120</f>
        <v>601.91999999999996</v>
      </c>
      <c r="S340" s="138"/>
      <c r="T340" s="139">
        <f>IFERROR(INDEX('Price List'!$G$5:$G$74,MATCH(TRIM(J340)&amp;"|"&amp;TRIM(P340),'Price List'!$O$5:$O$74,0)),0)</f>
        <v>0.11</v>
      </c>
      <c r="U340" s="140">
        <f>IFERROR(INDEX('Price List'!$H$5:$H$74,MATCH(TRIM(J340)&amp;"|"&amp;TRIM(P340),'Price List'!$O$5:$O$74,0)),0)</f>
        <v>0.2</v>
      </c>
      <c r="V340" s="141">
        <f t="shared" si="28"/>
        <v>0.13200000000000001</v>
      </c>
      <c r="W340" s="142">
        <f>IFERROR(INDEX('Price List'!$J$5:$J$74,MATCH(TRIM(J340)&amp;"|"&amp;TRIM(P340),'Price List'!$O$5:$O$74,0)),0)</f>
        <v>0.76</v>
      </c>
      <c r="X340" s="143">
        <f>IFERROR(INDEX('Price List'!$K$5:$K$74,MATCH(TRIM(J340)&amp;"|"&amp;TRIM(P340),'Price List'!$O$5:$O$74,0)),0)</f>
        <v>0.12</v>
      </c>
      <c r="Y340" s="141">
        <f t="shared" si="29"/>
        <v>0.85120000000000007</v>
      </c>
      <c r="Z340" s="141">
        <f t="shared" si="30"/>
        <v>591.80774399999996</v>
      </c>
      <c r="AA340" s="134"/>
    </row>
    <row r="341" spans="1:27" ht="15" customHeight="1" x14ac:dyDescent="0.35">
      <c r="A341" s="134"/>
      <c r="B341" s="135"/>
      <c r="C341" s="134" t="s">
        <v>444</v>
      </c>
      <c r="D341" s="136" t="str">
        <f t="shared" si="27"/>
        <v>B.04</v>
      </c>
      <c r="E341" s="135" t="s">
        <v>414</v>
      </c>
      <c r="F341" s="135" t="s">
        <v>674</v>
      </c>
      <c r="G341" s="134" t="s">
        <v>31</v>
      </c>
      <c r="H341" s="134" t="s">
        <v>578</v>
      </c>
      <c r="I341" s="134" t="s">
        <v>513</v>
      </c>
      <c r="J341" s="144" t="s">
        <v>133</v>
      </c>
      <c r="K341" s="134"/>
      <c r="L341" s="134"/>
      <c r="M341" s="134"/>
      <c r="N341" s="134"/>
      <c r="O341" s="134"/>
      <c r="P341" s="135" t="s">
        <v>103</v>
      </c>
      <c r="Q341" s="137">
        <f t="shared" si="26"/>
        <v>125.4</v>
      </c>
      <c r="R341" s="137">
        <f>R337*25</f>
        <v>125.4</v>
      </c>
      <c r="S341" s="138"/>
      <c r="T341" s="139">
        <f>IFERROR(INDEX('Price List'!$G$5:$G$74,MATCH(TRIM(J341)&amp;"|"&amp;TRIM(P341),'Price List'!$O$5:$O$74,0)),0)</f>
        <v>0.1</v>
      </c>
      <c r="U341" s="140">
        <f>IFERROR(INDEX('Price List'!$H$5:$H$74,MATCH(TRIM(J341)&amp;"|"&amp;TRIM(P341),'Price List'!$O$5:$O$74,0)),0)</f>
        <v>0.2</v>
      </c>
      <c r="V341" s="141">
        <f t="shared" si="28"/>
        <v>0.12</v>
      </c>
      <c r="W341" s="142">
        <f>IFERROR(INDEX('Price List'!$J$5:$J$74,MATCH(TRIM(J341)&amp;"|"&amp;TRIM(P341),'Price List'!$O$5:$O$74,0)),0)</f>
        <v>0.74</v>
      </c>
      <c r="X341" s="143">
        <f>IFERROR(INDEX('Price List'!$K$5:$K$74,MATCH(TRIM(J341)&amp;"|"&amp;TRIM(P341),'Price List'!$O$5:$O$74,0)),0)</f>
        <v>0.12</v>
      </c>
      <c r="Y341" s="141">
        <f t="shared" si="29"/>
        <v>0.82880000000000009</v>
      </c>
      <c r="Z341" s="141">
        <f t="shared" si="30"/>
        <v>118.97952000000002</v>
      </c>
      <c r="AA341" s="134"/>
    </row>
    <row r="342" spans="1:27" ht="15" customHeight="1" x14ac:dyDescent="0.35">
      <c r="A342" s="134"/>
      <c r="B342" s="135"/>
      <c r="C342" s="134" t="s">
        <v>444</v>
      </c>
      <c r="D342" s="136" t="str">
        <f t="shared" si="27"/>
        <v>B.04</v>
      </c>
      <c r="E342" s="135" t="s">
        <v>414</v>
      </c>
      <c r="F342" s="135" t="s">
        <v>674</v>
      </c>
      <c r="G342" s="134" t="s">
        <v>31</v>
      </c>
      <c r="H342" s="134" t="s">
        <v>578</v>
      </c>
      <c r="I342" s="134" t="s">
        <v>657</v>
      </c>
      <c r="J342" s="134" t="s">
        <v>107</v>
      </c>
      <c r="K342" s="134"/>
      <c r="L342" s="134"/>
      <c r="M342" s="134"/>
      <c r="N342" s="134"/>
      <c r="O342" s="134"/>
      <c r="P342" s="135" t="s">
        <v>103</v>
      </c>
      <c r="Q342" s="137">
        <f t="shared" si="26"/>
        <v>31.099199999999996</v>
      </c>
      <c r="R342" s="137">
        <f>(R340+R341+R339)*4%</f>
        <v>31.099199999999996</v>
      </c>
      <c r="S342" s="138"/>
      <c r="T342" s="139">
        <f>IFERROR(INDEX('Price List'!$G$5:$G$74,MATCH(TRIM(J342)&amp;"|"&amp;TRIM(P342),'Price List'!$O$5:$O$74,0)),0)</f>
        <v>0.05</v>
      </c>
      <c r="U342" s="140">
        <f>IFERROR(INDEX('Price List'!$H$5:$H$74,MATCH(TRIM(J342)&amp;"|"&amp;TRIM(P342),'Price List'!$O$5:$O$74,0)),0)</f>
        <v>0.2</v>
      </c>
      <c r="V342" s="141">
        <f t="shared" si="28"/>
        <v>0.06</v>
      </c>
      <c r="W342" s="142">
        <f>IFERROR(INDEX('Price List'!$J$5:$J$74,MATCH(TRIM(J342)&amp;"|"&amp;TRIM(P342),'Price List'!$O$5:$O$74,0)),0)</f>
        <v>1.2</v>
      </c>
      <c r="X342" s="143">
        <f>IFERROR(INDEX('Price List'!$K$5:$K$74,MATCH(TRIM(J342)&amp;"|"&amp;TRIM(P342),'Price List'!$O$5:$O$74,0)),0)</f>
        <v>0.12</v>
      </c>
      <c r="Y342" s="141">
        <f t="shared" si="29"/>
        <v>1.3440000000000001</v>
      </c>
      <c r="Z342" s="141">
        <f t="shared" si="30"/>
        <v>43.663276799999998</v>
      </c>
      <c r="AA342" s="134"/>
    </row>
    <row r="343" spans="1:27" ht="15" customHeight="1" x14ac:dyDescent="0.35">
      <c r="A343" s="134"/>
      <c r="B343" s="134"/>
      <c r="C343" s="134" t="s">
        <v>444</v>
      </c>
      <c r="D343" s="136" t="str">
        <f t="shared" si="27"/>
        <v>B.04</v>
      </c>
      <c r="E343" s="135" t="s">
        <v>414</v>
      </c>
      <c r="F343" s="135" t="s">
        <v>674</v>
      </c>
      <c r="G343" s="134" t="s">
        <v>31</v>
      </c>
      <c r="H343" s="134" t="s">
        <v>573</v>
      </c>
      <c r="I343" s="134" t="s">
        <v>512</v>
      </c>
      <c r="J343" s="144" t="s">
        <v>125</v>
      </c>
      <c r="K343" s="134"/>
      <c r="L343" s="134"/>
      <c r="M343" s="134"/>
      <c r="N343" s="134"/>
      <c r="O343" s="134"/>
      <c r="P343" s="135" t="s">
        <v>100</v>
      </c>
      <c r="Q343" s="137">
        <f t="shared" si="26"/>
        <v>38.304000000000002</v>
      </c>
      <c r="R343" s="137">
        <v>38.304000000000002</v>
      </c>
      <c r="S343" s="138"/>
      <c r="T343" s="139">
        <f>IFERROR(INDEX('Price List'!$G$5:$G$74,MATCH(TRIM(J343)&amp;"|"&amp;TRIM(P343),'Price List'!$O$5:$O$74,0)),0)</f>
        <v>10</v>
      </c>
      <c r="U343" s="140">
        <f>IFERROR(INDEX('Price List'!$H$5:$H$74,MATCH(TRIM(J343)&amp;"|"&amp;TRIM(P343),'Price List'!$O$5:$O$74,0)),0)</f>
        <v>0.2</v>
      </c>
      <c r="V343" s="141">
        <f t="shared" si="28"/>
        <v>12</v>
      </c>
      <c r="W343" s="142">
        <f>IFERROR(INDEX('Price List'!$J$5:$J$74,MATCH(TRIM(J343)&amp;"|"&amp;TRIM(P343),'Price List'!$O$5:$O$74,0)),0)</f>
        <v>98</v>
      </c>
      <c r="X343" s="143">
        <f>IFERROR(INDEX('Price List'!$K$5:$K$74,MATCH(TRIM(J343)&amp;"|"&amp;TRIM(P343),'Price List'!$O$5:$O$74,0)),0)</f>
        <v>0.12</v>
      </c>
      <c r="Y343" s="141">
        <f t="shared" si="29"/>
        <v>109.76</v>
      </c>
      <c r="Z343" s="141">
        <f t="shared" si="30"/>
        <v>4663.8950400000003</v>
      </c>
      <c r="AA343" s="134"/>
    </row>
    <row r="344" spans="1:27" ht="15" customHeight="1" x14ac:dyDescent="0.35">
      <c r="A344" s="134"/>
      <c r="B344" s="134"/>
      <c r="C344" s="134" t="s">
        <v>444</v>
      </c>
      <c r="D344" s="136" t="str">
        <f t="shared" si="27"/>
        <v>B.04</v>
      </c>
      <c r="E344" s="135" t="s">
        <v>414</v>
      </c>
      <c r="F344" s="135" t="s">
        <v>674</v>
      </c>
      <c r="G344" s="134" t="s">
        <v>31</v>
      </c>
      <c r="H344" s="134" t="s">
        <v>573</v>
      </c>
      <c r="I344" s="144" t="s">
        <v>127</v>
      </c>
      <c r="J344" s="144" t="s">
        <v>127</v>
      </c>
      <c r="K344" s="144"/>
      <c r="L344" s="134"/>
      <c r="M344" s="134"/>
      <c r="N344" s="134"/>
      <c r="O344" s="134"/>
      <c r="P344" s="135" t="s">
        <v>128</v>
      </c>
      <c r="Q344" s="137">
        <f t="shared" si="26"/>
        <v>203.28</v>
      </c>
      <c r="R344" s="137">
        <v>203.28</v>
      </c>
      <c r="S344" s="138"/>
      <c r="T344" s="139">
        <f>IFERROR(INDEX('Price List'!$G$5:$G$74,MATCH(TRIM(J344)&amp;"|"&amp;TRIM(P344),'Price List'!$O$5:$O$74,0)),0)</f>
        <v>6</v>
      </c>
      <c r="U344" s="140">
        <f>IFERROR(INDEX('Price List'!$H$5:$H$74,MATCH(TRIM(J344)&amp;"|"&amp;TRIM(P344),'Price List'!$O$5:$O$74,0)),0)</f>
        <v>0.2</v>
      </c>
      <c r="V344" s="141">
        <f t="shared" si="28"/>
        <v>7.1999999999999993</v>
      </c>
      <c r="W344" s="142">
        <f>IFERROR(INDEX('Price List'!$J$5:$J$74,MATCH(TRIM(J344)&amp;"|"&amp;TRIM(P344),'Price List'!$O$5:$O$74,0)),0)</f>
        <v>5</v>
      </c>
      <c r="X344" s="143">
        <f>IFERROR(INDEX('Price List'!$K$5:$K$74,MATCH(TRIM(J344)&amp;"|"&amp;TRIM(P344),'Price List'!$O$5:$O$74,0)),0)</f>
        <v>0.12</v>
      </c>
      <c r="Y344" s="141">
        <f t="shared" si="29"/>
        <v>5.6000000000000005</v>
      </c>
      <c r="Z344" s="141">
        <f t="shared" si="30"/>
        <v>2601.9840000000004</v>
      </c>
      <c r="AA344" s="134"/>
    </row>
    <row r="345" spans="1:27" ht="15" customHeight="1" x14ac:dyDescent="0.35">
      <c r="A345" s="134"/>
      <c r="B345" s="134"/>
      <c r="C345" s="134" t="s">
        <v>444</v>
      </c>
      <c r="D345" s="136" t="str">
        <f t="shared" si="27"/>
        <v>B.04</v>
      </c>
      <c r="E345" s="135" t="s">
        <v>414</v>
      </c>
      <c r="F345" s="135" t="s">
        <v>674</v>
      </c>
      <c r="G345" s="134" t="s">
        <v>31</v>
      </c>
      <c r="H345" s="134" t="s">
        <v>573</v>
      </c>
      <c r="I345" s="134" t="s">
        <v>513</v>
      </c>
      <c r="J345" s="144" t="s">
        <v>102</v>
      </c>
      <c r="K345" s="134"/>
      <c r="L345" s="134"/>
      <c r="M345" s="134"/>
      <c r="N345" s="134"/>
      <c r="O345" s="134"/>
      <c r="P345" s="135" t="s">
        <v>103</v>
      </c>
      <c r="Q345" s="137">
        <f t="shared" si="26"/>
        <v>1889.9944</v>
      </c>
      <c r="R345" s="137">
        <v>1889.9944</v>
      </c>
      <c r="S345" s="138"/>
      <c r="T345" s="139">
        <f>IFERROR(INDEX('Price List'!$G$5:$G$74,MATCH(TRIM(J345)&amp;"|"&amp;TRIM(P345),'Price List'!$O$5:$O$74,0)),0)</f>
        <v>0.12</v>
      </c>
      <c r="U345" s="140">
        <f>IFERROR(INDEX('Price List'!$H$5:$H$74,MATCH(TRIM(J345)&amp;"|"&amp;TRIM(P345),'Price List'!$O$5:$O$74,0)),0)</f>
        <v>0.2</v>
      </c>
      <c r="V345" s="141">
        <f t="shared" si="28"/>
        <v>0.14399999999999999</v>
      </c>
      <c r="W345" s="142">
        <f>IFERROR(INDEX('Price List'!$J$5:$J$74,MATCH(TRIM(J345)&amp;"|"&amp;TRIM(P345),'Price List'!$O$5:$O$74,0)),0)</f>
        <v>0.78</v>
      </c>
      <c r="X345" s="143">
        <f>IFERROR(INDEX('Price List'!$K$5:$K$74,MATCH(TRIM(J345)&amp;"|"&amp;TRIM(P345),'Price List'!$O$5:$O$74,0)),0)</f>
        <v>0.12</v>
      </c>
      <c r="Y345" s="141">
        <f t="shared" si="29"/>
        <v>0.87360000000000015</v>
      </c>
      <c r="Z345" s="141">
        <f t="shared" si="30"/>
        <v>1923.2583014400002</v>
      </c>
      <c r="AA345" s="134"/>
    </row>
    <row r="346" spans="1:27" ht="15" customHeight="1" x14ac:dyDescent="0.35">
      <c r="A346" s="134"/>
      <c r="B346" s="134"/>
      <c r="C346" s="134" t="s">
        <v>444</v>
      </c>
      <c r="D346" s="136" t="str">
        <f t="shared" si="27"/>
        <v>B.04</v>
      </c>
      <c r="E346" s="135" t="s">
        <v>414</v>
      </c>
      <c r="F346" s="135" t="s">
        <v>674</v>
      </c>
      <c r="G346" s="134" t="s">
        <v>31</v>
      </c>
      <c r="H346" s="134" t="s">
        <v>573</v>
      </c>
      <c r="I346" s="134" t="s">
        <v>513</v>
      </c>
      <c r="J346" s="144" t="s">
        <v>135</v>
      </c>
      <c r="K346" s="134"/>
      <c r="L346" s="134"/>
      <c r="M346" s="134"/>
      <c r="N346" s="134"/>
      <c r="O346" s="134"/>
      <c r="P346" s="135" t="s">
        <v>103</v>
      </c>
      <c r="Q346" s="137">
        <f t="shared" si="26"/>
        <v>4821.5231999999996</v>
      </c>
      <c r="R346" s="137">
        <v>4821.5231999999996</v>
      </c>
      <c r="S346" s="138"/>
      <c r="T346" s="139">
        <f>IFERROR(INDEX('Price List'!$G$5:$G$74,MATCH(TRIM(J346)&amp;"|"&amp;TRIM(P346),'Price List'!$O$5:$O$74,0)),0)</f>
        <v>0.09</v>
      </c>
      <c r="U346" s="140">
        <f>IFERROR(INDEX('Price List'!$H$5:$H$74,MATCH(TRIM(J346)&amp;"|"&amp;TRIM(P346),'Price List'!$O$5:$O$74,0)),0)</f>
        <v>0.2</v>
      </c>
      <c r="V346" s="141">
        <f t="shared" si="28"/>
        <v>0.108</v>
      </c>
      <c r="W346" s="142">
        <f>IFERROR(INDEX('Price List'!$J$5:$J$74,MATCH(TRIM(J346)&amp;"|"&amp;TRIM(P346),'Price List'!$O$5:$O$74,0)),0)</f>
        <v>0.73</v>
      </c>
      <c r="X346" s="143">
        <f>IFERROR(INDEX('Price List'!$K$5:$K$74,MATCH(TRIM(J346)&amp;"|"&amp;TRIM(P346),'Price List'!$O$5:$O$74,0)),0)</f>
        <v>0.12</v>
      </c>
      <c r="Y346" s="141">
        <f t="shared" si="29"/>
        <v>0.8176000000000001</v>
      </c>
      <c r="Z346" s="141">
        <f t="shared" si="30"/>
        <v>4462.8018739199997</v>
      </c>
      <c r="AA346" s="134"/>
    </row>
    <row r="347" spans="1:27" ht="15" customHeight="1" x14ac:dyDescent="0.35">
      <c r="A347" s="134"/>
      <c r="B347" s="134"/>
      <c r="C347" s="134" t="s">
        <v>444</v>
      </c>
      <c r="D347" s="136" t="str">
        <f t="shared" si="27"/>
        <v>B.04</v>
      </c>
      <c r="E347" s="135" t="s">
        <v>414</v>
      </c>
      <c r="F347" s="135" t="s">
        <v>674</v>
      </c>
      <c r="G347" s="134" t="s">
        <v>31</v>
      </c>
      <c r="H347" s="134" t="s">
        <v>573</v>
      </c>
      <c r="I347" s="134" t="s">
        <v>657</v>
      </c>
      <c r="J347" s="134" t="s">
        <v>107</v>
      </c>
      <c r="K347" s="134"/>
      <c r="L347" s="134"/>
      <c r="M347" s="134"/>
      <c r="N347" s="134"/>
      <c r="O347" s="134"/>
      <c r="P347" s="135" t="s">
        <v>103</v>
      </c>
      <c r="Q347" s="137">
        <f t="shared" si="26"/>
        <v>268.46070399999996</v>
      </c>
      <c r="R347" s="137">
        <f>(R345+R346)*4%</f>
        <v>268.46070399999996</v>
      </c>
      <c r="S347" s="138"/>
      <c r="T347" s="139">
        <f>IFERROR(INDEX('Price List'!$G$5:$G$74,MATCH(TRIM(J347)&amp;"|"&amp;TRIM(P347),'Price List'!$O$5:$O$74,0)),0)</f>
        <v>0.05</v>
      </c>
      <c r="U347" s="140">
        <f>IFERROR(INDEX('Price List'!$H$5:$H$74,MATCH(TRIM(J347)&amp;"|"&amp;TRIM(P347),'Price List'!$O$5:$O$74,0)),0)</f>
        <v>0.2</v>
      </c>
      <c r="V347" s="141">
        <f t="shared" si="28"/>
        <v>0.06</v>
      </c>
      <c r="W347" s="142">
        <f>IFERROR(INDEX('Price List'!$J$5:$J$74,MATCH(TRIM(J347)&amp;"|"&amp;TRIM(P347),'Price List'!$O$5:$O$74,0)),0)</f>
        <v>1.2</v>
      </c>
      <c r="X347" s="143">
        <f>IFERROR(INDEX('Price List'!$K$5:$K$74,MATCH(TRIM(J347)&amp;"|"&amp;TRIM(P347),'Price List'!$O$5:$O$74,0)),0)</f>
        <v>0.12</v>
      </c>
      <c r="Y347" s="141">
        <f t="shared" si="29"/>
        <v>1.3440000000000001</v>
      </c>
      <c r="Z347" s="141">
        <f t="shared" si="30"/>
        <v>376.918828416</v>
      </c>
      <c r="AA347" s="134"/>
    </row>
    <row r="348" spans="1:27" ht="15" customHeight="1" x14ac:dyDescent="0.35">
      <c r="A348" s="134"/>
      <c r="B348" s="135"/>
      <c r="C348" s="134" t="s">
        <v>444</v>
      </c>
      <c r="D348" s="136" t="str">
        <f t="shared" si="27"/>
        <v>B.04</v>
      </c>
      <c r="E348" s="135" t="s">
        <v>414</v>
      </c>
      <c r="F348" s="135" t="s">
        <v>675</v>
      </c>
      <c r="G348" s="134" t="s">
        <v>31</v>
      </c>
      <c r="H348" s="134" t="s">
        <v>564</v>
      </c>
      <c r="I348" s="134" t="s">
        <v>512</v>
      </c>
      <c r="J348" s="145" t="s">
        <v>125</v>
      </c>
      <c r="K348" s="134"/>
      <c r="L348" s="134"/>
      <c r="M348" s="134"/>
      <c r="N348" s="134"/>
      <c r="O348" s="134"/>
      <c r="P348" s="135" t="s">
        <v>100</v>
      </c>
      <c r="Q348" s="137">
        <f t="shared" si="26"/>
        <v>46.741149999999998</v>
      </c>
      <c r="R348" s="137">
        <f>'7F,8F,9F beam'!H11</f>
        <v>46.741149999999998</v>
      </c>
      <c r="S348" s="138"/>
      <c r="T348" s="139">
        <f>IFERROR(INDEX('Price List'!$G$5:$G$74,MATCH(TRIM(J348)&amp;"|"&amp;TRIM(P348),'Price List'!$O$5:$O$74,0)),0)</f>
        <v>10</v>
      </c>
      <c r="U348" s="140">
        <f>IFERROR(INDEX('Price List'!$H$5:$H$74,MATCH(TRIM(J348)&amp;"|"&amp;TRIM(P348),'Price List'!$O$5:$O$74,0)),0)</f>
        <v>0.2</v>
      </c>
      <c r="V348" s="141">
        <f t="shared" si="28"/>
        <v>12</v>
      </c>
      <c r="W348" s="142">
        <f>IFERROR(INDEX('Price List'!$J$5:$J$74,MATCH(TRIM(J348)&amp;"|"&amp;TRIM(P348),'Price List'!$O$5:$O$74,0)),0)</f>
        <v>98</v>
      </c>
      <c r="X348" s="143">
        <f>IFERROR(INDEX('Price List'!$K$5:$K$74,MATCH(TRIM(J348)&amp;"|"&amp;TRIM(P348),'Price List'!$O$5:$O$74,0)),0)</f>
        <v>0.12</v>
      </c>
      <c r="Y348" s="141">
        <f t="shared" si="29"/>
        <v>109.76</v>
      </c>
      <c r="Z348" s="141">
        <f t="shared" si="30"/>
        <v>5691.2024240000001</v>
      </c>
      <c r="AA348" s="134"/>
    </row>
    <row r="349" spans="1:27" ht="15" customHeight="1" x14ac:dyDescent="0.35">
      <c r="A349" s="134"/>
      <c r="B349" s="135"/>
      <c r="C349" s="134" t="s">
        <v>444</v>
      </c>
      <c r="D349" s="136" t="str">
        <f t="shared" si="27"/>
        <v>B.04</v>
      </c>
      <c r="E349" s="135" t="s">
        <v>414</v>
      </c>
      <c r="F349" s="135" t="s">
        <v>675</v>
      </c>
      <c r="G349" s="134" t="s">
        <v>31</v>
      </c>
      <c r="H349" s="134" t="s">
        <v>564</v>
      </c>
      <c r="I349" s="144" t="s">
        <v>127</v>
      </c>
      <c r="J349" s="144" t="s">
        <v>127</v>
      </c>
      <c r="K349" s="144"/>
      <c r="L349" s="134"/>
      <c r="M349" s="134"/>
      <c r="N349" s="134"/>
      <c r="O349" s="134"/>
      <c r="P349" s="135" t="s">
        <v>128</v>
      </c>
      <c r="Q349" s="137">
        <f t="shared" si="26"/>
        <v>446.52599999999995</v>
      </c>
      <c r="R349" s="137">
        <f>'7F,8F,9F beam'!G11</f>
        <v>446.52599999999995</v>
      </c>
      <c r="S349" s="138"/>
      <c r="T349" s="139">
        <f>IFERROR(INDEX('Price List'!$G$5:$G$74,MATCH(TRIM(J349)&amp;"|"&amp;TRIM(P349),'Price List'!$O$5:$O$74,0)),0)</f>
        <v>6</v>
      </c>
      <c r="U349" s="140">
        <f>IFERROR(INDEX('Price List'!$H$5:$H$74,MATCH(TRIM(J349)&amp;"|"&amp;TRIM(P349),'Price List'!$O$5:$O$74,0)),0)</f>
        <v>0.2</v>
      </c>
      <c r="V349" s="141">
        <f t="shared" si="28"/>
        <v>7.1999999999999993</v>
      </c>
      <c r="W349" s="142">
        <f>IFERROR(INDEX('Price List'!$J$5:$J$74,MATCH(TRIM(J349)&amp;"|"&amp;TRIM(P349),'Price List'!$O$5:$O$74,0)),0)</f>
        <v>5</v>
      </c>
      <c r="X349" s="143">
        <f>IFERROR(INDEX('Price List'!$K$5:$K$74,MATCH(TRIM(J349)&amp;"|"&amp;TRIM(P349),'Price List'!$O$5:$O$74,0)),0)</f>
        <v>0.12</v>
      </c>
      <c r="Y349" s="141">
        <f t="shared" si="29"/>
        <v>5.6000000000000005</v>
      </c>
      <c r="Z349" s="141">
        <f t="shared" si="30"/>
        <v>5715.5328</v>
      </c>
      <c r="AA349" s="134"/>
    </row>
    <row r="350" spans="1:27" ht="15" customHeight="1" x14ac:dyDescent="0.35">
      <c r="A350" s="134"/>
      <c r="B350" s="135"/>
      <c r="C350" s="134" t="s">
        <v>444</v>
      </c>
      <c r="D350" s="136" t="str">
        <f t="shared" si="27"/>
        <v>B.04</v>
      </c>
      <c r="E350" s="135" t="s">
        <v>414</v>
      </c>
      <c r="F350" s="135" t="s">
        <v>675</v>
      </c>
      <c r="G350" s="134" t="s">
        <v>31</v>
      </c>
      <c r="H350" s="134" t="s">
        <v>564</v>
      </c>
      <c r="I350" s="134" t="s">
        <v>513</v>
      </c>
      <c r="J350" s="144" t="s">
        <v>169</v>
      </c>
      <c r="K350" s="134"/>
      <c r="L350" s="134"/>
      <c r="M350" s="134"/>
      <c r="N350" s="134"/>
      <c r="O350" s="134"/>
      <c r="P350" s="135" t="s">
        <v>103</v>
      </c>
      <c r="Q350" s="137">
        <f t="shared" si="26"/>
        <v>624.19479999999999</v>
      </c>
      <c r="R350" s="137">
        <f>'7F,8F,9F beam'!J14</f>
        <v>624.19479999999999</v>
      </c>
      <c r="S350" s="138"/>
      <c r="T350" s="139">
        <f>IFERROR(INDEX('Price List'!$G$5:$G$74,MATCH(TRIM(J350)&amp;"|"&amp;TRIM(P350),'Price List'!$O$5:$O$74,0)),0)</f>
        <v>0.12</v>
      </c>
      <c r="U350" s="140">
        <f>IFERROR(INDEX('Price List'!$H$5:$H$74,MATCH(TRIM(J350)&amp;"|"&amp;TRIM(P350),'Price List'!$O$5:$O$74,0)),0)</f>
        <v>0.2</v>
      </c>
      <c r="V350" s="141">
        <f t="shared" si="28"/>
        <v>0.14399999999999999</v>
      </c>
      <c r="W350" s="142">
        <f>IFERROR(INDEX('Price List'!$J$5:$J$74,MATCH(TRIM(J350)&amp;"|"&amp;TRIM(P350),'Price List'!$O$5:$O$74,0)),0)</f>
        <v>0.77</v>
      </c>
      <c r="X350" s="143">
        <f>IFERROR(INDEX('Price List'!$K$5:$K$74,MATCH(TRIM(J350)&amp;"|"&amp;TRIM(P350),'Price List'!$O$5:$O$74,0)),0)</f>
        <v>0.12</v>
      </c>
      <c r="Y350" s="141">
        <f t="shared" si="29"/>
        <v>0.86240000000000006</v>
      </c>
      <c r="Z350" s="141">
        <f t="shared" si="30"/>
        <v>628.18964671999993</v>
      </c>
      <c r="AA350" s="134"/>
    </row>
    <row r="351" spans="1:27" ht="15" customHeight="1" x14ac:dyDescent="0.35">
      <c r="A351" s="134"/>
      <c r="B351" s="135"/>
      <c r="C351" s="134" t="s">
        <v>444</v>
      </c>
      <c r="D351" s="136" t="str">
        <f t="shared" si="27"/>
        <v>B.04</v>
      </c>
      <c r="E351" s="135" t="s">
        <v>414</v>
      </c>
      <c r="F351" s="135" t="s">
        <v>675</v>
      </c>
      <c r="G351" s="134" t="s">
        <v>31</v>
      </c>
      <c r="H351" s="134" t="s">
        <v>564</v>
      </c>
      <c r="I351" s="134" t="s">
        <v>513</v>
      </c>
      <c r="J351" s="144" t="s">
        <v>102</v>
      </c>
      <c r="K351" s="134"/>
      <c r="L351" s="134"/>
      <c r="M351" s="134"/>
      <c r="N351" s="134"/>
      <c r="O351" s="134"/>
      <c r="P351" s="135" t="s">
        <v>103</v>
      </c>
      <c r="Q351" s="137">
        <f t="shared" si="26"/>
        <v>2823.6114200000006</v>
      </c>
      <c r="R351" s="137">
        <f>'7F,8F,9F beam'!J15</f>
        <v>2823.6114200000006</v>
      </c>
      <c r="S351" s="138"/>
      <c r="T351" s="139">
        <f>IFERROR(INDEX('Price List'!$G$5:$G$74,MATCH(TRIM(J351)&amp;"|"&amp;TRIM(P351),'Price List'!$O$5:$O$74,0)),0)</f>
        <v>0.12</v>
      </c>
      <c r="U351" s="140">
        <f>IFERROR(INDEX('Price List'!$H$5:$H$74,MATCH(TRIM(J351)&amp;"|"&amp;TRIM(P351),'Price List'!$O$5:$O$74,0)),0)</f>
        <v>0.2</v>
      </c>
      <c r="V351" s="141">
        <f t="shared" si="28"/>
        <v>0.14399999999999999</v>
      </c>
      <c r="W351" s="142">
        <f>IFERROR(INDEX('Price List'!$J$5:$J$74,MATCH(TRIM(J351)&amp;"|"&amp;TRIM(P351),'Price List'!$O$5:$O$74,0)),0)</f>
        <v>0.78</v>
      </c>
      <c r="X351" s="143">
        <f>IFERROR(INDEX('Price List'!$K$5:$K$74,MATCH(TRIM(J351)&amp;"|"&amp;TRIM(P351),'Price List'!$O$5:$O$74,0)),0)</f>
        <v>0.12</v>
      </c>
      <c r="Y351" s="141">
        <f t="shared" si="29"/>
        <v>0.87360000000000015</v>
      </c>
      <c r="Z351" s="141">
        <f t="shared" si="30"/>
        <v>2873.3069809920007</v>
      </c>
      <c r="AA351" s="134"/>
    </row>
    <row r="352" spans="1:27" ht="15" customHeight="1" x14ac:dyDescent="0.35">
      <c r="A352" s="134"/>
      <c r="B352" s="135"/>
      <c r="C352" s="134" t="s">
        <v>444</v>
      </c>
      <c r="D352" s="136" t="str">
        <f t="shared" si="27"/>
        <v>B.04</v>
      </c>
      <c r="E352" s="135" t="s">
        <v>414</v>
      </c>
      <c r="F352" s="135" t="s">
        <v>675</v>
      </c>
      <c r="G352" s="134" t="s">
        <v>31</v>
      </c>
      <c r="H352" s="134" t="s">
        <v>564</v>
      </c>
      <c r="I352" s="134" t="s">
        <v>513</v>
      </c>
      <c r="J352" s="144" t="s">
        <v>131</v>
      </c>
      <c r="K352" s="134"/>
      <c r="L352" s="134"/>
      <c r="M352" s="134"/>
      <c r="N352" s="134"/>
      <c r="O352" s="134"/>
      <c r="P352" s="135" t="s">
        <v>103</v>
      </c>
      <c r="Q352" s="137">
        <f t="shared" si="26"/>
        <v>295.33103999999997</v>
      </c>
      <c r="R352" s="137">
        <f>'7F,8F,9F beam'!J16</f>
        <v>295.33103999999997</v>
      </c>
      <c r="S352" s="138"/>
      <c r="T352" s="139">
        <f>IFERROR(INDEX('Price List'!$G$5:$G$74,MATCH(TRIM(J352)&amp;"|"&amp;TRIM(P352),'Price List'!$O$5:$O$74,0)),0)</f>
        <v>0.11</v>
      </c>
      <c r="U352" s="140">
        <f>IFERROR(INDEX('Price List'!$H$5:$H$74,MATCH(TRIM(J352)&amp;"|"&amp;TRIM(P352),'Price List'!$O$5:$O$74,0)),0)</f>
        <v>0.2</v>
      </c>
      <c r="V352" s="141">
        <f t="shared" si="28"/>
        <v>0.13200000000000001</v>
      </c>
      <c r="W352" s="142">
        <f>IFERROR(INDEX('Price List'!$J$5:$J$74,MATCH(TRIM(J352)&amp;"|"&amp;TRIM(P352),'Price List'!$O$5:$O$74,0)),0)</f>
        <v>0.76</v>
      </c>
      <c r="X352" s="143">
        <f>IFERROR(INDEX('Price List'!$K$5:$K$74,MATCH(TRIM(J352)&amp;"|"&amp;TRIM(P352),'Price List'!$O$5:$O$74,0)),0)</f>
        <v>0.12</v>
      </c>
      <c r="Y352" s="141">
        <f t="shared" si="29"/>
        <v>0.85120000000000007</v>
      </c>
      <c r="Z352" s="141">
        <f t="shared" si="30"/>
        <v>290.369478528</v>
      </c>
      <c r="AA352" s="134"/>
    </row>
    <row r="353" spans="1:27" ht="15" customHeight="1" x14ac:dyDescent="0.35">
      <c r="A353" s="134"/>
      <c r="B353" s="135"/>
      <c r="C353" s="134" t="s">
        <v>444</v>
      </c>
      <c r="D353" s="136" t="str">
        <f t="shared" si="27"/>
        <v>B.04</v>
      </c>
      <c r="E353" s="135" t="s">
        <v>414</v>
      </c>
      <c r="F353" s="135" t="s">
        <v>675</v>
      </c>
      <c r="G353" s="134" t="s">
        <v>31</v>
      </c>
      <c r="H353" s="134" t="s">
        <v>564</v>
      </c>
      <c r="I353" s="134" t="s">
        <v>513</v>
      </c>
      <c r="J353" s="144" t="s">
        <v>133</v>
      </c>
      <c r="K353" s="134"/>
      <c r="L353" s="134"/>
      <c r="M353" s="134"/>
      <c r="N353" s="134"/>
      <c r="O353" s="134"/>
      <c r="P353" s="135" t="s">
        <v>103</v>
      </c>
      <c r="Q353" s="137">
        <f t="shared" si="26"/>
        <v>2411.8152</v>
      </c>
      <c r="R353" s="137">
        <f>'7F,8F,9F beam'!J17</f>
        <v>2411.8152</v>
      </c>
      <c r="S353" s="138"/>
      <c r="T353" s="139">
        <f>IFERROR(INDEX('Price List'!$G$5:$G$74,MATCH(TRIM(J353)&amp;"|"&amp;TRIM(P353),'Price List'!$O$5:$O$74,0)),0)</f>
        <v>0.1</v>
      </c>
      <c r="U353" s="140">
        <f>IFERROR(INDEX('Price List'!$H$5:$H$74,MATCH(TRIM(J353)&amp;"|"&amp;TRIM(P353),'Price List'!$O$5:$O$74,0)),0)</f>
        <v>0.2</v>
      </c>
      <c r="V353" s="141">
        <f t="shared" si="28"/>
        <v>0.12</v>
      </c>
      <c r="W353" s="142">
        <f>IFERROR(INDEX('Price List'!$J$5:$J$74,MATCH(TRIM(J353)&amp;"|"&amp;TRIM(P353),'Price List'!$O$5:$O$74,0)),0)</f>
        <v>0.74</v>
      </c>
      <c r="X353" s="143">
        <f>IFERROR(INDEX('Price List'!$K$5:$K$74,MATCH(TRIM(J353)&amp;"|"&amp;TRIM(P353),'Price List'!$O$5:$O$74,0)),0)</f>
        <v>0.12</v>
      </c>
      <c r="Y353" s="141">
        <f t="shared" si="29"/>
        <v>0.82880000000000009</v>
      </c>
      <c r="Z353" s="141">
        <f t="shared" si="30"/>
        <v>2288.3302617600002</v>
      </c>
      <c r="AA353" s="134"/>
    </row>
    <row r="354" spans="1:27" ht="15" customHeight="1" x14ac:dyDescent="0.35">
      <c r="A354" s="134"/>
      <c r="B354" s="135"/>
      <c r="C354" s="134" t="s">
        <v>444</v>
      </c>
      <c r="D354" s="136" t="str">
        <f t="shared" si="27"/>
        <v>B.04</v>
      </c>
      <c r="E354" s="135" t="s">
        <v>414</v>
      </c>
      <c r="F354" s="135" t="s">
        <v>675</v>
      </c>
      <c r="G354" s="134" t="s">
        <v>31</v>
      </c>
      <c r="H354" s="134" t="s">
        <v>564</v>
      </c>
      <c r="I354" s="134" t="s">
        <v>513</v>
      </c>
      <c r="J354" s="144" t="s">
        <v>135</v>
      </c>
      <c r="K354" s="134"/>
      <c r="L354" s="134"/>
      <c r="M354" s="134"/>
      <c r="N354" s="134"/>
      <c r="O354" s="134"/>
      <c r="P354" s="135" t="s">
        <v>103</v>
      </c>
      <c r="Q354" s="137">
        <f t="shared" si="26"/>
        <v>1819.6614000000002</v>
      </c>
      <c r="R354" s="137">
        <f>'7F,8F,9F beam'!J18</f>
        <v>1819.6614000000002</v>
      </c>
      <c r="S354" s="138"/>
      <c r="T354" s="139">
        <f>IFERROR(INDEX('Price List'!$G$5:$G$74,MATCH(TRIM(J354)&amp;"|"&amp;TRIM(P354),'Price List'!$O$5:$O$74,0)),0)</f>
        <v>0.09</v>
      </c>
      <c r="U354" s="140">
        <f>IFERROR(INDEX('Price List'!$H$5:$H$74,MATCH(TRIM(J354)&amp;"|"&amp;TRIM(P354),'Price List'!$O$5:$O$74,0)),0)</f>
        <v>0.2</v>
      </c>
      <c r="V354" s="141">
        <f t="shared" si="28"/>
        <v>0.108</v>
      </c>
      <c r="W354" s="142">
        <f>IFERROR(INDEX('Price List'!$J$5:$J$74,MATCH(TRIM(J354)&amp;"|"&amp;TRIM(P354),'Price List'!$O$5:$O$74,0)),0)</f>
        <v>0.73</v>
      </c>
      <c r="X354" s="143">
        <f>IFERROR(INDEX('Price List'!$K$5:$K$74,MATCH(TRIM(J354)&amp;"|"&amp;TRIM(P354),'Price List'!$O$5:$O$74,0)),0)</f>
        <v>0.12</v>
      </c>
      <c r="Y354" s="141">
        <f t="shared" si="29"/>
        <v>0.8176000000000001</v>
      </c>
      <c r="Z354" s="141">
        <f t="shared" si="30"/>
        <v>1684.2785918400004</v>
      </c>
      <c r="AA354" s="134"/>
    </row>
    <row r="355" spans="1:27" ht="15" customHeight="1" x14ac:dyDescent="0.35">
      <c r="A355" s="134"/>
      <c r="B355" s="135"/>
      <c r="C355" s="134" t="s">
        <v>444</v>
      </c>
      <c r="D355" s="136" t="str">
        <f t="shared" si="27"/>
        <v>B.04</v>
      </c>
      <c r="E355" s="135" t="s">
        <v>414</v>
      </c>
      <c r="F355" s="135" t="s">
        <v>675</v>
      </c>
      <c r="G355" s="134" t="s">
        <v>31</v>
      </c>
      <c r="H355" s="134" t="s">
        <v>564</v>
      </c>
      <c r="I355" s="134" t="s">
        <v>513</v>
      </c>
      <c r="J355" s="144" t="s">
        <v>105</v>
      </c>
      <c r="K355" s="134"/>
      <c r="L355" s="134"/>
      <c r="M355" s="134"/>
      <c r="N355" s="134"/>
      <c r="O355" s="134"/>
      <c r="P355" s="135" t="s">
        <v>103</v>
      </c>
      <c r="Q355" s="137">
        <f t="shared" si="26"/>
        <v>7527.2208000000001</v>
      </c>
      <c r="R355" s="137">
        <f>'7F,8F,9F beam'!J19</f>
        <v>7527.2208000000001</v>
      </c>
      <c r="S355" s="138"/>
      <c r="T355" s="139">
        <f>IFERROR(INDEX('Price List'!$G$5:$G$74,MATCH(TRIM(J355)&amp;"|"&amp;TRIM(P355),'Price List'!$O$5:$O$74,0)),0)</f>
        <v>0.08</v>
      </c>
      <c r="U355" s="140">
        <f>IFERROR(INDEX('Price List'!$H$5:$H$74,MATCH(TRIM(J355)&amp;"|"&amp;TRIM(P355),'Price List'!$O$5:$O$74,0)),0)</f>
        <v>0.2</v>
      </c>
      <c r="V355" s="141">
        <f t="shared" si="28"/>
        <v>9.6000000000000002E-2</v>
      </c>
      <c r="W355" s="142">
        <f>IFERROR(INDEX('Price List'!$J$5:$J$74,MATCH(TRIM(J355)&amp;"|"&amp;TRIM(P355),'Price List'!$O$5:$O$74,0)),0)</f>
        <v>0.72</v>
      </c>
      <c r="X355" s="143">
        <f>IFERROR(INDEX('Price List'!$K$5:$K$74,MATCH(TRIM(J355)&amp;"|"&amp;TRIM(P355),'Price List'!$O$5:$O$74,0)),0)</f>
        <v>0.12</v>
      </c>
      <c r="Y355" s="141">
        <f t="shared" si="29"/>
        <v>0.80640000000000001</v>
      </c>
      <c r="Z355" s="141">
        <f t="shared" si="30"/>
        <v>6792.5640499199999</v>
      </c>
      <c r="AA355" s="134"/>
    </row>
    <row r="356" spans="1:27" ht="15" customHeight="1" x14ac:dyDescent="0.35">
      <c r="A356" s="134"/>
      <c r="B356" s="135"/>
      <c r="C356" s="134" t="s">
        <v>444</v>
      </c>
      <c r="D356" s="136" t="str">
        <f t="shared" si="27"/>
        <v>B.04</v>
      </c>
      <c r="E356" s="135" t="s">
        <v>414</v>
      </c>
      <c r="F356" s="135" t="s">
        <v>675</v>
      </c>
      <c r="G356" s="134" t="s">
        <v>31</v>
      </c>
      <c r="H356" s="134" t="s">
        <v>564</v>
      </c>
      <c r="I356" s="134" t="s">
        <v>657</v>
      </c>
      <c r="J356" s="134" t="s">
        <v>107</v>
      </c>
      <c r="K356" s="134"/>
      <c r="L356" s="134"/>
      <c r="M356" s="134"/>
      <c r="N356" s="134"/>
      <c r="O356" s="134"/>
      <c r="P356" s="135" t="s">
        <v>103</v>
      </c>
      <c r="Q356" s="137">
        <f t="shared" si="26"/>
        <v>620.0733864</v>
      </c>
      <c r="R356" s="137">
        <f>(R354+R355+R353+R352+R351+R350)*4%</f>
        <v>620.0733864</v>
      </c>
      <c r="S356" s="138"/>
      <c r="T356" s="139">
        <f>IFERROR(INDEX('Price List'!$G$5:$G$74,MATCH(TRIM(J356)&amp;"|"&amp;TRIM(P356),'Price List'!$O$5:$O$74,0)),0)</f>
        <v>0.05</v>
      </c>
      <c r="U356" s="140">
        <f>IFERROR(INDEX('Price List'!$H$5:$H$74,MATCH(TRIM(J356)&amp;"|"&amp;TRIM(P356),'Price List'!$O$5:$O$74,0)),0)</f>
        <v>0.2</v>
      </c>
      <c r="V356" s="141">
        <f t="shared" si="28"/>
        <v>0.06</v>
      </c>
      <c r="W356" s="142">
        <f>IFERROR(INDEX('Price List'!$J$5:$J$74,MATCH(TRIM(J356)&amp;"|"&amp;TRIM(P356),'Price List'!$O$5:$O$74,0)),0)</f>
        <v>1.2</v>
      </c>
      <c r="X356" s="143">
        <f>IFERROR(INDEX('Price List'!$K$5:$K$74,MATCH(TRIM(J356)&amp;"|"&amp;TRIM(P356),'Price List'!$O$5:$O$74,0)),0)</f>
        <v>0.12</v>
      </c>
      <c r="Y356" s="141">
        <f t="shared" si="29"/>
        <v>1.3440000000000001</v>
      </c>
      <c r="Z356" s="141">
        <f t="shared" si="30"/>
        <v>870.58303450560004</v>
      </c>
      <c r="AA356" s="134"/>
    </row>
    <row r="357" spans="1:27" ht="15" customHeight="1" x14ac:dyDescent="0.35">
      <c r="A357" s="134"/>
      <c r="B357" s="135"/>
      <c r="C357" s="134" t="s">
        <v>444</v>
      </c>
      <c r="D357" s="136" t="str">
        <f t="shared" si="27"/>
        <v>B.04</v>
      </c>
      <c r="E357" s="135" t="s">
        <v>414</v>
      </c>
      <c r="F357" s="135" t="s">
        <v>675</v>
      </c>
      <c r="G357" s="134" t="s">
        <v>31</v>
      </c>
      <c r="H357" s="134" t="s">
        <v>568</v>
      </c>
      <c r="I357" s="134" t="s">
        <v>512</v>
      </c>
      <c r="J357" s="145" t="s">
        <v>125</v>
      </c>
      <c r="K357" s="134"/>
      <c r="L357" s="134"/>
      <c r="M357" s="134"/>
      <c r="N357" s="134"/>
      <c r="O357" s="134"/>
      <c r="P357" s="135" t="s">
        <v>100</v>
      </c>
      <c r="Q357" s="137">
        <f t="shared" si="26"/>
        <v>87.149999999999991</v>
      </c>
      <c r="R357" s="137">
        <f>581*0.15</f>
        <v>87.149999999999991</v>
      </c>
      <c r="S357" s="138"/>
      <c r="T357" s="139">
        <f>IFERROR(INDEX('Price List'!$G$5:$G$74,MATCH(TRIM(J357)&amp;"|"&amp;TRIM(P357),'Price List'!$O$5:$O$74,0)),0)</f>
        <v>10</v>
      </c>
      <c r="U357" s="140">
        <f>IFERROR(INDEX('Price List'!$H$5:$H$74,MATCH(TRIM(J357)&amp;"|"&amp;TRIM(P357),'Price List'!$O$5:$O$74,0)),0)</f>
        <v>0.2</v>
      </c>
      <c r="V357" s="141">
        <f t="shared" si="28"/>
        <v>12</v>
      </c>
      <c r="W357" s="142">
        <f>IFERROR(INDEX('Price List'!$J$5:$J$74,MATCH(TRIM(J357)&amp;"|"&amp;TRIM(P357),'Price List'!$O$5:$O$74,0)),0)</f>
        <v>98</v>
      </c>
      <c r="X357" s="143">
        <f>IFERROR(INDEX('Price List'!$K$5:$K$74,MATCH(TRIM(J357)&amp;"|"&amp;TRIM(P357),'Price List'!$O$5:$O$74,0)),0)</f>
        <v>0.12</v>
      </c>
      <c r="Y357" s="141">
        <f t="shared" si="29"/>
        <v>109.76</v>
      </c>
      <c r="Z357" s="141">
        <f t="shared" si="30"/>
        <v>10611.384</v>
      </c>
      <c r="AA357" s="134"/>
    </row>
    <row r="358" spans="1:27" ht="15" customHeight="1" x14ac:dyDescent="0.35">
      <c r="A358" s="134"/>
      <c r="B358" s="135"/>
      <c r="C358" s="134" t="s">
        <v>444</v>
      </c>
      <c r="D358" s="136" t="str">
        <f t="shared" si="27"/>
        <v>B.04</v>
      </c>
      <c r="E358" s="135" t="s">
        <v>414</v>
      </c>
      <c r="F358" s="135" t="s">
        <v>675</v>
      </c>
      <c r="G358" s="134" t="s">
        <v>31</v>
      </c>
      <c r="H358" s="134" t="s">
        <v>568</v>
      </c>
      <c r="I358" s="144" t="s">
        <v>127</v>
      </c>
      <c r="J358" s="144" t="s">
        <v>127</v>
      </c>
      <c r="K358" s="144"/>
      <c r="L358" s="134"/>
      <c r="M358" s="134"/>
      <c r="N358" s="134"/>
      <c r="O358" s="134"/>
      <c r="P358" s="135" t="s">
        <v>128</v>
      </c>
      <c r="Q358" s="137">
        <f t="shared" ref="Q358:Q406" si="31">R358</f>
        <v>581</v>
      </c>
      <c r="R358" s="137">
        <v>581</v>
      </c>
      <c r="S358" s="138"/>
      <c r="T358" s="139">
        <f>IFERROR(INDEX('Price List'!$G$5:$G$74,MATCH(TRIM(J358)&amp;"|"&amp;TRIM(P358),'Price List'!$O$5:$O$74,0)),0)</f>
        <v>6</v>
      </c>
      <c r="U358" s="140">
        <f>IFERROR(INDEX('Price List'!$H$5:$H$74,MATCH(TRIM(J358)&amp;"|"&amp;TRIM(P358),'Price List'!$O$5:$O$74,0)),0)</f>
        <v>0.2</v>
      </c>
      <c r="V358" s="141">
        <f t="shared" si="28"/>
        <v>7.1999999999999993</v>
      </c>
      <c r="W358" s="142">
        <f>IFERROR(INDEX('Price List'!$J$5:$J$74,MATCH(TRIM(J358)&amp;"|"&amp;TRIM(P358),'Price List'!$O$5:$O$74,0)),0)</f>
        <v>5</v>
      </c>
      <c r="X358" s="143">
        <f>IFERROR(INDEX('Price List'!$K$5:$K$74,MATCH(TRIM(J358)&amp;"|"&amp;TRIM(P358),'Price List'!$O$5:$O$74,0)),0)</f>
        <v>0.12</v>
      </c>
      <c r="Y358" s="141">
        <f t="shared" si="29"/>
        <v>5.6000000000000005</v>
      </c>
      <c r="Z358" s="141">
        <f t="shared" si="30"/>
        <v>7436.8</v>
      </c>
      <c r="AA358" s="134"/>
    </row>
    <row r="359" spans="1:27" ht="15" customHeight="1" x14ac:dyDescent="0.35">
      <c r="A359" s="134"/>
      <c r="B359" s="135"/>
      <c r="C359" s="134" t="s">
        <v>444</v>
      </c>
      <c r="D359" s="136" t="str">
        <f t="shared" si="27"/>
        <v>B.04</v>
      </c>
      <c r="E359" s="135" t="s">
        <v>414</v>
      </c>
      <c r="F359" s="135" t="s">
        <v>675</v>
      </c>
      <c r="G359" s="134" t="s">
        <v>31</v>
      </c>
      <c r="H359" s="134" t="s">
        <v>568</v>
      </c>
      <c r="I359" s="134" t="s">
        <v>513</v>
      </c>
      <c r="J359" s="144" t="s">
        <v>102</v>
      </c>
      <c r="K359" s="134"/>
      <c r="L359" s="134"/>
      <c r="M359" s="134"/>
      <c r="N359" s="134"/>
      <c r="O359" s="134"/>
      <c r="P359" s="135" t="s">
        <v>103</v>
      </c>
      <c r="Q359" s="137">
        <f t="shared" si="31"/>
        <v>11514.499999999998</v>
      </c>
      <c r="R359" s="137">
        <f>(R357*130)+185</f>
        <v>11514.499999999998</v>
      </c>
      <c r="S359" s="138"/>
      <c r="T359" s="139">
        <f>IFERROR(INDEX('Price List'!$G$5:$G$74,MATCH(TRIM(J359)&amp;"|"&amp;TRIM(P359),'Price List'!$O$5:$O$74,0)),0)</f>
        <v>0.12</v>
      </c>
      <c r="U359" s="140">
        <f>IFERROR(INDEX('Price List'!$H$5:$H$74,MATCH(TRIM(J359)&amp;"|"&amp;TRIM(P359),'Price List'!$O$5:$O$74,0)),0)</f>
        <v>0.2</v>
      </c>
      <c r="V359" s="141">
        <f t="shared" si="28"/>
        <v>0.14399999999999999</v>
      </c>
      <c r="W359" s="142">
        <f>IFERROR(INDEX('Price List'!$J$5:$J$74,MATCH(TRIM(J359)&amp;"|"&amp;TRIM(P359),'Price List'!$O$5:$O$74,0)),0)</f>
        <v>0.78</v>
      </c>
      <c r="X359" s="143">
        <f>IFERROR(INDEX('Price List'!$K$5:$K$74,MATCH(TRIM(J359)&amp;"|"&amp;TRIM(P359),'Price List'!$O$5:$O$74,0)),0)</f>
        <v>0.12</v>
      </c>
      <c r="Y359" s="141">
        <f t="shared" si="29"/>
        <v>0.87360000000000015</v>
      </c>
      <c r="Z359" s="141">
        <f t="shared" si="30"/>
        <v>11717.155199999999</v>
      </c>
      <c r="AA359" s="134"/>
    </row>
    <row r="360" spans="1:27" ht="15" customHeight="1" x14ac:dyDescent="0.35">
      <c r="A360" s="134"/>
      <c r="B360" s="135"/>
      <c r="C360" s="134" t="s">
        <v>444</v>
      </c>
      <c r="D360" s="136" t="str">
        <f t="shared" si="27"/>
        <v>B.04</v>
      </c>
      <c r="E360" s="135" t="s">
        <v>414</v>
      </c>
      <c r="F360" s="135" t="s">
        <v>675</v>
      </c>
      <c r="G360" s="134" t="s">
        <v>31</v>
      </c>
      <c r="H360" s="134" t="s">
        <v>568</v>
      </c>
      <c r="I360" s="134" t="s">
        <v>513</v>
      </c>
      <c r="J360" s="144" t="s">
        <v>131</v>
      </c>
      <c r="K360" s="134"/>
      <c r="L360" s="134"/>
      <c r="M360" s="134"/>
      <c r="N360" s="134"/>
      <c r="O360" s="134"/>
      <c r="P360" s="135" t="s">
        <v>103</v>
      </c>
      <c r="Q360" s="137">
        <f t="shared" si="31"/>
        <v>166.5</v>
      </c>
      <c r="R360" s="137">
        <f>0.888*((2.5*10*3)+(2.5*15*3))</f>
        <v>166.5</v>
      </c>
      <c r="S360" s="138"/>
      <c r="T360" s="139">
        <f>IFERROR(INDEX('Price List'!$G$5:$G$74,MATCH(TRIM(J360)&amp;"|"&amp;TRIM(P360),'Price List'!$O$5:$O$74,0)),0)</f>
        <v>0.11</v>
      </c>
      <c r="U360" s="140">
        <f>IFERROR(INDEX('Price List'!$H$5:$H$74,MATCH(TRIM(J360)&amp;"|"&amp;TRIM(P360),'Price List'!$O$5:$O$74,0)),0)</f>
        <v>0.2</v>
      </c>
      <c r="V360" s="141">
        <f t="shared" si="28"/>
        <v>0.13200000000000001</v>
      </c>
      <c r="W360" s="142">
        <f>IFERROR(INDEX('Price List'!$J$5:$J$74,MATCH(TRIM(J360)&amp;"|"&amp;TRIM(P360),'Price List'!$O$5:$O$74,0)),0)</f>
        <v>0.76</v>
      </c>
      <c r="X360" s="143">
        <f>IFERROR(INDEX('Price List'!$K$5:$K$74,MATCH(TRIM(J360)&amp;"|"&amp;TRIM(P360),'Price List'!$O$5:$O$74,0)),0)</f>
        <v>0.12</v>
      </c>
      <c r="Y360" s="141">
        <f t="shared" si="29"/>
        <v>0.85120000000000007</v>
      </c>
      <c r="Z360" s="141">
        <f t="shared" si="30"/>
        <v>163.70280000000002</v>
      </c>
      <c r="AA360" s="134"/>
    </row>
    <row r="361" spans="1:27" ht="15" customHeight="1" x14ac:dyDescent="0.35">
      <c r="A361" s="134"/>
      <c r="B361" s="135"/>
      <c r="C361" s="134" t="s">
        <v>444</v>
      </c>
      <c r="D361" s="136" t="str">
        <f t="shared" si="27"/>
        <v>B.04</v>
      </c>
      <c r="E361" s="135" t="s">
        <v>414</v>
      </c>
      <c r="F361" s="135" t="s">
        <v>675</v>
      </c>
      <c r="G361" s="134" t="s">
        <v>31</v>
      </c>
      <c r="H361" s="134" t="s">
        <v>568</v>
      </c>
      <c r="I361" s="134" t="s">
        <v>657</v>
      </c>
      <c r="J361" s="134" t="s">
        <v>107</v>
      </c>
      <c r="K361" s="134"/>
      <c r="L361" s="134"/>
      <c r="M361" s="134"/>
      <c r="N361" s="134"/>
      <c r="O361" s="134"/>
      <c r="P361" s="135" t="s">
        <v>103</v>
      </c>
      <c r="Q361" s="137">
        <f t="shared" si="31"/>
        <v>467.23999999999995</v>
      </c>
      <c r="R361" s="137">
        <f>(R359+R360)*4%</f>
        <v>467.23999999999995</v>
      </c>
      <c r="S361" s="138"/>
      <c r="T361" s="139">
        <f>IFERROR(INDEX('Price List'!$G$5:$G$74,MATCH(TRIM(J361)&amp;"|"&amp;TRIM(P361),'Price List'!$O$5:$O$74,0)),0)</f>
        <v>0.05</v>
      </c>
      <c r="U361" s="140">
        <f>IFERROR(INDEX('Price List'!$H$5:$H$74,MATCH(TRIM(J361)&amp;"|"&amp;TRIM(P361),'Price List'!$O$5:$O$74,0)),0)</f>
        <v>0.2</v>
      </c>
      <c r="V361" s="141">
        <f t="shared" si="28"/>
        <v>0.06</v>
      </c>
      <c r="W361" s="142">
        <f>IFERROR(INDEX('Price List'!$J$5:$J$74,MATCH(TRIM(J361)&amp;"|"&amp;TRIM(P361),'Price List'!$O$5:$O$74,0)),0)</f>
        <v>1.2</v>
      </c>
      <c r="X361" s="143">
        <f>IFERROR(INDEX('Price List'!$K$5:$K$74,MATCH(TRIM(J361)&amp;"|"&amp;TRIM(P361),'Price List'!$O$5:$O$74,0)),0)</f>
        <v>0.12</v>
      </c>
      <c r="Y361" s="141">
        <f t="shared" si="29"/>
        <v>1.3440000000000001</v>
      </c>
      <c r="Z361" s="141">
        <f t="shared" si="30"/>
        <v>656.00495999999998</v>
      </c>
      <c r="AA361" s="134"/>
    </row>
    <row r="362" spans="1:27" ht="15" customHeight="1" x14ac:dyDescent="0.35">
      <c r="A362" s="134"/>
      <c r="B362" s="134"/>
      <c r="C362" s="134" t="s">
        <v>444</v>
      </c>
      <c r="D362" s="136" t="str">
        <f t="shared" si="27"/>
        <v>B.04</v>
      </c>
      <c r="E362" s="135" t="s">
        <v>414</v>
      </c>
      <c r="F362" s="135" t="s">
        <v>675</v>
      </c>
      <c r="G362" s="134" t="s">
        <v>31</v>
      </c>
      <c r="H362" s="134" t="s">
        <v>665</v>
      </c>
      <c r="I362" s="134" t="s">
        <v>512</v>
      </c>
      <c r="J362" s="144" t="s">
        <v>125</v>
      </c>
      <c r="K362" s="134"/>
      <c r="L362" s="134"/>
      <c r="M362" s="134"/>
      <c r="N362" s="134"/>
      <c r="O362" s="134"/>
      <c r="P362" s="135" t="s">
        <v>100</v>
      </c>
      <c r="Q362" s="137">
        <f t="shared" si="31"/>
        <v>23.430000000000003</v>
      </c>
      <c r="R362" s="137">
        <f>(5.2*4.2)+(1.325*2*0.3*2)</f>
        <v>23.430000000000003</v>
      </c>
      <c r="S362" s="138"/>
      <c r="T362" s="139">
        <f>IFERROR(INDEX('Price List'!$G$5:$G$74,MATCH(TRIM(J362)&amp;"|"&amp;TRIM(P362),'Price List'!$O$5:$O$74,0)),0)</f>
        <v>10</v>
      </c>
      <c r="U362" s="140">
        <f>IFERROR(INDEX('Price List'!$H$5:$H$74,MATCH(TRIM(J362)&amp;"|"&amp;TRIM(P362),'Price List'!$O$5:$O$74,0)),0)</f>
        <v>0.2</v>
      </c>
      <c r="V362" s="141">
        <f t="shared" si="28"/>
        <v>12</v>
      </c>
      <c r="W362" s="142">
        <f>IFERROR(INDEX('Price List'!$J$5:$J$74,MATCH(TRIM(J362)&amp;"|"&amp;TRIM(P362),'Price List'!$O$5:$O$74,0)),0)</f>
        <v>98</v>
      </c>
      <c r="X362" s="143">
        <f>IFERROR(INDEX('Price List'!$K$5:$K$74,MATCH(TRIM(J362)&amp;"|"&amp;TRIM(P362),'Price List'!$O$5:$O$74,0)),0)</f>
        <v>0.12</v>
      </c>
      <c r="Y362" s="141">
        <f t="shared" si="29"/>
        <v>109.76</v>
      </c>
      <c r="Z362" s="141">
        <f t="shared" si="30"/>
        <v>2852.8368000000005</v>
      </c>
      <c r="AA362" s="134"/>
    </row>
    <row r="363" spans="1:27" ht="15" customHeight="1" x14ac:dyDescent="0.35">
      <c r="A363" s="134"/>
      <c r="B363" s="134"/>
      <c r="C363" s="134" t="s">
        <v>444</v>
      </c>
      <c r="D363" s="136" t="str">
        <f t="shared" si="27"/>
        <v>B.04</v>
      </c>
      <c r="E363" s="135" t="s">
        <v>414</v>
      </c>
      <c r="F363" s="135" t="s">
        <v>675</v>
      </c>
      <c r="G363" s="134" t="s">
        <v>31</v>
      </c>
      <c r="H363" s="134" t="s">
        <v>665</v>
      </c>
      <c r="I363" s="144" t="s">
        <v>127</v>
      </c>
      <c r="J363" s="144" t="s">
        <v>127</v>
      </c>
      <c r="K363" s="144"/>
      <c r="L363" s="134"/>
      <c r="M363" s="134"/>
      <c r="N363" s="134"/>
      <c r="O363" s="134"/>
      <c r="P363" s="135" t="s">
        <v>128</v>
      </c>
      <c r="Q363" s="137">
        <f t="shared" si="31"/>
        <v>139.70000000000002</v>
      </c>
      <c r="R363" s="137">
        <f>(32*4.2)+(1.325*2*2)</f>
        <v>139.70000000000002</v>
      </c>
      <c r="S363" s="138"/>
      <c r="T363" s="139">
        <f>IFERROR(INDEX('Price List'!$G$5:$G$74,MATCH(TRIM(J363)&amp;"|"&amp;TRIM(P363),'Price List'!$O$5:$O$74,0)),0)</f>
        <v>6</v>
      </c>
      <c r="U363" s="140">
        <f>IFERROR(INDEX('Price List'!$H$5:$H$74,MATCH(TRIM(J363)&amp;"|"&amp;TRIM(P363),'Price List'!$O$5:$O$74,0)),0)</f>
        <v>0.2</v>
      </c>
      <c r="V363" s="141">
        <f t="shared" si="28"/>
        <v>7.1999999999999993</v>
      </c>
      <c r="W363" s="142">
        <f>IFERROR(INDEX('Price List'!$J$5:$J$74,MATCH(TRIM(J363)&amp;"|"&amp;TRIM(P363),'Price List'!$O$5:$O$74,0)),0)</f>
        <v>5</v>
      </c>
      <c r="X363" s="143">
        <f>IFERROR(INDEX('Price List'!$K$5:$K$74,MATCH(TRIM(J363)&amp;"|"&amp;TRIM(P363),'Price List'!$O$5:$O$74,0)),0)</f>
        <v>0.12</v>
      </c>
      <c r="Y363" s="141">
        <f t="shared" si="29"/>
        <v>5.6000000000000005</v>
      </c>
      <c r="Z363" s="141">
        <f t="shared" si="30"/>
        <v>1788.1600000000003</v>
      </c>
      <c r="AA363" s="134"/>
    </row>
    <row r="364" spans="1:27" ht="15" customHeight="1" x14ac:dyDescent="0.35">
      <c r="A364" s="134"/>
      <c r="B364" s="134"/>
      <c r="C364" s="134" t="s">
        <v>444</v>
      </c>
      <c r="D364" s="136" t="str">
        <f t="shared" si="27"/>
        <v>B.04</v>
      </c>
      <c r="E364" s="135" t="s">
        <v>414</v>
      </c>
      <c r="F364" s="135" t="s">
        <v>675</v>
      </c>
      <c r="G364" s="134" t="s">
        <v>31</v>
      </c>
      <c r="H364" s="134" t="s">
        <v>665</v>
      </c>
      <c r="I364" s="134" t="s">
        <v>513</v>
      </c>
      <c r="J364" s="144" t="s">
        <v>102</v>
      </c>
      <c r="K364" s="134"/>
      <c r="L364" s="134"/>
      <c r="M364" s="134"/>
      <c r="N364" s="134"/>
      <c r="O364" s="134"/>
      <c r="P364" s="135" t="s">
        <v>103</v>
      </c>
      <c r="Q364" s="137">
        <f t="shared" si="31"/>
        <v>241.864</v>
      </c>
      <c r="R364" s="137">
        <v>241.864</v>
      </c>
      <c r="S364" s="138"/>
      <c r="T364" s="139">
        <f>IFERROR(INDEX('Price List'!$G$5:$G$74,MATCH(TRIM(J364)&amp;"|"&amp;TRIM(P364),'Price List'!$O$5:$O$74,0)),0)</f>
        <v>0.12</v>
      </c>
      <c r="U364" s="140">
        <f>IFERROR(INDEX('Price List'!$H$5:$H$74,MATCH(TRIM(J364)&amp;"|"&amp;TRIM(P364),'Price List'!$O$5:$O$74,0)),0)</f>
        <v>0.2</v>
      </c>
      <c r="V364" s="141">
        <f t="shared" si="28"/>
        <v>0.14399999999999999</v>
      </c>
      <c r="W364" s="142">
        <f>IFERROR(INDEX('Price List'!$J$5:$J$74,MATCH(TRIM(J364)&amp;"|"&amp;TRIM(P364),'Price List'!$O$5:$O$74,0)),0)</f>
        <v>0.78</v>
      </c>
      <c r="X364" s="143">
        <f>IFERROR(INDEX('Price List'!$K$5:$K$74,MATCH(TRIM(J364)&amp;"|"&amp;TRIM(P364),'Price List'!$O$5:$O$74,0)),0)</f>
        <v>0.12</v>
      </c>
      <c r="Y364" s="141">
        <f t="shared" si="29"/>
        <v>0.87360000000000015</v>
      </c>
      <c r="Z364" s="141">
        <f t="shared" si="30"/>
        <v>246.12080640000002</v>
      </c>
      <c r="AA364" s="134"/>
    </row>
    <row r="365" spans="1:27" ht="15" customHeight="1" x14ac:dyDescent="0.35">
      <c r="A365" s="134"/>
      <c r="B365" s="134"/>
      <c r="C365" s="134" t="s">
        <v>444</v>
      </c>
      <c r="D365" s="136" t="str">
        <f t="shared" si="27"/>
        <v>B.04</v>
      </c>
      <c r="E365" s="135" t="s">
        <v>414</v>
      </c>
      <c r="F365" s="135" t="s">
        <v>675</v>
      </c>
      <c r="G365" s="134" t="s">
        <v>31</v>
      </c>
      <c r="H365" s="134" t="s">
        <v>665</v>
      </c>
      <c r="I365" s="134" t="s">
        <v>513</v>
      </c>
      <c r="J365" s="144" t="s">
        <v>131</v>
      </c>
      <c r="K365" s="134"/>
      <c r="L365" s="134"/>
      <c r="M365" s="134"/>
      <c r="N365" s="134"/>
      <c r="O365" s="134"/>
      <c r="P365" s="135" t="s">
        <v>103</v>
      </c>
      <c r="Q365" s="137">
        <f t="shared" si="31"/>
        <v>1071.6384</v>
      </c>
      <c r="R365" s="137">
        <v>1071.6384</v>
      </c>
      <c r="S365" s="138"/>
      <c r="T365" s="139">
        <f>IFERROR(INDEX('Price List'!$G$5:$G$74,MATCH(TRIM(J365)&amp;"|"&amp;TRIM(P365),'Price List'!$O$5:$O$74,0)),0)</f>
        <v>0.11</v>
      </c>
      <c r="U365" s="140">
        <f>IFERROR(INDEX('Price List'!$H$5:$H$74,MATCH(TRIM(J365)&amp;"|"&amp;TRIM(P365),'Price List'!$O$5:$O$74,0)),0)</f>
        <v>0.2</v>
      </c>
      <c r="V365" s="141">
        <f t="shared" si="28"/>
        <v>0.13200000000000001</v>
      </c>
      <c r="W365" s="142">
        <f>IFERROR(INDEX('Price List'!$J$5:$J$74,MATCH(TRIM(J365)&amp;"|"&amp;TRIM(P365),'Price List'!$O$5:$O$74,0)),0)</f>
        <v>0.76</v>
      </c>
      <c r="X365" s="143">
        <f>IFERROR(INDEX('Price List'!$K$5:$K$74,MATCH(TRIM(J365)&amp;"|"&amp;TRIM(P365),'Price List'!$O$5:$O$74,0)),0)</f>
        <v>0.12</v>
      </c>
      <c r="Y365" s="141">
        <f t="shared" si="29"/>
        <v>0.85120000000000007</v>
      </c>
      <c r="Z365" s="141">
        <f t="shared" si="30"/>
        <v>1053.6348748800001</v>
      </c>
      <c r="AA365" s="134"/>
    </row>
    <row r="366" spans="1:27" ht="15" customHeight="1" x14ac:dyDescent="0.35">
      <c r="A366" s="134"/>
      <c r="B366" s="134"/>
      <c r="C366" s="134" t="s">
        <v>444</v>
      </c>
      <c r="D366" s="136" t="str">
        <f t="shared" si="27"/>
        <v>B.04</v>
      </c>
      <c r="E366" s="135" t="s">
        <v>414</v>
      </c>
      <c r="F366" s="135" t="s">
        <v>675</v>
      </c>
      <c r="G366" s="134" t="s">
        <v>31</v>
      </c>
      <c r="H366" s="134" t="s">
        <v>665</v>
      </c>
      <c r="I366" s="134" t="s">
        <v>513</v>
      </c>
      <c r="J366" s="144" t="s">
        <v>211</v>
      </c>
      <c r="K366" s="134"/>
      <c r="L366" s="134"/>
      <c r="M366" s="134"/>
      <c r="N366" s="134"/>
      <c r="O366" s="134"/>
      <c r="P366" s="135" t="s">
        <v>103</v>
      </c>
      <c r="Q366" s="137">
        <f t="shared" si="31"/>
        <v>1122.4736</v>
      </c>
      <c r="R366" s="137">
        <v>1122.4736</v>
      </c>
      <c r="S366" s="138"/>
      <c r="T366" s="139">
        <f>IFERROR(INDEX('Price List'!$G$5:$G$74,MATCH(TRIM(J366)&amp;"|"&amp;TRIM(P366),'Price List'!$O$5:$O$74,0)),0)</f>
        <v>0.1</v>
      </c>
      <c r="U366" s="140">
        <f>IFERROR(INDEX('Price List'!$H$5:$H$74,MATCH(TRIM(J366)&amp;"|"&amp;TRIM(P366),'Price List'!$O$5:$O$74,0)),0)</f>
        <v>0.2</v>
      </c>
      <c r="V366" s="141">
        <f t="shared" si="28"/>
        <v>0.12</v>
      </c>
      <c r="W366" s="142">
        <f>IFERROR(INDEX('Price List'!$J$5:$J$74,MATCH(TRIM(J366)&amp;"|"&amp;TRIM(P366),'Price List'!$O$5:$O$74,0)),0)</f>
        <v>0.75</v>
      </c>
      <c r="X366" s="143">
        <f>IFERROR(INDEX('Price List'!$K$5:$K$74,MATCH(TRIM(J366)&amp;"|"&amp;TRIM(P366),'Price List'!$O$5:$O$74,0)),0)</f>
        <v>0.12</v>
      </c>
      <c r="Y366" s="141">
        <f t="shared" si="29"/>
        <v>0.84000000000000008</v>
      </c>
      <c r="Z366" s="141">
        <f t="shared" si="30"/>
        <v>1077.574656</v>
      </c>
      <c r="AA366" s="134"/>
    </row>
    <row r="367" spans="1:27" ht="15" customHeight="1" x14ac:dyDescent="0.35">
      <c r="A367" s="134"/>
      <c r="B367" s="134"/>
      <c r="C367" s="134" t="s">
        <v>444</v>
      </c>
      <c r="D367" s="136" t="str">
        <f t="shared" si="27"/>
        <v>B.04</v>
      </c>
      <c r="E367" s="135" t="s">
        <v>414</v>
      </c>
      <c r="F367" s="135" t="s">
        <v>675</v>
      </c>
      <c r="G367" s="134" t="s">
        <v>31</v>
      </c>
      <c r="H367" s="134" t="s">
        <v>665</v>
      </c>
      <c r="I367" s="134" t="s">
        <v>513</v>
      </c>
      <c r="J367" s="144" t="s">
        <v>135</v>
      </c>
      <c r="K367" s="134"/>
      <c r="L367" s="134"/>
      <c r="M367" s="134"/>
      <c r="N367" s="134"/>
      <c r="O367" s="134"/>
      <c r="P367" s="135" t="s">
        <v>103</v>
      </c>
      <c r="Q367" s="137">
        <f t="shared" si="31"/>
        <v>822.01599999999996</v>
      </c>
      <c r="R367" s="137">
        <v>822.01599999999996</v>
      </c>
      <c r="S367" s="138"/>
      <c r="T367" s="139">
        <f>IFERROR(INDEX('Price List'!$G$5:$G$74,MATCH(TRIM(J367)&amp;"|"&amp;TRIM(P367),'Price List'!$O$5:$O$74,0)),0)</f>
        <v>0.09</v>
      </c>
      <c r="U367" s="140">
        <f>IFERROR(INDEX('Price List'!$H$5:$H$74,MATCH(TRIM(J367)&amp;"|"&amp;TRIM(P367),'Price List'!$O$5:$O$74,0)),0)</f>
        <v>0.2</v>
      </c>
      <c r="V367" s="141">
        <f t="shared" si="28"/>
        <v>0.108</v>
      </c>
      <c r="W367" s="142">
        <f>IFERROR(INDEX('Price List'!$J$5:$J$74,MATCH(TRIM(J367)&amp;"|"&amp;TRIM(P367),'Price List'!$O$5:$O$74,0)),0)</f>
        <v>0.73</v>
      </c>
      <c r="X367" s="143">
        <f>IFERROR(INDEX('Price List'!$K$5:$K$74,MATCH(TRIM(J367)&amp;"|"&amp;TRIM(P367),'Price List'!$O$5:$O$74,0)),0)</f>
        <v>0.12</v>
      </c>
      <c r="Y367" s="141">
        <f t="shared" si="29"/>
        <v>0.8176000000000001</v>
      </c>
      <c r="Z367" s="141">
        <f t="shared" si="30"/>
        <v>760.85800960000006</v>
      </c>
      <c r="AA367" s="134"/>
    </row>
    <row r="368" spans="1:27" ht="15" customHeight="1" x14ac:dyDescent="0.35">
      <c r="A368" s="134"/>
      <c r="B368" s="134"/>
      <c r="C368" s="134" t="s">
        <v>444</v>
      </c>
      <c r="D368" s="136" t="str">
        <f t="shared" si="27"/>
        <v>B.04</v>
      </c>
      <c r="E368" s="135" t="s">
        <v>414</v>
      </c>
      <c r="F368" s="135" t="s">
        <v>675</v>
      </c>
      <c r="G368" s="134" t="s">
        <v>31</v>
      </c>
      <c r="H368" s="134" t="s">
        <v>665</v>
      </c>
      <c r="I368" s="134" t="s">
        <v>657</v>
      </c>
      <c r="J368" s="134" t="s">
        <v>107</v>
      </c>
      <c r="K368" s="134"/>
      <c r="L368" s="134"/>
      <c r="M368" s="134"/>
      <c r="N368" s="134"/>
      <c r="O368" s="134"/>
      <c r="P368" s="135" t="s">
        <v>103</v>
      </c>
      <c r="Q368" s="137">
        <f t="shared" si="31"/>
        <v>130.31968000000001</v>
      </c>
      <c r="R368" s="137">
        <f>(R366+R367+R365+R364)*4%</f>
        <v>130.31968000000001</v>
      </c>
      <c r="S368" s="138"/>
      <c r="T368" s="139">
        <f>IFERROR(INDEX('Price List'!$G$5:$G$74,MATCH(TRIM(J368)&amp;"|"&amp;TRIM(P368),'Price List'!$O$5:$O$74,0)),0)</f>
        <v>0.05</v>
      </c>
      <c r="U368" s="140">
        <f>IFERROR(INDEX('Price List'!$H$5:$H$74,MATCH(TRIM(J368)&amp;"|"&amp;TRIM(P368),'Price List'!$O$5:$O$74,0)),0)</f>
        <v>0.2</v>
      </c>
      <c r="V368" s="141">
        <f t="shared" si="28"/>
        <v>0.06</v>
      </c>
      <c r="W368" s="142">
        <f>IFERROR(INDEX('Price List'!$J$5:$J$74,MATCH(TRIM(J368)&amp;"|"&amp;TRIM(P368),'Price List'!$O$5:$O$74,0)),0)</f>
        <v>1.2</v>
      </c>
      <c r="X368" s="143">
        <f>IFERROR(INDEX('Price List'!$K$5:$K$74,MATCH(TRIM(J368)&amp;"|"&amp;TRIM(P368),'Price List'!$O$5:$O$74,0)),0)</f>
        <v>0.12</v>
      </c>
      <c r="Y368" s="141">
        <f t="shared" si="29"/>
        <v>1.3440000000000001</v>
      </c>
      <c r="Z368" s="141">
        <f t="shared" si="30"/>
        <v>182.96883072000003</v>
      </c>
      <c r="AA368" s="134"/>
    </row>
    <row r="369" spans="1:27" ht="15" customHeight="1" x14ac:dyDescent="0.35">
      <c r="A369" s="134"/>
      <c r="B369" s="135"/>
      <c r="C369" s="134" t="s">
        <v>444</v>
      </c>
      <c r="D369" s="136" t="str">
        <f t="shared" si="27"/>
        <v>B.04</v>
      </c>
      <c r="E369" s="135" t="s">
        <v>414</v>
      </c>
      <c r="F369" s="135" t="s">
        <v>675</v>
      </c>
      <c r="G369" s="134" t="s">
        <v>31</v>
      </c>
      <c r="H369" s="134" t="s">
        <v>578</v>
      </c>
      <c r="I369" s="134" t="s">
        <v>512</v>
      </c>
      <c r="J369" s="145" t="s">
        <v>125</v>
      </c>
      <c r="K369" s="134"/>
      <c r="L369" s="134"/>
      <c r="M369" s="134"/>
      <c r="N369" s="134"/>
      <c r="O369" s="134"/>
      <c r="P369" s="135" t="s">
        <v>100</v>
      </c>
      <c r="Q369" s="137">
        <f t="shared" si="31"/>
        <v>5.016</v>
      </c>
      <c r="R369" s="137">
        <v>5.016</v>
      </c>
      <c r="S369" s="138"/>
      <c r="T369" s="139">
        <f>IFERROR(INDEX('Price List'!$G$5:$G$74,MATCH(TRIM(J369)&amp;"|"&amp;TRIM(P369),'Price List'!$O$5:$O$74,0)),0)</f>
        <v>10</v>
      </c>
      <c r="U369" s="140">
        <f>IFERROR(INDEX('Price List'!$H$5:$H$74,MATCH(TRIM(J369)&amp;"|"&amp;TRIM(P369),'Price List'!$O$5:$O$74,0)),0)</f>
        <v>0.2</v>
      </c>
      <c r="V369" s="141">
        <f t="shared" si="28"/>
        <v>12</v>
      </c>
      <c r="W369" s="142">
        <f>IFERROR(INDEX('Price List'!$J$5:$J$74,MATCH(TRIM(J369)&amp;"|"&amp;TRIM(P369),'Price List'!$O$5:$O$74,0)),0)</f>
        <v>98</v>
      </c>
      <c r="X369" s="143">
        <f>IFERROR(INDEX('Price List'!$K$5:$K$74,MATCH(TRIM(J369)&amp;"|"&amp;TRIM(P369),'Price List'!$O$5:$O$74,0)),0)</f>
        <v>0.12</v>
      </c>
      <c r="Y369" s="141">
        <f t="shared" si="29"/>
        <v>109.76</v>
      </c>
      <c r="Z369" s="141">
        <f t="shared" si="30"/>
        <v>610.74815999999998</v>
      </c>
      <c r="AA369" s="134"/>
    </row>
    <row r="370" spans="1:27" ht="15" customHeight="1" x14ac:dyDescent="0.35">
      <c r="A370" s="134"/>
      <c r="B370" s="135"/>
      <c r="C370" s="134" t="s">
        <v>444</v>
      </c>
      <c r="D370" s="136" t="str">
        <f t="shared" si="27"/>
        <v>B.04</v>
      </c>
      <c r="E370" s="135" t="s">
        <v>414</v>
      </c>
      <c r="F370" s="135" t="s">
        <v>675</v>
      </c>
      <c r="G370" s="134" t="s">
        <v>31</v>
      </c>
      <c r="H370" s="134" t="s">
        <v>578</v>
      </c>
      <c r="I370" s="144" t="s">
        <v>127</v>
      </c>
      <c r="J370" s="144" t="s">
        <v>127</v>
      </c>
      <c r="K370" s="144"/>
      <c r="L370" s="134"/>
      <c r="M370" s="134"/>
      <c r="N370" s="134"/>
      <c r="O370" s="134"/>
      <c r="P370" s="135" t="s">
        <v>128</v>
      </c>
      <c r="Q370" s="137">
        <f t="shared" si="31"/>
        <v>75.239999999999995</v>
      </c>
      <c r="R370" s="137">
        <f>R369*15</f>
        <v>75.239999999999995</v>
      </c>
      <c r="S370" s="138"/>
      <c r="T370" s="139">
        <f>IFERROR(INDEX('Price List'!$G$5:$G$74,MATCH(TRIM(J370)&amp;"|"&amp;TRIM(P370),'Price List'!$O$5:$O$74,0)),0)</f>
        <v>6</v>
      </c>
      <c r="U370" s="140">
        <f>IFERROR(INDEX('Price List'!$H$5:$H$74,MATCH(TRIM(J370)&amp;"|"&amp;TRIM(P370),'Price List'!$O$5:$O$74,0)),0)</f>
        <v>0.2</v>
      </c>
      <c r="V370" s="141">
        <f t="shared" si="28"/>
        <v>7.1999999999999993</v>
      </c>
      <c r="W370" s="142">
        <f>IFERROR(INDEX('Price List'!$J$5:$J$74,MATCH(TRIM(J370)&amp;"|"&amp;TRIM(P370),'Price List'!$O$5:$O$74,0)),0)</f>
        <v>5</v>
      </c>
      <c r="X370" s="143">
        <f>IFERROR(INDEX('Price List'!$K$5:$K$74,MATCH(TRIM(J370)&amp;"|"&amp;TRIM(P370),'Price List'!$O$5:$O$74,0)),0)</f>
        <v>0.12</v>
      </c>
      <c r="Y370" s="141">
        <f t="shared" si="29"/>
        <v>5.6000000000000005</v>
      </c>
      <c r="Z370" s="141">
        <f t="shared" si="30"/>
        <v>963.072</v>
      </c>
      <c r="AA370" s="134"/>
    </row>
    <row r="371" spans="1:27" ht="15" customHeight="1" x14ac:dyDescent="0.35">
      <c r="A371" s="134"/>
      <c r="B371" s="135"/>
      <c r="C371" s="134" t="s">
        <v>444</v>
      </c>
      <c r="D371" s="136" t="str">
        <f t="shared" si="27"/>
        <v>B.04</v>
      </c>
      <c r="E371" s="135" t="s">
        <v>414</v>
      </c>
      <c r="F371" s="135" t="s">
        <v>675</v>
      </c>
      <c r="G371" s="134" t="s">
        <v>31</v>
      </c>
      <c r="H371" s="134" t="s">
        <v>578</v>
      </c>
      <c r="I371" s="134" t="s">
        <v>513</v>
      </c>
      <c r="J371" s="144" t="s">
        <v>169</v>
      </c>
      <c r="K371" s="144"/>
      <c r="L371" s="134"/>
      <c r="M371" s="134"/>
      <c r="N371" s="134"/>
      <c r="O371" s="134"/>
      <c r="P371" s="135" t="s">
        <v>103</v>
      </c>
      <c r="Q371" s="137">
        <f t="shared" si="31"/>
        <v>50.16</v>
      </c>
      <c r="R371" s="137">
        <f>R369*10</f>
        <v>50.16</v>
      </c>
      <c r="S371" s="138"/>
      <c r="T371" s="139">
        <f>IFERROR(INDEX('Price List'!$G$5:$G$74,MATCH(TRIM(J371)&amp;"|"&amp;TRIM(P371),'Price List'!$O$5:$O$74,0)),0)</f>
        <v>0.12</v>
      </c>
      <c r="U371" s="140">
        <f>IFERROR(INDEX('Price List'!$H$5:$H$74,MATCH(TRIM(J371)&amp;"|"&amp;TRIM(P371),'Price List'!$O$5:$O$74,0)),0)</f>
        <v>0.2</v>
      </c>
      <c r="V371" s="141">
        <f t="shared" si="28"/>
        <v>0.14399999999999999</v>
      </c>
      <c r="W371" s="142">
        <f>IFERROR(INDEX('Price List'!$J$5:$J$74,MATCH(TRIM(J371)&amp;"|"&amp;TRIM(P371),'Price List'!$O$5:$O$74,0)),0)</f>
        <v>0.77</v>
      </c>
      <c r="X371" s="143">
        <f>IFERROR(INDEX('Price List'!$K$5:$K$74,MATCH(TRIM(J371)&amp;"|"&amp;TRIM(P371),'Price List'!$O$5:$O$74,0)),0)</f>
        <v>0.12</v>
      </c>
      <c r="Y371" s="141">
        <f t="shared" si="29"/>
        <v>0.86240000000000006</v>
      </c>
      <c r="Z371" s="141">
        <f t="shared" si="30"/>
        <v>50.481023999999998</v>
      </c>
      <c r="AA371" s="134"/>
    </row>
    <row r="372" spans="1:27" ht="15" customHeight="1" x14ac:dyDescent="0.35">
      <c r="A372" s="134"/>
      <c r="B372" s="135"/>
      <c r="C372" s="134" t="s">
        <v>444</v>
      </c>
      <c r="D372" s="136" t="str">
        <f t="shared" si="27"/>
        <v>B.04</v>
      </c>
      <c r="E372" s="135" t="s">
        <v>414</v>
      </c>
      <c r="F372" s="135" t="s">
        <v>675</v>
      </c>
      <c r="G372" s="134" t="s">
        <v>31</v>
      </c>
      <c r="H372" s="134" t="s">
        <v>578</v>
      </c>
      <c r="I372" s="134" t="s">
        <v>513</v>
      </c>
      <c r="J372" s="144" t="s">
        <v>131</v>
      </c>
      <c r="K372" s="134"/>
      <c r="L372" s="134"/>
      <c r="M372" s="134"/>
      <c r="N372" s="134"/>
      <c r="O372" s="134"/>
      <c r="P372" s="135" t="s">
        <v>103</v>
      </c>
      <c r="Q372" s="137">
        <f t="shared" si="31"/>
        <v>601.91999999999996</v>
      </c>
      <c r="R372" s="137">
        <f>R369*120</f>
        <v>601.91999999999996</v>
      </c>
      <c r="S372" s="138"/>
      <c r="T372" s="139">
        <f>IFERROR(INDEX('Price List'!$G$5:$G$74,MATCH(TRIM(J372)&amp;"|"&amp;TRIM(P372),'Price List'!$O$5:$O$74,0)),0)</f>
        <v>0.11</v>
      </c>
      <c r="U372" s="140">
        <f>IFERROR(INDEX('Price List'!$H$5:$H$74,MATCH(TRIM(J372)&amp;"|"&amp;TRIM(P372),'Price List'!$O$5:$O$74,0)),0)</f>
        <v>0.2</v>
      </c>
      <c r="V372" s="141">
        <f t="shared" si="28"/>
        <v>0.13200000000000001</v>
      </c>
      <c r="W372" s="142">
        <f>IFERROR(INDEX('Price List'!$J$5:$J$74,MATCH(TRIM(J372)&amp;"|"&amp;TRIM(P372),'Price List'!$O$5:$O$74,0)),0)</f>
        <v>0.76</v>
      </c>
      <c r="X372" s="143">
        <f>IFERROR(INDEX('Price List'!$K$5:$K$74,MATCH(TRIM(J372)&amp;"|"&amp;TRIM(P372),'Price List'!$O$5:$O$74,0)),0)</f>
        <v>0.12</v>
      </c>
      <c r="Y372" s="141">
        <f t="shared" si="29"/>
        <v>0.85120000000000007</v>
      </c>
      <c r="Z372" s="141">
        <f t="shared" si="30"/>
        <v>591.80774399999996</v>
      </c>
      <c r="AA372" s="134"/>
    </row>
    <row r="373" spans="1:27" ht="15" customHeight="1" x14ac:dyDescent="0.35">
      <c r="A373" s="134"/>
      <c r="B373" s="135"/>
      <c r="C373" s="134" t="s">
        <v>444</v>
      </c>
      <c r="D373" s="136" t="str">
        <f t="shared" si="27"/>
        <v>B.04</v>
      </c>
      <c r="E373" s="135" t="s">
        <v>414</v>
      </c>
      <c r="F373" s="135" t="s">
        <v>675</v>
      </c>
      <c r="G373" s="134" t="s">
        <v>31</v>
      </c>
      <c r="H373" s="134" t="s">
        <v>578</v>
      </c>
      <c r="I373" s="134" t="s">
        <v>513</v>
      </c>
      <c r="J373" s="144" t="s">
        <v>133</v>
      </c>
      <c r="K373" s="134"/>
      <c r="L373" s="134"/>
      <c r="M373" s="134"/>
      <c r="N373" s="134"/>
      <c r="O373" s="134"/>
      <c r="P373" s="135" t="s">
        <v>103</v>
      </c>
      <c r="Q373" s="137">
        <f t="shared" si="31"/>
        <v>125.4</v>
      </c>
      <c r="R373" s="137">
        <f>R369*25</f>
        <v>125.4</v>
      </c>
      <c r="S373" s="138"/>
      <c r="T373" s="139">
        <f>IFERROR(INDEX('Price List'!$G$5:$G$74,MATCH(TRIM(J373)&amp;"|"&amp;TRIM(P373),'Price List'!$O$5:$O$74,0)),0)</f>
        <v>0.1</v>
      </c>
      <c r="U373" s="140">
        <f>IFERROR(INDEX('Price List'!$H$5:$H$74,MATCH(TRIM(J373)&amp;"|"&amp;TRIM(P373),'Price List'!$O$5:$O$74,0)),0)</f>
        <v>0.2</v>
      </c>
      <c r="V373" s="141">
        <f t="shared" si="28"/>
        <v>0.12</v>
      </c>
      <c r="W373" s="142">
        <f>IFERROR(INDEX('Price List'!$J$5:$J$74,MATCH(TRIM(J373)&amp;"|"&amp;TRIM(P373),'Price List'!$O$5:$O$74,0)),0)</f>
        <v>0.74</v>
      </c>
      <c r="X373" s="143">
        <f>IFERROR(INDEX('Price List'!$K$5:$K$74,MATCH(TRIM(J373)&amp;"|"&amp;TRIM(P373),'Price List'!$O$5:$O$74,0)),0)</f>
        <v>0.12</v>
      </c>
      <c r="Y373" s="141">
        <f t="shared" si="29"/>
        <v>0.82880000000000009</v>
      </c>
      <c r="Z373" s="141">
        <f t="shared" si="30"/>
        <v>118.97952000000002</v>
      </c>
      <c r="AA373" s="134"/>
    </row>
    <row r="374" spans="1:27" ht="15" customHeight="1" x14ac:dyDescent="0.35">
      <c r="A374" s="134"/>
      <c r="B374" s="135"/>
      <c r="C374" s="134" t="s">
        <v>444</v>
      </c>
      <c r="D374" s="136" t="str">
        <f t="shared" si="27"/>
        <v>B.04</v>
      </c>
      <c r="E374" s="135" t="s">
        <v>414</v>
      </c>
      <c r="F374" s="135" t="s">
        <v>675</v>
      </c>
      <c r="G374" s="134" t="s">
        <v>31</v>
      </c>
      <c r="H374" s="134" t="s">
        <v>578</v>
      </c>
      <c r="I374" s="134" t="s">
        <v>657</v>
      </c>
      <c r="J374" s="134" t="s">
        <v>107</v>
      </c>
      <c r="K374" s="134"/>
      <c r="L374" s="134"/>
      <c r="M374" s="134"/>
      <c r="N374" s="134"/>
      <c r="O374" s="134"/>
      <c r="P374" s="135" t="s">
        <v>103</v>
      </c>
      <c r="Q374" s="137">
        <f t="shared" si="31"/>
        <v>31.099199999999996</v>
      </c>
      <c r="R374" s="137">
        <f>(R372+R373+R371)*4%</f>
        <v>31.099199999999996</v>
      </c>
      <c r="S374" s="138"/>
      <c r="T374" s="139">
        <f>IFERROR(INDEX('Price List'!$G$5:$G$74,MATCH(TRIM(J374)&amp;"|"&amp;TRIM(P374),'Price List'!$O$5:$O$74,0)),0)</f>
        <v>0.05</v>
      </c>
      <c r="U374" s="140">
        <f>IFERROR(INDEX('Price List'!$H$5:$H$74,MATCH(TRIM(J374)&amp;"|"&amp;TRIM(P374),'Price List'!$O$5:$O$74,0)),0)</f>
        <v>0.2</v>
      </c>
      <c r="V374" s="141">
        <f t="shared" si="28"/>
        <v>0.06</v>
      </c>
      <c r="W374" s="142">
        <f>IFERROR(INDEX('Price List'!$J$5:$J$74,MATCH(TRIM(J374)&amp;"|"&amp;TRIM(P374),'Price List'!$O$5:$O$74,0)),0)</f>
        <v>1.2</v>
      </c>
      <c r="X374" s="143">
        <f>IFERROR(INDEX('Price List'!$K$5:$K$74,MATCH(TRIM(J374)&amp;"|"&amp;TRIM(P374),'Price List'!$O$5:$O$74,0)),0)</f>
        <v>0.12</v>
      </c>
      <c r="Y374" s="141">
        <f t="shared" si="29"/>
        <v>1.3440000000000001</v>
      </c>
      <c r="Z374" s="141">
        <f t="shared" si="30"/>
        <v>43.663276799999998</v>
      </c>
      <c r="AA374" s="134"/>
    </row>
    <row r="375" spans="1:27" ht="15" customHeight="1" x14ac:dyDescent="0.35">
      <c r="A375" s="134"/>
      <c r="B375" s="134"/>
      <c r="C375" s="134" t="s">
        <v>444</v>
      </c>
      <c r="D375" s="136" t="str">
        <f t="shared" si="27"/>
        <v>B.04</v>
      </c>
      <c r="E375" s="135" t="s">
        <v>414</v>
      </c>
      <c r="F375" s="135" t="s">
        <v>675</v>
      </c>
      <c r="G375" s="134" t="s">
        <v>31</v>
      </c>
      <c r="H375" s="134" t="s">
        <v>573</v>
      </c>
      <c r="I375" s="134" t="s">
        <v>512</v>
      </c>
      <c r="J375" s="144" t="s">
        <v>125</v>
      </c>
      <c r="K375" s="134"/>
      <c r="L375" s="134"/>
      <c r="M375" s="134"/>
      <c r="N375" s="134"/>
      <c r="O375" s="134"/>
      <c r="P375" s="135" t="s">
        <v>100</v>
      </c>
      <c r="Q375" s="137">
        <f t="shared" si="31"/>
        <v>38.304000000000002</v>
      </c>
      <c r="R375" s="137">
        <v>38.304000000000002</v>
      </c>
      <c r="S375" s="138"/>
      <c r="T375" s="139">
        <f>IFERROR(INDEX('Price List'!$G$5:$G$74,MATCH(TRIM(J375)&amp;"|"&amp;TRIM(P375),'Price List'!$O$5:$O$74,0)),0)</f>
        <v>10</v>
      </c>
      <c r="U375" s="140">
        <f>IFERROR(INDEX('Price List'!$H$5:$H$74,MATCH(TRIM(J375)&amp;"|"&amp;TRIM(P375),'Price List'!$O$5:$O$74,0)),0)</f>
        <v>0.2</v>
      </c>
      <c r="V375" s="141">
        <f t="shared" si="28"/>
        <v>12</v>
      </c>
      <c r="W375" s="142">
        <f>IFERROR(INDEX('Price List'!$J$5:$J$74,MATCH(TRIM(J375)&amp;"|"&amp;TRIM(P375),'Price List'!$O$5:$O$74,0)),0)</f>
        <v>98</v>
      </c>
      <c r="X375" s="143">
        <f>IFERROR(INDEX('Price List'!$K$5:$K$74,MATCH(TRIM(J375)&amp;"|"&amp;TRIM(P375),'Price List'!$O$5:$O$74,0)),0)</f>
        <v>0.12</v>
      </c>
      <c r="Y375" s="141">
        <f t="shared" si="29"/>
        <v>109.76</v>
      </c>
      <c r="Z375" s="141">
        <f t="shared" si="30"/>
        <v>4663.8950400000003</v>
      </c>
      <c r="AA375" s="134"/>
    </row>
    <row r="376" spans="1:27" ht="15" customHeight="1" x14ac:dyDescent="0.35">
      <c r="A376" s="134"/>
      <c r="B376" s="134"/>
      <c r="C376" s="134" t="s">
        <v>444</v>
      </c>
      <c r="D376" s="136" t="str">
        <f t="shared" si="27"/>
        <v>B.04</v>
      </c>
      <c r="E376" s="135" t="s">
        <v>414</v>
      </c>
      <c r="F376" s="135" t="s">
        <v>675</v>
      </c>
      <c r="G376" s="134" t="s">
        <v>31</v>
      </c>
      <c r="H376" s="134" t="s">
        <v>573</v>
      </c>
      <c r="I376" s="144" t="s">
        <v>127</v>
      </c>
      <c r="J376" s="144" t="s">
        <v>127</v>
      </c>
      <c r="K376" s="144"/>
      <c r="L376" s="134"/>
      <c r="M376" s="134"/>
      <c r="N376" s="134"/>
      <c r="O376" s="134"/>
      <c r="P376" s="135" t="s">
        <v>128</v>
      </c>
      <c r="Q376" s="137">
        <f t="shared" si="31"/>
        <v>203.28</v>
      </c>
      <c r="R376" s="137">
        <v>203.28</v>
      </c>
      <c r="S376" s="138"/>
      <c r="T376" s="139">
        <f>IFERROR(INDEX('Price List'!$G$5:$G$74,MATCH(TRIM(J376)&amp;"|"&amp;TRIM(P376),'Price List'!$O$5:$O$74,0)),0)</f>
        <v>6</v>
      </c>
      <c r="U376" s="140">
        <f>IFERROR(INDEX('Price List'!$H$5:$H$74,MATCH(TRIM(J376)&amp;"|"&amp;TRIM(P376),'Price List'!$O$5:$O$74,0)),0)</f>
        <v>0.2</v>
      </c>
      <c r="V376" s="141">
        <f t="shared" si="28"/>
        <v>7.1999999999999993</v>
      </c>
      <c r="W376" s="142">
        <f>IFERROR(INDEX('Price List'!$J$5:$J$74,MATCH(TRIM(J376)&amp;"|"&amp;TRIM(P376),'Price List'!$O$5:$O$74,0)),0)</f>
        <v>5</v>
      </c>
      <c r="X376" s="143">
        <f>IFERROR(INDEX('Price List'!$K$5:$K$74,MATCH(TRIM(J376)&amp;"|"&amp;TRIM(P376),'Price List'!$O$5:$O$74,0)),0)</f>
        <v>0.12</v>
      </c>
      <c r="Y376" s="141">
        <f t="shared" si="29"/>
        <v>5.6000000000000005</v>
      </c>
      <c r="Z376" s="141">
        <f t="shared" si="30"/>
        <v>2601.9840000000004</v>
      </c>
      <c r="AA376" s="134"/>
    </row>
    <row r="377" spans="1:27" ht="15" customHeight="1" x14ac:dyDescent="0.35">
      <c r="A377" s="134"/>
      <c r="B377" s="134"/>
      <c r="C377" s="134" t="s">
        <v>444</v>
      </c>
      <c r="D377" s="136" t="str">
        <f t="shared" si="27"/>
        <v>B.04</v>
      </c>
      <c r="E377" s="135" t="s">
        <v>414</v>
      </c>
      <c r="F377" s="135" t="s">
        <v>675</v>
      </c>
      <c r="G377" s="134" t="s">
        <v>31</v>
      </c>
      <c r="H377" s="134" t="s">
        <v>573</v>
      </c>
      <c r="I377" s="134" t="s">
        <v>513</v>
      </c>
      <c r="J377" s="144" t="s">
        <v>102</v>
      </c>
      <c r="K377" s="134"/>
      <c r="L377" s="134"/>
      <c r="M377" s="134"/>
      <c r="N377" s="134"/>
      <c r="O377" s="134"/>
      <c r="P377" s="135" t="s">
        <v>103</v>
      </c>
      <c r="Q377" s="137">
        <f t="shared" si="31"/>
        <v>1889.9944</v>
      </c>
      <c r="R377" s="137">
        <v>1889.9944</v>
      </c>
      <c r="S377" s="138"/>
      <c r="T377" s="139">
        <f>IFERROR(INDEX('Price List'!$G$5:$G$74,MATCH(TRIM(J377)&amp;"|"&amp;TRIM(P377),'Price List'!$O$5:$O$74,0)),0)</f>
        <v>0.12</v>
      </c>
      <c r="U377" s="140">
        <f>IFERROR(INDEX('Price List'!$H$5:$H$74,MATCH(TRIM(J377)&amp;"|"&amp;TRIM(P377),'Price List'!$O$5:$O$74,0)),0)</f>
        <v>0.2</v>
      </c>
      <c r="V377" s="141">
        <f t="shared" si="28"/>
        <v>0.14399999999999999</v>
      </c>
      <c r="W377" s="142">
        <f>IFERROR(INDEX('Price List'!$J$5:$J$74,MATCH(TRIM(J377)&amp;"|"&amp;TRIM(P377),'Price List'!$O$5:$O$74,0)),0)</f>
        <v>0.78</v>
      </c>
      <c r="X377" s="143">
        <f>IFERROR(INDEX('Price List'!$K$5:$K$74,MATCH(TRIM(J377)&amp;"|"&amp;TRIM(P377),'Price List'!$O$5:$O$74,0)),0)</f>
        <v>0.12</v>
      </c>
      <c r="Y377" s="141">
        <f t="shared" si="29"/>
        <v>0.87360000000000015</v>
      </c>
      <c r="Z377" s="141">
        <f t="shared" si="30"/>
        <v>1923.2583014400002</v>
      </c>
      <c r="AA377" s="134"/>
    </row>
    <row r="378" spans="1:27" ht="15" customHeight="1" x14ac:dyDescent="0.35">
      <c r="A378" s="134"/>
      <c r="B378" s="134"/>
      <c r="C378" s="134" t="s">
        <v>444</v>
      </c>
      <c r="D378" s="136" t="str">
        <f t="shared" si="27"/>
        <v>B.04</v>
      </c>
      <c r="E378" s="135" t="s">
        <v>414</v>
      </c>
      <c r="F378" s="135" t="s">
        <v>675</v>
      </c>
      <c r="G378" s="134" t="s">
        <v>31</v>
      </c>
      <c r="H378" s="134" t="s">
        <v>573</v>
      </c>
      <c r="I378" s="134" t="s">
        <v>513</v>
      </c>
      <c r="J378" s="144" t="s">
        <v>135</v>
      </c>
      <c r="K378" s="134"/>
      <c r="L378" s="134"/>
      <c r="M378" s="134"/>
      <c r="N378" s="134"/>
      <c r="O378" s="134"/>
      <c r="P378" s="135" t="s">
        <v>103</v>
      </c>
      <c r="Q378" s="137">
        <f t="shared" si="31"/>
        <v>4821.5231999999996</v>
      </c>
      <c r="R378" s="137">
        <v>4821.5231999999996</v>
      </c>
      <c r="S378" s="138"/>
      <c r="T378" s="139">
        <f>IFERROR(INDEX('Price List'!$G$5:$G$74,MATCH(TRIM(J378)&amp;"|"&amp;TRIM(P378),'Price List'!$O$5:$O$74,0)),0)</f>
        <v>0.09</v>
      </c>
      <c r="U378" s="140">
        <f>IFERROR(INDEX('Price List'!$H$5:$H$74,MATCH(TRIM(J378)&amp;"|"&amp;TRIM(P378),'Price List'!$O$5:$O$74,0)),0)</f>
        <v>0.2</v>
      </c>
      <c r="V378" s="141">
        <f t="shared" si="28"/>
        <v>0.108</v>
      </c>
      <c r="W378" s="142">
        <f>IFERROR(INDEX('Price List'!$J$5:$J$74,MATCH(TRIM(J378)&amp;"|"&amp;TRIM(P378),'Price List'!$O$5:$O$74,0)),0)</f>
        <v>0.73</v>
      </c>
      <c r="X378" s="143">
        <f>IFERROR(INDEX('Price List'!$K$5:$K$74,MATCH(TRIM(J378)&amp;"|"&amp;TRIM(P378),'Price List'!$O$5:$O$74,0)),0)</f>
        <v>0.12</v>
      </c>
      <c r="Y378" s="141">
        <f t="shared" si="29"/>
        <v>0.8176000000000001</v>
      </c>
      <c r="Z378" s="141">
        <f t="shared" si="30"/>
        <v>4462.8018739199997</v>
      </c>
      <c r="AA378" s="134"/>
    </row>
    <row r="379" spans="1:27" ht="15" customHeight="1" x14ac:dyDescent="0.35">
      <c r="A379" s="134"/>
      <c r="B379" s="134"/>
      <c r="C379" s="134" t="s">
        <v>444</v>
      </c>
      <c r="D379" s="136" t="str">
        <f t="shared" si="27"/>
        <v>B.04</v>
      </c>
      <c r="E379" s="135" t="s">
        <v>414</v>
      </c>
      <c r="F379" s="135" t="s">
        <v>675</v>
      </c>
      <c r="G379" s="134" t="s">
        <v>31</v>
      </c>
      <c r="H379" s="134" t="s">
        <v>573</v>
      </c>
      <c r="I379" s="134" t="s">
        <v>657</v>
      </c>
      <c r="J379" s="134" t="s">
        <v>107</v>
      </c>
      <c r="K379" s="134"/>
      <c r="L379" s="134"/>
      <c r="M379" s="134"/>
      <c r="N379" s="134"/>
      <c r="O379" s="134"/>
      <c r="P379" s="135" t="s">
        <v>103</v>
      </c>
      <c r="Q379" s="137">
        <f t="shared" si="31"/>
        <v>268.46070399999996</v>
      </c>
      <c r="R379" s="137">
        <f>(R377+R378)*4%</f>
        <v>268.46070399999996</v>
      </c>
      <c r="S379" s="138"/>
      <c r="T379" s="139">
        <f>IFERROR(INDEX('Price List'!$G$5:$G$74,MATCH(TRIM(J379)&amp;"|"&amp;TRIM(P379),'Price List'!$O$5:$O$74,0)),0)</f>
        <v>0.05</v>
      </c>
      <c r="U379" s="140">
        <f>IFERROR(INDEX('Price List'!$H$5:$H$74,MATCH(TRIM(J379)&amp;"|"&amp;TRIM(P379),'Price List'!$O$5:$O$74,0)),0)</f>
        <v>0.2</v>
      </c>
      <c r="V379" s="141">
        <f t="shared" si="28"/>
        <v>0.06</v>
      </c>
      <c r="W379" s="142">
        <f>IFERROR(INDEX('Price List'!$J$5:$J$74,MATCH(TRIM(J379)&amp;"|"&amp;TRIM(P379),'Price List'!$O$5:$O$74,0)),0)</f>
        <v>1.2</v>
      </c>
      <c r="X379" s="143">
        <f>IFERROR(INDEX('Price List'!$K$5:$K$74,MATCH(TRIM(J379)&amp;"|"&amp;TRIM(P379),'Price List'!$O$5:$O$74,0)),0)</f>
        <v>0.12</v>
      </c>
      <c r="Y379" s="141">
        <f t="shared" si="29"/>
        <v>1.3440000000000001</v>
      </c>
      <c r="Z379" s="141">
        <f t="shared" si="30"/>
        <v>376.918828416</v>
      </c>
      <c r="AA379" s="134"/>
    </row>
    <row r="380" spans="1:27" ht="15" customHeight="1" x14ac:dyDescent="0.35">
      <c r="A380" s="134"/>
      <c r="B380" s="135"/>
      <c r="C380" s="134" t="s">
        <v>444</v>
      </c>
      <c r="D380" s="136" t="str">
        <f t="shared" si="27"/>
        <v>B.04</v>
      </c>
      <c r="E380" s="135" t="s">
        <v>414</v>
      </c>
      <c r="F380" s="135" t="s">
        <v>676</v>
      </c>
      <c r="G380" s="134" t="s">
        <v>31</v>
      </c>
      <c r="H380" s="134" t="s">
        <v>564</v>
      </c>
      <c r="I380" s="134" t="s">
        <v>512</v>
      </c>
      <c r="J380" s="145" t="s">
        <v>125</v>
      </c>
      <c r="K380" s="134"/>
      <c r="L380" s="134"/>
      <c r="M380" s="134"/>
      <c r="N380" s="134"/>
      <c r="O380" s="134"/>
      <c r="P380" s="135" t="s">
        <v>100</v>
      </c>
      <c r="Q380" s="137">
        <f t="shared" si="31"/>
        <v>46.741149999999998</v>
      </c>
      <c r="R380" s="137">
        <f>'7F,8F,9F beam'!H11</f>
        <v>46.741149999999998</v>
      </c>
      <c r="S380" s="138"/>
      <c r="T380" s="139">
        <f>IFERROR(INDEX('Price List'!$G$5:$G$74,MATCH(TRIM(J380)&amp;"|"&amp;TRIM(P380),'Price List'!$O$5:$O$74,0)),0)</f>
        <v>10</v>
      </c>
      <c r="U380" s="140">
        <f>IFERROR(INDEX('Price List'!$H$5:$H$74,MATCH(TRIM(J380)&amp;"|"&amp;TRIM(P380),'Price List'!$O$5:$O$74,0)),0)</f>
        <v>0.2</v>
      </c>
      <c r="V380" s="141">
        <f t="shared" si="28"/>
        <v>12</v>
      </c>
      <c r="W380" s="142">
        <f>IFERROR(INDEX('Price List'!$J$5:$J$74,MATCH(TRIM(J380)&amp;"|"&amp;TRIM(P380),'Price List'!$O$5:$O$74,0)),0)</f>
        <v>98</v>
      </c>
      <c r="X380" s="143">
        <f>IFERROR(INDEX('Price List'!$K$5:$K$74,MATCH(TRIM(J380)&amp;"|"&amp;TRIM(P380),'Price List'!$O$5:$O$74,0)),0)</f>
        <v>0.12</v>
      </c>
      <c r="Y380" s="141">
        <f t="shared" si="29"/>
        <v>109.76</v>
      </c>
      <c r="Z380" s="141">
        <f t="shared" si="30"/>
        <v>5691.2024240000001</v>
      </c>
      <c r="AA380" s="134"/>
    </row>
    <row r="381" spans="1:27" ht="15" customHeight="1" x14ac:dyDescent="0.35">
      <c r="A381" s="134"/>
      <c r="B381" s="135"/>
      <c r="C381" s="134" t="s">
        <v>444</v>
      </c>
      <c r="D381" s="136" t="str">
        <f t="shared" si="27"/>
        <v>B.04</v>
      </c>
      <c r="E381" s="135" t="s">
        <v>414</v>
      </c>
      <c r="F381" s="135" t="s">
        <v>676</v>
      </c>
      <c r="G381" s="134" t="s">
        <v>31</v>
      </c>
      <c r="H381" s="134" t="s">
        <v>564</v>
      </c>
      <c r="I381" s="144" t="s">
        <v>127</v>
      </c>
      <c r="J381" s="144" t="s">
        <v>127</v>
      </c>
      <c r="K381" s="144"/>
      <c r="L381" s="134"/>
      <c r="M381" s="134"/>
      <c r="N381" s="134"/>
      <c r="O381" s="134"/>
      <c r="P381" s="135" t="s">
        <v>128</v>
      </c>
      <c r="Q381" s="137">
        <f t="shared" si="31"/>
        <v>446.52599999999995</v>
      </c>
      <c r="R381" s="137">
        <f>'7F,8F,9F beam'!G11</f>
        <v>446.52599999999995</v>
      </c>
      <c r="S381" s="138"/>
      <c r="T381" s="139">
        <f>IFERROR(INDEX('Price List'!$G$5:$G$74,MATCH(TRIM(J381)&amp;"|"&amp;TRIM(P381),'Price List'!$O$5:$O$74,0)),0)</f>
        <v>6</v>
      </c>
      <c r="U381" s="140">
        <f>IFERROR(INDEX('Price List'!$H$5:$H$74,MATCH(TRIM(J381)&amp;"|"&amp;TRIM(P381),'Price List'!$O$5:$O$74,0)),0)</f>
        <v>0.2</v>
      </c>
      <c r="V381" s="141">
        <f t="shared" si="28"/>
        <v>7.1999999999999993</v>
      </c>
      <c r="W381" s="142">
        <f>IFERROR(INDEX('Price List'!$J$5:$J$74,MATCH(TRIM(J381)&amp;"|"&amp;TRIM(P381),'Price List'!$O$5:$O$74,0)),0)</f>
        <v>5</v>
      </c>
      <c r="X381" s="143">
        <f>IFERROR(INDEX('Price List'!$K$5:$K$74,MATCH(TRIM(J381)&amp;"|"&amp;TRIM(P381),'Price List'!$O$5:$O$74,0)),0)</f>
        <v>0.12</v>
      </c>
      <c r="Y381" s="141">
        <f t="shared" si="29"/>
        <v>5.6000000000000005</v>
      </c>
      <c r="Z381" s="141">
        <f t="shared" si="30"/>
        <v>5715.5328</v>
      </c>
      <c r="AA381" s="134"/>
    </row>
    <row r="382" spans="1:27" ht="15" customHeight="1" x14ac:dyDescent="0.35">
      <c r="A382" s="134"/>
      <c r="B382" s="135"/>
      <c r="C382" s="134" t="s">
        <v>444</v>
      </c>
      <c r="D382" s="136" t="str">
        <f t="shared" si="27"/>
        <v>B.04</v>
      </c>
      <c r="E382" s="135" t="s">
        <v>414</v>
      </c>
      <c r="F382" s="135" t="s">
        <v>676</v>
      </c>
      <c r="G382" s="134" t="s">
        <v>31</v>
      </c>
      <c r="H382" s="134" t="s">
        <v>564</v>
      </c>
      <c r="I382" s="134" t="s">
        <v>513</v>
      </c>
      <c r="J382" s="144" t="s">
        <v>169</v>
      </c>
      <c r="K382" s="134"/>
      <c r="L382" s="134"/>
      <c r="M382" s="134"/>
      <c r="N382" s="134"/>
      <c r="O382" s="134"/>
      <c r="P382" s="135" t="s">
        <v>103</v>
      </c>
      <c r="Q382" s="137">
        <f t="shared" si="31"/>
        <v>624.19479999999999</v>
      </c>
      <c r="R382" s="137">
        <f>'7F,8F,9F beam'!J14</f>
        <v>624.19479999999999</v>
      </c>
      <c r="S382" s="138"/>
      <c r="T382" s="139">
        <f>IFERROR(INDEX('Price List'!$G$5:$G$74,MATCH(TRIM(J382)&amp;"|"&amp;TRIM(P382),'Price List'!$O$5:$O$74,0)),0)</f>
        <v>0.12</v>
      </c>
      <c r="U382" s="140">
        <f>IFERROR(INDEX('Price List'!$H$5:$H$74,MATCH(TRIM(J382)&amp;"|"&amp;TRIM(P382),'Price List'!$O$5:$O$74,0)),0)</f>
        <v>0.2</v>
      </c>
      <c r="V382" s="141">
        <f t="shared" si="28"/>
        <v>0.14399999999999999</v>
      </c>
      <c r="W382" s="142">
        <f>IFERROR(INDEX('Price List'!$J$5:$J$74,MATCH(TRIM(J382)&amp;"|"&amp;TRIM(P382),'Price List'!$O$5:$O$74,0)),0)</f>
        <v>0.77</v>
      </c>
      <c r="X382" s="143">
        <f>IFERROR(INDEX('Price List'!$K$5:$K$74,MATCH(TRIM(J382)&amp;"|"&amp;TRIM(P382),'Price List'!$O$5:$O$74,0)),0)</f>
        <v>0.12</v>
      </c>
      <c r="Y382" s="141">
        <f t="shared" si="29"/>
        <v>0.86240000000000006</v>
      </c>
      <c r="Z382" s="141">
        <f t="shared" si="30"/>
        <v>628.18964671999993</v>
      </c>
      <c r="AA382" s="134"/>
    </row>
    <row r="383" spans="1:27" ht="15" customHeight="1" x14ac:dyDescent="0.35">
      <c r="A383" s="134"/>
      <c r="B383" s="135"/>
      <c r="C383" s="134" t="s">
        <v>444</v>
      </c>
      <c r="D383" s="136" t="str">
        <f t="shared" si="27"/>
        <v>B.04</v>
      </c>
      <c r="E383" s="135" t="s">
        <v>414</v>
      </c>
      <c r="F383" s="135" t="s">
        <v>676</v>
      </c>
      <c r="G383" s="134" t="s">
        <v>31</v>
      </c>
      <c r="H383" s="134" t="s">
        <v>564</v>
      </c>
      <c r="I383" s="134" t="s">
        <v>513</v>
      </c>
      <c r="J383" s="144" t="s">
        <v>102</v>
      </c>
      <c r="K383" s="134"/>
      <c r="L383" s="134"/>
      <c r="M383" s="134"/>
      <c r="N383" s="134"/>
      <c r="O383" s="134"/>
      <c r="P383" s="135" t="s">
        <v>103</v>
      </c>
      <c r="Q383" s="137">
        <f t="shared" si="31"/>
        <v>2823.6114200000006</v>
      </c>
      <c r="R383" s="137">
        <f>'7F,8F,9F beam'!J15</f>
        <v>2823.6114200000006</v>
      </c>
      <c r="S383" s="138"/>
      <c r="T383" s="139">
        <f>IFERROR(INDEX('Price List'!$G$5:$G$74,MATCH(TRIM(J383)&amp;"|"&amp;TRIM(P383),'Price List'!$O$5:$O$74,0)),0)</f>
        <v>0.12</v>
      </c>
      <c r="U383" s="140">
        <f>IFERROR(INDEX('Price List'!$H$5:$H$74,MATCH(TRIM(J383)&amp;"|"&amp;TRIM(P383),'Price List'!$O$5:$O$74,0)),0)</f>
        <v>0.2</v>
      </c>
      <c r="V383" s="141">
        <f t="shared" si="28"/>
        <v>0.14399999999999999</v>
      </c>
      <c r="W383" s="142">
        <f>IFERROR(INDEX('Price List'!$J$5:$J$74,MATCH(TRIM(J383)&amp;"|"&amp;TRIM(P383),'Price List'!$O$5:$O$74,0)),0)</f>
        <v>0.78</v>
      </c>
      <c r="X383" s="143">
        <f>IFERROR(INDEX('Price List'!$K$5:$K$74,MATCH(TRIM(J383)&amp;"|"&amp;TRIM(P383),'Price List'!$O$5:$O$74,0)),0)</f>
        <v>0.12</v>
      </c>
      <c r="Y383" s="141">
        <f t="shared" si="29"/>
        <v>0.87360000000000015</v>
      </c>
      <c r="Z383" s="141">
        <f t="shared" si="30"/>
        <v>2873.3069809920007</v>
      </c>
      <c r="AA383" s="134"/>
    </row>
    <row r="384" spans="1:27" ht="15" customHeight="1" x14ac:dyDescent="0.35">
      <c r="A384" s="134"/>
      <c r="B384" s="135"/>
      <c r="C384" s="134" t="s">
        <v>444</v>
      </c>
      <c r="D384" s="136" t="str">
        <f t="shared" si="27"/>
        <v>B.04</v>
      </c>
      <c r="E384" s="135" t="s">
        <v>414</v>
      </c>
      <c r="F384" s="135" t="s">
        <v>676</v>
      </c>
      <c r="G384" s="134" t="s">
        <v>31</v>
      </c>
      <c r="H384" s="134" t="s">
        <v>564</v>
      </c>
      <c r="I384" s="134" t="s">
        <v>513</v>
      </c>
      <c r="J384" s="144" t="s">
        <v>131</v>
      </c>
      <c r="K384" s="134"/>
      <c r="L384" s="134"/>
      <c r="M384" s="134"/>
      <c r="N384" s="134"/>
      <c r="O384" s="134"/>
      <c r="P384" s="135" t="s">
        <v>103</v>
      </c>
      <c r="Q384" s="137">
        <f t="shared" si="31"/>
        <v>295.33103999999997</v>
      </c>
      <c r="R384" s="137">
        <f>'7F,8F,9F beam'!J16</f>
        <v>295.33103999999997</v>
      </c>
      <c r="S384" s="138"/>
      <c r="T384" s="139">
        <f>IFERROR(INDEX('Price List'!$G$5:$G$74,MATCH(TRIM(J384)&amp;"|"&amp;TRIM(P384),'Price List'!$O$5:$O$74,0)),0)</f>
        <v>0.11</v>
      </c>
      <c r="U384" s="140">
        <f>IFERROR(INDEX('Price List'!$H$5:$H$74,MATCH(TRIM(J384)&amp;"|"&amp;TRIM(P384),'Price List'!$O$5:$O$74,0)),0)</f>
        <v>0.2</v>
      </c>
      <c r="V384" s="141">
        <f t="shared" si="28"/>
        <v>0.13200000000000001</v>
      </c>
      <c r="W384" s="142">
        <f>IFERROR(INDEX('Price List'!$J$5:$J$74,MATCH(TRIM(J384)&amp;"|"&amp;TRIM(P384),'Price List'!$O$5:$O$74,0)),0)</f>
        <v>0.76</v>
      </c>
      <c r="X384" s="143">
        <f>IFERROR(INDEX('Price List'!$K$5:$K$74,MATCH(TRIM(J384)&amp;"|"&amp;TRIM(P384),'Price List'!$O$5:$O$74,0)),0)</f>
        <v>0.12</v>
      </c>
      <c r="Y384" s="141">
        <f t="shared" si="29"/>
        <v>0.85120000000000007</v>
      </c>
      <c r="Z384" s="141">
        <f t="shared" si="30"/>
        <v>290.369478528</v>
      </c>
      <c r="AA384" s="134"/>
    </row>
    <row r="385" spans="1:27" ht="15" customHeight="1" x14ac:dyDescent="0.35">
      <c r="A385" s="134"/>
      <c r="B385" s="135"/>
      <c r="C385" s="134" t="s">
        <v>444</v>
      </c>
      <c r="D385" s="136" t="str">
        <f t="shared" si="27"/>
        <v>B.04</v>
      </c>
      <c r="E385" s="135" t="s">
        <v>414</v>
      </c>
      <c r="F385" s="135" t="s">
        <v>676</v>
      </c>
      <c r="G385" s="134" t="s">
        <v>31</v>
      </c>
      <c r="H385" s="134" t="s">
        <v>564</v>
      </c>
      <c r="I385" s="134" t="s">
        <v>513</v>
      </c>
      <c r="J385" s="144" t="s">
        <v>133</v>
      </c>
      <c r="K385" s="134"/>
      <c r="L385" s="134"/>
      <c r="M385" s="134"/>
      <c r="N385" s="134"/>
      <c r="O385" s="134"/>
      <c r="P385" s="135" t="s">
        <v>103</v>
      </c>
      <c r="Q385" s="137">
        <f t="shared" si="31"/>
        <v>2411.8152</v>
      </c>
      <c r="R385" s="137">
        <f>'7F,8F,9F beam'!J17</f>
        <v>2411.8152</v>
      </c>
      <c r="S385" s="138"/>
      <c r="T385" s="139">
        <f>IFERROR(INDEX('Price List'!$G$5:$G$74,MATCH(TRIM(J385)&amp;"|"&amp;TRIM(P385),'Price List'!$O$5:$O$74,0)),0)</f>
        <v>0.1</v>
      </c>
      <c r="U385" s="140">
        <f>IFERROR(INDEX('Price List'!$H$5:$H$74,MATCH(TRIM(J385)&amp;"|"&amp;TRIM(P385),'Price List'!$O$5:$O$74,0)),0)</f>
        <v>0.2</v>
      </c>
      <c r="V385" s="141">
        <f t="shared" si="28"/>
        <v>0.12</v>
      </c>
      <c r="W385" s="142">
        <f>IFERROR(INDEX('Price List'!$J$5:$J$74,MATCH(TRIM(J385)&amp;"|"&amp;TRIM(P385),'Price List'!$O$5:$O$74,0)),0)</f>
        <v>0.74</v>
      </c>
      <c r="X385" s="143">
        <f>IFERROR(INDEX('Price List'!$K$5:$K$74,MATCH(TRIM(J385)&amp;"|"&amp;TRIM(P385),'Price List'!$O$5:$O$74,0)),0)</f>
        <v>0.12</v>
      </c>
      <c r="Y385" s="141">
        <f t="shared" si="29"/>
        <v>0.82880000000000009</v>
      </c>
      <c r="Z385" s="141">
        <f t="shared" si="30"/>
        <v>2288.3302617600002</v>
      </c>
      <c r="AA385" s="134"/>
    </row>
    <row r="386" spans="1:27" ht="15" customHeight="1" x14ac:dyDescent="0.35">
      <c r="A386" s="134"/>
      <c r="B386" s="135"/>
      <c r="C386" s="134" t="s">
        <v>444</v>
      </c>
      <c r="D386" s="136" t="str">
        <f t="shared" ref="D386:D449" si="32">IFERROR(IF(TRIM($G386)="Sub Structure",IF(TRIM($H386)="Bored Pile","B.01","B.03"),IF(TRIM($G386)="Super Structure","B.04",IF(OR(TRIM($G386)="Exterior Wall and Partition",TRIM($G386)="External Wall and Partition"),"C.01",IF(TRIM($G386)="Exterior Wall Finishes","C.02",IF(TRIM($G386)="Interior Wall and Partition","C.09",IF(TRIM($G386)="Interior Door","C.10",IF(TRIM($G386)="External Windows and Louvers","C.04",IF(OR(TRIM($G386)="Interior Floor Finishes",TRIM($G386)="Internal Floor Finishes"),"D.02",IF(OR(TRIM($G386)="Interior Wall Finishes",TRIM($G386)="Internal Wall Finishes"),"D.01",IF(OR(TRIM($G386)="Ceiling Finshes",TRIM($G386)="Ceiling Finishes"),"D.03",IF(TRIM($G386)="Fittings, furnishings and equipment","E.04","")))))))))))," ")</f>
        <v>B.04</v>
      </c>
      <c r="E386" s="135" t="s">
        <v>414</v>
      </c>
      <c r="F386" s="135" t="s">
        <v>676</v>
      </c>
      <c r="G386" s="134" t="s">
        <v>31</v>
      </c>
      <c r="H386" s="134" t="s">
        <v>564</v>
      </c>
      <c r="I386" s="134" t="s">
        <v>513</v>
      </c>
      <c r="J386" s="144" t="s">
        <v>135</v>
      </c>
      <c r="K386" s="134"/>
      <c r="L386" s="134"/>
      <c r="M386" s="134"/>
      <c r="N386" s="134"/>
      <c r="O386" s="134"/>
      <c r="P386" s="135" t="s">
        <v>103</v>
      </c>
      <c r="Q386" s="137">
        <f t="shared" si="31"/>
        <v>1819.6614000000002</v>
      </c>
      <c r="R386" s="137">
        <f>'7F,8F,9F beam'!J18</f>
        <v>1819.6614000000002</v>
      </c>
      <c r="S386" s="138"/>
      <c r="T386" s="139">
        <f>IFERROR(INDEX('Price List'!$G$5:$G$74,MATCH(TRIM(J386)&amp;"|"&amp;TRIM(P386),'Price List'!$O$5:$O$74,0)),0)</f>
        <v>0.09</v>
      </c>
      <c r="U386" s="140">
        <f>IFERROR(INDEX('Price List'!$H$5:$H$74,MATCH(TRIM(J386)&amp;"|"&amp;TRIM(P386),'Price List'!$O$5:$O$74,0)),0)</f>
        <v>0.2</v>
      </c>
      <c r="V386" s="141">
        <f t="shared" ref="V386:V449" si="33">T386*(1+U386)</f>
        <v>0.108</v>
      </c>
      <c r="W386" s="142">
        <f>IFERROR(INDEX('Price List'!$J$5:$J$74,MATCH(TRIM(J386)&amp;"|"&amp;TRIM(P386),'Price List'!$O$5:$O$74,0)),0)</f>
        <v>0.73</v>
      </c>
      <c r="X386" s="143">
        <f>IFERROR(INDEX('Price List'!$K$5:$K$74,MATCH(TRIM(J386)&amp;"|"&amp;TRIM(P386),'Price List'!$O$5:$O$74,0)),0)</f>
        <v>0.12</v>
      </c>
      <c r="Y386" s="141">
        <f t="shared" ref="Y386:Y449" si="34">W386*(1+X386)</f>
        <v>0.8176000000000001</v>
      </c>
      <c r="Z386" s="141">
        <f t="shared" ref="Z386:Z449" si="35">Q386*(V386+Y386)</f>
        <v>1684.2785918400004</v>
      </c>
      <c r="AA386" s="134"/>
    </row>
    <row r="387" spans="1:27" ht="15" customHeight="1" x14ac:dyDescent="0.35">
      <c r="A387" s="134"/>
      <c r="B387" s="135"/>
      <c r="C387" s="134" t="s">
        <v>444</v>
      </c>
      <c r="D387" s="136" t="str">
        <f t="shared" si="32"/>
        <v>B.04</v>
      </c>
      <c r="E387" s="135" t="s">
        <v>414</v>
      </c>
      <c r="F387" s="135" t="s">
        <v>676</v>
      </c>
      <c r="G387" s="134" t="s">
        <v>31</v>
      </c>
      <c r="H387" s="134" t="s">
        <v>564</v>
      </c>
      <c r="I387" s="134" t="s">
        <v>513</v>
      </c>
      <c r="J387" s="144" t="s">
        <v>105</v>
      </c>
      <c r="K387" s="134"/>
      <c r="L387" s="134"/>
      <c r="M387" s="134"/>
      <c r="N387" s="134"/>
      <c r="O387" s="134"/>
      <c r="P387" s="135" t="s">
        <v>103</v>
      </c>
      <c r="Q387" s="137">
        <f t="shared" si="31"/>
        <v>7527.2208000000001</v>
      </c>
      <c r="R387" s="137">
        <f>'7F,8F,9F beam'!J19</f>
        <v>7527.2208000000001</v>
      </c>
      <c r="S387" s="138"/>
      <c r="T387" s="139">
        <f>IFERROR(INDEX('Price List'!$G$5:$G$74,MATCH(TRIM(J387)&amp;"|"&amp;TRIM(P387),'Price List'!$O$5:$O$74,0)),0)</f>
        <v>0.08</v>
      </c>
      <c r="U387" s="140">
        <f>IFERROR(INDEX('Price List'!$H$5:$H$74,MATCH(TRIM(J387)&amp;"|"&amp;TRIM(P387),'Price List'!$O$5:$O$74,0)),0)</f>
        <v>0.2</v>
      </c>
      <c r="V387" s="141">
        <f t="shared" si="33"/>
        <v>9.6000000000000002E-2</v>
      </c>
      <c r="W387" s="142">
        <f>IFERROR(INDEX('Price List'!$J$5:$J$74,MATCH(TRIM(J387)&amp;"|"&amp;TRIM(P387),'Price List'!$O$5:$O$74,0)),0)</f>
        <v>0.72</v>
      </c>
      <c r="X387" s="143">
        <f>IFERROR(INDEX('Price List'!$K$5:$K$74,MATCH(TRIM(J387)&amp;"|"&amp;TRIM(P387),'Price List'!$O$5:$O$74,0)),0)</f>
        <v>0.12</v>
      </c>
      <c r="Y387" s="141">
        <f t="shared" si="34"/>
        <v>0.80640000000000001</v>
      </c>
      <c r="Z387" s="141">
        <f t="shared" si="35"/>
        <v>6792.5640499199999</v>
      </c>
      <c r="AA387" s="134"/>
    </row>
    <row r="388" spans="1:27" ht="15" customHeight="1" x14ac:dyDescent="0.35">
      <c r="A388" s="134"/>
      <c r="B388" s="135"/>
      <c r="C388" s="134" t="s">
        <v>444</v>
      </c>
      <c r="D388" s="136" t="str">
        <f t="shared" si="32"/>
        <v>B.04</v>
      </c>
      <c r="E388" s="135" t="s">
        <v>414</v>
      </c>
      <c r="F388" s="135" t="s">
        <v>676</v>
      </c>
      <c r="G388" s="134" t="s">
        <v>31</v>
      </c>
      <c r="H388" s="134" t="s">
        <v>564</v>
      </c>
      <c r="I388" s="134" t="s">
        <v>657</v>
      </c>
      <c r="J388" s="134" t="s">
        <v>107</v>
      </c>
      <c r="K388" s="134"/>
      <c r="L388" s="134"/>
      <c r="M388" s="134"/>
      <c r="N388" s="134"/>
      <c r="O388" s="134"/>
      <c r="P388" s="135" t="s">
        <v>103</v>
      </c>
      <c r="Q388" s="137">
        <f t="shared" si="31"/>
        <v>620.0733864</v>
      </c>
      <c r="R388" s="137">
        <f>(R386+R387+R385+R384+R383+R382)*4%</f>
        <v>620.0733864</v>
      </c>
      <c r="S388" s="138"/>
      <c r="T388" s="139">
        <f>IFERROR(INDEX('Price List'!$G$5:$G$74,MATCH(TRIM(J388)&amp;"|"&amp;TRIM(P388),'Price List'!$O$5:$O$74,0)),0)</f>
        <v>0.05</v>
      </c>
      <c r="U388" s="140">
        <f>IFERROR(INDEX('Price List'!$H$5:$H$74,MATCH(TRIM(J388)&amp;"|"&amp;TRIM(P388),'Price List'!$O$5:$O$74,0)),0)</f>
        <v>0.2</v>
      </c>
      <c r="V388" s="141">
        <f t="shared" si="33"/>
        <v>0.06</v>
      </c>
      <c r="W388" s="142">
        <f>IFERROR(INDEX('Price List'!$J$5:$J$74,MATCH(TRIM(J388)&amp;"|"&amp;TRIM(P388),'Price List'!$O$5:$O$74,0)),0)</f>
        <v>1.2</v>
      </c>
      <c r="X388" s="143">
        <f>IFERROR(INDEX('Price List'!$K$5:$K$74,MATCH(TRIM(J388)&amp;"|"&amp;TRIM(P388),'Price List'!$O$5:$O$74,0)),0)</f>
        <v>0.12</v>
      </c>
      <c r="Y388" s="141">
        <f t="shared" si="34"/>
        <v>1.3440000000000001</v>
      </c>
      <c r="Z388" s="141">
        <f t="shared" si="35"/>
        <v>870.58303450560004</v>
      </c>
      <c r="AA388" s="134"/>
    </row>
    <row r="389" spans="1:27" ht="15" customHeight="1" x14ac:dyDescent="0.35">
      <c r="A389" s="134"/>
      <c r="B389" s="135"/>
      <c r="C389" s="134" t="s">
        <v>444</v>
      </c>
      <c r="D389" s="136" t="str">
        <f t="shared" si="32"/>
        <v>B.04</v>
      </c>
      <c r="E389" s="135" t="s">
        <v>414</v>
      </c>
      <c r="F389" s="135" t="s">
        <v>676</v>
      </c>
      <c r="G389" s="134" t="s">
        <v>31</v>
      </c>
      <c r="H389" s="134" t="s">
        <v>568</v>
      </c>
      <c r="I389" s="134" t="s">
        <v>512</v>
      </c>
      <c r="J389" s="145" t="s">
        <v>125</v>
      </c>
      <c r="K389" s="134"/>
      <c r="L389" s="134"/>
      <c r="M389" s="134"/>
      <c r="N389" s="134"/>
      <c r="O389" s="134"/>
      <c r="P389" s="135" t="s">
        <v>100</v>
      </c>
      <c r="Q389" s="137">
        <f t="shared" si="31"/>
        <v>87.149999999999991</v>
      </c>
      <c r="R389" s="137">
        <f>581*0.15</f>
        <v>87.149999999999991</v>
      </c>
      <c r="S389" s="138"/>
      <c r="T389" s="139">
        <f>IFERROR(INDEX('Price List'!$G$5:$G$74,MATCH(TRIM(J389)&amp;"|"&amp;TRIM(P389),'Price List'!$O$5:$O$74,0)),0)</f>
        <v>10</v>
      </c>
      <c r="U389" s="140">
        <f>IFERROR(INDEX('Price List'!$H$5:$H$74,MATCH(TRIM(J389)&amp;"|"&amp;TRIM(P389),'Price List'!$O$5:$O$74,0)),0)</f>
        <v>0.2</v>
      </c>
      <c r="V389" s="141">
        <f t="shared" si="33"/>
        <v>12</v>
      </c>
      <c r="W389" s="142">
        <f>IFERROR(INDEX('Price List'!$J$5:$J$74,MATCH(TRIM(J389)&amp;"|"&amp;TRIM(P389),'Price List'!$O$5:$O$74,0)),0)</f>
        <v>98</v>
      </c>
      <c r="X389" s="143">
        <f>IFERROR(INDEX('Price List'!$K$5:$K$74,MATCH(TRIM(J389)&amp;"|"&amp;TRIM(P389),'Price List'!$O$5:$O$74,0)),0)</f>
        <v>0.12</v>
      </c>
      <c r="Y389" s="141">
        <f t="shared" si="34"/>
        <v>109.76</v>
      </c>
      <c r="Z389" s="141">
        <f t="shared" si="35"/>
        <v>10611.384</v>
      </c>
      <c r="AA389" s="134"/>
    </row>
    <row r="390" spans="1:27" ht="15" customHeight="1" x14ac:dyDescent="0.35">
      <c r="A390" s="134"/>
      <c r="B390" s="135"/>
      <c r="C390" s="134" t="s">
        <v>444</v>
      </c>
      <c r="D390" s="136" t="str">
        <f t="shared" si="32"/>
        <v>B.04</v>
      </c>
      <c r="E390" s="135" t="s">
        <v>414</v>
      </c>
      <c r="F390" s="135" t="s">
        <v>676</v>
      </c>
      <c r="G390" s="134" t="s">
        <v>31</v>
      </c>
      <c r="H390" s="134" t="s">
        <v>568</v>
      </c>
      <c r="I390" s="144" t="s">
        <v>127</v>
      </c>
      <c r="J390" s="144" t="s">
        <v>127</v>
      </c>
      <c r="K390" s="144"/>
      <c r="L390" s="134"/>
      <c r="M390" s="134"/>
      <c r="N390" s="134"/>
      <c r="O390" s="134"/>
      <c r="P390" s="135" t="s">
        <v>128</v>
      </c>
      <c r="Q390" s="137">
        <f t="shared" si="31"/>
        <v>581</v>
      </c>
      <c r="R390" s="137">
        <v>581</v>
      </c>
      <c r="S390" s="138"/>
      <c r="T390" s="139">
        <f>IFERROR(INDEX('Price List'!$G$5:$G$74,MATCH(TRIM(J390)&amp;"|"&amp;TRIM(P390),'Price List'!$O$5:$O$74,0)),0)</f>
        <v>6</v>
      </c>
      <c r="U390" s="140">
        <f>IFERROR(INDEX('Price List'!$H$5:$H$74,MATCH(TRIM(J390)&amp;"|"&amp;TRIM(P390),'Price List'!$O$5:$O$74,0)),0)</f>
        <v>0.2</v>
      </c>
      <c r="V390" s="141">
        <f t="shared" si="33"/>
        <v>7.1999999999999993</v>
      </c>
      <c r="W390" s="142">
        <f>IFERROR(INDEX('Price List'!$J$5:$J$74,MATCH(TRIM(J390)&amp;"|"&amp;TRIM(P390),'Price List'!$O$5:$O$74,0)),0)</f>
        <v>5</v>
      </c>
      <c r="X390" s="143">
        <f>IFERROR(INDEX('Price List'!$K$5:$K$74,MATCH(TRIM(J390)&amp;"|"&amp;TRIM(P390),'Price List'!$O$5:$O$74,0)),0)</f>
        <v>0.12</v>
      </c>
      <c r="Y390" s="141">
        <f t="shared" si="34"/>
        <v>5.6000000000000005</v>
      </c>
      <c r="Z390" s="141">
        <f t="shared" si="35"/>
        <v>7436.8</v>
      </c>
      <c r="AA390" s="134"/>
    </row>
    <row r="391" spans="1:27" ht="15" customHeight="1" x14ac:dyDescent="0.35">
      <c r="A391" s="134"/>
      <c r="B391" s="135"/>
      <c r="C391" s="134" t="s">
        <v>444</v>
      </c>
      <c r="D391" s="136" t="str">
        <f t="shared" si="32"/>
        <v>B.04</v>
      </c>
      <c r="E391" s="135" t="s">
        <v>414</v>
      </c>
      <c r="F391" s="135" t="s">
        <v>676</v>
      </c>
      <c r="G391" s="134" t="s">
        <v>31</v>
      </c>
      <c r="H391" s="134" t="s">
        <v>568</v>
      </c>
      <c r="I391" s="134" t="s">
        <v>513</v>
      </c>
      <c r="J391" s="144" t="s">
        <v>102</v>
      </c>
      <c r="K391" s="134"/>
      <c r="L391" s="134"/>
      <c r="M391" s="134"/>
      <c r="N391" s="134"/>
      <c r="O391" s="134"/>
      <c r="P391" s="135" t="s">
        <v>103</v>
      </c>
      <c r="Q391" s="137">
        <f t="shared" si="31"/>
        <v>11514.499999999998</v>
      </c>
      <c r="R391" s="137">
        <f>(R389*130)+185</f>
        <v>11514.499999999998</v>
      </c>
      <c r="S391" s="138"/>
      <c r="T391" s="139">
        <f>IFERROR(INDEX('Price List'!$G$5:$G$74,MATCH(TRIM(J391)&amp;"|"&amp;TRIM(P391),'Price List'!$O$5:$O$74,0)),0)</f>
        <v>0.12</v>
      </c>
      <c r="U391" s="140">
        <f>IFERROR(INDEX('Price List'!$H$5:$H$74,MATCH(TRIM(J391)&amp;"|"&amp;TRIM(P391),'Price List'!$O$5:$O$74,0)),0)</f>
        <v>0.2</v>
      </c>
      <c r="V391" s="141">
        <f t="shared" si="33"/>
        <v>0.14399999999999999</v>
      </c>
      <c r="W391" s="142">
        <f>IFERROR(INDEX('Price List'!$J$5:$J$74,MATCH(TRIM(J391)&amp;"|"&amp;TRIM(P391),'Price List'!$O$5:$O$74,0)),0)</f>
        <v>0.78</v>
      </c>
      <c r="X391" s="143">
        <f>IFERROR(INDEX('Price List'!$K$5:$K$74,MATCH(TRIM(J391)&amp;"|"&amp;TRIM(P391),'Price List'!$O$5:$O$74,0)),0)</f>
        <v>0.12</v>
      </c>
      <c r="Y391" s="141">
        <f t="shared" si="34"/>
        <v>0.87360000000000015</v>
      </c>
      <c r="Z391" s="141">
        <f t="shared" si="35"/>
        <v>11717.155199999999</v>
      </c>
      <c r="AA391" s="134"/>
    </row>
    <row r="392" spans="1:27" ht="15" customHeight="1" x14ac:dyDescent="0.35">
      <c r="A392" s="134"/>
      <c r="B392" s="135"/>
      <c r="C392" s="134" t="s">
        <v>444</v>
      </c>
      <c r="D392" s="136" t="str">
        <f t="shared" si="32"/>
        <v>B.04</v>
      </c>
      <c r="E392" s="135" t="s">
        <v>414</v>
      </c>
      <c r="F392" s="135" t="s">
        <v>676</v>
      </c>
      <c r="G392" s="134" t="s">
        <v>31</v>
      </c>
      <c r="H392" s="134" t="s">
        <v>568</v>
      </c>
      <c r="I392" s="134" t="s">
        <v>513</v>
      </c>
      <c r="J392" s="144" t="s">
        <v>131</v>
      </c>
      <c r="K392" s="134"/>
      <c r="L392" s="134"/>
      <c r="M392" s="134"/>
      <c r="N392" s="134"/>
      <c r="O392" s="134"/>
      <c r="P392" s="135" t="s">
        <v>103</v>
      </c>
      <c r="Q392" s="137">
        <f t="shared" si="31"/>
        <v>166.5</v>
      </c>
      <c r="R392" s="137">
        <f>0.888*((2.5*10*3)+(2.5*15*3))</f>
        <v>166.5</v>
      </c>
      <c r="S392" s="138"/>
      <c r="T392" s="139">
        <f>IFERROR(INDEX('Price List'!$G$5:$G$74,MATCH(TRIM(J392)&amp;"|"&amp;TRIM(P392),'Price List'!$O$5:$O$74,0)),0)</f>
        <v>0.11</v>
      </c>
      <c r="U392" s="140">
        <f>IFERROR(INDEX('Price List'!$H$5:$H$74,MATCH(TRIM(J392)&amp;"|"&amp;TRIM(P392),'Price List'!$O$5:$O$74,0)),0)</f>
        <v>0.2</v>
      </c>
      <c r="V392" s="141">
        <f t="shared" si="33"/>
        <v>0.13200000000000001</v>
      </c>
      <c r="W392" s="142">
        <f>IFERROR(INDEX('Price List'!$J$5:$J$74,MATCH(TRIM(J392)&amp;"|"&amp;TRIM(P392),'Price List'!$O$5:$O$74,0)),0)</f>
        <v>0.76</v>
      </c>
      <c r="X392" s="143">
        <f>IFERROR(INDEX('Price List'!$K$5:$K$74,MATCH(TRIM(J392)&amp;"|"&amp;TRIM(P392),'Price List'!$O$5:$O$74,0)),0)</f>
        <v>0.12</v>
      </c>
      <c r="Y392" s="141">
        <f t="shared" si="34"/>
        <v>0.85120000000000007</v>
      </c>
      <c r="Z392" s="141">
        <f t="shared" si="35"/>
        <v>163.70280000000002</v>
      </c>
      <c r="AA392" s="134"/>
    </row>
    <row r="393" spans="1:27" ht="15" customHeight="1" x14ac:dyDescent="0.35">
      <c r="A393" s="134"/>
      <c r="B393" s="135"/>
      <c r="C393" s="134" t="s">
        <v>444</v>
      </c>
      <c r="D393" s="136" t="str">
        <f t="shared" si="32"/>
        <v>B.04</v>
      </c>
      <c r="E393" s="135" t="s">
        <v>414</v>
      </c>
      <c r="F393" s="135" t="s">
        <v>676</v>
      </c>
      <c r="G393" s="134" t="s">
        <v>31</v>
      </c>
      <c r="H393" s="134" t="s">
        <v>568</v>
      </c>
      <c r="I393" s="134" t="s">
        <v>657</v>
      </c>
      <c r="J393" s="134" t="s">
        <v>107</v>
      </c>
      <c r="K393" s="134"/>
      <c r="L393" s="134"/>
      <c r="M393" s="134"/>
      <c r="N393" s="134"/>
      <c r="O393" s="134"/>
      <c r="P393" s="135" t="s">
        <v>103</v>
      </c>
      <c r="Q393" s="137">
        <f t="shared" si="31"/>
        <v>467.23999999999995</v>
      </c>
      <c r="R393" s="137">
        <f>(R391+R392)*4%</f>
        <v>467.23999999999995</v>
      </c>
      <c r="S393" s="138"/>
      <c r="T393" s="139">
        <f>IFERROR(INDEX('Price List'!$G$5:$G$74,MATCH(TRIM(J393)&amp;"|"&amp;TRIM(P393),'Price List'!$O$5:$O$74,0)),0)</f>
        <v>0.05</v>
      </c>
      <c r="U393" s="140">
        <f>IFERROR(INDEX('Price List'!$H$5:$H$74,MATCH(TRIM(J393)&amp;"|"&amp;TRIM(P393),'Price List'!$O$5:$O$74,0)),0)</f>
        <v>0.2</v>
      </c>
      <c r="V393" s="141">
        <f t="shared" si="33"/>
        <v>0.06</v>
      </c>
      <c r="W393" s="142">
        <f>IFERROR(INDEX('Price List'!$J$5:$J$74,MATCH(TRIM(J393)&amp;"|"&amp;TRIM(P393),'Price List'!$O$5:$O$74,0)),0)</f>
        <v>1.2</v>
      </c>
      <c r="X393" s="143">
        <f>IFERROR(INDEX('Price List'!$K$5:$K$74,MATCH(TRIM(J393)&amp;"|"&amp;TRIM(P393),'Price List'!$O$5:$O$74,0)),0)</f>
        <v>0.12</v>
      </c>
      <c r="Y393" s="141">
        <f t="shared" si="34"/>
        <v>1.3440000000000001</v>
      </c>
      <c r="Z393" s="141">
        <f t="shared" si="35"/>
        <v>656.00495999999998</v>
      </c>
      <c r="AA393" s="134"/>
    </row>
    <row r="394" spans="1:27" ht="15" customHeight="1" x14ac:dyDescent="0.35">
      <c r="A394" s="134"/>
      <c r="B394" s="134"/>
      <c r="C394" s="134" t="s">
        <v>444</v>
      </c>
      <c r="D394" s="136" t="str">
        <f t="shared" si="32"/>
        <v>B.04</v>
      </c>
      <c r="E394" s="135" t="s">
        <v>414</v>
      </c>
      <c r="F394" s="135" t="s">
        <v>676</v>
      </c>
      <c r="G394" s="134" t="s">
        <v>31</v>
      </c>
      <c r="H394" s="134" t="s">
        <v>665</v>
      </c>
      <c r="I394" s="134" t="s">
        <v>512</v>
      </c>
      <c r="J394" s="144" t="s">
        <v>125</v>
      </c>
      <c r="K394" s="134"/>
      <c r="L394" s="134"/>
      <c r="M394" s="134"/>
      <c r="N394" s="134"/>
      <c r="O394" s="134"/>
      <c r="P394" s="135" t="s">
        <v>100</v>
      </c>
      <c r="Q394" s="137">
        <f t="shared" si="31"/>
        <v>23.430000000000003</v>
      </c>
      <c r="R394" s="137">
        <f>(5.2*4.2)+(1.325*2*0.3*2)</f>
        <v>23.430000000000003</v>
      </c>
      <c r="S394" s="138"/>
      <c r="T394" s="139">
        <f>IFERROR(INDEX('Price List'!$G$5:$G$74,MATCH(TRIM(J394)&amp;"|"&amp;TRIM(P394),'Price List'!$O$5:$O$74,0)),0)</f>
        <v>10</v>
      </c>
      <c r="U394" s="140">
        <f>IFERROR(INDEX('Price List'!$H$5:$H$74,MATCH(TRIM(J394)&amp;"|"&amp;TRIM(P394),'Price List'!$O$5:$O$74,0)),0)</f>
        <v>0.2</v>
      </c>
      <c r="V394" s="141">
        <f t="shared" si="33"/>
        <v>12</v>
      </c>
      <c r="W394" s="142">
        <f>IFERROR(INDEX('Price List'!$J$5:$J$74,MATCH(TRIM(J394)&amp;"|"&amp;TRIM(P394),'Price List'!$O$5:$O$74,0)),0)</f>
        <v>98</v>
      </c>
      <c r="X394" s="143">
        <f>IFERROR(INDEX('Price List'!$K$5:$K$74,MATCH(TRIM(J394)&amp;"|"&amp;TRIM(P394),'Price List'!$O$5:$O$74,0)),0)</f>
        <v>0.12</v>
      </c>
      <c r="Y394" s="141">
        <f t="shared" si="34"/>
        <v>109.76</v>
      </c>
      <c r="Z394" s="141">
        <f t="shared" si="35"/>
        <v>2852.8368000000005</v>
      </c>
      <c r="AA394" s="134"/>
    </row>
    <row r="395" spans="1:27" ht="15" customHeight="1" x14ac:dyDescent="0.35">
      <c r="A395" s="134"/>
      <c r="B395" s="134"/>
      <c r="C395" s="134" t="s">
        <v>444</v>
      </c>
      <c r="D395" s="136" t="str">
        <f t="shared" si="32"/>
        <v>B.04</v>
      </c>
      <c r="E395" s="135" t="s">
        <v>414</v>
      </c>
      <c r="F395" s="135" t="s">
        <v>676</v>
      </c>
      <c r="G395" s="134" t="s">
        <v>31</v>
      </c>
      <c r="H395" s="134" t="s">
        <v>665</v>
      </c>
      <c r="I395" s="144" t="s">
        <v>127</v>
      </c>
      <c r="J395" s="144" t="s">
        <v>127</v>
      </c>
      <c r="K395" s="144"/>
      <c r="L395" s="134"/>
      <c r="M395" s="134"/>
      <c r="N395" s="134"/>
      <c r="O395" s="134"/>
      <c r="P395" s="135" t="s">
        <v>128</v>
      </c>
      <c r="Q395" s="137">
        <f t="shared" si="31"/>
        <v>139.70000000000002</v>
      </c>
      <c r="R395" s="137">
        <f>(32*4.2)+(1.325*2*2)</f>
        <v>139.70000000000002</v>
      </c>
      <c r="S395" s="138"/>
      <c r="T395" s="139">
        <f>IFERROR(INDEX('Price List'!$G$5:$G$74,MATCH(TRIM(J395)&amp;"|"&amp;TRIM(P395),'Price List'!$O$5:$O$74,0)),0)</f>
        <v>6</v>
      </c>
      <c r="U395" s="140">
        <f>IFERROR(INDEX('Price List'!$H$5:$H$74,MATCH(TRIM(J395)&amp;"|"&amp;TRIM(P395),'Price List'!$O$5:$O$74,0)),0)</f>
        <v>0.2</v>
      </c>
      <c r="V395" s="141">
        <f t="shared" si="33"/>
        <v>7.1999999999999993</v>
      </c>
      <c r="W395" s="142">
        <f>IFERROR(INDEX('Price List'!$J$5:$J$74,MATCH(TRIM(J395)&amp;"|"&amp;TRIM(P395),'Price List'!$O$5:$O$74,0)),0)</f>
        <v>5</v>
      </c>
      <c r="X395" s="143">
        <f>IFERROR(INDEX('Price List'!$K$5:$K$74,MATCH(TRIM(J395)&amp;"|"&amp;TRIM(P395),'Price List'!$O$5:$O$74,0)),0)</f>
        <v>0.12</v>
      </c>
      <c r="Y395" s="141">
        <f t="shared" si="34"/>
        <v>5.6000000000000005</v>
      </c>
      <c r="Z395" s="141">
        <f t="shared" si="35"/>
        <v>1788.1600000000003</v>
      </c>
      <c r="AA395" s="134"/>
    </row>
    <row r="396" spans="1:27" ht="15" customHeight="1" x14ac:dyDescent="0.35">
      <c r="A396" s="134"/>
      <c r="B396" s="134"/>
      <c r="C396" s="134" t="s">
        <v>444</v>
      </c>
      <c r="D396" s="136" t="str">
        <f t="shared" si="32"/>
        <v>B.04</v>
      </c>
      <c r="E396" s="135" t="s">
        <v>414</v>
      </c>
      <c r="F396" s="135" t="s">
        <v>676</v>
      </c>
      <c r="G396" s="134" t="s">
        <v>31</v>
      </c>
      <c r="H396" s="134" t="s">
        <v>665</v>
      </c>
      <c r="I396" s="134" t="s">
        <v>513</v>
      </c>
      <c r="J396" s="144" t="s">
        <v>102</v>
      </c>
      <c r="K396" s="134"/>
      <c r="L396" s="134"/>
      <c r="M396" s="134"/>
      <c r="N396" s="134"/>
      <c r="O396" s="134"/>
      <c r="P396" s="135" t="s">
        <v>103</v>
      </c>
      <c r="Q396" s="137">
        <f t="shared" si="31"/>
        <v>241.864</v>
      </c>
      <c r="R396" s="137">
        <v>241.864</v>
      </c>
      <c r="S396" s="138"/>
      <c r="T396" s="139">
        <f>IFERROR(INDEX('Price List'!$G$5:$G$74,MATCH(TRIM(J396)&amp;"|"&amp;TRIM(P396),'Price List'!$O$5:$O$74,0)),0)</f>
        <v>0.12</v>
      </c>
      <c r="U396" s="140">
        <f>IFERROR(INDEX('Price List'!$H$5:$H$74,MATCH(TRIM(J396)&amp;"|"&amp;TRIM(P396),'Price List'!$O$5:$O$74,0)),0)</f>
        <v>0.2</v>
      </c>
      <c r="V396" s="141">
        <f t="shared" si="33"/>
        <v>0.14399999999999999</v>
      </c>
      <c r="W396" s="142">
        <f>IFERROR(INDEX('Price List'!$J$5:$J$74,MATCH(TRIM(J396)&amp;"|"&amp;TRIM(P396),'Price List'!$O$5:$O$74,0)),0)</f>
        <v>0.78</v>
      </c>
      <c r="X396" s="143">
        <f>IFERROR(INDEX('Price List'!$K$5:$K$74,MATCH(TRIM(J396)&amp;"|"&amp;TRIM(P396),'Price List'!$O$5:$O$74,0)),0)</f>
        <v>0.12</v>
      </c>
      <c r="Y396" s="141">
        <f t="shared" si="34"/>
        <v>0.87360000000000015</v>
      </c>
      <c r="Z396" s="141">
        <f t="shared" si="35"/>
        <v>246.12080640000002</v>
      </c>
      <c r="AA396" s="134"/>
    </row>
    <row r="397" spans="1:27" ht="15" customHeight="1" x14ac:dyDescent="0.35">
      <c r="A397" s="134"/>
      <c r="B397" s="134"/>
      <c r="C397" s="134" t="s">
        <v>444</v>
      </c>
      <c r="D397" s="136" t="str">
        <f t="shared" si="32"/>
        <v>B.04</v>
      </c>
      <c r="E397" s="135" t="s">
        <v>414</v>
      </c>
      <c r="F397" s="135" t="s">
        <v>676</v>
      </c>
      <c r="G397" s="134" t="s">
        <v>31</v>
      </c>
      <c r="H397" s="134" t="s">
        <v>665</v>
      </c>
      <c r="I397" s="134" t="s">
        <v>513</v>
      </c>
      <c r="J397" s="144" t="s">
        <v>131</v>
      </c>
      <c r="K397" s="134"/>
      <c r="L397" s="134"/>
      <c r="M397" s="134"/>
      <c r="N397" s="134"/>
      <c r="O397" s="134"/>
      <c r="P397" s="135" t="s">
        <v>103</v>
      </c>
      <c r="Q397" s="137">
        <f t="shared" si="31"/>
        <v>1071.6384</v>
      </c>
      <c r="R397" s="137">
        <v>1071.6384</v>
      </c>
      <c r="S397" s="138"/>
      <c r="T397" s="139">
        <f>IFERROR(INDEX('Price List'!$G$5:$G$74,MATCH(TRIM(J397)&amp;"|"&amp;TRIM(P397),'Price List'!$O$5:$O$74,0)),0)</f>
        <v>0.11</v>
      </c>
      <c r="U397" s="140">
        <f>IFERROR(INDEX('Price List'!$H$5:$H$74,MATCH(TRIM(J397)&amp;"|"&amp;TRIM(P397),'Price List'!$O$5:$O$74,0)),0)</f>
        <v>0.2</v>
      </c>
      <c r="V397" s="141">
        <f t="shared" si="33"/>
        <v>0.13200000000000001</v>
      </c>
      <c r="W397" s="142">
        <f>IFERROR(INDEX('Price List'!$J$5:$J$74,MATCH(TRIM(J397)&amp;"|"&amp;TRIM(P397),'Price List'!$O$5:$O$74,0)),0)</f>
        <v>0.76</v>
      </c>
      <c r="X397" s="143">
        <f>IFERROR(INDEX('Price List'!$K$5:$K$74,MATCH(TRIM(J397)&amp;"|"&amp;TRIM(P397),'Price List'!$O$5:$O$74,0)),0)</f>
        <v>0.12</v>
      </c>
      <c r="Y397" s="141">
        <f t="shared" si="34"/>
        <v>0.85120000000000007</v>
      </c>
      <c r="Z397" s="141">
        <f t="shared" si="35"/>
        <v>1053.6348748800001</v>
      </c>
      <c r="AA397" s="134"/>
    </row>
    <row r="398" spans="1:27" ht="15" customHeight="1" x14ac:dyDescent="0.35">
      <c r="A398" s="134"/>
      <c r="B398" s="134"/>
      <c r="C398" s="134" t="s">
        <v>444</v>
      </c>
      <c r="D398" s="136" t="str">
        <f t="shared" si="32"/>
        <v>B.04</v>
      </c>
      <c r="E398" s="135" t="s">
        <v>414</v>
      </c>
      <c r="F398" s="135" t="s">
        <v>676</v>
      </c>
      <c r="G398" s="134" t="s">
        <v>31</v>
      </c>
      <c r="H398" s="134" t="s">
        <v>665</v>
      </c>
      <c r="I398" s="134" t="s">
        <v>513</v>
      </c>
      <c r="J398" s="144" t="s">
        <v>211</v>
      </c>
      <c r="K398" s="134"/>
      <c r="L398" s="134"/>
      <c r="M398" s="134"/>
      <c r="N398" s="134"/>
      <c r="O398" s="134"/>
      <c r="P398" s="135" t="s">
        <v>103</v>
      </c>
      <c r="Q398" s="137">
        <f t="shared" si="31"/>
        <v>1122.4736</v>
      </c>
      <c r="R398" s="137">
        <v>1122.4736</v>
      </c>
      <c r="S398" s="138"/>
      <c r="T398" s="139">
        <f>IFERROR(INDEX('Price List'!$G$5:$G$74,MATCH(TRIM(J398)&amp;"|"&amp;TRIM(P398),'Price List'!$O$5:$O$74,0)),0)</f>
        <v>0.1</v>
      </c>
      <c r="U398" s="140">
        <f>IFERROR(INDEX('Price List'!$H$5:$H$74,MATCH(TRIM(J398)&amp;"|"&amp;TRIM(P398),'Price List'!$O$5:$O$74,0)),0)</f>
        <v>0.2</v>
      </c>
      <c r="V398" s="141">
        <f t="shared" si="33"/>
        <v>0.12</v>
      </c>
      <c r="W398" s="142">
        <f>IFERROR(INDEX('Price List'!$J$5:$J$74,MATCH(TRIM(J398)&amp;"|"&amp;TRIM(P398),'Price List'!$O$5:$O$74,0)),0)</f>
        <v>0.75</v>
      </c>
      <c r="X398" s="143">
        <f>IFERROR(INDEX('Price List'!$K$5:$K$74,MATCH(TRIM(J398)&amp;"|"&amp;TRIM(P398),'Price List'!$O$5:$O$74,0)),0)</f>
        <v>0.12</v>
      </c>
      <c r="Y398" s="141">
        <f t="shared" si="34"/>
        <v>0.84000000000000008</v>
      </c>
      <c r="Z398" s="141">
        <f t="shared" si="35"/>
        <v>1077.574656</v>
      </c>
      <c r="AA398" s="134"/>
    </row>
    <row r="399" spans="1:27" ht="15" customHeight="1" x14ac:dyDescent="0.35">
      <c r="A399" s="134"/>
      <c r="B399" s="134"/>
      <c r="C399" s="134" t="s">
        <v>444</v>
      </c>
      <c r="D399" s="136" t="str">
        <f t="shared" si="32"/>
        <v>B.04</v>
      </c>
      <c r="E399" s="135" t="s">
        <v>414</v>
      </c>
      <c r="F399" s="135" t="s">
        <v>676</v>
      </c>
      <c r="G399" s="134" t="s">
        <v>31</v>
      </c>
      <c r="H399" s="134" t="s">
        <v>665</v>
      </c>
      <c r="I399" s="134" t="s">
        <v>513</v>
      </c>
      <c r="J399" s="144" t="s">
        <v>135</v>
      </c>
      <c r="K399" s="134"/>
      <c r="L399" s="134"/>
      <c r="M399" s="134"/>
      <c r="N399" s="134"/>
      <c r="O399" s="134"/>
      <c r="P399" s="135" t="s">
        <v>103</v>
      </c>
      <c r="Q399" s="137">
        <f t="shared" si="31"/>
        <v>822.01599999999996</v>
      </c>
      <c r="R399" s="137">
        <v>822.01599999999996</v>
      </c>
      <c r="S399" s="138"/>
      <c r="T399" s="139">
        <f>IFERROR(INDEX('Price List'!$G$5:$G$74,MATCH(TRIM(J399)&amp;"|"&amp;TRIM(P399),'Price List'!$O$5:$O$74,0)),0)</f>
        <v>0.09</v>
      </c>
      <c r="U399" s="140">
        <f>IFERROR(INDEX('Price List'!$H$5:$H$74,MATCH(TRIM(J399)&amp;"|"&amp;TRIM(P399),'Price List'!$O$5:$O$74,0)),0)</f>
        <v>0.2</v>
      </c>
      <c r="V399" s="141">
        <f t="shared" si="33"/>
        <v>0.108</v>
      </c>
      <c r="W399" s="142">
        <f>IFERROR(INDEX('Price List'!$J$5:$J$74,MATCH(TRIM(J399)&amp;"|"&amp;TRIM(P399),'Price List'!$O$5:$O$74,0)),0)</f>
        <v>0.73</v>
      </c>
      <c r="X399" s="143">
        <f>IFERROR(INDEX('Price List'!$K$5:$K$74,MATCH(TRIM(J399)&amp;"|"&amp;TRIM(P399),'Price List'!$O$5:$O$74,0)),0)</f>
        <v>0.12</v>
      </c>
      <c r="Y399" s="141">
        <f t="shared" si="34"/>
        <v>0.8176000000000001</v>
      </c>
      <c r="Z399" s="141">
        <f t="shared" si="35"/>
        <v>760.85800960000006</v>
      </c>
      <c r="AA399" s="134"/>
    </row>
    <row r="400" spans="1:27" ht="15" customHeight="1" x14ac:dyDescent="0.35">
      <c r="A400" s="134"/>
      <c r="B400" s="134"/>
      <c r="C400" s="134" t="s">
        <v>444</v>
      </c>
      <c r="D400" s="136" t="str">
        <f t="shared" si="32"/>
        <v>B.04</v>
      </c>
      <c r="E400" s="135" t="s">
        <v>414</v>
      </c>
      <c r="F400" s="135" t="s">
        <v>676</v>
      </c>
      <c r="G400" s="134" t="s">
        <v>31</v>
      </c>
      <c r="H400" s="134" t="s">
        <v>665</v>
      </c>
      <c r="I400" s="134" t="s">
        <v>657</v>
      </c>
      <c r="J400" s="134" t="s">
        <v>107</v>
      </c>
      <c r="K400" s="134"/>
      <c r="L400" s="134"/>
      <c r="M400" s="134"/>
      <c r="N400" s="134"/>
      <c r="O400" s="134"/>
      <c r="P400" s="135" t="s">
        <v>103</v>
      </c>
      <c r="Q400" s="137">
        <f t="shared" si="31"/>
        <v>130.31968000000001</v>
      </c>
      <c r="R400" s="137">
        <f>(R398+R399+R397+R396)*4%</f>
        <v>130.31968000000001</v>
      </c>
      <c r="S400" s="138"/>
      <c r="T400" s="139">
        <f>IFERROR(INDEX('Price List'!$G$5:$G$74,MATCH(TRIM(J400)&amp;"|"&amp;TRIM(P400),'Price List'!$O$5:$O$74,0)),0)</f>
        <v>0.05</v>
      </c>
      <c r="U400" s="140">
        <f>IFERROR(INDEX('Price List'!$H$5:$H$74,MATCH(TRIM(J400)&amp;"|"&amp;TRIM(P400),'Price List'!$O$5:$O$74,0)),0)</f>
        <v>0.2</v>
      </c>
      <c r="V400" s="141">
        <f t="shared" si="33"/>
        <v>0.06</v>
      </c>
      <c r="W400" s="142">
        <f>IFERROR(INDEX('Price List'!$J$5:$J$74,MATCH(TRIM(J400)&amp;"|"&amp;TRIM(P400),'Price List'!$O$5:$O$74,0)),0)</f>
        <v>1.2</v>
      </c>
      <c r="X400" s="143">
        <f>IFERROR(INDEX('Price List'!$K$5:$K$74,MATCH(TRIM(J400)&amp;"|"&amp;TRIM(P400),'Price List'!$O$5:$O$74,0)),0)</f>
        <v>0.12</v>
      </c>
      <c r="Y400" s="141">
        <f t="shared" si="34"/>
        <v>1.3440000000000001</v>
      </c>
      <c r="Z400" s="141">
        <f t="shared" si="35"/>
        <v>182.96883072000003</v>
      </c>
      <c r="AA400" s="134"/>
    </row>
    <row r="401" spans="1:27" ht="15" customHeight="1" x14ac:dyDescent="0.35">
      <c r="A401" s="134"/>
      <c r="B401" s="135"/>
      <c r="C401" s="134" t="s">
        <v>444</v>
      </c>
      <c r="D401" s="136" t="str">
        <f t="shared" si="32"/>
        <v>B.04</v>
      </c>
      <c r="E401" s="135" t="s">
        <v>414</v>
      </c>
      <c r="F401" s="135" t="s">
        <v>676</v>
      </c>
      <c r="G401" s="134" t="s">
        <v>31</v>
      </c>
      <c r="H401" s="134" t="s">
        <v>578</v>
      </c>
      <c r="I401" s="134" t="s">
        <v>512</v>
      </c>
      <c r="J401" s="145" t="s">
        <v>125</v>
      </c>
      <c r="K401" s="134"/>
      <c r="L401" s="134"/>
      <c r="M401" s="134"/>
      <c r="N401" s="134"/>
      <c r="O401" s="134"/>
      <c r="P401" s="135" t="s">
        <v>100</v>
      </c>
      <c r="Q401" s="137">
        <f t="shared" si="31"/>
        <v>5.016</v>
      </c>
      <c r="R401" s="137">
        <v>5.016</v>
      </c>
      <c r="S401" s="138"/>
      <c r="T401" s="139">
        <f>IFERROR(INDEX('Price List'!$G$5:$G$74,MATCH(TRIM(J401)&amp;"|"&amp;TRIM(P401),'Price List'!$O$5:$O$74,0)),0)</f>
        <v>10</v>
      </c>
      <c r="U401" s="140">
        <f>IFERROR(INDEX('Price List'!$H$5:$H$74,MATCH(TRIM(J401)&amp;"|"&amp;TRIM(P401),'Price List'!$O$5:$O$74,0)),0)</f>
        <v>0.2</v>
      </c>
      <c r="V401" s="141">
        <f t="shared" si="33"/>
        <v>12</v>
      </c>
      <c r="W401" s="142">
        <f>IFERROR(INDEX('Price List'!$J$5:$J$74,MATCH(TRIM(J401)&amp;"|"&amp;TRIM(P401),'Price List'!$O$5:$O$74,0)),0)</f>
        <v>98</v>
      </c>
      <c r="X401" s="143">
        <f>IFERROR(INDEX('Price List'!$K$5:$K$74,MATCH(TRIM(J401)&amp;"|"&amp;TRIM(P401),'Price List'!$O$5:$O$74,0)),0)</f>
        <v>0.12</v>
      </c>
      <c r="Y401" s="141">
        <f t="shared" si="34"/>
        <v>109.76</v>
      </c>
      <c r="Z401" s="141">
        <f t="shared" si="35"/>
        <v>610.74815999999998</v>
      </c>
      <c r="AA401" s="134"/>
    </row>
    <row r="402" spans="1:27" ht="15" customHeight="1" x14ac:dyDescent="0.35">
      <c r="A402" s="134"/>
      <c r="B402" s="135"/>
      <c r="C402" s="134" t="s">
        <v>444</v>
      </c>
      <c r="D402" s="136" t="str">
        <f t="shared" si="32"/>
        <v>B.04</v>
      </c>
      <c r="E402" s="135" t="s">
        <v>414</v>
      </c>
      <c r="F402" s="135" t="s">
        <v>676</v>
      </c>
      <c r="G402" s="134" t="s">
        <v>31</v>
      </c>
      <c r="H402" s="134" t="s">
        <v>578</v>
      </c>
      <c r="I402" s="144" t="s">
        <v>127</v>
      </c>
      <c r="J402" s="144" t="s">
        <v>127</v>
      </c>
      <c r="K402" s="144"/>
      <c r="L402" s="134"/>
      <c r="M402" s="134"/>
      <c r="N402" s="134"/>
      <c r="O402" s="134"/>
      <c r="P402" s="135" t="s">
        <v>128</v>
      </c>
      <c r="Q402" s="137">
        <f t="shared" si="31"/>
        <v>75.239999999999995</v>
      </c>
      <c r="R402" s="137">
        <f>R401*15</f>
        <v>75.239999999999995</v>
      </c>
      <c r="S402" s="138"/>
      <c r="T402" s="139">
        <f>IFERROR(INDEX('Price List'!$G$5:$G$74,MATCH(TRIM(J402)&amp;"|"&amp;TRIM(P402),'Price List'!$O$5:$O$74,0)),0)</f>
        <v>6</v>
      </c>
      <c r="U402" s="140">
        <f>IFERROR(INDEX('Price List'!$H$5:$H$74,MATCH(TRIM(J402)&amp;"|"&amp;TRIM(P402),'Price List'!$O$5:$O$74,0)),0)</f>
        <v>0.2</v>
      </c>
      <c r="V402" s="141">
        <f t="shared" si="33"/>
        <v>7.1999999999999993</v>
      </c>
      <c r="W402" s="142">
        <f>IFERROR(INDEX('Price List'!$J$5:$J$74,MATCH(TRIM(J402)&amp;"|"&amp;TRIM(P402),'Price List'!$O$5:$O$74,0)),0)</f>
        <v>5</v>
      </c>
      <c r="X402" s="143">
        <f>IFERROR(INDEX('Price List'!$K$5:$K$74,MATCH(TRIM(J402)&amp;"|"&amp;TRIM(P402),'Price List'!$O$5:$O$74,0)),0)</f>
        <v>0.12</v>
      </c>
      <c r="Y402" s="141">
        <f t="shared" si="34"/>
        <v>5.6000000000000005</v>
      </c>
      <c r="Z402" s="141">
        <f t="shared" si="35"/>
        <v>963.072</v>
      </c>
      <c r="AA402" s="134"/>
    </row>
    <row r="403" spans="1:27" ht="15" customHeight="1" x14ac:dyDescent="0.35">
      <c r="A403" s="134"/>
      <c r="B403" s="135"/>
      <c r="C403" s="134" t="s">
        <v>444</v>
      </c>
      <c r="D403" s="136" t="str">
        <f t="shared" si="32"/>
        <v>B.04</v>
      </c>
      <c r="E403" s="135" t="s">
        <v>414</v>
      </c>
      <c r="F403" s="135" t="s">
        <v>676</v>
      </c>
      <c r="G403" s="134" t="s">
        <v>31</v>
      </c>
      <c r="H403" s="134" t="s">
        <v>578</v>
      </c>
      <c r="I403" s="134" t="s">
        <v>513</v>
      </c>
      <c r="J403" s="144" t="s">
        <v>169</v>
      </c>
      <c r="K403" s="144"/>
      <c r="L403" s="134"/>
      <c r="M403" s="134"/>
      <c r="N403" s="134"/>
      <c r="O403" s="134"/>
      <c r="P403" s="135" t="s">
        <v>103</v>
      </c>
      <c r="Q403" s="137">
        <f t="shared" si="31"/>
        <v>50.16</v>
      </c>
      <c r="R403" s="137">
        <f>R401*10</f>
        <v>50.16</v>
      </c>
      <c r="S403" s="138"/>
      <c r="T403" s="139">
        <f>IFERROR(INDEX('Price List'!$G$5:$G$74,MATCH(TRIM(J403)&amp;"|"&amp;TRIM(P403),'Price List'!$O$5:$O$74,0)),0)</f>
        <v>0.12</v>
      </c>
      <c r="U403" s="140">
        <f>IFERROR(INDEX('Price List'!$H$5:$H$74,MATCH(TRIM(J403)&amp;"|"&amp;TRIM(P403),'Price List'!$O$5:$O$74,0)),0)</f>
        <v>0.2</v>
      </c>
      <c r="V403" s="141">
        <f t="shared" si="33"/>
        <v>0.14399999999999999</v>
      </c>
      <c r="W403" s="142">
        <f>IFERROR(INDEX('Price List'!$J$5:$J$74,MATCH(TRIM(J403)&amp;"|"&amp;TRIM(P403),'Price List'!$O$5:$O$74,0)),0)</f>
        <v>0.77</v>
      </c>
      <c r="X403" s="143">
        <f>IFERROR(INDEX('Price List'!$K$5:$K$74,MATCH(TRIM(J403)&amp;"|"&amp;TRIM(P403),'Price List'!$O$5:$O$74,0)),0)</f>
        <v>0.12</v>
      </c>
      <c r="Y403" s="141">
        <f t="shared" si="34"/>
        <v>0.86240000000000006</v>
      </c>
      <c r="Z403" s="141">
        <f t="shared" si="35"/>
        <v>50.481023999999998</v>
      </c>
      <c r="AA403" s="134"/>
    </row>
    <row r="404" spans="1:27" ht="15" customHeight="1" x14ac:dyDescent="0.35">
      <c r="A404" s="134"/>
      <c r="B404" s="135"/>
      <c r="C404" s="134" t="s">
        <v>444</v>
      </c>
      <c r="D404" s="136" t="str">
        <f t="shared" si="32"/>
        <v>B.04</v>
      </c>
      <c r="E404" s="135" t="s">
        <v>414</v>
      </c>
      <c r="F404" s="135" t="s">
        <v>676</v>
      </c>
      <c r="G404" s="134" t="s">
        <v>31</v>
      </c>
      <c r="H404" s="134" t="s">
        <v>578</v>
      </c>
      <c r="I404" s="134" t="s">
        <v>513</v>
      </c>
      <c r="J404" s="144" t="s">
        <v>131</v>
      </c>
      <c r="K404" s="134"/>
      <c r="L404" s="134"/>
      <c r="M404" s="134"/>
      <c r="N404" s="134"/>
      <c r="O404" s="134"/>
      <c r="P404" s="135" t="s">
        <v>103</v>
      </c>
      <c r="Q404" s="137">
        <f t="shared" si="31"/>
        <v>601.91999999999996</v>
      </c>
      <c r="R404" s="137">
        <f>R401*120</f>
        <v>601.91999999999996</v>
      </c>
      <c r="S404" s="138"/>
      <c r="T404" s="139">
        <f>IFERROR(INDEX('Price List'!$G$5:$G$74,MATCH(TRIM(J404)&amp;"|"&amp;TRIM(P404),'Price List'!$O$5:$O$74,0)),0)</f>
        <v>0.11</v>
      </c>
      <c r="U404" s="140">
        <f>IFERROR(INDEX('Price List'!$H$5:$H$74,MATCH(TRIM(J404)&amp;"|"&amp;TRIM(P404),'Price List'!$O$5:$O$74,0)),0)</f>
        <v>0.2</v>
      </c>
      <c r="V404" s="141">
        <f t="shared" si="33"/>
        <v>0.13200000000000001</v>
      </c>
      <c r="W404" s="142">
        <f>IFERROR(INDEX('Price List'!$J$5:$J$74,MATCH(TRIM(J404)&amp;"|"&amp;TRIM(P404),'Price List'!$O$5:$O$74,0)),0)</f>
        <v>0.76</v>
      </c>
      <c r="X404" s="143">
        <f>IFERROR(INDEX('Price List'!$K$5:$K$74,MATCH(TRIM(J404)&amp;"|"&amp;TRIM(P404),'Price List'!$O$5:$O$74,0)),0)</f>
        <v>0.12</v>
      </c>
      <c r="Y404" s="141">
        <f t="shared" si="34"/>
        <v>0.85120000000000007</v>
      </c>
      <c r="Z404" s="141">
        <f t="shared" si="35"/>
        <v>591.80774399999996</v>
      </c>
      <c r="AA404" s="134"/>
    </row>
    <row r="405" spans="1:27" ht="15" customHeight="1" x14ac:dyDescent="0.35">
      <c r="A405" s="134"/>
      <c r="B405" s="135"/>
      <c r="C405" s="134" t="s">
        <v>444</v>
      </c>
      <c r="D405" s="136" t="str">
        <f t="shared" si="32"/>
        <v>B.04</v>
      </c>
      <c r="E405" s="135" t="s">
        <v>414</v>
      </c>
      <c r="F405" s="135" t="s">
        <v>676</v>
      </c>
      <c r="G405" s="134" t="s">
        <v>31</v>
      </c>
      <c r="H405" s="134" t="s">
        <v>578</v>
      </c>
      <c r="I405" s="134" t="s">
        <v>513</v>
      </c>
      <c r="J405" s="144" t="s">
        <v>133</v>
      </c>
      <c r="K405" s="134"/>
      <c r="L405" s="134"/>
      <c r="M405" s="134"/>
      <c r="N405" s="134"/>
      <c r="O405" s="134"/>
      <c r="P405" s="135" t="s">
        <v>103</v>
      </c>
      <c r="Q405" s="137">
        <f t="shared" si="31"/>
        <v>125.4</v>
      </c>
      <c r="R405" s="137">
        <f>R401*25</f>
        <v>125.4</v>
      </c>
      <c r="S405" s="138"/>
      <c r="T405" s="139">
        <f>IFERROR(INDEX('Price List'!$G$5:$G$74,MATCH(TRIM(J405)&amp;"|"&amp;TRIM(P405),'Price List'!$O$5:$O$74,0)),0)</f>
        <v>0.1</v>
      </c>
      <c r="U405" s="140">
        <f>IFERROR(INDEX('Price List'!$H$5:$H$74,MATCH(TRIM(J405)&amp;"|"&amp;TRIM(P405),'Price List'!$O$5:$O$74,0)),0)</f>
        <v>0.2</v>
      </c>
      <c r="V405" s="141">
        <f t="shared" si="33"/>
        <v>0.12</v>
      </c>
      <c r="W405" s="142">
        <f>IFERROR(INDEX('Price List'!$J$5:$J$74,MATCH(TRIM(J405)&amp;"|"&amp;TRIM(P405),'Price List'!$O$5:$O$74,0)),0)</f>
        <v>0.74</v>
      </c>
      <c r="X405" s="143">
        <f>IFERROR(INDEX('Price List'!$K$5:$K$74,MATCH(TRIM(J405)&amp;"|"&amp;TRIM(P405),'Price List'!$O$5:$O$74,0)),0)</f>
        <v>0.12</v>
      </c>
      <c r="Y405" s="141">
        <f t="shared" si="34"/>
        <v>0.82880000000000009</v>
      </c>
      <c r="Z405" s="141">
        <f t="shared" si="35"/>
        <v>118.97952000000002</v>
      </c>
      <c r="AA405" s="134"/>
    </row>
    <row r="406" spans="1:27" ht="15" customHeight="1" x14ac:dyDescent="0.35">
      <c r="A406" s="134"/>
      <c r="B406" s="135"/>
      <c r="C406" s="134" t="s">
        <v>444</v>
      </c>
      <c r="D406" s="136" t="str">
        <f t="shared" si="32"/>
        <v>B.04</v>
      </c>
      <c r="E406" s="135" t="s">
        <v>414</v>
      </c>
      <c r="F406" s="135" t="s">
        <v>676</v>
      </c>
      <c r="G406" s="134" t="s">
        <v>31</v>
      </c>
      <c r="H406" s="134" t="s">
        <v>578</v>
      </c>
      <c r="I406" s="134" t="s">
        <v>657</v>
      </c>
      <c r="J406" s="134" t="s">
        <v>107</v>
      </c>
      <c r="K406" s="134"/>
      <c r="L406" s="134"/>
      <c r="M406" s="134"/>
      <c r="N406" s="134"/>
      <c r="O406" s="134"/>
      <c r="P406" s="135" t="s">
        <v>103</v>
      </c>
      <c r="Q406" s="137">
        <f t="shared" si="31"/>
        <v>31.099199999999996</v>
      </c>
      <c r="R406" s="137">
        <f>(R404+R405+R403)*4%</f>
        <v>31.099199999999996</v>
      </c>
      <c r="S406" s="138"/>
      <c r="T406" s="139">
        <f>IFERROR(INDEX('Price List'!$G$5:$G$74,MATCH(TRIM(J406)&amp;"|"&amp;TRIM(P406),'Price List'!$O$5:$O$74,0)),0)</f>
        <v>0.05</v>
      </c>
      <c r="U406" s="140">
        <f>IFERROR(INDEX('Price List'!$H$5:$H$74,MATCH(TRIM(J406)&amp;"|"&amp;TRIM(P406),'Price List'!$O$5:$O$74,0)),0)</f>
        <v>0.2</v>
      </c>
      <c r="V406" s="141">
        <f t="shared" si="33"/>
        <v>0.06</v>
      </c>
      <c r="W406" s="142">
        <f>IFERROR(INDEX('Price List'!$J$5:$J$74,MATCH(TRIM(J406)&amp;"|"&amp;TRIM(P406),'Price List'!$O$5:$O$74,0)),0)</f>
        <v>1.2</v>
      </c>
      <c r="X406" s="143">
        <f>IFERROR(INDEX('Price List'!$K$5:$K$74,MATCH(TRIM(J406)&amp;"|"&amp;TRIM(P406),'Price List'!$O$5:$O$74,0)),0)</f>
        <v>0.12</v>
      </c>
      <c r="Y406" s="141">
        <f t="shared" si="34"/>
        <v>1.3440000000000001</v>
      </c>
      <c r="Z406" s="141">
        <f t="shared" si="35"/>
        <v>43.663276799999998</v>
      </c>
      <c r="AA406" s="134"/>
    </row>
    <row r="407" spans="1:27" ht="15" customHeight="1" x14ac:dyDescent="0.35">
      <c r="A407" s="134"/>
      <c r="B407" s="134"/>
      <c r="C407" s="134" t="s">
        <v>444</v>
      </c>
      <c r="D407" s="136" t="str">
        <f t="shared" si="32"/>
        <v>B.04</v>
      </c>
      <c r="E407" s="135" t="s">
        <v>414</v>
      </c>
      <c r="F407" s="135" t="s">
        <v>676</v>
      </c>
      <c r="G407" s="134" t="s">
        <v>31</v>
      </c>
      <c r="H407" s="134" t="s">
        <v>573</v>
      </c>
      <c r="I407" s="134" t="s">
        <v>512</v>
      </c>
      <c r="J407" s="144" t="s">
        <v>125</v>
      </c>
      <c r="K407" s="134"/>
      <c r="L407" s="134"/>
      <c r="M407" s="134"/>
      <c r="N407" s="134"/>
      <c r="O407" s="134"/>
      <c r="P407" s="135" t="s">
        <v>100</v>
      </c>
      <c r="Q407" s="137">
        <v>38.304000000000002</v>
      </c>
      <c r="R407" s="137">
        <v>38.304000000000002</v>
      </c>
      <c r="S407" s="138"/>
      <c r="T407" s="139">
        <f>IFERROR(INDEX('Price List'!$G$5:$G$74,MATCH(TRIM(J407)&amp;"|"&amp;TRIM(P407),'Price List'!$O$5:$O$74,0)),0)</f>
        <v>10</v>
      </c>
      <c r="U407" s="140">
        <f>IFERROR(INDEX('Price List'!$H$5:$H$74,MATCH(TRIM(J407)&amp;"|"&amp;TRIM(P407),'Price List'!$O$5:$O$74,0)),0)</f>
        <v>0.2</v>
      </c>
      <c r="V407" s="141">
        <f t="shared" si="33"/>
        <v>12</v>
      </c>
      <c r="W407" s="142">
        <f>IFERROR(INDEX('Price List'!$J$5:$J$74,MATCH(TRIM(J407)&amp;"|"&amp;TRIM(P407),'Price List'!$O$5:$O$74,0)),0)</f>
        <v>98</v>
      </c>
      <c r="X407" s="143">
        <f>IFERROR(INDEX('Price List'!$K$5:$K$74,MATCH(TRIM(J407)&amp;"|"&amp;TRIM(P407),'Price List'!$O$5:$O$74,0)),0)</f>
        <v>0.12</v>
      </c>
      <c r="Y407" s="141">
        <f t="shared" si="34"/>
        <v>109.76</v>
      </c>
      <c r="Z407" s="141">
        <f t="shared" si="35"/>
        <v>4663.8950400000003</v>
      </c>
      <c r="AA407" s="134"/>
    </row>
    <row r="408" spans="1:27" ht="15" customHeight="1" x14ac:dyDescent="0.35">
      <c r="A408" s="134"/>
      <c r="B408" s="134"/>
      <c r="C408" s="134" t="s">
        <v>444</v>
      </c>
      <c r="D408" s="136" t="str">
        <f t="shared" si="32"/>
        <v>B.04</v>
      </c>
      <c r="E408" s="135" t="s">
        <v>414</v>
      </c>
      <c r="F408" s="135" t="s">
        <v>676</v>
      </c>
      <c r="G408" s="134" t="s">
        <v>31</v>
      </c>
      <c r="H408" s="134" t="s">
        <v>573</v>
      </c>
      <c r="I408" s="134" t="s">
        <v>127</v>
      </c>
      <c r="J408" s="144" t="s">
        <v>127</v>
      </c>
      <c r="K408" s="134"/>
      <c r="L408" s="134"/>
      <c r="M408" s="134"/>
      <c r="N408" s="134"/>
      <c r="O408" s="134"/>
      <c r="P408" s="135" t="s">
        <v>128</v>
      </c>
      <c r="Q408" s="137">
        <v>203.28</v>
      </c>
      <c r="R408" s="137">
        <v>203.28</v>
      </c>
      <c r="S408" s="138"/>
      <c r="T408" s="139">
        <f>IFERROR(INDEX('Price List'!$G$5:$G$74,MATCH(TRIM(J408)&amp;"|"&amp;TRIM(P408),'Price List'!$O$5:$O$74,0)),0)</f>
        <v>6</v>
      </c>
      <c r="U408" s="140">
        <f>IFERROR(INDEX('Price List'!$H$5:$H$74,MATCH(TRIM(J408)&amp;"|"&amp;TRIM(P408),'Price List'!$O$5:$O$74,0)),0)</f>
        <v>0.2</v>
      </c>
      <c r="V408" s="141">
        <f t="shared" si="33"/>
        <v>7.1999999999999993</v>
      </c>
      <c r="W408" s="142">
        <f>IFERROR(INDEX('Price List'!$J$5:$J$74,MATCH(TRIM(J408)&amp;"|"&amp;TRIM(P408),'Price List'!$O$5:$O$74,0)),0)</f>
        <v>5</v>
      </c>
      <c r="X408" s="143">
        <f>IFERROR(INDEX('Price List'!$K$5:$K$74,MATCH(TRIM(J408)&amp;"|"&amp;TRIM(P408),'Price List'!$O$5:$O$74,0)),0)</f>
        <v>0.12</v>
      </c>
      <c r="Y408" s="141">
        <f t="shared" si="34"/>
        <v>5.6000000000000005</v>
      </c>
      <c r="Z408" s="141">
        <f t="shared" si="35"/>
        <v>2601.9840000000004</v>
      </c>
      <c r="AA408" s="134"/>
    </row>
    <row r="409" spans="1:27" ht="15" customHeight="1" x14ac:dyDescent="0.35">
      <c r="A409" s="134"/>
      <c r="B409" s="134"/>
      <c r="C409" s="134" t="s">
        <v>444</v>
      </c>
      <c r="D409" s="136" t="str">
        <f t="shared" si="32"/>
        <v>B.04</v>
      </c>
      <c r="E409" s="135" t="s">
        <v>414</v>
      </c>
      <c r="F409" s="135" t="s">
        <v>676</v>
      </c>
      <c r="G409" s="134" t="s">
        <v>31</v>
      </c>
      <c r="H409" s="134" t="s">
        <v>573</v>
      </c>
      <c r="I409" s="134" t="s">
        <v>513</v>
      </c>
      <c r="J409" s="144" t="s">
        <v>102</v>
      </c>
      <c r="K409" s="134"/>
      <c r="L409" s="134"/>
      <c r="M409" s="134"/>
      <c r="N409" s="134"/>
      <c r="O409" s="134"/>
      <c r="P409" s="135" t="s">
        <v>103</v>
      </c>
      <c r="Q409" s="137">
        <v>1889.9944</v>
      </c>
      <c r="R409" s="137">
        <v>1889.9944</v>
      </c>
      <c r="S409" s="138"/>
      <c r="T409" s="139">
        <f>IFERROR(INDEX('Price List'!$G$5:$G$74,MATCH(TRIM(J409)&amp;"|"&amp;TRIM(P409),'Price List'!$O$5:$O$74,0)),0)</f>
        <v>0.12</v>
      </c>
      <c r="U409" s="140">
        <f>IFERROR(INDEX('Price List'!$H$5:$H$74,MATCH(TRIM(J409)&amp;"|"&amp;TRIM(P409),'Price List'!$O$5:$O$74,0)),0)</f>
        <v>0.2</v>
      </c>
      <c r="V409" s="141">
        <f t="shared" si="33"/>
        <v>0.14399999999999999</v>
      </c>
      <c r="W409" s="142">
        <f>IFERROR(INDEX('Price List'!$J$5:$J$74,MATCH(TRIM(J409)&amp;"|"&amp;TRIM(P409),'Price List'!$O$5:$O$74,0)),0)</f>
        <v>0.78</v>
      </c>
      <c r="X409" s="143">
        <f>IFERROR(INDEX('Price List'!$K$5:$K$74,MATCH(TRIM(J409)&amp;"|"&amp;TRIM(P409),'Price List'!$O$5:$O$74,0)),0)</f>
        <v>0.12</v>
      </c>
      <c r="Y409" s="141">
        <f t="shared" si="34"/>
        <v>0.87360000000000015</v>
      </c>
      <c r="Z409" s="141">
        <f t="shared" si="35"/>
        <v>1923.2583014400002</v>
      </c>
      <c r="AA409" s="134"/>
    </row>
    <row r="410" spans="1:27" ht="15" customHeight="1" x14ac:dyDescent="0.35">
      <c r="A410" s="134"/>
      <c r="B410" s="134"/>
      <c r="C410" s="134" t="s">
        <v>444</v>
      </c>
      <c r="D410" s="136" t="str">
        <f t="shared" si="32"/>
        <v>B.04</v>
      </c>
      <c r="E410" s="135" t="s">
        <v>414</v>
      </c>
      <c r="F410" s="135" t="s">
        <v>676</v>
      </c>
      <c r="G410" s="134" t="s">
        <v>31</v>
      </c>
      <c r="H410" s="134" t="s">
        <v>573</v>
      </c>
      <c r="I410" s="134" t="s">
        <v>513</v>
      </c>
      <c r="J410" s="144" t="s">
        <v>135</v>
      </c>
      <c r="K410" s="134"/>
      <c r="L410" s="134"/>
      <c r="M410" s="134"/>
      <c r="N410" s="134"/>
      <c r="O410" s="134"/>
      <c r="P410" s="135" t="s">
        <v>103</v>
      </c>
      <c r="Q410" s="137">
        <v>4821.5231999999996</v>
      </c>
      <c r="R410" s="137">
        <v>4821.5231999999996</v>
      </c>
      <c r="S410" s="138"/>
      <c r="T410" s="139">
        <f>IFERROR(INDEX('Price List'!$G$5:$G$74,MATCH(TRIM(J410)&amp;"|"&amp;TRIM(P410),'Price List'!$O$5:$O$74,0)),0)</f>
        <v>0.09</v>
      </c>
      <c r="U410" s="140">
        <f>IFERROR(INDEX('Price List'!$H$5:$H$74,MATCH(TRIM(J410)&amp;"|"&amp;TRIM(P410),'Price List'!$O$5:$O$74,0)),0)</f>
        <v>0.2</v>
      </c>
      <c r="V410" s="141">
        <f t="shared" si="33"/>
        <v>0.108</v>
      </c>
      <c r="W410" s="142">
        <f>IFERROR(INDEX('Price List'!$J$5:$J$74,MATCH(TRIM(J410)&amp;"|"&amp;TRIM(P410),'Price List'!$O$5:$O$74,0)),0)</f>
        <v>0.73</v>
      </c>
      <c r="X410" s="143">
        <f>IFERROR(INDEX('Price List'!$K$5:$K$74,MATCH(TRIM(J410)&amp;"|"&amp;TRIM(P410),'Price List'!$O$5:$O$74,0)),0)</f>
        <v>0.12</v>
      </c>
      <c r="Y410" s="141">
        <f t="shared" si="34"/>
        <v>0.8176000000000001</v>
      </c>
      <c r="Z410" s="141">
        <f t="shared" si="35"/>
        <v>4462.8018739199997</v>
      </c>
      <c r="AA410" s="134"/>
    </row>
    <row r="411" spans="1:27" ht="15" customHeight="1" x14ac:dyDescent="0.35">
      <c r="A411" s="134"/>
      <c r="B411" s="134"/>
      <c r="C411" s="134" t="s">
        <v>444</v>
      </c>
      <c r="D411" s="136" t="str">
        <f t="shared" si="32"/>
        <v>B.04</v>
      </c>
      <c r="E411" s="135" t="s">
        <v>414</v>
      </c>
      <c r="F411" s="135" t="s">
        <v>676</v>
      </c>
      <c r="G411" s="134" t="s">
        <v>31</v>
      </c>
      <c r="H411" s="134" t="s">
        <v>573</v>
      </c>
      <c r="I411" s="134" t="s">
        <v>657</v>
      </c>
      <c r="J411" s="134" t="s">
        <v>107</v>
      </c>
      <c r="K411" s="134"/>
      <c r="L411" s="134"/>
      <c r="M411" s="134"/>
      <c r="N411" s="134"/>
      <c r="O411" s="134"/>
      <c r="P411" s="135" t="s">
        <v>103</v>
      </c>
      <c r="Q411" s="137">
        <f t="shared" ref="Q411:Q437" si="36">R411</f>
        <v>268.46070399999996</v>
      </c>
      <c r="R411" s="137">
        <f>(R409+R410)*4%</f>
        <v>268.46070399999996</v>
      </c>
      <c r="S411" s="138"/>
      <c r="T411" s="139">
        <f>IFERROR(INDEX('Price List'!$G$5:$G$74,MATCH(TRIM(J411)&amp;"|"&amp;TRIM(P411),'Price List'!$O$5:$O$74,0)),0)</f>
        <v>0.05</v>
      </c>
      <c r="U411" s="140">
        <f>IFERROR(INDEX('Price List'!$H$5:$H$74,MATCH(TRIM(J411)&amp;"|"&amp;TRIM(P411),'Price List'!$O$5:$O$74,0)),0)</f>
        <v>0.2</v>
      </c>
      <c r="V411" s="141">
        <f t="shared" si="33"/>
        <v>0.06</v>
      </c>
      <c r="W411" s="142">
        <f>IFERROR(INDEX('Price List'!$J$5:$J$74,MATCH(TRIM(J411)&amp;"|"&amp;TRIM(P411),'Price List'!$O$5:$O$74,0)),0)</f>
        <v>1.2</v>
      </c>
      <c r="X411" s="143">
        <f>IFERROR(INDEX('Price List'!$K$5:$K$74,MATCH(TRIM(J411)&amp;"|"&amp;TRIM(P411),'Price List'!$O$5:$O$74,0)),0)</f>
        <v>0.12</v>
      </c>
      <c r="Y411" s="141">
        <f t="shared" si="34"/>
        <v>1.3440000000000001</v>
      </c>
      <c r="Z411" s="141">
        <f t="shared" si="35"/>
        <v>376.918828416</v>
      </c>
      <c r="AA411" s="134"/>
    </row>
    <row r="412" spans="1:27" ht="15" customHeight="1" x14ac:dyDescent="0.35">
      <c r="A412" s="134"/>
      <c r="B412" s="135"/>
      <c r="C412" s="134" t="s">
        <v>444</v>
      </c>
      <c r="D412" s="136" t="str">
        <f t="shared" si="32"/>
        <v>B.04</v>
      </c>
      <c r="E412" s="135" t="s">
        <v>414</v>
      </c>
      <c r="F412" s="135" t="s">
        <v>677</v>
      </c>
      <c r="G412" s="134" t="s">
        <v>31</v>
      </c>
      <c r="H412" s="134" t="s">
        <v>564</v>
      </c>
      <c r="I412" s="134" t="s">
        <v>512</v>
      </c>
      <c r="J412" s="145" t="s">
        <v>125</v>
      </c>
      <c r="K412" s="134"/>
      <c r="L412" s="134"/>
      <c r="M412" s="134"/>
      <c r="N412" s="134"/>
      <c r="O412" s="134"/>
      <c r="P412" s="135" t="s">
        <v>100</v>
      </c>
      <c r="Q412" s="137">
        <f t="shared" si="36"/>
        <v>46.741149999999998</v>
      </c>
      <c r="R412" s="137">
        <f>'10F beam'!H11</f>
        <v>46.741149999999998</v>
      </c>
      <c r="S412" s="138"/>
      <c r="T412" s="139">
        <f>IFERROR(INDEX('Price List'!$G$5:$G$74,MATCH(TRIM(J412)&amp;"|"&amp;TRIM(P412),'Price List'!$O$5:$O$74,0)),0)</f>
        <v>10</v>
      </c>
      <c r="U412" s="140">
        <f>IFERROR(INDEX('Price List'!$H$5:$H$74,MATCH(TRIM(J412)&amp;"|"&amp;TRIM(P412),'Price List'!$O$5:$O$74,0)),0)</f>
        <v>0.2</v>
      </c>
      <c r="V412" s="141">
        <f t="shared" si="33"/>
        <v>12</v>
      </c>
      <c r="W412" s="142">
        <f>IFERROR(INDEX('Price List'!$J$5:$J$74,MATCH(TRIM(J412)&amp;"|"&amp;TRIM(P412),'Price List'!$O$5:$O$74,0)),0)</f>
        <v>98</v>
      </c>
      <c r="X412" s="143">
        <f>IFERROR(INDEX('Price List'!$K$5:$K$74,MATCH(TRIM(J412)&amp;"|"&amp;TRIM(P412),'Price List'!$O$5:$O$74,0)),0)</f>
        <v>0.12</v>
      </c>
      <c r="Y412" s="141">
        <f t="shared" si="34"/>
        <v>109.76</v>
      </c>
      <c r="Z412" s="141">
        <f t="shared" si="35"/>
        <v>5691.2024240000001</v>
      </c>
      <c r="AA412" s="134"/>
    </row>
    <row r="413" spans="1:27" ht="15" customHeight="1" x14ac:dyDescent="0.35">
      <c r="A413" s="134"/>
      <c r="B413" s="135"/>
      <c r="C413" s="134" t="s">
        <v>444</v>
      </c>
      <c r="D413" s="136" t="str">
        <f t="shared" si="32"/>
        <v>B.04</v>
      </c>
      <c r="E413" s="135" t="s">
        <v>414</v>
      </c>
      <c r="F413" s="135" t="s">
        <v>677</v>
      </c>
      <c r="G413" s="134" t="s">
        <v>31</v>
      </c>
      <c r="H413" s="134" t="s">
        <v>564</v>
      </c>
      <c r="I413" s="144" t="s">
        <v>127</v>
      </c>
      <c r="J413" s="144" t="s">
        <v>127</v>
      </c>
      <c r="K413" s="144"/>
      <c r="L413" s="134"/>
      <c r="M413" s="134"/>
      <c r="N413" s="134"/>
      <c r="O413" s="134"/>
      <c r="P413" s="135" t="s">
        <v>128</v>
      </c>
      <c r="Q413" s="137">
        <f t="shared" si="36"/>
        <v>446.52599999999995</v>
      </c>
      <c r="R413" s="137">
        <f>'10F beam'!G11</f>
        <v>446.52599999999995</v>
      </c>
      <c r="S413" s="138"/>
      <c r="T413" s="139">
        <f>IFERROR(INDEX('Price List'!$G$5:$G$74,MATCH(TRIM(J413)&amp;"|"&amp;TRIM(P413),'Price List'!$O$5:$O$74,0)),0)</f>
        <v>6</v>
      </c>
      <c r="U413" s="140">
        <f>IFERROR(INDEX('Price List'!$H$5:$H$74,MATCH(TRIM(J413)&amp;"|"&amp;TRIM(P413),'Price List'!$O$5:$O$74,0)),0)</f>
        <v>0.2</v>
      </c>
      <c r="V413" s="141">
        <f t="shared" si="33"/>
        <v>7.1999999999999993</v>
      </c>
      <c r="W413" s="142">
        <f>IFERROR(INDEX('Price List'!$J$5:$J$74,MATCH(TRIM(J413)&amp;"|"&amp;TRIM(P413),'Price List'!$O$5:$O$74,0)),0)</f>
        <v>5</v>
      </c>
      <c r="X413" s="143">
        <f>IFERROR(INDEX('Price List'!$K$5:$K$74,MATCH(TRIM(J413)&amp;"|"&amp;TRIM(P413),'Price List'!$O$5:$O$74,0)),0)</f>
        <v>0.12</v>
      </c>
      <c r="Y413" s="141">
        <f t="shared" si="34"/>
        <v>5.6000000000000005</v>
      </c>
      <c r="Z413" s="141">
        <f t="shared" si="35"/>
        <v>5715.5328</v>
      </c>
      <c r="AA413" s="134"/>
    </row>
    <row r="414" spans="1:27" ht="15" customHeight="1" x14ac:dyDescent="0.35">
      <c r="A414" s="134"/>
      <c r="B414" s="135"/>
      <c r="C414" s="134" t="s">
        <v>444</v>
      </c>
      <c r="D414" s="136" t="str">
        <f t="shared" si="32"/>
        <v>B.04</v>
      </c>
      <c r="E414" s="135" t="s">
        <v>414</v>
      </c>
      <c r="F414" s="135" t="s">
        <v>677</v>
      </c>
      <c r="G414" s="134" t="s">
        <v>31</v>
      </c>
      <c r="H414" s="134" t="s">
        <v>564</v>
      </c>
      <c r="I414" s="134" t="s">
        <v>513</v>
      </c>
      <c r="J414" s="144" t="s">
        <v>169</v>
      </c>
      <c r="K414" s="134"/>
      <c r="L414" s="134"/>
      <c r="M414" s="134"/>
      <c r="N414" s="134"/>
      <c r="O414" s="134"/>
      <c r="P414" s="135" t="s">
        <v>103</v>
      </c>
      <c r="Q414" s="137">
        <f t="shared" si="36"/>
        <v>624.19479999999999</v>
      </c>
      <c r="R414" s="137">
        <f>'10F beam'!J14</f>
        <v>624.19479999999999</v>
      </c>
      <c r="S414" s="138"/>
      <c r="T414" s="139">
        <f>IFERROR(INDEX('Price List'!$G$5:$G$74,MATCH(TRIM(J414)&amp;"|"&amp;TRIM(P414),'Price List'!$O$5:$O$74,0)),0)</f>
        <v>0.12</v>
      </c>
      <c r="U414" s="140">
        <f>IFERROR(INDEX('Price List'!$H$5:$H$74,MATCH(TRIM(J414)&amp;"|"&amp;TRIM(P414),'Price List'!$O$5:$O$74,0)),0)</f>
        <v>0.2</v>
      </c>
      <c r="V414" s="141">
        <f t="shared" si="33"/>
        <v>0.14399999999999999</v>
      </c>
      <c r="W414" s="142">
        <f>IFERROR(INDEX('Price List'!$J$5:$J$74,MATCH(TRIM(J414)&amp;"|"&amp;TRIM(P414),'Price List'!$O$5:$O$74,0)),0)</f>
        <v>0.77</v>
      </c>
      <c r="X414" s="143">
        <f>IFERROR(INDEX('Price List'!$K$5:$K$74,MATCH(TRIM(J414)&amp;"|"&amp;TRIM(P414),'Price List'!$O$5:$O$74,0)),0)</f>
        <v>0.12</v>
      </c>
      <c r="Y414" s="141">
        <f t="shared" si="34"/>
        <v>0.86240000000000006</v>
      </c>
      <c r="Z414" s="141">
        <f t="shared" si="35"/>
        <v>628.18964671999993</v>
      </c>
      <c r="AA414" s="134"/>
    </row>
    <row r="415" spans="1:27" ht="15" customHeight="1" x14ac:dyDescent="0.35">
      <c r="A415" s="134"/>
      <c r="B415" s="135"/>
      <c r="C415" s="134" t="s">
        <v>444</v>
      </c>
      <c r="D415" s="136" t="str">
        <f t="shared" si="32"/>
        <v>B.04</v>
      </c>
      <c r="E415" s="135" t="s">
        <v>414</v>
      </c>
      <c r="F415" s="135" t="s">
        <v>677</v>
      </c>
      <c r="G415" s="134" t="s">
        <v>31</v>
      </c>
      <c r="H415" s="134" t="s">
        <v>564</v>
      </c>
      <c r="I415" s="134" t="s">
        <v>513</v>
      </c>
      <c r="J415" s="144" t="s">
        <v>102</v>
      </c>
      <c r="K415" s="134"/>
      <c r="L415" s="134"/>
      <c r="M415" s="134"/>
      <c r="N415" s="134"/>
      <c r="O415" s="134"/>
      <c r="P415" s="135" t="s">
        <v>103</v>
      </c>
      <c r="Q415" s="137">
        <f t="shared" si="36"/>
        <v>2823.6114200000006</v>
      </c>
      <c r="R415" s="137">
        <f>'10F beam'!J15</f>
        <v>2823.6114200000006</v>
      </c>
      <c r="S415" s="138"/>
      <c r="T415" s="139">
        <f>IFERROR(INDEX('Price List'!$G$5:$G$74,MATCH(TRIM(J415)&amp;"|"&amp;TRIM(P415),'Price List'!$O$5:$O$74,0)),0)</f>
        <v>0.12</v>
      </c>
      <c r="U415" s="140">
        <f>IFERROR(INDEX('Price List'!$H$5:$H$74,MATCH(TRIM(J415)&amp;"|"&amp;TRIM(P415),'Price List'!$O$5:$O$74,0)),0)</f>
        <v>0.2</v>
      </c>
      <c r="V415" s="141">
        <f t="shared" si="33"/>
        <v>0.14399999999999999</v>
      </c>
      <c r="W415" s="142">
        <f>IFERROR(INDEX('Price List'!$J$5:$J$74,MATCH(TRIM(J415)&amp;"|"&amp;TRIM(P415),'Price List'!$O$5:$O$74,0)),0)</f>
        <v>0.78</v>
      </c>
      <c r="X415" s="143">
        <f>IFERROR(INDEX('Price List'!$K$5:$K$74,MATCH(TRIM(J415)&amp;"|"&amp;TRIM(P415),'Price List'!$O$5:$O$74,0)),0)</f>
        <v>0.12</v>
      </c>
      <c r="Y415" s="141">
        <f t="shared" si="34"/>
        <v>0.87360000000000015</v>
      </c>
      <c r="Z415" s="141">
        <f t="shared" si="35"/>
        <v>2873.3069809920007</v>
      </c>
      <c r="AA415" s="134"/>
    </row>
    <row r="416" spans="1:27" ht="15" customHeight="1" x14ac:dyDescent="0.35">
      <c r="A416" s="134"/>
      <c r="B416" s="135"/>
      <c r="C416" s="134" t="s">
        <v>444</v>
      </c>
      <c r="D416" s="136" t="str">
        <f t="shared" si="32"/>
        <v>B.04</v>
      </c>
      <c r="E416" s="135" t="s">
        <v>414</v>
      </c>
      <c r="F416" s="135" t="s">
        <v>677</v>
      </c>
      <c r="G416" s="134" t="s">
        <v>31</v>
      </c>
      <c r="H416" s="134" t="s">
        <v>564</v>
      </c>
      <c r="I416" s="134" t="s">
        <v>513</v>
      </c>
      <c r="J416" s="144" t="s">
        <v>131</v>
      </c>
      <c r="K416" s="134"/>
      <c r="L416" s="134"/>
      <c r="M416" s="134"/>
      <c r="N416" s="134"/>
      <c r="O416" s="134"/>
      <c r="P416" s="135" t="s">
        <v>103</v>
      </c>
      <c r="Q416" s="137">
        <f t="shared" si="36"/>
        <v>295.33103999999997</v>
      </c>
      <c r="R416" s="137">
        <f>'10F beam'!J16</f>
        <v>295.33103999999997</v>
      </c>
      <c r="S416" s="138"/>
      <c r="T416" s="139">
        <f>IFERROR(INDEX('Price List'!$G$5:$G$74,MATCH(TRIM(J416)&amp;"|"&amp;TRIM(P416),'Price List'!$O$5:$O$74,0)),0)</f>
        <v>0.11</v>
      </c>
      <c r="U416" s="140">
        <f>IFERROR(INDEX('Price List'!$H$5:$H$74,MATCH(TRIM(J416)&amp;"|"&amp;TRIM(P416),'Price List'!$O$5:$O$74,0)),0)</f>
        <v>0.2</v>
      </c>
      <c r="V416" s="141">
        <f t="shared" si="33"/>
        <v>0.13200000000000001</v>
      </c>
      <c r="W416" s="142">
        <f>IFERROR(INDEX('Price List'!$J$5:$J$74,MATCH(TRIM(J416)&amp;"|"&amp;TRIM(P416),'Price List'!$O$5:$O$74,0)),0)</f>
        <v>0.76</v>
      </c>
      <c r="X416" s="143">
        <f>IFERROR(INDEX('Price List'!$K$5:$K$74,MATCH(TRIM(J416)&amp;"|"&amp;TRIM(P416),'Price List'!$O$5:$O$74,0)),0)</f>
        <v>0.12</v>
      </c>
      <c r="Y416" s="141">
        <f t="shared" si="34"/>
        <v>0.85120000000000007</v>
      </c>
      <c r="Z416" s="141">
        <f t="shared" si="35"/>
        <v>290.369478528</v>
      </c>
      <c r="AA416" s="134"/>
    </row>
    <row r="417" spans="1:27" ht="15" customHeight="1" x14ac:dyDescent="0.35">
      <c r="A417" s="134"/>
      <c r="B417" s="135"/>
      <c r="C417" s="134" t="s">
        <v>444</v>
      </c>
      <c r="D417" s="136" t="str">
        <f t="shared" si="32"/>
        <v>B.04</v>
      </c>
      <c r="E417" s="135" t="s">
        <v>414</v>
      </c>
      <c r="F417" s="135" t="s">
        <v>677</v>
      </c>
      <c r="G417" s="134" t="s">
        <v>31</v>
      </c>
      <c r="H417" s="134" t="s">
        <v>564</v>
      </c>
      <c r="I417" s="134" t="s">
        <v>513</v>
      </c>
      <c r="J417" s="144" t="s">
        <v>133</v>
      </c>
      <c r="K417" s="134"/>
      <c r="L417" s="134"/>
      <c r="M417" s="134"/>
      <c r="N417" s="134"/>
      <c r="O417" s="134"/>
      <c r="P417" s="135" t="s">
        <v>103</v>
      </c>
      <c r="Q417" s="137">
        <f t="shared" si="36"/>
        <v>2411.8152</v>
      </c>
      <c r="R417" s="137">
        <f>'10F beam'!J17</f>
        <v>2411.8152</v>
      </c>
      <c r="S417" s="138"/>
      <c r="T417" s="139">
        <f>IFERROR(INDEX('Price List'!$G$5:$G$74,MATCH(TRIM(J417)&amp;"|"&amp;TRIM(P417),'Price List'!$O$5:$O$74,0)),0)</f>
        <v>0.1</v>
      </c>
      <c r="U417" s="140">
        <f>IFERROR(INDEX('Price List'!$H$5:$H$74,MATCH(TRIM(J417)&amp;"|"&amp;TRIM(P417),'Price List'!$O$5:$O$74,0)),0)</f>
        <v>0.2</v>
      </c>
      <c r="V417" s="141">
        <f t="shared" si="33"/>
        <v>0.12</v>
      </c>
      <c r="W417" s="142">
        <f>IFERROR(INDEX('Price List'!$J$5:$J$74,MATCH(TRIM(J417)&amp;"|"&amp;TRIM(P417),'Price List'!$O$5:$O$74,0)),0)</f>
        <v>0.74</v>
      </c>
      <c r="X417" s="143">
        <f>IFERROR(INDEX('Price List'!$K$5:$K$74,MATCH(TRIM(J417)&amp;"|"&amp;TRIM(P417),'Price List'!$O$5:$O$74,0)),0)</f>
        <v>0.12</v>
      </c>
      <c r="Y417" s="141">
        <f t="shared" si="34"/>
        <v>0.82880000000000009</v>
      </c>
      <c r="Z417" s="141">
        <f t="shared" si="35"/>
        <v>2288.3302617600002</v>
      </c>
      <c r="AA417" s="134"/>
    </row>
    <row r="418" spans="1:27" ht="15" customHeight="1" x14ac:dyDescent="0.35">
      <c r="A418" s="134"/>
      <c r="B418" s="135"/>
      <c r="C418" s="134" t="s">
        <v>444</v>
      </c>
      <c r="D418" s="136" t="str">
        <f t="shared" si="32"/>
        <v>B.04</v>
      </c>
      <c r="E418" s="135" t="s">
        <v>414</v>
      </c>
      <c r="F418" s="135" t="s">
        <v>677</v>
      </c>
      <c r="G418" s="134" t="s">
        <v>31</v>
      </c>
      <c r="H418" s="134" t="s">
        <v>564</v>
      </c>
      <c r="I418" s="134" t="s">
        <v>513</v>
      </c>
      <c r="J418" s="144" t="s">
        <v>135</v>
      </c>
      <c r="K418" s="134"/>
      <c r="L418" s="134"/>
      <c r="M418" s="134"/>
      <c r="N418" s="134"/>
      <c r="O418" s="134"/>
      <c r="P418" s="135" t="s">
        <v>103</v>
      </c>
      <c r="Q418" s="137">
        <f t="shared" si="36"/>
        <v>1819.6614000000002</v>
      </c>
      <c r="R418" s="137">
        <f>'10F beam'!J18</f>
        <v>1819.6614000000002</v>
      </c>
      <c r="S418" s="138"/>
      <c r="T418" s="139">
        <f>IFERROR(INDEX('Price List'!$G$5:$G$74,MATCH(TRIM(J418)&amp;"|"&amp;TRIM(P418),'Price List'!$O$5:$O$74,0)),0)</f>
        <v>0.09</v>
      </c>
      <c r="U418" s="140">
        <f>IFERROR(INDEX('Price List'!$H$5:$H$74,MATCH(TRIM(J418)&amp;"|"&amp;TRIM(P418),'Price List'!$O$5:$O$74,0)),0)</f>
        <v>0.2</v>
      </c>
      <c r="V418" s="141">
        <f t="shared" si="33"/>
        <v>0.108</v>
      </c>
      <c r="W418" s="142">
        <f>IFERROR(INDEX('Price List'!$J$5:$J$74,MATCH(TRIM(J418)&amp;"|"&amp;TRIM(P418),'Price List'!$O$5:$O$74,0)),0)</f>
        <v>0.73</v>
      </c>
      <c r="X418" s="143">
        <f>IFERROR(INDEX('Price List'!$K$5:$K$74,MATCH(TRIM(J418)&amp;"|"&amp;TRIM(P418),'Price List'!$O$5:$O$74,0)),0)</f>
        <v>0.12</v>
      </c>
      <c r="Y418" s="141">
        <f t="shared" si="34"/>
        <v>0.8176000000000001</v>
      </c>
      <c r="Z418" s="141">
        <f t="shared" si="35"/>
        <v>1684.2785918400004</v>
      </c>
      <c r="AA418" s="134"/>
    </row>
    <row r="419" spans="1:27" ht="15" customHeight="1" x14ac:dyDescent="0.35">
      <c r="A419" s="134"/>
      <c r="B419" s="135"/>
      <c r="C419" s="134" t="s">
        <v>444</v>
      </c>
      <c r="D419" s="136" t="str">
        <f t="shared" si="32"/>
        <v>B.04</v>
      </c>
      <c r="E419" s="135" t="s">
        <v>414</v>
      </c>
      <c r="F419" s="135" t="s">
        <v>677</v>
      </c>
      <c r="G419" s="134" t="s">
        <v>31</v>
      </c>
      <c r="H419" s="134" t="s">
        <v>564</v>
      </c>
      <c r="I419" s="134" t="s">
        <v>513</v>
      </c>
      <c r="J419" s="144" t="s">
        <v>105</v>
      </c>
      <c r="K419" s="134"/>
      <c r="L419" s="134"/>
      <c r="M419" s="134"/>
      <c r="N419" s="134"/>
      <c r="O419" s="134"/>
      <c r="P419" s="135" t="s">
        <v>103</v>
      </c>
      <c r="Q419" s="137">
        <f t="shared" si="36"/>
        <v>7527.2208000000001</v>
      </c>
      <c r="R419" s="137">
        <f>'10F beam'!J19</f>
        <v>7527.2208000000001</v>
      </c>
      <c r="S419" s="138"/>
      <c r="T419" s="139">
        <f>IFERROR(INDEX('Price List'!$G$5:$G$74,MATCH(TRIM(J419)&amp;"|"&amp;TRIM(P419),'Price List'!$O$5:$O$74,0)),0)</f>
        <v>0.08</v>
      </c>
      <c r="U419" s="140">
        <f>IFERROR(INDEX('Price List'!$H$5:$H$74,MATCH(TRIM(J419)&amp;"|"&amp;TRIM(P419),'Price List'!$O$5:$O$74,0)),0)</f>
        <v>0.2</v>
      </c>
      <c r="V419" s="141">
        <f t="shared" si="33"/>
        <v>9.6000000000000002E-2</v>
      </c>
      <c r="W419" s="142">
        <f>IFERROR(INDEX('Price List'!$J$5:$J$74,MATCH(TRIM(J419)&amp;"|"&amp;TRIM(P419),'Price List'!$O$5:$O$74,0)),0)</f>
        <v>0.72</v>
      </c>
      <c r="X419" s="143">
        <f>IFERROR(INDEX('Price List'!$K$5:$K$74,MATCH(TRIM(J419)&amp;"|"&amp;TRIM(P419),'Price List'!$O$5:$O$74,0)),0)</f>
        <v>0.12</v>
      </c>
      <c r="Y419" s="141">
        <f t="shared" si="34"/>
        <v>0.80640000000000001</v>
      </c>
      <c r="Z419" s="141">
        <f t="shared" si="35"/>
        <v>6792.5640499199999</v>
      </c>
      <c r="AA419" s="134"/>
    </row>
    <row r="420" spans="1:27" ht="15" customHeight="1" x14ac:dyDescent="0.35">
      <c r="A420" s="134"/>
      <c r="B420" s="135"/>
      <c r="C420" s="134" t="s">
        <v>444</v>
      </c>
      <c r="D420" s="136" t="str">
        <f t="shared" si="32"/>
        <v>B.04</v>
      </c>
      <c r="E420" s="135" t="s">
        <v>414</v>
      </c>
      <c r="F420" s="135" t="s">
        <v>677</v>
      </c>
      <c r="G420" s="134" t="s">
        <v>31</v>
      </c>
      <c r="H420" s="134" t="s">
        <v>564</v>
      </c>
      <c r="I420" s="134" t="s">
        <v>657</v>
      </c>
      <c r="J420" s="134" t="s">
        <v>107</v>
      </c>
      <c r="K420" s="134"/>
      <c r="L420" s="134"/>
      <c r="M420" s="134"/>
      <c r="N420" s="134"/>
      <c r="O420" s="134"/>
      <c r="P420" s="135" t="s">
        <v>103</v>
      </c>
      <c r="Q420" s="137">
        <f t="shared" si="36"/>
        <v>620.0733864</v>
      </c>
      <c r="R420" s="137">
        <f>(R418+R419+R417+R416+R415+R414)*4%</f>
        <v>620.0733864</v>
      </c>
      <c r="S420" s="138"/>
      <c r="T420" s="139">
        <f>IFERROR(INDEX('Price List'!$G$5:$G$74,MATCH(TRIM(J420)&amp;"|"&amp;TRIM(P420),'Price List'!$O$5:$O$74,0)),0)</f>
        <v>0.05</v>
      </c>
      <c r="U420" s="140">
        <f>IFERROR(INDEX('Price List'!$H$5:$H$74,MATCH(TRIM(J420)&amp;"|"&amp;TRIM(P420),'Price List'!$O$5:$O$74,0)),0)</f>
        <v>0.2</v>
      </c>
      <c r="V420" s="141">
        <f t="shared" si="33"/>
        <v>0.06</v>
      </c>
      <c r="W420" s="142">
        <f>IFERROR(INDEX('Price List'!$J$5:$J$74,MATCH(TRIM(J420)&amp;"|"&amp;TRIM(P420),'Price List'!$O$5:$O$74,0)),0)</f>
        <v>1.2</v>
      </c>
      <c r="X420" s="143">
        <f>IFERROR(INDEX('Price List'!$K$5:$K$74,MATCH(TRIM(J420)&amp;"|"&amp;TRIM(P420),'Price List'!$O$5:$O$74,0)),0)</f>
        <v>0.12</v>
      </c>
      <c r="Y420" s="141">
        <f t="shared" si="34"/>
        <v>1.3440000000000001</v>
      </c>
      <c r="Z420" s="141">
        <f t="shared" si="35"/>
        <v>870.58303450560004</v>
      </c>
      <c r="AA420" s="134"/>
    </row>
    <row r="421" spans="1:27" ht="15" customHeight="1" x14ac:dyDescent="0.35">
      <c r="A421" s="134"/>
      <c r="B421" s="135"/>
      <c r="C421" s="134" t="s">
        <v>444</v>
      </c>
      <c r="D421" s="136" t="str">
        <f t="shared" si="32"/>
        <v>B.04</v>
      </c>
      <c r="E421" s="135" t="s">
        <v>414</v>
      </c>
      <c r="F421" s="135" t="s">
        <v>677</v>
      </c>
      <c r="G421" s="134" t="s">
        <v>31</v>
      </c>
      <c r="H421" s="134" t="s">
        <v>568</v>
      </c>
      <c r="I421" s="134" t="s">
        <v>512</v>
      </c>
      <c r="J421" s="145" t="s">
        <v>125</v>
      </c>
      <c r="K421" s="134"/>
      <c r="L421" s="134"/>
      <c r="M421" s="134"/>
      <c r="N421" s="134"/>
      <c r="O421" s="134"/>
      <c r="P421" s="135" t="s">
        <v>100</v>
      </c>
      <c r="Q421" s="137">
        <f t="shared" si="36"/>
        <v>87.149999999999991</v>
      </c>
      <c r="R421" s="137">
        <f>581*0.15</f>
        <v>87.149999999999991</v>
      </c>
      <c r="S421" s="138"/>
      <c r="T421" s="139">
        <f>IFERROR(INDEX('Price List'!$G$5:$G$74,MATCH(TRIM(J421)&amp;"|"&amp;TRIM(P421),'Price List'!$O$5:$O$74,0)),0)</f>
        <v>10</v>
      </c>
      <c r="U421" s="140">
        <f>IFERROR(INDEX('Price List'!$H$5:$H$74,MATCH(TRIM(J421)&amp;"|"&amp;TRIM(P421),'Price List'!$O$5:$O$74,0)),0)</f>
        <v>0.2</v>
      </c>
      <c r="V421" s="141">
        <f t="shared" si="33"/>
        <v>12</v>
      </c>
      <c r="W421" s="142">
        <f>IFERROR(INDEX('Price List'!$J$5:$J$74,MATCH(TRIM(J421)&amp;"|"&amp;TRIM(P421),'Price List'!$O$5:$O$74,0)),0)</f>
        <v>98</v>
      </c>
      <c r="X421" s="143">
        <f>IFERROR(INDEX('Price List'!$K$5:$K$74,MATCH(TRIM(J421)&amp;"|"&amp;TRIM(P421),'Price List'!$O$5:$O$74,0)),0)</f>
        <v>0.12</v>
      </c>
      <c r="Y421" s="141">
        <f t="shared" si="34"/>
        <v>109.76</v>
      </c>
      <c r="Z421" s="141">
        <f t="shared" si="35"/>
        <v>10611.384</v>
      </c>
      <c r="AA421" s="134"/>
    </row>
    <row r="422" spans="1:27" ht="15" customHeight="1" x14ac:dyDescent="0.35">
      <c r="A422" s="134"/>
      <c r="B422" s="135"/>
      <c r="C422" s="134" t="s">
        <v>444</v>
      </c>
      <c r="D422" s="136" t="str">
        <f t="shared" si="32"/>
        <v>B.04</v>
      </c>
      <c r="E422" s="135" t="s">
        <v>414</v>
      </c>
      <c r="F422" s="135" t="s">
        <v>677</v>
      </c>
      <c r="G422" s="134" t="s">
        <v>31</v>
      </c>
      <c r="H422" s="134" t="s">
        <v>568</v>
      </c>
      <c r="I422" s="144" t="s">
        <v>127</v>
      </c>
      <c r="J422" s="144" t="s">
        <v>127</v>
      </c>
      <c r="K422" s="144"/>
      <c r="L422" s="134"/>
      <c r="M422" s="134"/>
      <c r="N422" s="134"/>
      <c r="O422" s="134"/>
      <c r="P422" s="135" t="s">
        <v>128</v>
      </c>
      <c r="Q422" s="137">
        <f t="shared" si="36"/>
        <v>581</v>
      </c>
      <c r="R422" s="137">
        <v>581</v>
      </c>
      <c r="S422" s="138"/>
      <c r="T422" s="139">
        <f>IFERROR(INDEX('Price List'!$G$5:$G$74,MATCH(TRIM(J422)&amp;"|"&amp;TRIM(P422),'Price List'!$O$5:$O$74,0)),0)</f>
        <v>6</v>
      </c>
      <c r="U422" s="140">
        <f>IFERROR(INDEX('Price List'!$H$5:$H$74,MATCH(TRIM(J422)&amp;"|"&amp;TRIM(P422),'Price List'!$O$5:$O$74,0)),0)</f>
        <v>0.2</v>
      </c>
      <c r="V422" s="141">
        <f t="shared" si="33"/>
        <v>7.1999999999999993</v>
      </c>
      <c r="W422" s="142">
        <f>IFERROR(INDEX('Price List'!$J$5:$J$74,MATCH(TRIM(J422)&amp;"|"&amp;TRIM(P422),'Price List'!$O$5:$O$74,0)),0)</f>
        <v>5</v>
      </c>
      <c r="X422" s="143">
        <f>IFERROR(INDEX('Price List'!$K$5:$K$74,MATCH(TRIM(J422)&amp;"|"&amp;TRIM(P422),'Price List'!$O$5:$O$74,0)),0)</f>
        <v>0.12</v>
      </c>
      <c r="Y422" s="141">
        <f t="shared" si="34"/>
        <v>5.6000000000000005</v>
      </c>
      <c r="Z422" s="141">
        <f t="shared" si="35"/>
        <v>7436.8</v>
      </c>
      <c r="AA422" s="134"/>
    </row>
    <row r="423" spans="1:27" ht="15" customHeight="1" x14ac:dyDescent="0.35">
      <c r="A423" s="134"/>
      <c r="B423" s="135"/>
      <c r="C423" s="134" t="s">
        <v>444</v>
      </c>
      <c r="D423" s="136" t="str">
        <f t="shared" si="32"/>
        <v>B.04</v>
      </c>
      <c r="E423" s="135" t="s">
        <v>414</v>
      </c>
      <c r="F423" s="135" t="s">
        <v>677</v>
      </c>
      <c r="G423" s="134" t="s">
        <v>31</v>
      </c>
      <c r="H423" s="134" t="s">
        <v>568</v>
      </c>
      <c r="I423" s="134" t="s">
        <v>513</v>
      </c>
      <c r="J423" s="144" t="s">
        <v>102</v>
      </c>
      <c r="K423" s="134"/>
      <c r="L423" s="134"/>
      <c r="M423" s="134"/>
      <c r="N423" s="134"/>
      <c r="O423" s="134"/>
      <c r="P423" s="135" t="s">
        <v>103</v>
      </c>
      <c r="Q423" s="137">
        <f t="shared" si="36"/>
        <v>11514.499999999998</v>
      </c>
      <c r="R423" s="137">
        <f>(R421*130)+185</f>
        <v>11514.499999999998</v>
      </c>
      <c r="S423" s="138"/>
      <c r="T423" s="139">
        <f>IFERROR(INDEX('Price List'!$G$5:$G$74,MATCH(TRIM(J423)&amp;"|"&amp;TRIM(P423),'Price List'!$O$5:$O$74,0)),0)</f>
        <v>0.12</v>
      </c>
      <c r="U423" s="140">
        <f>IFERROR(INDEX('Price List'!$H$5:$H$74,MATCH(TRIM(J423)&amp;"|"&amp;TRIM(P423),'Price List'!$O$5:$O$74,0)),0)</f>
        <v>0.2</v>
      </c>
      <c r="V423" s="141">
        <f t="shared" si="33"/>
        <v>0.14399999999999999</v>
      </c>
      <c r="W423" s="142">
        <f>IFERROR(INDEX('Price List'!$J$5:$J$74,MATCH(TRIM(J423)&amp;"|"&amp;TRIM(P423),'Price List'!$O$5:$O$74,0)),0)</f>
        <v>0.78</v>
      </c>
      <c r="X423" s="143">
        <f>IFERROR(INDEX('Price List'!$K$5:$K$74,MATCH(TRIM(J423)&amp;"|"&amp;TRIM(P423),'Price List'!$O$5:$O$74,0)),0)</f>
        <v>0.12</v>
      </c>
      <c r="Y423" s="141">
        <f t="shared" si="34"/>
        <v>0.87360000000000015</v>
      </c>
      <c r="Z423" s="141">
        <f t="shared" si="35"/>
        <v>11717.155199999999</v>
      </c>
      <c r="AA423" s="134"/>
    </row>
    <row r="424" spans="1:27" ht="15" customHeight="1" x14ac:dyDescent="0.35">
      <c r="A424" s="134"/>
      <c r="B424" s="135"/>
      <c r="C424" s="134" t="s">
        <v>444</v>
      </c>
      <c r="D424" s="136" t="str">
        <f t="shared" si="32"/>
        <v>B.04</v>
      </c>
      <c r="E424" s="135" t="s">
        <v>414</v>
      </c>
      <c r="F424" s="135" t="s">
        <v>677</v>
      </c>
      <c r="G424" s="134" t="s">
        <v>31</v>
      </c>
      <c r="H424" s="134" t="s">
        <v>568</v>
      </c>
      <c r="I424" s="134" t="s">
        <v>513</v>
      </c>
      <c r="J424" s="144" t="s">
        <v>131</v>
      </c>
      <c r="K424" s="134"/>
      <c r="L424" s="134"/>
      <c r="M424" s="134"/>
      <c r="N424" s="134"/>
      <c r="O424" s="134"/>
      <c r="P424" s="135" t="s">
        <v>103</v>
      </c>
      <c r="Q424" s="137">
        <f t="shared" si="36"/>
        <v>166.5</v>
      </c>
      <c r="R424" s="137">
        <f>0.888*((2.5*10*3)+(2.5*15*3))</f>
        <v>166.5</v>
      </c>
      <c r="S424" s="138"/>
      <c r="T424" s="139">
        <f>IFERROR(INDEX('Price List'!$G$5:$G$74,MATCH(TRIM(J424)&amp;"|"&amp;TRIM(P424),'Price List'!$O$5:$O$74,0)),0)</f>
        <v>0.11</v>
      </c>
      <c r="U424" s="140">
        <f>IFERROR(INDEX('Price List'!$H$5:$H$74,MATCH(TRIM(J424)&amp;"|"&amp;TRIM(P424),'Price List'!$O$5:$O$74,0)),0)</f>
        <v>0.2</v>
      </c>
      <c r="V424" s="141">
        <f t="shared" si="33"/>
        <v>0.13200000000000001</v>
      </c>
      <c r="W424" s="142">
        <f>IFERROR(INDEX('Price List'!$J$5:$J$74,MATCH(TRIM(J424)&amp;"|"&amp;TRIM(P424),'Price List'!$O$5:$O$74,0)),0)</f>
        <v>0.76</v>
      </c>
      <c r="X424" s="143">
        <f>IFERROR(INDEX('Price List'!$K$5:$K$74,MATCH(TRIM(J424)&amp;"|"&amp;TRIM(P424),'Price List'!$O$5:$O$74,0)),0)</f>
        <v>0.12</v>
      </c>
      <c r="Y424" s="141">
        <f t="shared" si="34"/>
        <v>0.85120000000000007</v>
      </c>
      <c r="Z424" s="141">
        <f t="shared" si="35"/>
        <v>163.70280000000002</v>
      </c>
      <c r="AA424" s="134"/>
    </row>
    <row r="425" spans="1:27" ht="15" customHeight="1" x14ac:dyDescent="0.35">
      <c r="A425" s="134"/>
      <c r="B425" s="134"/>
      <c r="C425" s="134" t="s">
        <v>444</v>
      </c>
      <c r="D425" s="136" t="str">
        <f t="shared" si="32"/>
        <v>B.04</v>
      </c>
      <c r="E425" s="135" t="s">
        <v>414</v>
      </c>
      <c r="F425" s="135" t="s">
        <v>677</v>
      </c>
      <c r="G425" s="134" t="s">
        <v>31</v>
      </c>
      <c r="H425" s="134" t="s">
        <v>665</v>
      </c>
      <c r="I425" s="134" t="s">
        <v>512</v>
      </c>
      <c r="J425" s="144" t="s">
        <v>125</v>
      </c>
      <c r="K425" s="134"/>
      <c r="L425" s="134"/>
      <c r="M425" s="134"/>
      <c r="N425" s="134"/>
      <c r="O425" s="134"/>
      <c r="P425" s="135" t="s">
        <v>100</v>
      </c>
      <c r="Q425" s="137">
        <f t="shared" si="36"/>
        <v>27.59</v>
      </c>
      <c r="R425" s="137">
        <f>(5.2*5)+(1.325*2*0.3*2)</f>
        <v>27.59</v>
      </c>
      <c r="S425" s="138"/>
      <c r="T425" s="139">
        <f>IFERROR(INDEX('Price List'!$G$5:$G$74,MATCH(TRIM(J425)&amp;"|"&amp;TRIM(P425),'Price List'!$O$5:$O$74,0)),0)</f>
        <v>10</v>
      </c>
      <c r="U425" s="140">
        <f>IFERROR(INDEX('Price List'!$H$5:$H$74,MATCH(TRIM(J425)&amp;"|"&amp;TRIM(P425),'Price List'!$O$5:$O$74,0)),0)</f>
        <v>0.2</v>
      </c>
      <c r="V425" s="141">
        <f t="shared" si="33"/>
        <v>12</v>
      </c>
      <c r="W425" s="142">
        <f>IFERROR(INDEX('Price List'!$J$5:$J$74,MATCH(TRIM(J425)&amp;"|"&amp;TRIM(P425),'Price List'!$O$5:$O$74,0)),0)</f>
        <v>98</v>
      </c>
      <c r="X425" s="143">
        <f>IFERROR(INDEX('Price List'!$K$5:$K$74,MATCH(TRIM(J425)&amp;"|"&amp;TRIM(P425),'Price List'!$O$5:$O$74,0)),0)</f>
        <v>0.12</v>
      </c>
      <c r="Y425" s="141">
        <f t="shared" si="34"/>
        <v>109.76</v>
      </c>
      <c r="Z425" s="141">
        <f t="shared" si="35"/>
        <v>3359.3584000000001</v>
      </c>
      <c r="AA425" s="134"/>
    </row>
    <row r="426" spans="1:27" ht="15" customHeight="1" x14ac:dyDescent="0.35">
      <c r="A426" s="134"/>
      <c r="B426" s="134"/>
      <c r="C426" s="134" t="s">
        <v>444</v>
      </c>
      <c r="D426" s="136" t="str">
        <f t="shared" si="32"/>
        <v>B.04</v>
      </c>
      <c r="E426" s="135" t="s">
        <v>414</v>
      </c>
      <c r="F426" s="135" t="s">
        <v>677</v>
      </c>
      <c r="G426" s="134" t="s">
        <v>31</v>
      </c>
      <c r="H426" s="134" t="s">
        <v>665</v>
      </c>
      <c r="I426" s="144" t="s">
        <v>127</v>
      </c>
      <c r="J426" s="144" t="s">
        <v>127</v>
      </c>
      <c r="K426" s="144"/>
      <c r="L426" s="134"/>
      <c r="M426" s="134"/>
      <c r="N426" s="134"/>
      <c r="O426" s="134"/>
      <c r="P426" s="135" t="s">
        <v>128</v>
      </c>
      <c r="Q426" s="137">
        <f t="shared" si="36"/>
        <v>165.3</v>
      </c>
      <c r="R426" s="137">
        <f>(32*5)+(1.325*2*2)</f>
        <v>165.3</v>
      </c>
      <c r="S426" s="138"/>
      <c r="T426" s="139">
        <f>IFERROR(INDEX('Price List'!$G$5:$G$74,MATCH(TRIM(J426)&amp;"|"&amp;TRIM(P426),'Price List'!$O$5:$O$74,0)),0)</f>
        <v>6</v>
      </c>
      <c r="U426" s="140">
        <f>IFERROR(INDEX('Price List'!$H$5:$H$74,MATCH(TRIM(J426)&amp;"|"&amp;TRIM(P426),'Price List'!$O$5:$O$74,0)),0)</f>
        <v>0.2</v>
      </c>
      <c r="V426" s="141">
        <f t="shared" si="33"/>
        <v>7.1999999999999993</v>
      </c>
      <c r="W426" s="142">
        <f>IFERROR(INDEX('Price List'!$J$5:$J$74,MATCH(TRIM(J426)&amp;"|"&amp;TRIM(P426),'Price List'!$O$5:$O$74,0)),0)</f>
        <v>5</v>
      </c>
      <c r="X426" s="143">
        <f>IFERROR(INDEX('Price List'!$K$5:$K$74,MATCH(TRIM(J426)&amp;"|"&amp;TRIM(P426),'Price List'!$O$5:$O$74,0)),0)</f>
        <v>0.12</v>
      </c>
      <c r="Y426" s="141">
        <f t="shared" si="34"/>
        <v>5.6000000000000005</v>
      </c>
      <c r="Z426" s="141">
        <f t="shared" si="35"/>
        <v>2115.84</v>
      </c>
      <c r="AA426" s="134"/>
    </row>
    <row r="427" spans="1:27" ht="15" customHeight="1" x14ac:dyDescent="0.35">
      <c r="A427" s="134"/>
      <c r="B427" s="134"/>
      <c r="C427" s="134" t="s">
        <v>444</v>
      </c>
      <c r="D427" s="136" t="str">
        <f t="shared" si="32"/>
        <v>B.04</v>
      </c>
      <c r="E427" s="135" t="s">
        <v>414</v>
      </c>
      <c r="F427" s="135" t="s">
        <v>677</v>
      </c>
      <c r="G427" s="134" t="s">
        <v>31</v>
      </c>
      <c r="H427" s="134" t="s">
        <v>665</v>
      </c>
      <c r="I427" s="134" t="s">
        <v>513</v>
      </c>
      <c r="J427" s="144" t="s">
        <v>102</v>
      </c>
      <c r="K427" s="134"/>
      <c r="L427" s="134"/>
      <c r="M427" s="134"/>
      <c r="N427" s="134"/>
      <c r="O427" s="134"/>
      <c r="P427" s="135" t="s">
        <v>103</v>
      </c>
      <c r="Q427" s="137">
        <f t="shared" si="36"/>
        <v>293.69200000000001</v>
      </c>
      <c r="R427" s="137">
        <v>293.69200000000001</v>
      </c>
      <c r="S427" s="138"/>
      <c r="T427" s="139">
        <f>IFERROR(INDEX('Price List'!$G$5:$G$74,MATCH(TRIM(J427)&amp;"|"&amp;TRIM(P427),'Price List'!$O$5:$O$74,0)),0)</f>
        <v>0.12</v>
      </c>
      <c r="U427" s="140">
        <f>IFERROR(INDEX('Price List'!$H$5:$H$74,MATCH(TRIM(J427)&amp;"|"&amp;TRIM(P427),'Price List'!$O$5:$O$74,0)),0)</f>
        <v>0.2</v>
      </c>
      <c r="V427" s="141">
        <f t="shared" si="33"/>
        <v>0.14399999999999999</v>
      </c>
      <c r="W427" s="142">
        <f>IFERROR(INDEX('Price List'!$J$5:$J$74,MATCH(TRIM(J427)&amp;"|"&amp;TRIM(P427),'Price List'!$O$5:$O$74,0)),0)</f>
        <v>0.78</v>
      </c>
      <c r="X427" s="143">
        <f>IFERROR(INDEX('Price List'!$K$5:$K$74,MATCH(TRIM(J427)&amp;"|"&amp;TRIM(P427),'Price List'!$O$5:$O$74,0)),0)</f>
        <v>0.12</v>
      </c>
      <c r="Y427" s="141">
        <f t="shared" si="34"/>
        <v>0.87360000000000015</v>
      </c>
      <c r="Z427" s="141">
        <f t="shared" si="35"/>
        <v>298.86097920000003</v>
      </c>
      <c r="AA427" s="134"/>
    </row>
    <row r="428" spans="1:27" ht="15" customHeight="1" x14ac:dyDescent="0.35">
      <c r="A428" s="134"/>
      <c r="B428" s="134"/>
      <c r="C428" s="134" t="s">
        <v>444</v>
      </c>
      <c r="D428" s="136" t="str">
        <f t="shared" si="32"/>
        <v>B.04</v>
      </c>
      <c r="E428" s="135" t="s">
        <v>414</v>
      </c>
      <c r="F428" s="135" t="s">
        <v>677</v>
      </c>
      <c r="G428" s="134" t="s">
        <v>31</v>
      </c>
      <c r="H428" s="134" t="s">
        <v>665</v>
      </c>
      <c r="I428" s="134" t="s">
        <v>513</v>
      </c>
      <c r="J428" s="144" t="s">
        <v>131</v>
      </c>
      <c r="K428" s="134"/>
      <c r="L428" s="134"/>
      <c r="M428" s="134"/>
      <c r="N428" s="134"/>
      <c r="O428" s="134"/>
      <c r="P428" s="135" t="s">
        <v>103</v>
      </c>
      <c r="Q428" s="137">
        <f t="shared" si="36"/>
        <v>1301.2752</v>
      </c>
      <c r="R428" s="137">
        <v>1301.2752</v>
      </c>
      <c r="S428" s="138"/>
      <c r="T428" s="139">
        <f>IFERROR(INDEX('Price List'!$G$5:$G$74,MATCH(TRIM(J428)&amp;"|"&amp;TRIM(P428),'Price List'!$O$5:$O$74,0)),0)</f>
        <v>0.11</v>
      </c>
      <c r="U428" s="140">
        <f>IFERROR(INDEX('Price List'!$H$5:$H$74,MATCH(TRIM(J428)&amp;"|"&amp;TRIM(P428),'Price List'!$O$5:$O$74,0)),0)</f>
        <v>0.2</v>
      </c>
      <c r="V428" s="141">
        <f t="shared" si="33"/>
        <v>0.13200000000000001</v>
      </c>
      <c r="W428" s="142">
        <f>IFERROR(INDEX('Price List'!$J$5:$J$74,MATCH(TRIM(J428)&amp;"|"&amp;TRIM(P428),'Price List'!$O$5:$O$74,0)),0)</f>
        <v>0.76</v>
      </c>
      <c r="X428" s="143">
        <f>IFERROR(INDEX('Price List'!$K$5:$K$74,MATCH(TRIM(J428)&amp;"|"&amp;TRIM(P428),'Price List'!$O$5:$O$74,0)),0)</f>
        <v>0.12</v>
      </c>
      <c r="Y428" s="141">
        <f t="shared" si="34"/>
        <v>0.85120000000000007</v>
      </c>
      <c r="Z428" s="141">
        <f t="shared" si="35"/>
        <v>1279.4137766400002</v>
      </c>
      <c r="AA428" s="134"/>
    </row>
    <row r="429" spans="1:27" ht="15" customHeight="1" x14ac:dyDescent="0.35">
      <c r="A429" s="134"/>
      <c r="B429" s="134"/>
      <c r="C429" s="134" t="s">
        <v>444</v>
      </c>
      <c r="D429" s="136" t="str">
        <f t="shared" si="32"/>
        <v>B.04</v>
      </c>
      <c r="E429" s="135" t="s">
        <v>414</v>
      </c>
      <c r="F429" s="135" t="s">
        <v>677</v>
      </c>
      <c r="G429" s="134" t="s">
        <v>31</v>
      </c>
      <c r="H429" s="134" t="s">
        <v>665</v>
      </c>
      <c r="I429" s="134" t="s">
        <v>513</v>
      </c>
      <c r="J429" s="144" t="s">
        <v>211</v>
      </c>
      <c r="K429" s="134"/>
      <c r="L429" s="134"/>
      <c r="M429" s="134"/>
      <c r="N429" s="134"/>
      <c r="O429" s="134"/>
      <c r="P429" s="135" t="s">
        <v>103</v>
      </c>
      <c r="Q429" s="137">
        <f t="shared" si="36"/>
        <v>1914.96</v>
      </c>
      <c r="R429" s="137">
        <v>1914.96</v>
      </c>
      <c r="S429" s="138"/>
      <c r="T429" s="139">
        <f>IFERROR(INDEX('Price List'!$G$5:$G$74,MATCH(TRIM(J429)&amp;"|"&amp;TRIM(P429),'Price List'!$O$5:$O$74,0)),0)</f>
        <v>0.1</v>
      </c>
      <c r="U429" s="140">
        <f>IFERROR(INDEX('Price List'!$H$5:$H$74,MATCH(TRIM(J429)&amp;"|"&amp;TRIM(P429),'Price List'!$O$5:$O$74,0)),0)</f>
        <v>0.2</v>
      </c>
      <c r="V429" s="141">
        <f t="shared" si="33"/>
        <v>0.12</v>
      </c>
      <c r="W429" s="142">
        <f>IFERROR(INDEX('Price List'!$J$5:$J$74,MATCH(TRIM(J429)&amp;"|"&amp;TRIM(P429),'Price List'!$O$5:$O$74,0)),0)</f>
        <v>0.75</v>
      </c>
      <c r="X429" s="143">
        <f>IFERROR(INDEX('Price List'!$K$5:$K$74,MATCH(TRIM(J429)&amp;"|"&amp;TRIM(P429),'Price List'!$O$5:$O$74,0)),0)</f>
        <v>0.12</v>
      </c>
      <c r="Y429" s="141">
        <f t="shared" si="34"/>
        <v>0.84000000000000008</v>
      </c>
      <c r="Z429" s="141">
        <f t="shared" si="35"/>
        <v>1838.3616000000002</v>
      </c>
      <c r="AA429" s="134"/>
    </row>
    <row r="430" spans="1:27" ht="15" customHeight="1" x14ac:dyDescent="0.35">
      <c r="A430" s="134"/>
      <c r="B430" s="134"/>
      <c r="C430" s="134" t="s">
        <v>444</v>
      </c>
      <c r="D430" s="136" t="str">
        <f t="shared" si="32"/>
        <v>B.04</v>
      </c>
      <c r="E430" s="135" t="s">
        <v>414</v>
      </c>
      <c r="F430" s="135" t="s">
        <v>677</v>
      </c>
      <c r="G430" s="134" t="s">
        <v>31</v>
      </c>
      <c r="H430" s="134" t="s">
        <v>665</v>
      </c>
      <c r="I430" s="134" t="s">
        <v>513</v>
      </c>
      <c r="J430" s="144" t="s">
        <v>135</v>
      </c>
      <c r="K430" s="134"/>
      <c r="L430" s="134"/>
      <c r="M430" s="134"/>
      <c r="N430" s="134"/>
      <c r="O430" s="134"/>
      <c r="P430" s="135" t="s">
        <v>103</v>
      </c>
      <c r="Q430" s="137">
        <f t="shared" si="36"/>
        <v>948.48</v>
      </c>
      <c r="R430" s="137">
        <v>948.48</v>
      </c>
      <c r="S430" s="138"/>
      <c r="T430" s="139">
        <f>IFERROR(INDEX('Price List'!$G$5:$G$74,MATCH(TRIM(J430)&amp;"|"&amp;TRIM(P430),'Price List'!$O$5:$O$74,0)),0)</f>
        <v>0.09</v>
      </c>
      <c r="U430" s="140">
        <f>IFERROR(INDEX('Price List'!$H$5:$H$74,MATCH(TRIM(J430)&amp;"|"&amp;TRIM(P430),'Price List'!$O$5:$O$74,0)),0)</f>
        <v>0.2</v>
      </c>
      <c r="V430" s="141">
        <f t="shared" si="33"/>
        <v>0.108</v>
      </c>
      <c r="W430" s="142">
        <f>IFERROR(INDEX('Price List'!$J$5:$J$74,MATCH(TRIM(J430)&amp;"|"&amp;TRIM(P430),'Price List'!$O$5:$O$74,0)),0)</f>
        <v>0.73</v>
      </c>
      <c r="X430" s="143">
        <f>IFERROR(INDEX('Price List'!$K$5:$K$74,MATCH(TRIM(J430)&amp;"|"&amp;TRIM(P430),'Price List'!$O$5:$O$74,0)),0)</f>
        <v>0.12</v>
      </c>
      <c r="Y430" s="141">
        <f t="shared" si="34"/>
        <v>0.8176000000000001</v>
      </c>
      <c r="Z430" s="141">
        <f t="shared" si="35"/>
        <v>877.91308800000013</v>
      </c>
      <c r="AA430" s="134"/>
    </row>
    <row r="431" spans="1:27" ht="15" customHeight="1" x14ac:dyDescent="0.35">
      <c r="A431" s="134"/>
      <c r="B431" s="134"/>
      <c r="C431" s="134" t="s">
        <v>444</v>
      </c>
      <c r="D431" s="136" t="str">
        <f t="shared" si="32"/>
        <v>B.04</v>
      </c>
      <c r="E431" s="135" t="s">
        <v>414</v>
      </c>
      <c r="F431" s="135" t="s">
        <v>677</v>
      </c>
      <c r="G431" s="134" t="s">
        <v>31</v>
      </c>
      <c r="H431" s="134" t="s">
        <v>665</v>
      </c>
      <c r="I431" s="134" t="s">
        <v>657</v>
      </c>
      <c r="J431" s="134" t="s">
        <v>107</v>
      </c>
      <c r="K431" s="134"/>
      <c r="L431" s="134"/>
      <c r="M431" s="134"/>
      <c r="N431" s="134"/>
      <c r="O431" s="134"/>
      <c r="P431" s="135" t="s">
        <v>103</v>
      </c>
      <c r="Q431" s="137">
        <f t="shared" si="36"/>
        <v>178.33628800000002</v>
      </c>
      <c r="R431" s="137">
        <f>(R429+R430+R428+R427)*4%</f>
        <v>178.33628800000002</v>
      </c>
      <c r="S431" s="138"/>
      <c r="T431" s="139">
        <f>IFERROR(INDEX('Price List'!$G$5:$G$74,MATCH(TRIM(J431)&amp;"|"&amp;TRIM(P431),'Price List'!$O$5:$O$74,0)),0)</f>
        <v>0.05</v>
      </c>
      <c r="U431" s="140">
        <f>IFERROR(INDEX('Price List'!$H$5:$H$74,MATCH(TRIM(J431)&amp;"|"&amp;TRIM(P431),'Price List'!$O$5:$O$74,0)),0)</f>
        <v>0.2</v>
      </c>
      <c r="V431" s="141">
        <f t="shared" si="33"/>
        <v>0.06</v>
      </c>
      <c r="W431" s="142">
        <f>IFERROR(INDEX('Price List'!$J$5:$J$74,MATCH(TRIM(J431)&amp;"|"&amp;TRIM(P431),'Price List'!$O$5:$O$74,0)),0)</f>
        <v>1.2</v>
      </c>
      <c r="X431" s="143">
        <f>IFERROR(INDEX('Price List'!$K$5:$K$74,MATCH(TRIM(J431)&amp;"|"&amp;TRIM(P431),'Price List'!$O$5:$O$74,0)),0)</f>
        <v>0.12</v>
      </c>
      <c r="Y431" s="141">
        <f t="shared" si="34"/>
        <v>1.3440000000000001</v>
      </c>
      <c r="Z431" s="141">
        <f t="shared" si="35"/>
        <v>250.38414835200007</v>
      </c>
      <c r="AA431" s="134"/>
    </row>
    <row r="432" spans="1:27" ht="15" customHeight="1" x14ac:dyDescent="0.35">
      <c r="A432" s="134"/>
      <c r="B432" s="135"/>
      <c r="C432" s="134" t="s">
        <v>444</v>
      </c>
      <c r="D432" s="136" t="str">
        <f t="shared" si="32"/>
        <v>B.04</v>
      </c>
      <c r="E432" s="135" t="s">
        <v>414</v>
      </c>
      <c r="F432" s="135" t="s">
        <v>677</v>
      </c>
      <c r="G432" s="134" t="s">
        <v>31</v>
      </c>
      <c r="H432" s="134" t="s">
        <v>578</v>
      </c>
      <c r="I432" s="134" t="s">
        <v>512</v>
      </c>
      <c r="J432" s="145" t="s">
        <v>125</v>
      </c>
      <c r="K432" s="134"/>
      <c r="L432" s="134"/>
      <c r="M432" s="134"/>
      <c r="N432" s="134"/>
      <c r="O432" s="134"/>
      <c r="P432" s="135" t="s">
        <v>100</v>
      </c>
      <c r="Q432" s="137">
        <f t="shared" si="36"/>
        <v>6.0191999999999997</v>
      </c>
      <c r="R432" s="137">
        <f>R401+(R401*20%)</f>
        <v>6.0191999999999997</v>
      </c>
      <c r="S432" s="138"/>
      <c r="T432" s="139">
        <f>IFERROR(INDEX('Price List'!$G$5:$G$74,MATCH(TRIM(J432)&amp;"|"&amp;TRIM(P432),'Price List'!$O$5:$O$74,0)),0)</f>
        <v>10</v>
      </c>
      <c r="U432" s="140">
        <f>IFERROR(INDEX('Price List'!$H$5:$H$74,MATCH(TRIM(J432)&amp;"|"&amp;TRIM(P432),'Price List'!$O$5:$O$74,0)),0)</f>
        <v>0.2</v>
      </c>
      <c r="V432" s="141">
        <f t="shared" si="33"/>
        <v>12</v>
      </c>
      <c r="W432" s="142">
        <f>IFERROR(INDEX('Price List'!$J$5:$J$74,MATCH(TRIM(J432)&amp;"|"&amp;TRIM(P432),'Price List'!$O$5:$O$74,0)),0)</f>
        <v>98</v>
      </c>
      <c r="X432" s="143">
        <f>IFERROR(INDEX('Price List'!$K$5:$K$74,MATCH(TRIM(J432)&amp;"|"&amp;TRIM(P432),'Price List'!$O$5:$O$74,0)),0)</f>
        <v>0.12</v>
      </c>
      <c r="Y432" s="141">
        <f t="shared" si="34"/>
        <v>109.76</v>
      </c>
      <c r="Z432" s="141">
        <f t="shared" si="35"/>
        <v>732.89779199999998</v>
      </c>
      <c r="AA432" s="134"/>
    </row>
    <row r="433" spans="1:27" ht="15" customHeight="1" x14ac:dyDescent="0.35">
      <c r="A433" s="134"/>
      <c r="B433" s="135"/>
      <c r="C433" s="134" t="s">
        <v>444</v>
      </c>
      <c r="D433" s="136" t="str">
        <f t="shared" si="32"/>
        <v>B.04</v>
      </c>
      <c r="E433" s="135" t="s">
        <v>414</v>
      </c>
      <c r="F433" s="135" t="s">
        <v>677</v>
      </c>
      <c r="G433" s="134" t="s">
        <v>31</v>
      </c>
      <c r="H433" s="134" t="s">
        <v>578</v>
      </c>
      <c r="I433" s="144" t="s">
        <v>127</v>
      </c>
      <c r="J433" s="144" t="s">
        <v>127</v>
      </c>
      <c r="K433" s="144"/>
      <c r="L433" s="134"/>
      <c r="M433" s="134"/>
      <c r="N433" s="134"/>
      <c r="O433" s="134"/>
      <c r="P433" s="135" t="s">
        <v>128</v>
      </c>
      <c r="Q433" s="137">
        <f t="shared" si="36"/>
        <v>90.287999999999997</v>
      </c>
      <c r="R433" s="137">
        <f>R402+(R402*20%)</f>
        <v>90.287999999999997</v>
      </c>
      <c r="S433" s="138"/>
      <c r="T433" s="139">
        <f>IFERROR(INDEX('Price List'!$G$5:$G$74,MATCH(TRIM(J433)&amp;"|"&amp;TRIM(P433),'Price List'!$O$5:$O$74,0)),0)</f>
        <v>6</v>
      </c>
      <c r="U433" s="140">
        <f>IFERROR(INDEX('Price List'!$H$5:$H$74,MATCH(TRIM(J433)&amp;"|"&amp;TRIM(P433),'Price List'!$O$5:$O$74,0)),0)</f>
        <v>0.2</v>
      </c>
      <c r="V433" s="141">
        <f t="shared" si="33"/>
        <v>7.1999999999999993</v>
      </c>
      <c r="W433" s="142">
        <f>IFERROR(INDEX('Price List'!$J$5:$J$74,MATCH(TRIM(J433)&amp;"|"&amp;TRIM(P433),'Price List'!$O$5:$O$74,0)),0)</f>
        <v>5</v>
      </c>
      <c r="X433" s="143">
        <f>IFERROR(INDEX('Price List'!$K$5:$K$74,MATCH(TRIM(J433)&amp;"|"&amp;TRIM(P433),'Price List'!$O$5:$O$74,0)),0)</f>
        <v>0.12</v>
      </c>
      <c r="Y433" s="141">
        <f t="shared" si="34"/>
        <v>5.6000000000000005</v>
      </c>
      <c r="Z433" s="141">
        <f t="shared" si="35"/>
        <v>1155.6864</v>
      </c>
      <c r="AA433" s="134"/>
    </row>
    <row r="434" spans="1:27" ht="15" customHeight="1" x14ac:dyDescent="0.35">
      <c r="A434" s="134"/>
      <c r="B434" s="135"/>
      <c r="C434" s="134" t="s">
        <v>444</v>
      </c>
      <c r="D434" s="136" t="str">
        <f t="shared" si="32"/>
        <v>B.04</v>
      </c>
      <c r="E434" s="135" t="s">
        <v>414</v>
      </c>
      <c r="F434" s="135" t="s">
        <v>677</v>
      </c>
      <c r="G434" s="134" t="s">
        <v>31</v>
      </c>
      <c r="H434" s="134" t="s">
        <v>578</v>
      </c>
      <c r="I434" s="134" t="s">
        <v>513</v>
      </c>
      <c r="J434" s="144" t="s">
        <v>169</v>
      </c>
      <c r="K434" s="144"/>
      <c r="L434" s="134"/>
      <c r="M434" s="134"/>
      <c r="N434" s="134"/>
      <c r="O434" s="134"/>
      <c r="P434" s="135" t="s">
        <v>103</v>
      </c>
      <c r="Q434" s="137">
        <f t="shared" si="36"/>
        <v>60.191999999999993</v>
      </c>
      <c r="R434" s="137">
        <f>R403+(R403*20%)</f>
        <v>60.191999999999993</v>
      </c>
      <c r="S434" s="138"/>
      <c r="T434" s="139">
        <f>IFERROR(INDEX('Price List'!$G$5:$G$74,MATCH(TRIM(J434)&amp;"|"&amp;TRIM(P434),'Price List'!$O$5:$O$74,0)),0)</f>
        <v>0.12</v>
      </c>
      <c r="U434" s="140">
        <f>IFERROR(INDEX('Price List'!$H$5:$H$74,MATCH(TRIM(J434)&amp;"|"&amp;TRIM(P434),'Price List'!$O$5:$O$74,0)),0)</f>
        <v>0.2</v>
      </c>
      <c r="V434" s="141">
        <f t="shared" si="33"/>
        <v>0.14399999999999999</v>
      </c>
      <c r="W434" s="142">
        <f>IFERROR(INDEX('Price List'!$J$5:$J$74,MATCH(TRIM(J434)&amp;"|"&amp;TRIM(P434),'Price List'!$O$5:$O$74,0)),0)</f>
        <v>0.77</v>
      </c>
      <c r="X434" s="143">
        <f>IFERROR(INDEX('Price List'!$K$5:$K$74,MATCH(TRIM(J434)&amp;"|"&amp;TRIM(P434),'Price List'!$O$5:$O$74,0)),0)</f>
        <v>0.12</v>
      </c>
      <c r="Y434" s="141">
        <f t="shared" si="34"/>
        <v>0.86240000000000006</v>
      </c>
      <c r="Z434" s="141">
        <f t="shared" si="35"/>
        <v>60.577228799999993</v>
      </c>
      <c r="AA434" s="134"/>
    </row>
    <row r="435" spans="1:27" ht="15" customHeight="1" x14ac:dyDescent="0.35">
      <c r="A435" s="134"/>
      <c r="B435" s="135"/>
      <c r="C435" s="134" t="s">
        <v>444</v>
      </c>
      <c r="D435" s="136" t="str">
        <f t="shared" si="32"/>
        <v>B.04</v>
      </c>
      <c r="E435" s="135" t="s">
        <v>414</v>
      </c>
      <c r="F435" s="135" t="s">
        <v>677</v>
      </c>
      <c r="G435" s="134" t="s">
        <v>31</v>
      </c>
      <c r="H435" s="134" t="s">
        <v>578</v>
      </c>
      <c r="I435" s="134" t="s">
        <v>513</v>
      </c>
      <c r="J435" s="144" t="s">
        <v>131</v>
      </c>
      <c r="K435" s="134"/>
      <c r="L435" s="134"/>
      <c r="M435" s="134"/>
      <c r="N435" s="134"/>
      <c r="O435" s="134"/>
      <c r="P435" s="135" t="s">
        <v>103</v>
      </c>
      <c r="Q435" s="137">
        <f t="shared" si="36"/>
        <v>722.30399999999997</v>
      </c>
      <c r="R435" s="137">
        <f>R404+(R404*20%)</f>
        <v>722.30399999999997</v>
      </c>
      <c r="S435" s="138"/>
      <c r="T435" s="139">
        <f>IFERROR(INDEX('Price List'!$G$5:$G$74,MATCH(TRIM(J435)&amp;"|"&amp;TRIM(P435),'Price List'!$O$5:$O$74,0)),0)</f>
        <v>0.11</v>
      </c>
      <c r="U435" s="140">
        <f>IFERROR(INDEX('Price List'!$H$5:$H$74,MATCH(TRIM(J435)&amp;"|"&amp;TRIM(P435),'Price List'!$O$5:$O$74,0)),0)</f>
        <v>0.2</v>
      </c>
      <c r="V435" s="141">
        <f t="shared" si="33"/>
        <v>0.13200000000000001</v>
      </c>
      <c r="W435" s="142">
        <f>IFERROR(INDEX('Price List'!$J$5:$J$74,MATCH(TRIM(J435)&amp;"|"&amp;TRIM(P435),'Price List'!$O$5:$O$74,0)),0)</f>
        <v>0.76</v>
      </c>
      <c r="X435" s="143">
        <f>IFERROR(INDEX('Price List'!$K$5:$K$74,MATCH(TRIM(J435)&amp;"|"&amp;TRIM(P435),'Price List'!$O$5:$O$74,0)),0)</f>
        <v>0.12</v>
      </c>
      <c r="Y435" s="141">
        <f t="shared" si="34"/>
        <v>0.85120000000000007</v>
      </c>
      <c r="Z435" s="141">
        <f t="shared" si="35"/>
        <v>710.16929279999999</v>
      </c>
      <c r="AA435" s="134"/>
    </row>
    <row r="436" spans="1:27" ht="15" customHeight="1" x14ac:dyDescent="0.35">
      <c r="A436" s="134"/>
      <c r="B436" s="135"/>
      <c r="C436" s="134" t="s">
        <v>444</v>
      </c>
      <c r="D436" s="136" t="str">
        <f t="shared" si="32"/>
        <v>B.04</v>
      </c>
      <c r="E436" s="135" t="s">
        <v>414</v>
      </c>
      <c r="F436" s="135" t="s">
        <v>677</v>
      </c>
      <c r="G436" s="134" t="s">
        <v>31</v>
      </c>
      <c r="H436" s="134" t="s">
        <v>578</v>
      </c>
      <c r="I436" s="134" t="s">
        <v>513</v>
      </c>
      <c r="J436" s="144" t="s">
        <v>133</v>
      </c>
      <c r="K436" s="134"/>
      <c r="L436" s="134"/>
      <c r="M436" s="134"/>
      <c r="N436" s="134"/>
      <c r="O436" s="134"/>
      <c r="P436" s="135" t="s">
        <v>103</v>
      </c>
      <c r="Q436" s="137">
        <f t="shared" si="36"/>
        <v>150.48000000000002</v>
      </c>
      <c r="R436" s="137">
        <f>R405+(R405*20%)</f>
        <v>150.48000000000002</v>
      </c>
      <c r="S436" s="138"/>
      <c r="T436" s="139">
        <f>IFERROR(INDEX('Price List'!$G$5:$G$74,MATCH(TRIM(J436)&amp;"|"&amp;TRIM(P436),'Price List'!$O$5:$O$74,0)),0)</f>
        <v>0.1</v>
      </c>
      <c r="U436" s="140">
        <f>IFERROR(INDEX('Price List'!$H$5:$H$74,MATCH(TRIM(J436)&amp;"|"&amp;TRIM(P436),'Price List'!$O$5:$O$74,0)),0)</f>
        <v>0.2</v>
      </c>
      <c r="V436" s="141">
        <f t="shared" si="33"/>
        <v>0.12</v>
      </c>
      <c r="W436" s="142">
        <f>IFERROR(INDEX('Price List'!$J$5:$J$74,MATCH(TRIM(J436)&amp;"|"&amp;TRIM(P436),'Price List'!$O$5:$O$74,0)),0)</f>
        <v>0.74</v>
      </c>
      <c r="X436" s="143">
        <f>IFERROR(INDEX('Price List'!$K$5:$K$74,MATCH(TRIM(J436)&amp;"|"&amp;TRIM(P436),'Price List'!$O$5:$O$74,0)),0)</f>
        <v>0.12</v>
      </c>
      <c r="Y436" s="141">
        <f t="shared" si="34"/>
        <v>0.82880000000000009</v>
      </c>
      <c r="Z436" s="141">
        <f t="shared" si="35"/>
        <v>142.77542400000004</v>
      </c>
      <c r="AA436" s="134"/>
    </row>
    <row r="437" spans="1:27" ht="15" customHeight="1" x14ac:dyDescent="0.35">
      <c r="A437" s="134"/>
      <c r="B437" s="135"/>
      <c r="C437" s="134" t="s">
        <v>444</v>
      </c>
      <c r="D437" s="136" t="str">
        <f t="shared" si="32"/>
        <v>B.04</v>
      </c>
      <c r="E437" s="135" t="s">
        <v>414</v>
      </c>
      <c r="F437" s="135" t="s">
        <v>677</v>
      </c>
      <c r="G437" s="134" t="s">
        <v>31</v>
      </c>
      <c r="H437" s="134" t="s">
        <v>578</v>
      </c>
      <c r="I437" s="134" t="s">
        <v>657</v>
      </c>
      <c r="J437" s="134" t="s">
        <v>107</v>
      </c>
      <c r="K437" s="134"/>
      <c r="L437" s="134"/>
      <c r="M437" s="134"/>
      <c r="N437" s="134"/>
      <c r="O437" s="134"/>
      <c r="P437" s="135" t="s">
        <v>103</v>
      </c>
      <c r="Q437" s="137">
        <f t="shared" si="36"/>
        <v>37.319040000000001</v>
      </c>
      <c r="R437" s="137">
        <f>(R435+R436+R434)*4%</f>
        <v>37.319040000000001</v>
      </c>
      <c r="S437" s="138"/>
      <c r="T437" s="139">
        <f>IFERROR(INDEX('Price List'!$G$5:$G$74,MATCH(TRIM(J437)&amp;"|"&amp;TRIM(P437),'Price List'!$O$5:$O$74,0)),0)</f>
        <v>0.05</v>
      </c>
      <c r="U437" s="140">
        <f>IFERROR(INDEX('Price List'!$H$5:$H$74,MATCH(TRIM(J437)&amp;"|"&amp;TRIM(P437),'Price List'!$O$5:$O$74,0)),0)</f>
        <v>0.2</v>
      </c>
      <c r="V437" s="141">
        <f t="shared" si="33"/>
        <v>0.06</v>
      </c>
      <c r="W437" s="142">
        <f>IFERROR(INDEX('Price List'!$J$5:$J$74,MATCH(TRIM(J437)&amp;"|"&amp;TRIM(P437),'Price List'!$O$5:$O$74,0)),0)</f>
        <v>1.2</v>
      </c>
      <c r="X437" s="143">
        <f>IFERROR(INDEX('Price List'!$K$5:$K$74,MATCH(TRIM(J437)&amp;"|"&amp;TRIM(P437),'Price List'!$O$5:$O$74,0)),0)</f>
        <v>0.12</v>
      </c>
      <c r="Y437" s="141">
        <f t="shared" si="34"/>
        <v>1.3440000000000001</v>
      </c>
      <c r="Z437" s="141">
        <f t="shared" si="35"/>
        <v>52.395932160000008</v>
      </c>
      <c r="AA437" s="134"/>
    </row>
    <row r="438" spans="1:27" ht="15" customHeight="1" x14ac:dyDescent="0.35">
      <c r="A438" s="134"/>
      <c r="B438" s="134"/>
      <c r="C438" s="134" t="s">
        <v>444</v>
      </c>
      <c r="D438" s="136" t="str">
        <f t="shared" si="32"/>
        <v>B.04</v>
      </c>
      <c r="E438" s="135" t="s">
        <v>414</v>
      </c>
      <c r="F438" s="135" t="s">
        <v>677</v>
      </c>
      <c r="G438" s="134" t="s">
        <v>31</v>
      </c>
      <c r="H438" s="134" t="s">
        <v>573</v>
      </c>
      <c r="I438" s="134" t="s">
        <v>512</v>
      </c>
      <c r="J438" s="144" t="s">
        <v>125</v>
      </c>
      <c r="K438" s="134"/>
      <c r="L438" s="134"/>
      <c r="M438" s="134"/>
      <c r="N438" s="134"/>
      <c r="O438" s="134"/>
      <c r="P438" s="135" t="s">
        <v>100</v>
      </c>
      <c r="Q438" s="137">
        <v>38.304000000000002</v>
      </c>
      <c r="R438" s="137">
        <v>45.6</v>
      </c>
      <c r="S438" s="138"/>
      <c r="T438" s="139">
        <f>IFERROR(INDEX('Price List'!$G$5:$G$74,MATCH(TRIM(J438)&amp;"|"&amp;TRIM(P438),'Price List'!$O$5:$O$74,0)),0)</f>
        <v>10</v>
      </c>
      <c r="U438" s="140">
        <f>IFERROR(INDEX('Price List'!$H$5:$H$74,MATCH(TRIM(J438)&amp;"|"&amp;TRIM(P438),'Price List'!$O$5:$O$74,0)),0)</f>
        <v>0.2</v>
      </c>
      <c r="V438" s="141">
        <f t="shared" si="33"/>
        <v>12</v>
      </c>
      <c r="W438" s="142">
        <f>IFERROR(INDEX('Price List'!$J$5:$J$74,MATCH(TRIM(J438)&amp;"|"&amp;TRIM(P438),'Price List'!$O$5:$O$74,0)),0)</f>
        <v>98</v>
      </c>
      <c r="X438" s="143">
        <f>IFERROR(INDEX('Price List'!$K$5:$K$74,MATCH(TRIM(J438)&amp;"|"&amp;TRIM(P438),'Price List'!$O$5:$O$74,0)),0)</f>
        <v>0.12</v>
      </c>
      <c r="Y438" s="141">
        <f t="shared" si="34"/>
        <v>109.76</v>
      </c>
      <c r="Z438" s="141">
        <f t="shared" si="35"/>
        <v>4663.8950400000003</v>
      </c>
      <c r="AA438" s="134"/>
    </row>
    <row r="439" spans="1:27" ht="15" customHeight="1" x14ac:dyDescent="0.35">
      <c r="A439" s="134"/>
      <c r="B439" s="134"/>
      <c r="C439" s="134" t="s">
        <v>444</v>
      </c>
      <c r="D439" s="136" t="str">
        <f t="shared" si="32"/>
        <v>B.04</v>
      </c>
      <c r="E439" s="135" t="s">
        <v>414</v>
      </c>
      <c r="F439" s="135" t="s">
        <v>677</v>
      </c>
      <c r="G439" s="134" t="s">
        <v>31</v>
      </c>
      <c r="H439" s="134" t="s">
        <v>573</v>
      </c>
      <c r="I439" s="134" t="s">
        <v>127</v>
      </c>
      <c r="J439" s="144" t="s">
        <v>127</v>
      </c>
      <c r="K439" s="134"/>
      <c r="L439" s="134"/>
      <c r="M439" s="134"/>
      <c r="N439" s="134"/>
      <c r="O439" s="134"/>
      <c r="P439" s="135" t="s">
        <v>128</v>
      </c>
      <c r="Q439" s="137">
        <v>203.28</v>
      </c>
      <c r="R439" s="137">
        <v>242</v>
      </c>
      <c r="S439" s="138"/>
      <c r="T439" s="139">
        <f>IFERROR(INDEX('Price List'!$G$5:$G$74,MATCH(TRIM(J439)&amp;"|"&amp;TRIM(P439),'Price List'!$O$5:$O$74,0)),0)</f>
        <v>6</v>
      </c>
      <c r="U439" s="140">
        <f>IFERROR(INDEX('Price List'!$H$5:$H$74,MATCH(TRIM(J439)&amp;"|"&amp;TRIM(P439),'Price List'!$O$5:$O$74,0)),0)</f>
        <v>0.2</v>
      </c>
      <c r="V439" s="141">
        <f t="shared" si="33"/>
        <v>7.1999999999999993</v>
      </c>
      <c r="W439" s="142">
        <f>IFERROR(INDEX('Price List'!$J$5:$J$74,MATCH(TRIM(J439)&amp;"|"&amp;TRIM(P439),'Price List'!$O$5:$O$74,0)),0)</f>
        <v>5</v>
      </c>
      <c r="X439" s="143">
        <f>IFERROR(INDEX('Price List'!$K$5:$K$74,MATCH(TRIM(J439)&amp;"|"&amp;TRIM(P439),'Price List'!$O$5:$O$74,0)),0)</f>
        <v>0.12</v>
      </c>
      <c r="Y439" s="141">
        <f t="shared" si="34"/>
        <v>5.6000000000000005</v>
      </c>
      <c r="Z439" s="141">
        <f t="shared" si="35"/>
        <v>2601.9840000000004</v>
      </c>
      <c r="AA439" s="134"/>
    </row>
    <row r="440" spans="1:27" ht="15" customHeight="1" x14ac:dyDescent="0.35">
      <c r="A440" s="134"/>
      <c r="B440" s="134"/>
      <c r="C440" s="134" t="s">
        <v>444</v>
      </c>
      <c r="D440" s="136" t="str">
        <f t="shared" si="32"/>
        <v>B.04</v>
      </c>
      <c r="E440" s="135" t="s">
        <v>414</v>
      </c>
      <c r="F440" s="135" t="s">
        <v>677</v>
      </c>
      <c r="G440" s="134" t="s">
        <v>31</v>
      </c>
      <c r="H440" s="134" t="s">
        <v>573</v>
      </c>
      <c r="I440" s="134" t="s">
        <v>513</v>
      </c>
      <c r="J440" s="144" t="s">
        <v>102</v>
      </c>
      <c r="K440" s="134"/>
      <c r="L440" s="134"/>
      <c r="M440" s="134"/>
      <c r="N440" s="134"/>
      <c r="O440" s="134"/>
      <c r="P440" s="135" t="s">
        <v>103</v>
      </c>
      <c r="Q440" s="137">
        <v>1889.9944</v>
      </c>
      <c r="R440" s="137">
        <v>2294.9931999999999</v>
      </c>
      <c r="S440" s="138"/>
      <c r="T440" s="139">
        <f>IFERROR(INDEX('Price List'!$G$5:$G$74,MATCH(TRIM(J440)&amp;"|"&amp;TRIM(P440),'Price List'!$O$5:$O$74,0)),0)</f>
        <v>0.12</v>
      </c>
      <c r="U440" s="140">
        <f>IFERROR(INDEX('Price List'!$H$5:$H$74,MATCH(TRIM(J440)&amp;"|"&amp;TRIM(P440),'Price List'!$O$5:$O$74,0)),0)</f>
        <v>0.2</v>
      </c>
      <c r="V440" s="141">
        <f t="shared" si="33"/>
        <v>0.14399999999999999</v>
      </c>
      <c r="W440" s="142">
        <f>IFERROR(INDEX('Price List'!$J$5:$J$74,MATCH(TRIM(J440)&amp;"|"&amp;TRIM(P440),'Price List'!$O$5:$O$74,0)),0)</f>
        <v>0.78</v>
      </c>
      <c r="X440" s="143">
        <f>IFERROR(INDEX('Price List'!$K$5:$K$74,MATCH(TRIM(J440)&amp;"|"&amp;TRIM(P440),'Price List'!$O$5:$O$74,0)),0)</f>
        <v>0.12</v>
      </c>
      <c r="Y440" s="141">
        <f t="shared" si="34"/>
        <v>0.87360000000000015</v>
      </c>
      <c r="Z440" s="141">
        <f t="shared" si="35"/>
        <v>1923.2583014400002</v>
      </c>
      <c r="AA440" s="134"/>
    </row>
    <row r="441" spans="1:27" ht="15" customHeight="1" x14ac:dyDescent="0.35">
      <c r="A441" s="134"/>
      <c r="B441" s="134"/>
      <c r="C441" s="134" t="s">
        <v>444</v>
      </c>
      <c r="D441" s="136" t="str">
        <f t="shared" si="32"/>
        <v>B.04</v>
      </c>
      <c r="E441" s="135" t="s">
        <v>414</v>
      </c>
      <c r="F441" s="135" t="s">
        <v>677</v>
      </c>
      <c r="G441" s="134" t="s">
        <v>31</v>
      </c>
      <c r="H441" s="134" t="s">
        <v>573</v>
      </c>
      <c r="I441" s="134" t="s">
        <v>513</v>
      </c>
      <c r="J441" s="144" t="s">
        <v>135</v>
      </c>
      <c r="K441" s="134"/>
      <c r="L441" s="134"/>
      <c r="M441" s="134"/>
      <c r="N441" s="134"/>
      <c r="O441" s="134"/>
      <c r="P441" s="135" t="s">
        <v>103</v>
      </c>
      <c r="Q441" s="137">
        <v>4821.5231999999996</v>
      </c>
      <c r="R441" s="137">
        <v>5563.2960000000003</v>
      </c>
      <c r="S441" s="138"/>
      <c r="T441" s="139">
        <f>IFERROR(INDEX('Price List'!$G$5:$G$74,MATCH(TRIM(J441)&amp;"|"&amp;TRIM(P441),'Price List'!$O$5:$O$74,0)),0)</f>
        <v>0.09</v>
      </c>
      <c r="U441" s="140">
        <f>IFERROR(INDEX('Price List'!$H$5:$H$74,MATCH(TRIM(J441)&amp;"|"&amp;TRIM(P441),'Price List'!$O$5:$O$74,0)),0)</f>
        <v>0.2</v>
      </c>
      <c r="V441" s="141">
        <f t="shared" si="33"/>
        <v>0.108</v>
      </c>
      <c r="W441" s="142">
        <f>IFERROR(INDEX('Price List'!$J$5:$J$74,MATCH(TRIM(J441)&amp;"|"&amp;TRIM(P441),'Price List'!$O$5:$O$74,0)),0)</f>
        <v>0.73</v>
      </c>
      <c r="X441" s="143">
        <f>IFERROR(INDEX('Price List'!$K$5:$K$74,MATCH(TRIM(J441)&amp;"|"&amp;TRIM(P441),'Price List'!$O$5:$O$74,0)),0)</f>
        <v>0.12</v>
      </c>
      <c r="Y441" s="141">
        <f t="shared" si="34"/>
        <v>0.8176000000000001</v>
      </c>
      <c r="Z441" s="141">
        <f t="shared" si="35"/>
        <v>4462.8018739199997</v>
      </c>
      <c r="AA441" s="134"/>
    </row>
    <row r="442" spans="1:27" ht="15" customHeight="1" x14ac:dyDescent="0.35">
      <c r="A442" s="134"/>
      <c r="B442" s="134"/>
      <c r="C442" s="134" t="s">
        <v>444</v>
      </c>
      <c r="D442" s="136" t="str">
        <f t="shared" si="32"/>
        <v>B.04</v>
      </c>
      <c r="E442" s="135" t="s">
        <v>414</v>
      </c>
      <c r="F442" s="135" t="s">
        <v>677</v>
      </c>
      <c r="G442" s="134" t="s">
        <v>31</v>
      </c>
      <c r="H442" s="134" t="s">
        <v>573</v>
      </c>
      <c r="I442" s="134" t="s">
        <v>657</v>
      </c>
      <c r="J442" s="134" t="s">
        <v>107</v>
      </c>
      <c r="K442" s="134"/>
      <c r="L442" s="134"/>
      <c r="M442" s="134"/>
      <c r="N442" s="134"/>
      <c r="O442" s="134"/>
      <c r="P442" s="135" t="s">
        <v>103</v>
      </c>
      <c r="Q442" s="137">
        <f t="shared" ref="Q442:Q463" si="37">R442</f>
        <v>314.331568</v>
      </c>
      <c r="R442" s="137">
        <f>(R440+R441)*4%</f>
        <v>314.331568</v>
      </c>
      <c r="S442" s="138"/>
      <c r="T442" s="139">
        <f>IFERROR(INDEX('Price List'!$G$5:$G$74,MATCH(TRIM(J442)&amp;"|"&amp;TRIM(P442),'Price List'!$O$5:$O$74,0)),0)</f>
        <v>0.05</v>
      </c>
      <c r="U442" s="140">
        <f>IFERROR(INDEX('Price List'!$H$5:$H$74,MATCH(TRIM(J442)&amp;"|"&amp;TRIM(P442),'Price List'!$O$5:$O$74,0)),0)</f>
        <v>0.2</v>
      </c>
      <c r="V442" s="141">
        <f t="shared" si="33"/>
        <v>0.06</v>
      </c>
      <c r="W442" s="142">
        <f>IFERROR(INDEX('Price List'!$J$5:$J$74,MATCH(TRIM(J442)&amp;"|"&amp;TRIM(P442),'Price List'!$O$5:$O$74,0)),0)</f>
        <v>1.2</v>
      </c>
      <c r="X442" s="143">
        <f>IFERROR(INDEX('Price List'!$K$5:$K$74,MATCH(TRIM(J442)&amp;"|"&amp;TRIM(P442),'Price List'!$O$5:$O$74,0)),0)</f>
        <v>0.12</v>
      </c>
      <c r="Y442" s="141">
        <f t="shared" si="34"/>
        <v>1.3440000000000001</v>
      </c>
      <c r="Z442" s="141">
        <f t="shared" si="35"/>
        <v>441.32152147200003</v>
      </c>
      <c r="AA442" s="134"/>
    </row>
    <row r="443" spans="1:27" ht="15" customHeight="1" x14ac:dyDescent="0.35">
      <c r="A443" s="134"/>
      <c r="B443" s="135"/>
      <c r="C443" s="134" t="s">
        <v>444</v>
      </c>
      <c r="D443" s="136" t="str">
        <f t="shared" si="32"/>
        <v>B.04</v>
      </c>
      <c r="E443" s="135" t="s">
        <v>414</v>
      </c>
      <c r="F443" s="135" t="s">
        <v>678</v>
      </c>
      <c r="G443" s="134" t="s">
        <v>31</v>
      </c>
      <c r="H443" s="134" t="s">
        <v>564</v>
      </c>
      <c r="I443" s="134" t="s">
        <v>512</v>
      </c>
      <c r="J443" s="145" t="s">
        <v>125</v>
      </c>
      <c r="K443" s="134"/>
      <c r="L443" s="134"/>
      <c r="M443" s="134"/>
      <c r="N443" s="134"/>
      <c r="O443" s="134"/>
      <c r="P443" s="135" t="s">
        <v>100</v>
      </c>
      <c r="Q443" s="137">
        <f t="shared" si="37"/>
        <v>32.903750000000002</v>
      </c>
      <c r="R443" s="137">
        <f>'TR beam'!H11</f>
        <v>32.903750000000002</v>
      </c>
      <c r="S443" s="138"/>
      <c r="T443" s="139">
        <f>IFERROR(INDEX('Price List'!$G$5:$G$74,MATCH(TRIM(J443)&amp;"|"&amp;TRIM(P443),'Price List'!$O$5:$O$74,0)),0)</f>
        <v>10</v>
      </c>
      <c r="U443" s="140">
        <f>IFERROR(INDEX('Price List'!$H$5:$H$74,MATCH(TRIM(J443)&amp;"|"&amp;TRIM(P443),'Price List'!$O$5:$O$74,0)),0)</f>
        <v>0.2</v>
      </c>
      <c r="V443" s="141">
        <f t="shared" si="33"/>
        <v>12</v>
      </c>
      <c r="W443" s="142">
        <f>IFERROR(INDEX('Price List'!$J$5:$J$74,MATCH(TRIM(J443)&amp;"|"&amp;TRIM(P443),'Price List'!$O$5:$O$74,0)),0)</f>
        <v>98</v>
      </c>
      <c r="X443" s="143">
        <f>IFERROR(INDEX('Price List'!$K$5:$K$74,MATCH(TRIM(J443)&amp;"|"&amp;TRIM(P443),'Price List'!$O$5:$O$74,0)),0)</f>
        <v>0.12</v>
      </c>
      <c r="Y443" s="141">
        <f t="shared" si="34"/>
        <v>109.76</v>
      </c>
      <c r="Z443" s="141">
        <f t="shared" si="35"/>
        <v>4006.3606000000004</v>
      </c>
      <c r="AA443" s="134"/>
    </row>
    <row r="444" spans="1:27" ht="15" customHeight="1" x14ac:dyDescent="0.35">
      <c r="A444" s="134"/>
      <c r="B444" s="135"/>
      <c r="C444" s="134" t="s">
        <v>444</v>
      </c>
      <c r="D444" s="136" t="str">
        <f t="shared" si="32"/>
        <v>B.04</v>
      </c>
      <c r="E444" s="135" t="s">
        <v>414</v>
      </c>
      <c r="F444" s="135" t="s">
        <v>678</v>
      </c>
      <c r="G444" s="134" t="s">
        <v>31</v>
      </c>
      <c r="H444" s="134" t="s">
        <v>564</v>
      </c>
      <c r="I444" s="144" t="s">
        <v>127</v>
      </c>
      <c r="J444" s="144" t="s">
        <v>127</v>
      </c>
      <c r="K444" s="144"/>
      <c r="L444" s="134"/>
      <c r="M444" s="134"/>
      <c r="N444" s="134"/>
      <c r="O444" s="134"/>
      <c r="P444" s="135" t="s">
        <v>128</v>
      </c>
      <c r="Q444" s="137">
        <f t="shared" si="37"/>
        <v>314.89</v>
      </c>
      <c r="R444" s="137">
        <f>'TR beam'!G11</f>
        <v>314.89</v>
      </c>
      <c r="S444" s="138"/>
      <c r="T444" s="139">
        <f>IFERROR(INDEX('Price List'!$G$5:$G$74,MATCH(TRIM(J444)&amp;"|"&amp;TRIM(P444),'Price List'!$O$5:$O$74,0)),0)</f>
        <v>6</v>
      </c>
      <c r="U444" s="140">
        <f>IFERROR(INDEX('Price List'!$H$5:$H$74,MATCH(TRIM(J444)&amp;"|"&amp;TRIM(P444),'Price List'!$O$5:$O$74,0)),0)</f>
        <v>0.2</v>
      </c>
      <c r="V444" s="141">
        <f t="shared" si="33"/>
        <v>7.1999999999999993</v>
      </c>
      <c r="W444" s="142">
        <f>IFERROR(INDEX('Price List'!$J$5:$J$74,MATCH(TRIM(J444)&amp;"|"&amp;TRIM(P444),'Price List'!$O$5:$O$74,0)),0)</f>
        <v>5</v>
      </c>
      <c r="X444" s="143">
        <f>IFERROR(INDEX('Price List'!$K$5:$K$74,MATCH(TRIM(J444)&amp;"|"&amp;TRIM(P444),'Price List'!$O$5:$O$74,0)),0)</f>
        <v>0.12</v>
      </c>
      <c r="Y444" s="141">
        <f t="shared" si="34"/>
        <v>5.6000000000000005</v>
      </c>
      <c r="Z444" s="141">
        <f t="shared" si="35"/>
        <v>4030.5920000000001</v>
      </c>
      <c r="AA444" s="134"/>
    </row>
    <row r="445" spans="1:27" ht="15" customHeight="1" x14ac:dyDescent="0.35">
      <c r="A445" s="134"/>
      <c r="B445" s="135"/>
      <c r="C445" s="134" t="s">
        <v>444</v>
      </c>
      <c r="D445" s="136" t="str">
        <f t="shared" si="32"/>
        <v>B.04</v>
      </c>
      <c r="E445" s="135" t="s">
        <v>414</v>
      </c>
      <c r="F445" s="135" t="s">
        <v>678</v>
      </c>
      <c r="G445" s="134" t="s">
        <v>31</v>
      </c>
      <c r="H445" s="134" t="s">
        <v>564</v>
      </c>
      <c r="I445" s="134" t="s">
        <v>513</v>
      </c>
      <c r="J445" s="144" t="s">
        <v>169</v>
      </c>
      <c r="K445" s="134"/>
      <c r="L445" s="134"/>
      <c r="M445" s="134"/>
      <c r="N445" s="134"/>
      <c r="O445" s="134"/>
      <c r="P445" s="135" t="s">
        <v>103</v>
      </c>
      <c r="Q445" s="137">
        <f t="shared" si="37"/>
        <v>492.86520000000007</v>
      </c>
      <c r="R445" s="137">
        <f>'TR beam'!J14</f>
        <v>492.86520000000007</v>
      </c>
      <c r="S445" s="138"/>
      <c r="T445" s="139">
        <f>IFERROR(INDEX('Price List'!$G$5:$G$74,MATCH(TRIM(J445)&amp;"|"&amp;TRIM(P445),'Price List'!$O$5:$O$74,0)),0)</f>
        <v>0.12</v>
      </c>
      <c r="U445" s="140">
        <f>IFERROR(INDEX('Price List'!$H$5:$H$74,MATCH(TRIM(J445)&amp;"|"&amp;TRIM(P445),'Price List'!$O$5:$O$74,0)),0)</f>
        <v>0.2</v>
      </c>
      <c r="V445" s="141">
        <f t="shared" si="33"/>
        <v>0.14399999999999999</v>
      </c>
      <c r="W445" s="142">
        <f>IFERROR(INDEX('Price List'!$J$5:$J$74,MATCH(TRIM(J445)&amp;"|"&amp;TRIM(P445),'Price List'!$O$5:$O$74,0)),0)</f>
        <v>0.77</v>
      </c>
      <c r="X445" s="143">
        <f>IFERROR(INDEX('Price List'!$K$5:$K$74,MATCH(TRIM(J445)&amp;"|"&amp;TRIM(P445),'Price List'!$O$5:$O$74,0)),0)</f>
        <v>0.12</v>
      </c>
      <c r="Y445" s="141">
        <f t="shared" si="34"/>
        <v>0.86240000000000006</v>
      </c>
      <c r="Z445" s="141">
        <f t="shared" si="35"/>
        <v>496.01953728000007</v>
      </c>
      <c r="AA445" s="134"/>
    </row>
    <row r="446" spans="1:27" ht="15" customHeight="1" x14ac:dyDescent="0.35">
      <c r="A446" s="134"/>
      <c r="B446" s="135"/>
      <c r="C446" s="134" t="s">
        <v>444</v>
      </c>
      <c r="D446" s="136" t="str">
        <f t="shared" si="32"/>
        <v>B.04</v>
      </c>
      <c r="E446" s="135" t="s">
        <v>414</v>
      </c>
      <c r="F446" s="135" t="s">
        <v>678</v>
      </c>
      <c r="G446" s="134" t="s">
        <v>31</v>
      </c>
      <c r="H446" s="134" t="s">
        <v>564</v>
      </c>
      <c r="I446" s="134" t="s">
        <v>513</v>
      </c>
      <c r="J446" s="144" t="s">
        <v>102</v>
      </c>
      <c r="K446" s="134"/>
      <c r="L446" s="134"/>
      <c r="M446" s="134"/>
      <c r="N446" s="134"/>
      <c r="O446" s="134"/>
      <c r="P446" s="135" t="s">
        <v>103</v>
      </c>
      <c r="Q446" s="137">
        <f t="shared" si="37"/>
        <v>1927.4433333333334</v>
      </c>
      <c r="R446" s="137">
        <f>'TR beam'!J15</f>
        <v>1927.4433333333334</v>
      </c>
      <c r="S446" s="138"/>
      <c r="T446" s="139">
        <f>IFERROR(INDEX('Price List'!$G$5:$G$74,MATCH(TRIM(J446)&amp;"|"&amp;TRIM(P446),'Price List'!$O$5:$O$74,0)),0)</f>
        <v>0.12</v>
      </c>
      <c r="U446" s="140">
        <f>IFERROR(INDEX('Price List'!$H$5:$H$74,MATCH(TRIM(J446)&amp;"|"&amp;TRIM(P446),'Price List'!$O$5:$O$74,0)),0)</f>
        <v>0.2</v>
      </c>
      <c r="V446" s="141">
        <f t="shared" si="33"/>
        <v>0.14399999999999999</v>
      </c>
      <c r="W446" s="142">
        <f>IFERROR(INDEX('Price List'!$J$5:$J$74,MATCH(TRIM(J446)&amp;"|"&amp;TRIM(P446),'Price List'!$O$5:$O$74,0)),0)</f>
        <v>0.78</v>
      </c>
      <c r="X446" s="143">
        <f>IFERROR(INDEX('Price List'!$K$5:$K$74,MATCH(TRIM(J446)&amp;"|"&amp;TRIM(P446),'Price List'!$O$5:$O$74,0)),0)</f>
        <v>0.12</v>
      </c>
      <c r="Y446" s="141">
        <f t="shared" si="34"/>
        <v>0.87360000000000015</v>
      </c>
      <c r="Z446" s="141">
        <f t="shared" si="35"/>
        <v>1961.3663360000003</v>
      </c>
      <c r="AA446" s="134"/>
    </row>
    <row r="447" spans="1:27" ht="15" customHeight="1" x14ac:dyDescent="0.35">
      <c r="A447" s="134"/>
      <c r="B447" s="135"/>
      <c r="C447" s="134" t="s">
        <v>444</v>
      </c>
      <c r="D447" s="136" t="str">
        <f t="shared" si="32"/>
        <v>B.04</v>
      </c>
      <c r="E447" s="135" t="s">
        <v>414</v>
      </c>
      <c r="F447" s="135" t="s">
        <v>678</v>
      </c>
      <c r="G447" s="134" t="s">
        <v>31</v>
      </c>
      <c r="H447" s="134" t="s">
        <v>564</v>
      </c>
      <c r="I447" s="134" t="s">
        <v>513</v>
      </c>
      <c r="J447" s="144" t="s">
        <v>131</v>
      </c>
      <c r="K447" s="134"/>
      <c r="L447" s="134"/>
      <c r="M447" s="134"/>
      <c r="N447" s="134"/>
      <c r="O447" s="134"/>
      <c r="P447" s="135" t="s">
        <v>103</v>
      </c>
      <c r="Q447" s="137">
        <f t="shared" si="37"/>
        <v>288.8664</v>
      </c>
      <c r="R447" s="137">
        <f>'TR beam'!J16</f>
        <v>288.8664</v>
      </c>
      <c r="S447" s="138"/>
      <c r="T447" s="139">
        <f>IFERROR(INDEX('Price List'!$G$5:$G$74,MATCH(TRIM(J447)&amp;"|"&amp;TRIM(P447),'Price List'!$O$5:$O$74,0)),0)</f>
        <v>0.11</v>
      </c>
      <c r="U447" s="140">
        <f>IFERROR(INDEX('Price List'!$H$5:$H$74,MATCH(TRIM(J447)&amp;"|"&amp;TRIM(P447),'Price List'!$O$5:$O$74,0)),0)</f>
        <v>0.2</v>
      </c>
      <c r="V447" s="141">
        <f t="shared" si="33"/>
        <v>0.13200000000000001</v>
      </c>
      <c r="W447" s="142">
        <f>IFERROR(INDEX('Price List'!$J$5:$J$74,MATCH(TRIM(J447)&amp;"|"&amp;TRIM(P447),'Price List'!$O$5:$O$74,0)),0)</f>
        <v>0.76</v>
      </c>
      <c r="X447" s="143">
        <f>IFERROR(INDEX('Price List'!$K$5:$K$74,MATCH(TRIM(J447)&amp;"|"&amp;TRIM(P447),'Price List'!$O$5:$O$74,0)),0)</f>
        <v>0.12</v>
      </c>
      <c r="Y447" s="141">
        <f t="shared" si="34"/>
        <v>0.85120000000000007</v>
      </c>
      <c r="Z447" s="141">
        <f t="shared" si="35"/>
        <v>284.01344448000003</v>
      </c>
      <c r="AA447" s="134"/>
    </row>
    <row r="448" spans="1:27" ht="15" customHeight="1" x14ac:dyDescent="0.35">
      <c r="A448" s="134"/>
      <c r="B448" s="135"/>
      <c r="C448" s="134" t="s">
        <v>444</v>
      </c>
      <c r="D448" s="136" t="str">
        <f t="shared" si="32"/>
        <v>B.04</v>
      </c>
      <c r="E448" s="135" t="s">
        <v>414</v>
      </c>
      <c r="F448" s="135" t="s">
        <v>678</v>
      </c>
      <c r="G448" s="134" t="s">
        <v>31</v>
      </c>
      <c r="H448" s="134" t="s">
        <v>564</v>
      </c>
      <c r="I448" s="134" t="s">
        <v>513</v>
      </c>
      <c r="J448" s="144" t="s">
        <v>133</v>
      </c>
      <c r="K448" s="134"/>
      <c r="L448" s="134"/>
      <c r="M448" s="134"/>
      <c r="N448" s="134"/>
      <c r="O448" s="134"/>
      <c r="P448" s="135" t="s">
        <v>103</v>
      </c>
      <c r="Q448" s="137">
        <f t="shared" si="37"/>
        <v>1575.4752000000001</v>
      </c>
      <c r="R448" s="137">
        <f>'TR beam'!J17</f>
        <v>1575.4752000000001</v>
      </c>
      <c r="S448" s="138"/>
      <c r="T448" s="139">
        <f>IFERROR(INDEX('Price List'!$G$5:$G$74,MATCH(TRIM(J448)&amp;"|"&amp;TRIM(P448),'Price List'!$O$5:$O$74,0)),0)</f>
        <v>0.1</v>
      </c>
      <c r="U448" s="140">
        <f>IFERROR(INDEX('Price List'!$H$5:$H$74,MATCH(TRIM(J448)&amp;"|"&amp;TRIM(P448),'Price List'!$O$5:$O$74,0)),0)</f>
        <v>0.2</v>
      </c>
      <c r="V448" s="141">
        <f t="shared" si="33"/>
        <v>0.12</v>
      </c>
      <c r="W448" s="142">
        <f>IFERROR(INDEX('Price List'!$J$5:$J$74,MATCH(TRIM(J448)&amp;"|"&amp;TRIM(P448),'Price List'!$O$5:$O$74,0)),0)</f>
        <v>0.74</v>
      </c>
      <c r="X448" s="143">
        <f>IFERROR(INDEX('Price List'!$K$5:$K$74,MATCH(TRIM(J448)&amp;"|"&amp;TRIM(P448),'Price List'!$O$5:$O$74,0)),0)</f>
        <v>0.12</v>
      </c>
      <c r="Y448" s="141">
        <f t="shared" si="34"/>
        <v>0.82880000000000009</v>
      </c>
      <c r="Z448" s="141">
        <f t="shared" si="35"/>
        <v>1494.8108697600003</v>
      </c>
      <c r="AA448" s="134"/>
    </row>
    <row r="449" spans="1:27" ht="15" customHeight="1" x14ac:dyDescent="0.35">
      <c r="A449" s="134"/>
      <c r="B449" s="135"/>
      <c r="C449" s="134" t="s">
        <v>444</v>
      </c>
      <c r="D449" s="136" t="str">
        <f t="shared" si="32"/>
        <v>B.04</v>
      </c>
      <c r="E449" s="135" t="s">
        <v>414</v>
      </c>
      <c r="F449" s="135" t="s">
        <v>678</v>
      </c>
      <c r="G449" s="134" t="s">
        <v>31</v>
      </c>
      <c r="H449" s="134" t="s">
        <v>564</v>
      </c>
      <c r="I449" s="134" t="s">
        <v>513</v>
      </c>
      <c r="J449" s="144" t="s">
        <v>135</v>
      </c>
      <c r="K449" s="134"/>
      <c r="L449" s="134"/>
      <c r="M449" s="134"/>
      <c r="N449" s="134"/>
      <c r="O449" s="134"/>
      <c r="P449" s="135" t="s">
        <v>103</v>
      </c>
      <c r="Q449" s="137">
        <f t="shared" si="37"/>
        <v>2060.3430000000003</v>
      </c>
      <c r="R449" s="137">
        <f>'TR beam'!J18</f>
        <v>2060.3430000000003</v>
      </c>
      <c r="S449" s="138"/>
      <c r="T449" s="139">
        <f>IFERROR(INDEX('Price List'!$G$5:$G$74,MATCH(TRIM(J449)&amp;"|"&amp;TRIM(P449),'Price List'!$O$5:$O$74,0)),0)</f>
        <v>0.09</v>
      </c>
      <c r="U449" s="140">
        <f>IFERROR(INDEX('Price List'!$H$5:$H$74,MATCH(TRIM(J449)&amp;"|"&amp;TRIM(P449),'Price List'!$O$5:$O$74,0)),0)</f>
        <v>0.2</v>
      </c>
      <c r="V449" s="141">
        <f t="shared" si="33"/>
        <v>0.108</v>
      </c>
      <c r="W449" s="142">
        <f>IFERROR(INDEX('Price List'!$J$5:$J$74,MATCH(TRIM(J449)&amp;"|"&amp;TRIM(P449),'Price List'!$O$5:$O$74,0)),0)</f>
        <v>0.73</v>
      </c>
      <c r="X449" s="143">
        <f>IFERROR(INDEX('Price List'!$K$5:$K$74,MATCH(TRIM(J449)&amp;"|"&amp;TRIM(P449),'Price List'!$O$5:$O$74,0)),0)</f>
        <v>0.12</v>
      </c>
      <c r="Y449" s="141">
        <f t="shared" si="34"/>
        <v>0.8176000000000001</v>
      </c>
      <c r="Z449" s="141">
        <f t="shared" si="35"/>
        <v>1907.0534808000004</v>
      </c>
      <c r="AA449" s="134"/>
    </row>
    <row r="450" spans="1:27" ht="15" customHeight="1" x14ac:dyDescent="0.35">
      <c r="A450" s="134"/>
      <c r="B450" s="135"/>
      <c r="C450" s="134" t="s">
        <v>444</v>
      </c>
      <c r="D450" s="136" t="str">
        <f t="shared" ref="D450:D513" si="38">IFERROR(IF(TRIM($G450)="Sub Structure",IF(TRIM($H450)="Bored Pile","B.01","B.03"),IF(TRIM($G450)="Super Structure","B.04",IF(OR(TRIM($G450)="Exterior Wall and Partition",TRIM($G450)="External Wall and Partition"),"C.01",IF(TRIM($G450)="Exterior Wall Finishes","C.02",IF(TRIM($G450)="Interior Wall and Partition","C.09",IF(TRIM($G450)="Interior Door","C.10",IF(TRIM($G450)="External Windows and Louvers","C.04",IF(OR(TRIM($G450)="Interior Floor Finishes",TRIM($G450)="Internal Floor Finishes"),"D.02",IF(OR(TRIM($G450)="Interior Wall Finishes",TRIM($G450)="Internal Wall Finishes"),"D.01",IF(OR(TRIM($G450)="Ceiling Finshes",TRIM($G450)="Ceiling Finishes"),"D.03",IF(TRIM($G450)="Fittings, furnishings and equipment","E.04","")))))))))))," ")</f>
        <v>B.04</v>
      </c>
      <c r="E450" s="135" t="s">
        <v>414</v>
      </c>
      <c r="F450" s="135" t="s">
        <v>678</v>
      </c>
      <c r="G450" s="134" t="s">
        <v>31</v>
      </c>
      <c r="H450" s="134" t="s">
        <v>564</v>
      </c>
      <c r="I450" s="134" t="s">
        <v>513</v>
      </c>
      <c r="J450" s="144" t="s">
        <v>105</v>
      </c>
      <c r="K450" s="134"/>
      <c r="L450" s="134"/>
      <c r="M450" s="134"/>
      <c r="N450" s="134"/>
      <c r="O450" s="134"/>
      <c r="P450" s="135" t="s">
        <v>103</v>
      </c>
      <c r="Q450" s="137">
        <f t="shared" si="37"/>
        <v>4568.1168000000007</v>
      </c>
      <c r="R450" s="137">
        <f>'TR beam'!J19</f>
        <v>4568.1168000000007</v>
      </c>
      <c r="S450" s="138"/>
      <c r="T450" s="139">
        <f>IFERROR(INDEX('Price List'!$G$5:$G$74,MATCH(TRIM(J450)&amp;"|"&amp;TRIM(P450),'Price List'!$O$5:$O$74,0)),0)</f>
        <v>0.08</v>
      </c>
      <c r="U450" s="140">
        <f>IFERROR(INDEX('Price List'!$H$5:$H$74,MATCH(TRIM(J450)&amp;"|"&amp;TRIM(P450),'Price List'!$O$5:$O$74,0)),0)</f>
        <v>0.2</v>
      </c>
      <c r="V450" s="141">
        <f t="shared" ref="V450:V513" si="39">T450*(1+U450)</f>
        <v>9.6000000000000002E-2</v>
      </c>
      <c r="W450" s="142">
        <f>IFERROR(INDEX('Price List'!$J$5:$J$74,MATCH(TRIM(J450)&amp;"|"&amp;TRIM(P450),'Price List'!$O$5:$O$74,0)),0)</f>
        <v>0.72</v>
      </c>
      <c r="X450" s="143">
        <f>IFERROR(INDEX('Price List'!$K$5:$K$74,MATCH(TRIM(J450)&amp;"|"&amp;TRIM(P450),'Price List'!$O$5:$O$74,0)),0)</f>
        <v>0.12</v>
      </c>
      <c r="Y450" s="141">
        <f t="shared" ref="Y450:Y513" si="40">W450*(1+X450)</f>
        <v>0.80640000000000001</v>
      </c>
      <c r="Z450" s="141">
        <f t="shared" ref="Z450:Z513" si="41">Q450*(V450+Y450)</f>
        <v>4122.2686003200006</v>
      </c>
      <c r="AA450" s="134"/>
    </row>
    <row r="451" spans="1:27" ht="15" customHeight="1" x14ac:dyDescent="0.35">
      <c r="A451" s="134"/>
      <c r="B451" s="135"/>
      <c r="C451" s="134" t="s">
        <v>444</v>
      </c>
      <c r="D451" s="136" t="str">
        <f t="shared" si="38"/>
        <v>B.04</v>
      </c>
      <c r="E451" s="135" t="s">
        <v>414</v>
      </c>
      <c r="F451" s="135" t="s">
        <v>678</v>
      </c>
      <c r="G451" s="134" t="s">
        <v>31</v>
      </c>
      <c r="H451" s="134" t="s">
        <v>564</v>
      </c>
      <c r="I451" s="134" t="s">
        <v>657</v>
      </c>
      <c r="J451" s="134" t="s">
        <v>107</v>
      </c>
      <c r="K451" s="134"/>
      <c r="L451" s="134"/>
      <c r="M451" s="134"/>
      <c r="N451" s="134"/>
      <c r="O451" s="134"/>
      <c r="P451" s="135" t="s">
        <v>103</v>
      </c>
      <c r="Q451" s="137">
        <f t="shared" si="37"/>
        <v>436.52439733333341</v>
      </c>
      <c r="R451" s="137">
        <f>(R449+R450+R448+R447+R446+R445)*4%</f>
        <v>436.52439733333341</v>
      </c>
      <c r="S451" s="138"/>
      <c r="T451" s="139">
        <f>IFERROR(INDEX('Price List'!$G$5:$G$74,MATCH(TRIM(J451)&amp;"|"&amp;TRIM(P451),'Price List'!$O$5:$O$74,0)),0)</f>
        <v>0.05</v>
      </c>
      <c r="U451" s="140">
        <f>IFERROR(INDEX('Price List'!$H$5:$H$74,MATCH(TRIM(J451)&amp;"|"&amp;TRIM(P451),'Price List'!$O$5:$O$74,0)),0)</f>
        <v>0.2</v>
      </c>
      <c r="V451" s="141">
        <f t="shared" si="39"/>
        <v>0.06</v>
      </c>
      <c r="W451" s="142">
        <f>IFERROR(INDEX('Price List'!$J$5:$J$74,MATCH(TRIM(J451)&amp;"|"&amp;TRIM(P451),'Price List'!$O$5:$O$74,0)),0)</f>
        <v>1.2</v>
      </c>
      <c r="X451" s="143">
        <f>IFERROR(INDEX('Price List'!$K$5:$K$74,MATCH(TRIM(J451)&amp;"|"&amp;TRIM(P451),'Price List'!$O$5:$O$74,0)),0)</f>
        <v>0.12</v>
      </c>
      <c r="Y451" s="141">
        <f t="shared" si="40"/>
        <v>1.3440000000000001</v>
      </c>
      <c r="Z451" s="141">
        <f t="shared" si="41"/>
        <v>612.88025385600019</v>
      </c>
      <c r="AA451" s="134"/>
    </row>
    <row r="452" spans="1:27" ht="15" customHeight="1" x14ac:dyDescent="0.35">
      <c r="A452" s="134"/>
      <c r="B452" s="135"/>
      <c r="C452" s="134" t="s">
        <v>444</v>
      </c>
      <c r="D452" s="136" t="str">
        <f t="shared" si="38"/>
        <v>B.04</v>
      </c>
      <c r="E452" s="135" t="s">
        <v>414</v>
      </c>
      <c r="F452" s="135" t="s">
        <v>678</v>
      </c>
      <c r="G452" s="134" t="s">
        <v>31</v>
      </c>
      <c r="H452" s="134" t="s">
        <v>568</v>
      </c>
      <c r="I452" s="134" t="s">
        <v>512</v>
      </c>
      <c r="J452" s="145" t="s">
        <v>125</v>
      </c>
      <c r="K452" s="134"/>
      <c r="L452" s="134"/>
      <c r="M452" s="134"/>
      <c r="N452" s="134"/>
      <c r="O452" s="134"/>
      <c r="P452" s="135" t="s">
        <v>100</v>
      </c>
      <c r="Q452" s="137">
        <f t="shared" si="37"/>
        <v>39.9</v>
      </c>
      <c r="R452" s="137">
        <f>266*0.15</f>
        <v>39.9</v>
      </c>
      <c r="S452" s="138"/>
      <c r="T452" s="139">
        <f>IFERROR(INDEX('Price List'!$G$5:$G$74,MATCH(TRIM(J452)&amp;"|"&amp;TRIM(P452),'Price List'!$O$5:$O$74,0)),0)</f>
        <v>10</v>
      </c>
      <c r="U452" s="140">
        <f>IFERROR(INDEX('Price List'!$H$5:$H$74,MATCH(TRIM(J452)&amp;"|"&amp;TRIM(P452),'Price List'!$O$5:$O$74,0)),0)</f>
        <v>0.2</v>
      </c>
      <c r="V452" s="141">
        <f t="shared" si="39"/>
        <v>12</v>
      </c>
      <c r="W452" s="142">
        <f>IFERROR(INDEX('Price List'!$J$5:$J$74,MATCH(TRIM(J452)&amp;"|"&amp;TRIM(P452),'Price List'!$O$5:$O$74,0)),0)</f>
        <v>98</v>
      </c>
      <c r="X452" s="143">
        <f>IFERROR(INDEX('Price List'!$K$5:$K$74,MATCH(TRIM(J452)&amp;"|"&amp;TRIM(P452),'Price List'!$O$5:$O$74,0)),0)</f>
        <v>0.12</v>
      </c>
      <c r="Y452" s="141">
        <f t="shared" si="40"/>
        <v>109.76</v>
      </c>
      <c r="Z452" s="141">
        <f t="shared" si="41"/>
        <v>4858.2240000000002</v>
      </c>
      <c r="AA452" s="134"/>
    </row>
    <row r="453" spans="1:27" ht="15" customHeight="1" x14ac:dyDescent="0.35">
      <c r="A453" s="134"/>
      <c r="B453" s="135"/>
      <c r="C453" s="134" t="s">
        <v>444</v>
      </c>
      <c r="D453" s="136" t="str">
        <f t="shared" si="38"/>
        <v>B.04</v>
      </c>
      <c r="E453" s="135" t="s">
        <v>414</v>
      </c>
      <c r="F453" s="135" t="s">
        <v>678</v>
      </c>
      <c r="G453" s="134" t="s">
        <v>31</v>
      </c>
      <c r="H453" s="134" t="s">
        <v>568</v>
      </c>
      <c r="I453" s="144" t="s">
        <v>127</v>
      </c>
      <c r="J453" s="144" t="s">
        <v>127</v>
      </c>
      <c r="K453" s="144"/>
      <c r="L453" s="134"/>
      <c r="M453" s="134"/>
      <c r="N453" s="134"/>
      <c r="O453" s="134"/>
      <c r="P453" s="135" t="s">
        <v>128</v>
      </c>
      <c r="Q453" s="137">
        <f t="shared" si="37"/>
        <v>266</v>
      </c>
      <c r="R453" s="137">
        <v>266</v>
      </c>
      <c r="S453" s="138"/>
      <c r="T453" s="139">
        <f>IFERROR(INDEX('Price List'!$G$5:$G$74,MATCH(TRIM(J453)&amp;"|"&amp;TRIM(P453),'Price List'!$O$5:$O$74,0)),0)</f>
        <v>6</v>
      </c>
      <c r="U453" s="140">
        <f>IFERROR(INDEX('Price List'!$H$5:$H$74,MATCH(TRIM(J453)&amp;"|"&amp;TRIM(P453),'Price List'!$O$5:$O$74,0)),0)</f>
        <v>0.2</v>
      </c>
      <c r="V453" s="141">
        <f t="shared" si="39"/>
        <v>7.1999999999999993</v>
      </c>
      <c r="W453" s="142">
        <f>IFERROR(INDEX('Price List'!$J$5:$J$74,MATCH(TRIM(J453)&amp;"|"&amp;TRIM(P453),'Price List'!$O$5:$O$74,0)),0)</f>
        <v>5</v>
      </c>
      <c r="X453" s="143">
        <f>IFERROR(INDEX('Price List'!$K$5:$K$74,MATCH(TRIM(J453)&amp;"|"&amp;TRIM(P453),'Price List'!$O$5:$O$74,0)),0)</f>
        <v>0.12</v>
      </c>
      <c r="Y453" s="141">
        <f t="shared" si="40"/>
        <v>5.6000000000000005</v>
      </c>
      <c r="Z453" s="141">
        <f t="shared" si="41"/>
        <v>3404.8</v>
      </c>
      <c r="AA453" s="134"/>
    </row>
    <row r="454" spans="1:27" ht="15" customHeight="1" x14ac:dyDescent="0.35">
      <c r="A454" s="134"/>
      <c r="B454" s="135"/>
      <c r="C454" s="134" t="s">
        <v>444</v>
      </c>
      <c r="D454" s="136" t="str">
        <f t="shared" si="38"/>
        <v>B.04</v>
      </c>
      <c r="E454" s="135" t="s">
        <v>414</v>
      </c>
      <c r="F454" s="135" t="s">
        <v>678</v>
      </c>
      <c r="G454" s="134" t="s">
        <v>31</v>
      </c>
      <c r="H454" s="134" t="s">
        <v>568</v>
      </c>
      <c r="I454" s="134" t="s">
        <v>513</v>
      </c>
      <c r="J454" s="144" t="s">
        <v>102</v>
      </c>
      <c r="K454" s="134"/>
      <c r="L454" s="134"/>
      <c r="M454" s="134"/>
      <c r="N454" s="134"/>
      <c r="O454" s="134"/>
      <c r="P454" s="135" t="s">
        <v>103</v>
      </c>
      <c r="Q454" s="137">
        <f t="shared" si="37"/>
        <v>5372</v>
      </c>
      <c r="R454" s="137">
        <f>(R452*130)+185</f>
        <v>5372</v>
      </c>
      <c r="S454" s="138"/>
      <c r="T454" s="139">
        <f>IFERROR(INDEX('Price List'!$G$5:$G$74,MATCH(TRIM(J454)&amp;"|"&amp;TRIM(P454),'Price List'!$O$5:$O$74,0)),0)</f>
        <v>0.12</v>
      </c>
      <c r="U454" s="140">
        <f>IFERROR(INDEX('Price List'!$H$5:$H$74,MATCH(TRIM(J454)&amp;"|"&amp;TRIM(P454),'Price List'!$O$5:$O$74,0)),0)</f>
        <v>0.2</v>
      </c>
      <c r="V454" s="141">
        <f t="shared" si="39"/>
        <v>0.14399999999999999</v>
      </c>
      <c r="W454" s="142">
        <f>IFERROR(INDEX('Price List'!$J$5:$J$74,MATCH(TRIM(J454)&amp;"|"&amp;TRIM(P454),'Price List'!$O$5:$O$74,0)),0)</f>
        <v>0.78</v>
      </c>
      <c r="X454" s="143">
        <f>IFERROR(INDEX('Price List'!$K$5:$K$74,MATCH(TRIM(J454)&amp;"|"&amp;TRIM(P454),'Price List'!$O$5:$O$74,0)),0)</f>
        <v>0.12</v>
      </c>
      <c r="Y454" s="141">
        <f t="shared" si="40"/>
        <v>0.87360000000000015</v>
      </c>
      <c r="Z454" s="141">
        <f t="shared" si="41"/>
        <v>5466.5472</v>
      </c>
      <c r="AA454" s="134"/>
    </row>
    <row r="455" spans="1:27" ht="15" customHeight="1" x14ac:dyDescent="0.35">
      <c r="A455" s="134"/>
      <c r="B455" s="135"/>
      <c r="C455" s="134" t="s">
        <v>444</v>
      </c>
      <c r="D455" s="136" t="str">
        <f t="shared" si="38"/>
        <v>B.04</v>
      </c>
      <c r="E455" s="135" t="s">
        <v>414</v>
      </c>
      <c r="F455" s="135" t="s">
        <v>678</v>
      </c>
      <c r="G455" s="134" t="s">
        <v>31</v>
      </c>
      <c r="H455" s="134" t="s">
        <v>568</v>
      </c>
      <c r="I455" s="134" t="s">
        <v>513</v>
      </c>
      <c r="J455" s="144" t="s">
        <v>131</v>
      </c>
      <c r="K455" s="134"/>
      <c r="L455" s="134"/>
      <c r="M455" s="134"/>
      <c r="N455" s="134"/>
      <c r="O455" s="134"/>
      <c r="P455" s="135" t="s">
        <v>103</v>
      </c>
      <c r="Q455" s="137">
        <f t="shared" si="37"/>
        <v>99.9</v>
      </c>
      <c r="R455" s="137">
        <f>0.888*((2.5*15*3))</f>
        <v>99.9</v>
      </c>
      <c r="S455" s="138"/>
      <c r="T455" s="139">
        <f>IFERROR(INDEX('Price List'!$G$5:$G$74,MATCH(TRIM(J455)&amp;"|"&amp;TRIM(P455),'Price List'!$O$5:$O$74,0)),0)</f>
        <v>0.11</v>
      </c>
      <c r="U455" s="140">
        <f>IFERROR(INDEX('Price List'!$H$5:$H$74,MATCH(TRIM(J455)&amp;"|"&amp;TRIM(P455),'Price List'!$O$5:$O$74,0)),0)</f>
        <v>0.2</v>
      </c>
      <c r="V455" s="141">
        <f t="shared" si="39"/>
        <v>0.13200000000000001</v>
      </c>
      <c r="W455" s="142">
        <f>IFERROR(INDEX('Price List'!$J$5:$J$74,MATCH(TRIM(J455)&amp;"|"&amp;TRIM(P455),'Price List'!$O$5:$O$74,0)),0)</f>
        <v>0.76</v>
      </c>
      <c r="X455" s="143">
        <f>IFERROR(INDEX('Price List'!$K$5:$K$74,MATCH(TRIM(J455)&amp;"|"&amp;TRIM(P455),'Price List'!$O$5:$O$74,0)),0)</f>
        <v>0.12</v>
      </c>
      <c r="Y455" s="141">
        <f t="shared" si="40"/>
        <v>0.85120000000000007</v>
      </c>
      <c r="Z455" s="141">
        <f t="shared" si="41"/>
        <v>98.221680000000006</v>
      </c>
      <c r="AA455" s="134"/>
    </row>
    <row r="456" spans="1:27" ht="15" customHeight="1" x14ac:dyDescent="0.35">
      <c r="A456" s="134"/>
      <c r="B456" s="135"/>
      <c r="C456" s="134" t="s">
        <v>444</v>
      </c>
      <c r="D456" s="136" t="str">
        <f t="shared" si="38"/>
        <v>B.04</v>
      </c>
      <c r="E456" s="135" t="s">
        <v>414</v>
      </c>
      <c r="F456" s="135" t="s">
        <v>678</v>
      </c>
      <c r="G456" s="134" t="s">
        <v>31</v>
      </c>
      <c r="H456" s="134" t="s">
        <v>568</v>
      </c>
      <c r="I456" s="134" t="s">
        <v>657</v>
      </c>
      <c r="J456" s="134" t="s">
        <v>107</v>
      </c>
      <c r="K456" s="134"/>
      <c r="L456" s="134"/>
      <c r="M456" s="134"/>
      <c r="N456" s="134"/>
      <c r="O456" s="134"/>
      <c r="P456" s="135" t="s">
        <v>103</v>
      </c>
      <c r="Q456" s="137">
        <f t="shared" si="37"/>
        <v>218.87599999999998</v>
      </c>
      <c r="R456" s="137">
        <f>(R454+R455)*4%</f>
        <v>218.87599999999998</v>
      </c>
      <c r="S456" s="138"/>
      <c r="T456" s="139">
        <f>IFERROR(INDEX('Price List'!$G$5:$G$74,MATCH(TRIM(J456)&amp;"|"&amp;TRIM(P456),'Price List'!$O$5:$O$74,0)),0)</f>
        <v>0.05</v>
      </c>
      <c r="U456" s="140">
        <f>IFERROR(INDEX('Price List'!$H$5:$H$74,MATCH(TRIM(J456)&amp;"|"&amp;TRIM(P456),'Price List'!$O$5:$O$74,0)),0)</f>
        <v>0.2</v>
      </c>
      <c r="V456" s="141">
        <f t="shared" si="39"/>
        <v>0.06</v>
      </c>
      <c r="W456" s="142">
        <f>IFERROR(INDEX('Price List'!$J$5:$J$74,MATCH(TRIM(J456)&amp;"|"&amp;TRIM(P456),'Price List'!$O$5:$O$74,0)),0)</f>
        <v>1.2</v>
      </c>
      <c r="X456" s="143">
        <f>IFERROR(INDEX('Price List'!$K$5:$K$74,MATCH(TRIM(J456)&amp;"|"&amp;TRIM(P456),'Price List'!$O$5:$O$74,0)),0)</f>
        <v>0.12</v>
      </c>
      <c r="Y456" s="141">
        <f t="shared" si="40"/>
        <v>1.3440000000000001</v>
      </c>
      <c r="Z456" s="141">
        <f t="shared" si="41"/>
        <v>307.30190399999998</v>
      </c>
      <c r="AA456" s="134"/>
    </row>
    <row r="457" spans="1:27" ht="15" customHeight="1" x14ac:dyDescent="0.35">
      <c r="A457" s="134"/>
      <c r="B457" s="134"/>
      <c r="C457" s="134" t="s">
        <v>444</v>
      </c>
      <c r="D457" s="136" t="str">
        <f t="shared" si="38"/>
        <v>B.04</v>
      </c>
      <c r="E457" s="135" t="s">
        <v>414</v>
      </c>
      <c r="F457" s="135" t="s">
        <v>678</v>
      </c>
      <c r="G457" s="134" t="s">
        <v>31</v>
      </c>
      <c r="H457" s="134" t="s">
        <v>665</v>
      </c>
      <c r="I457" s="134" t="s">
        <v>512</v>
      </c>
      <c r="J457" s="144" t="s">
        <v>125</v>
      </c>
      <c r="K457" s="134"/>
      <c r="L457" s="134"/>
      <c r="M457" s="134"/>
      <c r="N457" s="134"/>
      <c r="O457" s="134"/>
      <c r="P457" s="135" t="s">
        <v>100</v>
      </c>
      <c r="Q457" s="137">
        <f t="shared" si="37"/>
        <v>20.05</v>
      </c>
      <c r="R457" s="137">
        <f>(5.2*3.55)+(1.325*2*0.3*2)</f>
        <v>20.05</v>
      </c>
      <c r="S457" s="138"/>
      <c r="T457" s="139">
        <f>IFERROR(INDEX('Price List'!$G$5:$G$74,MATCH(TRIM(J457)&amp;"|"&amp;TRIM(P457),'Price List'!$O$5:$O$74,0)),0)</f>
        <v>10</v>
      </c>
      <c r="U457" s="140">
        <f>IFERROR(INDEX('Price List'!$H$5:$H$74,MATCH(TRIM(J457)&amp;"|"&amp;TRIM(P457),'Price List'!$O$5:$O$74,0)),0)</f>
        <v>0.2</v>
      </c>
      <c r="V457" s="141">
        <f t="shared" si="39"/>
        <v>12</v>
      </c>
      <c r="W457" s="142">
        <f>IFERROR(INDEX('Price List'!$J$5:$J$74,MATCH(TRIM(J457)&amp;"|"&amp;TRIM(P457),'Price List'!$O$5:$O$74,0)),0)</f>
        <v>98</v>
      </c>
      <c r="X457" s="143">
        <f>IFERROR(INDEX('Price List'!$K$5:$K$74,MATCH(TRIM(J457)&amp;"|"&amp;TRIM(P457),'Price List'!$O$5:$O$74,0)),0)</f>
        <v>0.12</v>
      </c>
      <c r="Y457" s="141">
        <f t="shared" si="40"/>
        <v>109.76</v>
      </c>
      <c r="Z457" s="141">
        <f t="shared" si="41"/>
        <v>2441.288</v>
      </c>
      <c r="AA457" s="134"/>
    </row>
    <row r="458" spans="1:27" ht="15" customHeight="1" x14ac:dyDescent="0.35">
      <c r="A458" s="134"/>
      <c r="B458" s="134"/>
      <c r="C458" s="134" t="s">
        <v>444</v>
      </c>
      <c r="D458" s="136" t="str">
        <f t="shared" si="38"/>
        <v>B.04</v>
      </c>
      <c r="E458" s="135" t="s">
        <v>414</v>
      </c>
      <c r="F458" s="135" t="s">
        <v>678</v>
      </c>
      <c r="G458" s="134" t="s">
        <v>31</v>
      </c>
      <c r="H458" s="134" t="s">
        <v>665</v>
      </c>
      <c r="I458" s="144" t="s">
        <v>127</v>
      </c>
      <c r="J458" s="144" t="s">
        <v>127</v>
      </c>
      <c r="K458" s="144"/>
      <c r="L458" s="134"/>
      <c r="M458" s="134"/>
      <c r="N458" s="134"/>
      <c r="O458" s="134"/>
      <c r="P458" s="135" t="s">
        <v>128</v>
      </c>
      <c r="Q458" s="137">
        <f t="shared" si="37"/>
        <v>118.89999999999999</v>
      </c>
      <c r="R458" s="137">
        <f>(32*3.55)+(1.325*2*2)</f>
        <v>118.89999999999999</v>
      </c>
      <c r="S458" s="138"/>
      <c r="T458" s="139">
        <f>IFERROR(INDEX('Price List'!$G$5:$G$74,MATCH(TRIM(J458)&amp;"|"&amp;TRIM(P458),'Price List'!$O$5:$O$74,0)),0)</f>
        <v>6</v>
      </c>
      <c r="U458" s="140">
        <f>IFERROR(INDEX('Price List'!$H$5:$H$74,MATCH(TRIM(J458)&amp;"|"&amp;TRIM(P458),'Price List'!$O$5:$O$74,0)),0)</f>
        <v>0.2</v>
      </c>
      <c r="V458" s="141">
        <f t="shared" si="39"/>
        <v>7.1999999999999993</v>
      </c>
      <c r="W458" s="142">
        <f>IFERROR(INDEX('Price List'!$J$5:$J$74,MATCH(TRIM(J458)&amp;"|"&amp;TRIM(P458),'Price List'!$O$5:$O$74,0)),0)</f>
        <v>5</v>
      </c>
      <c r="X458" s="143">
        <f>IFERROR(INDEX('Price List'!$K$5:$K$74,MATCH(TRIM(J458)&amp;"|"&amp;TRIM(P458),'Price List'!$O$5:$O$74,0)),0)</f>
        <v>0.12</v>
      </c>
      <c r="Y458" s="141">
        <f t="shared" si="40"/>
        <v>5.6000000000000005</v>
      </c>
      <c r="Z458" s="141">
        <f t="shared" si="41"/>
        <v>1521.92</v>
      </c>
      <c r="AA458" s="134"/>
    </row>
    <row r="459" spans="1:27" ht="15" customHeight="1" x14ac:dyDescent="0.35">
      <c r="A459" s="134"/>
      <c r="B459" s="134"/>
      <c r="C459" s="134" t="s">
        <v>444</v>
      </c>
      <c r="D459" s="136" t="str">
        <f t="shared" si="38"/>
        <v>B.04</v>
      </c>
      <c r="E459" s="135" t="s">
        <v>414</v>
      </c>
      <c r="F459" s="135" t="s">
        <v>678</v>
      </c>
      <c r="G459" s="134" t="s">
        <v>31</v>
      </c>
      <c r="H459" s="134" t="s">
        <v>665</v>
      </c>
      <c r="I459" s="134" t="s">
        <v>513</v>
      </c>
      <c r="J459" s="144" t="s">
        <v>102</v>
      </c>
      <c r="K459" s="134"/>
      <c r="L459" s="134"/>
      <c r="M459" s="134"/>
      <c r="N459" s="134"/>
      <c r="O459" s="134"/>
      <c r="P459" s="135" t="s">
        <v>103</v>
      </c>
      <c r="Q459" s="137">
        <f t="shared" si="37"/>
        <v>207.31200000000001</v>
      </c>
      <c r="R459" s="137">
        <v>207.31200000000001</v>
      </c>
      <c r="S459" s="138"/>
      <c r="T459" s="139">
        <f>IFERROR(INDEX('Price List'!$G$5:$G$74,MATCH(TRIM(J459)&amp;"|"&amp;TRIM(P459),'Price List'!$O$5:$O$74,0)),0)</f>
        <v>0.12</v>
      </c>
      <c r="U459" s="140">
        <f>IFERROR(INDEX('Price List'!$H$5:$H$74,MATCH(TRIM(J459)&amp;"|"&amp;TRIM(P459),'Price List'!$O$5:$O$74,0)),0)</f>
        <v>0.2</v>
      </c>
      <c r="V459" s="141">
        <f t="shared" si="39"/>
        <v>0.14399999999999999</v>
      </c>
      <c r="W459" s="142">
        <f>IFERROR(INDEX('Price List'!$J$5:$J$74,MATCH(TRIM(J459)&amp;"|"&amp;TRIM(P459),'Price List'!$O$5:$O$74,0)),0)</f>
        <v>0.78</v>
      </c>
      <c r="X459" s="143">
        <f>IFERROR(INDEX('Price List'!$K$5:$K$74,MATCH(TRIM(J459)&amp;"|"&amp;TRIM(P459),'Price List'!$O$5:$O$74,0)),0)</f>
        <v>0.12</v>
      </c>
      <c r="Y459" s="141">
        <f t="shared" si="40"/>
        <v>0.87360000000000015</v>
      </c>
      <c r="Z459" s="141">
        <f t="shared" si="41"/>
        <v>210.96069120000001</v>
      </c>
      <c r="AA459" s="134"/>
    </row>
    <row r="460" spans="1:27" ht="15" customHeight="1" x14ac:dyDescent="0.35">
      <c r="A460" s="134"/>
      <c r="B460" s="134"/>
      <c r="C460" s="134" t="s">
        <v>444</v>
      </c>
      <c r="D460" s="136" t="str">
        <f t="shared" si="38"/>
        <v>B.04</v>
      </c>
      <c r="E460" s="135" t="s">
        <v>414</v>
      </c>
      <c r="F460" s="135" t="s">
        <v>678</v>
      </c>
      <c r="G460" s="134" t="s">
        <v>31</v>
      </c>
      <c r="H460" s="134" t="s">
        <v>665</v>
      </c>
      <c r="I460" s="134" t="s">
        <v>513</v>
      </c>
      <c r="J460" s="144" t="s">
        <v>131</v>
      </c>
      <c r="K460" s="134"/>
      <c r="L460" s="134"/>
      <c r="M460" s="134"/>
      <c r="N460" s="134"/>
      <c r="O460" s="134"/>
      <c r="P460" s="135" t="s">
        <v>103</v>
      </c>
      <c r="Q460" s="137">
        <f t="shared" si="37"/>
        <v>918.54719999999998</v>
      </c>
      <c r="R460" s="137">
        <v>918.54719999999998</v>
      </c>
      <c r="S460" s="138"/>
      <c r="T460" s="139">
        <f>IFERROR(INDEX('Price List'!$G$5:$G$74,MATCH(TRIM(J460)&amp;"|"&amp;TRIM(P460),'Price List'!$O$5:$O$74,0)),0)</f>
        <v>0.11</v>
      </c>
      <c r="U460" s="140">
        <f>IFERROR(INDEX('Price List'!$H$5:$H$74,MATCH(TRIM(J460)&amp;"|"&amp;TRIM(P460),'Price List'!$O$5:$O$74,0)),0)</f>
        <v>0.2</v>
      </c>
      <c r="V460" s="141">
        <f t="shared" si="39"/>
        <v>0.13200000000000001</v>
      </c>
      <c r="W460" s="142">
        <f>IFERROR(INDEX('Price List'!$J$5:$J$74,MATCH(TRIM(J460)&amp;"|"&amp;TRIM(P460),'Price List'!$O$5:$O$74,0)),0)</f>
        <v>0.76</v>
      </c>
      <c r="X460" s="143">
        <f>IFERROR(INDEX('Price List'!$K$5:$K$74,MATCH(TRIM(J460)&amp;"|"&amp;TRIM(P460),'Price List'!$O$5:$O$74,0)),0)</f>
        <v>0.12</v>
      </c>
      <c r="Y460" s="141">
        <f t="shared" si="40"/>
        <v>0.85120000000000007</v>
      </c>
      <c r="Z460" s="141">
        <f t="shared" si="41"/>
        <v>903.1156070400001</v>
      </c>
      <c r="AA460" s="134"/>
    </row>
    <row r="461" spans="1:27" ht="15" customHeight="1" x14ac:dyDescent="0.35">
      <c r="A461" s="134"/>
      <c r="B461" s="134"/>
      <c r="C461" s="134" t="s">
        <v>444</v>
      </c>
      <c r="D461" s="136" t="str">
        <f t="shared" si="38"/>
        <v>B.04</v>
      </c>
      <c r="E461" s="135" t="s">
        <v>414</v>
      </c>
      <c r="F461" s="135" t="s">
        <v>678</v>
      </c>
      <c r="G461" s="134" t="s">
        <v>31</v>
      </c>
      <c r="H461" s="134" t="s">
        <v>665</v>
      </c>
      <c r="I461" s="134" t="s">
        <v>513</v>
      </c>
      <c r="J461" s="144" t="s">
        <v>211</v>
      </c>
      <c r="K461" s="134"/>
      <c r="L461" s="134"/>
      <c r="M461" s="134"/>
      <c r="N461" s="134"/>
      <c r="O461" s="134"/>
      <c r="P461" s="135" t="s">
        <v>103</v>
      </c>
      <c r="Q461" s="137">
        <f t="shared" si="37"/>
        <v>1436.22</v>
      </c>
      <c r="R461" s="137">
        <v>1436.22</v>
      </c>
      <c r="S461" s="138"/>
      <c r="T461" s="139">
        <f>IFERROR(INDEX('Price List'!$G$5:$G$74,MATCH(TRIM(J461)&amp;"|"&amp;TRIM(P461),'Price List'!$O$5:$O$74,0)),0)</f>
        <v>0.1</v>
      </c>
      <c r="U461" s="140">
        <f>IFERROR(INDEX('Price List'!$H$5:$H$74,MATCH(TRIM(J461)&amp;"|"&amp;TRIM(P461),'Price List'!$O$5:$O$74,0)),0)</f>
        <v>0.2</v>
      </c>
      <c r="V461" s="141">
        <f t="shared" si="39"/>
        <v>0.12</v>
      </c>
      <c r="W461" s="142">
        <f>IFERROR(INDEX('Price List'!$J$5:$J$74,MATCH(TRIM(J461)&amp;"|"&amp;TRIM(P461),'Price List'!$O$5:$O$74,0)),0)</f>
        <v>0.75</v>
      </c>
      <c r="X461" s="143">
        <f>IFERROR(INDEX('Price List'!$K$5:$K$74,MATCH(TRIM(J461)&amp;"|"&amp;TRIM(P461),'Price List'!$O$5:$O$74,0)),0)</f>
        <v>0.12</v>
      </c>
      <c r="Y461" s="141">
        <f t="shared" si="40"/>
        <v>0.84000000000000008</v>
      </c>
      <c r="Z461" s="141">
        <f t="shared" si="41"/>
        <v>1378.7712000000001</v>
      </c>
      <c r="AA461" s="134"/>
    </row>
    <row r="462" spans="1:27" ht="15" customHeight="1" x14ac:dyDescent="0.35">
      <c r="A462" s="134"/>
      <c r="B462" s="134"/>
      <c r="C462" s="134" t="s">
        <v>444</v>
      </c>
      <c r="D462" s="136" t="str">
        <f t="shared" si="38"/>
        <v>B.04</v>
      </c>
      <c r="E462" s="135" t="s">
        <v>414</v>
      </c>
      <c r="F462" s="135" t="s">
        <v>678</v>
      </c>
      <c r="G462" s="134" t="s">
        <v>31</v>
      </c>
      <c r="H462" s="134" t="s">
        <v>665</v>
      </c>
      <c r="I462" s="134" t="s">
        <v>513</v>
      </c>
      <c r="J462" s="144" t="s">
        <v>135</v>
      </c>
      <c r="K462" s="134"/>
      <c r="L462" s="134"/>
      <c r="M462" s="134"/>
      <c r="N462" s="134"/>
      <c r="O462" s="134"/>
      <c r="P462" s="135" t="s">
        <v>103</v>
      </c>
      <c r="Q462" s="137">
        <f t="shared" si="37"/>
        <v>711.36</v>
      </c>
      <c r="R462" s="137">
        <v>711.36</v>
      </c>
      <c r="S462" s="138"/>
      <c r="T462" s="139">
        <f>IFERROR(INDEX('Price List'!$G$5:$G$74,MATCH(TRIM(J462)&amp;"|"&amp;TRIM(P462),'Price List'!$O$5:$O$74,0)),0)</f>
        <v>0.09</v>
      </c>
      <c r="U462" s="140">
        <f>IFERROR(INDEX('Price List'!$H$5:$H$74,MATCH(TRIM(J462)&amp;"|"&amp;TRIM(P462),'Price List'!$O$5:$O$74,0)),0)</f>
        <v>0.2</v>
      </c>
      <c r="V462" s="141">
        <f t="shared" si="39"/>
        <v>0.108</v>
      </c>
      <c r="W462" s="142">
        <f>IFERROR(INDEX('Price List'!$J$5:$J$74,MATCH(TRIM(J462)&amp;"|"&amp;TRIM(P462),'Price List'!$O$5:$O$74,0)),0)</f>
        <v>0.73</v>
      </c>
      <c r="X462" s="143">
        <f>IFERROR(INDEX('Price List'!$K$5:$K$74,MATCH(TRIM(J462)&amp;"|"&amp;TRIM(P462),'Price List'!$O$5:$O$74,0)),0)</f>
        <v>0.12</v>
      </c>
      <c r="Y462" s="141">
        <f t="shared" si="40"/>
        <v>0.8176000000000001</v>
      </c>
      <c r="Z462" s="141">
        <f t="shared" si="41"/>
        <v>658.43481600000007</v>
      </c>
      <c r="AA462" s="134"/>
    </row>
    <row r="463" spans="1:27" ht="15" customHeight="1" x14ac:dyDescent="0.35">
      <c r="A463" s="134"/>
      <c r="B463" s="134"/>
      <c r="C463" s="134" t="s">
        <v>444</v>
      </c>
      <c r="D463" s="136" t="str">
        <f t="shared" si="38"/>
        <v>B.04</v>
      </c>
      <c r="E463" s="135" t="s">
        <v>414</v>
      </c>
      <c r="F463" s="135" t="s">
        <v>678</v>
      </c>
      <c r="G463" s="134" t="s">
        <v>31</v>
      </c>
      <c r="H463" s="134" t="s">
        <v>665</v>
      </c>
      <c r="I463" s="134" t="s">
        <v>657</v>
      </c>
      <c r="J463" s="134" t="s">
        <v>107</v>
      </c>
      <c r="K463" s="134"/>
      <c r="L463" s="134"/>
      <c r="M463" s="134"/>
      <c r="N463" s="134"/>
      <c r="O463" s="134"/>
      <c r="P463" s="135" t="s">
        <v>103</v>
      </c>
      <c r="Q463" s="137">
        <f t="shared" si="37"/>
        <v>130.937568</v>
      </c>
      <c r="R463" s="137">
        <f>(R461+R462+R460+R459)*4%</f>
        <v>130.937568</v>
      </c>
      <c r="S463" s="138"/>
      <c r="T463" s="139">
        <f>IFERROR(INDEX('Price List'!$G$5:$G$74,MATCH(TRIM(J463)&amp;"|"&amp;TRIM(P463),'Price List'!$O$5:$O$74,0)),0)</f>
        <v>0.05</v>
      </c>
      <c r="U463" s="140">
        <f>IFERROR(INDEX('Price List'!$H$5:$H$74,MATCH(TRIM(J463)&amp;"|"&amp;TRIM(P463),'Price List'!$O$5:$O$74,0)),0)</f>
        <v>0.2</v>
      </c>
      <c r="V463" s="141">
        <f t="shared" si="39"/>
        <v>0.06</v>
      </c>
      <c r="W463" s="142">
        <f>IFERROR(INDEX('Price List'!$J$5:$J$74,MATCH(TRIM(J463)&amp;"|"&amp;TRIM(P463),'Price List'!$O$5:$O$74,0)),0)</f>
        <v>1.2</v>
      </c>
      <c r="X463" s="143">
        <f>IFERROR(INDEX('Price List'!$K$5:$K$74,MATCH(TRIM(J463)&amp;"|"&amp;TRIM(P463),'Price List'!$O$5:$O$74,0)),0)</f>
        <v>0.12</v>
      </c>
      <c r="Y463" s="141">
        <f t="shared" si="40"/>
        <v>1.3440000000000001</v>
      </c>
      <c r="Z463" s="141">
        <f t="shared" si="41"/>
        <v>183.836345472</v>
      </c>
      <c r="AA463" s="134"/>
    </row>
    <row r="464" spans="1:27" ht="15" customHeight="1" x14ac:dyDescent="0.35">
      <c r="A464" s="134"/>
      <c r="B464" s="135"/>
      <c r="C464" s="134" t="s">
        <v>444</v>
      </c>
      <c r="D464" s="136" t="str">
        <f t="shared" si="38"/>
        <v>B.04</v>
      </c>
      <c r="E464" s="135" t="s">
        <v>414</v>
      </c>
      <c r="F464" s="135" t="s">
        <v>678</v>
      </c>
      <c r="G464" s="134" t="s">
        <v>31</v>
      </c>
      <c r="H464" s="134" t="s">
        <v>573</v>
      </c>
      <c r="I464" s="134" t="s">
        <v>512</v>
      </c>
      <c r="J464" s="144" t="s">
        <v>125</v>
      </c>
      <c r="K464" s="134"/>
      <c r="L464" s="134"/>
      <c r="M464" s="134"/>
      <c r="N464" s="134"/>
      <c r="O464" s="134"/>
      <c r="P464" s="135" t="s">
        <v>100</v>
      </c>
      <c r="Q464" s="137">
        <v>38.304000000000002</v>
      </c>
      <c r="R464" s="137">
        <v>31.92</v>
      </c>
      <c r="S464" s="138"/>
      <c r="T464" s="139">
        <f>IFERROR(INDEX('Price List'!$G$5:$G$74,MATCH(TRIM(J464)&amp;"|"&amp;TRIM(P464),'Price List'!$O$5:$O$74,0)),0)</f>
        <v>10</v>
      </c>
      <c r="U464" s="140">
        <f>IFERROR(INDEX('Price List'!$H$5:$H$74,MATCH(TRIM(J464)&amp;"|"&amp;TRIM(P464),'Price List'!$O$5:$O$74,0)),0)</f>
        <v>0.2</v>
      </c>
      <c r="V464" s="141">
        <f t="shared" si="39"/>
        <v>12</v>
      </c>
      <c r="W464" s="142">
        <f>IFERROR(INDEX('Price List'!$J$5:$J$74,MATCH(TRIM(J464)&amp;"|"&amp;TRIM(P464),'Price List'!$O$5:$O$74,0)),0)</f>
        <v>98</v>
      </c>
      <c r="X464" s="143">
        <f>IFERROR(INDEX('Price List'!$K$5:$K$74,MATCH(TRIM(J464)&amp;"|"&amp;TRIM(P464),'Price List'!$O$5:$O$74,0)),0)</f>
        <v>0.12</v>
      </c>
      <c r="Y464" s="141">
        <f t="shared" si="40"/>
        <v>109.76</v>
      </c>
      <c r="Z464" s="141">
        <f t="shared" si="41"/>
        <v>4663.8950400000003</v>
      </c>
      <c r="AA464" s="134"/>
    </row>
    <row r="465" spans="1:27" ht="15" customHeight="1" x14ac:dyDescent="0.35">
      <c r="A465" s="134"/>
      <c r="B465" s="135"/>
      <c r="C465" s="134" t="s">
        <v>444</v>
      </c>
      <c r="D465" s="136" t="str">
        <f t="shared" si="38"/>
        <v>B.04</v>
      </c>
      <c r="E465" s="135" t="s">
        <v>414</v>
      </c>
      <c r="F465" s="135" t="s">
        <v>678</v>
      </c>
      <c r="G465" s="134" t="s">
        <v>31</v>
      </c>
      <c r="H465" s="134" t="s">
        <v>573</v>
      </c>
      <c r="I465" s="134" t="s">
        <v>127</v>
      </c>
      <c r="J465" s="144" t="s">
        <v>127</v>
      </c>
      <c r="K465" s="134"/>
      <c r="L465" s="134"/>
      <c r="M465" s="134"/>
      <c r="N465" s="134"/>
      <c r="O465" s="134"/>
      <c r="P465" s="135" t="s">
        <v>128</v>
      </c>
      <c r="Q465" s="137">
        <v>203.28</v>
      </c>
      <c r="R465" s="137">
        <v>169.4</v>
      </c>
      <c r="S465" s="138"/>
      <c r="T465" s="139">
        <f>IFERROR(INDEX('Price List'!$G$5:$G$74,MATCH(TRIM(J465)&amp;"|"&amp;TRIM(P465),'Price List'!$O$5:$O$74,0)),0)</f>
        <v>6</v>
      </c>
      <c r="U465" s="140">
        <f>IFERROR(INDEX('Price List'!$H$5:$H$74,MATCH(TRIM(J465)&amp;"|"&amp;TRIM(P465),'Price List'!$O$5:$O$74,0)),0)</f>
        <v>0.2</v>
      </c>
      <c r="V465" s="141">
        <f t="shared" si="39"/>
        <v>7.1999999999999993</v>
      </c>
      <c r="W465" s="142">
        <f>IFERROR(INDEX('Price List'!$J$5:$J$74,MATCH(TRIM(J465)&amp;"|"&amp;TRIM(P465),'Price List'!$O$5:$O$74,0)),0)</f>
        <v>5</v>
      </c>
      <c r="X465" s="143">
        <f>IFERROR(INDEX('Price List'!$K$5:$K$74,MATCH(TRIM(J465)&amp;"|"&amp;TRIM(P465),'Price List'!$O$5:$O$74,0)),0)</f>
        <v>0.12</v>
      </c>
      <c r="Y465" s="141">
        <f t="shared" si="40"/>
        <v>5.6000000000000005</v>
      </c>
      <c r="Z465" s="141">
        <f t="shared" si="41"/>
        <v>2601.9840000000004</v>
      </c>
      <c r="AA465" s="134"/>
    </row>
    <row r="466" spans="1:27" ht="15" customHeight="1" x14ac:dyDescent="0.35">
      <c r="A466" s="134"/>
      <c r="B466" s="135"/>
      <c r="C466" s="134" t="s">
        <v>444</v>
      </c>
      <c r="D466" s="136" t="str">
        <f t="shared" si="38"/>
        <v>B.04</v>
      </c>
      <c r="E466" s="135" t="s">
        <v>414</v>
      </c>
      <c r="F466" s="135" t="s">
        <v>678</v>
      </c>
      <c r="G466" s="134" t="s">
        <v>31</v>
      </c>
      <c r="H466" s="134" t="s">
        <v>573</v>
      </c>
      <c r="I466" s="134" t="s">
        <v>513</v>
      </c>
      <c r="J466" s="144" t="s">
        <v>102</v>
      </c>
      <c r="K466" s="134"/>
      <c r="L466" s="134"/>
      <c r="M466" s="134"/>
      <c r="N466" s="134"/>
      <c r="O466" s="134"/>
      <c r="P466" s="135" t="s">
        <v>103</v>
      </c>
      <c r="Q466" s="137">
        <v>1889.9944</v>
      </c>
      <c r="R466" s="137">
        <v>1619.9952000000001</v>
      </c>
      <c r="S466" s="138"/>
      <c r="T466" s="139">
        <f>IFERROR(INDEX('Price List'!$G$5:$G$74,MATCH(TRIM(J466)&amp;"|"&amp;TRIM(P466),'Price List'!$O$5:$O$74,0)),0)</f>
        <v>0.12</v>
      </c>
      <c r="U466" s="140">
        <f>IFERROR(INDEX('Price List'!$H$5:$H$74,MATCH(TRIM(J466)&amp;"|"&amp;TRIM(P466),'Price List'!$O$5:$O$74,0)),0)</f>
        <v>0.2</v>
      </c>
      <c r="V466" s="141">
        <f t="shared" si="39"/>
        <v>0.14399999999999999</v>
      </c>
      <c r="W466" s="142">
        <f>IFERROR(INDEX('Price List'!$J$5:$J$74,MATCH(TRIM(J466)&amp;"|"&amp;TRIM(P466),'Price List'!$O$5:$O$74,0)),0)</f>
        <v>0.78</v>
      </c>
      <c r="X466" s="143">
        <f>IFERROR(INDEX('Price List'!$K$5:$K$74,MATCH(TRIM(J466)&amp;"|"&amp;TRIM(P466),'Price List'!$O$5:$O$74,0)),0)</f>
        <v>0.12</v>
      </c>
      <c r="Y466" s="141">
        <f t="shared" si="40"/>
        <v>0.87360000000000015</v>
      </c>
      <c r="Z466" s="141">
        <f t="shared" si="41"/>
        <v>1923.2583014400002</v>
      </c>
      <c r="AA466" s="134"/>
    </row>
    <row r="467" spans="1:27" ht="15" customHeight="1" x14ac:dyDescent="0.35">
      <c r="A467" s="134"/>
      <c r="B467" s="135"/>
      <c r="C467" s="134" t="s">
        <v>444</v>
      </c>
      <c r="D467" s="136" t="str">
        <f t="shared" si="38"/>
        <v>B.04</v>
      </c>
      <c r="E467" s="135" t="s">
        <v>414</v>
      </c>
      <c r="F467" s="135" t="s">
        <v>678</v>
      </c>
      <c r="G467" s="134" t="s">
        <v>31</v>
      </c>
      <c r="H467" s="134" t="s">
        <v>573</v>
      </c>
      <c r="I467" s="134" t="s">
        <v>513</v>
      </c>
      <c r="J467" s="144" t="s">
        <v>135</v>
      </c>
      <c r="K467" s="134"/>
      <c r="L467" s="134"/>
      <c r="M467" s="134"/>
      <c r="N467" s="134"/>
      <c r="O467" s="134"/>
      <c r="P467" s="135" t="s">
        <v>103</v>
      </c>
      <c r="Q467" s="137">
        <v>4821.5231999999996</v>
      </c>
      <c r="R467" s="137">
        <v>4172.4719999999998</v>
      </c>
      <c r="S467" s="138"/>
      <c r="T467" s="139">
        <f>IFERROR(INDEX('Price List'!$G$5:$G$74,MATCH(TRIM(J467)&amp;"|"&amp;TRIM(P467),'Price List'!$O$5:$O$74,0)),0)</f>
        <v>0.09</v>
      </c>
      <c r="U467" s="140">
        <f>IFERROR(INDEX('Price List'!$H$5:$H$74,MATCH(TRIM(J467)&amp;"|"&amp;TRIM(P467),'Price List'!$O$5:$O$74,0)),0)</f>
        <v>0.2</v>
      </c>
      <c r="V467" s="141">
        <f t="shared" si="39"/>
        <v>0.108</v>
      </c>
      <c r="W467" s="142">
        <f>IFERROR(INDEX('Price List'!$J$5:$J$74,MATCH(TRIM(J467)&amp;"|"&amp;TRIM(P467),'Price List'!$O$5:$O$74,0)),0)</f>
        <v>0.73</v>
      </c>
      <c r="X467" s="143">
        <f>IFERROR(INDEX('Price List'!$K$5:$K$74,MATCH(TRIM(J467)&amp;"|"&amp;TRIM(P467),'Price List'!$O$5:$O$74,0)),0)</f>
        <v>0.12</v>
      </c>
      <c r="Y467" s="141">
        <f t="shared" si="40"/>
        <v>0.8176000000000001</v>
      </c>
      <c r="Z467" s="141">
        <f t="shared" si="41"/>
        <v>4462.8018739199997</v>
      </c>
      <c r="AA467" s="134"/>
    </row>
    <row r="468" spans="1:27" ht="15" customHeight="1" x14ac:dyDescent="0.35">
      <c r="A468" s="134"/>
      <c r="B468" s="135"/>
      <c r="C468" s="134" t="s">
        <v>444</v>
      </c>
      <c r="D468" s="136" t="str">
        <f t="shared" si="38"/>
        <v>B.04</v>
      </c>
      <c r="E468" s="135" t="s">
        <v>414</v>
      </c>
      <c r="F468" s="135" t="s">
        <v>678</v>
      </c>
      <c r="G468" s="134" t="s">
        <v>31</v>
      </c>
      <c r="H468" s="134" t="s">
        <v>573</v>
      </c>
      <c r="I468" s="134" t="s">
        <v>657</v>
      </c>
      <c r="J468" s="134" t="s">
        <v>107</v>
      </c>
      <c r="K468" s="134"/>
      <c r="L468" s="134"/>
      <c r="M468" s="134"/>
      <c r="N468" s="134"/>
      <c r="O468" s="134"/>
      <c r="P468" s="135" t="s">
        <v>103</v>
      </c>
      <c r="Q468" s="137">
        <f t="shared" ref="Q468:Q494" si="42">R468</f>
        <v>231.698688</v>
      </c>
      <c r="R468" s="137">
        <f>(R466+R467)*4%</f>
        <v>231.698688</v>
      </c>
      <c r="S468" s="138"/>
      <c r="T468" s="139">
        <f>IFERROR(INDEX('Price List'!$G$5:$G$74,MATCH(TRIM(J468)&amp;"|"&amp;TRIM(P468),'Price List'!$O$5:$O$74,0)),0)</f>
        <v>0.05</v>
      </c>
      <c r="U468" s="140">
        <f>IFERROR(INDEX('Price List'!$H$5:$H$74,MATCH(TRIM(J468)&amp;"|"&amp;TRIM(P468),'Price List'!$O$5:$O$74,0)),0)</f>
        <v>0.2</v>
      </c>
      <c r="V468" s="141">
        <f t="shared" si="39"/>
        <v>0.06</v>
      </c>
      <c r="W468" s="142">
        <f>IFERROR(INDEX('Price List'!$J$5:$J$74,MATCH(TRIM(J468)&amp;"|"&amp;TRIM(P468),'Price List'!$O$5:$O$74,0)),0)</f>
        <v>1.2</v>
      </c>
      <c r="X468" s="143">
        <f>IFERROR(INDEX('Price List'!$K$5:$K$74,MATCH(TRIM(J468)&amp;"|"&amp;TRIM(P468),'Price List'!$O$5:$O$74,0)),0)</f>
        <v>0.12</v>
      </c>
      <c r="Y468" s="141">
        <f t="shared" si="40"/>
        <v>1.3440000000000001</v>
      </c>
      <c r="Z468" s="141">
        <f t="shared" si="41"/>
        <v>325.30495795200005</v>
      </c>
      <c r="AA468" s="134"/>
    </row>
    <row r="469" spans="1:27" ht="15" customHeight="1" x14ac:dyDescent="0.35">
      <c r="A469" s="134"/>
      <c r="B469" s="135"/>
      <c r="C469" s="134" t="s">
        <v>444</v>
      </c>
      <c r="D469" s="136" t="str">
        <f t="shared" si="38"/>
        <v>B.04</v>
      </c>
      <c r="E469" s="135" t="s">
        <v>414</v>
      </c>
      <c r="F469" s="135" t="s">
        <v>678</v>
      </c>
      <c r="G469" s="134" t="s">
        <v>31</v>
      </c>
      <c r="H469" s="134" t="s">
        <v>679</v>
      </c>
      <c r="I469" s="134" t="s">
        <v>512</v>
      </c>
      <c r="J469" s="145" t="s">
        <v>125</v>
      </c>
      <c r="K469" s="134"/>
      <c r="L469" s="134"/>
      <c r="M469" s="134"/>
      <c r="N469" s="134"/>
      <c r="O469" s="134"/>
      <c r="P469" s="135" t="s">
        <v>100</v>
      </c>
      <c r="Q469" s="137">
        <f t="shared" si="42"/>
        <v>15.54</v>
      </c>
      <c r="R469" s="137">
        <f>'TR Column'!F3+(20*0.7)</f>
        <v>15.54</v>
      </c>
      <c r="S469" s="138"/>
      <c r="T469" s="139">
        <f>IFERROR(INDEX('Price List'!$G$5:$G$74,MATCH(TRIM(J469)&amp;"|"&amp;TRIM(P469),'Price List'!$O$5:$O$74,0)),0)</f>
        <v>10</v>
      </c>
      <c r="U469" s="140">
        <f>IFERROR(INDEX('Price List'!$H$5:$H$74,MATCH(TRIM(J469)&amp;"|"&amp;TRIM(P469),'Price List'!$O$5:$O$74,0)),0)</f>
        <v>0.2</v>
      </c>
      <c r="V469" s="141">
        <f t="shared" si="39"/>
        <v>12</v>
      </c>
      <c r="W469" s="142">
        <f>IFERROR(INDEX('Price List'!$J$5:$J$74,MATCH(TRIM(J469)&amp;"|"&amp;TRIM(P469),'Price List'!$O$5:$O$74,0)),0)</f>
        <v>98</v>
      </c>
      <c r="X469" s="143">
        <f>IFERROR(INDEX('Price List'!$K$5:$K$74,MATCH(TRIM(J469)&amp;"|"&amp;TRIM(P469),'Price List'!$O$5:$O$74,0)),0)</f>
        <v>0.12</v>
      </c>
      <c r="Y469" s="141">
        <f t="shared" si="40"/>
        <v>109.76</v>
      </c>
      <c r="Z469" s="141">
        <f t="shared" si="41"/>
        <v>1892.1504</v>
      </c>
      <c r="AA469" s="134"/>
    </row>
    <row r="470" spans="1:27" ht="15" customHeight="1" x14ac:dyDescent="0.35">
      <c r="A470" s="134"/>
      <c r="B470" s="135"/>
      <c r="C470" s="134" t="s">
        <v>444</v>
      </c>
      <c r="D470" s="136" t="str">
        <f t="shared" si="38"/>
        <v>B.04</v>
      </c>
      <c r="E470" s="135" t="s">
        <v>414</v>
      </c>
      <c r="F470" s="135" t="s">
        <v>678</v>
      </c>
      <c r="G470" s="134" t="s">
        <v>31</v>
      </c>
      <c r="H470" s="134" t="s">
        <v>679</v>
      </c>
      <c r="I470" s="144" t="s">
        <v>127</v>
      </c>
      <c r="J470" s="144" t="s">
        <v>127</v>
      </c>
      <c r="K470" s="144"/>
      <c r="L470" s="134"/>
      <c r="M470" s="134"/>
      <c r="N470" s="134"/>
      <c r="O470" s="134"/>
      <c r="P470" s="135" t="s">
        <v>128</v>
      </c>
      <c r="Q470" s="137">
        <f t="shared" si="42"/>
        <v>129.22</v>
      </c>
      <c r="R470" s="137">
        <f>'TR Column'!G3+((78*2)*0.7)</f>
        <v>129.22</v>
      </c>
      <c r="S470" s="138"/>
      <c r="T470" s="139">
        <f>IFERROR(INDEX('Price List'!$G$5:$G$74,MATCH(TRIM(J470)&amp;"|"&amp;TRIM(P470),'Price List'!$O$5:$O$74,0)),0)</f>
        <v>6</v>
      </c>
      <c r="U470" s="140">
        <f>IFERROR(INDEX('Price List'!$H$5:$H$74,MATCH(TRIM(J470)&amp;"|"&amp;TRIM(P470),'Price List'!$O$5:$O$74,0)),0)</f>
        <v>0.2</v>
      </c>
      <c r="V470" s="141">
        <f t="shared" si="39"/>
        <v>7.1999999999999993</v>
      </c>
      <c r="W470" s="142">
        <f>IFERROR(INDEX('Price List'!$J$5:$J$74,MATCH(TRIM(J470)&amp;"|"&amp;TRIM(P470),'Price List'!$O$5:$O$74,0)),0)</f>
        <v>5</v>
      </c>
      <c r="X470" s="143">
        <f>IFERROR(INDEX('Price List'!$K$5:$K$74,MATCH(TRIM(J470)&amp;"|"&amp;TRIM(P470),'Price List'!$O$5:$O$74,0)),0)</f>
        <v>0.12</v>
      </c>
      <c r="Y470" s="141">
        <f t="shared" si="40"/>
        <v>5.6000000000000005</v>
      </c>
      <c r="Z470" s="141">
        <f t="shared" si="41"/>
        <v>1654.0160000000001</v>
      </c>
      <c r="AA470" s="134"/>
    </row>
    <row r="471" spans="1:27" ht="15" customHeight="1" x14ac:dyDescent="0.35">
      <c r="A471" s="134"/>
      <c r="B471" s="135"/>
      <c r="C471" s="134" t="s">
        <v>444</v>
      </c>
      <c r="D471" s="136" t="str">
        <f t="shared" si="38"/>
        <v>B.04</v>
      </c>
      <c r="E471" s="135" t="s">
        <v>414</v>
      </c>
      <c r="F471" s="135" t="s">
        <v>678</v>
      </c>
      <c r="G471" s="134" t="s">
        <v>31</v>
      </c>
      <c r="H471" s="134" t="s">
        <v>679</v>
      </c>
      <c r="I471" s="134" t="s">
        <v>513</v>
      </c>
      <c r="J471" s="144" t="s">
        <v>102</v>
      </c>
      <c r="K471" s="134"/>
      <c r="L471" s="134"/>
      <c r="M471" s="134"/>
      <c r="N471" s="134"/>
      <c r="O471" s="134"/>
      <c r="P471" s="135" t="s">
        <v>103</v>
      </c>
      <c r="Q471" s="137">
        <f t="shared" si="42"/>
        <v>426.14133333333336</v>
      </c>
      <c r="R471" s="137">
        <f>'TR Column'!I5+'TR wall'!D2</f>
        <v>426.14133333333336</v>
      </c>
      <c r="S471" s="138"/>
      <c r="T471" s="139">
        <f>IFERROR(INDEX('Price List'!$G$5:$G$74,MATCH(TRIM(J471)&amp;"|"&amp;TRIM(P471),'Price List'!$O$5:$O$74,0)),0)</f>
        <v>0.12</v>
      </c>
      <c r="U471" s="140">
        <f>IFERROR(INDEX('Price List'!$H$5:$H$74,MATCH(TRIM(J471)&amp;"|"&amp;TRIM(P471),'Price List'!$O$5:$O$74,0)),0)</f>
        <v>0.2</v>
      </c>
      <c r="V471" s="141">
        <f t="shared" si="39"/>
        <v>0.14399999999999999</v>
      </c>
      <c r="W471" s="142">
        <f>IFERROR(INDEX('Price List'!$J$5:$J$74,MATCH(TRIM(J471)&amp;"|"&amp;TRIM(P471),'Price List'!$O$5:$O$74,0)),0)</f>
        <v>0.78</v>
      </c>
      <c r="X471" s="143">
        <f>IFERROR(INDEX('Price List'!$K$5:$K$74,MATCH(TRIM(J471)&amp;"|"&amp;TRIM(P471),'Price List'!$O$5:$O$74,0)),0)</f>
        <v>0.12</v>
      </c>
      <c r="Y471" s="141">
        <f t="shared" si="40"/>
        <v>0.87360000000000015</v>
      </c>
      <c r="Z471" s="141">
        <f t="shared" si="41"/>
        <v>433.64142080000005</v>
      </c>
      <c r="AA471" s="134"/>
    </row>
    <row r="472" spans="1:27" ht="15" customHeight="1" x14ac:dyDescent="0.35">
      <c r="A472" s="134"/>
      <c r="B472" s="135"/>
      <c r="C472" s="134" t="s">
        <v>444</v>
      </c>
      <c r="D472" s="136" t="str">
        <f t="shared" si="38"/>
        <v>B.04</v>
      </c>
      <c r="E472" s="135" t="s">
        <v>414</v>
      </c>
      <c r="F472" s="135" t="s">
        <v>678</v>
      </c>
      <c r="G472" s="134" t="s">
        <v>31</v>
      </c>
      <c r="H472" s="134" t="s">
        <v>679</v>
      </c>
      <c r="I472" s="134" t="s">
        <v>513</v>
      </c>
      <c r="J472" s="144" t="s">
        <v>131</v>
      </c>
      <c r="K472" s="134"/>
      <c r="L472" s="134"/>
      <c r="M472" s="134"/>
      <c r="N472" s="134"/>
      <c r="O472" s="134"/>
      <c r="P472" s="135" t="s">
        <v>103</v>
      </c>
      <c r="Q472" s="137">
        <f t="shared" si="42"/>
        <v>3408.4576000000006</v>
      </c>
      <c r="R472" s="137">
        <f>'TR Column'!I6+'TR wall'!D3+'TR wall'!D4</f>
        <v>3408.4576000000006</v>
      </c>
      <c r="S472" s="138"/>
      <c r="T472" s="139">
        <f>IFERROR(INDEX('Price List'!$G$5:$G$74,MATCH(TRIM(J472)&amp;"|"&amp;TRIM(P472),'Price List'!$O$5:$O$74,0)),0)</f>
        <v>0.11</v>
      </c>
      <c r="U472" s="140">
        <f>IFERROR(INDEX('Price List'!$H$5:$H$74,MATCH(TRIM(J472)&amp;"|"&amp;TRIM(P472),'Price List'!$O$5:$O$74,0)),0)</f>
        <v>0.2</v>
      </c>
      <c r="V472" s="141">
        <f t="shared" si="39"/>
        <v>0.13200000000000001</v>
      </c>
      <c r="W472" s="142">
        <f>IFERROR(INDEX('Price List'!$J$5:$J$74,MATCH(TRIM(J472)&amp;"|"&amp;TRIM(P472),'Price List'!$O$5:$O$74,0)),0)</f>
        <v>0.76</v>
      </c>
      <c r="X472" s="143">
        <f>IFERROR(INDEX('Price List'!$K$5:$K$74,MATCH(TRIM(J472)&amp;"|"&amp;TRIM(P472),'Price List'!$O$5:$O$74,0)),0)</f>
        <v>0.12</v>
      </c>
      <c r="Y472" s="141">
        <f t="shared" si="40"/>
        <v>0.85120000000000007</v>
      </c>
      <c r="Z472" s="141">
        <f t="shared" si="41"/>
        <v>3351.1955123200009</v>
      </c>
      <c r="AA472" s="134"/>
    </row>
    <row r="473" spans="1:27" ht="15" customHeight="1" x14ac:dyDescent="0.35">
      <c r="A473" s="134"/>
      <c r="B473" s="135"/>
      <c r="C473" s="134" t="s">
        <v>444</v>
      </c>
      <c r="D473" s="136" t="str">
        <f t="shared" si="38"/>
        <v>B.04</v>
      </c>
      <c r="E473" s="135" t="s">
        <v>414</v>
      </c>
      <c r="F473" s="135" t="s">
        <v>678</v>
      </c>
      <c r="G473" s="134" t="s">
        <v>31</v>
      </c>
      <c r="H473" s="134" t="s">
        <v>679</v>
      </c>
      <c r="I473" s="134" t="s">
        <v>513</v>
      </c>
      <c r="J473" s="144" t="s">
        <v>133</v>
      </c>
      <c r="K473" s="134"/>
      <c r="L473" s="134"/>
      <c r="M473" s="134"/>
      <c r="N473" s="134"/>
      <c r="O473" s="134"/>
      <c r="P473" s="135" t="s">
        <v>103</v>
      </c>
      <c r="Q473" s="137">
        <f t="shared" si="42"/>
        <v>472.13760000000002</v>
      </c>
      <c r="R473" s="137">
        <f>'TR Column'!I6</f>
        <v>472.13760000000002</v>
      </c>
      <c r="S473" s="138"/>
      <c r="T473" s="139">
        <f>IFERROR(INDEX('Price List'!$G$5:$G$74,MATCH(TRIM(J473)&amp;"|"&amp;TRIM(P473),'Price List'!$O$5:$O$74,0)),0)</f>
        <v>0.1</v>
      </c>
      <c r="U473" s="140">
        <f>IFERROR(INDEX('Price List'!$H$5:$H$74,MATCH(TRIM(J473)&amp;"|"&amp;TRIM(P473),'Price List'!$O$5:$O$74,0)),0)</f>
        <v>0.2</v>
      </c>
      <c r="V473" s="141">
        <f t="shared" si="39"/>
        <v>0.12</v>
      </c>
      <c r="W473" s="142">
        <f>IFERROR(INDEX('Price List'!$J$5:$J$74,MATCH(TRIM(J473)&amp;"|"&amp;TRIM(P473),'Price List'!$O$5:$O$74,0)),0)</f>
        <v>0.74</v>
      </c>
      <c r="X473" s="143">
        <f>IFERROR(INDEX('Price List'!$K$5:$K$74,MATCH(TRIM(J473)&amp;"|"&amp;TRIM(P473),'Price List'!$O$5:$O$74,0)),0)</f>
        <v>0.12</v>
      </c>
      <c r="Y473" s="141">
        <f t="shared" si="40"/>
        <v>0.82880000000000009</v>
      </c>
      <c r="Z473" s="141">
        <f t="shared" si="41"/>
        <v>447.96415488000008</v>
      </c>
      <c r="AA473" s="134"/>
    </row>
    <row r="474" spans="1:27" ht="15" customHeight="1" x14ac:dyDescent="0.35">
      <c r="A474" s="134"/>
      <c r="B474" s="135"/>
      <c r="C474" s="134" t="s">
        <v>444</v>
      </c>
      <c r="D474" s="136" t="str">
        <f t="shared" si="38"/>
        <v>B.04</v>
      </c>
      <c r="E474" s="135" t="s">
        <v>414</v>
      </c>
      <c r="F474" s="135" t="s">
        <v>678</v>
      </c>
      <c r="G474" s="134" t="s">
        <v>31</v>
      </c>
      <c r="H474" s="134" t="s">
        <v>679</v>
      </c>
      <c r="I474" s="134" t="s">
        <v>657</v>
      </c>
      <c r="J474" s="134" t="s">
        <v>107</v>
      </c>
      <c r="K474" s="134"/>
      <c r="L474" s="134"/>
      <c r="M474" s="134"/>
      <c r="N474" s="134"/>
      <c r="O474" s="134"/>
      <c r="P474" s="135" t="s">
        <v>103</v>
      </c>
      <c r="Q474" s="137">
        <f t="shared" si="42"/>
        <v>172.26946133333334</v>
      </c>
      <c r="R474" s="137">
        <f>(R472+R473+R471)*4%</f>
        <v>172.26946133333334</v>
      </c>
      <c r="S474" s="138"/>
      <c r="T474" s="139">
        <f>IFERROR(INDEX('Price List'!$G$5:$G$74,MATCH(TRIM(J474)&amp;"|"&amp;TRIM(P474),'Price List'!$O$5:$O$74,0)),0)</f>
        <v>0.05</v>
      </c>
      <c r="U474" s="140">
        <f>IFERROR(INDEX('Price List'!$H$5:$H$74,MATCH(TRIM(J474)&amp;"|"&amp;TRIM(P474),'Price List'!$O$5:$O$74,0)),0)</f>
        <v>0.2</v>
      </c>
      <c r="V474" s="141">
        <f t="shared" si="39"/>
        <v>0.06</v>
      </c>
      <c r="W474" s="142">
        <f>IFERROR(INDEX('Price List'!$J$5:$J$74,MATCH(TRIM(J474)&amp;"|"&amp;TRIM(P474),'Price List'!$O$5:$O$74,0)),0)</f>
        <v>1.2</v>
      </c>
      <c r="X474" s="143">
        <f>IFERROR(INDEX('Price List'!$K$5:$K$74,MATCH(TRIM(J474)&amp;"|"&amp;TRIM(P474),'Price List'!$O$5:$O$74,0)),0)</f>
        <v>0.12</v>
      </c>
      <c r="Y474" s="141">
        <f t="shared" si="40"/>
        <v>1.3440000000000001</v>
      </c>
      <c r="Z474" s="141">
        <f t="shared" si="41"/>
        <v>241.86632371200002</v>
      </c>
      <c r="AA474" s="134"/>
    </row>
    <row r="475" spans="1:27" ht="15" customHeight="1" x14ac:dyDescent="0.35">
      <c r="A475" s="134"/>
      <c r="B475" s="135"/>
      <c r="C475" s="134" t="s">
        <v>444</v>
      </c>
      <c r="D475" s="136" t="str">
        <f t="shared" si="38"/>
        <v>B.04</v>
      </c>
      <c r="E475" s="135" t="s">
        <v>414</v>
      </c>
      <c r="F475" s="135" t="s">
        <v>680</v>
      </c>
      <c r="G475" s="134" t="s">
        <v>31</v>
      </c>
      <c r="H475" s="134" t="s">
        <v>564</v>
      </c>
      <c r="I475" s="134" t="s">
        <v>512</v>
      </c>
      <c r="J475" s="145" t="s">
        <v>125</v>
      </c>
      <c r="K475" s="134"/>
      <c r="L475" s="134"/>
      <c r="M475" s="134"/>
      <c r="N475" s="134"/>
      <c r="O475" s="134"/>
      <c r="P475" s="135" t="s">
        <v>100</v>
      </c>
      <c r="Q475" s="137">
        <f t="shared" si="42"/>
        <v>13.341999999999999</v>
      </c>
      <c r="R475" s="137">
        <f>'RR beam'!H11</f>
        <v>13.341999999999999</v>
      </c>
      <c r="S475" s="138"/>
      <c r="T475" s="139">
        <f>IFERROR(INDEX('Price List'!$G$5:$G$74,MATCH(TRIM(J475)&amp;"|"&amp;TRIM(P475),'Price List'!$O$5:$O$74,0)),0)</f>
        <v>10</v>
      </c>
      <c r="U475" s="140">
        <f>IFERROR(INDEX('Price List'!$H$5:$H$74,MATCH(TRIM(J475)&amp;"|"&amp;TRIM(P475),'Price List'!$O$5:$O$74,0)),0)</f>
        <v>0.2</v>
      </c>
      <c r="V475" s="141">
        <f t="shared" si="39"/>
        <v>12</v>
      </c>
      <c r="W475" s="142">
        <f>IFERROR(INDEX('Price List'!$J$5:$J$74,MATCH(TRIM(J475)&amp;"|"&amp;TRIM(P475),'Price List'!$O$5:$O$74,0)),0)</f>
        <v>98</v>
      </c>
      <c r="X475" s="143">
        <f>IFERROR(INDEX('Price List'!$K$5:$K$74,MATCH(TRIM(J475)&amp;"|"&amp;TRIM(P475),'Price List'!$O$5:$O$74,0)),0)</f>
        <v>0.12</v>
      </c>
      <c r="Y475" s="141">
        <f t="shared" si="40"/>
        <v>109.76</v>
      </c>
      <c r="Z475" s="141">
        <f t="shared" si="41"/>
        <v>1624.5219199999999</v>
      </c>
      <c r="AA475" s="134"/>
    </row>
    <row r="476" spans="1:27" ht="15" customHeight="1" x14ac:dyDescent="0.35">
      <c r="A476" s="134"/>
      <c r="B476" s="135"/>
      <c r="C476" s="134" t="s">
        <v>444</v>
      </c>
      <c r="D476" s="136" t="str">
        <f t="shared" si="38"/>
        <v>B.04</v>
      </c>
      <c r="E476" s="135" t="s">
        <v>414</v>
      </c>
      <c r="F476" s="135" t="s">
        <v>680</v>
      </c>
      <c r="G476" s="134" t="s">
        <v>31</v>
      </c>
      <c r="H476" s="134" t="s">
        <v>564</v>
      </c>
      <c r="I476" s="144" t="s">
        <v>127</v>
      </c>
      <c r="J476" s="144" t="s">
        <v>127</v>
      </c>
      <c r="K476" s="144"/>
      <c r="L476" s="134"/>
      <c r="M476" s="134"/>
      <c r="N476" s="134"/>
      <c r="O476" s="134"/>
      <c r="P476" s="135" t="s">
        <v>128</v>
      </c>
      <c r="Q476" s="137">
        <f t="shared" si="42"/>
        <v>113.57</v>
      </c>
      <c r="R476" s="137">
        <f>'RR beam'!G11</f>
        <v>113.57</v>
      </c>
      <c r="S476" s="138"/>
      <c r="T476" s="139">
        <f>IFERROR(INDEX('Price List'!$G$5:$G$74,MATCH(TRIM(J476)&amp;"|"&amp;TRIM(P476),'Price List'!$O$5:$O$74,0)),0)</f>
        <v>6</v>
      </c>
      <c r="U476" s="140">
        <f>IFERROR(INDEX('Price List'!$H$5:$H$74,MATCH(TRIM(J476)&amp;"|"&amp;TRIM(P476),'Price List'!$O$5:$O$74,0)),0)</f>
        <v>0.2</v>
      </c>
      <c r="V476" s="141">
        <f t="shared" si="39"/>
        <v>7.1999999999999993</v>
      </c>
      <c r="W476" s="142">
        <f>IFERROR(INDEX('Price List'!$J$5:$J$74,MATCH(TRIM(J476)&amp;"|"&amp;TRIM(P476),'Price List'!$O$5:$O$74,0)),0)</f>
        <v>5</v>
      </c>
      <c r="X476" s="143">
        <f>IFERROR(INDEX('Price List'!$K$5:$K$74,MATCH(TRIM(J476)&amp;"|"&amp;TRIM(P476),'Price List'!$O$5:$O$74,0)),0)</f>
        <v>0.12</v>
      </c>
      <c r="Y476" s="141">
        <f t="shared" si="40"/>
        <v>5.6000000000000005</v>
      </c>
      <c r="Z476" s="141">
        <f t="shared" si="41"/>
        <v>1453.6959999999999</v>
      </c>
      <c r="AA476" s="134"/>
    </row>
    <row r="477" spans="1:27" ht="15" customHeight="1" x14ac:dyDescent="0.35">
      <c r="A477" s="134"/>
      <c r="B477" s="135"/>
      <c r="C477" s="134" t="s">
        <v>444</v>
      </c>
      <c r="D477" s="136" t="str">
        <f t="shared" si="38"/>
        <v>B.04</v>
      </c>
      <c r="E477" s="135" t="s">
        <v>414</v>
      </c>
      <c r="F477" s="135" t="s">
        <v>680</v>
      </c>
      <c r="G477" s="134" t="s">
        <v>31</v>
      </c>
      <c r="H477" s="134" t="s">
        <v>564</v>
      </c>
      <c r="I477" s="134" t="s">
        <v>513</v>
      </c>
      <c r="J477" s="144" t="s">
        <v>169</v>
      </c>
      <c r="K477" s="134"/>
      <c r="L477" s="134"/>
      <c r="M477" s="134"/>
      <c r="N477" s="134"/>
      <c r="O477" s="134"/>
      <c r="P477" s="135" t="s">
        <v>103</v>
      </c>
      <c r="Q477" s="137">
        <f t="shared" si="42"/>
        <v>107.44000000000003</v>
      </c>
      <c r="R477" s="137">
        <f>'RR beam'!J14</f>
        <v>107.44000000000003</v>
      </c>
      <c r="S477" s="138"/>
      <c r="T477" s="139">
        <f>IFERROR(INDEX('Price List'!$G$5:$G$74,MATCH(TRIM(J477)&amp;"|"&amp;TRIM(P477),'Price List'!$O$5:$O$74,0)),0)</f>
        <v>0.12</v>
      </c>
      <c r="U477" s="140">
        <f>IFERROR(INDEX('Price List'!$H$5:$H$74,MATCH(TRIM(J477)&amp;"|"&amp;TRIM(P477),'Price List'!$O$5:$O$74,0)),0)</f>
        <v>0.2</v>
      </c>
      <c r="V477" s="141">
        <f t="shared" si="39"/>
        <v>0.14399999999999999</v>
      </c>
      <c r="W477" s="142">
        <f>IFERROR(INDEX('Price List'!$J$5:$J$74,MATCH(TRIM(J477)&amp;"|"&amp;TRIM(P477),'Price List'!$O$5:$O$74,0)),0)</f>
        <v>0.77</v>
      </c>
      <c r="X477" s="143">
        <f>IFERROR(INDEX('Price List'!$K$5:$K$74,MATCH(TRIM(J477)&amp;"|"&amp;TRIM(P477),'Price List'!$O$5:$O$74,0)),0)</f>
        <v>0.12</v>
      </c>
      <c r="Y477" s="141">
        <f t="shared" si="40"/>
        <v>0.86240000000000006</v>
      </c>
      <c r="Z477" s="141">
        <f t="shared" si="41"/>
        <v>108.12761600000002</v>
      </c>
      <c r="AA477" s="134"/>
    </row>
    <row r="478" spans="1:27" ht="15" customHeight="1" x14ac:dyDescent="0.35">
      <c r="A478" s="134"/>
      <c r="B478" s="135"/>
      <c r="C478" s="134" t="s">
        <v>444</v>
      </c>
      <c r="D478" s="136" t="str">
        <f t="shared" si="38"/>
        <v>B.04</v>
      </c>
      <c r="E478" s="135" t="s">
        <v>414</v>
      </c>
      <c r="F478" s="135" t="s">
        <v>680</v>
      </c>
      <c r="G478" s="134" t="s">
        <v>31</v>
      </c>
      <c r="H478" s="134" t="s">
        <v>564</v>
      </c>
      <c r="I478" s="134" t="s">
        <v>513</v>
      </c>
      <c r="J478" s="144" t="s">
        <v>102</v>
      </c>
      <c r="K478" s="134"/>
      <c r="L478" s="134"/>
      <c r="M478" s="134"/>
      <c r="N478" s="134"/>
      <c r="O478" s="134"/>
      <c r="P478" s="135" t="s">
        <v>103</v>
      </c>
      <c r="Q478" s="137">
        <f t="shared" si="42"/>
        <v>828.18333333333328</v>
      </c>
      <c r="R478" s="137">
        <f>'RR beam'!J15</f>
        <v>828.18333333333328</v>
      </c>
      <c r="S478" s="138"/>
      <c r="T478" s="139">
        <f>IFERROR(INDEX('Price List'!$G$5:$G$74,MATCH(TRIM(J478)&amp;"|"&amp;TRIM(P478),'Price List'!$O$5:$O$74,0)),0)</f>
        <v>0.12</v>
      </c>
      <c r="U478" s="140">
        <f>IFERROR(INDEX('Price List'!$H$5:$H$74,MATCH(TRIM(J478)&amp;"|"&amp;TRIM(P478),'Price List'!$O$5:$O$74,0)),0)</f>
        <v>0.2</v>
      </c>
      <c r="V478" s="141">
        <f t="shared" si="39"/>
        <v>0.14399999999999999</v>
      </c>
      <c r="W478" s="142">
        <f>IFERROR(INDEX('Price List'!$J$5:$J$74,MATCH(TRIM(J478)&amp;"|"&amp;TRIM(P478),'Price List'!$O$5:$O$74,0)),0)</f>
        <v>0.78</v>
      </c>
      <c r="X478" s="143">
        <f>IFERROR(INDEX('Price List'!$K$5:$K$74,MATCH(TRIM(J478)&amp;"|"&amp;TRIM(P478),'Price List'!$O$5:$O$74,0)),0)</f>
        <v>0.12</v>
      </c>
      <c r="Y478" s="141">
        <f t="shared" si="40"/>
        <v>0.87360000000000015</v>
      </c>
      <c r="Z478" s="141">
        <f t="shared" si="41"/>
        <v>842.75936000000002</v>
      </c>
      <c r="AA478" s="134"/>
    </row>
    <row r="479" spans="1:27" ht="15" customHeight="1" x14ac:dyDescent="0.35">
      <c r="A479" s="134"/>
      <c r="B479" s="135"/>
      <c r="C479" s="134" t="s">
        <v>444</v>
      </c>
      <c r="D479" s="136" t="str">
        <f t="shared" si="38"/>
        <v>B.04</v>
      </c>
      <c r="E479" s="135" t="s">
        <v>414</v>
      </c>
      <c r="F479" s="135" t="s">
        <v>680</v>
      </c>
      <c r="G479" s="134" t="s">
        <v>31</v>
      </c>
      <c r="H479" s="134" t="s">
        <v>564</v>
      </c>
      <c r="I479" s="134" t="s">
        <v>513</v>
      </c>
      <c r="J479" s="144" t="s">
        <v>131</v>
      </c>
      <c r="K479" s="134"/>
      <c r="L479" s="134"/>
      <c r="M479" s="134"/>
      <c r="N479" s="134"/>
      <c r="O479" s="134"/>
      <c r="P479" s="135" t="s">
        <v>103</v>
      </c>
      <c r="Q479" s="137">
        <f t="shared" si="42"/>
        <v>227.86080000000001</v>
      </c>
      <c r="R479" s="137">
        <f>'RR beam'!J16</f>
        <v>227.86080000000001</v>
      </c>
      <c r="S479" s="138"/>
      <c r="T479" s="139">
        <f>IFERROR(INDEX('Price List'!$G$5:$G$74,MATCH(TRIM(J479)&amp;"|"&amp;TRIM(P479),'Price List'!$O$5:$O$74,0)),0)</f>
        <v>0.11</v>
      </c>
      <c r="U479" s="140">
        <f>IFERROR(INDEX('Price List'!$H$5:$H$74,MATCH(TRIM(J479)&amp;"|"&amp;TRIM(P479),'Price List'!$O$5:$O$74,0)),0)</f>
        <v>0.2</v>
      </c>
      <c r="V479" s="141">
        <f t="shared" si="39"/>
        <v>0.13200000000000001</v>
      </c>
      <c r="W479" s="142">
        <f>IFERROR(INDEX('Price List'!$J$5:$J$74,MATCH(TRIM(J479)&amp;"|"&amp;TRIM(P479),'Price List'!$O$5:$O$74,0)),0)</f>
        <v>0.76</v>
      </c>
      <c r="X479" s="143">
        <f>IFERROR(INDEX('Price List'!$K$5:$K$74,MATCH(TRIM(J479)&amp;"|"&amp;TRIM(P479),'Price List'!$O$5:$O$74,0)),0)</f>
        <v>0.12</v>
      </c>
      <c r="Y479" s="141">
        <f t="shared" si="40"/>
        <v>0.85120000000000007</v>
      </c>
      <c r="Z479" s="141">
        <f t="shared" si="41"/>
        <v>224.03273856000004</v>
      </c>
      <c r="AA479" s="134"/>
    </row>
    <row r="480" spans="1:27" ht="15" customHeight="1" x14ac:dyDescent="0.35">
      <c r="A480" s="134"/>
      <c r="B480" s="135"/>
      <c r="C480" s="134" t="s">
        <v>444</v>
      </c>
      <c r="D480" s="136" t="str">
        <f t="shared" si="38"/>
        <v>B.04</v>
      </c>
      <c r="E480" s="135" t="s">
        <v>414</v>
      </c>
      <c r="F480" s="135" t="s">
        <v>680</v>
      </c>
      <c r="G480" s="134" t="s">
        <v>31</v>
      </c>
      <c r="H480" s="134" t="s">
        <v>564</v>
      </c>
      <c r="I480" s="134" t="s">
        <v>513</v>
      </c>
      <c r="J480" s="144" t="s">
        <v>133</v>
      </c>
      <c r="K480" s="134"/>
      <c r="L480" s="134"/>
      <c r="M480" s="134"/>
      <c r="N480" s="134"/>
      <c r="O480" s="134"/>
      <c r="P480" s="135" t="s">
        <v>103</v>
      </c>
      <c r="Q480" s="137">
        <f t="shared" si="42"/>
        <v>313.0752</v>
      </c>
      <c r="R480" s="137">
        <f>'RR beam'!J17</f>
        <v>313.0752</v>
      </c>
      <c r="S480" s="138"/>
      <c r="T480" s="139">
        <f>IFERROR(INDEX('Price List'!$G$5:$G$74,MATCH(TRIM(J480)&amp;"|"&amp;TRIM(P480),'Price List'!$O$5:$O$74,0)),0)</f>
        <v>0.1</v>
      </c>
      <c r="U480" s="140">
        <f>IFERROR(INDEX('Price List'!$H$5:$H$74,MATCH(TRIM(J480)&amp;"|"&amp;TRIM(P480),'Price List'!$O$5:$O$74,0)),0)</f>
        <v>0.2</v>
      </c>
      <c r="V480" s="141">
        <f t="shared" si="39"/>
        <v>0.12</v>
      </c>
      <c r="W480" s="142">
        <f>IFERROR(INDEX('Price List'!$J$5:$J$74,MATCH(TRIM(J480)&amp;"|"&amp;TRIM(P480),'Price List'!$O$5:$O$74,0)),0)</f>
        <v>0.74</v>
      </c>
      <c r="X480" s="143">
        <f>IFERROR(INDEX('Price List'!$K$5:$K$74,MATCH(TRIM(J480)&amp;"|"&amp;TRIM(P480),'Price List'!$O$5:$O$74,0)),0)</f>
        <v>0.12</v>
      </c>
      <c r="Y480" s="141">
        <f t="shared" si="40"/>
        <v>0.82880000000000009</v>
      </c>
      <c r="Z480" s="141">
        <f t="shared" si="41"/>
        <v>297.04574976000004</v>
      </c>
      <c r="AA480" s="134"/>
    </row>
    <row r="481" spans="1:27" ht="15" customHeight="1" x14ac:dyDescent="0.35">
      <c r="A481" s="134"/>
      <c r="B481" s="135"/>
      <c r="C481" s="134" t="s">
        <v>444</v>
      </c>
      <c r="D481" s="136" t="str">
        <f t="shared" si="38"/>
        <v>B.04</v>
      </c>
      <c r="E481" s="135" t="s">
        <v>414</v>
      </c>
      <c r="F481" s="135" t="s">
        <v>680</v>
      </c>
      <c r="G481" s="134" t="s">
        <v>31</v>
      </c>
      <c r="H481" s="134" t="s">
        <v>564</v>
      </c>
      <c r="I481" s="134" t="s">
        <v>513</v>
      </c>
      <c r="J481" s="144" t="s">
        <v>135</v>
      </c>
      <c r="K481" s="134"/>
      <c r="L481" s="134"/>
      <c r="M481" s="134"/>
      <c r="N481" s="134"/>
      <c r="O481" s="134"/>
      <c r="P481" s="135" t="s">
        <v>103</v>
      </c>
      <c r="Q481" s="137">
        <f t="shared" si="42"/>
        <v>601.70400000000006</v>
      </c>
      <c r="R481" s="137">
        <f>'RR beam'!J18</f>
        <v>601.70400000000006</v>
      </c>
      <c r="S481" s="138"/>
      <c r="T481" s="139">
        <f>IFERROR(INDEX('Price List'!$G$5:$G$74,MATCH(TRIM(J481)&amp;"|"&amp;TRIM(P481),'Price List'!$O$5:$O$74,0)),0)</f>
        <v>0.09</v>
      </c>
      <c r="U481" s="140">
        <f>IFERROR(INDEX('Price List'!$H$5:$H$74,MATCH(TRIM(J481)&amp;"|"&amp;TRIM(P481),'Price List'!$O$5:$O$74,0)),0)</f>
        <v>0.2</v>
      </c>
      <c r="V481" s="141">
        <f t="shared" si="39"/>
        <v>0.108</v>
      </c>
      <c r="W481" s="142">
        <f>IFERROR(INDEX('Price List'!$J$5:$J$74,MATCH(TRIM(J481)&amp;"|"&amp;TRIM(P481),'Price List'!$O$5:$O$74,0)),0)</f>
        <v>0.73</v>
      </c>
      <c r="X481" s="143">
        <f>IFERROR(INDEX('Price List'!$K$5:$K$74,MATCH(TRIM(J481)&amp;"|"&amp;TRIM(P481),'Price List'!$O$5:$O$74,0)),0)</f>
        <v>0.12</v>
      </c>
      <c r="Y481" s="141">
        <f t="shared" si="40"/>
        <v>0.8176000000000001</v>
      </c>
      <c r="Z481" s="141">
        <f t="shared" si="41"/>
        <v>556.93722240000011</v>
      </c>
      <c r="AA481" s="134"/>
    </row>
    <row r="482" spans="1:27" ht="15" customHeight="1" x14ac:dyDescent="0.35">
      <c r="A482" s="134"/>
      <c r="B482" s="135"/>
      <c r="C482" s="134" t="s">
        <v>444</v>
      </c>
      <c r="D482" s="136" t="str">
        <f t="shared" si="38"/>
        <v>B.04</v>
      </c>
      <c r="E482" s="135" t="s">
        <v>414</v>
      </c>
      <c r="F482" s="135" t="s">
        <v>680</v>
      </c>
      <c r="G482" s="134" t="s">
        <v>31</v>
      </c>
      <c r="H482" s="134" t="s">
        <v>564</v>
      </c>
      <c r="I482" s="134" t="s">
        <v>513</v>
      </c>
      <c r="J482" s="144" t="s">
        <v>105</v>
      </c>
      <c r="K482" s="134"/>
      <c r="L482" s="134"/>
      <c r="M482" s="134"/>
      <c r="N482" s="134"/>
      <c r="O482" s="134"/>
      <c r="P482" s="135" t="s">
        <v>103</v>
      </c>
      <c r="Q482" s="137">
        <f t="shared" si="42"/>
        <v>2780.3247999999999</v>
      </c>
      <c r="R482" s="137">
        <f>'RR beam'!J19</f>
        <v>2780.3247999999999</v>
      </c>
      <c r="S482" s="138"/>
      <c r="T482" s="139">
        <f>IFERROR(INDEX('Price List'!$G$5:$G$74,MATCH(TRIM(J482)&amp;"|"&amp;TRIM(P482),'Price List'!$O$5:$O$74,0)),0)</f>
        <v>0.08</v>
      </c>
      <c r="U482" s="140">
        <f>IFERROR(INDEX('Price List'!$H$5:$H$74,MATCH(TRIM(J482)&amp;"|"&amp;TRIM(P482),'Price List'!$O$5:$O$74,0)),0)</f>
        <v>0.2</v>
      </c>
      <c r="V482" s="141">
        <f t="shared" si="39"/>
        <v>9.6000000000000002E-2</v>
      </c>
      <c r="W482" s="142">
        <f>IFERROR(INDEX('Price List'!$J$5:$J$74,MATCH(TRIM(J482)&amp;"|"&amp;TRIM(P482),'Price List'!$O$5:$O$74,0)),0)</f>
        <v>0.72</v>
      </c>
      <c r="X482" s="143">
        <f>IFERROR(INDEX('Price List'!$K$5:$K$74,MATCH(TRIM(J482)&amp;"|"&amp;TRIM(P482),'Price List'!$O$5:$O$74,0)),0)</f>
        <v>0.12</v>
      </c>
      <c r="Y482" s="141">
        <f t="shared" si="40"/>
        <v>0.80640000000000001</v>
      </c>
      <c r="Z482" s="141">
        <f t="shared" si="41"/>
        <v>2508.96509952</v>
      </c>
      <c r="AA482" s="134"/>
    </row>
    <row r="483" spans="1:27" ht="15" customHeight="1" x14ac:dyDescent="0.35">
      <c r="A483" s="134"/>
      <c r="B483" s="135"/>
      <c r="C483" s="134" t="s">
        <v>444</v>
      </c>
      <c r="D483" s="136" t="str">
        <f t="shared" si="38"/>
        <v>B.04</v>
      </c>
      <c r="E483" s="135" t="s">
        <v>414</v>
      </c>
      <c r="F483" s="135" t="s">
        <v>680</v>
      </c>
      <c r="G483" s="134" t="s">
        <v>31</v>
      </c>
      <c r="H483" s="134" t="s">
        <v>564</v>
      </c>
      <c r="I483" s="134" t="s">
        <v>657</v>
      </c>
      <c r="J483" s="134" t="s">
        <v>107</v>
      </c>
      <c r="K483" s="134"/>
      <c r="L483" s="134"/>
      <c r="M483" s="134"/>
      <c r="N483" s="134"/>
      <c r="O483" s="134"/>
      <c r="P483" s="135" t="s">
        <v>103</v>
      </c>
      <c r="Q483" s="137">
        <f t="shared" si="42"/>
        <v>194.3435253333333</v>
      </c>
      <c r="R483" s="137">
        <f>(R481+R482+R480+R479+R478+R477)*4%</f>
        <v>194.3435253333333</v>
      </c>
      <c r="S483" s="138"/>
      <c r="T483" s="139">
        <f>IFERROR(INDEX('Price List'!$G$5:$G$74,MATCH(TRIM(J483)&amp;"|"&amp;TRIM(P483),'Price List'!$O$5:$O$74,0)),0)</f>
        <v>0.05</v>
      </c>
      <c r="U483" s="140">
        <f>IFERROR(INDEX('Price List'!$H$5:$H$74,MATCH(TRIM(J483)&amp;"|"&amp;TRIM(P483),'Price List'!$O$5:$O$74,0)),0)</f>
        <v>0.2</v>
      </c>
      <c r="V483" s="141">
        <f t="shared" si="39"/>
        <v>0.06</v>
      </c>
      <c r="W483" s="142">
        <f>IFERROR(INDEX('Price List'!$J$5:$J$74,MATCH(TRIM(J483)&amp;"|"&amp;TRIM(P483),'Price List'!$O$5:$O$74,0)),0)</f>
        <v>1.2</v>
      </c>
      <c r="X483" s="143">
        <f>IFERROR(INDEX('Price List'!$K$5:$K$74,MATCH(TRIM(J483)&amp;"|"&amp;TRIM(P483),'Price List'!$O$5:$O$74,0)),0)</f>
        <v>0.12</v>
      </c>
      <c r="Y483" s="141">
        <f t="shared" si="40"/>
        <v>1.3440000000000001</v>
      </c>
      <c r="Z483" s="141">
        <f t="shared" si="41"/>
        <v>272.85830956799998</v>
      </c>
      <c r="AA483" s="134"/>
    </row>
    <row r="484" spans="1:27" ht="15" customHeight="1" x14ac:dyDescent="0.35">
      <c r="A484" s="134"/>
      <c r="B484" s="135"/>
      <c r="C484" s="134" t="s">
        <v>444</v>
      </c>
      <c r="D484" s="136" t="str">
        <f t="shared" si="38"/>
        <v>B.04</v>
      </c>
      <c r="E484" s="135" t="s">
        <v>414</v>
      </c>
      <c r="F484" s="135" t="s">
        <v>680</v>
      </c>
      <c r="G484" s="134" t="s">
        <v>31</v>
      </c>
      <c r="H484" s="134" t="s">
        <v>568</v>
      </c>
      <c r="I484" s="134" t="s">
        <v>512</v>
      </c>
      <c r="J484" s="145" t="s">
        <v>125</v>
      </c>
      <c r="K484" s="134"/>
      <c r="L484" s="134"/>
      <c r="M484" s="134"/>
      <c r="N484" s="134"/>
      <c r="O484" s="134"/>
      <c r="P484" s="135" t="s">
        <v>100</v>
      </c>
      <c r="Q484" s="137">
        <f t="shared" si="42"/>
        <v>22.574999999999999</v>
      </c>
      <c r="R484" s="137">
        <f>150.5*0.15</f>
        <v>22.574999999999999</v>
      </c>
      <c r="S484" s="138"/>
      <c r="T484" s="139">
        <f>IFERROR(INDEX('Price List'!$G$5:$G$74,MATCH(TRIM(J484)&amp;"|"&amp;TRIM(P484),'Price List'!$O$5:$O$74,0)),0)</f>
        <v>10</v>
      </c>
      <c r="U484" s="140">
        <f>IFERROR(INDEX('Price List'!$H$5:$H$74,MATCH(TRIM(J484)&amp;"|"&amp;TRIM(P484),'Price List'!$O$5:$O$74,0)),0)</f>
        <v>0.2</v>
      </c>
      <c r="V484" s="141">
        <f t="shared" si="39"/>
        <v>12</v>
      </c>
      <c r="W484" s="142">
        <f>IFERROR(INDEX('Price List'!$J$5:$J$74,MATCH(TRIM(J484)&amp;"|"&amp;TRIM(P484),'Price List'!$O$5:$O$74,0)),0)</f>
        <v>98</v>
      </c>
      <c r="X484" s="143">
        <f>IFERROR(INDEX('Price List'!$K$5:$K$74,MATCH(TRIM(J484)&amp;"|"&amp;TRIM(P484),'Price List'!$O$5:$O$74,0)),0)</f>
        <v>0.12</v>
      </c>
      <c r="Y484" s="141">
        <f t="shared" si="40"/>
        <v>109.76</v>
      </c>
      <c r="Z484" s="141">
        <f t="shared" si="41"/>
        <v>2748.732</v>
      </c>
      <c r="AA484" s="134"/>
    </row>
    <row r="485" spans="1:27" ht="15" customHeight="1" x14ac:dyDescent="0.35">
      <c r="A485" s="134"/>
      <c r="B485" s="135"/>
      <c r="C485" s="134" t="s">
        <v>444</v>
      </c>
      <c r="D485" s="136" t="str">
        <f t="shared" si="38"/>
        <v>B.04</v>
      </c>
      <c r="E485" s="135" t="s">
        <v>414</v>
      </c>
      <c r="F485" s="135" t="s">
        <v>680</v>
      </c>
      <c r="G485" s="134" t="s">
        <v>31</v>
      </c>
      <c r="H485" s="134" t="s">
        <v>568</v>
      </c>
      <c r="I485" s="144" t="s">
        <v>127</v>
      </c>
      <c r="J485" s="144" t="s">
        <v>127</v>
      </c>
      <c r="K485" s="144"/>
      <c r="L485" s="134"/>
      <c r="M485" s="134"/>
      <c r="N485" s="134"/>
      <c r="O485" s="134"/>
      <c r="P485" s="135" t="s">
        <v>128</v>
      </c>
      <c r="Q485" s="137">
        <f t="shared" si="42"/>
        <v>150.5</v>
      </c>
      <c r="R485" s="137">
        <v>150.5</v>
      </c>
      <c r="S485" s="138"/>
      <c r="T485" s="139">
        <f>IFERROR(INDEX('Price List'!$G$5:$G$74,MATCH(TRIM(J485)&amp;"|"&amp;TRIM(P485),'Price List'!$O$5:$O$74,0)),0)</f>
        <v>6</v>
      </c>
      <c r="U485" s="140">
        <f>IFERROR(INDEX('Price List'!$H$5:$H$74,MATCH(TRIM(J485)&amp;"|"&amp;TRIM(P485),'Price List'!$O$5:$O$74,0)),0)</f>
        <v>0.2</v>
      </c>
      <c r="V485" s="141">
        <f t="shared" si="39"/>
        <v>7.1999999999999993</v>
      </c>
      <c r="W485" s="142">
        <f>IFERROR(INDEX('Price List'!$J$5:$J$74,MATCH(TRIM(J485)&amp;"|"&amp;TRIM(P485),'Price List'!$O$5:$O$74,0)),0)</f>
        <v>5</v>
      </c>
      <c r="X485" s="143">
        <f>IFERROR(INDEX('Price List'!$K$5:$K$74,MATCH(TRIM(J485)&amp;"|"&amp;TRIM(P485),'Price List'!$O$5:$O$74,0)),0)</f>
        <v>0.12</v>
      </c>
      <c r="Y485" s="141">
        <f t="shared" si="40"/>
        <v>5.6000000000000005</v>
      </c>
      <c r="Z485" s="141">
        <f t="shared" si="41"/>
        <v>1926.4</v>
      </c>
      <c r="AA485" s="134"/>
    </row>
    <row r="486" spans="1:27" ht="15" customHeight="1" x14ac:dyDescent="0.35">
      <c r="A486" s="134"/>
      <c r="B486" s="135"/>
      <c r="C486" s="134" t="s">
        <v>444</v>
      </c>
      <c r="D486" s="136" t="str">
        <f t="shared" si="38"/>
        <v>B.04</v>
      </c>
      <c r="E486" s="135" t="s">
        <v>414</v>
      </c>
      <c r="F486" s="135" t="s">
        <v>680</v>
      </c>
      <c r="G486" s="134" t="s">
        <v>31</v>
      </c>
      <c r="H486" s="134" t="s">
        <v>568</v>
      </c>
      <c r="I486" s="134" t="s">
        <v>513</v>
      </c>
      <c r="J486" s="144" t="s">
        <v>102</v>
      </c>
      <c r="K486" s="134"/>
      <c r="L486" s="134"/>
      <c r="M486" s="134"/>
      <c r="N486" s="134"/>
      <c r="O486" s="134"/>
      <c r="P486" s="135" t="s">
        <v>103</v>
      </c>
      <c r="Q486" s="137">
        <f t="shared" si="42"/>
        <v>2934.75</v>
      </c>
      <c r="R486" s="137">
        <f>(R484*130)</f>
        <v>2934.75</v>
      </c>
      <c r="S486" s="138"/>
      <c r="T486" s="139">
        <f>IFERROR(INDEX('Price List'!$G$5:$G$74,MATCH(TRIM(J486)&amp;"|"&amp;TRIM(P486),'Price List'!$O$5:$O$74,0)),0)</f>
        <v>0.12</v>
      </c>
      <c r="U486" s="140">
        <f>IFERROR(INDEX('Price List'!$H$5:$H$74,MATCH(TRIM(J486)&amp;"|"&amp;TRIM(P486),'Price List'!$O$5:$O$74,0)),0)</f>
        <v>0.2</v>
      </c>
      <c r="V486" s="141">
        <f t="shared" si="39"/>
        <v>0.14399999999999999</v>
      </c>
      <c r="W486" s="142">
        <f>IFERROR(INDEX('Price List'!$J$5:$J$74,MATCH(TRIM(J486)&amp;"|"&amp;TRIM(P486),'Price List'!$O$5:$O$74,0)),0)</f>
        <v>0.78</v>
      </c>
      <c r="X486" s="143">
        <f>IFERROR(INDEX('Price List'!$K$5:$K$74,MATCH(TRIM(J486)&amp;"|"&amp;TRIM(P486),'Price List'!$O$5:$O$74,0)),0)</f>
        <v>0.12</v>
      </c>
      <c r="Y486" s="141">
        <f t="shared" si="40"/>
        <v>0.87360000000000015</v>
      </c>
      <c r="Z486" s="141">
        <f t="shared" si="41"/>
        <v>2986.4016000000001</v>
      </c>
      <c r="AA486" s="134"/>
    </row>
    <row r="487" spans="1:27" ht="15" customHeight="1" x14ac:dyDescent="0.35">
      <c r="A487" s="134"/>
      <c r="B487" s="135"/>
      <c r="C487" s="134" t="s">
        <v>444</v>
      </c>
      <c r="D487" s="136" t="str">
        <f t="shared" si="38"/>
        <v>B.04</v>
      </c>
      <c r="E487" s="135" t="s">
        <v>414</v>
      </c>
      <c r="F487" s="135" t="s">
        <v>680</v>
      </c>
      <c r="G487" s="134" t="s">
        <v>31</v>
      </c>
      <c r="H487" s="134" t="s">
        <v>568</v>
      </c>
      <c r="I487" s="134" t="s">
        <v>657</v>
      </c>
      <c r="J487" s="134" t="s">
        <v>107</v>
      </c>
      <c r="K487" s="134"/>
      <c r="L487" s="134"/>
      <c r="M487" s="134"/>
      <c r="N487" s="134"/>
      <c r="O487" s="134"/>
      <c r="P487" s="135" t="s">
        <v>103</v>
      </c>
      <c r="Q487" s="137">
        <f t="shared" si="42"/>
        <v>117.39</v>
      </c>
      <c r="R487" s="137">
        <f>(R486)*4%</f>
        <v>117.39</v>
      </c>
      <c r="S487" s="138"/>
      <c r="T487" s="139">
        <f>IFERROR(INDEX('Price List'!$G$5:$G$74,MATCH(TRIM(J487)&amp;"|"&amp;TRIM(P487),'Price List'!$O$5:$O$74,0)),0)</f>
        <v>0.05</v>
      </c>
      <c r="U487" s="140">
        <f>IFERROR(INDEX('Price List'!$H$5:$H$74,MATCH(TRIM(J487)&amp;"|"&amp;TRIM(P487),'Price List'!$O$5:$O$74,0)),0)</f>
        <v>0.2</v>
      </c>
      <c r="V487" s="141">
        <f t="shared" si="39"/>
        <v>0.06</v>
      </c>
      <c r="W487" s="142">
        <f>IFERROR(INDEX('Price List'!$J$5:$J$74,MATCH(TRIM(J487)&amp;"|"&amp;TRIM(P487),'Price List'!$O$5:$O$74,0)),0)</f>
        <v>1.2</v>
      </c>
      <c r="X487" s="143">
        <f>IFERROR(INDEX('Price List'!$K$5:$K$74,MATCH(TRIM(J487)&amp;"|"&amp;TRIM(P487),'Price List'!$O$5:$O$74,0)),0)</f>
        <v>0.12</v>
      </c>
      <c r="Y487" s="141">
        <f t="shared" si="40"/>
        <v>1.3440000000000001</v>
      </c>
      <c r="Z487" s="141">
        <f t="shared" si="41"/>
        <v>164.81556</v>
      </c>
      <c r="AA487" s="134"/>
    </row>
    <row r="488" spans="1:27" ht="15" customHeight="1" x14ac:dyDescent="0.25">
      <c r="A488" s="134"/>
      <c r="B488" s="134"/>
      <c r="C488" s="134" t="s">
        <v>444</v>
      </c>
      <c r="D488" s="146" t="str">
        <f t="shared" si="38"/>
        <v>B.04</v>
      </c>
      <c r="E488" s="135" t="s">
        <v>414</v>
      </c>
      <c r="F488" s="135" t="s">
        <v>680</v>
      </c>
      <c r="G488" s="134" t="s">
        <v>31</v>
      </c>
      <c r="H488" s="134" t="s">
        <v>681</v>
      </c>
      <c r="I488" s="134" t="s">
        <v>682</v>
      </c>
      <c r="J488" s="134" t="s">
        <v>233</v>
      </c>
      <c r="K488" s="134"/>
      <c r="L488" s="134"/>
      <c r="M488" s="134"/>
      <c r="N488" s="134"/>
      <c r="O488" s="134"/>
      <c r="P488" s="135" t="s">
        <v>234</v>
      </c>
      <c r="Q488" s="137">
        <f t="shared" si="42"/>
        <v>120</v>
      </c>
      <c r="R488" s="137">
        <f>6*20</f>
        <v>120</v>
      </c>
      <c r="S488" s="147"/>
      <c r="T488" s="139">
        <f>IFERROR(INDEX('Price List'!$G$5:$G$74,MATCH(TRIM(J488)&amp;"|"&amp;TRIM(P488),'Price List'!$O$5:$O$74,0)),0)</f>
        <v>0.5</v>
      </c>
      <c r="U488" s="140">
        <f>IFERROR(INDEX('Price List'!$H$5:$H$74,MATCH(TRIM(J488)&amp;"|"&amp;TRIM(P488),'Price List'!$O$5:$O$74,0)),0)</f>
        <v>0.2</v>
      </c>
      <c r="V488" s="141">
        <f t="shared" si="39"/>
        <v>0.6</v>
      </c>
      <c r="W488" s="142">
        <f>IFERROR(INDEX('Price List'!$J$5:$J$74,MATCH(TRIM(J488)&amp;"|"&amp;TRIM(P488),'Price List'!$O$5:$O$74,0)),0)</f>
        <v>2</v>
      </c>
      <c r="X488" s="143">
        <f>IFERROR(INDEX('Price List'!$K$5:$K$74,MATCH(TRIM(J488)&amp;"|"&amp;TRIM(P488),'Price List'!$O$5:$O$74,0)),0)</f>
        <v>0.12</v>
      </c>
      <c r="Y488" s="141">
        <f t="shared" si="40"/>
        <v>2.2400000000000002</v>
      </c>
      <c r="Z488" s="141">
        <f t="shared" si="41"/>
        <v>340.8</v>
      </c>
      <c r="AA488" s="134"/>
    </row>
    <row r="489" spans="1:27" ht="15" customHeight="1" x14ac:dyDescent="0.25">
      <c r="A489" s="134"/>
      <c r="B489" s="134"/>
      <c r="C489" s="134" t="s">
        <v>444</v>
      </c>
      <c r="D489" s="146" t="str">
        <f t="shared" si="38"/>
        <v>B.04</v>
      </c>
      <c r="E489" s="135" t="s">
        <v>414</v>
      </c>
      <c r="F489" s="135" t="s">
        <v>680</v>
      </c>
      <c r="G489" s="134" t="s">
        <v>31</v>
      </c>
      <c r="H489" s="134" t="s">
        <v>681</v>
      </c>
      <c r="I489" s="134" t="s">
        <v>683</v>
      </c>
      <c r="J489" s="144" t="s">
        <v>236</v>
      </c>
      <c r="K489" s="134"/>
      <c r="L489" s="134"/>
      <c r="M489" s="134"/>
      <c r="N489" s="134"/>
      <c r="O489" s="134"/>
      <c r="P489" s="135" t="s">
        <v>234</v>
      </c>
      <c r="Q489" s="137">
        <f t="shared" si="42"/>
        <v>120</v>
      </c>
      <c r="R489" s="137">
        <v>120</v>
      </c>
      <c r="S489" s="147"/>
      <c r="T489" s="139">
        <f>IFERROR(INDEX('Price List'!$G$5:$G$74,MATCH(TRIM(J489)&amp;"|"&amp;TRIM(P489),'Price List'!$O$5:$O$74,0)),0)</f>
        <v>2</v>
      </c>
      <c r="U489" s="140">
        <f>IFERROR(INDEX('Price List'!$H$5:$H$74,MATCH(TRIM(J489)&amp;"|"&amp;TRIM(P489),'Price List'!$O$5:$O$74,0)),0)</f>
        <v>0.2</v>
      </c>
      <c r="V489" s="141">
        <f t="shared" si="39"/>
        <v>2.4</v>
      </c>
      <c r="W489" s="142">
        <f>IFERROR(INDEX('Price List'!$J$5:$J$74,MATCH(TRIM(J489)&amp;"|"&amp;TRIM(P489),'Price List'!$O$5:$O$74,0)),0)</f>
        <v>5.5</v>
      </c>
      <c r="X489" s="143">
        <f>IFERROR(INDEX('Price List'!$K$5:$K$74,MATCH(TRIM(J489)&amp;"|"&amp;TRIM(P489),'Price List'!$O$5:$O$74,0)),0)</f>
        <v>0.12</v>
      </c>
      <c r="Y489" s="141">
        <f t="shared" si="40"/>
        <v>6.16</v>
      </c>
      <c r="Z489" s="141">
        <f t="shared" si="41"/>
        <v>1027.2</v>
      </c>
      <c r="AA489" s="134"/>
    </row>
    <row r="490" spans="1:27" ht="15" customHeight="1" x14ac:dyDescent="0.25">
      <c r="A490" s="134"/>
      <c r="B490" s="134"/>
      <c r="C490" s="134" t="s">
        <v>444</v>
      </c>
      <c r="D490" s="146" t="str">
        <f t="shared" si="38"/>
        <v>B.04</v>
      </c>
      <c r="E490" s="135" t="s">
        <v>414</v>
      </c>
      <c r="F490" s="135" t="s">
        <v>680</v>
      </c>
      <c r="G490" s="134" t="s">
        <v>31</v>
      </c>
      <c r="H490" s="134" t="s">
        <v>681</v>
      </c>
      <c r="I490" s="134" t="s">
        <v>684</v>
      </c>
      <c r="J490" s="134" t="s">
        <v>238</v>
      </c>
      <c r="K490" s="134"/>
      <c r="L490" s="134"/>
      <c r="M490" s="134"/>
      <c r="N490" s="134"/>
      <c r="O490" s="134"/>
      <c r="P490" s="135" t="s">
        <v>128</v>
      </c>
      <c r="Q490" s="137">
        <f t="shared" si="42"/>
        <v>485</v>
      </c>
      <c r="R490" s="148">
        <v>485</v>
      </c>
      <c r="S490" s="147"/>
      <c r="T490" s="139">
        <f>IFERROR(INDEX('Price List'!$G$5:$G$74,MATCH(TRIM(J490)&amp;"|"&amp;TRIM(P490),'Price List'!$O$5:$O$74,0)),0)</f>
        <v>2</v>
      </c>
      <c r="U490" s="140">
        <f>IFERROR(INDEX('Price List'!$H$5:$H$74,MATCH(TRIM(J490)&amp;"|"&amp;TRIM(P490),'Price List'!$O$5:$O$74,0)),0)</f>
        <v>0.2</v>
      </c>
      <c r="V490" s="141">
        <f t="shared" si="39"/>
        <v>2.4</v>
      </c>
      <c r="W490" s="142">
        <f>IFERROR(INDEX('Price List'!$J$5:$J$74,MATCH(TRIM(J490)&amp;"|"&amp;TRIM(P490),'Price List'!$O$5:$O$74,0)),0)</f>
        <v>5.5</v>
      </c>
      <c r="X490" s="143">
        <f>IFERROR(INDEX('Price List'!$K$5:$K$74,MATCH(TRIM(J490)&amp;"|"&amp;TRIM(P490),'Price List'!$O$5:$O$74,0)),0)</f>
        <v>0.12</v>
      </c>
      <c r="Y490" s="141">
        <f t="shared" si="40"/>
        <v>6.16</v>
      </c>
      <c r="Z490" s="141">
        <f t="shared" si="41"/>
        <v>4151.6000000000004</v>
      </c>
      <c r="AA490" s="134"/>
    </row>
    <row r="491" spans="1:27" ht="15" customHeight="1" x14ac:dyDescent="0.25">
      <c r="A491" s="134"/>
      <c r="B491" s="134"/>
      <c r="C491" s="134" t="s">
        <v>444</v>
      </c>
      <c r="D491" s="146" t="str">
        <f t="shared" si="38"/>
        <v>B.04</v>
      </c>
      <c r="E491" s="135" t="s">
        <v>414</v>
      </c>
      <c r="F491" s="135" t="s">
        <v>680</v>
      </c>
      <c r="G491" s="134" t="s">
        <v>31</v>
      </c>
      <c r="H491" s="134" t="s">
        <v>681</v>
      </c>
      <c r="I491" s="134" t="s">
        <v>685</v>
      </c>
      <c r="J491" s="134" t="s">
        <v>240</v>
      </c>
      <c r="K491" s="134"/>
      <c r="L491" s="134"/>
      <c r="M491" s="134"/>
      <c r="N491" s="134"/>
      <c r="O491" s="134"/>
      <c r="P491" s="135" t="s">
        <v>110</v>
      </c>
      <c r="Q491" s="137">
        <f t="shared" si="42"/>
        <v>235</v>
      </c>
      <c r="R491" s="148">
        <v>235</v>
      </c>
      <c r="S491" s="147"/>
      <c r="T491" s="139">
        <f>IFERROR(INDEX('Price List'!$G$5:$G$74,MATCH(TRIM(J491)&amp;"|"&amp;TRIM(P491),'Price List'!$O$5:$O$74,0)),0)</f>
        <v>0.5</v>
      </c>
      <c r="U491" s="140">
        <f>IFERROR(INDEX('Price List'!$H$5:$H$74,MATCH(TRIM(J491)&amp;"|"&amp;TRIM(P491),'Price List'!$O$5:$O$74,0)),0)</f>
        <v>0.2</v>
      </c>
      <c r="V491" s="141">
        <f t="shared" si="39"/>
        <v>0.6</v>
      </c>
      <c r="W491" s="142">
        <f>IFERROR(INDEX('Price List'!$J$5:$J$74,MATCH(TRIM(J491)&amp;"|"&amp;TRIM(P491),'Price List'!$O$5:$O$74,0)),0)</f>
        <v>1.2</v>
      </c>
      <c r="X491" s="143">
        <f>IFERROR(INDEX('Price List'!$K$5:$K$74,MATCH(TRIM(J491)&amp;"|"&amp;TRIM(P491),'Price List'!$O$5:$O$74,0)),0)</f>
        <v>0.12</v>
      </c>
      <c r="Y491" s="141">
        <f t="shared" si="40"/>
        <v>1.3440000000000001</v>
      </c>
      <c r="Z491" s="141">
        <f t="shared" si="41"/>
        <v>456.84</v>
      </c>
      <c r="AA491" s="134"/>
    </row>
    <row r="492" spans="1:27" ht="15" customHeight="1" x14ac:dyDescent="0.25">
      <c r="A492" s="134"/>
      <c r="B492" s="134"/>
      <c r="C492" s="134" t="s">
        <v>444</v>
      </c>
      <c r="D492" s="146" t="str">
        <f t="shared" si="38"/>
        <v>B.04</v>
      </c>
      <c r="E492" s="135" t="s">
        <v>414</v>
      </c>
      <c r="F492" s="135" t="s">
        <v>680</v>
      </c>
      <c r="G492" s="134" t="s">
        <v>31</v>
      </c>
      <c r="H492" s="134" t="s">
        <v>681</v>
      </c>
      <c r="I492" s="134" t="s">
        <v>686</v>
      </c>
      <c r="J492" s="134" t="s">
        <v>242</v>
      </c>
      <c r="K492" s="134"/>
      <c r="L492" s="134"/>
      <c r="M492" s="134"/>
      <c r="N492" s="134"/>
      <c r="O492" s="134"/>
      <c r="P492" s="135" t="s">
        <v>110</v>
      </c>
      <c r="Q492" s="137">
        <f t="shared" si="42"/>
        <v>775.88</v>
      </c>
      <c r="R492" s="148">
        <f>'main truss'!K82</f>
        <v>775.88</v>
      </c>
      <c r="S492" s="147"/>
      <c r="T492" s="139">
        <f>IFERROR(INDEX('Price List'!$G$5:$G$74,MATCH(TRIM(J492)&amp;"|"&amp;TRIM(P492),'Price List'!$O$5:$O$74,0)),0)</f>
        <v>3</v>
      </c>
      <c r="U492" s="140">
        <f>IFERROR(INDEX('Price List'!$H$5:$H$74,MATCH(TRIM(J492)&amp;"|"&amp;TRIM(P492),'Price List'!$O$5:$O$74,0)),0)</f>
        <v>0.2</v>
      </c>
      <c r="V492" s="141">
        <f t="shared" si="39"/>
        <v>3.5999999999999996</v>
      </c>
      <c r="W492" s="142">
        <f>IFERROR(INDEX('Price List'!$J$5:$J$74,MATCH(TRIM(J492)&amp;"|"&amp;TRIM(P492),'Price List'!$O$5:$O$74,0)),0)</f>
        <v>8.5</v>
      </c>
      <c r="X492" s="143">
        <f>IFERROR(INDEX('Price List'!$K$5:$K$74,MATCH(TRIM(J492)&amp;"|"&amp;TRIM(P492),'Price List'!$O$5:$O$74,0)),0)</f>
        <v>0.12</v>
      </c>
      <c r="Y492" s="141">
        <f t="shared" si="40"/>
        <v>9.5200000000000014</v>
      </c>
      <c r="Z492" s="141">
        <f t="shared" si="41"/>
        <v>10179.545600000001</v>
      </c>
      <c r="AA492" s="134"/>
    </row>
    <row r="493" spans="1:27" ht="15" customHeight="1" x14ac:dyDescent="0.25">
      <c r="A493" s="134"/>
      <c r="B493" s="134"/>
      <c r="C493" s="134" t="s">
        <v>444</v>
      </c>
      <c r="D493" s="146" t="str">
        <f t="shared" si="38"/>
        <v>B.04</v>
      </c>
      <c r="E493" s="135" t="s">
        <v>414</v>
      </c>
      <c r="F493" s="135" t="s">
        <v>680</v>
      </c>
      <c r="G493" s="134" t="s">
        <v>31</v>
      </c>
      <c r="H493" s="134" t="s">
        <v>681</v>
      </c>
      <c r="I493" s="134" t="s">
        <v>687</v>
      </c>
      <c r="J493" s="134" t="s">
        <v>244</v>
      </c>
      <c r="K493" s="134"/>
      <c r="L493" s="134"/>
      <c r="M493" s="134"/>
      <c r="N493" s="134"/>
      <c r="O493" s="134"/>
      <c r="P493" s="135" t="s">
        <v>110</v>
      </c>
      <c r="Q493" s="137">
        <f t="shared" si="42"/>
        <v>691.57999999999993</v>
      </c>
      <c r="R493" s="148">
        <f>'main truss'!K83</f>
        <v>691.57999999999993</v>
      </c>
      <c r="S493" s="147"/>
      <c r="T493" s="139">
        <f>IFERROR(INDEX('Price List'!$G$5:$G$74,MATCH(TRIM(J493)&amp;"|"&amp;TRIM(P493),'Price List'!$O$5:$O$74,0)),0)</f>
        <v>2.5</v>
      </c>
      <c r="U493" s="140">
        <f>IFERROR(INDEX('Price List'!$H$5:$H$74,MATCH(TRIM(J493)&amp;"|"&amp;TRIM(P493),'Price List'!$O$5:$O$74,0)),0)</f>
        <v>0.2</v>
      </c>
      <c r="V493" s="141">
        <f t="shared" si="39"/>
        <v>3</v>
      </c>
      <c r="W493" s="142">
        <f>IFERROR(INDEX('Price List'!$J$5:$J$74,MATCH(TRIM(J493)&amp;"|"&amp;TRIM(P493),'Price List'!$O$5:$O$74,0)),0)</f>
        <v>5.5</v>
      </c>
      <c r="X493" s="143">
        <f>IFERROR(INDEX('Price List'!$K$5:$K$74,MATCH(TRIM(J493)&amp;"|"&amp;TRIM(P493),'Price List'!$O$5:$O$74,0)),0)</f>
        <v>0.12</v>
      </c>
      <c r="Y493" s="141">
        <f t="shared" si="40"/>
        <v>6.16</v>
      </c>
      <c r="Z493" s="141">
        <f t="shared" si="41"/>
        <v>6334.8727999999992</v>
      </c>
      <c r="AA493" s="134"/>
    </row>
    <row r="494" spans="1:27" ht="15" customHeight="1" x14ac:dyDescent="0.25">
      <c r="A494" s="134"/>
      <c r="B494" s="134"/>
      <c r="C494" s="134" t="s">
        <v>444</v>
      </c>
      <c r="D494" s="146" t="str">
        <f t="shared" si="38"/>
        <v>B.04</v>
      </c>
      <c r="E494" s="135" t="s">
        <v>414</v>
      </c>
      <c r="F494" s="135" t="s">
        <v>680</v>
      </c>
      <c r="G494" s="134" t="s">
        <v>31</v>
      </c>
      <c r="H494" s="134" t="s">
        <v>681</v>
      </c>
      <c r="I494" s="134" t="s">
        <v>688</v>
      </c>
      <c r="J494" s="134" t="s">
        <v>246</v>
      </c>
      <c r="K494" s="134"/>
      <c r="L494" s="134"/>
      <c r="M494" s="134"/>
      <c r="N494" s="134"/>
      <c r="O494" s="134"/>
      <c r="P494" s="135" t="s">
        <v>110</v>
      </c>
      <c r="Q494" s="148">
        <f t="shared" si="42"/>
        <v>103.8</v>
      </c>
      <c r="R494" s="148">
        <f>7.8+(24*4)</f>
        <v>103.8</v>
      </c>
      <c r="S494" s="147"/>
      <c r="T494" s="139">
        <f>IFERROR(INDEX('Price List'!$G$5:$G$74,MATCH(TRIM(J494)&amp;"|"&amp;TRIM(P494),'Price List'!$O$5:$O$74,0)),0)</f>
        <v>1</v>
      </c>
      <c r="U494" s="140">
        <f>IFERROR(INDEX('Price List'!$H$5:$H$74,MATCH(TRIM(J494)&amp;"|"&amp;TRIM(P494),'Price List'!$O$5:$O$74,0)),0)</f>
        <v>0.2</v>
      </c>
      <c r="V494" s="141">
        <f t="shared" si="39"/>
        <v>1.2</v>
      </c>
      <c r="W494" s="142">
        <f>IFERROR(INDEX('Price List'!$J$5:$J$74,MATCH(TRIM(J494)&amp;"|"&amp;TRIM(P494),'Price List'!$O$5:$O$74,0)),0)</f>
        <v>2.5</v>
      </c>
      <c r="X494" s="143">
        <f>IFERROR(INDEX('Price List'!$K$5:$K$74,MATCH(TRIM(J494)&amp;"|"&amp;TRIM(P494),'Price List'!$O$5:$O$74,0)),0)</f>
        <v>0.12</v>
      </c>
      <c r="Y494" s="141">
        <f t="shared" si="40"/>
        <v>2.8000000000000003</v>
      </c>
      <c r="Z494" s="141">
        <f t="shared" si="41"/>
        <v>415.2</v>
      </c>
      <c r="AA494" s="134"/>
    </row>
    <row r="495" spans="1:27" ht="15" customHeight="1" x14ac:dyDescent="0.35">
      <c r="A495" s="134"/>
      <c r="B495" s="134"/>
      <c r="C495" s="134" t="s">
        <v>689</v>
      </c>
      <c r="D495" s="136" t="str">
        <f t="shared" si="38"/>
        <v>C.01</v>
      </c>
      <c r="E495" s="135" t="s">
        <v>414</v>
      </c>
      <c r="F495" s="135" t="s">
        <v>664</v>
      </c>
      <c r="G495" s="134" t="s">
        <v>690</v>
      </c>
      <c r="H495" s="134" t="s">
        <v>691</v>
      </c>
      <c r="I495" s="134" t="s">
        <v>692</v>
      </c>
      <c r="J495" s="144" t="s">
        <v>252</v>
      </c>
      <c r="K495" s="134"/>
      <c r="L495" s="134"/>
      <c r="M495" s="134"/>
      <c r="N495" s="134"/>
      <c r="O495" s="134"/>
      <c r="P495" s="135" t="s">
        <v>128</v>
      </c>
      <c r="Q495" s="148">
        <v>19.193999999999999</v>
      </c>
      <c r="R495" s="148">
        <v>19.193999999999999</v>
      </c>
      <c r="S495" s="135"/>
      <c r="T495" s="149">
        <f>IFERROR(INDEX('Price List'!$G$5:$G$74,MATCH(TRIM(J495)&amp;"|"&amp;TRIM(P495),'Price List'!$O$5:$O$74,0)),0)</f>
        <v>8.5</v>
      </c>
      <c r="U495" s="150">
        <f>IFERROR(INDEX('Price List'!$H$5:$H$74,MATCH(TRIM(J495)&amp;"|"&amp;TRIM(P495),'Price List'!$O$5:$O$74,0)),0)</f>
        <v>0.2</v>
      </c>
      <c r="V495" s="141">
        <f t="shared" si="39"/>
        <v>10.199999999999999</v>
      </c>
      <c r="W495" s="151">
        <f>IFERROR(INDEX('Price List'!$J$5:$J$74,MATCH(TRIM(J495)&amp;"|"&amp;TRIM(P495),'Price List'!$O$5:$O$74,0)),0)</f>
        <v>25</v>
      </c>
      <c r="X495" s="152">
        <f>IFERROR(INDEX('Price List'!$K$5:$K$74,MATCH(TRIM(J495)&amp;"|"&amp;TRIM(P495),'Price List'!$O$5:$O$74,0)),0)</f>
        <v>0.12</v>
      </c>
      <c r="Y495" s="141">
        <f t="shared" si="40"/>
        <v>28.000000000000004</v>
      </c>
      <c r="Z495" s="141">
        <f t="shared" si="41"/>
        <v>733.21080000000006</v>
      </c>
      <c r="AA495" s="134"/>
    </row>
    <row r="496" spans="1:27" ht="15" customHeight="1" x14ac:dyDescent="0.35">
      <c r="A496" s="134"/>
      <c r="B496" s="134"/>
      <c r="C496" s="134" t="s">
        <v>689</v>
      </c>
      <c r="D496" s="136" t="str">
        <f t="shared" si="38"/>
        <v>C.01</v>
      </c>
      <c r="E496" s="135" t="s">
        <v>414</v>
      </c>
      <c r="F496" s="135" t="s">
        <v>664</v>
      </c>
      <c r="G496" s="134" t="s">
        <v>690</v>
      </c>
      <c r="H496" s="134" t="s">
        <v>691</v>
      </c>
      <c r="I496" s="134" t="s">
        <v>693</v>
      </c>
      <c r="J496" s="144" t="s">
        <v>254</v>
      </c>
      <c r="K496" s="134"/>
      <c r="L496" s="134"/>
      <c r="M496" s="134"/>
      <c r="N496" s="134"/>
      <c r="O496" s="134"/>
      <c r="P496" s="135" t="s">
        <v>128</v>
      </c>
      <c r="Q496" s="148">
        <v>87.927000000000007</v>
      </c>
      <c r="R496" s="148">
        <v>87.927000000000007</v>
      </c>
      <c r="S496" s="135"/>
      <c r="T496" s="149">
        <f>IFERROR(INDEX('Price List'!$G$5:$G$74,MATCH(TRIM(J496)&amp;"|"&amp;TRIM(P496),'Price List'!$O$5:$O$74,0)),0)</f>
        <v>4.5</v>
      </c>
      <c r="U496" s="150">
        <f>IFERROR(INDEX('Price List'!$H$5:$H$74,MATCH(TRIM(J496)&amp;"|"&amp;TRIM(P496),'Price List'!$O$5:$O$74,0)),0)</f>
        <v>0.2</v>
      </c>
      <c r="V496" s="141">
        <f t="shared" si="39"/>
        <v>5.3999999999999995</v>
      </c>
      <c r="W496" s="151">
        <f>IFERROR(INDEX('Price List'!$J$5:$J$74,MATCH(TRIM(J496)&amp;"|"&amp;TRIM(P496),'Price List'!$O$5:$O$74,0)),0)</f>
        <v>11</v>
      </c>
      <c r="X496" s="152">
        <f>IFERROR(INDEX('Price List'!$K$5:$K$74,MATCH(TRIM(J496)&amp;"|"&amp;TRIM(P496),'Price List'!$O$5:$O$74,0)),0)</f>
        <v>0.12</v>
      </c>
      <c r="Y496" s="141">
        <f t="shared" si="40"/>
        <v>12.32</v>
      </c>
      <c r="Z496" s="141">
        <f t="shared" si="41"/>
        <v>1558.0664400000001</v>
      </c>
      <c r="AA496" s="134"/>
    </row>
    <row r="497" spans="1:27" ht="12" customHeight="1" x14ac:dyDescent="0.35">
      <c r="A497" s="134"/>
      <c r="B497" s="134"/>
      <c r="C497" s="134" t="s">
        <v>689</v>
      </c>
      <c r="D497" s="136" t="str">
        <f t="shared" si="38"/>
        <v>C.09</v>
      </c>
      <c r="E497" s="135" t="s">
        <v>414</v>
      </c>
      <c r="F497" s="135" t="s">
        <v>664</v>
      </c>
      <c r="G497" s="134" t="s">
        <v>694</v>
      </c>
      <c r="H497" s="134" t="s">
        <v>691</v>
      </c>
      <c r="I497" s="134" t="s">
        <v>695</v>
      </c>
      <c r="J497" s="144" t="s">
        <v>297</v>
      </c>
      <c r="K497" s="134"/>
      <c r="L497" s="134"/>
      <c r="M497" s="134"/>
      <c r="N497" s="134"/>
      <c r="O497" s="134"/>
      <c r="P497" s="135" t="s">
        <v>128</v>
      </c>
      <c r="Q497" s="148">
        <v>84.012</v>
      </c>
      <c r="R497" s="148">
        <v>84.012</v>
      </c>
      <c r="S497" s="135"/>
      <c r="T497" s="149">
        <f>IFERROR(INDEX('Price List'!$G$5:$G$74,MATCH(TRIM(J497)&amp;"|"&amp;TRIM(P497),'Price List'!$O$5:$O$74,0)),0)</f>
        <v>3</v>
      </c>
      <c r="U497" s="150">
        <f>IFERROR(INDEX('Price List'!$H$5:$H$74,MATCH(TRIM(J497)&amp;"|"&amp;TRIM(P497),'Price List'!$O$5:$O$74,0)),0)</f>
        <v>0.2</v>
      </c>
      <c r="V497" s="141">
        <f t="shared" si="39"/>
        <v>3.5999999999999996</v>
      </c>
      <c r="W497" s="151">
        <f>IFERROR(INDEX('Price List'!$J$5:$J$74,MATCH(TRIM(J497)&amp;"|"&amp;TRIM(P497),'Price List'!$O$5:$O$74,0)),0)</f>
        <v>6</v>
      </c>
      <c r="X497" s="152">
        <f>IFERROR(INDEX('Price List'!$K$5:$K$74,MATCH(TRIM(J497)&amp;"|"&amp;TRIM(P497),'Price List'!$O$5:$O$74,0)),0)</f>
        <v>0.12</v>
      </c>
      <c r="Y497" s="141">
        <f t="shared" si="40"/>
        <v>6.7200000000000006</v>
      </c>
      <c r="Z497" s="141">
        <f t="shared" si="41"/>
        <v>867.00384000000008</v>
      </c>
      <c r="AA497" s="134"/>
    </row>
    <row r="498" spans="1:27" ht="12" customHeight="1" x14ac:dyDescent="0.35">
      <c r="A498" s="134"/>
      <c r="B498" s="134"/>
      <c r="C498" s="134" t="s">
        <v>689</v>
      </c>
      <c r="D498" s="136" t="str">
        <f t="shared" si="38"/>
        <v>C.09</v>
      </c>
      <c r="E498" s="135" t="s">
        <v>414</v>
      </c>
      <c r="F498" s="135" t="s">
        <v>664</v>
      </c>
      <c r="G498" s="134" t="s">
        <v>694</v>
      </c>
      <c r="H498" s="134" t="s">
        <v>691</v>
      </c>
      <c r="I498" s="134" t="s">
        <v>693</v>
      </c>
      <c r="J498" s="144" t="s">
        <v>254</v>
      </c>
      <c r="K498" s="134"/>
      <c r="L498" s="134"/>
      <c r="M498" s="134"/>
      <c r="N498" s="134"/>
      <c r="O498" s="134"/>
      <c r="P498" s="135" t="s">
        <v>128</v>
      </c>
      <c r="Q498" s="148">
        <v>28.896000000000001</v>
      </c>
      <c r="R498" s="148">
        <v>28.896000000000001</v>
      </c>
      <c r="S498" s="135"/>
      <c r="T498" s="149">
        <f>IFERROR(INDEX('Price List'!$G$5:$G$74,MATCH(TRIM(J498)&amp;"|"&amp;TRIM(P498),'Price List'!$O$5:$O$74,0)),0)</f>
        <v>4.5</v>
      </c>
      <c r="U498" s="150">
        <f>IFERROR(INDEX('Price List'!$H$5:$H$74,MATCH(TRIM(J498)&amp;"|"&amp;TRIM(P498),'Price List'!$O$5:$O$74,0)),0)</f>
        <v>0.2</v>
      </c>
      <c r="V498" s="141">
        <f t="shared" si="39"/>
        <v>5.3999999999999995</v>
      </c>
      <c r="W498" s="151">
        <f>IFERROR(INDEX('Price List'!$J$5:$J$74,MATCH(TRIM(J498)&amp;"|"&amp;TRIM(P498),'Price List'!$O$5:$O$74,0)),0)</f>
        <v>11</v>
      </c>
      <c r="X498" s="152">
        <f>IFERROR(INDEX('Price List'!$K$5:$K$74,MATCH(TRIM(J498)&amp;"|"&amp;TRIM(P498),'Price List'!$O$5:$O$74,0)),0)</f>
        <v>0.12</v>
      </c>
      <c r="Y498" s="141">
        <f t="shared" si="40"/>
        <v>12.32</v>
      </c>
      <c r="Z498" s="141">
        <f t="shared" si="41"/>
        <v>512.03711999999996</v>
      </c>
      <c r="AA498" s="134"/>
    </row>
    <row r="499" spans="1:27" ht="12" customHeight="1" x14ac:dyDescent="0.35">
      <c r="A499" s="134"/>
      <c r="B499" s="134"/>
      <c r="C499" s="134" t="s">
        <v>689</v>
      </c>
      <c r="D499" s="136" t="str">
        <f t="shared" si="38"/>
        <v>C.02</v>
      </c>
      <c r="E499" s="135" t="s">
        <v>414</v>
      </c>
      <c r="F499" s="135" t="s">
        <v>664</v>
      </c>
      <c r="G499" s="134" t="s">
        <v>35</v>
      </c>
      <c r="H499" s="134" t="s">
        <v>696</v>
      </c>
      <c r="I499" s="134" t="s">
        <v>696</v>
      </c>
      <c r="J499" s="144" t="s">
        <v>268</v>
      </c>
      <c r="K499" s="134"/>
      <c r="L499" s="134"/>
      <c r="M499" s="134"/>
      <c r="N499" s="134"/>
      <c r="O499" s="134"/>
      <c r="P499" s="135" t="s">
        <v>128</v>
      </c>
      <c r="Q499" s="148">
        <v>214.24199999999999</v>
      </c>
      <c r="R499" s="148">
        <v>214.24199999999999</v>
      </c>
      <c r="S499" s="135"/>
      <c r="T499" s="149">
        <f>IFERROR(INDEX('Price List'!$G$5:$G$74,MATCH(TRIM(J499)&amp;"|"&amp;TRIM(P499),'Price List'!$O$5:$O$74,0)),0)</f>
        <v>2.5</v>
      </c>
      <c r="U499" s="150">
        <f>IFERROR(INDEX('Price List'!$H$5:$H$74,MATCH(TRIM(J499)&amp;"|"&amp;TRIM(P499),'Price List'!$O$5:$O$74,0)),0)</f>
        <v>0.2</v>
      </c>
      <c r="V499" s="141">
        <f t="shared" si="39"/>
        <v>3</v>
      </c>
      <c r="W499" s="151">
        <f>IFERROR(INDEX('Price List'!$J$5:$J$74,MATCH(TRIM(J499)&amp;"|"&amp;TRIM(P499),'Price List'!$O$5:$O$74,0)),0)</f>
        <v>2</v>
      </c>
      <c r="X499" s="152">
        <f>IFERROR(INDEX('Price List'!$K$5:$K$74,MATCH(TRIM(J499)&amp;"|"&amp;TRIM(P499),'Price List'!$O$5:$O$74,0)),0)</f>
        <v>0.12</v>
      </c>
      <c r="Y499" s="141">
        <f t="shared" si="40"/>
        <v>2.2400000000000002</v>
      </c>
      <c r="Z499" s="141">
        <f t="shared" si="41"/>
        <v>1122.62808</v>
      </c>
      <c r="AA499" s="134"/>
    </row>
    <row r="500" spans="1:27" ht="12" customHeight="1" x14ac:dyDescent="0.35">
      <c r="A500" s="134"/>
      <c r="B500" s="134"/>
      <c r="C500" s="134" t="s">
        <v>689</v>
      </c>
      <c r="D500" s="136" t="str">
        <f t="shared" si="38"/>
        <v>D.01</v>
      </c>
      <c r="E500" s="135" t="s">
        <v>414</v>
      </c>
      <c r="F500" s="135" t="s">
        <v>664</v>
      </c>
      <c r="G500" s="134" t="s">
        <v>697</v>
      </c>
      <c r="H500" s="134" t="s">
        <v>696</v>
      </c>
      <c r="I500" s="134" t="s">
        <v>696</v>
      </c>
      <c r="J500" s="144" t="s">
        <v>268</v>
      </c>
      <c r="K500" s="134"/>
      <c r="L500" s="134"/>
      <c r="M500" s="134"/>
      <c r="N500" s="134"/>
      <c r="O500" s="134"/>
      <c r="P500" s="135" t="s">
        <v>128</v>
      </c>
      <c r="Q500" s="148">
        <v>225.816</v>
      </c>
      <c r="R500" s="148">
        <v>225.816</v>
      </c>
      <c r="S500" s="135"/>
      <c r="T500" s="149">
        <f>IFERROR(INDEX('Price List'!$G$5:$G$74,MATCH(TRIM(J500)&amp;"|"&amp;TRIM(P500),'Price List'!$O$5:$O$74,0)),0)</f>
        <v>2.5</v>
      </c>
      <c r="U500" s="150">
        <f>IFERROR(INDEX('Price List'!$H$5:$H$74,MATCH(TRIM(J500)&amp;"|"&amp;TRIM(P500),'Price List'!$O$5:$O$74,0)),0)</f>
        <v>0.2</v>
      </c>
      <c r="V500" s="141">
        <f t="shared" si="39"/>
        <v>3</v>
      </c>
      <c r="W500" s="151">
        <f>IFERROR(INDEX('Price List'!$J$5:$J$74,MATCH(TRIM(J500)&amp;"|"&amp;TRIM(P500),'Price List'!$O$5:$O$74,0)),0)</f>
        <v>2</v>
      </c>
      <c r="X500" s="152">
        <f>IFERROR(INDEX('Price List'!$K$5:$K$74,MATCH(TRIM(J500)&amp;"|"&amp;TRIM(P500),'Price List'!$O$5:$O$74,0)),0)</f>
        <v>0.12</v>
      </c>
      <c r="Y500" s="141">
        <f t="shared" si="40"/>
        <v>2.2400000000000002</v>
      </c>
      <c r="Z500" s="141">
        <f t="shared" si="41"/>
        <v>1183.27584</v>
      </c>
      <c r="AA500" s="134"/>
    </row>
    <row r="501" spans="1:27" ht="12" customHeight="1" x14ac:dyDescent="0.35">
      <c r="A501" s="134"/>
      <c r="B501" s="134"/>
      <c r="C501" s="134" t="s">
        <v>689</v>
      </c>
      <c r="D501" s="136" t="str">
        <f t="shared" si="38"/>
        <v>C.02</v>
      </c>
      <c r="E501" s="135" t="s">
        <v>414</v>
      </c>
      <c r="F501" s="135" t="s">
        <v>664</v>
      </c>
      <c r="G501" s="134" t="s">
        <v>35</v>
      </c>
      <c r="H501" s="134" t="s">
        <v>272</v>
      </c>
      <c r="I501" s="134" t="s">
        <v>272</v>
      </c>
      <c r="J501" s="144" t="s">
        <v>272</v>
      </c>
      <c r="K501" s="134"/>
      <c r="L501" s="134"/>
      <c r="M501" s="134"/>
      <c r="N501" s="134"/>
      <c r="O501" s="134"/>
      <c r="P501" s="135" t="s">
        <v>128</v>
      </c>
      <c r="Q501" s="148">
        <v>214.24199999999999</v>
      </c>
      <c r="R501" s="148">
        <v>214.24199999999999</v>
      </c>
      <c r="S501" s="135"/>
      <c r="T501" s="149">
        <f>IFERROR(INDEX('Price List'!$G$5:$G$74,MATCH(TRIM(J501)&amp;"|"&amp;TRIM(P501),'Price List'!$O$5:$O$74,0)),0)</f>
        <v>1.5</v>
      </c>
      <c r="U501" s="150">
        <f>IFERROR(INDEX('Price List'!$H$5:$H$74,MATCH(TRIM(J501)&amp;"|"&amp;TRIM(P501),'Price List'!$O$5:$O$74,0)),0)</f>
        <v>0.2</v>
      </c>
      <c r="V501" s="141">
        <f t="shared" si="39"/>
        <v>1.7999999999999998</v>
      </c>
      <c r="W501" s="151">
        <f>IFERROR(INDEX('Price List'!$J$5:$J$74,MATCH(TRIM(J501)&amp;"|"&amp;TRIM(P501),'Price List'!$O$5:$O$74,0)),0)</f>
        <v>2.5</v>
      </c>
      <c r="X501" s="152">
        <f>IFERROR(INDEX('Price List'!$K$5:$K$74,MATCH(TRIM(J501)&amp;"|"&amp;TRIM(P501),'Price List'!$O$5:$O$74,0)),0)</f>
        <v>0.12</v>
      </c>
      <c r="Y501" s="141">
        <f t="shared" si="40"/>
        <v>2.8000000000000003</v>
      </c>
      <c r="Z501" s="141">
        <f t="shared" si="41"/>
        <v>985.51319999999987</v>
      </c>
      <c r="AA501" s="134"/>
    </row>
    <row r="502" spans="1:27" ht="12" customHeight="1" x14ac:dyDescent="0.35">
      <c r="A502" s="134"/>
      <c r="B502" s="134"/>
      <c r="C502" s="134" t="s">
        <v>689</v>
      </c>
      <c r="D502" s="136" t="str">
        <f t="shared" si="38"/>
        <v>D.01</v>
      </c>
      <c r="E502" s="135" t="s">
        <v>414</v>
      </c>
      <c r="F502" s="135" t="s">
        <v>664</v>
      </c>
      <c r="G502" s="134" t="s">
        <v>697</v>
      </c>
      <c r="H502" s="134" t="s">
        <v>272</v>
      </c>
      <c r="I502" s="134" t="s">
        <v>272</v>
      </c>
      <c r="J502" s="144" t="s">
        <v>272</v>
      </c>
      <c r="K502" s="134"/>
      <c r="L502" s="134"/>
      <c r="M502" s="134"/>
      <c r="N502" s="134"/>
      <c r="O502" s="134"/>
      <c r="P502" s="135" t="s">
        <v>128</v>
      </c>
      <c r="Q502" s="148">
        <v>214.24199999999999</v>
      </c>
      <c r="R502" s="148">
        <v>214.24199999999999</v>
      </c>
      <c r="S502" s="135"/>
      <c r="T502" s="149">
        <f>IFERROR(INDEX('Price List'!$G$5:$G$74,MATCH(TRIM(J502)&amp;"|"&amp;TRIM(P502),'Price List'!$O$5:$O$74,0)),0)</f>
        <v>1.5</v>
      </c>
      <c r="U502" s="150">
        <f>IFERROR(INDEX('Price List'!$H$5:$H$74,MATCH(TRIM(J502)&amp;"|"&amp;TRIM(P502),'Price List'!$O$5:$O$74,0)),0)</f>
        <v>0.2</v>
      </c>
      <c r="V502" s="141">
        <f t="shared" si="39"/>
        <v>1.7999999999999998</v>
      </c>
      <c r="W502" s="151">
        <f>IFERROR(INDEX('Price List'!$J$5:$J$74,MATCH(TRIM(J502)&amp;"|"&amp;TRIM(P502),'Price List'!$O$5:$O$74,0)),0)</f>
        <v>2.5</v>
      </c>
      <c r="X502" s="152">
        <f>IFERROR(INDEX('Price List'!$K$5:$K$74,MATCH(TRIM(J502)&amp;"|"&amp;TRIM(P502),'Price List'!$O$5:$O$74,0)),0)</f>
        <v>0.12</v>
      </c>
      <c r="Y502" s="141">
        <f t="shared" si="40"/>
        <v>2.8000000000000003</v>
      </c>
      <c r="Z502" s="141">
        <f t="shared" si="41"/>
        <v>985.51319999999987</v>
      </c>
      <c r="AA502" s="134"/>
    </row>
    <row r="503" spans="1:27" ht="12" customHeight="1" x14ac:dyDescent="0.35">
      <c r="A503" s="134"/>
      <c r="B503" s="134"/>
      <c r="C503" s="134" t="s">
        <v>689</v>
      </c>
      <c r="D503" s="136" t="str">
        <f t="shared" si="38"/>
        <v>C.01</v>
      </c>
      <c r="E503" s="135" t="s">
        <v>414</v>
      </c>
      <c r="F503" s="135" t="s">
        <v>667</v>
      </c>
      <c r="G503" s="134" t="s">
        <v>690</v>
      </c>
      <c r="H503" s="134" t="s">
        <v>691</v>
      </c>
      <c r="I503" s="134" t="s">
        <v>692</v>
      </c>
      <c r="J503" s="144" t="s">
        <v>252</v>
      </c>
      <c r="K503" s="134"/>
      <c r="L503" s="134"/>
      <c r="M503" s="134"/>
      <c r="N503" s="134"/>
      <c r="O503" s="134"/>
      <c r="P503" s="135" t="s">
        <v>128</v>
      </c>
      <c r="Q503" s="148">
        <v>16.452000000000002</v>
      </c>
      <c r="R503" s="148">
        <v>16.452000000000002</v>
      </c>
      <c r="S503" s="135"/>
      <c r="T503" s="149">
        <f>IFERROR(INDEX('Price List'!$G$5:$G$74,MATCH(TRIM(J503)&amp;"|"&amp;TRIM(P503),'Price List'!$O$5:$O$74,0)),0)</f>
        <v>8.5</v>
      </c>
      <c r="U503" s="150">
        <f>IFERROR(INDEX('Price List'!$H$5:$H$74,MATCH(TRIM(J503)&amp;"|"&amp;TRIM(P503),'Price List'!$O$5:$O$74,0)),0)</f>
        <v>0.2</v>
      </c>
      <c r="V503" s="141">
        <f t="shared" si="39"/>
        <v>10.199999999999999</v>
      </c>
      <c r="W503" s="151">
        <f>IFERROR(INDEX('Price List'!$J$5:$J$74,MATCH(TRIM(J503)&amp;"|"&amp;TRIM(P503),'Price List'!$O$5:$O$74,0)),0)</f>
        <v>25</v>
      </c>
      <c r="X503" s="152">
        <f>IFERROR(INDEX('Price List'!$K$5:$K$74,MATCH(TRIM(J503)&amp;"|"&amp;TRIM(P503),'Price List'!$O$5:$O$74,0)),0)</f>
        <v>0.12</v>
      </c>
      <c r="Y503" s="141">
        <f t="shared" si="40"/>
        <v>28.000000000000004</v>
      </c>
      <c r="Z503" s="141">
        <f t="shared" si="41"/>
        <v>628.46640000000014</v>
      </c>
      <c r="AA503" s="134"/>
    </row>
    <row r="504" spans="1:27" ht="12" customHeight="1" x14ac:dyDescent="0.35">
      <c r="A504" s="134"/>
      <c r="B504" s="134"/>
      <c r="C504" s="134" t="s">
        <v>689</v>
      </c>
      <c r="D504" s="136" t="str">
        <f t="shared" si="38"/>
        <v>C.01</v>
      </c>
      <c r="E504" s="135" t="s">
        <v>414</v>
      </c>
      <c r="F504" s="135" t="s">
        <v>667</v>
      </c>
      <c r="G504" s="134" t="s">
        <v>690</v>
      </c>
      <c r="H504" s="134" t="s">
        <v>691</v>
      </c>
      <c r="I504" s="134" t="s">
        <v>693</v>
      </c>
      <c r="J504" s="144" t="s">
        <v>254</v>
      </c>
      <c r="K504" s="134"/>
      <c r="L504" s="134"/>
      <c r="M504" s="134"/>
      <c r="N504" s="134"/>
      <c r="O504" s="134"/>
      <c r="P504" s="135" t="s">
        <v>128</v>
      </c>
      <c r="Q504" s="148">
        <v>118.242</v>
      </c>
      <c r="R504" s="148">
        <v>118.242</v>
      </c>
      <c r="S504" s="135"/>
      <c r="T504" s="149">
        <f>IFERROR(INDEX('Price List'!$G$5:$G$74,MATCH(TRIM(J504)&amp;"|"&amp;TRIM(P504),'Price List'!$O$5:$O$74,0)),0)</f>
        <v>4.5</v>
      </c>
      <c r="U504" s="150">
        <f>IFERROR(INDEX('Price List'!$H$5:$H$74,MATCH(TRIM(J504)&amp;"|"&amp;TRIM(P504),'Price List'!$O$5:$O$74,0)),0)</f>
        <v>0.2</v>
      </c>
      <c r="V504" s="141">
        <f t="shared" si="39"/>
        <v>5.3999999999999995</v>
      </c>
      <c r="W504" s="151">
        <f>IFERROR(INDEX('Price List'!$J$5:$J$74,MATCH(TRIM(J504)&amp;"|"&amp;TRIM(P504),'Price List'!$O$5:$O$74,0)),0)</f>
        <v>11</v>
      </c>
      <c r="X504" s="152">
        <f>IFERROR(INDEX('Price List'!$K$5:$K$74,MATCH(TRIM(J504)&amp;"|"&amp;TRIM(P504),'Price List'!$O$5:$O$74,0)),0)</f>
        <v>0.12</v>
      </c>
      <c r="Y504" s="141">
        <f t="shared" si="40"/>
        <v>12.32</v>
      </c>
      <c r="Z504" s="141">
        <f t="shared" si="41"/>
        <v>2095.2482399999999</v>
      </c>
      <c r="AA504" s="134"/>
    </row>
    <row r="505" spans="1:27" ht="12" customHeight="1" x14ac:dyDescent="0.35">
      <c r="A505" s="134"/>
      <c r="B505" s="134"/>
      <c r="C505" s="134" t="s">
        <v>689</v>
      </c>
      <c r="D505" s="136" t="str">
        <f t="shared" si="38"/>
        <v>C.01</v>
      </c>
      <c r="E505" s="135" t="s">
        <v>414</v>
      </c>
      <c r="F505" s="135" t="s">
        <v>667</v>
      </c>
      <c r="G505" s="134" t="s">
        <v>690</v>
      </c>
      <c r="H505" s="134" t="s">
        <v>691</v>
      </c>
      <c r="I505" s="134" t="s">
        <v>698</v>
      </c>
      <c r="J505" s="144" t="s">
        <v>256</v>
      </c>
      <c r="K505" s="134"/>
      <c r="L505" s="134"/>
      <c r="M505" s="134"/>
      <c r="N505" s="134"/>
      <c r="O505" s="134"/>
      <c r="P505" s="135" t="s">
        <v>128</v>
      </c>
      <c r="Q505" s="148">
        <v>7.56</v>
      </c>
      <c r="R505" s="148">
        <v>7.56</v>
      </c>
      <c r="S505" s="135"/>
      <c r="T505" s="149">
        <f>IFERROR(INDEX('Price List'!$G$5:$G$74,MATCH(TRIM(J505)&amp;"|"&amp;TRIM(P505),'Price List'!$O$5:$O$74,0)),0)</f>
        <v>12</v>
      </c>
      <c r="U505" s="150">
        <f>IFERROR(INDEX('Price List'!$H$5:$H$74,MATCH(TRIM(J505)&amp;"|"&amp;TRIM(P505),'Price List'!$O$5:$O$74,0)),0)</f>
        <v>0.2</v>
      </c>
      <c r="V505" s="141">
        <f t="shared" si="39"/>
        <v>14.399999999999999</v>
      </c>
      <c r="W505" s="151">
        <f>IFERROR(INDEX('Price List'!$J$5:$J$74,MATCH(TRIM(J505)&amp;"|"&amp;TRIM(P505),'Price List'!$O$5:$O$74,0)),0)</f>
        <v>38</v>
      </c>
      <c r="X505" s="152">
        <f>IFERROR(INDEX('Price List'!$K$5:$K$74,MATCH(TRIM(J505)&amp;"|"&amp;TRIM(P505),'Price List'!$O$5:$O$74,0)),0)</f>
        <v>0.12</v>
      </c>
      <c r="Y505" s="141">
        <f t="shared" si="40"/>
        <v>42.56</v>
      </c>
      <c r="Z505" s="141">
        <f t="shared" si="41"/>
        <v>430.61759999999998</v>
      </c>
      <c r="AA505" s="134"/>
    </row>
    <row r="506" spans="1:27" ht="12" customHeight="1" x14ac:dyDescent="0.35">
      <c r="A506" s="134"/>
      <c r="B506" s="134"/>
      <c r="C506" s="134" t="s">
        <v>689</v>
      </c>
      <c r="D506" s="136" t="str">
        <f t="shared" si="38"/>
        <v>C.09</v>
      </c>
      <c r="E506" s="135" t="s">
        <v>414</v>
      </c>
      <c r="F506" s="135" t="s">
        <v>667</v>
      </c>
      <c r="G506" s="134" t="s">
        <v>694</v>
      </c>
      <c r="H506" s="134" t="s">
        <v>691</v>
      </c>
      <c r="I506" s="134" t="s">
        <v>695</v>
      </c>
      <c r="J506" s="144" t="s">
        <v>297</v>
      </c>
      <c r="K506" s="134"/>
      <c r="L506" s="134"/>
      <c r="M506" s="134"/>
      <c r="N506" s="134"/>
      <c r="O506" s="134"/>
      <c r="P506" s="135" t="s">
        <v>128</v>
      </c>
      <c r="Q506" s="148">
        <v>92.94</v>
      </c>
      <c r="R506" s="148">
        <v>92.94</v>
      </c>
      <c r="S506" s="135"/>
      <c r="T506" s="149">
        <f>IFERROR(INDEX('Price List'!$G$5:$G$74,MATCH(TRIM(J506)&amp;"|"&amp;TRIM(P506),'Price List'!$O$5:$O$74,0)),0)</f>
        <v>3</v>
      </c>
      <c r="U506" s="150">
        <f>IFERROR(INDEX('Price List'!$H$5:$H$74,MATCH(TRIM(J506)&amp;"|"&amp;TRIM(P506),'Price List'!$O$5:$O$74,0)),0)</f>
        <v>0.2</v>
      </c>
      <c r="V506" s="141">
        <f t="shared" si="39"/>
        <v>3.5999999999999996</v>
      </c>
      <c r="W506" s="151">
        <f>IFERROR(INDEX('Price List'!$J$5:$J$74,MATCH(TRIM(J506)&amp;"|"&amp;TRIM(P506),'Price List'!$O$5:$O$74,0)),0)</f>
        <v>6</v>
      </c>
      <c r="X506" s="152">
        <f>IFERROR(INDEX('Price List'!$K$5:$K$74,MATCH(TRIM(J506)&amp;"|"&amp;TRIM(P506),'Price List'!$O$5:$O$74,0)),0)</f>
        <v>0.12</v>
      </c>
      <c r="Y506" s="141">
        <f t="shared" si="40"/>
        <v>6.7200000000000006</v>
      </c>
      <c r="Z506" s="141">
        <f t="shared" si="41"/>
        <v>959.14080000000001</v>
      </c>
      <c r="AA506" s="134"/>
    </row>
    <row r="507" spans="1:27" ht="12" customHeight="1" x14ac:dyDescent="0.35">
      <c r="A507" s="134"/>
      <c r="B507" s="134"/>
      <c r="C507" s="134" t="s">
        <v>689</v>
      </c>
      <c r="D507" s="136" t="str">
        <f t="shared" si="38"/>
        <v>C.09</v>
      </c>
      <c r="E507" s="135" t="s">
        <v>414</v>
      </c>
      <c r="F507" s="135" t="s">
        <v>667</v>
      </c>
      <c r="G507" s="134" t="s">
        <v>694</v>
      </c>
      <c r="H507" s="134" t="s">
        <v>691</v>
      </c>
      <c r="I507" s="134" t="s">
        <v>693</v>
      </c>
      <c r="J507" s="144" t="s">
        <v>254</v>
      </c>
      <c r="K507" s="134"/>
      <c r="L507" s="134"/>
      <c r="M507" s="134"/>
      <c r="N507" s="134"/>
      <c r="O507" s="134"/>
      <c r="P507" s="135" t="s">
        <v>128</v>
      </c>
      <c r="Q507" s="148">
        <v>226.09800000000001</v>
      </c>
      <c r="R507" s="148">
        <v>226.09800000000001</v>
      </c>
      <c r="S507" s="135"/>
      <c r="T507" s="149">
        <f>IFERROR(INDEX('Price List'!$G$5:$G$74,MATCH(TRIM(J507)&amp;"|"&amp;TRIM(P507),'Price List'!$O$5:$O$74,0)),0)</f>
        <v>4.5</v>
      </c>
      <c r="U507" s="150">
        <f>IFERROR(INDEX('Price List'!$H$5:$H$74,MATCH(TRIM(J507)&amp;"|"&amp;TRIM(P507),'Price List'!$O$5:$O$74,0)),0)</f>
        <v>0.2</v>
      </c>
      <c r="V507" s="141">
        <f t="shared" si="39"/>
        <v>5.3999999999999995</v>
      </c>
      <c r="W507" s="151">
        <f>IFERROR(INDEX('Price List'!$J$5:$J$74,MATCH(TRIM(J507)&amp;"|"&amp;TRIM(P507),'Price List'!$O$5:$O$74,0)),0)</f>
        <v>11</v>
      </c>
      <c r="X507" s="152">
        <f>IFERROR(INDEX('Price List'!$K$5:$K$74,MATCH(TRIM(J507)&amp;"|"&amp;TRIM(P507),'Price List'!$O$5:$O$74,0)),0)</f>
        <v>0.12</v>
      </c>
      <c r="Y507" s="141">
        <f t="shared" si="40"/>
        <v>12.32</v>
      </c>
      <c r="Z507" s="141">
        <f t="shared" si="41"/>
        <v>4006.4565600000001</v>
      </c>
      <c r="AA507" s="134"/>
    </row>
    <row r="508" spans="1:27" ht="12" customHeight="1" x14ac:dyDescent="0.35">
      <c r="A508" s="134"/>
      <c r="B508" s="134"/>
      <c r="C508" s="134" t="s">
        <v>689</v>
      </c>
      <c r="D508" s="136" t="str">
        <f t="shared" si="38"/>
        <v>C.02</v>
      </c>
      <c r="E508" s="135" t="s">
        <v>414</v>
      </c>
      <c r="F508" s="135" t="s">
        <v>667</v>
      </c>
      <c r="G508" s="134" t="s">
        <v>35</v>
      </c>
      <c r="H508" s="134" t="s">
        <v>696</v>
      </c>
      <c r="I508" s="134" t="s">
        <v>696</v>
      </c>
      <c r="J508" s="144" t="s">
        <v>268</v>
      </c>
      <c r="K508" s="134"/>
      <c r="L508" s="134"/>
      <c r="M508" s="134"/>
      <c r="N508" s="134"/>
      <c r="O508" s="134"/>
      <c r="P508" s="135" t="s">
        <v>128</v>
      </c>
      <c r="Q508" s="148">
        <v>284.50799999999998</v>
      </c>
      <c r="R508" s="148">
        <v>284.50799999999998</v>
      </c>
      <c r="S508" s="135"/>
      <c r="T508" s="149">
        <f>IFERROR(INDEX('Price List'!$G$5:$G$74,MATCH(TRIM(J508)&amp;"|"&amp;TRIM(P508),'Price List'!$O$5:$O$74,0)),0)</f>
        <v>2.5</v>
      </c>
      <c r="U508" s="150">
        <f>IFERROR(INDEX('Price List'!$H$5:$H$74,MATCH(TRIM(J508)&amp;"|"&amp;TRIM(P508),'Price List'!$O$5:$O$74,0)),0)</f>
        <v>0.2</v>
      </c>
      <c r="V508" s="141">
        <f t="shared" si="39"/>
        <v>3</v>
      </c>
      <c r="W508" s="151">
        <f>IFERROR(INDEX('Price List'!$J$5:$J$74,MATCH(TRIM(J508)&amp;"|"&amp;TRIM(P508),'Price List'!$O$5:$O$74,0)),0)</f>
        <v>2</v>
      </c>
      <c r="X508" s="152">
        <f>IFERROR(INDEX('Price List'!$K$5:$K$74,MATCH(TRIM(J508)&amp;"|"&amp;TRIM(P508),'Price List'!$O$5:$O$74,0)),0)</f>
        <v>0.12</v>
      </c>
      <c r="Y508" s="141">
        <f t="shared" si="40"/>
        <v>2.2400000000000002</v>
      </c>
      <c r="Z508" s="141">
        <f t="shared" si="41"/>
        <v>1490.8219199999999</v>
      </c>
      <c r="AA508" s="134"/>
    </row>
    <row r="509" spans="1:27" ht="12" customHeight="1" x14ac:dyDescent="0.35">
      <c r="A509" s="134"/>
      <c r="B509" s="134"/>
      <c r="C509" s="134" t="s">
        <v>689</v>
      </c>
      <c r="D509" s="136" t="str">
        <f t="shared" si="38"/>
        <v>D.01</v>
      </c>
      <c r="E509" s="135" t="s">
        <v>414</v>
      </c>
      <c r="F509" s="135" t="s">
        <v>667</v>
      </c>
      <c r="G509" s="134" t="s">
        <v>697</v>
      </c>
      <c r="H509" s="134" t="s">
        <v>696</v>
      </c>
      <c r="I509" s="134" t="s">
        <v>696</v>
      </c>
      <c r="J509" s="144" t="s">
        <v>268</v>
      </c>
      <c r="K509" s="134"/>
      <c r="L509" s="134"/>
      <c r="M509" s="134"/>
      <c r="N509" s="134"/>
      <c r="O509" s="134"/>
      <c r="P509" s="135" t="s">
        <v>128</v>
      </c>
      <c r="Q509" s="148">
        <v>638.07600000000002</v>
      </c>
      <c r="R509" s="148">
        <v>638.07600000000002</v>
      </c>
      <c r="S509" s="135"/>
      <c r="T509" s="149">
        <f>IFERROR(INDEX('Price List'!$G$5:$G$74,MATCH(TRIM(J509)&amp;"|"&amp;TRIM(P509),'Price List'!$O$5:$O$74,0)),0)</f>
        <v>2.5</v>
      </c>
      <c r="U509" s="150">
        <f>IFERROR(INDEX('Price List'!$H$5:$H$74,MATCH(TRIM(J509)&amp;"|"&amp;TRIM(P509),'Price List'!$O$5:$O$74,0)),0)</f>
        <v>0.2</v>
      </c>
      <c r="V509" s="141">
        <f t="shared" si="39"/>
        <v>3</v>
      </c>
      <c r="W509" s="151">
        <f>IFERROR(INDEX('Price List'!$J$5:$J$74,MATCH(TRIM(J509)&amp;"|"&amp;TRIM(P509),'Price List'!$O$5:$O$74,0)),0)</f>
        <v>2</v>
      </c>
      <c r="X509" s="152">
        <f>IFERROR(INDEX('Price List'!$K$5:$K$74,MATCH(TRIM(J509)&amp;"|"&amp;TRIM(P509),'Price List'!$O$5:$O$74,0)),0)</f>
        <v>0.12</v>
      </c>
      <c r="Y509" s="141">
        <f t="shared" si="40"/>
        <v>2.2400000000000002</v>
      </c>
      <c r="Z509" s="141">
        <f t="shared" si="41"/>
        <v>3343.5182400000003</v>
      </c>
      <c r="AA509" s="134"/>
    </row>
    <row r="510" spans="1:27" ht="12" customHeight="1" x14ac:dyDescent="0.35">
      <c r="A510" s="134"/>
      <c r="B510" s="134"/>
      <c r="C510" s="134" t="s">
        <v>689</v>
      </c>
      <c r="D510" s="136" t="str">
        <f t="shared" si="38"/>
        <v>C.02</v>
      </c>
      <c r="E510" s="135" t="s">
        <v>414</v>
      </c>
      <c r="F510" s="135" t="s">
        <v>667</v>
      </c>
      <c r="G510" s="134" t="s">
        <v>35</v>
      </c>
      <c r="H510" s="134" t="s">
        <v>272</v>
      </c>
      <c r="I510" s="134" t="s">
        <v>272</v>
      </c>
      <c r="J510" s="144" t="s">
        <v>272</v>
      </c>
      <c r="K510" s="134"/>
      <c r="L510" s="134"/>
      <c r="M510" s="134"/>
      <c r="N510" s="134"/>
      <c r="O510" s="134"/>
      <c r="P510" s="135" t="s">
        <v>128</v>
      </c>
      <c r="Q510" s="148">
        <v>284.50799999999998</v>
      </c>
      <c r="R510" s="148">
        <v>284.50799999999998</v>
      </c>
      <c r="S510" s="135"/>
      <c r="T510" s="149">
        <f>IFERROR(INDEX('Price List'!$G$5:$G$74,MATCH(TRIM(J510)&amp;"|"&amp;TRIM(P510),'Price List'!$O$5:$O$74,0)),0)</f>
        <v>1.5</v>
      </c>
      <c r="U510" s="150">
        <f>IFERROR(INDEX('Price List'!$H$5:$H$74,MATCH(TRIM(J510)&amp;"|"&amp;TRIM(P510),'Price List'!$O$5:$O$74,0)),0)</f>
        <v>0.2</v>
      </c>
      <c r="V510" s="141">
        <f t="shared" si="39"/>
        <v>1.7999999999999998</v>
      </c>
      <c r="W510" s="151">
        <f>IFERROR(INDEX('Price List'!$J$5:$J$74,MATCH(TRIM(J510)&amp;"|"&amp;TRIM(P510),'Price List'!$O$5:$O$74,0)),0)</f>
        <v>2.5</v>
      </c>
      <c r="X510" s="152">
        <f>IFERROR(INDEX('Price List'!$K$5:$K$74,MATCH(TRIM(J510)&amp;"|"&amp;TRIM(P510),'Price List'!$O$5:$O$74,0)),0)</f>
        <v>0.12</v>
      </c>
      <c r="Y510" s="141">
        <f t="shared" si="40"/>
        <v>2.8000000000000003</v>
      </c>
      <c r="Z510" s="141">
        <f t="shared" si="41"/>
        <v>1308.7367999999999</v>
      </c>
      <c r="AA510" s="134"/>
    </row>
    <row r="511" spans="1:27" ht="12" customHeight="1" x14ac:dyDescent="0.35">
      <c r="A511" s="134"/>
      <c r="B511" s="134"/>
      <c r="C511" s="134" t="s">
        <v>689</v>
      </c>
      <c r="D511" s="136" t="str">
        <f t="shared" si="38"/>
        <v>D.01</v>
      </c>
      <c r="E511" s="135" t="s">
        <v>414</v>
      </c>
      <c r="F511" s="135" t="s">
        <v>667</v>
      </c>
      <c r="G511" s="134" t="s">
        <v>697</v>
      </c>
      <c r="H511" s="134" t="s">
        <v>272</v>
      </c>
      <c r="I511" s="134" t="s">
        <v>272</v>
      </c>
      <c r="J511" s="144" t="s">
        <v>272</v>
      </c>
      <c r="K511" s="134"/>
      <c r="L511" s="134"/>
      <c r="M511" s="134"/>
      <c r="N511" s="134"/>
      <c r="O511" s="134"/>
      <c r="P511" s="135" t="s">
        <v>128</v>
      </c>
      <c r="Q511" s="148">
        <v>638.07600000000002</v>
      </c>
      <c r="R511" s="148">
        <v>638.07600000000002</v>
      </c>
      <c r="S511" s="135"/>
      <c r="T511" s="149">
        <f>IFERROR(INDEX('Price List'!$G$5:$G$74,MATCH(TRIM(J511)&amp;"|"&amp;TRIM(P511),'Price List'!$O$5:$O$74,0)),0)</f>
        <v>1.5</v>
      </c>
      <c r="U511" s="150">
        <f>IFERROR(INDEX('Price List'!$H$5:$H$74,MATCH(TRIM(J511)&amp;"|"&amp;TRIM(P511),'Price List'!$O$5:$O$74,0)),0)</f>
        <v>0.2</v>
      </c>
      <c r="V511" s="141">
        <f t="shared" si="39"/>
        <v>1.7999999999999998</v>
      </c>
      <c r="W511" s="151">
        <f>IFERROR(INDEX('Price List'!$J$5:$J$74,MATCH(TRIM(J511)&amp;"|"&amp;TRIM(P511),'Price List'!$O$5:$O$74,0)),0)</f>
        <v>2.5</v>
      </c>
      <c r="X511" s="152">
        <f>IFERROR(INDEX('Price List'!$K$5:$K$74,MATCH(TRIM(J511)&amp;"|"&amp;TRIM(P511),'Price List'!$O$5:$O$74,0)),0)</f>
        <v>0.12</v>
      </c>
      <c r="Y511" s="141">
        <f t="shared" si="40"/>
        <v>2.8000000000000003</v>
      </c>
      <c r="Z511" s="141">
        <f t="shared" si="41"/>
        <v>2935.1495999999997</v>
      </c>
      <c r="AA511" s="134"/>
    </row>
    <row r="512" spans="1:27" ht="12" customHeight="1" x14ac:dyDescent="0.35">
      <c r="A512" s="134"/>
      <c r="B512" s="134"/>
      <c r="C512" s="134" t="s">
        <v>689</v>
      </c>
      <c r="D512" s="136" t="str">
        <f t="shared" si="38"/>
        <v>C.01</v>
      </c>
      <c r="E512" s="135" t="s">
        <v>414</v>
      </c>
      <c r="F512" s="135" t="s">
        <v>668</v>
      </c>
      <c r="G512" s="134" t="s">
        <v>690</v>
      </c>
      <c r="H512" s="134" t="s">
        <v>691</v>
      </c>
      <c r="I512" s="134" t="s">
        <v>692</v>
      </c>
      <c r="J512" s="144" t="s">
        <v>252</v>
      </c>
      <c r="K512" s="134"/>
      <c r="L512" s="134"/>
      <c r="M512" s="134"/>
      <c r="N512" s="134"/>
      <c r="O512" s="134"/>
      <c r="P512" s="135" t="s">
        <v>128</v>
      </c>
      <c r="Q512" s="148">
        <v>19.193999999999999</v>
      </c>
      <c r="R512" s="148">
        <v>19.193999999999999</v>
      </c>
      <c r="S512" s="135"/>
      <c r="T512" s="149">
        <f>IFERROR(INDEX('Price List'!$G$5:$G$74,MATCH(TRIM(J512)&amp;"|"&amp;TRIM(P512),'Price List'!$O$5:$O$74,0)),0)</f>
        <v>8.5</v>
      </c>
      <c r="U512" s="150">
        <f>IFERROR(INDEX('Price List'!$H$5:$H$74,MATCH(TRIM(J512)&amp;"|"&amp;TRIM(P512),'Price List'!$O$5:$O$74,0)),0)</f>
        <v>0.2</v>
      </c>
      <c r="V512" s="141">
        <f t="shared" si="39"/>
        <v>10.199999999999999</v>
      </c>
      <c r="W512" s="151">
        <f>IFERROR(INDEX('Price List'!$J$5:$J$74,MATCH(TRIM(J512)&amp;"|"&amp;TRIM(P512),'Price List'!$O$5:$O$74,0)),0)</f>
        <v>25</v>
      </c>
      <c r="X512" s="152">
        <f>IFERROR(INDEX('Price List'!$K$5:$K$74,MATCH(TRIM(J512)&amp;"|"&amp;TRIM(P512),'Price List'!$O$5:$O$74,0)),0)</f>
        <v>0.12</v>
      </c>
      <c r="Y512" s="141">
        <f t="shared" si="40"/>
        <v>28.000000000000004</v>
      </c>
      <c r="Z512" s="141">
        <f t="shared" si="41"/>
        <v>733.21080000000006</v>
      </c>
      <c r="AA512" s="134"/>
    </row>
    <row r="513" spans="1:27" ht="12" customHeight="1" x14ac:dyDescent="0.35">
      <c r="A513" s="134"/>
      <c r="B513" s="134"/>
      <c r="C513" s="134" t="s">
        <v>689</v>
      </c>
      <c r="D513" s="136" t="str">
        <f t="shared" si="38"/>
        <v>C.01</v>
      </c>
      <c r="E513" s="135" t="s">
        <v>414</v>
      </c>
      <c r="F513" s="135" t="s">
        <v>668</v>
      </c>
      <c r="G513" s="134" t="s">
        <v>690</v>
      </c>
      <c r="H513" s="134" t="s">
        <v>691</v>
      </c>
      <c r="I513" s="134" t="s">
        <v>693</v>
      </c>
      <c r="J513" s="144" t="s">
        <v>254</v>
      </c>
      <c r="K513" s="134"/>
      <c r="L513" s="134"/>
      <c r="M513" s="134"/>
      <c r="N513" s="134"/>
      <c r="O513" s="134"/>
      <c r="P513" s="135" t="s">
        <v>128</v>
      </c>
      <c r="Q513" s="148">
        <v>420.92700000000002</v>
      </c>
      <c r="R513" s="148">
        <v>420.92700000000002</v>
      </c>
      <c r="S513" s="135"/>
      <c r="T513" s="149">
        <f>IFERROR(INDEX('Price List'!$G$5:$G$74,MATCH(TRIM(J513)&amp;"|"&amp;TRIM(P513),'Price List'!$O$5:$O$74,0)),0)</f>
        <v>4.5</v>
      </c>
      <c r="U513" s="150">
        <f>IFERROR(INDEX('Price List'!$H$5:$H$74,MATCH(TRIM(J513)&amp;"|"&amp;TRIM(P513),'Price List'!$O$5:$O$74,0)),0)</f>
        <v>0.2</v>
      </c>
      <c r="V513" s="141">
        <f t="shared" si="39"/>
        <v>5.3999999999999995</v>
      </c>
      <c r="W513" s="151">
        <f>IFERROR(INDEX('Price List'!$J$5:$J$74,MATCH(TRIM(J513)&amp;"|"&amp;TRIM(P513),'Price List'!$O$5:$O$74,0)),0)</f>
        <v>11</v>
      </c>
      <c r="X513" s="152">
        <f>IFERROR(INDEX('Price List'!$K$5:$K$74,MATCH(TRIM(J513)&amp;"|"&amp;TRIM(P513),'Price List'!$O$5:$O$74,0)),0)</f>
        <v>0.12</v>
      </c>
      <c r="Y513" s="141">
        <f t="shared" si="40"/>
        <v>12.32</v>
      </c>
      <c r="Z513" s="141">
        <f t="shared" si="41"/>
        <v>7458.8264399999998</v>
      </c>
      <c r="AA513" s="134"/>
    </row>
    <row r="514" spans="1:27" ht="12" customHeight="1" x14ac:dyDescent="0.35">
      <c r="A514" s="134"/>
      <c r="B514" s="134"/>
      <c r="C514" s="134" t="s">
        <v>689</v>
      </c>
      <c r="D514" s="136" t="str">
        <f t="shared" ref="D514:D577" si="43">IFERROR(IF(TRIM($G514)="Sub Structure",IF(TRIM($H514)="Bored Pile","B.01","B.03"),IF(TRIM($G514)="Super Structure","B.04",IF(OR(TRIM($G514)="Exterior Wall and Partition",TRIM($G514)="External Wall and Partition"),"C.01",IF(TRIM($G514)="Exterior Wall Finishes","C.02",IF(TRIM($G514)="Interior Wall and Partition","C.09",IF(TRIM($G514)="Interior Door","C.10",IF(TRIM($G514)="External Windows and Louvers","C.04",IF(OR(TRIM($G514)="Interior Floor Finishes",TRIM($G514)="Internal Floor Finishes"),"D.02",IF(OR(TRIM($G514)="Interior Wall Finishes",TRIM($G514)="Internal Wall Finishes"),"D.01",IF(OR(TRIM($G514)="Ceiling Finshes",TRIM($G514)="Ceiling Finishes"),"D.03",IF(TRIM($G514)="Fittings, furnishings and equipment","E.04","")))))))))))," ")</f>
        <v>C.01</v>
      </c>
      <c r="E514" s="135" t="s">
        <v>414</v>
      </c>
      <c r="F514" s="135" t="s">
        <v>668</v>
      </c>
      <c r="G514" s="134" t="s">
        <v>690</v>
      </c>
      <c r="H514" s="134" t="s">
        <v>691</v>
      </c>
      <c r="I514" s="134" t="s">
        <v>698</v>
      </c>
      <c r="J514" s="144" t="s">
        <v>256</v>
      </c>
      <c r="K514" s="134"/>
      <c r="L514" s="134"/>
      <c r="M514" s="134"/>
      <c r="N514" s="134"/>
      <c r="O514" s="134"/>
      <c r="P514" s="135" t="s">
        <v>128</v>
      </c>
      <c r="Q514" s="148">
        <v>17.64</v>
      </c>
      <c r="R514" s="148">
        <v>17.64</v>
      </c>
      <c r="S514" s="135"/>
      <c r="T514" s="149">
        <f>IFERROR(INDEX('Price List'!$G$5:$G$74,MATCH(TRIM(J514)&amp;"|"&amp;TRIM(P514),'Price List'!$O$5:$O$74,0)),0)</f>
        <v>12</v>
      </c>
      <c r="U514" s="150">
        <f>IFERROR(INDEX('Price List'!$H$5:$H$74,MATCH(TRIM(J514)&amp;"|"&amp;TRIM(P514),'Price List'!$O$5:$O$74,0)),0)</f>
        <v>0.2</v>
      </c>
      <c r="V514" s="141">
        <f t="shared" ref="V514:V577" si="44">T514*(1+U514)</f>
        <v>14.399999999999999</v>
      </c>
      <c r="W514" s="151">
        <f>IFERROR(INDEX('Price List'!$J$5:$J$74,MATCH(TRIM(J514)&amp;"|"&amp;TRIM(P514),'Price List'!$O$5:$O$74,0)),0)</f>
        <v>38</v>
      </c>
      <c r="X514" s="152">
        <f>IFERROR(INDEX('Price List'!$K$5:$K$74,MATCH(TRIM(J514)&amp;"|"&amp;TRIM(P514),'Price List'!$O$5:$O$74,0)),0)</f>
        <v>0.12</v>
      </c>
      <c r="Y514" s="141">
        <f t="shared" ref="Y514:Y577" si="45">W514*(1+X514)</f>
        <v>42.56</v>
      </c>
      <c r="Z514" s="141">
        <f t="shared" ref="Z514:Z577" si="46">Q514*(V514+Y514)</f>
        <v>1004.7744</v>
      </c>
      <c r="AA514" s="134"/>
    </row>
    <row r="515" spans="1:27" ht="12" customHeight="1" x14ac:dyDescent="0.35">
      <c r="A515" s="134"/>
      <c r="B515" s="134"/>
      <c r="C515" s="134" t="s">
        <v>689</v>
      </c>
      <c r="D515" s="136" t="str">
        <f t="shared" si="43"/>
        <v>C.09</v>
      </c>
      <c r="E515" s="135" t="s">
        <v>414</v>
      </c>
      <c r="F515" s="135" t="s">
        <v>668</v>
      </c>
      <c r="G515" s="134" t="s">
        <v>694</v>
      </c>
      <c r="H515" s="134" t="s">
        <v>691</v>
      </c>
      <c r="I515" s="134" t="s">
        <v>695</v>
      </c>
      <c r="J515" s="144" t="s">
        <v>297</v>
      </c>
      <c r="K515" s="134"/>
      <c r="L515" s="134"/>
      <c r="M515" s="134"/>
      <c r="N515" s="134"/>
      <c r="O515" s="134"/>
      <c r="P515" s="135" t="s">
        <v>128</v>
      </c>
      <c r="Q515" s="148">
        <v>84.012</v>
      </c>
      <c r="R515" s="148">
        <v>84.012</v>
      </c>
      <c r="S515" s="135"/>
      <c r="T515" s="149">
        <f>IFERROR(INDEX('Price List'!$G$5:$G$74,MATCH(TRIM(J515)&amp;"|"&amp;TRIM(P515),'Price List'!$O$5:$O$74,0)),0)</f>
        <v>3</v>
      </c>
      <c r="U515" s="150">
        <f>IFERROR(INDEX('Price List'!$H$5:$H$74,MATCH(TRIM(J515)&amp;"|"&amp;TRIM(P515),'Price List'!$O$5:$O$74,0)),0)</f>
        <v>0.2</v>
      </c>
      <c r="V515" s="141">
        <f t="shared" si="44"/>
        <v>3.5999999999999996</v>
      </c>
      <c r="W515" s="151">
        <f>IFERROR(INDEX('Price List'!$J$5:$J$74,MATCH(TRIM(J515)&amp;"|"&amp;TRIM(P515),'Price List'!$O$5:$O$74,0)),0)</f>
        <v>6</v>
      </c>
      <c r="X515" s="152">
        <f>IFERROR(INDEX('Price List'!$K$5:$K$74,MATCH(TRIM(J515)&amp;"|"&amp;TRIM(P515),'Price List'!$O$5:$O$74,0)),0)</f>
        <v>0.12</v>
      </c>
      <c r="Y515" s="141">
        <f t="shared" si="45"/>
        <v>6.7200000000000006</v>
      </c>
      <c r="Z515" s="141">
        <f t="shared" si="46"/>
        <v>867.00384000000008</v>
      </c>
      <c r="AA515" s="134"/>
    </row>
    <row r="516" spans="1:27" ht="12" customHeight="1" x14ac:dyDescent="0.35">
      <c r="A516" s="134"/>
      <c r="B516" s="134"/>
      <c r="C516" s="134" t="s">
        <v>689</v>
      </c>
      <c r="D516" s="136" t="str">
        <f t="shared" si="43"/>
        <v>C.09</v>
      </c>
      <c r="E516" s="135" t="s">
        <v>414</v>
      </c>
      <c r="F516" s="135" t="s">
        <v>668</v>
      </c>
      <c r="G516" s="134" t="s">
        <v>694</v>
      </c>
      <c r="H516" s="134" t="s">
        <v>691</v>
      </c>
      <c r="I516" s="134" t="s">
        <v>693</v>
      </c>
      <c r="J516" s="144" t="s">
        <v>254</v>
      </c>
      <c r="K516" s="134"/>
      <c r="L516" s="134"/>
      <c r="M516" s="134"/>
      <c r="N516" s="134"/>
      <c r="O516" s="134"/>
      <c r="P516" s="135" t="s">
        <v>128</v>
      </c>
      <c r="Q516" s="148">
        <v>475.77600000000001</v>
      </c>
      <c r="R516" s="148">
        <v>475.77600000000001</v>
      </c>
      <c r="S516" s="135"/>
      <c r="T516" s="149">
        <f>IFERROR(INDEX('Price List'!$G$5:$G$74,MATCH(TRIM(J516)&amp;"|"&amp;TRIM(P516),'Price List'!$O$5:$O$74,0)),0)</f>
        <v>4.5</v>
      </c>
      <c r="U516" s="150">
        <f>IFERROR(INDEX('Price List'!$H$5:$H$74,MATCH(TRIM(J516)&amp;"|"&amp;TRIM(P516),'Price List'!$O$5:$O$74,0)),0)</f>
        <v>0.2</v>
      </c>
      <c r="V516" s="141">
        <f t="shared" si="44"/>
        <v>5.3999999999999995</v>
      </c>
      <c r="W516" s="151">
        <f>IFERROR(INDEX('Price List'!$J$5:$J$74,MATCH(TRIM(J516)&amp;"|"&amp;TRIM(P516),'Price List'!$O$5:$O$74,0)),0)</f>
        <v>11</v>
      </c>
      <c r="X516" s="152">
        <f>IFERROR(INDEX('Price List'!$K$5:$K$74,MATCH(TRIM(J516)&amp;"|"&amp;TRIM(P516),'Price List'!$O$5:$O$74,0)),0)</f>
        <v>0.12</v>
      </c>
      <c r="Y516" s="141">
        <f t="shared" si="45"/>
        <v>12.32</v>
      </c>
      <c r="Z516" s="141">
        <f t="shared" si="46"/>
        <v>8430.75072</v>
      </c>
      <c r="AA516" s="134"/>
    </row>
    <row r="517" spans="1:27" ht="12" customHeight="1" x14ac:dyDescent="0.35">
      <c r="A517" s="134"/>
      <c r="B517" s="134"/>
      <c r="C517" s="134" t="s">
        <v>689</v>
      </c>
      <c r="D517" s="136" t="str">
        <f t="shared" si="43"/>
        <v>C.02</v>
      </c>
      <c r="E517" s="135" t="s">
        <v>414</v>
      </c>
      <c r="F517" s="135" t="s">
        <v>668</v>
      </c>
      <c r="G517" s="134" t="s">
        <v>35</v>
      </c>
      <c r="H517" s="134" t="s">
        <v>696</v>
      </c>
      <c r="I517" s="134" t="s">
        <v>696</v>
      </c>
      <c r="J517" s="144" t="s">
        <v>268</v>
      </c>
      <c r="K517" s="134"/>
      <c r="L517" s="134"/>
      <c r="M517" s="134"/>
      <c r="N517" s="134"/>
      <c r="O517" s="134"/>
      <c r="P517" s="135" t="s">
        <v>128</v>
      </c>
      <c r="Q517" s="148">
        <v>915.52200000000005</v>
      </c>
      <c r="R517" s="148">
        <v>915.52200000000005</v>
      </c>
      <c r="S517" s="135"/>
      <c r="T517" s="149">
        <f>IFERROR(INDEX('Price List'!$G$5:$G$74,MATCH(TRIM(J517)&amp;"|"&amp;TRIM(P517),'Price List'!$O$5:$O$74,0)),0)</f>
        <v>2.5</v>
      </c>
      <c r="U517" s="150">
        <f>IFERROR(INDEX('Price List'!$H$5:$H$74,MATCH(TRIM(J517)&amp;"|"&amp;TRIM(P517),'Price List'!$O$5:$O$74,0)),0)</f>
        <v>0.2</v>
      </c>
      <c r="V517" s="141">
        <f t="shared" si="44"/>
        <v>3</v>
      </c>
      <c r="W517" s="151">
        <f>IFERROR(INDEX('Price List'!$J$5:$J$74,MATCH(TRIM(J517)&amp;"|"&amp;TRIM(P517),'Price List'!$O$5:$O$74,0)),0)</f>
        <v>2</v>
      </c>
      <c r="X517" s="152">
        <f>IFERROR(INDEX('Price List'!$K$5:$K$74,MATCH(TRIM(J517)&amp;"|"&amp;TRIM(P517),'Price List'!$O$5:$O$74,0)),0)</f>
        <v>0.12</v>
      </c>
      <c r="Y517" s="141">
        <f t="shared" si="45"/>
        <v>2.2400000000000002</v>
      </c>
      <c r="Z517" s="141">
        <f t="shared" si="46"/>
        <v>4797.3352800000002</v>
      </c>
      <c r="AA517" s="134"/>
    </row>
    <row r="518" spans="1:27" ht="12" customHeight="1" x14ac:dyDescent="0.35">
      <c r="A518" s="134"/>
      <c r="B518" s="134"/>
      <c r="C518" s="134" t="s">
        <v>689</v>
      </c>
      <c r="D518" s="136" t="str">
        <f t="shared" si="43"/>
        <v>D.01</v>
      </c>
      <c r="E518" s="135" t="s">
        <v>414</v>
      </c>
      <c r="F518" s="135" t="s">
        <v>668</v>
      </c>
      <c r="G518" s="134" t="s">
        <v>697</v>
      </c>
      <c r="H518" s="134" t="s">
        <v>696</v>
      </c>
      <c r="I518" s="134" t="s">
        <v>696</v>
      </c>
      <c r="J518" s="144" t="s">
        <v>268</v>
      </c>
      <c r="K518" s="134"/>
      <c r="L518" s="134"/>
      <c r="M518" s="134"/>
      <c r="N518" s="134"/>
      <c r="O518" s="134"/>
      <c r="P518" s="135" t="s">
        <v>128</v>
      </c>
      <c r="Q518" s="148">
        <v>1119.576</v>
      </c>
      <c r="R518" s="148">
        <v>1119.576</v>
      </c>
      <c r="S518" s="135"/>
      <c r="T518" s="149">
        <f>IFERROR(INDEX('Price List'!$G$5:$G$74,MATCH(TRIM(J518)&amp;"|"&amp;TRIM(P518),'Price List'!$O$5:$O$74,0)),0)</f>
        <v>2.5</v>
      </c>
      <c r="U518" s="150">
        <f>IFERROR(INDEX('Price List'!$H$5:$H$74,MATCH(TRIM(J518)&amp;"|"&amp;TRIM(P518),'Price List'!$O$5:$O$74,0)),0)</f>
        <v>0.2</v>
      </c>
      <c r="V518" s="141">
        <f t="shared" si="44"/>
        <v>3</v>
      </c>
      <c r="W518" s="151">
        <f>IFERROR(INDEX('Price List'!$J$5:$J$74,MATCH(TRIM(J518)&amp;"|"&amp;TRIM(P518),'Price List'!$O$5:$O$74,0)),0)</f>
        <v>2</v>
      </c>
      <c r="X518" s="152">
        <f>IFERROR(INDEX('Price List'!$K$5:$K$74,MATCH(TRIM(J518)&amp;"|"&amp;TRIM(P518),'Price List'!$O$5:$O$74,0)),0)</f>
        <v>0.12</v>
      </c>
      <c r="Y518" s="141">
        <f t="shared" si="45"/>
        <v>2.2400000000000002</v>
      </c>
      <c r="Z518" s="141">
        <f t="shared" si="46"/>
        <v>5866.5782400000007</v>
      </c>
      <c r="AA518" s="134"/>
    </row>
    <row r="519" spans="1:27" ht="12" customHeight="1" x14ac:dyDescent="0.35">
      <c r="A519" s="134"/>
      <c r="B519" s="134"/>
      <c r="C519" s="134" t="s">
        <v>689</v>
      </c>
      <c r="D519" s="136" t="str">
        <f t="shared" si="43"/>
        <v>C.02</v>
      </c>
      <c r="E519" s="135" t="s">
        <v>414</v>
      </c>
      <c r="F519" s="135" t="s">
        <v>668</v>
      </c>
      <c r="G519" s="134" t="s">
        <v>35</v>
      </c>
      <c r="H519" s="134" t="s">
        <v>272</v>
      </c>
      <c r="I519" s="134" t="s">
        <v>272</v>
      </c>
      <c r="J519" s="144" t="s">
        <v>272</v>
      </c>
      <c r="K519" s="134"/>
      <c r="L519" s="134"/>
      <c r="M519" s="134"/>
      <c r="N519" s="134"/>
      <c r="O519" s="134"/>
      <c r="P519" s="135" t="s">
        <v>128</v>
      </c>
      <c r="Q519" s="148">
        <v>915.52200000000005</v>
      </c>
      <c r="R519" s="148">
        <v>915.52200000000005</v>
      </c>
      <c r="S519" s="135"/>
      <c r="T519" s="149">
        <f>IFERROR(INDEX('Price List'!$G$5:$G$74,MATCH(TRIM(J519)&amp;"|"&amp;TRIM(P519),'Price List'!$O$5:$O$74,0)),0)</f>
        <v>1.5</v>
      </c>
      <c r="U519" s="150">
        <f>IFERROR(INDEX('Price List'!$H$5:$H$74,MATCH(TRIM(J519)&amp;"|"&amp;TRIM(P519),'Price List'!$O$5:$O$74,0)),0)</f>
        <v>0.2</v>
      </c>
      <c r="V519" s="141">
        <f t="shared" si="44"/>
        <v>1.7999999999999998</v>
      </c>
      <c r="W519" s="151">
        <f>IFERROR(INDEX('Price List'!$J$5:$J$74,MATCH(TRIM(J519)&amp;"|"&amp;TRIM(P519),'Price List'!$O$5:$O$74,0)),0)</f>
        <v>2.5</v>
      </c>
      <c r="X519" s="152">
        <f>IFERROR(INDEX('Price List'!$K$5:$K$74,MATCH(TRIM(J519)&amp;"|"&amp;TRIM(P519),'Price List'!$O$5:$O$74,0)),0)</f>
        <v>0.12</v>
      </c>
      <c r="Y519" s="141">
        <f t="shared" si="45"/>
        <v>2.8000000000000003</v>
      </c>
      <c r="Z519" s="141">
        <f t="shared" si="46"/>
        <v>4211.4012000000002</v>
      </c>
      <c r="AA519" s="134"/>
    </row>
    <row r="520" spans="1:27" ht="12" customHeight="1" x14ac:dyDescent="0.35">
      <c r="A520" s="134"/>
      <c r="B520" s="134"/>
      <c r="C520" s="134" t="s">
        <v>689</v>
      </c>
      <c r="D520" s="136" t="str">
        <f t="shared" si="43"/>
        <v>D.01</v>
      </c>
      <c r="E520" s="135" t="s">
        <v>414</v>
      </c>
      <c r="F520" s="135" t="s">
        <v>668</v>
      </c>
      <c r="G520" s="134" t="s">
        <v>697</v>
      </c>
      <c r="H520" s="134" t="s">
        <v>272</v>
      </c>
      <c r="I520" s="134" t="s">
        <v>272</v>
      </c>
      <c r="J520" s="144" t="s">
        <v>272</v>
      </c>
      <c r="K520" s="134"/>
      <c r="L520" s="134"/>
      <c r="M520" s="134"/>
      <c r="N520" s="134"/>
      <c r="O520" s="134"/>
      <c r="P520" s="135" t="s">
        <v>128</v>
      </c>
      <c r="Q520" s="148">
        <v>1119.576</v>
      </c>
      <c r="R520" s="148">
        <v>1119.576</v>
      </c>
      <c r="S520" s="135"/>
      <c r="T520" s="149">
        <f>IFERROR(INDEX('Price List'!$G$5:$G$74,MATCH(TRIM(J520)&amp;"|"&amp;TRIM(P520),'Price List'!$O$5:$O$74,0)),0)</f>
        <v>1.5</v>
      </c>
      <c r="U520" s="150">
        <f>IFERROR(INDEX('Price List'!$H$5:$H$74,MATCH(TRIM(J520)&amp;"|"&amp;TRIM(P520),'Price List'!$O$5:$O$74,0)),0)</f>
        <v>0.2</v>
      </c>
      <c r="V520" s="141">
        <f t="shared" si="44"/>
        <v>1.7999999999999998</v>
      </c>
      <c r="W520" s="151">
        <f>IFERROR(INDEX('Price List'!$J$5:$J$74,MATCH(TRIM(J520)&amp;"|"&amp;TRIM(P520),'Price List'!$O$5:$O$74,0)),0)</f>
        <v>2.5</v>
      </c>
      <c r="X520" s="152">
        <f>IFERROR(INDEX('Price List'!$K$5:$K$74,MATCH(TRIM(J520)&amp;"|"&amp;TRIM(P520),'Price List'!$O$5:$O$74,0)),0)</f>
        <v>0.12</v>
      </c>
      <c r="Y520" s="141">
        <f t="shared" si="45"/>
        <v>2.8000000000000003</v>
      </c>
      <c r="Z520" s="141">
        <f t="shared" si="46"/>
        <v>5150.0495999999994</v>
      </c>
      <c r="AA520" s="134"/>
    </row>
    <row r="521" spans="1:27" ht="12" customHeight="1" x14ac:dyDescent="0.35">
      <c r="A521" s="134"/>
      <c r="B521" s="134"/>
      <c r="C521" s="134" t="s">
        <v>689</v>
      </c>
      <c r="D521" s="136" t="str">
        <f t="shared" si="43"/>
        <v>C.01</v>
      </c>
      <c r="E521" s="135" t="s">
        <v>414</v>
      </c>
      <c r="F521" s="135" t="s">
        <v>669</v>
      </c>
      <c r="G521" s="134" t="s">
        <v>690</v>
      </c>
      <c r="H521" s="134" t="s">
        <v>691</v>
      </c>
      <c r="I521" s="134" t="s">
        <v>692</v>
      </c>
      <c r="J521" s="144" t="s">
        <v>252</v>
      </c>
      <c r="K521" s="134"/>
      <c r="L521" s="134"/>
      <c r="M521" s="134"/>
      <c r="N521" s="134"/>
      <c r="O521" s="134"/>
      <c r="P521" s="135" t="s">
        <v>128</v>
      </c>
      <c r="Q521" s="148">
        <v>19.193999999999999</v>
      </c>
      <c r="R521" s="148">
        <v>19.193999999999999</v>
      </c>
      <c r="S521" s="135"/>
      <c r="T521" s="149">
        <f>IFERROR(INDEX('Price List'!$G$5:$G$74,MATCH(TRIM(J521)&amp;"|"&amp;TRIM(P521),'Price List'!$O$5:$O$74,0)),0)</f>
        <v>8.5</v>
      </c>
      <c r="U521" s="150">
        <f>IFERROR(INDEX('Price List'!$H$5:$H$74,MATCH(TRIM(J521)&amp;"|"&amp;TRIM(P521),'Price List'!$O$5:$O$74,0)),0)</f>
        <v>0.2</v>
      </c>
      <c r="V521" s="141">
        <f t="shared" si="44"/>
        <v>10.199999999999999</v>
      </c>
      <c r="W521" s="151">
        <f>IFERROR(INDEX('Price List'!$J$5:$J$74,MATCH(TRIM(J521)&amp;"|"&amp;TRIM(P521),'Price List'!$O$5:$O$74,0)),0)</f>
        <v>25</v>
      </c>
      <c r="X521" s="152">
        <f>IFERROR(INDEX('Price List'!$K$5:$K$74,MATCH(TRIM(J521)&amp;"|"&amp;TRIM(P521),'Price List'!$O$5:$O$74,0)),0)</f>
        <v>0.12</v>
      </c>
      <c r="Y521" s="141">
        <f t="shared" si="45"/>
        <v>28.000000000000004</v>
      </c>
      <c r="Z521" s="141">
        <f t="shared" si="46"/>
        <v>733.21080000000006</v>
      </c>
      <c r="AA521" s="134"/>
    </row>
    <row r="522" spans="1:27" ht="12" customHeight="1" x14ac:dyDescent="0.35">
      <c r="A522" s="134"/>
      <c r="B522" s="134"/>
      <c r="C522" s="134" t="s">
        <v>689</v>
      </c>
      <c r="D522" s="136" t="str">
        <f t="shared" si="43"/>
        <v>C.01</v>
      </c>
      <c r="E522" s="135" t="s">
        <v>414</v>
      </c>
      <c r="F522" s="135" t="s">
        <v>669</v>
      </c>
      <c r="G522" s="134" t="s">
        <v>690</v>
      </c>
      <c r="H522" s="134" t="s">
        <v>691</v>
      </c>
      <c r="I522" s="134" t="s">
        <v>693</v>
      </c>
      <c r="J522" s="144" t="s">
        <v>254</v>
      </c>
      <c r="K522" s="134"/>
      <c r="L522" s="134"/>
      <c r="M522" s="134"/>
      <c r="N522" s="134"/>
      <c r="O522" s="134"/>
      <c r="P522" s="135" t="s">
        <v>128</v>
      </c>
      <c r="Q522" s="148">
        <v>420.92700000000002</v>
      </c>
      <c r="R522" s="148">
        <v>420.92700000000002</v>
      </c>
      <c r="S522" s="135"/>
      <c r="T522" s="149">
        <f>IFERROR(INDEX('Price List'!$G$5:$G$74,MATCH(TRIM(J522)&amp;"|"&amp;TRIM(P522),'Price List'!$O$5:$O$74,0)),0)</f>
        <v>4.5</v>
      </c>
      <c r="U522" s="150">
        <f>IFERROR(INDEX('Price List'!$H$5:$H$74,MATCH(TRIM(J522)&amp;"|"&amp;TRIM(P522),'Price List'!$O$5:$O$74,0)),0)</f>
        <v>0.2</v>
      </c>
      <c r="V522" s="141">
        <f t="shared" si="44"/>
        <v>5.3999999999999995</v>
      </c>
      <c r="W522" s="151">
        <f>IFERROR(INDEX('Price List'!$J$5:$J$74,MATCH(TRIM(J522)&amp;"|"&amp;TRIM(P522),'Price List'!$O$5:$O$74,0)),0)</f>
        <v>11</v>
      </c>
      <c r="X522" s="152">
        <f>IFERROR(INDEX('Price List'!$K$5:$K$74,MATCH(TRIM(J522)&amp;"|"&amp;TRIM(P522),'Price List'!$O$5:$O$74,0)),0)</f>
        <v>0.12</v>
      </c>
      <c r="Y522" s="141">
        <f t="shared" si="45"/>
        <v>12.32</v>
      </c>
      <c r="Z522" s="141">
        <f t="shared" si="46"/>
        <v>7458.8264399999998</v>
      </c>
      <c r="AA522" s="134"/>
    </row>
    <row r="523" spans="1:27" ht="12" customHeight="1" x14ac:dyDescent="0.35">
      <c r="A523" s="134"/>
      <c r="B523" s="134"/>
      <c r="C523" s="134" t="s">
        <v>689</v>
      </c>
      <c r="D523" s="136" t="str">
        <f t="shared" si="43"/>
        <v>C.01</v>
      </c>
      <c r="E523" s="135" t="s">
        <v>414</v>
      </c>
      <c r="F523" s="135" t="s">
        <v>669</v>
      </c>
      <c r="G523" s="134" t="s">
        <v>690</v>
      </c>
      <c r="H523" s="134" t="s">
        <v>691</v>
      </c>
      <c r="I523" s="134" t="s">
        <v>698</v>
      </c>
      <c r="J523" s="144" t="s">
        <v>256</v>
      </c>
      <c r="K523" s="134"/>
      <c r="L523" s="134"/>
      <c r="M523" s="134"/>
      <c r="N523" s="134"/>
      <c r="O523" s="134"/>
      <c r="P523" s="135" t="s">
        <v>128</v>
      </c>
      <c r="Q523" s="148">
        <v>17.64</v>
      </c>
      <c r="R523" s="148">
        <v>17.64</v>
      </c>
      <c r="S523" s="135"/>
      <c r="T523" s="149">
        <f>IFERROR(INDEX('Price List'!$G$5:$G$74,MATCH(TRIM(J523)&amp;"|"&amp;TRIM(P523),'Price List'!$O$5:$O$74,0)),0)</f>
        <v>12</v>
      </c>
      <c r="U523" s="150">
        <f>IFERROR(INDEX('Price List'!$H$5:$H$74,MATCH(TRIM(J523)&amp;"|"&amp;TRIM(P523),'Price List'!$O$5:$O$74,0)),0)</f>
        <v>0.2</v>
      </c>
      <c r="V523" s="141">
        <f t="shared" si="44"/>
        <v>14.399999999999999</v>
      </c>
      <c r="W523" s="151">
        <f>IFERROR(INDEX('Price List'!$J$5:$J$74,MATCH(TRIM(J523)&amp;"|"&amp;TRIM(P523),'Price List'!$O$5:$O$74,0)),0)</f>
        <v>38</v>
      </c>
      <c r="X523" s="152">
        <f>IFERROR(INDEX('Price List'!$K$5:$K$74,MATCH(TRIM(J523)&amp;"|"&amp;TRIM(P523),'Price List'!$O$5:$O$74,0)),0)</f>
        <v>0.12</v>
      </c>
      <c r="Y523" s="141">
        <f t="shared" si="45"/>
        <v>42.56</v>
      </c>
      <c r="Z523" s="141">
        <f t="shared" si="46"/>
        <v>1004.7744</v>
      </c>
      <c r="AA523" s="134"/>
    </row>
    <row r="524" spans="1:27" ht="12" customHeight="1" x14ac:dyDescent="0.35">
      <c r="A524" s="134"/>
      <c r="B524" s="134"/>
      <c r="C524" s="134" t="s">
        <v>689</v>
      </c>
      <c r="D524" s="136" t="str">
        <f t="shared" si="43"/>
        <v>C.09</v>
      </c>
      <c r="E524" s="135" t="s">
        <v>414</v>
      </c>
      <c r="F524" s="135" t="s">
        <v>669</v>
      </c>
      <c r="G524" s="134" t="s">
        <v>694</v>
      </c>
      <c r="H524" s="134" t="s">
        <v>691</v>
      </c>
      <c r="I524" s="134" t="s">
        <v>695</v>
      </c>
      <c r="J524" s="144" t="s">
        <v>297</v>
      </c>
      <c r="K524" s="134"/>
      <c r="L524" s="134"/>
      <c r="M524" s="134"/>
      <c r="N524" s="134"/>
      <c r="O524" s="134"/>
      <c r="P524" s="135" t="s">
        <v>128</v>
      </c>
      <c r="Q524" s="148">
        <v>84.012</v>
      </c>
      <c r="R524" s="148">
        <v>84.012</v>
      </c>
      <c r="S524" s="135"/>
      <c r="T524" s="149">
        <f>IFERROR(INDEX('Price List'!$G$5:$G$74,MATCH(TRIM(J524)&amp;"|"&amp;TRIM(P524),'Price List'!$O$5:$O$74,0)),0)</f>
        <v>3</v>
      </c>
      <c r="U524" s="150">
        <f>IFERROR(INDEX('Price List'!$H$5:$H$74,MATCH(TRIM(J524)&amp;"|"&amp;TRIM(P524),'Price List'!$O$5:$O$74,0)),0)</f>
        <v>0.2</v>
      </c>
      <c r="V524" s="141">
        <f t="shared" si="44"/>
        <v>3.5999999999999996</v>
      </c>
      <c r="W524" s="151">
        <f>IFERROR(INDEX('Price List'!$J$5:$J$74,MATCH(TRIM(J524)&amp;"|"&amp;TRIM(P524),'Price List'!$O$5:$O$74,0)),0)</f>
        <v>6</v>
      </c>
      <c r="X524" s="152">
        <f>IFERROR(INDEX('Price List'!$K$5:$K$74,MATCH(TRIM(J524)&amp;"|"&amp;TRIM(P524),'Price List'!$O$5:$O$74,0)),0)</f>
        <v>0.12</v>
      </c>
      <c r="Y524" s="141">
        <f t="shared" si="45"/>
        <v>6.7200000000000006</v>
      </c>
      <c r="Z524" s="141">
        <f t="shared" si="46"/>
        <v>867.00384000000008</v>
      </c>
      <c r="AA524" s="134"/>
    </row>
    <row r="525" spans="1:27" ht="12" customHeight="1" x14ac:dyDescent="0.35">
      <c r="A525" s="134"/>
      <c r="B525" s="134"/>
      <c r="C525" s="134" t="s">
        <v>689</v>
      </c>
      <c r="D525" s="136" t="str">
        <f t="shared" si="43"/>
        <v>C.09</v>
      </c>
      <c r="E525" s="135" t="s">
        <v>414</v>
      </c>
      <c r="F525" s="135" t="s">
        <v>669</v>
      </c>
      <c r="G525" s="134" t="s">
        <v>694</v>
      </c>
      <c r="H525" s="134" t="s">
        <v>691</v>
      </c>
      <c r="I525" s="134" t="s">
        <v>693</v>
      </c>
      <c r="J525" s="144" t="s">
        <v>254</v>
      </c>
      <c r="K525" s="134"/>
      <c r="L525" s="134"/>
      <c r="M525" s="134"/>
      <c r="N525" s="134"/>
      <c r="O525" s="134"/>
      <c r="P525" s="135" t="s">
        <v>128</v>
      </c>
      <c r="Q525" s="148">
        <v>475.77600000000001</v>
      </c>
      <c r="R525" s="148">
        <v>475.77600000000001</v>
      </c>
      <c r="S525" s="135"/>
      <c r="T525" s="149">
        <f>IFERROR(INDEX('Price List'!$G$5:$G$74,MATCH(TRIM(J525)&amp;"|"&amp;TRIM(P525),'Price List'!$O$5:$O$74,0)),0)</f>
        <v>4.5</v>
      </c>
      <c r="U525" s="150">
        <f>IFERROR(INDEX('Price List'!$H$5:$H$74,MATCH(TRIM(J525)&amp;"|"&amp;TRIM(P525),'Price List'!$O$5:$O$74,0)),0)</f>
        <v>0.2</v>
      </c>
      <c r="V525" s="141">
        <f t="shared" si="44"/>
        <v>5.3999999999999995</v>
      </c>
      <c r="W525" s="151">
        <f>IFERROR(INDEX('Price List'!$J$5:$J$74,MATCH(TRIM(J525)&amp;"|"&amp;TRIM(P525),'Price List'!$O$5:$O$74,0)),0)</f>
        <v>11</v>
      </c>
      <c r="X525" s="152">
        <f>IFERROR(INDEX('Price List'!$K$5:$K$74,MATCH(TRIM(J525)&amp;"|"&amp;TRIM(P525),'Price List'!$O$5:$O$74,0)),0)</f>
        <v>0.12</v>
      </c>
      <c r="Y525" s="141">
        <f t="shared" si="45"/>
        <v>12.32</v>
      </c>
      <c r="Z525" s="141">
        <f t="shared" si="46"/>
        <v>8430.75072</v>
      </c>
      <c r="AA525" s="134"/>
    </row>
    <row r="526" spans="1:27" ht="12" customHeight="1" x14ac:dyDescent="0.35">
      <c r="A526" s="134"/>
      <c r="B526" s="134"/>
      <c r="C526" s="134" t="s">
        <v>689</v>
      </c>
      <c r="D526" s="136" t="str">
        <f t="shared" si="43"/>
        <v>C.02</v>
      </c>
      <c r="E526" s="135" t="s">
        <v>414</v>
      </c>
      <c r="F526" s="135" t="s">
        <v>669</v>
      </c>
      <c r="G526" s="134" t="s">
        <v>35</v>
      </c>
      <c r="H526" s="134" t="s">
        <v>696</v>
      </c>
      <c r="I526" s="134" t="s">
        <v>696</v>
      </c>
      <c r="J526" s="144" t="s">
        <v>268</v>
      </c>
      <c r="K526" s="134"/>
      <c r="L526" s="134"/>
      <c r="M526" s="134"/>
      <c r="N526" s="134"/>
      <c r="O526" s="134"/>
      <c r="P526" s="135" t="s">
        <v>128</v>
      </c>
      <c r="Q526" s="148">
        <v>915.52200000000005</v>
      </c>
      <c r="R526" s="148">
        <v>915.52200000000005</v>
      </c>
      <c r="S526" s="135"/>
      <c r="T526" s="149">
        <f>IFERROR(INDEX('Price List'!$G$5:$G$74,MATCH(TRIM(J526)&amp;"|"&amp;TRIM(P526),'Price List'!$O$5:$O$74,0)),0)</f>
        <v>2.5</v>
      </c>
      <c r="U526" s="150">
        <f>IFERROR(INDEX('Price List'!$H$5:$H$74,MATCH(TRIM(J526)&amp;"|"&amp;TRIM(P526),'Price List'!$O$5:$O$74,0)),0)</f>
        <v>0.2</v>
      </c>
      <c r="V526" s="141">
        <f t="shared" si="44"/>
        <v>3</v>
      </c>
      <c r="W526" s="151">
        <f>IFERROR(INDEX('Price List'!$J$5:$J$74,MATCH(TRIM(J526)&amp;"|"&amp;TRIM(P526),'Price List'!$O$5:$O$74,0)),0)</f>
        <v>2</v>
      </c>
      <c r="X526" s="152">
        <f>IFERROR(INDEX('Price List'!$K$5:$K$74,MATCH(TRIM(J526)&amp;"|"&amp;TRIM(P526),'Price List'!$O$5:$O$74,0)),0)</f>
        <v>0.12</v>
      </c>
      <c r="Y526" s="141">
        <f t="shared" si="45"/>
        <v>2.2400000000000002</v>
      </c>
      <c r="Z526" s="141">
        <f t="shared" si="46"/>
        <v>4797.3352800000002</v>
      </c>
      <c r="AA526" s="134"/>
    </row>
    <row r="527" spans="1:27" ht="12" customHeight="1" x14ac:dyDescent="0.35">
      <c r="A527" s="134"/>
      <c r="B527" s="134"/>
      <c r="C527" s="134" t="s">
        <v>689</v>
      </c>
      <c r="D527" s="136" t="str">
        <f t="shared" si="43"/>
        <v>D.01</v>
      </c>
      <c r="E527" s="135" t="s">
        <v>414</v>
      </c>
      <c r="F527" s="135" t="s">
        <v>669</v>
      </c>
      <c r="G527" s="134" t="s">
        <v>697</v>
      </c>
      <c r="H527" s="134" t="s">
        <v>696</v>
      </c>
      <c r="I527" s="134" t="s">
        <v>696</v>
      </c>
      <c r="J527" s="144" t="s">
        <v>268</v>
      </c>
      <c r="K527" s="134"/>
      <c r="L527" s="134"/>
      <c r="M527" s="134"/>
      <c r="N527" s="134"/>
      <c r="O527" s="134"/>
      <c r="P527" s="135" t="s">
        <v>128</v>
      </c>
      <c r="Q527" s="148">
        <v>1119.576</v>
      </c>
      <c r="R527" s="148">
        <v>1119.576</v>
      </c>
      <c r="S527" s="135"/>
      <c r="T527" s="149">
        <f>IFERROR(INDEX('Price List'!$G$5:$G$74,MATCH(TRIM(J527)&amp;"|"&amp;TRIM(P527),'Price List'!$O$5:$O$74,0)),0)</f>
        <v>2.5</v>
      </c>
      <c r="U527" s="150">
        <f>IFERROR(INDEX('Price List'!$H$5:$H$74,MATCH(TRIM(J527)&amp;"|"&amp;TRIM(P527),'Price List'!$O$5:$O$74,0)),0)</f>
        <v>0.2</v>
      </c>
      <c r="V527" s="141">
        <f t="shared" si="44"/>
        <v>3</v>
      </c>
      <c r="W527" s="151">
        <f>IFERROR(INDEX('Price List'!$J$5:$J$74,MATCH(TRIM(J527)&amp;"|"&amp;TRIM(P527),'Price List'!$O$5:$O$74,0)),0)</f>
        <v>2</v>
      </c>
      <c r="X527" s="152">
        <f>IFERROR(INDEX('Price List'!$K$5:$K$74,MATCH(TRIM(J527)&amp;"|"&amp;TRIM(P527),'Price List'!$O$5:$O$74,0)),0)</f>
        <v>0.12</v>
      </c>
      <c r="Y527" s="141">
        <f t="shared" si="45"/>
        <v>2.2400000000000002</v>
      </c>
      <c r="Z527" s="141">
        <f t="shared" si="46"/>
        <v>5866.5782400000007</v>
      </c>
      <c r="AA527" s="134"/>
    </row>
    <row r="528" spans="1:27" ht="12" customHeight="1" x14ac:dyDescent="0.35">
      <c r="A528" s="134"/>
      <c r="B528" s="134"/>
      <c r="C528" s="134" t="s">
        <v>689</v>
      </c>
      <c r="D528" s="136" t="str">
        <f t="shared" si="43"/>
        <v>C.02</v>
      </c>
      <c r="E528" s="135" t="s">
        <v>414</v>
      </c>
      <c r="F528" s="135" t="s">
        <v>669</v>
      </c>
      <c r="G528" s="134" t="s">
        <v>35</v>
      </c>
      <c r="H528" s="134" t="s">
        <v>272</v>
      </c>
      <c r="I528" s="134" t="s">
        <v>272</v>
      </c>
      <c r="J528" s="144" t="s">
        <v>272</v>
      </c>
      <c r="K528" s="134"/>
      <c r="L528" s="134"/>
      <c r="M528" s="134"/>
      <c r="N528" s="134"/>
      <c r="O528" s="134"/>
      <c r="P528" s="135" t="s">
        <v>128</v>
      </c>
      <c r="Q528" s="148">
        <v>915.52200000000005</v>
      </c>
      <c r="R528" s="148">
        <v>915.52200000000005</v>
      </c>
      <c r="S528" s="135"/>
      <c r="T528" s="149">
        <f>IFERROR(INDEX('Price List'!$G$5:$G$74,MATCH(TRIM(J528)&amp;"|"&amp;TRIM(P528),'Price List'!$O$5:$O$74,0)),0)</f>
        <v>1.5</v>
      </c>
      <c r="U528" s="150">
        <f>IFERROR(INDEX('Price List'!$H$5:$H$74,MATCH(TRIM(J528)&amp;"|"&amp;TRIM(P528),'Price List'!$O$5:$O$74,0)),0)</f>
        <v>0.2</v>
      </c>
      <c r="V528" s="141">
        <f t="shared" si="44"/>
        <v>1.7999999999999998</v>
      </c>
      <c r="W528" s="151">
        <f>IFERROR(INDEX('Price List'!$J$5:$J$74,MATCH(TRIM(J528)&amp;"|"&amp;TRIM(P528),'Price List'!$O$5:$O$74,0)),0)</f>
        <v>2.5</v>
      </c>
      <c r="X528" s="152">
        <f>IFERROR(INDEX('Price List'!$K$5:$K$74,MATCH(TRIM(J528)&amp;"|"&amp;TRIM(P528),'Price List'!$O$5:$O$74,0)),0)</f>
        <v>0.12</v>
      </c>
      <c r="Y528" s="141">
        <f t="shared" si="45"/>
        <v>2.8000000000000003</v>
      </c>
      <c r="Z528" s="141">
        <f t="shared" si="46"/>
        <v>4211.4012000000002</v>
      </c>
      <c r="AA528" s="134"/>
    </row>
    <row r="529" spans="1:27" ht="12" customHeight="1" x14ac:dyDescent="0.35">
      <c r="A529" s="134"/>
      <c r="B529" s="134"/>
      <c r="C529" s="134" t="s">
        <v>689</v>
      </c>
      <c r="D529" s="136" t="str">
        <f t="shared" si="43"/>
        <v>D.01</v>
      </c>
      <c r="E529" s="135" t="s">
        <v>414</v>
      </c>
      <c r="F529" s="135" t="s">
        <v>669</v>
      </c>
      <c r="G529" s="134" t="s">
        <v>697</v>
      </c>
      <c r="H529" s="134" t="s">
        <v>272</v>
      </c>
      <c r="I529" s="134" t="s">
        <v>272</v>
      </c>
      <c r="J529" s="144" t="s">
        <v>272</v>
      </c>
      <c r="K529" s="134"/>
      <c r="L529" s="134"/>
      <c r="M529" s="134"/>
      <c r="N529" s="134"/>
      <c r="O529" s="134"/>
      <c r="P529" s="135" t="s">
        <v>128</v>
      </c>
      <c r="Q529" s="148">
        <v>1119.576</v>
      </c>
      <c r="R529" s="148">
        <v>1119.576</v>
      </c>
      <c r="S529" s="135"/>
      <c r="T529" s="149">
        <f>IFERROR(INDEX('Price List'!$G$5:$G$74,MATCH(TRIM(J529)&amp;"|"&amp;TRIM(P529),'Price List'!$O$5:$O$74,0)),0)</f>
        <v>1.5</v>
      </c>
      <c r="U529" s="150">
        <f>IFERROR(INDEX('Price List'!$H$5:$H$74,MATCH(TRIM(J529)&amp;"|"&amp;TRIM(P529),'Price List'!$O$5:$O$74,0)),0)</f>
        <v>0.2</v>
      </c>
      <c r="V529" s="141">
        <f t="shared" si="44"/>
        <v>1.7999999999999998</v>
      </c>
      <c r="W529" s="151">
        <f>IFERROR(INDEX('Price List'!$J$5:$J$74,MATCH(TRIM(J529)&amp;"|"&amp;TRIM(P529),'Price List'!$O$5:$O$74,0)),0)</f>
        <v>2.5</v>
      </c>
      <c r="X529" s="152">
        <f>IFERROR(INDEX('Price List'!$K$5:$K$74,MATCH(TRIM(J529)&amp;"|"&amp;TRIM(P529),'Price List'!$O$5:$O$74,0)),0)</f>
        <v>0.12</v>
      </c>
      <c r="Y529" s="141">
        <f t="shared" si="45"/>
        <v>2.8000000000000003</v>
      </c>
      <c r="Z529" s="141">
        <f t="shared" si="46"/>
        <v>5150.0495999999994</v>
      </c>
      <c r="AA529" s="134"/>
    </row>
    <row r="530" spans="1:27" ht="12" customHeight="1" x14ac:dyDescent="0.35">
      <c r="A530" s="134"/>
      <c r="B530" s="134"/>
      <c r="C530" s="134" t="s">
        <v>689</v>
      </c>
      <c r="D530" s="136" t="str">
        <f t="shared" si="43"/>
        <v>C.01</v>
      </c>
      <c r="E530" s="135" t="s">
        <v>414</v>
      </c>
      <c r="F530" s="135" t="s">
        <v>670</v>
      </c>
      <c r="G530" s="134" t="s">
        <v>690</v>
      </c>
      <c r="H530" s="134" t="s">
        <v>691</v>
      </c>
      <c r="I530" s="134" t="s">
        <v>692</v>
      </c>
      <c r="J530" s="144" t="s">
        <v>252</v>
      </c>
      <c r="K530" s="134"/>
      <c r="L530" s="134"/>
      <c r="M530" s="134"/>
      <c r="N530" s="134"/>
      <c r="O530" s="134"/>
      <c r="P530" s="135" t="s">
        <v>128</v>
      </c>
      <c r="Q530" s="148">
        <v>19.193999999999999</v>
      </c>
      <c r="R530" s="148">
        <v>19.193999999999999</v>
      </c>
      <c r="S530" s="135"/>
      <c r="T530" s="149">
        <f>IFERROR(INDEX('Price List'!$G$5:$G$74,MATCH(TRIM(J530)&amp;"|"&amp;TRIM(P530),'Price List'!$O$5:$O$74,0)),0)</f>
        <v>8.5</v>
      </c>
      <c r="U530" s="150">
        <f>IFERROR(INDEX('Price List'!$H$5:$H$74,MATCH(TRIM(J530)&amp;"|"&amp;TRIM(P530),'Price List'!$O$5:$O$74,0)),0)</f>
        <v>0.2</v>
      </c>
      <c r="V530" s="141">
        <f t="shared" si="44"/>
        <v>10.199999999999999</v>
      </c>
      <c r="W530" s="151">
        <f>IFERROR(INDEX('Price List'!$J$5:$J$74,MATCH(TRIM(J530)&amp;"|"&amp;TRIM(P530),'Price List'!$O$5:$O$74,0)),0)</f>
        <v>25</v>
      </c>
      <c r="X530" s="152">
        <f>IFERROR(INDEX('Price List'!$K$5:$K$74,MATCH(TRIM(J530)&amp;"|"&amp;TRIM(P530),'Price List'!$O$5:$O$74,0)),0)</f>
        <v>0.12</v>
      </c>
      <c r="Y530" s="141">
        <f t="shared" si="45"/>
        <v>28.000000000000004</v>
      </c>
      <c r="Z530" s="141">
        <f t="shared" si="46"/>
        <v>733.21080000000006</v>
      </c>
      <c r="AA530" s="134"/>
    </row>
    <row r="531" spans="1:27" ht="12" customHeight="1" x14ac:dyDescent="0.35">
      <c r="A531" s="134"/>
      <c r="B531" s="134"/>
      <c r="C531" s="134" t="s">
        <v>689</v>
      </c>
      <c r="D531" s="136" t="str">
        <f t="shared" si="43"/>
        <v>C.01</v>
      </c>
      <c r="E531" s="135" t="s">
        <v>414</v>
      </c>
      <c r="F531" s="135" t="s">
        <v>670</v>
      </c>
      <c r="G531" s="134" t="s">
        <v>690</v>
      </c>
      <c r="H531" s="134" t="s">
        <v>691</v>
      </c>
      <c r="I531" s="134" t="s">
        <v>693</v>
      </c>
      <c r="J531" s="144" t="s">
        <v>254</v>
      </c>
      <c r="K531" s="134"/>
      <c r="L531" s="134"/>
      <c r="M531" s="134"/>
      <c r="N531" s="134"/>
      <c r="O531" s="134"/>
      <c r="P531" s="135" t="s">
        <v>128</v>
      </c>
      <c r="Q531" s="148">
        <v>420.92700000000002</v>
      </c>
      <c r="R531" s="148">
        <v>420.92700000000002</v>
      </c>
      <c r="S531" s="135"/>
      <c r="T531" s="149">
        <f>IFERROR(INDEX('Price List'!$G$5:$G$74,MATCH(TRIM(J531)&amp;"|"&amp;TRIM(P531),'Price List'!$O$5:$O$74,0)),0)</f>
        <v>4.5</v>
      </c>
      <c r="U531" s="150">
        <f>IFERROR(INDEX('Price List'!$H$5:$H$74,MATCH(TRIM(J531)&amp;"|"&amp;TRIM(P531),'Price List'!$O$5:$O$74,0)),0)</f>
        <v>0.2</v>
      </c>
      <c r="V531" s="141">
        <f t="shared" si="44"/>
        <v>5.3999999999999995</v>
      </c>
      <c r="W531" s="151">
        <f>IFERROR(INDEX('Price List'!$J$5:$J$74,MATCH(TRIM(J531)&amp;"|"&amp;TRIM(P531),'Price List'!$O$5:$O$74,0)),0)</f>
        <v>11</v>
      </c>
      <c r="X531" s="152">
        <f>IFERROR(INDEX('Price List'!$K$5:$K$74,MATCH(TRIM(J531)&amp;"|"&amp;TRIM(P531),'Price List'!$O$5:$O$74,0)),0)</f>
        <v>0.12</v>
      </c>
      <c r="Y531" s="141">
        <f t="shared" si="45"/>
        <v>12.32</v>
      </c>
      <c r="Z531" s="141">
        <f t="shared" si="46"/>
        <v>7458.8264399999998</v>
      </c>
      <c r="AA531" s="134"/>
    </row>
    <row r="532" spans="1:27" ht="12" customHeight="1" x14ac:dyDescent="0.35">
      <c r="A532" s="134"/>
      <c r="B532" s="134"/>
      <c r="C532" s="134" t="s">
        <v>689</v>
      </c>
      <c r="D532" s="136" t="str">
        <f t="shared" si="43"/>
        <v>C.01</v>
      </c>
      <c r="E532" s="135" t="s">
        <v>414</v>
      </c>
      <c r="F532" s="135" t="s">
        <v>670</v>
      </c>
      <c r="G532" s="134" t="s">
        <v>690</v>
      </c>
      <c r="H532" s="134" t="s">
        <v>691</v>
      </c>
      <c r="I532" s="134" t="s">
        <v>698</v>
      </c>
      <c r="J532" s="144" t="s">
        <v>256</v>
      </c>
      <c r="K532" s="134"/>
      <c r="L532" s="134"/>
      <c r="M532" s="134"/>
      <c r="N532" s="134"/>
      <c r="O532" s="134"/>
      <c r="P532" s="135" t="s">
        <v>128</v>
      </c>
      <c r="Q532" s="148">
        <v>17.64</v>
      </c>
      <c r="R532" s="148">
        <v>17.64</v>
      </c>
      <c r="S532" s="135"/>
      <c r="T532" s="149">
        <f>IFERROR(INDEX('Price List'!$G$5:$G$74,MATCH(TRIM(J532)&amp;"|"&amp;TRIM(P532),'Price List'!$O$5:$O$74,0)),0)</f>
        <v>12</v>
      </c>
      <c r="U532" s="150">
        <f>IFERROR(INDEX('Price List'!$H$5:$H$74,MATCH(TRIM(J532)&amp;"|"&amp;TRIM(P532),'Price List'!$O$5:$O$74,0)),0)</f>
        <v>0.2</v>
      </c>
      <c r="V532" s="141">
        <f t="shared" si="44"/>
        <v>14.399999999999999</v>
      </c>
      <c r="W532" s="151">
        <f>IFERROR(INDEX('Price List'!$J$5:$J$74,MATCH(TRIM(J532)&amp;"|"&amp;TRIM(P532),'Price List'!$O$5:$O$74,0)),0)</f>
        <v>38</v>
      </c>
      <c r="X532" s="152">
        <f>IFERROR(INDEX('Price List'!$K$5:$K$74,MATCH(TRIM(J532)&amp;"|"&amp;TRIM(P532),'Price List'!$O$5:$O$74,0)),0)</f>
        <v>0.12</v>
      </c>
      <c r="Y532" s="141">
        <f t="shared" si="45"/>
        <v>42.56</v>
      </c>
      <c r="Z532" s="141">
        <f t="shared" si="46"/>
        <v>1004.7744</v>
      </c>
      <c r="AA532" s="134"/>
    </row>
    <row r="533" spans="1:27" ht="12" customHeight="1" x14ac:dyDescent="0.35">
      <c r="A533" s="134"/>
      <c r="B533" s="134"/>
      <c r="C533" s="134" t="s">
        <v>689</v>
      </c>
      <c r="D533" s="136" t="str">
        <f t="shared" si="43"/>
        <v>C.09</v>
      </c>
      <c r="E533" s="135" t="s">
        <v>414</v>
      </c>
      <c r="F533" s="135" t="s">
        <v>670</v>
      </c>
      <c r="G533" s="134" t="s">
        <v>694</v>
      </c>
      <c r="H533" s="134" t="s">
        <v>691</v>
      </c>
      <c r="I533" s="134" t="s">
        <v>695</v>
      </c>
      <c r="J533" s="144" t="s">
        <v>297</v>
      </c>
      <c r="K533" s="134"/>
      <c r="L533" s="134"/>
      <c r="M533" s="134"/>
      <c r="N533" s="134"/>
      <c r="O533" s="134"/>
      <c r="P533" s="135" t="s">
        <v>128</v>
      </c>
      <c r="Q533" s="148">
        <v>119.292</v>
      </c>
      <c r="R533" s="148">
        <v>119.292</v>
      </c>
      <c r="S533" s="135"/>
      <c r="T533" s="149">
        <f>IFERROR(INDEX('Price List'!$G$5:$G$74,MATCH(TRIM(J533)&amp;"|"&amp;TRIM(P533),'Price List'!$O$5:$O$74,0)),0)</f>
        <v>3</v>
      </c>
      <c r="U533" s="150">
        <f>IFERROR(INDEX('Price List'!$H$5:$H$74,MATCH(TRIM(J533)&amp;"|"&amp;TRIM(P533),'Price List'!$O$5:$O$74,0)),0)</f>
        <v>0.2</v>
      </c>
      <c r="V533" s="141">
        <f t="shared" si="44"/>
        <v>3.5999999999999996</v>
      </c>
      <c r="W533" s="151">
        <f>IFERROR(INDEX('Price List'!$J$5:$J$74,MATCH(TRIM(J533)&amp;"|"&amp;TRIM(P533),'Price List'!$O$5:$O$74,0)),0)</f>
        <v>6</v>
      </c>
      <c r="X533" s="152">
        <f>IFERROR(INDEX('Price List'!$K$5:$K$74,MATCH(TRIM(J533)&amp;"|"&amp;TRIM(P533),'Price List'!$O$5:$O$74,0)),0)</f>
        <v>0.12</v>
      </c>
      <c r="Y533" s="141">
        <f t="shared" si="45"/>
        <v>6.7200000000000006</v>
      </c>
      <c r="Z533" s="141">
        <f t="shared" si="46"/>
        <v>1231.0934400000001</v>
      </c>
      <c r="AA533" s="134"/>
    </row>
    <row r="534" spans="1:27" ht="12" customHeight="1" x14ac:dyDescent="0.35">
      <c r="A534" s="134"/>
      <c r="B534" s="134"/>
      <c r="C534" s="134" t="s">
        <v>689</v>
      </c>
      <c r="D534" s="136" t="str">
        <f t="shared" si="43"/>
        <v>C.09</v>
      </c>
      <c r="E534" s="135" t="s">
        <v>414</v>
      </c>
      <c r="F534" s="135" t="s">
        <v>670</v>
      </c>
      <c r="G534" s="134" t="s">
        <v>694</v>
      </c>
      <c r="H534" s="134" t="s">
        <v>691</v>
      </c>
      <c r="I534" s="134" t="s">
        <v>693</v>
      </c>
      <c r="J534" s="144" t="s">
        <v>254</v>
      </c>
      <c r="K534" s="134"/>
      <c r="L534" s="134"/>
      <c r="M534" s="134"/>
      <c r="N534" s="134"/>
      <c r="O534" s="134"/>
      <c r="P534" s="135" t="s">
        <v>128</v>
      </c>
      <c r="Q534" s="148">
        <v>224.82599999999999</v>
      </c>
      <c r="R534" s="148">
        <v>224.82599999999999</v>
      </c>
      <c r="S534" s="135"/>
      <c r="T534" s="149">
        <f>IFERROR(INDEX('Price List'!$G$5:$G$74,MATCH(TRIM(J534)&amp;"|"&amp;TRIM(P534),'Price List'!$O$5:$O$74,0)),0)</f>
        <v>4.5</v>
      </c>
      <c r="U534" s="150">
        <f>IFERROR(INDEX('Price List'!$H$5:$H$74,MATCH(TRIM(J534)&amp;"|"&amp;TRIM(P534),'Price List'!$O$5:$O$74,0)),0)</f>
        <v>0.2</v>
      </c>
      <c r="V534" s="141">
        <f t="shared" si="44"/>
        <v>5.3999999999999995</v>
      </c>
      <c r="W534" s="151">
        <f>IFERROR(INDEX('Price List'!$J$5:$J$74,MATCH(TRIM(J534)&amp;"|"&amp;TRIM(P534),'Price List'!$O$5:$O$74,0)),0)</f>
        <v>11</v>
      </c>
      <c r="X534" s="152">
        <f>IFERROR(INDEX('Price List'!$K$5:$K$74,MATCH(TRIM(J534)&amp;"|"&amp;TRIM(P534),'Price List'!$O$5:$O$74,0)),0)</f>
        <v>0.12</v>
      </c>
      <c r="Y534" s="141">
        <f t="shared" si="45"/>
        <v>12.32</v>
      </c>
      <c r="Z534" s="141">
        <f t="shared" si="46"/>
        <v>3983.9167199999997</v>
      </c>
      <c r="AA534" s="134"/>
    </row>
    <row r="535" spans="1:27" ht="12" customHeight="1" x14ac:dyDescent="0.35">
      <c r="A535" s="134"/>
      <c r="B535" s="134"/>
      <c r="C535" s="134" t="s">
        <v>689</v>
      </c>
      <c r="D535" s="136" t="str">
        <f t="shared" si="43"/>
        <v>C.02</v>
      </c>
      <c r="E535" s="135" t="s">
        <v>414</v>
      </c>
      <c r="F535" s="135" t="s">
        <v>670</v>
      </c>
      <c r="G535" s="134" t="s">
        <v>35</v>
      </c>
      <c r="H535" s="134" t="s">
        <v>696</v>
      </c>
      <c r="I535" s="134" t="s">
        <v>696</v>
      </c>
      <c r="J535" s="144" t="s">
        <v>268</v>
      </c>
      <c r="K535" s="134"/>
      <c r="L535" s="134"/>
      <c r="M535" s="134"/>
      <c r="N535" s="134"/>
      <c r="O535" s="134"/>
      <c r="P535" s="135" t="s">
        <v>128</v>
      </c>
      <c r="Q535" s="148">
        <v>915.52200000000005</v>
      </c>
      <c r="R535" s="148">
        <v>915.52200000000005</v>
      </c>
      <c r="S535" s="135"/>
      <c r="T535" s="149">
        <f>IFERROR(INDEX('Price List'!$G$5:$G$74,MATCH(TRIM(J535)&amp;"|"&amp;TRIM(P535),'Price List'!$O$5:$O$74,0)),0)</f>
        <v>2.5</v>
      </c>
      <c r="U535" s="150">
        <f>IFERROR(INDEX('Price List'!$H$5:$H$74,MATCH(TRIM(J535)&amp;"|"&amp;TRIM(P535),'Price List'!$O$5:$O$74,0)),0)</f>
        <v>0.2</v>
      </c>
      <c r="V535" s="141">
        <f t="shared" si="44"/>
        <v>3</v>
      </c>
      <c r="W535" s="151">
        <f>IFERROR(INDEX('Price List'!$J$5:$J$74,MATCH(TRIM(J535)&amp;"|"&amp;TRIM(P535),'Price List'!$O$5:$O$74,0)),0)</f>
        <v>2</v>
      </c>
      <c r="X535" s="152">
        <f>IFERROR(INDEX('Price List'!$K$5:$K$74,MATCH(TRIM(J535)&amp;"|"&amp;TRIM(P535),'Price List'!$O$5:$O$74,0)),0)</f>
        <v>0.12</v>
      </c>
      <c r="Y535" s="141">
        <f t="shared" si="45"/>
        <v>2.2400000000000002</v>
      </c>
      <c r="Z535" s="141">
        <f t="shared" si="46"/>
        <v>4797.3352800000002</v>
      </c>
      <c r="AA535" s="134"/>
    </row>
    <row r="536" spans="1:27" ht="12" customHeight="1" x14ac:dyDescent="0.35">
      <c r="A536" s="134"/>
      <c r="B536" s="134"/>
      <c r="C536" s="134" t="s">
        <v>689</v>
      </c>
      <c r="D536" s="136" t="str">
        <f t="shared" si="43"/>
        <v>D.01</v>
      </c>
      <c r="E536" s="135" t="s">
        <v>414</v>
      </c>
      <c r="F536" s="135" t="s">
        <v>670</v>
      </c>
      <c r="G536" s="134" t="s">
        <v>697</v>
      </c>
      <c r="H536" s="134" t="s">
        <v>696</v>
      </c>
      <c r="I536" s="134" t="s">
        <v>696</v>
      </c>
      <c r="J536" s="144" t="s">
        <v>268</v>
      </c>
      <c r="K536" s="134"/>
      <c r="L536" s="134"/>
      <c r="M536" s="134"/>
      <c r="N536" s="134"/>
      <c r="O536" s="134"/>
      <c r="P536" s="135" t="s">
        <v>128</v>
      </c>
      <c r="Q536" s="148">
        <v>688.23599999999999</v>
      </c>
      <c r="R536" s="148">
        <v>688.23599999999999</v>
      </c>
      <c r="S536" s="135"/>
      <c r="T536" s="149">
        <f>IFERROR(INDEX('Price List'!$G$5:$G$74,MATCH(TRIM(J536)&amp;"|"&amp;TRIM(P536),'Price List'!$O$5:$O$74,0)),0)</f>
        <v>2.5</v>
      </c>
      <c r="U536" s="150">
        <f>IFERROR(INDEX('Price List'!$H$5:$H$74,MATCH(TRIM(J536)&amp;"|"&amp;TRIM(P536),'Price List'!$O$5:$O$74,0)),0)</f>
        <v>0.2</v>
      </c>
      <c r="V536" s="141">
        <f t="shared" si="44"/>
        <v>3</v>
      </c>
      <c r="W536" s="151">
        <f>IFERROR(INDEX('Price List'!$J$5:$J$74,MATCH(TRIM(J536)&amp;"|"&amp;TRIM(P536),'Price List'!$O$5:$O$74,0)),0)</f>
        <v>2</v>
      </c>
      <c r="X536" s="152">
        <f>IFERROR(INDEX('Price List'!$K$5:$K$74,MATCH(TRIM(J536)&amp;"|"&amp;TRIM(P536),'Price List'!$O$5:$O$74,0)),0)</f>
        <v>0.12</v>
      </c>
      <c r="Y536" s="141">
        <f t="shared" si="45"/>
        <v>2.2400000000000002</v>
      </c>
      <c r="Z536" s="141">
        <f t="shared" si="46"/>
        <v>3606.35664</v>
      </c>
      <c r="AA536" s="134"/>
    </row>
    <row r="537" spans="1:27" ht="12" customHeight="1" x14ac:dyDescent="0.35">
      <c r="A537" s="134"/>
      <c r="B537" s="134"/>
      <c r="C537" s="134" t="s">
        <v>689</v>
      </c>
      <c r="D537" s="136" t="str">
        <f t="shared" si="43"/>
        <v>C.02</v>
      </c>
      <c r="E537" s="135" t="s">
        <v>414</v>
      </c>
      <c r="F537" s="135" t="s">
        <v>670</v>
      </c>
      <c r="G537" s="134" t="s">
        <v>35</v>
      </c>
      <c r="H537" s="134" t="s">
        <v>272</v>
      </c>
      <c r="I537" s="134" t="s">
        <v>272</v>
      </c>
      <c r="J537" s="144" t="s">
        <v>272</v>
      </c>
      <c r="K537" s="134"/>
      <c r="L537" s="134"/>
      <c r="M537" s="134"/>
      <c r="N537" s="134"/>
      <c r="O537" s="134"/>
      <c r="P537" s="135" t="s">
        <v>128</v>
      </c>
      <c r="Q537" s="148">
        <v>915.52200000000005</v>
      </c>
      <c r="R537" s="148">
        <v>915.52200000000005</v>
      </c>
      <c r="S537" s="135"/>
      <c r="T537" s="149">
        <f>IFERROR(INDEX('Price List'!$G$5:$G$74,MATCH(TRIM(J537)&amp;"|"&amp;TRIM(P537),'Price List'!$O$5:$O$74,0)),0)</f>
        <v>1.5</v>
      </c>
      <c r="U537" s="150">
        <f>IFERROR(INDEX('Price List'!$H$5:$H$74,MATCH(TRIM(J537)&amp;"|"&amp;TRIM(P537),'Price List'!$O$5:$O$74,0)),0)</f>
        <v>0.2</v>
      </c>
      <c r="V537" s="141">
        <f t="shared" si="44"/>
        <v>1.7999999999999998</v>
      </c>
      <c r="W537" s="151">
        <f>IFERROR(INDEX('Price List'!$J$5:$J$74,MATCH(TRIM(J537)&amp;"|"&amp;TRIM(P537),'Price List'!$O$5:$O$74,0)),0)</f>
        <v>2.5</v>
      </c>
      <c r="X537" s="152">
        <f>IFERROR(INDEX('Price List'!$K$5:$K$74,MATCH(TRIM(J537)&amp;"|"&amp;TRIM(P537),'Price List'!$O$5:$O$74,0)),0)</f>
        <v>0.12</v>
      </c>
      <c r="Y537" s="141">
        <f t="shared" si="45"/>
        <v>2.8000000000000003</v>
      </c>
      <c r="Z537" s="141">
        <f t="shared" si="46"/>
        <v>4211.4012000000002</v>
      </c>
      <c r="AA537" s="134"/>
    </row>
    <row r="538" spans="1:27" ht="12" customHeight="1" x14ac:dyDescent="0.35">
      <c r="A538" s="134"/>
      <c r="B538" s="134"/>
      <c r="C538" s="134" t="s">
        <v>689</v>
      </c>
      <c r="D538" s="136" t="str">
        <f t="shared" si="43"/>
        <v>D.01</v>
      </c>
      <c r="E538" s="135" t="s">
        <v>414</v>
      </c>
      <c r="F538" s="135" t="s">
        <v>670</v>
      </c>
      <c r="G538" s="134" t="s">
        <v>697</v>
      </c>
      <c r="H538" s="134" t="s">
        <v>272</v>
      </c>
      <c r="I538" s="134" t="s">
        <v>272</v>
      </c>
      <c r="J538" s="144" t="s">
        <v>272</v>
      </c>
      <c r="K538" s="134"/>
      <c r="L538" s="134"/>
      <c r="M538" s="134"/>
      <c r="N538" s="134"/>
      <c r="O538" s="134"/>
      <c r="P538" s="135" t="s">
        <v>128</v>
      </c>
      <c r="Q538" s="148">
        <v>688.23599999999999</v>
      </c>
      <c r="R538" s="148">
        <v>688.23599999999999</v>
      </c>
      <c r="S538" s="135"/>
      <c r="T538" s="149">
        <f>IFERROR(INDEX('Price List'!$G$5:$G$74,MATCH(TRIM(J538)&amp;"|"&amp;TRIM(P538),'Price List'!$O$5:$O$74,0)),0)</f>
        <v>1.5</v>
      </c>
      <c r="U538" s="150">
        <f>IFERROR(INDEX('Price List'!$H$5:$H$74,MATCH(TRIM(J538)&amp;"|"&amp;TRIM(P538),'Price List'!$O$5:$O$74,0)),0)</f>
        <v>0.2</v>
      </c>
      <c r="V538" s="141">
        <f t="shared" si="44"/>
        <v>1.7999999999999998</v>
      </c>
      <c r="W538" s="151">
        <f>IFERROR(INDEX('Price List'!$J$5:$J$74,MATCH(TRIM(J538)&amp;"|"&amp;TRIM(P538),'Price List'!$O$5:$O$74,0)),0)</f>
        <v>2.5</v>
      </c>
      <c r="X538" s="152">
        <f>IFERROR(INDEX('Price List'!$K$5:$K$74,MATCH(TRIM(J538)&amp;"|"&amp;TRIM(P538),'Price List'!$O$5:$O$74,0)),0)</f>
        <v>0.12</v>
      </c>
      <c r="Y538" s="141">
        <f t="shared" si="45"/>
        <v>2.8000000000000003</v>
      </c>
      <c r="Z538" s="141">
        <f t="shared" si="46"/>
        <v>3165.8855999999996</v>
      </c>
      <c r="AA538" s="134"/>
    </row>
    <row r="539" spans="1:27" ht="12" customHeight="1" x14ac:dyDescent="0.35">
      <c r="A539" s="134"/>
      <c r="B539" s="134"/>
      <c r="C539" s="134" t="s">
        <v>689</v>
      </c>
      <c r="D539" s="136" t="str">
        <f t="shared" si="43"/>
        <v>C.01</v>
      </c>
      <c r="E539" s="135" t="s">
        <v>414</v>
      </c>
      <c r="F539" s="135" t="s">
        <v>671</v>
      </c>
      <c r="G539" s="134" t="s">
        <v>690</v>
      </c>
      <c r="H539" s="134" t="s">
        <v>691</v>
      </c>
      <c r="I539" s="134" t="s">
        <v>692</v>
      </c>
      <c r="J539" s="144" t="s">
        <v>252</v>
      </c>
      <c r="K539" s="134"/>
      <c r="L539" s="134"/>
      <c r="M539" s="134"/>
      <c r="N539" s="134"/>
      <c r="O539" s="134"/>
      <c r="P539" s="135" t="s">
        <v>128</v>
      </c>
      <c r="Q539" s="148">
        <v>19.193999999999999</v>
      </c>
      <c r="R539" s="148">
        <v>19.193999999999999</v>
      </c>
      <c r="S539" s="135"/>
      <c r="T539" s="149">
        <f>IFERROR(INDEX('Price List'!$G$5:$G$74,MATCH(TRIM(J539)&amp;"|"&amp;TRIM(P539),'Price List'!$O$5:$O$74,0)),0)</f>
        <v>8.5</v>
      </c>
      <c r="U539" s="150">
        <f>IFERROR(INDEX('Price List'!$H$5:$H$74,MATCH(TRIM(J539)&amp;"|"&amp;TRIM(P539),'Price List'!$O$5:$O$74,0)),0)</f>
        <v>0.2</v>
      </c>
      <c r="V539" s="141">
        <f t="shared" si="44"/>
        <v>10.199999999999999</v>
      </c>
      <c r="W539" s="151">
        <f>IFERROR(INDEX('Price List'!$J$5:$J$74,MATCH(TRIM(J539)&amp;"|"&amp;TRIM(P539),'Price List'!$O$5:$O$74,0)),0)</f>
        <v>25</v>
      </c>
      <c r="X539" s="152">
        <f>IFERROR(INDEX('Price List'!$K$5:$K$74,MATCH(TRIM(J539)&amp;"|"&amp;TRIM(P539),'Price List'!$O$5:$O$74,0)),0)</f>
        <v>0.12</v>
      </c>
      <c r="Y539" s="141">
        <f t="shared" si="45"/>
        <v>28.000000000000004</v>
      </c>
      <c r="Z539" s="141">
        <f t="shared" si="46"/>
        <v>733.21080000000006</v>
      </c>
      <c r="AA539" s="134"/>
    </row>
    <row r="540" spans="1:27" ht="12" customHeight="1" x14ac:dyDescent="0.35">
      <c r="A540" s="134"/>
      <c r="B540" s="134"/>
      <c r="C540" s="134" t="s">
        <v>689</v>
      </c>
      <c r="D540" s="136" t="str">
        <f t="shared" si="43"/>
        <v>C.01</v>
      </c>
      <c r="E540" s="135" t="s">
        <v>414</v>
      </c>
      <c r="F540" s="135" t="s">
        <v>671</v>
      </c>
      <c r="G540" s="134" t="s">
        <v>690</v>
      </c>
      <c r="H540" s="134" t="s">
        <v>691</v>
      </c>
      <c r="I540" s="134" t="s">
        <v>693</v>
      </c>
      <c r="J540" s="144" t="s">
        <v>254</v>
      </c>
      <c r="K540" s="134"/>
      <c r="L540" s="134"/>
      <c r="M540" s="134"/>
      <c r="N540" s="134"/>
      <c r="O540" s="134"/>
      <c r="P540" s="135" t="s">
        <v>128</v>
      </c>
      <c r="Q540" s="148">
        <v>420.92700000000002</v>
      </c>
      <c r="R540" s="148">
        <v>420.92700000000002</v>
      </c>
      <c r="S540" s="135"/>
      <c r="T540" s="149">
        <f>IFERROR(INDEX('Price List'!$G$5:$G$74,MATCH(TRIM(J540)&amp;"|"&amp;TRIM(P540),'Price List'!$O$5:$O$74,0)),0)</f>
        <v>4.5</v>
      </c>
      <c r="U540" s="150">
        <f>IFERROR(INDEX('Price List'!$H$5:$H$74,MATCH(TRIM(J540)&amp;"|"&amp;TRIM(P540),'Price List'!$O$5:$O$74,0)),0)</f>
        <v>0.2</v>
      </c>
      <c r="V540" s="141">
        <f t="shared" si="44"/>
        <v>5.3999999999999995</v>
      </c>
      <c r="W540" s="151">
        <f>IFERROR(INDEX('Price List'!$J$5:$J$74,MATCH(TRIM(J540)&amp;"|"&amp;TRIM(P540),'Price List'!$O$5:$O$74,0)),0)</f>
        <v>11</v>
      </c>
      <c r="X540" s="152">
        <f>IFERROR(INDEX('Price List'!$K$5:$K$74,MATCH(TRIM(J540)&amp;"|"&amp;TRIM(P540),'Price List'!$O$5:$O$74,0)),0)</f>
        <v>0.12</v>
      </c>
      <c r="Y540" s="141">
        <f t="shared" si="45"/>
        <v>12.32</v>
      </c>
      <c r="Z540" s="141">
        <f t="shared" si="46"/>
        <v>7458.8264399999998</v>
      </c>
      <c r="AA540" s="134"/>
    </row>
    <row r="541" spans="1:27" ht="12" customHeight="1" x14ac:dyDescent="0.35">
      <c r="A541" s="134"/>
      <c r="B541" s="134"/>
      <c r="C541" s="134" t="s">
        <v>689</v>
      </c>
      <c r="D541" s="136" t="str">
        <f t="shared" si="43"/>
        <v>C.01</v>
      </c>
      <c r="E541" s="135" t="s">
        <v>414</v>
      </c>
      <c r="F541" s="135" t="s">
        <v>671</v>
      </c>
      <c r="G541" s="134" t="s">
        <v>690</v>
      </c>
      <c r="H541" s="134" t="s">
        <v>691</v>
      </c>
      <c r="I541" s="134" t="s">
        <v>698</v>
      </c>
      <c r="J541" s="144" t="s">
        <v>256</v>
      </c>
      <c r="K541" s="134"/>
      <c r="L541" s="134"/>
      <c r="M541" s="134"/>
      <c r="N541" s="134"/>
      <c r="O541" s="134"/>
      <c r="P541" s="135" t="s">
        <v>128</v>
      </c>
      <c r="Q541" s="148">
        <v>17.64</v>
      </c>
      <c r="R541" s="148">
        <v>17.64</v>
      </c>
      <c r="S541" s="135"/>
      <c r="T541" s="149">
        <f>IFERROR(INDEX('Price List'!$G$5:$G$74,MATCH(TRIM(J541)&amp;"|"&amp;TRIM(P541),'Price List'!$O$5:$O$74,0)),0)</f>
        <v>12</v>
      </c>
      <c r="U541" s="150">
        <f>IFERROR(INDEX('Price List'!$H$5:$H$74,MATCH(TRIM(J541)&amp;"|"&amp;TRIM(P541),'Price List'!$O$5:$O$74,0)),0)</f>
        <v>0.2</v>
      </c>
      <c r="V541" s="141">
        <f t="shared" si="44"/>
        <v>14.399999999999999</v>
      </c>
      <c r="W541" s="151">
        <f>IFERROR(INDEX('Price List'!$J$5:$J$74,MATCH(TRIM(J541)&amp;"|"&amp;TRIM(P541),'Price List'!$O$5:$O$74,0)),0)</f>
        <v>38</v>
      </c>
      <c r="X541" s="152">
        <f>IFERROR(INDEX('Price List'!$K$5:$K$74,MATCH(TRIM(J541)&amp;"|"&amp;TRIM(P541),'Price List'!$O$5:$O$74,0)),0)</f>
        <v>0.12</v>
      </c>
      <c r="Y541" s="141">
        <f t="shared" si="45"/>
        <v>42.56</v>
      </c>
      <c r="Z541" s="141">
        <f t="shared" si="46"/>
        <v>1004.7744</v>
      </c>
      <c r="AA541" s="134"/>
    </row>
    <row r="542" spans="1:27" ht="12" customHeight="1" x14ac:dyDescent="0.35">
      <c r="A542" s="134"/>
      <c r="B542" s="134"/>
      <c r="C542" s="134" t="s">
        <v>689</v>
      </c>
      <c r="D542" s="136" t="str">
        <f t="shared" si="43"/>
        <v>C.09</v>
      </c>
      <c r="E542" s="135" t="s">
        <v>414</v>
      </c>
      <c r="F542" s="135" t="s">
        <v>671</v>
      </c>
      <c r="G542" s="134" t="s">
        <v>694</v>
      </c>
      <c r="H542" s="134" t="s">
        <v>691</v>
      </c>
      <c r="I542" s="134" t="s">
        <v>695</v>
      </c>
      <c r="J542" s="144" t="s">
        <v>297</v>
      </c>
      <c r="K542" s="134"/>
      <c r="L542" s="134"/>
      <c r="M542" s="134"/>
      <c r="N542" s="134"/>
      <c r="O542" s="134"/>
      <c r="P542" s="135" t="s">
        <v>128</v>
      </c>
      <c r="Q542" s="148">
        <v>84.012</v>
      </c>
      <c r="R542" s="148">
        <v>84.012</v>
      </c>
      <c r="S542" s="135"/>
      <c r="T542" s="149">
        <f>IFERROR(INDEX('Price List'!$G$5:$G$74,MATCH(TRIM(J542)&amp;"|"&amp;TRIM(P542),'Price List'!$O$5:$O$74,0)),0)</f>
        <v>3</v>
      </c>
      <c r="U542" s="150">
        <f>IFERROR(INDEX('Price List'!$H$5:$H$74,MATCH(TRIM(J542)&amp;"|"&amp;TRIM(P542),'Price List'!$O$5:$O$74,0)),0)</f>
        <v>0.2</v>
      </c>
      <c r="V542" s="141">
        <f t="shared" si="44"/>
        <v>3.5999999999999996</v>
      </c>
      <c r="W542" s="151">
        <f>IFERROR(INDEX('Price List'!$J$5:$J$74,MATCH(TRIM(J542)&amp;"|"&amp;TRIM(P542),'Price List'!$O$5:$O$74,0)),0)</f>
        <v>6</v>
      </c>
      <c r="X542" s="152">
        <f>IFERROR(INDEX('Price List'!$K$5:$K$74,MATCH(TRIM(J542)&amp;"|"&amp;TRIM(P542),'Price List'!$O$5:$O$74,0)),0)</f>
        <v>0.12</v>
      </c>
      <c r="Y542" s="141">
        <f t="shared" si="45"/>
        <v>6.7200000000000006</v>
      </c>
      <c r="Z542" s="141">
        <f t="shared" si="46"/>
        <v>867.00384000000008</v>
      </c>
      <c r="AA542" s="134"/>
    </row>
    <row r="543" spans="1:27" ht="12" customHeight="1" x14ac:dyDescent="0.35">
      <c r="A543" s="134"/>
      <c r="B543" s="134"/>
      <c r="C543" s="134" t="s">
        <v>689</v>
      </c>
      <c r="D543" s="136" t="str">
        <f t="shared" si="43"/>
        <v>C.09</v>
      </c>
      <c r="E543" s="135" t="s">
        <v>414</v>
      </c>
      <c r="F543" s="135" t="s">
        <v>671</v>
      </c>
      <c r="G543" s="134" t="s">
        <v>694</v>
      </c>
      <c r="H543" s="134" t="s">
        <v>691</v>
      </c>
      <c r="I543" s="134" t="s">
        <v>693</v>
      </c>
      <c r="J543" s="144" t="s">
        <v>254</v>
      </c>
      <c r="K543" s="134"/>
      <c r="L543" s="134"/>
      <c r="M543" s="134"/>
      <c r="N543" s="134"/>
      <c r="O543" s="134"/>
      <c r="P543" s="135" t="s">
        <v>128</v>
      </c>
      <c r="Q543" s="148">
        <v>475.77600000000001</v>
      </c>
      <c r="R543" s="148">
        <v>475.77600000000001</v>
      </c>
      <c r="S543" s="135"/>
      <c r="T543" s="149">
        <f>IFERROR(INDEX('Price List'!$G$5:$G$74,MATCH(TRIM(J543)&amp;"|"&amp;TRIM(P543),'Price List'!$O$5:$O$74,0)),0)</f>
        <v>4.5</v>
      </c>
      <c r="U543" s="150">
        <f>IFERROR(INDEX('Price List'!$H$5:$H$74,MATCH(TRIM(J543)&amp;"|"&amp;TRIM(P543),'Price List'!$O$5:$O$74,0)),0)</f>
        <v>0.2</v>
      </c>
      <c r="V543" s="141">
        <f t="shared" si="44"/>
        <v>5.3999999999999995</v>
      </c>
      <c r="W543" s="151">
        <f>IFERROR(INDEX('Price List'!$J$5:$J$74,MATCH(TRIM(J543)&amp;"|"&amp;TRIM(P543),'Price List'!$O$5:$O$74,0)),0)</f>
        <v>11</v>
      </c>
      <c r="X543" s="152">
        <f>IFERROR(INDEX('Price List'!$K$5:$K$74,MATCH(TRIM(J543)&amp;"|"&amp;TRIM(P543),'Price List'!$O$5:$O$74,0)),0)</f>
        <v>0.12</v>
      </c>
      <c r="Y543" s="141">
        <f t="shared" si="45"/>
        <v>12.32</v>
      </c>
      <c r="Z543" s="141">
        <f t="shared" si="46"/>
        <v>8430.75072</v>
      </c>
      <c r="AA543" s="134"/>
    </row>
    <row r="544" spans="1:27" ht="12" customHeight="1" x14ac:dyDescent="0.35">
      <c r="A544" s="134"/>
      <c r="B544" s="134"/>
      <c r="C544" s="134" t="s">
        <v>689</v>
      </c>
      <c r="D544" s="136" t="str">
        <f t="shared" si="43"/>
        <v>C.02</v>
      </c>
      <c r="E544" s="135" t="s">
        <v>414</v>
      </c>
      <c r="F544" s="135" t="s">
        <v>671</v>
      </c>
      <c r="G544" s="134" t="s">
        <v>35</v>
      </c>
      <c r="H544" s="134" t="s">
        <v>696</v>
      </c>
      <c r="I544" s="134" t="s">
        <v>696</v>
      </c>
      <c r="J544" s="144" t="s">
        <v>268</v>
      </c>
      <c r="K544" s="134"/>
      <c r="L544" s="134"/>
      <c r="M544" s="134"/>
      <c r="N544" s="134"/>
      <c r="O544" s="134"/>
      <c r="P544" s="135" t="s">
        <v>128</v>
      </c>
      <c r="Q544" s="148">
        <v>915.52200000000005</v>
      </c>
      <c r="R544" s="148">
        <v>915.52200000000005</v>
      </c>
      <c r="S544" s="135"/>
      <c r="T544" s="149">
        <f>IFERROR(INDEX('Price List'!$G$5:$G$74,MATCH(TRIM(J544)&amp;"|"&amp;TRIM(P544),'Price List'!$O$5:$O$74,0)),0)</f>
        <v>2.5</v>
      </c>
      <c r="U544" s="150">
        <f>IFERROR(INDEX('Price List'!$H$5:$H$74,MATCH(TRIM(J544)&amp;"|"&amp;TRIM(P544),'Price List'!$O$5:$O$74,0)),0)</f>
        <v>0.2</v>
      </c>
      <c r="V544" s="141">
        <f t="shared" si="44"/>
        <v>3</v>
      </c>
      <c r="W544" s="151">
        <f>IFERROR(INDEX('Price List'!$J$5:$J$74,MATCH(TRIM(J544)&amp;"|"&amp;TRIM(P544),'Price List'!$O$5:$O$74,0)),0)</f>
        <v>2</v>
      </c>
      <c r="X544" s="152">
        <f>IFERROR(INDEX('Price List'!$K$5:$K$74,MATCH(TRIM(J544)&amp;"|"&amp;TRIM(P544),'Price List'!$O$5:$O$74,0)),0)</f>
        <v>0.12</v>
      </c>
      <c r="Y544" s="141">
        <f t="shared" si="45"/>
        <v>2.2400000000000002</v>
      </c>
      <c r="Z544" s="141">
        <f t="shared" si="46"/>
        <v>4797.3352800000002</v>
      </c>
      <c r="AA544" s="134"/>
    </row>
    <row r="545" spans="1:27" ht="12" customHeight="1" x14ac:dyDescent="0.35">
      <c r="A545" s="134"/>
      <c r="B545" s="134"/>
      <c r="C545" s="134" t="s">
        <v>689</v>
      </c>
      <c r="D545" s="136" t="str">
        <f t="shared" si="43"/>
        <v>D.01</v>
      </c>
      <c r="E545" s="135" t="s">
        <v>414</v>
      </c>
      <c r="F545" s="135" t="s">
        <v>671</v>
      </c>
      <c r="G545" s="134" t="s">
        <v>697</v>
      </c>
      <c r="H545" s="134" t="s">
        <v>696</v>
      </c>
      <c r="I545" s="134" t="s">
        <v>696</v>
      </c>
      <c r="J545" s="144" t="s">
        <v>268</v>
      </c>
      <c r="K545" s="134"/>
      <c r="L545" s="134"/>
      <c r="M545" s="134"/>
      <c r="N545" s="134"/>
      <c r="O545" s="134"/>
      <c r="P545" s="135" t="s">
        <v>128</v>
      </c>
      <c r="Q545" s="148">
        <v>1119.576</v>
      </c>
      <c r="R545" s="148">
        <v>1119.576</v>
      </c>
      <c r="S545" s="135"/>
      <c r="T545" s="149">
        <f>IFERROR(INDEX('Price List'!$G$5:$G$74,MATCH(TRIM(J545)&amp;"|"&amp;TRIM(P545),'Price List'!$O$5:$O$74,0)),0)</f>
        <v>2.5</v>
      </c>
      <c r="U545" s="150">
        <f>IFERROR(INDEX('Price List'!$H$5:$H$74,MATCH(TRIM(J545)&amp;"|"&amp;TRIM(P545),'Price List'!$O$5:$O$74,0)),0)</f>
        <v>0.2</v>
      </c>
      <c r="V545" s="141">
        <f t="shared" si="44"/>
        <v>3</v>
      </c>
      <c r="W545" s="151">
        <f>IFERROR(INDEX('Price List'!$J$5:$J$74,MATCH(TRIM(J545)&amp;"|"&amp;TRIM(P545),'Price List'!$O$5:$O$74,0)),0)</f>
        <v>2</v>
      </c>
      <c r="X545" s="152">
        <f>IFERROR(INDEX('Price List'!$K$5:$K$74,MATCH(TRIM(J545)&amp;"|"&amp;TRIM(P545),'Price List'!$O$5:$O$74,0)),0)</f>
        <v>0.12</v>
      </c>
      <c r="Y545" s="141">
        <f t="shared" si="45"/>
        <v>2.2400000000000002</v>
      </c>
      <c r="Z545" s="141">
        <f t="shared" si="46"/>
        <v>5866.5782400000007</v>
      </c>
      <c r="AA545" s="134"/>
    </row>
    <row r="546" spans="1:27" ht="12" customHeight="1" x14ac:dyDescent="0.35">
      <c r="A546" s="134"/>
      <c r="B546" s="134"/>
      <c r="C546" s="134" t="s">
        <v>689</v>
      </c>
      <c r="D546" s="136" t="str">
        <f t="shared" si="43"/>
        <v>C.02</v>
      </c>
      <c r="E546" s="135" t="s">
        <v>414</v>
      </c>
      <c r="F546" s="135" t="s">
        <v>671</v>
      </c>
      <c r="G546" s="134" t="s">
        <v>35</v>
      </c>
      <c r="H546" s="134" t="s">
        <v>272</v>
      </c>
      <c r="I546" s="134" t="s">
        <v>272</v>
      </c>
      <c r="J546" s="144" t="s">
        <v>272</v>
      </c>
      <c r="K546" s="134"/>
      <c r="L546" s="134"/>
      <c r="M546" s="134"/>
      <c r="N546" s="134"/>
      <c r="O546" s="134"/>
      <c r="P546" s="135" t="s">
        <v>128</v>
      </c>
      <c r="Q546" s="148">
        <v>915.52200000000005</v>
      </c>
      <c r="R546" s="148">
        <v>915.52200000000005</v>
      </c>
      <c r="S546" s="135"/>
      <c r="T546" s="149">
        <f>IFERROR(INDEX('Price List'!$G$5:$G$74,MATCH(TRIM(J546)&amp;"|"&amp;TRIM(P546),'Price List'!$O$5:$O$74,0)),0)</f>
        <v>1.5</v>
      </c>
      <c r="U546" s="150">
        <f>IFERROR(INDEX('Price List'!$H$5:$H$74,MATCH(TRIM(J546)&amp;"|"&amp;TRIM(P546),'Price List'!$O$5:$O$74,0)),0)</f>
        <v>0.2</v>
      </c>
      <c r="V546" s="141">
        <f t="shared" si="44"/>
        <v>1.7999999999999998</v>
      </c>
      <c r="W546" s="151">
        <f>IFERROR(INDEX('Price List'!$J$5:$J$74,MATCH(TRIM(J546)&amp;"|"&amp;TRIM(P546),'Price List'!$O$5:$O$74,0)),0)</f>
        <v>2.5</v>
      </c>
      <c r="X546" s="152">
        <f>IFERROR(INDEX('Price List'!$K$5:$K$74,MATCH(TRIM(J546)&amp;"|"&amp;TRIM(P546),'Price List'!$O$5:$O$74,0)),0)</f>
        <v>0.12</v>
      </c>
      <c r="Y546" s="141">
        <f t="shared" si="45"/>
        <v>2.8000000000000003</v>
      </c>
      <c r="Z546" s="141">
        <f t="shared" si="46"/>
        <v>4211.4012000000002</v>
      </c>
      <c r="AA546" s="134"/>
    </row>
    <row r="547" spans="1:27" ht="12" customHeight="1" x14ac:dyDescent="0.35">
      <c r="A547" s="134"/>
      <c r="B547" s="134"/>
      <c r="C547" s="134" t="s">
        <v>689</v>
      </c>
      <c r="D547" s="136" t="str">
        <f t="shared" si="43"/>
        <v>D.01</v>
      </c>
      <c r="E547" s="135" t="s">
        <v>414</v>
      </c>
      <c r="F547" s="135" t="s">
        <v>671</v>
      </c>
      <c r="G547" s="134" t="s">
        <v>697</v>
      </c>
      <c r="H547" s="134" t="s">
        <v>272</v>
      </c>
      <c r="I547" s="134" t="s">
        <v>272</v>
      </c>
      <c r="J547" s="144" t="s">
        <v>272</v>
      </c>
      <c r="K547" s="134"/>
      <c r="L547" s="134"/>
      <c r="M547" s="134"/>
      <c r="N547" s="134"/>
      <c r="O547" s="134"/>
      <c r="P547" s="135" t="s">
        <v>128</v>
      </c>
      <c r="Q547" s="148">
        <v>1119.576</v>
      </c>
      <c r="R547" s="148">
        <v>1119.576</v>
      </c>
      <c r="S547" s="135"/>
      <c r="T547" s="149">
        <f>IFERROR(INDEX('Price List'!$G$5:$G$74,MATCH(TRIM(J547)&amp;"|"&amp;TRIM(P547),'Price List'!$O$5:$O$74,0)),0)</f>
        <v>1.5</v>
      </c>
      <c r="U547" s="150">
        <f>IFERROR(INDEX('Price List'!$H$5:$H$74,MATCH(TRIM(J547)&amp;"|"&amp;TRIM(P547),'Price List'!$O$5:$O$74,0)),0)</f>
        <v>0.2</v>
      </c>
      <c r="V547" s="141">
        <f t="shared" si="44"/>
        <v>1.7999999999999998</v>
      </c>
      <c r="W547" s="151">
        <f>IFERROR(INDEX('Price List'!$J$5:$J$74,MATCH(TRIM(J547)&amp;"|"&amp;TRIM(P547),'Price List'!$O$5:$O$74,0)),0)</f>
        <v>2.5</v>
      </c>
      <c r="X547" s="152">
        <f>IFERROR(INDEX('Price List'!$K$5:$K$74,MATCH(TRIM(J547)&amp;"|"&amp;TRIM(P547),'Price List'!$O$5:$O$74,0)),0)</f>
        <v>0.12</v>
      </c>
      <c r="Y547" s="141">
        <f t="shared" si="45"/>
        <v>2.8000000000000003</v>
      </c>
      <c r="Z547" s="141">
        <f t="shared" si="46"/>
        <v>5150.0495999999994</v>
      </c>
      <c r="AA547" s="134"/>
    </row>
    <row r="548" spans="1:27" ht="12" customHeight="1" x14ac:dyDescent="0.35">
      <c r="A548" s="134"/>
      <c r="B548" s="134"/>
      <c r="C548" s="134" t="s">
        <v>689</v>
      </c>
      <c r="D548" s="136" t="str">
        <f t="shared" si="43"/>
        <v>C.01</v>
      </c>
      <c r="E548" s="135" t="s">
        <v>414</v>
      </c>
      <c r="F548" s="135" t="s">
        <v>672</v>
      </c>
      <c r="G548" s="134" t="s">
        <v>690</v>
      </c>
      <c r="H548" s="134" t="s">
        <v>691</v>
      </c>
      <c r="I548" s="134" t="s">
        <v>692</v>
      </c>
      <c r="J548" s="144" t="s">
        <v>252</v>
      </c>
      <c r="K548" s="134"/>
      <c r="L548" s="134"/>
      <c r="M548" s="134"/>
      <c r="N548" s="134"/>
      <c r="O548" s="134"/>
      <c r="P548" s="135" t="s">
        <v>128</v>
      </c>
      <c r="Q548" s="148">
        <v>19.193999999999999</v>
      </c>
      <c r="R548" s="148">
        <v>19.193999999999999</v>
      </c>
      <c r="S548" s="135"/>
      <c r="T548" s="149">
        <f>IFERROR(INDEX('Price List'!$G$5:$G$74,MATCH(TRIM(J548)&amp;"|"&amp;TRIM(P548),'Price List'!$O$5:$O$74,0)),0)</f>
        <v>8.5</v>
      </c>
      <c r="U548" s="150">
        <f>IFERROR(INDEX('Price List'!$H$5:$H$74,MATCH(TRIM(J548)&amp;"|"&amp;TRIM(P548),'Price List'!$O$5:$O$74,0)),0)</f>
        <v>0.2</v>
      </c>
      <c r="V548" s="141">
        <f t="shared" si="44"/>
        <v>10.199999999999999</v>
      </c>
      <c r="W548" s="151">
        <f>IFERROR(INDEX('Price List'!$J$5:$J$74,MATCH(TRIM(J548)&amp;"|"&amp;TRIM(P548),'Price List'!$O$5:$O$74,0)),0)</f>
        <v>25</v>
      </c>
      <c r="X548" s="152">
        <f>IFERROR(INDEX('Price List'!$K$5:$K$74,MATCH(TRIM(J548)&amp;"|"&amp;TRIM(P548),'Price List'!$O$5:$O$74,0)),0)</f>
        <v>0.12</v>
      </c>
      <c r="Y548" s="141">
        <f t="shared" si="45"/>
        <v>28.000000000000004</v>
      </c>
      <c r="Z548" s="141">
        <f t="shared" si="46"/>
        <v>733.21080000000006</v>
      </c>
      <c r="AA548" s="134"/>
    </row>
    <row r="549" spans="1:27" ht="12" customHeight="1" x14ac:dyDescent="0.35">
      <c r="A549" s="134"/>
      <c r="B549" s="134"/>
      <c r="C549" s="134" t="s">
        <v>689</v>
      </c>
      <c r="D549" s="136" t="str">
        <f t="shared" si="43"/>
        <v>C.01</v>
      </c>
      <c r="E549" s="135" t="s">
        <v>414</v>
      </c>
      <c r="F549" s="135" t="s">
        <v>672</v>
      </c>
      <c r="G549" s="134" t="s">
        <v>690</v>
      </c>
      <c r="H549" s="134" t="s">
        <v>691</v>
      </c>
      <c r="I549" s="134" t="s">
        <v>693</v>
      </c>
      <c r="J549" s="144" t="s">
        <v>254</v>
      </c>
      <c r="K549" s="134"/>
      <c r="L549" s="134"/>
      <c r="M549" s="134"/>
      <c r="N549" s="134"/>
      <c r="O549" s="134"/>
      <c r="P549" s="135" t="s">
        <v>128</v>
      </c>
      <c r="Q549" s="148">
        <v>420.92700000000002</v>
      </c>
      <c r="R549" s="148">
        <v>420.92700000000002</v>
      </c>
      <c r="S549" s="135"/>
      <c r="T549" s="149">
        <f>IFERROR(INDEX('Price List'!$G$5:$G$74,MATCH(TRIM(J549)&amp;"|"&amp;TRIM(P549),'Price List'!$O$5:$O$74,0)),0)</f>
        <v>4.5</v>
      </c>
      <c r="U549" s="150">
        <f>IFERROR(INDEX('Price List'!$H$5:$H$74,MATCH(TRIM(J549)&amp;"|"&amp;TRIM(P549),'Price List'!$O$5:$O$74,0)),0)</f>
        <v>0.2</v>
      </c>
      <c r="V549" s="141">
        <f t="shared" si="44"/>
        <v>5.3999999999999995</v>
      </c>
      <c r="W549" s="151">
        <f>IFERROR(INDEX('Price List'!$J$5:$J$74,MATCH(TRIM(J549)&amp;"|"&amp;TRIM(P549),'Price List'!$O$5:$O$74,0)),0)</f>
        <v>11</v>
      </c>
      <c r="X549" s="152">
        <f>IFERROR(INDEX('Price List'!$K$5:$K$74,MATCH(TRIM(J549)&amp;"|"&amp;TRIM(P549),'Price List'!$O$5:$O$74,0)),0)</f>
        <v>0.12</v>
      </c>
      <c r="Y549" s="141">
        <f t="shared" si="45"/>
        <v>12.32</v>
      </c>
      <c r="Z549" s="141">
        <f t="shared" si="46"/>
        <v>7458.8264399999998</v>
      </c>
      <c r="AA549" s="134"/>
    </row>
    <row r="550" spans="1:27" ht="12" customHeight="1" x14ac:dyDescent="0.35">
      <c r="A550" s="134"/>
      <c r="B550" s="134"/>
      <c r="C550" s="134" t="s">
        <v>689</v>
      </c>
      <c r="D550" s="136" t="str">
        <f t="shared" si="43"/>
        <v>C.01</v>
      </c>
      <c r="E550" s="135" t="s">
        <v>414</v>
      </c>
      <c r="F550" s="135" t="s">
        <v>672</v>
      </c>
      <c r="G550" s="134" t="s">
        <v>690</v>
      </c>
      <c r="H550" s="134" t="s">
        <v>691</v>
      </c>
      <c r="I550" s="134" t="s">
        <v>698</v>
      </c>
      <c r="J550" s="144" t="s">
        <v>256</v>
      </c>
      <c r="K550" s="134"/>
      <c r="L550" s="134"/>
      <c r="M550" s="134"/>
      <c r="N550" s="134"/>
      <c r="O550" s="134"/>
      <c r="P550" s="135" t="s">
        <v>128</v>
      </c>
      <c r="Q550" s="148">
        <v>17.64</v>
      </c>
      <c r="R550" s="148">
        <v>17.64</v>
      </c>
      <c r="S550" s="135"/>
      <c r="T550" s="149">
        <f>IFERROR(INDEX('Price List'!$G$5:$G$74,MATCH(TRIM(J550)&amp;"|"&amp;TRIM(P550),'Price List'!$O$5:$O$74,0)),0)</f>
        <v>12</v>
      </c>
      <c r="U550" s="150">
        <f>IFERROR(INDEX('Price List'!$H$5:$H$74,MATCH(TRIM(J550)&amp;"|"&amp;TRIM(P550),'Price List'!$O$5:$O$74,0)),0)</f>
        <v>0.2</v>
      </c>
      <c r="V550" s="141">
        <f t="shared" si="44"/>
        <v>14.399999999999999</v>
      </c>
      <c r="W550" s="151">
        <f>IFERROR(INDEX('Price List'!$J$5:$J$74,MATCH(TRIM(J550)&amp;"|"&amp;TRIM(P550),'Price List'!$O$5:$O$74,0)),0)</f>
        <v>38</v>
      </c>
      <c r="X550" s="152">
        <f>IFERROR(INDEX('Price List'!$K$5:$K$74,MATCH(TRIM(J550)&amp;"|"&amp;TRIM(P550),'Price List'!$O$5:$O$74,0)),0)</f>
        <v>0.12</v>
      </c>
      <c r="Y550" s="141">
        <f t="shared" si="45"/>
        <v>42.56</v>
      </c>
      <c r="Z550" s="141">
        <f t="shared" si="46"/>
        <v>1004.7744</v>
      </c>
      <c r="AA550" s="134"/>
    </row>
    <row r="551" spans="1:27" ht="12" customHeight="1" x14ac:dyDescent="0.35">
      <c r="A551" s="134"/>
      <c r="B551" s="134"/>
      <c r="C551" s="134" t="s">
        <v>689</v>
      </c>
      <c r="D551" s="136" t="str">
        <f t="shared" si="43"/>
        <v>C.09</v>
      </c>
      <c r="E551" s="135" t="s">
        <v>414</v>
      </c>
      <c r="F551" s="135" t="s">
        <v>672</v>
      </c>
      <c r="G551" s="134" t="s">
        <v>694</v>
      </c>
      <c r="H551" s="134" t="s">
        <v>691</v>
      </c>
      <c r="I551" s="134" t="s">
        <v>695</v>
      </c>
      <c r="J551" s="144" t="s">
        <v>297</v>
      </c>
      <c r="K551" s="134"/>
      <c r="L551" s="134"/>
      <c r="M551" s="134"/>
      <c r="N551" s="134"/>
      <c r="O551" s="134"/>
      <c r="P551" s="135" t="s">
        <v>128</v>
      </c>
      <c r="Q551" s="148">
        <v>84.012</v>
      </c>
      <c r="R551" s="148">
        <v>84.012</v>
      </c>
      <c r="S551" s="135"/>
      <c r="T551" s="149">
        <f>IFERROR(INDEX('Price List'!$G$5:$G$74,MATCH(TRIM(J551)&amp;"|"&amp;TRIM(P551),'Price List'!$O$5:$O$74,0)),0)</f>
        <v>3</v>
      </c>
      <c r="U551" s="150">
        <f>IFERROR(INDEX('Price List'!$H$5:$H$74,MATCH(TRIM(J551)&amp;"|"&amp;TRIM(P551),'Price List'!$O$5:$O$74,0)),0)</f>
        <v>0.2</v>
      </c>
      <c r="V551" s="141">
        <f t="shared" si="44"/>
        <v>3.5999999999999996</v>
      </c>
      <c r="W551" s="151">
        <f>IFERROR(INDEX('Price List'!$J$5:$J$74,MATCH(TRIM(J551)&amp;"|"&amp;TRIM(P551),'Price List'!$O$5:$O$74,0)),0)</f>
        <v>6</v>
      </c>
      <c r="X551" s="152">
        <f>IFERROR(INDEX('Price List'!$K$5:$K$74,MATCH(TRIM(J551)&amp;"|"&amp;TRIM(P551),'Price List'!$O$5:$O$74,0)),0)</f>
        <v>0.12</v>
      </c>
      <c r="Y551" s="141">
        <f t="shared" si="45"/>
        <v>6.7200000000000006</v>
      </c>
      <c r="Z551" s="141">
        <f t="shared" si="46"/>
        <v>867.00384000000008</v>
      </c>
      <c r="AA551" s="134"/>
    </row>
    <row r="552" spans="1:27" ht="12" customHeight="1" x14ac:dyDescent="0.35">
      <c r="A552" s="134"/>
      <c r="B552" s="134"/>
      <c r="C552" s="134" t="s">
        <v>689</v>
      </c>
      <c r="D552" s="136" t="str">
        <f t="shared" si="43"/>
        <v>C.09</v>
      </c>
      <c r="E552" s="135" t="s">
        <v>414</v>
      </c>
      <c r="F552" s="135" t="s">
        <v>672</v>
      </c>
      <c r="G552" s="134" t="s">
        <v>694</v>
      </c>
      <c r="H552" s="134" t="s">
        <v>691</v>
      </c>
      <c r="I552" s="134" t="s">
        <v>693</v>
      </c>
      <c r="J552" s="144" t="s">
        <v>254</v>
      </c>
      <c r="K552" s="134"/>
      <c r="L552" s="134"/>
      <c r="M552" s="134"/>
      <c r="N552" s="134"/>
      <c r="O552" s="134"/>
      <c r="P552" s="135" t="s">
        <v>128</v>
      </c>
      <c r="Q552" s="148">
        <v>475.77600000000001</v>
      </c>
      <c r="R552" s="148">
        <v>475.77600000000001</v>
      </c>
      <c r="S552" s="135"/>
      <c r="T552" s="149">
        <f>IFERROR(INDEX('Price List'!$G$5:$G$74,MATCH(TRIM(J552)&amp;"|"&amp;TRIM(P552),'Price List'!$O$5:$O$74,0)),0)</f>
        <v>4.5</v>
      </c>
      <c r="U552" s="150">
        <f>IFERROR(INDEX('Price List'!$H$5:$H$74,MATCH(TRIM(J552)&amp;"|"&amp;TRIM(P552),'Price List'!$O$5:$O$74,0)),0)</f>
        <v>0.2</v>
      </c>
      <c r="V552" s="141">
        <f t="shared" si="44"/>
        <v>5.3999999999999995</v>
      </c>
      <c r="W552" s="151">
        <f>IFERROR(INDEX('Price List'!$J$5:$J$74,MATCH(TRIM(J552)&amp;"|"&amp;TRIM(P552),'Price List'!$O$5:$O$74,0)),0)</f>
        <v>11</v>
      </c>
      <c r="X552" s="152">
        <f>IFERROR(INDEX('Price List'!$K$5:$K$74,MATCH(TRIM(J552)&amp;"|"&amp;TRIM(P552),'Price List'!$O$5:$O$74,0)),0)</f>
        <v>0.12</v>
      </c>
      <c r="Y552" s="141">
        <f t="shared" si="45"/>
        <v>12.32</v>
      </c>
      <c r="Z552" s="141">
        <f t="shared" si="46"/>
        <v>8430.75072</v>
      </c>
      <c r="AA552" s="134"/>
    </row>
    <row r="553" spans="1:27" ht="12" customHeight="1" x14ac:dyDescent="0.35">
      <c r="A553" s="134"/>
      <c r="B553" s="134"/>
      <c r="C553" s="134" t="s">
        <v>689</v>
      </c>
      <c r="D553" s="136" t="str">
        <f t="shared" si="43"/>
        <v>C.02</v>
      </c>
      <c r="E553" s="135" t="s">
        <v>414</v>
      </c>
      <c r="F553" s="135" t="s">
        <v>672</v>
      </c>
      <c r="G553" s="134" t="s">
        <v>35</v>
      </c>
      <c r="H553" s="134" t="s">
        <v>696</v>
      </c>
      <c r="I553" s="134" t="s">
        <v>696</v>
      </c>
      <c r="J553" s="144" t="s">
        <v>268</v>
      </c>
      <c r="K553" s="134"/>
      <c r="L553" s="134"/>
      <c r="M553" s="134"/>
      <c r="N553" s="134"/>
      <c r="O553" s="134"/>
      <c r="P553" s="135" t="s">
        <v>128</v>
      </c>
      <c r="Q553" s="148">
        <v>915.52200000000005</v>
      </c>
      <c r="R553" s="148">
        <v>915.52200000000005</v>
      </c>
      <c r="S553" s="135"/>
      <c r="T553" s="149">
        <f>IFERROR(INDEX('Price List'!$G$5:$G$74,MATCH(TRIM(J553)&amp;"|"&amp;TRIM(P553),'Price List'!$O$5:$O$74,0)),0)</f>
        <v>2.5</v>
      </c>
      <c r="U553" s="150">
        <f>IFERROR(INDEX('Price List'!$H$5:$H$74,MATCH(TRIM(J553)&amp;"|"&amp;TRIM(P553),'Price List'!$O$5:$O$74,0)),0)</f>
        <v>0.2</v>
      </c>
      <c r="V553" s="141">
        <f t="shared" si="44"/>
        <v>3</v>
      </c>
      <c r="W553" s="151">
        <f>IFERROR(INDEX('Price List'!$J$5:$J$74,MATCH(TRIM(J553)&amp;"|"&amp;TRIM(P553),'Price List'!$O$5:$O$74,0)),0)</f>
        <v>2</v>
      </c>
      <c r="X553" s="152">
        <f>IFERROR(INDEX('Price List'!$K$5:$K$74,MATCH(TRIM(J553)&amp;"|"&amp;TRIM(P553),'Price List'!$O$5:$O$74,0)),0)</f>
        <v>0.12</v>
      </c>
      <c r="Y553" s="141">
        <f t="shared" si="45"/>
        <v>2.2400000000000002</v>
      </c>
      <c r="Z553" s="141">
        <f t="shared" si="46"/>
        <v>4797.3352800000002</v>
      </c>
      <c r="AA553" s="134"/>
    </row>
    <row r="554" spans="1:27" ht="12" customHeight="1" x14ac:dyDescent="0.35">
      <c r="A554" s="134"/>
      <c r="B554" s="134"/>
      <c r="C554" s="134" t="s">
        <v>689</v>
      </c>
      <c r="D554" s="136" t="str">
        <f t="shared" si="43"/>
        <v>D.01</v>
      </c>
      <c r="E554" s="135" t="s">
        <v>414</v>
      </c>
      <c r="F554" s="135" t="s">
        <v>672</v>
      </c>
      <c r="G554" s="134" t="s">
        <v>697</v>
      </c>
      <c r="H554" s="134" t="s">
        <v>696</v>
      </c>
      <c r="I554" s="134" t="s">
        <v>696</v>
      </c>
      <c r="J554" s="144" t="s">
        <v>268</v>
      </c>
      <c r="K554" s="134"/>
      <c r="L554" s="134"/>
      <c r="M554" s="134"/>
      <c r="N554" s="134"/>
      <c r="O554" s="134"/>
      <c r="P554" s="135" t="s">
        <v>128</v>
      </c>
      <c r="Q554" s="148">
        <v>1119.576</v>
      </c>
      <c r="R554" s="148">
        <v>1119.576</v>
      </c>
      <c r="S554" s="135"/>
      <c r="T554" s="149">
        <f>IFERROR(INDEX('Price List'!$G$5:$G$74,MATCH(TRIM(J554)&amp;"|"&amp;TRIM(P554),'Price List'!$O$5:$O$74,0)),0)</f>
        <v>2.5</v>
      </c>
      <c r="U554" s="150">
        <f>IFERROR(INDEX('Price List'!$H$5:$H$74,MATCH(TRIM(J554)&amp;"|"&amp;TRIM(P554),'Price List'!$O$5:$O$74,0)),0)</f>
        <v>0.2</v>
      </c>
      <c r="V554" s="141">
        <f t="shared" si="44"/>
        <v>3</v>
      </c>
      <c r="W554" s="151">
        <f>IFERROR(INDEX('Price List'!$J$5:$J$74,MATCH(TRIM(J554)&amp;"|"&amp;TRIM(P554),'Price List'!$O$5:$O$74,0)),0)</f>
        <v>2</v>
      </c>
      <c r="X554" s="152">
        <f>IFERROR(INDEX('Price List'!$K$5:$K$74,MATCH(TRIM(J554)&amp;"|"&amp;TRIM(P554),'Price List'!$O$5:$O$74,0)),0)</f>
        <v>0.12</v>
      </c>
      <c r="Y554" s="141">
        <f t="shared" si="45"/>
        <v>2.2400000000000002</v>
      </c>
      <c r="Z554" s="141">
        <f t="shared" si="46"/>
        <v>5866.5782400000007</v>
      </c>
      <c r="AA554" s="134"/>
    </row>
    <row r="555" spans="1:27" ht="12" customHeight="1" x14ac:dyDescent="0.35">
      <c r="A555" s="134"/>
      <c r="B555" s="134"/>
      <c r="C555" s="134" t="s">
        <v>689</v>
      </c>
      <c r="D555" s="136" t="str">
        <f t="shared" si="43"/>
        <v>C.02</v>
      </c>
      <c r="E555" s="135" t="s">
        <v>414</v>
      </c>
      <c r="F555" s="135" t="s">
        <v>672</v>
      </c>
      <c r="G555" s="134" t="s">
        <v>35</v>
      </c>
      <c r="H555" s="134" t="s">
        <v>272</v>
      </c>
      <c r="I555" s="134" t="s">
        <v>272</v>
      </c>
      <c r="J555" s="144" t="s">
        <v>272</v>
      </c>
      <c r="K555" s="134"/>
      <c r="L555" s="134"/>
      <c r="M555" s="134"/>
      <c r="N555" s="134"/>
      <c r="O555" s="134"/>
      <c r="P555" s="135" t="s">
        <v>128</v>
      </c>
      <c r="Q555" s="148">
        <v>915.52200000000005</v>
      </c>
      <c r="R555" s="148">
        <v>915.52200000000005</v>
      </c>
      <c r="S555" s="135"/>
      <c r="T555" s="149">
        <f>IFERROR(INDEX('Price List'!$G$5:$G$74,MATCH(TRIM(J555)&amp;"|"&amp;TRIM(P555),'Price List'!$O$5:$O$74,0)),0)</f>
        <v>1.5</v>
      </c>
      <c r="U555" s="150">
        <f>IFERROR(INDEX('Price List'!$H$5:$H$74,MATCH(TRIM(J555)&amp;"|"&amp;TRIM(P555),'Price List'!$O$5:$O$74,0)),0)</f>
        <v>0.2</v>
      </c>
      <c r="V555" s="141">
        <f t="shared" si="44"/>
        <v>1.7999999999999998</v>
      </c>
      <c r="W555" s="151">
        <f>IFERROR(INDEX('Price List'!$J$5:$J$74,MATCH(TRIM(J555)&amp;"|"&amp;TRIM(P555),'Price List'!$O$5:$O$74,0)),0)</f>
        <v>2.5</v>
      </c>
      <c r="X555" s="152">
        <f>IFERROR(INDEX('Price List'!$K$5:$K$74,MATCH(TRIM(J555)&amp;"|"&amp;TRIM(P555),'Price List'!$O$5:$O$74,0)),0)</f>
        <v>0.12</v>
      </c>
      <c r="Y555" s="141">
        <f t="shared" si="45"/>
        <v>2.8000000000000003</v>
      </c>
      <c r="Z555" s="141">
        <f t="shared" si="46"/>
        <v>4211.4012000000002</v>
      </c>
      <c r="AA555" s="134"/>
    </row>
    <row r="556" spans="1:27" ht="12" customHeight="1" x14ac:dyDescent="0.35">
      <c r="A556" s="134"/>
      <c r="B556" s="134"/>
      <c r="C556" s="134" t="s">
        <v>689</v>
      </c>
      <c r="D556" s="136" t="str">
        <f t="shared" si="43"/>
        <v>D.01</v>
      </c>
      <c r="E556" s="135" t="s">
        <v>414</v>
      </c>
      <c r="F556" s="135" t="s">
        <v>672</v>
      </c>
      <c r="G556" s="134" t="s">
        <v>697</v>
      </c>
      <c r="H556" s="134" t="s">
        <v>272</v>
      </c>
      <c r="I556" s="134" t="s">
        <v>272</v>
      </c>
      <c r="J556" s="144" t="s">
        <v>272</v>
      </c>
      <c r="K556" s="134"/>
      <c r="L556" s="134"/>
      <c r="M556" s="134"/>
      <c r="N556" s="134"/>
      <c r="O556" s="134"/>
      <c r="P556" s="135" t="s">
        <v>128</v>
      </c>
      <c r="Q556" s="148">
        <v>1119.576</v>
      </c>
      <c r="R556" s="148">
        <v>1119.576</v>
      </c>
      <c r="S556" s="135"/>
      <c r="T556" s="149">
        <f>IFERROR(INDEX('Price List'!$G$5:$G$74,MATCH(TRIM(J556)&amp;"|"&amp;TRIM(P556),'Price List'!$O$5:$O$74,0)),0)</f>
        <v>1.5</v>
      </c>
      <c r="U556" s="150">
        <f>IFERROR(INDEX('Price List'!$H$5:$H$74,MATCH(TRIM(J556)&amp;"|"&amp;TRIM(P556),'Price List'!$O$5:$O$74,0)),0)</f>
        <v>0.2</v>
      </c>
      <c r="V556" s="141">
        <f t="shared" si="44"/>
        <v>1.7999999999999998</v>
      </c>
      <c r="W556" s="151">
        <f>IFERROR(INDEX('Price List'!$J$5:$J$74,MATCH(TRIM(J556)&amp;"|"&amp;TRIM(P556),'Price List'!$O$5:$O$74,0)),0)</f>
        <v>2.5</v>
      </c>
      <c r="X556" s="152">
        <f>IFERROR(INDEX('Price List'!$K$5:$K$74,MATCH(TRIM(J556)&amp;"|"&amp;TRIM(P556),'Price List'!$O$5:$O$74,0)),0)</f>
        <v>0.12</v>
      </c>
      <c r="Y556" s="141">
        <f t="shared" si="45"/>
        <v>2.8000000000000003</v>
      </c>
      <c r="Z556" s="141">
        <f t="shared" si="46"/>
        <v>5150.0495999999994</v>
      </c>
      <c r="AA556" s="134"/>
    </row>
    <row r="557" spans="1:27" ht="12" customHeight="1" x14ac:dyDescent="0.35">
      <c r="A557" s="134"/>
      <c r="B557" s="134"/>
      <c r="C557" s="134" t="s">
        <v>689</v>
      </c>
      <c r="D557" s="136" t="str">
        <f t="shared" si="43"/>
        <v>C.01</v>
      </c>
      <c r="E557" s="135" t="s">
        <v>414</v>
      </c>
      <c r="F557" s="135" t="s">
        <v>673</v>
      </c>
      <c r="G557" s="134" t="s">
        <v>690</v>
      </c>
      <c r="H557" s="134" t="s">
        <v>691</v>
      </c>
      <c r="I557" s="134" t="s">
        <v>692</v>
      </c>
      <c r="J557" s="144" t="s">
        <v>252</v>
      </c>
      <c r="K557" s="134"/>
      <c r="L557" s="134"/>
      <c r="M557" s="134"/>
      <c r="N557" s="134"/>
      <c r="O557" s="134"/>
      <c r="P557" s="135" t="s">
        <v>128</v>
      </c>
      <c r="Q557" s="148">
        <v>19.193999999999999</v>
      </c>
      <c r="R557" s="148">
        <v>19.193999999999999</v>
      </c>
      <c r="S557" s="135"/>
      <c r="T557" s="149">
        <f>IFERROR(INDEX('Price List'!$G$5:$G$74,MATCH(TRIM(J557)&amp;"|"&amp;TRIM(P557),'Price List'!$O$5:$O$74,0)),0)</f>
        <v>8.5</v>
      </c>
      <c r="U557" s="150">
        <f>IFERROR(INDEX('Price List'!$H$5:$H$74,MATCH(TRIM(J557)&amp;"|"&amp;TRIM(P557),'Price List'!$O$5:$O$74,0)),0)</f>
        <v>0.2</v>
      </c>
      <c r="V557" s="141">
        <f t="shared" si="44"/>
        <v>10.199999999999999</v>
      </c>
      <c r="W557" s="151">
        <f>IFERROR(INDEX('Price List'!$J$5:$J$74,MATCH(TRIM(J557)&amp;"|"&amp;TRIM(P557),'Price List'!$O$5:$O$74,0)),0)</f>
        <v>25</v>
      </c>
      <c r="X557" s="152">
        <f>IFERROR(INDEX('Price List'!$K$5:$K$74,MATCH(TRIM(J557)&amp;"|"&amp;TRIM(P557),'Price List'!$O$5:$O$74,0)),0)</f>
        <v>0.12</v>
      </c>
      <c r="Y557" s="141">
        <f t="shared" si="45"/>
        <v>28.000000000000004</v>
      </c>
      <c r="Z557" s="141">
        <f t="shared" si="46"/>
        <v>733.21080000000006</v>
      </c>
      <c r="AA557" s="134"/>
    </row>
    <row r="558" spans="1:27" ht="12" customHeight="1" x14ac:dyDescent="0.35">
      <c r="A558" s="134"/>
      <c r="B558" s="134"/>
      <c r="C558" s="134" t="s">
        <v>689</v>
      </c>
      <c r="D558" s="136" t="str">
        <f t="shared" si="43"/>
        <v>C.01</v>
      </c>
      <c r="E558" s="135" t="s">
        <v>414</v>
      </c>
      <c r="F558" s="135" t="s">
        <v>673</v>
      </c>
      <c r="G558" s="134" t="s">
        <v>690</v>
      </c>
      <c r="H558" s="134" t="s">
        <v>691</v>
      </c>
      <c r="I558" s="134" t="s">
        <v>693</v>
      </c>
      <c r="J558" s="144" t="s">
        <v>254</v>
      </c>
      <c r="K558" s="134"/>
      <c r="L558" s="134"/>
      <c r="M558" s="134"/>
      <c r="N558" s="134"/>
      <c r="O558" s="134"/>
      <c r="P558" s="135" t="s">
        <v>128</v>
      </c>
      <c r="Q558" s="148">
        <v>420.92700000000002</v>
      </c>
      <c r="R558" s="148">
        <v>420.92700000000002</v>
      </c>
      <c r="S558" s="135"/>
      <c r="T558" s="149">
        <f>IFERROR(INDEX('Price List'!$G$5:$G$74,MATCH(TRIM(J558)&amp;"|"&amp;TRIM(P558),'Price List'!$O$5:$O$74,0)),0)</f>
        <v>4.5</v>
      </c>
      <c r="U558" s="150">
        <f>IFERROR(INDEX('Price List'!$H$5:$H$74,MATCH(TRIM(J558)&amp;"|"&amp;TRIM(P558),'Price List'!$O$5:$O$74,0)),0)</f>
        <v>0.2</v>
      </c>
      <c r="V558" s="141">
        <f t="shared" si="44"/>
        <v>5.3999999999999995</v>
      </c>
      <c r="W558" s="151">
        <f>IFERROR(INDEX('Price List'!$J$5:$J$74,MATCH(TRIM(J558)&amp;"|"&amp;TRIM(P558),'Price List'!$O$5:$O$74,0)),0)</f>
        <v>11</v>
      </c>
      <c r="X558" s="152">
        <f>IFERROR(INDEX('Price List'!$K$5:$K$74,MATCH(TRIM(J558)&amp;"|"&amp;TRIM(P558),'Price List'!$O$5:$O$74,0)),0)</f>
        <v>0.12</v>
      </c>
      <c r="Y558" s="141">
        <f t="shared" si="45"/>
        <v>12.32</v>
      </c>
      <c r="Z558" s="141">
        <f t="shared" si="46"/>
        <v>7458.8264399999998</v>
      </c>
      <c r="AA558" s="134"/>
    </row>
    <row r="559" spans="1:27" ht="12" customHeight="1" x14ac:dyDescent="0.35">
      <c r="A559" s="134"/>
      <c r="B559" s="134"/>
      <c r="C559" s="134" t="s">
        <v>689</v>
      </c>
      <c r="D559" s="136" t="str">
        <f t="shared" si="43"/>
        <v>C.01</v>
      </c>
      <c r="E559" s="135" t="s">
        <v>414</v>
      </c>
      <c r="F559" s="135" t="s">
        <v>673</v>
      </c>
      <c r="G559" s="134" t="s">
        <v>690</v>
      </c>
      <c r="H559" s="134" t="s">
        <v>691</v>
      </c>
      <c r="I559" s="134" t="s">
        <v>698</v>
      </c>
      <c r="J559" s="144" t="s">
        <v>256</v>
      </c>
      <c r="K559" s="134"/>
      <c r="L559" s="134"/>
      <c r="M559" s="134"/>
      <c r="N559" s="134"/>
      <c r="O559" s="134"/>
      <c r="P559" s="135" t="s">
        <v>128</v>
      </c>
      <c r="Q559" s="148">
        <v>17.64</v>
      </c>
      <c r="R559" s="148">
        <v>17.64</v>
      </c>
      <c r="S559" s="135"/>
      <c r="T559" s="149">
        <f>IFERROR(INDEX('Price List'!$G$5:$G$74,MATCH(TRIM(J559)&amp;"|"&amp;TRIM(P559),'Price List'!$O$5:$O$74,0)),0)</f>
        <v>12</v>
      </c>
      <c r="U559" s="150">
        <f>IFERROR(INDEX('Price List'!$H$5:$H$74,MATCH(TRIM(J559)&amp;"|"&amp;TRIM(P559),'Price List'!$O$5:$O$74,0)),0)</f>
        <v>0.2</v>
      </c>
      <c r="V559" s="141">
        <f t="shared" si="44"/>
        <v>14.399999999999999</v>
      </c>
      <c r="W559" s="151">
        <f>IFERROR(INDEX('Price List'!$J$5:$J$74,MATCH(TRIM(J559)&amp;"|"&amp;TRIM(P559),'Price List'!$O$5:$O$74,0)),0)</f>
        <v>38</v>
      </c>
      <c r="X559" s="152">
        <f>IFERROR(INDEX('Price List'!$K$5:$K$74,MATCH(TRIM(J559)&amp;"|"&amp;TRIM(P559),'Price List'!$O$5:$O$74,0)),0)</f>
        <v>0.12</v>
      </c>
      <c r="Y559" s="141">
        <f t="shared" si="45"/>
        <v>42.56</v>
      </c>
      <c r="Z559" s="141">
        <f t="shared" si="46"/>
        <v>1004.7744</v>
      </c>
      <c r="AA559" s="134"/>
    </row>
    <row r="560" spans="1:27" ht="12" customHeight="1" x14ac:dyDescent="0.35">
      <c r="A560" s="134"/>
      <c r="B560" s="134"/>
      <c r="C560" s="134" t="s">
        <v>689</v>
      </c>
      <c r="D560" s="136" t="str">
        <f t="shared" si="43"/>
        <v>C.09</v>
      </c>
      <c r="E560" s="135" t="s">
        <v>414</v>
      </c>
      <c r="F560" s="135" t="s">
        <v>673</v>
      </c>
      <c r="G560" s="134" t="s">
        <v>694</v>
      </c>
      <c r="H560" s="134" t="s">
        <v>691</v>
      </c>
      <c r="I560" s="134" t="s">
        <v>695</v>
      </c>
      <c r="J560" s="144" t="s">
        <v>297</v>
      </c>
      <c r="K560" s="134"/>
      <c r="L560" s="134"/>
      <c r="M560" s="134"/>
      <c r="N560" s="134"/>
      <c r="O560" s="134"/>
      <c r="P560" s="135" t="s">
        <v>128</v>
      </c>
      <c r="Q560" s="148">
        <v>84.012</v>
      </c>
      <c r="R560" s="148">
        <v>84.012</v>
      </c>
      <c r="S560" s="135"/>
      <c r="T560" s="149">
        <f>IFERROR(INDEX('Price List'!$G$5:$G$74,MATCH(TRIM(J560)&amp;"|"&amp;TRIM(P560),'Price List'!$O$5:$O$74,0)),0)</f>
        <v>3</v>
      </c>
      <c r="U560" s="150">
        <f>IFERROR(INDEX('Price List'!$H$5:$H$74,MATCH(TRIM(J560)&amp;"|"&amp;TRIM(P560),'Price List'!$O$5:$O$74,0)),0)</f>
        <v>0.2</v>
      </c>
      <c r="V560" s="141">
        <f t="shared" si="44"/>
        <v>3.5999999999999996</v>
      </c>
      <c r="W560" s="151">
        <f>IFERROR(INDEX('Price List'!$J$5:$J$74,MATCH(TRIM(J560)&amp;"|"&amp;TRIM(P560),'Price List'!$O$5:$O$74,0)),0)</f>
        <v>6</v>
      </c>
      <c r="X560" s="152">
        <f>IFERROR(INDEX('Price List'!$K$5:$K$74,MATCH(TRIM(J560)&amp;"|"&amp;TRIM(P560),'Price List'!$O$5:$O$74,0)),0)</f>
        <v>0.12</v>
      </c>
      <c r="Y560" s="141">
        <f t="shared" si="45"/>
        <v>6.7200000000000006</v>
      </c>
      <c r="Z560" s="141">
        <f t="shared" si="46"/>
        <v>867.00384000000008</v>
      </c>
      <c r="AA560" s="134"/>
    </row>
    <row r="561" spans="1:27" ht="12" customHeight="1" x14ac:dyDescent="0.35">
      <c r="A561" s="134"/>
      <c r="B561" s="134"/>
      <c r="C561" s="134" t="s">
        <v>689</v>
      </c>
      <c r="D561" s="136" t="str">
        <f t="shared" si="43"/>
        <v>C.09</v>
      </c>
      <c r="E561" s="135" t="s">
        <v>414</v>
      </c>
      <c r="F561" s="135" t="s">
        <v>673</v>
      </c>
      <c r="G561" s="134" t="s">
        <v>694</v>
      </c>
      <c r="H561" s="134" t="s">
        <v>691</v>
      </c>
      <c r="I561" s="134" t="s">
        <v>693</v>
      </c>
      <c r="J561" s="144" t="s">
        <v>254</v>
      </c>
      <c r="K561" s="134"/>
      <c r="L561" s="134"/>
      <c r="M561" s="134"/>
      <c r="N561" s="134"/>
      <c r="O561" s="134"/>
      <c r="P561" s="135" t="s">
        <v>128</v>
      </c>
      <c r="Q561" s="148">
        <v>475.77600000000001</v>
      </c>
      <c r="R561" s="148">
        <v>475.77600000000001</v>
      </c>
      <c r="S561" s="135"/>
      <c r="T561" s="149">
        <f>IFERROR(INDEX('Price List'!$G$5:$G$74,MATCH(TRIM(J561)&amp;"|"&amp;TRIM(P561),'Price List'!$O$5:$O$74,0)),0)</f>
        <v>4.5</v>
      </c>
      <c r="U561" s="150">
        <f>IFERROR(INDEX('Price List'!$H$5:$H$74,MATCH(TRIM(J561)&amp;"|"&amp;TRIM(P561),'Price List'!$O$5:$O$74,0)),0)</f>
        <v>0.2</v>
      </c>
      <c r="V561" s="141">
        <f t="shared" si="44"/>
        <v>5.3999999999999995</v>
      </c>
      <c r="W561" s="151">
        <f>IFERROR(INDEX('Price List'!$J$5:$J$74,MATCH(TRIM(J561)&amp;"|"&amp;TRIM(P561),'Price List'!$O$5:$O$74,0)),0)</f>
        <v>11</v>
      </c>
      <c r="X561" s="152">
        <f>IFERROR(INDEX('Price List'!$K$5:$K$74,MATCH(TRIM(J561)&amp;"|"&amp;TRIM(P561),'Price List'!$O$5:$O$74,0)),0)</f>
        <v>0.12</v>
      </c>
      <c r="Y561" s="141">
        <f t="shared" si="45"/>
        <v>12.32</v>
      </c>
      <c r="Z561" s="141">
        <f t="shared" si="46"/>
        <v>8430.75072</v>
      </c>
      <c r="AA561" s="134"/>
    </row>
    <row r="562" spans="1:27" ht="12" customHeight="1" x14ac:dyDescent="0.35">
      <c r="A562" s="134"/>
      <c r="B562" s="134"/>
      <c r="C562" s="134" t="s">
        <v>689</v>
      </c>
      <c r="D562" s="136" t="str">
        <f t="shared" si="43"/>
        <v>C.02</v>
      </c>
      <c r="E562" s="135" t="s">
        <v>414</v>
      </c>
      <c r="F562" s="135" t="s">
        <v>673</v>
      </c>
      <c r="G562" s="134" t="s">
        <v>35</v>
      </c>
      <c r="H562" s="134" t="s">
        <v>696</v>
      </c>
      <c r="I562" s="134" t="s">
        <v>696</v>
      </c>
      <c r="J562" s="144" t="s">
        <v>268</v>
      </c>
      <c r="K562" s="134"/>
      <c r="L562" s="134"/>
      <c r="M562" s="134"/>
      <c r="N562" s="134"/>
      <c r="O562" s="134"/>
      <c r="P562" s="135" t="s">
        <v>128</v>
      </c>
      <c r="Q562" s="148">
        <v>915.52200000000005</v>
      </c>
      <c r="R562" s="148">
        <v>915.52200000000005</v>
      </c>
      <c r="S562" s="135"/>
      <c r="T562" s="149">
        <f>IFERROR(INDEX('Price List'!$G$5:$G$74,MATCH(TRIM(J562)&amp;"|"&amp;TRIM(P562),'Price List'!$O$5:$O$74,0)),0)</f>
        <v>2.5</v>
      </c>
      <c r="U562" s="150">
        <f>IFERROR(INDEX('Price List'!$H$5:$H$74,MATCH(TRIM(J562)&amp;"|"&amp;TRIM(P562),'Price List'!$O$5:$O$74,0)),0)</f>
        <v>0.2</v>
      </c>
      <c r="V562" s="141">
        <f t="shared" si="44"/>
        <v>3</v>
      </c>
      <c r="W562" s="151">
        <f>IFERROR(INDEX('Price List'!$J$5:$J$74,MATCH(TRIM(J562)&amp;"|"&amp;TRIM(P562),'Price List'!$O$5:$O$74,0)),0)</f>
        <v>2</v>
      </c>
      <c r="X562" s="152">
        <f>IFERROR(INDEX('Price List'!$K$5:$K$74,MATCH(TRIM(J562)&amp;"|"&amp;TRIM(P562),'Price List'!$O$5:$O$74,0)),0)</f>
        <v>0.12</v>
      </c>
      <c r="Y562" s="141">
        <f t="shared" si="45"/>
        <v>2.2400000000000002</v>
      </c>
      <c r="Z562" s="141">
        <f t="shared" si="46"/>
        <v>4797.3352800000002</v>
      </c>
      <c r="AA562" s="134"/>
    </row>
    <row r="563" spans="1:27" ht="12" customHeight="1" x14ac:dyDescent="0.35">
      <c r="A563" s="134"/>
      <c r="B563" s="134"/>
      <c r="C563" s="134" t="s">
        <v>689</v>
      </c>
      <c r="D563" s="136" t="str">
        <f t="shared" si="43"/>
        <v>D.01</v>
      </c>
      <c r="E563" s="135" t="s">
        <v>414</v>
      </c>
      <c r="F563" s="135" t="s">
        <v>673</v>
      </c>
      <c r="G563" s="134" t="s">
        <v>697</v>
      </c>
      <c r="H563" s="134" t="s">
        <v>696</v>
      </c>
      <c r="I563" s="134" t="s">
        <v>696</v>
      </c>
      <c r="J563" s="144" t="s">
        <v>268</v>
      </c>
      <c r="K563" s="134"/>
      <c r="L563" s="134"/>
      <c r="M563" s="134"/>
      <c r="N563" s="134"/>
      <c r="O563" s="134"/>
      <c r="P563" s="135" t="s">
        <v>128</v>
      </c>
      <c r="Q563" s="148">
        <v>1119.576</v>
      </c>
      <c r="R563" s="148">
        <v>1119.576</v>
      </c>
      <c r="S563" s="135"/>
      <c r="T563" s="149">
        <f>IFERROR(INDEX('Price List'!$G$5:$G$74,MATCH(TRIM(J563)&amp;"|"&amp;TRIM(P563),'Price List'!$O$5:$O$74,0)),0)</f>
        <v>2.5</v>
      </c>
      <c r="U563" s="150">
        <f>IFERROR(INDEX('Price List'!$H$5:$H$74,MATCH(TRIM(J563)&amp;"|"&amp;TRIM(P563),'Price List'!$O$5:$O$74,0)),0)</f>
        <v>0.2</v>
      </c>
      <c r="V563" s="141">
        <f t="shared" si="44"/>
        <v>3</v>
      </c>
      <c r="W563" s="151">
        <f>IFERROR(INDEX('Price List'!$J$5:$J$74,MATCH(TRIM(J563)&amp;"|"&amp;TRIM(P563),'Price List'!$O$5:$O$74,0)),0)</f>
        <v>2</v>
      </c>
      <c r="X563" s="152">
        <f>IFERROR(INDEX('Price List'!$K$5:$K$74,MATCH(TRIM(J563)&amp;"|"&amp;TRIM(P563),'Price List'!$O$5:$O$74,0)),0)</f>
        <v>0.12</v>
      </c>
      <c r="Y563" s="141">
        <f t="shared" si="45"/>
        <v>2.2400000000000002</v>
      </c>
      <c r="Z563" s="141">
        <f t="shared" si="46"/>
        <v>5866.5782400000007</v>
      </c>
      <c r="AA563" s="134"/>
    </row>
    <row r="564" spans="1:27" ht="12" customHeight="1" x14ac:dyDescent="0.35">
      <c r="A564" s="134"/>
      <c r="B564" s="134"/>
      <c r="C564" s="134" t="s">
        <v>689</v>
      </c>
      <c r="D564" s="136" t="str">
        <f t="shared" si="43"/>
        <v>C.02</v>
      </c>
      <c r="E564" s="135" t="s">
        <v>414</v>
      </c>
      <c r="F564" s="135" t="s">
        <v>673</v>
      </c>
      <c r="G564" s="134" t="s">
        <v>35</v>
      </c>
      <c r="H564" s="134" t="s">
        <v>272</v>
      </c>
      <c r="I564" s="134" t="s">
        <v>272</v>
      </c>
      <c r="J564" s="144" t="s">
        <v>272</v>
      </c>
      <c r="K564" s="134"/>
      <c r="L564" s="134"/>
      <c r="M564" s="134"/>
      <c r="N564" s="134"/>
      <c r="O564" s="134"/>
      <c r="P564" s="135" t="s">
        <v>128</v>
      </c>
      <c r="Q564" s="148">
        <v>915.52200000000005</v>
      </c>
      <c r="R564" s="148">
        <v>915.52200000000005</v>
      </c>
      <c r="S564" s="135"/>
      <c r="T564" s="149">
        <f>IFERROR(INDEX('Price List'!$G$5:$G$74,MATCH(TRIM(J564)&amp;"|"&amp;TRIM(P564),'Price List'!$O$5:$O$74,0)),0)</f>
        <v>1.5</v>
      </c>
      <c r="U564" s="150">
        <f>IFERROR(INDEX('Price List'!$H$5:$H$74,MATCH(TRIM(J564)&amp;"|"&amp;TRIM(P564),'Price List'!$O$5:$O$74,0)),0)</f>
        <v>0.2</v>
      </c>
      <c r="V564" s="141">
        <f t="shared" si="44"/>
        <v>1.7999999999999998</v>
      </c>
      <c r="W564" s="151">
        <f>IFERROR(INDEX('Price List'!$J$5:$J$74,MATCH(TRIM(J564)&amp;"|"&amp;TRIM(P564),'Price List'!$O$5:$O$74,0)),0)</f>
        <v>2.5</v>
      </c>
      <c r="X564" s="152">
        <f>IFERROR(INDEX('Price List'!$K$5:$K$74,MATCH(TRIM(J564)&amp;"|"&amp;TRIM(P564),'Price List'!$O$5:$O$74,0)),0)</f>
        <v>0.12</v>
      </c>
      <c r="Y564" s="141">
        <f t="shared" si="45"/>
        <v>2.8000000000000003</v>
      </c>
      <c r="Z564" s="141">
        <f t="shared" si="46"/>
        <v>4211.4012000000002</v>
      </c>
      <c r="AA564" s="134"/>
    </row>
    <row r="565" spans="1:27" ht="12" customHeight="1" x14ac:dyDescent="0.35">
      <c r="A565" s="134"/>
      <c r="B565" s="134"/>
      <c r="C565" s="134" t="s">
        <v>689</v>
      </c>
      <c r="D565" s="136" t="str">
        <f t="shared" si="43"/>
        <v>D.01</v>
      </c>
      <c r="E565" s="135" t="s">
        <v>414</v>
      </c>
      <c r="F565" s="135" t="s">
        <v>673</v>
      </c>
      <c r="G565" s="134" t="s">
        <v>697</v>
      </c>
      <c r="H565" s="134" t="s">
        <v>272</v>
      </c>
      <c r="I565" s="134" t="s">
        <v>272</v>
      </c>
      <c r="J565" s="144" t="s">
        <v>272</v>
      </c>
      <c r="K565" s="134"/>
      <c r="L565" s="134"/>
      <c r="M565" s="134"/>
      <c r="N565" s="134"/>
      <c r="O565" s="134"/>
      <c r="P565" s="135" t="s">
        <v>128</v>
      </c>
      <c r="Q565" s="148">
        <v>1119.576</v>
      </c>
      <c r="R565" s="148">
        <v>1119.576</v>
      </c>
      <c r="S565" s="135"/>
      <c r="T565" s="149">
        <f>IFERROR(INDEX('Price List'!$G$5:$G$74,MATCH(TRIM(J565)&amp;"|"&amp;TRIM(P565),'Price List'!$O$5:$O$74,0)),0)</f>
        <v>1.5</v>
      </c>
      <c r="U565" s="150">
        <f>IFERROR(INDEX('Price List'!$H$5:$H$74,MATCH(TRIM(J565)&amp;"|"&amp;TRIM(P565),'Price List'!$O$5:$O$74,0)),0)</f>
        <v>0.2</v>
      </c>
      <c r="V565" s="141">
        <f t="shared" si="44"/>
        <v>1.7999999999999998</v>
      </c>
      <c r="W565" s="151">
        <f>IFERROR(INDEX('Price List'!$J$5:$J$74,MATCH(TRIM(J565)&amp;"|"&amp;TRIM(P565),'Price List'!$O$5:$O$74,0)),0)</f>
        <v>2.5</v>
      </c>
      <c r="X565" s="152">
        <f>IFERROR(INDEX('Price List'!$K$5:$K$74,MATCH(TRIM(J565)&amp;"|"&amp;TRIM(P565),'Price List'!$O$5:$O$74,0)),0)</f>
        <v>0.12</v>
      </c>
      <c r="Y565" s="141">
        <f t="shared" si="45"/>
        <v>2.8000000000000003</v>
      </c>
      <c r="Z565" s="141">
        <f t="shared" si="46"/>
        <v>5150.0495999999994</v>
      </c>
      <c r="AA565" s="134"/>
    </row>
    <row r="566" spans="1:27" ht="12" customHeight="1" x14ac:dyDescent="0.35">
      <c r="A566" s="134"/>
      <c r="B566" s="134"/>
      <c r="C566" s="134" t="s">
        <v>689</v>
      </c>
      <c r="D566" s="136" t="str">
        <f t="shared" si="43"/>
        <v>C.01</v>
      </c>
      <c r="E566" s="135" t="s">
        <v>414</v>
      </c>
      <c r="F566" s="135" t="s">
        <v>674</v>
      </c>
      <c r="G566" s="134" t="s">
        <v>690</v>
      </c>
      <c r="H566" s="134" t="s">
        <v>691</v>
      </c>
      <c r="I566" s="134" t="s">
        <v>692</v>
      </c>
      <c r="J566" s="144" t="s">
        <v>252</v>
      </c>
      <c r="K566" s="134"/>
      <c r="L566" s="134"/>
      <c r="M566" s="134"/>
      <c r="N566" s="134"/>
      <c r="O566" s="134"/>
      <c r="P566" s="135" t="s">
        <v>128</v>
      </c>
      <c r="Q566" s="148">
        <v>19.193999999999999</v>
      </c>
      <c r="R566" s="148">
        <v>19.193999999999999</v>
      </c>
      <c r="S566" s="135"/>
      <c r="T566" s="149">
        <f>IFERROR(INDEX('Price List'!$G$5:$G$74,MATCH(TRIM(J566)&amp;"|"&amp;TRIM(P566),'Price List'!$O$5:$O$74,0)),0)</f>
        <v>8.5</v>
      </c>
      <c r="U566" s="150">
        <f>IFERROR(INDEX('Price List'!$H$5:$H$74,MATCH(TRIM(J566)&amp;"|"&amp;TRIM(P566),'Price List'!$O$5:$O$74,0)),0)</f>
        <v>0.2</v>
      </c>
      <c r="V566" s="141">
        <f t="shared" si="44"/>
        <v>10.199999999999999</v>
      </c>
      <c r="W566" s="151">
        <f>IFERROR(INDEX('Price List'!$J$5:$J$74,MATCH(TRIM(J566)&amp;"|"&amp;TRIM(P566),'Price List'!$O$5:$O$74,0)),0)</f>
        <v>25</v>
      </c>
      <c r="X566" s="152">
        <f>IFERROR(INDEX('Price List'!$K$5:$K$74,MATCH(TRIM(J566)&amp;"|"&amp;TRIM(P566),'Price List'!$O$5:$O$74,0)),0)</f>
        <v>0.12</v>
      </c>
      <c r="Y566" s="141">
        <f t="shared" si="45"/>
        <v>28.000000000000004</v>
      </c>
      <c r="Z566" s="141">
        <f t="shared" si="46"/>
        <v>733.21080000000006</v>
      </c>
      <c r="AA566" s="134"/>
    </row>
    <row r="567" spans="1:27" ht="12" customHeight="1" x14ac:dyDescent="0.35">
      <c r="A567" s="134"/>
      <c r="B567" s="134"/>
      <c r="C567" s="134" t="s">
        <v>689</v>
      </c>
      <c r="D567" s="136" t="str">
        <f t="shared" si="43"/>
        <v>C.01</v>
      </c>
      <c r="E567" s="135" t="s">
        <v>414</v>
      </c>
      <c r="F567" s="135" t="s">
        <v>674</v>
      </c>
      <c r="G567" s="134" t="s">
        <v>690</v>
      </c>
      <c r="H567" s="134" t="s">
        <v>691</v>
      </c>
      <c r="I567" s="134" t="s">
        <v>693</v>
      </c>
      <c r="J567" s="144" t="s">
        <v>254</v>
      </c>
      <c r="K567" s="134"/>
      <c r="L567" s="134"/>
      <c r="M567" s="134"/>
      <c r="N567" s="134"/>
      <c r="O567" s="134"/>
      <c r="P567" s="135" t="s">
        <v>128</v>
      </c>
      <c r="Q567" s="148">
        <v>420.92700000000002</v>
      </c>
      <c r="R567" s="148">
        <v>420.92700000000002</v>
      </c>
      <c r="S567" s="135"/>
      <c r="T567" s="149">
        <f>IFERROR(INDEX('Price List'!$G$5:$G$74,MATCH(TRIM(J567)&amp;"|"&amp;TRIM(P567),'Price List'!$O$5:$O$74,0)),0)</f>
        <v>4.5</v>
      </c>
      <c r="U567" s="150">
        <f>IFERROR(INDEX('Price List'!$H$5:$H$74,MATCH(TRIM(J567)&amp;"|"&amp;TRIM(P567),'Price List'!$O$5:$O$74,0)),0)</f>
        <v>0.2</v>
      </c>
      <c r="V567" s="141">
        <f t="shared" si="44"/>
        <v>5.3999999999999995</v>
      </c>
      <c r="W567" s="151">
        <f>IFERROR(INDEX('Price List'!$J$5:$J$74,MATCH(TRIM(J567)&amp;"|"&amp;TRIM(P567),'Price List'!$O$5:$O$74,0)),0)</f>
        <v>11</v>
      </c>
      <c r="X567" s="152">
        <f>IFERROR(INDEX('Price List'!$K$5:$K$74,MATCH(TRIM(J567)&amp;"|"&amp;TRIM(P567),'Price List'!$O$5:$O$74,0)),0)</f>
        <v>0.12</v>
      </c>
      <c r="Y567" s="141">
        <f t="shared" si="45"/>
        <v>12.32</v>
      </c>
      <c r="Z567" s="141">
        <f t="shared" si="46"/>
        <v>7458.8264399999998</v>
      </c>
      <c r="AA567" s="134"/>
    </row>
    <row r="568" spans="1:27" ht="12" customHeight="1" x14ac:dyDescent="0.35">
      <c r="A568" s="134"/>
      <c r="B568" s="134"/>
      <c r="C568" s="134" t="s">
        <v>689</v>
      </c>
      <c r="D568" s="136" t="str">
        <f t="shared" si="43"/>
        <v>C.01</v>
      </c>
      <c r="E568" s="135" t="s">
        <v>414</v>
      </c>
      <c r="F568" s="135" t="s">
        <v>674</v>
      </c>
      <c r="G568" s="134" t="s">
        <v>690</v>
      </c>
      <c r="H568" s="134" t="s">
        <v>691</v>
      </c>
      <c r="I568" s="134" t="s">
        <v>698</v>
      </c>
      <c r="J568" s="144" t="s">
        <v>256</v>
      </c>
      <c r="K568" s="134"/>
      <c r="L568" s="134"/>
      <c r="M568" s="134"/>
      <c r="N568" s="134"/>
      <c r="O568" s="134"/>
      <c r="P568" s="135" t="s">
        <v>128</v>
      </c>
      <c r="Q568" s="148">
        <v>17.64</v>
      </c>
      <c r="R568" s="148">
        <v>17.64</v>
      </c>
      <c r="S568" s="135"/>
      <c r="T568" s="149">
        <f>IFERROR(INDEX('Price List'!$G$5:$G$74,MATCH(TRIM(J568)&amp;"|"&amp;TRIM(P568),'Price List'!$O$5:$O$74,0)),0)</f>
        <v>12</v>
      </c>
      <c r="U568" s="150">
        <f>IFERROR(INDEX('Price List'!$H$5:$H$74,MATCH(TRIM(J568)&amp;"|"&amp;TRIM(P568),'Price List'!$O$5:$O$74,0)),0)</f>
        <v>0.2</v>
      </c>
      <c r="V568" s="141">
        <f t="shared" si="44"/>
        <v>14.399999999999999</v>
      </c>
      <c r="W568" s="151">
        <f>IFERROR(INDEX('Price List'!$J$5:$J$74,MATCH(TRIM(J568)&amp;"|"&amp;TRIM(P568),'Price List'!$O$5:$O$74,0)),0)</f>
        <v>38</v>
      </c>
      <c r="X568" s="152">
        <f>IFERROR(INDEX('Price List'!$K$5:$K$74,MATCH(TRIM(J568)&amp;"|"&amp;TRIM(P568),'Price List'!$O$5:$O$74,0)),0)</f>
        <v>0.12</v>
      </c>
      <c r="Y568" s="141">
        <f t="shared" si="45"/>
        <v>42.56</v>
      </c>
      <c r="Z568" s="141">
        <f t="shared" si="46"/>
        <v>1004.7744</v>
      </c>
      <c r="AA568" s="134"/>
    </row>
    <row r="569" spans="1:27" ht="12" customHeight="1" x14ac:dyDescent="0.35">
      <c r="A569" s="134"/>
      <c r="B569" s="134"/>
      <c r="C569" s="134" t="s">
        <v>689</v>
      </c>
      <c r="D569" s="136" t="str">
        <f t="shared" si="43"/>
        <v>C.09</v>
      </c>
      <c r="E569" s="135" t="s">
        <v>414</v>
      </c>
      <c r="F569" s="135" t="s">
        <v>674</v>
      </c>
      <c r="G569" s="134" t="s">
        <v>694</v>
      </c>
      <c r="H569" s="134" t="s">
        <v>691</v>
      </c>
      <c r="I569" s="134" t="s">
        <v>695</v>
      </c>
      <c r="J569" s="144" t="s">
        <v>297</v>
      </c>
      <c r="K569" s="134"/>
      <c r="L569" s="134"/>
      <c r="M569" s="134"/>
      <c r="N569" s="134"/>
      <c r="O569" s="134"/>
      <c r="P569" s="135" t="s">
        <v>128</v>
      </c>
      <c r="Q569" s="148">
        <v>84.012</v>
      </c>
      <c r="R569" s="148">
        <v>84.012</v>
      </c>
      <c r="S569" s="135"/>
      <c r="T569" s="149">
        <f>IFERROR(INDEX('Price List'!$G$5:$G$74,MATCH(TRIM(J569)&amp;"|"&amp;TRIM(P569),'Price List'!$O$5:$O$74,0)),0)</f>
        <v>3</v>
      </c>
      <c r="U569" s="150">
        <f>IFERROR(INDEX('Price List'!$H$5:$H$74,MATCH(TRIM(J569)&amp;"|"&amp;TRIM(P569),'Price List'!$O$5:$O$74,0)),0)</f>
        <v>0.2</v>
      </c>
      <c r="V569" s="141">
        <f t="shared" si="44"/>
        <v>3.5999999999999996</v>
      </c>
      <c r="W569" s="151">
        <f>IFERROR(INDEX('Price List'!$J$5:$J$74,MATCH(TRIM(J569)&amp;"|"&amp;TRIM(P569),'Price List'!$O$5:$O$74,0)),0)</f>
        <v>6</v>
      </c>
      <c r="X569" s="152">
        <f>IFERROR(INDEX('Price List'!$K$5:$K$74,MATCH(TRIM(J569)&amp;"|"&amp;TRIM(P569),'Price List'!$O$5:$O$74,0)),0)</f>
        <v>0.12</v>
      </c>
      <c r="Y569" s="141">
        <f t="shared" si="45"/>
        <v>6.7200000000000006</v>
      </c>
      <c r="Z569" s="141">
        <f t="shared" si="46"/>
        <v>867.00384000000008</v>
      </c>
      <c r="AA569" s="134"/>
    </row>
    <row r="570" spans="1:27" ht="12" customHeight="1" x14ac:dyDescent="0.35">
      <c r="A570" s="134"/>
      <c r="B570" s="134"/>
      <c r="C570" s="134" t="s">
        <v>689</v>
      </c>
      <c r="D570" s="136" t="str">
        <f t="shared" si="43"/>
        <v>C.09</v>
      </c>
      <c r="E570" s="135" t="s">
        <v>414</v>
      </c>
      <c r="F570" s="135" t="s">
        <v>674</v>
      </c>
      <c r="G570" s="134" t="s">
        <v>694</v>
      </c>
      <c r="H570" s="134" t="s">
        <v>691</v>
      </c>
      <c r="I570" s="134" t="s">
        <v>693</v>
      </c>
      <c r="J570" s="144" t="s">
        <v>254</v>
      </c>
      <c r="K570" s="134"/>
      <c r="L570" s="134"/>
      <c r="M570" s="134"/>
      <c r="N570" s="134"/>
      <c r="O570" s="134"/>
      <c r="P570" s="135" t="s">
        <v>128</v>
      </c>
      <c r="Q570" s="148">
        <v>475.77600000000001</v>
      </c>
      <c r="R570" s="148">
        <v>475.77600000000001</v>
      </c>
      <c r="S570" s="135"/>
      <c r="T570" s="149">
        <f>IFERROR(INDEX('Price List'!$G$5:$G$74,MATCH(TRIM(J570)&amp;"|"&amp;TRIM(P570),'Price List'!$O$5:$O$74,0)),0)</f>
        <v>4.5</v>
      </c>
      <c r="U570" s="150">
        <f>IFERROR(INDEX('Price List'!$H$5:$H$74,MATCH(TRIM(J570)&amp;"|"&amp;TRIM(P570),'Price List'!$O$5:$O$74,0)),0)</f>
        <v>0.2</v>
      </c>
      <c r="V570" s="141">
        <f t="shared" si="44"/>
        <v>5.3999999999999995</v>
      </c>
      <c r="W570" s="151">
        <f>IFERROR(INDEX('Price List'!$J$5:$J$74,MATCH(TRIM(J570)&amp;"|"&amp;TRIM(P570),'Price List'!$O$5:$O$74,0)),0)</f>
        <v>11</v>
      </c>
      <c r="X570" s="152">
        <f>IFERROR(INDEX('Price List'!$K$5:$K$74,MATCH(TRIM(J570)&amp;"|"&amp;TRIM(P570),'Price List'!$O$5:$O$74,0)),0)</f>
        <v>0.12</v>
      </c>
      <c r="Y570" s="141">
        <f t="shared" si="45"/>
        <v>12.32</v>
      </c>
      <c r="Z570" s="141">
        <f t="shared" si="46"/>
        <v>8430.75072</v>
      </c>
      <c r="AA570" s="134"/>
    </row>
    <row r="571" spans="1:27" ht="12" customHeight="1" x14ac:dyDescent="0.35">
      <c r="A571" s="134"/>
      <c r="B571" s="134"/>
      <c r="C571" s="134" t="s">
        <v>689</v>
      </c>
      <c r="D571" s="136" t="str">
        <f t="shared" si="43"/>
        <v>C.02</v>
      </c>
      <c r="E571" s="135" t="s">
        <v>414</v>
      </c>
      <c r="F571" s="135" t="s">
        <v>674</v>
      </c>
      <c r="G571" s="134" t="s">
        <v>35</v>
      </c>
      <c r="H571" s="134" t="s">
        <v>696</v>
      </c>
      <c r="I571" s="134" t="s">
        <v>696</v>
      </c>
      <c r="J571" s="144" t="s">
        <v>268</v>
      </c>
      <c r="K571" s="134"/>
      <c r="L571" s="134"/>
      <c r="M571" s="134"/>
      <c r="N571" s="134"/>
      <c r="O571" s="134"/>
      <c r="P571" s="135" t="s">
        <v>128</v>
      </c>
      <c r="Q571" s="148">
        <v>915.52200000000005</v>
      </c>
      <c r="R571" s="148">
        <v>915.52200000000005</v>
      </c>
      <c r="S571" s="135"/>
      <c r="T571" s="149">
        <f>IFERROR(INDEX('Price List'!$G$5:$G$74,MATCH(TRIM(J571)&amp;"|"&amp;TRIM(P571),'Price List'!$O$5:$O$74,0)),0)</f>
        <v>2.5</v>
      </c>
      <c r="U571" s="150">
        <f>IFERROR(INDEX('Price List'!$H$5:$H$74,MATCH(TRIM(J571)&amp;"|"&amp;TRIM(P571),'Price List'!$O$5:$O$74,0)),0)</f>
        <v>0.2</v>
      </c>
      <c r="V571" s="141">
        <f t="shared" si="44"/>
        <v>3</v>
      </c>
      <c r="W571" s="151">
        <f>IFERROR(INDEX('Price List'!$J$5:$J$74,MATCH(TRIM(J571)&amp;"|"&amp;TRIM(P571),'Price List'!$O$5:$O$74,0)),0)</f>
        <v>2</v>
      </c>
      <c r="X571" s="152">
        <f>IFERROR(INDEX('Price List'!$K$5:$K$74,MATCH(TRIM(J571)&amp;"|"&amp;TRIM(P571),'Price List'!$O$5:$O$74,0)),0)</f>
        <v>0.12</v>
      </c>
      <c r="Y571" s="141">
        <f t="shared" si="45"/>
        <v>2.2400000000000002</v>
      </c>
      <c r="Z571" s="141">
        <f t="shared" si="46"/>
        <v>4797.3352800000002</v>
      </c>
      <c r="AA571" s="134"/>
    </row>
    <row r="572" spans="1:27" ht="12" customHeight="1" x14ac:dyDescent="0.35">
      <c r="A572" s="134"/>
      <c r="B572" s="134"/>
      <c r="C572" s="134" t="s">
        <v>689</v>
      </c>
      <c r="D572" s="136" t="str">
        <f t="shared" si="43"/>
        <v>D.01</v>
      </c>
      <c r="E572" s="135" t="s">
        <v>414</v>
      </c>
      <c r="F572" s="135" t="s">
        <v>674</v>
      </c>
      <c r="G572" s="134" t="s">
        <v>697</v>
      </c>
      <c r="H572" s="134" t="s">
        <v>696</v>
      </c>
      <c r="I572" s="134" t="s">
        <v>696</v>
      </c>
      <c r="J572" s="144" t="s">
        <v>268</v>
      </c>
      <c r="K572" s="134"/>
      <c r="L572" s="134"/>
      <c r="M572" s="134"/>
      <c r="N572" s="134"/>
      <c r="O572" s="134"/>
      <c r="P572" s="135" t="s">
        <v>128</v>
      </c>
      <c r="Q572" s="148">
        <v>1119.576</v>
      </c>
      <c r="R572" s="148">
        <v>1119.576</v>
      </c>
      <c r="S572" s="135"/>
      <c r="T572" s="149">
        <f>IFERROR(INDEX('Price List'!$G$5:$G$74,MATCH(TRIM(J572)&amp;"|"&amp;TRIM(P572),'Price List'!$O$5:$O$74,0)),0)</f>
        <v>2.5</v>
      </c>
      <c r="U572" s="150">
        <f>IFERROR(INDEX('Price List'!$H$5:$H$74,MATCH(TRIM(J572)&amp;"|"&amp;TRIM(P572),'Price List'!$O$5:$O$74,0)),0)</f>
        <v>0.2</v>
      </c>
      <c r="V572" s="141">
        <f t="shared" si="44"/>
        <v>3</v>
      </c>
      <c r="W572" s="151">
        <f>IFERROR(INDEX('Price List'!$J$5:$J$74,MATCH(TRIM(J572)&amp;"|"&amp;TRIM(P572),'Price List'!$O$5:$O$74,0)),0)</f>
        <v>2</v>
      </c>
      <c r="X572" s="152">
        <f>IFERROR(INDEX('Price List'!$K$5:$K$74,MATCH(TRIM(J572)&amp;"|"&amp;TRIM(P572),'Price List'!$O$5:$O$74,0)),0)</f>
        <v>0.12</v>
      </c>
      <c r="Y572" s="141">
        <f t="shared" si="45"/>
        <v>2.2400000000000002</v>
      </c>
      <c r="Z572" s="141">
        <f t="shared" si="46"/>
        <v>5866.5782400000007</v>
      </c>
      <c r="AA572" s="134"/>
    </row>
    <row r="573" spans="1:27" ht="12" customHeight="1" x14ac:dyDescent="0.35">
      <c r="A573" s="134"/>
      <c r="B573" s="134"/>
      <c r="C573" s="134" t="s">
        <v>689</v>
      </c>
      <c r="D573" s="136" t="str">
        <f t="shared" si="43"/>
        <v>C.02</v>
      </c>
      <c r="E573" s="135" t="s">
        <v>414</v>
      </c>
      <c r="F573" s="135" t="s">
        <v>674</v>
      </c>
      <c r="G573" s="134" t="s">
        <v>35</v>
      </c>
      <c r="H573" s="134" t="s">
        <v>272</v>
      </c>
      <c r="I573" s="134" t="s">
        <v>272</v>
      </c>
      <c r="J573" s="144" t="s">
        <v>272</v>
      </c>
      <c r="K573" s="134"/>
      <c r="L573" s="134"/>
      <c r="M573" s="134"/>
      <c r="N573" s="134"/>
      <c r="O573" s="134"/>
      <c r="P573" s="135" t="s">
        <v>128</v>
      </c>
      <c r="Q573" s="148">
        <v>915.52200000000005</v>
      </c>
      <c r="R573" s="148">
        <v>915.52200000000005</v>
      </c>
      <c r="S573" s="135"/>
      <c r="T573" s="149">
        <f>IFERROR(INDEX('Price List'!$G$5:$G$74,MATCH(TRIM(J573)&amp;"|"&amp;TRIM(P573),'Price List'!$O$5:$O$74,0)),0)</f>
        <v>1.5</v>
      </c>
      <c r="U573" s="150">
        <f>IFERROR(INDEX('Price List'!$H$5:$H$74,MATCH(TRIM(J573)&amp;"|"&amp;TRIM(P573),'Price List'!$O$5:$O$74,0)),0)</f>
        <v>0.2</v>
      </c>
      <c r="V573" s="141">
        <f t="shared" si="44"/>
        <v>1.7999999999999998</v>
      </c>
      <c r="W573" s="151">
        <f>IFERROR(INDEX('Price List'!$J$5:$J$74,MATCH(TRIM(J573)&amp;"|"&amp;TRIM(P573),'Price List'!$O$5:$O$74,0)),0)</f>
        <v>2.5</v>
      </c>
      <c r="X573" s="152">
        <f>IFERROR(INDEX('Price List'!$K$5:$K$74,MATCH(TRIM(J573)&amp;"|"&amp;TRIM(P573),'Price List'!$O$5:$O$74,0)),0)</f>
        <v>0.12</v>
      </c>
      <c r="Y573" s="141">
        <f t="shared" si="45"/>
        <v>2.8000000000000003</v>
      </c>
      <c r="Z573" s="141">
        <f t="shared" si="46"/>
        <v>4211.4012000000002</v>
      </c>
      <c r="AA573" s="134"/>
    </row>
    <row r="574" spans="1:27" ht="12" customHeight="1" x14ac:dyDescent="0.35">
      <c r="A574" s="134"/>
      <c r="B574" s="134"/>
      <c r="C574" s="134" t="s">
        <v>689</v>
      </c>
      <c r="D574" s="136" t="str">
        <f t="shared" si="43"/>
        <v>D.01</v>
      </c>
      <c r="E574" s="135" t="s">
        <v>414</v>
      </c>
      <c r="F574" s="135" t="s">
        <v>674</v>
      </c>
      <c r="G574" s="134" t="s">
        <v>697</v>
      </c>
      <c r="H574" s="134" t="s">
        <v>272</v>
      </c>
      <c r="I574" s="134" t="s">
        <v>272</v>
      </c>
      <c r="J574" s="144" t="s">
        <v>272</v>
      </c>
      <c r="K574" s="134"/>
      <c r="L574" s="134"/>
      <c r="M574" s="134"/>
      <c r="N574" s="134"/>
      <c r="O574" s="134"/>
      <c r="P574" s="135" t="s">
        <v>128</v>
      </c>
      <c r="Q574" s="148">
        <v>1119.576</v>
      </c>
      <c r="R574" s="148">
        <v>1119.576</v>
      </c>
      <c r="S574" s="135"/>
      <c r="T574" s="149">
        <f>IFERROR(INDEX('Price List'!$G$5:$G$74,MATCH(TRIM(J574)&amp;"|"&amp;TRIM(P574),'Price List'!$O$5:$O$74,0)),0)</f>
        <v>1.5</v>
      </c>
      <c r="U574" s="150">
        <f>IFERROR(INDEX('Price List'!$H$5:$H$74,MATCH(TRIM(J574)&amp;"|"&amp;TRIM(P574),'Price List'!$O$5:$O$74,0)),0)</f>
        <v>0.2</v>
      </c>
      <c r="V574" s="141">
        <f t="shared" si="44"/>
        <v>1.7999999999999998</v>
      </c>
      <c r="W574" s="151">
        <f>IFERROR(INDEX('Price List'!$J$5:$J$74,MATCH(TRIM(J574)&amp;"|"&amp;TRIM(P574),'Price List'!$O$5:$O$74,0)),0)</f>
        <v>2.5</v>
      </c>
      <c r="X574" s="152">
        <f>IFERROR(INDEX('Price List'!$K$5:$K$74,MATCH(TRIM(J574)&amp;"|"&amp;TRIM(P574),'Price List'!$O$5:$O$74,0)),0)</f>
        <v>0.12</v>
      </c>
      <c r="Y574" s="141">
        <f t="shared" si="45"/>
        <v>2.8000000000000003</v>
      </c>
      <c r="Z574" s="141">
        <f t="shared" si="46"/>
        <v>5150.0495999999994</v>
      </c>
      <c r="AA574" s="134"/>
    </row>
    <row r="575" spans="1:27" ht="12" customHeight="1" x14ac:dyDescent="0.35">
      <c r="A575" s="134"/>
      <c r="B575" s="134"/>
      <c r="C575" s="134" t="s">
        <v>689</v>
      </c>
      <c r="D575" s="136" t="str">
        <f t="shared" si="43"/>
        <v>C.01</v>
      </c>
      <c r="E575" s="135" t="s">
        <v>414</v>
      </c>
      <c r="F575" s="135" t="s">
        <v>675</v>
      </c>
      <c r="G575" s="134" t="s">
        <v>690</v>
      </c>
      <c r="H575" s="134" t="s">
        <v>691</v>
      </c>
      <c r="I575" s="134" t="s">
        <v>692</v>
      </c>
      <c r="J575" s="144" t="s">
        <v>252</v>
      </c>
      <c r="K575" s="134"/>
      <c r="L575" s="134"/>
      <c r="M575" s="134"/>
      <c r="N575" s="134"/>
      <c r="O575" s="134"/>
      <c r="P575" s="135" t="s">
        <v>128</v>
      </c>
      <c r="Q575" s="148">
        <v>19.193999999999999</v>
      </c>
      <c r="R575" s="148">
        <v>19.193999999999999</v>
      </c>
      <c r="S575" s="135"/>
      <c r="T575" s="149">
        <f>IFERROR(INDEX('Price List'!$G$5:$G$74,MATCH(TRIM(J575)&amp;"|"&amp;TRIM(P575),'Price List'!$O$5:$O$74,0)),0)</f>
        <v>8.5</v>
      </c>
      <c r="U575" s="150">
        <f>IFERROR(INDEX('Price List'!$H$5:$H$74,MATCH(TRIM(J575)&amp;"|"&amp;TRIM(P575),'Price List'!$O$5:$O$74,0)),0)</f>
        <v>0.2</v>
      </c>
      <c r="V575" s="141">
        <f t="shared" si="44"/>
        <v>10.199999999999999</v>
      </c>
      <c r="W575" s="151">
        <f>IFERROR(INDEX('Price List'!$J$5:$J$74,MATCH(TRIM(J575)&amp;"|"&amp;TRIM(P575),'Price List'!$O$5:$O$74,0)),0)</f>
        <v>25</v>
      </c>
      <c r="X575" s="152">
        <f>IFERROR(INDEX('Price List'!$K$5:$K$74,MATCH(TRIM(J575)&amp;"|"&amp;TRIM(P575),'Price List'!$O$5:$O$74,0)),0)</f>
        <v>0.12</v>
      </c>
      <c r="Y575" s="141">
        <f t="shared" si="45"/>
        <v>28.000000000000004</v>
      </c>
      <c r="Z575" s="141">
        <f t="shared" si="46"/>
        <v>733.21080000000006</v>
      </c>
      <c r="AA575" s="134"/>
    </row>
    <row r="576" spans="1:27" ht="12" customHeight="1" x14ac:dyDescent="0.35">
      <c r="A576" s="134"/>
      <c r="B576" s="134"/>
      <c r="C576" s="134" t="s">
        <v>689</v>
      </c>
      <c r="D576" s="136" t="str">
        <f t="shared" si="43"/>
        <v>C.01</v>
      </c>
      <c r="E576" s="135" t="s">
        <v>414</v>
      </c>
      <c r="F576" s="135" t="s">
        <v>675</v>
      </c>
      <c r="G576" s="134" t="s">
        <v>690</v>
      </c>
      <c r="H576" s="134" t="s">
        <v>691</v>
      </c>
      <c r="I576" s="134" t="s">
        <v>693</v>
      </c>
      <c r="J576" s="144" t="s">
        <v>254</v>
      </c>
      <c r="K576" s="134"/>
      <c r="L576" s="134"/>
      <c r="M576" s="134"/>
      <c r="N576" s="134"/>
      <c r="O576" s="134"/>
      <c r="P576" s="135" t="s">
        <v>128</v>
      </c>
      <c r="Q576" s="148">
        <v>420.92700000000002</v>
      </c>
      <c r="R576" s="148">
        <v>420.92700000000002</v>
      </c>
      <c r="S576" s="135"/>
      <c r="T576" s="149">
        <f>IFERROR(INDEX('Price List'!$G$5:$G$74,MATCH(TRIM(J576)&amp;"|"&amp;TRIM(P576),'Price List'!$O$5:$O$74,0)),0)</f>
        <v>4.5</v>
      </c>
      <c r="U576" s="150">
        <f>IFERROR(INDEX('Price List'!$H$5:$H$74,MATCH(TRIM(J576)&amp;"|"&amp;TRIM(P576),'Price List'!$O$5:$O$74,0)),0)</f>
        <v>0.2</v>
      </c>
      <c r="V576" s="141">
        <f t="shared" si="44"/>
        <v>5.3999999999999995</v>
      </c>
      <c r="W576" s="151">
        <f>IFERROR(INDEX('Price List'!$J$5:$J$74,MATCH(TRIM(J576)&amp;"|"&amp;TRIM(P576),'Price List'!$O$5:$O$74,0)),0)</f>
        <v>11</v>
      </c>
      <c r="X576" s="152">
        <f>IFERROR(INDEX('Price List'!$K$5:$K$74,MATCH(TRIM(J576)&amp;"|"&amp;TRIM(P576),'Price List'!$O$5:$O$74,0)),0)</f>
        <v>0.12</v>
      </c>
      <c r="Y576" s="141">
        <f t="shared" si="45"/>
        <v>12.32</v>
      </c>
      <c r="Z576" s="141">
        <f t="shared" si="46"/>
        <v>7458.8264399999998</v>
      </c>
      <c r="AA576" s="134"/>
    </row>
    <row r="577" spans="1:27" ht="12" customHeight="1" x14ac:dyDescent="0.35">
      <c r="A577" s="134"/>
      <c r="B577" s="134"/>
      <c r="C577" s="134" t="s">
        <v>689</v>
      </c>
      <c r="D577" s="136" t="str">
        <f t="shared" si="43"/>
        <v>C.01</v>
      </c>
      <c r="E577" s="135" t="s">
        <v>414</v>
      </c>
      <c r="F577" s="135" t="s">
        <v>675</v>
      </c>
      <c r="G577" s="134" t="s">
        <v>690</v>
      </c>
      <c r="H577" s="134" t="s">
        <v>691</v>
      </c>
      <c r="I577" s="134" t="s">
        <v>698</v>
      </c>
      <c r="J577" s="144" t="s">
        <v>256</v>
      </c>
      <c r="K577" s="134"/>
      <c r="L577" s="134"/>
      <c r="M577" s="134"/>
      <c r="N577" s="134"/>
      <c r="O577" s="134"/>
      <c r="P577" s="135" t="s">
        <v>128</v>
      </c>
      <c r="Q577" s="148">
        <v>17.64</v>
      </c>
      <c r="R577" s="148">
        <v>17.64</v>
      </c>
      <c r="S577" s="135"/>
      <c r="T577" s="149">
        <f>IFERROR(INDEX('Price List'!$G$5:$G$74,MATCH(TRIM(J577)&amp;"|"&amp;TRIM(P577),'Price List'!$O$5:$O$74,0)),0)</f>
        <v>12</v>
      </c>
      <c r="U577" s="150">
        <f>IFERROR(INDEX('Price List'!$H$5:$H$74,MATCH(TRIM(J577)&amp;"|"&amp;TRIM(P577),'Price List'!$O$5:$O$74,0)),0)</f>
        <v>0.2</v>
      </c>
      <c r="V577" s="141">
        <f t="shared" si="44"/>
        <v>14.399999999999999</v>
      </c>
      <c r="W577" s="151">
        <f>IFERROR(INDEX('Price List'!$J$5:$J$74,MATCH(TRIM(J577)&amp;"|"&amp;TRIM(P577),'Price List'!$O$5:$O$74,0)),0)</f>
        <v>38</v>
      </c>
      <c r="X577" s="152">
        <f>IFERROR(INDEX('Price List'!$K$5:$K$74,MATCH(TRIM(J577)&amp;"|"&amp;TRIM(P577),'Price List'!$O$5:$O$74,0)),0)</f>
        <v>0.12</v>
      </c>
      <c r="Y577" s="141">
        <f t="shared" si="45"/>
        <v>42.56</v>
      </c>
      <c r="Z577" s="141">
        <f t="shared" si="46"/>
        <v>1004.7744</v>
      </c>
      <c r="AA577" s="134"/>
    </row>
    <row r="578" spans="1:27" ht="12" customHeight="1" x14ac:dyDescent="0.35">
      <c r="A578" s="134"/>
      <c r="B578" s="134"/>
      <c r="C578" s="134" t="s">
        <v>689</v>
      </c>
      <c r="D578" s="136" t="str">
        <f t="shared" ref="D578:D641" si="47">IFERROR(IF(TRIM($G578)="Sub Structure",IF(TRIM($H578)="Bored Pile","B.01","B.03"),IF(TRIM($G578)="Super Structure","B.04",IF(OR(TRIM($G578)="Exterior Wall and Partition",TRIM($G578)="External Wall and Partition"),"C.01",IF(TRIM($G578)="Exterior Wall Finishes","C.02",IF(TRIM($G578)="Interior Wall and Partition","C.09",IF(TRIM($G578)="Interior Door","C.10",IF(TRIM($G578)="External Windows and Louvers","C.04",IF(OR(TRIM($G578)="Interior Floor Finishes",TRIM($G578)="Internal Floor Finishes"),"D.02",IF(OR(TRIM($G578)="Interior Wall Finishes",TRIM($G578)="Internal Wall Finishes"),"D.01",IF(OR(TRIM($G578)="Ceiling Finshes",TRIM($G578)="Ceiling Finishes"),"D.03",IF(TRIM($G578)="Fittings, furnishings and equipment","E.04","")))))))))))," ")</f>
        <v>C.09</v>
      </c>
      <c r="E578" s="135" t="s">
        <v>414</v>
      </c>
      <c r="F578" s="135" t="s">
        <v>675</v>
      </c>
      <c r="G578" s="134" t="s">
        <v>694</v>
      </c>
      <c r="H578" s="134" t="s">
        <v>691</v>
      </c>
      <c r="I578" s="134" t="s">
        <v>695</v>
      </c>
      <c r="J578" s="144" t="s">
        <v>297</v>
      </c>
      <c r="K578" s="134"/>
      <c r="L578" s="134"/>
      <c r="M578" s="134"/>
      <c r="N578" s="134"/>
      <c r="O578" s="134"/>
      <c r="P578" s="135" t="s">
        <v>128</v>
      </c>
      <c r="Q578" s="148">
        <v>84.012</v>
      </c>
      <c r="R578" s="148">
        <v>84.012</v>
      </c>
      <c r="S578" s="135"/>
      <c r="T578" s="149">
        <f>IFERROR(INDEX('Price List'!$G$5:$G$74,MATCH(TRIM(J578)&amp;"|"&amp;TRIM(P578),'Price List'!$O$5:$O$74,0)),0)</f>
        <v>3</v>
      </c>
      <c r="U578" s="150">
        <f>IFERROR(INDEX('Price List'!$H$5:$H$74,MATCH(TRIM(J578)&amp;"|"&amp;TRIM(P578),'Price List'!$O$5:$O$74,0)),0)</f>
        <v>0.2</v>
      </c>
      <c r="V578" s="141">
        <f t="shared" ref="V578:V641" si="48">T578*(1+U578)</f>
        <v>3.5999999999999996</v>
      </c>
      <c r="W578" s="151">
        <f>IFERROR(INDEX('Price List'!$J$5:$J$74,MATCH(TRIM(J578)&amp;"|"&amp;TRIM(P578),'Price List'!$O$5:$O$74,0)),0)</f>
        <v>6</v>
      </c>
      <c r="X578" s="152">
        <f>IFERROR(INDEX('Price List'!$K$5:$K$74,MATCH(TRIM(J578)&amp;"|"&amp;TRIM(P578),'Price List'!$O$5:$O$74,0)),0)</f>
        <v>0.12</v>
      </c>
      <c r="Y578" s="141">
        <f t="shared" ref="Y578:Y641" si="49">W578*(1+X578)</f>
        <v>6.7200000000000006</v>
      </c>
      <c r="Z578" s="141">
        <f t="shared" ref="Z578:Z641" si="50">Q578*(V578+Y578)</f>
        <v>867.00384000000008</v>
      </c>
      <c r="AA578" s="134"/>
    </row>
    <row r="579" spans="1:27" ht="12" customHeight="1" x14ac:dyDescent="0.35">
      <c r="A579" s="134"/>
      <c r="B579" s="134"/>
      <c r="C579" s="134" t="s">
        <v>689</v>
      </c>
      <c r="D579" s="136" t="str">
        <f t="shared" si="47"/>
        <v>C.09</v>
      </c>
      <c r="E579" s="135" t="s">
        <v>414</v>
      </c>
      <c r="F579" s="135" t="s">
        <v>675</v>
      </c>
      <c r="G579" s="134" t="s">
        <v>694</v>
      </c>
      <c r="H579" s="134" t="s">
        <v>691</v>
      </c>
      <c r="I579" s="134" t="s">
        <v>693</v>
      </c>
      <c r="J579" s="144" t="s">
        <v>254</v>
      </c>
      <c r="K579" s="134"/>
      <c r="L579" s="134"/>
      <c r="M579" s="134"/>
      <c r="N579" s="134"/>
      <c r="O579" s="134"/>
      <c r="P579" s="135" t="s">
        <v>128</v>
      </c>
      <c r="Q579" s="148">
        <v>475.77600000000001</v>
      </c>
      <c r="R579" s="148">
        <v>475.77600000000001</v>
      </c>
      <c r="S579" s="135"/>
      <c r="T579" s="149">
        <f>IFERROR(INDEX('Price List'!$G$5:$G$74,MATCH(TRIM(J579)&amp;"|"&amp;TRIM(P579),'Price List'!$O$5:$O$74,0)),0)</f>
        <v>4.5</v>
      </c>
      <c r="U579" s="150">
        <f>IFERROR(INDEX('Price List'!$H$5:$H$74,MATCH(TRIM(J579)&amp;"|"&amp;TRIM(P579),'Price List'!$O$5:$O$74,0)),0)</f>
        <v>0.2</v>
      </c>
      <c r="V579" s="141">
        <f t="shared" si="48"/>
        <v>5.3999999999999995</v>
      </c>
      <c r="W579" s="151">
        <f>IFERROR(INDEX('Price List'!$J$5:$J$74,MATCH(TRIM(J579)&amp;"|"&amp;TRIM(P579),'Price List'!$O$5:$O$74,0)),0)</f>
        <v>11</v>
      </c>
      <c r="X579" s="152">
        <f>IFERROR(INDEX('Price List'!$K$5:$K$74,MATCH(TRIM(J579)&amp;"|"&amp;TRIM(P579),'Price List'!$O$5:$O$74,0)),0)</f>
        <v>0.12</v>
      </c>
      <c r="Y579" s="141">
        <f t="shared" si="49"/>
        <v>12.32</v>
      </c>
      <c r="Z579" s="141">
        <f t="shared" si="50"/>
        <v>8430.75072</v>
      </c>
      <c r="AA579" s="134"/>
    </row>
    <row r="580" spans="1:27" ht="12" customHeight="1" x14ac:dyDescent="0.35">
      <c r="A580" s="134"/>
      <c r="B580" s="134"/>
      <c r="C580" s="134" t="s">
        <v>689</v>
      </c>
      <c r="D580" s="136" t="str">
        <f t="shared" si="47"/>
        <v>C.02</v>
      </c>
      <c r="E580" s="135" t="s">
        <v>414</v>
      </c>
      <c r="F580" s="135" t="s">
        <v>675</v>
      </c>
      <c r="G580" s="134" t="s">
        <v>35</v>
      </c>
      <c r="H580" s="134" t="s">
        <v>696</v>
      </c>
      <c r="I580" s="134" t="s">
        <v>696</v>
      </c>
      <c r="J580" s="144" t="s">
        <v>268</v>
      </c>
      <c r="K580" s="134"/>
      <c r="L580" s="134"/>
      <c r="M580" s="134"/>
      <c r="N580" s="134"/>
      <c r="O580" s="134"/>
      <c r="P580" s="135" t="s">
        <v>128</v>
      </c>
      <c r="Q580" s="148">
        <v>915.52200000000005</v>
      </c>
      <c r="R580" s="148">
        <v>915.52200000000005</v>
      </c>
      <c r="S580" s="135"/>
      <c r="T580" s="149">
        <f>IFERROR(INDEX('Price List'!$G$5:$G$74,MATCH(TRIM(J580)&amp;"|"&amp;TRIM(P580),'Price List'!$O$5:$O$74,0)),0)</f>
        <v>2.5</v>
      </c>
      <c r="U580" s="150">
        <f>IFERROR(INDEX('Price List'!$H$5:$H$74,MATCH(TRIM(J580)&amp;"|"&amp;TRIM(P580),'Price List'!$O$5:$O$74,0)),0)</f>
        <v>0.2</v>
      </c>
      <c r="V580" s="141">
        <f t="shared" si="48"/>
        <v>3</v>
      </c>
      <c r="W580" s="151">
        <f>IFERROR(INDEX('Price List'!$J$5:$J$74,MATCH(TRIM(J580)&amp;"|"&amp;TRIM(P580),'Price List'!$O$5:$O$74,0)),0)</f>
        <v>2</v>
      </c>
      <c r="X580" s="152">
        <f>IFERROR(INDEX('Price List'!$K$5:$K$74,MATCH(TRIM(J580)&amp;"|"&amp;TRIM(P580),'Price List'!$O$5:$O$74,0)),0)</f>
        <v>0.12</v>
      </c>
      <c r="Y580" s="141">
        <f t="shared" si="49"/>
        <v>2.2400000000000002</v>
      </c>
      <c r="Z580" s="141">
        <f t="shared" si="50"/>
        <v>4797.3352800000002</v>
      </c>
      <c r="AA580" s="134"/>
    </row>
    <row r="581" spans="1:27" ht="12" customHeight="1" x14ac:dyDescent="0.35">
      <c r="A581" s="134"/>
      <c r="B581" s="134"/>
      <c r="C581" s="134" t="s">
        <v>689</v>
      </c>
      <c r="D581" s="136" t="str">
        <f t="shared" si="47"/>
        <v>D.01</v>
      </c>
      <c r="E581" s="135" t="s">
        <v>414</v>
      </c>
      <c r="F581" s="135" t="s">
        <v>675</v>
      </c>
      <c r="G581" s="134" t="s">
        <v>697</v>
      </c>
      <c r="H581" s="134" t="s">
        <v>696</v>
      </c>
      <c r="I581" s="134" t="s">
        <v>696</v>
      </c>
      <c r="J581" s="144" t="s">
        <v>268</v>
      </c>
      <c r="K581" s="134"/>
      <c r="L581" s="134"/>
      <c r="M581" s="134"/>
      <c r="N581" s="134"/>
      <c r="O581" s="134"/>
      <c r="P581" s="135" t="s">
        <v>128</v>
      </c>
      <c r="Q581" s="148">
        <v>1119.576</v>
      </c>
      <c r="R581" s="148">
        <v>1119.576</v>
      </c>
      <c r="S581" s="135"/>
      <c r="T581" s="149">
        <f>IFERROR(INDEX('Price List'!$G$5:$G$74,MATCH(TRIM(J581)&amp;"|"&amp;TRIM(P581),'Price List'!$O$5:$O$74,0)),0)</f>
        <v>2.5</v>
      </c>
      <c r="U581" s="150">
        <f>IFERROR(INDEX('Price List'!$H$5:$H$74,MATCH(TRIM(J581)&amp;"|"&amp;TRIM(P581),'Price List'!$O$5:$O$74,0)),0)</f>
        <v>0.2</v>
      </c>
      <c r="V581" s="141">
        <f t="shared" si="48"/>
        <v>3</v>
      </c>
      <c r="W581" s="151">
        <f>IFERROR(INDEX('Price List'!$J$5:$J$74,MATCH(TRIM(J581)&amp;"|"&amp;TRIM(P581),'Price List'!$O$5:$O$74,0)),0)</f>
        <v>2</v>
      </c>
      <c r="X581" s="152">
        <f>IFERROR(INDEX('Price List'!$K$5:$K$74,MATCH(TRIM(J581)&amp;"|"&amp;TRIM(P581),'Price List'!$O$5:$O$74,0)),0)</f>
        <v>0.12</v>
      </c>
      <c r="Y581" s="141">
        <f t="shared" si="49"/>
        <v>2.2400000000000002</v>
      </c>
      <c r="Z581" s="141">
        <f t="shared" si="50"/>
        <v>5866.5782400000007</v>
      </c>
      <c r="AA581" s="134"/>
    </row>
    <row r="582" spans="1:27" ht="12" customHeight="1" x14ac:dyDescent="0.35">
      <c r="A582" s="134"/>
      <c r="B582" s="134"/>
      <c r="C582" s="134" t="s">
        <v>689</v>
      </c>
      <c r="D582" s="136" t="str">
        <f t="shared" si="47"/>
        <v>C.02</v>
      </c>
      <c r="E582" s="135" t="s">
        <v>414</v>
      </c>
      <c r="F582" s="135" t="s">
        <v>675</v>
      </c>
      <c r="G582" s="134" t="s">
        <v>35</v>
      </c>
      <c r="H582" s="134" t="s">
        <v>272</v>
      </c>
      <c r="I582" s="134" t="s">
        <v>272</v>
      </c>
      <c r="J582" s="144" t="s">
        <v>272</v>
      </c>
      <c r="K582" s="134"/>
      <c r="L582" s="134"/>
      <c r="M582" s="134"/>
      <c r="N582" s="134"/>
      <c r="O582" s="134"/>
      <c r="P582" s="135" t="s">
        <v>128</v>
      </c>
      <c r="Q582" s="148">
        <v>915.52200000000005</v>
      </c>
      <c r="R582" s="148">
        <v>915.52200000000005</v>
      </c>
      <c r="S582" s="135"/>
      <c r="T582" s="149">
        <f>IFERROR(INDEX('Price List'!$G$5:$G$74,MATCH(TRIM(J582)&amp;"|"&amp;TRIM(P582),'Price List'!$O$5:$O$74,0)),0)</f>
        <v>1.5</v>
      </c>
      <c r="U582" s="150">
        <f>IFERROR(INDEX('Price List'!$H$5:$H$74,MATCH(TRIM(J582)&amp;"|"&amp;TRIM(P582),'Price List'!$O$5:$O$74,0)),0)</f>
        <v>0.2</v>
      </c>
      <c r="V582" s="141">
        <f t="shared" si="48"/>
        <v>1.7999999999999998</v>
      </c>
      <c r="W582" s="151">
        <f>IFERROR(INDEX('Price List'!$J$5:$J$74,MATCH(TRIM(J582)&amp;"|"&amp;TRIM(P582),'Price List'!$O$5:$O$74,0)),0)</f>
        <v>2.5</v>
      </c>
      <c r="X582" s="152">
        <f>IFERROR(INDEX('Price List'!$K$5:$K$74,MATCH(TRIM(J582)&amp;"|"&amp;TRIM(P582),'Price List'!$O$5:$O$74,0)),0)</f>
        <v>0.12</v>
      </c>
      <c r="Y582" s="141">
        <f t="shared" si="49"/>
        <v>2.8000000000000003</v>
      </c>
      <c r="Z582" s="141">
        <f t="shared" si="50"/>
        <v>4211.4012000000002</v>
      </c>
      <c r="AA582" s="134"/>
    </row>
    <row r="583" spans="1:27" ht="12" customHeight="1" x14ac:dyDescent="0.35">
      <c r="A583" s="134"/>
      <c r="B583" s="134"/>
      <c r="C583" s="134" t="s">
        <v>689</v>
      </c>
      <c r="D583" s="136" t="str">
        <f t="shared" si="47"/>
        <v>D.01</v>
      </c>
      <c r="E583" s="135" t="s">
        <v>414</v>
      </c>
      <c r="F583" s="135" t="s">
        <v>675</v>
      </c>
      <c r="G583" s="134" t="s">
        <v>697</v>
      </c>
      <c r="H583" s="134" t="s">
        <v>272</v>
      </c>
      <c r="I583" s="134" t="s">
        <v>272</v>
      </c>
      <c r="J583" s="144" t="s">
        <v>272</v>
      </c>
      <c r="K583" s="134"/>
      <c r="L583" s="134"/>
      <c r="M583" s="134"/>
      <c r="N583" s="134"/>
      <c r="O583" s="134"/>
      <c r="P583" s="135" t="s">
        <v>128</v>
      </c>
      <c r="Q583" s="148">
        <v>1119.576</v>
      </c>
      <c r="R583" s="148">
        <v>1119.576</v>
      </c>
      <c r="S583" s="135"/>
      <c r="T583" s="149">
        <f>IFERROR(INDEX('Price List'!$G$5:$G$74,MATCH(TRIM(J583)&amp;"|"&amp;TRIM(P583),'Price List'!$O$5:$O$74,0)),0)</f>
        <v>1.5</v>
      </c>
      <c r="U583" s="150">
        <f>IFERROR(INDEX('Price List'!$H$5:$H$74,MATCH(TRIM(J583)&amp;"|"&amp;TRIM(P583),'Price List'!$O$5:$O$74,0)),0)</f>
        <v>0.2</v>
      </c>
      <c r="V583" s="141">
        <f t="shared" si="48"/>
        <v>1.7999999999999998</v>
      </c>
      <c r="W583" s="151">
        <f>IFERROR(INDEX('Price List'!$J$5:$J$74,MATCH(TRIM(J583)&amp;"|"&amp;TRIM(P583),'Price List'!$O$5:$O$74,0)),0)</f>
        <v>2.5</v>
      </c>
      <c r="X583" s="152">
        <f>IFERROR(INDEX('Price List'!$K$5:$K$74,MATCH(TRIM(J583)&amp;"|"&amp;TRIM(P583),'Price List'!$O$5:$O$74,0)),0)</f>
        <v>0.12</v>
      </c>
      <c r="Y583" s="141">
        <f t="shared" si="49"/>
        <v>2.8000000000000003</v>
      </c>
      <c r="Z583" s="141">
        <f t="shared" si="50"/>
        <v>5150.0495999999994</v>
      </c>
      <c r="AA583" s="134"/>
    </row>
    <row r="584" spans="1:27" ht="12" customHeight="1" x14ac:dyDescent="0.35">
      <c r="A584" s="134"/>
      <c r="B584" s="134"/>
      <c r="C584" s="134" t="s">
        <v>689</v>
      </c>
      <c r="D584" s="136" t="str">
        <f t="shared" si="47"/>
        <v>C.01</v>
      </c>
      <c r="E584" s="135" t="s">
        <v>414</v>
      </c>
      <c r="F584" s="135" t="s">
        <v>676</v>
      </c>
      <c r="G584" s="134" t="s">
        <v>690</v>
      </c>
      <c r="H584" s="134" t="s">
        <v>691</v>
      </c>
      <c r="I584" s="134" t="s">
        <v>692</v>
      </c>
      <c r="J584" s="144" t="s">
        <v>252</v>
      </c>
      <c r="K584" s="134"/>
      <c r="L584" s="134"/>
      <c r="M584" s="134"/>
      <c r="N584" s="134"/>
      <c r="O584" s="134"/>
      <c r="P584" s="135" t="s">
        <v>128</v>
      </c>
      <c r="Q584" s="148">
        <v>19.193999999999999</v>
      </c>
      <c r="R584" s="148">
        <v>19.193999999999999</v>
      </c>
      <c r="S584" s="135"/>
      <c r="T584" s="149">
        <f>IFERROR(INDEX('Price List'!$G$5:$G$74,MATCH(TRIM(J584)&amp;"|"&amp;TRIM(P584),'Price List'!$O$5:$O$74,0)),0)</f>
        <v>8.5</v>
      </c>
      <c r="U584" s="150">
        <f>IFERROR(INDEX('Price List'!$H$5:$H$74,MATCH(TRIM(J584)&amp;"|"&amp;TRIM(P584),'Price List'!$O$5:$O$74,0)),0)</f>
        <v>0.2</v>
      </c>
      <c r="V584" s="141">
        <f t="shared" si="48"/>
        <v>10.199999999999999</v>
      </c>
      <c r="W584" s="151">
        <f>IFERROR(INDEX('Price List'!$J$5:$J$74,MATCH(TRIM(J584)&amp;"|"&amp;TRIM(P584),'Price List'!$O$5:$O$74,0)),0)</f>
        <v>25</v>
      </c>
      <c r="X584" s="152">
        <f>IFERROR(INDEX('Price List'!$K$5:$K$74,MATCH(TRIM(J584)&amp;"|"&amp;TRIM(P584),'Price List'!$O$5:$O$74,0)),0)</f>
        <v>0.12</v>
      </c>
      <c r="Y584" s="141">
        <f t="shared" si="49"/>
        <v>28.000000000000004</v>
      </c>
      <c r="Z584" s="141">
        <f t="shared" si="50"/>
        <v>733.21080000000006</v>
      </c>
      <c r="AA584" s="134"/>
    </row>
    <row r="585" spans="1:27" ht="12" customHeight="1" x14ac:dyDescent="0.35">
      <c r="A585" s="134"/>
      <c r="B585" s="134"/>
      <c r="C585" s="134" t="s">
        <v>689</v>
      </c>
      <c r="D585" s="136" t="str">
        <f t="shared" si="47"/>
        <v>C.01</v>
      </c>
      <c r="E585" s="135" t="s">
        <v>414</v>
      </c>
      <c r="F585" s="135" t="s">
        <v>676</v>
      </c>
      <c r="G585" s="134" t="s">
        <v>690</v>
      </c>
      <c r="H585" s="134" t="s">
        <v>691</v>
      </c>
      <c r="I585" s="134" t="s">
        <v>693</v>
      </c>
      <c r="J585" s="144" t="s">
        <v>254</v>
      </c>
      <c r="K585" s="134"/>
      <c r="L585" s="134"/>
      <c r="M585" s="134"/>
      <c r="N585" s="134"/>
      <c r="O585" s="134"/>
      <c r="P585" s="135" t="s">
        <v>128</v>
      </c>
      <c r="Q585" s="148">
        <v>420.92700000000002</v>
      </c>
      <c r="R585" s="148">
        <v>420.92700000000002</v>
      </c>
      <c r="S585" s="135"/>
      <c r="T585" s="149">
        <f>IFERROR(INDEX('Price List'!$G$5:$G$74,MATCH(TRIM(J585)&amp;"|"&amp;TRIM(P585),'Price List'!$O$5:$O$74,0)),0)</f>
        <v>4.5</v>
      </c>
      <c r="U585" s="150">
        <f>IFERROR(INDEX('Price List'!$H$5:$H$74,MATCH(TRIM(J585)&amp;"|"&amp;TRIM(P585),'Price List'!$O$5:$O$74,0)),0)</f>
        <v>0.2</v>
      </c>
      <c r="V585" s="141">
        <f t="shared" si="48"/>
        <v>5.3999999999999995</v>
      </c>
      <c r="W585" s="151">
        <f>IFERROR(INDEX('Price List'!$J$5:$J$74,MATCH(TRIM(J585)&amp;"|"&amp;TRIM(P585),'Price List'!$O$5:$O$74,0)),0)</f>
        <v>11</v>
      </c>
      <c r="X585" s="152">
        <f>IFERROR(INDEX('Price List'!$K$5:$K$74,MATCH(TRIM(J585)&amp;"|"&amp;TRIM(P585),'Price List'!$O$5:$O$74,0)),0)</f>
        <v>0.12</v>
      </c>
      <c r="Y585" s="141">
        <f t="shared" si="49"/>
        <v>12.32</v>
      </c>
      <c r="Z585" s="141">
        <f t="shared" si="50"/>
        <v>7458.8264399999998</v>
      </c>
      <c r="AA585" s="134"/>
    </row>
    <row r="586" spans="1:27" ht="12" customHeight="1" x14ac:dyDescent="0.35">
      <c r="A586" s="134"/>
      <c r="B586" s="134"/>
      <c r="C586" s="134" t="s">
        <v>689</v>
      </c>
      <c r="D586" s="136" t="str">
        <f t="shared" si="47"/>
        <v>C.01</v>
      </c>
      <c r="E586" s="135" t="s">
        <v>414</v>
      </c>
      <c r="F586" s="135" t="s">
        <v>676</v>
      </c>
      <c r="G586" s="134" t="s">
        <v>690</v>
      </c>
      <c r="H586" s="134" t="s">
        <v>691</v>
      </c>
      <c r="I586" s="134" t="s">
        <v>698</v>
      </c>
      <c r="J586" s="144" t="s">
        <v>256</v>
      </c>
      <c r="K586" s="134"/>
      <c r="L586" s="134"/>
      <c r="M586" s="134"/>
      <c r="N586" s="134"/>
      <c r="O586" s="134"/>
      <c r="P586" s="135" t="s">
        <v>128</v>
      </c>
      <c r="Q586" s="148">
        <v>17.64</v>
      </c>
      <c r="R586" s="148">
        <v>17.64</v>
      </c>
      <c r="S586" s="135"/>
      <c r="T586" s="149">
        <f>IFERROR(INDEX('Price List'!$G$5:$G$74,MATCH(TRIM(J586)&amp;"|"&amp;TRIM(P586),'Price List'!$O$5:$O$74,0)),0)</f>
        <v>12</v>
      </c>
      <c r="U586" s="150">
        <f>IFERROR(INDEX('Price List'!$H$5:$H$74,MATCH(TRIM(J586)&amp;"|"&amp;TRIM(P586),'Price List'!$O$5:$O$74,0)),0)</f>
        <v>0.2</v>
      </c>
      <c r="V586" s="141">
        <f t="shared" si="48"/>
        <v>14.399999999999999</v>
      </c>
      <c r="W586" s="151">
        <f>IFERROR(INDEX('Price List'!$J$5:$J$74,MATCH(TRIM(J586)&amp;"|"&amp;TRIM(P586),'Price List'!$O$5:$O$74,0)),0)</f>
        <v>38</v>
      </c>
      <c r="X586" s="152">
        <f>IFERROR(INDEX('Price List'!$K$5:$K$74,MATCH(TRIM(J586)&amp;"|"&amp;TRIM(P586),'Price List'!$O$5:$O$74,0)),0)</f>
        <v>0.12</v>
      </c>
      <c r="Y586" s="141">
        <f t="shared" si="49"/>
        <v>42.56</v>
      </c>
      <c r="Z586" s="141">
        <f t="shared" si="50"/>
        <v>1004.7744</v>
      </c>
      <c r="AA586" s="134"/>
    </row>
    <row r="587" spans="1:27" ht="12" customHeight="1" x14ac:dyDescent="0.35">
      <c r="A587" s="134"/>
      <c r="B587" s="134"/>
      <c r="C587" s="134" t="s">
        <v>689</v>
      </c>
      <c r="D587" s="136" t="str">
        <f t="shared" si="47"/>
        <v>C.09</v>
      </c>
      <c r="E587" s="135" t="s">
        <v>414</v>
      </c>
      <c r="F587" s="135" t="s">
        <v>676</v>
      </c>
      <c r="G587" s="134" t="s">
        <v>694</v>
      </c>
      <c r="H587" s="134" t="s">
        <v>691</v>
      </c>
      <c r="I587" s="134" t="s">
        <v>695</v>
      </c>
      <c r="J587" s="144" t="s">
        <v>297</v>
      </c>
      <c r="K587" s="134"/>
      <c r="L587" s="134"/>
      <c r="M587" s="134"/>
      <c r="N587" s="134"/>
      <c r="O587" s="134"/>
      <c r="P587" s="135" t="s">
        <v>128</v>
      </c>
      <c r="Q587" s="148">
        <v>164.65199999999999</v>
      </c>
      <c r="R587" s="148">
        <v>164.65199999999999</v>
      </c>
      <c r="S587" s="135"/>
      <c r="T587" s="149">
        <f>IFERROR(INDEX('Price List'!$G$5:$G$74,MATCH(TRIM(J587)&amp;"|"&amp;TRIM(P587),'Price List'!$O$5:$O$74,0)),0)</f>
        <v>3</v>
      </c>
      <c r="U587" s="150">
        <f>IFERROR(INDEX('Price List'!$H$5:$H$74,MATCH(TRIM(J587)&amp;"|"&amp;TRIM(P587),'Price List'!$O$5:$O$74,0)),0)</f>
        <v>0.2</v>
      </c>
      <c r="V587" s="141">
        <f t="shared" si="48"/>
        <v>3.5999999999999996</v>
      </c>
      <c r="W587" s="151">
        <f>IFERROR(INDEX('Price List'!$J$5:$J$74,MATCH(TRIM(J587)&amp;"|"&amp;TRIM(P587),'Price List'!$O$5:$O$74,0)),0)</f>
        <v>6</v>
      </c>
      <c r="X587" s="152">
        <f>IFERROR(INDEX('Price List'!$K$5:$K$74,MATCH(TRIM(J587)&amp;"|"&amp;TRIM(P587),'Price List'!$O$5:$O$74,0)),0)</f>
        <v>0.12</v>
      </c>
      <c r="Y587" s="141">
        <f t="shared" si="49"/>
        <v>6.7200000000000006</v>
      </c>
      <c r="Z587" s="141">
        <f t="shared" si="50"/>
        <v>1699.2086399999998</v>
      </c>
      <c r="AA587" s="134"/>
    </row>
    <row r="588" spans="1:27" ht="12" customHeight="1" x14ac:dyDescent="0.35">
      <c r="A588" s="134"/>
      <c r="B588" s="134"/>
      <c r="C588" s="134" t="s">
        <v>689</v>
      </c>
      <c r="D588" s="136" t="str">
        <f t="shared" si="47"/>
        <v>C.09</v>
      </c>
      <c r="E588" s="135" t="s">
        <v>414</v>
      </c>
      <c r="F588" s="135" t="s">
        <v>676</v>
      </c>
      <c r="G588" s="134" t="s">
        <v>694</v>
      </c>
      <c r="H588" s="134" t="s">
        <v>691</v>
      </c>
      <c r="I588" s="134" t="s">
        <v>693</v>
      </c>
      <c r="J588" s="144" t="s">
        <v>254</v>
      </c>
      <c r="K588" s="134"/>
      <c r="L588" s="134"/>
      <c r="M588" s="134"/>
      <c r="N588" s="134"/>
      <c r="O588" s="134"/>
      <c r="P588" s="135" t="s">
        <v>128</v>
      </c>
      <c r="Q588" s="148">
        <v>175.89599999999999</v>
      </c>
      <c r="R588" s="148">
        <v>175.89599999999999</v>
      </c>
      <c r="S588" s="135"/>
      <c r="T588" s="149">
        <f>IFERROR(INDEX('Price List'!$G$5:$G$74,MATCH(TRIM(J588)&amp;"|"&amp;TRIM(P588),'Price List'!$O$5:$O$74,0)),0)</f>
        <v>4.5</v>
      </c>
      <c r="U588" s="150">
        <f>IFERROR(INDEX('Price List'!$H$5:$H$74,MATCH(TRIM(J588)&amp;"|"&amp;TRIM(P588),'Price List'!$O$5:$O$74,0)),0)</f>
        <v>0.2</v>
      </c>
      <c r="V588" s="141">
        <f t="shared" si="48"/>
        <v>5.3999999999999995</v>
      </c>
      <c r="W588" s="151">
        <f>IFERROR(INDEX('Price List'!$J$5:$J$74,MATCH(TRIM(J588)&amp;"|"&amp;TRIM(P588),'Price List'!$O$5:$O$74,0)),0)</f>
        <v>11</v>
      </c>
      <c r="X588" s="152">
        <f>IFERROR(INDEX('Price List'!$K$5:$K$74,MATCH(TRIM(J588)&amp;"|"&amp;TRIM(P588),'Price List'!$O$5:$O$74,0)),0)</f>
        <v>0.12</v>
      </c>
      <c r="Y588" s="141">
        <f t="shared" si="49"/>
        <v>12.32</v>
      </c>
      <c r="Z588" s="141">
        <f t="shared" si="50"/>
        <v>3116.8771199999996</v>
      </c>
      <c r="AA588" s="134"/>
    </row>
    <row r="589" spans="1:27" ht="12" customHeight="1" x14ac:dyDescent="0.35">
      <c r="A589" s="134"/>
      <c r="B589" s="134"/>
      <c r="C589" s="134" t="s">
        <v>689</v>
      </c>
      <c r="D589" s="136" t="str">
        <f t="shared" si="47"/>
        <v>C.02</v>
      </c>
      <c r="E589" s="135" t="s">
        <v>414</v>
      </c>
      <c r="F589" s="135" t="s">
        <v>676</v>
      </c>
      <c r="G589" s="134" t="s">
        <v>35</v>
      </c>
      <c r="H589" s="134" t="s">
        <v>696</v>
      </c>
      <c r="I589" s="134" t="s">
        <v>696</v>
      </c>
      <c r="J589" s="144" t="s">
        <v>268</v>
      </c>
      <c r="K589" s="134"/>
      <c r="L589" s="134"/>
      <c r="M589" s="134"/>
      <c r="N589" s="134"/>
      <c r="O589" s="134"/>
      <c r="P589" s="135" t="s">
        <v>128</v>
      </c>
      <c r="Q589" s="148">
        <v>915.52200000000005</v>
      </c>
      <c r="R589" s="148">
        <v>915.52200000000005</v>
      </c>
      <c r="S589" s="135"/>
      <c r="T589" s="149">
        <f>IFERROR(INDEX('Price List'!$G$5:$G$74,MATCH(TRIM(J589)&amp;"|"&amp;TRIM(P589),'Price List'!$O$5:$O$74,0)),0)</f>
        <v>2.5</v>
      </c>
      <c r="U589" s="150">
        <f>IFERROR(INDEX('Price List'!$H$5:$H$74,MATCH(TRIM(J589)&amp;"|"&amp;TRIM(P589),'Price List'!$O$5:$O$74,0)),0)</f>
        <v>0.2</v>
      </c>
      <c r="V589" s="141">
        <f t="shared" si="48"/>
        <v>3</v>
      </c>
      <c r="W589" s="151">
        <f>IFERROR(INDEX('Price List'!$J$5:$J$74,MATCH(TRIM(J589)&amp;"|"&amp;TRIM(P589),'Price List'!$O$5:$O$74,0)),0)</f>
        <v>2</v>
      </c>
      <c r="X589" s="152">
        <f>IFERROR(INDEX('Price List'!$K$5:$K$74,MATCH(TRIM(J589)&amp;"|"&amp;TRIM(P589),'Price List'!$O$5:$O$74,0)),0)</f>
        <v>0.12</v>
      </c>
      <c r="Y589" s="141">
        <f t="shared" si="49"/>
        <v>2.2400000000000002</v>
      </c>
      <c r="Z589" s="141">
        <f t="shared" si="50"/>
        <v>4797.3352800000002</v>
      </c>
      <c r="AA589" s="134"/>
    </row>
    <row r="590" spans="1:27" ht="12" customHeight="1" x14ac:dyDescent="0.35">
      <c r="A590" s="134"/>
      <c r="B590" s="134"/>
      <c r="C590" s="134" t="s">
        <v>689</v>
      </c>
      <c r="D590" s="136" t="str">
        <f t="shared" si="47"/>
        <v>D.01</v>
      </c>
      <c r="E590" s="135" t="s">
        <v>414</v>
      </c>
      <c r="F590" s="135" t="s">
        <v>676</v>
      </c>
      <c r="G590" s="134" t="s">
        <v>697</v>
      </c>
      <c r="H590" s="134" t="s">
        <v>696</v>
      </c>
      <c r="I590" s="134" t="s">
        <v>696</v>
      </c>
      <c r="J590" s="144" t="s">
        <v>268</v>
      </c>
      <c r="K590" s="134"/>
      <c r="L590" s="134"/>
      <c r="M590" s="134"/>
      <c r="N590" s="134"/>
      <c r="O590" s="134"/>
      <c r="P590" s="135" t="s">
        <v>128</v>
      </c>
      <c r="Q590" s="148">
        <v>681.096</v>
      </c>
      <c r="R590" s="148">
        <v>681.096</v>
      </c>
      <c r="S590" s="135"/>
      <c r="T590" s="149">
        <f>IFERROR(INDEX('Price List'!$G$5:$G$74,MATCH(TRIM(J590)&amp;"|"&amp;TRIM(P590),'Price List'!$O$5:$O$74,0)),0)</f>
        <v>2.5</v>
      </c>
      <c r="U590" s="150">
        <f>IFERROR(INDEX('Price List'!$H$5:$H$74,MATCH(TRIM(J590)&amp;"|"&amp;TRIM(P590),'Price List'!$O$5:$O$74,0)),0)</f>
        <v>0.2</v>
      </c>
      <c r="V590" s="141">
        <f t="shared" si="48"/>
        <v>3</v>
      </c>
      <c r="W590" s="151">
        <f>IFERROR(INDEX('Price List'!$J$5:$J$74,MATCH(TRIM(J590)&amp;"|"&amp;TRIM(P590),'Price List'!$O$5:$O$74,0)),0)</f>
        <v>2</v>
      </c>
      <c r="X590" s="152">
        <f>IFERROR(INDEX('Price List'!$K$5:$K$74,MATCH(TRIM(J590)&amp;"|"&amp;TRIM(P590),'Price List'!$O$5:$O$74,0)),0)</f>
        <v>0.12</v>
      </c>
      <c r="Y590" s="141">
        <f t="shared" si="49"/>
        <v>2.2400000000000002</v>
      </c>
      <c r="Z590" s="141">
        <f t="shared" si="50"/>
        <v>3568.9430400000001</v>
      </c>
      <c r="AA590" s="134"/>
    </row>
    <row r="591" spans="1:27" ht="12" customHeight="1" x14ac:dyDescent="0.35">
      <c r="A591" s="134"/>
      <c r="B591" s="134"/>
      <c r="C591" s="134" t="s">
        <v>689</v>
      </c>
      <c r="D591" s="136" t="str">
        <f t="shared" si="47"/>
        <v>C.02</v>
      </c>
      <c r="E591" s="135" t="s">
        <v>414</v>
      </c>
      <c r="F591" s="135" t="s">
        <v>676</v>
      </c>
      <c r="G591" s="134" t="s">
        <v>35</v>
      </c>
      <c r="H591" s="134" t="s">
        <v>272</v>
      </c>
      <c r="I591" s="134" t="s">
        <v>272</v>
      </c>
      <c r="J591" s="144" t="s">
        <v>272</v>
      </c>
      <c r="K591" s="134"/>
      <c r="L591" s="134"/>
      <c r="M591" s="134"/>
      <c r="N591" s="134"/>
      <c r="O591" s="134"/>
      <c r="P591" s="135" t="s">
        <v>128</v>
      </c>
      <c r="Q591" s="148">
        <v>915.52200000000005</v>
      </c>
      <c r="R591" s="148">
        <v>915.52200000000005</v>
      </c>
      <c r="S591" s="135"/>
      <c r="T591" s="149">
        <f>IFERROR(INDEX('Price List'!$G$5:$G$74,MATCH(TRIM(J591)&amp;"|"&amp;TRIM(P591),'Price List'!$O$5:$O$74,0)),0)</f>
        <v>1.5</v>
      </c>
      <c r="U591" s="150">
        <f>IFERROR(INDEX('Price List'!$H$5:$H$74,MATCH(TRIM(J591)&amp;"|"&amp;TRIM(P591),'Price List'!$O$5:$O$74,0)),0)</f>
        <v>0.2</v>
      </c>
      <c r="V591" s="141">
        <f t="shared" si="48"/>
        <v>1.7999999999999998</v>
      </c>
      <c r="W591" s="151">
        <f>IFERROR(INDEX('Price List'!$J$5:$J$74,MATCH(TRIM(J591)&amp;"|"&amp;TRIM(P591),'Price List'!$O$5:$O$74,0)),0)</f>
        <v>2.5</v>
      </c>
      <c r="X591" s="152">
        <f>IFERROR(INDEX('Price List'!$K$5:$K$74,MATCH(TRIM(J591)&amp;"|"&amp;TRIM(P591),'Price List'!$O$5:$O$74,0)),0)</f>
        <v>0.12</v>
      </c>
      <c r="Y591" s="141">
        <f t="shared" si="49"/>
        <v>2.8000000000000003</v>
      </c>
      <c r="Z591" s="141">
        <f t="shared" si="50"/>
        <v>4211.4012000000002</v>
      </c>
      <c r="AA591" s="134"/>
    </row>
    <row r="592" spans="1:27" ht="12" customHeight="1" x14ac:dyDescent="0.35">
      <c r="A592" s="134"/>
      <c r="B592" s="134"/>
      <c r="C592" s="134" t="s">
        <v>689</v>
      </c>
      <c r="D592" s="136" t="str">
        <f t="shared" si="47"/>
        <v>D.01</v>
      </c>
      <c r="E592" s="135" t="s">
        <v>414</v>
      </c>
      <c r="F592" s="135" t="s">
        <v>676</v>
      </c>
      <c r="G592" s="134" t="s">
        <v>697</v>
      </c>
      <c r="H592" s="134" t="s">
        <v>272</v>
      </c>
      <c r="I592" s="134" t="s">
        <v>272</v>
      </c>
      <c r="J592" s="144" t="s">
        <v>272</v>
      </c>
      <c r="K592" s="134"/>
      <c r="L592" s="134"/>
      <c r="M592" s="134"/>
      <c r="N592" s="134"/>
      <c r="O592" s="134"/>
      <c r="P592" s="135" t="s">
        <v>128</v>
      </c>
      <c r="Q592" s="148">
        <v>681.096</v>
      </c>
      <c r="R592" s="148">
        <v>681.096</v>
      </c>
      <c r="S592" s="135"/>
      <c r="T592" s="149">
        <f>IFERROR(INDEX('Price List'!$G$5:$G$74,MATCH(TRIM(J592)&amp;"|"&amp;TRIM(P592),'Price List'!$O$5:$O$74,0)),0)</f>
        <v>1.5</v>
      </c>
      <c r="U592" s="150">
        <f>IFERROR(INDEX('Price List'!$H$5:$H$74,MATCH(TRIM(J592)&amp;"|"&amp;TRIM(P592),'Price List'!$O$5:$O$74,0)),0)</f>
        <v>0.2</v>
      </c>
      <c r="V592" s="141">
        <f t="shared" si="48"/>
        <v>1.7999999999999998</v>
      </c>
      <c r="W592" s="151">
        <f>IFERROR(INDEX('Price List'!$J$5:$J$74,MATCH(TRIM(J592)&amp;"|"&amp;TRIM(P592),'Price List'!$O$5:$O$74,0)),0)</f>
        <v>2.5</v>
      </c>
      <c r="X592" s="152">
        <f>IFERROR(INDEX('Price List'!$K$5:$K$74,MATCH(TRIM(J592)&amp;"|"&amp;TRIM(P592),'Price List'!$O$5:$O$74,0)),0)</f>
        <v>0.12</v>
      </c>
      <c r="Y592" s="141">
        <f t="shared" si="49"/>
        <v>2.8000000000000003</v>
      </c>
      <c r="Z592" s="141">
        <f t="shared" si="50"/>
        <v>3133.0415999999996</v>
      </c>
      <c r="AA592" s="134"/>
    </row>
    <row r="593" spans="1:27" ht="12" customHeight="1" x14ac:dyDescent="0.35">
      <c r="A593" s="134"/>
      <c r="B593" s="134"/>
      <c r="C593" s="134" t="s">
        <v>689</v>
      </c>
      <c r="D593" s="136" t="str">
        <f t="shared" si="47"/>
        <v>C.01</v>
      </c>
      <c r="E593" s="135" t="s">
        <v>414</v>
      </c>
      <c r="F593" s="135" t="s">
        <v>677</v>
      </c>
      <c r="G593" s="134" t="s">
        <v>690</v>
      </c>
      <c r="H593" s="134" t="s">
        <v>691</v>
      </c>
      <c r="I593" s="134" t="s">
        <v>692</v>
      </c>
      <c r="J593" s="144" t="s">
        <v>252</v>
      </c>
      <c r="K593" s="134"/>
      <c r="L593" s="134"/>
      <c r="M593" s="134"/>
      <c r="N593" s="134"/>
      <c r="O593" s="134"/>
      <c r="P593" s="135" t="s">
        <v>128</v>
      </c>
      <c r="Q593" s="148">
        <v>22.85</v>
      </c>
      <c r="R593" s="148">
        <v>22.85</v>
      </c>
      <c r="S593" s="135"/>
      <c r="T593" s="149">
        <f>IFERROR(INDEX('Price List'!$G$5:$G$74,MATCH(TRIM(J593)&amp;"|"&amp;TRIM(P593),'Price List'!$O$5:$O$74,0)),0)</f>
        <v>8.5</v>
      </c>
      <c r="U593" s="150">
        <f>IFERROR(INDEX('Price List'!$H$5:$H$74,MATCH(TRIM(J593)&amp;"|"&amp;TRIM(P593),'Price List'!$O$5:$O$74,0)),0)</f>
        <v>0.2</v>
      </c>
      <c r="V593" s="141">
        <f t="shared" si="48"/>
        <v>10.199999999999999</v>
      </c>
      <c r="W593" s="151">
        <f>IFERROR(INDEX('Price List'!$J$5:$J$74,MATCH(TRIM(J593)&amp;"|"&amp;TRIM(P593),'Price List'!$O$5:$O$74,0)),0)</f>
        <v>25</v>
      </c>
      <c r="X593" s="152">
        <f>IFERROR(INDEX('Price List'!$K$5:$K$74,MATCH(TRIM(J593)&amp;"|"&amp;TRIM(P593),'Price List'!$O$5:$O$74,0)),0)</f>
        <v>0.12</v>
      </c>
      <c r="Y593" s="141">
        <f t="shared" si="49"/>
        <v>28.000000000000004</v>
      </c>
      <c r="Z593" s="141">
        <f t="shared" si="50"/>
        <v>872.87000000000012</v>
      </c>
      <c r="AA593" s="134"/>
    </row>
    <row r="594" spans="1:27" ht="12" customHeight="1" x14ac:dyDescent="0.35">
      <c r="A594" s="134"/>
      <c r="B594" s="134"/>
      <c r="C594" s="134" t="s">
        <v>689</v>
      </c>
      <c r="D594" s="136" t="str">
        <f t="shared" si="47"/>
        <v>C.01</v>
      </c>
      <c r="E594" s="135" t="s">
        <v>414</v>
      </c>
      <c r="F594" s="135" t="s">
        <v>677</v>
      </c>
      <c r="G594" s="134" t="s">
        <v>690</v>
      </c>
      <c r="H594" s="134" t="s">
        <v>691</v>
      </c>
      <c r="I594" s="134" t="s">
        <v>693</v>
      </c>
      <c r="J594" s="144" t="s">
        <v>254</v>
      </c>
      <c r="K594" s="134"/>
      <c r="L594" s="134"/>
      <c r="M594" s="134"/>
      <c r="N594" s="134"/>
      <c r="O594" s="134"/>
      <c r="P594" s="135" t="s">
        <v>128</v>
      </c>
      <c r="Q594" s="148">
        <v>488.07499999999999</v>
      </c>
      <c r="R594" s="148">
        <v>488.07499999999999</v>
      </c>
      <c r="S594" s="135"/>
      <c r="T594" s="149">
        <f>IFERROR(INDEX('Price List'!$G$5:$G$74,MATCH(TRIM(J594)&amp;"|"&amp;TRIM(P594),'Price List'!$O$5:$O$74,0)),0)</f>
        <v>4.5</v>
      </c>
      <c r="U594" s="150">
        <f>IFERROR(INDEX('Price List'!$H$5:$H$74,MATCH(TRIM(J594)&amp;"|"&amp;TRIM(P594),'Price List'!$O$5:$O$74,0)),0)</f>
        <v>0.2</v>
      </c>
      <c r="V594" s="141">
        <f t="shared" si="48"/>
        <v>5.3999999999999995</v>
      </c>
      <c r="W594" s="151">
        <f>IFERROR(INDEX('Price List'!$J$5:$J$74,MATCH(TRIM(J594)&amp;"|"&amp;TRIM(P594),'Price List'!$O$5:$O$74,0)),0)</f>
        <v>11</v>
      </c>
      <c r="X594" s="152">
        <f>IFERROR(INDEX('Price List'!$K$5:$K$74,MATCH(TRIM(J594)&amp;"|"&amp;TRIM(P594),'Price List'!$O$5:$O$74,0)),0)</f>
        <v>0.12</v>
      </c>
      <c r="Y594" s="141">
        <f t="shared" si="49"/>
        <v>12.32</v>
      </c>
      <c r="Z594" s="141">
        <f t="shared" si="50"/>
        <v>8648.6889999999985</v>
      </c>
      <c r="AA594" s="134"/>
    </row>
    <row r="595" spans="1:27" ht="12" customHeight="1" x14ac:dyDescent="0.35">
      <c r="A595" s="134"/>
      <c r="B595" s="134"/>
      <c r="C595" s="134" t="s">
        <v>689</v>
      </c>
      <c r="D595" s="136" t="str">
        <f t="shared" si="47"/>
        <v>C.01</v>
      </c>
      <c r="E595" s="135" t="s">
        <v>414</v>
      </c>
      <c r="F595" s="135" t="s">
        <v>677</v>
      </c>
      <c r="G595" s="134" t="s">
        <v>690</v>
      </c>
      <c r="H595" s="134" t="s">
        <v>691</v>
      </c>
      <c r="I595" s="134" t="s">
        <v>698</v>
      </c>
      <c r="J595" s="144" t="s">
        <v>256</v>
      </c>
      <c r="K595" s="134"/>
      <c r="L595" s="134"/>
      <c r="M595" s="134"/>
      <c r="N595" s="134"/>
      <c r="O595" s="134"/>
      <c r="P595" s="135" t="s">
        <v>128</v>
      </c>
      <c r="Q595" s="148">
        <v>21</v>
      </c>
      <c r="R595" s="148">
        <v>21</v>
      </c>
      <c r="S595" s="135"/>
      <c r="T595" s="149">
        <f>IFERROR(INDEX('Price List'!$G$5:$G$74,MATCH(TRIM(J595)&amp;"|"&amp;TRIM(P595),'Price List'!$O$5:$O$74,0)),0)</f>
        <v>12</v>
      </c>
      <c r="U595" s="150">
        <f>IFERROR(INDEX('Price List'!$H$5:$H$74,MATCH(TRIM(J595)&amp;"|"&amp;TRIM(P595),'Price List'!$O$5:$O$74,0)),0)</f>
        <v>0.2</v>
      </c>
      <c r="V595" s="141">
        <f t="shared" si="48"/>
        <v>14.399999999999999</v>
      </c>
      <c r="W595" s="151">
        <f>IFERROR(INDEX('Price List'!$J$5:$J$74,MATCH(TRIM(J595)&amp;"|"&amp;TRIM(P595),'Price List'!$O$5:$O$74,0)),0)</f>
        <v>38</v>
      </c>
      <c r="X595" s="152">
        <f>IFERROR(INDEX('Price List'!$K$5:$K$74,MATCH(TRIM(J595)&amp;"|"&amp;TRIM(P595),'Price List'!$O$5:$O$74,0)),0)</f>
        <v>0.12</v>
      </c>
      <c r="Y595" s="141">
        <f t="shared" si="49"/>
        <v>42.56</v>
      </c>
      <c r="Z595" s="141">
        <f t="shared" si="50"/>
        <v>1196.1600000000001</v>
      </c>
      <c r="AA595" s="134"/>
    </row>
    <row r="596" spans="1:27" ht="12" customHeight="1" x14ac:dyDescent="0.35">
      <c r="A596" s="134"/>
      <c r="B596" s="134"/>
      <c r="C596" s="134" t="s">
        <v>689</v>
      </c>
      <c r="D596" s="136" t="str">
        <f t="shared" si="47"/>
        <v>C.09</v>
      </c>
      <c r="E596" s="135" t="s">
        <v>414</v>
      </c>
      <c r="F596" s="135" t="s">
        <v>677</v>
      </c>
      <c r="G596" s="134" t="s">
        <v>694</v>
      </c>
      <c r="H596" s="134" t="s">
        <v>691</v>
      </c>
      <c r="I596" s="134" t="s">
        <v>695</v>
      </c>
      <c r="J596" s="144" t="s">
        <v>297</v>
      </c>
      <c r="K596" s="134"/>
      <c r="L596" s="134"/>
      <c r="M596" s="134"/>
      <c r="N596" s="134"/>
      <c r="O596" s="134"/>
      <c r="P596" s="135" t="s">
        <v>128</v>
      </c>
      <c r="Q596" s="148">
        <v>101.3</v>
      </c>
      <c r="R596" s="148">
        <v>101.3</v>
      </c>
      <c r="S596" s="135"/>
      <c r="T596" s="149">
        <f>IFERROR(INDEX('Price List'!$G$5:$G$74,MATCH(TRIM(J596)&amp;"|"&amp;TRIM(P596),'Price List'!$O$5:$O$74,0)),0)</f>
        <v>3</v>
      </c>
      <c r="U596" s="150">
        <f>IFERROR(INDEX('Price List'!$H$5:$H$74,MATCH(TRIM(J596)&amp;"|"&amp;TRIM(P596),'Price List'!$O$5:$O$74,0)),0)</f>
        <v>0.2</v>
      </c>
      <c r="V596" s="141">
        <f t="shared" si="48"/>
        <v>3.5999999999999996</v>
      </c>
      <c r="W596" s="151">
        <f>IFERROR(INDEX('Price List'!$J$5:$J$74,MATCH(TRIM(J596)&amp;"|"&amp;TRIM(P596),'Price List'!$O$5:$O$74,0)),0)</f>
        <v>6</v>
      </c>
      <c r="X596" s="152">
        <f>IFERROR(INDEX('Price List'!$K$5:$K$74,MATCH(TRIM(J596)&amp;"|"&amp;TRIM(P596),'Price List'!$O$5:$O$74,0)),0)</f>
        <v>0.12</v>
      </c>
      <c r="Y596" s="141">
        <f t="shared" si="49"/>
        <v>6.7200000000000006</v>
      </c>
      <c r="Z596" s="141">
        <f t="shared" si="50"/>
        <v>1045.4159999999999</v>
      </c>
      <c r="AA596" s="134"/>
    </row>
    <row r="597" spans="1:27" ht="12" customHeight="1" x14ac:dyDescent="0.35">
      <c r="A597" s="134"/>
      <c r="B597" s="134"/>
      <c r="C597" s="134" t="s">
        <v>689</v>
      </c>
      <c r="D597" s="136" t="str">
        <f t="shared" si="47"/>
        <v>C.09</v>
      </c>
      <c r="E597" s="135" t="s">
        <v>414</v>
      </c>
      <c r="F597" s="135" t="s">
        <v>677</v>
      </c>
      <c r="G597" s="134" t="s">
        <v>694</v>
      </c>
      <c r="H597" s="134" t="s">
        <v>691</v>
      </c>
      <c r="I597" s="134" t="s">
        <v>693</v>
      </c>
      <c r="J597" s="144" t="s">
        <v>254</v>
      </c>
      <c r="K597" s="134"/>
      <c r="L597" s="134"/>
      <c r="M597" s="134"/>
      <c r="N597" s="134"/>
      <c r="O597" s="134"/>
      <c r="P597" s="135" t="s">
        <v>128</v>
      </c>
      <c r="Q597" s="148">
        <v>109.4</v>
      </c>
      <c r="R597" s="148">
        <v>109.4</v>
      </c>
      <c r="S597" s="135"/>
      <c r="T597" s="149">
        <f>IFERROR(INDEX('Price List'!$G$5:$G$74,MATCH(TRIM(J597)&amp;"|"&amp;TRIM(P597),'Price List'!$O$5:$O$74,0)),0)</f>
        <v>4.5</v>
      </c>
      <c r="U597" s="150">
        <f>IFERROR(INDEX('Price List'!$H$5:$H$74,MATCH(TRIM(J597)&amp;"|"&amp;TRIM(P597),'Price List'!$O$5:$O$74,0)),0)</f>
        <v>0.2</v>
      </c>
      <c r="V597" s="141">
        <f t="shared" si="48"/>
        <v>5.3999999999999995</v>
      </c>
      <c r="W597" s="151">
        <f>IFERROR(INDEX('Price List'!$J$5:$J$74,MATCH(TRIM(J597)&amp;"|"&amp;TRIM(P597),'Price List'!$O$5:$O$74,0)),0)</f>
        <v>11</v>
      </c>
      <c r="X597" s="152">
        <f>IFERROR(INDEX('Price List'!$K$5:$K$74,MATCH(TRIM(J597)&amp;"|"&amp;TRIM(P597),'Price List'!$O$5:$O$74,0)),0)</f>
        <v>0.12</v>
      </c>
      <c r="Y597" s="141">
        <f t="shared" si="49"/>
        <v>12.32</v>
      </c>
      <c r="Z597" s="141">
        <f t="shared" si="50"/>
        <v>1938.568</v>
      </c>
      <c r="AA597" s="134"/>
    </row>
    <row r="598" spans="1:27" ht="12" customHeight="1" x14ac:dyDescent="0.35">
      <c r="A598" s="134"/>
      <c r="B598" s="134"/>
      <c r="C598" s="134" t="s">
        <v>689</v>
      </c>
      <c r="D598" s="136" t="str">
        <f t="shared" si="47"/>
        <v>C.02</v>
      </c>
      <c r="E598" s="135" t="s">
        <v>414</v>
      </c>
      <c r="F598" s="135" t="s">
        <v>677</v>
      </c>
      <c r="G598" s="134" t="s">
        <v>35</v>
      </c>
      <c r="H598" s="134" t="s">
        <v>696</v>
      </c>
      <c r="I598" s="134" t="s">
        <v>696</v>
      </c>
      <c r="J598" s="144" t="s">
        <v>268</v>
      </c>
      <c r="K598" s="134"/>
      <c r="L598" s="134"/>
      <c r="M598" s="134"/>
      <c r="N598" s="134"/>
      <c r="O598" s="134"/>
      <c r="P598" s="135" t="s">
        <v>128</v>
      </c>
      <c r="Q598" s="148">
        <v>1063.8499999999999</v>
      </c>
      <c r="R598" s="148">
        <v>1063.8499999999999</v>
      </c>
      <c r="S598" s="135"/>
      <c r="T598" s="149">
        <f>IFERROR(INDEX('Price List'!$G$5:$G$74,MATCH(TRIM(J598)&amp;"|"&amp;TRIM(P598),'Price List'!$O$5:$O$74,0)),0)</f>
        <v>2.5</v>
      </c>
      <c r="U598" s="150">
        <f>IFERROR(INDEX('Price List'!$H$5:$H$74,MATCH(TRIM(J598)&amp;"|"&amp;TRIM(P598),'Price List'!$O$5:$O$74,0)),0)</f>
        <v>0.2</v>
      </c>
      <c r="V598" s="141">
        <f t="shared" si="48"/>
        <v>3</v>
      </c>
      <c r="W598" s="151">
        <f>IFERROR(INDEX('Price List'!$J$5:$J$74,MATCH(TRIM(J598)&amp;"|"&amp;TRIM(P598),'Price List'!$O$5:$O$74,0)),0)</f>
        <v>2</v>
      </c>
      <c r="X598" s="152">
        <f>IFERROR(INDEX('Price List'!$K$5:$K$74,MATCH(TRIM(J598)&amp;"|"&amp;TRIM(P598),'Price List'!$O$5:$O$74,0)),0)</f>
        <v>0.12</v>
      </c>
      <c r="Y598" s="141">
        <f t="shared" si="49"/>
        <v>2.2400000000000002</v>
      </c>
      <c r="Z598" s="141">
        <f t="shared" si="50"/>
        <v>5574.5739999999996</v>
      </c>
      <c r="AA598" s="134"/>
    </row>
    <row r="599" spans="1:27" ht="12" customHeight="1" x14ac:dyDescent="0.35">
      <c r="A599" s="134"/>
      <c r="B599" s="134"/>
      <c r="C599" s="134" t="s">
        <v>689</v>
      </c>
      <c r="D599" s="136" t="str">
        <f t="shared" si="47"/>
        <v>D.01</v>
      </c>
      <c r="E599" s="135" t="s">
        <v>414</v>
      </c>
      <c r="F599" s="135" t="s">
        <v>677</v>
      </c>
      <c r="G599" s="134" t="s">
        <v>697</v>
      </c>
      <c r="H599" s="134" t="s">
        <v>696</v>
      </c>
      <c r="I599" s="134" t="s">
        <v>696</v>
      </c>
      <c r="J599" s="144" t="s">
        <v>268</v>
      </c>
      <c r="K599" s="134"/>
      <c r="L599" s="134"/>
      <c r="M599" s="134"/>
      <c r="N599" s="134"/>
      <c r="O599" s="134"/>
      <c r="P599" s="135" t="s">
        <v>128</v>
      </c>
      <c r="Q599" s="148">
        <v>421.4</v>
      </c>
      <c r="R599" s="148">
        <v>421.4</v>
      </c>
      <c r="S599" s="135"/>
      <c r="T599" s="149">
        <f>IFERROR(INDEX('Price List'!$G$5:$G$74,MATCH(TRIM(J599)&amp;"|"&amp;TRIM(P599),'Price List'!$O$5:$O$74,0)),0)</f>
        <v>2.5</v>
      </c>
      <c r="U599" s="150">
        <f>IFERROR(INDEX('Price List'!$H$5:$H$74,MATCH(TRIM(J599)&amp;"|"&amp;TRIM(P599),'Price List'!$O$5:$O$74,0)),0)</f>
        <v>0.2</v>
      </c>
      <c r="V599" s="141">
        <f t="shared" si="48"/>
        <v>3</v>
      </c>
      <c r="W599" s="151">
        <f>IFERROR(INDEX('Price List'!$J$5:$J$74,MATCH(TRIM(J599)&amp;"|"&amp;TRIM(P599),'Price List'!$O$5:$O$74,0)),0)</f>
        <v>2</v>
      </c>
      <c r="X599" s="152">
        <f>IFERROR(INDEX('Price List'!$K$5:$K$74,MATCH(TRIM(J599)&amp;"|"&amp;TRIM(P599),'Price List'!$O$5:$O$74,0)),0)</f>
        <v>0.12</v>
      </c>
      <c r="Y599" s="141">
        <f t="shared" si="49"/>
        <v>2.2400000000000002</v>
      </c>
      <c r="Z599" s="141">
        <f t="shared" si="50"/>
        <v>2208.136</v>
      </c>
      <c r="AA599" s="134"/>
    </row>
    <row r="600" spans="1:27" ht="12" customHeight="1" x14ac:dyDescent="0.35">
      <c r="A600" s="134"/>
      <c r="B600" s="134"/>
      <c r="C600" s="134" t="s">
        <v>689</v>
      </c>
      <c r="D600" s="136" t="str">
        <f t="shared" si="47"/>
        <v>C.02</v>
      </c>
      <c r="E600" s="135" t="s">
        <v>414</v>
      </c>
      <c r="F600" s="135" t="s">
        <v>677</v>
      </c>
      <c r="G600" s="134" t="s">
        <v>35</v>
      </c>
      <c r="H600" s="134" t="s">
        <v>272</v>
      </c>
      <c r="I600" s="134" t="s">
        <v>272</v>
      </c>
      <c r="J600" s="144" t="s">
        <v>272</v>
      </c>
      <c r="K600" s="134"/>
      <c r="L600" s="134"/>
      <c r="M600" s="134"/>
      <c r="N600" s="134"/>
      <c r="O600" s="134"/>
      <c r="P600" s="135" t="s">
        <v>128</v>
      </c>
      <c r="Q600" s="148">
        <v>1063.8499999999999</v>
      </c>
      <c r="R600" s="148">
        <v>1063.8499999999999</v>
      </c>
      <c r="S600" s="135"/>
      <c r="T600" s="149">
        <f>IFERROR(INDEX('Price List'!$G$5:$G$74,MATCH(TRIM(J600)&amp;"|"&amp;TRIM(P600),'Price List'!$O$5:$O$74,0)),0)</f>
        <v>1.5</v>
      </c>
      <c r="U600" s="150">
        <f>IFERROR(INDEX('Price List'!$H$5:$H$74,MATCH(TRIM(J600)&amp;"|"&amp;TRIM(P600),'Price List'!$O$5:$O$74,0)),0)</f>
        <v>0.2</v>
      </c>
      <c r="V600" s="141">
        <f t="shared" si="48"/>
        <v>1.7999999999999998</v>
      </c>
      <c r="W600" s="151">
        <f>IFERROR(INDEX('Price List'!$J$5:$J$74,MATCH(TRIM(J600)&amp;"|"&amp;TRIM(P600),'Price List'!$O$5:$O$74,0)),0)</f>
        <v>2.5</v>
      </c>
      <c r="X600" s="152">
        <f>IFERROR(INDEX('Price List'!$K$5:$K$74,MATCH(TRIM(J600)&amp;"|"&amp;TRIM(P600),'Price List'!$O$5:$O$74,0)),0)</f>
        <v>0.12</v>
      </c>
      <c r="Y600" s="141">
        <f t="shared" si="49"/>
        <v>2.8000000000000003</v>
      </c>
      <c r="Z600" s="141">
        <f t="shared" si="50"/>
        <v>4893.7099999999991</v>
      </c>
      <c r="AA600" s="134"/>
    </row>
    <row r="601" spans="1:27" ht="12" customHeight="1" x14ac:dyDescent="0.35">
      <c r="A601" s="134"/>
      <c r="B601" s="134"/>
      <c r="C601" s="134" t="s">
        <v>689</v>
      </c>
      <c r="D601" s="136" t="str">
        <f t="shared" si="47"/>
        <v>D.01</v>
      </c>
      <c r="E601" s="135" t="s">
        <v>414</v>
      </c>
      <c r="F601" s="135" t="s">
        <v>677</v>
      </c>
      <c r="G601" s="134" t="s">
        <v>697</v>
      </c>
      <c r="H601" s="134" t="s">
        <v>272</v>
      </c>
      <c r="I601" s="134" t="s">
        <v>272</v>
      </c>
      <c r="J601" s="144" t="s">
        <v>272</v>
      </c>
      <c r="K601" s="134"/>
      <c r="L601" s="134"/>
      <c r="M601" s="134"/>
      <c r="N601" s="134"/>
      <c r="O601" s="134"/>
      <c r="P601" s="135" t="s">
        <v>128</v>
      </c>
      <c r="Q601" s="148">
        <v>421.4</v>
      </c>
      <c r="R601" s="148">
        <v>421.4</v>
      </c>
      <c r="S601" s="135"/>
      <c r="T601" s="149">
        <f>IFERROR(INDEX('Price List'!$G$5:$G$74,MATCH(TRIM(J601)&amp;"|"&amp;TRIM(P601),'Price List'!$O$5:$O$74,0)),0)</f>
        <v>1.5</v>
      </c>
      <c r="U601" s="150">
        <f>IFERROR(INDEX('Price List'!$H$5:$H$74,MATCH(TRIM(J601)&amp;"|"&amp;TRIM(P601),'Price List'!$O$5:$O$74,0)),0)</f>
        <v>0.2</v>
      </c>
      <c r="V601" s="141">
        <f t="shared" si="48"/>
        <v>1.7999999999999998</v>
      </c>
      <c r="W601" s="151">
        <f>IFERROR(INDEX('Price List'!$J$5:$J$74,MATCH(TRIM(J601)&amp;"|"&amp;TRIM(P601),'Price List'!$O$5:$O$74,0)),0)</f>
        <v>2.5</v>
      </c>
      <c r="X601" s="152">
        <f>IFERROR(INDEX('Price List'!$K$5:$K$74,MATCH(TRIM(J601)&amp;"|"&amp;TRIM(P601),'Price List'!$O$5:$O$74,0)),0)</f>
        <v>0.12</v>
      </c>
      <c r="Y601" s="141">
        <f t="shared" si="49"/>
        <v>2.8000000000000003</v>
      </c>
      <c r="Z601" s="141">
        <f t="shared" si="50"/>
        <v>1938.4399999999998</v>
      </c>
      <c r="AA601" s="134"/>
    </row>
    <row r="602" spans="1:27" ht="12" customHeight="1" x14ac:dyDescent="0.35">
      <c r="A602" s="134"/>
      <c r="B602" s="134"/>
      <c r="C602" s="134" t="s">
        <v>689</v>
      </c>
      <c r="D602" s="136" t="str">
        <f t="shared" si="47"/>
        <v>C.01</v>
      </c>
      <c r="E602" s="135" t="s">
        <v>414</v>
      </c>
      <c r="F602" s="135" t="s">
        <v>678</v>
      </c>
      <c r="G602" s="134" t="s">
        <v>690</v>
      </c>
      <c r="H602" s="134" t="s">
        <v>691</v>
      </c>
      <c r="I602" s="134" t="s">
        <v>699</v>
      </c>
      <c r="J602" s="144" t="s">
        <v>258</v>
      </c>
      <c r="K602" s="134"/>
      <c r="L602" s="134"/>
      <c r="M602" s="134"/>
      <c r="N602" s="134"/>
      <c r="O602" s="134"/>
      <c r="P602" s="135" t="s">
        <v>128</v>
      </c>
      <c r="Q602" s="148">
        <v>19.600000000000001</v>
      </c>
      <c r="R602" s="148">
        <v>19.600000000000001</v>
      </c>
      <c r="S602" s="135"/>
      <c r="T602" s="149">
        <f>IFERROR(INDEX('Price List'!$G$5:$G$74,MATCH(TRIM(J602)&amp;"|"&amp;TRIM(P602),'Price List'!$O$5:$O$74,0)),0)</f>
        <v>7</v>
      </c>
      <c r="U602" s="150">
        <f>IFERROR(INDEX('Price List'!$H$5:$H$74,MATCH(TRIM(J602)&amp;"|"&amp;TRIM(P602),'Price List'!$O$5:$O$74,0)),0)</f>
        <v>0.2</v>
      </c>
      <c r="V602" s="141">
        <f t="shared" si="48"/>
        <v>8.4</v>
      </c>
      <c r="W602" s="151">
        <f>IFERROR(INDEX('Price List'!$J$5:$J$74,MATCH(TRIM(J602)&amp;"|"&amp;TRIM(P602),'Price List'!$O$5:$O$74,0)),0)</f>
        <v>20</v>
      </c>
      <c r="X602" s="152">
        <f>IFERROR(INDEX('Price List'!$K$5:$K$74,MATCH(TRIM(J602)&amp;"|"&amp;TRIM(P602),'Price List'!$O$5:$O$74,0)),0)</f>
        <v>0.12</v>
      </c>
      <c r="Y602" s="141">
        <f t="shared" si="49"/>
        <v>22.400000000000002</v>
      </c>
      <c r="Z602" s="141">
        <f t="shared" si="50"/>
        <v>603.68000000000018</v>
      </c>
      <c r="AA602" s="134"/>
    </row>
    <row r="603" spans="1:27" ht="12" customHeight="1" x14ac:dyDescent="0.35">
      <c r="A603" s="134"/>
      <c r="B603" s="134"/>
      <c r="C603" s="134" t="s">
        <v>689</v>
      </c>
      <c r="D603" s="136" t="str">
        <f t="shared" si="47"/>
        <v>C.01</v>
      </c>
      <c r="E603" s="135" t="s">
        <v>414</v>
      </c>
      <c r="F603" s="135" t="s">
        <v>678</v>
      </c>
      <c r="G603" s="134" t="s">
        <v>690</v>
      </c>
      <c r="H603" s="134" t="s">
        <v>691</v>
      </c>
      <c r="I603" s="134" t="s">
        <v>693</v>
      </c>
      <c r="J603" s="144" t="s">
        <v>254</v>
      </c>
      <c r="K603" s="134"/>
      <c r="L603" s="134"/>
      <c r="M603" s="134"/>
      <c r="N603" s="134"/>
      <c r="O603" s="134"/>
      <c r="P603" s="135" t="s">
        <v>128</v>
      </c>
      <c r="Q603" s="148">
        <v>46.8</v>
      </c>
      <c r="R603" s="148">
        <v>46.8</v>
      </c>
      <c r="S603" s="135"/>
      <c r="T603" s="149">
        <f>IFERROR(INDEX('Price List'!$G$5:$G$74,MATCH(TRIM(J603)&amp;"|"&amp;TRIM(P603),'Price List'!$O$5:$O$74,0)),0)</f>
        <v>4.5</v>
      </c>
      <c r="U603" s="150">
        <f>IFERROR(INDEX('Price List'!$H$5:$H$74,MATCH(TRIM(J603)&amp;"|"&amp;TRIM(P603),'Price List'!$O$5:$O$74,0)),0)</f>
        <v>0.2</v>
      </c>
      <c r="V603" s="141">
        <f t="shared" si="48"/>
        <v>5.3999999999999995</v>
      </c>
      <c r="W603" s="151">
        <f>IFERROR(INDEX('Price List'!$J$5:$J$74,MATCH(TRIM(J603)&amp;"|"&amp;TRIM(P603),'Price List'!$O$5:$O$74,0)),0)</f>
        <v>11</v>
      </c>
      <c r="X603" s="152">
        <f>IFERROR(INDEX('Price List'!$K$5:$K$74,MATCH(TRIM(J603)&amp;"|"&amp;TRIM(P603),'Price List'!$O$5:$O$74,0)),0)</f>
        <v>0.12</v>
      </c>
      <c r="Y603" s="141">
        <f t="shared" si="49"/>
        <v>12.32</v>
      </c>
      <c r="Z603" s="141">
        <f t="shared" si="50"/>
        <v>829.29599999999994</v>
      </c>
      <c r="AA603" s="134"/>
    </row>
    <row r="604" spans="1:27" ht="12" customHeight="1" x14ac:dyDescent="0.35">
      <c r="A604" s="134"/>
      <c r="B604" s="134"/>
      <c r="C604" s="134" t="s">
        <v>689</v>
      </c>
      <c r="D604" s="136" t="str">
        <f t="shared" si="47"/>
        <v>C.09</v>
      </c>
      <c r="E604" s="135" t="s">
        <v>414</v>
      </c>
      <c r="F604" s="135" t="s">
        <v>678</v>
      </c>
      <c r="G604" s="134" t="s">
        <v>694</v>
      </c>
      <c r="H604" s="134" t="s">
        <v>691</v>
      </c>
      <c r="I604" s="134" t="s">
        <v>695</v>
      </c>
      <c r="J604" s="144" t="s">
        <v>297</v>
      </c>
      <c r="K604" s="134"/>
      <c r="L604" s="134"/>
      <c r="M604" s="134"/>
      <c r="N604" s="134"/>
      <c r="O604" s="134"/>
      <c r="P604" s="135" t="s">
        <v>128</v>
      </c>
      <c r="Q604" s="148">
        <v>3.36</v>
      </c>
      <c r="R604" s="148">
        <v>3.36</v>
      </c>
      <c r="S604" s="135"/>
      <c r="T604" s="149">
        <f>IFERROR(INDEX('Price List'!$G$5:$G$74,MATCH(TRIM(J604)&amp;"|"&amp;TRIM(P604),'Price List'!$O$5:$O$74,0)),0)</f>
        <v>3</v>
      </c>
      <c r="U604" s="150">
        <f>IFERROR(INDEX('Price List'!$H$5:$H$74,MATCH(TRIM(J604)&amp;"|"&amp;TRIM(P604),'Price List'!$O$5:$O$74,0)),0)</f>
        <v>0.2</v>
      </c>
      <c r="V604" s="141">
        <f t="shared" si="48"/>
        <v>3.5999999999999996</v>
      </c>
      <c r="W604" s="151">
        <f>IFERROR(INDEX('Price List'!$J$5:$J$74,MATCH(TRIM(J604)&amp;"|"&amp;TRIM(P604),'Price List'!$O$5:$O$74,0)),0)</f>
        <v>6</v>
      </c>
      <c r="X604" s="152">
        <f>IFERROR(INDEX('Price List'!$K$5:$K$74,MATCH(TRIM(J604)&amp;"|"&amp;TRIM(P604),'Price List'!$O$5:$O$74,0)),0)</f>
        <v>0.12</v>
      </c>
      <c r="Y604" s="141">
        <f t="shared" si="49"/>
        <v>6.7200000000000006</v>
      </c>
      <c r="Z604" s="141">
        <f t="shared" si="50"/>
        <v>34.675199999999997</v>
      </c>
      <c r="AA604" s="134"/>
    </row>
    <row r="605" spans="1:27" ht="12" customHeight="1" x14ac:dyDescent="0.35">
      <c r="A605" s="134"/>
      <c r="B605" s="134"/>
      <c r="C605" s="134" t="s">
        <v>689</v>
      </c>
      <c r="D605" s="136" t="str">
        <f t="shared" si="47"/>
        <v>C.09</v>
      </c>
      <c r="E605" s="135" t="s">
        <v>414</v>
      </c>
      <c r="F605" s="135" t="s">
        <v>678</v>
      </c>
      <c r="G605" s="134" t="s">
        <v>694</v>
      </c>
      <c r="H605" s="134" t="s">
        <v>691</v>
      </c>
      <c r="I605" s="134" t="s">
        <v>693</v>
      </c>
      <c r="J605" s="144" t="s">
        <v>254</v>
      </c>
      <c r="K605" s="134"/>
      <c r="L605" s="134"/>
      <c r="M605" s="134"/>
      <c r="N605" s="134"/>
      <c r="O605" s="134"/>
      <c r="P605" s="135" t="s">
        <v>128</v>
      </c>
      <c r="Q605" s="148">
        <v>114.59</v>
      </c>
      <c r="R605" s="148">
        <v>114.59</v>
      </c>
      <c r="S605" s="135"/>
      <c r="T605" s="149">
        <f>IFERROR(INDEX('Price List'!$G$5:$G$74,MATCH(TRIM(J605)&amp;"|"&amp;TRIM(P605),'Price List'!$O$5:$O$74,0)),0)</f>
        <v>4.5</v>
      </c>
      <c r="U605" s="150">
        <f>IFERROR(INDEX('Price List'!$H$5:$H$74,MATCH(TRIM(J605)&amp;"|"&amp;TRIM(P605),'Price List'!$O$5:$O$74,0)),0)</f>
        <v>0.2</v>
      </c>
      <c r="V605" s="141">
        <f t="shared" si="48"/>
        <v>5.3999999999999995</v>
      </c>
      <c r="W605" s="151">
        <f>IFERROR(INDEX('Price List'!$J$5:$J$74,MATCH(TRIM(J605)&amp;"|"&amp;TRIM(P605),'Price List'!$O$5:$O$74,0)),0)</f>
        <v>11</v>
      </c>
      <c r="X605" s="152">
        <f>IFERROR(INDEX('Price List'!$K$5:$K$74,MATCH(TRIM(J605)&amp;"|"&amp;TRIM(P605),'Price List'!$O$5:$O$74,0)),0)</f>
        <v>0.12</v>
      </c>
      <c r="Y605" s="141">
        <f t="shared" si="49"/>
        <v>12.32</v>
      </c>
      <c r="Z605" s="141">
        <f t="shared" si="50"/>
        <v>2030.5347999999999</v>
      </c>
      <c r="AA605" s="134"/>
    </row>
    <row r="606" spans="1:27" ht="12" customHeight="1" x14ac:dyDescent="0.35">
      <c r="A606" s="134"/>
      <c r="B606" s="134"/>
      <c r="C606" s="134" t="s">
        <v>689</v>
      </c>
      <c r="D606" s="136" t="str">
        <f t="shared" si="47"/>
        <v>C.02</v>
      </c>
      <c r="E606" s="135" t="s">
        <v>414</v>
      </c>
      <c r="F606" s="135" t="s">
        <v>678</v>
      </c>
      <c r="G606" s="134" t="s">
        <v>35</v>
      </c>
      <c r="H606" s="134" t="s">
        <v>696</v>
      </c>
      <c r="I606" s="134" t="s">
        <v>696</v>
      </c>
      <c r="J606" s="144" t="s">
        <v>268</v>
      </c>
      <c r="K606" s="134"/>
      <c r="L606" s="134"/>
      <c r="M606" s="134"/>
      <c r="N606" s="134"/>
      <c r="O606" s="134"/>
      <c r="P606" s="135" t="s">
        <v>128</v>
      </c>
      <c r="Q606" s="148">
        <v>132.80000000000001</v>
      </c>
      <c r="R606" s="148">
        <v>132.80000000000001</v>
      </c>
      <c r="S606" s="135"/>
      <c r="T606" s="149">
        <f>IFERROR(INDEX('Price List'!$G$5:$G$74,MATCH(TRIM(J606)&amp;"|"&amp;TRIM(P606),'Price List'!$O$5:$O$74,0)),0)</f>
        <v>2.5</v>
      </c>
      <c r="U606" s="150">
        <f>IFERROR(INDEX('Price List'!$H$5:$H$74,MATCH(TRIM(J606)&amp;"|"&amp;TRIM(P606),'Price List'!$O$5:$O$74,0)),0)</f>
        <v>0.2</v>
      </c>
      <c r="V606" s="141">
        <f t="shared" si="48"/>
        <v>3</v>
      </c>
      <c r="W606" s="151">
        <f>IFERROR(INDEX('Price List'!$J$5:$J$74,MATCH(TRIM(J606)&amp;"|"&amp;TRIM(P606),'Price List'!$O$5:$O$74,0)),0)</f>
        <v>2</v>
      </c>
      <c r="X606" s="152">
        <f>IFERROR(INDEX('Price List'!$K$5:$K$74,MATCH(TRIM(J606)&amp;"|"&amp;TRIM(P606),'Price List'!$O$5:$O$74,0)),0)</f>
        <v>0.12</v>
      </c>
      <c r="Y606" s="141">
        <f t="shared" si="49"/>
        <v>2.2400000000000002</v>
      </c>
      <c r="Z606" s="141">
        <f t="shared" si="50"/>
        <v>695.87200000000007</v>
      </c>
      <c r="AA606" s="134"/>
    </row>
    <row r="607" spans="1:27" ht="12" customHeight="1" x14ac:dyDescent="0.35">
      <c r="A607" s="134"/>
      <c r="B607" s="134"/>
      <c r="C607" s="134" t="s">
        <v>689</v>
      </c>
      <c r="D607" s="136" t="str">
        <f t="shared" si="47"/>
        <v>D.01</v>
      </c>
      <c r="E607" s="135" t="s">
        <v>414</v>
      </c>
      <c r="F607" s="135" t="s">
        <v>678</v>
      </c>
      <c r="G607" s="134" t="s">
        <v>697</v>
      </c>
      <c r="H607" s="134" t="s">
        <v>696</v>
      </c>
      <c r="I607" s="134" t="s">
        <v>696</v>
      </c>
      <c r="J607" s="144" t="s">
        <v>268</v>
      </c>
      <c r="K607" s="134"/>
      <c r="L607" s="134"/>
      <c r="M607" s="134"/>
      <c r="N607" s="134"/>
      <c r="O607" s="134"/>
      <c r="P607" s="135" t="s">
        <v>128</v>
      </c>
      <c r="Q607" s="148">
        <v>235.9</v>
      </c>
      <c r="R607" s="148">
        <v>235.9</v>
      </c>
      <c r="S607" s="135"/>
      <c r="T607" s="149">
        <f>IFERROR(INDEX('Price List'!$G$5:$G$74,MATCH(TRIM(J607)&amp;"|"&amp;TRIM(P607),'Price List'!$O$5:$O$74,0)),0)</f>
        <v>2.5</v>
      </c>
      <c r="U607" s="150">
        <f>IFERROR(INDEX('Price List'!$H$5:$H$74,MATCH(TRIM(J607)&amp;"|"&amp;TRIM(P607),'Price List'!$O$5:$O$74,0)),0)</f>
        <v>0.2</v>
      </c>
      <c r="V607" s="141">
        <f t="shared" si="48"/>
        <v>3</v>
      </c>
      <c r="W607" s="151">
        <f>IFERROR(INDEX('Price List'!$J$5:$J$74,MATCH(TRIM(J607)&amp;"|"&amp;TRIM(P607),'Price List'!$O$5:$O$74,0)),0)</f>
        <v>2</v>
      </c>
      <c r="X607" s="152">
        <f>IFERROR(INDEX('Price List'!$K$5:$K$74,MATCH(TRIM(J607)&amp;"|"&amp;TRIM(P607),'Price List'!$O$5:$O$74,0)),0)</f>
        <v>0.12</v>
      </c>
      <c r="Y607" s="141">
        <f t="shared" si="49"/>
        <v>2.2400000000000002</v>
      </c>
      <c r="Z607" s="141">
        <f t="shared" si="50"/>
        <v>1236.116</v>
      </c>
      <c r="AA607" s="134"/>
    </row>
    <row r="608" spans="1:27" ht="12" customHeight="1" x14ac:dyDescent="0.35">
      <c r="A608" s="134"/>
      <c r="B608" s="134"/>
      <c r="C608" s="134" t="s">
        <v>689</v>
      </c>
      <c r="D608" s="136" t="str">
        <f t="shared" si="47"/>
        <v>C.02</v>
      </c>
      <c r="E608" s="135" t="s">
        <v>414</v>
      </c>
      <c r="F608" s="135" t="s">
        <v>678</v>
      </c>
      <c r="G608" s="134" t="s">
        <v>35</v>
      </c>
      <c r="H608" s="134" t="s">
        <v>272</v>
      </c>
      <c r="I608" s="134" t="s">
        <v>272</v>
      </c>
      <c r="J608" s="144" t="s">
        <v>272</v>
      </c>
      <c r="K608" s="134"/>
      <c r="L608" s="134"/>
      <c r="M608" s="134"/>
      <c r="N608" s="134"/>
      <c r="O608" s="134"/>
      <c r="P608" s="135" t="s">
        <v>128</v>
      </c>
      <c r="Q608" s="148">
        <v>132.80000000000001</v>
      </c>
      <c r="R608" s="148">
        <v>132.80000000000001</v>
      </c>
      <c r="S608" s="135"/>
      <c r="T608" s="149">
        <f>IFERROR(INDEX('Price List'!$G$5:$G$74,MATCH(TRIM(J608)&amp;"|"&amp;TRIM(P608),'Price List'!$O$5:$O$74,0)),0)</f>
        <v>1.5</v>
      </c>
      <c r="U608" s="150">
        <f>IFERROR(INDEX('Price List'!$H$5:$H$74,MATCH(TRIM(J608)&amp;"|"&amp;TRIM(P608),'Price List'!$O$5:$O$74,0)),0)</f>
        <v>0.2</v>
      </c>
      <c r="V608" s="141">
        <f t="shared" si="48"/>
        <v>1.7999999999999998</v>
      </c>
      <c r="W608" s="151">
        <f>IFERROR(INDEX('Price List'!$J$5:$J$74,MATCH(TRIM(J608)&amp;"|"&amp;TRIM(P608),'Price List'!$O$5:$O$74,0)),0)</f>
        <v>2.5</v>
      </c>
      <c r="X608" s="152">
        <f>IFERROR(INDEX('Price List'!$K$5:$K$74,MATCH(TRIM(J608)&amp;"|"&amp;TRIM(P608),'Price List'!$O$5:$O$74,0)),0)</f>
        <v>0.12</v>
      </c>
      <c r="Y608" s="141">
        <f t="shared" si="49"/>
        <v>2.8000000000000003</v>
      </c>
      <c r="Z608" s="141">
        <f t="shared" si="50"/>
        <v>610.88</v>
      </c>
      <c r="AA608" s="134"/>
    </row>
    <row r="609" spans="1:27" ht="12" customHeight="1" x14ac:dyDescent="0.35">
      <c r="A609" s="134"/>
      <c r="B609" s="134"/>
      <c r="C609" s="134" t="s">
        <v>689</v>
      </c>
      <c r="D609" s="136" t="str">
        <f t="shared" si="47"/>
        <v>D.01</v>
      </c>
      <c r="E609" s="135" t="s">
        <v>414</v>
      </c>
      <c r="F609" s="135" t="s">
        <v>678</v>
      </c>
      <c r="G609" s="134" t="s">
        <v>697</v>
      </c>
      <c r="H609" s="134" t="s">
        <v>272</v>
      </c>
      <c r="I609" s="134" t="s">
        <v>272</v>
      </c>
      <c r="J609" s="144" t="s">
        <v>272</v>
      </c>
      <c r="K609" s="134"/>
      <c r="L609" s="134"/>
      <c r="M609" s="134"/>
      <c r="N609" s="134"/>
      <c r="O609" s="134"/>
      <c r="P609" s="135" t="s">
        <v>128</v>
      </c>
      <c r="Q609" s="148">
        <v>235.9</v>
      </c>
      <c r="R609" s="148">
        <v>235.9</v>
      </c>
      <c r="S609" s="135"/>
      <c r="T609" s="149">
        <f>IFERROR(INDEX('Price List'!$G$5:$G$74,MATCH(TRIM(J609)&amp;"|"&amp;TRIM(P609),'Price List'!$O$5:$O$74,0)),0)</f>
        <v>1.5</v>
      </c>
      <c r="U609" s="150">
        <f>IFERROR(INDEX('Price List'!$H$5:$H$74,MATCH(TRIM(J609)&amp;"|"&amp;TRIM(P609),'Price List'!$O$5:$O$74,0)),0)</f>
        <v>0.2</v>
      </c>
      <c r="V609" s="141">
        <f t="shared" si="48"/>
        <v>1.7999999999999998</v>
      </c>
      <c r="W609" s="151">
        <f>IFERROR(INDEX('Price List'!$J$5:$J$74,MATCH(TRIM(J609)&amp;"|"&amp;TRIM(P609),'Price List'!$O$5:$O$74,0)),0)</f>
        <v>2.5</v>
      </c>
      <c r="X609" s="152">
        <f>IFERROR(INDEX('Price List'!$K$5:$K$74,MATCH(TRIM(J609)&amp;"|"&amp;TRIM(P609),'Price List'!$O$5:$O$74,0)),0)</f>
        <v>0.12</v>
      </c>
      <c r="Y609" s="141">
        <f t="shared" si="49"/>
        <v>2.8000000000000003</v>
      </c>
      <c r="Z609" s="141">
        <f t="shared" si="50"/>
        <v>1085.1399999999999</v>
      </c>
      <c r="AA609" s="134"/>
    </row>
    <row r="610" spans="1:27" ht="12" customHeight="1" x14ac:dyDescent="0.35">
      <c r="A610" s="134"/>
      <c r="B610" s="134"/>
      <c r="C610" s="134" t="s">
        <v>689</v>
      </c>
      <c r="D610" s="136" t="str">
        <f t="shared" si="47"/>
        <v>C.10</v>
      </c>
      <c r="E610" s="135" t="s">
        <v>414</v>
      </c>
      <c r="F610" s="135" t="s">
        <v>664</v>
      </c>
      <c r="G610" s="134" t="s">
        <v>700</v>
      </c>
      <c r="H610" s="134" t="s">
        <v>701</v>
      </c>
      <c r="I610" s="134" t="s">
        <v>701</v>
      </c>
      <c r="J610" s="144" t="s">
        <v>311</v>
      </c>
      <c r="K610" s="134" t="s">
        <v>702</v>
      </c>
      <c r="L610" s="134"/>
      <c r="M610" s="134"/>
      <c r="N610" s="134"/>
      <c r="O610" s="134"/>
      <c r="P610" s="135" t="s">
        <v>234</v>
      </c>
      <c r="Q610" s="148">
        <v>3</v>
      </c>
      <c r="R610" s="148">
        <v>3</v>
      </c>
      <c r="S610" s="135"/>
      <c r="T610" s="149">
        <f>IFERROR(INDEX('Price List'!$G$5:$G$74,MATCH(TRIM(J610)&amp;"|"&amp;TRIM(P610),'Price List'!$O$5:$O$74,0)),0)</f>
        <v>0</v>
      </c>
      <c r="U610" s="150">
        <f>IFERROR(INDEX('Price List'!$H$5:$H$74,MATCH(TRIM(J610)&amp;"|"&amp;TRIM(P610),'Price List'!$O$5:$O$74,0)),0)</f>
        <v>0</v>
      </c>
      <c r="V610" s="141">
        <f t="shared" si="48"/>
        <v>0</v>
      </c>
      <c r="W610" s="151">
        <f>IFERROR(INDEX('Price List'!$J$5:$J$74,MATCH(TRIM(J610)&amp;"|"&amp;TRIM(P610),'Price List'!$O$5:$O$74,0)),0)</f>
        <v>40</v>
      </c>
      <c r="X610" s="152">
        <f>IFERROR(INDEX('Price List'!$K$5:$K$74,MATCH(TRIM(J610)&amp;"|"&amp;TRIM(P610),'Price List'!$O$5:$O$74,0)),0)</f>
        <v>0.12</v>
      </c>
      <c r="Y610" s="141">
        <f t="shared" si="49"/>
        <v>44.800000000000004</v>
      </c>
      <c r="Z610" s="141">
        <f t="shared" si="50"/>
        <v>134.4</v>
      </c>
      <c r="AA610" s="134"/>
    </row>
    <row r="611" spans="1:27" ht="12" customHeight="1" x14ac:dyDescent="0.35">
      <c r="A611" s="134"/>
      <c r="B611" s="134"/>
      <c r="C611" s="134" t="s">
        <v>689</v>
      </c>
      <c r="D611" s="136" t="str">
        <f t="shared" si="47"/>
        <v>C.10</v>
      </c>
      <c r="E611" s="135" t="s">
        <v>414</v>
      </c>
      <c r="F611" s="135" t="s">
        <v>664</v>
      </c>
      <c r="G611" s="134" t="s">
        <v>700</v>
      </c>
      <c r="H611" s="134" t="s">
        <v>701</v>
      </c>
      <c r="I611" s="134" t="s">
        <v>701</v>
      </c>
      <c r="J611" s="144" t="s">
        <v>313</v>
      </c>
      <c r="K611" s="134" t="s">
        <v>703</v>
      </c>
      <c r="L611" s="134"/>
      <c r="M611" s="134" t="s">
        <v>704</v>
      </c>
      <c r="N611" s="134"/>
      <c r="O611" s="134"/>
      <c r="P611" s="135" t="s">
        <v>234</v>
      </c>
      <c r="Q611" s="148">
        <v>1</v>
      </c>
      <c r="R611" s="148">
        <v>1</v>
      </c>
      <c r="S611" s="135"/>
      <c r="T611" s="149">
        <f>IFERROR(INDEX('Price List'!$G$5:$G$74,MATCH(TRIM(J611)&amp;"|"&amp;TRIM(P611),'Price List'!$O$5:$O$74,0)),0)</f>
        <v>0</v>
      </c>
      <c r="U611" s="150">
        <f>IFERROR(INDEX('Price List'!$H$5:$H$74,MATCH(TRIM(J611)&amp;"|"&amp;TRIM(P611),'Price List'!$O$5:$O$74,0)),0)</f>
        <v>0</v>
      </c>
      <c r="V611" s="141">
        <f t="shared" si="48"/>
        <v>0</v>
      </c>
      <c r="W611" s="151">
        <f>IFERROR(INDEX('Price List'!$J$5:$J$74,MATCH(TRIM(J611)&amp;"|"&amp;TRIM(P611),'Price List'!$O$5:$O$74,0)),0)</f>
        <v>45</v>
      </c>
      <c r="X611" s="152">
        <f>IFERROR(INDEX('Price List'!$K$5:$K$74,MATCH(TRIM(J611)&amp;"|"&amp;TRIM(P611),'Price List'!$O$5:$O$74,0)),0)</f>
        <v>0.12</v>
      </c>
      <c r="Y611" s="141">
        <f t="shared" si="49"/>
        <v>50.400000000000006</v>
      </c>
      <c r="Z611" s="141">
        <f t="shared" si="50"/>
        <v>50.400000000000006</v>
      </c>
      <c r="AA611" s="134"/>
    </row>
    <row r="612" spans="1:27" ht="12" customHeight="1" x14ac:dyDescent="0.35">
      <c r="A612" s="134"/>
      <c r="B612" s="134"/>
      <c r="C612" s="134" t="s">
        <v>689</v>
      </c>
      <c r="D612" s="136" t="str">
        <f t="shared" si="47"/>
        <v>C.10</v>
      </c>
      <c r="E612" s="135" t="s">
        <v>414</v>
      </c>
      <c r="F612" s="135" t="s">
        <v>664</v>
      </c>
      <c r="G612" s="134" t="s">
        <v>700</v>
      </c>
      <c r="H612" s="134" t="s">
        <v>701</v>
      </c>
      <c r="I612" s="134" t="s">
        <v>701</v>
      </c>
      <c r="J612" s="144" t="s">
        <v>313</v>
      </c>
      <c r="K612" s="134" t="s">
        <v>705</v>
      </c>
      <c r="L612" s="134"/>
      <c r="M612" s="134" t="s">
        <v>706</v>
      </c>
      <c r="N612" s="134"/>
      <c r="O612" s="134"/>
      <c r="P612" s="135" t="s">
        <v>234</v>
      </c>
      <c r="Q612" s="148">
        <v>1</v>
      </c>
      <c r="R612" s="148">
        <v>1</v>
      </c>
      <c r="S612" s="135"/>
      <c r="T612" s="149">
        <f>IFERROR(INDEX('Price List'!$G$5:$G$74,MATCH(TRIM(J612)&amp;"|"&amp;TRIM(P612),'Price List'!$O$5:$O$74,0)),0)</f>
        <v>0</v>
      </c>
      <c r="U612" s="150">
        <f>IFERROR(INDEX('Price List'!$H$5:$H$74,MATCH(TRIM(J612)&amp;"|"&amp;TRIM(P612),'Price List'!$O$5:$O$74,0)),0)</f>
        <v>0</v>
      </c>
      <c r="V612" s="141">
        <f t="shared" si="48"/>
        <v>0</v>
      </c>
      <c r="W612" s="151">
        <f>IFERROR(INDEX('Price List'!$J$5:$J$74,MATCH(TRIM(J612)&amp;"|"&amp;TRIM(P612),'Price List'!$O$5:$O$74,0)),0)</f>
        <v>45</v>
      </c>
      <c r="X612" s="152">
        <f>IFERROR(INDEX('Price List'!$K$5:$K$74,MATCH(TRIM(J612)&amp;"|"&amp;TRIM(P612),'Price List'!$O$5:$O$74,0)),0)</f>
        <v>0.12</v>
      </c>
      <c r="Y612" s="141">
        <f t="shared" si="49"/>
        <v>50.400000000000006</v>
      </c>
      <c r="Z612" s="141">
        <f t="shared" si="50"/>
        <v>50.400000000000006</v>
      </c>
      <c r="AA612" s="134"/>
    </row>
    <row r="613" spans="1:27" ht="12" customHeight="1" x14ac:dyDescent="0.35">
      <c r="A613" s="134"/>
      <c r="B613" s="134"/>
      <c r="C613" s="134" t="s">
        <v>689</v>
      </c>
      <c r="D613" s="136" t="str">
        <f t="shared" si="47"/>
        <v>C.10</v>
      </c>
      <c r="E613" s="135" t="s">
        <v>414</v>
      </c>
      <c r="F613" s="135" t="s">
        <v>664</v>
      </c>
      <c r="G613" s="134" t="s">
        <v>700</v>
      </c>
      <c r="H613" s="134" t="s">
        <v>707</v>
      </c>
      <c r="I613" s="134" t="s">
        <v>707</v>
      </c>
      <c r="J613" s="144" t="s">
        <v>319</v>
      </c>
      <c r="K613" s="134" t="s">
        <v>708</v>
      </c>
      <c r="L613" s="134"/>
      <c r="M613" s="134"/>
      <c r="N613" s="134"/>
      <c r="O613" s="134"/>
      <c r="P613" s="135" t="s">
        <v>234</v>
      </c>
      <c r="Q613" s="148">
        <v>1</v>
      </c>
      <c r="R613" s="148">
        <v>1</v>
      </c>
      <c r="S613" s="135"/>
      <c r="T613" s="149">
        <f>IFERROR(INDEX('Price List'!$G$5:$G$74,MATCH(TRIM(J613)&amp;"|"&amp;TRIM(P613),'Price List'!$O$5:$O$74,0)),0)</f>
        <v>0</v>
      </c>
      <c r="U613" s="150">
        <f>IFERROR(INDEX('Price List'!$H$5:$H$74,MATCH(TRIM(J613)&amp;"|"&amp;TRIM(P613),'Price List'!$O$5:$O$74,0)),0)</f>
        <v>0</v>
      </c>
      <c r="V613" s="141">
        <f t="shared" si="48"/>
        <v>0</v>
      </c>
      <c r="W613" s="151">
        <f>IFERROR(INDEX('Price List'!$J$5:$J$74,MATCH(TRIM(J613)&amp;"|"&amp;TRIM(P613),'Price List'!$O$5:$O$74,0)),0)</f>
        <v>120</v>
      </c>
      <c r="X613" s="152">
        <f>IFERROR(INDEX('Price List'!$K$5:$K$74,MATCH(TRIM(J613)&amp;"|"&amp;TRIM(P613),'Price List'!$O$5:$O$74,0)),0)</f>
        <v>0.12</v>
      </c>
      <c r="Y613" s="141">
        <f t="shared" si="49"/>
        <v>134.4</v>
      </c>
      <c r="Z613" s="141">
        <f t="shared" si="50"/>
        <v>134.4</v>
      </c>
      <c r="AA613" s="134"/>
    </row>
    <row r="614" spans="1:27" ht="12" customHeight="1" x14ac:dyDescent="0.35">
      <c r="A614" s="134"/>
      <c r="B614" s="134"/>
      <c r="C614" s="134" t="s">
        <v>689</v>
      </c>
      <c r="D614" s="136" t="str">
        <f t="shared" si="47"/>
        <v>C.10</v>
      </c>
      <c r="E614" s="135" t="s">
        <v>414</v>
      </c>
      <c r="F614" s="135" t="s">
        <v>667</v>
      </c>
      <c r="G614" s="134" t="s">
        <v>700</v>
      </c>
      <c r="H614" s="134" t="s">
        <v>701</v>
      </c>
      <c r="I614" s="134" t="s">
        <v>701</v>
      </c>
      <c r="J614" s="144" t="s">
        <v>311</v>
      </c>
      <c r="K614" s="134" t="s">
        <v>702</v>
      </c>
      <c r="L614" s="134"/>
      <c r="M614" s="134"/>
      <c r="N614" s="134"/>
      <c r="O614" s="134"/>
      <c r="P614" s="135" t="s">
        <v>234</v>
      </c>
      <c r="Q614" s="148">
        <v>3</v>
      </c>
      <c r="R614" s="148">
        <v>3</v>
      </c>
      <c r="S614" s="135"/>
      <c r="T614" s="149">
        <f>IFERROR(INDEX('Price List'!$G$5:$G$74,MATCH(TRIM(J614)&amp;"|"&amp;TRIM(P614),'Price List'!$O$5:$O$74,0)),0)</f>
        <v>0</v>
      </c>
      <c r="U614" s="150">
        <f>IFERROR(INDEX('Price List'!$H$5:$H$74,MATCH(TRIM(J614)&amp;"|"&amp;TRIM(P614),'Price List'!$O$5:$O$74,0)),0)</f>
        <v>0</v>
      </c>
      <c r="V614" s="141">
        <f t="shared" si="48"/>
        <v>0</v>
      </c>
      <c r="W614" s="151">
        <f>IFERROR(INDEX('Price List'!$J$5:$J$74,MATCH(TRIM(J614)&amp;"|"&amp;TRIM(P614),'Price List'!$O$5:$O$74,0)),0)</f>
        <v>40</v>
      </c>
      <c r="X614" s="152">
        <f>IFERROR(INDEX('Price List'!$K$5:$K$74,MATCH(TRIM(J614)&amp;"|"&amp;TRIM(P614),'Price List'!$O$5:$O$74,0)),0)</f>
        <v>0.12</v>
      </c>
      <c r="Y614" s="141">
        <f t="shared" si="49"/>
        <v>44.800000000000004</v>
      </c>
      <c r="Z614" s="141">
        <f t="shared" si="50"/>
        <v>134.4</v>
      </c>
      <c r="AA614" s="134"/>
    </row>
    <row r="615" spans="1:27" ht="12" customHeight="1" x14ac:dyDescent="0.35">
      <c r="A615" s="134"/>
      <c r="B615" s="134"/>
      <c r="C615" s="134" t="s">
        <v>689</v>
      </c>
      <c r="D615" s="136" t="str">
        <f t="shared" si="47"/>
        <v>C.10</v>
      </c>
      <c r="E615" s="135" t="s">
        <v>414</v>
      </c>
      <c r="F615" s="135" t="s">
        <v>667</v>
      </c>
      <c r="G615" s="134" t="s">
        <v>700</v>
      </c>
      <c r="H615" s="134" t="s">
        <v>701</v>
      </c>
      <c r="I615" s="134" t="s">
        <v>701</v>
      </c>
      <c r="J615" s="144" t="s">
        <v>313</v>
      </c>
      <c r="K615" s="134" t="s">
        <v>703</v>
      </c>
      <c r="L615" s="134"/>
      <c r="M615" s="134" t="s">
        <v>704</v>
      </c>
      <c r="N615" s="134"/>
      <c r="O615" s="134"/>
      <c r="P615" s="135" t="s">
        <v>234</v>
      </c>
      <c r="Q615" s="148">
        <v>1</v>
      </c>
      <c r="R615" s="148">
        <v>1</v>
      </c>
      <c r="S615" s="135"/>
      <c r="T615" s="149">
        <f>IFERROR(INDEX('Price List'!$G$5:$G$74,MATCH(TRIM(J615)&amp;"|"&amp;TRIM(P615),'Price List'!$O$5:$O$74,0)),0)</f>
        <v>0</v>
      </c>
      <c r="U615" s="150">
        <f>IFERROR(INDEX('Price List'!$H$5:$H$74,MATCH(TRIM(J615)&amp;"|"&amp;TRIM(P615),'Price List'!$O$5:$O$74,0)),0)</f>
        <v>0</v>
      </c>
      <c r="V615" s="141">
        <f t="shared" si="48"/>
        <v>0</v>
      </c>
      <c r="W615" s="151">
        <f>IFERROR(INDEX('Price List'!$J$5:$J$74,MATCH(TRIM(J615)&amp;"|"&amp;TRIM(P615),'Price List'!$O$5:$O$74,0)),0)</f>
        <v>45</v>
      </c>
      <c r="X615" s="152">
        <f>IFERROR(INDEX('Price List'!$K$5:$K$74,MATCH(TRIM(J615)&amp;"|"&amp;TRIM(P615),'Price List'!$O$5:$O$74,0)),0)</f>
        <v>0.12</v>
      </c>
      <c r="Y615" s="141">
        <f t="shared" si="49"/>
        <v>50.400000000000006</v>
      </c>
      <c r="Z615" s="141">
        <f t="shared" si="50"/>
        <v>50.400000000000006</v>
      </c>
      <c r="AA615" s="134"/>
    </row>
    <row r="616" spans="1:27" ht="12" customHeight="1" x14ac:dyDescent="0.35">
      <c r="A616" s="134"/>
      <c r="B616" s="134"/>
      <c r="C616" s="134" t="s">
        <v>689</v>
      </c>
      <c r="D616" s="136" t="str">
        <f t="shared" si="47"/>
        <v>C.10</v>
      </c>
      <c r="E616" s="135" t="s">
        <v>414</v>
      </c>
      <c r="F616" s="135" t="s">
        <v>667</v>
      </c>
      <c r="G616" s="134" t="s">
        <v>700</v>
      </c>
      <c r="H616" s="134" t="s">
        <v>701</v>
      </c>
      <c r="I616" s="134" t="s">
        <v>701</v>
      </c>
      <c r="J616" s="144" t="s">
        <v>313</v>
      </c>
      <c r="K616" s="134" t="s">
        <v>705</v>
      </c>
      <c r="L616" s="134"/>
      <c r="M616" s="134" t="s">
        <v>706</v>
      </c>
      <c r="N616" s="134"/>
      <c r="O616" s="134"/>
      <c r="P616" s="135" t="s">
        <v>234</v>
      </c>
      <c r="Q616" s="148">
        <v>1</v>
      </c>
      <c r="R616" s="148">
        <v>1</v>
      </c>
      <c r="S616" s="135"/>
      <c r="T616" s="149">
        <f>IFERROR(INDEX('Price List'!$G$5:$G$74,MATCH(TRIM(J616)&amp;"|"&amp;TRIM(P616),'Price List'!$O$5:$O$74,0)),0)</f>
        <v>0</v>
      </c>
      <c r="U616" s="150">
        <f>IFERROR(INDEX('Price List'!$H$5:$H$74,MATCH(TRIM(J616)&amp;"|"&amp;TRIM(P616),'Price List'!$O$5:$O$74,0)),0)</f>
        <v>0</v>
      </c>
      <c r="V616" s="141">
        <f t="shared" si="48"/>
        <v>0</v>
      </c>
      <c r="W616" s="151">
        <f>IFERROR(INDEX('Price List'!$J$5:$J$74,MATCH(TRIM(J616)&amp;"|"&amp;TRIM(P616),'Price List'!$O$5:$O$74,0)),0)</f>
        <v>45</v>
      </c>
      <c r="X616" s="152">
        <f>IFERROR(INDEX('Price List'!$K$5:$K$74,MATCH(TRIM(J616)&amp;"|"&amp;TRIM(P616),'Price List'!$O$5:$O$74,0)),0)</f>
        <v>0.12</v>
      </c>
      <c r="Y616" s="141">
        <f t="shared" si="49"/>
        <v>50.400000000000006</v>
      </c>
      <c r="Z616" s="141">
        <f t="shared" si="50"/>
        <v>50.400000000000006</v>
      </c>
      <c r="AA616" s="134"/>
    </row>
    <row r="617" spans="1:27" ht="12" customHeight="1" x14ac:dyDescent="0.35">
      <c r="A617" s="134"/>
      <c r="B617" s="134"/>
      <c r="C617" s="134" t="s">
        <v>689</v>
      </c>
      <c r="D617" s="136" t="str">
        <f t="shared" si="47"/>
        <v>C.10</v>
      </c>
      <c r="E617" s="135" t="s">
        <v>414</v>
      </c>
      <c r="F617" s="135" t="s">
        <v>667</v>
      </c>
      <c r="G617" s="134" t="s">
        <v>700</v>
      </c>
      <c r="H617" s="134" t="s">
        <v>707</v>
      </c>
      <c r="I617" s="134" t="s">
        <v>707</v>
      </c>
      <c r="J617" s="144" t="s">
        <v>319</v>
      </c>
      <c r="K617" s="134" t="s">
        <v>708</v>
      </c>
      <c r="L617" s="134"/>
      <c r="M617" s="134"/>
      <c r="N617" s="134"/>
      <c r="O617" s="134"/>
      <c r="P617" s="135" t="s">
        <v>234</v>
      </c>
      <c r="Q617" s="148">
        <v>2</v>
      </c>
      <c r="R617" s="148">
        <v>2</v>
      </c>
      <c r="S617" s="135"/>
      <c r="T617" s="149">
        <f>IFERROR(INDEX('Price List'!$G$5:$G$74,MATCH(TRIM(J617)&amp;"|"&amp;TRIM(P617),'Price List'!$O$5:$O$74,0)),0)</f>
        <v>0</v>
      </c>
      <c r="U617" s="150">
        <f>IFERROR(INDEX('Price List'!$H$5:$H$74,MATCH(TRIM(J617)&amp;"|"&amp;TRIM(P617),'Price List'!$O$5:$O$74,0)),0)</f>
        <v>0</v>
      </c>
      <c r="V617" s="141">
        <f t="shared" si="48"/>
        <v>0</v>
      </c>
      <c r="W617" s="151">
        <f>IFERROR(INDEX('Price List'!$J$5:$J$74,MATCH(TRIM(J617)&amp;"|"&amp;TRIM(P617),'Price List'!$O$5:$O$74,0)),0)</f>
        <v>120</v>
      </c>
      <c r="X617" s="152">
        <f>IFERROR(INDEX('Price List'!$K$5:$K$74,MATCH(TRIM(J617)&amp;"|"&amp;TRIM(P617),'Price List'!$O$5:$O$74,0)),0)</f>
        <v>0.12</v>
      </c>
      <c r="Y617" s="141">
        <f t="shared" si="49"/>
        <v>134.4</v>
      </c>
      <c r="Z617" s="141">
        <f t="shared" si="50"/>
        <v>268.8</v>
      </c>
      <c r="AA617" s="134"/>
    </row>
    <row r="618" spans="1:27" ht="12" customHeight="1" x14ac:dyDescent="0.35">
      <c r="A618" s="134"/>
      <c r="B618" s="134"/>
      <c r="C618" s="134" t="s">
        <v>689</v>
      </c>
      <c r="D618" s="136" t="str">
        <f t="shared" si="47"/>
        <v>C.10</v>
      </c>
      <c r="E618" s="135" t="s">
        <v>414</v>
      </c>
      <c r="F618" s="135" t="s">
        <v>667</v>
      </c>
      <c r="G618" s="134" t="s">
        <v>700</v>
      </c>
      <c r="H618" s="134" t="s">
        <v>707</v>
      </c>
      <c r="I618" s="134" t="s">
        <v>707</v>
      </c>
      <c r="J618" s="144" t="s">
        <v>321</v>
      </c>
      <c r="K618" s="134" t="s">
        <v>709</v>
      </c>
      <c r="L618" s="134"/>
      <c r="M618" s="134" t="s">
        <v>704</v>
      </c>
      <c r="N618" s="134"/>
      <c r="O618" s="134"/>
      <c r="P618" s="135" t="s">
        <v>234</v>
      </c>
      <c r="Q618" s="148">
        <v>2</v>
      </c>
      <c r="R618" s="148">
        <v>2</v>
      </c>
      <c r="S618" s="135"/>
      <c r="T618" s="149">
        <f>IFERROR(INDEX('Price List'!$G$5:$G$74,MATCH(TRIM(J618)&amp;"|"&amp;TRIM(P618),'Price List'!$O$5:$O$74,0)),0)</f>
        <v>0</v>
      </c>
      <c r="U618" s="150">
        <f>IFERROR(INDEX('Price List'!$H$5:$H$74,MATCH(TRIM(J618)&amp;"|"&amp;TRIM(P618),'Price List'!$O$5:$O$74,0)),0)</f>
        <v>0</v>
      </c>
      <c r="V618" s="141">
        <f t="shared" si="48"/>
        <v>0</v>
      </c>
      <c r="W618" s="151">
        <f>IFERROR(INDEX('Price List'!$J$5:$J$74,MATCH(TRIM(J618)&amp;"|"&amp;TRIM(P618),'Price List'!$O$5:$O$74,0)),0)</f>
        <v>110</v>
      </c>
      <c r="X618" s="152">
        <f>IFERROR(INDEX('Price List'!$K$5:$K$74,MATCH(TRIM(J618)&amp;"|"&amp;TRIM(P618),'Price List'!$O$5:$O$74,0)),0)</f>
        <v>0.12</v>
      </c>
      <c r="Y618" s="141">
        <f t="shared" si="49"/>
        <v>123.20000000000002</v>
      </c>
      <c r="Z618" s="141">
        <f t="shared" si="50"/>
        <v>246.40000000000003</v>
      </c>
      <c r="AA618" s="134"/>
    </row>
    <row r="619" spans="1:27" ht="12" customHeight="1" x14ac:dyDescent="0.35">
      <c r="A619" s="134"/>
      <c r="B619" s="134"/>
      <c r="C619" s="134" t="s">
        <v>689</v>
      </c>
      <c r="D619" s="136" t="str">
        <f t="shared" si="47"/>
        <v>C.10</v>
      </c>
      <c r="E619" s="135" t="s">
        <v>414</v>
      </c>
      <c r="F619" s="135" t="s">
        <v>667</v>
      </c>
      <c r="G619" s="134" t="s">
        <v>700</v>
      </c>
      <c r="H619" s="134" t="s">
        <v>707</v>
      </c>
      <c r="I619" s="134" t="s">
        <v>707</v>
      </c>
      <c r="J619" s="144" t="s">
        <v>321</v>
      </c>
      <c r="K619" s="134" t="s">
        <v>710</v>
      </c>
      <c r="L619" s="134"/>
      <c r="M619" s="134" t="s">
        <v>706</v>
      </c>
      <c r="N619" s="134"/>
      <c r="O619" s="134"/>
      <c r="P619" s="135" t="s">
        <v>234</v>
      </c>
      <c r="Q619" s="148">
        <v>2</v>
      </c>
      <c r="R619" s="148">
        <v>2</v>
      </c>
      <c r="S619" s="135"/>
      <c r="T619" s="149">
        <f>IFERROR(INDEX('Price List'!$G$5:$G$74,MATCH(TRIM(J619)&amp;"|"&amp;TRIM(P619),'Price List'!$O$5:$O$74,0)),0)</f>
        <v>0</v>
      </c>
      <c r="U619" s="150">
        <f>IFERROR(INDEX('Price List'!$H$5:$H$74,MATCH(TRIM(J619)&amp;"|"&amp;TRIM(P619),'Price List'!$O$5:$O$74,0)),0)</f>
        <v>0</v>
      </c>
      <c r="V619" s="141">
        <f t="shared" si="48"/>
        <v>0</v>
      </c>
      <c r="W619" s="151">
        <f>IFERROR(INDEX('Price List'!$J$5:$J$74,MATCH(TRIM(J619)&amp;"|"&amp;TRIM(P619),'Price List'!$O$5:$O$74,0)),0)</f>
        <v>110</v>
      </c>
      <c r="X619" s="152">
        <f>IFERROR(INDEX('Price List'!$K$5:$K$74,MATCH(TRIM(J619)&amp;"|"&amp;TRIM(P619),'Price List'!$O$5:$O$74,0)),0)</f>
        <v>0.12</v>
      </c>
      <c r="Y619" s="141">
        <f t="shared" si="49"/>
        <v>123.20000000000002</v>
      </c>
      <c r="Z619" s="141">
        <f t="shared" si="50"/>
        <v>246.40000000000003</v>
      </c>
      <c r="AA619" s="134"/>
    </row>
    <row r="620" spans="1:27" ht="12" customHeight="1" x14ac:dyDescent="0.35">
      <c r="A620" s="134"/>
      <c r="B620" s="134"/>
      <c r="C620" s="134" t="s">
        <v>689</v>
      </c>
      <c r="D620" s="136" t="str">
        <f t="shared" si="47"/>
        <v>C.10</v>
      </c>
      <c r="E620" s="135" t="s">
        <v>414</v>
      </c>
      <c r="F620" s="135" t="s">
        <v>667</v>
      </c>
      <c r="G620" s="134" t="s">
        <v>700</v>
      </c>
      <c r="H620" s="134" t="s">
        <v>711</v>
      </c>
      <c r="I620" s="134" t="s">
        <v>711</v>
      </c>
      <c r="J620" s="144" t="s">
        <v>327</v>
      </c>
      <c r="K620" s="134" t="s">
        <v>712</v>
      </c>
      <c r="L620" s="134"/>
      <c r="M620" s="134"/>
      <c r="N620" s="134"/>
      <c r="O620" s="134"/>
      <c r="P620" s="135" t="s">
        <v>234</v>
      </c>
      <c r="Q620" s="148">
        <v>1</v>
      </c>
      <c r="R620" s="148">
        <v>1</v>
      </c>
      <c r="S620" s="135"/>
      <c r="T620" s="149">
        <f>IFERROR(INDEX('Price List'!$G$5:$G$74,MATCH(TRIM(J620)&amp;"|"&amp;TRIM(P620),'Price List'!$O$5:$O$74,0)),0)</f>
        <v>0</v>
      </c>
      <c r="U620" s="150">
        <f>IFERROR(INDEX('Price List'!$H$5:$H$74,MATCH(TRIM(J620)&amp;"|"&amp;TRIM(P620),'Price List'!$O$5:$O$74,0)),0)</f>
        <v>0</v>
      </c>
      <c r="V620" s="141">
        <f t="shared" si="48"/>
        <v>0</v>
      </c>
      <c r="W620" s="151">
        <f>IFERROR(INDEX('Price List'!$J$5:$J$74,MATCH(TRIM(J620)&amp;"|"&amp;TRIM(P620),'Price List'!$O$5:$O$74,0)),0)</f>
        <v>135</v>
      </c>
      <c r="X620" s="152">
        <f>IFERROR(INDEX('Price List'!$K$5:$K$74,MATCH(TRIM(J620)&amp;"|"&amp;TRIM(P620),'Price List'!$O$5:$O$74,0)),0)</f>
        <v>0.12</v>
      </c>
      <c r="Y620" s="141">
        <f t="shared" si="49"/>
        <v>151.20000000000002</v>
      </c>
      <c r="Z620" s="141">
        <f t="shared" si="50"/>
        <v>151.20000000000002</v>
      </c>
      <c r="AA620" s="134"/>
    </row>
    <row r="621" spans="1:27" ht="12" customHeight="1" x14ac:dyDescent="0.35">
      <c r="A621" s="134"/>
      <c r="B621" s="134"/>
      <c r="C621" s="134" t="s">
        <v>689</v>
      </c>
      <c r="D621" s="136" t="str">
        <f t="shared" si="47"/>
        <v>C.10</v>
      </c>
      <c r="E621" s="135" t="s">
        <v>414</v>
      </c>
      <c r="F621" s="135" t="s">
        <v>668</v>
      </c>
      <c r="G621" s="134" t="s">
        <v>700</v>
      </c>
      <c r="H621" s="134" t="s">
        <v>701</v>
      </c>
      <c r="I621" s="134" t="s">
        <v>701</v>
      </c>
      <c r="J621" s="144" t="s">
        <v>311</v>
      </c>
      <c r="K621" s="134" t="s">
        <v>702</v>
      </c>
      <c r="L621" s="134"/>
      <c r="M621" s="134"/>
      <c r="N621" s="134"/>
      <c r="O621" s="134"/>
      <c r="P621" s="135" t="s">
        <v>234</v>
      </c>
      <c r="Q621" s="148">
        <v>15</v>
      </c>
      <c r="R621" s="148">
        <v>15</v>
      </c>
      <c r="S621" s="135"/>
      <c r="T621" s="149">
        <f>IFERROR(INDEX('Price List'!$G$5:$G$74,MATCH(TRIM(J621)&amp;"|"&amp;TRIM(P621),'Price List'!$O$5:$O$74,0)),0)</f>
        <v>0</v>
      </c>
      <c r="U621" s="150">
        <f>IFERROR(INDEX('Price List'!$H$5:$H$74,MATCH(TRIM(J621)&amp;"|"&amp;TRIM(P621),'Price List'!$O$5:$O$74,0)),0)</f>
        <v>0</v>
      </c>
      <c r="V621" s="141">
        <f t="shared" si="48"/>
        <v>0</v>
      </c>
      <c r="W621" s="151">
        <f>IFERROR(INDEX('Price List'!$J$5:$J$74,MATCH(TRIM(J621)&amp;"|"&amp;TRIM(P621),'Price List'!$O$5:$O$74,0)),0)</f>
        <v>40</v>
      </c>
      <c r="X621" s="152">
        <f>IFERROR(INDEX('Price List'!$K$5:$K$74,MATCH(TRIM(J621)&amp;"|"&amp;TRIM(P621),'Price List'!$O$5:$O$74,0)),0)</f>
        <v>0.12</v>
      </c>
      <c r="Y621" s="141">
        <f t="shared" si="49"/>
        <v>44.800000000000004</v>
      </c>
      <c r="Z621" s="141">
        <f t="shared" si="50"/>
        <v>672.00000000000011</v>
      </c>
      <c r="AA621" s="134"/>
    </row>
    <row r="622" spans="1:27" ht="12" customHeight="1" x14ac:dyDescent="0.35">
      <c r="A622" s="134"/>
      <c r="B622" s="134"/>
      <c r="C622" s="134" t="s">
        <v>689</v>
      </c>
      <c r="D622" s="136" t="str">
        <f t="shared" si="47"/>
        <v>C.10</v>
      </c>
      <c r="E622" s="135" t="s">
        <v>414</v>
      </c>
      <c r="F622" s="135" t="s">
        <v>668</v>
      </c>
      <c r="G622" s="134" t="s">
        <v>700</v>
      </c>
      <c r="H622" s="134" t="s">
        <v>701</v>
      </c>
      <c r="I622" s="134" t="s">
        <v>701</v>
      </c>
      <c r="J622" s="144" t="s">
        <v>313</v>
      </c>
      <c r="K622" s="134" t="s">
        <v>703</v>
      </c>
      <c r="L622" s="134"/>
      <c r="M622" s="134" t="s">
        <v>704</v>
      </c>
      <c r="N622" s="134"/>
      <c r="O622" s="134"/>
      <c r="P622" s="135" t="s">
        <v>234</v>
      </c>
      <c r="Q622" s="148">
        <v>3</v>
      </c>
      <c r="R622" s="148">
        <v>3</v>
      </c>
      <c r="S622" s="135"/>
      <c r="T622" s="149">
        <f>IFERROR(INDEX('Price List'!$G$5:$G$74,MATCH(TRIM(J622)&amp;"|"&amp;TRIM(P622),'Price List'!$O$5:$O$74,0)),0)</f>
        <v>0</v>
      </c>
      <c r="U622" s="150">
        <f>IFERROR(INDEX('Price List'!$H$5:$H$74,MATCH(TRIM(J622)&amp;"|"&amp;TRIM(P622),'Price List'!$O$5:$O$74,0)),0)</f>
        <v>0</v>
      </c>
      <c r="V622" s="141">
        <f t="shared" si="48"/>
        <v>0</v>
      </c>
      <c r="W622" s="151">
        <f>IFERROR(INDEX('Price List'!$J$5:$J$74,MATCH(TRIM(J622)&amp;"|"&amp;TRIM(P622),'Price List'!$O$5:$O$74,0)),0)</f>
        <v>45</v>
      </c>
      <c r="X622" s="152">
        <f>IFERROR(INDEX('Price List'!$K$5:$K$74,MATCH(TRIM(J622)&amp;"|"&amp;TRIM(P622),'Price List'!$O$5:$O$74,0)),0)</f>
        <v>0.12</v>
      </c>
      <c r="Y622" s="141">
        <f t="shared" si="49"/>
        <v>50.400000000000006</v>
      </c>
      <c r="Z622" s="141">
        <f t="shared" si="50"/>
        <v>151.20000000000002</v>
      </c>
      <c r="AA622" s="134"/>
    </row>
    <row r="623" spans="1:27" ht="12" customHeight="1" x14ac:dyDescent="0.35">
      <c r="A623" s="134"/>
      <c r="B623" s="134"/>
      <c r="C623" s="134" t="s">
        <v>689</v>
      </c>
      <c r="D623" s="136" t="str">
        <f t="shared" si="47"/>
        <v>C.10</v>
      </c>
      <c r="E623" s="135" t="s">
        <v>414</v>
      </c>
      <c r="F623" s="135" t="s">
        <v>668</v>
      </c>
      <c r="G623" s="134" t="s">
        <v>700</v>
      </c>
      <c r="H623" s="134" t="s">
        <v>701</v>
      </c>
      <c r="I623" s="134" t="s">
        <v>701</v>
      </c>
      <c r="J623" s="144" t="s">
        <v>313</v>
      </c>
      <c r="K623" s="134" t="s">
        <v>705</v>
      </c>
      <c r="L623" s="134"/>
      <c r="M623" s="134" t="s">
        <v>706</v>
      </c>
      <c r="N623" s="134"/>
      <c r="O623" s="134"/>
      <c r="P623" s="135" t="s">
        <v>234</v>
      </c>
      <c r="Q623" s="148">
        <v>3</v>
      </c>
      <c r="R623" s="148">
        <v>3</v>
      </c>
      <c r="S623" s="135"/>
      <c r="T623" s="149">
        <f>IFERROR(INDEX('Price List'!$G$5:$G$74,MATCH(TRIM(J623)&amp;"|"&amp;TRIM(P623),'Price List'!$O$5:$O$74,0)),0)</f>
        <v>0</v>
      </c>
      <c r="U623" s="150">
        <f>IFERROR(INDEX('Price List'!$H$5:$H$74,MATCH(TRIM(J623)&amp;"|"&amp;TRIM(P623),'Price List'!$O$5:$O$74,0)),0)</f>
        <v>0</v>
      </c>
      <c r="V623" s="141">
        <f t="shared" si="48"/>
        <v>0</v>
      </c>
      <c r="W623" s="151">
        <f>IFERROR(INDEX('Price List'!$J$5:$J$74,MATCH(TRIM(J623)&amp;"|"&amp;TRIM(P623),'Price List'!$O$5:$O$74,0)),0)</f>
        <v>45</v>
      </c>
      <c r="X623" s="152">
        <f>IFERROR(INDEX('Price List'!$K$5:$K$74,MATCH(TRIM(J623)&amp;"|"&amp;TRIM(P623),'Price List'!$O$5:$O$74,0)),0)</f>
        <v>0.12</v>
      </c>
      <c r="Y623" s="141">
        <f t="shared" si="49"/>
        <v>50.400000000000006</v>
      </c>
      <c r="Z623" s="141">
        <f t="shared" si="50"/>
        <v>151.20000000000002</v>
      </c>
      <c r="AA623" s="134"/>
    </row>
    <row r="624" spans="1:27" ht="12" customHeight="1" x14ac:dyDescent="0.35">
      <c r="A624" s="134"/>
      <c r="B624" s="134"/>
      <c r="C624" s="134" t="s">
        <v>689</v>
      </c>
      <c r="D624" s="136" t="str">
        <f t="shared" si="47"/>
        <v>C.10</v>
      </c>
      <c r="E624" s="135" t="s">
        <v>414</v>
      </c>
      <c r="F624" s="135" t="s">
        <v>668</v>
      </c>
      <c r="G624" s="134" t="s">
        <v>700</v>
      </c>
      <c r="H624" s="134" t="s">
        <v>707</v>
      </c>
      <c r="I624" s="134" t="s">
        <v>707</v>
      </c>
      <c r="J624" s="144" t="s">
        <v>319</v>
      </c>
      <c r="K624" s="134" t="s">
        <v>708</v>
      </c>
      <c r="L624" s="134"/>
      <c r="M624" s="134"/>
      <c r="N624" s="134"/>
      <c r="O624" s="134"/>
      <c r="P624" s="135" t="s">
        <v>234</v>
      </c>
      <c r="Q624" s="148">
        <v>3</v>
      </c>
      <c r="R624" s="148">
        <v>3</v>
      </c>
      <c r="S624" s="135"/>
      <c r="T624" s="149">
        <f>IFERROR(INDEX('Price List'!$G$5:$G$74,MATCH(TRIM(J624)&amp;"|"&amp;TRIM(P624),'Price List'!$O$5:$O$74,0)),0)</f>
        <v>0</v>
      </c>
      <c r="U624" s="150">
        <f>IFERROR(INDEX('Price List'!$H$5:$H$74,MATCH(TRIM(J624)&amp;"|"&amp;TRIM(P624),'Price List'!$O$5:$O$74,0)),0)</f>
        <v>0</v>
      </c>
      <c r="V624" s="141">
        <f t="shared" si="48"/>
        <v>0</v>
      </c>
      <c r="W624" s="151">
        <f>IFERROR(INDEX('Price List'!$J$5:$J$74,MATCH(TRIM(J624)&amp;"|"&amp;TRIM(P624),'Price List'!$O$5:$O$74,0)),0)</f>
        <v>120</v>
      </c>
      <c r="X624" s="152">
        <f>IFERROR(INDEX('Price List'!$K$5:$K$74,MATCH(TRIM(J624)&amp;"|"&amp;TRIM(P624),'Price List'!$O$5:$O$74,0)),0)</f>
        <v>0.12</v>
      </c>
      <c r="Y624" s="141">
        <f t="shared" si="49"/>
        <v>134.4</v>
      </c>
      <c r="Z624" s="141">
        <f t="shared" si="50"/>
        <v>403.20000000000005</v>
      </c>
      <c r="AA624" s="134"/>
    </row>
    <row r="625" spans="1:27" ht="12" customHeight="1" x14ac:dyDescent="0.35">
      <c r="A625" s="134"/>
      <c r="B625" s="134"/>
      <c r="C625" s="134" t="s">
        <v>689</v>
      </c>
      <c r="D625" s="136" t="str">
        <f t="shared" si="47"/>
        <v>C.10</v>
      </c>
      <c r="E625" s="135" t="s">
        <v>414</v>
      </c>
      <c r="F625" s="135" t="s">
        <v>668</v>
      </c>
      <c r="G625" s="134" t="s">
        <v>700</v>
      </c>
      <c r="H625" s="134" t="s">
        <v>707</v>
      </c>
      <c r="I625" s="134" t="s">
        <v>707</v>
      </c>
      <c r="J625" s="144" t="s">
        <v>321</v>
      </c>
      <c r="K625" s="134" t="s">
        <v>709</v>
      </c>
      <c r="L625" s="134"/>
      <c r="M625" s="134" t="s">
        <v>704</v>
      </c>
      <c r="N625" s="134"/>
      <c r="O625" s="134"/>
      <c r="P625" s="135" t="s">
        <v>234</v>
      </c>
      <c r="Q625" s="148">
        <v>24</v>
      </c>
      <c r="R625" s="148">
        <v>24</v>
      </c>
      <c r="S625" s="135"/>
      <c r="T625" s="149">
        <f>IFERROR(INDEX('Price List'!$G$5:$G$74,MATCH(TRIM(J625)&amp;"|"&amp;TRIM(P625),'Price List'!$O$5:$O$74,0)),0)</f>
        <v>0</v>
      </c>
      <c r="U625" s="150">
        <f>IFERROR(INDEX('Price List'!$H$5:$H$74,MATCH(TRIM(J625)&amp;"|"&amp;TRIM(P625),'Price List'!$O$5:$O$74,0)),0)</f>
        <v>0</v>
      </c>
      <c r="V625" s="141">
        <f t="shared" si="48"/>
        <v>0</v>
      </c>
      <c r="W625" s="151">
        <f>IFERROR(INDEX('Price List'!$J$5:$J$74,MATCH(TRIM(J625)&amp;"|"&amp;TRIM(P625),'Price List'!$O$5:$O$74,0)),0)</f>
        <v>110</v>
      </c>
      <c r="X625" s="152">
        <f>IFERROR(INDEX('Price List'!$K$5:$K$74,MATCH(TRIM(J625)&amp;"|"&amp;TRIM(P625),'Price List'!$O$5:$O$74,0)),0)</f>
        <v>0.12</v>
      </c>
      <c r="Y625" s="141">
        <f t="shared" si="49"/>
        <v>123.20000000000002</v>
      </c>
      <c r="Z625" s="141">
        <f t="shared" si="50"/>
        <v>2956.8</v>
      </c>
      <c r="AA625" s="134"/>
    </row>
    <row r="626" spans="1:27" ht="12" customHeight="1" x14ac:dyDescent="0.35">
      <c r="A626" s="134"/>
      <c r="B626" s="134"/>
      <c r="C626" s="134" t="s">
        <v>689</v>
      </c>
      <c r="D626" s="136" t="str">
        <f t="shared" si="47"/>
        <v>C.10</v>
      </c>
      <c r="E626" s="135" t="s">
        <v>414</v>
      </c>
      <c r="F626" s="135" t="s">
        <v>668</v>
      </c>
      <c r="G626" s="134" t="s">
        <v>700</v>
      </c>
      <c r="H626" s="134" t="s">
        <v>711</v>
      </c>
      <c r="I626" s="134" t="s">
        <v>711</v>
      </c>
      <c r="J626" s="144" t="s">
        <v>327</v>
      </c>
      <c r="K626" s="134" t="s">
        <v>712</v>
      </c>
      <c r="L626" s="134"/>
      <c r="M626" s="134"/>
      <c r="N626" s="134"/>
      <c r="O626" s="134"/>
      <c r="P626" s="135" t="s">
        <v>234</v>
      </c>
      <c r="Q626" s="148">
        <v>3</v>
      </c>
      <c r="R626" s="148">
        <v>3</v>
      </c>
      <c r="S626" s="135"/>
      <c r="T626" s="149">
        <f>IFERROR(INDEX('Price List'!$G$5:$G$74,MATCH(TRIM(J626)&amp;"|"&amp;TRIM(P626),'Price List'!$O$5:$O$74,0)),0)</f>
        <v>0</v>
      </c>
      <c r="U626" s="150">
        <f>IFERROR(INDEX('Price List'!$H$5:$H$74,MATCH(TRIM(J626)&amp;"|"&amp;TRIM(P626),'Price List'!$O$5:$O$74,0)),0)</f>
        <v>0</v>
      </c>
      <c r="V626" s="141">
        <f t="shared" si="48"/>
        <v>0</v>
      </c>
      <c r="W626" s="151">
        <f>IFERROR(INDEX('Price List'!$J$5:$J$74,MATCH(TRIM(J626)&amp;"|"&amp;TRIM(P626),'Price List'!$O$5:$O$74,0)),0)</f>
        <v>135</v>
      </c>
      <c r="X626" s="152">
        <f>IFERROR(INDEX('Price List'!$K$5:$K$74,MATCH(TRIM(J626)&amp;"|"&amp;TRIM(P626),'Price List'!$O$5:$O$74,0)),0)</f>
        <v>0.12</v>
      </c>
      <c r="Y626" s="141">
        <f t="shared" si="49"/>
        <v>151.20000000000002</v>
      </c>
      <c r="Z626" s="141">
        <f t="shared" si="50"/>
        <v>453.6</v>
      </c>
      <c r="AA626" s="134"/>
    </row>
    <row r="627" spans="1:27" ht="12" customHeight="1" x14ac:dyDescent="0.35">
      <c r="A627" s="134"/>
      <c r="B627" s="134"/>
      <c r="C627" s="134" t="s">
        <v>689</v>
      </c>
      <c r="D627" s="136" t="str">
        <f t="shared" si="47"/>
        <v>C.10</v>
      </c>
      <c r="E627" s="135" t="s">
        <v>414</v>
      </c>
      <c r="F627" s="135" t="s">
        <v>669</v>
      </c>
      <c r="G627" s="134" t="s">
        <v>700</v>
      </c>
      <c r="H627" s="134" t="s">
        <v>701</v>
      </c>
      <c r="I627" s="134" t="s">
        <v>701</v>
      </c>
      <c r="J627" s="144" t="s">
        <v>311</v>
      </c>
      <c r="K627" s="134" t="s">
        <v>702</v>
      </c>
      <c r="L627" s="134"/>
      <c r="M627" s="134"/>
      <c r="N627" s="134"/>
      <c r="O627" s="134"/>
      <c r="P627" s="135" t="s">
        <v>234</v>
      </c>
      <c r="Q627" s="148">
        <v>15</v>
      </c>
      <c r="R627" s="148">
        <v>15</v>
      </c>
      <c r="S627" s="135"/>
      <c r="T627" s="149">
        <f>IFERROR(INDEX('Price List'!$G$5:$G$74,MATCH(TRIM(J627)&amp;"|"&amp;TRIM(P627),'Price List'!$O$5:$O$74,0)),0)</f>
        <v>0</v>
      </c>
      <c r="U627" s="150">
        <f>IFERROR(INDEX('Price List'!$H$5:$H$74,MATCH(TRIM(J627)&amp;"|"&amp;TRIM(P627),'Price List'!$O$5:$O$74,0)),0)</f>
        <v>0</v>
      </c>
      <c r="V627" s="141">
        <f t="shared" si="48"/>
        <v>0</v>
      </c>
      <c r="W627" s="151">
        <f>IFERROR(INDEX('Price List'!$J$5:$J$74,MATCH(TRIM(J627)&amp;"|"&amp;TRIM(P627),'Price List'!$O$5:$O$74,0)),0)</f>
        <v>40</v>
      </c>
      <c r="X627" s="152">
        <f>IFERROR(INDEX('Price List'!$K$5:$K$74,MATCH(TRIM(J627)&amp;"|"&amp;TRIM(P627),'Price List'!$O$5:$O$74,0)),0)</f>
        <v>0.12</v>
      </c>
      <c r="Y627" s="141">
        <f t="shared" si="49"/>
        <v>44.800000000000004</v>
      </c>
      <c r="Z627" s="141">
        <f t="shared" si="50"/>
        <v>672.00000000000011</v>
      </c>
      <c r="AA627" s="134"/>
    </row>
    <row r="628" spans="1:27" ht="12" customHeight="1" x14ac:dyDescent="0.35">
      <c r="A628" s="134"/>
      <c r="B628" s="134"/>
      <c r="C628" s="134" t="s">
        <v>689</v>
      </c>
      <c r="D628" s="136" t="str">
        <f t="shared" si="47"/>
        <v>C.10</v>
      </c>
      <c r="E628" s="135" t="s">
        <v>414</v>
      </c>
      <c r="F628" s="135" t="s">
        <v>669</v>
      </c>
      <c r="G628" s="134" t="s">
        <v>700</v>
      </c>
      <c r="H628" s="134" t="s">
        <v>701</v>
      </c>
      <c r="I628" s="134" t="s">
        <v>701</v>
      </c>
      <c r="J628" s="144" t="s">
        <v>313</v>
      </c>
      <c r="K628" s="134" t="s">
        <v>703</v>
      </c>
      <c r="L628" s="134"/>
      <c r="M628" s="134" t="s">
        <v>704</v>
      </c>
      <c r="N628" s="134"/>
      <c r="O628" s="134"/>
      <c r="P628" s="135" t="s">
        <v>234</v>
      </c>
      <c r="Q628" s="148">
        <v>3</v>
      </c>
      <c r="R628" s="148">
        <v>3</v>
      </c>
      <c r="S628" s="135"/>
      <c r="T628" s="149">
        <f>IFERROR(INDEX('Price List'!$G$5:$G$74,MATCH(TRIM(J628)&amp;"|"&amp;TRIM(P628),'Price List'!$O$5:$O$74,0)),0)</f>
        <v>0</v>
      </c>
      <c r="U628" s="150">
        <f>IFERROR(INDEX('Price List'!$H$5:$H$74,MATCH(TRIM(J628)&amp;"|"&amp;TRIM(P628),'Price List'!$O$5:$O$74,0)),0)</f>
        <v>0</v>
      </c>
      <c r="V628" s="141">
        <f t="shared" si="48"/>
        <v>0</v>
      </c>
      <c r="W628" s="151">
        <f>IFERROR(INDEX('Price List'!$J$5:$J$74,MATCH(TRIM(J628)&amp;"|"&amp;TRIM(P628),'Price List'!$O$5:$O$74,0)),0)</f>
        <v>45</v>
      </c>
      <c r="X628" s="152">
        <f>IFERROR(INDEX('Price List'!$K$5:$K$74,MATCH(TRIM(J628)&amp;"|"&amp;TRIM(P628),'Price List'!$O$5:$O$74,0)),0)</f>
        <v>0.12</v>
      </c>
      <c r="Y628" s="141">
        <f t="shared" si="49"/>
        <v>50.400000000000006</v>
      </c>
      <c r="Z628" s="141">
        <f t="shared" si="50"/>
        <v>151.20000000000002</v>
      </c>
      <c r="AA628" s="134"/>
    </row>
    <row r="629" spans="1:27" ht="12" customHeight="1" x14ac:dyDescent="0.35">
      <c r="A629" s="134"/>
      <c r="B629" s="134"/>
      <c r="C629" s="134" t="s">
        <v>689</v>
      </c>
      <c r="D629" s="136" t="str">
        <f t="shared" si="47"/>
        <v>C.10</v>
      </c>
      <c r="E629" s="135" t="s">
        <v>414</v>
      </c>
      <c r="F629" s="135" t="s">
        <v>669</v>
      </c>
      <c r="G629" s="134" t="s">
        <v>700</v>
      </c>
      <c r="H629" s="134" t="s">
        <v>701</v>
      </c>
      <c r="I629" s="134" t="s">
        <v>701</v>
      </c>
      <c r="J629" s="144" t="s">
        <v>313</v>
      </c>
      <c r="K629" s="134" t="s">
        <v>705</v>
      </c>
      <c r="L629" s="134"/>
      <c r="M629" s="134" t="s">
        <v>706</v>
      </c>
      <c r="N629" s="134"/>
      <c r="O629" s="134"/>
      <c r="P629" s="135" t="s">
        <v>234</v>
      </c>
      <c r="Q629" s="148">
        <v>3</v>
      </c>
      <c r="R629" s="148">
        <v>3</v>
      </c>
      <c r="S629" s="135"/>
      <c r="T629" s="149">
        <f>IFERROR(INDEX('Price List'!$G$5:$G$74,MATCH(TRIM(J629)&amp;"|"&amp;TRIM(P629),'Price List'!$O$5:$O$74,0)),0)</f>
        <v>0</v>
      </c>
      <c r="U629" s="150">
        <f>IFERROR(INDEX('Price List'!$H$5:$H$74,MATCH(TRIM(J629)&amp;"|"&amp;TRIM(P629),'Price List'!$O$5:$O$74,0)),0)</f>
        <v>0</v>
      </c>
      <c r="V629" s="141">
        <f t="shared" si="48"/>
        <v>0</v>
      </c>
      <c r="W629" s="151">
        <f>IFERROR(INDEX('Price List'!$J$5:$J$74,MATCH(TRIM(J629)&amp;"|"&amp;TRIM(P629),'Price List'!$O$5:$O$74,0)),0)</f>
        <v>45</v>
      </c>
      <c r="X629" s="152">
        <f>IFERROR(INDEX('Price List'!$K$5:$K$74,MATCH(TRIM(J629)&amp;"|"&amp;TRIM(P629),'Price List'!$O$5:$O$74,0)),0)</f>
        <v>0.12</v>
      </c>
      <c r="Y629" s="141">
        <f t="shared" si="49"/>
        <v>50.400000000000006</v>
      </c>
      <c r="Z629" s="141">
        <f t="shared" si="50"/>
        <v>151.20000000000002</v>
      </c>
      <c r="AA629" s="134"/>
    </row>
    <row r="630" spans="1:27" ht="12" customHeight="1" x14ac:dyDescent="0.35">
      <c r="A630" s="134"/>
      <c r="B630" s="134"/>
      <c r="C630" s="134" t="s">
        <v>689</v>
      </c>
      <c r="D630" s="136" t="str">
        <f t="shared" si="47"/>
        <v>C.10</v>
      </c>
      <c r="E630" s="135" t="s">
        <v>414</v>
      </c>
      <c r="F630" s="135" t="s">
        <v>669</v>
      </c>
      <c r="G630" s="134" t="s">
        <v>700</v>
      </c>
      <c r="H630" s="134" t="s">
        <v>707</v>
      </c>
      <c r="I630" s="134" t="s">
        <v>707</v>
      </c>
      <c r="J630" s="144" t="s">
        <v>319</v>
      </c>
      <c r="K630" s="134" t="s">
        <v>708</v>
      </c>
      <c r="L630" s="134"/>
      <c r="M630" s="134"/>
      <c r="N630" s="134"/>
      <c r="O630" s="134"/>
      <c r="P630" s="135" t="s">
        <v>234</v>
      </c>
      <c r="Q630" s="148">
        <v>3</v>
      </c>
      <c r="R630" s="148">
        <v>3</v>
      </c>
      <c r="S630" s="135"/>
      <c r="T630" s="149">
        <f>IFERROR(INDEX('Price List'!$G$5:$G$74,MATCH(TRIM(J630)&amp;"|"&amp;TRIM(P630),'Price List'!$O$5:$O$74,0)),0)</f>
        <v>0</v>
      </c>
      <c r="U630" s="150">
        <f>IFERROR(INDEX('Price List'!$H$5:$H$74,MATCH(TRIM(J630)&amp;"|"&amp;TRIM(P630),'Price List'!$O$5:$O$74,0)),0)</f>
        <v>0</v>
      </c>
      <c r="V630" s="141">
        <f t="shared" si="48"/>
        <v>0</v>
      </c>
      <c r="W630" s="151">
        <f>IFERROR(INDEX('Price List'!$J$5:$J$74,MATCH(TRIM(J630)&amp;"|"&amp;TRIM(P630),'Price List'!$O$5:$O$74,0)),0)</f>
        <v>120</v>
      </c>
      <c r="X630" s="152">
        <f>IFERROR(INDEX('Price List'!$K$5:$K$74,MATCH(TRIM(J630)&amp;"|"&amp;TRIM(P630),'Price List'!$O$5:$O$74,0)),0)</f>
        <v>0.12</v>
      </c>
      <c r="Y630" s="141">
        <f t="shared" si="49"/>
        <v>134.4</v>
      </c>
      <c r="Z630" s="141">
        <f t="shared" si="50"/>
        <v>403.20000000000005</v>
      </c>
      <c r="AA630" s="134"/>
    </row>
    <row r="631" spans="1:27" ht="12" customHeight="1" x14ac:dyDescent="0.35">
      <c r="A631" s="134"/>
      <c r="B631" s="134"/>
      <c r="C631" s="134" t="s">
        <v>689</v>
      </c>
      <c r="D631" s="136" t="str">
        <f t="shared" si="47"/>
        <v>C.10</v>
      </c>
      <c r="E631" s="135" t="s">
        <v>414</v>
      </c>
      <c r="F631" s="135" t="s">
        <v>669</v>
      </c>
      <c r="G631" s="134" t="s">
        <v>700</v>
      </c>
      <c r="H631" s="134" t="s">
        <v>707</v>
      </c>
      <c r="I631" s="134" t="s">
        <v>707</v>
      </c>
      <c r="J631" s="144" t="s">
        <v>321</v>
      </c>
      <c r="K631" s="134" t="s">
        <v>709</v>
      </c>
      <c r="L631" s="134"/>
      <c r="M631" s="134" t="s">
        <v>704</v>
      </c>
      <c r="N631" s="134"/>
      <c r="O631" s="134"/>
      <c r="P631" s="135" t="s">
        <v>234</v>
      </c>
      <c r="Q631" s="148">
        <v>24</v>
      </c>
      <c r="R631" s="148">
        <v>24</v>
      </c>
      <c r="S631" s="135"/>
      <c r="T631" s="149">
        <f>IFERROR(INDEX('Price List'!$G$5:$G$74,MATCH(TRIM(J631)&amp;"|"&amp;TRIM(P631),'Price List'!$O$5:$O$74,0)),0)</f>
        <v>0</v>
      </c>
      <c r="U631" s="150">
        <f>IFERROR(INDEX('Price List'!$H$5:$H$74,MATCH(TRIM(J631)&amp;"|"&amp;TRIM(P631),'Price List'!$O$5:$O$74,0)),0)</f>
        <v>0</v>
      </c>
      <c r="V631" s="141">
        <f t="shared" si="48"/>
        <v>0</v>
      </c>
      <c r="W631" s="151">
        <f>IFERROR(INDEX('Price List'!$J$5:$J$74,MATCH(TRIM(J631)&amp;"|"&amp;TRIM(P631),'Price List'!$O$5:$O$74,0)),0)</f>
        <v>110</v>
      </c>
      <c r="X631" s="152">
        <f>IFERROR(INDEX('Price List'!$K$5:$K$74,MATCH(TRIM(J631)&amp;"|"&amp;TRIM(P631),'Price List'!$O$5:$O$74,0)),0)</f>
        <v>0.12</v>
      </c>
      <c r="Y631" s="141">
        <f t="shared" si="49"/>
        <v>123.20000000000002</v>
      </c>
      <c r="Z631" s="141">
        <f t="shared" si="50"/>
        <v>2956.8</v>
      </c>
      <c r="AA631" s="134"/>
    </row>
    <row r="632" spans="1:27" ht="12" customHeight="1" x14ac:dyDescent="0.35">
      <c r="A632" s="134"/>
      <c r="B632" s="134"/>
      <c r="C632" s="134" t="s">
        <v>689</v>
      </c>
      <c r="D632" s="136" t="str">
        <f t="shared" si="47"/>
        <v>C.10</v>
      </c>
      <c r="E632" s="135" t="s">
        <v>414</v>
      </c>
      <c r="F632" s="135" t="s">
        <v>669</v>
      </c>
      <c r="G632" s="134" t="s">
        <v>700</v>
      </c>
      <c r="H632" s="134" t="s">
        <v>711</v>
      </c>
      <c r="I632" s="134" t="s">
        <v>711</v>
      </c>
      <c r="J632" s="144" t="s">
        <v>327</v>
      </c>
      <c r="K632" s="134" t="s">
        <v>712</v>
      </c>
      <c r="L632" s="134"/>
      <c r="M632" s="134"/>
      <c r="N632" s="134"/>
      <c r="O632" s="134"/>
      <c r="P632" s="135" t="s">
        <v>234</v>
      </c>
      <c r="Q632" s="148">
        <v>3</v>
      </c>
      <c r="R632" s="148">
        <v>3</v>
      </c>
      <c r="S632" s="135"/>
      <c r="T632" s="149">
        <f>IFERROR(INDEX('Price List'!$G$5:$G$74,MATCH(TRIM(J632)&amp;"|"&amp;TRIM(P632),'Price List'!$O$5:$O$74,0)),0)</f>
        <v>0</v>
      </c>
      <c r="U632" s="150">
        <f>IFERROR(INDEX('Price List'!$H$5:$H$74,MATCH(TRIM(J632)&amp;"|"&amp;TRIM(P632),'Price List'!$O$5:$O$74,0)),0)</f>
        <v>0</v>
      </c>
      <c r="V632" s="141">
        <f t="shared" si="48"/>
        <v>0</v>
      </c>
      <c r="W632" s="151">
        <f>IFERROR(INDEX('Price List'!$J$5:$J$74,MATCH(TRIM(J632)&amp;"|"&amp;TRIM(P632),'Price List'!$O$5:$O$74,0)),0)</f>
        <v>135</v>
      </c>
      <c r="X632" s="152">
        <f>IFERROR(INDEX('Price List'!$K$5:$K$74,MATCH(TRIM(J632)&amp;"|"&amp;TRIM(P632),'Price List'!$O$5:$O$74,0)),0)</f>
        <v>0.12</v>
      </c>
      <c r="Y632" s="141">
        <f t="shared" si="49"/>
        <v>151.20000000000002</v>
      </c>
      <c r="Z632" s="141">
        <f t="shared" si="50"/>
        <v>453.6</v>
      </c>
      <c r="AA632" s="134"/>
    </row>
    <row r="633" spans="1:27" ht="12" customHeight="1" x14ac:dyDescent="0.35">
      <c r="A633" s="134"/>
      <c r="B633" s="134"/>
      <c r="C633" s="134" t="s">
        <v>689</v>
      </c>
      <c r="D633" s="136" t="str">
        <f t="shared" si="47"/>
        <v>C.10</v>
      </c>
      <c r="E633" s="135" t="s">
        <v>414</v>
      </c>
      <c r="F633" s="135" t="s">
        <v>670</v>
      </c>
      <c r="G633" s="134" t="s">
        <v>700</v>
      </c>
      <c r="H633" s="134" t="s">
        <v>701</v>
      </c>
      <c r="I633" s="134" t="s">
        <v>701</v>
      </c>
      <c r="J633" s="144" t="s">
        <v>311</v>
      </c>
      <c r="K633" s="134" t="s">
        <v>702</v>
      </c>
      <c r="L633" s="134"/>
      <c r="M633" s="134"/>
      <c r="N633" s="134"/>
      <c r="O633" s="134"/>
      <c r="P633" s="135" t="s">
        <v>234</v>
      </c>
      <c r="Q633" s="148">
        <v>5</v>
      </c>
      <c r="R633" s="148">
        <v>5</v>
      </c>
      <c r="S633" s="135"/>
      <c r="T633" s="149">
        <f>IFERROR(INDEX('Price List'!$G$5:$G$74,MATCH(TRIM(J633)&amp;"|"&amp;TRIM(P633),'Price List'!$O$5:$O$74,0)),0)</f>
        <v>0</v>
      </c>
      <c r="U633" s="150">
        <f>IFERROR(INDEX('Price List'!$H$5:$H$74,MATCH(TRIM(J633)&amp;"|"&amp;TRIM(P633),'Price List'!$O$5:$O$74,0)),0)</f>
        <v>0</v>
      </c>
      <c r="V633" s="141">
        <f t="shared" si="48"/>
        <v>0</v>
      </c>
      <c r="W633" s="151">
        <f>IFERROR(INDEX('Price List'!$J$5:$J$74,MATCH(TRIM(J633)&amp;"|"&amp;TRIM(P633),'Price List'!$O$5:$O$74,0)),0)</f>
        <v>40</v>
      </c>
      <c r="X633" s="152">
        <f>IFERROR(INDEX('Price List'!$K$5:$K$74,MATCH(TRIM(J633)&amp;"|"&amp;TRIM(P633),'Price List'!$O$5:$O$74,0)),0)</f>
        <v>0.12</v>
      </c>
      <c r="Y633" s="141">
        <f t="shared" si="49"/>
        <v>44.800000000000004</v>
      </c>
      <c r="Z633" s="141">
        <f t="shared" si="50"/>
        <v>224.00000000000003</v>
      </c>
      <c r="AA633" s="134"/>
    </row>
    <row r="634" spans="1:27" ht="12" customHeight="1" x14ac:dyDescent="0.35">
      <c r="A634" s="134"/>
      <c r="B634" s="134"/>
      <c r="C634" s="134" t="s">
        <v>689</v>
      </c>
      <c r="D634" s="136" t="str">
        <f t="shared" si="47"/>
        <v>C.10</v>
      </c>
      <c r="E634" s="135" t="s">
        <v>414</v>
      </c>
      <c r="F634" s="135" t="s">
        <v>670</v>
      </c>
      <c r="G634" s="134" t="s">
        <v>700</v>
      </c>
      <c r="H634" s="134" t="s">
        <v>701</v>
      </c>
      <c r="I634" s="134" t="s">
        <v>701</v>
      </c>
      <c r="J634" s="144" t="s">
        <v>313</v>
      </c>
      <c r="K634" s="134" t="s">
        <v>703</v>
      </c>
      <c r="L634" s="134"/>
      <c r="M634" s="134" t="s">
        <v>704</v>
      </c>
      <c r="N634" s="134"/>
      <c r="O634" s="134"/>
      <c r="P634" s="135" t="s">
        <v>234</v>
      </c>
      <c r="Q634" s="148">
        <v>1</v>
      </c>
      <c r="R634" s="148">
        <v>1</v>
      </c>
      <c r="S634" s="135"/>
      <c r="T634" s="149">
        <f>IFERROR(INDEX('Price List'!$G$5:$G$74,MATCH(TRIM(J634)&amp;"|"&amp;TRIM(P634),'Price List'!$O$5:$O$74,0)),0)</f>
        <v>0</v>
      </c>
      <c r="U634" s="150">
        <f>IFERROR(INDEX('Price List'!$H$5:$H$74,MATCH(TRIM(J634)&amp;"|"&amp;TRIM(P634),'Price List'!$O$5:$O$74,0)),0)</f>
        <v>0</v>
      </c>
      <c r="V634" s="141">
        <f t="shared" si="48"/>
        <v>0</v>
      </c>
      <c r="W634" s="151">
        <f>IFERROR(INDEX('Price List'!$J$5:$J$74,MATCH(TRIM(J634)&amp;"|"&amp;TRIM(P634),'Price List'!$O$5:$O$74,0)),0)</f>
        <v>45</v>
      </c>
      <c r="X634" s="152">
        <f>IFERROR(INDEX('Price List'!$K$5:$K$74,MATCH(TRIM(J634)&amp;"|"&amp;TRIM(P634),'Price List'!$O$5:$O$74,0)),0)</f>
        <v>0.12</v>
      </c>
      <c r="Y634" s="141">
        <f t="shared" si="49"/>
        <v>50.400000000000006</v>
      </c>
      <c r="Z634" s="141">
        <f t="shared" si="50"/>
        <v>50.400000000000006</v>
      </c>
      <c r="AA634" s="134"/>
    </row>
    <row r="635" spans="1:27" ht="12" customHeight="1" x14ac:dyDescent="0.35">
      <c r="A635" s="134"/>
      <c r="B635" s="134"/>
      <c r="C635" s="134" t="s">
        <v>689</v>
      </c>
      <c r="D635" s="136" t="str">
        <f t="shared" si="47"/>
        <v>C.10</v>
      </c>
      <c r="E635" s="135" t="s">
        <v>414</v>
      </c>
      <c r="F635" s="135" t="s">
        <v>670</v>
      </c>
      <c r="G635" s="134" t="s">
        <v>700</v>
      </c>
      <c r="H635" s="134" t="s">
        <v>701</v>
      </c>
      <c r="I635" s="134" t="s">
        <v>701</v>
      </c>
      <c r="J635" s="144" t="s">
        <v>313</v>
      </c>
      <c r="K635" s="134" t="s">
        <v>705</v>
      </c>
      <c r="L635" s="134"/>
      <c r="M635" s="134" t="s">
        <v>706</v>
      </c>
      <c r="N635" s="134"/>
      <c r="O635" s="134"/>
      <c r="P635" s="135" t="s">
        <v>234</v>
      </c>
      <c r="Q635" s="148">
        <v>1</v>
      </c>
      <c r="R635" s="148">
        <v>1</v>
      </c>
      <c r="S635" s="135"/>
      <c r="T635" s="149">
        <f>IFERROR(INDEX('Price List'!$G$5:$G$74,MATCH(TRIM(J635)&amp;"|"&amp;TRIM(P635),'Price List'!$O$5:$O$74,0)),0)</f>
        <v>0</v>
      </c>
      <c r="U635" s="150">
        <f>IFERROR(INDEX('Price List'!$H$5:$H$74,MATCH(TRIM(J635)&amp;"|"&amp;TRIM(P635),'Price List'!$O$5:$O$74,0)),0)</f>
        <v>0</v>
      </c>
      <c r="V635" s="141">
        <f t="shared" si="48"/>
        <v>0</v>
      </c>
      <c r="W635" s="151">
        <f>IFERROR(INDEX('Price List'!$J$5:$J$74,MATCH(TRIM(J635)&amp;"|"&amp;TRIM(P635),'Price List'!$O$5:$O$74,0)),0)</f>
        <v>45</v>
      </c>
      <c r="X635" s="152">
        <f>IFERROR(INDEX('Price List'!$K$5:$K$74,MATCH(TRIM(J635)&amp;"|"&amp;TRIM(P635),'Price List'!$O$5:$O$74,0)),0)</f>
        <v>0.12</v>
      </c>
      <c r="Y635" s="141">
        <f t="shared" si="49"/>
        <v>50.400000000000006</v>
      </c>
      <c r="Z635" s="141">
        <f t="shared" si="50"/>
        <v>50.400000000000006</v>
      </c>
      <c r="AA635" s="134"/>
    </row>
    <row r="636" spans="1:27" ht="12" customHeight="1" x14ac:dyDescent="0.35">
      <c r="A636" s="134"/>
      <c r="B636" s="134"/>
      <c r="C636" s="134" t="s">
        <v>689</v>
      </c>
      <c r="D636" s="136" t="str">
        <f t="shared" si="47"/>
        <v>C.10</v>
      </c>
      <c r="E636" s="135" t="s">
        <v>414</v>
      </c>
      <c r="F636" s="135" t="s">
        <v>670</v>
      </c>
      <c r="G636" s="134" t="s">
        <v>700</v>
      </c>
      <c r="H636" s="134" t="s">
        <v>707</v>
      </c>
      <c r="I636" s="134" t="s">
        <v>707</v>
      </c>
      <c r="J636" s="144" t="s">
        <v>319</v>
      </c>
      <c r="K636" s="134" t="s">
        <v>708</v>
      </c>
      <c r="L636" s="134"/>
      <c r="M636" s="134" t="s">
        <v>704</v>
      </c>
      <c r="N636" s="134"/>
      <c r="O636" s="134"/>
      <c r="P636" s="135" t="s">
        <v>234</v>
      </c>
      <c r="Q636" s="148">
        <v>3</v>
      </c>
      <c r="R636" s="148">
        <v>3</v>
      </c>
      <c r="S636" s="135"/>
      <c r="T636" s="149">
        <f>IFERROR(INDEX('Price List'!$G$5:$G$74,MATCH(TRIM(J636)&amp;"|"&amp;TRIM(P636),'Price List'!$O$5:$O$74,0)),0)</f>
        <v>0</v>
      </c>
      <c r="U636" s="150">
        <f>IFERROR(INDEX('Price List'!$H$5:$H$74,MATCH(TRIM(J636)&amp;"|"&amp;TRIM(P636),'Price List'!$O$5:$O$74,0)),0)</f>
        <v>0</v>
      </c>
      <c r="V636" s="141">
        <f t="shared" si="48"/>
        <v>0</v>
      </c>
      <c r="W636" s="151">
        <f>IFERROR(INDEX('Price List'!$J$5:$J$74,MATCH(TRIM(J636)&amp;"|"&amp;TRIM(P636),'Price List'!$O$5:$O$74,0)),0)</f>
        <v>120</v>
      </c>
      <c r="X636" s="152">
        <f>IFERROR(INDEX('Price List'!$K$5:$K$74,MATCH(TRIM(J636)&amp;"|"&amp;TRIM(P636),'Price List'!$O$5:$O$74,0)),0)</f>
        <v>0.12</v>
      </c>
      <c r="Y636" s="141">
        <f t="shared" si="49"/>
        <v>134.4</v>
      </c>
      <c r="Z636" s="141">
        <f t="shared" si="50"/>
        <v>403.20000000000005</v>
      </c>
      <c r="AA636" s="134"/>
    </row>
    <row r="637" spans="1:27" ht="12" customHeight="1" x14ac:dyDescent="0.35">
      <c r="A637" s="134"/>
      <c r="B637" s="134"/>
      <c r="C637" s="134" t="s">
        <v>689</v>
      </c>
      <c r="D637" s="136" t="str">
        <f t="shared" si="47"/>
        <v>C.10</v>
      </c>
      <c r="E637" s="135" t="s">
        <v>414</v>
      </c>
      <c r="F637" s="135" t="s">
        <v>670</v>
      </c>
      <c r="G637" s="134" t="s">
        <v>700</v>
      </c>
      <c r="H637" s="134" t="s">
        <v>707</v>
      </c>
      <c r="I637" s="134" t="s">
        <v>707</v>
      </c>
      <c r="J637" s="144" t="s">
        <v>319</v>
      </c>
      <c r="K637" s="134" t="s">
        <v>708</v>
      </c>
      <c r="L637" s="134"/>
      <c r="M637" s="134" t="s">
        <v>706</v>
      </c>
      <c r="N637" s="134"/>
      <c r="O637" s="134"/>
      <c r="P637" s="135" t="s">
        <v>234</v>
      </c>
      <c r="Q637" s="148">
        <v>1</v>
      </c>
      <c r="R637" s="148">
        <v>1</v>
      </c>
      <c r="S637" s="135"/>
      <c r="T637" s="149">
        <f>IFERROR(INDEX('Price List'!$G$5:$G$74,MATCH(TRIM(J637)&amp;"|"&amp;TRIM(P637),'Price List'!$O$5:$O$74,0)),0)</f>
        <v>0</v>
      </c>
      <c r="U637" s="150">
        <f>IFERROR(INDEX('Price List'!$H$5:$H$74,MATCH(TRIM(J637)&amp;"|"&amp;TRIM(P637),'Price List'!$O$5:$O$74,0)),0)</f>
        <v>0</v>
      </c>
      <c r="V637" s="141">
        <f t="shared" si="48"/>
        <v>0</v>
      </c>
      <c r="W637" s="151">
        <f>IFERROR(INDEX('Price List'!$J$5:$J$74,MATCH(TRIM(J637)&amp;"|"&amp;TRIM(P637),'Price List'!$O$5:$O$74,0)),0)</f>
        <v>120</v>
      </c>
      <c r="X637" s="152">
        <f>IFERROR(INDEX('Price List'!$K$5:$K$74,MATCH(TRIM(J637)&amp;"|"&amp;TRIM(P637),'Price List'!$O$5:$O$74,0)),0)</f>
        <v>0.12</v>
      </c>
      <c r="Y637" s="141">
        <f t="shared" si="49"/>
        <v>134.4</v>
      </c>
      <c r="Z637" s="141">
        <f t="shared" si="50"/>
        <v>134.4</v>
      </c>
      <c r="AA637" s="134"/>
    </row>
    <row r="638" spans="1:27" ht="12" customHeight="1" x14ac:dyDescent="0.35">
      <c r="A638" s="134"/>
      <c r="B638" s="134"/>
      <c r="C638" s="134" t="s">
        <v>689</v>
      </c>
      <c r="D638" s="136" t="str">
        <f t="shared" si="47"/>
        <v>C.10</v>
      </c>
      <c r="E638" s="135" t="s">
        <v>414</v>
      </c>
      <c r="F638" s="135" t="s">
        <v>670</v>
      </c>
      <c r="G638" s="134" t="s">
        <v>700</v>
      </c>
      <c r="H638" s="134" t="s">
        <v>711</v>
      </c>
      <c r="I638" s="134" t="s">
        <v>711</v>
      </c>
      <c r="J638" s="144" t="s">
        <v>327</v>
      </c>
      <c r="K638" s="134" t="s">
        <v>712</v>
      </c>
      <c r="L638" s="134"/>
      <c r="M638" s="134"/>
      <c r="N638" s="134"/>
      <c r="O638" s="134"/>
      <c r="P638" s="135" t="s">
        <v>234</v>
      </c>
      <c r="Q638" s="148">
        <v>1</v>
      </c>
      <c r="R638" s="148">
        <v>1</v>
      </c>
      <c r="S638" s="135"/>
      <c r="T638" s="149">
        <f>IFERROR(INDEX('Price List'!$G$5:$G$74,MATCH(TRIM(J638)&amp;"|"&amp;TRIM(P638),'Price List'!$O$5:$O$74,0)),0)</f>
        <v>0</v>
      </c>
      <c r="U638" s="150">
        <f>IFERROR(INDEX('Price List'!$H$5:$H$74,MATCH(TRIM(J638)&amp;"|"&amp;TRIM(P638),'Price List'!$O$5:$O$74,0)),0)</f>
        <v>0</v>
      </c>
      <c r="V638" s="141">
        <f t="shared" si="48"/>
        <v>0</v>
      </c>
      <c r="W638" s="151">
        <f>IFERROR(INDEX('Price List'!$J$5:$J$74,MATCH(TRIM(J638)&amp;"|"&amp;TRIM(P638),'Price List'!$O$5:$O$74,0)),0)</f>
        <v>135</v>
      </c>
      <c r="X638" s="152">
        <f>IFERROR(INDEX('Price List'!$K$5:$K$74,MATCH(TRIM(J638)&amp;"|"&amp;TRIM(P638),'Price List'!$O$5:$O$74,0)),0)</f>
        <v>0.12</v>
      </c>
      <c r="Y638" s="141">
        <f t="shared" si="49"/>
        <v>151.20000000000002</v>
      </c>
      <c r="Z638" s="141">
        <f t="shared" si="50"/>
        <v>151.20000000000002</v>
      </c>
      <c r="AA638" s="134"/>
    </row>
    <row r="639" spans="1:27" ht="12" customHeight="1" x14ac:dyDescent="0.35">
      <c r="A639" s="134"/>
      <c r="B639" s="134"/>
      <c r="C639" s="134" t="s">
        <v>689</v>
      </c>
      <c r="D639" s="136" t="str">
        <f t="shared" si="47"/>
        <v>C.10</v>
      </c>
      <c r="E639" s="135" t="s">
        <v>414</v>
      </c>
      <c r="F639" s="135" t="s">
        <v>671</v>
      </c>
      <c r="G639" s="134" t="s">
        <v>700</v>
      </c>
      <c r="H639" s="134" t="s">
        <v>701</v>
      </c>
      <c r="I639" s="134" t="s">
        <v>701</v>
      </c>
      <c r="J639" s="144" t="s">
        <v>311</v>
      </c>
      <c r="K639" s="134" t="s">
        <v>702</v>
      </c>
      <c r="L639" s="134"/>
      <c r="M639" s="134"/>
      <c r="N639" s="134"/>
      <c r="O639" s="134"/>
      <c r="P639" s="135" t="s">
        <v>234</v>
      </c>
      <c r="Q639" s="148">
        <v>15</v>
      </c>
      <c r="R639" s="148">
        <v>15</v>
      </c>
      <c r="S639" s="135"/>
      <c r="T639" s="149">
        <f>IFERROR(INDEX('Price List'!$G$5:$G$74,MATCH(TRIM(J639)&amp;"|"&amp;TRIM(P639),'Price List'!$O$5:$O$74,0)),0)</f>
        <v>0</v>
      </c>
      <c r="U639" s="150">
        <f>IFERROR(INDEX('Price List'!$H$5:$H$74,MATCH(TRIM(J639)&amp;"|"&amp;TRIM(P639),'Price List'!$O$5:$O$74,0)),0)</f>
        <v>0</v>
      </c>
      <c r="V639" s="141">
        <f t="shared" si="48"/>
        <v>0</v>
      </c>
      <c r="W639" s="151">
        <f>IFERROR(INDEX('Price List'!$J$5:$J$74,MATCH(TRIM(J639)&amp;"|"&amp;TRIM(P639),'Price List'!$O$5:$O$74,0)),0)</f>
        <v>40</v>
      </c>
      <c r="X639" s="152">
        <f>IFERROR(INDEX('Price List'!$K$5:$K$74,MATCH(TRIM(J639)&amp;"|"&amp;TRIM(P639),'Price List'!$O$5:$O$74,0)),0)</f>
        <v>0.12</v>
      </c>
      <c r="Y639" s="141">
        <f t="shared" si="49"/>
        <v>44.800000000000004</v>
      </c>
      <c r="Z639" s="141">
        <f t="shared" si="50"/>
        <v>672.00000000000011</v>
      </c>
      <c r="AA639" s="134"/>
    </row>
    <row r="640" spans="1:27" ht="12" customHeight="1" x14ac:dyDescent="0.35">
      <c r="A640" s="134"/>
      <c r="B640" s="134"/>
      <c r="C640" s="134" t="s">
        <v>689</v>
      </c>
      <c r="D640" s="136" t="str">
        <f t="shared" si="47"/>
        <v>C.10</v>
      </c>
      <c r="E640" s="135" t="s">
        <v>414</v>
      </c>
      <c r="F640" s="135" t="s">
        <v>671</v>
      </c>
      <c r="G640" s="134" t="s">
        <v>700</v>
      </c>
      <c r="H640" s="134" t="s">
        <v>701</v>
      </c>
      <c r="I640" s="134" t="s">
        <v>701</v>
      </c>
      <c r="J640" s="144" t="s">
        <v>313</v>
      </c>
      <c r="K640" s="134" t="s">
        <v>703</v>
      </c>
      <c r="L640" s="134"/>
      <c r="M640" s="134" t="s">
        <v>704</v>
      </c>
      <c r="N640" s="134"/>
      <c r="O640" s="134"/>
      <c r="P640" s="135" t="s">
        <v>234</v>
      </c>
      <c r="Q640" s="148">
        <v>3</v>
      </c>
      <c r="R640" s="148">
        <v>3</v>
      </c>
      <c r="S640" s="135"/>
      <c r="T640" s="149">
        <f>IFERROR(INDEX('Price List'!$G$5:$G$74,MATCH(TRIM(J640)&amp;"|"&amp;TRIM(P640),'Price List'!$O$5:$O$74,0)),0)</f>
        <v>0</v>
      </c>
      <c r="U640" s="150">
        <f>IFERROR(INDEX('Price List'!$H$5:$H$74,MATCH(TRIM(J640)&amp;"|"&amp;TRIM(P640),'Price List'!$O$5:$O$74,0)),0)</f>
        <v>0</v>
      </c>
      <c r="V640" s="141">
        <f t="shared" si="48"/>
        <v>0</v>
      </c>
      <c r="W640" s="151">
        <f>IFERROR(INDEX('Price List'!$J$5:$J$74,MATCH(TRIM(J640)&amp;"|"&amp;TRIM(P640),'Price List'!$O$5:$O$74,0)),0)</f>
        <v>45</v>
      </c>
      <c r="X640" s="152">
        <f>IFERROR(INDEX('Price List'!$K$5:$K$74,MATCH(TRIM(J640)&amp;"|"&amp;TRIM(P640),'Price List'!$O$5:$O$74,0)),0)</f>
        <v>0.12</v>
      </c>
      <c r="Y640" s="141">
        <f t="shared" si="49"/>
        <v>50.400000000000006</v>
      </c>
      <c r="Z640" s="141">
        <f t="shared" si="50"/>
        <v>151.20000000000002</v>
      </c>
      <c r="AA640" s="134"/>
    </row>
    <row r="641" spans="1:27" ht="12" customHeight="1" x14ac:dyDescent="0.35">
      <c r="A641" s="134"/>
      <c r="B641" s="134"/>
      <c r="C641" s="134" t="s">
        <v>689</v>
      </c>
      <c r="D641" s="136" t="str">
        <f t="shared" si="47"/>
        <v>C.10</v>
      </c>
      <c r="E641" s="135" t="s">
        <v>414</v>
      </c>
      <c r="F641" s="135" t="s">
        <v>671</v>
      </c>
      <c r="G641" s="134" t="s">
        <v>700</v>
      </c>
      <c r="H641" s="134" t="s">
        <v>701</v>
      </c>
      <c r="I641" s="134" t="s">
        <v>701</v>
      </c>
      <c r="J641" s="144" t="s">
        <v>313</v>
      </c>
      <c r="K641" s="134" t="s">
        <v>705</v>
      </c>
      <c r="L641" s="134"/>
      <c r="M641" s="134" t="s">
        <v>706</v>
      </c>
      <c r="N641" s="134"/>
      <c r="O641" s="134"/>
      <c r="P641" s="135" t="s">
        <v>234</v>
      </c>
      <c r="Q641" s="148">
        <v>3</v>
      </c>
      <c r="R641" s="148">
        <v>3</v>
      </c>
      <c r="S641" s="135"/>
      <c r="T641" s="149">
        <f>IFERROR(INDEX('Price List'!$G$5:$G$74,MATCH(TRIM(J641)&amp;"|"&amp;TRIM(P641),'Price List'!$O$5:$O$74,0)),0)</f>
        <v>0</v>
      </c>
      <c r="U641" s="150">
        <f>IFERROR(INDEX('Price List'!$H$5:$H$74,MATCH(TRIM(J641)&amp;"|"&amp;TRIM(P641),'Price List'!$O$5:$O$74,0)),0)</f>
        <v>0</v>
      </c>
      <c r="V641" s="141">
        <f t="shared" si="48"/>
        <v>0</v>
      </c>
      <c r="W641" s="151">
        <f>IFERROR(INDEX('Price List'!$J$5:$J$74,MATCH(TRIM(J641)&amp;"|"&amp;TRIM(P641),'Price List'!$O$5:$O$74,0)),0)</f>
        <v>45</v>
      </c>
      <c r="X641" s="152">
        <f>IFERROR(INDEX('Price List'!$K$5:$K$74,MATCH(TRIM(J641)&amp;"|"&amp;TRIM(P641),'Price List'!$O$5:$O$74,0)),0)</f>
        <v>0.12</v>
      </c>
      <c r="Y641" s="141">
        <f t="shared" si="49"/>
        <v>50.400000000000006</v>
      </c>
      <c r="Z641" s="141">
        <f t="shared" si="50"/>
        <v>151.20000000000002</v>
      </c>
      <c r="AA641" s="134"/>
    </row>
    <row r="642" spans="1:27" ht="12" customHeight="1" x14ac:dyDescent="0.35">
      <c r="A642" s="134"/>
      <c r="B642" s="134"/>
      <c r="C642" s="134" t="s">
        <v>689</v>
      </c>
      <c r="D642" s="136" t="str">
        <f t="shared" ref="D642:D705" si="51">IFERROR(IF(TRIM($G642)="Sub Structure",IF(TRIM($H642)="Bored Pile","B.01","B.03"),IF(TRIM($G642)="Super Structure","B.04",IF(OR(TRIM($G642)="Exterior Wall and Partition",TRIM($G642)="External Wall and Partition"),"C.01",IF(TRIM($G642)="Exterior Wall Finishes","C.02",IF(TRIM($G642)="Interior Wall and Partition","C.09",IF(TRIM($G642)="Interior Door","C.10",IF(TRIM($G642)="External Windows and Louvers","C.04",IF(OR(TRIM($G642)="Interior Floor Finishes",TRIM($G642)="Internal Floor Finishes"),"D.02",IF(OR(TRIM($G642)="Interior Wall Finishes",TRIM($G642)="Internal Wall Finishes"),"D.01",IF(OR(TRIM($G642)="Ceiling Finshes",TRIM($G642)="Ceiling Finishes"),"D.03",IF(TRIM($G642)="Fittings, furnishings and equipment","E.04","")))))))))))," ")</f>
        <v>C.10</v>
      </c>
      <c r="E642" s="135" t="s">
        <v>414</v>
      </c>
      <c r="F642" s="135" t="s">
        <v>671</v>
      </c>
      <c r="G642" s="134" t="s">
        <v>700</v>
      </c>
      <c r="H642" s="134" t="s">
        <v>707</v>
      </c>
      <c r="I642" s="134" t="s">
        <v>707</v>
      </c>
      <c r="J642" s="144" t="s">
        <v>319</v>
      </c>
      <c r="K642" s="134" t="s">
        <v>708</v>
      </c>
      <c r="L642" s="134"/>
      <c r="M642" s="134"/>
      <c r="N642" s="134"/>
      <c r="O642" s="134"/>
      <c r="P642" s="135" t="s">
        <v>234</v>
      </c>
      <c r="Q642" s="148">
        <v>3</v>
      </c>
      <c r="R642" s="148">
        <v>3</v>
      </c>
      <c r="S642" s="135"/>
      <c r="T642" s="149">
        <f>IFERROR(INDEX('Price List'!$G$5:$G$74,MATCH(TRIM(J642)&amp;"|"&amp;TRIM(P642),'Price List'!$O$5:$O$74,0)),0)</f>
        <v>0</v>
      </c>
      <c r="U642" s="150">
        <f>IFERROR(INDEX('Price List'!$H$5:$H$74,MATCH(TRIM(J642)&amp;"|"&amp;TRIM(P642),'Price List'!$O$5:$O$74,0)),0)</f>
        <v>0</v>
      </c>
      <c r="V642" s="141">
        <f t="shared" ref="V642:V705" si="52">T642*(1+U642)</f>
        <v>0</v>
      </c>
      <c r="W642" s="151">
        <f>IFERROR(INDEX('Price List'!$J$5:$J$74,MATCH(TRIM(J642)&amp;"|"&amp;TRIM(P642),'Price List'!$O$5:$O$74,0)),0)</f>
        <v>120</v>
      </c>
      <c r="X642" s="152">
        <f>IFERROR(INDEX('Price List'!$K$5:$K$74,MATCH(TRIM(J642)&amp;"|"&amp;TRIM(P642),'Price List'!$O$5:$O$74,0)),0)</f>
        <v>0.12</v>
      </c>
      <c r="Y642" s="141">
        <f t="shared" ref="Y642:Y705" si="53">W642*(1+X642)</f>
        <v>134.4</v>
      </c>
      <c r="Z642" s="141">
        <f t="shared" ref="Z642:Z705" si="54">Q642*(V642+Y642)</f>
        <v>403.20000000000005</v>
      </c>
      <c r="AA642" s="134"/>
    </row>
    <row r="643" spans="1:27" ht="12" customHeight="1" x14ac:dyDescent="0.35">
      <c r="A643" s="134"/>
      <c r="B643" s="134"/>
      <c r="C643" s="134" t="s">
        <v>689</v>
      </c>
      <c r="D643" s="136" t="str">
        <f t="shared" si="51"/>
        <v>C.10</v>
      </c>
      <c r="E643" s="135" t="s">
        <v>414</v>
      </c>
      <c r="F643" s="135" t="s">
        <v>671</v>
      </c>
      <c r="G643" s="134" t="s">
        <v>700</v>
      </c>
      <c r="H643" s="134" t="s">
        <v>707</v>
      </c>
      <c r="I643" s="134" t="s">
        <v>707</v>
      </c>
      <c r="J643" s="144" t="s">
        <v>321</v>
      </c>
      <c r="K643" s="134" t="s">
        <v>709</v>
      </c>
      <c r="L643" s="134"/>
      <c r="M643" s="134" t="s">
        <v>704</v>
      </c>
      <c r="N643" s="134"/>
      <c r="O643" s="134"/>
      <c r="P643" s="135" t="s">
        <v>234</v>
      </c>
      <c r="Q643" s="148">
        <v>24</v>
      </c>
      <c r="R643" s="148">
        <v>24</v>
      </c>
      <c r="S643" s="135"/>
      <c r="T643" s="149">
        <f>IFERROR(INDEX('Price List'!$G$5:$G$74,MATCH(TRIM(J643)&amp;"|"&amp;TRIM(P643),'Price List'!$O$5:$O$74,0)),0)</f>
        <v>0</v>
      </c>
      <c r="U643" s="150">
        <f>IFERROR(INDEX('Price List'!$H$5:$H$74,MATCH(TRIM(J643)&amp;"|"&amp;TRIM(P643),'Price List'!$O$5:$O$74,0)),0)</f>
        <v>0</v>
      </c>
      <c r="V643" s="141">
        <f t="shared" si="52"/>
        <v>0</v>
      </c>
      <c r="W643" s="151">
        <f>IFERROR(INDEX('Price List'!$J$5:$J$74,MATCH(TRIM(J643)&amp;"|"&amp;TRIM(P643),'Price List'!$O$5:$O$74,0)),0)</f>
        <v>110</v>
      </c>
      <c r="X643" s="152">
        <f>IFERROR(INDEX('Price List'!$K$5:$K$74,MATCH(TRIM(J643)&amp;"|"&amp;TRIM(P643),'Price List'!$O$5:$O$74,0)),0)</f>
        <v>0.12</v>
      </c>
      <c r="Y643" s="141">
        <f t="shared" si="53"/>
        <v>123.20000000000002</v>
      </c>
      <c r="Z643" s="141">
        <f t="shared" si="54"/>
        <v>2956.8</v>
      </c>
      <c r="AA643" s="134"/>
    </row>
    <row r="644" spans="1:27" ht="12" customHeight="1" x14ac:dyDescent="0.35">
      <c r="A644" s="134"/>
      <c r="B644" s="134"/>
      <c r="C644" s="134" t="s">
        <v>689</v>
      </c>
      <c r="D644" s="136" t="str">
        <f t="shared" si="51"/>
        <v>C.10</v>
      </c>
      <c r="E644" s="135" t="s">
        <v>414</v>
      </c>
      <c r="F644" s="135" t="s">
        <v>671</v>
      </c>
      <c r="G644" s="134" t="s">
        <v>700</v>
      </c>
      <c r="H644" s="134" t="s">
        <v>711</v>
      </c>
      <c r="I644" s="134" t="s">
        <v>711</v>
      </c>
      <c r="J644" s="144" t="s">
        <v>327</v>
      </c>
      <c r="K644" s="134" t="s">
        <v>712</v>
      </c>
      <c r="L644" s="134"/>
      <c r="M644" s="134"/>
      <c r="N644" s="134"/>
      <c r="O644" s="134"/>
      <c r="P644" s="135" t="s">
        <v>234</v>
      </c>
      <c r="Q644" s="148">
        <v>3</v>
      </c>
      <c r="R644" s="148">
        <v>3</v>
      </c>
      <c r="S644" s="135"/>
      <c r="T644" s="149">
        <f>IFERROR(INDEX('Price List'!$G$5:$G$74,MATCH(TRIM(J644)&amp;"|"&amp;TRIM(P644),'Price List'!$O$5:$O$74,0)),0)</f>
        <v>0</v>
      </c>
      <c r="U644" s="150">
        <f>IFERROR(INDEX('Price List'!$H$5:$H$74,MATCH(TRIM(J644)&amp;"|"&amp;TRIM(P644),'Price List'!$O$5:$O$74,0)),0)</f>
        <v>0</v>
      </c>
      <c r="V644" s="141">
        <f t="shared" si="52"/>
        <v>0</v>
      </c>
      <c r="W644" s="151">
        <f>IFERROR(INDEX('Price List'!$J$5:$J$74,MATCH(TRIM(J644)&amp;"|"&amp;TRIM(P644),'Price List'!$O$5:$O$74,0)),0)</f>
        <v>135</v>
      </c>
      <c r="X644" s="152">
        <f>IFERROR(INDEX('Price List'!$K$5:$K$74,MATCH(TRIM(J644)&amp;"|"&amp;TRIM(P644),'Price List'!$O$5:$O$74,0)),0)</f>
        <v>0.12</v>
      </c>
      <c r="Y644" s="141">
        <f t="shared" si="53"/>
        <v>151.20000000000002</v>
      </c>
      <c r="Z644" s="141">
        <f t="shared" si="54"/>
        <v>453.6</v>
      </c>
      <c r="AA644" s="134"/>
    </row>
    <row r="645" spans="1:27" ht="12" customHeight="1" x14ac:dyDescent="0.35">
      <c r="A645" s="134"/>
      <c r="B645" s="134"/>
      <c r="C645" s="134" t="s">
        <v>689</v>
      </c>
      <c r="D645" s="136" t="str">
        <f t="shared" si="51"/>
        <v>C.10</v>
      </c>
      <c r="E645" s="135" t="s">
        <v>414</v>
      </c>
      <c r="F645" s="135" t="s">
        <v>672</v>
      </c>
      <c r="G645" s="134" t="s">
        <v>700</v>
      </c>
      <c r="H645" s="134" t="s">
        <v>701</v>
      </c>
      <c r="I645" s="134" t="s">
        <v>701</v>
      </c>
      <c r="J645" s="144" t="s">
        <v>311</v>
      </c>
      <c r="K645" s="134" t="s">
        <v>702</v>
      </c>
      <c r="L645" s="134"/>
      <c r="M645" s="134"/>
      <c r="N645" s="134"/>
      <c r="O645" s="134"/>
      <c r="P645" s="135" t="s">
        <v>234</v>
      </c>
      <c r="Q645" s="148">
        <v>20</v>
      </c>
      <c r="R645" s="148">
        <v>20</v>
      </c>
      <c r="S645" s="135"/>
      <c r="T645" s="149">
        <f>IFERROR(INDEX('Price List'!$G$5:$G$74,MATCH(TRIM(J645)&amp;"|"&amp;TRIM(P645),'Price List'!$O$5:$O$74,0)),0)</f>
        <v>0</v>
      </c>
      <c r="U645" s="150">
        <f>IFERROR(INDEX('Price List'!$H$5:$H$74,MATCH(TRIM(J645)&amp;"|"&amp;TRIM(P645),'Price List'!$O$5:$O$74,0)),0)</f>
        <v>0</v>
      </c>
      <c r="V645" s="141">
        <f t="shared" si="52"/>
        <v>0</v>
      </c>
      <c r="W645" s="151">
        <f>IFERROR(INDEX('Price List'!$J$5:$J$74,MATCH(TRIM(J645)&amp;"|"&amp;TRIM(P645),'Price List'!$O$5:$O$74,0)),0)</f>
        <v>40</v>
      </c>
      <c r="X645" s="152">
        <f>IFERROR(INDEX('Price List'!$K$5:$K$74,MATCH(TRIM(J645)&amp;"|"&amp;TRIM(P645),'Price List'!$O$5:$O$74,0)),0)</f>
        <v>0.12</v>
      </c>
      <c r="Y645" s="141">
        <f t="shared" si="53"/>
        <v>44.800000000000004</v>
      </c>
      <c r="Z645" s="141">
        <f t="shared" si="54"/>
        <v>896.00000000000011</v>
      </c>
      <c r="AA645" s="134"/>
    </row>
    <row r="646" spans="1:27" ht="12" customHeight="1" x14ac:dyDescent="0.35">
      <c r="A646" s="134"/>
      <c r="B646" s="134"/>
      <c r="C646" s="134" t="s">
        <v>689</v>
      </c>
      <c r="D646" s="136" t="str">
        <f t="shared" si="51"/>
        <v>C.10</v>
      </c>
      <c r="E646" s="135" t="s">
        <v>414</v>
      </c>
      <c r="F646" s="135" t="s">
        <v>672</v>
      </c>
      <c r="G646" s="134" t="s">
        <v>700</v>
      </c>
      <c r="H646" s="134" t="s">
        <v>701</v>
      </c>
      <c r="I646" s="134" t="s">
        <v>701</v>
      </c>
      <c r="J646" s="144" t="s">
        <v>313</v>
      </c>
      <c r="K646" s="134" t="s">
        <v>703</v>
      </c>
      <c r="L646" s="134"/>
      <c r="M646" s="134" t="s">
        <v>704</v>
      </c>
      <c r="N646" s="134"/>
      <c r="O646" s="134"/>
      <c r="P646" s="135" t="s">
        <v>234</v>
      </c>
      <c r="Q646" s="148">
        <v>4</v>
      </c>
      <c r="R646" s="148">
        <v>4</v>
      </c>
      <c r="S646" s="135"/>
      <c r="T646" s="149">
        <f>IFERROR(INDEX('Price List'!$G$5:$G$74,MATCH(TRIM(J646)&amp;"|"&amp;TRIM(P646),'Price List'!$O$5:$O$74,0)),0)</f>
        <v>0</v>
      </c>
      <c r="U646" s="150">
        <f>IFERROR(INDEX('Price List'!$H$5:$H$74,MATCH(TRIM(J646)&amp;"|"&amp;TRIM(P646),'Price List'!$O$5:$O$74,0)),0)</f>
        <v>0</v>
      </c>
      <c r="V646" s="141">
        <f t="shared" si="52"/>
        <v>0</v>
      </c>
      <c r="W646" s="151">
        <f>IFERROR(INDEX('Price List'!$J$5:$J$74,MATCH(TRIM(J646)&amp;"|"&amp;TRIM(P646),'Price List'!$O$5:$O$74,0)),0)</f>
        <v>45</v>
      </c>
      <c r="X646" s="152">
        <f>IFERROR(INDEX('Price List'!$K$5:$K$74,MATCH(TRIM(J646)&amp;"|"&amp;TRIM(P646),'Price List'!$O$5:$O$74,0)),0)</f>
        <v>0.12</v>
      </c>
      <c r="Y646" s="141">
        <f t="shared" si="53"/>
        <v>50.400000000000006</v>
      </c>
      <c r="Z646" s="141">
        <f t="shared" si="54"/>
        <v>201.60000000000002</v>
      </c>
      <c r="AA646" s="134"/>
    </row>
    <row r="647" spans="1:27" ht="12" customHeight="1" x14ac:dyDescent="0.35">
      <c r="A647" s="134"/>
      <c r="B647" s="134"/>
      <c r="C647" s="134" t="s">
        <v>689</v>
      </c>
      <c r="D647" s="136" t="str">
        <f t="shared" si="51"/>
        <v>C.10</v>
      </c>
      <c r="E647" s="135" t="s">
        <v>414</v>
      </c>
      <c r="F647" s="135" t="s">
        <v>672</v>
      </c>
      <c r="G647" s="134" t="s">
        <v>700</v>
      </c>
      <c r="H647" s="134" t="s">
        <v>701</v>
      </c>
      <c r="I647" s="134" t="s">
        <v>701</v>
      </c>
      <c r="J647" s="144" t="s">
        <v>313</v>
      </c>
      <c r="K647" s="134" t="s">
        <v>705</v>
      </c>
      <c r="L647" s="134"/>
      <c r="M647" s="134" t="s">
        <v>706</v>
      </c>
      <c r="N647" s="134"/>
      <c r="O647" s="134"/>
      <c r="P647" s="135" t="s">
        <v>234</v>
      </c>
      <c r="Q647" s="148">
        <v>4</v>
      </c>
      <c r="R647" s="148">
        <v>4</v>
      </c>
      <c r="S647" s="135"/>
      <c r="T647" s="149">
        <f>IFERROR(INDEX('Price List'!$G$5:$G$74,MATCH(TRIM(J647)&amp;"|"&amp;TRIM(P647),'Price List'!$O$5:$O$74,0)),0)</f>
        <v>0</v>
      </c>
      <c r="U647" s="150">
        <f>IFERROR(INDEX('Price List'!$H$5:$H$74,MATCH(TRIM(J647)&amp;"|"&amp;TRIM(P647),'Price List'!$O$5:$O$74,0)),0)</f>
        <v>0</v>
      </c>
      <c r="V647" s="141">
        <f t="shared" si="52"/>
        <v>0</v>
      </c>
      <c r="W647" s="151">
        <f>IFERROR(INDEX('Price List'!$J$5:$J$74,MATCH(TRIM(J647)&amp;"|"&amp;TRIM(P647),'Price List'!$O$5:$O$74,0)),0)</f>
        <v>45</v>
      </c>
      <c r="X647" s="152">
        <f>IFERROR(INDEX('Price List'!$K$5:$K$74,MATCH(TRIM(J647)&amp;"|"&amp;TRIM(P647),'Price List'!$O$5:$O$74,0)),0)</f>
        <v>0.12</v>
      </c>
      <c r="Y647" s="141">
        <f t="shared" si="53"/>
        <v>50.400000000000006</v>
      </c>
      <c r="Z647" s="141">
        <f t="shared" si="54"/>
        <v>201.60000000000002</v>
      </c>
      <c r="AA647" s="134"/>
    </row>
    <row r="648" spans="1:27" ht="12" customHeight="1" x14ac:dyDescent="0.35">
      <c r="A648" s="134"/>
      <c r="B648" s="134"/>
      <c r="C648" s="134" t="s">
        <v>689</v>
      </c>
      <c r="D648" s="136" t="str">
        <f t="shared" si="51"/>
        <v>C.10</v>
      </c>
      <c r="E648" s="135" t="s">
        <v>414</v>
      </c>
      <c r="F648" s="135" t="s">
        <v>672</v>
      </c>
      <c r="G648" s="134" t="s">
        <v>700</v>
      </c>
      <c r="H648" s="134" t="s">
        <v>707</v>
      </c>
      <c r="I648" s="134" t="s">
        <v>707</v>
      </c>
      <c r="J648" s="144" t="s">
        <v>319</v>
      </c>
      <c r="K648" s="134" t="s">
        <v>708</v>
      </c>
      <c r="L648" s="134"/>
      <c r="M648" s="134"/>
      <c r="N648" s="134"/>
      <c r="O648" s="134"/>
      <c r="P648" s="135" t="s">
        <v>234</v>
      </c>
      <c r="Q648" s="148">
        <v>4</v>
      </c>
      <c r="R648" s="148">
        <v>4</v>
      </c>
      <c r="S648" s="135"/>
      <c r="T648" s="149">
        <f>IFERROR(INDEX('Price List'!$G$5:$G$74,MATCH(TRIM(J648)&amp;"|"&amp;TRIM(P648),'Price List'!$O$5:$O$74,0)),0)</f>
        <v>0</v>
      </c>
      <c r="U648" s="150">
        <f>IFERROR(INDEX('Price List'!$H$5:$H$74,MATCH(TRIM(J648)&amp;"|"&amp;TRIM(P648),'Price List'!$O$5:$O$74,0)),0)</f>
        <v>0</v>
      </c>
      <c r="V648" s="141">
        <f t="shared" si="52"/>
        <v>0</v>
      </c>
      <c r="W648" s="151">
        <f>IFERROR(INDEX('Price List'!$J$5:$J$74,MATCH(TRIM(J648)&amp;"|"&amp;TRIM(P648),'Price List'!$O$5:$O$74,0)),0)</f>
        <v>120</v>
      </c>
      <c r="X648" s="152">
        <f>IFERROR(INDEX('Price List'!$K$5:$K$74,MATCH(TRIM(J648)&amp;"|"&amp;TRIM(P648),'Price List'!$O$5:$O$74,0)),0)</f>
        <v>0.12</v>
      </c>
      <c r="Y648" s="141">
        <f t="shared" si="53"/>
        <v>134.4</v>
      </c>
      <c r="Z648" s="141">
        <f t="shared" si="54"/>
        <v>537.6</v>
      </c>
      <c r="AA648" s="134"/>
    </row>
    <row r="649" spans="1:27" ht="12" customHeight="1" x14ac:dyDescent="0.35">
      <c r="A649" s="134"/>
      <c r="B649" s="134"/>
      <c r="C649" s="134" t="s">
        <v>689</v>
      </c>
      <c r="D649" s="136" t="str">
        <f t="shared" si="51"/>
        <v>C.10</v>
      </c>
      <c r="E649" s="135" t="s">
        <v>414</v>
      </c>
      <c r="F649" s="135" t="s">
        <v>672</v>
      </c>
      <c r="G649" s="134" t="s">
        <v>700</v>
      </c>
      <c r="H649" s="134" t="s">
        <v>707</v>
      </c>
      <c r="I649" s="134" t="s">
        <v>707</v>
      </c>
      <c r="J649" s="144" t="s">
        <v>321</v>
      </c>
      <c r="K649" s="134" t="s">
        <v>709</v>
      </c>
      <c r="L649" s="134"/>
      <c r="M649" s="134" t="s">
        <v>704</v>
      </c>
      <c r="N649" s="134"/>
      <c r="O649" s="134"/>
      <c r="P649" s="135" t="s">
        <v>234</v>
      </c>
      <c r="Q649" s="148">
        <v>32</v>
      </c>
      <c r="R649" s="148">
        <v>32</v>
      </c>
      <c r="S649" s="135"/>
      <c r="T649" s="149">
        <f>IFERROR(INDEX('Price List'!$G$5:$G$74,MATCH(TRIM(J649)&amp;"|"&amp;TRIM(P649),'Price List'!$O$5:$O$74,0)),0)</f>
        <v>0</v>
      </c>
      <c r="U649" s="150">
        <f>IFERROR(INDEX('Price List'!$H$5:$H$74,MATCH(TRIM(J649)&amp;"|"&amp;TRIM(P649),'Price List'!$O$5:$O$74,0)),0)</f>
        <v>0</v>
      </c>
      <c r="V649" s="141">
        <f t="shared" si="52"/>
        <v>0</v>
      </c>
      <c r="W649" s="151">
        <f>IFERROR(INDEX('Price List'!$J$5:$J$74,MATCH(TRIM(J649)&amp;"|"&amp;TRIM(P649),'Price List'!$O$5:$O$74,0)),0)</f>
        <v>110</v>
      </c>
      <c r="X649" s="152">
        <f>IFERROR(INDEX('Price List'!$K$5:$K$74,MATCH(TRIM(J649)&amp;"|"&amp;TRIM(P649),'Price List'!$O$5:$O$74,0)),0)</f>
        <v>0.12</v>
      </c>
      <c r="Y649" s="141">
        <f t="shared" si="53"/>
        <v>123.20000000000002</v>
      </c>
      <c r="Z649" s="141">
        <f t="shared" si="54"/>
        <v>3942.4000000000005</v>
      </c>
      <c r="AA649" s="134"/>
    </row>
    <row r="650" spans="1:27" ht="12" customHeight="1" x14ac:dyDescent="0.35">
      <c r="A650" s="134"/>
      <c r="B650" s="134"/>
      <c r="C650" s="134" t="s">
        <v>689</v>
      </c>
      <c r="D650" s="136" t="str">
        <f t="shared" si="51"/>
        <v>C.10</v>
      </c>
      <c r="E650" s="135" t="s">
        <v>414</v>
      </c>
      <c r="F650" s="135" t="s">
        <v>672</v>
      </c>
      <c r="G650" s="134" t="s">
        <v>700</v>
      </c>
      <c r="H650" s="134" t="s">
        <v>711</v>
      </c>
      <c r="I650" s="134" t="s">
        <v>711</v>
      </c>
      <c r="J650" s="144" t="s">
        <v>327</v>
      </c>
      <c r="K650" s="134" t="s">
        <v>712</v>
      </c>
      <c r="L650" s="134"/>
      <c r="M650" s="134"/>
      <c r="N650" s="134"/>
      <c r="O650" s="134"/>
      <c r="P650" s="135" t="s">
        <v>234</v>
      </c>
      <c r="Q650" s="148">
        <v>4</v>
      </c>
      <c r="R650" s="148">
        <v>4</v>
      </c>
      <c r="S650" s="135"/>
      <c r="T650" s="149">
        <f>IFERROR(INDEX('Price List'!$G$5:$G$74,MATCH(TRIM(J650)&amp;"|"&amp;TRIM(P650),'Price List'!$O$5:$O$74,0)),0)</f>
        <v>0</v>
      </c>
      <c r="U650" s="150">
        <f>IFERROR(INDEX('Price List'!$H$5:$H$74,MATCH(TRIM(J650)&amp;"|"&amp;TRIM(P650),'Price List'!$O$5:$O$74,0)),0)</f>
        <v>0</v>
      </c>
      <c r="V650" s="141">
        <f t="shared" si="52"/>
        <v>0</v>
      </c>
      <c r="W650" s="151">
        <f>IFERROR(INDEX('Price List'!$J$5:$J$74,MATCH(TRIM(J650)&amp;"|"&amp;TRIM(P650),'Price List'!$O$5:$O$74,0)),0)</f>
        <v>135</v>
      </c>
      <c r="X650" s="152">
        <f>IFERROR(INDEX('Price List'!$K$5:$K$74,MATCH(TRIM(J650)&amp;"|"&amp;TRIM(P650),'Price List'!$O$5:$O$74,0)),0)</f>
        <v>0.12</v>
      </c>
      <c r="Y650" s="141">
        <f t="shared" si="53"/>
        <v>151.20000000000002</v>
      </c>
      <c r="Z650" s="141">
        <f t="shared" si="54"/>
        <v>604.80000000000007</v>
      </c>
      <c r="AA650" s="134"/>
    </row>
    <row r="651" spans="1:27" ht="12" customHeight="1" x14ac:dyDescent="0.35">
      <c r="A651" s="134"/>
      <c r="B651" s="134"/>
      <c r="C651" s="134" t="s">
        <v>689</v>
      </c>
      <c r="D651" s="136" t="str">
        <f t="shared" si="51"/>
        <v>C.10</v>
      </c>
      <c r="E651" s="135" t="s">
        <v>414</v>
      </c>
      <c r="F651" s="135" t="s">
        <v>673</v>
      </c>
      <c r="G651" s="134" t="s">
        <v>700</v>
      </c>
      <c r="H651" s="134" t="s">
        <v>701</v>
      </c>
      <c r="I651" s="134" t="s">
        <v>701</v>
      </c>
      <c r="J651" s="144" t="s">
        <v>311</v>
      </c>
      <c r="K651" s="134" t="s">
        <v>702</v>
      </c>
      <c r="L651" s="134"/>
      <c r="M651" s="134"/>
      <c r="N651" s="134"/>
      <c r="O651" s="134"/>
      <c r="P651" s="135" t="s">
        <v>234</v>
      </c>
      <c r="Q651" s="148">
        <v>20</v>
      </c>
      <c r="R651" s="148">
        <v>20</v>
      </c>
      <c r="S651" s="135"/>
      <c r="T651" s="149">
        <f>IFERROR(INDEX('Price List'!$G$5:$G$74,MATCH(TRIM(J651)&amp;"|"&amp;TRIM(P651),'Price List'!$O$5:$O$74,0)),0)</f>
        <v>0</v>
      </c>
      <c r="U651" s="150">
        <f>IFERROR(INDEX('Price List'!$H$5:$H$74,MATCH(TRIM(J651)&amp;"|"&amp;TRIM(P651),'Price List'!$O$5:$O$74,0)),0)</f>
        <v>0</v>
      </c>
      <c r="V651" s="141">
        <f t="shared" si="52"/>
        <v>0</v>
      </c>
      <c r="W651" s="151">
        <f>IFERROR(INDEX('Price List'!$J$5:$J$74,MATCH(TRIM(J651)&amp;"|"&amp;TRIM(P651),'Price List'!$O$5:$O$74,0)),0)</f>
        <v>40</v>
      </c>
      <c r="X651" s="152">
        <f>IFERROR(INDEX('Price List'!$K$5:$K$74,MATCH(TRIM(J651)&amp;"|"&amp;TRIM(P651),'Price List'!$O$5:$O$74,0)),0)</f>
        <v>0.12</v>
      </c>
      <c r="Y651" s="141">
        <f t="shared" si="53"/>
        <v>44.800000000000004</v>
      </c>
      <c r="Z651" s="141">
        <f t="shared" si="54"/>
        <v>896.00000000000011</v>
      </c>
      <c r="AA651" s="134"/>
    </row>
    <row r="652" spans="1:27" ht="12" customHeight="1" x14ac:dyDescent="0.35">
      <c r="A652" s="134"/>
      <c r="B652" s="134"/>
      <c r="C652" s="134" t="s">
        <v>689</v>
      </c>
      <c r="D652" s="136" t="str">
        <f t="shared" si="51"/>
        <v>C.10</v>
      </c>
      <c r="E652" s="135" t="s">
        <v>414</v>
      </c>
      <c r="F652" s="135" t="s">
        <v>673</v>
      </c>
      <c r="G652" s="134" t="s">
        <v>700</v>
      </c>
      <c r="H652" s="134" t="s">
        <v>701</v>
      </c>
      <c r="I652" s="134" t="s">
        <v>701</v>
      </c>
      <c r="J652" s="144" t="s">
        <v>313</v>
      </c>
      <c r="K652" s="134" t="s">
        <v>703</v>
      </c>
      <c r="L652" s="134"/>
      <c r="M652" s="134" t="s">
        <v>704</v>
      </c>
      <c r="N652" s="134"/>
      <c r="O652" s="134"/>
      <c r="P652" s="135" t="s">
        <v>234</v>
      </c>
      <c r="Q652" s="148">
        <v>4</v>
      </c>
      <c r="R652" s="148">
        <v>4</v>
      </c>
      <c r="S652" s="135"/>
      <c r="T652" s="149">
        <f>IFERROR(INDEX('Price List'!$G$5:$G$74,MATCH(TRIM(J652)&amp;"|"&amp;TRIM(P652),'Price List'!$O$5:$O$74,0)),0)</f>
        <v>0</v>
      </c>
      <c r="U652" s="150">
        <f>IFERROR(INDEX('Price List'!$H$5:$H$74,MATCH(TRIM(J652)&amp;"|"&amp;TRIM(P652),'Price List'!$O$5:$O$74,0)),0)</f>
        <v>0</v>
      </c>
      <c r="V652" s="141">
        <f t="shared" si="52"/>
        <v>0</v>
      </c>
      <c r="W652" s="151">
        <f>IFERROR(INDEX('Price List'!$J$5:$J$74,MATCH(TRIM(J652)&amp;"|"&amp;TRIM(P652),'Price List'!$O$5:$O$74,0)),0)</f>
        <v>45</v>
      </c>
      <c r="X652" s="152">
        <f>IFERROR(INDEX('Price List'!$K$5:$K$74,MATCH(TRIM(J652)&amp;"|"&amp;TRIM(P652),'Price List'!$O$5:$O$74,0)),0)</f>
        <v>0.12</v>
      </c>
      <c r="Y652" s="141">
        <f t="shared" si="53"/>
        <v>50.400000000000006</v>
      </c>
      <c r="Z652" s="141">
        <f t="shared" si="54"/>
        <v>201.60000000000002</v>
      </c>
      <c r="AA652" s="134"/>
    </row>
    <row r="653" spans="1:27" ht="12" customHeight="1" x14ac:dyDescent="0.35">
      <c r="A653" s="134"/>
      <c r="B653" s="134"/>
      <c r="C653" s="134" t="s">
        <v>689</v>
      </c>
      <c r="D653" s="136" t="str">
        <f t="shared" si="51"/>
        <v>C.10</v>
      </c>
      <c r="E653" s="135" t="s">
        <v>414</v>
      </c>
      <c r="F653" s="135" t="s">
        <v>673</v>
      </c>
      <c r="G653" s="134" t="s">
        <v>700</v>
      </c>
      <c r="H653" s="134" t="s">
        <v>701</v>
      </c>
      <c r="I653" s="134" t="s">
        <v>701</v>
      </c>
      <c r="J653" s="144" t="s">
        <v>313</v>
      </c>
      <c r="K653" s="134" t="s">
        <v>705</v>
      </c>
      <c r="L653" s="134"/>
      <c r="M653" s="134" t="s">
        <v>706</v>
      </c>
      <c r="N653" s="134"/>
      <c r="O653" s="134"/>
      <c r="P653" s="135" t="s">
        <v>234</v>
      </c>
      <c r="Q653" s="148">
        <v>4</v>
      </c>
      <c r="R653" s="148">
        <v>4</v>
      </c>
      <c r="S653" s="135"/>
      <c r="T653" s="149">
        <f>IFERROR(INDEX('Price List'!$G$5:$G$74,MATCH(TRIM(J653)&amp;"|"&amp;TRIM(P653),'Price List'!$O$5:$O$74,0)),0)</f>
        <v>0</v>
      </c>
      <c r="U653" s="150">
        <f>IFERROR(INDEX('Price List'!$H$5:$H$74,MATCH(TRIM(J653)&amp;"|"&amp;TRIM(P653),'Price List'!$O$5:$O$74,0)),0)</f>
        <v>0</v>
      </c>
      <c r="V653" s="141">
        <f t="shared" si="52"/>
        <v>0</v>
      </c>
      <c r="W653" s="151">
        <f>IFERROR(INDEX('Price List'!$J$5:$J$74,MATCH(TRIM(J653)&amp;"|"&amp;TRIM(P653),'Price List'!$O$5:$O$74,0)),0)</f>
        <v>45</v>
      </c>
      <c r="X653" s="152">
        <f>IFERROR(INDEX('Price List'!$K$5:$K$74,MATCH(TRIM(J653)&amp;"|"&amp;TRIM(P653),'Price List'!$O$5:$O$74,0)),0)</f>
        <v>0.12</v>
      </c>
      <c r="Y653" s="141">
        <f t="shared" si="53"/>
        <v>50.400000000000006</v>
      </c>
      <c r="Z653" s="141">
        <f t="shared" si="54"/>
        <v>201.60000000000002</v>
      </c>
      <c r="AA653" s="134"/>
    </row>
    <row r="654" spans="1:27" ht="12" customHeight="1" x14ac:dyDescent="0.35">
      <c r="A654" s="134"/>
      <c r="B654" s="134"/>
      <c r="C654" s="134" t="s">
        <v>689</v>
      </c>
      <c r="D654" s="136" t="str">
        <f t="shared" si="51"/>
        <v>C.10</v>
      </c>
      <c r="E654" s="135" t="s">
        <v>414</v>
      </c>
      <c r="F654" s="135" t="s">
        <v>673</v>
      </c>
      <c r="G654" s="134" t="s">
        <v>700</v>
      </c>
      <c r="H654" s="134" t="s">
        <v>707</v>
      </c>
      <c r="I654" s="134" t="s">
        <v>707</v>
      </c>
      <c r="J654" s="144" t="s">
        <v>319</v>
      </c>
      <c r="K654" s="134" t="s">
        <v>708</v>
      </c>
      <c r="L654" s="134"/>
      <c r="M654" s="134"/>
      <c r="N654" s="134"/>
      <c r="O654" s="134"/>
      <c r="P654" s="135" t="s">
        <v>234</v>
      </c>
      <c r="Q654" s="148">
        <v>4</v>
      </c>
      <c r="R654" s="148">
        <v>4</v>
      </c>
      <c r="S654" s="135"/>
      <c r="T654" s="149">
        <f>IFERROR(INDEX('Price List'!$G$5:$G$74,MATCH(TRIM(J654)&amp;"|"&amp;TRIM(P654),'Price List'!$O$5:$O$74,0)),0)</f>
        <v>0</v>
      </c>
      <c r="U654" s="150">
        <f>IFERROR(INDEX('Price List'!$H$5:$H$74,MATCH(TRIM(J654)&amp;"|"&amp;TRIM(P654),'Price List'!$O$5:$O$74,0)),0)</f>
        <v>0</v>
      </c>
      <c r="V654" s="141">
        <f t="shared" si="52"/>
        <v>0</v>
      </c>
      <c r="W654" s="151">
        <f>IFERROR(INDEX('Price List'!$J$5:$J$74,MATCH(TRIM(J654)&amp;"|"&amp;TRIM(P654),'Price List'!$O$5:$O$74,0)),0)</f>
        <v>120</v>
      </c>
      <c r="X654" s="152">
        <f>IFERROR(INDEX('Price List'!$K$5:$K$74,MATCH(TRIM(J654)&amp;"|"&amp;TRIM(P654),'Price List'!$O$5:$O$74,0)),0)</f>
        <v>0.12</v>
      </c>
      <c r="Y654" s="141">
        <f t="shared" si="53"/>
        <v>134.4</v>
      </c>
      <c r="Z654" s="141">
        <f t="shared" si="54"/>
        <v>537.6</v>
      </c>
      <c r="AA654" s="134"/>
    </row>
    <row r="655" spans="1:27" ht="12" customHeight="1" x14ac:dyDescent="0.35">
      <c r="A655" s="134"/>
      <c r="B655" s="134"/>
      <c r="C655" s="134" t="s">
        <v>689</v>
      </c>
      <c r="D655" s="136" t="str">
        <f t="shared" si="51"/>
        <v>C.10</v>
      </c>
      <c r="E655" s="135" t="s">
        <v>414</v>
      </c>
      <c r="F655" s="135" t="s">
        <v>673</v>
      </c>
      <c r="G655" s="134" t="s">
        <v>700</v>
      </c>
      <c r="H655" s="134" t="s">
        <v>707</v>
      </c>
      <c r="I655" s="134" t="s">
        <v>707</v>
      </c>
      <c r="J655" s="144" t="s">
        <v>321</v>
      </c>
      <c r="K655" s="134" t="s">
        <v>709</v>
      </c>
      <c r="L655" s="134"/>
      <c r="M655" s="134" t="s">
        <v>704</v>
      </c>
      <c r="N655" s="134"/>
      <c r="O655" s="134"/>
      <c r="P655" s="135" t="s">
        <v>234</v>
      </c>
      <c r="Q655" s="148">
        <v>32</v>
      </c>
      <c r="R655" s="148">
        <v>32</v>
      </c>
      <c r="S655" s="135"/>
      <c r="T655" s="149">
        <f>IFERROR(INDEX('Price List'!$G$5:$G$74,MATCH(TRIM(J655)&amp;"|"&amp;TRIM(P655),'Price List'!$O$5:$O$74,0)),0)</f>
        <v>0</v>
      </c>
      <c r="U655" s="150">
        <f>IFERROR(INDEX('Price List'!$H$5:$H$74,MATCH(TRIM(J655)&amp;"|"&amp;TRIM(P655),'Price List'!$O$5:$O$74,0)),0)</f>
        <v>0</v>
      </c>
      <c r="V655" s="141">
        <f t="shared" si="52"/>
        <v>0</v>
      </c>
      <c r="W655" s="151">
        <f>IFERROR(INDEX('Price List'!$J$5:$J$74,MATCH(TRIM(J655)&amp;"|"&amp;TRIM(P655),'Price List'!$O$5:$O$74,0)),0)</f>
        <v>110</v>
      </c>
      <c r="X655" s="152">
        <f>IFERROR(INDEX('Price List'!$K$5:$K$74,MATCH(TRIM(J655)&amp;"|"&amp;TRIM(P655),'Price List'!$O$5:$O$74,0)),0)</f>
        <v>0.12</v>
      </c>
      <c r="Y655" s="141">
        <f t="shared" si="53"/>
        <v>123.20000000000002</v>
      </c>
      <c r="Z655" s="141">
        <f t="shared" si="54"/>
        <v>3942.4000000000005</v>
      </c>
      <c r="AA655" s="134"/>
    </row>
    <row r="656" spans="1:27" ht="12" customHeight="1" x14ac:dyDescent="0.35">
      <c r="A656" s="134"/>
      <c r="B656" s="134"/>
      <c r="C656" s="134" t="s">
        <v>689</v>
      </c>
      <c r="D656" s="136" t="str">
        <f t="shared" si="51"/>
        <v>C.10</v>
      </c>
      <c r="E656" s="135" t="s">
        <v>414</v>
      </c>
      <c r="F656" s="135" t="s">
        <v>673</v>
      </c>
      <c r="G656" s="134" t="s">
        <v>700</v>
      </c>
      <c r="H656" s="134" t="s">
        <v>711</v>
      </c>
      <c r="I656" s="134" t="s">
        <v>711</v>
      </c>
      <c r="J656" s="144" t="s">
        <v>327</v>
      </c>
      <c r="K656" s="134" t="s">
        <v>712</v>
      </c>
      <c r="L656" s="134"/>
      <c r="M656" s="134"/>
      <c r="N656" s="134"/>
      <c r="O656" s="134"/>
      <c r="P656" s="135" t="s">
        <v>234</v>
      </c>
      <c r="Q656" s="148">
        <v>4</v>
      </c>
      <c r="R656" s="148">
        <v>4</v>
      </c>
      <c r="S656" s="135"/>
      <c r="T656" s="149">
        <f>IFERROR(INDEX('Price List'!$G$5:$G$74,MATCH(TRIM(J656)&amp;"|"&amp;TRIM(P656),'Price List'!$O$5:$O$74,0)),0)</f>
        <v>0</v>
      </c>
      <c r="U656" s="150">
        <f>IFERROR(INDEX('Price List'!$H$5:$H$74,MATCH(TRIM(J656)&amp;"|"&amp;TRIM(P656),'Price List'!$O$5:$O$74,0)),0)</f>
        <v>0</v>
      </c>
      <c r="V656" s="141">
        <f t="shared" si="52"/>
        <v>0</v>
      </c>
      <c r="W656" s="151">
        <f>IFERROR(INDEX('Price List'!$J$5:$J$74,MATCH(TRIM(J656)&amp;"|"&amp;TRIM(P656),'Price List'!$O$5:$O$74,0)),0)</f>
        <v>135</v>
      </c>
      <c r="X656" s="152">
        <f>IFERROR(INDEX('Price List'!$K$5:$K$74,MATCH(TRIM(J656)&amp;"|"&amp;TRIM(P656),'Price List'!$O$5:$O$74,0)),0)</f>
        <v>0.12</v>
      </c>
      <c r="Y656" s="141">
        <f t="shared" si="53"/>
        <v>151.20000000000002</v>
      </c>
      <c r="Z656" s="141">
        <f t="shared" si="54"/>
        <v>604.80000000000007</v>
      </c>
      <c r="AA656" s="134"/>
    </row>
    <row r="657" spans="1:27" ht="12" customHeight="1" x14ac:dyDescent="0.35">
      <c r="A657" s="134"/>
      <c r="B657" s="134"/>
      <c r="C657" s="134" t="s">
        <v>689</v>
      </c>
      <c r="D657" s="136" t="str">
        <f t="shared" si="51"/>
        <v>C.10</v>
      </c>
      <c r="E657" s="135" t="s">
        <v>414</v>
      </c>
      <c r="F657" s="135" t="s">
        <v>674</v>
      </c>
      <c r="G657" s="134" t="s">
        <v>700</v>
      </c>
      <c r="H657" s="134" t="s">
        <v>701</v>
      </c>
      <c r="I657" s="134" t="s">
        <v>701</v>
      </c>
      <c r="J657" s="144" t="s">
        <v>311</v>
      </c>
      <c r="K657" s="134" t="s">
        <v>702</v>
      </c>
      <c r="L657" s="134"/>
      <c r="M657" s="134"/>
      <c r="N657" s="134"/>
      <c r="O657" s="134"/>
      <c r="P657" s="135" t="s">
        <v>234</v>
      </c>
      <c r="Q657" s="148">
        <v>20</v>
      </c>
      <c r="R657" s="148">
        <v>20</v>
      </c>
      <c r="S657" s="135"/>
      <c r="T657" s="149">
        <f>IFERROR(INDEX('Price List'!$G$5:$G$74,MATCH(TRIM(J657)&amp;"|"&amp;TRIM(P657),'Price List'!$O$5:$O$74,0)),0)</f>
        <v>0</v>
      </c>
      <c r="U657" s="150">
        <f>IFERROR(INDEX('Price List'!$H$5:$H$74,MATCH(TRIM(J657)&amp;"|"&amp;TRIM(P657),'Price List'!$O$5:$O$74,0)),0)</f>
        <v>0</v>
      </c>
      <c r="V657" s="141">
        <f t="shared" si="52"/>
        <v>0</v>
      </c>
      <c r="W657" s="151">
        <f>IFERROR(INDEX('Price List'!$J$5:$J$74,MATCH(TRIM(J657)&amp;"|"&amp;TRIM(P657),'Price List'!$O$5:$O$74,0)),0)</f>
        <v>40</v>
      </c>
      <c r="X657" s="152">
        <f>IFERROR(INDEX('Price List'!$K$5:$K$74,MATCH(TRIM(J657)&amp;"|"&amp;TRIM(P657),'Price List'!$O$5:$O$74,0)),0)</f>
        <v>0.12</v>
      </c>
      <c r="Y657" s="141">
        <f t="shared" si="53"/>
        <v>44.800000000000004</v>
      </c>
      <c r="Z657" s="141">
        <f t="shared" si="54"/>
        <v>896.00000000000011</v>
      </c>
      <c r="AA657" s="134"/>
    </row>
    <row r="658" spans="1:27" ht="12" customHeight="1" x14ac:dyDescent="0.35">
      <c r="A658" s="134"/>
      <c r="B658" s="134"/>
      <c r="C658" s="134" t="s">
        <v>689</v>
      </c>
      <c r="D658" s="136" t="str">
        <f t="shared" si="51"/>
        <v>C.10</v>
      </c>
      <c r="E658" s="135" t="s">
        <v>414</v>
      </c>
      <c r="F658" s="135" t="s">
        <v>674</v>
      </c>
      <c r="G658" s="134" t="s">
        <v>700</v>
      </c>
      <c r="H658" s="134" t="s">
        <v>701</v>
      </c>
      <c r="I658" s="134" t="s">
        <v>701</v>
      </c>
      <c r="J658" s="144" t="s">
        <v>313</v>
      </c>
      <c r="K658" s="134" t="s">
        <v>703</v>
      </c>
      <c r="L658" s="134"/>
      <c r="M658" s="134" t="s">
        <v>704</v>
      </c>
      <c r="N658" s="134"/>
      <c r="O658" s="134"/>
      <c r="P658" s="135" t="s">
        <v>234</v>
      </c>
      <c r="Q658" s="148">
        <v>4</v>
      </c>
      <c r="R658" s="148">
        <v>4</v>
      </c>
      <c r="S658" s="135"/>
      <c r="T658" s="149">
        <f>IFERROR(INDEX('Price List'!$G$5:$G$74,MATCH(TRIM(J658)&amp;"|"&amp;TRIM(P658),'Price List'!$O$5:$O$74,0)),0)</f>
        <v>0</v>
      </c>
      <c r="U658" s="150">
        <f>IFERROR(INDEX('Price List'!$H$5:$H$74,MATCH(TRIM(J658)&amp;"|"&amp;TRIM(P658),'Price List'!$O$5:$O$74,0)),0)</f>
        <v>0</v>
      </c>
      <c r="V658" s="141">
        <f t="shared" si="52"/>
        <v>0</v>
      </c>
      <c r="W658" s="151">
        <f>IFERROR(INDEX('Price List'!$J$5:$J$74,MATCH(TRIM(J658)&amp;"|"&amp;TRIM(P658),'Price List'!$O$5:$O$74,0)),0)</f>
        <v>45</v>
      </c>
      <c r="X658" s="152">
        <f>IFERROR(INDEX('Price List'!$K$5:$K$74,MATCH(TRIM(J658)&amp;"|"&amp;TRIM(P658),'Price List'!$O$5:$O$74,0)),0)</f>
        <v>0.12</v>
      </c>
      <c r="Y658" s="141">
        <f t="shared" si="53"/>
        <v>50.400000000000006</v>
      </c>
      <c r="Z658" s="141">
        <f t="shared" si="54"/>
        <v>201.60000000000002</v>
      </c>
      <c r="AA658" s="134"/>
    </row>
    <row r="659" spans="1:27" ht="12" customHeight="1" x14ac:dyDescent="0.35">
      <c r="A659" s="134"/>
      <c r="B659" s="134"/>
      <c r="C659" s="134" t="s">
        <v>689</v>
      </c>
      <c r="D659" s="136" t="str">
        <f t="shared" si="51"/>
        <v>C.10</v>
      </c>
      <c r="E659" s="135" t="s">
        <v>414</v>
      </c>
      <c r="F659" s="135" t="s">
        <v>674</v>
      </c>
      <c r="G659" s="134" t="s">
        <v>700</v>
      </c>
      <c r="H659" s="134" t="s">
        <v>701</v>
      </c>
      <c r="I659" s="134" t="s">
        <v>701</v>
      </c>
      <c r="J659" s="144" t="s">
        <v>313</v>
      </c>
      <c r="K659" s="134" t="s">
        <v>705</v>
      </c>
      <c r="L659" s="134"/>
      <c r="M659" s="134" t="s">
        <v>706</v>
      </c>
      <c r="N659" s="134"/>
      <c r="O659" s="134"/>
      <c r="P659" s="135" t="s">
        <v>234</v>
      </c>
      <c r="Q659" s="148">
        <v>4</v>
      </c>
      <c r="R659" s="148">
        <v>4</v>
      </c>
      <c r="S659" s="135"/>
      <c r="T659" s="149">
        <f>IFERROR(INDEX('Price List'!$G$5:$G$74,MATCH(TRIM(J659)&amp;"|"&amp;TRIM(P659),'Price List'!$O$5:$O$74,0)),0)</f>
        <v>0</v>
      </c>
      <c r="U659" s="150">
        <f>IFERROR(INDEX('Price List'!$H$5:$H$74,MATCH(TRIM(J659)&amp;"|"&amp;TRIM(P659),'Price List'!$O$5:$O$74,0)),0)</f>
        <v>0</v>
      </c>
      <c r="V659" s="141">
        <f t="shared" si="52"/>
        <v>0</v>
      </c>
      <c r="W659" s="151">
        <f>IFERROR(INDEX('Price List'!$J$5:$J$74,MATCH(TRIM(J659)&amp;"|"&amp;TRIM(P659),'Price List'!$O$5:$O$74,0)),0)</f>
        <v>45</v>
      </c>
      <c r="X659" s="152">
        <f>IFERROR(INDEX('Price List'!$K$5:$K$74,MATCH(TRIM(J659)&amp;"|"&amp;TRIM(P659),'Price List'!$O$5:$O$74,0)),0)</f>
        <v>0.12</v>
      </c>
      <c r="Y659" s="141">
        <f t="shared" si="53"/>
        <v>50.400000000000006</v>
      </c>
      <c r="Z659" s="141">
        <f t="shared" si="54"/>
        <v>201.60000000000002</v>
      </c>
      <c r="AA659" s="134"/>
    </row>
    <row r="660" spans="1:27" ht="12" customHeight="1" x14ac:dyDescent="0.35">
      <c r="A660" s="134"/>
      <c r="B660" s="134"/>
      <c r="C660" s="134" t="s">
        <v>689</v>
      </c>
      <c r="D660" s="136" t="str">
        <f t="shared" si="51"/>
        <v>C.10</v>
      </c>
      <c r="E660" s="135" t="s">
        <v>414</v>
      </c>
      <c r="F660" s="135" t="s">
        <v>674</v>
      </c>
      <c r="G660" s="134" t="s">
        <v>700</v>
      </c>
      <c r="H660" s="134" t="s">
        <v>707</v>
      </c>
      <c r="I660" s="134" t="s">
        <v>707</v>
      </c>
      <c r="J660" s="144" t="s">
        <v>319</v>
      </c>
      <c r="K660" s="134" t="s">
        <v>708</v>
      </c>
      <c r="L660" s="134"/>
      <c r="M660" s="134"/>
      <c r="N660" s="134"/>
      <c r="O660" s="134"/>
      <c r="P660" s="135" t="s">
        <v>234</v>
      </c>
      <c r="Q660" s="148">
        <v>4</v>
      </c>
      <c r="R660" s="148">
        <v>4</v>
      </c>
      <c r="S660" s="135"/>
      <c r="T660" s="149">
        <f>IFERROR(INDEX('Price List'!$G$5:$G$74,MATCH(TRIM(J660)&amp;"|"&amp;TRIM(P660),'Price List'!$O$5:$O$74,0)),0)</f>
        <v>0</v>
      </c>
      <c r="U660" s="150">
        <f>IFERROR(INDEX('Price List'!$H$5:$H$74,MATCH(TRIM(J660)&amp;"|"&amp;TRIM(P660),'Price List'!$O$5:$O$74,0)),0)</f>
        <v>0</v>
      </c>
      <c r="V660" s="141">
        <f t="shared" si="52"/>
        <v>0</v>
      </c>
      <c r="W660" s="151">
        <f>IFERROR(INDEX('Price List'!$J$5:$J$74,MATCH(TRIM(J660)&amp;"|"&amp;TRIM(P660),'Price List'!$O$5:$O$74,0)),0)</f>
        <v>120</v>
      </c>
      <c r="X660" s="152">
        <f>IFERROR(INDEX('Price List'!$K$5:$K$74,MATCH(TRIM(J660)&amp;"|"&amp;TRIM(P660),'Price List'!$O$5:$O$74,0)),0)</f>
        <v>0.12</v>
      </c>
      <c r="Y660" s="141">
        <f t="shared" si="53"/>
        <v>134.4</v>
      </c>
      <c r="Z660" s="141">
        <f t="shared" si="54"/>
        <v>537.6</v>
      </c>
      <c r="AA660" s="134"/>
    </row>
    <row r="661" spans="1:27" ht="12" customHeight="1" x14ac:dyDescent="0.35">
      <c r="A661" s="134"/>
      <c r="B661" s="134"/>
      <c r="C661" s="134" t="s">
        <v>689</v>
      </c>
      <c r="D661" s="136" t="str">
        <f t="shared" si="51"/>
        <v>C.10</v>
      </c>
      <c r="E661" s="135" t="s">
        <v>414</v>
      </c>
      <c r="F661" s="135" t="s">
        <v>674</v>
      </c>
      <c r="G661" s="134" t="s">
        <v>700</v>
      </c>
      <c r="H661" s="134" t="s">
        <v>707</v>
      </c>
      <c r="I661" s="134" t="s">
        <v>707</v>
      </c>
      <c r="J661" s="144" t="s">
        <v>321</v>
      </c>
      <c r="K661" s="134" t="s">
        <v>709</v>
      </c>
      <c r="L661" s="134"/>
      <c r="M661" s="134" t="s">
        <v>704</v>
      </c>
      <c r="N661" s="134"/>
      <c r="O661" s="134"/>
      <c r="P661" s="135" t="s">
        <v>234</v>
      </c>
      <c r="Q661" s="148">
        <v>32</v>
      </c>
      <c r="R661" s="148">
        <v>32</v>
      </c>
      <c r="S661" s="135"/>
      <c r="T661" s="149">
        <f>IFERROR(INDEX('Price List'!$G$5:$G$74,MATCH(TRIM(J661)&amp;"|"&amp;TRIM(P661),'Price List'!$O$5:$O$74,0)),0)</f>
        <v>0</v>
      </c>
      <c r="U661" s="150">
        <f>IFERROR(INDEX('Price List'!$H$5:$H$74,MATCH(TRIM(J661)&amp;"|"&amp;TRIM(P661),'Price List'!$O$5:$O$74,0)),0)</f>
        <v>0</v>
      </c>
      <c r="V661" s="141">
        <f t="shared" si="52"/>
        <v>0</v>
      </c>
      <c r="W661" s="151">
        <f>IFERROR(INDEX('Price List'!$J$5:$J$74,MATCH(TRIM(J661)&amp;"|"&amp;TRIM(P661),'Price List'!$O$5:$O$74,0)),0)</f>
        <v>110</v>
      </c>
      <c r="X661" s="152">
        <f>IFERROR(INDEX('Price List'!$K$5:$K$74,MATCH(TRIM(J661)&amp;"|"&amp;TRIM(P661),'Price List'!$O$5:$O$74,0)),0)</f>
        <v>0.12</v>
      </c>
      <c r="Y661" s="141">
        <f t="shared" si="53"/>
        <v>123.20000000000002</v>
      </c>
      <c r="Z661" s="141">
        <f t="shared" si="54"/>
        <v>3942.4000000000005</v>
      </c>
      <c r="AA661" s="134"/>
    </row>
    <row r="662" spans="1:27" ht="12" customHeight="1" x14ac:dyDescent="0.35">
      <c r="A662" s="134"/>
      <c r="B662" s="134"/>
      <c r="C662" s="134" t="s">
        <v>689</v>
      </c>
      <c r="D662" s="136" t="str">
        <f t="shared" si="51"/>
        <v>C.10</v>
      </c>
      <c r="E662" s="135" t="s">
        <v>414</v>
      </c>
      <c r="F662" s="135" t="s">
        <v>674</v>
      </c>
      <c r="G662" s="134" t="s">
        <v>700</v>
      </c>
      <c r="H662" s="134" t="s">
        <v>711</v>
      </c>
      <c r="I662" s="134" t="s">
        <v>711</v>
      </c>
      <c r="J662" s="144" t="s">
        <v>327</v>
      </c>
      <c r="K662" s="134" t="s">
        <v>712</v>
      </c>
      <c r="L662" s="134"/>
      <c r="M662" s="134"/>
      <c r="N662" s="134"/>
      <c r="O662" s="134"/>
      <c r="P662" s="135" t="s">
        <v>234</v>
      </c>
      <c r="Q662" s="148">
        <v>4</v>
      </c>
      <c r="R662" s="148">
        <v>4</v>
      </c>
      <c r="S662" s="135"/>
      <c r="T662" s="149">
        <f>IFERROR(INDEX('Price List'!$G$5:$G$74,MATCH(TRIM(J662)&amp;"|"&amp;TRIM(P662),'Price List'!$O$5:$O$74,0)),0)</f>
        <v>0</v>
      </c>
      <c r="U662" s="150">
        <f>IFERROR(INDEX('Price List'!$H$5:$H$74,MATCH(TRIM(J662)&amp;"|"&amp;TRIM(P662),'Price List'!$O$5:$O$74,0)),0)</f>
        <v>0</v>
      </c>
      <c r="V662" s="141">
        <f t="shared" si="52"/>
        <v>0</v>
      </c>
      <c r="W662" s="151">
        <f>IFERROR(INDEX('Price List'!$J$5:$J$74,MATCH(TRIM(J662)&amp;"|"&amp;TRIM(P662),'Price List'!$O$5:$O$74,0)),0)</f>
        <v>135</v>
      </c>
      <c r="X662" s="152">
        <f>IFERROR(INDEX('Price List'!$K$5:$K$74,MATCH(TRIM(J662)&amp;"|"&amp;TRIM(P662),'Price List'!$O$5:$O$74,0)),0)</f>
        <v>0.12</v>
      </c>
      <c r="Y662" s="141">
        <f t="shared" si="53"/>
        <v>151.20000000000002</v>
      </c>
      <c r="Z662" s="141">
        <f t="shared" si="54"/>
        <v>604.80000000000007</v>
      </c>
      <c r="AA662" s="134"/>
    </row>
    <row r="663" spans="1:27" ht="12" customHeight="1" x14ac:dyDescent="0.35">
      <c r="A663" s="134"/>
      <c r="B663" s="134"/>
      <c r="C663" s="134" t="s">
        <v>689</v>
      </c>
      <c r="D663" s="136" t="str">
        <f t="shared" si="51"/>
        <v>C.10</v>
      </c>
      <c r="E663" s="135" t="s">
        <v>414</v>
      </c>
      <c r="F663" s="135" t="s">
        <v>675</v>
      </c>
      <c r="G663" s="134" t="s">
        <v>700</v>
      </c>
      <c r="H663" s="134" t="s">
        <v>701</v>
      </c>
      <c r="I663" s="134" t="s">
        <v>701</v>
      </c>
      <c r="J663" s="144" t="s">
        <v>311</v>
      </c>
      <c r="K663" s="134" t="s">
        <v>702</v>
      </c>
      <c r="L663" s="134"/>
      <c r="M663" s="134"/>
      <c r="N663" s="134"/>
      <c r="O663" s="134"/>
      <c r="P663" s="135" t="s">
        <v>234</v>
      </c>
      <c r="Q663" s="148">
        <v>20</v>
      </c>
      <c r="R663" s="148">
        <v>20</v>
      </c>
      <c r="S663" s="135"/>
      <c r="T663" s="149">
        <f>IFERROR(INDEX('Price List'!$G$5:$G$74,MATCH(TRIM(J663)&amp;"|"&amp;TRIM(P663),'Price List'!$O$5:$O$74,0)),0)</f>
        <v>0</v>
      </c>
      <c r="U663" s="150">
        <f>IFERROR(INDEX('Price List'!$H$5:$H$74,MATCH(TRIM(J663)&amp;"|"&amp;TRIM(P663),'Price List'!$O$5:$O$74,0)),0)</f>
        <v>0</v>
      </c>
      <c r="V663" s="141">
        <f t="shared" si="52"/>
        <v>0</v>
      </c>
      <c r="W663" s="151">
        <f>IFERROR(INDEX('Price List'!$J$5:$J$74,MATCH(TRIM(J663)&amp;"|"&amp;TRIM(P663),'Price List'!$O$5:$O$74,0)),0)</f>
        <v>40</v>
      </c>
      <c r="X663" s="152">
        <f>IFERROR(INDEX('Price List'!$K$5:$K$74,MATCH(TRIM(J663)&amp;"|"&amp;TRIM(P663),'Price List'!$O$5:$O$74,0)),0)</f>
        <v>0.12</v>
      </c>
      <c r="Y663" s="141">
        <f t="shared" si="53"/>
        <v>44.800000000000004</v>
      </c>
      <c r="Z663" s="141">
        <f t="shared" si="54"/>
        <v>896.00000000000011</v>
      </c>
      <c r="AA663" s="134"/>
    </row>
    <row r="664" spans="1:27" ht="12" customHeight="1" x14ac:dyDescent="0.35">
      <c r="A664" s="134"/>
      <c r="B664" s="134"/>
      <c r="C664" s="134" t="s">
        <v>689</v>
      </c>
      <c r="D664" s="136" t="str">
        <f t="shared" si="51"/>
        <v>C.10</v>
      </c>
      <c r="E664" s="135" t="s">
        <v>414</v>
      </c>
      <c r="F664" s="135" t="s">
        <v>675</v>
      </c>
      <c r="G664" s="134" t="s">
        <v>700</v>
      </c>
      <c r="H664" s="134" t="s">
        <v>701</v>
      </c>
      <c r="I664" s="134" t="s">
        <v>701</v>
      </c>
      <c r="J664" s="144" t="s">
        <v>313</v>
      </c>
      <c r="K664" s="134" t="s">
        <v>703</v>
      </c>
      <c r="L664" s="134"/>
      <c r="M664" s="134" t="s">
        <v>704</v>
      </c>
      <c r="N664" s="134"/>
      <c r="O664" s="134"/>
      <c r="P664" s="135" t="s">
        <v>234</v>
      </c>
      <c r="Q664" s="148">
        <v>4</v>
      </c>
      <c r="R664" s="148">
        <v>4</v>
      </c>
      <c r="S664" s="135"/>
      <c r="T664" s="149">
        <f>IFERROR(INDEX('Price List'!$G$5:$G$74,MATCH(TRIM(J664)&amp;"|"&amp;TRIM(P664),'Price List'!$O$5:$O$74,0)),0)</f>
        <v>0</v>
      </c>
      <c r="U664" s="150">
        <f>IFERROR(INDEX('Price List'!$H$5:$H$74,MATCH(TRIM(J664)&amp;"|"&amp;TRIM(P664),'Price List'!$O$5:$O$74,0)),0)</f>
        <v>0</v>
      </c>
      <c r="V664" s="141">
        <f t="shared" si="52"/>
        <v>0</v>
      </c>
      <c r="W664" s="151">
        <f>IFERROR(INDEX('Price List'!$J$5:$J$74,MATCH(TRIM(J664)&amp;"|"&amp;TRIM(P664),'Price List'!$O$5:$O$74,0)),0)</f>
        <v>45</v>
      </c>
      <c r="X664" s="152">
        <f>IFERROR(INDEX('Price List'!$K$5:$K$74,MATCH(TRIM(J664)&amp;"|"&amp;TRIM(P664),'Price List'!$O$5:$O$74,0)),0)</f>
        <v>0.12</v>
      </c>
      <c r="Y664" s="141">
        <f t="shared" si="53"/>
        <v>50.400000000000006</v>
      </c>
      <c r="Z664" s="141">
        <f t="shared" si="54"/>
        <v>201.60000000000002</v>
      </c>
      <c r="AA664" s="134"/>
    </row>
    <row r="665" spans="1:27" ht="12" customHeight="1" x14ac:dyDescent="0.35">
      <c r="A665" s="134"/>
      <c r="B665" s="134"/>
      <c r="C665" s="134" t="s">
        <v>689</v>
      </c>
      <c r="D665" s="136" t="str">
        <f t="shared" si="51"/>
        <v>C.10</v>
      </c>
      <c r="E665" s="135" t="s">
        <v>414</v>
      </c>
      <c r="F665" s="135" t="s">
        <v>675</v>
      </c>
      <c r="G665" s="134" t="s">
        <v>700</v>
      </c>
      <c r="H665" s="134" t="s">
        <v>701</v>
      </c>
      <c r="I665" s="134" t="s">
        <v>701</v>
      </c>
      <c r="J665" s="144" t="s">
        <v>313</v>
      </c>
      <c r="K665" s="134" t="s">
        <v>705</v>
      </c>
      <c r="L665" s="134"/>
      <c r="M665" s="134" t="s">
        <v>706</v>
      </c>
      <c r="N665" s="134"/>
      <c r="O665" s="134"/>
      <c r="P665" s="135" t="s">
        <v>234</v>
      </c>
      <c r="Q665" s="148">
        <v>4</v>
      </c>
      <c r="R665" s="148">
        <v>4</v>
      </c>
      <c r="S665" s="135"/>
      <c r="T665" s="149">
        <f>IFERROR(INDEX('Price List'!$G$5:$G$74,MATCH(TRIM(J665)&amp;"|"&amp;TRIM(P665),'Price List'!$O$5:$O$74,0)),0)</f>
        <v>0</v>
      </c>
      <c r="U665" s="150">
        <f>IFERROR(INDEX('Price List'!$H$5:$H$74,MATCH(TRIM(J665)&amp;"|"&amp;TRIM(P665),'Price List'!$O$5:$O$74,0)),0)</f>
        <v>0</v>
      </c>
      <c r="V665" s="141">
        <f t="shared" si="52"/>
        <v>0</v>
      </c>
      <c r="W665" s="151">
        <f>IFERROR(INDEX('Price List'!$J$5:$J$74,MATCH(TRIM(J665)&amp;"|"&amp;TRIM(P665),'Price List'!$O$5:$O$74,0)),0)</f>
        <v>45</v>
      </c>
      <c r="X665" s="152">
        <f>IFERROR(INDEX('Price List'!$K$5:$K$74,MATCH(TRIM(J665)&amp;"|"&amp;TRIM(P665),'Price List'!$O$5:$O$74,0)),0)</f>
        <v>0.12</v>
      </c>
      <c r="Y665" s="141">
        <f t="shared" si="53"/>
        <v>50.400000000000006</v>
      </c>
      <c r="Z665" s="141">
        <f t="shared" si="54"/>
        <v>201.60000000000002</v>
      </c>
      <c r="AA665" s="134"/>
    </row>
    <row r="666" spans="1:27" ht="12" customHeight="1" x14ac:dyDescent="0.35">
      <c r="A666" s="134"/>
      <c r="B666" s="134"/>
      <c r="C666" s="134" t="s">
        <v>689</v>
      </c>
      <c r="D666" s="136" t="str">
        <f t="shared" si="51"/>
        <v>C.10</v>
      </c>
      <c r="E666" s="135" t="s">
        <v>414</v>
      </c>
      <c r="F666" s="135" t="s">
        <v>675</v>
      </c>
      <c r="G666" s="134" t="s">
        <v>700</v>
      </c>
      <c r="H666" s="134" t="s">
        <v>707</v>
      </c>
      <c r="I666" s="134" t="s">
        <v>707</v>
      </c>
      <c r="J666" s="144" t="s">
        <v>319</v>
      </c>
      <c r="K666" s="134" t="s">
        <v>708</v>
      </c>
      <c r="L666" s="134"/>
      <c r="M666" s="134"/>
      <c r="N666" s="134"/>
      <c r="O666" s="134"/>
      <c r="P666" s="135" t="s">
        <v>234</v>
      </c>
      <c r="Q666" s="148">
        <v>4</v>
      </c>
      <c r="R666" s="148">
        <v>4</v>
      </c>
      <c r="S666" s="135"/>
      <c r="T666" s="149">
        <f>IFERROR(INDEX('Price List'!$G$5:$G$74,MATCH(TRIM(J666)&amp;"|"&amp;TRIM(P666),'Price List'!$O$5:$O$74,0)),0)</f>
        <v>0</v>
      </c>
      <c r="U666" s="150">
        <f>IFERROR(INDEX('Price List'!$H$5:$H$74,MATCH(TRIM(J666)&amp;"|"&amp;TRIM(P666),'Price List'!$O$5:$O$74,0)),0)</f>
        <v>0</v>
      </c>
      <c r="V666" s="141">
        <f t="shared" si="52"/>
        <v>0</v>
      </c>
      <c r="W666" s="151">
        <f>IFERROR(INDEX('Price List'!$J$5:$J$74,MATCH(TRIM(J666)&amp;"|"&amp;TRIM(P666),'Price List'!$O$5:$O$74,0)),0)</f>
        <v>120</v>
      </c>
      <c r="X666" s="152">
        <f>IFERROR(INDEX('Price List'!$K$5:$K$74,MATCH(TRIM(J666)&amp;"|"&amp;TRIM(P666),'Price List'!$O$5:$O$74,0)),0)</f>
        <v>0.12</v>
      </c>
      <c r="Y666" s="141">
        <f t="shared" si="53"/>
        <v>134.4</v>
      </c>
      <c r="Z666" s="141">
        <f t="shared" si="54"/>
        <v>537.6</v>
      </c>
      <c r="AA666" s="134"/>
    </row>
    <row r="667" spans="1:27" ht="12" customHeight="1" x14ac:dyDescent="0.35">
      <c r="A667" s="134"/>
      <c r="B667" s="134"/>
      <c r="C667" s="134" t="s">
        <v>689</v>
      </c>
      <c r="D667" s="136" t="str">
        <f t="shared" si="51"/>
        <v>C.10</v>
      </c>
      <c r="E667" s="135" t="s">
        <v>414</v>
      </c>
      <c r="F667" s="135" t="s">
        <v>675</v>
      </c>
      <c r="G667" s="134" t="s">
        <v>700</v>
      </c>
      <c r="H667" s="134" t="s">
        <v>707</v>
      </c>
      <c r="I667" s="134" t="s">
        <v>707</v>
      </c>
      <c r="J667" s="144" t="s">
        <v>321</v>
      </c>
      <c r="K667" s="134" t="s">
        <v>709</v>
      </c>
      <c r="L667" s="134"/>
      <c r="M667" s="134" t="s">
        <v>704</v>
      </c>
      <c r="N667" s="134"/>
      <c r="O667" s="134"/>
      <c r="P667" s="135" t="s">
        <v>234</v>
      </c>
      <c r="Q667" s="148">
        <v>32</v>
      </c>
      <c r="R667" s="148">
        <v>32</v>
      </c>
      <c r="S667" s="135"/>
      <c r="T667" s="149">
        <f>IFERROR(INDEX('Price List'!$G$5:$G$74,MATCH(TRIM(J667)&amp;"|"&amp;TRIM(P667),'Price List'!$O$5:$O$74,0)),0)</f>
        <v>0</v>
      </c>
      <c r="U667" s="150">
        <f>IFERROR(INDEX('Price List'!$H$5:$H$74,MATCH(TRIM(J667)&amp;"|"&amp;TRIM(P667),'Price List'!$O$5:$O$74,0)),0)</f>
        <v>0</v>
      </c>
      <c r="V667" s="141">
        <f t="shared" si="52"/>
        <v>0</v>
      </c>
      <c r="W667" s="151">
        <f>IFERROR(INDEX('Price List'!$J$5:$J$74,MATCH(TRIM(J667)&amp;"|"&amp;TRIM(P667),'Price List'!$O$5:$O$74,0)),0)</f>
        <v>110</v>
      </c>
      <c r="X667" s="152">
        <f>IFERROR(INDEX('Price List'!$K$5:$K$74,MATCH(TRIM(J667)&amp;"|"&amp;TRIM(P667),'Price List'!$O$5:$O$74,0)),0)</f>
        <v>0.12</v>
      </c>
      <c r="Y667" s="141">
        <f t="shared" si="53"/>
        <v>123.20000000000002</v>
      </c>
      <c r="Z667" s="141">
        <f t="shared" si="54"/>
        <v>3942.4000000000005</v>
      </c>
      <c r="AA667" s="134"/>
    </row>
    <row r="668" spans="1:27" ht="12" customHeight="1" x14ac:dyDescent="0.35">
      <c r="A668" s="134"/>
      <c r="B668" s="134"/>
      <c r="C668" s="134" t="s">
        <v>689</v>
      </c>
      <c r="D668" s="136" t="str">
        <f t="shared" si="51"/>
        <v>C.10</v>
      </c>
      <c r="E668" s="135" t="s">
        <v>414</v>
      </c>
      <c r="F668" s="135" t="s">
        <v>675</v>
      </c>
      <c r="G668" s="134" t="s">
        <v>700</v>
      </c>
      <c r="H668" s="134" t="s">
        <v>711</v>
      </c>
      <c r="I668" s="134" t="s">
        <v>711</v>
      </c>
      <c r="J668" s="144" t="s">
        <v>327</v>
      </c>
      <c r="K668" s="134" t="s">
        <v>712</v>
      </c>
      <c r="L668" s="134"/>
      <c r="M668" s="134"/>
      <c r="N668" s="134"/>
      <c r="O668" s="134"/>
      <c r="P668" s="135" t="s">
        <v>234</v>
      </c>
      <c r="Q668" s="148">
        <v>4</v>
      </c>
      <c r="R668" s="148">
        <v>4</v>
      </c>
      <c r="S668" s="135"/>
      <c r="T668" s="149">
        <f>IFERROR(INDEX('Price List'!$G$5:$G$74,MATCH(TRIM(J668)&amp;"|"&amp;TRIM(P668),'Price List'!$O$5:$O$74,0)),0)</f>
        <v>0</v>
      </c>
      <c r="U668" s="150">
        <f>IFERROR(INDEX('Price List'!$H$5:$H$74,MATCH(TRIM(J668)&amp;"|"&amp;TRIM(P668),'Price List'!$O$5:$O$74,0)),0)</f>
        <v>0</v>
      </c>
      <c r="V668" s="141">
        <f t="shared" si="52"/>
        <v>0</v>
      </c>
      <c r="W668" s="151">
        <f>IFERROR(INDEX('Price List'!$J$5:$J$74,MATCH(TRIM(J668)&amp;"|"&amp;TRIM(P668),'Price List'!$O$5:$O$74,0)),0)</f>
        <v>135</v>
      </c>
      <c r="X668" s="152">
        <f>IFERROR(INDEX('Price List'!$K$5:$K$74,MATCH(TRIM(J668)&amp;"|"&amp;TRIM(P668),'Price List'!$O$5:$O$74,0)),0)</f>
        <v>0.12</v>
      </c>
      <c r="Y668" s="141">
        <f t="shared" si="53"/>
        <v>151.20000000000002</v>
      </c>
      <c r="Z668" s="141">
        <f t="shared" si="54"/>
        <v>604.80000000000007</v>
      </c>
      <c r="AA668" s="134"/>
    </row>
    <row r="669" spans="1:27" ht="12" customHeight="1" x14ac:dyDescent="0.35">
      <c r="A669" s="134"/>
      <c r="B669" s="134"/>
      <c r="C669" s="134" t="s">
        <v>689</v>
      </c>
      <c r="D669" s="136" t="str">
        <f t="shared" si="51"/>
        <v>C.10</v>
      </c>
      <c r="E669" s="135" t="s">
        <v>414</v>
      </c>
      <c r="F669" s="135" t="s">
        <v>676</v>
      </c>
      <c r="G669" s="134" t="s">
        <v>700</v>
      </c>
      <c r="H669" s="134" t="s">
        <v>701</v>
      </c>
      <c r="I669" s="134" t="s">
        <v>701</v>
      </c>
      <c r="J669" s="144" t="s">
        <v>311</v>
      </c>
      <c r="K669" s="134" t="s">
        <v>702</v>
      </c>
      <c r="L669" s="134"/>
      <c r="M669" s="134"/>
      <c r="N669" s="134"/>
      <c r="O669" s="134"/>
      <c r="P669" s="135" t="s">
        <v>234</v>
      </c>
      <c r="Q669" s="148">
        <v>5</v>
      </c>
      <c r="R669" s="148">
        <v>5</v>
      </c>
      <c r="S669" s="135"/>
      <c r="T669" s="149">
        <f>IFERROR(INDEX('Price List'!$G$5:$G$74,MATCH(TRIM(J669)&amp;"|"&amp;TRIM(P669),'Price List'!$O$5:$O$74,0)),0)</f>
        <v>0</v>
      </c>
      <c r="U669" s="150">
        <f>IFERROR(INDEX('Price List'!$H$5:$H$74,MATCH(TRIM(J669)&amp;"|"&amp;TRIM(P669),'Price List'!$O$5:$O$74,0)),0)</f>
        <v>0</v>
      </c>
      <c r="V669" s="141">
        <f t="shared" si="52"/>
        <v>0</v>
      </c>
      <c r="W669" s="151">
        <f>IFERROR(INDEX('Price List'!$J$5:$J$74,MATCH(TRIM(J669)&amp;"|"&amp;TRIM(P669),'Price List'!$O$5:$O$74,0)),0)</f>
        <v>40</v>
      </c>
      <c r="X669" s="152">
        <f>IFERROR(INDEX('Price List'!$K$5:$K$74,MATCH(TRIM(J669)&amp;"|"&amp;TRIM(P669),'Price List'!$O$5:$O$74,0)),0)</f>
        <v>0.12</v>
      </c>
      <c r="Y669" s="141">
        <f t="shared" si="53"/>
        <v>44.800000000000004</v>
      </c>
      <c r="Z669" s="141">
        <f t="shared" si="54"/>
        <v>224.00000000000003</v>
      </c>
      <c r="AA669" s="134"/>
    </row>
    <row r="670" spans="1:27" ht="12" customHeight="1" x14ac:dyDescent="0.35">
      <c r="A670" s="134"/>
      <c r="B670" s="134"/>
      <c r="C670" s="134" t="s">
        <v>689</v>
      </c>
      <c r="D670" s="136" t="str">
        <f t="shared" si="51"/>
        <v>C.10</v>
      </c>
      <c r="E670" s="135" t="s">
        <v>414</v>
      </c>
      <c r="F670" s="135" t="s">
        <v>676</v>
      </c>
      <c r="G670" s="134" t="s">
        <v>700</v>
      </c>
      <c r="H670" s="134" t="s">
        <v>701</v>
      </c>
      <c r="I670" s="134" t="s">
        <v>701</v>
      </c>
      <c r="J670" s="144" t="s">
        <v>313</v>
      </c>
      <c r="K670" s="134" t="s">
        <v>703</v>
      </c>
      <c r="L670" s="134"/>
      <c r="M670" s="134" t="s">
        <v>704</v>
      </c>
      <c r="N670" s="134"/>
      <c r="O670" s="134"/>
      <c r="P670" s="135" t="s">
        <v>234</v>
      </c>
      <c r="Q670" s="148">
        <v>1</v>
      </c>
      <c r="R670" s="148">
        <v>1</v>
      </c>
      <c r="S670" s="135"/>
      <c r="T670" s="149">
        <f>IFERROR(INDEX('Price List'!$G$5:$G$74,MATCH(TRIM(J670)&amp;"|"&amp;TRIM(P670),'Price List'!$O$5:$O$74,0)),0)</f>
        <v>0</v>
      </c>
      <c r="U670" s="150">
        <f>IFERROR(INDEX('Price List'!$H$5:$H$74,MATCH(TRIM(J670)&amp;"|"&amp;TRIM(P670),'Price List'!$O$5:$O$74,0)),0)</f>
        <v>0</v>
      </c>
      <c r="V670" s="141">
        <f t="shared" si="52"/>
        <v>0</v>
      </c>
      <c r="W670" s="151">
        <f>IFERROR(INDEX('Price List'!$J$5:$J$74,MATCH(TRIM(J670)&amp;"|"&amp;TRIM(P670),'Price List'!$O$5:$O$74,0)),0)</f>
        <v>45</v>
      </c>
      <c r="X670" s="152">
        <f>IFERROR(INDEX('Price List'!$K$5:$K$74,MATCH(TRIM(J670)&amp;"|"&amp;TRIM(P670),'Price List'!$O$5:$O$74,0)),0)</f>
        <v>0.12</v>
      </c>
      <c r="Y670" s="141">
        <f t="shared" si="53"/>
        <v>50.400000000000006</v>
      </c>
      <c r="Z670" s="141">
        <f t="shared" si="54"/>
        <v>50.400000000000006</v>
      </c>
      <c r="AA670" s="134"/>
    </row>
    <row r="671" spans="1:27" ht="12" customHeight="1" x14ac:dyDescent="0.35">
      <c r="A671" s="134"/>
      <c r="B671" s="134"/>
      <c r="C671" s="134" t="s">
        <v>689</v>
      </c>
      <c r="D671" s="136" t="str">
        <f t="shared" si="51"/>
        <v>C.10</v>
      </c>
      <c r="E671" s="135" t="s">
        <v>414</v>
      </c>
      <c r="F671" s="135" t="s">
        <v>676</v>
      </c>
      <c r="G671" s="134" t="s">
        <v>700</v>
      </c>
      <c r="H671" s="134" t="s">
        <v>701</v>
      </c>
      <c r="I671" s="134" t="s">
        <v>701</v>
      </c>
      <c r="J671" s="144" t="s">
        <v>313</v>
      </c>
      <c r="K671" s="134" t="s">
        <v>705</v>
      </c>
      <c r="L671" s="134"/>
      <c r="M671" s="134" t="s">
        <v>706</v>
      </c>
      <c r="N671" s="134"/>
      <c r="O671" s="134"/>
      <c r="P671" s="135" t="s">
        <v>234</v>
      </c>
      <c r="Q671" s="148">
        <v>1</v>
      </c>
      <c r="R671" s="148">
        <v>1</v>
      </c>
      <c r="S671" s="135"/>
      <c r="T671" s="149">
        <f>IFERROR(INDEX('Price List'!$G$5:$G$74,MATCH(TRIM(J671)&amp;"|"&amp;TRIM(P671),'Price List'!$O$5:$O$74,0)),0)</f>
        <v>0</v>
      </c>
      <c r="U671" s="150">
        <f>IFERROR(INDEX('Price List'!$H$5:$H$74,MATCH(TRIM(J671)&amp;"|"&amp;TRIM(P671),'Price List'!$O$5:$O$74,0)),0)</f>
        <v>0</v>
      </c>
      <c r="V671" s="141">
        <f t="shared" si="52"/>
        <v>0</v>
      </c>
      <c r="W671" s="151">
        <f>IFERROR(INDEX('Price List'!$J$5:$J$74,MATCH(TRIM(J671)&amp;"|"&amp;TRIM(P671),'Price List'!$O$5:$O$74,0)),0)</f>
        <v>45</v>
      </c>
      <c r="X671" s="152">
        <f>IFERROR(INDEX('Price List'!$K$5:$K$74,MATCH(TRIM(J671)&amp;"|"&amp;TRIM(P671),'Price List'!$O$5:$O$74,0)),0)</f>
        <v>0.12</v>
      </c>
      <c r="Y671" s="141">
        <f t="shared" si="53"/>
        <v>50.400000000000006</v>
      </c>
      <c r="Z671" s="141">
        <f t="shared" si="54"/>
        <v>50.400000000000006</v>
      </c>
      <c r="AA671" s="134"/>
    </row>
    <row r="672" spans="1:27" ht="12" customHeight="1" x14ac:dyDescent="0.35">
      <c r="A672" s="134"/>
      <c r="B672" s="134"/>
      <c r="C672" s="134" t="s">
        <v>689</v>
      </c>
      <c r="D672" s="136" t="str">
        <f t="shared" si="51"/>
        <v>C.10</v>
      </c>
      <c r="E672" s="135" t="s">
        <v>414</v>
      </c>
      <c r="F672" s="135" t="s">
        <v>676</v>
      </c>
      <c r="G672" s="134" t="s">
        <v>700</v>
      </c>
      <c r="H672" s="134" t="s">
        <v>707</v>
      </c>
      <c r="I672" s="134" t="s">
        <v>707</v>
      </c>
      <c r="J672" s="144" t="s">
        <v>319</v>
      </c>
      <c r="K672" s="134" t="s">
        <v>708</v>
      </c>
      <c r="L672" s="134"/>
      <c r="M672" s="134"/>
      <c r="N672" s="134"/>
      <c r="O672" s="134"/>
      <c r="P672" s="135" t="s">
        <v>234</v>
      </c>
      <c r="Q672" s="148">
        <v>1</v>
      </c>
      <c r="R672" s="148">
        <v>1</v>
      </c>
      <c r="S672" s="135"/>
      <c r="T672" s="149">
        <f>IFERROR(INDEX('Price List'!$G$5:$G$74,MATCH(TRIM(J672)&amp;"|"&amp;TRIM(P672),'Price List'!$O$5:$O$74,0)),0)</f>
        <v>0</v>
      </c>
      <c r="U672" s="150">
        <f>IFERROR(INDEX('Price List'!$H$5:$H$74,MATCH(TRIM(J672)&amp;"|"&amp;TRIM(P672),'Price List'!$O$5:$O$74,0)),0)</f>
        <v>0</v>
      </c>
      <c r="V672" s="141">
        <f t="shared" si="52"/>
        <v>0</v>
      </c>
      <c r="W672" s="151">
        <f>IFERROR(INDEX('Price List'!$J$5:$J$74,MATCH(TRIM(J672)&amp;"|"&amp;TRIM(P672),'Price List'!$O$5:$O$74,0)),0)</f>
        <v>120</v>
      </c>
      <c r="X672" s="152">
        <f>IFERROR(INDEX('Price List'!$K$5:$K$74,MATCH(TRIM(J672)&amp;"|"&amp;TRIM(P672),'Price List'!$O$5:$O$74,0)),0)</f>
        <v>0.12</v>
      </c>
      <c r="Y672" s="141">
        <f t="shared" si="53"/>
        <v>134.4</v>
      </c>
      <c r="Z672" s="141">
        <f t="shared" si="54"/>
        <v>134.4</v>
      </c>
      <c r="AA672" s="134"/>
    </row>
    <row r="673" spans="1:27" ht="12" customHeight="1" x14ac:dyDescent="0.35">
      <c r="A673" s="134"/>
      <c r="B673" s="134"/>
      <c r="C673" s="134" t="s">
        <v>689</v>
      </c>
      <c r="D673" s="136" t="str">
        <f t="shared" si="51"/>
        <v>C.10</v>
      </c>
      <c r="E673" s="135" t="s">
        <v>414</v>
      </c>
      <c r="F673" s="135" t="s">
        <v>676</v>
      </c>
      <c r="G673" s="134" t="s">
        <v>700</v>
      </c>
      <c r="H673" s="134" t="s">
        <v>701</v>
      </c>
      <c r="I673" s="134" t="s">
        <v>701</v>
      </c>
      <c r="J673" s="144" t="s">
        <v>315</v>
      </c>
      <c r="K673" s="134" t="s">
        <v>713</v>
      </c>
      <c r="L673" s="134"/>
      <c r="M673" s="134"/>
      <c r="N673" s="134"/>
      <c r="O673" s="134"/>
      <c r="P673" s="135" t="s">
        <v>234</v>
      </c>
      <c r="Q673" s="148">
        <v>2</v>
      </c>
      <c r="R673" s="148">
        <v>2</v>
      </c>
      <c r="S673" s="135"/>
      <c r="T673" s="149">
        <f>IFERROR(INDEX('Price List'!$G$5:$G$74,MATCH(TRIM(J673)&amp;"|"&amp;TRIM(P673),'Price List'!$O$5:$O$74,0)),0)</f>
        <v>0</v>
      </c>
      <c r="U673" s="150">
        <f>IFERROR(INDEX('Price List'!$H$5:$H$74,MATCH(TRIM(J673)&amp;"|"&amp;TRIM(P673),'Price List'!$O$5:$O$74,0)),0)</f>
        <v>0</v>
      </c>
      <c r="V673" s="141">
        <f t="shared" si="52"/>
        <v>0</v>
      </c>
      <c r="W673" s="151">
        <f>IFERROR(INDEX('Price List'!$J$5:$J$74,MATCH(TRIM(J673)&amp;"|"&amp;TRIM(P673),'Price List'!$O$5:$O$74,0)),0)</f>
        <v>50</v>
      </c>
      <c r="X673" s="152">
        <f>IFERROR(INDEX('Price List'!$K$5:$K$74,MATCH(TRIM(J673)&amp;"|"&amp;TRIM(P673),'Price List'!$O$5:$O$74,0)),0)</f>
        <v>0.12</v>
      </c>
      <c r="Y673" s="141">
        <f t="shared" si="53"/>
        <v>56.000000000000007</v>
      </c>
      <c r="Z673" s="141">
        <f t="shared" si="54"/>
        <v>112.00000000000001</v>
      </c>
      <c r="AA673" s="134"/>
    </row>
    <row r="674" spans="1:27" ht="12" customHeight="1" x14ac:dyDescent="0.35">
      <c r="A674" s="134"/>
      <c r="B674" s="134"/>
      <c r="C674" s="134" t="s">
        <v>689</v>
      </c>
      <c r="D674" s="136" t="str">
        <f t="shared" si="51"/>
        <v>C.10</v>
      </c>
      <c r="E674" s="135" t="s">
        <v>414</v>
      </c>
      <c r="F674" s="135" t="s">
        <v>676</v>
      </c>
      <c r="G674" s="134" t="s">
        <v>700</v>
      </c>
      <c r="H674" s="134" t="s">
        <v>701</v>
      </c>
      <c r="I674" s="134" t="s">
        <v>701</v>
      </c>
      <c r="J674" s="144" t="s">
        <v>315</v>
      </c>
      <c r="K674" s="134" t="s">
        <v>714</v>
      </c>
      <c r="L674" s="134"/>
      <c r="M674" s="134"/>
      <c r="N674" s="134"/>
      <c r="O674" s="134"/>
      <c r="P674" s="135" t="s">
        <v>234</v>
      </c>
      <c r="Q674" s="148">
        <v>2</v>
      </c>
      <c r="R674" s="148">
        <v>2</v>
      </c>
      <c r="S674" s="135"/>
      <c r="T674" s="149">
        <f>IFERROR(INDEX('Price List'!$G$5:$G$74,MATCH(TRIM(J674)&amp;"|"&amp;TRIM(P674),'Price List'!$O$5:$O$74,0)),0)</f>
        <v>0</v>
      </c>
      <c r="U674" s="150">
        <f>IFERROR(INDEX('Price List'!$H$5:$H$74,MATCH(TRIM(J674)&amp;"|"&amp;TRIM(P674),'Price List'!$O$5:$O$74,0)),0)</f>
        <v>0</v>
      </c>
      <c r="V674" s="141">
        <f t="shared" si="52"/>
        <v>0</v>
      </c>
      <c r="W674" s="151">
        <f>IFERROR(INDEX('Price List'!$J$5:$J$74,MATCH(TRIM(J674)&amp;"|"&amp;TRIM(P674),'Price List'!$O$5:$O$74,0)),0)</f>
        <v>50</v>
      </c>
      <c r="X674" s="152">
        <f>IFERROR(INDEX('Price List'!$K$5:$K$74,MATCH(TRIM(J674)&amp;"|"&amp;TRIM(P674),'Price List'!$O$5:$O$74,0)),0)</f>
        <v>0.12</v>
      </c>
      <c r="Y674" s="141">
        <f t="shared" si="53"/>
        <v>56.000000000000007</v>
      </c>
      <c r="Z674" s="141">
        <f t="shared" si="54"/>
        <v>112.00000000000001</v>
      </c>
      <c r="AA674" s="134"/>
    </row>
    <row r="675" spans="1:27" ht="12" customHeight="1" x14ac:dyDescent="0.35">
      <c r="A675" s="134"/>
      <c r="B675" s="134"/>
      <c r="C675" s="134" t="s">
        <v>689</v>
      </c>
      <c r="D675" s="136" t="str">
        <f t="shared" si="51"/>
        <v>C.10</v>
      </c>
      <c r="E675" s="135" t="s">
        <v>414</v>
      </c>
      <c r="F675" s="135" t="s">
        <v>676</v>
      </c>
      <c r="G675" s="134" t="s">
        <v>700</v>
      </c>
      <c r="H675" s="134" t="s">
        <v>711</v>
      </c>
      <c r="I675" s="134" t="s">
        <v>711</v>
      </c>
      <c r="J675" s="144" t="s">
        <v>327</v>
      </c>
      <c r="K675" s="134" t="s">
        <v>712</v>
      </c>
      <c r="L675" s="134"/>
      <c r="M675" s="134"/>
      <c r="N675" s="134"/>
      <c r="O675" s="134"/>
      <c r="P675" s="135" t="s">
        <v>234</v>
      </c>
      <c r="Q675" s="148">
        <v>1</v>
      </c>
      <c r="R675" s="148">
        <v>1</v>
      </c>
      <c r="S675" s="135"/>
      <c r="T675" s="149">
        <f>IFERROR(INDEX('Price List'!$G$5:$G$74,MATCH(TRIM(J675)&amp;"|"&amp;TRIM(P675),'Price List'!$O$5:$O$74,0)),0)</f>
        <v>0</v>
      </c>
      <c r="U675" s="150">
        <f>IFERROR(INDEX('Price List'!$H$5:$H$74,MATCH(TRIM(J675)&amp;"|"&amp;TRIM(P675),'Price List'!$O$5:$O$74,0)),0)</f>
        <v>0</v>
      </c>
      <c r="V675" s="141">
        <f t="shared" si="52"/>
        <v>0</v>
      </c>
      <c r="W675" s="151">
        <f>IFERROR(INDEX('Price List'!$J$5:$J$74,MATCH(TRIM(J675)&amp;"|"&amp;TRIM(P675),'Price List'!$O$5:$O$74,0)),0)</f>
        <v>135</v>
      </c>
      <c r="X675" s="152">
        <f>IFERROR(INDEX('Price List'!$K$5:$K$74,MATCH(TRIM(J675)&amp;"|"&amp;TRIM(P675),'Price List'!$O$5:$O$74,0)),0)</f>
        <v>0.12</v>
      </c>
      <c r="Y675" s="141">
        <f t="shared" si="53"/>
        <v>151.20000000000002</v>
      </c>
      <c r="Z675" s="141">
        <f t="shared" si="54"/>
        <v>151.20000000000002</v>
      </c>
      <c r="AA675" s="134"/>
    </row>
    <row r="676" spans="1:27" ht="12" customHeight="1" x14ac:dyDescent="0.35">
      <c r="A676" s="134"/>
      <c r="B676" s="134"/>
      <c r="C676" s="134" t="s">
        <v>689</v>
      </c>
      <c r="D676" s="136" t="str">
        <f t="shared" si="51"/>
        <v>C.10</v>
      </c>
      <c r="E676" s="135" t="s">
        <v>414</v>
      </c>
      <c r="F676" s="135" t="s">
        <v>677</v>
      </c>
      <c r="G676" s="134" t="s">
        <v>700</v>
      </c>
      <c r="H676" s="134" t="s">
        <v>701</v>
      </c>
      <c r="I676" s="134" t="s">
        <v>701</v>
      </c>
      <c r="J676" s="144" t="s">
        <v>311</v>
      </c>
      <c r="K676" s="134" t="s">
        <v>702</v>
      </c>
      <c r="L676" s="134"/>
      <c r="M676" s="134"/>
      <c r="N676" s="134"/>
      <c r="O676" s="134"/>
      <c r="P676" s="135" t="s">
        <v>234</v>
      </c>
      <c r="Q676" s="148">
        <v>5</v>
      </c>
      <c r="R676" s="148">
        <v>5</v>
      </c>
      <c r="S676" s="135"/>
      <c r="T676" s="149">
        <f>IFERROR(INDEX('Price List'!$G$5:$G$74,MATCH(TRIM(J676)&amp;"|"&amp;TRIM(P676),'Price List'!$O$5:$O$74,0)),0)</f>
        <v>0</v>
      </c>
      <c r="U676" s="150">
        <f>IFERROR(INDEX('Price List'!$H$5:$H$74,MATCH(TRIM(J676)&amp;"|"&amp;TRIM(P676),'Price List'!$O$5:$O$74,0)),0)</f>
        <v>0</v>
      </c>
      <c r="V676" s="141">
        <f t="shared" si="52"/>
        <v>0</v>
      </c>
      <c r="W676" s="151">
        <f>IFERROR(INDEX('Price List'!$J$5:$J$74,MATCH(TRIM(J676)&amp;"|"&amp;TRIM(P676),'Price List'!$O$5:$O$74,0)),0)</f>
        <v>40</v>
      </c>
      <c r="X676" s="152">
        <f>IFERROR(INDEX('Price List'!$K$5:$K$74,MATCH(TRIM(J676)&amp;"|"&amp;TRIM(P676),'Price List'!$O$5:$O$74,0)),0)</f>
        <v>0.12</v>
      </c>
      <c r="Y676" s="141">
        <f t="shared" si="53"/>
        <v>44.800000000000004</v>
      </c>
      <c r="Z676" s="141">
        <f t="shared" si="54"/>
        <v>224.00000000000003</v>
      </c>
      <c r="AA676" s="134"/>
    </row>
    <row r="677" spans="1:27" ht="12" customHeight="1" x14ac:dyDescent="0.35">
      <c r="A677" s="134"/>
      <c r="B677" s="134"/>
      <c r="C677" s="134" t="s">
        <v>689</v>
      </c>
      <c r="D677" s="136" t="str">
        <f t="shared" si="51"/>
        <v>C.10</v>
      </c>
      <c r="E677" s="135" t="s">
        <v>414</v>
      </c>
      <c r="F677" s="135" t="s">
        <v>677</v>
      </c>
      <c r="G677" s="134" t="s">
        <v>700</v>
      </c>
      <c r="H677" s="134" t="s">
        <v>701</v>
      </c>
      <c r="I677" s="134" t="s">
        <v>701</v>
      </c>
      <c r="J677" s="144" t="s">
        <v>313</v>
      </c>
      <c r="K677" s="134" t="s">
        <v>703</v>
      </c>
      <c r="L677" s="134"/>
      <c r="M677" s="134" t="s">
        <v>704</v>
      </c>
      <c r="N677" s="134"/>
      <c r="O677" s="134"/>
      <c r="P677" s="135" t="s">
        <v>234</v>
      </c>
      <c r="Q677" s="148">
        <v>1</v>
      </c>
      <c r="R677" s="148">
        <v>1</v>
      </c>
      <c r="S677" s="135"/>
      <c r="T677" s="149">
        <f>IFERROR(INDEX('Price List'!$G$5:$G$74,MATCH(TRIM(J677)&amp;"|"&amp;TRIM(P677),'Price List'!$O$5:$O$74,0)),0)</f>
        <v>0</v>
      </c>
      <c r="U677" s="150">
        <f>IFERROR(INDEX('Price List'!$H$5:$H$74,MATCH(TRIM(J677)&amp;"|"&amp;TRIM(P677),'Price List'!$O$5:$O$74,0)),0)</f>
        <v>0</v>
      </c>
      <c r="V677" s="141">
        <f t="shared" si="52"/>
        <v>0</v>
      </c>
      <c r="W677" s="151">
        <f>IFERROR(INDEX('Price List'!$J$5:$J$74,MATCH(TRIM(J677)&amp;"|"&amp;TRIM(P677),'Price List'!$O$5:$O$74,0)),0)</f>
        <v>45</v>
      </c>
      <c r="X677" s="152">
        <f>IFERROR(INDEX('Price List'!$K$5:$K$74,MATCH(TRIM(J677)&amp;"|"&amp;TRIM(P677),'Price List'!$O$5:$O$74,0)),0)</f>
        <v>0.12</v>
      </c>
      <c r="Y677" s="141">
        <f t="shared" si="53"/>
        <v>50.400000000000006</v>
      </c>
      <c r="Z677" s="141">
        <f t="shared" si="54"/>
        <v>50.400000000000006</v>
      </c>
      <c r="AA677" s="134"/>
    </row>
    <row r="678" spans="1:27" ht="12" customHeight="1" x14ac:dyDescent="0.35">
      <c r="A678" s="134"/>
      <c r="B678" s="134"/>
      <c r="C678" s="134" t="s">
        <v>689</v>
      </c>
      <c r="D678" s="136" t="str">
        <f t="shared" si="51"/>
        <v>C.10</v>
      </c>
      <c r="E678" s="135" t="s">
        <v>414</v>
      </c>
      <c r="F678" s="135" t="s">
        <v>677</v>
      </c>
      <c r="G678" s="134" t="s">
        <v>700</v>
      </c>
      <c r="H678" s="134" t="s">
        <v>701</v>
      </c>
      <c r="I678" s="134" t="s">
        <v>701</v>
      </c>
      <c r="J678" s="144" t="s">
        <v>313</v>
      </c>
      <c r="K678" s="134" t="s">
        <v>705</v>
      </c>
      <c r="L678" s="134"/>
      <c r="M678" s="134" t="s">
        <v>706</v>
      </c>
      <c r="N678" s="134"/>
      <c r="O678" s="134"/>
      <c r="P678" s="135" t="s">
        <v>234</v>
      </c>
      <c r="Q678" s="148">
        <v>1</v>
      </c>
      <c r="R678" s="148">
        <v>1</v>
      </c>
      <c r="S678" s="135"/>
      <c r="T678" s="149">
        <f>IFERROR(INDEX('Price List'!$G$5:$G$74,MATCH(TRIM(J678)&amp;"|"&amp;TRIM(P678),'Price List'!$O$5:$O$74,0)),0)</f>
        <v>0</v>
      </c>
      <c r="U678" s="150">
        <f>IFERROR(INDEX('Price List'!$H$5:$H$74,MATCH(TRIM(J678)&amp;"|"&amp;TRIM(P678),'Price List'!$O$5:$O$74,0)),0)</f>
        <v>0</v>
      </c>
      <c r="V678" s="141">
        <f t="shared" si="52"/>
        <v>0</v>
      </c>
      <c r="W678" s="151">
        <f>IFERROR(INDEX('Price List'!$J$5:$J$74,MATCH(TRIM(J678)&amp;"|"&amp;TRIM(P678),'Price List'!$O$5:$O$74,0)),0)</f>
        <v>45</v>
      </c>
      <c r="X678" s="152">
        <f>IFERROR(INDEX('Price List'!$K$5:$K$74,MATCH(TRIM(J678)&amp;"|"&amp;TRIM(P678),'Price List'!$O$5:$O$74,0)),0)</f>
        <v>0.12</v>
      </c>
      <c r="Y678" s="141">
        <f t="shared" si="53"/>
        <v>50.400000000000006</v>
      </c>
      <c r="Z678" s="141">
        <f t="shared" si="54"/>
        <v>50.400000000000006</v>
      </c>
      <c r="AA678" s="134"/>
    </row>
    <row r="679" spans="1:27" ht="12" customHeight="1" x14ac:dyDescent="0.35">
      <c r="A679" s="134"/>
      <c r="B679" s="134"/>
      <c r="C679" s="134" t="s">
        <v>689</v>
      </c>
      <c r="D679" s="136" t="str">
        <f t="shared" si="51"/>
        <v>C.10</v>
      </c>
      <c r="E679" s="135" t="s">
        <v>414</v>
      </c>
      <c r="F679" s="135" t="s">
        <v>677</v>
      </c>
      <c r="G679" s="134" t="s">
        <v>700</v>
      </c>
      <c r="H679" s="134" t="s">
        <v>707</v>
      </c>
      <c r="I679" s="134" t="s">
        <v>707</v>
      </c>
      <c r="J679" s="144" t="s">
        <v>319</v>
      </c>
      <c r="K679" s="134" t="s">
        <v>708</v>
      </c>
      <c r="L679" s="134"/>
      <c r="M679" s="134"/>
      <c r="N679" s="134"/>
      <c r="O679" s="134"/>
      <c r="P679" s="135" t="s">
        <v>234</v>
      </c>
      <c r="Q679" s="148">
        <v>1</v>
      </c>
      <c r="R679" s="148">
        <v>1</v>
      </c>
      <c r="S679" s="135"/>
      <c r="T679" s="149">
        <f>IFERROR(INDEX('Price List'!$G$5:$G$74,MATCH(TRIM(J679)&amp;"|"&amp;TRIM(P679),'Price List'!$O$5:$O$74,0)),0)</f>
        <v>0</v>
      </c>
      <c r="U679" s="150">
        <f>IFERROR(INDEX('Price List'!$H$5:$H$74,MATCH(TRIM(J679)&amp;"|"&amp;TRIM(P679),'Price List'!$O$5:$O$74,0)),0)</f>
        <v>0</v>
      </c>
      <c r="V679" s="141">
        <f t="shared" si="52"/>
        <v>0</v>
      </c>
      <c r="W679" s="151">
        <f>IFERROR(INDEX('Price List'!$J$5:$J$74,MATCH(TRIM(J679)&amp;"|"&amp;TRIM(P679),'Price List'!$O$5:$O$74,0)),0)</f>
        <v>120</v>
      </c>
      <c r="X679" s="152">
        <f>IFERROR(INDEX('Price List'!$K$5:$K$74,MATCH(TRIM(J679)&amp;"|"&amp;TRIM(P679),'Price List'!$O$5:$O$74,0)),0)</f>
        <v>0.12</v>
      </c>
      <c r="Y679" s="141">
        <f t="shared" si="53"/>
        <v>134.4</v>
      </c>
      <c r="Z679" s="141">
        <f t="shared" si="54"/>
        <v>134.4</v>
      </c>
      <c r="AA679" s="134"/>
    </row>
    <row r="680" spans="1:27" ht="12" customHeight="1" x14ac:dyDescent="0.35">
      <c r="A680" s="134"/>
      <c r="B680" s="134"/>
      <c r="C680" s="134" t="s">
        <v>689</v>
      </c>
      <c r="D680" s="136" t="str">
        <f t="shared" si="51"/>
        <v>C.10</v>
      </c>
      <c r="E680" s="135" t="s">
        <v>414</v>
      </c>
      <c r="F680" s="135" t="s">
        <v>677</v>
      </c>
      <c r="G680" s="134" t="s">
        <v>700</v>
      </c>
      <c r="H680" s="134" t="s">
        <v>707</v>
      </c>
      <c r="I680" s="134" t="s">
        <v>707</v>
      </c>
      <c r="J680" s="144" t="s">
        <v>323</v>
      </c>
      <c r="K680" s="134" t="s">
        <v>715</v>
      </c>
      <c r="L680" s="134"/>
      <c r="M680" s="134"/>
      <c r="N680" s="134"/>
      <c r="O680" s="134"/>
      <c r="P680" s="135" t="s">
        <v>234</v>
      </c>
      <c r="Q680" s="148">
        <v>3</v>
      </c>
      <c r="R680" s="148">
        <v>3</v>
      </c>
      <c r="S680" s="135"/>
      <c r="T680" s="149">
        <f>IFERROR(INDEX('Price List'!$G$5:$G$74,MATCH(TRIM(J680)&amp;"|"&amp;TRIM(P680),'Price List'!$O$5:$O$74,0)),0)</f>
        <v>0</v>
      </c>
      <c r="U680" s="150">
        <f>IFERROR(INDEX('Price List'!$H$5:$H$74,MATCH(TRIM(J680)&amp;"|"&amp;TRIM(P680),'Price List'!$O$5:$O$74,0)),0)</f>
        <v>0</v>
      </c>
      <c r="V680" s="141">
        <f t="shared" si="52"/>
        <v>0</v>
      </c>
      <c r="W680" s="151">
        <f>IFERROR(INDEX('Price List'!$J$5:$J$74,MATCH(TRIM(J680)&amp;"|"&amp;TRIM(P680),'Price List'!$O$5:$O$74,0)),0)</f>
        <v>210</v>
      </c>
      <c r="X680" s="152">
        <f>IFERROR(INDEX('Price List'!$K$5:$K$74,MATCH(TRIM(J680)&amp;"|"&amp;TRIM(P680),'Price List'!$O$5:$O$74,0)),0)</f>
        <v>0.12</v>
      </c>
      <c r="Y680" s="141">
        <f t="shared" si="53"/>
        <v>235.20000000000002</v>
      </c>
      <c r="Z680" s="141">
        <f t="shared" si="54"/>
        <v>705.6</v>
      </c>
      <c r="AA680" s="134"/>
    </row>
    <row r="681" spans="1:27" ht="12" customHeight="1" x14ac:dyDescent="0.35">
      <c r="A681" s="134"/>
      <c r="B681" s="134"/>
      <c r="C681" s="134" t="s">
        <v>689</v>
      </c>
      <c r="D681" s="136" t="str">
        <f t="shared" si="51"/>
        <v>C.10</v>
      </c>
      <c r="E681" s="135" t="s">
        <v>414</v>
      </c>
      <c r="F681" s="135" t="s">
        <v>677</v>
      </c>
      <c r="G681" s="134" t="s">
        <v>700</v>
      </c>
      <c r="H681" s="134" t="s">
        <v>711</v>
      </c>
      <c r="I681" s="134" t="s">
        <v>711</v>
      </c>
      <c r="J681" s="144" t="s">
        <v>327</v>
      </c>
      <c r="K681" s="134" t="s">
        <v>712</v>
      </c>
      <c r="L681" s="134"/>
      <c r="M681" s="134"/>
      <c r="N681" s="134"/>
      <c r="O681" s="134"/>
      <c r="P681" s="135" t="s">
        <v>234</v>
      </c>
      <c r="Q681" s="148">
        <v>1</v>
      </c>
      <c r="R681" s="148">
        <v>1</v>
      </c>
      <c r="S681" s="135"/>
      <c r="T681" s="149">
        <f>IFERROR(INDEX('Price List'!$G$5:$G$74,MATCH(TRIM(J681)&amp;"|"&amp;TRIM(P681),'Price List'!$O$5:$O$74,0)),0)</f>
        <v>0</v>
      </c>
      <c r="U681" s="150">
        <f>IFERROR(INDEX('Price List'!$H$5:$H$74,MATCH(TRIM(J681)&amp;"|"&amp;TRIM(P681),'Price List'!$O$5:$O$74,0)),0)</f>
        <v>0</v>
      </c>
      <c r="V681" s="141">
        <f t="shared" si="52"/>
        <v>0</v>
      </c>
      <c r="W681" s="151">
        <f>IFERROR(INDEX('Price List'!$J$5:$J$74,MATCH(TRIM(J681)&amp;"|"&amp;TRIM(P681),'Price List'!$O$5:$O$74,0)),0)</f>
        <v>135</v>
      </c>
      <c r="X681" s="152">
        <f>IFERROR(INDEX('Price List'!$K$5:$K$74,MATCH(TRIM(J681)&amp;"|"&amp;TRIM(P681),'Price List'!$O$5:$O$74,0)),0)</f>
        <v>0.12</v>
      </c>
      <c r="Y681" s="141">
        <f t="shared" si="53"/>
        <v>151.20000000000002</v>
      </c>
      <c r="Z681" s="141">
        <f t="shared" si="54"/>
        <v>151.20000000000002</v>
      </c>
      <c r="AA681" s="134"/>
    </row>
    <row r="682" spans="1:27" ht="12" customHeight="1" x14ac:dyDescent="0.35">
      <c r="A682" s="134"/>
      <c r="B682" s="134"/>
      <c r="C682" s="134" t="s">
        <v>689</v>
      </c>
      <c r="D682" s="136" t="str">
        <f t="shared" si="51"/>
        <v>C.10</v>
      </c>
      <c r="E682" s="135" t="s">
        <v>414</v>
      </c>
      <c r="F682" s="135" t="s">
        <v>678</v>
      </c>
      <c r="G682" s="134" t="s">
        <v>700</v>
      </c>
      <c r="H682" s="134" t="s">
        <v>707</v>
      </c>
      <c r="I682" s="134" t="s">
        <v>707</v>
      </c>
      <c r="J682" s="144" t="s">
        <v>319</v>
      </c>
      <c r="K682" s="134" t="s">
        <v>708</v>
      </c>
      <c r="L682" s="134"/>
      <c r="M682" s="134"/>
      <c r="N682" s="134"/>
      <c r="O682" s="134"/>
      <c r="P682" s="135" t="s">
        <v>234</v>
      </c>
      <c r="Q682" s="148">
        <v>2</v>
      </c>
      <c r="R682" s="148">
        <v>2</v>
      </c>
      <c r="S682" s="135"/>
      <c r="T682" s="149">
        <f>IFERROR(INDEX('Price List'!$G$5:$G$74,MATCH(TRIM(J682)&amp;"|"&amp;TRIM(P682),'Price List'!$O$5:$O$74,0)),0)</f>
        <v>0</v>
      </c>
      <c r="U682" s="150">
        <f>IFERROR(INDEX('Price List'!$H$5:$H$74,MATCH(TRIM(J682)&amp;"|"&amp;TRIM(P682),'Price List'!$O$5:$O$74,0)),0)</f>
        <v>0</v>
      </c>
      <c r="V682" s="141">
        <f t="shared" si="52"/>
        <v>0</v>
      </c>
      <c r="W682" s="151">
        <f>IFERROR(INDEX('Price List'!$J$5:$J$74,MATCH(TRIM(J682)&amp;"|"&amp;TRIM(P682),'Price List'!$O$5:$O$74,0)),0)</f>
        <v>120</v>
      </c>
      <c r="X682" s="152">
        <f>IFERROR(INDEX('Price List'!$K$5:$K$74,MATCH(TRIM(J682)&amp;"|"&amp;TRIM(P682),'Price List'!$O$5:$O$74,0)),0)</f>
        <v>0.12</v>
      </c>
      <c r="Y682" s="141">
        <f t="shared" si="53"/>
        <v>134.4</v>
      </c>
      <c r="Z682" s="141">
        <f t="shared" si="54"/>
        <v>268.8</v>
      </c>
      <c r="AA682" s="134"/>
    </row>
    <row r="683" spans="1:27" ht="12" customHeight="1" x14ac:dyDescent="0.35">
      <c r="A683" s="134"/>
      <c r="B683" s="134"/>
      <c r="C683" s="134" t="s">
        <v>689</v>
      </c>
      <c r="D683" s="136" t="str">
        <f t="shared" si="51"/>
        <v>C.10</v>
      </c>
      <c r="E683" s="135" t="s">
        <v>414</v>
      </c>
      <c r="F683" s="135" t="s">
        <v>678</v>
      </c>
      <c r="G683" s="134" t="s">
        <v>700</v>
      </c>
      <c r="H683" s="134" t="s">
        <v>707</v>
      </c>
      <c r="I683" s="134" t="s">
        <v>707</v>
      </c>
      <c r="J683" s="144" t="s">
        <v>319</v>
      </c>
      <c r="K683" s="134" t="s">
        <v>716</v>
      </c>
      <c r="L683" s="134"/>
      <c r="M683" s="134"/>
      <c r="N683" s="134"/>
      <c r="O683" s="134"/>
      <c r="P683" s="135" t="s">
        <v>234</v>
      </c>
      <c r="Q683" s="148">
        <v>1</v>
      </c>
      <c r="R683" s="148">
        <v>1</v>
      </c>
      <c r="S683" s="135"/>
      <c r="T683" s="149">
        <f>IFERROR(INDEX('Price List'!$G$5:$G$74,MATCH(TRIM(J683)&amp;"|"&amp;TRIM(P683),'Price List'!$O$5:$O$74,0)),0)</f>
        <v>0</v>
      </c>
      <c r="U683" s="150">
        <f>IFERROR(INDEX('Price List'!$H$5:$H$74,MATCH(TRIM(J683)&amp;"|"&amp;TRIM(P683),'Price List'!$O$5:$O$74,0)),0)</f>
        <v>0</v>
      </c>
      <c r="V683" s="141">
        <f t="shared" si="52"/>
        <v>0</v>
      </c>
      <c r="W683" s="151">
        <f>IFERROR(INDEX('Price List'!$J$5:$J$74,MATCH(TRIM(J683)&amp;"|"&amp;TRIM(P683),'Price List'!$O$5:$O$74,0)),0)</f>
        <v>120</v>
      </c>
      <c r="X683" s="152">
        <f>IFERROR(INDEX('Price List'!$K$5:$K$74,MATCH(TRIM(J683)&amp;"|"&amp;TRIM(P683),'Price List'!$O$5:$O$74,0)),0)</f>
        <v>0.12</v>
      </c>
      <c r="Y683" s="141">
        <f t="shared" si="53"/>
        <v>134.4</v>
      </c>
      <c r="Z683" s="141">
        <f t="shared" si="54"/>
        <v>134.4</v>
      </c>
      <c r="AA683" s="134"/>
    </row>
    <row r="684" spans="1:27" ht="12" customHeight="1" x14ac:dyDescent="0.35">
      <c r="A684" s="134"/>
      <c r="B684" s="134"/>
      <c r="C684" s="134" t="s">
        <v>689</v>
      </c>
      <c r="D684" s="136" t="str">
        <f t="shared" si="51"/>
        <v>C.04</v>
      </c>
      <c r="E684" s="135" t="s">
        <v>414</v>
      </c>
      <c r="F684" s="135" t="s">
        <v>664</v>
      </c>
      <c r="G684" s="134" t="s">
        <v>717</v>
      </c>
      <c r="H684" s="134" t="s">
        <v>718</v>
      </c>
      <c r="I684" s="134" t="s">
        <v>718</v>
      </c>
      <c r="J684" s="144" t="s">
        <v>278</v>
      </c>
      <c r="K684" s="134" t="s">
        <v>719</v>
      </c>
      <c r="L684" s="134"/>
      <c r="M684" s="134"/>
      <c r="N684" s="134"/>
      <c r="O684" s="134"/>
      <c r="P684" s="135" t="s">
        <v>234</v>
      </c>
      <c r="Q684" s="148">
        <v>1</v>
      </c>
      <c r="R684" s="148">
        <v>1</v>
      </c>
      <c r="S684" s="135"/>
      <c r="T684" s="149">
        <f>IFERROR(INDEX('Price List'!$G$5:$G$74,MATCH(TRIM(J684)&amp;"|"&amp;TRIM(P684),'Price List'!$O$5:$O$74,0)),0)</f>
        <v>0</v>
      </c>
      <c r="U684" s="150">
        <f>IFERROR(INDEX('Price List'!$H$5:$H$74,MATCH(TRIM(J684)&amp;"|"&amp;TRIM(P684),'Price List'!$O$5:$O$74,0)),0)</f>
        <v>0</v>
      </c>
      <c r="V684" s="141">
        <f t="shared" si="52"/>
        <v>0</v>
      </c>
      <c r="W684" s="151">
        <f>IFERROR(INDEX('Price List'!$J$5:$J$74,MATCH(TRIM(J684)&amp;"|"&amp;TRIM(P684),'Price List'!$O$5:$O$74,0)),0)</f>
        <v>82.5</v>
      </c>
      <c r="X684" s="152">
        <f>IFERROR(INDEX('Price List'!$K$5:$K$74,MATCH(TRIM(J684)&amp;"|"&amp;TRIM(P684),'Price List'!$O$5:$O$74,0)),0)</f>
        <v>0.12</v>
      </c>
      <c r="Y684" s="141">
        <f t="shared" si="53"/>
        <v>92.4</v>
      </c>
      <c r="Z684" s="141">
        <f t="shared" si="54"/>
        <v>92.4</v>
      </c>
      <c r="AA684" s="134"/>
    </row>
    <row r="685" spans="1:27" ht="12" customHeight="1" x14ac:dyDescent="0.35">
      <c r="A685" s="134"/>
      <c r="B685" s="134"/>
      <c r="C685" s="134" t="s">
        <v>689</v>
      </c>
      <c r="D685" s="136" t="str">
        <f t="shared" si="51"/>
        <v>C.04</v>
      </c>
      <c r="E685" s="135" t="s">
        <v>414</v>
      </c>
      <c r="F685" s="135" t="s">
        <v>664</v>
      </c>
      <c r="G685" s="134" t="s">
        <v>717</v>
      </c>
      <c r="H685" s="134" t="s">
        <v>718</v>
      </c>
      <c r="I685" s="134" t="s">
        <v>718</v>
      </c>
      <c r="J685" s="144" t="s">
        <v>280</v>
      </c>
      <c r="K685" s="134" t="s">
        <v>720</v>
      </c>
      <c r="L685" s="134"/>
      <c r="M685" s="134"/>
      <c r="N685" s="134"/>
      <c r="O685" s="134"/>
      <c r="P685" s="135" t="s">
        <v>234</v>
      </c>
      <c r="Q685" s="148">
        <v>1</v>
      </c>
      <c r="R685" s="148">
        <v>1</v>
      </c>
      <c r="S685" s="135"/>
      <c r="T685" s="149">
        <f>IFERROR(INDEX('Price List'!$G$5:$G$74,MATCH(TRIM(J685)&amp;"|"&amp;TRIM(P685),'Price List'!$O$5:$O$74,0)),0)</f>
        <v>0</v>
      </c>
      <c r="U685" s="150">
        <f>IFERROR(INDEX('Price List'!$H$5:$H$74,MATCH(TRIM(J685)&amp;"|"&amp;TRIM(P685),'Price List'!$O$5:$O$74,0)),0)</f>
        <v>0</v>
      </c>
      <c r="V685" s="141">
        <f t="shared" si="52"/>
        <v>0</v>
      </c>
      <c r="W685" s="151">
        <f>IFERROR(INDEX('Price List'!$J$5:$J$74,MATCH(TRIM(J685)&amp;"|"&amp;TRIM(P685),'Price List'!$O$5:$O$74,0)),0)</f>
        <v>49.5</v>
      </c>
      <c r="X685" s="152">
        <f>IFERROR(INDEX('Price List'!$K$5:$K$74,MATCH(TRIM(J685)&amp;"|"&amp;TRIM(P685),'Price List'!$O$5:$O$74,0)),0)</f>
        <v>0.12</v>
      </c>
      <c r="Y685" s="141">
        <f t="shared" si="53"/>
        <v>55.440000000000005</v>
      </c>
      <c r="Z685" s="141">
        <f t="shared" si="54"/>
        <v>55.440000000000005</v>
      </c>
      <c r="AA685" s="134"/>
    </row>
    <row r="686" spans="1:27" ht="12" customHeight="1" x14ac:dyDescent="0.35">
      <c r="A686" s="134"/>
      <c r="B686" s="134"/>
      <c r="C686" s="134" t="s">
        <v>689</v>
      </c>
      <c r="D686" s="136" t="str">
        <f t="shared" si="51"/>
        <v>C.04</v>
      </c>
      <c r="E686" s="135" t="s">
        <v>414</v>
      </c>
      <c r="F686" s="135" t="s">
        <v>664</v>
      </c>
      <c r="G686" s="134" t="s">
        <v>717</v>
      </c>
      <c r="H686" s="134" t="s">
        <v>718</v>
      </c>
      <c r="I686" s="134" t="s">
        <v>718</v>
      </c>
      <c r="J686" s="144" t="s">
        <v>282</v>
      </c>
      <c r="K686" s="134" t="s">
        <v>721</v>
      </c>
      <c r="L686" s="134"/>
      <c r="M686" s="134"/>
      <c r="N686" s="134"/>
      <c r="O686" s="134"/>
      <c r="P686" s="135" t="s">
        <v>234</v>
      </c>
      <c r="Q686" s="148">
        <v>1</v>
      </c>
      <c r="R686" s="148">
        <v>1</v>
      </c>
      <c r="S686" s="135"/>
      <c r="T686" s="149">
        <f>IFERROR(INDEX('Price List'!$G$5:$G$74,MATCH(TRIM(J686)&amp;"|"&amp;TRIM(P686),'Price List'!$O$5:$O$74,0)),0)</f>
        <v>0</v>
      </c>
      <c r="U686" s="150">
        <f>IFERROR(INDEX('Price List'!$H$5:$H$74,MATCH(TRIM(J686)&amp;"|"&amp;TRIM(P686),'Price List'!$O$5:$O$74,0)),0)</f>
        <v>0</v>
      </c>
      <c r="V686" s="141">
        <f t="shared" si="52"/>
        <v>0</v>
      </c>
      <c r="W686" s="151">
        <f>IFERROR(INDEX('Price List'!$J$5:$J$74,MATCH(TRIM(J686)&amp;"|"&amp;TRIM(P686),'Price List'!$O$5:$O$74,0)),0)</f>
        <v>117</v>
      </c>
      <c r="X686" s="152">
        <f>IFERROR(INDEX('Price List'!$K$5:$K$74,MATCH(TRIM(J686)&amp;"|"&amp;TRIM(P686),'Price List'!$O$5:$O$74,0)),0)</f>
        <v>0.12</v>
      </c>
      <c r="Y686" s="141">
        <f t="shared" si="53"/>
        <v>131.04000000000002</v>
      </c>
      <c r="Z686" s="141">
        <f t="shared" si="54"/>
        <v>131.04000000000002</v>
      </c>
      <c r="AA686" s="134"/>
    </row>
    <row r="687" spans="1:27" ht="12" customHeight="1" x14ac:dyDescent="0.35">
      <c r="A687" s="134"/>
      <c r="B687" s="134"/>
      <c r="C687" s="134" t="s">
        <v>689</v>
      </c>
      <c r="D687" s="136" t="str">
        <f t="shared" si="51"/>
        <v>C.04</v>
      </c>
      <c r="E687" s="135" t="s">
        <v>414</v>
      </c>
      <c r="F687" s="135" t="s">
        <v>667</v>
      </c>
      <c r="G687" s="134" t="s">
        <v>717</v>
      </c>
      <c r="H687" s="134" t="s">
        <v>718</v>
      </c>
      <c r="I687" s="134" t="s">
        <v>718</v>
      </c>
      <c r="J687" s="144" t="s">
        <v>278</v>
      </c>
      <c r="K687" s="134" t="s">
        <v>719</v>
      </c>
      <c r="L687" s="134"/>
      <c r="M687" s="134"/>
      <c r="N687" s="134"/>
      <c r="O687" s="134"/>
      <c r="P687" s="135" t="s">
        <v>234</v>
      </c>
      <c r="Q687" s="148">
        <v>1</v>
      </c>
      <c r="R687" s="148">
        <v>1</v>
      </c>
      <c r="S687" s="135"/>
      <c r="T687" s="149">
        <f>IFERROR(INDEX('Price List'!$G$5:$G$74,MATCH(TRIM(J687)&amp;"|"&amp;TRIM(P687),'Price List'!$O$5:$O$74,0)),0)</f>
        <v>0</v>
      </c>
      <c r="U687" s="150">
        <f>IFERROR(INDEX('Price List'!$H$5:$H$74,MATCH(TRIM(J687)&amp;"|"&amp;TRIM(P687),'Price List'!$O$5:$O$74,0)),0)</f>
        <v>0</v>
      </c>
      <c r="V687" s="141">
        <f t="shared" si="52"/>
        <v>0</v>
      </c>
      <c r="W687" s="151">
        <f>IFERROR(INDEX('Price List'!$J$5:$J$74,MATCH(TRIM(J687)&amp;"|"&amp;TRIM(P687),'Price List'!$O$5:$O$74,0)),0)</f>
        <v>82.5</v>
      </c>
      <c r="X687" s="152">
        <f>IFERROR(INDEX('Price List'!$K$5:$K$74,MATCH(TRIM(J687)&amp;"|"&amp;TRIM(P687),'Price List'!$O$5:$O$74,0)),0)</f>
        <v>0.12</v>
      </c>
      <c r="Y687" s="141">
        <f t="shared" si="53"/>
        <v>92.4</v>
      </c>
      <c r="Z687" s="141">
        <f t="shared" si="54"/>
        <v>92.4</v>
      </c>
      <c r="AA687" s="134"/>
    </row>
    <row r="688" spans="1:27" ht="12" customHeight="1" x14ac:dyDescent="0.35">
      <c r="A688" s="134"/>
      <c r="B688" s="134"/>
      <c r="C688" s="134" t="s">
        <v>689</v>
      </c>
      <c r="D688" s="136" t="str">
        <f t="shared" si="51"/>
        <v>C.04</v>
      </c>
      <c r="E688" s="135" t="s">
        <v>414</v>
      </c>
      <c r="F688" s="135" t="s">
        <v>667</v>
      </c>
      <c r="G688" s="134" t="s">
        <v>717</v>
      </c>
      <c r="H688" s="134" t="s">
        <v>718</v>
      </c>
      <c r="I688" s="134" t="s">
        <v>718</v>
      </c>
      <c r="J688" s="144" t="s">
        <v>280</v>
      </c>
      <c r="K688" s="134" t="s">
        <v>720</v>
      </c>
      <c r="L688" s="134"/>
      <c r="M688" s="134"/>
      <c r="N688" s="134"/>
      <c r="O688" s="134"/>
      <c r="P688" s="135" t="s">
        <v>234</v>
      </c>
      <c r="Q688" s="148">
        <v>1</v>
      </c>
      <c r="R688" s="148">
        <v>1</v>
      </c>
      <c r="S688" s="135"/>
      <c r="T688" s="149">
        <f>IFERROR(INDEX('Price List'!$G$5:$G$74,MATCH(TRIM(J688)&amp;"|"&amp;TRIM(P688),'Price List'!$O$5:$O$74,0)),0)</f>
        <v>0</v>
      </c>
      <c r="U688" s="150">
        <f>IFERROR(INDEX('Price List'!$H$5:$H$74,MATCH(TRIM(J688)&amp;"|"&amp;TRIM(P688),'Price List'!$O$5:$O$74,0)),0)</f>
        <v>0</v>
      </c>
      <c r="V688" s="141">
        <f t="shared" si="52"/>
        <v>0</v>
      </c>
      <c r="W688" s="151">
        <f>IFERROR(INDEX('Price List'!$J$5:$J$74,MATCH(TRIM(J688)&amp;"|"&amp;TRIM(P688),'Price List'!$O$5:$O$74,0)),0)</f>
        <v>49.5</v>
      </c>
      <c r="X688" s="152">
        <f>IFERROR(INDEX('Price List'!$K$5:$K$74,MATCH(TRIM(J688)&amp;"|"&amp;TRIM(P688),'Price List'!$O$5:$O$74,0)),0)</f>
        <v>0.12</v>
      </c>
      <c r="Y688" s="141">
        <f t="shared" si="53"/>
        <v>55.440000000000005</v>
      </c>
      <c r="Z688" s="141">
        <f t="shared" si="54"/>
        <v>55.440000000000005</v>
      </c>
      <c r="AA688" s="134"/>
    </row>
    <row r="689" spans="1:27" ht="12" customHeight="1" x14ac:dyDescent="0.35">
      <c r="A689" s="134"/>
      <c r="B689" s="134"/>
      <c r="C689" s="134" t="s">
        <v>689</v>
      </c>
      <c r="D689" s="136" t="str">
        <f t="shared" si="51"/>
        <v>C.04</v>
      </c>
      <c r="E689" s="135" t="s">
        <v>414</v>
      </c>
      <c r="F689" s="135" t="s">
        <v>667</v>
      </c>
      <c r="G689" s="134" t="s">
        <v>717</v>
      </c>
      <c r="H689" s="134" t="s">
        <v>718</v>
      </c>
      <c r="I689" s="134" t="s">
        <v>718</v>
      </c>
      <c r="J689" s="144" t="s">
        <v>282</v>
      </c>
      <c r="K689" s="134" t="s">
        <v>721</v>
      </c>
      <c r="L689" s="134"/>
      <c r="M689" s="134"/>
      <c r="N689" s="134"/>
      <c r="O689" s="134"/>
      <c r="P689" s="135" t="s">
        <v>234</v>
      </c>
      <c r="Q689" s="148">
        <v>1</v>
      </c>
      <c r="R689" s="148">
        <v>1</v>
      </c>
      <c r="S689" s="135"/>
      <c r="T689" s="149">
        <f>IFERROR(INDEX('Price List'!$G$5:$G$74,MATCH(TRIM(J689)&amp;"|"&amp;TRIM(P689),'Price List'!$O$5:$O$74,0)),0)</f>
        <v>0</v>
      </c>
      <c r="U689" s="150">
        <f>IFERROR(INDEX('Price List'!$H$5:$H$74,MATCH(TRIM(J689)&amp;"|"&amp;TRIM(P689),'Price List'!$O$5:$O$74,0)),0)</f>
        <v>0</v>
      </c>
      <c r="V689" s="141">
        <f t="shared" si="52"/>
        <v>0</v>
      </c>
      <c r="W689" s="151">
        <f>IFERROR(INDEX('Price List'!$J$5:$J$74,MATCH(TRIM(J689)&amp;"|"&amp;TRIM(P689),'Price List'!$O$5:$O$74,0)),0)</f>
        <v>117</v>
      </c>
      <c r="X689" s="152">
        <f>IFERROR(INDEX('Price List'!$K$5:$K$74,MATCH(TRIM(J689)&amp;"|"&amp;TRIM(P689),'Price List'!$O$5:$O$74,0)),0)</f>
        <v>0.12</v>
      </c>
      <c r="Y689" s="141">
        <f t="shared" si="53"/>
        <v>131.04000000000002</v>
      </c>
      <c r="Z689" s="141">
        <f t="shared" si="54"/>
        <v>131.04000000000002</v>
      </c>
      <c r="AA689" s="134"/>
    </row>
    <row r="690" spans="1:27" ht="12" customHeight="1" x14ac:dyDescent="0.35">
      <c r="A690" s="134"/>
      <c r="B690" s="134"/>
      <c r="C690" s="134" t="s">
        <v>689</v>
      </c>
      <c r="D690" s="136" t="str">
        <f t="shared" si="51"/>
        <v>C.04</v>
      </c>
      <c r="E690" s="135" t="s">
        <v>414</v>
      </c>
      <c r="F690" s="135" t="s">
        <v>667</v>
      </c>
      <c r="G690" s="134" t="s">
        <v>717</v>
      </c>
      <c r="H690" s="134" t="s">
        <v>718</v>
      </c>
      <c r="I690" s="134" t="s">
        <v>718</v>
      </c>
      <c r="J690" s="144" t="s">
        <v>284</v>
      </c>
      <c r="K690" s="134" t="s">
        <v>722</v>
      </c>
      <c r="L690" s="134"/>
      <c r="M690" s="134"/>
      <c r="N690" s="134"/>
      <c r="O690" s="134"/>
      <c r="P690" s="135" t="s">
        <v>234</v>
      </c>
      <c r="Q690" s="148">
        <v>4</v>
      </c>
      <c r="R690" s="148">
        <v>4</v>
      </c>
      <c r="S690" s="135"/>
      <c r="T690" s="149">
        <f>IFERROR(INDEX('Price List'!$G$5:$G$74,MATCH(TRIM(J690)&amp;"|"&amp;TRIM(P690),'Price List'!$O$5:$O$74,0)),0)</f>
        <v>0</v>
      </c>
      <c r="U690" s="150">
        <f>IFERROR(INDEX('Price List'!$H$5:$H$74,MATCH(TRIM(J690)&amp;"|"&amp;TRIM(P690),'Price List'!$O$5:$O$74,0)),0)</f>
        <v>0</v>
      </c>
      <c r="V690" s="141">
        <f t="shared" si="52"/>
        <v>0</v>
      </c>
      <c r="W690" s="151">
        <f>IFERROR(INDEX('Price List'!$J$5:$J$74,MATCH(TRIM(J690)&amp;"|"&amp;TRIM(P690),'Price List'!$O$5:$O$74,0)),0)</f>
        <v>195</v>
      </c>
      <c r="X690" s="152">
        <f>IFERROR(INDEX('Price List'!$K$5:$K$74,MATCH(TRIM(J690)&amp;"|"&amp;TRIM(P690),'Price List'!$O$5:$O$74,0)),0)</f>
        <v>0.12</v>
      </c>
      <c r="Y690" s="141">
        <f t="shared" si="53"/>
        <v>218.40000000000003</v>
      </c>
      <c r="Z690" s="141">
        <f t="shared" si="54"/>
        <v>873.60000000000014</v>
      </c>
      <c r="AA690" s="134"/>
    </row>
    <row r="691" spans="1:27" ht="12" customHeight="1" x14ac:dyDescent="0.35">
      <c r="A691" s="134"/>
      <c r="B691" s="134"/>
      <c r="C691" s="134" t="s">
        <v>689</v>
      </c>
      <c r="D691" s="136" t="str">
        <f t="shared" si="51"/>
        <v>C.04</v>
      </c>
      <c r="E691" s="135" t="s">
        <v>414</v>
      </c>
      <c r="F691" s="135" t="s">
        <v>667</v>
      </c>
      <c r="G691" s="134" t="s">
        <v>717</v>
      </c>
      <c r="H691" s="134" t="s">
        <v>718</v>
      </c>
      <c r="I691" s="134" t="s">
        <v>718</v>
      </c>
      <c r="J691" s="144" t="s">
        <v>286</v>
      </c>
      <c r="K691" s="134" t="s">
        <v>723</v>
      </c>
      <c r="L691" s="134"/>
      <c r="M691" s="134"/>
      <c r="N691" s="134"/>
      <c r="O691" s="134"/>
      <c r="P691" s="135" t="s">
        <v>234</v>
      </c>
      <c r="Q691" s="148">
        <v>2</v>
      </c>
      <c r="R691" s="148">
        <v>2</v>
      </c>
      <c r="S691" s="135"/>
      <c r="T691" s="149">
        <f>IFERROR(INDEX('Price List'!$G$5:$G$74,MATCH(TRIM(J691)&amp;"|"&amp;TRIM(P691),'Price List'!$O$5:$O$74,0)),0)</f>
        <v>0</v>
      </c>
      <c r="U691" s="150">
        <f>IFERROR(INDEX('Price List'!$H$5:$H$74,MATCH(TRIM(J691)&amp;"|"&amp;TRIM(P691),'Price List'!$O$5:$O$74,0)),0)</f>
        <v>0</v>
      </c>
      <c r="V691" s="141">
        <f t="shared" si="52"/>
        <v>0</v>
      </c>
      <c r="W691" s="151">
        <f>IFERROR(INDEX('Price List'!$J$5:$J$74,MATCH(TRIM(J691)&amp;"|"&amp;TRIM(P691),'Price List'!$O$5:$O$74,0)),0)</f>
        <v>292.5</v>
      </c>
      <c r="X691" s="152">
        <f>IFERROR(INDEX('Price List'!$K$5:$K$74,MATCH(TRIM(J691)&amp;"|"&amp;TRIM(P691),'Price List'!$O$5:$O$74,0)),0)</f>
        <v>0.12</v>
      </c>
      <c r="Y691" s="141">
        <f t="shared" si="53"/>
        <v>327.60000000000002</v>
      </c>
      <c r="Z691" s="141">
        <f t="shared" si="54"/>
        <v>655.20000000000005</v>
      </c>
      <c r="AA691" s="134"/>
    </row>
    <row r="692" spans="1:27" ht="12" customHeight="1" x14ac:dyDescent="0.35">
      <c r="A692" s="134"/>
      <c r="B692" s="134"/>
      <c r="C692" s="134" t="s">
        <v>689</v>
      </c>
      <c r="D692" s="136" t="str">
        <f t="shared" si="51"/>
        <v>C.04</v>
      </c>
      <c r="E692" s="135" t="s">
        <v>414</v>
      </c>
      <c r="F692" s="135" t="s">
        <v>667</v>
      </c>
      <c r="G692" s="134" t="s">
        <v>717</v>
      </c>
      <c r="H692" s="134" t="s">
        <v>718</v>
      </c>
      <c r="I692" s="134" t="s">
        <v>718</v>
      </c>
      <c r="J692" s="144" t="s">
        <v>288</v>
      </c>
      <c r="K692" s="134" t="s">
        <v>724</v>
      </c>
      <c r="L692" s="134"/>
      <c r="M692" s="134"/>
      <c r="N692" s="134"/>
      <c r="O692" s="134"/>
      <c r="P692" s="135" t="s">
        <v>234</v>
      </c>
      <c r="Q692" s="148">
        <v>1</v>
      </c>
      <c r="R692" s="148">
        <v>1</v>
      </c>
      <c r="S692" s="135"/>
      <c r="T692" s="149">
        <f>IFERROR(INDEX('Price List'!$G$5:$G$74,MATCH(TRIM(J692)&amp;"|"&amp;TRIM(P692),'Price List'!$O$5:$O$74,0)),0)</f>
        <v>0</v>
      </c>
      <c r="U692" s="150">
        <f>IFERROR(INDEX('Price List'!$H$5:$H$74,MATCH(TRIM(J692)&amp;"|"&amp;TRIM(P692),'Price List'!$O$5:$O$74,0)),0)</f>
        <v>0</v>
      </c>
      <c r="V692" s="141">
        <f t="shared" si="52"/>
        <v>0</v>
      </c>
      <c r="W692" s="151">
        <f>IFERROR(INDEX('Price List'!$J$5:$J$74,MATCH(TRIM(J692)&amp;"|"&amp;TRIM(P692),'Price List'!$O$5:$O$74,0)),0)</f>
        <v>49.5</v>
      </c>
      <c r="X692" s="152">
        <f>IFERROR(INDEX('Price List'!$K$5:$K$74,MATCH(TRIM(J692)&amp;"|"&amp;TRIM(P692),'Price List'!$O$5:$O$74,0)),0)</f>
        <v>0.12</v>
      </c>
      <c r="Y692" s="141">
        <f t="shared" si="53"/>
        <v>55.440000000000005</v>
      </c>
      <c r="Z692" s="141">
        <f t="shared" si="54"/>
        <v>55.440000000000005</v>
      </c>
      <c r="AA692" s="134"/>
    </row>
    <row r="693" spans="1:27" ht="12" customHeight="1" x14ac:dyDescent="0.35">
      <c r="A693" s="134"/>
      <c r="B693" s="134"/>
      <c r="C693" s="134" t="s">
        <v>689</v>
      </c>
      <c r="D693" s="136" t="str">
        <f t="shared" si="51"/>
        <v>C.04</v>
      </c>
      <c r="E693" s="135" t="s">
        <v>414</v>
      </c>
      <c r="F693" s="135" t="s">
        <v>668</v>
      </c>
      <c r="G693" s="134" t="s">
        <v>717</v>
      </c>
      <c r="H693" s="134" t="s">
        <v>718</v>
      </c>
      <c r="I693" s="134" t="s">
        <v>718</v>
      </c>
      <c r="J693" s="144" t="s">
        <v>278</v>
      </c>
      <c r="K693" s="134" t="s">
        <v>719</v>
      </c>
      <c r="L693" s="134"/>
      <c r="M693" s="134"/>
      <c r="N693" s="134"/>
      <c r="O693" s="134"/>
      <c r="P693" s="135" t="s">
        <v>234</v>
      </c>
      <c r="Q693" s="148">
        <v>3</v>
      </c>
      <c r="R693" s="148">
        <v>3</v>
      </c>
      <c r="S693" s="135"/>
      <c r="T693" s="149">
        <f>IFERROR(INDEX('Price List'!$G$5:$G$74,MATCH(TRIM(J693)&amp;"|"&amp;TRIM(P693),'Price List'!$O$5:$O$74,0)),0)</f>
        <v>0</v>
      </c>
      <c r="U693" s="150">
        <f>IFERROR(INDEX('Price List'!$H$5:$H$74,MATCH(TRIM(J693)&amp;"|"&amp;TRIM(P693),'Price List'!$O$5:$O$74,0)),0)</f>
        <v>0</v>
      </c>
      <c r="V693" s="141">
        <f t="shared" si="52"/>
        <v>0</v>
      </c>
      <c r="W693" s="151">
        <f>IFERROR(INDEX('Price List'!$J$5:$J$74,MATCH(TRIM(J693)&amp;"|"&amp;TRIM(P693),'Price List'!$O$5:$O$74,0)),0)</f>
        <v>82.5</v>
      </c>
      <c r="X693" s="152">
        <f>IFERROR(INDEX('Price List'!$K$5:$K$74,MATCH(TRIM(J693)&amp;"|"&amp;TRIM(P693),'Price List'!$O$5:$O$74,0)),0)</f>
        <v>0.12</v>
      </c>
      <c r="Y693" s="141">
        <f t="shared" si="53"/>
        <v>92.4</v>
      </c>
      <c r="Z693" s="141">
        <f t="shared" si="54"/>
        <v>277.20000000000005</v>
      </c>
      <c r="AA693" s="134"/>
    </row>
    <row r="694" spans="1:27" ht="12" customHeight="1" x14ac:dyDescent="0.35">
      <c r="A694" s="134"/>
      <c r="B694" s="134"/>
      <c r="C694" s="134" t="s">
        <v>689</v>
      </c>
      <c r="D694" s="136" t="str">
        <f t="shared" si="51"/>
        <v>C.04</v>
      </c>
      <c r="E694" s="135" t="s">
        <v>414</v>
      </c>
      <c r="F694" s="135" t="s">
        <v>668</v>
      </c>
      <c r="G694" s="134" t="s">
        <v>717</v>
      </c>
      <c r="H694" s="134" t="s">
        <v>718</v>
      </c>
      <c r="I694" s="134" t="s">
        <v>718</v>
      </c>
      <c r="J694" s="144" t="s">
        <v>280</v>
      </c>
      <c r="K694" s="134" t="s">
        <v>720</v>
      </c>
      <c r="L694" s="134"/>
      <c r="M694" s="134"/>
      <c r="N694" s="134"/>
      <c r="O694" s="134"/>
      <c r="P694" s="135" t="s">
        <v>234</v>
      </c>
      <c r="Q694" s="148">
        <v>3</v>
      </c>
      <c r="R694" s="148">
        <v>3</v>
      </c>
      <c r="S694" s="135"/>
      <c r="T694" s="149">
        <f>IFERROR(INDEX('Price List'!$G$5:$G$74,MATCH(TRIM(J694)&amp;"|"&amp;TRIM(P694),'Price List'!$O$5:$O$74,0)),0)</f>
        <v>0</v>
      </c>
      <c r="U694" s="150">
        <f>IFERROR(INDEX('Price List'!$H$5:$H$74,MATCH(TRIM(J694)&amp;"|"&amp;TRIM(P694),'Price List'!$O$5:$O$74,0)),0)</f>
        <v>0</v>
      </c>
      <c r="V694" s="141">
        <f t="shared" si="52"/>
        <v>0</v>
      </c>
      <c r="W694" s="151">
        <f>IFERROR(INDEX('Price List'!$J$5:$J$74,MATCH(TRIM(J694)&amp;"|"&amp;TRIM(P694),'Price List'!$O$5:$O$74,0)),0)</f>
        <v>49.5</v>
      </c>
      <c r="X694" s="152">
        <f>IFERROR(INDEX('Price List'!$K$5:$K$74,MATCH(TRIM(J694)&amp;"|"&amp;TRIM(P694),'Price List'!$O$5:$O$74,0)),0)</f>
        <v>0.12</v>
      </c>
      <c r="Y694" s="141">
        <f t="shared" si="53"/>
        <v>55.440000000000005</v>
      </c>
      <c r="Z694" s="141">
        <f t="shared" si="54"/>
        <v>166.32000000000002</v>
      </c>
      <c r="AA694" s="134"/>
    </row>
    <row r="695" spans="1:27" ht="12" customHeight="1" x14ac:dyDescent="0.35">
      <c r="A695" s="134"/>
      <c r="B695" s="134"/>
      <c r="C695" s="134" t="s">
        <v>689</v>
      </c>
      <c r="D695" s="136" t="str">
        <f t="shared" si="51"/>
        <v>C.04</v>
      </c>
      <c r="E695" s="135" t="s">
        <v>414</v>
      </c>
      <c r="F695" s="135" t="s">
        <v>668</v>
      </c>
      <c r="G695" s="134" t="s">
        <v>717</v>
      </c>
      <c r="H695" s="134" t="s">
        <v>718</v>
      </c>
      <c r="I695" s="134" t="s">
        <v>718</v>
      </c>
      <c r="J695" s="144" t="s">
        <v>282</v>
      </c>
      <c r="K695" s="134" t="s">
        <v>721</v>
      </c>
      <c r="L695" s="134"/>
      <c r="M695" s="134"/>
      <c r="N695" s="134"/>
      <c r="O695" s="134"/>
      <c r="P695" s="135" t="s">
        <v>234</v>
      </c>
      <c r="Q695" s="148">
        <v>3</v>
      </c>
      <c r="R695" s="148">
        <v>3</v>
      </c>
      <c r="S695" s="135"/>
      <c r="T695" s="149">
        <f>IFERROR(INDEX('Price List'!$G$5:$G$74,MATCH(TRIM(J695)&amp;"|"&amp;TRIM(P695),'Price List'!$O$5:$O$74,0)),0)</f>
        <v>0</v>
      </c>
      <c r="U695" s="150">
        <f>IFERROR(INDEX('Price List'!$H$5:$H$74,MATCH(TRIM(J695)&amp;"|"&amp;TRIM(P695),'Price List'!$O$5:$O$74,0)),0)</f>
        <v>0</v>
      </c>
      <c r="V695" s="141">
        <f t="shared" si="52"/>
        <v>0</v>
      </c>
      <c r="W695" s="151">
        <f>IFERROR(INDEX('Price List'!$J$5:$J$74,MATCH(TRIM(J695)&amp;"|"&amp;TRIM(P695),'Price List'!$O$5:$O$74,0)),0)</f>
        <v>117</v>
      </c>
      <c r="X695" s="152">
        <f>IFERROR(INDEX('Price List'!$K$5:$K$74,MATCH(TRIM(J695)&amp;"|"&amp;TRIM(P695),'Price List'!$O$5:$O$74,0)),0)</f>
        <v>0.12</v>
      </c>
      <c r="Y695" s="141">
        <f t="shared" si="53"/>
        <v>131.04000000000002</v>
      </c>
      <c r="Z695" s="141">
        <f t="shared" si="54"/>
        <v>393.12000000000006</v>
      </c>
      <c r="AA695" s="134"/>
    </row>
    <row r="696" spans="1:27" ht="12" customHeight="1" x14ac:dyDescent="0.35">
      <c r="A696" s="134"/>
      <c r="B696" s="134"/>
      <c r="C696" s="134" t="s">
        <v>689</v>
      </c>
      <c r="D696" s="136" t="str">
        <f t="shared" si="51"/>
        <v>C.04</v>
      </c>
      <c r="E696" s="135" t="s">
        <v>414</v>
      </c>
      <c r="F696" s="135" t="s">
        <v>668</v>
      </c>
      <c r="G696" s="134" t="s">
        <v>717</v>
      </c>
      <c r="H696" s="134" t="s">
        <v>718</v>
      </c>
      <c r="I696" s="134" t="s">
        <v>718</v>
      </c>
      <c r="J696" s="144" t="s">
        <v>284</v>
      </c>
      <c r="K696" s="134" t="s">
        <v>722</v>
      </c>
      <c r="L696" s="134"/>
      <c r="M696" s="134"/>
      <c r="N696" s="134"/>
      <c r="O696" s="134"/>
      <c r="P696" s="135" t="s">
        <v>234</v>
      </c>
      <c r="Q696" s="148">
        <v>24</v>
      </c>
      <c r="R696" s="148">
        <v>24</v>
      </c>
      <c r="S696" s="135"/>
      <c r="T696" s="149">
        <f>IFERROR(INDEX('Price List'!$G$5:$G$74,MATCH(TRIM(J696)&amp;"|"&amp;TRIM(P696),'Price List'!$O$5:$O$74,0)),0)</f>
        <v>0</v>
      </c>
      <c r="U696" s="150">
        <f>IFERROR(INDEX('Price List'!$H$5:$H$74,MATCH(TRIM(J696)&amp;"|"&amp;TRIM(P696),'Price List'!$O$5:$O$74,0)),0)</f>
        <v>0</v>
      </c>
      <c r="V696" s="141">
        <f t="shared" si="52"/>
        <v>0</v>
      </c>
      <c r="W696" s="151">
        <f>IFERROR(INDEX('Price List'!$J$5:$J$74,MATCH(TRIM(J696)&amp;"|"&amp;TRIM(P696),'Price List'!$O$5:$O$74,0)),0)</f>
        <v>195</v>
      </c>
      <c r="X696" s="152">
        <f>IFERROR(INDEX('Price List'!$K$5:$K$74,MATCH(TRIM(J696)&amp;"|"&amp;TRIM(P696),'Price List'!$O$5:$O$74,0)),0)</f>
        <v>0.12</v>
      </c>
      <c r="Y696" s="141">
        <f t="shared" si="53"/>
        <v>218.40000000000003</v>
      </c>
      <c r="Z696" s="141">
        <f t="shared" si="54"/>
        <v>5241.6000000000004</v>
      </c>
      <c r="AA696" s="134"/>
    </row>
    <row r="697" spans="1:27" ht="12" customHeight="1" x14ac:dyDescent="0.35">
      <c r="A697" s="134"/>
      <c r="B697" s="134"/>
      <c r="C697" s="134" t="s">
        <v>689</v>
      </c>
      <c r="D697" s="136" t="str">
        <f t="shared" si="51"/>
        <v>C.04</v>
      </c>
      <c r="E697" s="135" t="s">
        <v>414</v>
      </c>
      <c r="F697" s="135" t="s">
        <v>668</v>
      </c>
      <c r="G697" s="134" t="s">
        <v>717</v>
      </c>
      <c r="H697" s="134" t="s">
        <v>718</v>
      </c>
      <c r="I697" s="134" t="s">
        <v>718</v>
      </c>
      <c r="J697" s="144" t="s">
        <v>290</v>
      </c>
      <c r="K697" s="134" t="s">
        <v>725</v>
      </c>
      <c r="L697" s="134"/>
      <c r="M697" s="134"/>
      <c r="N697" s="134"/>
      <c r="O697" s="134"/>
      <c r="P697" s="135" t="s">
        <v>234</v>
      </c>
      <c r="Q697" s="148">
        <v>6</v>
      </c>
      <c r="R697" s="148">
        <v>6</v>
      </c>
      <c r="S697" s="135"/>
      <c r="T697" s="149">
        <f>IFERROR(INDEX('Price List'!$G$5:$G$74,MATCH(TRIM(J697)&amp;"|"&amp;TRIM(P697),'Price List'!$O$5:$O$74,0)),0)</f>
        <v>0</v>
      </c>
      <c r="U697" s="150">
        <f>IFERROR(INDEX('Price List'!$H$5:$H$74,MATCH(TRIM(J697)&amp;"|"&amp;TRIM(P697),'Price List'!$O$5:$O$74,0)),0)</f>
        <v>0</v>
      </c>
      <c r="V697" s="141">
        <f t="shared" si="52"/>
        <v>0</v>
      </c>
      <c r="W697" s="151">
        <f>IFERROR(INDEX('Price List'!$J$5:$J$74,MATCH(TRIM(J697)&amp;"|"&amp;TRIM(P697),'Price List'!$O$5:$O$74,0)),0)</f>
        <v>586</v>
      </c>
      <c r="X697" s="152">
        <f>IFERROR(INDEX('Price List'!$K$5:$K$74,MATCH(TRIM(J697)&amp;"|"&amp;TRIM(P697),'Price List'!$O$5:$O$74,0)),0)</f>
        <v>0.12</v>
      </c>
      <c r="Y697" s="141">
        <f t="shared" si="53"/>
        <v>656.32</v>
      </c>
      <c r="Z697" s="141">
        <f t="shared" si="54"/>
        <v>3937.92</v>
      </c>
      <c r="AA697" s="134"/>
    </row>
    <row r="698" spans="1:27" ht="12" customHeight="1" x14ac:dyDescent="0.35">
      <c r="A698" s="134"/>
      <c r="B698" s="134"/>
      <c r="C698" s="134" t="s">
        <v>689</v>
      </c>
      <c r="D698" s="136" t="str">
        <f t="shared" si="51"/>
        <v>C.04</v>
      </c>
      <c r="E698" s="135" t="s">
        <v>414</v>
      </c>
      <c r="F698" s="135" t="s">
        <v>668</v>
      </c>
      <c r="G698" s="134" t="s">
        <v>717</v>
      </c>
      <c r="H698" s="134" t="s">
        <v>718</v>
      </c>
      <c r="I698" s="134" t="s">
        <v>718</v>
      </c>
      <c r="J698" s="144" t="s">
        <v>288</v>
      </c>
      <c r="K698" s="134" t="s">
        <v>724</v>
      </c>
      <c r="L698" s="134"/>
      <c r="M698" s="134"/>
      <c r="N698" s="134"/>
      <c r="O698" s="134"/>
      <c r="P698" s="135" t="s">
        <v>234</v>
      </c>
      <c r="Q698" s="148">
        <v>3</v>
      </c>
      <c r="R698" s="148">
        <v>3</v>
      </c>
      <c r="S698" s="135"/>
      <c r="T698" s="149">
        <f>IFERROR(INDEX('Price List'!$G$5:$G$74,MATCH(TRIM(J698)&amp;"|"&amp;TRIM(P698),'Price List'!$O$5:$O$74,0)),0)</f>
        <v>0</v>
      </c>
      <c r="U698" s="150">
        <f>IFERROR(INDEX('Price List'!$H$5:$H$74,MATCH(TRIM(J698)&amp;"|"&amp;TRIM(P698),'Price List'!$O$5:$O$74,0)),0)</f>
        <v>0</v>
      </c>
      <c r="V698" s="141">
        <f t="shared" si="52"/>
        <v>0</v>
      </c>
      <c r="W698" s="151">
        <f>IFERROR(INDEX('Price List'!$J$5:$J$74,MATCH(TRIM(J698)&amp;"|"&amp;TRIM(P698),'Price List'!$O$5:$O$74,0)),0)</f>
        <v>49.5</v>
      </c>
      <c r="X698" s="152">
        <f>IFERROR(INDEX('Price List'!$K$5:$K$74,MATCH(TRIM(J698)&amp;"|"&amp;TRIM(P698),'Price List'!$O$5:$O$74,0)),0)</f>
        <v>0.12</v>
      </c>
      <c r="Y698" s="141">
        <f t="shared" si="53"/>
        <v>55.440000000000005</v>
      </c>
      <c r="Z698" s="141">
        <f t="shared" si="54"/>
        <v>166.32000000000002</v>
      </c>
      <c r="AA698" s="134"/>
    </row>
    <row r="699" spans="1:27" ht="12" customHeight="1" x14ac:dyDescent="0.35">
      <c r="A699" s="134"/>
      <c r="B699" s="134"/>
      <c r="C699" s="134" t="s">
        <v>689</v>
      </c>
      <c r="D699" s="136" t="str">
        <f t="shared" si="51"/>
        <v>C.04</v>
      </c>
      <c r="E699" s="135" t="s">
        <v>414</v>
      </c>
      <c r="F699" s="135" t="s">
        <v>669</v>
      </c>
      <c r="G699" s="134" t="s">
        <v>717</v>
      </c>
      <c r="H699" s="134" t="s">
        <v>718</v>
      </c>
      <c r="I699" s="134" t="s">
        <v>718</v>
      </c>
      <c r="J699" s="144" t="s">
        <v>278</v>
      </c>
      <c r="K699" s="134" t="s">
        <v>719</v>
      </c>
      <c r="L699" s="134"/>
      <c r="M699" s="134"/>
      <c r="N699" s="134"/>
      <c r="O699" s="134"/>
      <c r="P699" s="135" t="s">
        <v>234</v>
      </c>
      <c r="Q699" s="148">
        <v>3</v>
      </c>
      <c r="R699" s="148">
        <v>3</v>
      </c>
      <c r="S699" s="135"/>
      <c r="T699" s="149">
        <f>IFERROR(INDEX('Price List'!$G$5:$G$74,MATCH(TRIM(J699)&amp;"|"&amp;TRIM(P699),'Price List'!$O$5:$O$74,0)),0)</f>
        <v>0</v>
      </c>
      <c r="U699" s="150">
        <f>IFERROR(INDEX('Price List'!$H$5:$H$74,MATCH(TRIM(J699)&amp;"|"&amp;TRIM(P699),'Price List'!$O$5:$O$74,0)),0)</f>
        <v>0</v>
      </c>
      <c r="V699" s="141">
        <f t="shared" si="52"/>
        <v>0</v>
      </c>
      <c r="W699" s="151">
        <f>IFERROR(INDEX('Price List'!$J$5:$J$74,MATCH(TRIM(J699)&amp;"|"&amp;TRIM(P699),'Price List'!$O$5:$O$74,0)),0)</f>
        <v>82.5</v>
      </c>
      <c r="X699" s="152">
        <f>IFERROR(INDEX('Price List'!$K$5:$K$74,MATCH(TRIM(J699)&amp;"|"&amp;TRIM(P699),'Price List'!$O$5:$O$74,0)),0)</f>
        <v>0.12</v>
      </c>
      <c r="Y699" s="141">
        <f t="shared" si="53"/>
        <v>92.4</v>
      </c>
      <c r="Z699" s="141">
        <f t="shared" si="54"/>
        <v>277.20000000000005</v>
      </c>
      <c r="AA699" s="134"/>
    </row>
    <row r="700" spans="1:27" ht="12" customHeight="1" x14ac:dyDescent="0.35">
      <c r="A700" s="134"/>
      <c r="B700" s="134"/>
      <c r="C700" s="134" t="s">
        <v>689</v>
      </c>
      <c r="D700" s="136" t="str">
        <f t="shared" si="51"/>
        <v>C.04</v>
      </c>
      <c r="E700" s="135" t="s">
        <v>414</v>
      </c>
      <c r="F700" s="135" t="s">
        <v>669</v>
      </c>
      <c r="G700" s="134" t="s">
        <v>717</v>
      </c>
      <c r="H700" s="134" t="s">
        <v>718</v>
      </c>
      <c r="I700" s="134" t="s">
        <v>718</v>
      </c>
      <c r="J700" s="144" t="s">
        <v>280</v>
      </c>
      <c r="K700" s="134" t="s">
        <v>720</v>
      </c>
      <c r="L700" s="134"/>
      <c r="M700" s="134"/>
      <c r="N700" s="134"/>
      <c r="O700" s="134"/>
      <c r="P700" s="135" t="s">
        <v>234</v>
      </c>
      <c r="Q700" s="148">
        <v>3</v>
      </c>
      <c r="R700" s="148">
        <v>3</v>
      </c>
      <c r="S700" s="135"/>
      <c r="T700" s="149">
        <f>IFERROR(INDEX('Price List'!$G$5:$G$74,MATCH(TRIM(J700)&amp;"|"&amp;TRIM(P700),'Price List'!$O$5:$O$74,0)),0)</f>
        <v>0</v>
      </c>
      <c r="U700" s="150">
        <f>IFERROR(INDEX('Price List'!$H$5:$H$74,MATCH(TRIM(J700)&amp;"|"&amp;TRIM(P700),'Price List'!$O$5:$O$74,0)),0)</f>
        <v>0</v>
      </c>
      <c r="V700" s="141">
        <f t="shared" si="52"/>
        <v>0</v>
      </c>
      <c r="W700" s="151">
        <f>IFERROR(INDEX('Price List'!$J$5:$J$74,MATCH(TRIM(J700)&amp;"|"&amp;TRIM(P700),'Price List'!$O$5:$O$74,0)),0)</f>
        <v>49.5</v>
      </c>
      <c r="X700" s="152">
        <f>IFERROR(INDEX('Price List'!$K$5:$K$74,MATCH(TRIM(J700)&amp;"|"&amp;TRIM(P700),'Price List'!$O$5:$O$74,0)),0)</f>
        <v>0.12</v>
      </c>
      <c r="Y700" s="141">
        <f t="shared" si="53"/>
        <v>55.440000000000005</v>
      </c>
      <c r="Z700" s="141">
        <f t="shared" si="54"/>
        <v>166.32000000000002</v>
      </c>
      <c r="AA700" s="134"/>
    </row>
    <row r="701" spans="1:27" ht="12" customHeight="1" x14ac:dyDescent="0.35">
      <c r="A701" s="134"/>
      <c r="B701" s="134"/>
      <c r="C701" s="134" t="s">
        <v>689</v>
      </c>
      <c r="D701" s="136" t="str">
        <f t="shared" si="51"/>
        <v>C.04</v>
      </c>
      <c r="E701" s="135" t="s">
        <v>414</v>
      </c>
      <c r="F701" s="135" t="s">
        <v>669</v>
      </c>
      <c r="G701" s="134" t="s">
        <v>717</v>
      </c>
      <c r="H701" s="134" t="s">
        <v>718</v>
      </c>
      <c r="I701" s="134" t="s">
        <v>718</v>
      </c>
      <c r="J701" s="144" t="s">
        <v>282</v>
      </c>
      <c r="K701" s="134" t="s">
        <v>721</v>
      </c>
      <c r="L701" s="134"/>
      <c r="M701" s="134"/>
      <c r="N701" s="134"/>
      <c r="O701" s="134"/>
      <c r="P701" s="135" t="s">
        <v>234</v>
      </c>
      <c r="Q701" s="148">
        <v>3</v>
      </c>
      <c r="R701" s="148">
        <v>3</v>
      </c>
      <c r="S701" s="135"/>
      <c r="T701" s="149">
        <f>IFERROR(INDEX('Price List'!$G$5:$G$74,MATCH(TRIM(J701)&amp;"|"&amp;TRIM(P701),'Price List'!$O$5:$O$74,0)),0)</f>
        <v>0</v>
      </c>
      <c r="U701" s="150">
        <f>IFERROR(INDEX('Price List'!$H$5:$H$74,MATCH(TRIM(J701)&amp;"|"&amp;TRIM(P701),'Price List'!$O$5:$O$74,0)),0)</f>
        <v>0</v>
      </c>
      <c r="V701" s="141">
        <f t="shared" si="52"/>
        <v>0</v>
      </c>
      <c r="W701" s="151">
        <f>IFERROR(INDEX('Price List'!$J$5:$J$74,MATCH(TRIM(J701)&amp;"|"&amp;TRIM(P701),'Price List'!$O$5:$O$74,0)),0)</f>
        <v>117</v>
      </c>
      <c r="X701" s="152">
        <f>IFERROR(INDEX('Price List'!$K$5:$K$74,MATCH(TRIM(J701)&amp;"|"&amp;TRIM(P701),'Price List'!$O$5:$O$74,0)),0)</f>
        <v>0.12</v>
      </c>
      <c r="Y701" s="141">
        <f t="shared" si="53"/>
        <v>131.04000000000002</v>
      </c>
      <c r="Z701" s="141">
        <f t="shared" si="54"/>
        <v>393.12000000000006</v>
      </c>
      <c r="AA701" s="134"/>
    </row>
    <row r="702" spans="1:27" ht="12" customHeight="1" x14ac:dyDescent="0.35">
      <c r="A702" s="134"/>
      <c r="B702" s="134"/>
      <c r="C702" s="134" t="s">
        <v>689</v>
      </c>
      <c r="D702" s="136" t="str">
        <f t="shared" si="51"/>
        <v>C.04</v>
      </c>
      <c r="E702" s="135" t="s">
        <v>414</v>
      </c>
      <c r="F702" s="135" t="s">
        <v>669</v>
      </c>
      <c r="G702" s="134" t="s">
        <v>717</v>
      </c>
      <c r="H702" s="134" t="s">
        <v>718</v>
      </c>
      <c r="I702" s="134" t="s">
        <v>718</v>
      </c>
      <c r="J702" s="144" t="s">
        <v>284</v>
      </c>
      <c r="K702" s="134" t="s">
        <v>722</v>
      </c>
      <c r="L702" s="134"/>
      <c r="M702" s="134"/>
      <c r="N702" s="134"/>
      <c r="O702" s="134"/>
      <c r="P702" s="135" t="s">
        <v>234</v>
      </c>
      <c r="Q702" s="148">
        <v>24</v>
      </c>
      <c r="R702" s="148">
        <v>24</v>
      </c>
      <c r="S702" s="135"/>
      <c r="T702" s="149">
        <f>IFERROR(INDEX('Price List'!$G$5:$G$74,MATCH(TRIM(J702)&amp;"|"&amp;TRIM(P702),'Price List'!$O$5:$O$74,0)),0)</f>
        <v>0</v>
      </c>
      <c r="U702" s="150">
        <f>IFERROR(INDEX('Price List'!$H$5:$H$74,MATCH(TRIM(J702)&amp;"|"&amp;TRIM(P702),'Price List'!$O$5:$O$74,0)),0)</f>
        <v>0</v>
      </c>
      <c r="V702" s="141">
        <f t="shared" si="52"/>
        <v>0</v>
      </c>
      <c r="W702" s="151">
        <f>IFERROR(INDEX('Price List'!$J$5:$J$74,MATCH(TRIM(J702)&amp;"|"&amp;TRIM(P702),'Price List'!$O$5:$O$74,0)),0)</f>
        <v>195</v>
      </c>
      <c r="X702" s="152">
        <f>IFERROR(INDEX('Price List'!$K$5:$K$74,MATCH(TRIM(J702)&amp;"|"&amp;TRIM(P702),'Price List'!$O$5:$O$74,0)),0)</f>
        <v>0.12</v>
      </c>
      <c r="Y702" s="141">
        <f t="shared" si="53"/>
        <v>218.40000000000003</v>
      </c>
      <c r="Z702" s="141">
        <f t="shared" si="54"/>
        <v>5241.6000000000004</v>
      </c>
      <c r="AA702" s="134"/>
    </row>
    <row r="703" spans="1:27" ht="12" customHeight="1" x14ac:dyDescent="0.35">
      <c r="A703" s="134"/>
      <c r="B703" s="134"/>
      <c r="C703" s="134" t="s">
        <v>689</v>
      </c>
      <c r="D703" s="136" t="str">
        <f t="shared" si="51"/>
        <v>C.04</v>
      </c>
      <c r="E703" s="135" t="s">
        <v>414</v>
      </c>
      <c r="F703" s="135" t="s">
        <v>669</v>
      </c>
      <c r="G703" s="134" t="s">
        <v>717</v>
      </c>
      <c r="H703" s="134" t="s">
        <v>718</v>
      </c>
      <c r="I703" s="134" t="s">
        <v>718</v>
      </c>
      <c r="J703" s="144" t="s">
        <v>290</v>
      </c>
      <c r="K703" s="134" t="s">
        <v>725</v>
      </c>
      <c r="L703" s="134"/>
      <c r="M703" s="134"/>
      <c r="N703" s="134"/>
      <c r="O703" s="134"/>
      <c r="P703" s="135" t="s">
        <v>234</v>
      </c>
      <c r="Q703" s="148">
        <v>6</v>
      </c>
      <c r="R703" s="148">
        <v>6</v>
      </c>
      <c r="S703" s="135"/>
      <c r="T703" s="149">
        <f>IFERROR(INDEX('Price List'!$G$5:$G$74,MATCH(TRIM(J703)&amp;"|"&amp;TRIM(P703),'Price List'!$O$5:$O$74,0)),0)</f>
        <v>0</v>
      </c>
      <c r="U703" s="150">
        <f>IFERROR(INDEX('Price List'!$H$5:$H$74,MATCH(TRIM(J703)&amp;"|"&amp;TRIM(P703),'Price List'!$O$5:$O$74,0)),0)</f>
        <v>0</v>
      </c>
      <c r="V703" s="141">
        <f t="shared" si="52"/>
        <v>0</v>
      </c>
      <c r="W703" s="151">
        <f>IFERROR(INDEX('Price List'!$J$5:$J$74,MATCH(TRIM(J703)&amp;"|"&amp;TRIM(P703),'Price List'!$O$5:$O$74,0)),0)</f>
        <v>586</v>
      </c>
      <c r="X703" s="152">
        <f>IFERROR(INDEX('Price List'!$K$5:$K$74,MATCH(TRIM(J703)&amp;"|"&amp;TRIM(P703),'Price List'!$O$5:$O$74,0)),0)</f>
        <v>0.12</v>
      </c>
      <c r="Y703" s="141">
        <f t="shared" si="53"/>
        <v>656.32</v>
      </c>
      <c r="Z703" s="141">
        <f t="shared" si="54"/>
        <v>3937.92</v>
      </c>
      <c r="AA703" s="134"/>
    </row>
    <row r="704" spans="1:27" ht="12" customHeight="1" x14ac:dyDescent="0.35">
      <c r="A704" s="134"/>
      <c r="B704" s="134"/>
      <c r="C704" s="134" t="s">
        <v>689</v>
      </c>
      <c r="D704" s="136" t="str">
        <f t="shared" si="51"/>
        <v>C.04</v>
      </c>
      <c r="E704" s="135" t="s">
        <v>414</v>
      </c>
      <c r="F704" s="135" t="s">
        <v>669</v>
      </c>
      <c r="G704" s="134" t="s">
        <v>717</v>
      </c>
      <c r="H704" s="134" t="s">
        <v>718</v>
      </c>
      <c r="I704" s="134" t="s">
        <v>718</v>
      </c>
      <c r="J704" s="144" t="s">
        <v>288</v>
      </c>
      <c r="K704" s="134" t="s">
        <v>724</v>
      </c>
      <c r="L704" s="134"/>
      <c r="M704" s="134"/>
      <c r="N704" s="134"/>
      <c r="O704" s="134"/>
      <c r="P704" s="135" t="s">
        <v>234</v>
      </c>
      <c r="Q704" s="148">
        <v>3</v>
      </c>
      <c r="R704" s="148">
        <v>3</v>
      </c>
      <c r="S704" s="135"/>
      <c r="T704" s="149">
        <f>IFERROR(INDEX('Price List'!$G$5:$G$74,MATCH(TRIM(J704)&amp;"|"&amp;TRIM(P704),'Price List'!$O$5:$O$74,0)),0)</f>
        <v>0</v>
      </c>
      <c r="U704" s="150">
        <f>IFERROR(INDEX('Price List'!$H$5:$H$74,MATCH(TRIM(J704)&amp;"|"&amp;TRIM(P704),'Price List'!$O$5:$O$74,0)),0)</f>
        <v>0</v>
      </c>
      <c r="V704" s="141">
        <f t="shared" si="52"/>
        <v>0</v>
      </c>
      <c r="W704" s="151">
        <f>IFERROR(INDEX('Price List'!$J$5:$J$74,MATCH(TRIM(J704)&amp;"|"&amp;TRIM(P704),'Price List'!$O$5:$O$74,0)),0)</f>
        <v>49.5</v>
      </c>
      <c r="X704" s="152">
        <f>IFERROR(INDEX('Price List'!$K$5:$K$74,MATCH(TRIM(J704)&amp;"|"&amp;TRIM(P704),'Price List'!$O$5:$O$74,0)),0)</f>
        <v>0.12</v>
      </c>
      <c r="Y704" s="141">
        <f t="shared" si="53"/>
        <v>55.440000000000005</v>
      </c>
      <c r="Z704" s="141">
        <f t="shared" si="54"/>
        <v>166.32000000000002</v>
      </c>
      <c r="AA704" s="134"/>
    </row>
    <row r="705" spans="1:27" ht="12" customHeight="1" x14ac:dyDescent="0.35">
      <c r="A705" s="134"/>
      <c r="B705" s="134"/>
      <c r="C705" s="134" t="s">
        <v>689</v>
      </c>
      <c r="D705" s="136" t="str">
        <f t="shared" si="51"/>
        <v>C.04</v>
      </c>
      <c r="E705" s="135" t="s">
        <v>414</v>
      </c>
      <c r="F705" s="135" t="s">
        <v>670</v>
      </c>
      <c r="G705" s="134" t="s">
        <v>717</v>
      </c>
      <c r="H705" s="134" t="s">
        <v>718</v>
      </c>
      <c r="I705" s="134" t="s">
        <v>718</v>
      </c>
      <c r="J705" s="144" t="s">
        <v>278</v>
      </c>
      <c r="K705" s="134" t="s">
        <v>719</v>
      </c>
      <c r="L705" s="134"/>
      <c r="M705" s="134"/>
      <c r="N705" s="134"/>
      <c r="O705" s="134"/>
      <c r="P705" s="135" t="s">
        <v>234</v>
      </c>
      <c r="Q705" s="148">
        <v>1</v>
      </c>
      <c r="R705" s="148">
        <v>1</v>
      </c>
      <c r="S705" s="135"/>
      <c r="T705" s="149">
        <f>IFERROR(INDEX('Price List'!$G$5:$G$74,MATCH(TRIM(J705)&amp;"|"&amp;TRIM(P705),'Price List'!$O$5:$O$74,0)),0)</f>
        <v>0</v>
      </c>
      <c r="U705" s="150">
        <f>IFERROR(INDEX('Price List'!$H$5:$H$74,MATCH(TRIM(J705)&amp;"|"&amp;TRIM(P705),'Price List'!$O$5:$O$74,0)),0)</f>
        <v>0</v>
      </c>
      <c r="V705" s="141">
        <f t="shared" si="52"/>
        <v>0</v>
      </c>
      <c r="W705" s="151">
        <f>IFERROR(INDEX('Price List'!$J$5:$J$74,MATCH(TRIM(J705)&amp;"|"&amp;TRIM(P705),'Price List'!$O$5:$O$74,0)),0)</f>
        <v>82.5</v>
      </c>
      <c r="X705" s="152">
        <f>IFERROR(INDEX('Price List'!$K$5:$K$74,MATCH(TRIM(J705)&amp;"|"&amp;TRIM(P705),'Price List'!$O$5:$O$74,0)),0)</f>
        <v>0.12</v>
      </c>
      <c r="Y705" s="141">
        <f t="shared" si="53"/>
        <v>92.4</v>
      </c>
      <c r="Z705" s="141">
        <f t="shared" si="54"/>
        <v>92.4</v>
      </c>
      <c r="AA705" s="134"/>
    </row>
    <row r="706" spans="1:27" ht="12" customHeight="1" x14ac:dyDescent="0.35">
      <c r="A706" s="134"/>
      <c r="B706" s="134"/>
      <c r="C706" s="134" t="s">
        <v>689</v>
      </c>
      <c r="D706" s="136" t="str">
        <f t="shared" ref="D706:D769" si="55">IFERROR(IF(TRIM($G706)="Sub Structure",IF(TRIM($H706)="Bored Pile","B.01","B.03"),IF(TRIM($G706)="Super Structure","B.04",IF(OR(TRIM($G706)="Exterior Wall and Partition",TRIM($G706)="External Wall and Partition"),"C.01",IF(TRIM($G706)="Exterior Wall Finishes","C.02",IF(TRIM($G706)="Interior Wall and Partition","C.09",IF(TRIM($G706)="Interior Door","C.10",IF(TRIM($G706)="External Windows and Louvers","C.04",IF(OR(TRIM($G706)="Interior Floor Finishes",TRIM($G706)="Internal Floor Finishes"),"D.02",IF(OR(TRIM($G706)="Interior Wall Finishes",TRIM($G706)="Internal Wall Finishes"),"D.01",IF(OR(TRIM($G706)="Ceiling Finshes",TRIM($G706)="Ceiling Finishes"),"D.03",IF(TRIM($G706)="Fittings, furnishings and equipment","E.04","")))))))))))," ")</f>
        <v>C.04</v>
      </c>
      <c r="E706" s="135" t="s">
        <v>414</v>
      </c>
      <c r="F706" s="135" t="s">
        <v>670</v>
      </c>
      <c r="G706" s="134" t="s">
        <v>717</v>
      </c>
      <c r="H706" s="134" t="s">
        <v>718</v>
      </c>
      <c r="I706" s="134" t="s">
        <v>718</v>
      </c>
      <c r="J706" s="144" t="s">
        <v>280</v>
      </c>
      <c r="K706" s="134" t="s">
        <v>720</v>
      </c>
      <c r="L706" s="134"/>
      <c r="M706" s="134"/>
      <c r="N706" s="134"/>
      <c r="O706" s="134"/>
      <c r="P706" s="135" t="s">
        <v>234</v>
      </c>
      <c r="Q706" s="148">
        <v>1</v>
      </c>
      <c r="R706" s="148">
        <v>1</v>
      </c>
      <c r="S706" s="135"/>
      <c r="T706" s="149">
        <f>IFERROR(INDEX('Price List'!$G$5:$G$74,MATCH(TRIM(J706)&amp;"|"&amp;TRIM(P706),'Price List'!$O$5:$O$74,0)),0)</f>
        <v>0</v>
      </c>
      <c r="U706" s="150">
        <f>IFERROR(INDEX('Price List'!$H$5:$H$74,MATCH(TRIM(J706)&amp;"|"&amp;TRIM(P706),'Price List'!$O$5:$O$74,0)),0)</f>
        <v>0</v>
      </c>
      <c r="V706" s="141">
        <f t="shared" ref="V706:V769" si="56">T706*(1+U706)</f>
        <v>0</v>
      </c>
      <c r="W706" s="151">
        <f>IFERROR(INDEX('Price List'!$J$5:$J$74,MATCH(TRIM(J706)&amp;"|"&amp;TRIM(P706),'Price List'!$O$5:$O$74,0)),0)</f>
        <v>49.5</v>
      </c>
      <c r="X706" s="152">
        <f>IFERROR(INDEX('Price List'!$K$5:$K$74,MATCH(TRIM(J706)&amp;"|"&amp;TRIM(P706),'Price List'!$O$5:$O$74,0)),0)</f>
        <v>0.12</v>
      </c>
      <c r="Y706" s="141">
        <f t="shared" ref="Y706:Y769" si="57">W706*(1+X706)</f>
        <v>55.440000000000005</v>
      </c>
      <c r="Z706" s="141">
        <f t="shared" ref="Z706:Z769" si="58">Q706*(V706+Y706)</f>
        <v>55.440000000000005</v>
      </c>
      <c r="AA706" s="134"/>
    </row>
    <row r="707" spans="1:27" ht="12" customHeight="1" x14ac:dyDescent="0.35">
      <c r="A707" s="134"/>
      <c r="B707" s="134"/>
      <c r="C707" s="134" t="s">
        <v>689</v>
      </c>
      <c r="D707" s="136" t="str">
        <f t="shared" si="55"/>
        <v>C.04</v>
      </c>
      <c r="E707" s="135" t="s">
        <v>414</v>
      </c>
      <c r="F707" s="135" t="s">
        <v>670</v>
      </c>
      <c r="G707" s="134" t="s">
        <v>717</v>
      </c>
      <c r="H707" s="134" t="s">
        <v>718</v>
      </c>
      <c r="I707" s="134" t="s">
        <v>718</v>
      </c>
      <c r="J707" s="144" t="s">
        <v>282</v>
      </c>
      <c r="K707" s="134" t="s">
        <v>721</v>
      </c>
      <c r="L707" s="134"/>
      <c r="M707" s="134"/>
      <c r="N707" s="134"/>
      <c r="O707" s="134"/>
      <c r="P707" s="135" t="s">
        <v>234</v>
      </c>
      <c r="Q707" s="148">
        <v>4</v>
      </c>
      <c r="R707" s="148">
        <v>4</v>
      </c>
      <c r="S707" s="135"/>
      <c r="T707" s="149">
        <f>IFERROR(INDEX('Price List'!$G$5:$G$74,MATCH(TRIM(J707)&amp;"|"&amp;TRIM(P707),'Price List'!$O$5:$O$74,0)),0)</f>
        <v>0</v>
      </c>
      <c r="U707" s="150">
        <f>IFERROR(INDEX('Price List'!$H$5:$H$74,MATCH(TRIM(J707)&amp;"|"&amp;TRIM(P707),'Price List'!$O$5:$O$74,0)),0)</f>
        <v>0</v>
      </c>
      <c r="V707" s="141">
        <f t="shared" si="56"/>
        <v>0</v>
      </c>
      <c r="W707" s="151">
        <f>IFERROR(INDEX('Price List'!$J$5:$J$74,MATCH(TRIM(J707)&amp;"|"&amp;TRIM(P707),'Price List'!$O$5:$O$74,0)),0)</f>
        <v>117</v>
      </c>
      <c r="X707" s="152">
        <f>IFERROR(INDEX('Price List'!$K$5:$K$74,MATCH(TRIM(J707)&amp;"|"&amp;TRIM(P707),'Price List'!$O$5:$O$74,0)),0)</f>
        <v>0.12</v>
      </c>
      <c r="Y707" s="141">
        <f t="shared" si="57"/>
        <v>131.04000000000002</v>
      </c>
      <c r="Z707" s="141">
        <f t="shared" si="58"/>
        <v>524.16000000000008</v>
      </c>
      <c r="AA707" s="134"/>
    </row>
    <row r="708" spans="1:27" ht="12" customHeight="1" x14ac:dyDescent="0.35">
      <c r="A708" s="134"/>
      <c r="B708" s="134"/>
      <c r="C708" s="134" t="s">
        <v>689</v>
      </c>
      <c r="D708" s="136" t="str">
        <f t="shared" si="55"/>
        <v>C.04</v>
      </c>
      <c r="E708" s="135" t="s">
        <v>414</v>
      </c>
      <c r="F708" s="135" t="s">
        <v>670</v>
      </c>
      <c r="G708" s="134" t="s">
        <v>717</v>
      </c>
      <c r="H708" s="134" t="s">
        <v>718</v>
      </c>
      <c r="I708" s="134" t="s">
        <v>718</v>
      </c>
      <c r="J708" s="144" t="s">
        <v>284</v>
      </c>
      <c r="K708" s="134" t="s">
        <v>722</v>
      </c>
      <c r="L708" s="134"/>
      <c r="M708" s="134"/>
      <c r="N708" s="134"/>
      <c r="O708" s="134"/>
      <c r="P708" s="135" t="s">
        <v>234</v>
      </c>
      <c r="Q708" s="148">
        <v>6</v>
      </c>
      <c r="R708" s="148">
        <v>6</v>
      </c>
      <c r="S708" s="135"/>
      <c r="T708" s="149">
        <f>IFERROR(INDEX('Price List'!$G$5:$G$74,MATCH(TRIM(J708)&amp;"|"&amp;TRIM(P708),'Price List'!$O$5:$O$74,0)),0)</f>
        <v>0</v>
      </c>
      <c r="U708" s="150">
        <f>IFERROR(INDEX('Price List'!$H$5:$H$74,MATCH(TRIM(J708)&amp;"|"&amp;TRIM(P708),'Price List'!$O$5:$O$74,0)),0)</f>
        <v>0</v>
      </c>
      <c r="V708" s="141">
        <f t="shared" si="56"/>
        <v>0</v>
      </c>
      <c r="W708" s="151">
        <f>IFERROR(INDEX('Price List'!$J$5:$J$74,MATCH(TRIM(J708)&amp;"|"&amp;TRIM(P708),'Price List'!$O$5:$O$74,0)),0)</f>
        <v>195</v>
      </c>
      <c r="X708" s="152">
        <f>IFERROR(INDEX('Price List'!$K$5:$K$74,MATCH(TRIM(J708)&amp;"|"&amp;TRIM(P708),'Price List'!$O$5:$O$74,0)),0)</f>
        <v>0.12</v>
      </c>
      <c r="Y708" s="141">
        <f t="shared" si="57"/>
        <v>218.40000000000003</v>
      </c>
      <c r="Z708" s="141">
        <f t="shared" si="58"/>
        <v>1310.4000000000001</v>
      </c>
      <c r="AA708" s="134"/>
    </row>
    <row r="709" spans="1:27" ht="12" customHeight="1" x14ac:dyDescent="0.35">
      <c r="A709" s="134"/>
      <c r="B709" s="134"/>
      <c r="C709" s="134" t="s">
        <v>689</v>
      </c>
      <c r="D709" s="136" t="str">
        <f t="shared" si="55"/>
        <v>C.04</v>
      </c>
      <c r="E709" s="135" t="s">
        <v>414</v>
      </c>
      <c r="F709" s="135" t="s">
        <v>670</v>
      </c>
      <c r="G709" s="134" t="s">
        <v>717</v>
      </c>
      <c r="H709" s="134" t="s">
        <v>718</v>
      </c>
      <c r="I709" s="134" t="s">
        <v>718</v>
      </c>
      <c r="J709" s="144" t="s">
        <v>290</v>
      </c>
      <c r="K709" s="134" t="s">
        <v>725</v>
      </c>
      <c r="L709" s="134"/>
      <c r="M709" s="134"/>
      <c r="N709" s="134"/>
      <c r="O709" s="134"/>
      <c r="P709" s="135" t="s">
        <v>234</v>
      </c>
      <c r="Q709" s="148">
        <v>2</v>
      </c>
      <c r="R709" s="148">
        <v>2</v>
      </c>
      <c r="S709" s="135"/>
      <c r="T709" s="149">
        <f>IFERROR(INDEX('Price List'!$G$5:$G$74,MATCH(TRIM(J709)&amp;"|"&amp;TRIM(P709),'Price List'!$O$5:$O$74,0)),0)</f>
        <v>0</v>
      </c>
      <c r="U709" s="150">
        <f>IFERROR(INDEX('Price List'!$H$5:$H$74,MATCH(TRIM(J709)&amp;"|"&amp;TRIM(P709),'Price List'!$O$5:$O$74,0)),0)</f>
        <v>0</v>
      </c>
      <c r="V709" s="141">
        <f t="shared" si="56"/>
        <v>0</v>
      </c>
      <c r="W709" s="151">
        <f>IFERROR(INDEX('Price List'!$J$5:$J$74,MATCH(TRIM(J709)&amp;"|"&amp;TRIM(P709),'Price List'!$O$5:$O$74,0)),0)</f>
        <v>586</v>
      </c>
      <c r="X709" s="152">
        <f>IFERROR(INDEX('Price List'!$K$5:$K$74,MATCH(TRIM(J709)&amp;"|"&amp;TRIM(P709),'Price List'!$O$5:$O$74,0)),0)</f>
        <v>0.12</v>
      </c>
      <c r="Y709" s="141">
        <f t="shared" si="57"/>
        <v>656.32</v>
      </c>
      <c r="Z709" s="141">
        <f t="shared" si="58"/>
        <v>1312.64</v>
      </c>
      <c r="AA709" s="134"/>
    </row>
    <row r="710" spans="1:27" ht="12" customHeight="1" x14ac:dyDescent="0.35">
      <c r="A710" s="134"/>
      <c r="B710" s="134"/>
      <c r="C710" s="134" t="s">
        <v>689</v>
      </c>
      <c r="D710" s="136" t="str">
        <f t="shared" si="55"/>
        <v>C.04</v>
      </c>
      <c r="E710" s="135" t="s">
        <v>414</v>
      </c>
      <c r="F710" s="135" t="s">
        <v>670</v>
      </c>
      <c r="G710" s="134" t="s">
        <v>717</v>
      </c>
      <c r="H710" s="134" t="s">
        <v>718</v>
      </c>
      <c r="I710" s="134" t="s">
        <v>718</v>
      </c>
      <c r="J710" s="144" t="s">
        <v>288</v>
      </c>
      <c r="K710" s="134" t="s">
        <v>724</v>
      </c>
      <c r="L710" s="134"/>
      <c r="M710" s="134"/>
      <c r="N710" s="134"/>
      <c r="O710" s="134"/>
      <c r="P710" s="135" t="s">
        <v>234</v>
      </c>
      <c r="Q710" s="148">
        <v>1</v>
      </c>
      <c r="R710" s="148">
        <v>1</v>
      </c>
      <c r="S710" s="135"/>
      <c r="T710" s="149">
        <f>IFERROR(INDEX('Price List'!$G$5:$G$74,MATCH(TRIM(J710)&amp;"|"&amp;TRIM(P710),'Price List'!$O$5:$O$74,0)),0)</f>
        <v>0</v>
      </c>
      <c r="U710" s="150">
        <f>IFERROR(INDEX('Price List'!$H$5:$H$74,MATCH(TRIM(J710)&amp;"|"&amp;TRIM(P710),'Price List'!$O$5:$O$74,0)),0)</f>
        <v>0</v>
      </c>
      <c r="V710" s="141">
        <f t="shared" si="56"/>
        <v>0</v>
      </c>
      <c r="W710" s="151">
        <f>IFERROR(INDEX('Price List'!$J$5:$J$74,MATCH(TRIM(J710)&amp;"|"&amp;TRIM(P710),'Price List'!$O$5:$O$74,0)),0)</f>
        <v>49.5</v>
      </c>
      <c r="X710" s="152">
        <f>IFERROR(INDEX('Price List'!$K$5:$K$74,MATCH(TRIM(J710)&amp;"|"&amp;TRIM(P710),'Price List'!$O$5:$O$74,0)),0)</f>
        <v>0.12</v>
      </c>
      <c r="Y710" s="141">
        <f t="shared" si="57"/>
        <v>55.440000000000005</v>
      </c>
      <c r="Z710" s="141">
        <f t="shared" si="58"/>
        <v>55.440000000000005</v>
      </c>
      <c r="AA710" s="134"/>
    </row>
    <row r="711" spans="1:27" ht="12" customHeight="1" x14ac:dyDescent="0.35">
      <c r="A711" s="134"/>
      <c r="B711" s="134"/>
      <c r="C711" s="134" t="s">
        <v>689</v>
      </c>
      <c r="D711" s="136" t="str">
        <f t="shared" si="55"/>
        <v>C.04</v>
      </c>
      <c r="E711" s="135" t="s">
        <v>414</v>
      </c>
      <c r="F711" s="135" t="s">
        <v>671</v>
      </c>
      <c r="G711" s="134" t="s">
        <v>717</v>
      </c>
      <c r="H711" s="134" t="s">
        <v>718</v>
      </c>
      <c r="I711" s="134" t="s">
        <v>718</v>
      </c>
      <c r="J711" s="144" t="s">
        <v>278</v>
      </c>
      <c r="K711" s="134" t="s">
        <v>719</v>
      </c>
      <c r="L711" s="134"/>
      <c r="M711" s="134"/>
      <c r="N711" s="134"/>
      <c r="O711" s="134"/>
      <c r="P711" s="135" t="s">
        <v>234</v>
      </c>
      <c r="Q711" s="148">
        <v>3</v>
      </c>
      <c r="R711" s="148">
        <v>3</v>
      </c>
      <c r="S711" s="135"/>
      <c r="T711" s="149">
        <f>IFERROR(INDEX('Price List'!$G$5:$G$74,MATCH(TRIM(J711)&amp;"|"&amp;TRIM(P711),'Price List'!$O$5:$O$74,0)),0)</f>
        <v>0</v>
      </c>
      <c r="U711" s="150">
        <f>IFERROR(INDEX('Price List'!$H$5:$H$74,MATCH(TRIM(J711)&amp;"|"&amp;TRIM(P711),'Price List'!$O$5:$O$74,0)),0)</f>
        <v>0</v>
      </c>
      <c r="V711" s="141">
        <f t="shared" si="56"/>
        <v>0</v>
      </c>
      <c r="W711" s="151">
        <f>IFERROR(INDEX('Price List'!$J$5:$J$74,MATCH(TRIM(J711)&amp;"|"&amp;TRIM(P711),'Price List'!$O$5:$O$74,0)),0)</f>
        <v>82.5</v>
      </c>
      <c r="X711" s="152">
        <f>IFERROR(INDEX('Price List'!$K$5:$K$74,MATCH(TRIM(J711)&amp;"|"&amp;TRIM(P711),'Price List'!$O$5:$O$74,0)),0)</f>
        <v>0.12</v>
      </c>
      <c r="Y711" s="141">
        <f t="shared" si="57"/>
        <v>92.4</v>
      </c>
      <c r="Z711" s="141">
        <f t="shared" si="58"/>
        <v>277.20000000000005</v>
      </c>
      <c r="AA711" s="134"/>
    </row>
    <row r="712" spans="1:27" ht="12" customHeight="1" x14ac:dyDescent="0.35">
      <c r="A712" s="134"/>
      <c r="B712" s="134"/>
      <c r="C712" s="134" t="s">
        <v>689</v>
      </c>
      <c r="D712" s="136" t="str">
        <f t="shared" si="55"/>
        <v>C.04</v>
      </c>
      <c r="E712" s="135" t="s">
        <v>414</v>
      </c>
      <c r="F712" s="135" t="s">
        <v>671</v>
      </c>
      <c r="G712" s="134" t="s">
        <v>717</v>
      </c>
      <c r="H712" s="134" t="s">
        <v>718</v>
      </c>
      <c r="I712" s="134" t="s">
        <v>718</v>
      </c>
      <c r="J712" s="144" t="s">
        <v>280</v>
      </c>
      <c r="K712" s="134" t="s">
        <v>720</v>
      </c>
      <c r="L712" s="134"/>
      <c r="M712" s="134"/>
      <c r="N712" s="134"/>
      <c r="O712" s="134"/>
      <c r="P712" s="135" t="s">
        <v>234</v>
      </c>
      <c r="Q712" s="148">
        <v>3</v>
      </c>
      <c r="R712" s="148">
        <v>3</v>
      </c>
      <c r="S712" s="135"/>
      <c r="T712" s="149">
        <f>IFERROR(INDEX('Price List'!$G$5:$G$74,MATCH(TRIM(J712)&amp;"|"&amp;TRIM(P712),'Price List'!$O$5:$O$74,0)),0)</f>
        <v>0</v>
      </c>
      <c r="U712" s="150">
        <f>IFERROR(INDEX('Price List'!$H$5:$H$74,MATCH(TRIM(J712)&amp;"|"&amp;TRIM(P712),'Price List'!$O$5:$O$74,0)),0)</f>
        <v>0</v>
      </c>
      <c r="V712" s="141">
        <f t="shared" si="56"/>
        <v>0</v>
      </c>
      <c r="W712" s="151">
        <f>IFERROR(INDEX('Price List'!$J$5:$J$74,MATCH(TRIM(J712)&amp;"|"&amp;TRIM(P712),'Price List'!$O$5:$O$74,0)),0)</f>
        <v>49.5</v>
      </c>
      <c r="X712" s="152">
        <f>IFERROR(INDEX('Price List'!$K$5:$K$74,MATCH(TRIM(J712)&amp;"|"&amp;TRIM(P712),'Price List'!$O$5:$O$74,0)),0)</f>
        <v>0.12</v>
      </c>
      <c r="Y712" s="141">
        <f t="shared" si="57"/>
        <v>55.440000000000005</v>
      </c>
      <c r="Z712" s="141">
        <f t="shared" si="58"/>
        <v>166.32000000000002</v>
      </c>
      <c r="AA712" s="134"/>
    </row>
    <row r="713" spans="1:27" ht="12" customHeight="1" x14ac:dyDescent="0.35">
      <c r="A713" s="134"/>
      <c r="B713" s="134"/>
      <c r="C713" s="134" t="s">
        <v>689</v>
      </c>
      <c r="D713" s="136" t="str">
        <f t="shared" si="55"/>
        <v>C.04</v>
      </c>
      <c r="E713" s="135" t="s">
        <v>414</v>
      </c>
      <c r="F713" s="135" t="s">
        <v>671</v>
      </c>
      <c r="G713" s="134" t="s">
        <v>717</v>
      </c>
      <c r="H713" s="134" t="s">
        <v>718</v>
      </c>
      <c r="I713" s="134" t="s">
        <v>718</v>
      </c>
      <c r="J713" s="144" t="s">
        <v>282</v>
      </c>
      <c r="K713" s="134" t="s">
        <v>721</v>
      </c>
      <c r="L713" s="134"/>
      <c r="M713" s="134"/>
      <c r="N713" s="134"/>
      <c r="O713" s="134"/>
      <c r="P713" s="135" t="s">
        <v>234</v>
      </c>
      <c r="Q713" s="148">
        <v>3</v>
      </c>
      <c r="R713" s="148">
        <v>3</v>
      </c>
      <c r="S713" s="135"/>
      <c r="T713" s="149">
        <f>IFERROR(INDEX('Price List'!$G$5:$G$74,MATCH(TRIM(J713)&amp;"|"&amp;TRIM(P713),'Price List'!$O$5:$O$74,0)),0)</f>
        <v>0</v>
      </c>
      <c r="U713" s="150">
        <f>IFERROR(INDEX('Price List'!$H$5:$H$74,MATCH(TRIM(J713)&amp;"|"&amp;TRIM(P713),'Price List'!$O$5:$O$74,0)),0)</f>
        <v>0</v>
      </c>
      <c r="V713" s="141">
        <f t="shared" si="56"/>
        <v>0</v>
      </c>
      <c r="W713" s="151">
        <f>IFERROR(INDEX('Price List'!$J$5:$J$74,MATCH(TRIM(J713)&amp;"|"&amp;TRIM(P713),'Price List'!$O$5:$O$74,0)),0)</f>
        <v>117</v>
      </c>
      <c r="X713" s="152">
        <f>IFERROR(INDEX('Price List'!$K$5:$K$74,MATCH(TRIM(J713)&amp;"|"&amp;TRIM(P713),'Price List'!$O$5:$O$74,0)),0)</f>
        <v>0.12</v>
      </c>
      <c r="Y713" s="141">
        <f t="shared" si="57"/>
        <v>131.04000000000002</v>
      </c>
      <c r="Z713" s="141">
        <f t="shared" si="58"/>
        <v>393.12000000000006</v>
      </c>
      <c r="AA713" s="134"/>
    </row>
    <row r="714" spans="1:27" ht="12" customHeight="1" x14ac:dyDescent="0.35">
      <c r="A714" s="134"/>
      <c r="B714" s="134"/>
      <c r="C714" s="134" t="s">
        <v>689</v>
      </c>
      <c r="D714" s="136" t="str">
        <f t="shared" si="55"/>
        <v>C.04</v>
      </c>
      <c r="E714" s="135" t="s">
        <v>414</v>
      </c>
      <c r="F714" s="135" t="s">
        <v>671</v>
      </c>
      <c r="G714" s="134" t="s">
        <v>717</v>
      </c>
      <c r="H714" s="134" t="s">
        <v>718</v>
      </c>
      <c r="I714" s="134" t="s">
        <v>718</v>
      </c>
      <c r="J714" s="144" t="s">
        <v>284</v>
      </c>
      <c r="K714" s="134" t="s">
        <v>722</v>
      </c>
      <c r="L714" s="134"/>
      <c r="M714" s="134"/>
      <c r="N714" s="134"/>
      <c r="O714" s="134"/>
      <c r="P714" s="135" t="s">
        <v>234</v>
      </c>
      <c r="Q714" s="148">
        <v>24</v>
      </c>
      <c r="R714" s="148">
        <v>24</v>
      </c>
      <c r="S714" s="135"/>
      <c r="T714" s="149">
        <f>IFERROR(INDEX('Price List'!$G$5:$G$74,MATCH(TRIM(J714)&amp;"|"&amp;TRIM(P714),'Price List'!$O$5:$O$74,0)),0)</f>
        <v>0</v>
      </c>
      <c r="U714" s="150">
        <f>IFERROR(INDEX('Price List'!$H$5:$H$74,MATCH(TRIM(J714)&amp;"|"&amp;TRIM(P714),'Price List'!$O$5:$O$74,0)),0)</f>
        <v>0</v>
      </c>
      <c r="V714" s="141">
        <f t="shared" si="56"/>
        <v>0</v>
      </c>
      <c r="W714" s="151">
        <f>IFERROR(INDEX('Price List'!$J$5:$J$74,MATCH(TRIM(J714)&amp;"|"&amp;TRIM(P714),'Price List'!$O$5:$O$74,0)),0)</f>
        <v>195</v>
      </c>
      <c r="X714" s="152">
        <f>IFERROR(INDEX('Price List'!$K$5:$K$74,MATCH(TRIM(J714)&amp;"|"&amp;TRIM(P714),'Price List'!$O$5:$O$74,0)),0)</f>
        <v>0.12</v>
      </c>
      <c r="Y714" s="141">
        <f t="shared" si="57"/>
        <v>218.40000000000003</v>
      </c>
      <c r="Z714" s="141">
        <f t="shared" si="58"/>
        <v>5241.6000000000004</v>
      </c>
      <c r="AA714" s="134"/>
    </row>
    <row r="715" spans="1:27" ht="12" customHeight="1" x14ac:dyDescent="0.35">
      <c r="A715" s="134"/>
      <c r="B715" s="134"/>
      <c r="C715" s="134" t="s">
        <v>689</v>
      </c>
      <c r="D715" s="136" t="str">
        <f t="shared" si="55"/>
        <v>C.04</v>
      </c>
      <c r="E715" s="135" t="s">
        <v>414</v>
      </c>
      <c r="F715" s="135" t="s">
        <v>671</v>
      </c>
      <c r="G715" s="134" t="s">
        <v>717</v>
      </c>
      <c r="H715" s="134" t="s">
        <v>718</v>
      </c>
      <c r="I715" s="134" t="s">
        <v>718</v>
      </c>
      <c r="J715" s="144" t="s">
        <v>290</v>
      </c>
      <c r="K715" s="134" t="s">
        <v>725</v>
      </c>
      <c r="L715" s="134"/>
      <c r="M715" s="134"/>
      <c r="N715" s="134"/>
      <c r="O715" s="134"/>
      <c r="P715" s="135" t="s">
        <v>234</v>
      </c>
      <c r="Q715" s="148">
        <v>6</v>
      </c>
      <c r="R715" s="148">
        <v>6</v>
      </c>
      <c r="S715" s="135"/>
      <c r="T715" s="149">
        <f>IFERROR(INDEX('Price List'!$G$5:$G$74,MATCH(TRIM(J715)&amp;"|"&amp;TRIM(P715),'Price List'!$O$5:$O$74,0)),0)</f>
        <v>0</v>
      </c>
      <c r="U715" s="150">
        <f>IFERROR(INDEX('Price List'!$H$5:$H$74,MATCH(TRIM(J715)&amp;"|"&amp;TRIM(P715),'Price List'!$O$5:$O$74,0)),0)</f>
        <v>0</v>
      </c>
      <c r="V715" s="141">
        <f t="shared" si="56"/>
        <v>0</v>
      </c>
      <c r="W715" s="151">
        <f>IFERROR(INDEX('Price List'!$J$5:$J$74,MATCH(TRIM(J715)&amp;"|"&amp;TRIM(P715),'Price List'!$O$5:$O$74,0)),0)</f>
        <v>586</v>
      </c>
      <c r="X715" s="152">
        <f>IFERROR(INDEX('Price List'!$K$5:$K$74,MATCH(TRIM(J715)&amp;"|"&amp;TRIM(P715),'Price List'!$O$5:$O$74,0)),0)</f>
        <v>0.12</v>
      </c>
      <c r="Y715" s="141">
        <f t="shared" si="57"/>
        <v>656.32</v>
      </c>
      <c r="Z715" s="141">
        <f t="shared" si="58"/>
        <v>3937.92</v>
      </c>
      <c r="AA715" s="134"/>
    </row>
    <row r="716" spans="1:27" ht="12" customHeight="1" x14ac:dyDescent="0.35">
      <c r="A716" s="134"/>
      <c r="B716" s="134"/>
      <c r="C716" s="134" t="s">
        <v>689</v>
      </c>
      <c r="D716" s="136" t="str">
        <f t="shared" si="55"/>
        <v>C.04</v>
      </c>
      <c r="E716" s="135" t="s">
        <v>414</v>
      </c>
      <c r="F716" s="135" t="s">
        <v>671</v>
      </c>
      <c r="G716" s="134" t="s">
        <v>717</v>
      </c>
      <c r="H716" s="134" t="s">
        <v>718</v>
      </c>
      <c r="I716" s="134" t="s">
        <v>718</v>
      </c>
      <c r="J716" s="144" t="s">
        <v>288</v>
      </c>
      <c r="K716" s="134" t="s">
        <v>724</v>
      </c>
      <c r="L716" s="134"/>
      <c r="M716" s="134"/>
      <c r="N716" s="134"/>
      <c r="O716" s="134"/>
      <c r="P716" s="135" t="s">
        <v>234</v>
      </c>
      <c r="Q716" s="148">
        <v>3</v>
      </c>
      <c r="R716" s="148">
        <v>3</v>
      </c>
      <c r="S716" s="135"/>
      <c r="T716" s="149">
        <f>IFERROR(INDEX('Price List'!$G$5:$G$74,MATCH(TRIM(J716)&amp;"|"&amp;TRIM(P716),'Price List'!$O$5:$O$74,0)),0)</f>
        <v>0</v>
      </c>
      <c r="U716" s="150">
        <f>IFERROR(INDEX('Price List'!$H$5:$H$74,MATCH(TRIM(J716)&amp;"|"&amp;TRIM(P716),'Price List'!$O$5:$O$74,0)),0)</f>
        <v>0</v>
      </c>
      <c r="V716" s="141">
        <f t="shared" si="56"/>
        <v>0</v>
      </c>
      <c r="W716" s="151">
        <f>IFERROR(INDEX('Price List'!$J$5:$J$74,MATCH(TRIM(J716)&amp;"|"&amp;TRIM(P716),'Price List'!$O$5:$O$74,0)),0)</f>
        <v>49.5</v>
      </c>
      <c r="X716" s="152">
        <f>IFERROR(INDEX('Price List'!$K$5:$K$74,MATCH(TRIM(J716)&amp;"|"&amp;TRIM(P716),'Price List'!$O$5:$O$74,0)),0)</f>
        <v>0.12</v>
      </c>
      <c r="Y716" s="141">
        <f t="shared" si="57"/>
        <v>55.440000000000005</v>
      </c>
      <c r="Z716" s="141">
        <f t="shared" si="58"/>
        <v>166.32000000000002</v>
      </c>
      <c r="AA716" s="134"/>
    </row>
    <row r="717" spans="1:27" ht="12" customHeight="1" x14ac:dyDescent="0.35">
      <c r="A717" s="134"/>
      <c r="B717" s="134"/>
      <c r="C717" s="134" t="s">
        <v>689</v>
      </c>
      <c r="D717" s="136" t="str">
        <f t="shared" si="55"/>
        <v>C.04</v>
      </c>
      <c r="E717" s="135" t="s">
        <v>414</v>
      </c>
      <c r="F717" s="135" t="s">
        <v>672</v>
      </c>
      <c r="G717" s="134" t="s">
        <v>717</v>
      </c>
      <c r="H717" s="134" t="s">
        <v>718</v>
      </c>
      <c r="I717" s="134" t="s">
        <v>718</v>
      </c>
      <c r="J717" s="144" t="s">
        <v>278</v>
      </c>
      <c r="K717" s="134" t="s">
        <v>719</v>
      </c>
      <c r="L717" s="134"/>
      <c r="M717" s="134"/>
      <c r="N717" s="134"/>
      <c r="O717" s="134"/>
      <c r="P717" s="135" t="s">
        <v>234</v>
      </c>
      <c r="Q717" s="148">
        <v>4</v>
      </c>
      <c r="R717" s="148">
        <v>4</v>
      </c>
      <c r="S717" s="135"/>
      <c r="T717" s="149">
        <f>IFERROR(INDEX('Price List'!$G$5:$G$74,MATCH(TRIM(J717)&amp;"|"&amp;TRIM(P717),'Price List'!$O$5:$O$74,0)),0)</f>
        <v>0</v>
      </c>
      <c r="U717" s="150">
        <f>IFERROR(INDEX('Price List'!$H$5:$H$74,MATCH(TRIM(J717)&amp;"|"&amp;TRIM(P717),'Price List'!$O$5:$O$74,0)),0)</f>
        <v>0</v>
      </c>
      <c r="V717" s="141">
        <f t="shared" si="56"/>
        <v>0</v>
      </c>
      <c r="W717" s="151">
        <f>IFERROR(INDEX('Price List'!$J$5:$J$74,MATCH(TRIM(J717)&amp;"|"&amp;TRIM(P717),'Price List'!$O$5:$O$74,0)),0)</f>
        <v>82.5</v>
      </c>
      <c r="X717" s="152">
        <f>IFERROR(INDEX('Price List'!$K$5:$K$74,MATCH(TRIM(J717)&amp;"|"&amp;TRIM(P717),'Price List'!$O$5:$O$74,0)),0)</f>
        <v>0.12</v>
      </c>
      <c r="Y717" s="141">
        <f t="shared" si="57"/>
        <v>92.4</v>
      </c>
      <c r="Z717" s="141">
        <f t="shared" si="58"/>
        <v>369.6</v>
      </c>
      <c r="AA717" s="134"/>
    </row>
    <row r="718" spans="1:27" ht="12" customHeight="1" x14ac:dyDescent="0.35">
      <c r="A718" s="134"/>
      <c r="B718" s="134"/>
      <c r="C718" s="134" t="s">
        <v>689</v>
      </c>
      <c r="D718" s="136" t="str">
        <f t="shared" si="55"/>
        <v>C.04</v>
      </c>
      <c r="E718" s="135" t="s">
        <v>414</v>
      </c>
      <c r="F718" s="135" t="s">
        <v>672</v>
      </c>
      <c r="G718" s="134" t="s">
        <v>717</v>
      </c>
      <c r="H718" s="134" t="s">
        <v>718</v>
      </c>
      <c r="I718" s="134" t="s">
        <v>718</v>
      </c>
      <c r="J718" s="144" t="s">
        <v>280</v>
      </c>
      <c r="K718" s="134" t="s">
        <v>720</v>
      </c>
      <c r="L718" s="134"/>
      <c r="M718" s="134"/>
      <c r="N718" s="134"/>
      <c r="O718" s="134"/>
      <c r="P718" s="135" t="s">
        <v>234</v>
      </c>
      <c r="Q718" s="148">
        <v>4</v>
      </c>
      <c r="R718" s="148">
        <v>4</v>
      </c>
      <c r="S718" s="135"/>
      <c r="T718" s="149">
        <f>IFERROR(INDEX('Price List'!$G$5:$G$74,MATCH(TRIM(J718)&amp;"|"&amp;TRIM(P718),'Price List'!$O$5:$O$74,0)),0)</f>
        <v>0</v>
      </c>
      <c r="U718" s="150">
        <f>IFERROR(INDEX('Price List'!$H$5:$H$74,MATCH(TRIM(J718)&amp;"|"&amp;TRIM(P718),'Price List'!$O$5:$O$74,0)),0)</f>
        <v>0</v>
      </c>
      <c r="V718" s="141">
        <f t="shared" si="56"/>
        <v>0</v>
      </c>
      <c r="W718" s="151">
        <f>IFERROR(INDEX('Price List'!$J$5:$J$74,MATCH(TRIM(J718)&amp;"|"&amp;TRIM(P718),'Price List'!$O$5:$O$74,0)),0)</f>
        <v>49.5</v>
      </c>
      <c r="X718" s="152">
        <f>IFERROR(INDEX('Price List'!$K$5:$K$74,MATCH(TRIM(J718)&amp;"|"&amp;TRIM(P718),'Price List'!$O$5:$O$74,0)),0)</f>
        <v>0.12</v>
      </c>
      <c r="Y718" s="141">
        <f t="shared" si="57"/>
        <v>55.440000000000005</v>
      </c>
      <c r="Z718" s="141">
        <f t="shared" si="58"/>
        <v>221.76000000000002</v>
      </c>
      <c r="AA718" s="134"/>
    </row>
    <row r="719" spans="1:27" ht="12" customHeight="1" x14ac:dyDescent="0.35">
      <c r="A719" s="134"/>
      <c r="B719" s="134"/>
      <c r="C719" s="134" t="s">
        <v>689</v>
      </c>
      <c r="D719" s="136" t="str">
        <f t="shared" si="55"/>
        <v>C.04</v>
      </c>
      <c r="E719" s="135" t="s">
        <v>414</v>
      </c>
      <c r="F719" s="135" t="s">
        <v>672</v>
      </c>
      <c r="G719" s="134" t="s">
        <v>717</v>
      </c>
      <c r="H719" s="134" t="s">
        <v>718</v>
      </c>
      <c r="I719" s="134" t="s">
        <v>718</v>
      </c>
      <c r="J719" s="144" t="s">
        <v>282</v>
      </c>
      <c r="K719" s="134" t="s">
        <v>721</v>
      </c>
      <c r="L719" s="134"/>
      <c r="M719" s="134"/>
      <c r="N719" s="134"/>
      <c r="O719" s="134"/>
      <c r="P719" s="135" t="s">
        <v>234</v>
      </c>
      <c r="Q719" s="148">
        <v>4</v>
      </c>
      <c r="R719" s="148">
        <v>4</v>
      </c>
      <c r="S719" s="135"/>
      <c r="T719" s="149">
        <f>IFERROR(INDEX('Price List'!$G$5:$G$74,MATCH(TRIM(J719)&amp;"|"&amp;TRIM(P719),'Price List'!$O$5:$O$74,0)),0)</f>
        <v>0</v>
      </c>
      <c r="U719" s="150">
        <f>IFERROR(INDEX('Price List'!$H$5:$H$74,MATCH(TRIM(J719)&amp;"|"&amp;TRIM(P719),'Price List'!$O$5:$O$74,0)),0)</f>
        <v>0</v>
      </c>
      <c r="V719" s="141">
        <f t="shared" si="56"/>
        <v>0</v>
      </c>
      <c r="W719" s="151">
        <f>IFERROR(INDEX('Price List'!$J$5:$J$74,MATCH(TRIM(J719)&amp;"|"&amp;TRIM(P719),'Price List'!$O$5:$O$74,0)),0)</f>
        <v>117</v>
      </c>
      <c r="X719" s="152">
        <f>IFERROR(INDEX('Price List'!$K$5:$K$74,MATCH(TRIM(J719)&amp;"|"&amp;TRIM(P719),'Price List'!$O$5:$O$74,0)),0)</f>
        <v>0.12</v>
      </c>
      <c r="Y719" s="141">
        <f t="shared" si="57"/>
        <v>131.04000000000002</v>
      </c>
      <c r="Z719" s="141">
        <f t="shared" si="58"/>
        <v>524.16000000000008</v>
      </c>
      <c r="AA719" s="134"/>
    </row>
    <row r="720" spans="1:27" ht="12" customHeight="1" x14ac:dyDescent="0.35">
      <c r="A720" s="134"/>
      <c r="B720" s="134"/>
      <c r="C720" s="134" t="s">
        <v>689</v>
      </c>
      <c r="D720" s="136" t="str">
        <f t="shared" si="55"/>
        <v>C.04</v>
      </c>
      <c r="E720" s="135" t="s">
        <v>414</v>
      </c>
      <c r="F720" s="135" t="s">
        <v>672</v>
      </c>
      <c r="G720" s="134" t="s">
        <v>717</v>
      </c>
      <c r="H720" s="134" t="s">
        <v>718</v>
      </c>
      <c r="I720" s="134" t="s">
        <v>718</v>
      </c>
      <c r="J720" s="144" t="s">
        <v>284</v>
      </c>
      <c r="K720" s="134" t="s">
        <v>722</v>
      </c>
      <c r="L720" s="134"/>
      <c r="M720" s="134"/>
      <c r="N720" s="134"/>
      <c r="O720" s="134"/>
      <c r="P720" s="135" t="s">
        <v>234</v>
      </c>
      <c r="Q720" s="148">
        <v>32</v>
      </c>
      <c r="R720" s="148">
        <v>32</v>
      </c>
      <c r="S720" s="135"/>
      <c r="T720" s="149">
        <f>IFERROR(INDEX('Price List'!$G$5:$G$74,MATCH(TRIM(J720)&amp;"|"&amp;TRIM(P720),'Price List'!$O$5:$O$74,0)),0)</f>
        <v>0</v>
      </c>
      <c r="U720" s="150">
        <f>IFERROR(INDEX('Price List'!$H$5:$H$74,MATCH(TRIM(J720)&amp;"|"&amp;TRIM(P720),'Price List'!$O$5:$O$74,0)),0)</f>
        <v>0</v>
      </c>
      <c r="V720" s="141">
        <f t="shared" si="56"/>
        <v>0</v>
      </c>
      <c r="W720" s="151">
        <f>IFERROR(INDEX('Price List'!$J$5:$J$74,MATCH(TRIM(J720)&amp;"|"&amp;TRIM(P720),'Price List'!$O$5:$O$74,0)),0)</f>
        <v>195</v>
      </c>
      <c r="X720" s="152">
        <f>IFERROR(INDEX('Price List'!$K$5:$K$74,MATCH(TRIM(J720)&amp;"|"&amp;TRIM(P720),'Price List'!$O$5:$O$74,0)),0)</f>
        <v>0.12</v>
      </c>
      <c r="Y720" s="141">
        <f t="shared" si="57"/>
        <v>218.40000000000003</v>
      </c>
      <c r="Z720" s="141">
        <f t="shared" si="58"/>
        <v>6988.8000000000011</v>
      </c>
      <c r="AA720" s="134"/>
    </row>
    <row r="721" spans="1:27" ht="12" customHeight="1" x14ac:dyDescent="0.35">
      <c r="A721" s="134"/>
      <c r="B721" s="134"/>
      <c r="C721" s="134" t="s">
        <v>689</v>
      </c>
      <c r="D721" s="136" t="str">
        <f t="shared" si="55"/>
        <v>C.04</v>
      </c>
      <c r="E721" s="135" t="s">
        <v>414</v>
      </c>
      <c r="F721" s="135" t="s">
        <v>672</v>
      </c>
      <c r="G721" s="134" t="s">
        <v>717</v>
      </c>
      <c r="H721" s="134" t="s">
        <v>718</v>
      </c>
      <c r="I721" s="134" t="s">
        <v>718</v>
      </c>
      <c r="J721" s="144" t="s">
        <v>290</v>
      </c>
      <c r="K721" s="134" t="s">
        <v>725</v>
      </c>
      <c r="L721" s="134"/>
      <c r="M721" s="134"/>
      <c r="N721" s="134"/>
      <c r="O721" s="134"/>
      <c r="P721" s="135" t="s">
        <v>234</v>
      </c>
      <c r="Q721" s="148">
        <v>8</v>
      </c>
      <c r="R721" s="148">
        <v>8</v>
      </c>
      <c r="S721" s="135"/>
      <c r="T721" s="149">
        <f>IFERROR(INDEX('Price List'!$G$5:$G$74,MATCH(TRIM(J721)&amp;"|"&amp;TRIM(P721),'Price List'!$O$5:$O$74,0)),0)</f>
        <v>0</v>
      </c>
      <c r="U721" s="150">
        <f>IFERROR(INDEX('Price List'!$H$5:$H$74,MATCH(TRIM(J721)&amp;"|"&amp;TRIM(P721),'Price List'!$O$5:$O$74,0)),0)</f>
        <v>0</v>
      </c>
      <c r="V721" s="141">
        <f t="shared" si="56"/>
        <v>0</v>
      </c>
      <c r="W721" s="151">
        <f>IFERROR(INDEX('Price List'!$J$5:$J$74,MATCH(TRIM(J721)&amp;"|"&amp;TRIM(P721),'Price List'!$O$5:$O$74,0)),0)</f>
        <v>586</v>
      </c>
      <c r="X721" s="152">
        <f>IFERROR(INDEX('Price List'!$K$5:$K$74,MATCH(TRIM(J721)&amp;"|"&amp;TRIM(P721),'Price List'!$O$5:$O$74,0)),0)</f>
        <v>0.12</v>
      </c>
      <c r="Y721" s="141">
        <f t="shared" si="57"/>
        <v>656.32</v>
      </c>
      <c r="Z721" s="141">
        <f t="shared" si="58"/>
        <v>5250.56</v>
      </c>
      <c r="AA721" s="134"/>
    </row>
    <row r="722" spans="1:27" ht="12" customHeight="1" x14ac:dyDescent="0.35">
      <c r="A722" s="134"/>
      <c r="B722" s="134"/>
      <c r="C722" s="134" t="s">
        <v>689</v>
      </c>
      <c r="D722" s="136" t="str">
        <f t="shared" si="55"/>
        <v>C.04</v>
      </c>
      <c r="E722" s="135" t="s">
        <v>414</v>
      </c>
      <c r="F722" s="135" t="s">
        <v>672</v>
      </c>
      <c r="G722" s="134" t="s">
        <v>717</v>
      </c>
      <c r="H722" s="134" t="s">
        <v>718</v>
      </c>
      <c r="I722" s="134" t="s">
        <v>718</v>
      </c>
      <c r="J722" s="144" t="s">
        <v>288</v>
      </c>
      <c r="K722" s="134" t="s">
        <v>724</v>
      </c>
      <c r="L722" s="134"/>
      <c r="M722" s="134"/>
      <c r="N722" s="134"/>
      <c r="O722" s="134"/>
      <c r="P722" s="135" t="s">
        <v>234</v>
      </c>
      <c r="Q722" s="148">
        <v>4</v>
      </c>
      <c r="R722" s="148">
        <v>4</v>
      </c>
      <c r="S722" s="135"/>
      <c r="T722" s="149">
        <f>IFERROR(INDEX('Price List'!$G$5:$G$74,MATCH(TRIM(J722)&amp;"|"&amp;TRIM(P722),'Price List'!$O$5:$O$74,0)),0)</f>
        <v>0</v>
      </c>
      <c r="U722" s="150">
        <f>IFERROR(INDEX('Price List'!$H$5:$H$74,MATCH(TRIM(J722)&amp;"|"&amp;TRIM(P722),'Price List'!$O$5:$O$74,0)),0)</f>
        <v>0</v>
      </c>
      <c r="V722" s="141">
        <f t="shared" si="56"/>
        <v>0</v>
      </c>
      <c r="W722" s="151">
        <f>IFERROR(INDEX('Price List'!$J$5:$J$74,MATCH(TRIM(J722)&amp;"|"&amp;TRIM(P722),'Price List'!$O$5:$O$74,0)),0)</f>
        <v>49.5</v>
      </c>
      <c r="X722" s="152">
        <f>IFERROR(INDEX('Price List'!$K$5:$K$74,MATCH(TRIM(J722)&amp;"|"&amp;TRIM(P722),'Price List'!$O$5:$O$74,0)),0)</f>
        <v>0.12</v>
      </c>
      <c r="Y722" s="141">
        <f t="shared" si="57"/>
        <v>55.440000000000005</v>
      </c>
      <c r="Z722" s="141">
        <f t="shared" si="58"/>
        <v>221.76000000000002</v>
      </c>
      <c r="AA722" s="134"/>
    </row>
    <row r="723" spans="1:27" ht="12" customHeight="1" x14ac:dyDescent="0.35">
      <c r="A723" s="134"/>
      <c r="B723" s="134"/>
      <c r="C723" s="134" t="s">
        <v>689</v>
      </c>
      <c r="D723" s="136" t="str">
        <f t="shared" si="55"/>
        <v>C.04</v>
      </c>
      <c r="E723" s="135" t="s">
        <v>414</v>
      </c>
      <c r="F723" s="135" t="s">
        <v>673</v>
      </c>
      <c r="G723" s="134" t="s">
        <v>717</v>
      </c>
      <c r="H723" s="134" t="s">
        <v>718</v>
      </c>
      <c r="I723" s="134" t="s">
        <v>718</v>
      </c>
      <c r="J723" s="144" t="s">
        <v>278</v>
      </c>
      <c r="K723" s="134" t="s">
        <v>719</v>
      </c>
      <c r="L723" s="134"/>
      <c r="M723" s="134"/>
      <c r="N723" s="134"/>
      <c r="O723" s="134"/>
      <c r="P723" s="135" t="s">
        <v>234</v>
      </c>
      <c r="Q723" s="148">
        <v>4</v>
      </c>
      <c r="R723" s="148">
        <v>4</v>
      </c>
      <c r="S723" s="135"/>
      <c r="T723" s="149">
        <f>IFERROR(INDEX('Price List'!$G$5:$G$74,MATCH(TRIM(J723)&amp;"|"&amp;TRIM(P723),'Price List'!$O$5:$O$74,0)),0)</f>
        <v>0</v>
      </c>
      <c r="U723" s="150">
        <f>IFERROR(INDEX('Price List'!$H$5:$H$74,MATCH(TRIM(J723)&amp;"|"&amp;TRIM(P723),'Price List'!$O$5:$O$74,0)),0)</f>
        <v>0</v>
      </c>
      <c r="V723" s="141">
        <f t="shared" si="56"/>
        <v>0</v>
      </c>
      <c r="W723" s="151">
        <f>IFERROR(INDEX('Price List'!$J$5:$J$74,MATCH(TRIM(J723)&amp;"|"&amp;TRIM(P723),'Price List'!$O$5:$O$74,0)),0)</f>
        <v>82.5</v>
      </c>
      <c r="X723" s="152">
        <f>IFERROR(INDEX('Price List'!$K$5:$K$74,MATCH(TRIM(J723)&amp;"|"&amp;TRIM(P723),'Price List'!$O$5:$O$74,0)),0)</f>
        <v>0.12</v>
      </c>
      <c r="Y723" s="141">
        <f t="shared" si="57"/>
        <v>92.4</v>
      </c>
      <c r="Z723" s="141">
        <f t="shared" si="58"/>
        <v>369.6</v>
      </c>
      <c r="AA723" s="134"/>
    </row>
    <row r="724" spans="1:27" ht="12" customHeight="1" x14ac:dyDescent="0.35">
      <c r="A724" s="134"/>
      <c r="B724" s="134"/>
      <c r="C724" s="134" t="s">
        <v>689</v>
      </c>
      <c r="D724" s="136" t="str">
        <f t="shared" si="55"/>
        <v>C.04</v>
      </c>
      <c r="E724" s="135" t="s">
        <v>414</v>
      </c>
      <c r="F724" s="135" t="s">
        <v>673</v>
      </c>
      <c r="G724" s="134" t="s">
        <v>717</v>
      </c>
      <c r="H724" s="134" t="s">
        <v>718</v>
      </c>
      <c r="I724" s="134" t="s">
        <v>718</v>
      </c>
      <c r="J724" s="144" t="s">
        <v>280</v>
      </c>
      <c r="K724" s="134" t="s">
        <v>720</v>
      </c>
      <c r="L724" s="134"/>
      <c r="M724" s="134"/>
      <c r="N724" s="134"/>
      <c r="O724" s="134"/>
      <c r="P724" s="135" t="s">
        <v>234</v>
      </c>
      <c r="Q724" s="148">
        <v>4</v>
      </c>
      <c r="R724" s="148">
        <v>4</v>
      </c>
      <c r="S724" s="135"/>
      <c r="T724" s="149">
        <f>IFERROR(INDEX('Price List'!$G$5:$G$74,MATCH(TRIM(J724)&amp;"|"&amp;TRIM(P724),'Price List'!$O$5:$O$74,0)),0)</f>
        <v>0</v>
      </c>
      <c r="U724" s="150">
        <f>IFERROR(INDEX('Price List'!$H$5:$H$74,MATCH(TRIM(J724)&amp;"|"&amp;TRIM(P724),'Price List'!$O$5:$O$74,0)),0)</f>
        <v>0</v>
      </c>
      <c r="V724" s="141">
        <f t="shared" si="56"/>
        <v>0</v>
      </c>
      <c r="W724" s="151">
        <f>IFERROR(INDEX('Price List'!$J$5:$J$74,MATCH(TRIM(J724)&amp;"|"&amp;TRIM(P724),'Price List'!$O$5:$O$74,0)),0)</f>
        <v>49.5</v>
      </c>
      <c r="X724" s="152">
        <f>IFERROR(INDEX('Price List'!$K$5:$K$74,MATCH(TRIM(J724)&amp;"|"&amp;TRIM(P724),'Price List'!$O$5:$O$74,0)),0)</f>
        <v>0.12</v>
      </c>
      <c r="Y724" s="141">
        <f t="shared" si="57"/>
        <v>55.440000000000005</v>
      </c>
      <c r="Z724" s="141">
        <f t="shared" si="58"/>
        <v>221.76000000000002</v>
      </c>
      <c r="AA724" s="134"/>
    </row>
    <row r="725" spans="1:27" ht="12" customHeight="1" x14ac:dyDescent="0.35">
      <c r="A725" s="134"/>
      <c r="B725" s="134"/>
      <c r="C725" s="134" t="s">
        <v>689</v>
      </c>
      <c r="D725" s="136" t="str">
        <f t="shared" si="55"/>
        <v>C.04</v>
      </c>
      <c r="E725" s="135" t="s">
        <v>414</v>
      </c>
      <c r="F725" s="135" t="s">
        <v>673</v>
      </c>
      <c r="G725" s="134" t="s">
        <v>717</v>
      </c>
      <c r="H725" s="134" t="s">
        <v>718</v>
      </c>
      <c r="I725" s="134" t="s">
        <v>718</v>
      </c>
      <c r="J725" s="144" t="s">
        <v>282</v>
      </c>
      <c r="K725" s="134" t="s">
        <v>721</v>
      </c>
      <c r="L725" s="134"/>
      <c r="M725" s="134"/>
      <c r="N725" s="134"/>
      <c r="O725" s="134"/>
      <c r="P725" s="135" t="s">
        <v>234</v>
      </c>
      <c r="Q725" s="148">
        <v>4</v>
      </c>
      <c r="R725" s="148">
        <v>4</v>
      </c>
      <c r="S725" s="135"/>
      <c r="T725" s="149">
        <f>IFERROR(INDEX('Price List'!$G$5:$G$74,MATCH(TRIM(J725)&amp;"|"&amp;TRIM(P725),'Price List'!$O$5:$O$74,0)),0)</f>
        <v>0</v>
      </c>
      <c r="U725" s="150">
        <f>IFERROR(INDEX('Price List'!$H$5:$H$74,MATCH(TRIM(J725)&amp;"|"&amp;TRIM(P725),'Price List'!$O$5:$O$74,0)),0)</f>
        <v>0</v>
      </c>
      <c r="V725" s="141">
        <f t="shared" si="56"/>
        <v>0</v>
      </c>
      <c r="W725" s="151">
        <f>IFERROR(INDEX('Price List'!$J$5:$J$74,MATCH(TRIM(J725)&amp;"|"&amp;TRIM(P725),'Price List'!$O$5:$O$74,0)),0)</f>
        <v>117</v>
      </c>
      <c r="X725" s="152">
        <f>IFERROR(INDEX('Price List'!$K$5:$K$74,MATCH(TRIM(J725)&amp;"|"&amp;TRIM(P725),'Price List'!$O$5:$O$74,0)),0)</f>
        <v>0.12</v>
      </c>
      <c r="Y725" s="141">
        <f t="shared" si="57"/>
        <v>131.04000000000002</v>
      </c>
      <c r="Z725" s="141">
        <f t="shared" si="58"/>
        <v>524.16000000000008</v>
      </c>
      <c r="AA725" s="134"/>
    </row>
    <row r="726" spans="1:27" ht="12" customHeight="1" x14ac:dyDescent="0.35">
      <c r="A726" s="134"/>
      <c r="B726" s="134"/>
      <c r="C726" s="134" t="s">
        <v>689</v>
      </c>
      <c r="D726" s="136" t="str">
        <f t="shared" si="55"/>
        <v>C.04</v>
      </c>
      <c r="E726" s="135" t="s">
        <v>414</v>
      </c>
      <c r="F726" s="135" t="s">
        <v>673</v>
      </c>
      <c r="G726" s="134" t="s">
        <v>717</v>
      </c>
      <c r="H726" s="134" t="s">
        <v>718</v>
      </c>
      <c r="I726" s="134" t="s">
        <v>718</v>
      </c>
      <c r="J726" s="144" t="s">
        <v>284</v>
      </c>
      <c r="K726" s="134" t="s">
        <v>722</v>
      </c>
      <c r="L726" s="134"/>
      <c r="M726" s="134"/>
      <c r="N726" s="134"/>
      <c r="O726" s="134"/>
      <c r="P726" s="135" t="s">
        <v>234</v>
      </c>
      <c r="Q726" s="148">
        <v>32</v>
      </c>
      <c r="R726" s="148">
        <v>32</v>
      </c>
      <c r="S726" s="135"/>
      <c r="T726" s="149">
        <f>IFERROR(INDEX('Price List'!$G$5:$G$74,MATCH(TRIM(J726)&amp;"|"&amp;TRIM(P726),'Price List'!$O$5:$O$74,0)),0)</f>
        <v>0</v>
      </c>
      <c r="U726" s="150">
        <f>IFERROR(INDEX('Price List'!$H$5:$H$74,MATCH(TRIM(J726)&amp;"|"&amp;TRIM(P726),'Price List'!$O$5:$O$74,0)),0)</f>
        <v>0</v>
      </c>
      <c r="V726" s="141">
        <f t="shared" si="56"/>
        <v>0</v>
      </c>
      <c r="W726" s="151">
        <f>IFERROR(INDEX('Price List'!$J$5:$J$74,MATCH(TRIM(J726)&amp;"|"&amp;TRIM(P726),'Price List'!$O$5:$O$74,0)),0)</f>
        <v>195</v>
      </c>
      <c r="X726" s="152">
        <f>IFERROR(INDEX('Price List'!$K$5:$K$74,MATCH(TRIM(J726)&amp;"|"&amp;TRIM(P726),'Price List'!$O$5:$O$74,0)),0)</f>
        <v>0.12</v>
      </c>
      <c r="Y726" s="141">
        <f t="shared" si="57"/>
        <v>218.40000000000003</v>
      </c>
      <c r="Z726" s="141">
        <f t="shared" si="58"/>
        <v>6988.8000000000011</v>
      </c>
      <c r="AA726" s="134"/>
    </row>
    <row r="727" spans="1:27" ht="12" customHeight="1" x14ac:dyDescent="0.35">
      <c r="A727" s="134"/>
      <c r="B727" s="134"/>
      <c r="C727" s="134" t="s">
        <v>689</v>
      </c>
      <c r="D727" s="136" t="str">
        <f t="shared" si="55"/>
        <v>C.04</v>
      </c>
      <c r="E727" s="135" t="s">
        <v>414</v>
      </c>
      <c r="F727" s="135" t="s">
        <v>673</v>
      </c>
      <c r="G727" s="134" t="s">
        <v>717</v>
      </c>
      <c r="H727" s="134" t="s">
        <v>718</v>
      </c>
      <c r="I727" s="134" t="s">
        <v>718</v>
      </c>
      <c r="J727" s="144" t="s">
        <v>290</v>
      </c>
      <c r="K727" s="134" t="s">
        <v>725</v>
      </c>
      <c r="L727" s="134"/>
      <c r="M727" s="134"/>
      <c r="N727" s="134"/>
      <c r="O727" s="134"/>
      <c r="P727" s="135" t="s">
        <v>234</v>
      </c>
      <c r="Q727" s="148">
        <v>8</v>
      </c>
      <c r="R727" s="148">
        <v>8</v>
      </c>
      <c r="S727" s="135"/>
      <c r="T727" s="149">
        <f>IFERROR(INDEX('Price List'!$G$5:$G$74,MATCH(TRIM(J727)&amp;"|"&amp;TRIM(P727),'Price List'!$O$5:$O$74,0)),0)</f>
        <v>0</v>
      </c>
      <c r="U727" s="150">
        <f>IFERROR(INDEX('Price List'!$H$5:$H$74,MATCH(TRIM(J727)&amp;"|"&amp;TRIM(P727),'Price List'!$O$5:$O$74,0)),0)</f>
        <v>0</v>
      </c>
      <c r="V727" s="141">
        <f t="shared" si="56"/>
        <v>0</v>
      </c>
      <c r="W727" s="151">
        <f>IFERROR(INDEX('Price List'!$J$5:$J$74,MATCH(TRIM(J727)&amp;"|"&amp;TRIM(P727),'Price List'!$O$5:$O$74,0)),0)</f>
        <v>586</v>
      </c>
      <c r="X727" s="152">
        <f>IFERROR(INDEX('Price List'!$K$5:$K$74,MATCH(TRIM(J727)&amp;"|"&amp;TRIM(P727),'Price List'!$O$5:$O$74,0)),0)</f>
        <v>0.12</v>
      </c>
      <c r="Y727" s="141">
        <f t="shared" si="57"/>
        <v>656.32</v>
      </c>
      <c r="Z727" s="141">
        <f t="shared" si="58"/>
        <v>5250.56</v>
      </c>
      <c r="AA727" s="134"/>
    </row>
    <row r="728" spans="1:27" ht="12" customHeight="1" x14ac:dyDescent="0.35">
      <c r="A728" s="134"/>
      <c r="B728" s="134"/>
      <c r="C728" s="134" t="s">
        <v>689</v>
      </c>
      <c r="D728" s="136" t="str">
        <f t="shared" si="55"/>
        <v>C.04</v>
      </c>
      <c r="E728" s="135" t="s">
        <v>414</v>
      </c>
      <c r="F728" s="135" t="s">
        <v>673</v>
      </c>
      <c r="G728" s="134" t="s">
        <v>717</v>
      </c>
      <c r="H728" s="134" t="s">
        <v>718</v>
      </c>
      <c r="I728" s="134" t="s">
        <v>718</v>
      </c>
      <c r="J728" s="144" t="s">
        <v>288</v>
      </c>
      <c r="K728" s="134" t="s">
        <v>724</v>
      </c>
      <c r="L728" s="134"/>
      <c r="M728" s="134"/>
      <c r="N728" s="134"/>
      <c r="O728" s="134"/>
      <c r="P728" s="135" t="s">
        <v>234</v>
      </c>
      <c r="Q728" s="148">
        <v>4</v>
      </c>
      <c r="R728" s="148">
        <v>4</v>
      </c>
      <c r="S728" s="135"/>
      <c r="T728" s="149">
        <f>IFERROR(INDEX('Price List'!$G$5:$G$74,MATCH(TRIM(J728)&amp;"|"&amp;TRIM(P728),'Price List'!$O$5:$O$74,0)),0)</f>
        <v>0</v>
      </c>
      <c r="U728" s="150">
        <f>IFERROR(INDEX('Price List'!$H$5:$H$74,MATCH(TRIM(J728)&amp;"|"&amp;TRIM(P728),'Price List'!$O$5:$O$74,0)),0)</f>
        <v>0</v>
      </c>
      <c r="V728" s="141">
        <f t="shared" si="56"/>
        <v>0</v>
      </c>
      <c r="W728" s="151">
        <f>IFERROR(INDEX('Price List'!$J$5:$J$74,MATCH(TRIM(J728)&amp;"|"&amp;TRIM(P728),'Price List'!$O$5:$O$74,0)),0)</f>
        <v>49.5</v>
      </c>
      <c r="X728" s="152">
        <f>IFERROR(INDEX('Price List'!$K$5:$K$74,MATCH(TRIM(J728)&amp;"|"&amp;TRIM(P728),'Price List'!$O$5:$O$74,0)),0)</f>
        <v>0.12</v>
      </c>
      <c r="Y728" s="141">
        <f t="shared" si="57"/>
        <v>55.440000000000005</v>
      </c>
      <c r="Z728" s="141">
        <f t="shared" si="58"/>
        <v>221.76000000000002</v>
      </c>
      <c r="AA728" s="134"/>
    </row>
    <row r="729" spans="1:27" ht="12" customHeight="1" x14ac:dyDescent="0.35">
      <c r="A729" s="134"/>
      <c r="B729" s="134"/>
      <c r="C729" s="134" t="s">
        <v>689</v>
      </c>
      <c r="D729" s="136" t="str">
        <f t="shared" si="55"/>
        <v>C.04</v>
      </c>
      <c r="E729" s="135" t="s">
        <v>414</v>
      </c>
      <c r="F729" s="135" t="s">
        <v>674</v>
      </c>
      <c r="G729" s="134" t="s">
        <v>717</v>
      </c>
      <c r="H729" s="134" t="s">
        <v>718</v>
      </c>
      <c r="I729" s="134" t="s">
        <v>718</v>
      </c>
      <c r="J729" s="144" t="s">
        <v>278</v>
      </c>
      <c r="K729" s="134" t="s">
        <v>719</v>
      </c>
      <c r="L729" s="134"/>
      <c r="M729" s="134"/>
      <c r="N729" s="134"/>
      <c r="O729" s="134"/>
      <c r="P729" s="135" t="s">
        <v>234</v>
      </c>
      <c r="Q729" s="148">
        <v>4</v>
      </c>
      <c r="R729" s="148">
        <v>4</v>
      </c>
      <c r="S729" s="135"/>
      <c r="T729" s="149">
        <f>IFERROR(INDEX('Price List'!$G$5:$G$74,MATCH(TRIM(J729)&amp;"|"&amp;TRIM(P729),'Price List'!$O$5:$O$74,0)),0)</f>
        <v>0</v>
      </c>
      <c r="U729" s="150">
        <f>IFERROR(INDEX('Price List'!$H$5:$H$74,MATCH(TRIM(J729)&amp;"|"&amp;TRIM(P729),'Price List'!$O$5:$O$74,0)),0)</f>
        <v>0</v>
      </c>
      <c r="V729" s="141">
        <f t="shared" si="56"/>
        <v>0</v>
      </c>
      <c r="W729" s="151">
        <f>IFERROR(INDEX('Price List'!$J$5:$J$74,MATCH(TRIM(J729)&amp;"|"&amp;TRIM(P729),'Price List'!$O$5:$O$74,0)),0)</f>
        <v>82.5</v>
      </c>
      <c r="X729" s="152">
        <f>IFERROR(INDEX('Price List'!$K$5:$K$74,MATCH(TRIM(J729)&amp;"|"&amp;TRIM(P729),'Price List'!$O$5:$O$74,0)),0)</f>
        <v>0.12</v>
      </c>
      <c r="Y729" s="141">
        <f t="shared" si="57"/>
        <v>92.4</v>
      </c>
      <c r="Z729" s="141">
        <f t="shared" si="58"/>
        <v>369.6</v>
      </c>
      <c r="AA729" s="134"/>
    </row>
    <row r="730" spans="1:27" ht="12" customHeight="1" x14ac:dyDescent="0.35">
      <c r="A730" s="134"/>
      <c r="B730" s="134"/>
      <c r="C730" s="134" t="s">
        <v>689</v>
      </c>
      <c r="D730" s="136" t="str">
        <f t="shared" si="55"/>
        <v>C.04</v>
      </c>
      <c r="E730" s="135" t="s">
        <v>414</v>
      </c>
      <c r="F730" s="135" t="s">
        <v>674</v>
      </c>
      <c r="G730" s="134" t="s">
        <v>717</v>
      </c>
      <c r="H730" s="134" t="s">
        <v>718</v>
      </c>
      <c r="I730" s="134" t="s">
        <v>718</v>
      </c>
      <c r="J730" s="144" t="s">
        <v>280</v>
      </c>
      <c r="K730" s="134" t="s">
        <v>720</v>
      </c>
      <c r="L730" s="134"/>
      <c r="M730" s="134"/>
      <c r="N730" s="134"/>
      <c r="O730" s="134"/>
      <c r="P730" s="135" t="s">
        <v>234</v>
      </c>
      <c r="Q730" s="148">
        <v>4</v>
      </c>
      <c r="R730" s="148">
        <v>4</v>
      </c>
      <c r="S730" s="135"/>
      <c r="T730" s="149">
        <f>IFERROR(INDEX('Price List'!$G$5:$G$74,MATCH(TRIM(J730)&amp;"|"&amp;TRIM(P730),'Price List'!$O$5:$O$74,0)),0)</f>
        <v>0</v>
      </c>
      <c r="U730" s="150">
        <f>IFERROR(INDEX('Price List'!$H$5:$H$74,MATCH(TRIM(J730)&amp;"|"&amp;TRIM(P730),'Price List'!$O$5:$O$74,0)),0)</f>
        <v>0</v>
      </c>
      <c r="V730" s="141">
        <f t="shared" si="56"/>
        <v>0</v>
      </c>
      <c r="W730" s="151">
        <f>IFERROR(INDEX('Price List'!$J$5:$J$74,MATCH(TRIM(J730)&amp;"|"&amp;TRIM(P730),'Price List'!$O$5:$O$74,0)),0)</f>
        <v>49.5</v>
      </c>
      <c r="X730" s="152">
        <f>IFERROR(INDEX('Price List'!$K$5:$K$74,MATCH(TRIM(J730)&amp;"|"&amp;TRIM(P730),'Price List'!$O$5:$O$74,0)),0)</f>
        <v>0.12</v>
      </c>
      <c r="Y730" s="141">
        <f t="shared" si="57"/>
        <v>55.440000000000005</v>
      </c>
      <c r="Z730" s="141">
        <f t="shared" si="58"/>
        <v>221.76000000000002</v>
      </c>
      <c r="AA730" s="134"/>
    </row>
    <row r="731" spans="1:27" ht="12" customHeight="1" x14ac:dyDescent="0.35">
      <c r="A731" s="134"/>
      <c r="B731" s="134"/>
      <c r="C731" s="134" t="s">
        <v>689</v>
      </c>
      <c r="D731" s="136" t="str">
        <f t="shared" si="55"/>
        <v>C.04</v>
      </c>
      <c r="E731" s="135" t="s">
        <v>414</v>
      </c>
      <c r="F731" s="135" t="s">
        <v>674</v>
      </c>
      <c r="G731" s="134" t="s">
        <v>717</v>
      </c>
      <c r="H731" s="134" t="s">
        <v>718</v>
      </c>
      <c r="I731" s="134" t="s">
        <v>718</v>
      </c>
      <c r="J731" s="144" t="s">
        <v>282</v>
      </c>
      <c r="K731" s="134" t="s">
        <v>721</v>
      </c>
      <c r="L731" s="134"/>
      <c r="M731" s="134"/>
      <c r="N731" s="134"/>
      <c r="O731" s="134"/>
      <c r="P731" s="135" t="s">
        <v>234</v>
      </c>
      <c r="Q731" s="148">
        <v>4</v>
      </c>
      <c r="R731" s="148">
        <v>4</v>
      </c>
      <c r="S731" s="135"/>
      <c r="T731" s="149">
        <f>IFERROR(INDEX('Price List'!$G$5:$G$74,MATCH(TRIM(J731)&amp;"|"&amp;TRIM(P731),'Price List'!$O$5:$O$74,0)),0)</f>
        <v>0</v>
      </c>
      <c r="U731" s="150">
        <f>IFERROR(INDEX('Price List'!$H$5:$H$74,MATCH(TRIM(J731)&amp;"|"&amp;TRIM(P731),'Price List'!$O$5:$O$74,0)),0)</f>
        <v>0</v>
      </c>
      <c r="V731" s="141">
        <f t="shared" si="56"/>
        <v>0</v>
      </c>
      <c r="W731" s="151">
        <f>IFERROR(INDEX('Price List'!$J$5:$J$74,MATCH(TRIM(J731)&amp;"|"&amp;TRIM(P731),'Price List'!$O$5:$O$74,0)),0)</f>
        <v>117</v>
      </c>
      <c r="X731" s="152">
        <f>IFERROR(INDEX('Price List'!$K$5:$K$74,MATCH(TRIM(J731)&amp;"|"&amp;TRIM(P731),'Price List'!$O$5:$O$74,0)),0)</f>
        <v>0.12</v>
      </c>
      <c r="Y731" s="141">
        <f t="shared" si="57"/>
        <v>131.04000000000002</v>
      </c>
      <c r="Z731" s="141">
        <f t="shared" si="58"/>
        <v>524.16000000000008</v>
      </c>
      <c r="AA731" s="134"/>
    </row>
    <row r="732" spans="1:27" ht="12" customHeight="1" x14ac:dyDescent="0.35">
      <c r="A732" s="134"/>
      <c r="B732" s="134"/>
      <c r="C732" s="134" t="s">
        <v>689</v>
      </c>
      <c r="D732" s="136" t="str">
        <f t="shared" si="55"/>
        <v>C.04</v>
      </c>
      <c r="E732" s="135" t="s">
        <v>414</v>
      </c>
      <c r="F732" s="135" t="s">
        <v>674</v>
      </c>
      <c r="G732" s="134" t="s">
        <v>717</v>
      </c>
      <c r="H732" s="134" t="s">
        <v>718</v>
      </c>
      <c r="I732" s="134" t="s">
        <v>718</v>
      </c>
      <c r="J732" s="144" t="s">
        <v>284</v>
      </c>
      <c r="K732" s="134" t="s">
        <v>722</v>
      </c>
      <c r="L732" s="134"/>
      <c r="M732" s="134"/>
      <c r="N732" s="134"/>
      <c r="O732" s="134"/>
      <c r="P732" s="135" t="s">
        <v>234</v>
      </c>
      <c r="Q732" s="148">
        <v>32</v>
      </c>
      <c r="R732" s="148">
        <v>32</v>
      </c>
      <c r="S732" s="135"/>
      <c r="T732" s="149">
        <f>IFERROR(INDEX('Price List'!$G$5:$G$74,MATCH(TRIM(J732)&amp;"|"&amp;TRIM(P732),'Price List'!$O$5:$O$74,0)),0)</f>
        <v>0</v>
      </c>
      <c r="U732" s="150">
        <f>IFERROR(INDEX('Price List'!$H$5:$H$74,MATCH(TRIM(J732)&amp;"|"&amp;TRIM(P732),'Price List'!$O$5:$O$74,0)),0)</f>
        <v>0</v>
      </c>
      <c r="V732" s="141">
        <f t="shared" si="56"/>
        <v>0</v>
      </c>
      <c r="W732" s="151">
        <f>IFERROR(INDEX('Price List'!$J$5:$J$74,MATCH(TRIM(J732)&amp;"|"&amp;TRIM(P732),'Price List'!$O$5:$O$74,0)),0)</f>
        <v>195</v>
      </c>
      <c r="X732" s="152">
        <f>IFERROR(INDEX('Price List'!$K$5:$K$74,MATCH(TRIM(J732)&amp;"|"&amp;TRIM(P732),'Price List'!$O$5:$O$74,0)),0)</f>
        <v>0.12</v>
      </c>
      <c r="Y732" s="141">
        <f t="shared" si="57"/>
        <v>218.40000000000003</v>
      </c>
      <c r="Z732" s="141">
        <f t="shared" si="58"/>
        <v>6988.8000000000011</v>
      </c>
      <c r="AA732" s="134"/>
    </row>
    <row r="733" spans="1:27" ht="12" customHeight="1" x14ac:dyDescent="0.35">
      <c r="A733" s="134"/>
      <c r="B733" s="134"/>
      <c r="C733" s="134" t="s">
        <v>689</v>
      </c>
      <c r="D733" s="136" t="str">
        <f t="shared" si="55"/>
        <v>C.04</v>
      </c>
      <c r="E733" s="135" t="s">
        <v>414</v>
      </c>
      <c r="F733" s="135" t="s">
        <v>674</v>
      </c>
      <c r="G733" s="134" t="s">
        <v>717</v>
      </c>
      <c r="H733" s="134" t="s">
        <v>718</v>
      </c>
      <c r="I733" s="134" t="s">
        <v>718</v>
      </c>
      <c r="J733" s="144" t="s">
        <v>290</v>
      </c>
      <c r="K733" s="134" t="s">
        <v>725</v>
      </c>
      <c r="L733" s="134"/>
      <c r="M733" s="134"/>
      <c r="N733" s="134"/>
      <c r="O733" s="134"/>
      <c r="P733" s="135" t="s">
        <v>234</v>
      </c>
      <c r="Q733" s="148">
        <v>8</v>
      </c>
      <c r="R733" s="148">
        <v>8</v>
      </c>
      <c r="S733" s="135"/>
      <c r="T733" s="149">
        <f>IFERROR(INDEX('Price List'!$G$5:$G$74,MATCH(TRIM(J733)&amp;"|"&amp;TRIM(P733),'Price List'!$O$5:$O$74,0)),0)</f>
        <v>0</v>
      </c>
      <c r="U733" s="150">
        <f>IFERROR(INDEX('Price List'!$H$5:$H$74,MATCH(TRIM(J733)&amp;"|"&amp;TRIM(P733),'Price List'!$O$5:$O$74,0)),0)</f>
        <v>0</v>
      </c>
      <c r="V733" s="141">
        <f t="shared" si="56"/>
        <v>0</v>
      </c>
      <c r="W733" s="151">
        <f>IFERROR(INDEX('Price List'!$J$5:$J$74,MATCH(TRIM(J733)&amp;"|"&amp;TRIM(P733),'Price List'!$O$5:$O$74,0)),0)</f>
        <v>586</v>
      </c>
      <c r="X733" s="152">
        <f>IFERROR(INDEX('Price List'!$K$5:$K$74,MATCH(TRIM(J733)&amp;"|"&amp;TRIM(P733),'Price List'!$O$5:$O$74,0)),0)</f>
        <v>0.12</v>
      </c>
      <c r="Y733" s="141">
        <f t="shared" si="57"/>
        <v>656.32</v>
      </c>
      <c r="Z733" s="141">
        <f t="shared" si="58"/>
        <v>5250.56</v>
      </c>
      <c r="AA733" s="134"/>
    </row>
    <row r="734" spans="1:27" ht="12" customHeight="1" x14ac:dyDescent="0.35">
      <c r="A734" s="134"/>
      <c r="B734" s="134"/>
      <c r="C734" s="134" t="s">
        <v>689</v>
      </c>
      <c r="D734" s="136" t="str">
        <f t="shared" si="55"/>
        <v>C.04</v>
      </c>
      <c r="E734" s="135" t="s">
        <v>414</v>
      </c>
      <c r="F734" s="135" t="s">
        <v>674</v>
      </c>
      <c r="G734" s="134" t="s">
        <v>717</v>
      </c>
      <c r="H734" s="134" t="s">
        <v>718</v>
      </c>
      <c r="I734" s="134" t="s">
        <v>718</v>
      </c>
      <c r="J734" s="144" t="s">
        <v>288</v>
      </c>
      <c r="K734" s="134" t="s">
        <v>724</v>
      </c>
      <c r="L734" s="134"/>
      <c r="M734" s="134"/>
      <c r="N734" s="134"/>
      <c r="O734" s="134"/>
      <c r="P734" s="135" t="s">
        <v>234</v>
      </c>
      <c r="Q734" s="148">
        <v>4</v>
      </c>
      <c r="R734" s="148">
        <v>4</v>
      </c>
      <c r="S734" s="135"/>
      <c r="T734" s="149">
        <f>IFERROR(INDEX('Price List'!$G$5:$G$74,MATCH(TRIM(J734)&amp;"|"&amp;TRIM(P734),'Price List'!$O$5:$O$74,0)),0)</f>
        <v>0</v>
      </c>
      <c r="U734" s="150">
        <f>IFERROR(INDEX('Price List'!$H$5:$H$74,MATCH(TRIM(J734)&amp;"|"&amp;TRIM(P734),'Price List'!$O$5:$O$74,0)),0)</f>
        <v>0</v>
      </c>
      <c r="V734" s="141">
        <f t="shared" si="56"/>
        <v>0</v>
      </c>
      <c r="W734" s="151">
        <f>IFERROR(INDEX('Price List'!$J$5:$J$74,MATCH(TRIM(J734)&amp;"|"&amp;TRIM(P734),'Price List'!$O$5:$O$74,0)),0)</f>
        <v>49.5</v>
      </c>
      <c r="X734" s="152">
        <f>IFERROR(INDEX('Price List'!$K$5:$K$74,MATCH(TRIM(J734)&amp;"|"&amp;TRIM(P734),'Price List'!$O$5:$O$74,0)),0)</f>
        <v>0.12</v>
      </c>
      <c r="Y734" s="141">
        <f t="shared" si="57"/>
        <v>55.440000000000005</v>
      </c>
      <c r="Z734" s="141">
        <f t="shared" si="58"/>
        <v>221.76000000000002</v>
      </c>
      <c r="AA734" s="134"/>
    </row>
    <row r="735" spans="1:27" ht="12" customHeight="1" x14ac:dyDescent="0.35">
      <c r="A735" s="134"/>
      <c r="B735" s="134"/>
      <c r="C735" s="134" t="s">
        <v>689</v>
      </c>
      <c r="D735" s="136" t="str">
        <f t="shared" si="55"/>
        <v>C.04</v>
      </c>
      <c r="E735" s="135" t="s">
        <v>414</v>
      </c>
      <c r="F735" s="135" t="s">
        <v>675</v>
      </c>
      <c r="G735" s="134" t="s">
        <v>717</v>
      </c>
      <c r="H735" s="134" t="s">
        <v>718</v>
      </c>
      <c r="I735" s="134" t="s">
        <v>718</v>
      </c>
      <c r="J735" s="144" t="s">
        <v>278</v>
      </c>
      <c r="K735" s="134" t="s">
        <v>719</v>
      </c>
      <c r="L735" s="134"/>
      <c r="M735" s="134"/>
      <c r="N735" s="134"/>
      <c r="O735" s="134"/>
      <c r="P735" s="135" t="s">
        <v>234</v>
      </c>
      <c r="Q735" s="148">
        <v>4</v>
      </c>
      <c r="R735" s="148">
        <v>4</v>
      </c>
      <c r="S735" s="135"/>
      <c r="T735" s="149">
        <f>IFERROR(INDEX('Price List'!$G$5:$G$74,MATCH(TRIM(J735)&amp;"|"&amp;TRIM(P735),'Price List'!$O$5:$O$74,0)),0)</f>
        <v>0</v>
      </c>
      <c r="U735" s="150">
        <f>IFERROR(INDEX('Price List'!$H$5:$H$74,MATCH(TRIM(J735)&amp;"|"&amp;TRIM(P735),'Price List'!$O$5:$O$74,0)),0)</f>
        <v>0</v>
      </c>
      <c r="V735" s="141">
        <f t="shared" si="56"/>
        <v>0</v>
      </c>
      <c r="W735" s="151">
        <f>IFERROR(INDEX('Price List'!$J$5:$J$74,MATCH(TRIM(J735)&amp;"|"&amp;TRIM(P735),'Price List'!$O$5:$O$74,0)),0)</f>
        <v>82.5</v>
      </c>
      <c r="X735" s="152">
        <f>IFERROR(INDEX('Price List'!$K$5:$K$74,MATCH(TRIM(J735)&amp;"|"&amp;TRIM(P735),'Price List'!$O$5:$O$74,0)),0)</f>
        <v>0.12</v>
      </c>
      <c r="Y735" s="141">
        <f t="shared" si="57"/>
        <v>92.4</v>
      </c>
      <c r="Z735" s="141">
        <f t="shared" si="58"/>
        <v>369.6</v>
      </c>
      <c r="AA735" s="134"/>
    </row>
    <row r="736" spans="1:27" ht="12" customHeight="1" x14ac:dyDescent="0.35">
      <c r="A736" s="134"/>
      <c r="B736" s="134"/>
      <c r="C736" s="134" t="s">
        <v>689</v>
      </c>
      <c r="D736" s="136" t="str">
        <f t="shared" si="55"/>
        <v>C.04</v>
      </c>
      <c r="E736" s="135" t="s">
        <v>414</v>
      </c>
      <c r="F736" s="135" t="s">
        <v>675</v>
      </c>
      <c r="G736" s="134" t="s">
        <v>717</v>
      </c>
      <c r="H736" s="134" t="s">
        <v>718</v>
      </c>
      <c r="I736" s="134" t="s">
        <v>718</v>
      </c>
      <c r="J736" s="144" t="s">
        <v>280</v>
      </c>
      <c r="K736" s="134" t="s">
        <v>720</v>
      </c>
      <c r="L736" s="134"/>
      <c r="M736" s="134"/>
      <c r="N736" s="134"/>
      <c r="O736" s="134"/>
      <c r="P736" s="135" t="s">
        <v>234</v>
      </c>
      <c r="Q736" s="148">
        <v>4</v>
      </c>
      <c r="R736" s="148">
        <v>4</v>
      </c>
      <c r="S736" s="135"/>
      <c r="T736" s="149">
        <f>IFERROR(INDEX('Price List'!$G$5:$G$74,MATCH(TRIM(J736)&amp;"|"&amp;TRIM(P736),'Price List'!$O$5:$O$74,0)),0)</f>
        <v>0</v>
      </c>
      <c r="U736" s="150">
        <f>IFERROR(INDEX('Price List'!$H$5:$H$74,MATCH(TRIM(J736)&amp;"|"&amp;TRIM(P736),'Price List'!$O$5:$O$74,0)),0)</f>
        <v>0</v>
      </c>
      <c r="V736" s="141">
        <f t="shared" si="56"/>
        <v>0</v>
      </c>
      <c r="W736" s="151">
        <f>IFERROR(INDEX('Price List'!$J$5:$J$74,MATCH(TRIM(J736)&amp;"|"&amp;TRIM(P736),'Price List'!$O$5:$O$74,0)),0)</f>
        <v>49.5</v>
      </c>
      <c r="X736" s="152">
        <f>IFERROR(INDEX('Price List'!$K$5:$K$74,MATCH(TRIM(J736)&amp;"|"&amp;TRIM(P736),'Price List'!$O$5:$O$74,0)),0)</f>
        <v>0.12</v>
      </c>
      <c r="Y736" s="141">
        <f t="shared" si="57"/>
        <v>55.440000000000005</v>
      </c>
      <c r="Z736" s="141">
        <f t="shared" si="58"/>
        <v>221.76000000000002</v>
      </c>
      <c r="AA736" s="134"/>
    </row>
    <row r="737" spans="1:27" ht="12" customHeight="1" x14ac:dyDescent="0.35">
      <c r="A737" s="134"/>
      <c r="B737" s="134"/>
      <c r="C737" s="134" t="s">
        <v>689</v>
      </c>
      <c r="D737" s="136" t="str">
        <f t="shared" si="55"/>
        <v>C.04</v>
      </c>
      <c r="E737" s="135" t="s">
        <v>414</v>
      </c>
      <c r="F737" s="135" t="s">
        <v>675</v>
      </c>
      <c r="G737" s="134" t="s">
        <v>717</v>
      </c>
      <c r="H737" s="134" t="s">
        <v>718</v>
      </c>
      <c r="I737" s="134" t="s">
        <v>718</v>
      </c>
      <c r="J737" s="144" t="s">
        <v>282</v>
      </c>
      <c r="K737" s="134" t="s">
        <v>721</v>
      </c>
      <c r="L737" s="134"/>
      <c r="M737" s="134"/>
      <c r="N737" s="134"/>
      <c r="O737" s="134"/>
      <c r="P737" s="135" t="s">
        <v>234</v>
      </c>
      <c r="Q737" s="148">
        <v>4</v>
      </c>
      <c r="R737" s="148">
        <v>4</v>
      </c>
      <c r="S737" s="135"/>
      <c r="T737" s="149">
        <f>IFERROR(INDEX('Price List'!$G$5:$G$74,MATCH(TRIM(J737)&amp;"|"&amp;TRIM(P737),'Price List'!$O$5:$O$74,0)),0)</f>
        <v>0</v>
      </c>
      <c r="U737" s="150">
        <f>IFERROR(INDEX('Price List'!$H$5:$H$74,MATCH(TRIM(J737)&amp;"|"&amp;TRIM(P737),'Price List'!$O$5:$O$74,0)),0)</f>
        <v>0</v>
      </c>
      <c r="V737" s="141">
        <f t="shared" si="56"/>
        <v>0</v>
      </c>
      <c r="W737" s="151">
        <f>IFERROR(INDEX('Price List'!$J$5:$J$74,MATCH(TRIM(J737)&amp;"|"&amp;TRIM(P737),'Price List'!$O$5:$O$74,0)),0)</f>
        <v>117</v>
      </c>
      <c r="X737" s="152">
        <f>IFERROR(INDEX('Price List'!$K$5:$K$74,MATCH(TRIM(J737)&amp;"|"&amp;TRIM(P737),'Price List'!$O$5:$O$74,0)),0)</f>
        <v>0.12</v>
      </c>
      <c r="Y737" s="141">
        <f t="shared" si="57"/>
        <v>131.04000000000002</v>
      </c>
      <c r="Z737" s="141">
        <f t="shared" si="58"/>
        <v>524.16000000000008</v>
      </c>
      <c r="AA737" s="134"/>
    </row>
    <row r="738" spans="1:27" ht="12" customHeight="1" x14ac:dyDescent="0.35">
      <c r="A738" s="134"/>
      <c r="B738" s="134"/>
      <c r="C738" s="134" t="s">
        <v>689</v>
      </c>
      <c r="D738" s="136" t="str">
        <f t="shared" si="55"/>
        <v>C.04</v>
      </c>
      <c r="E738" s="135" t="s">
        <v>414</v>
      </c>
      <c r="F738" s="135" t="s">
        <v>675</v>
      </c>
      <c r="G738" s="134" t="s">
        <v>717</v>
      </c>
      <c r="H738" s="134" t="s">
        <v>718</v>
      </c>
      <c r="I738" s="134" t="s">
        <v>718</v>
      </c>
      <c r="J738" s="144" t="s">
        <v>284</v>
      </c>
      <c r="K738" s="134" t="s">
        <v>722</v>
      </c>
      <c r="L738" s="134"/>
      <c r="M738" s="134"/>
      <c r="N738" s="134"/>
      <c r="O738" s="134"/>
      <c r="P738" s="135" t="s">
        <v>234</v>
      </c>
      <c r="Q738" s="148">
        <v>32</v>
      </c>
      <c r="R738" s="148">
        <v>32</v>
      </c>
      <c r="S738" s="135"/>
      <c r="T738" s="149">
        <f>IFERROR(INDEX('Price List'!$G$5:$G$74,MATCH(TRIM(J738)&amp;"|"&amp;TRIM(P738),'Price List'!$O$5:$O$74,0)),0)</f>
        <v>0</v>
      </c>
      <c r="U738" s="150">
        <f>IFERROR(INDEX('Price List'!$H$5:$H$74,MATCH(TRIM(J738)&amp;"|"&amp;TRIM(P738),'Price List'!$O$5:$O$74,0)),0)</f>
        <v>0</v>
      </c>
      <c r="V738" s="141">
        <f t="shared" si="56"/>
        <v>0</v>
      </c>
      <c r="W738" s="151">
        <f>IFERROR(INDEX('Price List'!$J$5:$J$74,MATCH(TRIM(J738)&amp;"|"&amp;TRIM(P738),'Price List'!$O$5:$O$74,0)),0)</f>
        <v>195</v>
      </c>
      <c r="X738" s="152">
        <f>IFERROR(INDEX('Price List'!$K$5:$K$74,MATCH(TRIM(J738)&amp;"|"&amp;TRIM(P738),'Price List'!$O$5:$O$74,0)),0)</f>
        <v>0.12</v>
      </c>
      <c r="Y738" s="141">
        <f t="shared" si="57"/>
        <v>218.40000000000003</v>
      </c>
      <c r="Z738" s="141">
        <f t="shared" si="58"/>
        <v>6988.8000000000011</v>
      </c>
      <c r="AA738" s="134"/>
    </row>
    <row r="739" spans="1:27" ht="12" customHeight="1" x14ac:dyDescent="0.35">
      <c r="A739" s="134"/>
      <c r="B739" s="134"/>
      <c r="C739" s="134" t="s">
        <v>689</v>
      </c>
      <c r="D739" s="136" t="str">
        <f t="shared" si="55"/>
        <v>C.04</v>
      </c>
      <c r="E739" s="135" t="s">
        <v>414</v>
      </c>
      <c r="F739" s="135" t="s">
        <v>675</v>
      </c>
      <c r="G739" s="134" t="s">
        <v>717</v>
      </c>
      <c r="H739" s="134" t="s">
        <v>718</v>
      </c>
      <c r="I739" s="134" t="s">
        <v>718</v>
      </c>
      <c r="J739" s="144" t="s">
        <v>290</v>
      </c>
      <c r="K739" s="134" t="s">
        <v>725</v>
      </c>
      <c r="L739" s="134"/>
      <c r="M739" s="134"/>
      <c r="N739" s="134"/>
      <c r="O739" s="134"/>
      <c r="P739" s="135" t="s">
        <v>234</v>
      </c>
      <c r="Q739" s="148">
        <v>8</v>
      </c>
      <c r="R739" s="148">
        <v>8</v>
      </c>
      <c r="S739" s="135"/>
      <c r="T739" s="149">
        <f>IFERROR(INDEX('Price List'!$G$5:$G$74,MATCH(TRIM(J739)&amp;"|"&amp;TRIM(P739),'Price List'!$O$5:$O$74,0)),0)</f>
        <v>0</v>
      </c>
      <c r="U739" s="150">
        <f>IFERROR(INDEX('Price List'!$H$5:$H$74,MATCH(TRIM(J739)&amp;"|"&amp;TRIM(P739),'Price List'!$O$5:$O$74,0)),0)</f>
        <v>0</v>
      </c>
      <c r="V739" s="141">
        <f t="shared" si="56"/>
        <v>0</v>
      </c>
      <c r="W739" s="151">
        <f>IFERROR(INDEX('Price List'!$J$5:$J$74,MATCH(TRIM(J739)&amp;"|"&amp;TRIM(P739),'Price List'!$O$5:$O$74,0)),0)</f>
        <v>586</v>
      </c>
      <c r="X739" s="152">
        <f>IFERROR(INDEX('Price List'!$K$5:$K$74,MATCH(TRIM(J739)&amp;"|"&amp;TRIM(P739),'Price List'!$O$5:$O$74,0)),0)</f>
        <v>0.12</v>
      </c>
      <c r="Y739" s="141">
        <f t="shared" si="57"/>
        <v>656.32</v>
      </c>
      <c r="Z739" s="141">
        <f t="shared" si="58"/>
        <v>5250.56</v>
      </c>
      <c r="AA739" s="134"/>
    </row>
    <row r="740" spans="1:27" ht="12" customHeight="1" x14ac:dyDescent="0.35">
      <c r="A740" s="134"/>
      <c r="B740" s="134"/>
      <c r="C740" s="134" t="s">
        <v>689</v>
      </c>
      <c r="D740" s="136" t="str">
        <f t="shared" si="55"/>
        <v>C.04</v>
      </c>
      <c r="E740" s="135" t="s">
        <v>414</v>
      </c>
      <c r="F740" s="135" t="s">
        <v>675</v>
      </c>
      <c r="G740" s="134" t="s">
        <v>717</v>
      </c>
      <c r="H740" s="134" t="s">
        <v>718</v>
      </c>
      <c r="I740" s="134" t="s">
        <v>718</v>
      </c>
      <c r="J740" s="144" t="s">
        <v>288</v>
      </c>
      <c r="K740" s="134" t="s">
        <v>724</v>
      </c>
      <c r="L740" s="134"/>
      <c r="M740" s="134"/>
      <c r="N740" s="134"/>
      <c r="O740" s="134"/>
      <c r="P740" s="135" t="s">
        <v>234</v>
      </c>
      <c r="Q740" s="148">
        <v>4</v>
      </c>
      <c r="R740" s="148">
        <v>4</v>
      </c>
      <c r="S740" s="135"/>
      <c r="T740" s="149">
        <f>IFERROR(INDEX('Price List'!$G$5:$G$74,MATCH(TRIM(J740)&amp;"|"&amp;TRIM(P740),'Price List'!$O$5:$O$74,0)),0)</f>
        <v>0</v>
      </c>
      <c r="U740" s="150">
        <f>IFERROR(INDEX('Price List'!$H$5:$H$74,MATCH(TRIM(J740)&amp;"|"&amp;TRIM(P740),'Price List'!$O$5:$O$74,0)),0)</f>
        <v>0</v>
      </c>
      <c r="V740" s="141">
        <f t="shared" si="56"/>
        <v>0</v>
      </c>
      <c r="W740" s="151">
        <f>IFERROR(INDEX('Price List'!$J$5:$J$74,MATCH(TRIM(J740)&amp;"|"&amp;TRIM(P740),'Price List'!$O$5:$O$74,0)),0)</f>
        <v>49.5</v>
      </c>
      <c r="X740" s="152">
        <f>IFERROR(INDEX('Price List'!$K$5:$K$74,MATCH(TRIM(J740)&amp;"|"&amp;TRIM(P740),'Price List'!$O$5:$O$74,0)),0)</f>
        <v>0.12</v>
      </c>
      <c r="Y740" s="141">
        <f t="shared" si="57"/>
        <v>55.440000000000005</v>
      </c>
      <c r="Z740" s="141">
        <f t="shared" si="58"/>
        <v>221.76000000000002</v>
      </c>
      <c r="AA740" s="134"/>
    </row>
    <row r="741" spans="1:27" ht="12" customHeight="1" x14ac:dyDescent="0.35">
      <c r="A741" s="134"/>
      <c r="B741" s="134"/>
      <c r="C741" s="134" t="s">
        <v>689</v>
      </c>
      <c r="D741" s="136" t="str">
        <f t="shared" si="55"/>
        <v>C.04</v>
      </c>
      <c r="E741" s="135" t="s">
        <v>414</v>
      </c>
      <c r="F741" s="135" t="s">
        <v>676</v>
      </c>
      <c r="G741" s="134" t="s">
        <v>717</v>
      </c>
      <c r="H741" s="134" t="s">
        <v>718</v>
      </c>
      <c r="I741" s="134" t="s">
        <v>718</v>
      </c>
      <c r="J741" s="144" t="s">
        <v>278</v>
      </c>
      <c r="K741" s="134" t="s">
        <v>719</v>
      </c>
      <c r="L741" s="134"/>
      <c r="M741" s="134"/>
      <c r="N741" s="134"/>
      <c r="O741" s="134"/>
      <c r="P741" s="135" t="s">
        <v>234</v>
      </c>
      <c r="Q741" s="148">
        <v>1</v>
      </c>
      <c r="R741" s="148">
        <v>1</v>
      </c>
      <c r="S741" s="135"/>
      <c r="T741" s="149">
        <f>IFERROR(INDEX('Price List'!$G$5:$G$74,MATCH(TRIM(J741)&amp;"|"&amp;TRIM(P741),'Price List'!$O$5:$O$74,0)),0)</f>
        <v>0</v>
      </c>
      <c r="U741" s="150">
        <f>IFERROR(INDEX('Price List'!$H$5:$H$74,MATCH(TRIM(J741)&amp;"|"&amp;TRIM(P741),'Price List'!$O$5:$O$74,0)),0)</f>
        <v>0</v>
      </c>
      <c r="V741" s="141">
        <f t="shared" si="56"/>
        <v>0</v>
      </c>
      <c r="W741" s="151">
        <f>IFERROR(INDEX('Price List'!$J$5:$J$74,MATCH(TRIM(J741)&amp;"|"&amp;TRIM(P741),'Price List'!$O$5:$O$74,0)),0)</f>
        <v>82.5</v>
      </c>
      <c r="X741" s="152">
        <f>IFERROR(INDEX('Price List'!$K$5:$K$74,MATCH(TRIM(J741)&amp;"|"&amp;TRIM(P741),'Price List'!$O$5:$O$74,0)),0)</f>
        <v>0.12</v>
      </c>
      <c r="Y741" s="141">
        <f t="shared" si="57"/>
        <v>92.4</v>
      </c>
      <c r="Z741" s="141">
        <f t="shared" si="58"/>
        <v>92.4</v>
      </c>
      <c r="AA741" s="134"/>
    </row>
    <row r="742" spans="1:27" ht="12" customHeight="1" x14ac:dyDescent="0.35">
      <c r="A742" s="134"/>
      <c r="B742" s="134"/>
      <c r="C742" s="134" t="s">
        <v>689</v>
      </c>
      <c r="D742" s="136" t="str">
        <f t="shared" si="55"/>
        <v>C.04</v>
      </c>
      <c r="E742" s="135" t="s">
        <v>414</v>
      </c>
      <c r="F742" s="135" t="s">
        <v>676</v>
      </c>
      <c r="G742" s="134" t="s">
        <v>717</v>
      </c>
      <c r="H742" s="134" t="s">
        <v>718</v>
      </c>
      <c r="I742" s="134" t="s">
        <v>718</v>
      </c>
      <c r="J742" s="144" t="s">
        <v>280</v>
      </c>
      <c r="K742" s="134" t="s">
        <v>720</v>
      </c>
      <c r="L742" s="134"/>
      <c r="M742" s="134"/>
      <c r="N742" s="134"/>
      <c r="O742" s="134"/>
      <c r="P742" s="135" t="s">
        <v>234</v>
      </c>
      <c r="Q742" s="148">
        <v>1</v>
      </c>
      <c r="R742" s="148">
        <v>1</v>
      </c>
      <c r="S742" s="135"/>
      <c r="T742" s="149">
        <f>IFERROR(INDEX('Price List'!$G$5:$G$74,MATCH(TRIM(J742)&amp;"|"&amp;TRIM(P742),'Price List'!$O$5:$O$74,0)),0)</f>
        <v>0</v>
      </c>
      <c r="U742" s="150">
        <f>IFERROR(INDEX('Price List'!$H$5:$H$74,MATCH(TRIM(J742)&amp;"|"&amp;TRIM(P742),'Price List'!$O$5:$O$74,0)),0)</f>
        <v>0</v>
      </c>
      <c r="V742" s="141">
        <f t="shared" si="56"/>
        <v>0</v>
      </c>
      <c r="W742" s="151">
        <f>IFERROR(INDEX('Price List'!$J$5:$J$74,MATCH(TRIM(J742)&amp;"|"&amp;TRIM(P742),'Price List'!$O$5:$O$74,0)),0)</f>
        <v>49.5</v>
      </c>
      <c r="X742" s="152">
        <f>IFERROR(INDEX('Price List'!$K$5:$K$74,MATCH(TRIM(J742)&amp;"|"&amp;TRIM(P742),'Price List'!$O$5:$O$74,0)),0)</f>
        <v>0.12</v>
      </c>
      <c r="Y742" s="141">
        <f t="shared" si="57"/>
        <v>55.440000000000005</v>
      </c>
      <c r="Z742" s="141">
        <f t="shared" si="58"/>
        <v>55.440000000000005</v>
      </c>
      <c r="AA742" s="134"/>
    </row>
    <row r="743" spans="1:27" ht="12" customHeight="1" x14ac:dyDescent="0.35">
      <c r="A743" s="134"/>
      <c r="B743" s="134"/>
      <c r="C743" s="134" t="s">
        <v>689</v>
      </c>
      <c r="D743" s="136" t="str">
        <f t="shared" si="55"/>
        <v>C.04</v>
      </c>
      <c r="E743" s="135" t="s">
        <v>414</v>
      </c>
      <c r="F743" s="135" t="s">
        <v>676</v>
      </c>
      <c r="G743" s="134" t="s">
        <v>717</v>
      </c>
      <c r="H743" s="134" t="s">
        <v>718</v>
      </c>
      <c r="I743" s="134" t="s">
        <v>718</v>
      </c>
      <c r="J743" s="144" t="s">
        <v>282</v>
      </c>
      <c r="K743" s="134" t="s">
        <v>721</v>
      </c>
      <c r="L743" s="134"/>
      <c r="M743" s="134"/>
      <c r="N743" s="134"/>
      <c r="O743" s="134"/>
      <c r="P743" s="135" t="s">
        <v>234</v>
      </c>
      <c r="Q743" s="148">
        <v>1</v>
      </c>
      <c r="R743" s="148">
        <v>1</v>
      </c>
      <c r="S743" s="135"/>
      <c r="T743" s="149">
        <f>IFERROR(INDEX('Price List'!$G$5:$G$74,MATCH(TRIM(J743)&amp;"|"&amp;TRIM(P743),'Price List'!$O$5:$O$74,0)),0)</f>
        <v>0</v>
      </c>
      <c r="U743" s="150">
        <f>IFERROR(INDEX('Price List'!$H$5:$H$74,MATCH(TRIM(J743)&amp;"|"&amp;TRIM(P743),'Price List'!$O$5:$O$74,0)),0)</f>
        <v>0</v>
      </c>
      <c r="V743" s="141">
        <f t="shared" si="56"/>
        <v>0</v>
      </c>
      <c r="W743" s="151">
        <f>IFERROR(INDEX('Price List'!$J$5:$J$74,MATCH(TRIM(J743)&amp;"|"&amp;TRIM(P743),'Price List'!$O$5:$O$74,0)),0)</f>
        <v>117</v>
      </c>
      <c r="X743" s="152">
        <f>IFERROR(INDEX('Price List'!$K$5:$K$74,MATCH(TRIM(J743)&amp;"|"&amp;TRIM(P743),'Price List'!$O$5:$O$74,0)),0)</f>
        <v>0.12</v>
      </c>
      <c r="Y743" s="141">
        <f t="shared" si="57"/>
        <v>131.04000000000002</v>
      </c>
      <c r="Z743" s="141">
        <f t="shared" si="58"/>
        <v>131.04000000000002</v>
      </c>
      <c r="AA743" s="134"/>
    </row>
    <row r="744" spans="1:27" ht="12" customHeight="1" x14ac:dyDescent="0.35">
      <c r="A744" s="134"/>
      <c r="B744" s="134"/>
      <c r="C744" s="134" t="s">
        <v>689</v>
      </c>
      <c r="D744" s="136" t="str">
        <f t="shared" si="55"/>
        <v>C.04</v>
      </c>
      <c r="E744" s="135" t="s">
        <v>414</v>
      </c>
      <c r="F744" s="135" t="s">
        <v>676</v>
      </c>
      <c r="G744" s="134" t="s">
        <v>717</v>
      </c>
      <c r="H744" s="134" t="s">
        <v>718</v>
      </c>
      <c r="I744" s="134" t="s">
        <v>718</v>
      </c>
      <c r="J744" s="144" t="s">
        <v>284</v>
      </c>
      <c r="K744" s="134" t="s">
        <v>722</v>
      </c>
      <c r="L744" s="134"/>
      <c r="M744" s="134"/>
      <c r="N744" s="134"/>
      <c r="O744" s="134"/>
      <c r="P744" s="135" t="s">
        <v>234</v>
      </c>
      <c r="Q744" s="148">
        <v>8</v>
      </c>
      <c r="R744" s="148">
        <v>8</v>
      </c>
      <c r="S744" s="135"/>
      <c r="T744" s="149">
        <f>IFERROR(INDEX('Price List'!$G$5:$G$74,MATCH(TRIM(J744)&amp;"|"&amp;TRIM(P744),'Price List'!$O$5:$O$74,0)),0)</f>
        <v>0</v>
      </c>
      <c r="U744" s="150">
        <f>IFERROR(INDEX('Price List'!$H$5:$H$74,MATCH(TRIM(J744)&amp;"|"&amp;TRIM(P744),'Price List'!$O$5:$O$74,0)),0)</f>
        <v>0</v>
      </c>
      <c r="V744" s="141">
        <f t="shared" si="56"/>
        <v>0</v>
      </c>
      <c r="W744" s="151">
        <f>IFERROR(INDEX('Price List'!$J$5:$J$74,MATCH(TRIM(J744)&amp;"|"&amp;TRIM(P744),'Price List'!$O$5:$O$74,0)),0)</f>
        <v>195</v>
      </c>
      <c r="X744" s="152">
        <f>IFERROR(INDEX('Price List'!$K$5:$K$74,MATCH(TRIM(J744)&amp;"|"&amp;TRIM(P744),'Price List'!$O$5:$O$74,0)),0)</f>
        <v>0.12</v>
      </c>
      <c r="Y744" s="141">
        <f t="shared" si="57"/>
        <v>218.40000000000003</v>
      </c>
      <c r="Z744" s="141">
        <f t="shared" si="58"/>
        <v>1747.2000000000003</v>
      </c>
      <c r="AA744" s="134"/>
    </row>
    <row r="745" spans="1:27" ht="12" customHeight="1" x14ac:dyDescent="0.35">
      <c r="A745" s="134"/>
      <c r="B745" s="134"/>
      <c r="C745" s="134" t="s">
        <v>689</v>
      </c>
      <c r="D745" s="136" t="str">
        <f t="shared" si="55"/>
        <v>C.04</v>
      </c>
      <c r="E745" s="135" t="s">
        <v>414</v>
      </c>
      <c r="F745" s="135" t="s">
        <v>676</v>
      </c>
      <c r="G745" s="134" t="s">
        <v>717</v>
      </c>
      <c r="H745" s="134" t="s">
        <v>718</v>
      </c>
      <c r="I745" s="134" t="s">
        <v>718</v>
      </c>
      <c r="J745" s="144" t="s">
        <v>290</v>
      </c>
      <c r="K745" s="134" t="s">
        <v>725</v>
      </c>
      <c r="L745" s="134"/>
      <c r="M745" s="134"/>
      <c r="N745" s="134"/>
      <c r="O745" s="134"/>
      <c r="P745" s="135" t="s">
        <v>234</v>
      </c>
      <c r="Q745" s="148">
        <v>2</v>
      </c>
      <c r="R745" s="148">
        <v>2</v>
      </c>
      <c r="S745" s="135"/>
      <c r="T745" s="149">
        <f>IFERROR(INDEX('Price List'!$G$5:$G$74,MATCH(TRIM(J745)&amp;"|"&amp;TRIM(P745),'Price List'!$O$5:$O$74,0)),0)</f>
        <v>0</v>
      </c>
      <c r="U745" s="150">
        <f>IFERROR(INDEX('Price List'!$H$5:$H$74,MATCH(TRIM(J745)&amp;"|"&amp;TRIM(P745),'Price List'!$O$5:$O$74,0)),0)</f>
        <v>0</v>
      </c>
      <c r="V745" s="141">
        <f t="shared" si="56"/>
        <v>0</v>
      </c>
      <c r="W745" s="151">
        <f>IFERROR(INDEX('Price List'!$J$5:$J$74,MATCH(TRIM(J745)&amp;"|"&amp;TRIM(P745),'Price List'!$O$5:$O$74,0)),0)</f>
        <v>586</v>
      </c>
      <c r="X745" s="152">
        <f>IFERROR(INDEX('Price List'!$K$5:$K$74,MATCH(TRIM(J745)&amp;"|"&amp;TRIM(P745),'Price List'!$O$5:$O$74,0)),0)</f>
        <v>0.12</v>
      </c>
      <c r="Y745" s="141">
        <f t="shared" si="57"/>
        <v>656.32</v>
      </c>
      <c r="Z745" s="141">
        <f t="shared" si="58"/>
        <v>1312.64</v>
      </c>
      <c r="AA745" s="134"/>
    </row>
    <row r="746" spans="1:27" ht="12" customHeight="1" x14ac:dyDescent="0.35">
      <c r="A746" s="134"/>
      <c r="B746" s="134"/>
      <c r="C746" s="134" t="s">
        <v>689</v>
      </c>
      <c r="D746" s="136" t="str">
        <f t="shared" si="55"/>
        <v>C.04</v>
      </c>
      <c r="E746" s="135" t="s">
        <v>414</v>
      </c>
      <c r="F746" s="135" t="s">
        <v>676</v>
      </c>
      <c r="G746" s="134" t="s">
        <v>717</v>
      </c>
      <c r="H746" s="134" t="s">
        <v>718</v>
      </c>
      <c r="I746" s="134" t="s">
        <v>718</v>
      </c>
      <c r="J746" s="144" t="s">
        <v>288</v>
      </c>
      <c r="K746" s="134" t="s">
        <v>724</v>
      </c>
      <c r="L746" s="134"/>
      <c r="M746" s="134"/>
      <c r="N746" s="134"/>
      <c r="O746" s="134"/>
      <c r="P746" s="135" t="s">
        <v>234</v>
      </c>
      <c r="Q746" s="148">
        <v>1</v>
      </c>
      <c r="R746" s="148">
        <v>1</v>
      </c>
      <c r="S746" s="135"/>
      <c r="T746" s="149">
        <f>IFERROR(INDEX('Price List'!$G$5:$G$74,MATCH(TRIM(J746)&amp;"|"&amp;TRIM(P746),'Price List'!$O$5:$O$74,0)),0)</f>
        <v>0</v>
      </c>
      <c r="U746" s="150">
        <f>IFERROR(INDEX('Price List'!$H$5:$H$74,MATCH(TRIM(J746)&amp;"|"&amp;TRIM(P746),'Price List'!$O$5:$O$74,0)),0)</f>
        <v>0</v>
      </c>
      <c r="V746" s="141">
        <f t="shared" si="56"/>
        <v>0</v>
      </c>
      <c r="W746" s="151">
        <f>IFERROR(INDEX('Price List'!$J$5:$J$74,MATCH(TRIM(J746)&amp;"|"&amp;TRIM(P746),'Price List'!$O$5:$O$74,0)),0)</f>
        <v>49.5</v>
      </c>
      <c r="X746" s="152">
        <f>IFERROR(INDEX('Price List'!$K$5:$K$74,MATCH(TRIM(J746)&amp;"|"&amp;TRIM(P746),'Price List'!$O$5:$O$74,0)),0)</f>
        <v>0.12</v>
      </c>
      <c r="Y746" s="141">
        <f t="shared" si="57"/>
        <v>55.440000000000005</v>
      </c>
      <c r="Z746" s="141">
        <f t="shared" si="58"/>
        <v>55.440000000000005</v>
      </c>
      <c r="AA746" s="134"/>
    </row>
    <row r="747" spans="1:27" ht="12" customHeight="1" x14ac:dyDescent="0.35">
      <c r="A747" s="134"/>
      <c r="B747" s="134"/>
      <c r="C747" s="134" t="s">
        <v>689</v>
      </c>
      <c r="D747" s="136" t="str">
        <f t="shared" si="55"/>
        <v>C.04</v>
      </c>
      <c r="E747" s="135" t="s">
        <v>414</v>
      </c>
      <c r="F747" s="135" t="s">
        <v>677</v>
      </c>
      <c r="G747" s="134" t="s">
        <v>717</v>
      </c>
      <c r="H747" s="134" t="s">
        <v>718</v>
      </c>
      <c r="I747" s="134" t="s">
        <v>718</v>
      </c>
      <c r="J747" s="144" t="s">
        <v>278</v>
      </c>
      <c r="K747" s="134" t="s">
        <v>719</v>
      </c>
      <c r="L747" s="134"/>
      <c r="M747" s="134"/>
      <c r="N747" s="134"/>
      <c r="O747" s="134"/>
      <c r="P747" s="135" t="s">
        <v>234</v>
      </c>
      <c r="Q747" s="148">
        <v>1</v>
      </c>
      <c r="R747" s="148">
        <v>1</v>
      </c>
      <c r="S747" s="135"/>
      <c r="T747" s="149">
        <f>IFERROR(INDEX('Price List'!$G$5:$G$74,MATCH(TRIM(J747)&amp;"|"&amp;TRIM(P747),'Price List'!$O$5:$O$74,0)),0)</f>
        <v>0</v>
      </c>
      <c r="U747" s="150">
        <f>IFERROR(INDEX('Price List'!$H$5:$H$74,MATCH(TRIM(J747)&amp;"|"&amp;TRIM(P747),'Price List'!$O$5:$O$74,0)),0)</f>
        <v>0</v>
      </c>
      <c r="V747" s="141">
        <f t="shared" si="56"/>
        <v>0</v>
      </c>
      <c r="W747" s="151">
        <f>IFERROR(INDEX('Price List'!$J$5:$J$74,MATCH(TRIM(J747)&amp;"|"&amp;TRIM(P747),'Price List'!$O$5:$O$74,0)),0)</f>
        <v>82.5</v>
      </c>
      <c r="X747" s="152">
        <f>IFERROR(INDEX('Price List'!$K$5:$K$74,MATCH(TRIM(J747)&amp;"|"&amp;TRIM(P747),'Price List'!$O$5:$O$74,0)),0)</f>
        <v>0.12</v>
      </c>
      <c r="Y747" s="141">
        <f t="shared" si="57"/>
        <v>92.4</v>
      </c>
      <c r="Z747" s="141">
        <f t="shared" si="58"/>
        <v>92.4</v>
      </c>
      <c r="AA747" s="134"/>
    </row>
    <row r="748" spans="1:27" ht="12" customHeight="1" x14ac:dyDescent="0.35">
      <c r="A748" s="134"/>
      <c r="B748" s="134"/>
      <c r="C748" s="134" t="s">
        <v>689</v>
      </c>
      <c r="D748" s="136" t="str">
        <f t="shared" si="55"/>
        <v>C.04</v>
      </c>
      <c r="E748" s="135" t="s">
        <v>414</v>
      </c>
      <c r="F748" s="135" t="s">
        <v>677</v>
      </c>
      <c r="G748" s="134" t="s">
        <v>717</v>
      </c>
      <c r="H748" s="134" t="s">
        <v>718</v>
      </c>
      <c r="I748" s="134" t="s">
        <v>718</v>
      </c>
      <c r="J748" s="144" t="s">
        <v>280</v>
      </c>
      <c r="K748" s="134" t="s">
        <v>720</v>
      </c>
      <c r="L748" s="134"/>
      <c r="M748" s="134"/>
      <c r="N748" s="134"/>
      <c r="O748" s="134"/>
      <c r="P748" s="135" t="s">
        <v>234</v>
      </c>
      <c r="Q748" s="148">
        <v>1</v>
      </c>
      <c r="R748" s="148">
        <v>1</v>
      </c>
      <c r="S748" s="135"/>
      <c r="T748" s="149">
        <f>IFERROR(INDEX('Price List'!$G$5:$G$74,MATCH(TRIM(J748)&amp;"|"&amp;TRIM(P748),'Price List'!$O$5:$O$74,0)),0)</f>
        <v>0</v>
      </c>
      <c r="U748" s="150">
        <f>IFERROR(INDEX('Price List'!$H$5:$H$74,MATCH(TRIM(J748)&amp;"|"&amp;TRIM(P748),'Price List'!$O$5:$O$74,0)),0)</f>
        <v>0</v>
      </c>
      <c r="V748" s="141">
        <f t="shared" si="56"/>
        <v>0</v>
      </c>
      <c r="W748" s="151">
        <f>IFERROR(INDEX('Price List'!$J$5:$J$74,MATCH(TRIM(J748)&amp;"|"&amp;TRIM(P748),'Price List'!$O$5:$O$74,0)),0)</f>
        <v>49.5</v>
      </c>
      <c r="X748" s="152">
        <f>IFERROR(INDEX('Price List'!$K$5:$K$74,MATCH(TRIM(J748)&amp;"|"&amp;TRIM(P748),'Price List'!$O$5:$O$74,0)),0)</f>
        <v>0.12</v>
      </c>
      <c r="Y748" s="141">
        <f t="shared" si="57"/>
        <v>55.440000000000005</v>
      </c>
      <c r="Z748" s="141">
        <f t="shared" si="58"/>
        <v>55.440000000000005</v>
      </c>
      <c r="AA748" s="134"/>
    </row>
    <row r="749" spans="1:27" ht="12" customHeight="1" x14ac:dyDescent="0.35">
      <c r="A749" s="134"/>
      <c r="B749" s="134"/>
      <c r="C749" s="134" t="s">
        <v>689</v>
      </c>
      <c r="D749" s="136" t="str">
        <f t="shared" si="55"/>
        <v>C.04</v>
      </c>
      <c r="E749" s="135" t="s">
        <v>414</v>
      </c>
      <c r="F749" s="135" t="s">
        <v>677</v>
      </c>
      <c r="G749" s="134" t="s">
        <v>717</v>
      </c>
      <c r="H749" s="134" t="s">
        <v>718</v>
      </c>
      <c r="I749" s="134" t="s">
        <v>718</v>
      </c>
      <c r="J749" s="144" t="s">
        <v>284</v>
      </c>
      <c r="K749" s="134" t="s">
        <v>722</v>
      </c>
      <c r="L749" s="134"/>
      <c r="M749" s="134"/>
      <c r="N749" s="134"/>
      <c r="O749" s="134"/>
      <c r="P749" s="135" t="s">
        <v>234</v>
      </c>
      <c r="Q749" s="148">
        <v>6</v>
      </c>
      <c r="R749" s="148">
        <v>6</v>
      </c>
      <c r="S749" s="135"/>
      <c r="T749" s="149">
        <f>IFERROR(INDEX('Price List'!$G$5:$G$74,MATCH(TRIM(J749)&amp;"|"&amp;TRIM(P749),'Price List'!$O$5:$O$74,0)),0)</f>
        <v>0</v>
      </c>
      <c r="U749" s="150">
        <f>IFERROR(INDEX('Price List'!$H$5:$H$74,MATCH(TRIM(J749)&amp;"|"&amp;TRIM(P749),'Price List'!$O$5:$O$74,0)),0)</f>
        <v>0</v>
      </c>
      <c r="V749" s="141">
        <f t="shared" si="56"/>
        <v>0</v>
      </c>
      <c r="W749" s="151">
        <f>IFERROR(INDEX('Price List'!$J$5:$J$74,MATCH(TRIM(J749)&amp;"|"&amp;TRIM(P749),'Price List'!$O$5:$O$74,0)),0)</f>
        <v>195</v>
      </c>
      <c r="X749" s="152">
        <f>IFERROR(INDEX('Price List'!$K$5:$K$74,MATCH(TRIM(J749)&amp;"|"&amp;TRIM(P749),'Price List'!$O$5:$O$74,0)),0)</f>
        <v>0.12</v>
      </c>
      <c r="Y749" s="141">
        <f t="shared" si="57"/>
        <v>218.40000000000003</v>
      </c>
      <c r="Z749" s="141">
        <f t="shared" si="58"/>
        <v>1310.4000000000001</v>
      </c>
      <c r="AA749" s="134"/>
    </row>
    <row r="750" spans="1:27" ht="12" customHeight="1" x14ac:dyDescent="0.35">
      <c r="A750" s="134"/>
      <c r="B750" s="134"/>
      <c r="C750" s="134" t="s">
        <v>689</v>
      </c>
      <c r="D750" s="136" t="str">
        <f t="shared" si="55"/>
        <v>C.04</v>
      </c>
      <c r="E750" s="135" t="s">
        <v>414</v>
      </c>
      <c r="F750" s="135" t="s">
        <v>677</v>
      </c>
      <c r="G750" s="134" t="s">
        <v>717</v>
      </c>
      <c r="H750" s="134" t="s">
        <v>718</v>
      </c>
      <c r="I750" s="134" t="s">
        <v>718</v>
      </c>
      <c r="J750" s="144" t="s">
        <v>292</v>
      </c>
      <c r="K750" s="134" t="s">
        <v>726</v>
      </c>
      <c r="L750" s="134"/>
      <c r="M750" s="134"/>
      <c r="N750" s="134"/>
      <c r="O750" s="134"/>
      <c r="P750" s="135" t="s">
        <v>234</v>
      </c>
      <c r="Q750" s="148">
        <v>3</v>
      </c>
      <c r="R750" s="148">
        <v>3</v>
      </c>
      <c r="S750" s="135"/>
      <c r="T750" s="149">
        <f>IFERROR(INDEX('Price List'!$G$5:$G$74,MATCH(TRIM(J750)&amp;"|"&amp;TRIM(P750),'Price List'!$O$5:$O$74,0)),0)</f>
        <v>0</v>
      </c>
      <c r="U750" s="150">
        <f>IFERROR(INDEX('Price List'!$H$5:$H$74,MATCH(TRIM(J750)&amp;"|"&amp;TRIM(P750),'Price List'!$O$5:$O$74,0)),0)</f>
        <v>0</v>
      </c>
      <c r="V750" s="141">
        <f t="shared" si="56"/>
        <v>0</v>
      </c>
      <c r="W750" s="151">
        <f>IFERROR(INDEX('Price List'!$J$5:$J$74,MATCH(TRIM(J750)&amp;"|"&amp;TRIM(P750),'Price List'!$O$5:$O$74,0)),0)</f>
        <v>199.2</v>
      </c>
      <c r="X750" s="152">
        <f>IFERROR(INDEX('Price List'!$K$5:$K$74,MATCH(TRIM(J750)&amp;"|"&amp;TRIM(P750),'Price List'!$O$5:$O$74,0)),0)</f>
        <v>0.12</v>
      </c>
      <c r="Y750" s="141">
        <f t="shared" si="57"/>
        <v>223.10400000000001</v>
      </c>
      <c r="Z750" s="141">
        <f t="shared" si="58"/>
        <v>669.31200000000001</v>
      </c>
      <c r="AA750" s="134"/>
    </row>
    <row r="751" spans="1:27" ht="12" customHeight="1" x14ac:dyDescent="0.35">
      <c r="A751" s="134"/>
      <c r="B751" s="134"/>
      <c r="C751" s="134" t="s">
        <v>689</v>
      </c>
      <c r="D751" s="136" t="str">
        <f t="shared" si="55"/>
        <v>D.02</v>
      </c>
      <c r="E751" s="135" t="s">
        <v>414</v>
      </c>
      <c r="F751" s="135" t="s">
        <v>664</v>
      </c>
      <c r="G751" s="134" t="s">
        <v>45</v>
      </c>
      <c r="H751" s="134" t="s">
        <v>727</v>
      </c>
      <c r="I751" s="134" t="s">
        <v>727</v>
      </c>
      <c r="J751" s="144" t="s">
        <v>345</v>
      </c>
      <c r="K751" s="134"/>
      <c r="L751" s="134"/>
      <c r="M751" s="134"/>
      <c r="N751" s="134"/>
      <c r="O751" s="134"/>
      <c r="P751" s="135" t="s">
        <v>128</v>
      </c>
      <c r="Q751" s="148">
        <v>17</v>
      </c>
      <c r="R751" s="148">
        <v>17</v>
      </c>
      <c r="S751" s="135"/>
      <c r="T751" s="149">
        <f>IFERROR(INDEX('Price List'!$G$5:$G$74,MATCH(TRIM(J751)&amp;"|"&amp;TRIM(P751),'Price List'!$O$5:$O$74,0)),0)</f>
        <v>5</v>
      </c>
      <c r="U751" s="150">
        <f>IFERROR(INDEX('Price List'!$H$5:$H$74,MATCH(TRIM(J751)&amp;"|"&amp;TRIM(P751),'Price List'!$O$5:$O$74,0)),0)</f>
        <v>0.2</v>
      </c>
      <c r="V751" s="141">
        <f t="shared" si="56"/>
        <v>6</v>
      </c>
      <c r="W751" s="151">
        <f>IFERROR(INDEX('Price List'!$J$5:$J$74,MATCH(TRIM(J751)&amp;"|"&amp;TRIM(P751),'Price List'!$O$5:$O$74,0)),0)</f>
        <v>8</v>
      </c>
      <c r="X751" s="152">
        <f>IFERROR(INDEX('Price List'!$K$5:$K$74,MATCH(TRIM(J751)&amp;"|"&amp;TRIM(P751),'Price List'!$O$5:$O$74,0)),0)</f>
        <v>0.12</v>
      </c>
      <c r="Y751" s="141">
        <f t="shared" si="57"/>
        <v>8.9600000000000009</v>
      </c>
      <c r="Z751" s="141">
        <f t="shared" si="58"/>
        <v>254.32000000000002</v>
      </c>
      <c r="AA751" s="134"/>
    </row>
    <row r="752" spans="1:27" ht="12" customHeight="1" x14ac:dyDescent="0.35">
      <c r="A752" s="134"/>
      <c r="B752" s="134"/>
      <c r="C752" s="134" t="s">
        <v>689</v>
      </c>
      <c r="D752" s="136" t="str">
        <f t="shared" si="55"/>
        <v>D.01</v>
      </c>
      <c r="E752" s="135" t="s">
        <v>414</v>
      </c>
      <c r="F752" s="135" t="s">
        <v>664</v>
      </c>
      <c r="G752" s="134" t="s">
        <v>43</v>
      </c>
      <c r="H752" s="134" t="s">
        <v>728</v>
      </c>
      <c r="I752" s="134" t="s">
        <v>728</v>
      </c>
      <c r="J752" s="144" t="s">
        <v>335</v>
      </c>
      <c r="K752" s="134"/>
      <c r="L752" s="134"/>
      <c r="M752" s="134"/>
      <c r="N752" s="134"/>
      <c r="O752" s="134"/>
      <c r="P752" s="135" t="s">
        <v>128</v>
      </c>
      <c r="Q752" s="148">
        <v>92.195999999999998</v>
      </c>
      <c r="R752" s="148">
        <v>92.195999999999998</v>
      </c>
      <c r="S752" s="135"/>
      <c r="T752" s="149">
        <f>IFERROR(INDEX('Price List'!$G$5:$G$74,MATCH(TRIM(J752)&amp;"|"&amp;TRIM(P752),'Price List'!$O$5:$O$74,0)),0)</f>
        <v>6</v>
      </c>
      <c r="U752" s="150">
        <f>IFERROR(INDEX('Price List'!$H$5:$H$74,MATCH(TRIM(J752)&amp;"|"&amp;TRIM(P752),'Price List'!$O$5:$O$74,0)),0)</f>
        <v>0.2</v>
      </c>
      <c r="V752" s="141">
        <f t="shared" si="56"/>
        <v>7.1999999999999993</v>
      </c>
      <c r="W752" s="151">
        <f>IFERROR(INDEX('Price List'!$J$5:$J$74,MATCH(TRIM(J752)&amp;"|"&amp;TRIM(P752),'Price List'!$O$5:$O$74,0)),0)</f>
        <v>10</v>
      </c>
      <c r="X752" s="152">
        <f>IFERROR(INDEX('Price List'!$K$5:$K$74,MATCH(TRIM(J752)&amp;"|"&amp;TRIM(P752),'Price List'!$O$5:$O$74,0)),0)</f>
        <v>0.12</v>
      </c>
      <c r="Y752" s="141">
        <f t="shared" si="57"/>
        <v>11.200000000000001</v>
      </c>
      <c r="Z752" s="141">
        <f t="shared" si="58"/>
        <v>1696.4063999999998</v>
      </c>
      <c r="AA752" s="134"/>
    </row>
    <row r="753" spans="1:27" ht="12" customHeight="1" x14ac:dyDescent="0.35">
      <c r="A753" s="134"/>
      <c r="B753" s="134"/>
      <c r="C753" s="134" t="s">
        <v>689</v>
      </c>
      <c r="D753" s="136" t="str">
        <f t="shared" si="55"/>
        <v>D.02</v>
      </c>
      <c r="E753" s="135" t="s">
        <v>414</v>
      </c>
      <c r="F753" s="135" t="s">
        <v>667</v>
      </c>
      <c r="G753" s="134" t="s">
        <v>45</v>
      </c>
      <c r="H753" s="134" t="s">
        <v>727</v>
      </c>
      <c r="I753" s="134" t="s">
        <v>727</v>
      </c>
      <c r="J753" s="144" t="s">
        <v>345</v>
      </c>
      <c r="K753" s="134"/>
      <c r="L753" s="134"/>
      <c r="M753" s="134"/>
      <c r="N753" s="134"/>
      <c r="O753" s="134"/>
      <c r="P753" s="135" t="s">
        <v>128</v>
      </c>
      <c r="Q753" s="148">
        <v>17</v>
      </c>
      <c r="R753" s="148">
        <v>17</v>
      </c>
      <c r="S753" s="135"/>
      <c r="T753" s="149">
        <f>IFERROR(INDEX('Price List'!$G$5:$G$74,MATCH(TRIM(J753)&amp;"|"&amp;TRIM(P753),'Price List'!$O$5:$O$74,0)),0)</f>
        <v>5</v>
      </c>
      <c r="U753" s="150">
        <f>IFERROR(INDEX('Price List'!$H$5:$H$74,MATCH(TRIM(J753)&amp;"|"&amp;TRIM(P753),'Price List'!$O$5:$O$74,0)),0)</f>
        <v>0.2</v>
      </c>
      <c r="V753" s="141">
        <f t="shared" si="56"/>
        <v>6</v>
      </c>
      <c r="W753" s="151">
        <f>IFERROR(INDEX('Price List'!$J$5:$J$74,MATCH(TRIM(J753)&amp;"|"&amp;TRIM(P753),'Price List'!$O$5:$O$74,0)),0)</f>
        <v>8</v>
      </c>
      <c r="X753" s="152">
        <f>IFERROR(INDEX('Price List'!$K$5:$K$74,MATCH(TRIM(J753)&amp;"|"&amp;TRIM(P753),'Price List'!$O$5:$O$74,0)),0)</f>
        <v>0.12</v>
      </c>
      <c r="Y753" s="141">
        <f t="shared" si="57"/>
        <v>8.9600000000000009</v>
      </c>
      <c r="Z753" s="141">
        <f t="shared" si="58"/>
        <v>254.32000000000002</v>
      </c>
      <c r="AA753" s="134"/>
    </row>
    <row r="754" spans="1:27" ht="12" customHeight="1" x14ac:dyDescent="0.35">
      <c r="A754" s="134"/>
      <c r="B754" s="134"/>
      <c r="C754" s="134" t="s">
        <v>689</v>
      </c>
      <c r="D754" s="136" t="str">
        <f t="shared" si="55"/>
        <v>D.01</v>
      </c>
      <c r="E754" s="135" t="s">
        <v>414</v>
      </c>
      <c r="F754" s="135" t="s">
        <v>667</v>
      </c>
      <c r="G754" s="134" t="s">
        <v>43</v>
      </c>
      <c r="H754" s="134" t="s">
        <v>728</v>
      </c>
      <c r="I754" s="134" t="s">
        <v>728</v>
      </c>
      <c r="J754" s="144" t="s">
        <v>335</v>
      </c>
      <c r="K754" s="134"/>
      <c r="L754" s="134"/>
      <c r="M754" s="134"/>
      <c r="N754" s="134"/>
      <c r="O754" s="134"/>
      <c r="P754" s="135" t="s">
        <v>128</v>
      </c>
      <c r="Q754" s="148">
        <v>92.195999999999998</v>
      </c>
      <c r="R754" s="148">
        <v>92.195999999999998</v>
      </c>
      <c r="S754" s="135"/>
      <c r="T754" s="149">
        <f>IFERROR(INDEX('Price List'!$G$5:$G$74,MATCH(TRIM(J754)&amp;"|"&amp;TRIM(P754),'Price List'!$O$5:$O$74,0)),0)</f>
        <v>6</v>
      </c>
      <c r="U754" s="150">
        <f>IFERROR(INDEX('Price List'!$H$5:$H$74,MATCH(TRIM(J754)&amp;"|"&amp;TRIM(P754),'Price List'!$O$5:$O$74,0)),0)</f>
        <v>0.2</v>
      </c>
      <c r="V754" s="141">
        <f t="shared" si="56"/>
        <v>7.1999999999999993</v>
      </c>
      <c r="W754" s="151">
        <f>IFERROR(INDEX('Price List'!$J$5:$J$74,MATCH(TRIM(J754)&amp;"|"&amp;TRIM(P754),'Price List'!$O$5:$O$74,0)),0)</f>
        <v>10</v>
      </c>
      <c r="X754" s="152">
        <f>IFERROR(INDEX('Price List'!$K$5:$K$74,MATCH(TRIM(J754)&amp;"|"&amp;TRIM(P754),'Price List'!$O$5:$O$74,0)),0)</f>
        <v>0.12</v>
      </c>
      <c r="Y754" s="141">
        <f t="shared" si="57"/>
        <v>11.200000000000001</v>
      </c>
      <c r="Z754" s="141">
        <f t="shared" si="58"/>
        <v>1696.4063999999998</v>
      </c>
      <c r="AA754" s="134"/>
    </row>
    <row r="755" spans="1:27" ht="12" customHeight="1" x14ac:dyDescent="0.35">
      <c r="A755" s="134"/>
      <c r="B755" s="134"/>
      <c r="C755" s="134" t="s">
        <v>689</v>
      </c>
      <c r="D755" s="136" t="str">
        <f t="shared" si="55"/>
        <v>D.02</v>
      </c>
      <c r="E755" s="135" t="s">
        <v>414</v>
      </c>
      <c r="F755" s="135" t="s">
        <v>668</v>
      </c>
      <c r="G755" s="134" t="s">
        <v>45</v>
      </c>
      <c r="H755" s="134" t="s">
        <v>727</v>
      </c>
      <c r="I755" s="134" t="s">
        <v>727</v>
      </c>
      <c r="J755" s="144" t="s">
        <v>345</v>
      </c>
      <c r="K755" s="134"/>
      <c r="L755" s="134"/>
      <c r="M755" s="134"/>
      <c r="N755" s="134"/>
      <c r="O755" s="134"/>
      <c r="P755" s="135" t="s">
        <v>128</v>
      </c>
      <c r="Q755" s="148">
        <v>17</v>
      </c>
      <c r="R755" s="148">
        <v>17</v>
      </c>
      <c r="S755" s="135"/>
      <c r="T755" s="149">
        <f>IFERROR(INDEX('Price List'!$G$5:$G$74,MATCH(TRIM(J755)&amp;"|"&amp;TRIM(P755),'Price List'!$O$5:$O$74,0)),0)</f>
        <v>5</v>
      </c>
      <c r="U755" s="150">
        <f>IFERROR(INDEX('Price List'!$H$5:$H$74,MATCH(TRIM(J755)&amp;"|"&amp;TRIM(P755),'Price List'!$O$5:$O$74,0)),0)</f>
        <v>0.2</v>
      </c>
      <c r="V755" s="141">
        <f t="shared" si="56"/>
        <v>6</v>
      </c>
      <c r="W755" s="151">
        <f>IFERROR(INDEX('Price List'!$J$5:$J$74,MATCH(TRIM(J755)&amp;"|"&amp;TRIM(P755),'Price List'!$O$5:$O$74,0)),0)</f>
        <v>8</v>
      </c>
      <c r="X755" s="152">
        <f>IFERROR(INDEX('Price List'!$K$5:$K$74,MATCH(TRIM(J755)&amp;"|"&amp;TRIM(P755),'Price List'!$O$5:$O$74,0)),0)</f>
        <v>0.12</v>
      </c>
      <c r="Y755" s="141">
        <f t="shared" si="57"/>
        <v>8.9600000000000009</v>
      </c>
      <c r="Z755" s="141">
        <f t="shared" si="58"/>
        <v>254.32000000000002</v>
      </c>
      <c r="AA755" s="134"/>
    </row>
    <row r="756" spans="1:27" ht="12" customHeight="1" x14ac:dyDescent="0.35">
      <c r="A756" s="134"/>
      <c r="B756" s="134"/>
      <c r="C756" s="134" t="s">
        <v>689</v>
      </c>
      <c r="D756" s="136" t="str">
        <f t="shared" si="55"/>
        <v>D.01</v>
      </c>
      <c r="E756" s="135" t="s">
        <v>414</v>
      </c>
      <c r="F756" s="135" t="s">
        <v>668</v>
      </c>
      <c r="G756" s="134" t="s">
        <v>43</v>
      </c>
      <c r="H756" s="134" t="s">
        <v>728</v>
      </c>
      <c r="I756" s="134" t="s">
        <v>728</v>
      </c>
      <c r="J756" s="144" t="s">
        <v>335</v>
      </c>
      <c r="K756" s="134"/>
      <c r="L756" s="134"/>
      <c r="M756" s="134"/>
      <c r="N756" s="134"/>
      <c r="O756" s="134"/>
      <c r="P756" s="135" t="s">
        <v>128</v>
      </c>
      <c r="Q756" s="148">
        <v>92.195999999999998</v>
      </c>
      <c r="R756" s="148">
        <v>92.195999999999998</v>
      </c>
      <c r="S756" s="135"/>
      <c r="T756" s="149">
        <f>IFERROR(INDEX('Price List'!$G$5:$G$74,MATCH(TRIM(J756)&amp;"|"&amp;TRIM(P756),'Price List'!$O$5:$O$74,0)),0)</f>
        <v>6</v>
      </c>
      <c r="U756" s="150">
        <f>IFERROR(INDEX('Price List'!$H$5:$H$74,MATCH(TRIM(J756)&amp;"|"&amp;TRIM(P756),'Price List'!$O$5:$O$74,0)),0)</f>
        <v>0.2</v>
      </c>
      <c r="V756" s="141">
        <f t="shared" si="56"/>
        <v>7.1999999999999993</v>
      </c>
      <c r="W756" s="151">
        <f>IFERROR(INDEX('Price List'!$J$5:$J$74,MATCH(TRIM(J756)&amp;"|"&amp;TRIM(P756),'Price List'!$O$5:$O$74,0)),0)</f>
        <v>10</v>
      </c>
      <c r="X756" s="152">
        <f>IFERROR(INDEX('Price List'!$K$5:$K$74,MATCH(TRIM(J756)&amp;"|"&amp;TRIM(P756),'Price List'!$O$5:$O$74,0)),0)</f>
        <v>0.12</v>
      </c>
      <c r="Y756" s="141">
        <f t="shared" si="57"/>
        <v>11.200000000000001</v>
      </c>
      <c r="Z756" s="141">
        <f t="shared" si="58"/>
        <v>1696.4063999999998</v>
      </c>
      <c r="AA756" s="134"/>
    </row>
    <row r="757" spans="1:27" ht="12" customHeight="1" x14ac:dyDescent="0.35">
      <c r="A757" s="134"/>
      <c r="B757" s="134"/>
      <c r="C757" s="134" t="s">
        <v>689</v>
      </c>
      <c r="D757" s="136" t="str">
        <f t="shared" si="55"/>
        <v>D.02</v>
      </c>
      <c r="E757" s="135" t="s">
        <v>414</v>
      </c>
      <c r="F757" s="135" t="s">
        <v>669</v>
      </c>
      <c r="G757" s="134" t="s">
        <v>45</v>
      </c>
      <c r="H757" s="134" t="s">
        <v>727</v>
      </c>
      <c r="I757" s="134" t="s">
        <v>727</v>
      </c>
      <c r="J757" s="144" t="s">
        <v>345</v>
      </c>
      <c r="K757" s="134"/>
      <c r="L757" s="134"/>
      <c r="M757" s="134"/>
      <c r="N757" s="134"/>
      <c r="O757" s="134"/>
      <c r="P757" s="135" t="s">
        <v>128</v>
      </c>
      <c r="Q757" s="148">
        <v>17</v>
      </c>
      <c r="R757" s="148">
        <v>17</v>
      </c>
      <c r="S757" s="135"/>
      <c r="T757" s="149">
        <f>IFERROR(INDEX('Price List'!$G$5:$G$74,MATCH(TRIM(J757)&amp;"|"&amp;TRIM(P757),'Price List'!$O$5:$O$74,0)),0)</f>
        <v>5</v>
      </c>
      <c r="U757" s="150">
        <f>IFERROR(INDEX('Price List'!$H$5:$H$74,MATCH(TRIM(J757)&amp;"|"&amp;TRIM(P757),'Price List'!$O$5:$O$74,0)),0)</f>
        <v>0.2</v>
      </c>
      <c r="V757" s="141">
        <f t="shared" si="56"/>
        <v>6</v>
      </c>
      <c r="W757" s="151">
        <f>IFERROR(INDEX('Price List'!$J$5:$J$74,MATCH(TRIM(J757)&amp;"|"&amp;TRIM(P757),'Price List'!$O$5:$O$74,0)),0)</f>
        <v>8</v>
      </c>
      <c r="X757" s="152">
        <f>IFERROR(INDEX('Price List'!$K$5:$K$74,MATCH(TRIM(J757)&amp;"|"&amp;TRIM(P757),'Price List'!$O$5:$O$74,0)),0)</f>
        <v>0.12</v>
      </c>
      <c r="Y757" s="141">
        <f t="shared" si="57"/>
        <v>8.9600000000000009</v>
      </c>
      <c r="Z757" s="141">
        <f t="shared" si="58"/>
        <v>254.32000000000002</v>
      </c>
      <c r="AA757" s="134"/>
    </row>
    <row r="758" spans="1:27" ht="12" customHeight="1" x14ac:dyDescent="0.35">
      <c r="A758" s="134"/>
      <c r="B758" s="134"/>
      <c r="C758" s="134" t="s">
        <v>689</v>
      </c>
      <c r="D758" s="136" t="str">
        <f t="shared" si="55"/>
        <v>D.01</v>
      </c>
      <c r="E758" s="135" t="s">
        <v>414</v>
      </c>
      <c r="F758" s="135" t="s">
        <v>669</v>
      </c>
      <c r="G758" s="134" t="s">
        <v>43</v>
      </c>
      <c r="H758" s="134" t="s">
        <v>728</v>
      </c>
      <c r="I758" s="134" t="s">
        <v>728</v>
      </c>
      <c r="J758" s="144" t="s">
        <v>335</v>
      </c>
      <c r="K758" s="134"/>
      <c r="L758" s="134"/>
      <c r="M758" s="134"/>
      <c r="N758" s="134"/>
      <c r="O758" s="134"/>
      <c r="P758" s="135" t="s">
        <v>128</v>
      </c>
      <c r="Q758" s="148">
        <v>92.195999999999998</v>
      </c>
      <c r="R758" s="148">
        <v>92.195999999999998</v>
      </c>
      <c r="S758" s="135"/>
      <c r="T758" s="149">
        <f>IFERROR(INDEX('Price List'!$G$5:$G$74,MATCH(TRIM(J758)&amp;"|"&amp;TRIM(P758),'Price List'!$O$5:$O$74,0)),0)</f>
        <v>6</v>
      </c>
      <c r="U758" s="150">
        <f>IFERROR(INDEX('Price List'!$H$5:$H$74,MATCH(TRIM(J758)&amp;"|"&amp;TRIM(P758),'Price List'!$O$5:$O$74,0)),0)</f>
        <v>0.2</v>
      </c>
      <c r="V758" s="141">
        <f t="shared" si="56"/>
        <v>7.1999999999999993</v>
      </c>
      <c r="W758" s="151">
        <f>IFERROR(INDEX('Price List'!$J$5:$J$74,MATCH(TRIM(J758)&amp;"|"&amp;TRIM(P758),'Price List'!$O$5:$O$74,0)),0)</f>
        <v>10</v>
      </c>
      <c r="X758" s="152">
        <f>IFERROR(INDEX('Price List'!$K$5:$K$74,MATCH(TRIM(J758)&amp;"|"&amp;TRIM(P758),'Price List'!$O$5:$O$74,0)),0)</f>
        <v>0.12</v>
      </c>
      <c r="Y758" s="141">
        <f t="shared" si="57"/>
        <v>11.200000000000001</v>
      </c>
      <c r="Z758" s="141">
        <f t="shared" si="58"/>
        <v>1696.4063999999998</v>
      </c>
      <c r="AA758" s="134"/>
    </row>
    <row r="759" spans="1:27" ht="12" customHeight="1" x14ac:dyDescent="0.35">
      <c r="A759" s="134"/>
      <c r="B759" s="134"/>
      <c r="C759" s="134" t="s">
        <v>689</v>
      </c>
      <c r="D759" s="136" t="str">
        <f t="shared" si="55"/>
        <v>D.02</v>
      </c>
      <c r="E759" s="135" t="s">
        <v>414</v>
      </c>
      <c r="F759" s="135" t="s">
        <v>670</v>
      </c>
      <c r="G759" s="134" t="s">
        <v>45</v>
      </c>
      <c r="H759" s="134" t="s">
        <v>727</v>
      </c>
      <c r="I759" s="134" t="s">
        <v>727</v>
      </c>
      <c r="J759" s="144" t="s">
        <v>345</v>
      </c>
      <c r="K759" s="134"/>
      <c r="L759" s="134"/>
      <c r="M759" s="134"/>
      <c r="N759" s="134"/>
      <c r="O759" s="134"/>
      <c r="P759" s="135" t="s">
        <v>128</v>
      </c>
      <c r="Q759" s="148">
        <v>17</v>
      </c>
      <c r="R759" s="148">
        <v>17</v>
      </c>
      <c r="S759" s="135"/>
      <c r="T759" s="149">
        <f>IFERROR(INDEX('Price List'!$G$5:$G$74,MATCH(TRIM(J759)&amp;"|"&amp;TRIM(P759),'Price List'!$O$5:$O$74,0)),0)</f>
        <v>5</v>
      </c>
      <c r="U759" s="150">
        <f>IFERROR(INDEX('Price List'!$H$5:$H$74,MATCH(TRIM(J759)&amp;"|"&amp;TRIM(P759),'Price List'!$O$5:$O$74,0)),0)</f>
        <v>0.2</v>
      </c>
      <c r="V759" s="141">
        <f t="shared" si="56"/>
        <v>6</v>
      </c>
      <c r="W759" s="151">
        <f>IFERROR(INDEX('Price List'!$J$5:$J$74,MATCH(TRIM(J759)&amp;"|"&amp;TRIM(P759),'Price List'!$O$5:$O$74,0)),0)</f>
        <v>8</v>
      </c>
      <c r="X759" s="152">
        <f>IFERROR(INDEX('Price List'!$K$5:$K$74,MATCH(TRIM(J759)&amp;"|"&amp;TRIM(P759),'Price List'!$O$5:$O$74,0)),0)</f>
        <v>0.12</v>
      </c>
      <c r="Y759" s="141">
        <f t="shared" si="57"/>
        <v>8.9600000000000009</v>
      </c>
      <c r="Z759" s="141">
        <f t="shared" si="58"/>
        <v>254.32000000000002</v>
      </c>
      <c r="AA759" s="134"/>
    </row>
    <row r="760" spans="1:27" ht="12" customHeight="1" x14ac:dyDescent="0.35">
      <c r="A760" s="134"/>
      <c r="B760" s="134"/>
      <c r="C760" s="134" t="s">
        <v>689</v>
      </c>
      <c r="D760" s="136" t="str">
        <f t="shared" si="55"/>
        <v>D.01</v>
      </c>
      <c r="E760" s="135" t="s">
        <v>414</v>
      </c>
      <c r="F760" s="135" t="s">
        <v>670</v>
      </c>
      <c r="G760" s="134" t="s">
        <v>43</v>
      </c>
      <c r="H760" s="134" t="s">
        <v>728</v>
      </c>
      <c r="I760" s="134" t="s">
        <v>728</v>
      </c>
      <c r="J760" s="144" t="s">
        <v>335</v>
      </c>
      <c r="K760" s="134"/>
      <c r="L760" s="134"/>
      <c r="M760" s="134"/>
      <c r="N760" s="134"/>
      <c r="O760" s="134"/>
      <c r="P760" s="135" t="s">
        <v>128</v>
      </c>
      <c r="Q760" s="148">
        <v>92.195999999999998</v>
      </c>
      <c r="R760" s="148">
        <v>92.195999999999998</v>
      </c>
      <c r="S760" s="135"/>
      <c r="T760" s="149">
        <f>IFERROR(INDEX('Price List'!$G$5:$G$74,MATCH(TRIM(J760)&amp;"|"&amp;TRIM(P760),'Price List'!$O$5:$O$74,0)),0)</f>
        <v>6</v>
      </c>
      <c r="U760" s="150">
        <f>IFERROR(INDEX('Price List'!$H$5:$H$74,MATCH(TRIM(J760)&amp;"|"&amp;TRIM(P760),'Price List'!$O$5:$O$74,0)),0)</f>
        <v>0.2</v>
      </c>
      <c r="V760" s="141">
        <f t="shared" si="56"/>
        <v>7.1999999999999993</v>
      </c>
      <c r="W760" s="151">
        <f>IFERROR(INDEX('Price List'!$J$5:$J$74,MATCH(TRIM(J760)&amp;"|"&amp;TRIM(P760),'Price List'!$O$5:$O$74,0)),0)</f>
        <v>10</v>
      </c>
      <c r="X760" s="152">
        <f>IFERROR(INDEX('Price List'!$K$5:$K$74,MATCH(TRIM(J760)&amp;"|"&amp;TRIM(P760),'Price List'!$O$5:$O$74,0)),0)</f>
        <v>0.12</v>
      </c>
      <c r="Y760" s="141">
        <f t="shared" si="57"/>
        <v>11.200000000000001</v>
      </c>
      <c r="Z760" s="141">
        <f t="shared" si="58"/>
        <v>1696.4063999999998</v>
      </c>
      <c r="AA760" s="134"/>
    </row>
    <row r="761" spans="1:27" ht="12" customHeight="1" x14ac:dyDescent="0.35">
      <c r="A761" s="134"/>
      <c r="B761" s="134"/>
      <c r="C761" s="134" t="s">
        <v>689</v>
      </c>
      <c r="D761" s="136" t="str">
        <f t="shared" si="55"/>
        <v>D.02</v>
      </c>
      <c r="E761" s="135" t="s">
        <v>414</v>
      </c>
      <c r="F761" s="135" t="s">
        <v>671</v>
      </c>
      <c r="G761" s="134" t="s">
        <v>45</v>
      </c>
      <c r="H761" s="134" t="s">
        <v>727</v>
      </c>
      <c r="I761" s="134" t="s">
        <v>727</v>
      </c>
      <c r="J761" s="144" t="s">
        <v>345</v>
      </c>
      <c r="K761" s="134"/>
      <c r="L761" s="134"/>
      <c r="M761" s="134"/>
      <c r="N761" s="134"/>
      <c r="O761" s="134"/>
      <c r="P761" s="135" t="s">
        <v>128</v>
      </c>
      <c r="Q761" s="148">
        <v>17</v>
      </c>
      <c r="R761" s="148">
        <v>17</v>
      </c>
      <c r="S761" s="135"/>
      <c r="T761" s="149">
        <f>IFERROR(INDEX('Price List'!$G$5:$G$74,MATCH(TRIM(J761)&amp;"|"&amp;TRIM(P761),'Price List'!$O$5:$O$74,0)),0)</f>
        <v>5</v>
      </c>
      <c r="U761" s="150">
        <f>IFERROR(INDEX('Price List'!$H$5:$H$74,MATCH(TRIM(J761)&amp;"|"&amp;TRIM(P761),'Price List'!$O$5:$O$74,0)),0)</f>
        <v>0.2</v>
      </c>
      <c r="V761" s="141">
        <f t="shared" si="56"/>
        <v>6</v>
      </c>
      <c r="W761" s="151">
        <f>IFERROR(INDEX('Price List'!$J$5:$J$74,MATCH(TRIM(J761)&amp;"|"&amp;TRIM(P761),'Price List'!$O$5:$O$74,0)),0)</f>
        <v>8</v>
      </c>
      <c r="X761" s="152">
        <f>IFERROR(INDEX('Price List'!$K$5:$K$74,MATCH(TRIM(J761)&amp;"|"&amp;TRIM(P761),'Price List'!$O$5:$O$74,0)),0)</f>
        <v>0.12</v>
      </c>
      <c r="Y761" s="141">
        <f t="shared" si="57"/>
        <v>8.9600000000000009</v>
      </c>
      <c r="Z761" s="141">
        <f t="shared" si="58"/>
        <v>254.32000000000002</v>
      </c>
      <c r="AA761" s="134"/>
    </row>
    <row r="762" spans="1:27" ht="12" customHeight="1" x14ac:dyDescent="0.35">
      <c r="A762" s="134"/>
      <c r="B762" s="134"/>
      <c r="C762" s="134" t="s">
        <v>689</v>
      </c>
      <c r="D762" s="136" t="str">
        <f t="shared" si="55"/>
        <v>D.01</v>
      </c>
      <c r="E762" s="135" t="s">
        <v>414</v>
      </c>
      <c r="F762" s="135" t="s">
        <v>671</v>
      </c>
      <c r="G762" s="134" t="s">
        <v>43</v>
      </c>
      <c r="H762" s="134" t="s">
        <v>728</v>
      </c>
      <c r="I762" s="134" t="s">
        <v>728</v>
      </c>
      <c r="J762" s="144" t="s">
        <v>335</v>
      </c>
      <c r="K762" s="134"/>
      <c r="L762" s="134"/>
      <c r="M762" s="134"/>
      <c r="N762" s="134"/>
      <c r="O762" s="134"/>
      <c r="P762" s="135" t="s">
        <v>128</v>
      </c>
      <c r="Q762" s="148">
        <v>92.195999999999998</v>
      </c>
      <c r="R762" s="148">
        <v>92.195999999999998</v>
      </c>
      <c r="S762" s="135"/>
      <c r="T762" s="149">
        <f>IFERROR(INDEX('Price List'!$G$5:$G$74,MATCH(TRIM(J762)&amp;"|"&amp;TRIM(P762),'Price List'!$O$5:$O$74,0)),0)</f>
        <v>6</v>
      </c>
      <c r="U762" s="150">
        <f>IFERROR(INDEX('Price List'!$H$5:$H$74,MATCH(TRIM(J762)&amp;"|"&amp;TRIM(P762),'Price List'!$O$5:$O$74,0)),0)</f>
        <v>0.2</v>
      </c>
      <c r="V762" s="141">
        <f t="shared" si="56"/>
        <v>7.1999999999999993</v>
      </c>
      <c r="W762" s="151">
        <f>IFERROR(INDEX('Price List'!$J$5:$J$74,MATCH(TRIM(J762)&amp;"|"&amp;TRIM(P762),'Price List'!$O$5:$O$74,0)),0)</f>
        <v>10</v>
      </c>
      <c r="X762" s="152">
        <f>IFERROR(INDEX('Price List'!$K$5:$K$74,MATCH(TRIM(J762)&amp;"|"&amp;TRIM(P762),'Price List'!$O$5:$O$74,0)),0)</f>
        <v>0.12</v>
      </c>
      <c r="Y762" s="141">
        <f t="shared" si="57"/>
        <v>11.200000000000001</v>
      </c>
      <c r="Z762" s="141">
        <f t="shared" si="58"/>
        <v>1696.4063999999998</v>
      </c>
      <c r="AA762" s="134"/>
    </row>
    <row r="763" spans="1:27" ht="12" customHeight="1" x14ac:dyDescent="0.35">
      <c r="A763" s="134"/>
      <c r="B763" s="134"/>
      <c r="C763" s="134" t="s">
        <v>689</v>
      </c>
      <c r="D763" s="136" t="str">
        <f t="shared" si="55"/>
        <v>D.02</v>
      </c>
      <c r="E763" s="135" t="s">
        <v>414</v>
      </c>
      <c r="F763" s="135" t="s">
        <v>672</v>
      </c>
      <c r="G763" s="134" t="s">
        <v>45</v>
      </c>
      <c r="H763" s="134" t="s">
        <v>727</v>
      </c>
      <c r="I763" s="134" t="s">
        <v>727</v>
      </c>
      <c r="J763" s="144" t="s">
        <v>345</v>
      </c>
      <c r="K763" s="134"/>
      <c r="L763" s="134"/>
      <c r="M763" s="134"/>
      <c r="N763" s="134"/>
      <c r="O763" s="134"/>
      <c r="P763" s="135" t="s">
        <v>128</v>
      </c>
      <c r="Q763" s="148">
        <v>17</v>
      </c>
      <c r="R763" s="148">
        <v>17</v>
      </c>
      <c r="S763" s="135"/>
      <c r="T763" s="149">
        <f>IFERROR(INDEX('Price List'!$G$5:$G$74,MATCH(TRIM(J763)&amp;"|"&amp;TRIM(P763),'Price List'!$O$5:$O$74,0)),0)</f>
        <v>5</v>
      </c>
      <c r="U763" s="150">
        <f>IFERROR(INDEX('Price List'!$H$5:$H$74,MATCH(TRIM(J763)&amp;"|"&amp;TRIM(P763),'Price List'!$O$5:$O$74,0)),0)</f>
        <v>0.2</v>
      </c>
      <c r="V763" s="141">
        <f t="shared" si="56"/>
        <v>6</v>
      </c>
      <c r="W763" s="151">
        <f>IFERROR(INDEX('Price List'!$J$5:$J$74,MATCH(TRIM(J763)&amp;"|"&amp;TRIM(P763),'Price List'!$O$5:$O$74,0)),0)</f>
        <v>8</v>
      </c>
      <c r="X763" s="152">
        <f>IFERROR(INDEX('Price List'!$K$5:$K$74,MATCH(TRIM(J763)&amp;"|"&amp;TRIM(P763),'Price List'!$O$5:$O$74,0)),0)</f>
        <v>0.12</v>
      </c>
      <c r="Y763" s="141">
        <f t="shared" si="57"/>
        <v>8.9600000000000009</v>
      </c>
      <c r="Z763" s="141">
        <f t="shared" si="58"/>
        <v>254.32000000000002</v>
      </c>
      <c r="AA763" s="134"/>
    </row>
    <row r="764" spans="1:27" ht="12" customHeight="1" x14ac:dyDescent="0.35">
      <c r="A764" s="134"/>
      <c r="B764" s="134"/>
      <c r="C764" s="134" t="s">
        <v>689</v>
      </c>
      <c r="D764" s="136" t="str">
        <f t="shared" si="55"/>
        <v>D.01</v>
      </c>
      <c r="E764" s="135" t="s">
        <v>414</v>
      </c>
      <c r="F764" s="135" t="s">
        <v>672</v>
      </c>
      <c r="G764" s="134" t="s">
        <v>43</v>
      </c>
      <c r="H764" s="134" t="s">
        <v>728</v>
      </c>
      <c r="I764" s="134" t="s">
        <v>728</v>
      </c>
      <c r="J764" s="144" t="s">
        <v>335</v>
      </c>
      <c r="K764" s="134"/>
      <c r="L764" s="134"/>
      <c r="M764" s="134"/>
      <c r="N764" s="134"/>
      <c r="O764" s="134"/>
      <c r="P764" s="135" t="s">
        <v>128</v>
      </c>
      <c r="Q764" s="148">
        <v>92.195999999999998</v>
      </c>
      <c r="R764" s="148">
        <v>92.195999999999998</v>
      </c>
      <c r="S764" s="135"/>
      <c r="T764" s="149">
        <f>IFERROR(INDEX('Price List'!$G$5:$G$74,MATCH(TRIM(J764)&amp;"|"&amp;TRIM(P764),'Price List'!$O$5:$O$74,0)),0)</f>
        <v>6</v>
      </c>
      <c r="U764" s="150">
        <f>IFERROR(INDEX('Price List'!$H$5:$H$74,MATCH(TRIM(J764)&amp;"|"&amp;TRIM(P764),'Price List'!$O$5:$O$74,0)),0)</f>
        <v>0.2</v>
      </c>
      <c r="V764" s="141">
        <f t="shared" si="56"/>
        <v>7.1999999999999993</v>
      </c>
      <c r="W764" s="151">
        <f>IFERROR(INDEX('Price List'!$J$5:$J$74,MATCH(TRIM(J764)&amp;"|"&amp;TRIM(P764),'Price List'!$O$5:$O$74,0)),0)</f>
        <v>10</v>
      </c>
      <c r="X764" s="152">
        <f>IFERROR(INDEX('Price List'!$K$5:$K$74,MATCH(TRIM(J764)&amp;"|"&amp;TRIM(P764),'Price List'!$O$5:$O$74,0)),0)</f>
        <v>0.12</v>
      </c>
      <c r="Y764" s="141">
        <f t="shared" si="57"/>
        <v>11.200000000000001</v>
      </c>
      <c r="Z764" s="141">
        <f t="shared" si="58"/>
        <v>1696.4063999999998</v>
      </c>
      <c r="AA764" s="134"/>
    </row>
    <row r="765" spans="1:27" ht="12" customHeight="1" x14ac:dyDescent="0.35">
      <c r="A765" s="134"/>
      <c r="B765" s="134"/>
      <c r="C765" s="134" t="s">
        <v>689</v>
      </c>
      <c r="D765" s="136" t="str">
        <f t="shared" si="55"/>
        <v>D.02</v>
      </c>
      <c r="E765" s="135" t="s">
        <v>414</v>
      </c>
      <c r="F765" s="135" t="s">
        <v>673</v>
      </c>
      <c r="G765" s="134" t="s">
        <v>45</v>
      </c>
      <c r="H765" s="134" t="s">
        <v>727</v>
      </c>
      <c r="I765" s="134" t="s">
        <v>727</v>
      </c>
      <c r="J765" s="144" t="s">
        <v>345</v>
      </c>
      <c r="K765" s="134"/>
      <c r="L765" s="134"/>
      <c r="M765" s="134"/>
      <c r="N765" s="134"/>
      <c r="O765" s="134"/>
      <c r="P765" s="135" t="s">
        <v>128</v>
      </c>
      <c r="Q765" s="148">
        <v>17</v>
      </c>
      <c r="R765" s="148">
        <v>17</v>
      </c>
      <c r="S765" s="135"/>
      <c r="T765" s="149">
        <f>IFERROR(INDEX('Price List'!$G$5:$G$74,MATCH(TRIM(J765)&amp;"|"&amp;TRIM(P765),'Price List'!$O$5:$O$74,0)),0)</f>
        <v>5</v>
      </c>
      <c r="U765" s="150">
        <f>IFERROR(INDEX('Price List'!$H$5:$H$74,MATCH(TRIM(J765)&amp;"|"&amp;TRIM(P765),'Price List'!$O$5:$O$74,0)),0)</f>
        <v>0.2</v>
      </c>
      <c r="V765" s="141">
        <f t="shared" si="56"/>
        <v>6</v>
      </c>
      <c r="W765" s="151">
        <f>IFERROR(INDEX('Price List'!$J$5:$J$74,MATCH(TRIM(J765)&amp;"|"&amp;TRIM(P765),'Price List'!$O$5:$O$74,0)),0)</f>
        <v>8</v>
      </c>
      <c r="X765" s="152">
        <f>IFERROR(INDEX('Price List'!$K$5:$K$74,MATCH(TRIM(J765)&amp;"|"&amp;TRIM(P765),'Price List'!$O$5:$O$74,0)),0)</f>
        <v>0.12</v>
      </c>
      <c r="Y765" s="141">
        <f t="shared" si="57"/>
        <v>8.9600000000000009</v>
      </c>
      <c r="Z765" s="141">
        <f t="shared" si="58"/>
        <v>254.32000000000002</v>
      </c>
      <c r="AA765" s="134"/>
    </row>
    <row r="766" spans="1:27" ht="12" customHeight="1" x14ac:dyDescent="0.35">
      <c r="A766" s="134"/>
      <c r="B766" s="134"/>
      <c r="C766" s="134" t="s">
        <v>689</v>
      </c>
      <c r="D766" s="136" t="str">
        <f t="shared" si="55"/>
        <v>D.01</v>
      </c>
      <c r="E766" s="135" t="s">
        <v>414</v>
      </c>
      <c r="F766" s="135" t="s">
        <v>673</v>
      </c>
      <c r="G766" s="134" t="s">
        <v>43</v>
      </c>
      <c r="H766" s="134" t="s">
        <v>728</v>
      </c>
      <c r="I766" s="134" t="s">
        <v>728</v>
      </c>
      <c r="J766" s="144" t="s">
        <v>335</v>
      </c>
      <c r="K766" s="134"/>
      <c r="L766" s="134"/>
      <c r="M766" s="134"/>
      <c r="N766" s="134"/>
      <c r="O766" s="134"/>
      <c r="P766" s="135" t="s">
        <v>128</v>
      </c>
      <c r="Q766" s="148">
        <v>92.195999999999998</v>
      </c>
      <c r="R766" s="148">
        <v>92.195999999999998</v>
      </c>
      <c r="S766" s="135"/>
      <c r="T766" s="149">
        <f>IFERROR(INDEX('Price List'!$G$5:$G$74,MATCH(TRIM(J766)&amp;"|"&amp;TRIM(P766),'Price List'!$O$5:$O$74,0)),0)</f>
        <v>6</v>
      </c>
      <c r="U766" s="150">
        <f>IFERROR(INDEX('Price List'!$H$5:$H$74,MATCH(TRIM(J766)&amp;"|"&amp;TRIM(P766),'Price List'!$O$5:$O$74,0)),0)</f>
        <v>0.2</v>
      </c>
      <c r="V766" s="141">
        <f t="shared" si="56"/>
        <v>7.1999999999999993</v>
      </c>
      <c r="W766" s="151">
        <f>IFERROR(INDEX('Price List'!$J$5:$J$74,MATCH(TRIM(J766)&amp;"|"&amp;TRIM(P766),'Price List'!$O$5:$O$74,0)),0)</f>
        <v>10</v>
      </c>
      <c r="X766" s="152">
        <f>IFERROR(INDEX('Price List'!$K$5:$K$74,MATCH(TRIM(J766)&amp;"|"&amp;TRIM(P766),'Price List'!$O$5:$O$74,0)),0)</f>
        <v>0.12</v>
      </c>
      <c r="Y766" s="141">
        <f t="shared" si="57"/>
        <v>11.200000000000001</v>
      </c>
      <c r="Z766" s="141">
        <f t="shared" si="58"/>
        <v>1696.4063999999998</v>
      </c>
      <c r="AA766" s="134"/>
    </row>
    <row r="767" spans="1:27" ht="12" customHeight="1" x14ac:dyDescent="0.35">
      <c r="A767" s="134"/>
      <c r="B767" s="134"/>
      <c r="C767" s="134" t="s">
        <v>689</v>
      </c>
      <c r="D767" s="136" t="str">
        <f t="shared" si="55"/>
        <v>D.02</v>
      </c>
      <c r="E767" s="135" t="s">
        <v>414</v>
      </c>
      <c r="F767" s="135" t="s">
        <v>674</v>
      </c>
      <c r="G767" s="134" t="s">
        <v>45</v>
      </c>
      <c r="H767" s="134" t="s">
        <v>727</v>
      </c>
      <c r="I767" s="134" t="s">
        <v>727</v>
      </c>
      <c r="J767" s="144" t="s">
        <v>345</v>
      </c>
      <c r="K767" s="134"/>
      <c r="L767" s="134"/>
      <c r="M767" s="134"/>
      <c r="N767" s="134"/>
      <c r="O767" s="134"/>
      <c r="P767" s="135" t="s">
        <v>128</v>
      </c>
      <c r="Q767" s="148">
        <v>17</v>
      </c>
      <c r="R767" s="148">
        <v>17</v>
      </c>
      <c r="S767" s="135"/>
      <c r="T767" s="149">
        <f>IFERROR(INDEX('Price List'!$G$5:$G$74,MATCH(TRIM(J767)&amp;"|"&amp;TRIM(P767),'Price List'!$O$5:$O$74,0)),0)</f>
        <v>5</v>
      </c>
      <c r="U767" s="150">
        <f>IFERROR(INDEX('Price List'!$H$5:$H$74,MATCH(TRIM(J767)&amp;"|"&amp;TRIM(P767),'Price List'!$O$5:$O$74,0)),0)</f>
        <v>0.2</v>
      </c>
      <c r="V767" s="141">
        <f t="shared" si="56"/>
        <v>6</v>
      </c>
      <c r="W767" s="151">
        <f>IFERROR(INDEX('Price List'!$J$5:$J$74,MATCH(TRIM(J767)&amp;"|"&amp;TRIM(P767),'Price List'!$O$5:$O$74,0)),0)</f>
        <v>8</v>
      </c>
      <c r="X767" s="152">
        <f>IFERROR(INDEX('Price List'!$K$5:$K$74,MATCH(TRIM(J767)&amp;"|"&amp;TRIM(P767),'Price List'!$O$5:$O$74,0)),0)</f>
        <v>0.12</v>
      </c>
      <c r="Y767" s="141">
        <f t="shared" si="57"/>
        <v>8.9600000000000009</v>
      </c>
      <c r="Z767" s="141">
        <f t="shared" si="58"/>
        <v>254.32000000000002</v>
      </c>
      <c r="AA767" s="134"/>
    </row>
    <row r="768" spans="1:27" ht="12" customHeight="1" x14ac:dyDescent="0.35">
      <c r="A768" s="134"/>
      <c r="B768" s="134"/>
      <c r="C768" s="134" t="s">
        <v>689</v>
      </c>
      <c r="D768" s="136" t="str">
        <f t="shared" si="55"/>
        <v>D.01</v>
      </c>
      <c r="E768" s="135" t="s">
        <v>414</v>
      </c>
      <c r="F768" s="135" t="s">
        <v>674</v>
      </c>
      <c r="G768" s="134" t="s">
        <v>43</v>
      </c>
      <c r="H768" s="134" t="s">
        <v>728</v>
      </c>
      <c r="I768" s="134" t="s">
        <v>728</v>
      </c>
      <c r="J768" s="144" t="s">
        <v>335</v>
      </c>
      <c r="K768" s="134"/>
      <c r="L768" s="134"/>
      <c r="M768" s="134"/>
      <c r="N768" s="134"/>
      <c r="O768" s="134"/>
      <c r="P768" s="135" t="s">
        <v>128</v>
      </c>
      <c r="Q768" s="148">
        <v>92.195999999999998</v>
      </c>
      <c r="R768" s="148">
        <v>92.195999999999998</v>
      </c>
      <c r="S768" s="135"/>
      <c r="T768" s="149">
        <f>IFERROR(INDEX('Price List'!$G$5:$G$74,MATCH(TRIM(J768)&amp;"|"&amp;TRIM(P768),'Price List'!$O$5:$O$74,0)),0)</f>
        <v>6</v>
      </c>
      <c r="U768" s="150">
        <f>IFERROR(INDEX('Price List'!$H$5:$H$74,MATCH(TRIM(J768)&amp;"|"&amp;TRIM(P768),'Price List'!$O$5:$O$74,0)),0)</f>
        <v>0.2</v>
      </c>
      <c r="V768" s="141">
        <f t="shared" si="56"/>
        <v>7.1999999999999993</v>
      </c>
      <c r="W768" s="151">
        <f>IFERROR(INDEX('Price List'!$J$5:$J$74,MATCH(TRIM(J768)&amp;"|"&amp;TRIM(P768),'Price List'!$O$5:$O$74,0)),0)</f>
        <v>10</v>
      </c>
      <c r="X768" s="152">
        <f>IFERROR(INDEX('Price List'!$K$5:$K$74,MATCH(TRIM(J768)&amp;"|"&amp;TRIM(P768),'Price List'!$O$5:$O$74,0)),0)</f>
        <v>0.12</v>
      </c>
      <c r="Y768" s="141">
        <f t="shared" si="57"/>
        <v>11.200000000000001</v>
      </c>
      <c r="Z768" s="141">
        <f t="shared" si="58"/>
        <v>1696.4063999999998</v>
      </c>
      <c r="AA768" s="134"/>
    </row>
    <row r="769" spans="1:27" ht="12" customHeight="1" x14ac:dyDescent="0.35">
      <c r="A769" s="134"/>
      <c r="B769" s="134"/>
      <c r="C769" s="134" t="s">
        <v>689</v>
      </c>
      <c r="D769" s="136" t="str">
        <f t="shared" si="55"/>
        <v>D.02</v>
      </c>
      <c r="E769" s="135" t="s">
        <v>414</v>
      </c>
      <c r="F769" s="135" t="s">
        <v>675</v>
      </c>
      <c r="G769" s="134" t="s">
        <v>45</v>
      </c>
      <c r="H769" s="134" t="s">
        <v>727</v>
      </c>
      <c r="I769" s="134" t="s">
        <v>727</v>
      </c>
      <c r="J769" s="144" t="s">
        <v>345</v>
      </c>
      <c r="K769" s="134"/>
      <c r="L769" s="134"/>
      <c r="M769" s="134"/>
      <c r="N769" s="134"/>
      <c r="O769" s="134"/>
      <c r="P769" s="135" t="s">
        <v>128</v>
      </c>
      <c r="Q769" s="148">
        <v>17</v>
      </c>
      <c r="R769" s="148">
        <v>17</v>
      </c>
      <c r="S769" s="135"/>
      <c r="T769" s="149">
        <f>IFERROR(INDEX('Price List'!$G$5:$G$74,MATCH(TRIM(J769)&amp;"|"&amp;TRIM(P769),'Price List'!$O$5:$O$74,0)),0)</f>
        <v>5</v>
      </c>
      <c r="U769" s="150">
        <f>IFERROR(INDEX('Price List'!$H$5:$H$74,MATCH(TRIM(J769)&amp;"|"&amp;TRIM(P769),'Price List'!$O$5:$O$74,0)),0)</f>
        <v>0.2</v>
      </c>
      <c r="V769" s="141">
        <f t="shared" si="56"/>
        <v>6</v>
      </c>
      <c r="W769" s="151">
        <f>IFERROR(INDEX('Price List'!$J$5:$J$74,MATCH(TRIM(J769)&amp;"|"&amp;TRIM(P769),'Price List'!$O$5:$O$74,0)),0)</f>
        <v>8</v>
      </c>
      <c r="X769" s="152">
        <f>IFERROR(INDEX('Price List'!$K$5:$K$74,MATCH(TRIM(J769)&amp;"|"&amp;TRIM(P769),'Price List'!$O$5:$O$74,0)),0)</f>
        <v>0.12</v>
      </c>
      <c r="Y769" s="141">
        <f t="shared" si="57"/>
        <v>8.9600000000000009</v>
      </c>
      <c r="Z769" s="141">
        <f t="shared" si="58"/>
        <v>254.32000000000002</v>
      </c>
      <c r="AA769" s="134"/>
    </row>
    <row r="770" spans="1:27" ht="12" customHeight="1" x14ac:dyDescent="0.35">
      <c r="A770" s="134"/>
      <c r="B770" s="134"/>
      <c r="C770" s="134" t="s">
        <v>689</v>
      </c>
      <c r="D770" s="136" t="str">
        <f t="shared" ref="D770:D832" si="59">IFERROR(IF(TRIM($G770)="Sub Structure",IF(TRIM($H770)="Bored Pile","B.01","B.03"),IF(TRIM($G770)="Super Structure","B.04",IF(OR(TRIM($G770)="Exterior Wall and Partition",TRIM($G770)="External Wall and Partition"),"C.01",IF(TRIM($G770)="Exterior Wall Finishes","C.02",IF(TRIM($G770)="Interior Wall and Partition","C.09",IF(TRIM($G770)="Interior Door","C.10",IF(TRIM($G770)="External Windows and Louvers","C.04",IF(OR(TRIM($G770)="Interior Floor Finishes",TRIM($G770)="Internal Floor Finishes"),"D.02",IF(OR(TRIM($G770)="Interior Wall Finishes",TRIM($G770)="Internal Wall Finishes"),"D.01",IF(OR(TRIM($G770)="Ceiling Finshes",TRIM($G770)="Ceiling Finishes"),"D.03",IF(TRIM($G770)="Fittings, furnishings and equipment","E.04","")))))))))))," ")</f>
        <v>D.01</v>
      </c>
      <c r="E770" s="135" t="s">
        <v>414</v>
      </c>
      <c r="F770" s="135" t="s">
        <v>675</v>
      </c>
      <c r="G770" s="134" t="s">
        <v>43</v>
      </c>
      <c r="H770" s="134" t="s">
        <v>728</v>
      </c>
      <c r="I770" s="134" t="s">
        <v>728</v>
      </c>
      <c r="J770" s="144" t="s">
        <v>335</v>
      </c>
      <c r="K770" s="134"/>
      <c r="L770" s="134"/>
      <c r="M770" s="134"/>
      <c r="N770" s="134"/>
      <c r="O770" s="134"/>
      <c r="P770" s="135" t="s">
        <v>128</v>
      </c>
      <c r="Q770" s="148">
        <v>92.195999999999998</v>
      </c>
      <c r="R770" s="148">
        <v>92.195999999999998</v>
      </c>
      <c r="S770" s="135"/>
      <c r="T770" s="149">
        <f>IFERROR(INDEX('Price List'!$G$5:$G$74,MATCH(TRIM(J770)&amp;"|"&amp;TRIM(P770),'Price List'!$O$5:$O$74,0)),0)</f>
        <v>6</v>
      </c>
      <c r="U770" s="150">
        <f>IFERROR(INDEX('Price List'!$H$5:$H$74,MATCH(TRIM(J770)&amp;"|"&amp;TRIM(P770),'Price List'!$O$5:$O$74,0)),0)</f>
        <v>0.2</v>
      </c>
      <c r="V770" s="141">
        <f t="shared" ref="V770:V832" si="60">T770*(1+U770)</f>
        <v>7.1999999999999993</v>
      </c>
      <c r="W770" s="151">
        <f>IFERROR(INDEX('Price List'!$J$5:$J$74,MATCH(TRIM(J770)&amp;"|"&amp;TRIM(P770),'Price List'!$O$5:$O$74,0)),0)</f>
        <v>10</v>
      </c>
      <c r="X770" s="152">
        <f>IFERROR(INDEX('Price List'!$K$5:$K$74,MATCH(TRIM(J770)&amp;"|"&amp;TRIM(P770),'Price List'!$O$5:$O$74,0)),0)</f>
        <v>0.12</v>
      </c>
      <c r="Y770" s="141">
        <f t="shared" ref="Y770:Y832" si="61">W770*(1+X770)</f>
        <v>11.200000000000001</v>
      </c>
      <c r="Z770" s="141">
        <f t="shared" ref="Z770:Z832" si="62">Q770*(V770+Y770)</f>
        <v>1696.4063999999998</v>
      </c>
      <c r="AA770" s="134"/>
    </row>
    <row r="771" spans="1:27" ht="12" customHeight="1" x14ac:dyDescent="0.35">
      <c r="A771" s="134"/>
      <c r="B771" s="134"/>
      <c r="C771" s="134" t="s">
        <v>689</v>
      </c>
      <c r="D771" s="136" t="str">
        <f t="shared" si="59"/>
        <v>D.02</v>
      </c>
      <c r="E771" s="135" t="s">
        <v>414</v>
      </c>
      <c r="F771" s="135" t="s">
        <v>676</v>
      </c>
      <c r="G771" s="134" t="s">
        <v>45</v>
      </c>
      <c r="H771" s="134" t="s">
        <v>727</v>
      </c>
      <c r="I771" s="134" t="s">
        <v>727</v>
      </c>
      <c r="J771" s="144" t="s">
        <v>345</v>
      </c>
      <c r="K771" s="134"/>
      <c r="L771" s="134"/>
      <c r="M771" s="134"/>
      <c r="N771" s="134"/>
      <c r="O771" s="134"/>
      <c r="P771" s="135" t="s">
        <v>128</v>
      </c>
      <c r="Q771" s="148">
        <v>17</v>
      </c>
      <c r="R771" s="148">
        <v>17</v>
      </c>
      <c r="S771" s="135"/>
      <c r="T771" s="149">
        <f>IFERROR(INDEX('Price List'!$G$5:$G$74,MATCH(TRIM(J771)&amp;"|"&amp;TRIM(P771),'Price List'!$O$5:$O$74,0)),0)</f>
        <v>5</v>
      </c>
      <c r="U771" s="150">
        <f>IFERROR(INDEX('Price List'!$H$5:$H$74,MATCH(TRIM(J771)&amp;"|"&amp;TRIM(P771),'Price List'!$O$5:$O$74,0)),0)</f>
        <v>0.2</v>
      </c>
      <c r="V771" s="141">
        <f t="shared" si="60"/>
        <v>6</v>
      </c>
      <c r="W771" s="151">
        <f>IFERROR(INDEX('Price List'!$J$5:$J$74,MATCH(TRIM(J771)&amp;"|"&amp;TRIM(P771),'Price List'!$O$5:$O$74,0)),0)</f>
        <v>8</v>
      </c>
      <c r="X771" s="152">
        <f>IFERROR(INDEX('Price List'!$K$5:$K$74,MATCH(TRIM(J771)&amp;"|"&amp;TRIM(P771),'Price List'!$O$5:$O$74,0)),0)</f>
        <v>0.12</v>
      </c>
      <c r="Y771" s="141">
        <f t="shared" si="61"/>
        <v>8.9600000000000009</v>
      </c>
      <c r="Z771" s="141">
        <f t="shared" si="62"/>
        <v>254.32000000000002</v>
      </c>
      <c r="AA771" s="134"/>
    </row>
    <row r="772" spans="1:27" ht="12" customHeight="1" x14ac:dyDescent="0.35">
      <c r="A772" s="134"/>
      <c r="B772" s="134"/>
      <c r="C772" s="134" t="s">
        <v>689</v>
      </c>
      <c r="D772" s="136" t="str">
        <f t="shared" si="59"/>
        <v>D.01</v>
      </c>
      <c r="E772" s="135" t="s">
        <v>414</v>
      </c>
      <c r="F772" s="135" t="s">
        <v>676</v>
      </c>
      <c r="G772" s="134" t="s">
        <v>43</v>
      </c>
      <c r="H772" s="134" t="s">
        <v>728</v>
      </c>
      <c r="I772" s="134" t="s">
        <v>728</v>
      </c>
      <c r="J772" s="144" t="s">
        <v>335</v>
      </c>
      <c r="K772" s="134"/>
      <c r="L772" s="134"/>
      <c r="M772" s="134"/>
      <c r="N772" s="134"/>
      <c r="O772" s="134"/>
      <c r="P772" s="135" t="s">
        <v>128</v>
      </c>
      <c r="Q772" s="148">
        <v>92.195999999999998</v>
      </c>
      <c r="R772" s="148">
        <v>92.195999999999998</v>
      </c>
      <c r="S772" s="135"/>
      <c r="T772" s="149">
        <f>IFERROR(INDEX('Price List'!$G$5:$G$74,MATCH(TRIM(J772)&amp;"|"&amp;TRIM(P772),'Price List'!$O$5:$O$74,0)),0)</f>
        <v>6</v>
      </c>
      <c r="U772" s="150">
        <f>IFERROR(INDEX('Price List'!$H$5:$H$74,MATCH(TRIM(J772)&amp;"|"&amp;TRIM(P772),'Price List'!$O$5:$O$74,0)),0)</f>
        <v>0.2</v>
      </c>
      <c r="V772" s="141">
        <f t="shared" si="60"/>
        <v>7.1999999999999993</v>
      </c>
      <c r="W772" s="151">
        <f>IFERROR(INDEX('Price List'!$J$5:$J$74,MATCH(TRIM(J772)&amp;"|"&amp;TRIM(P772),'Price List'!$O$5:$O$74,0)),0)</f>
        <v>10</v>
      </c>
      <c r="X772" s="152">
        <f>IFERROR(INDEX('Price List'!$K$5:$K$74,MATCH(TRIM(J772)&amp;"|"&amp;TRIM(P772),'Price List'!$O$5:$O$74,0)),0)</f>
        <v>0.12</v>
      </c>
      <c r="Y772" s="141">
        <f t="shared" si="61"/>
        <v>11.200000000000001</v>
      </c>
      <c r="Z772" s="141">
        <f t="shared" si="62"/>
        <v>1696.4063999999998</v>
      </c>
      <c r="AA772" s="134"/>
    </row>
    <row r="773" spans="1:27" ht="12" customHeight="1" x14ac:dyDescent="0.35">
      <c r="A773" s="134"/>
      <c r="B773" s="134"/>
      <c r="C773" s="134" t="s">
        <v>689</v>
      </c>
      <c r="D773" s="136" t="str">
        <f t="shared" si="59"/>
        <v>D.02</v>
      </c>
      <c r="E773" s="135" t="s">
        <v>414</v>
      </c>
      <c r="F773" s="135" t="s">
        <v>677</v>
      </c>
      <c r="G773" s="134" t="s">
        <v>45</v>
      </c>
      <c r="H773" s="134" t="s">
        <v>727</v>
      </c>
      <c r="I773" s="134" t="s">
        <v>727</v>
      </c>
      <c r="J773" s="144" t="s">
        <v>345</v>
      </c>
      <c r="K773" s="134"/>
      <c r="L773" s="134"/>
      <c r="M773" s="134"/>
      <c r="N773" s="134"/>
      <c r="O773" s="134"/>
      <c r="P773" s="135" t="s">
        <v>128</v>
      </c>
      <c r="Q773" s="148">
        <v>17</v>
      </c>
      <c r="R773" s="148">
        <v>17</v>
      </c>
      <c r="S773" s="135"/>
      <c r="T773" s="149">
        <f>IFERROR(INDEX('Price List'!$G$5:$G$74,MATCH(TRIM(J773)&amp;"|"&amp;TRIM(P773),'Price List'!$O$5:$O$74,0)),0)</f>
        <v>5</v>
      </c>
      <c r="U773" s="150">
        <f>IFERROR(INDEX('Price List'!$H$5:$H$74,MATCH(TRIM(J773)&amp;"|"&amp;TRIM(P773),'Price List'!$O$5:$O$74,0)),0)</f>
        <v>0.2</v>
      </c>
      <c r="V773" s="141">
        <f t="shared" si="60"/>
        <v>6</v>
      </c>
      <c r="W773" s="151">
        <f>IFERROR(INDEX('Price List'!$J$5:$J$74,MATCH(TRIM(J773)&amp;"|"&amp;TRIM(P773),'Price List'!$O$5:$O$74,0)),0)</f>
        <v>8</v>
      </c>
      <c r="X773" s="152">
        <f>IFERROR(INDEX('Price List'!$K$5:$K$74,MATCH(TRIM(J773)&amp;"|"&amp;TRIM(P773),'Price List'!$O$5:$O$74,0)),0)</f>
        <v>0.12</v>
      </c>
      <c r="Y773" s="141">
        <f t="shared" si="61"/>
        <v>8.9600000000000009</v>
      </c>
      <c r="Z773" s="141">
        <f t="shared" si="62"/>
        <v>254.32000000000002</v>
      </c>
      <c r="AA773" s="134"/>
    </row>
    <row r="774" spans="1:27" ht="12" customHeight="1" x14ac:dyDescent="0.35">
      <c r="A774" s="134"/>
      <c r="B774" s="134"/>
      <c r="C774" s="134" t="s">
        <v>689</v>
      </c>
      <c r="D774" s="136" t="str">
        <f t="shared" si="59"/>
        <v>D.01</v>
      </c>
      <c r="E774" s="135" t="s">
        <v>414</v>
      </c>
      <c r="F774" s="135" t="s">
        <v>677</v>
      </c>
      <c r="G774" s="134" t="s">
        <v>43</v>
      </c>
      <c r="H774" s="134" t="s">
        <v>728</v>
      </c>
      <c r="I774" s="134" t="s">
        <v>728</v>
      </c>
      <c r="J774" s="144" t="s">
        <v>335</v>
      </c>
      <c r="K774" s="134"/>
      <c r="L774" s="134"/>
      <c r="M774" s="134"/>
      <c r="N774" s="134"/>
      <c r="O774" s="134"/>
      <c r="P774" s="135" t="s">
        <v>128</v>
      </c>
      <c r="Q774" s="148">
        <v>92.195999999999998</v>
      </c>
      <c r="R774" s="148">
        <v>92.195999999999998</v>
      </c>
      <c r="S774" s="135"/>
      <c r="T774" s="149">
        <f>IFERROR(INDEX('Price List'!$G$5:$G$74,MATCH(TRIM(J774)&amp;"|"&amp;TRIM(P774),'Price List'!$O$5:$O$74,0)),0)</f>
        <v>6</v>
      </c>
      <c r="U774" s="150">
        <f>IFERROR(INDEX('Price List'!$H$5:$H$74,MATCH(TRIM(J774)&amp;"|"&amp;TRIM(P774),'Price List'!$O$5:$O$74,0)),0)</f>
        <v>0.2</v>
      </c>
      <c r="V774" s="141">
        <f t="shared" si="60"/>
        <v>7.1999999999999993</v>
      </c>
      <c r="W774" s="151">
        <f>IFERROR(INDEX('Price List'!$J$5:$J$74,MATCH(TRIM(J774)&amp;"|"&amp;TRIM(P774),'Price List'!$O$5:$O$74,0)),0)</f>
        <v>10</v>
      </c>
      <c r="X774" s="152">
        <f>IFERROR(INDEX('Price List'!$K$5:$K$74,MATCH(TRIM(J774)&amp;"|"&amp;TRIM(P774),'Price List'!$O$5:$O$74,0)),0)</f>
        <v>0.12</v>
      </c>
      <c r="Y774" s="141">
        <f t="shared" si="61"/>
        <v>11.200000000000001</v>
      </c>
      <c r="Z774" s="141">
        <f t="shared" si="62"/>
        <v>1696.4063999999998</v>
      </c>
      <c r="AA774" s="134"/>
    </row>
    <row r="775" spans="1:27" ht="12" customHeight="1" x14ac:dyDescent="0.35">
      <c r="A775" s="134"/>
      <c r="B775" s="134"/>
      <c r="C775" s="134" t="s">
        <v>689</v>
      </c>
      <c r="D775" s="136" t="str">
        <f t="shared" si="59"/>
        <v>C.09</v>
      </c>
      <c r="E775" s="135" t="s">
        <v>414</v>
      </c>
      <c r="F775" s="135" t="s">
        <v>669</v>
      </c>
      <c r="G775" s="134" t="s">
        <v>694</v>
      </c>
      <c r="H775" s="134" t="s">
        <v>729</v>
      </c>
      <c r="I775" s="134" t="s">
        <v>729</v>
      </c>
      <c r="J775" s="144" t="s">
        <v>301</v>
      </c>
      <c r="K775" s="134"/>
      <c r="L775" s="134"/>
      <c r="M775" s="134"/>
      <c r="N775" s="134"/>
      <c r="O775" s="134"/>
      <c r="P775" s="135" t="s">
        <v>110</v>
      </c>
      <c r="Q775" s="148">
        <v>17</v>
      </c>
      <c r="R775" s="148">
        <v>17</v>
      </c>
      <c r="S775" s="135"/>
      <c r="T775" s="149">
        <f>IFERROR(INDEX('Price List'!$G$5:$G$74,MATCH(TRIM(J775)&amp;"|"&amp;TRIM(P775),'Price List'!$O$5:$O$74,0)),0)</f>
        <v>8</v>
      </c>
      <c r="U775" s="150">
        <f>IFERROR(INDEX('Price List'!$H$5:$H$74,MATCH(TRIM(J775)&amp;"|"&amp;TRIM(P775),'Price List'!$O$5:$O$74,0)),0)</f>
        <v>0.2</v>
      </c>
      <c r="V775" s="141">
        <f t="shared" si="60"/>
        <v>9.6</v>
      </c>
      <c r="W775" s="151">
        <f>IFERROR(INDEX('Price List'!$J$5:$J$74,MATCH(TRIM(J775)&amp;"|"&amp;TRIM(P775),'Price List'!$O$5:$O$74,0)),0)</f>
        <v>22</v>
      </c>
      <c r="X775" s="152">
        <f>IFERROR(INDEX('Price List'!$K$5:$K$74,MATCH(TRIM(J775)&amp;"|"&amp;TRIM(P775),'Price List'!$O$5:$O$74,0)),0)</f>
        <v>0.12</v>
      </c>
      <c r="Y775" s="141">
        <f t="shared" si="61"/>
        <v>24.64</v>
      </c>
      <c r="Z775" s="141">
        <f t="shared" si="62"/>
        <v>582.08000000000004</v>
      </c>
      <c r="AA775" s="134"/>
    </row>
    <row r="776" spans="1:27" ht="12" customHeight="1" x14ac:dyDescent="0.35">
      <c r="A776" s="134"/>
      <c r="B776" s="134"/>
      <c r="C776" s="134" t="s">
        <v>689</v>
      </c>
      <c r="D776" s="136" t="str">
        <f t="shared" si="59"/>
        <v>C.09</v>
      </c>
      <c r="E776" s="135" t="s">
        <v>414</v>
      </c>
      <c r="F776" s="135" t="s">
        <v>671</v>
      </c>
      <c r="G776" s="134" t="s">
        <v>694</v>
      </c>
      <c r="H776" s="134" t="s">
        <v>729</v>
      </c>
      <c r="I776" s="134" t="s">
        <v>729</v>
      </c>
      <c r="J776" s="144" t="s">
        <v>301</v>
      </c>
      <c r="K776" s="134"/>
      <c r="L776" s="134"/>
      <c r="M776" s="134"/>
      <c r="N776" s="134"/>
      <c r="O776" s="134"/>
      <c r="P776" s="135" t="s">
        <v>110</v>
      </c>
      <c r="Q776" s="148">
        <v>12</v>
      </c>
      <c r="R776" s="148">
        <v>12</v>
      </c>
      <c r="S776" s="135"/>
      <c r="T776" s="149">
        <f>IFERROR(INDEX('Price List'!$G$5:$G$74,MATCH(TRIM(J776)&amp;"|"&amp;TRIM(P776),'Price List'!$O$5:$O$74,0)),0)</f>
        <v>8</v>
      </c>
      <c r="U776" s="150">
        <f>IFERROR(INDEX('Price List'!$H$5:$H$74,MATCH(TRIM(J776)&amp;"|"&amp;TRIM(P776),'Price List'!$O$5:$O$74,0)),0)</f>
        <v>0.2</v>
      </c>
      <c r="V776" s="141">
        <f t="shared" si="60"/>
        <v>9.6</v>
      </c>
      <c r="W776" s="151">
        <f>IFERROR(INDEX('Price List'!$J$5:$J$74,MATCH(TRIM(J776)&amp;"|"&amp;TRIM(P776),'Price List'!$O$5:$O$74,0)),0)</f>
        <v>22</v>
      </c>
      <c r="X776" s="152">
        <f>IFERROR(INDEX('Price List'!$K$5:$K$74,MATCH(TRIM(J776)&amp;"|"&amp;TRIM(P776),'Price List'!$O$5:$O$74,0)),0)</f>
        <v>0.12</v>
      </c>
      <c r="Y776" s="141">
        <f t="shared" si="61"/>
        <v>24.64</v>
      </c>
      <c r="Z776" s="141">
        <f t="shared" si="62"/>
        <v>410.88</v>
      </c>
      <c r="AA776" s="134"/>
    </row>
    <row r="777" spans="1:27" ht="12" customHeight="1" x14ac:dyDescent="0.35">
      <c r="A777" s="134"/>
      <c r="B777" s="134"/>
      <c r="C777" s="134" t="s">
        <v>689</v>
      </c>
      <c r="D777" s="136" t="str">
        <f t="shared" si="59"/>
        <v>C.09</v>
      </c>
      <c r="E777" s="135" t="s">
        <v>414</v>
      </c>
      <c r="F777" s="135" t="s">
        <v>672</v>
      </c>
      <c r="G777" s="134" t="s">
        <v>694</v>
      </c>
      <c r="H777" s="134" t="s">
        <v>729</v>
      </c>
      <c r="I777" s="134" t="s">
        <v>729</v>
      </c>
      <c r="J777" s="144" t="s">
        <v>301</v>
      </c>
      <c r="K777" s="134"/>
      <c r="L777" s="134"/>
      <c r="M777" s="134"/>
      <c r="N777" s="134"/>
      <c r="O777" s="134"/>
      <c r="P777" s="135" t="s">
        <v>110</v>
      </c>
      <c r="Q777" s="148">
        <v>12</v>
      </c>
      <c r="R777" s="148">
        <v>12</v>
      </c>
      <c r="S777" s="135"/>
      <c r="T777" s="149">
        <f>IFERROR(INDEX('Price List'!$G$5:$G$74,MATCH(TRIM(J777)&amp;"|"&amp;TRIM(P777),'Price List'!$O$5:$O$74,0)),0)</f>
        <v>8</v>
      </c>
      <c r="U777" s="150">
        <f>IFERROR(INDEX('Price List'!$H$5:$H$74,MATCH(TRIM(J777)&amp;"|"&amp;TRIM(P777),'Price List'!$O$5:$O$74,0)),0)</f>
        <v>0.2</v>
      </c>
      <c r="V777" s="141">
        <f t="shared" si="60"/>
        <v>9.6</v>
      </c>
      <c r="W777" s="151">
        <f>IFERROR(INDEX('Price List'!$J$5:$J$74,MATCH(TRIM(J777)&amp;"|"&amp;TRIM(P777),'Price List'!$O$5:$O$74,0)),0)</f>
        <v>22</v>
      </c>
      <c r="X777" s="152">
        <f>IFERROR(INDEX('Price List'!$K$5:$K$74,MATCH(TRIM(J777)&amp;"|"&amp;TRIM(P777),'Price List'!$O$5:$O$74,0)),0)</f>
        <v>0.12</v>
      </c>
      <c r="Y777" s="141">
        <f t="shared" si="61"/>
        <v>24.64</v>
      </c>
      <c r="Z777" s="141">
        <f t="shared" si="62"/>
        <v>410.88</v>
      </c>
      <c r="AA777" s="134"/>
    </row>
    <row r="778" spans="1:27" ht="12" customHeight="1" x14ac:dyDescent="0.35">
      <c r="A778" s="134"/>
      <c r="B778" s="134"/>
      <c r="C778" s="134" t="s">
        <v>689</v>
      </c>
      <c r="D778" s="136" t="str">
        <f t="shared" si="59"/>
        <v>C.09</v>
      </c>
      <c r="E778" s="135" t="s">
        <v>414</v>
      </c>
      <c r="F778" s="135" t="s">
        <v>673</v>
      </c>
      <c r="G778" s="134" t="s">
        <v>694</v>
      </c>
      <c r="H778" s="134" t="s">
        <v>729</v>
      </c>
      <c r="I778" s="134" t="s">
        <v>729</v>
      </c>
      <c r="J778" s="144" t="s">
        <v>301</v>
      </c>
      <c r="K778" s="134"/>
      <c r="L778" s="134"/>
      <c r="M778" s="134"/>
      <c r="N778" s="134"/>
      <c r="O778" s="134"/>
      <c r="P778" s="135" t="s">
        <v>110</v>
      </c>
      <c r="Q778" s="148">
        <v>12</v>
      </c>
      <c r="R778" s="148">
        <v>12</v>
      </c>
      <c r="S778" s="135"/>
      <c r="T778" s="149">
        <f>IFERROR(INDEX('Price List'!$G$5:$G$74,MATCH(TRIM(J778)&amp;"|"&amp;TRIM(P778),'Price List'!$O$5:$O$74,0)),0)</f>
        <v>8</v>
      </c>
      <c r="U778" s="150">
        <f>IFERROR(INDEX('Price List'!$H$5:$H$74,MATCH(TRIM(J778)&amp;"|"&amp;TRIM(P778),'Price List'!$O$5:$O$74,0)),0)</f>
        <v>0.2</v>
      </c>
      <c r="V778" s="141">
        <f t="shared" si="60"/>
        <v>9.6</v>
      </c>
      <c r="W778" s="151">
        <f>IFERROR(INDEX('Price List'!$J$5:$J$74,MATCH(TRIM(J778)&amp;"|"&amp;TRIM(P778),'Price List'!$O$5:$O$74,0)),0)</f>
        <v>22</v>
      </c>
      <c r="X778" s="152">
        <f>IFERROR(INDEX('Price List'!$K$5:$K$74,MATCH(TRIM(J778)&amp;"|"&amp;TRIM(P778),'Price List'!$O$5:$O$74,0)),0)</f>
        <v>0.12</v>
      </c>
      <c r="Y778" s="141">
        <f t="shared" si="61"/>
        <v>24.64</v>
      </c>
      <c r="Z778" s="141">
        <f t="shared" si="62"/>
        <v>410.88</v>
      </c>
      <c r="AA778" s="134"/>
    </row>
    <row r="779" spans="1:27" ht="12" customHeight="1" x14ac:dyDescent="0.35">
      <c r="A779" s="134"/>
      <c r="B779" s="134"/>
      <c r="C779" s="134" t="s">
        <v>689</v>
      </c>
      <c r="D779" s="136" t="str">
        <f t="shared" si="59"/>
        <v>C.09</v>
      </c>
      <c r="E779" s="135" t="s">
        <v>414</v>
      </c>
      <c r="F779" s="135" t="s">
        <v>674</v>
      </c>
      <c r="G779" s="134" t="s">
        <v>694</v>
      </c>
      <c r="H779" s="134" t="s">
        <v>729</v>
      </c>
      <c r="I779" s="134" t="s">
        <v>729</v>
      </c>
      <c r="J779" s="144" t="s">
        <v>301</v>
      </c>
      <c r="K779" s="134"/>
      <c r="L779" s="134"/>
      <c r="M779" s="134"/>
      <c r="N779" s="134"/>
      <c r="O779" s="134"/>
      <c r="P779" s="135" t="s">
        <v>110</v>
      </c>
      <c r="Q779" s="148">
        <v>12</v>
      </c>
      <c r="R779" s="148">
        <v>12</v>
      </c>
      <c r="S779" s="135"/>
      <c r="T779" s="149">
        <f>IFERROR(INDEX('Price List'!$G$5:$G$74,MATCH(TRIM(J779)&amp;"|"&amp;TRIM(P779),'Price List'!$O$5:$O$74,0)),0)</f>
        <v>8</v>
      </c>
      <c r="U779" s="150">
        <f>IFERROR(INDEX('Price List'!$H$5:$H$74,MATCH(TRIM(J779)&amp;"|"&amp;TRIM(P779),'Price List'!$O$5:$O$74,0)),0)</f>
        <v>0.2</v>
      </c>
      <c r="V779" s="141">
        <f t="shared" si="60"/>
        <v>9.6</v>
      </c>
      <c r="W779" s="151">
        <f>IFERROR(INDEX('Price List'!$J$5:$J$74,MATCH(TRIM(J779)&amp;"|"&amp;TRIM(P779),'Price List'!$O$5:$O$74,0)),0)</f>
        <v>22</v>
      </c>
      <c r="X779" s="152">
        <f>IFERROR(INDEX('Price List'!$K$5:$K$74,MATCH(TRIM(J779)&amp;"|"&amp;TRIM(P779),'Price List'!$O$5:$O$74,0)),0)</f>
        <v>0.12</v>
      </c>
      <c r="Y779" s="141">
        <f t="shared" si="61"/>
        <v>24.64</v>
      </c>
      <c r="Z779" s="141">
        <f t="shared" si="62"/>
        <v>410.88</v>
      </c>
      <c r="AA779" s="134"/>
    </row>
    <row r="780" spans="1:27" ht="12" customHeight="1" x14ac:dyDescent="0.35">
      <c r="A780" s="134"/>
      <c r="B780" s="134"/>
      <c r="C780" s="134" t="s">
        <v>689</v>
      </c>
      <c r="D780" s="136" t="str">
        <f t="shared" si="59"/>
        <v>C.09</v>
      </c>
      <c r="E780" s="135" t="s">
        <v>414</v>
      </c>
      <c r="F780" s="135" t="s">
        <v>675</v>
      </c>
      <c r="G780" s="134" t="s">
        <v>694</v>
      </c>
      <c r="H780" s="134" t="s">
        <v>729</v>
      </c>
      <c r="I780" s="134" t="s">
        <v>729</v>
      </c>
      <c r="J780" s="144" t="s">
        <v>301</v>
      </c>
      <c r="K780" s="134"/>
      <c r="L780" s="134"/>
      <c r="M780" s="134"/>
      <c r="N780" s="134"/>
      <c r="O780" s="134"/>
      <c r="P780" s="135" t="s">
        <v>110</v>
      </c>
      <c r="Q780" s="148">
        <v>12</v>
      </c>
      <c r="R780" s="148">
        <v>12</v>
      </c>
      <c r="S780" s="135"/>
      <c r="T780" s="149">
        <f>IFERROR(INDEX('Price List'!$G$5:$G$74,MATCH(TRIM(J780)&amp;"|"&amp;TRIM(P780),'Price List'!$O$5:$O$74,0)),0)</f>
        <v>8</v>
      </c>
      <c r="U780" s="150">
        <f>IFERROR(INDEX('Price List'!$H$5:$H$74,MATCH(TRIM(J780)&amp;"|"&amp;TRIM(P780),'Price List'!$O$5:$O$74,0)),0)</f>
        <v>0.2</v>
      </c>
      <c r="V780" s="141">
        <f t="shared" si="60"/>
        <v>9.6</v>
      </c>
      <c r="W780" s="151">
        <f>IFERROR(INDEX('Price List'!$J$5:$J$74,MATCH(TRIM(J780)&amp;"|"&amp;TRIM(P780),'Price List'!$O$5:$O$74,0)),0)</f>
        <v>22</v>
      </c>
      <c r="X780" s="152">
        <f>IFERROR(INDEX('Price List'!$K$5:$K$74,MATCH(TRIM(J780)&amp;"|"&amp;TRIM(P780),'Price List'!$O$5:$O$74,0)),0)</f>
        <v>0.12</v>
      </c>
      <c r="Y780" s="141">
        <f t="shared" si="61"/>
        <v>24.64</v>
      </c>
      <c r="Z780" s="141">
        <f t="shared" si="62"/>
        <v>410.88</v>
      </c>
      <c r="AA780" s="134"/>
    </row>
    <row r="781" spans="1:27" ht="12" customHeight="1" x14ac:dyDescent="0.35">
      <c r="A781" s="134"/>
      <c r="B781" s="134"/>
      <c r="C781" s="134" t="s">
        <v>689</v>
      </c>
      <c r="D781" s="136" t="str">
        <f t="shared" si="59"/>
        <v>C.09</v>
      </c>
      <c r="E781" s="135" t="s">
        <v>414</v>
      </c>
      <c r="F781" s="135" t="s">
        <v>676</v>
      </c>
      <c r="G781" s="134" t="s">
        <v>694</v>
      </c>
      <c r="H781" s="134" t="s">
        <v>729</v>
      </c>
      <c r="I781" s="134" t="s">
        <v>729</v>
      </c>
      <c r="J781" s="144" t="s">
        <v>301</v>
      </c>
      <c r="K781" s="134"/>
      <c r="L781" s="134"/>
      <c r="M781" s="134"/>
      <c r="N781" s="134"/>
      <c r="O781" s="134"/>
      <c r="P781" s="135" t="s">
        <v>110</v>
      </c>
      <c r="Q781" s="148">
        <v>12</v>
      </c>
      <c r="R781" s="148">
        <v>12</v>
      </c>
      <c r="S781" s="135"/>
      <c r="T781" s="149">
        <f>IFERROR(INDEX('Price List'!$G$5:$G$74,MATCH(TRIM(J781)&amp;"|"&amp;TRIM(P781),'Price List'!$O$5:$O$74,0)),0)</f>
        <v>8</v>
      </c>
      <c r="U781" s="150">
        <f>IFERROR(INDEX('Price List'!$H$5:$H$74,MATCH(TRIM(J781)&amp;"|"&amp;TRIM(P781),'Price List'!$O$5:$O$74,0)),0)</f>
        <v>0.2</v>
      </c>
      <c r="V781" s="141">
        <f t="shared" si="60"/>
        <v>9.6</v>
      </c>
      <c r="W781" s="151">
        <f>IFERROR(INDEX('Price List'!$J$5:$J$74,MATCH(TRIM(J781)&amp;"|"&amp;TRIM(P781),'Price List'!$O$5:$O$74,0)),0)</f>
        <v>22</v>
      </c>
      <c r="X781" s="152">
        <f>IFERROR(INDEX('Price List'!$K$5:$K$74,MATCH(TRIM(J781)&amp;"|"&amp;TRIM(P781),'Price List'!$O$5:$O$74,0)),0)</f>
        <v>0.12</v>
      </c>
      <c r="Y781" s="141">
        <f t="shared" si="61"/>
        <v>24.64</v>
      </c>
      <c r="Z781" s="141">
        <f t="shared" si="62"/>
        <v>410.88</v>
      </c>
      <c r="AA781" s="134"/>
    </row>
    <row r="782" spans="1:27" ht="12" customHeight="1" x14ac:dyDescent="0.35">
      <c r="A782" s="134"/>
      <c r="B782" s="134"/>
      <c r="C782" s="134" t="s">
        <v>689</v>
      </c>
      <c r="D782" s="136" t="str">
        <f t="shared" si="59"/>
        <v>D.03</v>
      </c>
      <c r="E782" s="135" t="s">
        <v>414</v>
      </c>
      <c r="F782" s="135" t="s">
        <v>664</v>
      </c>
      <c r="G782" s="134" t="s">
        <v>730</v>
      </c>
      <c r="H782" s="134" t="s">
        <v>731</v>
      </c>
      <c r="I782" s="134" t="s">
        <v>731</v>
      </c>
      <c r="J782" s="144" t="s">
        <v>363</v>
      </c>
      <c r="K782" s="134"/>
      <c r="L782" s="134"/>
      <c r="M782" s="134"/>
      <c r="N782" s="134"/>
      <c r="O782" s="134"/>
      <c r="P782" s="135" t="s">
        <v>128</v>
      </c>
      <c r="Q782" s="148">
        <v>525</v>
      </c>
      <c r="R782" s="148">
        <v>525</v>
      </c>
      <c r="S782" s="135"/>
      <c r="T782" s="149">
        <f>IFERROR(INDEX('Price List'!$G$5:$G$74,MATCH(TRIM(J782)&amp;"|"&amp;TRIM(P782),'Price List'!$O$5:$O$74,0)),0)</f>
        <v>3</v>
      </c>
      <c r="U782" s="150">
        <f>IFERROR(INDEX('Price List'!$H$5:$H$74,MATCH(TRIM(J782)&amp;"|"&amp;TRIM(P782),'Price List'!$O$5:$O$74,0)),0)</f>
        <v>0.2</v>
      </c>
      <c r="V782" s="141">
        <f t="shared" si="60"/>
        <v>3.5999999999999996</v>
      </c>
      <c r="W782" s="151">
        <f>IFERROR(INDEX('Price List'!$J$5:$J$74,MATCH(TRIM(J782)&amp;"|"&amp;TRIM(P782),'Price List'!$O$5:$O$74,0)),0)</f>
        <v>7</v>
      </c>
      <c r="X782" s="152">
        <f>IFERROR(INDEX('Price List'!$K$5:$K$74,MATCH(TRIM(J782)&amp;"|"&amp;TRIM(P782),'Price List'!$O$5:$O$74,0)),0)</f>
        <v>0.12</v>
      </c>
      <c r="Y782" s="141">
        <f t="shared" si="61"/>
        <v>7.8400000000000007</v>
      </c>
      <c r="Z782" s="141">
        <f t="shared" si="62"/>
        <v>6006.0000000000009</v>
      </c>
      <c r="AA782" s="134"/>
    </row>
    <row r="783" spans="1:27" ht="12" customHeight="1" x14ac:dyDescent="0.35">
      <c r="A783" s="134"/>
      <c r="B783" s="134"/>
      <c r="C783" s="134" t="s">
        <v>689</v>
      </c>
      <c r="D783" s="136" t="str">
        <f t="shared" si="59"/>
        <v>D.03</v>
      </c>
      <c r="E783" s="135" t="s">
        <v>414</v>
      </c>
      <c r="F783" s="135" t="s">
        <v>667</v>
      </c>
      <c r="G783" s="134" t="s">
        <v>730</v>
      </c>
      <c r="H783" s="134" t="s">
        <v>731</v>
      </c>
      <c r="I783" s="134" t="s">
        <v>731</v>
      </c>
      <c r="J783" s="144" t="s">
        <v>363</v>
      </c>
      <c r="K783" s="134"/>
      <c r="L783" s="134"/>
      <c r="M783" s="134"/>
      <c r="N783" s="134"/>
      <c r="O783" s="134"/>
      <c r="P783" s="135" t="s">
        <v>128</v>
      </c>
      <c r="Q783" s="148">
        <v>525</v>
      </c>
      <c r="R783" s="148">
        <v>525</v>
      </c>
      <c r="S783" s="135"/>
      <c r="T783" s="149">
        <f>IFERROR(INDEX('Price List'!$G$5:$G$74,MATCH(TRIM(J783)&amp;"|"&amp;TRIM(P783),'Price List'!$O$5:$O$74,0)),0)</f>
        <v>3</v>
      </c>
      <c r="U783" s="150">
        <f>IFERROR(INDEX('Price List'!$H$5:$H$74,MATCH(TRIM(J783)&amp;"|"&amp;TRIM(P783),'Price List'!$O$5:$O$74,0)),0)</f>
        <v>0.2</v>
      </c>
      <c r="V783" s="141">
        <f t="shared" si="60"/>
        <v>3.5999999999999996</v>
      </c>
      <c r="W783" s="151">
        <f>IFERROR(INDEX('Price List'!$J$5:$J$74,MATCH(TRIM(J783)&amp;"|"&amp;TRIM(P783),'Price List'!$O$5:$O$74,0)),0)</f>
        <v>7</v>
      </c>
      <c r="X783" s="152">
        <f>IFERROR(INDEX('Price List'!$K$5:$K$74,MATCH(TRIM(J783)&amp;"|"&amp;TRIM(P783),'Price List'!$O$5:$O$74,0)),0)</f>
        <v>0.12</v>
      </c>
      <c r="Y783" s="141">
        <f t="shared" si="61"/>
        <v>7.8400000000000007</v>
      </c>
      <c r="Z783" s="141">
        <f t="shared" si="62"/>
        <v>6006.0000000000009</v>
      </c>
      <c r="AA783" s="134"/>
    </row>
    <row r="784" spans="1:27" ht="12" customHeight="1" x14ac:dyDescent="0.35">
      <c r="A784" s="134"/>
      <c r="B784" s="134"/>
      <c r="C784" s="134" t="s">
        <v>689</v>
      </c>
      <c r="D784" s="136" t="str">
        <f t="shared" si="59"/>
        <v>D.03</v>
      </c>
      <c r="E784" s="135" t="s">
        <v>414</v>
      </c>
      <c r="F784" s="135" t="s">
        <v>668</v>
      </c>
      <c r="G784" s="134" t="s">
        <v>730</v>
      </c>
      <c r="H784" s="134" t="s">
        <v>731</v>
      </c>
      <c r="I784" s="134" t="s">
        <v>731</v>
      </c>
      <c r="J784" s="144" t="s">
        <v>363</v>
      </c>
      <c r="K784" s="134"/>
      <c r="L784" s="134"/>
      <c r="M784" s="134"/>
      <c r="N784" s="134"/>
      <c r="O784" s="134"/>
      <c r="P784" s="135" t="s">
        <v>128</v>
      </c>
      <c r="Q784" s="148">
        <v>525</v>
      </c>
      <c r="R784" s="148">
        <v>525</v>
      </c>
      <c r="S784" s="135"/>
      <c r="T784" s="149">
        <f>IFERROR(INDEX('Price List'!$G$5:$G$74,MATCH(TRIM(J784)&amp;"|"&amp;TRIM(P784),'Price List'!$O$5:$O$74,0)),0)</f>
        <v>3</v>
      </c>
      <c r="U784" s="150">
        <f>IFERROR(INDEX('Price List'!$H$5:$H$74,MATCH(TRIM(J784)&amp;"|"&amp;TRIM(P784),'Price List'!$O$5:$O$74,0)),0)</f>
        <v>0.2</v>
      </c>
      <c r="V784" s="141">
        <f t="shared" si="60"/>
        <v>3.5999999999999996</v>
      </c>
      <c r="W784" s="151">
        <f>IFERROR(INDEX('Price List'!$J$5:$J$74,MATCH(TRIM(J784)&amp;"|"&amp;TRIM(P784),'Price List'!$O$5:$O$74,0)),0)</f>
        <v>7</v>
      </c>
      <c r="X784" s="152">
        <f>IFERROR(INDEX('Price List'!$K$5:$K$74,MATCH(TRIM(J784)&amp;"|"&amp;TRIM(P784),'Price List'!$O$5:$O$74,0)),0)</f>
        <v>0.12</v>
      </c>
      <c r="Y784" s="141">
        <f t="shared" si="61"/>
        <v>7.8400000000000007</v>
      </c>
      <c r="Z784" s="141">
        <f t="shared" si="62"/>
        <v>6006.0000000000009</v>
      </c>
      <c r="AA784" s="134"/>
    </row>
    <row r="785" spans="1:27" ht="12" customHeight="1" x14ac:dyDescent="0.35">
      <c r="A785" s="134"/>
      <c r="B785" s="134"/>
      <c r="C785" s="134" t="s">
        <v>689</v>
      </c>
      <c r="D785" s="136" t="str">
        <f t="shared" si="59"/>
        <v>D.03</v>
      </c>
      <c r="E785" s="135" t="s">
        <v>414</v>
      </c>
      <c r="F785" s="135" t="s">
        <v>669</v>
      </c>
      <c r="G785" s="134" t="s">
        <v>730</v>
      </c>
      <c r="H785" s="134" t="s">
        <v>731</v>
      </c>
      <c r="I785" s="134" t="s">
        <v>731</v>
      </c>
      <c r="J785" s="144" t="s">
        <v>363</v>
      </c>
      <c r="K785" s="134"/>
      <c r="L785" s="134"/>
      <c r="M785" s="134"/>
      <c r="N785" s="134"/>
      <c r="O785" s="134"/>
      <c r="P785" s="135" t="s">
        <v>128</v>
      </c>
      <c r="Q785" s="148">
        <v>525</v>
      </c>
      <c r="R785" s="148">
        <v>525</v>
      </c>
      <c r="S785" s="135"/>
      <c r="T785" s="149">
        <f>IFERROR(INDEX('Price List'!$G$5:$G$74,MATCH(TRIM(J785)&amp;"|"&amp;TRIM(P785),'Price List'!$O$5:$O$74,0)),0)</f>
        <v>3</v>
      </c>
      <c r="U785" s="150">
        <f>IFERROR(INDEX('Price List'!$H$5:$H$74,MATCH(TRIM(J785)&amp;"|"&amp;TRIM(P785),'Price List'!$O$5:$O$74,0)),0)</f>
        <v>0.2</v>
      </c>
      <c r="V785" s="141">
        <f t="shared" si="60"/>
        <v>3.5999999999999996</v>
      </c>
      <c r="W785" s="151">
        <f>IFERROR(INDEX('Price List'!$J$5:$J$74,MATCH(TRIM(J785)&amp;"|"&amp;TRIM(P785),'Price List'!$O$5:$O$74,0)),0)</f>
        <v>7</v>
      </c>
      <c r="X785" s="152">
        <f>IFERROR(INDEX('Price List'!$K$5:$K$74,MATCH(TRIM(J785)&amp;"|"&amp;TRIM(P785),'Price List'!$O$5:$O$74,0)),0)</f>
        <v>0.12</v>
      </c>
      <c r="Y785" s="141">
        <f t="shared" si="61"/>
        <v>7.8400000000000007</v>
      </c>
      <c r="Z785" s="141">
        <f t="shared" si="62"/>
        <v>6006.0000000000009</v>
      </c>
      <c r="AA785" s="134"/>
    </row>
    <row r="786" spans="1:27" ht="12" customHeight="1" x14ac:dyDescent="0.35">
      <c r="A786" s="134"/>
      <c r="B786" s="134"/>
      <c r="C786" s="134" t="s">
        <v>689</v>
      </c>
      <c r="D786" s="136" t="str">
        <f t="shared" si="59"/>
        <v>D.03</v>
      </c>
      <c r="E786" s="135" t="s">
        <v>414</v>
      </c>
      <c r="F786" s="135" t="s">
        <v>670</v>
      </c>
      <c r="G786" s="134" t="s">
        <v>730</v>
      </c>
      <c r="H786" s="134" t="s">
        <v>731</v>
      </c>
      <c r="I786" s="134" t="s">
        <v>731</v>
      </c>
      <c r="J786" s="144" t="s">
        <v>363</v>
      </c>
      <c r="K786" s="134"/>
      <c r="L786" s="134"/>
      <c r="M786" s="134"/>
      <c r="N786" s="134"/>
      <c r="O786" s="134"/>
      <c r="P786" s="135" t="s">
        <v>128</v>
      </c>
      <c r="Q786" s="148">
        <v>525</v>
      </c>
      <c r="R786" s="148">
        <v>525</v>
      </c>
      <c r="S786" s="135"/>
      <c r="T786" s="149">
        <f>IFERROR(INDEX('Price List'!$G$5:$G$74,MATCH(TRIM(J786)&amp;"|"&amp;TRIM(P786),'Price List'!$O$5:$O$74,0)),0)</f>
        <v>3</v>
      </c>
      <c r="U786" s="150">
        <f>IFERROR(INDEX('Price List'!$H$5:$H$74,MATCH(TRIM(J786)&amp;"|"&amp;TRIM(P786),'Price List'!$O$5:$O$74,0)),0)</f>
        <v>0.2</v>
      </c>
      <c r="V786" s="141">
        <f t="shared" si="60"/>
        <v>3.5999999999999996</v>
      </c>
      <c r="W786" s="151">
        <f>IFERROR(INDEX('Price List'!$J$5:$J$74,MATCH(TRIM(J786)&amp;"|"&amp;TRIM(P786),'Price List'!$O$5:$O$74,0)),0)</f>
        <v>7</v>
      </c>
      <c r="X786" s="152">
        <f>IFERROR(INDEX('Price List'!$K$5:$K$74,MATCH(TRIM(J786)&amp;"|"&amp;TRIM(P786),'Price List'!$O$5:$O$74,0)),0)</f>
        <v>0.12</v>
      </c>
      <c r="Y786" s="141">
        <f t="shared" si="61"/>
        <v>7.8400000000000007</v>
      </c>
      <c r="Z786" s="141">
        <f t="shared" si="62"/>
        <v>6006.0000000000009</v>
      </c>
      <c r="AA786" s="134"/>
    </row>
    <row r="787" spans="1:27" ht="12" customHeight="1" x14ac:dyDescent="0.35">
      <c r="A787" s="134"/>
      <c r="B787" s="134"/>
      <c r="C787" s="134" t="s">
        <v>689</v>
      </c>
      <c r="D787" s="136" t="str">
        <f t="shared" si="59"/>
        <v>D.03</v>
      </c>
      <c r="E787" s="135" t="s">
        <v>414</v>
      </c>
      <c r="F787" s="135" t="s">
        <v>671</v>
      </c>
      <c r="G787" s="134" t="s">
        <v>730</v>
      </c>
      <c r="H787" s="134" t="s">
        <v>731</v>
      </c>
      <c r="I787" s="134" t="s">
        <v>731</v>
      </c>
      <c r="J787" s="144" t="s">
        <v>363</v>
      </c>
      <c r="K787" s="134"/>
      <c r="L787" s="134"/>
      <c r="M787" s="134"/>
      <c r="N787" s="134"/>
      <c r="O787" s="134"/>
      <c r="P787" s="135" t="s">
        <v>128</v>
      </c>
      <c r="Q787" s="148">
        <v>525</v>
      </c>
      <c r="R787" s="148">
        <v>525</v>
      </c>
      <c r="S787" s="135"/>
      <c r="T787" s="149">
        <f>IFERROR(INDEX('Price List'!$G$5:$G$74,MATCH(TRIM(J787)&amp;"|"&amp;TRIM(P787),'Price List'!$O$5:$O$74,0)),0)</f>
        <v>3</v>
      </c>
      <c r="U787" s="150">
        <f>IFERROR(INDEX('Price List'!$H$5:$H$74,MATCH(TRIM(J787)&amp;"|"&amp;TRIM(P787),'Price List'!$O$5:$O$74,0)),0)</f>
        <v>0.2</v>
      </c>
      <c r="V787" s="141">
        <f t="shared" si="60"/>
        <v>3.5999999999999996</v>
      </c>
      <c r="W787" s="151">
        <f>IFERROR(INDEX('Price List'!$J$5:$J$74,MATCH(TRIM(J787)&amp;"|"&amp;TRIM(P787),'Price List'!$O$5:$O$74,0)),0)</f>
        <v>7</v>
      </c>
      <c r="X787" s="152">
        <f>IFERROR(INDEX('Price List'!$K$5:$K$74,MATCH(TRIM(J787)&amp;"|"&amp;TRIM(P787),'Price List'!$O$5:$O$74,0)),0)</f>
        <v>0.12</v>
      </c>
      <c r="Y787" s="141">
        <f t="shared" si="61"/>
        <v>7.8400000000000007</v>
      </c>
      <c r="Z787" s="141">
        <f t="shared" si="62"/>
        <v>6006.0000000000009</v>
      </c>
      <c r="AA787" s="134"/>
    </row>
    <row r="788" spans="1:27" ht="12" customHeight="1" x14ac:dyDescent="0.35">
      <c r="A788" s="134"/>
      <c r="B788" s="134"/>
      <c r="C788" s="134" t="s">
        <v>689</v>
      </c>
      <c r="D788" s="136" t="str">
        <f t="shared" si="59"/>
        <v>D.03</v>
      </c>
      <c r="E788" s="135" t="s">
        <v>414</v>
      </c>
      <c r="F788" s="135" t="s">
        <v>672</v>
      </c>
      <c r="G788" s="134" t="s">
        <v>730</v>
      </c>
      <c r="H788" s="134" t="s">
        <v>731</v>
      </c>
      <c r="I788" s="134" t="s">
        <v>731</v>
      </c>
      <c r="J788" s="144" t="s">
        <v>363</v>
      </c>
      <c r="K788" s="134"/>
      <c r="L788" s="134"/>
      <c r="M788" s="134"/>
      <c r="N788" s="134"/>
      <c r="O788" s="134"/>
      <c r="P788" s="135" t="s">
        <v>128</v>
      </c>
      <c r="Q788" s="148">
        <v>525</v>
      </c>
      <c r="R788" s="148">
        <v>525</v>
      </c>
      <c r="S788" s="135"/>
      <c r="T788" s="149">
        <f>IFERROR(INDEX('Price List'!$G$5:$G$74,MATCH(TRIM(J788)&amp;"|"&amp;TRIM(P788),'Price List'!$O$5:$O$74,0)),0)</f>
        <v>3</v>
      </c>
      <c r="U788" s="150">
        <f>IFERROR(INDEX('Price List'!$H$5:$H$74,MATCH(TRIM(J788)&amp;"|"&amp;TRIM(P788),'Price List'!$O$5:$O$74,0)),0)</f>
        <v>0.2</v>
      </c>
      <c r="V788" s="141">
        <f t="shared" si="60"/>
        <v>3.5999999999999996</v>
      </c>
      <c r="W788" s="151">
        <f>IFERROR(INDEX('Price List'!$J$5:$J$74,MATCH(TRIM(J788)&amp;"|"&amp;TRIM(P788),'Price List'!$O$5:$O$74,0)),0)</f>
        <v>7</v>
      </c>
      <c r="X788" s="152">
        <f>IFERROR(INDEX('Price List'!$K$5:$K$74,MATCH(TRIM(J788)&amp;"|"&amp;TRIM(P788),'Price List'!$O$5:$O$74,0)),0)</f>
        <v>0.12</v>
      </c>
      <c r="Y788" s="141">
        <f t="shared" si="61"/>
        <v>7.8400000000000007</v>
      </c>
      <c r="Z788" s="141">
        <f t="shared" si="62"/>
        <v>6006.0000000000009</v>
      </c>
      <c r="AA788" s="134"/>
    </row>
    <row r="789" spans="1:27" ht="12" customHeight="1" x14ac:dyDescent="0.35">
      <c r="A789" s="134"/>
      <c r="B789" s="134"/>
      <c r="C789" s="134" t="s">
        <v>689</v>
      </c>
      <c r="D789" s="136" t="str">
        <f t="shared" si="59"/>
        <v>D.03</v>
      </c>
      <c r="E789" s="135" t="s">
        <v>414</v>
      </c>
      <c r="F789" s="135" t="s">
        <v>673</v>
      </c>
      <c r="G789" s="134" t="s">
        <v>730</v>
      </c>
      <c r="H789" s="134" t="s">
        <v>731</v>
      </c>
      <c r="I789" s="134" t="s">
        <v>731</v>
      </c>
      <c r="J789" s="144" t="s">
        <v>363</v>
      </c>
      <c r="K789" s="134"/>
      <c r="L789" s="134"/>
      <c r="M789" s="134"/>
      <c r="N789" s="134"/>
      <c r="O789" s="134"/>
      <c r="P789" s="135" t="s">
        <v>128</v>
      </c>
      <c r="Q789" s="148">
        <v>525</v>
      </c>
      <c r="R789" s="148">
        <v>525</v>
      </c>
      <c r="S789" s="135"/>
      <c r="T789" s="149">
        <f>IFERROR(INDEX('Price List'!$G$5:$G$74,MATCH(TRIM(J789)&amp;"|"&amp;TRIM(P789),'Price List'!$O$5:$O$74,0)),0)</f>
        <v>3</v>
      </c>
      <c r="U789" s="150">
        <f>IFERROR(INDEX('Price List'!$H$5:$H$74,MATCH(TRIM(J789)&amp;"|"&amp;TRIM(P789),'Price List'!$O$5:$O$74,0)),0)</f>
        <v>0.2</v>
      </c>
      <c r="V789" s="141">
        <f t="shared" si="60"/>
        <v>3.5999999999999996</v>
      </c>
      <c r="W789" s="151">
        <f>IFERROR(INDEX('Price List'!$J$5:$J$74,MATCH(TRIM(J789)&amp;"|"&amp;TRIM(P789),'Price List'!$O$5:$O$74,0)),0)</f>
        <v>7</v>
      </c>
      <c r="X789" s="152">
        <f>IFERROR(INDEX('Price List'!$K$5:$K$74,MATCH(TRIM(J789)&amp;"|"&amp;TRIM(P789),'Price List'!$O$5:$O$74,0)),0)</f>
        <v>0.12</v>
      </c>
      <c r="Y789" s="141">
        <f t="shared" si="61"/>
        <v>7.8400000000000007</v>
      </c>
      <c r="Z789" s="141">
        <f t="shared" si="62"/>
        <v>6006.0000000000009</v>
      </c>
      <c r="AA789" s="134"/>
    </row>
    <row r="790" spans="1:27" ht="12" customHeight="1" x14ac:dyDescent="0.35">
      <c r="A790" s="134"/>
      <c r="B790" s="134"/>
      <c r="C790" s="134" t="s">
        <v>689</v>
      </c>
      <c r="D790" s="136" t="str">
        <f t="shared" si="59"/>
        <v>D.03</v>
      </c>
      <c r="E790" s="135" t="s">
        <v>414</v>
      </c>
      <c r="F790" s="135" t="s">
        <v>674</v>
      </c>
      <c r="G790" s="134" t="s">
        <v>730</v>
      </c>
      <c r="H790" s="134" t="s">
        <v>731</v>
      </c>
      <c r="I790" s="134" t="s">
        <v>731</v>
      </c>
      <c r="J790" s="144" t="s">
        <v>363</v>
      </c>
      <c r="K790" s="134"/>
      <c r="L790" s="134"/>
      <c r="M790" s="134"/>
      <c r="N790" s="134"/>
      <c r="O790" s="134"/>
      <c r="P790" s="135" t="s">
        <v>128</v>
      </c>
      <c r="Q790" s="148">
        <v>525</v>
      </c>
      <c r="R790" s="148">
        <v>525</v>
      </c>
      <c r="S790" s="135"/>
      <c r="T790" s="149">
        <f>IFERROR(INDEX('Price List'!$G$5:$G$74,MATCH(TRIM(J790)&amp;"|"&amp;TRIM(P790),'Price List'!$O$5:$O$74,0)),0)</f>
        <v>3</v>
      </c>
      <c r="U790" s="150">
        <f>IFERROR(INDEX('Price List'!$H$5:$H$74,MATCH(TRIM(J790)&amp;"|"&amp;TRIM(P790),'Price List'!$O$5:$O$74,0)),0)</f>
        <v>0.2</v>
      </c>
      <c r="V790" s="141">
        <f t="shared" si="60"/>
        <v>3.5999999999999996</v>
      </c>
      <c r="W790" s="151">
        <f>IFERROR(INDEX('Price List'!$J$5:$J$74,MATCH(TRIM(J790)&amp;"|"&amp;TRIM(P790),'Price List'!$O$5:$O$74,0)),0)</f>
        <v>7</v>
      </c>
      <c r="X790" s="152">
        <f>IFERROR(INDEX('Price List'!$K$5:$K$74,MATCH(TRIM(J790)&amp;"|"&amp;TRIM(P790),'Price List'!$O$5:$O$74,0)),0)</f>
        <v>0.12</v>
      </c>
      <c r="Y790" s="141">
        <f t="shared" si="61"/>
        <v>7.8400000000000007</v>
      </c>
      <c r="Z790" s="141">
        <f t="shared" si="62"/>
        <v>6006.0000000000009</v>
      </c>
      <c r="AA790" s="134"/>
    </row>
    <row r="791" spans="1:27" ht="12" customHeight="1" x14ac:dyDescent="0.35">
      <c r="A791" s="134"/>
      <c r="B791" s="134"/>
      <c r="C791" s="134" t="s">
        <v>689</v>
      </c>
      <c r="D791" s="136" t="str">
        <f t="shared" si="59"/>
        <v>D.03</v>
      </c>
      <c r="E791" s="135" t="s">
        <v>414</v>
      </c>
      <c r="F791" s="135" t="s">
        <v>675</v>
      </c>
      <c r="G791" s="134" t="s">
        <v>730</v>
      </c>
      <c r="H791" s="134" t="s">
        <v>731</v>
      </c>
      <c r="I791" s="134" t="s">
        <v>731</v>
      </c>
      <c r="J791" s="144" t="s">
        <v>363</v>
      </c>
      <c r="K791" s="134"/>
      <c r="L791" s="134"/>
      <c r="M791" s="134"/>
      <c r="N791" s="134"/>
      <c r="O791" s="134"/>
      <c r="P791" s="135" t="s">
        <v>128</v>
      </c>
      <c r="Q791" s="148">
        <v>525</v>
      </c>
      <c r="R791" s="148">
        <v>525</v>
      </c>
      <c r="S791" s="135"/>
      <c r="T791" s="149">
        <f>IFERROR(INDEX('Price List'!$G$5:$G$74,MATCH(TRIM(J791)&amp;"|"&amp;TRIM(P791),'Price List'!$O$5:$O$74,0)),0)</f>
        <v>3</v>
      </c>
      <c r="U791" s="150">
        <f>IFERROR(INDEX('Price List'!$H$5:$H$74,MATCH(TRIM(J791)&amp;"|"&amp;TRIM(P791),'Price List'!$O$5:$O$74,0)),0)</f>
        <v>0.2</v>
      </c>
      <c r="V791" s="141">
        <f t="shared" si="60"/>
        <v>3.5999999999999996</v>
      </c>
      <c r="W791" s="151">
        <f>IFERROR(INDEX('Price List'!$J$5:$J$74,MATCH(TRIM(J791)&amp;"|"&amp;TRIM(P791),'Price List'!$O$5:$O$74,0)),0)</f>
        <v>7</v>
      </c>
      <c r="X791" s="152">
        <f>IFERROR(INDEX('Price List'!$K$5:$K$74,MATCH(TRIM(J791)&amp;"|"&amp;TRIM(P791),'Price List'!$O$5:$O$74,0)),0)</f>
        <v>0.12</v>
      </c>
      <c r="Y791" s="141">
        <f t="shared" si="61"/>
        <v>7.8400000000000007</v>
      </c>
      <c r="Z791" s="141">
        <f t="shared" si="62"/>
        <v>6006.0000000000009</v>
      </c>
      <c r="AA791" s="134"/>
    </row>
    <row r="792" spans="1:27" ht="12" customHeight="1" x14ac:dyDescent="0.35">
      <c r="A792" s="134"/>
      <c r="B792" s="134"/>
      <c r="C792" s="134" t="s">
        <v>689</v>
      </c>
      <c r="D792" s="136" t="str">
        <f t="shared" si="59"/>
        <v>D.03</v>
      </c>
      <c r="E792" s="135" t="s">
        <v>414</v>
      </c>
      <c r="F792" s="135" t="s">
        <v>676</v>
      </c>
      <c r="G792" s="134" t="s">
        <v>730</v>
      </c>
      <c r="H792" s="134" t="s">
        <v>731</v>
      </c>
      <c r="I792" s="134" t="s">
        <v>731</v>
      </c>
      <c r="J792" s="144" t="s">
        <v>363</v>
      </c>
      <c r="K792" s="134"/>
      <c r="L792" s="134"/>
      <c r="M792" s="134"/>
      <c r="N792" s="134"/>
      <c r="O792" s="134"/>
      <c r="P792" s="135" t="s">
        <v>128</v>
      </c>
      <c r="Q792" s="148">
        <v>525</v>
      </c>
      <c r="R792" s="148">
        <v>525</v>
      </c>
      <c r="S792" s="135"/>
      <c r="T792" s="149">
        <f>IFERROR(INDEX('Price List'!$G$5:$G$74,MATCH(TRIM(J792)&amp;"|"&amp;TRIM(P792),'Price List'!$O$5:$O$74,0)),0)</f>
        <v>3</v>
      </c>
      <c r="U792" s="150">
        <f>IFERROR(INDEX('Price List'!$H$5:$H$74,MATCH(TRIM(J792)&amp;"|"&amp;TRIM(P792),'Price List'!$O$5:$O$74,0)),0)</f>
        <v>0.2</v>
      </c>
      <c r="V792" s="141">
        <f t="shared" si="60"/>
        <v>3.5999999999999996</v>
      </c>
      <c r="W792" s="151">
        <f>IFERROR(INDEX('Price List'!$J$5:$J$74,MATCH(TRIM(J792)&amp;"|"&amp;TRIM(P792),'Price List'!$O$5:$O$74,0)),0)</f>
        <v>7</v>
      </c>
      <c r="X792" s="152">
        <f>IFERROR(INDEX('Price List'!$K$5:$K$74,MATCH(TRIM(J792)&amp;"|"&amp;TRIM(P792),'Price List'!$O$5:$O$74,0)),0)</f>
        <v>0.12</v>
      </c>
      <c r="Y792" s="141">
        <f t="shared" si="61"/>
        <v>7.8400000000000007</v>
      </c>
      <c r="Z792" s="141">
        <f t="shared" si="62"/>
        <v>6006.0000000000009</v>
      </c>
      <c r="AA792" s="134"/>
    </row>
    <row r="793" spans="1:27" ht="12" customHeight="1" x14ac:dyDescent="0.35">
      <c r="A793" s="134"/>
      <c r="B793" s="134"/>
      <c r="C793" s="134" t="s">
        <v>689</v>
      </c>
      <c r="D793" s="136" t="str">
        <f t="shared" si="59"/>
        <v>D.03</v>
      </c>
      <c r="E793" s="135" t="s">
        <v>414</v>
      </c>
      <c r="F793" s="135" t="s">
        <v>677</v>
      </c>
      <c r="G793" s="134" t="s">
        <v>730</v>
      </c>
      <c r="H793" s="134" t="s">
        <v>731</v>
      </c>
      <c r="I793" s="134" t="s">
        <v>731</v>
      </c>
      <c r="J793" s="144" t="s">
        <v>363</v>
      </c>
      <c r="K793" s="134"/>
      <c r="L793" s="134"/>
      <c r="M793" s="134"/>
      <c r="N793" s="134"/>
      <c r="O793" s="134"/>
      <c r="P793" s="135" t="s">
        <v>128</v>
      </c>
      <c r="Q793" s="148">
        <v>525</v>
      </c>
      <c r="R793" s="148">
        <v>525</v>
      </c>
      <c r="S793" s="135"/>
      <c r="T793" s="149">
        <f>IFERROR(INDEX('Price List'!$G$5:$G$74,MATCH(TRIM(J793)&amp;"|"&amp;TRIM(P793),'Price List'!$O$5:$O$74,0)),0)</f>
        <v>3</v>
      </c>
      <c r="U793" s="150">
        <f>IFERROR(INDEX('Price List'!$H$5:$H$74,MATCH(TRIM(J793)&amp;"|"&amp;TRIM(P793),'Price List'!$O$5:$O$74,0)),0)</f>
        <v>0.2</v>
      </c>
      <c r="V793" s="141">
        <f t="shared" si="60"/>
        <v>3.5999999999999996</v>
      </c>
      <c r="W793" s="151">
        <f>IFERROR(INDEX('Price List'!$J$5:$J$74,MATCH(TRIM(J793)&amp;"|"&amp;TRIM(P793),'Price List'!$O$5:$O$74,0)),0)</f>
        <v>7</v>
      </c>
      <c r="X793" s="152">
        <f>IFERROR(INDEX('Price List'!$K$5:$K$74,MATCH(TRIM(J793)&amp;"|"&amp;TRIM(P793),'Price List'!$O$5:$O$74,0)),0)</f>
        <v>0.12</v>
      </c>
      <c r="Y793" s="141">
        <f t="shared" si="61"/>
        <v>7.8400000000000007</v>
      </c>
      <c r="Z793" s="141">
        <f t="shared" si="62"/>
        <v>6006.0000000000009</v>
      </c>
      <c r="AA793" s="134"/>
    </row>
    <row r="794" spans="1:27" ht="12" customHeight="1" x14ac:dyDescent="0.35">
      <c r="A794" s="134"/>
      <c r="B794" s="134"/>
      <c r="C794" s="134" t="s">
        <v>689</v>
      </c>
      <c r="D794" s="136" t="str">
        <f t="shared" si="59"/>
        <v>D.01</v>
      </c>
      <c r="E794" s="135" t="s">
        <v>414</v>
      </c>
      <c r="F794" s="135" t="s">
        <v>668</v>
      </c>
      <c r="G794" s="134" t="s">
        <v>697</v>
      </c>
      <c r="H794" s="134" t="s">
        <v>732</v>
      </c>
      <c r="I794" s="134" t="s">
        <v>732</v>
      </c>
      <c r="J794" s="144" t="s">
        <v>339</v>
      </c>
      <c r="K794" s="134"/>
      <c r="L794" s="134"/>
      <c r="M794" s="134"/>
      <c r="N794" s="134"/>
      <c r="O794" s="134"/>
      <c r="P794" s="135" t="s">
        <v>128</v>
      </c>
      <c r="Q794" s="148">
        <v>80.400000000000006</v>
      </c>
      <c r="R794" s="148">
        <v>80.400000000000006</v>
      </c>
      <c r="S794" s="135"/>
      <c r="T794" s="149">
        <f>IFERROR(INDEX('Price List'!$G$5:$G$74,MATCH(TRIM(J794)&amp;"|"&amp;TRIM(P794),'Price List'!$O$5:$O$74,0)),0)</f>
        <v>6</v>
      </c>
      <c r="U794" s="150">
        <f>IFERROR(INDEX('Price List'!$H$5:$H$74,MATCH(TRIM(J794)&amp;"|"&amp;TRIM(P794),'Price List'!$O$5:$O$74,0)),0)</f>
        <v>0.2</v>
      </c>
      <c r="V794" s="141">
        <f t="shared" si="60"/>
        <v>7.1999999999999993</v>
      </c>
      <c r="W794" s="151">
        <f>IFERROR(INDEX('Price List'!$J$5:$J$74,MATCH(TRIM(J794)&amp;"|"&amp;TRIM(P794),'Price List'!$O$5:$O$74,0)),0)</f>
        <v>12</v>
      </c>
      <c r="X794" s="152">
        <f>IFERROR(INDEX('Price List'!$K$5:$K$74,MATCH(TRIM(J794)&amp;"|"&amp;TRIM(P794),'Price List'!$O$5:$O$74,0)),0)</f>
        <v>0.12</v>
      </c>
      <c r="Y794" s="141">
        <f t="shared" si="61"/>
        <v>13.440000000000001</v>
      </c>
      <c r="Z794" s="141">
        <f t="shared" si="62"/>
        <v>1659.4560000000001</v>
      </c>
      <c r="AA794" s="134"/>
    </row>
    <row r="795" spans="1:27" ht="12" customHeight="1" x14ac:dyDescent="0.35">
      <c r="A795" s="134"/>
      <c r="B795" s="134"/>
      <c r="C795" s="134" t="s">
        <v>689</v>
      </c>
      <c r="D795" s="136" t="str">
        <f t="shared" si="59"/>
        <v>D.01</v>
      </c>
      <c r="E795" s="135" t="s">
        <v>414</v>
      </c>
      <c r="F795" s="135" t="s">
        <v>669</v>
      </c>
      <c r="G795" s="134" t="s">
        <v>697</v>
      </c>
      <c r="H795" s="134" t="s">
        <v>732</v>
      </c>
      <c r="I795" s="134" t="s">
        <v>732</v>
      </c>
      <c r="J795" s="144" t="s">
        <v>339</v>
      </c>
      <c r="K795" s="134"/>
      <c r="L795" s="134"/>
      <c r="M795" s="134"/>
      <c r="N795" s="134"/>
      <c r="O795" s="134"/>
      <c r="P795" s="135" t="s">
        <v>128</v>
      </c>
      <c r="Q795" s="148">
        <v>80.400000000000006</v>
      </c>
      <c r="R795" s="148">
        <v>80.400000000000006</v>
      </c>
      <c r="S795" s="135"/>
      <c r="T795" s="149">
        <f>IFERROR(INDEX('Price List'!$G$5:$G$74,MATCH(TRIM(J795)&amp;"|"&amp;TRIM(P795),'Price List'!$O$5:$O$74,0)),0)</f>
        <v>6</v>
      </c>
      <c r="U795" s="150">
        <f>IFERROR(INDEX('Price List'!$H$5:$H$74,MATCH(TRIM(J795)&amp;"|"&amp;TRIM(P795),'Price List'!$O$5:$O$74,0)),0)</f>
        <v>0.2</v>
      </c>
      <c r="V795" s="141">
        <f t="shared" si="60"/>
        <v>7.1999999999999993</v>
      </c>
      <c r="W795" s="151">
        <f>IFERROR(INDEX('Price List'!$J$5:$J$74,MATCH(TRIM(J795)&amp;"|"&amp;TRIM(P795),'Price List'!$O$5:$O$74,0)),0)</f>
        <v>12</v>
      </c>
      <c r="X795" s="152">
        <f>IFERROR(INDEX('Price List'!$K$5:$K$74,MATCH(TRIM(J795)&amp;"|"&amp;TRIM(P795),'Price List'!$O$5:$O$74,0)),0)</f>
        <v>0.12</v>
      </c>
      <c r="Y795" s="141">
        <f t="shared" si="61"/>
        <v>13.440000000000001</v>
      </c>
      <c r="Z795" s="141">
        <f t="shared" si="62"/>
        <v>1659.4560000000001</v>
      </c>
      <c r="AA795" s="134"/>
    </row>
    <row r="796" spans="1:27" ht="12" customHeight="1" x14ac:dyDescent="0.35">
      <c r="A796" s="134"/>
      <c r="B796" s="134"/>
      <c r="C796" s="134" t="s">
        <v>689</v>
      </c>
      <c r="D796" s="136" t="str">
        <f t="shared" si="59"/>
        <v>D.01</v>
      </c>
      <c r="E796" s="135" t="s">
        <v>414</v>
      </c>
      <c r="F796" s="135" t="s">
        <v>670</v>
      </c>
      <c r="G796" s="134" t="s">
        <v>697</v>
      </c>
      <c r="H796" s="134" t="s">
        <v>732</v>
      </c>
      <c r="I796" s="134" t="s">
        <v>732</v>
      </c>
      <c r="J796" s="144" t="s">
        <v>339</v>
      </c>
      <c r="K796" s="134"/>
      <c r="L796" s="134"/>
      <c r="M796" s="134"/>
      <c r="N796" s="134"/>
      <c r="O796" s="134"/>
      <c r="P796" s="135" t="s">
        <v>128</v>
      </c>
      <c r="Q796" s="148">
        <v>56.4</v>
      </c>
      <c r="R796" s="148">
        <v>56.4</v>
      </c>
      <c r="S796" s="135"/>
      <c r="T796" s="149">
        <f>IFERROR(INDEX('Price List'!$G$5:$G$74,MATCH(TRIM(J796)&amp;"|"&amp;TRIM(P796),'Price List'!$O$5:$O$74,0)),0)</f>
        <v>6</v>
      </c>
      <c r="U796" s="150">
        <f>IFERROR(INDEX('Price List'!$H$5:$H$74,MATCH(TRIM(J796)&amp;"|"&amp;TRIM(P796),'Price List'!$O$5:$O$74,0)),0)</f>
        <v>0.2</v>
      </c>
      <c r="V796" s="141">
        <f t="shared" si="60"/>
        <v>7.1999999999999993</v>
      </c>
      <c r="W796" s="151">
        <f>IFERROR(INDEX('Price List'!$J$5:$J$74,MATCH(TRIM(J796)&amp;"|"&amp;TRIM(P796),'Price List'!$O$5:$O$74,0)),0)</f>
        <v>12</v>
      </c>
      <c r="X796" s="152">
        <f>IFERROR(INDEX('Price List'!$K$5:$K$74,MATCH(TRIM(J796)&amp;"|"&amp;TRIM(P796),'Price List'!$O$5:$O$74,0)),0)</f>
        <v>0.12</v>
      </c>
      <c r="Y796" s="141">
        <f t="shared" si="61"/>
        <v>13.440000000000001</v>
      </c>
      <c r="Z796" s="141">
        <f t="shared" si="62"/>
        <v>1164.096</v>
      </c>
      <c r="AA796" s="134"/>
    </row>
    <row r="797" spans="1:27" ht="12" customHeight="1" x14ac:dyDescent="0.35">
      <c r="A797" s="134"/>
      <c r="B797" s="134"/>
      <c r="C797" s="134" t="s">
        <v>689</v>
      </c>
      <c r="D797" s="136" t="str">
        <f t="shared" si="59"/>
        <v>D.01</v>
      </c>
      <c r="E797" s="135" t="s">
        <v>414</v>
      </c>
      <c r="F797" s="135" t="s">
        <v>671</v>
      </c>
      <c r="G797" s="134" t="s">
        <v>697</v>
      </c>
      <c r="H797" s="134" t="s">
        <v>732</v>
      </c>
      <c r="I797" s="134" t="s">
        <v>732</v>
      </c>
      <c r="J797" s="144" t="s">
        <v>339</v>
      </c>
      <c r="K797" s="134"/>
      <c r="L797" s="134"/>
      <c r="M797" s="134"/>
      <c r="N797" s="134"/>
      <c r="O797" s="134"/>
      <c r="P797" s="135" t="s">
        <v>128</v>
      </c>
      <c r="Q797" s="148">
        <v>80.400000000000006</v>
      </c>
      <c r="R797" s="148">
        <v>80.400000000000006</v>
      </c>
      <c r="S797" s="135"/>
      <c r="T797" s="149">
        <f>IFERROR(INDEX('Price List'!$G$5:$G$74,MATCH(TRIM(J797)&amp;"|"&amp;TRIM(P797),'Price List'!$O$5:$O$74,0)),0)</f>
        <v>6</v>
      </c>
      <c r="U797" s="150">
        <f>IFERROR(INDEX('Price List'!$H$5:$H$74,MATCH(TRIM(J797)&amp;"|"&amp;TRIM(P797),'Price List'!$O$5:$O$74,0)),0)</f>
        <v>0.2</v>
      </c>
      <c r="V797" s="141">
        <f t="shared" si="60"/>
        <v>7.1999999999999993</v>
      </c>
      <c r="W797" s="151">
        <f>IFERROR(INDEX('Price List'!$J$5:$J$74,MATCH(TRIM(J797)&amp;"|"&amp;TRIM(P797),'Price List'!$O$5:$O$74,0)),0)</f>
        <v>12</v>
      </c>
      <c r="X797" s="152">
        <f>IFERROR(INDEX('Price List'!$K$5:$K$74,MATCH(TRIM(J797)&amp;"|"&amp;TRIM(P797),'Price List'!$O$5:$O$74,0)),0)</f>
        <v>0.12</v>
      </c>
      <c r="Y797" s="141">
        <f t="shared" si="61"/>
        <v>13.440000000000001</v>
      </c>
      <c r="Z797" s="141">
        <f t="shared" si="62"/>
        <v>1659.4560000000001</v>
      </c>
      <c r="AA797" s="134"/>
    </row>
    <row r="798" spans="1:27" ht="12" customHeight="1" x14ac:dyDescent="0.35">
      <c r="A798" s="134"/>
      <c r="B798" s="134"/>
      <c r="C798" s="134" t="s">
        <v>689</v>
      </c>
      <c r="D798" s="136" t="str">
        <f t="shared" si="59"/>
        <v>D.01</v>
      </c>
      <c r="E798" s="135" t="s">
        <v>414</v>
      </c>
      <c r="F798" s="135" t="s">
        <v>672</v>
      </c>
      <c r="G798" s="134" t="s">
        <v>697</v>
      </c>
      <c r="H798" s="134" t="s">
        <v>732</v>
      </c>
      <c r="I798" s="134" t="s">
        <v>732</v>
      </c>
      <c r="J798" s="144" t="s">
        <v>339</v>
      </c>
      <c r="K798" s="134"/>
      <c r="L798" s="134"/>
      <c r="M798" s="134"/>
      <c r="N798" s="134"/>
      <c r="O798" s="134"/>
      <c r="P798" s="135" t="s">
        <v>128</v>
      </c>
      <c r="Q798" s="148">
        <v>80.400000000000006</v>
      </c>
      <c r="R798" s="148">
        <v>80.400000000000006</v>
      </c>
      <c r="S798" s="135"/>
      <c r="T798" s="149">
        <f>IFERROR(INDEX('Price List'!$G$5:$G$74,MATCH(TRIM(J798)&amp;"|"&amp;TRIM(P798),'Price List'!$O$5:$O$74,0)),0)</f>
        <v>6</v>
      </c>
      <c r="U798" s="150">
        <f>IFERROR(INDEX('Price List'!$H$5:$H$74,MATCH(TRIM(J798)&amp;"|"&amp;TRIM(P798),'Price List'!$O$5:$O$74,0)),0)</f>
        <v>0.2</v>
      </c>
      <c r="V798" s="141">
        <f t="shared" si="60"/>
        <v>7.1999999999999993</v>
      </c>
      <c r="W798" s="151">
        <f>IFERROR(INDEX('Price List'!$J$5:$J$74,MATCH(TRIM(J798)&amp;"|"&amp;TRIM(P798),'Price List'!$O$5:$O$74,0)),0)</f>
        <v>12</v>
      </c>
      <c r="X798" s="152">
        <f>IFERROR(INDEX('Price List'!$K$5:$K$74,MATCH(TRIM(J798)&amp;"|"&amp;TRIM(P798),'Price List'!$O$5:$O$74,0)),0)</f>
        <v>0.12</v>
      </c>
      <c r="Y798" s="141">
        <f t="shared" si="61"/>
        <v>13.440000000000001</v>
      </c>
      <c r="Z798" s="141">
        <f t="shared" si="62"/>
        <v>1659.4560000000001</v>
      </c>
      <c r="AA798" s="134"/>
    </row>
    <row r="799" spans="1:27" ht="12" customHeight="1" x14ac:dyDescent="0.35">
      <c r="A799" s="134"/>
      <c r="B799" s="134"/>
      <c r="C799" s="134" t="s">
        <v>689</v>
      </c>
      <c r="D799" s="136" t="str">
        <f t="shared" si="59"/>
        <v>D.01</v>
      </c>
      <c r="E799" s="135" t="s">
        <v>414</v>
      </c>
      <c r="F799" s="135" t="s">
        <v>673</v>
      </c>
      <c r="G799" s="134" t="s">
        <v>697</v>
      </c>
      <c r="H799" s="134" t="s">
        <v>732</v>
      </c>
      <c r="I799" s="134" t="s">
        <v>732</v>
      </c>
      <c r="J799" s="144" t="s">
        <v>339</v>
      </c>
      <c r="K799" s="134"/>
      <c r="L799" s="134"/>
      <c r="M799" s="134"/>
      <c r="N799" s="134"/>
      <c r="O799" s="134"/>
      <c r="P799" s="135" t="s">
        <v>128</v>
      </c>
      <c r="Q799" s="148">
        <v>80.400000000000006</v>
      </c>
      <c r="R799" s="148">
        <v>80.400000000000006</v>
      </c>
      <c r="S799" s="135"/>
      <c r="T799" s="149">
        <f>IFERROR(INDEX('Price List'!$G$5:$G$74,MATCH(TRIM(J799)&amp;"|"&amp;TRIM(P799),'Price List'!$O$5:$O$74,0)),0)</f>
        <v>6</v>
      </c>
      <c r="U799" s="150">
        <f>IFERROR(INDEX('Price List'!$H$5:$H$74,MATCH(TRIM(J799)&amp;"|"&amp;TRIM(P799),'Price List'!$O$5:$O$74,0)),0)</f>
        <v>0.2</v>
      </c>
      <c r="V799" s="141">
        <f t="shared" si="60"/>
        <v>7.1999999999999993</v>
      </c>
      <c r="W799" s="151">
        <f>IFERROR(INDEX('Price List'!$J$5:$J$74,MATCH(TRIM(J799)&amp;"|"&amp;TRIM(P799),'Price List'!$O$5:$O$74,0)),0)</f>
        <v>12</v>
      </c>
      <c r="X799" s="152">
        <f>IFERROR(INDEX('Price List'!$K$5:$K$74,MATCH(TRIM(J799)&amp;"|"&amp;TRIM(P799),'Price List'!$O$5:$O$74,0)),0)</f>
        <v>0.12</v>
      </c>
      <c r="Y799" s="141">
        <f t="shared" si="61"/>
        <v>13.440000000000001</v>
      </c>
      <c r="Z799" s="141">
        <f t="shared" si="62"/>
        <v>1659.4560000000001</v>
      </c>
      <c r="AA799" s="134"/>
    </row>
    <row r="800" spans="1:27" ht="12" customHeight="1" x14ac:dyDescent="0.35">
      <c r="A800" s="134"/>
      <c r="B800" s="134"/>
      <c r="C800" s="134" t="s">
        <v>689</v>
      </c>
      <c r="D800" s="136" t="str">
        <f t="shared" si="59"/>
        <v>D.01</v>
      </c>
      <c r="E800" s="135" t="s">
        <v>414</v>
      </c>
      <c r="F800" s="135" t="s">
        <v>674</v>
      </c>
      <c r="G800" s="134" t="s">
        <v>697</v>
      </c>
      <c r="H800" s="134" t="s">
        <v>732</v>
      </c>
      <c r="I800" s="134" t="s">
        <v>732</v>
      </c>
      <c r="J800" s="144" t="s">
        <v>339</v>
      </c>
      <c r="K800" s="134"/>
      <c r="L800" s="134"/>
      <c r="M800" s="134"/>
      <c r="N800" s="134"/>
      <c r="O800" s="134"/>
      <c r="P800" s="135" t="s">
        <v>128</v>
      </c>
      <c r="Q800" s="148">
        <v>80.400000000000006</v>
      </c>
      <c r="R800" s="148">
        <v>80.400000000000006</v>
      </c>
      <c r="S800" s="135"/>
      <c r="T800" s="149">
        <f>IFERROR(INDEX('Price List'!$G$5:$G$74,MATCH(TRIM(J800)&amp;"|"&amp;TRIM(P800),'Price List'!$O$5:$O$74,0)),0)</f>
        <v>6</v>
      </c>
      <c r="U800" s="150">
        <f>IFERROR(INDEX('Price List'!$H$5:$H$74,MATCH(TRIM(J800)&amp;"|"&amp;TRIM(P800),'Price List'!$O$5:$O$74,0)),0)</f>
        <v>0.2</v>
      </c>
      <c r="V800" s="141">
        <f t="shared" si="60"/>
        <v>7.1999999999999993</v>
      </c>
      <c r="W800" s="151">
        <f>IFERROR(INDEX('Price List'!$J$5:$J$74,MATCH(TRIM(J800)&amp;"|"&amp;TRIM(P800),'Price List'!$O$5:$O$74,0)),0)</f>
        <v>12</v>
      </c>
      <c r="X800" s="152">
        <f>IFERROR(INDEX('Price List'!$K$5:$K$74,MATCH(TRIM(J800)&amp;"|"&amp;TRIM(P800),'Price List'!$O$5:$O$74,0)),0)</f>
        <v>0.12</v>
      </c>
      <c r="Y800" s="141">
        <f t="shared" si="61"/>
        <v>13.440000000000001</v>
      </c>
      <c r="Z800" s="141">
        <f t="shared" si="62"/>
        <v>1659.4560000000001</v>
      </c>
      <c r="AA800" s="134"/>
    </row>
    <row r="801" spans="1:27" ht="12" customHeight="1" x14ac:dyDescent="0.35">
      <c r="A801" s="134"/>
      <c r="B801" s="134"/>
      <c r="C801" s="134" t="s">
        <v>689</v>
      </c>
      <c r="D801" s="136" t="str">
        <f t="shared" si="59"/>
        <v>D.01</v>
      </c>
      <c r="E801" s="135" t="s">
        <v>414</v>
      </c>
      <c r="F801" s="135" t="s">
        <v>675</v>
      </c>
      <c r="G801" s="134" t="s">
        <v>697</v>
      </c>
      <c r="H801" s="134" t="s">
        <v>732</v>
      </c>
      <c r="I801" s="134" t="s">
        <v>732</v>
      </c>
      <c r="J801" s="144" t="s">
        <v>339</v>
      </c>
      <c r="K801" s="134"/>
      <c r="L801" s="134"/>
      <c r="M801" s="134"/>
      <c r="N801" s="134"/>
      <c r="O801" s="134"/>
      <c r="P801" s="135" t="s">
        <v>128</v>
      </c>
      <c r="Q801" s="148">
        <v>80.400000000000006</v>
      </c>
      <c r="R801" s="148">
        <v>80.400000000000006</v>
      </c>
      <c r="S801" s="135"/>
      <c r="T801" s="149">
        <f>IFERROR(INDEX('Price List'!$G$5:$G$74,MATCH(TRIM(J801)&amp;"|"&amp;TRIM(P801),'Price List'!$O$5:$O$74,0)),0)</f>
        <v>6</v>
      </c>
      <c r="U801" s="150">
        <f>IFERROR(INDEX('Price List'!$H$5:$H$74,MATCH(TRIM(J801)&amp;"|"&amp;TRIM(P801),'Price List'!$O$5:$O$74,0)),0)</f>
        <v>0.2</v>
      </c>
      <c r="V801" s="141">
        <f t="shared" si="60"/>
        <v>7.1999999999999993</v>
      </c>
      <c r="W801" s="151">
        <f>IFERROR(INDEX('Price List'!$J$5:$J$74,MATCH(TRIM(J801)&amp;"|"&amp;TRIM(P801),'Price List'!$O$5:$O$74,0)),0)</f>
        <v>12</v>
      </c>
      <c r="X801" s="152">
        <f>IFERROR(INDEX('Price List'!$K$5:$K$74,MATCH(TRIM(J801)&amp;"|"&amp;TRIM(P801),'Price List'!$O$5:$O$74,0)),0)</f>
        <v>0.12</v>
      </c>
      <c r="Y801" s="141">
        <f t="shared" si="61"/>
        <v>13.440000000000001</v>
      </c>
      <c r="Z801" s="141">
        <f t="shared" si="62"/>
        <v>1659.4560000000001</v>
      </c>
      <c r="AA801" s="134"/>
    </row>
    <row r="802" spans="1:27" ht="12" customHeight="1" x14ac:dyDescent="0.35">
      <c r="A802" s="134"/>
      <c r="B802" s="134"/>
      <c r="C802" s="134" t="s">
        <v>689</v>
      </c>
      <c r="D802" s="136" t="str">
        <f t="shared" si="59"/>
        <v>D.01</v>
      </c>
      <c r="E802" s="135" t="s">
        <v>414</v>
      </c>
      <c r="F802" s="135" t="s">
        <v>676</v>
      </c>
      <c r="G802" s="134" t="s">
        <v>697</v>
      </c>
      <c r="H802" s="134" t="s">
        <v>732</v>
      </c>
      <c r="I802" s="134" t="s">
        <v>732</v>
      </c>
      <c r="J802" s="144" t="s">
        <v>339</v>
      </c>
      <c r="K802" s="134"/>
      <c r="L802" s="134"/>
      <c r="M802" s="134"/>
      <c r="N802" s="134"/>
      <c r="O802" s="134"/>
      <c r="P802" s="135" t="s">
        <v>128</v>
      </c>
      <c r="Q802" s="148">
        <v>54</v>
      </c>
      <c r="R802" s="148">
        <v>54</v>
      </c>
      <c r="S802" s="135"/>
      <c r="T802" s="149">
        <f>IFERROR(INDEX('Price List'!$G$5:$G$74,MATCH(TRIM(J802)&amp;"|"&amp;TRIM(P802),'Price List'!$O$5:$O$74,0)),0)</f>
        <v>6</v>
      </c>
      <c r="U802" s="150">
        <f>IFERROR(INDEX('Price List'!$H$5:$H$74,MATCH(TRIM(J802)&amp;"|"&amp;TRIM(P802),'Price List'!$O$5:$O$74,0)),0)</f>
        <v>0.2</v>
      </c>
      <c r="V802" s="141">
        <f t="shared" si="60"/>
        <v>7.1999999999999993</v>
      </c>
      <c r="W802" s="151">
        <f>IFERROR(INDEX('Price List'!$J$5:$J$74,MATCH(TRIM(J802)&amp;"|"&amp;TRIM(P802),'Price List'!$O$5:$O$74,0)),0)</f>
        <v>12</v>
      </c>
      <c r="X802" s="152">
        <f>IFERROR(INDEX('Price List'!$K$5:$K$74,MATCH(TRIM(J802)&amp;"|"&amp;TRIM(P802),'Price List'!$O$5:$O$74,0)),0)</f>
        <v>0.12</v>
      </c>
      <c r="Y802" s="141">
        <f t="shared" si="61"/>
        <v>13.440000000000001</v>
      </c>
      <c r="Z802" s="141">
        <f t="shared" si="62"/>
        <v>1114.56</v>
      </c>
      <c r="AA802" s="134"/>
    </row>
    <row r="803" spans="1:27" ht="12" customHeight="1" x14ac:dyDescent="0.35">
      <c r="A803" s="134"/>
      <c r="B803" s="134"/>
      <c r="C803" s="134" t="s">
        <v>689</v>
      </c>
      <c r="D803" s="136" t="str">
        <f t="shared" si="59"/>
        <v>D.02</v>
      </c>
      <c r="E803" s="135" t="s">
        <v>414</v>
      </c>
      <c r="F803" s="135" t="s">
        <v>664</v>
      </c>
      <c r="G803" s="134" t="s">
        <v>733</v>
      </c>
      <c r="H803" s="134" t="s">
        <v>349</v>
      </c>
      <c r="I803" s="134" t="s">
        <v>349</v>
      </c>
      <c r="J803" s="144" t="s">
        <v>349</v>
      </c>
      <c r="K803" s="134"/>
      <c r="L803" s="134"/>
      <c r="M803" s="134"/>
      <c r="N803" s="134"/>
      <c r="O803" s="134"/>
      <c r="P803" s="135" t="s">
        <v>128</v>
      </c>
      <c r="Q803" s="148">
        <v>620</v>
      </c>
      <c r="R803" s="148">
        <v>620</v>
      </c>
      <c r="S803" s="135"/>
      <c r="T803" s="149">
        <f>IFERROR(INDEX('Price List'!$G$5:$G$74,MATCH(TRIM(J803)&amp;"|"&amp;TRIM(P803),'Price List'!$O$5:$O$74,0)),0)</f>
        <v>1</v>
      </c>
      <c r="U803" s="150">
        <f>IFERROR(INDEX('Price List'!$H$5:$H$74,MATCH(TRIM(J803)&amp;"|"&amp;TRIM(P803),'Price List'!$O$5:$O$74,0)),0)</f>
        <v>0.2</v>
      </c>
      <c r="V803" s="141">
        <f t="shared" si="60"/>
        <v>1.2</v>
      </c>
      <c r="W803" s="151">
        <f>IFERROR(INDEX('Price List'!$J$5:$J$74,MATCH(TRIM(J803)&amp;"|"&amp;TRIM(P803),'Price List'!$O$5:$O$74,0)),0)</f>
        <v>2.5</v>
      </c>
      <c r="X803" s="152">
        <f>IFERROR(INDEX('Price List'!$K$5:$K$74,MATCH(TRIM(J803)&amp;"|"&amp;TRIM(P803),'Price List'!$O$5:$O$74,0)),0)</f>
        <v>0.12</v>
      </c>
      <c r="Y803" s="141">
        <f t="shared" si="61"/>
        <v>2.8000000000000003</v>
      </c>
      <c r="Z803" s="141">
        <f t="shared" si="62"/>
        <v>2480</v>
      </c>
      <c r="AA803" s="134"/>
    </row>
    <row r="804" spans="1:27" ht="12" customHeight="1" x14ac:dyDescent="0.35">
      <c r="A804" s="134"/>
      <c r="B804" s="134"/>
      <c r="C804" s="134" t="s">
        <v>689</v>
      </c>
      <c r="D804" s="136" t="str">
        <f t="shared" si="59"/>
        <v>D.02</v>
      </c>
      <c r="E804" s="135" t="s">
        <v>414</v>
      </c>
      <c r="F804" s="135" t="s">
        <v>678</v>
      </c>
      <c r="G804" s="134" t="s">
        <v>733</v>
      </c>
      <c r="H804" s="134" t="s">
        <v>662</v>
      </c>
      <c r="I804" s="134" t="s">
        <v>662</v>
      </c>
      <c r="J804" s="144" t="s">
        <v>353</v>
      </c>
      <c r="K804" s="134"/>
      <c r="L804" s="134"/>
      <c r="M804" s="134"/>
      <c r="N804" s="134"/>
      <c r="O804" s="134"/>
      <c r="P804" s="135" t="s">
        <v>128</v>
      </c>
      <c r="Q804" s="148">
        <v>270</v>
      </c>
      <c r="R804" s="148">
        <v>270</v>
      </c>
      <c r="S804" s="135"/>
      <c r="T804" s="149">
        <f>IFERROR(INDEX('Price List'!$G$5:$G$74,MATCH(TRIM(J804)&amp;"|"&amp;TRIM(P804),'Price List'!$O$5:$O$74,0)),0)</f>
        <v>2</v>
      </c>
      <c r="U804" s="150">
        <f>IFERROR(INDEX('Price List'!$H$5:$H$74,MATCH(TRIM(J804)&amp;"|"&amp;TRIM(P804),'Price List'!$O$5:$O$74,0)),0)</f>
        <v>0.2</v>
      </c>
      <c r="V804" s="141">
        <f t="shared" si="60"/>
        <v>2.4</v>
      </c>
      <c r="W804" s="151">
        <f>IFERROR(INDEX('Price List'!$J$5:$J$74,MATCH(TRIM(J804)&amp;"|"&amp;TRIM(P804),'Price List'!$O$5:$O$74,0)),0)</f>
        <v>6</v>
      </c>
      <c r="X804" s="152">
        <f>IFERROR(INDEX('Price List'!$K$5:$K$74,MATCH(TRIM(J804)&amp;"|"&amp;TRIM(P804),'Price List'!$O$5:$O$74,0)),0)</f>
        <v>0.12</v>
      </c>
      <c r="Y804" s="141">
        <f t="shared" si="61"/>
        <v>6.7200000000000006</v>
      </c>
      <c r="Z804" s="141">
        <f t="shared" si="62"/>
        <v>2462.4</v>
      </c>
      <c r="AA804" s="134"/>
    </row>
    <row r="805" spans="1:27" ht="12" customHeight="1" x14ac:dyDescent="0.35">
      <c r="A805" s="134"/>
      <c r="B805" s="134"/>
      <c r="C805" s="134" t="s">
        <v>689</v>
      </c>
      <c r="D805" s="136" t="str">
        <f t="shared" si="59"/>
        <v>C.09</v>
      </c>
      <c r="E805" s="135" t="s">
        <v>414</v>
      </c>
      <c r="F805" s="135" t="s">
        <v>664</v>
      </c>
      <c r="G805" s="134" t="s">
        <v>694</v>
      </c>
      <c r="H805" s="134" t="s">
        <v>734</v>
      </c>
      <c r="I805" s="134" t="s">
        <v>734</v>
      </c>
      <c r="J805" s="144" t="s">
        <v>305</v>
      </c>
      <c r="K805" s="134"/>
      <c r="L805" s="134"/>
      <c r="M805" s="134"/>
      <c r="N805" s="134"/>
      <c r="O805" s="134"/>
      <c r="P805" s="135" t="s">
        <v>110</v>
      </c>
      <c r="Q805" s="148">
        <v>40</v>
      </c>
      <c r="R805" s="148">
        <v>40</v>
      </c>
      <c r="S805" s="135"/>
      <c r="T805" s="149">
        <f>IFERROR(INDEX('Price List'!$G$5:$G$74,MATCH(TRIM(J805)&amp;"|"&amp;TRIM(P805),'Price List'!$O$5:$O$74,0)),0)</f>
        <v>9</v>
      </c>
      <c r="U805" s="150">
        <f>IFERROR(INDEX('Price List'!$H$5:$H$74,MATCH(TRIM(J805)&amp;"|"&amp;TRIM(P805),'Price List'!$O$5:$O$74,0)),0)</f>
        <v>0.2</v>
      </c>
      <c r="V805" s="141">
        <f t="shared" si="60"/>
        <v>10.799999999999999</v>
      </c>
      <c r="W805" s="151">
        <f>IFERROR(INDEX('Price List'!$J$5:$J$74,MATCH(TRIM(J805)&amp;"|"&amp;TRIM(P805),'Price List'!$O$5:$O$74,0)),0)</f>
        <v>22</v>
      </c>
      <c r="X805" s="152">
        <f>IFERROR(INDEX('Price List'!$K$5:$K$74,MATCH(TRIM(J805)&amp;"|"&amp;TRIM(P805),'Price List'!$O$5:$O$74,0)),0)</f>
        <v>0.12</v>
      </c>
      <c r="Y805" s="141">
        <f t="shared" si="61"/>
        <v>24.64</v>
      </c>
      <c r="Z805" s="141">
        <f t="shared" si="62"/>
        <v>1417.6</v>
      </c>
      <c r="AA805" s="134"/>
    </row>
    <row r="806" spans="1:27" ht="12" customHeight="1" x14ac:dyDescent="0.35">
      <c r="A806" s="134"/>
      <c r="B806" s="134"/>
      <c r="C806" s="134" t="s">
        <v>689</v>
      </c>
      <c r="D806" s="136" t="str">
        <f t="shared" si="59"/>
        <v>C.09</v>
      </c>
      <c r="E806" s="135" t="s">
        <v>414</v>
      </c>
      <c r="F806" s="135" t="s">
        <v>667</v>
      </c>
      <c r="G806" s="134" t="s">
        <v>694</v>
      </c>
      <c r="H806" s="134" t="s">
        <v>734</v>
      </c>
      <c r="I806" s="134" t="s">
        <v>734</v>
      </c>
      <c r="J806" s="144" t="s">
        <v>305</v>
      </c>
      <c r="K806" s="134"/>
      <c r="L806" s="134"/>
      <c r="M806" s="134"/>
      <c r="N806" s="134"/>
      <c r="O806" s="134"/>
      <c r="P806" s="135" t="s">
        <v>110</v>
      </c>
      <c r="Q806" s="148">
        <v>45</v>
      </c>
      <c r="R806" s="148">
        <v>45</v>
      </c>
      <c r="S806" s="135"/>
      <c r="T806" s="149">
        <f>IFERROR(INDEX('Price List'!$G$5:$G$74,MATCH(TRIM(J806)&amp;"|"&amp;TRIM(P806),'Price List'!$O$5:$O$74,0)),0)</f>
        <v>9</v>
      </c>
      <c r="U806" s="150">
        <f>IFERROR(INDEX('Price List'!$H$5:$H$74,MATCH(TRIM(J806)&amp;"|"&amp;TRIM(P806),'Price List'!$O$5:$O$74,0)),0)</f>
        <v>0.2</v>
      </c>
      <c r="V806" s="141">
        <f t="shared" si="60"/>
        <v>10.799999999999999</v>
      </c>
      <c r="W806" s="151">
        <f>IFERROR(INDEX('Price List'!$J$5:$J$74,MATCH(TRIM(J806)&amp;"|"&amp;TRIM(P806),'Price List'!$O$5:$O$74,0)),0)</f>
        <v>22</v>
      </c>
      <c r="X806" s="152">
        <f>IFERROR(INDEX('Price List'!$K$5:$K$74,MATCH(TRIM(J806)&amp;"|"&amp;TRIM(P806),'Price List'!$O$5:$O$74,0)),0)</f>
        <v>0.12</v>
      </c>
      <c r="Y806" s="141">
        <f t="shared" si="61"/>
        <v>24.64</v>
      </c>
      <c r="Z806" s="141">
        <f t="shared" si="62"/>
        <v>1594.8</v>
      </c>
      <c r="AA806" s="134"/>
    </row>
    <row r="807" spans="1:27" ht="12" customHeight="1" x14ac:dyDescent="0.35">
      <c r="A807" s="134"/>
      <c r="B807" s="134"/>
      <c r="C807" s="134" t="s">
        <v>689</v>
      </c>
      <c r="D807" s="136" t="str">
        <f t="shared" si="59"/>
        <v>C.09</v>
      </c>
      <c r="E807" s="135" t="s">
        <v>414</v>
      </c>
      <c r="F807" s="135" t="s">
        <v>668</v>
      </c>
      <c r="G807" s="134" t="s">
        <v>694</v>
      </c>
      <c r="H807" s="134" t="s">
        <v>734</v>
      </c>
      <c r="I807" s="134" t="s">
        <v>734</v>
      </c>
      <c r="J807" s="144" t="s">
        <v>305</v>
      </c>
      <c r="K807" s="134"/>
      <c r="L807" s="134"/>
      <c r="M807" s="134"/>
      <c r="N807" s="134"/>
      <c r="O807" s="134"/>
      <c r="P807" s="135" t="s">
        <v>110</v>
      </c>
      <c r="Q807" s="148">
        <v>22</v>
      </c>
      <c r="R807" s="148">
        <v>22</v>
      </c>
      <c r="S807" s="135"/>
      <c r="T807" s="149">
        <f>IFERROR(INDEX('Price List'!$G$5:$G$74,MATCH(TRIM(J807)&amp;"|"&amp;TRIM(P807),'Price List'!$O$5:$O$74,0)),0)</f>
        <v>9</v>
      </c>
      <c r="U807" s="150">
        <f>IFERROR(INDEX('Price List'!$H$5:$H$74,MATCH(TRIM(J807)&amp;"|"&amp;TRIM(P807),'Price List'!$O$5:$O$74,0)),0)</f>
        <v>0.2</v>
      </c>
      <c r="V807" s="141">
        <f t="shared" si="60"/>
        <v>10.799999999999999</v>
      </c>
      <c r="W807" s="151">
        <f>IFERROR(INDEX('Price List'!$J$5:$J$74,MATCH(TRIM(J807)&amp;"|"&amp;TRIM(P807),'Price List'!$O$5:$O$74,0)),0)</f>
        <v>22</v>
      </c>
      <c r="X807" s="152">
        <f>IFERROR(INDEX('Price List'!$K$5:$K$74,MATCH(TRIM(J807)&amp;"|"&amp;TRIM(P807),'Price List'!$O$5:$O$74,0)),0)</f>
        <v>0.12</v>
      </c>
      <c r="Y807" s="141">
        <f t="shared" si="61"/>
        <v>24.64</v>
      </c>
      <c r="Z807" s="141">
        <f t="shared" si="62"/>
        <v>779.68</v>
      </c>
      <c r="AA807" s="134"/>
    </row>
    <row r="808" spans="1:27" ht="12" customHeight="1" x14ac:dyDescent="0.35">
      <c r="A808" s="134"/>
      <c r="B808" s="134"/>
      <c r="C808" s="134" t="s">
        <v>689</v>
      </c>
      <c r="D808" s="136" t="str">
        <f t="shared" si="59"/>
        <v>C.09</v>
      </c>
      <c r="E808" s="135" t="s">
        <v>414</v>
      </c>
      <c r="F808" s="135" t="s">
        <v>669</v>
      </c>
      <c r="G808" s="134" t="s">
        <v>694</v>
      </c>
      <c r="H808" s="134" t="s">
        <v>734</v>
      </c>
      <c r="I808" s="134" t="s">
        <v>734</v>
      </c>
      <c r="J808" s="144" t="s">
        <v>305</v>
      </c>
      <c r="K808" s="134"/>
      <c r="L808" s="134"/>
      <c r="M808" s="134"/>
      <c r="N808" s="134"/>
      <c r="O808" s="134"/>
      <c r="P808" s="135" t="s">
        <v>110</v>
      </c>
      <c r="Q808" s="148">
        <v>22</v>
      </c>
      <c r="R808" s="148">
        <v>22</v>
      </c>
      <c r="S808" s="135"/>
      <c r="T808" s="149">
        <f>IFERROR(INDEX('Price List'!$G$5:$G$74,MATCH(TRIM(J808)&amp;"|"&amp;TRIM(P808),'Price List'!$O$5:$O$74,0)),0)</f>
        <v>9</v>
      </c>
      <c r="U808" s="150">
        <f>IFERROR(INDEX('Price List'!$H$5:$H$74,MATCH(TRIM(J808)&amp;"|"&amp;TRIM(P808),'Price List'!$O$5:$O$74,0)),0)</f>
        <v>0.2</v>
      </c>
      <c r="V808" s="141">
        <f t="shared" si="60"/>
        <v>10.799999999999999</v>
      </c>
      <c r="W808" s="151">
        <f>IFERROR(INDEX('Price List'!$J$5:$J$74,MATCH(TRIM(J808)&amp;"|"&amp;TRIM(P808),'Price List'!$O$5:$O$74,0)),0)</f>
        <v>22</v>
      </c>
      <c r="X808" s="152">
        <f>IFERROR(INDEX('Price List'!$K$5:$K$74,MATCH(TRIM(J808)&amp;"|"&amp;TRIM(P808),'Price List'!$O$5:$O$74,0)),0)</f>
        <v>0.12</v>
      </c>
      <c r="Y808" s="141">
        <f t="shared" si="61"/>
        <v>24.64</v>
      </c>
      <c r="Z808" s="141">
        <f t="shared" si="62"/>
        <v>779.68</v>
      </c>
      <c r="AA808" s="134"/>
    </row>
    <row r="809" spans="1:27" ht="12" customHeight="1" x14ac:dyDescent="0.35">
      <c r="A809" s="134"/>
      <c r="B809" s="134"/>
      <c r="C809" s="134" t="s">
        <v>689</v>
      </c>
      <c r="D809" s="136" t="str">
        <f t="shared" si="59"/>
        <v>C.09</v>
      </c>
      <c r="E809" s="135" t="s">
        <v>414</v>
      </c>
      <c r="F809" s="135" t="s">
        <v>670</v>
      </c>
      <c r="G809" s="134" t="s">
        <v>694</v>
      </c>
      <c r="H809" s="134" t="s">
        <v>734</v>
      </c>
      <c r="I809" s="134" t="s">
        <v>734</v>
      </c>
      <c r="J809" s="144" t="s">
        <v>305</v>
      </c>
      <c r="K809" s="134"/>
      <c r="L809" s="134"/>
      <c r="M809" s="134"/>
      <c r="N809" s="134"/>
      <c r="O809" s="134"/>
      <c r="P809" s="135" t="s">
        <v>110</v>
      </c>
      <c r="Q809" s="148">
        <v>22</v>
      </c>
      <c r="R809" s="148">
        <v>22</v>
      </c>
      <c r="S809" s="135"/>
      <c r="T809" s="149">
        <f>IFERROR(INDEX('Price List'!$G$5:$G$74,MATCH(TRIM(J809)&amp;"|"&amp;TRIM(P809),'Price List'!$O$5:$O$74,0)),0)</f>
        <v>9</v>
      </c>
      <c r="U809" s="150">
        <f>IFERROR(INDEX('Price List'!$H$5:$H$74,MATCH(TRIM(J809)&amp;"|"&amp;TRIM(P809),'Price List'!$O$5:$O$74,0)),0)</f>
        <v>0.2</v>
      </c>
      <c r="V809" s="141">
        <f t="shared" si="60"/>
        <v>10.799999999999999</v>
      </c>
      <c r="W809" s="151">
        <f>IFERROR(INDEX('Price List'!$J$5:$J$74,MATCH(TRIM(J809)&amp;"|"&amp;TRIM(P809),'Price List'!$O$5:$O$74,0)),0)</f>
        <v>22</v>
      </c>
      <c r="X809" s="152">
        <f>IFERROR(INDEX('Price List'!$K$5:$K$74,MATCH(TRIM(J809)&amp;"|"&amp;TRIM(P809),'Price List'!$O$5:$O$74,0)),0)</f>
        <v>0.12</v>
      </c>
      <c r="Y809" s="141">
        <f t="shared" si="61"/>
        <v>24.64</v>
      </c>
      <c r="Z809" s="141">
        <f t="shared" si="62"/>
        <v>779.68</v>
      </c>
      <c r="AA809" s="134"/>
    </row>
    <row r="810" spans="1:27" ht="12" customHeight="1" x14ac:dyDescent="0.35">
      <c r="A810" s="134"/>
      <c r="B810" s="134"/>
      <c r="C810" s="134" t="s">
        <v>689</v>
      </c>
      <c r="D810" s="136" t="str">
        <f t="shared" si="59"/>
        <v>C.09</v>
      </c>
      <c r="E810" s="135" t="s">
        <v>414</v>
      </c>
      <c r="F810" s="135" t="s">
        <v>671</v>
      </c>
      <c r="G810" s="134" t="s">
        <v>694</v>
      </c>
      <c r="H810" s="134" t="s">
        <v>734</v>
      </c>
      <c r="I810" s="134" t="s">
        <v>734</v>
      </c>
      <c r="J810" s="144" t="s">
        <v>305</v>
      </c>
      <c r="K810" s="134"/>
      <c r="L810" s="134"/>
      <c r="M810" s="134"/>
      <c r="N810" s="134"/>
      <c r="O810" s="134"/>
      <c r="P810" s="135" t="s">
        <v>110</v>
      </c>
      <c r="Q810" s="148">
        <v>22</v>
      </c>
      <c r="R810" s="148">
        <v>22</v>
      </c>
      <c r="S810" s="135"/>
      <c r="T810" s="149">
        <f>IFERROR(INDEX('Price List'!$G$5:$G$74,MATCH(TRIM(J810)&amp;"|"&amp;TRIM(P810),'Price List'!$O$5:$O$74,0)),0)</f>
        <v>9</v>
      </c>
      <c r="U810" s="150">
        <f>IFERROR(INDEX('Price List'!$H$5:$H$74,MATCH(TRIM(J810)&amp;"|"&amp;TRIM(P810),'Price List'!$O$5:$O$74,0)),0)</f>
        <v>0.2</v>
      </c>
      <c r="V810" s="141">
        <f t="shared" si="60"/>
        <v>10.799999999999999</v>
      </c>
      <c r="W810" s="151">
        <f>IFERROR(INDEX('Price List'!$J$5:$J$74,MATCH(TRIM(J810)&amp;"|"&amp;TRIM(P810),'Price List'!$O$5:$O$74,0)),0)</f>
        <v>22</v>
      </c>
      <c r="X810" s="152">
        <f>IFERROR(INDEX('Price List'!$K$5:$K$74,MATCH(TRIM(J810)&amp;"|"&amp;TRIM(P810),'Price List'!$O$5:$O$74,0)),0)</f>
        <v>0.12</v>
      </c>
      <c r="Y810" s="141">
        <f t="shared" si="61"/>
        <v>24.64</v>
      </c>
      <c r="Z810" s="141">
        <f t="shared" si="62"/>
        <v>779.68</v>
      </c>
      <c r="AA810" s="134"/>
    </row>
    <row r="811" spans="1:27" ht="12" customHeight="1" x14ac:dyDescent="0.35">
      <c r="A811" s="134"/>
      <c r="B811" s="134"/>
      <c r="C811" s="134" t="s">
        <v>689</v>
      </c>
      <c r="D811" s="136" t="str">
        <f t="shared" si="59"/>
        <v>C.09</v>
      </c>
      <c r="E811" s="135" t="s">
        <v>414</v>
      </c>
      <c r="F811" s="135" t="s">
        <v>672</v>
      </c>
      <c r="G811" s="134" t="s">
        <v>694</v>
      </c>
      <c r="H811" s="134" t="s">
        <v>734</v>
      </c>
      <c r="I811" s="134" t="s">
        <v>734</v>
      </c>
      <c r="J811" s="144" t="s">
        <v>305</v>
      </c>
      <c r="K811" s="134"/>
      <c r="L811" s="134"/>
      <c r="M811" s="134"/>
      <c r="N811" s="134"/>
      <c r="O811" s="134"/>
      <c r="P811" s="135" t="s">
        <v>110</v>
      </c>
      <c r="Q811" s="148">
        <v>22</v>
      </c>
      <c r="R811" s="148">
        <v>22</v>
      </c>
      <c r="S811" s="135"/>
      <c r="T811" s="149">
        <f>IFERROR(INDEX('Price List'!$G$5:$G$74,MATCH(TRIM(J811)&amp;"|"&amp;TRIM(P811),'Price List'!$O$5:$O$74,0)),0)</f>
        <v>9</v>
      </c>
      <c r="U811" s="150">
        <f>IFERROR(INDEX('Price List'!$H$5:$H$74,MATCH(TRIM(J811)&amp;"|"&amp;TRIM(P811),'Price List'!$O$5:$O$74,0)),0)</f>
        <v>0.2</v>
      </c>
      <c r="V811" s="141">
        <f t="shared" si="60"/>
        <v>10.799999999999999</v>
      </c>
      <c r="W811" s="151">
        <f>IFERROR(INDEX('Price List'!$J$5:$J$74,MATCH(TRIM(J811)&amp;"|"&amp;TRIM(P811),'Price List'!$O$5:$O$74,0)),0)</f>
        <v>22</v>
      </c>
      <c r="X811" s="152">
        <f>IFERROR(INDEX('Price List'!$K$5:$K$74,MATCH(TRIM(J811)&amp;"|"&amp;TRIM(P811),'Price List'!$O$5:$O$74,0)),0)</f>
        <v>0.12</v>
      </c>
      <c r="Y811" s="141">
        <f t="shared" si="61"/>
        <v>24.64</v>
      </c>
      <c r="Z811" s="141">
        <f t="shared" si="62"/>
        <v>779.68</v>
      </c>
      <c r="AA811" s="134"/>
    </row>
    <row r="812" spans="1:27" ht="12" customHeight="1" x14ac:dyDescent="0.35">
      <c r="A812" s="134"/>
      <c r="B812" s="134"/>
      <c r="C812" s="134" t="s">
        <v>689</v>
      </c>
      <c r="D812" s="136" t="str">
        <f t="shared" si="59"/>
        <v>C.09</v>
      </c>
      <c r="E812" s="135" t="s">
        <v>414</v>
      </c>
      <c r="F812" s="135" t="s">
        <v>673</v>
      </c>
      <c r="G812" s="134" t="s">
        <v>694</v>
      </c>
      <c r="H812" s="134" t="s">
        <v>734</v>
      </c>
      <c r="I812" s="134" t="s">
        <v>734</v>
      </c>
      <c r="J812" s="144" t="s">
        <v>305</v>
      </c>
      <c r="K812" s="134"/>
      <c r="L812" s="134"/>
      <c r="M812" s="134"/>
      <c r="N812" s="134"/>
      <c r="O812" s="134"/>
      <c r="P812" s="135" t="s">
        <v>110</v>
      </c>
      <c r="Q812" s="148">
        <v>22</v>
      </c>
      <c r="R812" s="148">
        <v>22</v>
      </c>
      <c r="S812" s="135"/>
      <c r="T812" s="149">
        <f>IFERROR(INDEX('Price List'!$G$5:$G$74,MATCH(TRIM(J812)&amp;"|"&amp;TRIM(P812),'Price List'!$O$5:$O$74,0)),0)</f>
        <v>9</v>
      </c>
      <c r="U812" s="150">
        <f>IFERROR(INDEX('Price List'!$H$5:$H$74,MATCH(TRIM(J812)&amp;"|"&amp;TRIM(P812),'Price List'!$O$5:$O$74,0)),0)</f>
        <v>0.2</v>
      </c>
      <c r="V812" s="141">
        <f t="shared" si="60"/>
        <v>10.799999999999999</v>
      </c>
      <c r="W812" s="151">
        <f>IFERROR(INDEX('Price List'!$J$5:$J$74,MATCH(TRIM(J812)&amp;"|"&amp;TRIM(P812),'Price List'!$O$5:$O$74,0)),0)</f>
        <v>22</v>
      </c>
      <c r="X812" s="152">
        <f>IFERROR(INDEX('Price List'!$K$5:$K$74,MATCH(TRIM(J812)&amp;"|"&amp;TRIM(P812),'Price List'!$O$5:$O$74,0)),0)</f>
        <v>0.12</v>
      </c>
      <c r="Y812" s="141">
        <f t="shared" si="61"/>
        <v>24.64</v>
      </c>
      <c r="Z812" s="141">
        <f t="shared" si="62"/>
        <v>779.68</v>
      </c>
      <c r="AA812" s="134"/>
    </row>
    <row r="813" spans="1:27" ht="12" customHeight="1" x14ac:dyDescent="0.35">
      <c r="A813" s="134"/>
      <c r="B813" s="134"/>
      <c r="C813" s="134" t="s">
        <v>689</v>
      </c>
      <c r="D813" s="136" t="str">
        <f t="shared" si="59"/>
        <v>C.09</v>
      </c>
      <c r="E813" s="135" t="s">
        <v>414</v>
      </c>
      <c r="F813" s="135" t="s">
        <v>674</v>
      </c>
      <c r="G813" s="134" t="s">
        <v>694</v>
      </c>
      <c r="H813" s="134" t="s">
        <v>734</v>
      </c>
      <c r="I813" s="134" t="s">
        <v>734</v>
      </c>
      <c r="J813" s="144" t="s">
        <v>305</v>
      </c>
      <c r="K813" s="134"/>
      <c r="L813" s="134"/>
      <c r="M813" s="134"/>
      <c r="N813" s="134"/>
      <c r="O813" s="134"/>
      <c r="P813" s="135" t="s">
        <v>110</v>
      </c>
      <c r="Q813" s="148">
        <v>22</v>
      </c>
      <c r="R813" s="148">
        <v>22</v>
      </c>
      <c r="S813" s="135"/>
      <c r="T813" s="149">
        <f>IFERROR(INDEX('Price List'!$G$5:$G$74,MATCH(TRIM(J813)&amp;"|"&amp;TRIM(P813),'Price List'!$O$5:$O$74,0)),0)</f>
        <v>9</v>
      </c>
      <c r="U813" s="150">
        <f>IFERROR(INDEX('Price List'!$H$5:$H$74,MATCH(TRIM(J813)&amp;"|"&amp;TRIM(P813),'Price List'!$O$5:$O$74,0)),0)</f>
        <v>0.2</v>
      </c>
      <c r="V813" s="141">
        <f t="shared" si="60"/>
        <v>10.799999999999999</v>
      </c>
      <c r="W813" s="151">
        <f>IFERROR(INDEX('Price List'!$J$5:$J$74,MATCH(TRIM(J813)&amp;"|"&amp;TRIM(P813),'Price List'!$O$5:$O$74,0)),0)</f>
        <v>22</v>
      </c>
      <c r="X813" s="152">
        <f>IFERROR(INDEX('Price List'!$K$5:$K$74,MATCH(TRIM(J813)&amp;"|"&amp;TRIM(P813),'Price List'!$O$5:$O$74,0)),0)</f>
        <v>0.12</v>
      </c>
      <c r="Y813" s="141">
        <f t="shared" si="61"/>
        <v>24.64</v>
      </c>
      <c r="Z813" s="141">
        <f t="shared" si="62"/>
        <v>779.68</v>
      </c>
      <c r="AA813" s="134"/>
    </row>
    <row r="814" spans="1:27" ht="12" customHeight="1" x14ac:dyDescent="0.35">
      <c r="A814" s="134"/>
      <c r="B814" s="134"/>
      <c r="C814" s="134" t="s">
        <v>689</v>
      </c>
      <c r="D814" s="136" t="str">
        <f t="shared" si="59"/>
        <v>C.09</v>
      </c>
      <c r="E814" s="135" t="s">
        <v>414</v>
      </c>
      <c r="F814" s="135" t="s">
        <v>675</v>
      </c>
      <c r="G814" s="134" t="s">
        <v>694</v>
      </c>
      <c r="H814" s="134" t="s">
        <v>734</v>
      </c>
      <c r="I814" s="134" t="s">
        <v>734</v>
      </c>
      <c r="J814" s="144" t="s">
        <v>305</v>
      </c>
      <c r="K814" s="134"/>
      <c r="L814" s="134"/>
      <c r="M814" s="134"/>
      <c r="N814" s="134"/>
      <c r="O814" s="134"/>
      <c r="P814" s="135" t="s">
        <v>110</v>
      </c>
      <c r="Q814" s="148">
        <v>22</v>
      </c>
      <c r="R814" s="148">
        <v>22</v>
      </c>
      <c r="S814" s="135"/>
      <c r="T814" s="149">
        <f>IFERROR(INDEX('Price List'!$G$5:$G$74,MATCH(TRIM(J814)&amp;"|"&amp;TRIM(P814),'Price List'!$O$5:$O$74,0)),0)</f>
        <v>9</v>
      </c>
      <c r="U814" s="150">
        <f>IFERROR(INDEX('Price List'!$H$5:$H$74,MATCH(TRIM(J814)&amp;"|"&amp;TRIM(P814),'Price List'!$O$5:$O$74,0)),0)</f>
        <v>0.2</v>
      </c>
      <c r="V814" s="141">
        <f t="shared" si="60"/>
        <v>10.799999999999999</v>
      </c>
      <c r="W814" s="151">
        <f>IFERROR(INDEX('Price List'!$J$5:$J$74,MATCH(TRIM(J814)&amp;"|"&amp;TRIM(P814),'Price List'!$O$5:$O$74,0)),0)</f>
        <v>22</v>
      </c>
      <c r="X814" s="152">
        <f>IFERROR(INDEX('Price List'!$K$5:$K$74,MATCH(TRIM(J814)&amp;"|"&amp;TRIM(P814),'Price List'!$O$5:$O$74,0)),0)</f>
        <v>0.12</v>
      </c>
      <c r="Y814" s="141">
        <f t="shared" si="61"/>
        <v>24.64</v>
      </c>
      <c r="Z814" s="141">
        <f t="shared" si="62"/>
        <v>779.68</v>
      </c>
      <c r="AA814" s="134"/>
    </row>
    <row r="815" spans="1:27" ht="12" customHeight="1" x14ac:dyDescent="0.35">
      <c r="A815" s="134"/>
      <c r="B815" s="134"/>
      <c r="C815" s="134" t="s">
        <v>689</v>
      </c>
      <c r="D815" s="136" t="str">
        <f t="shared" si="59"/>
        <v>C.09</v>
      </c>
      <c r="E815" s="135" t="s">
        <v>414</v>
      </c>
      <c r="F815" s="135" t="s">
        <v>676</v>
      </c>
      <c r="G815" s="134" t="s">
        <v>694</v>
      </c>
      <c r="H815" s="134" t="s">
        <v>734</v>
      </c>
      <c r="I815" s="134" t="s">
        <v>734</v>
      </c>
      <c r="J815" s="144" t="s">
        <v>305</v>
      </c>
      <c r="K815" s="134"/>
      <c r="L815" s="134"/>
      <c r="M815" s="134"/>
      <c r="N815" s="134"/>
      <c r="O815" s="134"/>
      <c r="P815" s="135" t="s">
        <v>110</v>
      </c>
      <c r="Q815" s="148">
        <v>22</v>
      </c>
      <c r="R815" s="148">
        <v>22</v>
      </c>
      <c r="S815" s="135"/>
      <c r="T815" s="149">
        <f>IFERROR(INDEX('Price List'!$G$5:$G$74,MATCH(TRIM(J815)&amp;"|"&amp;TRIM(P815),'Price List'!$O$5:$O$74,0)),0)</f>
        <v>9</v>
      </c>
      <c r="U815" s="150">
        <f>IFERROR(INDEX('Price List'!$H$5:$H$74,MATCH(TRIM(J815)&amp;"|"&amp;TRIM(P815),'Price List'!$O$5:$O$74,0)),0)</f>
        <v>0.2</v>
      </c>
      <c r="V815" s="141">
        <f t="shared" si="60"/>
        <v>10.799999999999999</v>
      </c>
      <c r="W815" s="151">
        <f>IFERROR(INDEX('Price List'!$J$5:$J$74,MATCH(TRIM(J815)&amp;"|"&amp;TRIM(P815),'Price List'!$O$5:$O$74,0)),0)</f>
        <v>22</v>
      </c>
      <c r="X815" s="152">
        <f>IFERROR(INDEX('Price List'!$K$5:$K$74,MATCH(TRIM(J815)&amp;"|"&amp;TRIM(P815),'Price List'!$O$5:$O$74,0)),0)</f>
        <v>0.12</v>
      </c>
      <c r="Y815" s="141">
        <f t="shared" si="61"/>
        <v>24.64</v>
      </c>
      <c r="Z815" s="141">
        <f t="shared" si="62"/>
        <v>779.68</v>
      </c>
      <c r="AA815" s="134"/>
    </row>
    <row r="816" spans="1:27" ht="12" customHeight="1" x14ac:dyDescent="0.35">
      <c r="A816" s="134"/>
      <c r="B816" s="134"/>
      <c r="C816" s="134" t="s">
        <v>689</v>
      </c>
      <c r="D816" s="136" t="str">
        <f t="shared" si="59"/>
        <v>C.09</v>
      </c>
      <c r="E816" s="135" t="s">
        <v>414</v>
      </c>
      <c r="F816" s="135" t="s">
        <v>677</v>
      </c>
      <c r="G816" s="134" t="s">
        <v>694</v>
      </c>
      <c r="H816" s="134" t="s">
        <v>734</v>
      </c>
      <c r="I816" s="134" t="s">
        <v>734</v>
      </c>
      <c r="J816" s="144" t="s">
        <v>305</v>
      </c>
      <c r="K816" s="134"/>
      <c r="L816" s="134"/>
      <c r="M816" s="134"/>
      <c r="N816" s="134"/>
      <c r="O816" s="134"/>
      <c r="P816" s="135" t="s">
        <v>110</v>
      </c>
      <c r="Q816" s="148">
        <v>22</v>
      </c>
      <c r="R816" s="148">
        <v>22</v>
      </c>
      <c r="S816" s="135"/>
      <c r="T816" s="149">
        <f>IFERROR(INDEX('Price List'!$G$5:$G$74,MATCH(TRIM(J816)&amp;"|"&amp;TRIM(P816),'Price List'!$O$5:$O$74,0)),0)</f>
        <v>9</v>
      </c>
      <c r="U816" s="150">
        <f>IFERROR(INDEX('Price List'!$H$5:$H$74,MATCH(TRIM(J816)&amp;"|"&amp;TRIM(P816),'Price List'!$O$5:$O$74,0)),0)</f>
        <v>0.2</v>
      </c>
      <c r="V816" s="141">
        <f t="shared" si="60"/>
        <v>10.799999999999999</v>
      </c>
      <c r="W816" s="151">
        <f>IFERROR(INDEX('Price List'!$J$5:$J$74,MATCH(TRIM(J816)&amp;"|"&amp;TRIM(P816),'Price List'!$O$5:$O$74,0)),0)</f>
        <v>22</v>
      </c>
      <c r="X816" s="152">
        <f>IFERROR(INDEX('Price List'!$K$5:$K$74,MATCH(TRIM(J816)&amp;"|"&amp;TRIM(P816),'Price List'!$O$5:$O$74,0)),0)</f>
        <v>0.12</v>
      </c>
      <c r="Y816" s="141">
        <f t="shared" si="61"/>
        <v>24.64</v>
      </c>
      <c r="Z816" s="141">
        <f t="shared" si="62"/>
        <v>779.68</v>
      </c>
      <c r="AA816" s="134"/>
    </row>
    <row r="817" spans="1:27" ht="12" customHeight="1" x14ac:dyDescent="0.35">
      <c r="A817" s="134"/>
      <c r="B817" s="134"/>
      <c r="C817" s="134" t="s">
        <v>689</v>
      </c>
      <c r="D817" s="136" t="str">
        <f t="shared" si="59"/>
        <v>D.02</v>
      </c>
      <c r="E817" s="135" t="s">
        <v>414</v>
      </c>
      <c r="F817" s="135" t="s">
        <v>664</v>
      </c>
      <c r="G817" s="134" t="s">
        <v>733</v>
      </c>
      <c r="H817" s="134" t="s">
        <v>357</v>
      </c>
      <c r="I817" s="134" t="s">
        <v>357</v>
      </c>
      <c r="J817" s="144" t="s">
        <v>357</v>
      </c>
      <c r="K817" s="134"/>
      <c r="L817" s="134"/>
      <c r="M817" s="134"/>
      <c r="N817" s="134"/>
      <c r="O817" s="134"/>
      <c r="P817" s="135" t="s">
        <v>128</v>
      </c>
      <c r="Q817" s="148">
        <v>40</v>
      </c>
      <c r="R817" s="148">
        <v>40</v>
      </c>
      <c r="S817" s="135"/>
      <c r="T817" s="149">
        <f>IFERROR(INDEX('Price List'!$G$5:$G$74,MATCH(TRIM(J817)&amp;"|"&amp;TRIM(P817),'Price List'!$O$5:$O$74,0)),0)</f>
        <v>8</v>
      </c>
      <c r="U817" s="150">
        <f>IFERROR(INDEX('Price List'!$H$5:$H$74,MATCH(TRIM(J817)&amp;"|"&amp;TRIM(P817),'Price List'!$O$5:$O$74,0)),0)</f>
        <v>0.2</v>
      </c>
      <c r="V817" s="141">
        <f t="shared" si="60"/>
        <v>9.6</v>
      </c>
      <c r="W817" s="151">
        <f>IFERROR(INDEX('Price List'!$J$5:$J$74,MATCH(TRIM(J817)&amp;"|"&amp;TRIM(P817),'Price List'!$O$5:$O$74,0)),0)</f>
        <v>55</v>
      </c>
      <c r="X817" s="152">
        <f>IFERROR(INDEX('Price List'!$K$5:$K$74,MATCH(TRIM(J817)&amp;"|"&amp;TRIM(P817),'Price List'!$O$5:$O$74,0)),0)</f>
        <v>0.12</v>
      </c>
      <c r="Y817" s="141">
        <f t="shared" si="61"/>
        <v>61.600000000000009</v>
      </c>
      <c r="Z817" s="141">
        <f t="shared" si="62"/>
        <v>2848</v>
      </c>
      <c r="AA817" s="134"/>
    </row>
    <row r="818" spans="1:27" ht="12" customHeight="1" x14ac:dyDescent="0.35">
      <c r="A818" s="134"/>
      <c r="B818" s="134"/>
      <c r="C818" s="134" t="s">
        <v>689</v>
      </c>
      <c r="D818" s="136" t="str">
        <f t="shared" si="59"/>
        <v>D.02</v>
      </c>
      <c r="E818" s="135" t="s">
        <v>414</v>
      </c>
      <c r="F818" s="135" t="s">
        <v>667</v>
      </c>
      <c r="G818" s="134" t="s">
        <v>733</v>
      </c>
      <c r="H818" s="134" t="s">
        <v>357</v>
      </c>
      <c r="I818" s="134" t="s">
        <v>357</v>
      </c>
      <c r="J818" s="144" t="s">
        <v>357</v>
      </c>
      <c r="K818" s="134"/>
      <c r="L818" s="134"/>
      <c r="M818" s="134"/>
      <c r="N818" s="134"/>
      <c r="O818" s="134"/>
      <c r="P818" s="135" t="s">
        <v>128</v>
      </c>
      <c r="Q818" s="148">
        <v>40</v>
      </c>
      <c r="R818" s="148">
        <v>40</v>
      </c>
      <c r="S818" s="135"/>
      <c r="T818" s="149">
        <f>IFERROR(INDEX('Price List'!$G$5:$G$74,MATCH(TRIM(J818)&amp;"|"&amp;TRIM(P818),'Price List'!$O$5:$O$74,0)),0)</f>
        <v>8</v>
      </c>
      <c r="U818" s="150">
        <f>IFERROR(INDEX('Price List'!$H$5:$H$74,MATCH(TRIM(J818)&amp;"|"&amp;TRIM(P818),'Price List'!$O$5:$O$74,0)),0)</f>
        <v>0.2</v>
      </c>
      <c r="V818" s="141">
        <f t="shared" si="60"/>
        <v>9.6</v>
      </c>
      <c r="W818" s="151">
        <f>IFERROR(INDEX('Price List'!$J$5:$J$74,MATCH(TRIM(J818)&amp;"|"&amp;TRIM(P818),'Price List'!$O$5:$O$74,0)),0)</f>
        <v>55</v>
      </c>
      <c r="X818" s="152">
        <f>IFERROR(INDEX('Price List'!$K$5:$K$74,MATCH(TRIM(J818)&amp;"|"&amp;TRIM(P818),'Price List'!$O$5:$O$74,0)),0)</f>
        <v>0.12</v>
      </c>
      <c r="Y818" s="141">
        <f t="shared" si="61"/>
        <v>61.600000000000009</v>
      </c>
      <c r="Z818" s="141">
        <f t="shared" si="62"/>
        <v>2848</v>
      </c>
      <c r="AA818" s="134"/>
    </row>
    <row r="819" spans="1:27" ht="12" customHeight="1" x14ac:dyDescent="0.35">
      <c r="A819" s="134"/>
      <c r="B819" s="134"/>
      <c r="C819" s="134" t="s">
        <v>689</v>
      </c>
      <c r="D819" s="136" t="str">
        <f t="shared" si="59"/>
        <v>D.02</v>
      </c>
      <c r="E819" s="135" t="s">
        <v>414</v>
      </c>
      <c r="F819" s="135" t="s">
        <v>668</v>
      </c>
      <c r="G819" s="134" t="s">
        <v>733</v>
      </c>
      <c r="H819" s="134" t="s">
        <v>357</v>
      </c>
      <c r="I819" s="134" t="s">
        <v>357</v>
      </c>
      <c r="J819" s="144" t="s">
        <v>357</v>
      </c>
      <c r="K819" s="134"/>
      <c r="L819" s="134"/>
      <c r="M819" s="134"/>
      <c r="N819" s="134"/>
      <c r="O819" s="134"/>
      <c r="P819" s="135" t="s">
        <v>128</v>
      </c>
      <c r="Q819" s="148">
        <v>40</v>
      </c>
      <c r="R819" s="148">
        <v>40</v>
      </c>
      <c r="S819" s="135"/>
      <c r="T819" s="149">
        <f>IFERROR(INDEX('Price List'!$G$5:$G$74,MATCH(TRIM(J819)&amp;"|"&amp;TRIM(P819),'Price List'!$O$5:$O$74,0)),0)</f>
        <v>8</v>
      </c>
      <c r="U819" s="150">
        <f>IFERROR(INDEX('Price List'!$H$5:$H$74,MATCH(TRIM(J819)&amp;"|"&amp;TRIM(P819),'Price List'!$O$5:$O$74,0)),0)</f>
        <v>0.2</v>
      </c>
      <c r="V819" s="141">
        <f t="shared" si="60"/>
        <v>9.6</v>
      </c>
      <c r="W819" s="151">
        <f>IFERROR(INDEX('Price List'!$J$5:$J$74,MATCH(TRIM(J819)&amp;"|"&amp;TRIM(P819),'Price List'!$O$5:$O$74,0)),0)</f>
        <v>55</v>
      </c>
      <c r="X819" s="152">
        <f>IFERROR(INDEX('Price List'!$K$5:$K$74,MATCH(TRIM(J819)&amp;"|"&amp;TRIM(P819),'Price List'!$O$5:$O$74,0)),0)</f>
        <v>0.12</v>
      </c>
      <c r="Y819" s="141">
        <f t="shared" si="61"/>
        <v>61.600000000000009</v>
      </c>
      <c r="Z819" s="141">
        <f t="shared" si="62"/>
        <v>2848</v>
      </c>
      <c r="AA819" s="134"/>
    </row>
    <row r="820" spans="1:27" ht="12" customHeight="1" x14ac:dyDescent="0.35">
      <c r="A820" s="134"/>
      <c r="B820" s="134"/>
      <c r="C820" s="134" t="s">
        <v>689</v>
      </c>
      <c r="D820" s="136" t="str">
        <f t="shared" si="59"/>
        <v>D.02</v>
      </c>
      <c r="E820" s="135" t="s">
        <v>414</v>
      </c>
      <c r="F820" s="135" t="s">
        <v>669</v>
      </c>
      <c r="G820" s="134" t="s">
        <v>733</v>
      </c>
      <c r="H820" s="134" t="s">
        <v>357</v>
      </c>
      <c r="I820" s="134" t="s">
        <v>357</v>
      </c>
      <c r="J820" s="144" t="s">
        <v>357</v>
      </c>
      <c r="K820" s="134"/>
      <c r="L820" s="134"/>
      <c r="M820" s="134"/>
      <c r="N820" s="134"/>
      <c r="O820" s="134"/>
      <c r="P820" s="135" t="s">
        <v>128</v>
      </c>
      <c r="Q820" s="148">
        <v>40</v>
      </c>
      <c r="R820" s="148">
        <v>40</v>
      </c>
      <c r="S820" s="135"/>
      <c r="T820" s="149">
        <f>IFERROR(INDEX('Price List'!$G$5:$G$74,MATCH(TRIM(J820)&amp;"|"&amp;TRIM(P820),'Price List'!$O$5:$O$74,0)),0)</f>
        <v>8</v>
      </c>
      <c r="U820" s="150">
        <f>IFERROR(INDEX('Price List'!$H$5:$H$74,MATCH(TRIM(J820)&amp;"|"&amp;TRIM(P820),'Price List'!$O$5:$O$74,0)),0)</f>
        <v>0.2</v>
      </c>
      <c r="V820" s="141">
        <f t="shared" si="60"/>
        <v>9.6</v>
      </c>
      <c r="W820" s="151">
        <f>IFERROR(INDEX('Price List'!$J$5:$J$74,MATCH(TRIM(J820)&amp;"|"&amp;TRIM(P820),'Price List'!$O$5:$O$74,0)),0)</f>
        <v>55</v>
      </c>
      <c r="X820" s="152">
        <f>IFERROR(INDEX('Price List'!$K$5:$K$74,MATCH(TRIM(J820)&amp;"|"&amp;TRIM(P820),'Price List'!$O$5:$O$74,0)),0)</f>
        <v>0.12</v>
      </c>
      <c r="Y820" s="141">
        <f t="shared" si="61"/>
        <v>61.600000000000009</v>
      </c>
      <c r="Z820" s="141">
        <f t="shared" si="62"/>
        <v>2848</v>
      </c>
      <c r="AA820" s="134"/>
    </row>
    <row r="821" spans="1:27" ht="12" customHeight="1" x14ac:dyDescent="0.35">
      <c r="A821" s="134"/>
      <c r="B821" s="134"/>
      <c r="C821" s="134" t="s">
        <v>689</v>
      </c>
      <c r="D821" s="136" t="str">
        <f t="shared" si="59"/>
        <v>D.02</v>
      </c>
      <c r="E821" s="135" t="s">
        <v>414</v>
      </c>
      <c r="F821" s="135" t="s">
        <v>670</v>
      </c>
      <c r="G821" s="134" t="s">
        <v>733</v>
      </c>
      <c r="H821" s="134" t="s">
        <v>357</v>
      </c>
      <c r="I821" s="134" t="s">
        <v>357</v>
      </c>
      <c r="J821" s="144" t="s">
        <v>357</v>
      </c>
      <c r="K821" s="134"/>
      <c r="L821" s="134"/>
      <c r="M821" s="134"/>
      <c r="N821" s="134"/>
      <c r="O821" s="134"/>
      <c r="P821" s="135" t="s">
        <v>128</v>
      </c>
      <c r="Q821" s="148">
        <v>40</v>
      </c>
      <c r="R821" s="148">
        <v>40</v>
      </c>
      <c r="S821" s="135"/>
      <c r="T821" s="149">
        <f>IFERROR(INDEX('Price List'!$G$5:$G$74,MATCH(TRIM(J821)&amp;"|"&amp;TRIM(P821),'Price List'!$O$5:$O$74,0)),0)</f>
        <v>8</v>
      </c>
      <c r="U821" s="150">
        <f>IFERROR(INDEX('Price List'!$H$5:$H$74,MATCH(TRIM(J821)&amp;"|"&amp;TRIM(P821),'Price List'!$O$5:$O$74,0)),0)</f>
        <v>0.2</v>
      </c>
      <c r="V821" s="141">
        <f t="shared" si="60"/>
        <v>9.6</v>
      </c>
      <c r="W821" s="151">
        <f>IFERROR(INDEX('Price List'!$J$5:$J$74,MATCH(TRIM(J821)&amp;"|"&amp;TRIM(P821),'Price List'!$O$5:$O$74,0)),0)</f>
        <v>55</v>
      </c>
      <c r="X821" s="152">
        <f>IFERROR(INDEX('Price List'!$K$5:$K$74,MATCH(TRIM(J821)&amp;"|"&amp;TRIM(P821),'Price List'!$O$5:$O$74,0)),0)</f>
        <v>0.12</v>
      </c>
      <c r="Y821" s="141">
        <f t="shared" si="61"/>
        <v>61.600000000000009</v>
      </c>
      <c r="Z821" s="141">
        <f t="shared" si="62"/>
        <v>2848</v>
      </c>
      <c r="AA821" s="134"/>
    </row>
    <row r="822" spans="1:27" ht="12" customHeight="1" x14ac:dyDescent="0.35">
      <c r="A822" s="134"/>
      <c r="B822" s="134"/>
      <c r="C822" s="134" t="s">
        <v>689</v>
      </c>
      <c r="D822" s="136" t="str">
        <f t="shared" si="59"/>
        <v>D.02</v>
      </c>
      <c r="E822" s="135" t="s">
        <v>414</v>
      </c>
      <c r="F822" s="135" t="s">
        <v>671</v>
      </c>
      <c r="G822" s="134" t="s">
        <v>733</v>
      </c>
      <c r="H822" s="134" t="s">
        <v>357</v>
      </c>
      <c r="I822" s="134" t="s">
        <v>357</v>
      </c>
      <c r="J822" s="144" t="s">
        <v>357</v>
      </c>
      <c r="K822" s="134"/>
      <c r="L822" s="134"/>
      <c r="M822" s="134"/>
      <c r="N822" s="134"/>
      <c r="O822" s="134"/>
      <c r="P822" s="135" t="s">
        <v>128</v>
      </c>
      <c r="Q822" s="148">
        <v>40</v>
      </c>
      <c r="R822" s="148">
        <v>40</v>
      </c>
      <c r="S822" s="135"/>
      <c r="T822" s="149">
        <f>IFERROR(INDEX('Price List'!$G$5:$G$74,MATCH(TRIM(J822)&amp;"|"&amp;TRIM(P822),'Price List'!$O$5:$O$74,0)),0)</f>
        <v>8</v>
      </c>
      <c r="U822" s="150">
        <f>IFERROR(INDEX('Price List'!$H$5:$H$74,MATCH(TRIM(J822)&amp;"|"&amp;TRIM(P822),'Price List'!$O$5:$O$74,0)),0)</f>
        <v>0.2</v>
      </c>
      <c r="V822" s="141">
        <f t="shared" si="60"/>
        <v>9.6</v>
      </c>
      <c r="W822" s="151">
        <f>IFERROR(INDEX('Price List'!$J$5:$J$74,MATCH(TRIM(J822)&amp;"|"&amp;TRIM(P822),'Price List'!$O$5:$O$74,0)),0)</f>
        <v>55</v>
      </c>
      <c r="X822" s="152">
        <f>IFERROR(INDEX('Price List'!$K$5:$K$74,MATCH(TRIM(J822)&amp;"|"&amp;TRIM(P822),'Price List'!$O$5:$O$74,0)),0)</f>
        <v>0.12</v>
      </c>
      <c r="Y822" s="141">
        <f t="shared" si="61"/>
        <v>61.600000000000009</v>
      </c>
      <c r="Z822" s="141">
        <f t="shared" si="62"/>
        <v>2848</v>
      </c>
      <c r="AA822" s="134"/>
    </row>
    <row r="823" spans="1:27" ht="12" customHeight="1" x14ac:dyDescent="0.35">
      <c r="A823" s="134"/>
      <c r="B823" s="134"/>
      <c r="C823" s="134" t="s">
        <v>689</v>
      </c>
      <c r="D823" s="136" t="str">
        <f t="shared" si="59"/>
        <v>D.02</v>
      </c>
      <c r="E823" s="135" t="s">
        <v>414</v>
      </c>
      <c r="F823" s="135" t="s">
        <v>672</v>
      </c>
      <c r="G823" s="134" t="s">
        <v>733</v>
      </c>
      <c r="H823" s="134" t="s">
        <v>357</v>
      </c>
      <c r="I823" s="134" t="s">
        <v>357</v>
      </c>
      <c r="J823" s="144" t="s">
        <v>357</v>
      </c>
      <c r="K823" s="134"/>
      <c r="L823" s="134"/>
      <c r="M823" s="134"/>
      <c r="N823" s="134"/>
      <c r="O823" s="134"/>
      <c r="P823" s="135" t="s">
        <v>128</v>
      </c>
      <c r="Q823" s="148">
        <v>40</v>
      </c>
      <c r="R823" s="148">
        <v>40</v>
      </c>
      <c r="S823" s="135"/>
      <c r="T823" s="149">
        <f>IFERROR(INDEX('Price List'!$G$5:$G$74,MATCH(TRIM(J823)&amp;"|"&amp;TRIM(P823),'Price List'!$O$5:$O$74,0)),0)</f>
        <v>8</v>
      </c>
      <c r="U823" s="150">
        <f>IFERROR(INDEX('Price List'!$H$5:$H$74,MATCH(TRIM(J823)&amp;"|"&amp;TRIM(P823),'Price List'!$O$5:$O$74,0)),0)</f>
        <v>0.2</v>
      </c>
      <c r="V823" s="141">
        <f t="shared" si="60"/>
        <v>9.6</v>
      </c>
      <c r="W823" s="151">
        <f>IFERROR(INDEX('Price List'!$J$5:$J$74,MATCH(TRIM(J823)&amp;"|"&amp;TRIM(P823),'Price List'!$O$5:$O$74,0)),0)</f>
        <v>55</v>
      </c>
      <c r="X823" s="152">
        <f>IFERROR(INDEX('Price List'!$K$5:$K$74,MATCH(TRIM(J823)&amp;"|"&amp;TRIM(P823),'Price List'!$O$5:$O$74,0)),0)</f>
        <v>0.12</v>
      </c>
      <c r="Y823" s="141">
        <f t="shared" si="61"/>
        <v>61.600000000000009</v>
      </c>
      <c r="Z823" s="141">
        <f t="shared" si="62"/>
        <v>2848</v>
      </c>
      <c r="AA823" s="134"/>
    </row>
    <row r="824" spans="1:27" ht="12" customHeight="1" x14ac:dyDescent="0.35">
      <c r="A824" s="134"/>
      <c r="B824" s="134"/>
      <c r="C824" s="134" t="s">
        <v>689</v>
      </c>
      <c r="D824" s="136" t="str">
        <f t="shared" si="59"/>
        <v>D.02</v>
      </c>
      <c r="E824" s="135" t="s">
        <v>414</v>
      </c>
      <c r="F824" s="135" t="s">
        <v>673</v>
      </c>
      <c r="G824" s="134" t="s">
        <v>733</v>
      </c>
      <c r="H824" s="134" t="s">
        <v>357</v>
      </c>
      <c r="I824" s="134" t="s">
        <v>357</v>
      </c>
      <c r="J824" s="144" t="s">
        <v>357</v>
      </c>
      <c r="K824" s="134"/>
      <c r="L824" s="134"/>
      <c r="M824" s="134"/>
      <c r="N824" s="134"/>
      <c r="O824" s="134"/>
      <c r="P824" s="135" t="s">
        <v>128</v>
      </c>
      <c r="Q824" s="148">
        <v>40</v>
      </c>
      <c r="R824" s="148">
        <v>40</v>
      </c>
      <c r="S824" s="135"/>
      <c r="T824" s="149">
        <f>IFERROR(INDEX('Price List'!$G$5:$G$74,MATCH(TRIM(J824)&amp;"|"&amp;TRIM(P824),'Price List'!$O$5:$O$74,0)),0)</f>
        <v>8</v>
      </c>
      <c r="U824" s="150">
        <f>IFERROR(INDEX('Price List'!$H$5:$H$74,MATCH(TRIM(J824)&amp;"|"&amp;TRIM(P824),'Price List'!$O$5:$O$74,0)),0)</f>
        <v>0.2</v>
      </c>
      <c r="V824" s="141">
        <f t="shared" si="60"/>
        <v>9.6</v>
      </c>
      <c r="W824" s="151">
        <f>IFERROR(INDEX('Price List'!$J$5:$J$74,MATCH(TRIM(J824)&amp;"|"&amp;TRIM(P824),'Price List'!$O$5:$O$74,0)),0)</f>
        <v>55</v>
      </c>
      <c r="X824" s="152">
        <f>IFERROR(INDEX('Price List'!$K$5:$K$74,MATCH(TRIM(J824)&amp;"|"&amp;TRIM(P824),'Price List'!$O$5:$O$74,0)),0)</f>
        <v>0.12</v>
      </c>
      <c r="Y824" s="141">
        <f t="shared" si="61"/>
        <v>61.600000000000009</v>
      </c>
      <c r="Z824" s="141">
        <f t="shared" si="62"/>
        <v>2848</v>
      </c>
      <c r="AA824" s="134"/>
    </row>
    <row r="825" spans="1:27" ht="12" customHeight="1" x14ac:dyDescent="0.35">
      <c r="A825" s="134"/>
      <c r="B825" s="134"/>
      <c r="C825" s="134" t="s">
        <v>689</v>
      </c>
      <c r="D825" s="136" t="str">
        <f t="shared" si="59"/>
        <v>D.02</v>
      </c>
      <c r="E825" s="135" t="s">
        <v>414</v>
      </c>
      <c r="F825" s="135" t="s">
        <v>674</v>
      </c>
      <c r="G825" s="134" t="s">
        <v>733</v>
      </c>
      <c r="H825" s="134" t="s">
        <v>357</v>
      </c>
      <c r="I825" s="134" t="s">
        <v>357</v>
      </c>
      <c r="J825" s="144" t="s">
        <v>357</v>
      </c>
      <c r="K825" s="134"/>
      <c r="L825" s="134"/>
      <c r="M825" s="134"/>
      <c r="N825" s="134"/>
      <c r="O825" s="134"/>
      <c r="P825" s="135" t="s">
        <v>128</v>
      </c>
      <c r="Q825" s="148">
        <v>40</v>
      </c>
      <c r="R825" s="148">
        <v>40</v>
      </c>
      <c r="S825" s="135"/>
      <c r="T825" s="149">
        <f>IFERROR(INDEX('Price List'!$G$5:$G$74,MATCH(TRIM(J825)&amp;"|"&amp;TRIM(P825),'Price List'!$O$5:$O$74,0)),0)</f>
        <v>8</v>
      </c>
      <c r="U825" s="150">
        <f>IFERROR(INDEX('Price List'!$H$5:$H$74,MATCH(TRIM(J825)&amp;"|"&amp;TRIM(P825),'Price List'!$O$5:$O$74,0)),0)</f>
        <v>0.2</v>
      </c>
      <c r="V825" s="141">
        <f t="shared" si="60"/>
        <v>9.6</v>
      </c>
      <c r="W825" s="151">
        <f>IFERROR(INDEX('Price List'!$J$5:$J$74,MATCH(TRIM(J825)&amp;"|"&amp;TRIM(P825),'Price List'!$O$5:$O$74,0)),0)</f>
        <v>55</v>
      </c>
      <c r="X825" s="152">
        <f>IFERROR(INDEX('Price List'!$K$5:$K$74,MATCH(TRIM(J825)&amp;"|"&amp;TRIM(P825),'Price List'!$O$5:$O$74,0)),0)</f>
        <v>0.12</v>
      </c>
      <c r="Y825" s="141">
        <f t="shared" si="61"/>
        <v>61.600000000000009</v>
      </c>
      <c r="Z825" s="141">
        <f t="shared" si="62"/>
        <v>2848</v>
      </c>
      <c r="AA825" s="134"/>
    </row>
    <row r="826" spans="1:27" ht="12" customHeight="1" x14ac:dyDescent="0.35">
      <c r="A826" s="134"/>
      <c r="B826" s="134"/>
      <c r="C826" s="134" t="s">
        <v>689</v>
      </c>
      <c r="D826" s="136" t="str">
        <f t="shared" si="59"/>
        <v>D.02</v>
      </c>
      <c r="E826" s="135" t="s">
        <v>414</v>
      </c>
      <c r="F826" s="135" t="s">
        <v>675</v>
      </c>
      <c r="G826" s="134" t="s">
        <v>733</v>
      </c>
      <c r="H826" s="134" t="s">
        <v>357</v>
      </c>
      <c r="I826" s="134" t="s">
        <v>357</v>
      </c>
      <c r="J826" s="144" t="s">
        <v>357</v>
      </c>
      <c r="K826" s="134"/>
      <c r="L826" s="134"/>
      <c r="M826" s="134"/>
      <c r="N826" s="134"/>
      <c r="O826" s="134"/>
      <c r="P826" s="135" t="s">
        <v>128</v>
      </c>
      <c r="Q826" s="148">
        <v>40</v>
      </c>
      <c r="R826" s="148">
        <v>40</v>
      </c>
      <c r="S826" s="135"/>
      <c r="T826" s="149">
        <f>IFERROR(INDEX('Price List'!$G$5:$G$74,MATCH(TRIM(J826)&amp;"|"&amp;TRIM(P826),'Price List'!$O$5:$O$74,0)),0)</f>
        <v>8</v>
      </c>
      <c r="U826" s="150">
        <f>IFERROR(INDEX('Price List'!$H$5:$H$74,MATCH(TRIM(J826)&amp;"|"&amp;TRIM(P826),'Price List'!$O$5:$O$74,0)),0)</f>
        <v>0.2</v>
      </c>
      <c r="V826" s="141">
        <f t="shared" si="60"/>
        <v>9.6</v>
      </c>
      <c r="W826" s="151">
        <f>IFERROR(INDEX('Price List'!$J$5:$J$74,MATCH(TRIM(J826)&amp;"|"&amp;TRIM(P826),'Price List'!$O$5:$O$74,0)),0)</f>
        <v>55</v>
      </c>
      <c r="X826" s="152">
        <f>IFERROR(INDEX('Price List'!$K$5:$K$74,MATCH(TRIM(J826)&amp;"|"&amp;TRIM(P826),'Price List'!$O$5:$O$74,0)),0)</f>
        <v>0.12</v>
      </c>
      <c r="Y826" s="141">
        <f t="shared" si="61"/>
        <v>61.600000000000009</v>
      </c>
      <c r="Z826" s="141">
        <f t="shared" si="62"/>
        <v>2848</v>
      </c>
      <c r="AA826" s="134"/>
    </row>
    <row r="827" spans="1:27" ht="12" customHeight="1" x14ac:dyDescent="0.35">
      <c r="A827" s="134"/>
      <c r="B827" s="134"/>
      <c r="C827" s="134" t="s">
        <v>689</v>
      </c>
      <c r="D827" s="136" t="str">
        <f t="shared" si="59"/>
        <v>D.02</v>
      </c>
      <c r="E827" s="135" t="s">
        <v>414</v>
      </c>
      <c r="F827" s="135" t="s">
        <v>676</v>
      </c>
      <c r="G827" s="134" t="s">
        <v>733</v>
      </c>
      <c r="H827" s="134" t="s">
        <v>357</v>
      </c>
      <c r="I827" s="134" t="s">
        <v>357</v>
      </c>
      <c r="J827" s="144" t="s">
        <v>357</v>
      </c>
      <c r="K827" s="134"/>
      <c r="L827" s="134"/>
      <c r="M827" s="134"/>
      <c r="N827" s="134"/>
      <c r="O827" s="134"/>
      <c r="P827" s="135" t="s">
        <v>128</v>
      </c>
      <c r="Q827" s="148">
        <v>40</v>
      </c>
      <c r="R827" s="148">
        <v>40</v>
      </c>
      <c r="S827" s="135"/>
      <c r="T827" s="149">
        <f>IFERROR(INDEX('Price List'!$G$5:$G$74,MATCH(TRIM(J827)&amp;"|"&amp;TRIM(P827),'Price List'!$O$5:$O$74,0)),0)</f>
        <v>8</v>
      </c>
      <c r="U827" s="150">
        <f>IFERROR(INDEX('Price List'!$H$5:$H$74,MATCH(TRIM(J827)&amp;"|"&amp;TRIM(P827),'Price List'!$O$5:$O$74,0)),0)</f>
        <v>0.2</v>
      </c>
      <c r="V827" s="141">
        <f t="shared" si="60"/>
        <v>9.6</v>
      </c>
      <c r="W827" s="151">
        <f>IFERROR(INDEX('Price List'!$J$5:$J$74,MATCH(TRIM(J827)&amp;"|"&amp;TRIM(P827),'Price List'!$O$5:$O$74,0)),0)</f>
        <v>55</v>
      </c>
      <c r="X827" s="152">
        <f>IFERROR(INDEX('Price List'!$K$5:$K$74,MATCH(TRIM(J827)&amp;"|"&amp;TRIM(P827),'Price List'!$O$5:$O$74,0)),0)</f>
        <v>0.12</v>
      </c>
      <c r="Y827" s="141">
        <f t="shared" si="61"/>
        <v>61.600000000000009</v>
      </c>
      <c r="Z827" s="141">
        <f t="shared" si="62"/>
        <v>2848</v>
      </c>
      <c r="AA827" s="134"/>
    </row>
    <row r="828" spans="1:27" ht="12" customHeight="1" x14ac:dyDescent="0.35">
      <c r="A828" s="134"/>
      <c r="B828" s="134"/>
      <c r="C828" s="134" t="s">
        <v>689</v>
      </c>
      <c r="D828" s="136" t="str">
        <f t="shared" si="59"/>
        <v>D.02</v>
      </c>
      <c r="E828" s="135" t="s">
        <v>414</v>
      </c>
      <c r="F828" s="135" t="s">
        <v>677</v>
      </c>
      <c r="G828" s="134" t="s">
        <v>733</v>
      </c>
      <c r="H828" s="134" t="s">
        <v>357</v>
      </c>
      <c r="I828" s="134" t="s">
        <v>357</v>
      </c>
      <c r="J828" s="144" t="s">
        <v>357</v>
      </c>
      <c r="K828" s="134"/>
      <c r="L828" s="134"/>
      <c r="M828" s="134"/>
      <c r="N828" s="134"/>
      <c r="O828" s="134"/>
      <c r="P828" s="135" t="s">
        <v>128</v>
      </c>
      <c r="Q828" s="148">
        <v>40</v>
      </c>
      <c r="R828" s="148">
        <v>40</v>
      </c>
      <c r="S828" s="135"/>
      <c r="T828" s="149">
        <f>IFERROR(INDEX('Price List'!$G$5:$G$74,MATCH(TRIM(J828)&amp;"|"&amp;TRIM(P828),'Price List'!$O$5:$O$74,0)),0)</f>
        <v>8</v>
      </c>
      <c r="U828" s="150">
        <f>IFERROR(INDEX('Price List'!$H$5:$H$74,MATCH(TRIM(J828)&amp;"|"&amp;TRIM(P828),'Price List'!$O$5:$O$74,0)),0)</f>
        <v>0.2</v>
      </c>
      <c r="V828" s="141">
        <f t="shared" si="60"/>
        <v>9.6</v>
      </c>
      <c r="W828" s="151">
        <f>IFERROR(INDEX('Price List'!$J$5:$J$74,MATCH(TRIM(J828)&amp;"|"&amp;TRIM(P828),'Price List'!$O$5:$O$74,0)),0)</f>
        <v>55</v>
      </c>
      <c r="X828" s="152">
        <f>IFERROR(INDEX('Price List'!$K$5:$K$74,MATCH(TRIM(J828)&amp;"|"&amp;TRIM(P828),'Price List'!$O$5:$O$74,0)),0)</f>
        <v>0.12</v>
      </c>
      <c r="Y828" s="141">
        <f t="shared" si="61"/>
        <v>61.600000000000009</v>
      </c>
      <c r="Z828" s="141">
        <f t="shared" si="62"/>
        <v>2848</v>
      </c>
      <c r="AA828" s="134"/>
    </row>
    <row r="829" spans="1:27" ht="12" customHeight="1" x14ac:dyDescent="0.35">
      <c r="A829" s="134"/>
      <c r="B829" s="134"/>
      <c r="C829" s="134" t="s">
        <v>689</v>
      </c>
      <c r="D829" s="136" t="str">
        <f t="shared" si="59"/>
        <v>D.02</v>
      </c>
      <c r="E829" s="135" t="s">
        <v>414</v>
      </c>
      <c r="F829" s="135" t="s">
        <v>678</v>
      </c>
      <c r="G829" s="134" t="s">
        <v>733</v>
      </c>
      <c r="H829" s="134" t="s">
        <v>357</v>
      </c>
      <c r="I829" s="134" t="s">
        <v>357</v>
      </c>
      <c r="J829" s="144" t="s">
        <v>357</v>
      </c>
      <c r="K829" s="134"/>
      <c r="L829" s="134"/>
      <c r="M829" s="134"/>
      <c r="N829" s="134"/>
      <c r="O829" s="134"/>
      <c r="P829" s="135" t="s">
        <v>128</v>
      </c>
      <c r="Q829" s="148">
        <v>21</v>
      </c>
      <c r="R829" s="148">
        <v>21</v>
      </c>
      <c r="S829" s="135"/>
      <c r="T829" s="149">
        <f>IFERROR(INDEX('Price List'!$G$5:$G$74,MATCH(TRIM(J829)&amp;"|"&amp;TRIM(P829),'Price List'!$O$5:$O$74,0)),0)</f>
        <v>8</v>
      </c>
      <c r="U829" s="150">
        <f>IFERROR(INDEX('Price List'!$H$5:$H$74,MATCH(TRIM(J829)&amp;"|"&amp;TRIM(P829),'Price List'!$O$5:$O$74,0)),0)</f>
        <v>0.2</v>
      </c>
      <c r="V829" s="141">
        <f t="shared" si="60"/>
        <v>9.6</v>
      </c>
      <c r="W829" s="151">
        <f>IFERROR(INDEX('Price List'!$J$5:$J$74,MATCH(TRIM(J829)&amp;"|"&amp;TRIM(P829),'Price List'!$O$5:$O$74,0)),0)</f>
        <v>55</v>
      </c>
      <c r="X829" s="152">
        <f>IFERROR(INDEX('Price List'!$K$5:$K$74,MATCH(TRIM(J829)&amp;"|"&amp;TRIM(P829),'Price List'!$O$5:$O$74,0)),0)</f>
        <v>0.12</v>
      </c>
      <c r="Y829" s="141">
        <f t="shared" si="61"/>
        <v>61.600000000000009</v>
      </c>
      <c r="Z829" s="141">
        <f t="shared" si="62"/>
        <v>1495.2</v>
      </c>
      <c r="AA829" s="134"/>
    </row>
    <row r="830" spans="1:27" ht="12" customHeight="1" x14ac:dyDescent="0.35">
      <c r="A830" s="134"/>
      <c r="B830" s="134"/>
      <c r="C830" s="134" t="s">
        <v>689</v>
      </c>
      <c r="D830" s="136" t="str">
        <f t="shared" si="59"/>
        <v>C.01</v>
      </c>
      <c r="E830" s="135" t="s">
        <v>414</v>
      </c>
      <c r="F830" s="135" t="s">
        <v>735</v>
      </c>
      <c r="G830" s="134" t="s">
        <v>736</v>
      </c>
      <c r="H830" s="134" t="s">
        <v>737</v>
      </c>
      <c r="I830" s="134" t="s">
        <v>737</v>
      </c>
      <c r="J830" s="144" t="s">
        <v>262</v>
      </c>
      <c r="K830" s="134"/>
      <c r="L830" s="134"/>
      <c r="M830" s="134"/>
      <c r="N830" s="134"/>
      <c r="O830" s="134"/>
      <c r="P830" s="135" t="s">
        <v>128</v>
      </c>
      <c r="Q830" s="148">
        <v>235</v>
      </c>
      <c r="R830" s="148">
        <v>235</v>
      </c>
      <c r="S830" s="135"/>
      <c r="T830" s="149">
        <f>IFERROR(INDEX('Price List'!$G$5:$G$74,MATCH(TRIM(J830)&amp;"|"&amp;TRIM(P830),'Price List'!$O$5:$O$74,0)),0)</f>
        <v>4</v>
      </c>
      <c r="U830" s="150">
        <f>IFERROR(INDEX('Price List'!$H$5:$H$74,MATCH(TRIM(J830)&amp;"|"&amp;TRIM(P830),'Price List'!$O$5:$O$74,0)),0)</f>
        <v>0.2</v>
      </c>
      <c r="V830" s="141">
        <f t="shared" si="60"/>
        <v>4.8</v>
      </c>
      <c r="W830" s="151">
        <f>IFERROR(INDEX('Price List'!$J$5:$J$74,MATCH(TRIM(J830)&amp;"|"&amp;TRIM(P830),'Price List'!$O$5:$O$74,0)),0)</f>
        <v>9</v>
      </c>
      <c r="X830" s="152">
        <f>IFERROR(INDEX('Price List'!$K$5:$K$74,MATCH(TRIM(J830)&amp;"|"&amp;TRIM(P830),'Price List'!$O$5:$O$74,0)),0)</f>
        <v>0.12</v>
      </c>
      <c r="Y830" s="141">
        <f t="shared" si="61"/>
        <v>10.080000000000002</v>
      </c>
      <c r="Z830" s="141">
        <f t="shared" si="62"/>
        <v>3496.8000000000006</v>
      </c>
      <c r="AA830" s="134"/>
    </row>
    <row r="831" spans="1:27" ht="12" customHeight="1" x14ac:dyDescent="0.35">
      <c r="A831" s="134"/>
      <c r="B831" s="134"/>
      <c r="C831" s="134" t="s">
        <v>689</v>
      </c>
      <c r="D831" s="136" t="str">
        <f t="shared" si="59"/>
        <v>E.04</v>
      </c>
      <c r="E831" s="135" t="s">
        <v>414</v>
      </c>
      <c r="F831" s="135" t="s">
        <v>735</v>
      </c>
      <c r="G831" s="134" t="s">
        <v>738</v>
      </c>
      <c r="H831" s="134" t="s">
        <v>49</v>
      </c>
      <c r="I831" s="134" t="s">
        <v>49</v>
      </c>
      <c r="J831" s="144" t="s">
        <v>369</v>
      </c>
      <c r="K831" s="134"/>
      <c r="L831" s="134"/>
      <c r="M831" s="134"/>
      <c r="N831" s="134"/>
      <c r="O831" s="134"/>
      <c r="P831" s="135" t="s">
        <v>128</v>
      </c>
      <c r="Q831" s="148">
        <v>20</v>
      </c>
      <c r="R831" s="148">
        <v>20</v>
      </c>
      <c r="S831" s="135"/>
      <c r="T831" s="149">
        <f>IFERROR(INDEX('Price List'!$G$5:$G$74,MATCH(TRIM(J831)&amp;"|"&amp;TRIM(P831),'Price List'!$O$5:$O$74,0)),0)</f>
        <v>0</v>
      </c>
      <c r="U831" s="150">
        <f>IFERROR(INDEX('Price List'!$H$5:$H$74,MATCH(TRIM(J831)&amp;"|"&amp;TRIM(P831),'Price List'!$O$5:$O$74,0)),0)</f>
        <v>0</v>
      </c>
      <c r="V831" s="141">
        <f t="shared" si="60"/>
        <v>0</v>
      </c>
      <c r="W831" s="151">
        <f>IFERROR(INDEX('Price List'!$J$5:$J$74,MATCH(TRIM(J831)&amp;"|"&amp;TRIM(P831),'Price List'!$O$5:$O$74,0)),0)</f>
        <v>150</v>
      </c>
      <c r="X831" s="152">
        <f>IFERROR(INDEX('Price List'!$K$5:$K$74,MATCH(TRIM(J831)&amp;"|"&amp;TRIM(P831),'Price List'!$O$5:$O$74,0)),0)</f>
        <v>0.1</v>
      </c>
      <c r="Y831" s="141">
        <f t="shared" si="61"/>
        <v>165</v>
      </c>
      <c r="Z831" s="141">
        <f t="shared" si="62"/>
        <v>3300</v>
      </c>
      <c r="AA831" s="134"/>
    </row>
    <row r="832" spans="1:27" ht="12" customHeight="1" x14ac:dyDescent="0.35">
      <c r="A832" s="134"/>
      <c r="B832" s="134"/>
      <c r="C832" s="134" t="s">
        <v>689</v>
      </c>
      <c r="D832" s="136" t="str">
        <f t="shared" si="59"/>
        <v>E.04</v>
      </c>
      <c r="E832" s="135" t="s">
        <v>414</v>
      </c>
      <c r="F832" s="135" t="s">
        <v>735</v>
      </c>
      <c r="G832" s="134" t="s">
        <v>738</v>
      </c>
      <c r="H832" s="134" t="s">
        <v>49</v>
      </c>
      <c r="I832" s="134" t="s">
        <v>49</v>
      </c>
      <c r="J832" s="144" t="s">
        <v>371</v>
      </c>
      <c r="K832" s="134"/>
      <c r="L832" s="134"/>
      <c r="M832" s="134"/>
      <c r="N832" s="134"/>
      <c r="O832" s="134"/>
      <c r="P832" s="135" t="s">
        <v>372</v>
      </c>
      <c r="Q832" s="148">
        <v>1</v>
      </c>
      <c r="R832" s="148">
        <v>1</v>
      </c>
      <c r="S832" s="135"/>
      <c r="T832" s="149">
        <f>IFERROR(INDEX('Price List'!$G$5:$G$74,MATCH(TRIM(J832)&amp;"|"&amp;TRIM(P832),'Price List'!$O$5:$O$74,0)),0)</f>
        <v>0</v>
      </c>
      <c r="U832" s="150">
        <f>IFERROR(INDEX('Price List'!$H$5:$H$74,MATCH(TRIM(J832)&amp;"|"&amp;TRIM(P832),'Price List'!$O$5:$O$74,0)),0)</f>
        <v>0</v>
      </c>
      <c r="V832" s="141">
        <f t="shared" si="60"/>
        <v>0</v>
      </c>
      <c r="W832" s="151">
        <f>IFERROR(INDEX('Price List'!$J$5:$J$74,MATCH(TRIM(J832)&amp;"|"&amp;TRIM(P832),'Price List'!$O$5:$O$74,0)),0)</f>
        <v>3000</v>
      </c>
      <c r="X832" s="152">
        <f>IFERROR(INDEX('Price List'!$K$5:$K$74,MATCH(TRIM(J832)&amp;"|"&amp;TRIM(P832),'Price List'!$O$5:$O$74,0)),0)</f>
        <v>0.1</v>
      </c>
      <c r="Y832" s="141">
        <f t="shared" si="61"/>
        <v>3300.0000000000005</v>
      </c>
      <c r="Z832" s="141">
        <f t="shared" si="62"/>
        <v>3300.0000000000005</v>
      </c>
      <c r="AA832" s="134"/>
    </row>
  </sheetData>
  <autoFilter ref="A1:AA494" xr:uid="{00000000-0009-0000-0000-000008000000}"/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4"/>
  <sheetViews>
    <sheetView zoomScale="110" zoomScaleNormal="110" workbookViewId="0">
      <pane xSplit="6" ySplit="4" topLeftCell="J15" activePane="bottomRight" state="frozen"/>
      <selection pane="topRight" activeCell="J1" sqref="J1"/>
      <selection pane="bottomLeft" activeCell="A15" sqref="A15"/>
      <selection pane="bottomRight" activeCell="D29" sqref="D29"/>
    </sheetView>
  </sheetViews>
  <sheetFormatPr defaultColWidth="8.7265625" defaultRowHeight="14.5" x14ac:dyDescent="0.35"/>
  <cols>
    <col min="1" max="1" width="9" customWidth="1"/>
    <col min="2" max="2" width="16" customWidth="1"/>
    <col min="3" max="3" width="18" customWidth="1"/>
    <col min="4" max="4" width="22" customWidth="1"/>
    <col min="5" max="5" width="48" customWidth="1"/>
    <col min="6" max="6" width="6" customWidth="1"/>
    <col min="7" max="7" width="12" customWidth="1"/>
    <col min="8" max="9" width="11" customWidth="1"/>
    <col min="10" max="10" width="14" customWidth="1"/>
    <col min="11" max="13" width="12" customWidth="1"/>
    <col min="14" max="14" width="50" customWidth="1"/>
    <col min="15" max="16" width="13" hidden="1" customWidth="1"/>
  </cols>
  <sheetData>
    <row r="1" spans="1:16" ht="15" customHeight="1" x14ac:dyDescent="0.35">
      <c r="A1" s="153" t="s">
        <v>739</v>
      </c>
    </row>
    <row r="2" spans="1:16" ht="14.25" customHeight="1" x14ac:dyDescent="0.35">
      <c r="A2" s="106" t="s">
        <v>740</v>
      </c>
    </row>
    <row r="3" spans="1:16" ht="15" customHeight="1" x14ac:dyDescent="0.35">
      <c r="G3" s="213" t="s">
        <v>741</v>
      </c>
      <c r="H3" s="213"/>
      <c r="I3" s="213"/>
      <c r="J3" s="214" t="s">
        <v>742</v>
      </c>
      <c r="K3" s="214"/>
      <c r="L3" s="214"/>
    </row>
    <row r="4" spans="1:16" ht="30" customHeight="1" x14ac:dyDescent="0.35">
      <c r="A4" s="107" t="s">
        <v>743</v>
      </c>
      <c r="B4" s="107" t="s">
        <v>638</v>
      </c>
      <c r="C4" s="107" t="s">
        <v>491</v>
      </c>
      <c r="D4" s="107" t="s">
        <v>492</v>
      </c>
      <c r="E4" s="107" t="s">
        <v>18</v>
      </c>
      <c r="F4" s="107" t="s">
        <v>80</v>
      </c>
      <c r="G4" s="107" t="s">
        <v>645</v>
      </c>
      <c r="H4" s="107" t="s">
        <v>646</v>
      </c>
      <c r="I4" s="107" t="s">
        <v>82</v>
      </c>
      <c r="J4" s="107" t="s">
        <v>648</v>
      </c>
      <c r="K4" s="107" t="s">
        <v>649</v>
      </c>
      <c r="L4" s="107" t="s">
        <v>83</v>
      </c>
      <c r="M4" s="107" t="s">
        <v>84</v>
      </c>
      <c r="N4" s="107" t="s">
        <v>744</v>
      </c>
      <c r="O4" s="154" t="s">
        <v>745</v>
      </c>
      <c r="P4" s="155" t="s">
        <v>746</v>
      </c>
    </row>
    <row r="5" spans="1:16" ht="14.25" customHeight="1" x14ac:dyDescent="0.35">
      <c r="A5" s="29" t="s">
        <v>747</v>
      </c>
      <c r="B5" s="30" t="s">
        <v>466</v>
      </c>
      <c r="C5" s="30" t="s">
        <v>502</v>
      </c>
      <c r="D5" s="30" t="s">
        <v>654</v>
      </c>
      <c r="E5" s="30" t="s">
        <v>88</v>
      </c>
      <c r="F5" s="29" t="s">
        <v>89</v>
      </c>
      <c r="G5" s="156">
        <v>55</v>
      </c>
      <c r="H5" s="157">
        <v>0.2</v>
      </c>
      <c r="I5" s="158">
        <f t="shared" ref="I5:I36" si="0">G5*(1+H5)</f>
        <v>66</v>
      </c>
      <c r="J5" s="156">
        <v>0</v>
      </c>
      <c r="K5" s="157">
        <v>0</v>
      </c>
      <c r="L5" s="158">
        <f t="shared" ref="L5:L36" si="1">J5*(1+K5)</f>
        <v>0</v>
      </c>
      <c r="M5" s="159">
        <f t="shared" ref="M5:M36" si="2">I5+L5</f>
        <v>66</v>
      </c>
      <c r="N5" s="160" t="s">
        <v>748</v>
      </c>
      <c r="O5" s="154" t="str">
        <f t="shared" ref="O5:O36" si="3">TRIM(E5)&amp;"|"&amp;TRIM(F5)</f>
        <v>Pile Head Cutting up to required level D1000mm|Nos</v>
      </c>
      <c r="P5" s="155" t="s">
        <v>25</v>
      </c>
    </row>
    <row r="6" spans="1:16" ht="14.25" customHeight="1" x14ac:dyDescent="0.35">
      <c r="A6" s="29" t="s">
        <v>749</v>
      </c>
      <c r="B6" s="30" t="s">
        <v>466</v>
      </c>
      <c r="C6" s="30" t="s">
        <v>502</v>
      </c>
      <c r="D6" s="30" t="s">
        <v>654</v>
      </c>
      <c r="E6" s="30" t="s">
        <v>91</v>
      </c>
      <c r="F6" s="29" t="s">
        <v>89</v>
      </c>
      <c r="G6" s="156">
        <v>40</v>
      </c>
      <c r="H6" s="157">
        <v>0.2</v>
      </c>
      <c r="I6" s="158">
        <f t="shared" si="0"/>
        <v>48</v>
      </c>
      <c r="J6" s="156">
        <v>0</v>
      </c>
      <c r="K6" s="157">
        <v>0</v>
      </c>
      <c r="L6" s="158">
        <f t="shared" si="1"/>
        <v>0</v>
      </c>
      <c r="M6" s="159">
        <f t="shared" si="2"/>
        <v>48</v>
      </c>
      <c r="N6" s="160" t="s">
        <v>750</v>
      </c>
      <c r="O6" s="154" t="str">
        <f t="shared" si="3"/>
        <v>Pile Head Cutting up to required level D800mm|Nos</v>
      </c>
      <c r="P6" s="155" t="s">
        <v>25</v>
      </c>
    </row>
    <row r="7" spans="1:16" ht="14.25" customHeight="1" x14ac:dyDescent="0.35">
      <c r="A7" s="29" t="s">
        <v>751</v>
      </c>
      <c r="B7" s="30" t="s">
        <v>466</v>
      </c>
      <c r="C7" s="30" t="s">
        <v>502</v>
      </c>
      <c r="D7" s="30" t="s">
        <v>655</v>
      </c>
      <c r="E7" s="30" t="s">
        <v>93</v>
      </c>
      <c r="F7" s="29" t="s">
        <v>89</v>
      </c>
      <c r="G7" s="156">
        <v>0</v>
      </c>
      <c r="H7" s="157">
        <v>0</v>
      </c>
      <c r="I7" s="158">
        <f t="shared" si="0"/>
        <v>0</v>
      </c>
      <c r="J7" s="156">
        <v>50</v>
      </c>
      <c r="K7" s="157">
        <v>0.1</v>
      </c>
      <c r="L7" s="158">
        <f t="shared" si="1"/>
        <v>55.000000000000007</v>
      </c>
      <c r="M7" s="159">
        <f t="shared" si="2"/>
        <v>55.000000000000007</v>
      </c>
      <c r="N7" s="160" t="s">
        <v>752</v>
      </c>
      <c r="O7" s="154" t="str">
        <f t="shared" si="3"/>
        <v>Sonic Logging Test (SLT)|Nos</v>
      </c>
      <c r="P7" s="155" t="s">
        <v>25</v>
      </c>
    </row>
    <row r="8" spans="1:16" ht="14.25" customHeight="1" x14ac:dyDescent="0.35">
      <c r="A8" s="29" t="s">
        <v>753</v>
      </c>
      <c r="B8" s="30" t="s">
        <v>466</v>
      </c>
      <c r="C8" s="30" t="s">
        <v>502</v>
      </c>
      <c r="D8" s="30" t="s">
        <v>754</v>
      </c>
      <c r="E8" s="30" t="s">
        <v>95</v>
      </c>
      <c r="F8" s="29" t="s">
        <v>89</v>
      </c>
      <c r="G8" s="156">
        <v>0</v>
      </c>
      <c r="H8" s="157">
        <v>0</v>
      </c>
      <c r="I8" s="158">
        <f t="shared" si="0"/>
        <v>0</v>
      </c>
      <c r="J8" s="156">
        <v>350</v>
      </c>
      <c r="K8" s="157">
        <v>0.1</v>
      </c>
      <c r="L8" s="158">
        <f t="shared" si="1"/>
        <v>385.00000000000006</v>
      </c>
      <c r="M8" s="159">
        <f t="shared" si="2"/>
        <v>385.00000000000006</v>
      </c>
      <c r="N8" s="160" t="s">
        <v>755</v>
      </c>
      <c r="O8" s="154" t="str">
        <f t="shared" si="3"/>
        <v>Soil Coring for Bored Pile D1000mm, Depth 30m|Nos</v>
      </c>
      <c r="P8" s="155" t="s">
        <v>25</v>
      </c>
    </row>
    <row r="9" spans="1:16" ht="14.25" customHeight="1" x14ac:dyDescent="0.35">
      <c r="A9" s="29" t="s">
        <v>756</v>
      </c>
      <c r="B9" s="30" t="s">
        <v>466</v>
      </c>
      <c r="C9" s="30" t="s">
        <v>502</v>
      </c>
      <c r="D9" s="30" t="s">
        <v>754</v>
      </c>
      <c r="E9" s="30" t="s">
        <v>97</v>
      </c>
      <c r="F9" s="29" t="s">
        <v>89</v>
      </c>
      <c r="G9" s="156">
        <v>0</v>
      </c>
      <c r="H9" s="157">
        <v>0</v>
      </c>
      <c r="I9" s="158">
        <f t="shared" si="0"/>
        <v>0</v>
      </c>
      <c r="J9" s="156">
        <v>300</v>
      </c>
      <c r="K9" s="157">
        <v>0.1</v>
      </c>
      <c r="L9" s="158">
        <f t="shared" si="1"/>
        <v>330</v>
      </c>
      <c r="M9" s="159">
        <f t="shared" si="2"/>
        <v>330</v>
      </c>
      <c r="N9" s="160" t="s">
        <v>757</v>
      </c>
      <c r="O9" s="154" t="str">
        <f t="shared" si="3"/>
        <v>Soil Coring for Bored Pile D800mm, Depth 30m|Nos</v>
      </c>
      <c r="P9" s="155" t="s">
        <v>25</v>
      </c>
    </row>
    <row r="10" spans="1:16" ht="14.25" customHeight="1" x14ac:dyDescent="0.35">
      <c r="A10" s="29" t="s">
        <v>758</v>
      </c>
      <c r="B10" s="30" t="s">
        <v>466</v>
      </c>
      <c r="C10" s="30" t="s">
        <v>502</v>
      </c>
      <c r="D10" s="30" t="s">
        <v>512</v>
      </c>
      <c r="E10" s="30" t="s">
        <v>99</v>
      </c>
      <c r="F10" s="29" t="s">
        <v>100</v>
      </c>
      <c r="G10" s="156">
        <v>8</v>
      </c>
      <c r="H10" s="157">
        <v>0.2</v>
      </c>
      <c r="I10" s="158">
        <f t="shared" si="0"/>
        <v>9.6</v>
      </c>
      <c r="J10" s="156">
        <v>98</v>
      </c>
      <c r="K10" s="157">
        <v>0.12</v>
      </c>
      <c r="L10" s="158">
        <f t="shared" si="1"/>
        <v>109.76</v>
      </c>
      <c r="M10" s="159">
        <f t="shared" si="2"/>
        <v>119.36</v>
      </c>
      <c r="N10" s="160" t="s">
        <v>759</v>
      </c>
      <c r="O10" s="154" t="str">
        <f t="shared" si="3"/>
        <v>Normal Concrete, 35Mpa (Cylinder), Slump 15+-2.5|m3</v>
      </c>
      <c r="P10" s="155" t="s">
        <v>25</v>
      </c>
    </row>
    <row r="11" spans="1:16" ht="14.25" customHeight="1" x14ac:dyDescent="0.35">
      <c r="A11" s="29" t="s">
        <v>760</v>
      </c>
      <c r="B11" s="30" t="s">
        <v>466</v>
      </c>
      <c r="C11" s="30" t="s">
        <v>502</v>
      </c>
      <c r="D11" s="30" t="s">
        <v>513</v>
      </c>
      <c r="E11" s="30" t="s">
        <v>102</v>
      </c>
      <c r="F11" s="29" t="s">
        <v>103</v>
      </c>
      <c r="G11" s="156">
        <v>0.12</v>
      </c>
      <c r="H11" s="157">
        <v>0.2</v>
      </c>
      <c r="I11" s="158">
        <f t="shared" si="0"/>
        <v>0.14399999999999999</v>
      </c>
      <c r="J11" s="156">
        <v>0.78</v>
      </c>
      <c r="K11" s="157">
        <v>0.12</v>
      </c>
      <c r="L11" s="158">
        <f t="shared" si="1"/>
        <v>0.87360000000000015</v>
      </c>
      <c r="M11" s="159">
        <f t="shared" si="2"/>
        <v>1.0176000000000001</v>
      </c>
      <c r="N11" s="160" t="s">
        <v>761</v>
      </c>
      <c r="O11" s="154" t="str">
        <f t="shared" si="3"/>
        <v>Deform Bar, DB10(fy=390 Mpa)|kg</v>
      </c>
      <c r="P11" s="155" t="s">
        <v>25</v>
      </c>
    </row>
    <row r="12" spans="1:16" ht="14.25" customHeight="1" x14ac:dyDescent="0.35">
      <c r="A12" s="29" t="s">
        <v>762</v>
      </c>
      <c r="B12" s="30" t="s">
        <v>466</v>
      </c>
      <c r="C12" s="30" t="s">
        <v>502</v>
      </c>
      <c r="D12" s="30" t="s">
        <v>513</v>
      </c>
      <c r="E12" s="30" t="s">
        <v>105</v>
      </c>
      <c r="F12" s="29" t="s">
        <v>103</v>
      </c>
      <c r="G12" s="156">
        <v>0.08</v>
      </c>
      <c r="H12" s="157">
        <v>0.2</v>
      </c>
      <c r="I12" s="158">
        <f t="shared" si="0"/>
        <v>9.6000000000000002E-2</v>
      </c>
      <c r="J12" s="156">
        <v>0.72</v>
      </c>
      <c r="K12" s="157">
        <v>0.12</v>
      </c>
      <c r="L12" s="158">
        <f t="shared" si="1"/>
        <v>0.80640000000000001</v>
      </c>
      <c r="M12" s="159">
        <f t="shared" si="2"/>
        <v>0.90239999999999998</v>
      </c>
      <c r="N12" s="160" t="s">
        <v>763</v>
      </c>
      <c r="O12" s="154" t="str">
        <f t="shared" si="3"/>
        <v>Deform Bar, DB25(fy=390 Mpa)|kg</v>
      </c>
      <c r="P12" s="155" t="s">
        <v>25</v>
      </c>
    </row>
    <row r="13" spans="1:16" ht="28.5" customHeight="1" x14ac:dyDescent="0.35">
      <c r="A13" s="29" t="s">
        <v>764</v>
      </c>
      <c r="B13" s="30" t="s">
        <v>466</v>
      </c>
      <c r="C13" s="30" t="s">
        <v>502</v>
      </c>
      <c r="D13" s="30" t="s">
        <v>657</v>
      </c>
      <c r="E13" s="30" t="s">
        <v>107</v>
      </c>
      <c r="F13" s="29" t="s">
        <v>103</v>
      </c>
      <c r="G13" s="156">
        <v>0.05</v>
      </c>
      <c r="H13" s="157">
        <v>0.2</v>
      </c>
      <c r="I13" s="158">
        <f t="shared" si="0"/>
        <v>0.06</v>
      </c>
      <c r="J13" s="156">
        <v>1.2</v>
      </c>
      <c r="K13" s="157">
        <v>0.12</v>
      </c>
      <c r="L13" s="158">
        <f t="shared" si="1"/>
        <v>1.3440000000000001</v>
      </c>
      <c r="M13" s="159">
        <f t="shared" si="2"/>
        <v>1.4040000000000001</v>
      </c>
      <c r="N13" s="160" t="s">
        <v>765</v>
      </c>
      <c r="O13" s="154" t="str">
        <f t="shared" si="3"/>
        <v>Steel Tie Wire 1mm (Estimated 4% of Total Rebar Weight)|kg</v>
      </c>
      <c r="P13" s="155" t="s">
        <v>25</v>
      </c>
    </row>
    <row r="14" spans="1:16" ht="28.5" customHeight="1" x14ac:dyDescent="0.35">
      <c r="A14" s="29" t="s">
        <v>766</v>
      </c>
      <c r="B14" s="30" t="s">
        <v>466</v>
      </c>
      <c r="C14" s="30" t="s">
        <v>502</v>
      </c>
      <c r="D14" s="30" t="s">
        <v>658</v>
      </c>
      <c r="E14" s="30" t="s">
        <v>109</v>
      </c>
      <c r="F14" s="29" t="s">
        <v>110</v>
      </c>
      <c r="G14" s="156">
        <v>1.5</v>
      </c>
      <c r="H14" s="157">
        <v>0.2</v>
      </c>
      <c r="I14" s="158">
        <f t="shared" si="0"/>
        <v>1.7999999999999998</v>
      </c>
      <c r="J14" s="156">
        <v>4.5</v>
      </c>
      <c r="K14" s="157">
        <v>0.12</v>
      </c>
      <c r="L14" s="158">
        <f t="shared" si="1"/>
        <v>5.0400000000000009</v>
      </c>
      <c r="M14" s="159">
        <f t="shared" si="2"/>
        <v>6.8400000000000007</v>
      </c>
      <c r="N14" s="160" t="s">
        <v>767</v>
      </c>
      <c r="O14" s="154" t="str">
        <f t="shared" si="3"/>
        <v>Steel Round Pipe (D49x2mm) with rush primer and paint|m</v>
      </c>
      <c r="P14" s="155" t="s">
        <v>25</v>
      </c>
    </row>
    <row r="15" spans="1:16" ht="14.25" customHeight="1" x14ac:dyDescent="0.35">
      <c r="A15" s="29" t="s">
        <v>768</v>
      </c>
      <c r="B15" s="30" t="s">
        <v>466</v>
      </c>
      <c r="C15" s="30" t="s">
        <v>502</v>
      </c>
      <c r="D15" s="30" t="s">
        <v>659</v>
      </c>
      <c r="E15" s="30" t="s">
        <v>112</v>
      </c>
      <c r="F15" s="29" t="s">
        <v>113</v>
      </c>
      <c r="G15" s="156">
        <v>0</v>
      </c>
      <c r="H15" s="157">
        <v>0</v>
      </c>
      <c r="I15" s="158">
        <f t="shared" si="0"/>
        <v>0</v>
      </c>
      <c r="J15" s="156">
        <v>200</v>
      </c>
      <c r="K15" s="157">
        <v>0.1</v>
      </c>
      <c r="L15" s="158">
        <f t="shared" si="1"/>
        <v>220.00000000000003</v>
      </c>
      <c r="M15" s="159">
        <f t="shared" si="2"/>
        <v>220.00000000000003</v>
      </c>
      <c r="N15" s="160" t="s">
        <v>769</v>
      </c>
      <c r="O15" s="154" t="str">
        <f t="shared" si="3"/>
        <v>Rebar Testing as per Specification|Lot</v>
      </c>
      <c r="P15" s="155" t="s">
        <v>25</v>
      </c>
    </row>
    <row r="16" spans="1:16" ht="14.25" customHeight="1" x14ac:dyDescent="0.35">
      <c r="A16" s="29" t="s">
        <v>770</v>
      </c>
      <c r="B16" s="30" t="s">
        <v>466</v>
      </c>
      <c r="C16" s="30" t="s">
        <v>660</v>
      </c>
      <c r="D16" s="30" t="s">
        <v>661</v>
      </c>
      <c r="E16" s="30" t="s">
        <v>119</v>
      </c>
      <c r="F16" s="29" t="s">
        <v>100</v>
      </c>
      <c r="G16" s="156">
        <v>3</v>
      </c>
      <c r="H16" s="157">
        <v>0.2</v>
      </c>
      <c r="I16" s="158">
        <f t="shared" si="0"/>
        <v>3.5999999999999996</v>
      </c>
      <c r="J16" s="156">
        <v>0</v>
      </c>
      <c r="K16" s="157">
        <v>0</v>
      </c>
      <c r="L16" s="158">
        <f t="shared" si="1"/>
        <v>0</v>
      </c>
      <c r="M16" s="159">
        <f t="shared" si="2"/>
        <v>3.5999999999999996</v>
      </c>
      <c r="N16" s="160" t="s">
        <v>771</v>
      </c>
      <c r="O16" s="154" t="str">
        <f t="shared" si="3"/>
        <v>Soil Excavation|m3</v>
      </c>
      <c r="P16" s="155" t="s">
        <v>28</v>
      </c>
    </row>
    <row r="17" spans="1:16" ht="14.25" customHeight="1" x14ac:dyDescent="0.35">
      <c r="A17" s="29" t="s">
        <v>772</v>
      </c>
      <c r="B17" s="30" t="s">
        <v>466</v>
      </c>
      <c r="C17" s="30" t="s">
        <v>660</v>
      </c>
      <c r="D17" s="30" t="s">
        <v>661</v>
      </c>
      <c r="E17" s="30" t="s">
        <v>121</v>
      </c>
      <c r="F17" s="29" t="s">
        <v>100</v>
      </c>
      <c r="G17" s="156">
        <v>4</v>
      </c>
      <c r="H17" s="157">
        <v>0.2</v>
      </c>
      <c r="I17" s="158">
        <f t="shared" si="0"/>
        <v>4.8</v>
      </c>
      <c r="J17" s="156">
        <v>0</v>
      </c>
      <c r="K17" s="157">
        <v>0</v>
      </c>
      <c r="L17" s="158">
        <f t="shared" si="1"/>
        <v>0</v>
      </c>
      <c r="M17" s="159">
        <f t="shared" si="2"/>
        <v>4.8</v>
      </c>
      <c r="N17" s="160" t="s">
        <v>773</v>
      </c>
      <c r="O17" s="154" t="str">
        <f t="shared" si="3"/>
        <v>Soil Disposal|m3</v>
      </c>
      <c r="P17" s="155" t="s">
        <v>28</v>
      </c>
    </row>
    <row r="18" spans="1:16" ht="14.25" customHeight="1" x14ac:dyDescent="0.35">
      <c r="A18" s="29" t="s">
        <v>774</v>
      </c>
      <c r="B18" s="30" t="s">
        <v>466</v>
      </c>
      <c r="C18" s="30" t="s">
        <v>660</v>
      </c>
      <c r="D18" s="30" t="s">
        <v>661</v>
      </c>
      <c r="E18" s="30" t="s">
        <v>123</v>
      </c>
      <c r="F18" s="29" t="s">
        <v>100</v>
      </c>
      <c r="G18" s="156">
        <v>4</v>
      </c>
      <c r="H18" s="157">
        <v>0.2</v>
      </c>
      <c r="I18" s="158">
        <f t="shared" si="0"/>
        <v>4.8</v>
      </c>
      <c r="J18" s="156">
        <v>0</v>
      </c>
      <c r="K18" s="157">
        <v>0</v>
      </c>
      <c r="L18" s="158">
        <f t="shared" si="1"/>
        <v>0</v>
      </c>
      <c r="M18" s="159">
        <f t="shared" si="2"/>
        <v>4.8</v>
      </c>
      <c r="N18" s="160" t="s">
        <v>775</v>
      </c>
      <c r="O18" s="154" t="str">
        <f t="shared" si="3"/>
        <v>Soil Backfill|m3</v>
      </c>
      <c r="P18" s="155" t="s">
        <v>28</v>
      </c>
    </row>
    <row r="19" spans="1:16" ht="14.25" customHeight="1" x14ac:dyDescent="0.35">
      <c r="A19" s="29" t="s">
        <v>776</v>
      </c>
      <c r="B19" s="30" t="s">
        <v>466</v>
      </c>
      <c r="C19" s="30" t="s">
        <v>660</v>
      </c>
      <c r="D19" s="30" t="s">
        <v>512</v>
      </c>
      <c r="E19" s="30" t="s">
        <v>125</v>
      </c>
      <c r="F19" s="29" t="s">
        <v>100</v>
      </c>
      <c r="G19" s="156">
        <v>10</v>
      </c>
      <c r="H19" s="157">
        <v>0.2</v>
      </c>
      <c r="I19" s="158">
        <f t="shared" si="0"/>
        <v>12</v>
      </c>
      <c r="J19" s="156">
        <v>98</v>
      </c>
      <c r="K19" s="157">
        <v>0.12</v>
      </c>
      <c r="L19" s="158">
        <f t="shared" si="1"/>
        <v>109.76</v>
      </c>
      <c r="M19" s="159">
        <f t="shared" si="2"/>
        <v>121.76</v>
      </c>
      <c r="N19" s="160" t="s">
        <v>759</v>
      </c>
      <c r="O19" s="154" t="str">
        <f t="shared" si="3"/>
        <v>Normal Concrete, 35Mpa (Cylinder), Slump 13+-2.5|m3</v>
      </c>
      <c r="P19" s="155" t="s">
        <v>28</v>
      </c>
    </row>
    <row r="20" spans="1:16" ht="14.25" customHeight="1" x14ac:dyDescent="0.35">
      <c r="A20" s="29" t="s">
        <v>777</v>
      </c>
      <c r="B20" s="30" t="s">
        <v>466</v>
      </c>
      <c r="C20" s="30" t="s">
        <v>660</v>
      </c>
      <c r="D20" s="30" t="s">
        <v>127</v>
      </c>
      <c r="E20" s="30" t="s">
        <v>127</v>
      </c>
      <c r="F20" s="29" t="s">
        <v>128</v>
      </c>
      <c r="G20" s="156">
        <v>6</v>
      </c>
      <c r="H20" s="157">
        <v>0.2</v>
      </c>
      <c r="I20" s="158">
        <f t="shared" si="0"/>
        <v>7.1999999999999993</v>
      </c>
      <c r="J20" s="156">
        <v>5</v>
      </c>
      <c r="K20" s="157">
        <v>0.12</v>
      </c>
      <c r="L20" s="158">
        <f t="shared" si="1"/>
        <v>5.6000000000000005</v>
      </c>
      <c r="M20" s="159">
        <f t="shared" si="2"/>
        <v>12.8</v>
      </c>
      <c r="N20" s="160" t="s">
        <v>778</v>
      </c>
      <c r="O20" s="154" t="str">
        <f t="shared" si="3"/>
        <v>Formwork|m2</v>
      </c>
      <c r="P20" s="155" t="s">
        <v>28</v>
      </c>
    </row>
    <row r="21" spans="1:16" ht="14.25" customHeight="1" x14ac:dyDescent="0.35">
      <c r="A21" s="29" t="s">
        <v>779</v>
      </c>
      <c r="B21" s="30" t="s">
        <v>466</v>
      </c>
      <c r="C21" s="30" t="s">
        <v>660</v>
      </c>
      <c r="D21" s="30" t="s">
        <v>513</v>
      </c>
      <c r="E21" s="30" t="s">
        <v>131</v>
      </c>
      <c r="F21" s="29" t="s">
        <v>103</v>
      </c>
      <c r="G21" s="156">
        <v>0.11</v>
      </c>
      <c r="H21" s="157">
        <v>0.2</v>
      </c>
      <c r="I21" s="158">
        <f t="shared" si="0"/>
        <v>0.13200000000000001</v>
      </c>
      <c r="J21" s="156">
        <v>0.76</v>
      </c>
      <c r="K21" s="157">
        <v>0.12</v>
      </c>
      <c r="L21" s="158">
        <f t="shared" si="1"/>
        <v>0.85120000000000007</v>
      </c>
      <c r="M21" s="159">
        <f t="shared" si="2"/>
        <v>0.98320000000000007</v>
      </c>
      <c r="N21" s="160" t="s">
        <v>780</v>
      </c>
      <c r="O21" s="154" t="str">
        <f t="shared" si="3"/>
        <v>Deform Bar, DB12(fy=390 Mpa)|kg</v>
      </c>
      <c r="P21" s="155" t="s">
        <v>28</v>
      </c>
    </row>
    <row r="22" spans="1:16" ht="14.25" customHeight="1" x14ac:dyDescent="0.35">
      <c r="A22" s="29" t="s">
        <v>781</v>
      </c>
      <c r="B22" s="30" t="s">
        <v>466</v>
      </c>
      <c r="C22" s="30" t="s">
        <v>660</v>
      </c>
      <c r="D22" s="30" t="s">
        <v>513</v>
      </c>
      <c r="E22" s="30" t="s">
        <v>133</v>
      </c>
      <c r="F22" s="29" t="s">
        <v>103</v>
      </c>
      <c r="G22" s="156">
        <v>0.1</v>
      </c>
      <c r="H22" s="157">
        <v>0.2</v>
      </c>
      <c r="I22" s="158">
        <f t="shared" si="0"/>
        <v>0.12</v>
      </c>
      <c r="J22" s="156">
        <v>0.74</v>
      </c>
      <c r="K22" s="157">
        <v>0.12</v>
      </c>
      <c r="L22" s="158">
        <f t="shared" si="1"/>
        <v>0.82880000000000009</v>
      </c>
      <c r="M22" s="159">
        <f t="shared" si="2"/>
        <v>0.94880000000000009</v>
      </c>
      <c r="N22" s="160" t="s">
        <v>780</v>
      </c>
      <c r="O22" s="154" t="str">
        <f t="shared" si="3"/>
        <v>Deform Bar, DB16(fy=390 Mpa)|kg</v>
      </c>
      <c r="P22" s="155" t="s">
        <v>28</v>
      </c>
    </row>
    <row r="23" spans="1:16" ht="14.25" customHeight="1" x14ac:dyDescent="0.35">
      <c r="A23" s="29" t="s">
        <v>782</v>
      </c>
      <c r="B23" s="30" t="s">
        <v>466</v>
      </c>
      <c r="C23" s="30" t="s">
        <v>660</v>
      </c>
      <c r="D23" s="30" t="s">
        <v>513</v>
      </c>
      <c r="E23" s="30" t="s">
        <v>135</v>
      </c>
      <c r="F23" s="29" t="s">
        <v>103</v>
      </c>
      <c r="G23" s="156">
        <v>0.09</v>
      </c>
      <c r="H23" s="157">
        <v>0.2</v>
      </c>
      <c r="I23" s="158">
        <f t="shared" si="0"/>
        <v>0.108</v>
      </c>
      <c r="J23" s="156">
        <v>0.73</v>
      </c>
      <c r="K23" s="157">
        <v>0.12</v>
      </c>
      <c r="L23" s="158">
        <f t="shared" si="1"/>
        <v>0.8176000000000001</v>
      </c>
      <c r="M23" s="159">
        <f t="shared" si="2"/>
        <v>0.92560000000000009</v>
      </c>
      <c r="N23" s="160" t="s">
        <v>780</v>
      </c>
      <c r="O23" s="154" t="str">
        <f t="shared" si="3"/>
        <v>Deform Bar, DB20(fy=390 Mpa)|kg</v>
      </c>
      <c r="P23" s="155" t="s">
        <v>28</v>
      </c>
    </row>
    <row r="24" spans="1:16" ht="14.25" customHeight="1" x14ac:dyDescent="0.35">
      <c r="A24" s="29" t="s">
        <v>783</v>
      </c>
      <c r="B24" s="30" t="s">
        <v>466</v>
      </c>
      <c r="C24" s="30" t="s">
        <v>660</v>
      </c>
      <c r="D24" s="30" t="s">
        <v>513</v>
      </c>
      <c r="E24" s="30" t="s">
        <v>138</v>
      </c>
      <c r="F24" s="29" t="s">
        <v>103</v>
      </c>
      <c r="G24" s="156">
        <v>0.08</v>
      </c>
      <c r="H24" s="157">
        <v>0.2</v>
      </c>
      <c r="I24" s="158">
        <f t="shared" si="0"/>
        <v>9.6000000000000002E-2</v>
      </c>
      <c r="J24" s="156">
        <v>0.71</v>
      </c>
      <c r="K24" s="157">
        <v>0.12</v>
      </c>
      <c r="L24" s="158">
        <f t="shared" si="1"/>
        <v>0.79520000000000002</v>
      </c>
      <c r="M24" s="159">
        <f t="shared" si="2"/>
        <v>0.89119999999999999</v>
      </c>
      <c r="N24" s="160" t="s">
        <v>763</v>
      </c>
      <c r="O24" s="154" t="str">
        <f t="shared" si="3"/>
        <v>Deform Bar, DB32(fy=390 Mpa)|kg</v>
      </c>
      <c r="P24" s="155" t="s">
        <v>28</v>
      </c>
    </row>
    <row r="25" spans="1:16" ht="14.25" customHeight="1" x14ac:dyDescent="0.35">
      <c r="A25" s="29" t="s">
        <v>784</v>
      </c>
      <c r="B25" s="30" t="s">
        <v>466</v>
      </c>
      <c r="C25" s="30" t="s">
        <v>660</v>
      </c>
      <c r="D25" s="30" t="s">
        <v>545</v>
      </c>
      <c r="E25" s="30" t="s">
        <v>141</v>
      </c>
      <c r="F25" s="29" t="s">
        <v>128</v>
      </c>
      <c r="G25" s="156">
        <v>2</v>
      </c>
      <c r="H25" s="157">
        <v>0.2</v>
      </c>
      <c r="I25" s="158">
        <f t="shared" si="0"/>
        <v>2.4</v>
      </c>
      <c r="J25" s="156">
        <v>0</v>
      </c>
      <c r="K25" s="157">
        <v>0</v>
      </c>
      <c r="L25" s="158">
        <f t="shared" si="1"/>
        <v>0</v>
      </c>
      <c r="M25" s="159">
        <f t="shared" si="2"/>
        <v>2.4</v>
      </c>
      <c r="N25" s="160" t="s">
        <v>785</v>
      </c>
      <c r="O25" s="154" t="str">
        <f t="shared" si="3"/>
        <v>Well Soil Compact|m2</v>
      </c>
      <c r="P25" s="155" t="s">
        <v>28</v>
      </c>
    </row>
    <row r="26" spans="1:16" ht="14.25" customHeight="1" x14ac:dyDescent="0.35">
      <c r="A26" s="29" t="s">
        <v>786</v>
      </c>
      <c r="B26" s="30" t="s">
        <v>466</v>
      </c>
      <c r="C26" s="30" t="s">
        <v>660</v>
      </c>
      <c r="D26" s="30" t="s">
        <v>550</v>
      </c>
      <c r="E26" s="30" t="s">
        <v>143</v>
      </c>
      <c r="F26" s="29" t="s">
        <v>100</v>
      </c>
      <c r="G26" s="156">
        <v>7</v>
      </c>
      <c r="H26" s="157">
        <v>0.2</v>
      </c>
      <c r="I26" s="158">
        <f t="shared" si="0"/>
        <v>8.4</v>
      </c>
      <c r="J26" s="156">
        <v>75</v>
      </c>
      <c r="K26" s="157">
        <v>0.12</v>
      </c>
      <c r="L26" s="158">
        <f t="shared" si="1"/>
        <v>84.000000000000014</v>
      </c>
      <c r="M26" s="159">
        <f t="shared" si="2"/>
        <v>92.40000000000002</v>
      </c>
      <c r="N26" s="160" t="s">
        <v>787</v>
      </c>
      <c r="O26" s="154" t="str">
        <f t="shared" si="3"/>
        <v>Lean Concrete, 15Mpa (Cylinder)|m3</v>
      </c>
      <c r="P26" s="155" t="s">
        <v>28</v>
      </c>
    </row>
    <row r="27" spans="1:16" ht="14.25" customHeight="1" x14ac:dyDescent="0.35">
      <c r="A27" s="29" t="s">
        <v>788</v>
      </c>
      <c r="B27" s="30" t="s">
        <v>466</v>
      </c>
      <c r="C27" s="30" t="s">
        <v>660</v>
      </c>
      <c r="D27" s="30" t="s">
        <v>561</v>
      </c>
      <c r="E27" s="30" t="s">
        <v>145</v>
      </c>
      <c r="F27" s="29" t="s">
        <v>110</v>
      </c>
      <c r="G27" s="156">
        <v>1.5</v>
      </c>
      <c r="H27" s="157">
        <v>0.2</v>
      </c>
      <c r="I27" s="158">
        <f t="shared" si="0"/>
        <v>1.7999999999999998</v>
      </c>
      <c r="J27" s="156">
        <v>4</v>
      </c>
      <c r="K27" s="157">
        <v>0.12</v>
      </c>
      <c r="L27" s="158">
        <f t="shared" si="1"/>
        <v>4.4800000000000004</v>
      </c>
      <c r="M27" s="159">
        <f t="shared" si="2"/>
        <v>6.28</v>
      </c>
      <c r="N27" s="160" t="s">
        <v>789</v>
      </c>
      <c r="O27" s="154" t="str">
        <f t="shared" si="3"/>
        <v>PVC Waterbar® V VN 20 (Width 200mm)|m</v>
      </c>
      <c r="P27" s="155" t="s">
        <v>28</v>
      </c>
    </row>
    <row r="28" spans="1:16" ht="14.25" customHeight="1" x14ac:dyDescent="0.35">
      <c r="A28" s="29" t="s">
        <v>790</v>
      </c>
      <c r="B28" s="30" t="s">
        <v>466</v>
      </c>
      <c r="C28" s="30" t="s">
        <v>660</v>
      </c>
      <c r="D28" s="30" t="s">
        <v>662</v>
      </c>
      <c r="E28" s="30" t="s">
        <v>147</v>
      </c>
      <c r="F28" s="29" t="s">
        <v>128</v>
      </c>
      <c r="G28" s="156">
        <v>2</v>
      </c>
      <c r="H28" s="157">
        <v>0.2</v>
      </c>
      <c r="I28" s="158">
        <f t="shared" si="0"/>
        <v>2.4</v>
      </c>
      <c r="J28" s="156">
        <v>6.5</v>
      </c>
      <c r="K28" s="157">
        <v>0.12</v>
      </c>
      <c r="L28" s="158">
        <f t="shared" si="1"/>
        <v>7.2800000000000011</v>
      </c>
      <c r="M28" s="159">
        <f t="shared" si="2"/>
        <v>9.6800000000000015</v>
      </c>
      <c r="N28" s="160" t="s">
        <v>791</v>
      </c>
      <c r="O28" s="154" t="str">
        <f t="shared" si="3"/>
        <v>Membrance sheet 2mm thk|m2</v>
      </c>
      <c r="P28" s="155" t="s">
        <v>28</v>
      </c>
    </row>
    <row r="29" spans="1:16" ht="14.25" customHeight="1" x14ac:dyDescent="0.35">
      <c r="A29" s="29" t="s">
        <v>792</v>
      </c>
      <c r="B29" s="30" t="s">
        <v>31</v>
      </c>
      <c r="C29" s="30" t="s">
        <v>564</v>
      </c>
      <c r="D29" s="30" t="s">
        <v>513</v>
      </c>
      <c r="E29" s="30" t="s">
        <v>169</v>
      </c>
      <c r="F29" s="29" t="s">
        <v>103</v>
      </c>
      <c r="G29" s="156">
        <v>0.12</v>
      </c>
      <c r="H29" s="157">
        <v>0.2</v>
      </c>
      <c r="I29" s="158">
        <f t="shared" si="0"/>
        <v>0.14399999999999999</v>
      </c>
      <c r="J29" s="156">
        <v>0.77</v>
      </c>
      <c r="K29" s="157">
        <v>0.12</v>
      </c>
      <c r="L29" s="158">
        <f t="shared" si="1"/>
        <v>0.86240000000000006</v>
      </c>
      <c r="M29" s="159">
        <f t="shared" si="2"/>
        <v>1.0064</v>
      </c>
      <c r="N29" s="160" t="s">
        <v>793</v>
      </c>
      <c r="O29" s="154" t="str">
        <f t="shared" si="3"/>
        <v>Round Bar, RB8(fy=250 Mpa)|kg</v>
      </c>
      <c r="P29" s="155" t="s">
        <v>30</v>
      </c>
    </row>
    <row r="30" spans="1:16" ht="14.25" customHeight="1" x14ac:dyDescent="0.35">
      <c r="A30" s="29" t="s">
        <v>794</v>
      </c>
      <c r="B30" s="30" t="s">
        <v>31</v>
      </c>
      <c r="C30" s="30" t="s">
        <v>564</v>
      </c>
      <c r="D30" s="30" t="s">
        <v>548</v>
      </c>
      <c r="E30" s="30" t="s">
        <v>177</v>
      </c>
      <c r="F30" s="29" t="s">
        <v>100</v>
      </c>
      <c r="G30" s="156">
        <v>3</v>
      </c>
      <c r="H30" s="157">
        <v>0.2</v>
      </c>
      <c r="I30" s="158">
        <f t="shared" si="0"/>
        <v>3.5999999999999996</v>
      </c>
      <c r="J30" s="156">
        <v>18</v>
      </c>
      <c r="K30" s="157">
        <v>0.12</v>
      </c>
      <c r="L30" s="158">
        <f t="shared" si="1"/>
        <v>20.160000000000004</v>
      </c>
      <c r="M30" s="159">
        <f t="shared" si="2"/>
        <v>23.760000000000005</v>
      </c>
      <c r="N30" s="160" t="s">
        <v>795</v>
      </c>
      <c r="O30" s="154" t="str">
        <f t="shared" si="3"/>
        <v>Crush Stone 40x60mm 100mm Thk.|m3</v>
      </c>
      <c r="P30" s="155" t="s">
        <v>30</v>
      </c>
    </row>
    <row r="31" spans="1:16" ht="14.25" customHeight="1" x14ac:dyDescent="0.35">
      <c r="A31" s="29" t="s">
        <v>796</v>
      </c>
      <c r="B31" s="30" t="s">
        <v>31</v>
      </c>
      <c r="C31" s="30" t="s">
        <v>564</v>
      </c>
      <c r="D31" s="30" t="s">
        <v>452</v>
      </c>
      <c r="E31" s="30" t="s">
        <v>179</v>
      </c>
      <c r="F31" s="29" t="s">
        <v>128</v>
      </c>
      <c r="G31" s="156">
        <v>1</v>
      </c>
      <c r="H31" s="157">
        <v>0.2</v>
      </c>
      <c r="I31" s="158">
        <f t="shared" si="0"/>
        <v>1.2</v>
      </c>
      <c r="J31" s="156">
        <v>2.5</v>
      </c>
      <c r="K31" s="157">
        <v>0.12</v>
      </c>
      <c r="L31" s="158">
        <f t="shared" si="1"/>
        <v>2.8000000000000003</v>
      </c>
      <c r="M31" s="159">
        <f t="shared" si="2"/>
        <v>4</v>
      </c>
      <c r="N31" s="160" t="s">
        <v>797</v>
      </c>
      <c r="O31" s="154" t="str">
        <f t="shared" si="3"/>
        <v>Anti-Termite with Plastic Membrane|m2</v>
      </c>
      <c r="P31" s="155" t="s">
        <v>30</v>
      </c>
    </row>
    <row r="32" spans="1:16" ht="14.25" customHeight="1" x14ac:dyDescent="0.35">
      <c r="A32" s="29" t="s">
        <v>798</v>
      </c>
      <c r="B32" s="30" t="s">
        <v>31</v>
      </c>
      <c r="C32" s="30" t="s">
        <v>665</v>
      </c>
      <c r="D32" s="30" t="s">
        <v>513</v>
      </c>
      <c r="E32" s="30" t="s">
        <v>211</v>
      </c>
      <c r="F32" s="29" t="s">
        <v>103</v>
      </c>
      <c r="G32" s="156">
        <v>0.1</v>
      </c>
      <c r="H32" s="157">
        <v>0.2</v>
      </c>
      <c r="I32" s="158">
        <f t="shared" si="0"/>
        <v>0.12</v>
      </c>
      <c r="J32" s="156">
        <v>0.75</v>
      </c>
      <c r="K32" s="157">
        <v>0.12</v>
      </c>
      <c r="L32" s="158">
        <f t="shared" si="1"/>
        <v>0.84000000000000008</v>
      </c>
      <c r="M32" s="159">
        <f t="shared" si="2"/>
        <v>0.96000000000000008</v>
      </c>
      <c r="N32" s="160" t="s">
        <v>780</v>
      </c>
      <c r="O32" s="154" t="str">
        <f t="shared" si="3"/>
        <v>Deform Bar, DB14(fy=390 Mpa)|kg</v>
      </c>
      <c r="P32" s="155" t="s">
        <v>30</v>
      </c>
    </row>
    <row r="33" spans="1:16" ht="14.25" customHeight="1" x14ac:dyDescent="0.35">
      <c r="A33" s="29" t="s">
        <v>799</v>
      </c>
      <c r="B33" s="30" t="s">
        <v>31</v>
      </c>
      <c r="C33" s="30" t="s">
        <v>681</v>
      </c>
      <c r="D33" s="30" t="s">
        <v>800</v>
      </c>
      <c r="E33" s="30" t="s">
        <v>233</v>
      </c>
      <c r="F33" s="29" t="s">
        <v>234</v>
      </c>
      <c r="G33" s="156">
        <v>0.5</v>
      </c>
      <c r="H33" s="157">
        <v>0.2</v>
      </c>
      <c r="I33" s="158">
        <f t="shared" si="0"/>
        <v>0.6</v>
      </c>
      <c r="J33" s="156">
        <v>2</v>
      </c>
      <c r="K33" s="157">
        <v>0.12</v>
      </c>
      <c r="L33" s="158">
        <f t="shared" si="1"/>
        <v>2.2400000000000002</v>
      </c>
      <c r="M33" s="159">
        <f t="shared" si="2"/>
        <v>2.8400000000000003</v>
      </c>
      <c r="N33" s="160" t="s">
        <v>801</v>
      </c>
      <c r="O33" s="154" t="str">
        <f t="shared" si="3"/>
        <v>J bolt M12, L=600mm, grade 5.6|pcs</v>
      </c>
      <c r="P33" s="155" t="s">
        <v>30</v>
      </c>
    </row>
    <row r="34" spans="1:16" ht="14.25" customHeight="1" x14ac:dyDescent="0.35">
      <c r="A34" s="29" t="s">
        <v>802</v>
      </c>
      <c r="B34" s="30" t="s">
        <v>31</v>
      </c>
      <c r="C34" s="30" t="s">
        <v>681</v>
      </c>
      <c r="D34" s="30" t="s">
        <v>683</v>
      </c>
      <c r="E34" s="30" t="s">
        <v>236</v>
      </c>
      <c r="F34" s="29" t="s">
        <v>234</v>
      </c>
      <c r="G34" s="156">
        <v>2</v>
      </c>
      <c r="H34" s="157">
        <v>0.2</v>
      </c>
      <c r="I34" s="158">
        <f t="shared" si="0"/>
        <v>2.4</v>
      </c>
      <c r="J34" s="156">
        <v>5.5</v>
      </c>
      <c r="K34" s="157">
        <v>0.12</v>
      </c>
      <c r="L34" s="158">
        <f t="shared" si="1"/>
        <v>6.16</v>
      </c>
      <c r="M34" s="159">
        <f t="shared" si="2"/>
        <v>8.56</v>
      </c>
      <c r="N34" s="160" t="s">
        <v>803</v>
      </c>
      <c r="O34" s="154" t="str">
        <f t="shared" si="3"/>
        <v>Steel plate 200x230x12mm|pcs</v>
      </c>
      <c r="P34" s="155" t="s">
        <v>30</v>
      </c>
    </row>
    <row r="35" spans="1:16" ht="14.25" customHeight="1" x14ac:dyDescent="0.35">
      <c r="A35" s="29" t="s">
        <v>804</v>
      </c>
      <c r="B35" s="30" t="s">
        <v>31</v>
      </c>
      <c r="C35" s="30" t="s">
        <v>681</v>
      </c>
      <c r="D35" s="30" t="s">
        <v>684</v>
      </c>
      <c r="E35" s="30" t="s">
        <v>238</v>
      </c>
      <c r="F35" s="29" t="s">
        <v>128</v>
      </c>
      <c r="G35" s="156">
        <v>2</v>
      </c>
      <c r="H35" s="157">
        <v>0.2</v>
      </c>
      <c r="I35" s="158">
        <f t="shared" si="0"/>
        <v>2.4</v>
      </c>
      <c r="J35" s="156">
        <v>5.5</v>
      </c>
      <c r="K35" s="157">
        <v>0.12</v>
      </c>
      <c r="L35" s="158">
        <f t="shared" si="1"/>
        <v>6.16</v>
      </c>
      <c r="M35" s="159">
        <f t="shared" si="2"/>
        <v>8.56</v>
      </c>
      <c r="N35" s="160" t="s">
        <v>805</v>
      </c>
      <c r="O35" s="154" t="str">
        <f t="shared" si="3"/>
        <v>Zinc sheet 0.4mm|m2</v>
      </c>
      <c r="P35" s="155" t="s">
        <v>30</v>
      </c>
    </row>
    <row r="36" spans="1:16" ht="14.25" customHeight="1" x14ac:dyDescent="0.35">
      <c r="A36" s="29" t="s">
        <v>806</v>
      </c>
      <c r="B36" s="30" t="s">
        <v>31</v>
      </c>
      <c r="C36" s="30" t="s">
        <v>681</v>
      </c>
      <c r="D36" s="30" t="s">
        <v>685</v>
      </c>
      <c r="E36" s="30" t="s">
        <v>240</v>
      </c>
      <c r="F36" s="29" t="s">
        <v>110</v>
      </c>
      <c r="G36" s="156">
        <v>0.5</v>
      </c>
      <c r="H36" s="157">
        <v>0.2</v>
      </c>
      <c r="I36" s="158">
        <f t="shared" si="0"/>
        <v>0.6</v>
      </c>
      <c r="J36" s="156">
        <v>1.2</v>
      </c>
      <c r="K36" s="157">
        <v>0.12</v>
      </c>
      <c r="L36" s="158">
        <f t="shared" si="1"/>
        <v>1.3440000000000001</v>
      </c>
      <c r="M36" s="159">
        <f t="shared" si="2"/>
        <v>1.944</v>
      </c>
      <c r="N36" s="160" t="s">
        <v>807</v>
      </c>
      <c r="O36" s="154" t="str">
        <f t="shared" si="3"/>
        <v>Sag rod 12mm|m</v>
      </c>
      <c r="P36" s="155" t="s">
        <v>30</v>
      </c>
    </row>
    <row r="37" spans="1:16" ht="14.25" customHeight="1" x14ac:dyDescent="0.35">
      <c r="A37" s="29" t="s">
        <v>808</v>
      </c>
      <c r="B37" s="30" t="s">
        <v>31</v>
      </c>
      <c r="C37" s="30" t="s">
        <v>681</v>
      </c>
      <c r="D37" s="30" t="s">
        <v>686</v>
      </c>
      <c r="E37" s="30" t="s">
        <v>242</v>
      </c>
      <c r="F37" s="29" t="s">
        <v>110</v>
      </c>
      <c r="G37" s="156">
        <v>3</v>
      </c>
      <c r="H37" s="157">
        <v>0.2</v>
      </c>
      <c r="I37" s="158">
        <f t="shared" ref="I37:I68" si="4">G37*(1+H37)</f>
        <v>3.5999999999999996</v>
      </c>
      <c r="J37" s="156">
        <v>8.5</v>
      </c>
      <c r="K37" s="157">
        <v>0.12</v>
      </c>
      <c r="L37" s="158">
        <f t="shared" ref="L37:L68" si="5">J37*(1+K37)</f>
        <v>9.5200000000000014</v>
      </c>
      <c r="M37" s="159">
        <f t="shared" ref="M37:M68" si="6">I37+L37</f>
        <v>13.120000000000001</v>
      </c>
      <c r="N37" s="160" t="s">
        <v>809</v>
      </c>
      <c r="O37" s="154" t="str">
        <f t="shared" ref="O37:O68" si="7">TRIM(E37)&amp;"|"&amp;TRIM(F37)</f>
        <v>U-50*100*5mm|m</v>
      </c>
      <c r="P37" s="155" t="s">
        <v>30</v>
      </c>
    </row>
    <row r="38" spans="1:16" ht="14.25" customHeight="1" x14ac:dyDescent="0.35">
      <c r="A38" s="29" t="s">
        <v>810</v>
      </c>
      <c r="B38" s="30" t="s">
        <v>31</v>
      </c>
      <c r="C38" s="30" t="s">
        <v>681</v>
      </c>
      <c r="D38" s="30" t="s">
        <v>687</v>
      </c>
      <c r="E38" s="30" t="s">
        <v>244</v>
      </c>
      <c r="F38" s="29" t="s">
        <v>110</v>
      </c>
      <c r="G38" s="156">
        <v>2.5</v>
      </c>
      <c r="H38" s="157">
        <v>0.2</v>
      </c>
      <c r="I38" s="158">
        <f t="shared" si="4"/>
        <v>3</v>
      </c>
      <c r="J38" s="156">
        <v>5.5</v>
      </c>
      <c r="K38" s="157">
        <v>0.12</v>
      </c>
      <c r="L38" s="158">
        <f t="shared" si="5"/>
        <v>6.16</v>
      </c>
      <c r="M38" s="159">
        <f t="shared" si="6"/>
        <v>9.16</v>
      </c>
      <c r="N38" s="160" t="s">
        <v>811</v>
      </c>
      <c r="O38" s="154" t="str">
        <f t="shared" si="7"/>
        <v>Tub-50*100*2mm|m</v>
      </c>
      <c r="P38" s="155" t="s">
        <v>30</v>
      </c>
    </row>
    <row r="39" spans="1:16" ht="14.25" customHeight="1" x14ac:dyDescent="0.35">
      <c r="A39" s="29" t="s">
        <v>812</v>
      </c>
      <c r="B39" s="30" t="s">
        <v>31</v>
      </c>
      <c r="C39" s="30" t="s">
        <v>681</v>
      </c>
      <c r="D39" s="30" t="s">
        <v>688</v>
      </c>
      <c r="E39" s="30" t="s">
        <v>246</v>
      </c>
      <c r="F39" s="29" t="s">
        <v>110</v>
      </c>
      <c r="G39" s="156">
        <v>1</v>
      </c>
      <c r="H39" s="157">
        <v>0.2</v>
      </c>
      <c r="I39" s="158">
        <f t="shared" si="4"/>
        <v>1.2</v>
      </c>
      <c r="J39" s="156">
        <v>2.5</v>
      </c>
      <c r="K39" s="157">
        <v>0.12</v>
      </c>
      <c r="L39" s="158">
        <f t="shared" si="5"/>
        <v>2.8000000000000003</v>
      </c>
      <c r="M39" s="159">
        <f t="shared" si="6"/>
        <v>4</v>
      </c>
      <c r="N39" s="160" t="s">
        <v>813</v>
      </c>
      <c r="O39" s="154" t="str">
        <f t="shared" si="7"/>
        <v>Flashing cover roof|m</v>
      </c>
      <c r="P39" s="155" t="s">
        <v>30</v>
      </c>
    </row>
    <row r="40" spans="1:16" ht="28.5" customHeight="1" x14ac:dyDescent="0.35">
      <c r="A40" s="29" t="s">
        <v>814</v>
      </c>
      <c r="B40" s="30" t="s">
        <v>690</v>
      </c>
      <c r="C40" s="30" t="s">
        <v>691</v>
      </c>
      <c r="D40" s="30" t="s">
        <v>692</v>
      </c>
      <c r="E40" s="30" t="s">
        <v>252</v>
      </c>
      <c r="F40" s="29" t="s">
        <v>128</v>
      </c>
      <c r="G40" s="156">
        <v>8.5</v>
      </c>
      <c r="H40" s="157">
        <v>0.2</v>
      </c>
      <c r="I40" s="158">
        <f t="shared" si="4"/>
        <v>10.199999999999999</v>
      </c>
      <c r="J40" s="156">
        <v>25</v>
      </c>
      <c r="K40" s="157">
        <v>0.12</v>
      </c>
      <c r="L40" s="158">
        <f t="shared" si="5"/>
        <v>28.000000000000004</v>
      </c>
      <c r="M40" s="159">
        <f t="shared" si="6"/>
        <v>38.200000000000003</v>
      </c>
      <c r="N40" s="160" t="s">
        <v>815</v>
      </c>
      <c r="O40" s="154" t="str">
        <f t="shared" si="7"/>
        <v>Hollow clay brick (80x80x180)mm, thickness 500mm Thk.|m2</v>
      </c>
      <c r="P40" s="155" t="s">
        <v>32</v>
      </c>
    </row>
    <row r="41" spans="1:16" ht="28.5" customHeight="1" x14ac:dyDescent="0.35">
      <c r="A41" s="29" t="s">
        <v>816</v>
      </c>
      <c r="B41" s="30" t="s">
        <v>690</v>
      </c>
      <c r="C41" s="30" t="s">
        <v>691</v>
      </c>
      <c r="D41" s="30" t="s">
        <v>693</v>
      </c>
      <c r="E41" s="30" t="s">
        <v>254</v>
      </c>
      <c r="F41" s="29" t="s">
        <v>128</v>
      </c>
      <c r="G41" s="156">
        <v>4.5</v>
      </c>
      <c r="H41" s="157">
        <v>0.2</v>
      </c>
      <c r="I41" s="158">
        <f t="shared" si="4"/>
        <v>5.3999999999999995</v>
      </c>
      <c r="J41" s="156">
        <v>11</v>
      </c>
      <c r="K41" s="157">
        <v>0.12</v>
      </c>
      <c r="L41" s="158">
        <f t="shared" si="5"/>
        <v>12.32</v>
      </c>
      <c r="M41" s="159">
        <f t="shared" si="6"/>
        <v>17.72</v>
      </c>
      <c r="N41" s="160" t="s">
        <v>817</v>
      </c>
      <c r="O41" s="154" t="str">
        <f t="shared" si="7"/>
        <v>Hollow clay brick (80x80x180)mm, thickness 200mm Thk.|m2</v>
      </c>
      <c r="P41" s="155" t="s">
        <v>32</v>
      </c>
    </row>
    <row r="42" spans="1:16" ht="28.5" customHeight="1" x14ac:dyDescent="0.35">
      <c r="A42" s="29" t="s">
        <v>818</v>
      </c>
      <c r="B42" s="30" t="s">
        <v>694</v>
      </c>
      <c r="C42" s="30" t="s">
        <v>691</v>
      </c>
      <c r="D42" s="30" t="s">
        <v>695</v>
      </c>
      <c r="E42" s="30" t="s">
        <v>297</v>
      </c>
      <c r="F42" s="29" t="s">
        <v>128</v>
      </c>
      <c r="G42" s="156">
        <v>3</v>
      </c>
      <c r="H42" s="157">
        <v>0.2</v>
      </c>
      <c r="I42" s="158">
        <f t="shared" si="4"/>
        <v>3.5999999999999996</v>
      </c>
      <c r="J42" s="156">
        <v>6</v>
      </c>
      <c r="K42" s="157">
        <v>0.12</v>
      </c>
      <c r="L42" s="158">
        <f t="shared" si="5"/>
        <v>6.7200000000000006</v>
      </c>
      <c r="M42" s="159">
        <f t="shared" si="6"/>
        <v>10.32</v>
      </c>
      <c r="N42" s="160" t="s">
        <v>819</v>
      </c>
      <c r="O42" s="154" t="str">
        <f t="shared" si="7"/>
        <v>Hollow clay brick (80x80x180)mm, thickness 100mm Thk.|m2</v>
      </c>
      <c r="P42" s="155" t="s">
        <v>38</v>
      </c>
    </row>
    <row r="43" spans="1:16" ht="28.5" customHeight="1" x14ac:dyDescent="0.35">
      <c r="A43" s="29" t="s">
        <v>820</v>
      </c>
      <c r="B43" s="30" t="s">
        <v>690</v>
      </c>
      <c r="C43" s="30" t="s">
        <v>691</v>
      </c>
      <c r="D43" s="30" t="s">
        <v>698</v>
      </c>
      <c r="E43" s="30" t="s">
        <v>256</v>
      </c>
      <c r="F43" s="29" t="s">
        <v>128</v>
      </c>
      <c r="G43" s="156">
        <v>12</v>
      </c>
      <c r="H43" s="157">
        <v>0.2</v>
      </c>
      <c r="I43" s="158">
        <f t="shared" si="4"/>
        <v>14.399999999999999</v>
      </c>
      <c r="J43" s="156">
        <v>38</v>
      </c>
      <c r="K43" s="157">
        <v>0.12</v>
      </c>
      <c r="L43" s="158">
        <f t="shared" si="5"/>
        <v>42.56</v>
      </c>
      <c r="M43" s="159">
        <f t="shared" si="6"/>
        <v>56.96</v>
      </c>
      <c r="N43" s="160" t="s">
        <v>821</v>
      </c>
      <c r="O43" s="154" t="str">
        <f t="shared" si="7"/>
        <v>Hollow clay brick (80x80x180)mm, thickness 800mm Thk.|m2</v>
      </c>
      <c r="P43" s="155" t="s">
        <v>32</v>
      </c>
    </row>
    <row r="44" spans="1:16" ht="28.5" customHeight="1" x14ac:dyDescent="0.35">
      <c r="A44" s="29" t="s">
        <v>822</v>
      </c>
      <c r="B44" s="30" t="s">
        <v>690</v>
      </c>
      <c r="C44" s="30" t="s">
        <v>691</v>
      </c>
      <c r="D44" s="30" t="s">
        <v>699</v>
      </c>
      <c r="E44" s="30" t="s">
        <v>258</v>
      </c>
      <c r="F44" s="29" t="s">
        <v>128</v>
      </c>
      <c r="G44" s="156">
        <v>7</v>
      </c>
      <c r="H44" s="157">
        <v>0.2</v>
      </c>
      <c r="I44" s="158">
        <f t="shared" si="4"/>
        <v>8.4</v>
      </c>
      <c r="J44" s="156">
        <v>20</v>
      </c>
      <c r="K44" s="157">
        <v>0.12</v>
      </c>
      <c r="L44" s="158">
        <f t="shared" si="5"/>
        <v>22.400000000000002</v>
      </c>
      <c r="M44" s="159">
        <f t="shared" si="6"/>
        <v>30.800000000000004</v>
      </c>
      <c r="N44" s="160" t="s">
        <v>823</v>
      </c>
      <c r="O44" s="154" t="str">
        <f t="shared" si="7"/>
        <v>Hollow clay brick (80x80x180)mm, thickness 400mm Thk.|m2</v>
      </c>
      <c r="P44" s="155" t="s">
        <v>32</v>
      </c>
    </row>
    <row r="45" spans="1:16" ht="14.25" customHeight="1" x14ac:dyDescent="0.35">
      <c r="A45" s="29" t="s">
        <v>824</v>
      </c>
      <c r="B45" s="30" t="s">
        <v>700</v>
      </c>
      <c r="C45" s="30" t="s">
        <v>701</v>
      </c>
      <c r="D45" s="30" t="s">
        <v>701</v>
      </c>
      <c r="E45" s="30" t="s">
        <v>311</v>
      </c>
      <c r="F45" s="29" t="s">
        <v>234</v>
      </c>
      <c r="G45" s="156">
        <v>0</v>
      </c>
      <c r="H45" s="157">
        <v>0</v>
      </c>
      <c r="I45" s="158">
        <f t="shared" si="4"/>
        <v>0</v>
      </c>
      <c r="J45" s="156">
        <v>40</v>
      </c>
      <c r="K45" s="157">
        <v>0.12</v>
      </c>
      <c r="L45" s="158">
        <f t="shared" si="5"/>
        <v>44.800000000000004</v>
      </c>
      <c r="M45" s="159">
        <f t="shared" si="6"/>
        <v>44.800000000000004</v>
      </c>
      <c r="N45" s="160" t="s">
        <v>825</v>
      </c>
      <c r="O45" s="154" t="str">
        <f t="shared" si="7"/>
        <v>PVC door size (L:750,H:2000,W:400)mm|pcs</v>
      </c>
      <c r="P45" s="155" t="s">
        <v>40</v>
      </c>
    </row>
    <row r="46" spans="1:16" ht="14.25" customHeight="1" x14ac:dyDescent="0.35">
      <c r="A46" s="29" t="s">
        <v>826</v>
      </c>
      <c r="B46" s="30" t="s">
        <v>700</v>
      </c>
      <c r="C46" s="30" t="s">
        <v>701</v>
      </c>
      <c r="D46" s="30" t="s">
        <v>701</v>
      </c>
      <c r="E46" s="30" t="s">
        <v>313</v>
      </c>
      <c r="F46" s="29" t="s">
        <v>234</v>
      </c>
      <c r="G46" s="156">
        <v>0</v>
      </c>
      <c r="H46" s="157">
        <v>0</v>
      </c>
      <c r="I46" s="158">
        <f t="shared" si="4"/>
        <v>0</v>
      </c>
      <c r="J46" s="156">
        <v>45</v>
      </c>
      <c r="K46" s="157">
        <v>0.12</v>
      </c>
      <c r="L46" s="158">
        <f t="shared" si="5"/>
        <v>50.400000000000006</v>
      </c>
      <c r="M46" s="159">
        <f t="shared" si="6"/>
        <v>50.400000000000006</v>
      </c>
      <c r="N46" s="160" t="s">
        <v>827</v>
      </c>
      <c r="O46" s="154" t="str">
        <f t="shared" si="7"/>
        <v>PVC door size (L:800,H:2100,W:400)mm|pcs</v>
      </c>
      <c r="P46" s="155" t="s">
        <v>40</v>
      </c>
    </row>
    <row r="47" spans="1:16" ht="14.25" customHeight="1" x14ac:dyDescent="0.35">
      <c r="A47" s="29" t="s">
        <v>828</v>
      </c>
      <c r="B47" s="30" t="s">
        <v>700</v>
      </c>
      <c r="C47" s="30" t="s">
        <v>707</v>
      </c>
      <c r="D47" s="30" t="s">
        <v>707</v>
      </c>
      <c r="E47" s="30" t="s">
        <v>319</v>
      </c>
      <c r="F47" s="29" t="s">
        <v>234</v>
      </c>
      <c r="G47" s="156">
        <v>0</v>
      </c>
      <c r="H47" s="157">
        <v>0</v>
      </c>
      <c r="I47" s="158">
        <f t="shared" si="4"/>
        <v>0</v>
      </c>
      <c r="J47" s="156">
        <v>120</v>
      </c>
      <c r="K47" s="157">
        <v>0.12</v>
      </c>
      <c r="L47" s="158">
        <f t="shared" si="5"/>
        <v>134.4</v>
      </c>
      <c r="M47" s="159">
        <f t="shared" si="6"/>
        <v>134.4</v>
      </c>
      <c r="N47" s="160" t="s">
        <v>829</v>
      </c>
      <c r="O47" s="154" t="str">
        <f t="shared" si="7"/>
        <v>Wood door size (L:900,H:2100,W:500)mm|pcs</v>
      </c>
      <c r="P47" s="155" t="s">
        <v>40</v>
      </c>
    </row>
    <row r="48" spans="1:16" ht="14.25" customHeight="1" x14ac:dyDescent="0.35">
      <c r="A48" s="29" t="s">
        <v>830</v>
      </c>
      <c r="B48" s="30" t="s">
        <v>700</v>
      </c>
      <c r="C48" s="30" t="s">
        <v>707</v>
      </c>
      <c r="D48" s="30" t="s">
        <v>707</v>
      </c>
      <c r="E48" s="30" t="s">
        <v>321</v>
      </c>
      <c r="F48" s="29" t="s">
        <v>234</v>
      </c>
      <c r="G48" s="156">
        <v>0</v>
      </c>
      <c r="H48" s="157">
        <v>0</v>
      </c>
      <c r="I48" s="158">
        <f t="shared" si="4"/>
        <v>0</v>
      </c>
      <c r="J48" s="156">
        <v>110</v>
      </c>
      <c r="K48" s="157">
        <v>0.12</v>
      </c>
      <c r="L48" s="158">
        <f t="shared" si="5"/>
        <v>123.20000000000002</v>
      </c>
      <c r="M48" s="159">
        <f t="shared" si="6"/>
        <v>123.20000000000002</v>
      </c>
      <c r="N48" s="160" t="s">
        <v>831</v>
      </c>
      <c r="O48" s="154" t="str">
        <f t="shared" si="7"/>
        <v>Wood door size (L:900,H:2100,W:400)mm|pcs</v>
      </c>
      <c r="P48" s="155" t="s">
        <v>40</v>
      </c>
    </row>
    <row r="49" spans="1:16" ht="14.25" customHeight="1" x14ac:dyDescent="0.35">
      <c r="A49" s="29" t="s">
        <v>832</v>
      </c>
      <c r="B49" s="30" t="s">
        <v>700</v>
      </c>
      <c r="C49" s="30" t="s">
        <v>711</v>
      </c>
      <c r="D49" s="30" t="s">
        <v>711</v>
      </c>
      <c r="E49" s="30" t="s">
        <v>327</v>
      </c>
      <c r="F49" s="29" t="s">
        <v>234</v>
      </c>
      <c r="G49" s="156">
        <v>0</v>
      </c>
      <c r="H49" s="157">
        <v>0</v>
      </c>
      <c r="I49" s="158">
        <f t="shared" si="4"/>
        <v>0</v>
      </c>
      <c r="J49" s="156">
        <v>135</v>
      </c>
      <c r="K49" s="157">
        <v>0.12</v>
      </c>
      <c r="L49" s="158">
        <f t="shared" si="5"/>
        <v>151.20000000000002</v>
      </c>
      <c r="M49" s="159">
        <f t="shared" si="6"/>
        <v>151.20000000000002</v>
      </c>
      <c r="N49" s="160" t="s">
        <v>833</v>
      </c>
      <c r="O49" s="154" t="str">
        <f t="shared" si="7"/>
        <v>Steel door size (L:880,H:2100,W:400)mm|pcs</v>
      </c>
      <c r="P49" s="155" t="s">
        <v>40</v>
      </c>
    </row>
    <row r="50" spans="1:16" ht="14.25" customHeight="1" x14ac:dyDescent="0.35">
      <c r="A50" s="29" t="s">
        <v>834</v>
      </c>
      <c r="B50" s="30" t="s">
        <v>700</v>
      </c>
      <c r="C50" s="30" t="s">
        <v>701</v>
      </c>
      <c r="D50" s="30" t="s">
        <v>701</v>
      </c>
      <c r="E50" s="30" t="s">
        <v>315</v>
      </c>
      <c r="F50" s="29" t="s">
        <v>234</v>
      </c>
      <c r="G50" s="156">
        <v>0</v>
      </c>
      <c r="H50" s="157">
        <v>0</v>
      </c>
      <c r="I50" s="158">
        <f t="shared" si="4"/>
        <v>0</v>
      </c>
      <c r="J50" s="156">
        <v>50</v>
      </c>
      <c r="K50" s="157">
        <v>0.12</v>
      </c>
      <c r="L50" s="158">
        <f t="shared" si="5"/>
        <v>56.000000000000007</v>
      </c>
      <c r="M50" s="159">
        <f t="shared" si="6"/>
        <v>56.000000000000007</v>
      </c>
      <c r="N50" s="160" t="s">
        <v>835</v>
      </c>
      <c r="O50" s="154" t="str">
        <f t="shared" si="7"/>
        <v>PVC door size (L:900,H:2100,W:400)mm|pcs</v>
      </c>
      <c r="P50" s="155" t="s">
        <v>40</v>
      </c>
    </row>
    <row r="51" spans="1:16" ht="14.25" customHeight="1" x14ac:dyDescent="0.35">
      <c r="A51" s="29" t="s">
        <v>836</v>
      </c>
      <c r="B51" s="30" t="s">
        <v>700</v>
      </c>
      <c r="C51" s="30" t="s">
        <v>707</v>
      </c>
      <c r="D51" s="30" t="s">
        <v>707</v>
      </c>
      <c r="E51" s="30" t="s">
        <v>323</v>
      </c>
      <c r="F51" s="29" t="s">
        <v>234</v>
      </c>
      <c r="G51" s="156">
        <v>0</v>
      </c>
      <c r="H51" s="157">
        <v>0</v>
      </c>
      <c r="I51" s="158">
        <f t="shared" si="4"/>
        <v>0</v>
      </c>
      <c r="J51" s="156">
        <v>210</v>
      </c>
      <c r="K51" s="157">
        <v>0.12</v>
      </c>
      <c r="L51" s="158">
        <f t="shared" si="5"/>
        <v>235.20000000000002</v>
      </c>
      <c r="M51" s="159">
        <f t="shared" si="6"/>
        <v>235.20000000000002</v>
      </c>
      <c r="N51" s="160" t="s">
        <v>837</v>
      </c>
      <c r="O51" s="154" t="str">
        <f t="shared" si="7"/>
        <v>Wood door size (L:1600,H:2100,W:500)mm|pcs</v>
      </c>
      <c r="P51" s="155" t="s">
        <v>40</v>
      </c>
    </row>
    <row r="52" spans="1:16" ht="28.5" customHeight="1" x14ac:dyDescent="0.35">
      <c r="A52" s="29" t="s">
        <v>838</v>
      </c>
      <c r="B52" s="30" t="s">
        <v>717</v>
      </c>
      <c r="C52" s="30" t="s">
        <v>718</v>
      </c>
      <c r="D52" s="30" t="s">
        <v>718</v>
      </c>
      <c r="E52" s="30" t="s">
        <v>278</v>
      </c>
      <c r="F52" s="29" t="s">
        <v>234</v>
      </c>
      <c r="G52" s="156">
        <v>0</v>
      </c>
      <c r="H52" s="157">
        <v>0</v>
      </c>
      <c r="I52" s="158">
        <f t="shared" si="4"/>
        <v>0</v>
      </c>
      <c r="J52" s="156">
        <v>82.5</v>
      </c>
      <c r="K52" s="157">
        <v>0.12</v>
      </c>
      <c r="L52" s="158">
        <f t="shared" si="5"/>
        <v>92.4</v>
      </c>
      <c r="M52" s="159">
        <f t="shared" si="6"/>
        <v>92.4</v>
      </c>
      <c r="N52" s="160" t="s">
        <v>839</v>
      </c>
      <c r="O52" s="154" t="str">
        <f t="shared" si="7"/>
        <v>Internal Fix Windoor (L:3000,H:500)mm|pcs</v>
      </c>
      <c r="P52" s="155" t="s">
        <v>36</v>
      </c>
    </row>
    <row r="53" spans="1:16" ht="28.5" customHeight="1" x14ac:dyDescent="0.35">
      <c r="A53" s="29" t="s">
        <v>840</v>
      </c>
      <c r="B53" s="30" t="s">
        <v>717</v>
      </c>
      <c r="C53" s="30" t="s">
        <v>718</v>
      </c>
      <c r="D53" s="30" t="s">
        <v>718</v>
      </c>
      <c r="E53" s="30" t="s">
        <v>280</v>
      </c>
      <c r="F53" s="29" t="s">
        <v>234</v>
      </c>
      <c r="G53" s="156">
        <v>0</v>
      </c>
      <c r="H53" s="157">
        <v>0</v>
      </c>
      <c r="I53" s="158">
        <f t="shared" si="4"/>
        <v>0</v>
      </c>
      <c r="J53" s="156">
        <v>49.5</v>
      </c>
      <c r="K53" s="157">
        <v>0.12</v>
      </c>
      <c r="L53" s="158">
        <f t="shared" si="5"/>
        <v>55.440000000000005</v>
      </c>
      <c r="M53" s="159">
        <f t="shared" si="6"/>
        <v>55.440000000000005</v>
      </c>
      <c r="N53" s="160" t="s">
        <v>839</v>
      </c>
      <c r="O53" s="154" t="str">
        <f t="shared" si="7"/>
        <v>Internal Fix Windoor (L:1800,H:500)mm|pcs</v>
      </c>
      <c r="P53" s="155" t="s">
        <v>36</v>
      </c>
    </row>
    <row r="54" spans="1:16" ht="28.5" customHeight="1" x14ac:dyDescent="0.35">
      <c r="A54" s="29" t="s">
        <v>841</v>
      </c>
      <c r="B54" s="30" t="s">
        <v>717</v>
      </c>
      <c r="C54" s="30" t="s">
        <v>718</v>
      </c>
      <c r="D54" s="30" t="s">
        <v>718</v>
      </c>
      <c r="E54" s="30" t="s">
        <v>282</v>
      </c>
      <c r="F54" s="29" t="s">
        <v>234</v>
      </c>
      <c r="G54" s="156">
        <v>0</v>
      </c>
      <c r="H54" s="157">
        <v>0</v>
      </c>
      <c r="I54" s="158">
        <f t="shared" si="4"/>
        <v>0</v>
      </c>
      <c r="J54" s="156">
        <v>117</v>
      </c>
      <c r="K54" s="157">
        <v>0.12</v>
      </c>
      <c r="L54" s="158">
        <f t="shared" si="5"/>
        <v>131.04000000000002</v>
      </c>
      <c r="M54" s="159">
        <f t="shared" si="6"/>
        <v>131.04000000000002</v>
      </c>
      <c r="N54" s="160" t="s">
        <v>839</v>
      </c>
      <c r="O54" s="154" t="str">
        <f t="shared" si="7"/>
        <v>Internal Fix Windoor (L:1200,H:500)mm &amp; Slide window (L:1200,H:1000)mm|pcs</v>
      </c>
      <c r="P54" s="155" t="s">
        <v>36</v>
      </c>
    </row>
    <row r="55" spans="1:16" ht="28.5" customHeight="1" x14ac:dyDescent="0.35">
      <c r="A55" s="29" t="s">
        <v>842</v>
      </c>
      <c r="B55" s="30" t="s">
        <v>717</v>
      </c>
      <c r="C55" s="30" t="s">
        <v>718</v>
      </c>
      <c r="D55" s="30" t="s">
        <v>718</v>
      </c>
      <c r="E55" s="30" t="s">
        <v>284</v>
      </c>
      <c r="F55" s="29" t="s">
        <v>234</v>
      </c>
      <c r="G55" s="156">
        <v>0</v>
      </c>
      <c r="H55" s="157">
        <v>0</v>
      </c>
      <c r="I55" s="158">
        <f t="shared" si="4"/>
        <v>0</v>
      </c>
      <c r="J55" s="156">
        <v>195</v>
      </c>
      <c r="K55" s="157">
        <v>0.12</v>
      </c>
      <c r="L55" s="158">
        <f t="shared" si="5"/>
        <v>218.40000000000003</v>
      </c>
      <c r="M55" s="159">
        <f t="shared" si="6"/>
        <v>218.40000000000003</v>
      </c>
      <c r="N55" s="160" t="s">
        <v>839</v>
      </c>
      <c r="O55" s="154" t="str">
        <f t="shared" si="7"/>
        <v>Internal Fix Windoor (L:2000,H:500)mm &amp; Slide window (L:2000,H:1000)mm|pcs</v>
      </c>
      <c r="P55" s="155" t="s">
        <v>36</v>
      </c>
    </row>
    <row r="56" spans="1:16" ht="28.5" customHeight="1" x14ac:dyDescent="0.35">
      <c r="A56" s="29" t="s">
        <v>843</v>
      </c>
      <c r="B56" s="30" t="s">
        <v>717</v>
      </c>
      <c r="C56" s="30" t="s">
        <v>718</v>
      </c>
      <c r="D56" s="30" t="s">
        <v>718</v>
      </c>
      <c r="E56" s="30" t="s">
        <v>286</v>
      </c>
      <c r="F56" s="29" t="s">
        <v>234</v>
      </c>
      <c r="G56" s="156">
        <v>0</v>
      </c>
      <c r="H56" s="157">
        <v>0</v>
      </c>
      <c r="I56" s="158">
        <f t="shared" si="4"/>
        <v>0</v>
      </c>
      <c r="J56" s="156">
        <v>292.5</v>
      </c>
      <c r="K56" s="157">
        <v>0.12</v>
      </c>
      <c r="L56" s="158">
        <f t="shared" si="5"/>
        <v>327.60000000000002</v>
      </c>
      <c r="M56" s="159">
        <f t="shared" si="6"/>
        <v>327.60000000000002</v>
      </c>
      <c r="N56" s="160" t="s">
        <v>839</v>
      </c>
      <c r="O56" s="154" t="str">
        <f t="shared" si="7"/>
        <v>Internal Fix Windoor (L:3000,H:500)mm &amp; Slide window (L:3000,H:1000)mm|pcs</v>
      </c>
      <c r="P56" s="155" t="s">
        <v>36</v>
      </c>
    </row>
    <row r="57" spans="1:16" ht="28.5" customHeight="1" x14ac:dyDescent="0.35">
      <c r="A57" s="29" t="s">
        <v>844</v>
      </c>
      <c r="B57" s="30" t="s">
        <v>717</v>
      </c>
      <c r="C57" s="30" t="s">
        <v>718</v>
      </c>
      <c r="D57" s="30" t="s">
        <v>718</v>
      </c>
      <c r="E57" s="30" t="s">
        <v>288</v>
      </c>
      <c r="F57" s="29" t="s">
        <v>234</v>
      </c>
      <c r="G57" s="156">
        <v>0</v>
      </c>
      <c r="H57" s="157">
        <v>0</v>
      </c>
      <c r="I57" s="158">
        <f t="shared" si="4"/>
        <v>0</v>
      </c>
      <c r="J57" s="156">
        <v>49.5</v>
      </c>
      <c r="K57" s="157">
        <v>0.12</v>
      </c>
      <c r="L57" s="158">
        <f t="shared" si="5"/>
        <v>55.440000000000005</v>
      </c>
      <c r="M57" s="159">
        <f t="shared" si="6"/>
        <v>55.440000000000005</v>
      </c>
      <c r="N57" s="160" t="s">
        <v>839</v>
      </c>
      <c r="O57" s="154" t="str">
        <f t="shared" si="7"/>
        <v>Internal Fix Windoor (L:900,H:1000)mm|pcs</v>
      </c>
      <c r="P57" s="155" t="s">
        <v>36</v>
      </c>
    </row>
    <row r="58" spans="1:16" ht="28.5" customHeight="1" x14ac:dyDescent="0.35">
      <c r="A58" s="29" t="s">
        <v>845</v>
      </c>
      <c r="B58" s="30" t="s">
        <v>717</v>
      </c>
      <c r="C58" s="30" t="s">
        <v>718</v>
      </c>
      <c r="D58" s="30" t="s">
        <v>718</v>
      </c>
      <c r="E58" s="30" t="s">
        <v>290</v>
      </c>
      <c r="F58" s="29" t="s">
        <v>234</v>
      </c>
      <c r="G58" s="156">
        <v>0</v>
      </c>
      <c r="H58" s="157">
        <v>0</v>
      </c>
      <c r="I58" s="158">
        <f t="shared" si="4"/>
        <v>0</v>
      </c>
      <c r="J58" s="156">
        <v>586</v>
      </c>
      <c r="K58" s="157">
        <v>0.12</v>
      </c>
      <c r="L58" s="158">
        <f t="shared" si="5"/>
        <v>656.32</v>
      </c>
      <c r="M58" s="159">
        <f t="shared" si="6"/>
        <v>656.32</v>
      </c>
      <c r="N58" s="160" t="s">
        <v>839</v>
      </c>
      <c r="O58" s="154" t="str">
        <f t="shared" si="7"/>
        <v>Internal Fix Windoor (L:4000,H:500)mm &amp; Slide window (L:4000,H:1700)mm|pcs</v>
      </c>
      <c r="P58" s="155" t="s">
        <v>36</v>
      </c>
    </row>
    <row r="59" spans="1:16" ht="28.5" customHeight="1" x14ac:dyDescent="0.35">
      <c r="A59" s="29" t="s">
        <v>846</v>
      </c>
      <c r="B59" s="30" t="s">
        <v>717</v>
      </c>
      <c r="C59" s="30" t="s">
        <v>718</v>
      </c>
      <c r="D59" s="30" t="s">
        <v>718</v>
      </c>
      <c r="E59" s="30" t="s">
        <v>292</v>
      </c>
      <c r="F59" s="29" t="s">
        <v>234</v>
      </c>
      <c r="G59" s="156">
        <v>0</v>
      </c>
      <c r="H59" s="157">
        <v>0</v>
      </c>
      <c r="I59" s="158">
        <f t="shared" si="4"/>
        <v>0</v>
      </c>
      <c r="J59" s="156">
        <v>199.2</v>
      </c>
      <c r="K59" s="157">
        <v>0.12</v>
      </c>
      <c r="L59" s="158">
        <f t="shared" si="5"/>
        <v>223.10400000000001</v>
      </c>
      <c r="M59" s="159">
        <f t="shared" si="6"/>
        <v>223.10400000000001</v>
      </c>
      <c r="N59" s="160" t="s">
        <v>839</v>
      </c>
      <c r="O59" s="154" t="str">
        <f t="shared" si="7"/>
        <v>Internal Fix Windoor (L:2000,H:500)mm &amp; Slide window (L:2000,H:10300)mm|pcs</v>
      </c>
      <c r="P59" s="155" t="s">
        <v>36</v>
      </c>
    </row>
    <row r="60" spans="1:16" ht="28.5" customHeight="1" x14ac:dyDescent="0.35">
      <c r="A60" s="29" t="s">
        <v>847</v>
      </c>
      <c r="B60" s="30" t="s">
        <v>45</v>
      </c>
      <c r="C60" s="30" t="s">
        <v>727</v>
      </c>
      <c r="D60" s="30" t="s">
        <v>727</v>
      </c>
      <c r="E60" s="30" t="s">
        <v>345</v>
      </c>
      <c r="F60" s="29" t="s">
        <v>128</v>
      </c>
      <c r="G60" s="156">
        <v>5</v>
      </c>
      <c r="H60" s="157">
        <v>0.2</v>
      </c>
      <c r="I60" s="158">
        <f t="shared" si="4"/>
        <v>6</v>
      </c>
      <c r="J60" s="156">
        <v>8</v>
      </c>
      <c r="K60" s="157">
        <v>0.12</v>
      </c>
      <c r="L60" s="158">
        <f t="shared" si="5"/>
        <v>8.9600000000000009</v>
      </c>
      <c r="M60" s="159">
        <f t="shared" si="6"/>
        <v>14.96</v>
      </c>
      <c r="N60" s="160" t="s">
        <v>848</v>
      </c>
      <c r="O60" s="154" t="str">
        <f t="shared" si="7"/>
        <v>tile size (300x300)mm|m2</v>
      </c>
      <c r="P60" s="155" t="s">
        <v>44</v>
      </c>
    </row>
    <row r="61" spans="1:16" ht="28.5" customHeight="1" x14ac:dyDescent="0.35">
      <c r="A61" s="29" t="s">
        <v>849</v>
      </c>
      <c r="B61" s="30" t="s">
        <v>43</v>
      </c>
      <c r="C61" s="30" t="s">
        <v>728</v>
      </c>
      <c r="D61" s="30" t="s">
        <v>728</v>
      </c>
      <c r="E61" s="30" t="s">
        <v>335</v>
      </c>
      <c r="F61" s="29" t="s">
        <v>128</v>
      </c>
      <c r="G61" s="156">
        <v>6</v>
      </c>
      <c r="H61" s="157">
        <v>0.2</v>
      </c>
      <c r="I61" s="158">
        <f t="shared" si="4"/>
        <v>7.1999999999999993</v>
      </c>
      <c r="J61" s="156">
        <v>10</v>
      </c>
      <c r="K61" s="157">
        <v>0.12</v>
      </c>
      <c r="L61" s="158">
        <f t="shared" si="5"/>
        <v>11.200000000000001</v>
      </c>
      <c r="M61" s="159">
        <f t="shared" si="6"/>
        <v>18.399999999999999</v>
      </c>
      <c r="N61" s="160" t="s">
        <v>850</v>
      </c>
      <c r="O61" s="154" t="str">
        <f t="shared" si="7"/>
        <v>tile size (300x600)mm|m2</v>
      </c>
      <c r="P61" s="155" t="s">
        <v>42</v>
      </c>
    </row>
    <row r="62" spans="1:16" ht="14.25" customHeight="1" x14ac:dyDescent="0.35">
      <c r="A62" s="29" t="s">
        <v>851</v>
      </c>
      <c r="B62" s="30" t="s">
        <v>466</v>
      </c>
      <c r="C62" s="30" t="s">
        <v>663</v>
      </c>
      <c r="D62" s="30" t="s">
        <v>548</v>
      </c>
      <c r="E62" s="30" t="s">
        <v>158</v>
      </c>
      <c r="F62" s="29" t="s">
        <v>100</v>
      </c>
      <c r="G62" s="161">
        <v>3</v>
      </c>
      <c r="H62" s="162">
        <v>0.2</v>
      </c>
      <c r="I62" s="163">
        <f t="shared" si="4"/>
        <v>3.5999999999999996</v>
      </c>
      <c r="J62" s="161">
        <v>18</v>
      </c>
      <c r="K62" s="162">
        <v>0.12</v>
      </c>
      <c r="L62" s="163">
        <f t="shared" si="5"/>
        <v>20.160000000000004</v>
      </c>
      <c r="M62" s="164">
        <f t="shared" si="6"/>
        <v>23.760000000000005</v>
      </c>
      <c r="N62" s="165" t="s">
        <v>852</v>
      </c>
      <c r="O62" s="155" t="str">
        <f t="shared" si="7"/>
        <v>Crush Stone 40x60mm 150mm Thk.|m3</v>
      </c>
      <c r="P62" s="155" t="s">
        <v>28</v>
      </c>
    </row>
    <row r="63" spans="1:16" ht="27.75" customHeight="1" x14ac:dyDescent="0.35">
      <c r="A63" s="29" t="s">
        <v>853</v>
      </c>
      <c r="B63" s="30" t="s">
        <v>35</v>
      </c>
      <c r="C63" s="30" t="s">
        <v>696</v>
      </c>
      <c r="D63" s="30" t="s">
        <v>696</v>
      </c>
      <c r="E63" s="30" t="s">
        <v>268</v>
      </c>
      <c r="F63" s="29" t="s">
        <v>128</v>
      </c>
      <c r="G63" s="161">
        <v>2.5</v>
      </c>
      <c r="H63" s="162">
        <v>0.2</v>
      </c>
      <c r="I63" s="163">
        <f t="shared" si="4"/>
        <v>3</v>
      </c>
      <c r="J63" s="161">
        <v>2</v>
      </c>
      <c r="K63" s="162">
        <v>0.12</v>
      </c>
      <c r="L63" s="163">
        <f t="shared" si="5"/>
        <v>2.2400000000000002</v>
      </c>
      <c r="M63" s="164">
        <f t="shared" si="6"/>
        <v>5.24</v>
      </c>
      <c r="N63" s="165" t="s">
        <v>854</v>
      </c>
      <c r="O63" s="155" t="str">
        <f t="shared" si="7"/>
        <v>20mm cement plaster|m2</v>
      </c>
      <c r="P63" s="155" t="s">
        <v>34</v>
      </c>
    </row>
    <row r="64" spans="1:16" ht="27.75" customHeight="1" x14ac:dyDescent="0.35">
      <c r="A64" s="29" t="s">
        <v>855</v>
      </c>
      <c r="B64" s="30" t="s">
        <v>35</v>
      </c>
      <c r="C64" s="30" t="s">
        <v>272</v>
      </c>
      <c r="D64" s="30" t="s">
        <v>272</v>
      </c>
      <c r="E64" s="30" t="s">
        <v>272</v>
      </c>
      <c r="F64" s="29" t="s">
        <v>128</v>
      </c>
      <c r="G64" s="161">
        <v>1.5</v>
      </c>
      <c r="H64" s="162">
        <v>0.2</v>
      </c>
      <c r="I64" s="163">
        <f t="shared" si="4"/>
        <v>1.7999999999999998</v>
      </c>
      <c r="J64" s="161">
        <v>2.5</v>
      </c>
      <c r="K64" s="162">
        <v>0.12</v>
      </c>
      <c r="L64" s="163">
        <f t="shared" si="5"/>
        <v>2.8000000000000003</v>
      </c>
      <c r="M64" s="164">
        <f t="shared" si="6"/>
        <v>4.5999999999999996</v>
      </c>
      <c r="N64" s="165" t="s">
        <v>856</v>
      </c>
      <c r="O64" s="155" t="str">
        <f t="shared" si="7"/>
        <v>Painting|m2</v>
      </c>
      <c r="P64" s="155" t="s">
        <v>34</v>
      </c>
    </row>
    <row r="65" spans="1:16" ht="27.75" customHeight="1" x14ac:dyDescent="0.35">
      <c r="A65" s="29" t="s">
        <v>857</v>
      </c>
      <c r="B65" s="30" t="s">
        <v>694</v>
      </c>
      <c r="C65" s="30" t="s">
        <v>729</v>
      </c>
      <c r="D65" s="30" t="s">
        <v>729</v>
      </c>
      <c r="E65" s="30" t="s">
        <v>301</v>
      </c>
      <c r="F65" s="29" t="s">
        <v>110</v>
      </c>
      <c r="G65" s="161">
        <v>8</v>
      </c>
      <c r="H65" s="162">
        <v>0.2</v>
      </c>
      <c r="I65" s="163">
        <f t="shared" si="4"/>
        <v>9.6</v>
      </c>
      <c r="J65" s="161">
        <v>22</v>
      </c>
      <c r="K65" s="162">
        <v>0.12</v>
      </c>
      <c r="L65" s="163">
        <f t="shared" si="5"/>
        <v>24.64</v>
      </c>
      <c r="M65" s="164">
        <f t="shared" si="6"/>
        <v>34.24</v>
      </c>
      <c r="N65" s="165" t="s">
        <v>858</v>
      </c>
      <c r="O65" s="155" t="str">
        <f t="shared" si="7"/>
        <v>Steel handrail with paiting H=1m|m</v>
      </c>
      <c r="P65" s="155" t="s">
        <v>38</v>
      </c>
    </row>
    <row r="66" spans="1:16" ht="14.25" customHeight="1" x14ac:dyDescent="0.35">
      <c r="A66" s="29" t="s">
        <v>859</v>
      </c>
      <c r="B66" s="30" t="s">
        <v>730</v>
      </c>
      <c r="C66" s="30" t="s">
        <v>731</v>
      </c>
      <c r="D66" s="30" t="s">
        <v>731</v>
      </c>
      <c r="E66" s="30" t="s">
        <v>363</v>
      </c>
      <c r="F66" s="29" t="s">
        <v>128</v>
      </c>
      <c r="G66" s="161">
        <v>3</v>
      </c>
      <c r="H66" s="162">
        <v>0.2</v>
      </c>
      <c r="I66" s="163">
        <f t="shared" si="4"/>
        <v>3.5999999999999996</v>
      </c>
      <c r="J66" s="161">
        <v>7</v>
      </c>
      <c r="K66" s="162">
        <v>0.12</v>
      </c>
      <c r="L66" s="163">
        <f t="shared" si="5"/>
        <v>7.8400000000000007</v>
      </c>
      <c r="M66" s="164">
        <f t="shared" si="6"/>
        <v>11.440000000000001</v>
      </c>
      <c r="N66" s="165" t="s">
        <v>860</v>
      </c>
      <c r="O66" s="155" t="str">
        <f t="shared" si="7"/>
        <v>10mm Plasterboard with 600mm ceiling frame height|m2</v>
      </c>
      <c r="P66" s="155" t="s">
        <v>46</v>
      </c>
    </row>
    <row r="67" spans="1:16" ht="27.75" customHeight="1" x14ac:dyDescent="0.35">
      <c r="A67" s="29" t="s">
        <v>861</v>
      </c>
      <c r="B67" s="30" t="s">
        <v>697</v>
      </c>
      <c r="C67" s="30" t="s">
        <v>732</v>
      </c>
      <c r="D67" s="30" t="s">
        <v>732</v>
      </c>
      <c r="E67" s="30" t="s">
        <v>339</v>
      </c>
      <c r="F67" s="29" t="s">
        <v>128</v>
      </c>
      <c r="G67" s="161">
        <v>6</v>
      </c>
      <c r="H67" s="162">
        <v>0.2</v>
      </c>
      <c r="I67" s="163">
        <f t="shared" si="4"/>
        <v>7.1999999999999993</v>
      </c>
      <c r="J67" s="161">
        <v>12</v>
      </c>
      <c r="K67" s="162">
        <v>0.12</v>
      </c>
      <c r="L67" s="163">
        <f t="shared" si="5"/>
        <v>13.440000000000001</v>
      </c>
      <c r="M67" s="164">
        <f t="shared" si="6"/>
        <v>20.64</v>
      </c>
      <c r="N67" s="165" t="s">
        <v>862</v>
      </c>
      <c r="O67" s="155" t="str">
        <f t="shared" si="7"/>
        <v>Wall tile Size 0.6x0.6m,Height 1.2m, at cooridor|m2</v>
      </c>
      <c r="P67" s="155" t="s">
        <v>42</v>
      </c>
    </row>
    <row r="68" spans="1:16" ht="27.75" customHeight="1" x14ac:dyDescent="0.35">
      <c r="A68" s="29" t="s">
        <v>863</v>
      </c>
      <c r="B68" s="30" t="s">
        <v>733</v>
      </c>
      <c r="C68" s="30" t="s">
        <v>349</v>
      </c>
      <c r="D68" s="30" t="s">
        <v>349</v>
      </c>
      <c r="E68" s="30" t="s">
        <v>349</v>
      </c>
      <c r="F68" s="29" t="s">
        <v>128</v>
      </c>
      <c r="G68" s="161">
        <v>1</v>
      </c>
      <c r="H68" s="162">
        <v>0.2</v>
      </c>
      <c r="I68" s="163">
        <f t="shared" si="4"/>
        <v>1.2</v>
      </c>
      <c r="J68" s="161">
        <v>2.5</v>
      </c>
      <c r="K68" s="162">
        <v>0.12</v>
      </c>
      <c r="L68" s="163">
        <f t="shared" si="5"/>
        <v>2.8000000000000003</v>
      </c>
      <c r="M68" s="164">
        <f t="shared" si="6"/>
        <v>4</v>
      </c>
      <c r="N68" s="165" t="s">
        <v>864</v>
      </c>
      <c r="O68" s="155" t="str">
        <f t="shared" si="7"/>
        <v>anti termite|m2</v>
      </c>
      <c r="P68" s="155" t="s">
        <v>44</v>
      </c>
    </row>
    <row r="69" spans="1:16" ht="27.75" customHeight="1" x14ac:dyDescent="0.35">
      <c r="A69" s="29" t="s">
        <v>865</v>
      </c>
      <c r="B69" s="30" t="s">
        <v>733</v>
      </c>
      <c r="C69" s="30" t="s">
        <v>662</v>
      </c>
      <c r="D69" s="30" t="s">
        <v>662</v>
      </c>
      <c r="E69" s="30" t="s">
        <v>353</v>
      </c>
      <c r="F69" s="29" t="s">
        <v>128</v>
      </c>
      <c r="G69" s="161">
        <v>2</v>
      </c>
      <c r="H69" s="162">
        <v>0.2</v>
      </c>
      <c r="I69" s="163">
        <f t="shared" ref="I69:I74" si="8">G69*(1+H69)</f>
        <v>2.4</v>
      </c>
      <c r="J69" s="161">
        <v>6</v>
      </c>
      <c r="K69" s="162">
        <v>0.12</v>
      </c>
      <c r="L69" s="163">
        <f t="shared" ref="L69:L74" si="9">J69*(1+K69)</f>
        <v>6.7200000000000006</v>
      </c>
      <c r="M69" s="164">
        <f t="shared" ref="M69:M74" si="10">I69+L69</f>
        <v>9.120000000000001</v>
      </c>
      <c r="N69" s="165" t="s">
        <v>866</v>
      </c>
      <c r="O69" s="155" t="str">
        <f t="shared" ref="O69:O74" si="11">TRIM(E69)&amp;"|"&amp;TRIM(F69)</f>
        <v>Sika Waterproofing|m2</v>
      </c>
      <c r="P69" s="155" t="s">
        <v>44</v>
      </c>
    </row>
    <row r="70" spans="1:16" ht="27.75" customHeight="1" x14ac:dyDescent="0.35">
      <c r="A70" s="29" t="s">
        <v>867</v>
      </c>
      <c r="B70" s="30" t="s">
        <v>694</v>
      </c>
      <c r="C70" s="30" t="s">
        <v>734</v>
      </c>
      <c r="D70" s="30" t="s">
        <v>734</v>
      </c>
      <c r="E70" s="30" t="s">
        <v>305</v>
      </c>
      <c r="F70" s="29" t="s">
        <v>110</v>
      </c>
      <c r="G70" s="161">
        <v>9</v>
      </c>
      <c r="H70" s="162">
        <v>0.2</v>
      </c>
      <c r="I70" s="163">
        <f t="shared" si="8"/>
        <v>10.799999999999999</v>
      </c>
      <c r="J70" s="161">
        <v>22</v>
      </c>
      <c r="K70" s="162">
        <v>0.12</v>
      </c>
      <c r="L70" s="163">
        <f t="shared" si="9"/>
        <v>24.64</v>
      </c>
      <c r="M70" s="164">
        <f t="shared" si="10"/>
        <v>35.44</v>
      </c>
      <c r="N70" s="165" t="s">
        <v>868</v>
      </c>
      <c r="O70" s="155" t="str">
        <f t="shared" si="11"/>
        <v>Steel handrail with paiting Handrail on staircase, H=1m|m</v>
      </c>
      <c r="P70" s="155" t="s">
        <v>38</v>
      </c>
    </row>
    <row r="71" spans="1:16" ht="27.75" customHeight="1" x14ac:dyDescent="0.35">
      <c r="A71" s="29" t="s">
        <v>869</v>
      </c>
      <c r="B71" s="30" t="s">
        <v>733</v>
      </c>
      <c r="C71" s="30" t="s">
        <v>357</v>
      </c>
      <c r="D71" s="30" t="s">
        <v>357</v>
      </c>
      <c r="E71" s="30" t="s">
        <v>357</v>
      </c>
      <c r="F71" s="29" t="s">
        <v>128</v>
      </c>
      <c r="G71" s="161">
        <v>8</v>
      </c>
      <c r="H71" s="162">
        <v>0.2</v>
      </c>
      <c r="I71" s="163">
        <f t="shared" si="8"/>
        <v>9.6</v>
      </c>
      <c r="J71" s="161">
        <v>55</v>
      </c>
      <c r="K71" s="162">
        <v>0.12</v>
      </c>
      <c r="L71" s="163">
        <f t="shared" si="9"/>
        <v>61.600000000000009</v>
      </c>
      <c r="M71" s="164">
        <f t="shared" si="10"/>
        <v>71.2</v>
      </c>
      <c r="N71" s="165" t="s">
        <v>870</v>
      </c>
      <c r="O71" s="155" t="str">
        <f t="shared" si="11"/>
        <v>Marble on staircase|m2</v>
      </c>
      <c r="P71" s="155" t="s">
        <v>44</v>
      </c>
    </row>
    <row r="72" spans="1:16" ht="27.75" customHeight="1" x14ac:dyDescent="0.35">
      <c r="A72" s="29" t="s">
        <v>871</v>
      </c>
      <c r="B72" s="30" t="s">
        <v>736</v>
      </c>
      <c r="C72" s="30" t="s">
        <v>737</v>
      </c>
      <c r="D72" s="30" t="s">
        <v>737</v>
      </c>
      <c r="E72" s="30" t="s">
        <v>262</v>
      </c>
      <c r="F72" s="29" t="s">
        <v>128</v>
      </c>
      <c r="G72" s="161">
        <v>4</v>
      </c>
      <c r="H72" s="162">
        <v>0.2</v>
      </c>
      <c r="I72" s="163">
        <f t="shared" si="8"/>
        <v>4.8</v>
      </c>
      <c r="J72" s="161">
        <v>9</v>
      </c>
      <c r="K72" s="162">
        <v>0.12</v>
      </c>
      <c r="L72" s="163">
        <f t="shared" si="9"/>
        <v>10.080000000000002</v>
      </c>
      <c r="M72" s="164">
        <f t="shared" si="10"/>
        <v>14.880000000000003</v>
      </c>
      <c r="N72" s="165" t="s">
        <v>872</v>
      </c>
      <c r="O72" s="155" t="str">
        <f t="shared" si="11"/>
        <v>concrete block|m2</v>
      </c>
      <c r="P72" s="155" t="s">
        <v>32</v>
      </c>
    </row>
    <row r="73" spans="1:16" ht="41.25" customHeight="1" x14ac:dyDescent="0.35">
      <c r="A73" s="29" t="s">
        <v>873</v>
      </c>
      <c r="B73" s="30" t="s">
        <v>738</v>
      </c>
      <c r="C73" s="30" t="s">
        <v>49</v>
      </c>
      <c r="D73" s="30" t="s">
        <v>49</v>
      </c>
      <c r="E73" s="30" t="s">
        <v>369</v>
      </c>
      <c r="F73" s="29" t="s">
        <v>128</v>
      </c>
      <c r="G73" s="161">
        <v>0</v>
      </c>
      <c r="H73" s="162">
        <v>0</v>
      </c>
      <c r="I73" s="163">
        <f t="shared" si="8"/>
        <v>0</v>
      </c>
      <c r="J73" s="161">
        <v>150</v>
      </c>
      <c r="K73" s="162">
        <v>0.1</v>
      </c>
      <c r="L73" s="163">
        <f t="shared" si="9"/>
        <v>165</v>
      </c>
      <c r="M73" s="164">
        <f t="shared" si="10"/>
        <v>165</v>
      </c>
      <c r="N73" s="165" t="s">
        <v>874</v>
      </c>
      <c r="O73" s="155" t="str">
        <f t="shared" si="11"/>
        <v>External round logo include framing|m2</v>
      </c>
      <c r="P73" s="155" t="s">
        <v>48</v>
      </c>
    </row>
    <row r="74" spans="1:16" ht="41.25" customHeight="1" x14ac:dyDescent="0.35">
      <c r="A74" s="29" t="s">
        <v>875</v>
      </c>
      <c r="B74" s="30" t="s">
        <v>738</v>
      </c>
      <c r="C74" s="30" t="s">
        <v>49</v>
      </c>
      <c r="D74" s="30" t="s">
        <v>49</v>
      </c>
      <c r="E74" s="30" t="s">
        <v>371</v>
      </c>
      <c r="F74" s="29" t="s">
        <v>372</v>
      </c>
      <c r="G74" s="161">
        <v>0</v>
      </c>
      <c r="H74" s="162">
        <v>0</v>
      </c>
      <c r="I74" s="163">
        <f t="shared" si="8"/>
        <v>0</v>
      </c>
      <c r="J74" s="161">
        <v>3000</v>
      </c>
      <c r="K74" s="162">
        <v>0.1</v>
      </c>
      <c r="L74" s="163">
        <f t="shared" si="9"/>
        <v>3300.0000000000005</v>
      </c>
      <c r="M74" s="164">
        <f t="shared" si="10"/>
        <v>3300.0000000000005</v>
      </c>
      <c r="N74" s="165" t="s">
        <v>876</v>
      </c>
      <c r="O74" s="155" t="str">
        <f t="shared" si="11"/>
        <v>Khmer and chinesse text|lot</v>
      </c>
      <c r="P74" s="155" t="s">
        <v>48</v>
      </c>
    </row>
  </sheetData>
  <mergeCells count="2">
    <mergeCell ref="G3:I3"/>
    <mergeCell ref="J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6"/>
  <sheetViews>
    <sheetView showGridLines="0" topLeftCell="A2" zoomScaleNormal="100" workbookViewId="0">
      <selection activeCell="C23" sqref="C23"/>
    </sheetView>
  </sheetViews>
  <sheetFormatPr defaultColWidth="8.7265625" defaultRowHeight="14.5" x14ac:dyDescent="0.35"/>
  <cols>
    <col min="1" max="1" width="40" customWidth="1"/>
    <col min="2" max="2" width="10" customWidth="1"/>
    <col min="3" max="3" width="45" customWidth="1"/>
    <col min="4" max="4" width="40" customWidth="1"/>
  </cols>
  <sheetData>
    <row r="1" spans="1:4" ht="15" customHeight="1" x14ac:dyDescent="0.35">
      <c r="A1" s="153" t="s">
        <v>877</v>
      </c>
    </row>
    <row r="2" spans="1:4" ht="14.25" customHeight="1" x14ac:dyDescent="0.35">
      <c r="A2" s="166" t="s">
        <v>638</v>
      </c>
      <c r="B2" s="166" t="s">
        <v>17</v>
      </c>
      <c r="D2" s="166" t="s">
        <v>18</v>
      </c>
    </row>
    <row r="3" spans="1:4" ht="14.25" customHeight="1" x14ac:dyDescent="0.35">
      <c r="A3" s="167" t="s">
        <v>22</v>
      </c>
      <c r="B3" s="167" t="s">
        <v>21</v>
      </c>
      <c r="C3" s="167" t="s">
        <v>878</v>
      </c>
    </row>
    <row r="4" spans="1:4" ht="14.25" customHeight="1" x14ac:dyDescent="0.35">
      <c r="A4" s="167" t="s">
        <v>879</v>
      </c>
      <c r="B4" s="167" t="s">
        <v>880</v>
      </c>
      <c r="C4" s="167" t="s">
        <v>881</v>
      </c>
    </row>
    <row r="5" spans="1:4" ht="14.25" customHeight="1" x14ac:dyDescent="0.35">
      <c r="A5" s="167" t="s">
        <v>882</v>
      </c>
      <c r="B5" s="167" t="s">
        <v>883</v>
      </c>
      <c r="C5" s="167" t="s">
        <v>884</v>
      </c>
    </row>
    <row r="6" spans="1:4" ht="14.25" customHeight="1" x14ac:dyDescent="0.35">
      <c r="A6" s="167" t="s">
        <v>885</v>
      </c>
      <c r="B6" s="167" t="s">
        <v>886</v>
      </c>
      <c r="C6" s="167" t="s">
        <v>887</v>
      </c>
    </row>
    <row r="7" spans="1:4" ht="14.25" customHeight="1" x14ac:dyDescent="0.35">
      <c r="A7" s="167" t="s">
        <v>888</v>
      </c>
      <c r="B7" s="167" t="s">
        <v>889</v>
      </c>
      <c r="C7" s="167" t="s">
        <v>890</v>
      </c>
    </row>
    <row r="8" spans="1:4" ht="14.25" customHeight="1" x14ac:dyDescent="0.35">
      <c r="A8" s="167" t="s">
        <v>891</v>
      </c>
      <c r="B8" s="167" t="s">
        <v>892</v>
      </c>
      <c r="C8" s="167" t="s">
        <v>893</v>
      </c>
    </row>
    <row r="9" spans="1:4" ht="14.25" customHeight="1" x14ac:dyDescent="0.35">
      <c r="A9" s="167" t="s">
        <v>894</v>
      </c>
      <c r="B9" s="167" t="s">
        <v>895</v>
      </c>
      <c r="C9" s="167" t="s">
        <v>896</v>
      </c>
    </row>
    <row r="10" spans="1:4" ht="14.25" customHeight="1" x14ac:dyDescent="0.35">
      <c r="A10" s="167" t="s">
        <v>897</v>
      </c>
      <c r="B10" s="167" t="s">
        <v>898</v>
      </c>
      <c r="C10" s="167" t="s">
        <v>899</v>
      </c>
    </row>
    <row r="11" spans="1:4" ht="14.25" customHeight="1" x14ac:dyDescent="0.35">
      <c r="A11" s="167" t="s">
        <v>900</v>
      </c>
      <c r="B11" s="167" t="s">
        <v>901</v>
      </c>
      <c r="C11" s="167" t="s">
        <v>902</v>
      </c>
    </row>
    <row r="12" spans="1:4" ht="14.25" customHeight="1" x14ac:dyDescent="0.35">
      <c r="A12" s="167" t="s">
        <v>466</v>
      </c>
      <c r="B12" s="167" t="s">
        <v>903</v>
      </c>
      <c r="C12" s="167" t="s">
        <v>904</v>
      </c>
    </row>
    <row r="13" spans="1:4" ht="14.25" customHeight="1" x14ac:dyDescent="0.35">
      <c r="A13" s="167" t="s">
        <v>26</v>
      </c>
      <c r="B13" s="167" t="s">
        <v>25</v>
      </c>
      <c r="C13" s="167" t="s">
        <v>905</v>
      </c>
    </row>
    <row r="14" spans="1:4" ht="14.25" customHeight="1" x14ac:dyDescent="0.35">
      <c r="A14" s="167" t="s">
        <v>906</v>
      </c>
      <c r="B14" s="167" t="s">
        <v>907</v>
      </c>
      <c r="C14" s="167" t="s">
        <v>908</v>
      </c>
    </row>
    <row r="15" spans="1:4" ht="14.25" customHeight="1" x14ac:dyDescent="0.35">
      <c r="A15" s="167" t="s">
        <v>909</v>
      </c>
      <c r="B15" s="167" t="s">
        <v>28</v>
      </c>
      <c r="C15" s="167" t="s">
        <v>910</v>
      </c>
    </row>
    <row r="16" spans="1:4" ht="14.25" customHeight="1" x14ac:dyDescent="0.35">
      <c r="A16" s="167" t="s">
        <v>911</v>
      </c>
      <c r="B16" s="167" t="s">
        <v>30</v>
      </c>
      <c r="C16" s="167" t="s">
        <v>912</v>
      </c>
    </row>
    <row r="17" spans="1:4" ht="14.25" customHeight="1" x14ac:dyDescent="0.35">
      <c r="A17" s="167" t="s">
        <v>689</v>
      </c>
      <c r="B17" s="167" t="s">
        <v>913</v>
      </c>
      <c r="C17" s="167" t="s">
        <v>914</v>
      </c>
    </row>
    <row r="18" spans="1:4" ht="14.25" customHeight="1" x14ac:dyDescent="0.35">
      <c r="A18" s="167" t="s">
        <v>690</v>
      </c>
      <c r="B18" s="167" t="s">
        <v>32</v>
      </c>
      <c r="C18" s="167" t="s">
        <v>915</v>
      </c>
      <c r="D18" s="167" t="s">
        <v>916</v>
      </c>
    </row>
    <row r="19" spans="1:4" ht="14.25" customHeight="1" x14ac:dyDescent="0.35">
      <c r="A19" s="167" t="s">
        <v>35</v>
      </c>
      <c r="B19" s="167" t="s">
        <v>34</v>
      </c>
      <c r="C19" s="167" t="s">
        <v>917</v>
      </c>
      <c r="D19" s="167" t="s">
        <v>918</v>
      </c>
    </row>
    <row r="20" spans="1:4" ht="14.25" customHeight="1" x14ac:dyDescent="0.35">
      <c r="A20" s="167" t="s">
        <v>919</v>
      </c>
      <c r="B20" s="167" t="s">
        <v>920</v>
      </c>
      <c r="C20" s="167" t="s">
        <v>921</v>
      </c>
      <c r="D20" s="167" t="s">
        <v>922</v>
      </c>
    </row>
    <row r="21" spans="1:4" ht="14.25" customHeight="1" x14ac:dyDescent="0.35">
      <c r="A21" s="167" t="s">
        <v>923</v>
      </c>
      <c r="B21" s="167" t="s">
        <v>36</v>
      </c>
      <c r="C21" s="167" t="s">
        <v>924</v>
      </c>
      <c r="D21" s="167" t="s">
        <v>925</v>
      </c>
    </row>
    <row r="22" spans="1:4" ht="14.25" customHeight="1" x14ac:dyDescent="0.35">
      <c r="A22" s="167" t="s">
        <v>926</v>
      </c>
      <c r="B22" s="167" t="s">
        <v>927</v>
      </c>
      <c r="C22" s="167" t="s">
        <v>928</v>
      </c>
      <c r="D22" s="167" t="s">
        <v>929</v>
      </c>
    </row>
    <row r="23" spans="1:4" ht="14.25" customHeight="1" x14ac:dyDescent="0.35">
      <c r="A23" s="167" t="s">
        <v>930</v>
      </c>
      <c r="B23" s="167" t="s">
        <v>931</v>
      </c>
      <c r="C23" s="167" t="s">
        <v>932</v>
      </c>
      <c r="D23" s="167" t="s">
        <v>933</v>
      </c>
    </row>
    <row r="24" spans="1:4" ht="14.25" customHeight="1" x14ac:dyDescent="0.35">
      <c r="A24" s="167" t="s">
        <v>934</v>
      </c>
      <c r="B24" s="167" t="s">
        <v>935</v>
      </c>
      <c r="C24" s="167" t="s">
        <v>936</v>
      </c>
      <c r="D24" s="167" t="s">
        <v>937</v>
      </c>
    </row>
    <row r="25" spans="1:4" ht="14.25" customHeight="1" x14ac:dyDescent="0.35">
      <c r="A25" s="167" t="s">
        <v>483</v>
      </c>
      <c r="B25" s="167" t="s">
        <v>938</v>
      </c>
      <c r="C25" s="167" t="s">
        <v>939</v>
      </c>
    </row>
    <row r="26" spans="1:4" ht="14.25" customHeight="1" x14ac:dyDescent="0.35">
      <c r="A26" s="167" t="s">
        <v>694</v>
      </c>
      <c r="B26" s="167" t="s">
        <v>38</v>
      </c>
      <c r="C26" s="167" t="s">
        <v>940</v>
      </c>
      <c r="D26" s="167" t="s">
        <v>916</v>
      </c>
    </row>
    <row r="27" spans="1:4" ht="14.25" customHeight="1" x14ac:dyDescent="0.35">
      <c r="A27" s="167" t="s">
        <v>941</v>
      </c>
      <c r="B27" s="167" t="s">
        <v>40</v>
      </c>
      <c r="C27" s="167" t="s">
        <v>942</v>
      </c>
      <c r="D27" s="167" t="s">
        <v>943</v>
      </c>
    </row>
    <row r="28" spans="1:4" ht="14.25" customHeight="1" x14ac:dyDescent="0.35">
      <c r="A28" s="167" t="s">
        <v>944</v>
      </c>
      <c r="B28" s="167" t="s">
        <v>945</v>
      </c>
      <c r="C28" s="167" t="s">
        <v>946</v>
      </c>
      <c r="D28" s="167" t="s">
        <v>947</v>
      </c>
    </row>
    <row r="29" spans="1:4" ht="14.25" customHeight="1" x14ac:dyDescent="0.35">
      <c r="A29" s="167" t="s">
        <v>948</v>
      </c>
      <c r="B29" s="167" t="s">
        <v>949</v>
      </c>
      <c r="C29" s="167" t="s">
        <v>950</v>
      </c>
      <c r="D29" s="167" t="s">
        <v>918</v>
      </c>
    </row>
    <row r="30" spans="1:4" ht="14.25" customHeight="1" x14ac:dyDescent="0.35">
      <c r="A30" s="167" t="s">
        <v>951</v>
      </c>
      <c r="B30" s="167" t="s">
        <v>952</v>
      </c>
      <c r="C30" s="167" t="s">
        <v>953</v>
      </c>
    </row>
    <row r="31" spans="1:4" ht="14.25" customHeight="1" x14ac:dyDescent="0.35">
      <c r="A31" s="167" t="s">
        <v>43</v>
      </c>
      <c r="B31" s="167" t="s">
        <v>42</v>
      </c>
      <c r="C31" s="167" t="s">
        <v>954</v>
      </c>
      <c r="D31" s="167" t="s">
        <v>955</v>
      </c>
    </row>
    <row r="32" spans="1:4" ht="14.25" customHeight="1" x14ac:dyDescent="0.35">
      <c r="A32" s="167" t="s">
        <v>45</v>
      </c>
      <c r="B32" s="167" t="s">
        <v>44</v>
      </c>
      <c r="C32" s="167" t="s">
        <v>956</v>
      </c>
      <c r="D32" s="167" t="s">
        <v>957</v>
      </c>
    </row>
    <row r="33" spans="1:4" ht="14.25" customHeight="1" x14ac:dyDescent="0.35">
      <c r="A33" s="167" t="s">
        <v>47</v>
      </c>
      <c r="B33" s="167" t="s">
        <v>46</v>
      </c>
      <c r="C33" s="167" t="s">
        <v>958</v>
      </c>
      <c r="D33" s="167" t="s">
        <v>959</v>
      </c>
    </row>
    <row r="34" spans="1:4" ht="14.25" customHeight="1" x14ac:dyDescent="0.35">
      <c r="A34" s="167" t="s">
        <v>738</v>
      </c>
      <c r="B34" s="167" t="s">
        <v>960</v>
      </c>
      <c r="C34" s="167" t="s">
        <v>961</v>
      </c>
    </row>
    <row r="35" spans="1:4" ht="14.25" customHeight="1" x14ac:dyDescent="0.35">
      <c r="A35" s="167" t="s">
        <v>962</v>
      </c>
      <c r="B35" s="167" t="s">
        <v>963</v>
      </c>
      <c r="C35" s="167" t="s">
        <v>964</v>
      </c>
    </row>
    <row r="36" spans="1:4" ht="14.25" customHeight="1" x14ac:dyDescent="0.35">
      <c r="A36" s="167" t="s">
        <v>965</v>
      </c>
      <c r="B36" s="167" t="s">
        <v>966</v>
      </c>
      <c r="C36" s="167" t="s">
        <v>967</v>
      </c>
    </row>
    <row r="37" spans="1:4" ht="14.25" customHeight="1" x14ac:dyDescent="0.35">
      <c r="A37" s="167" t="s">
        <v>968</v>
      </c>
      <c r="B37" s="167" t="s">
        <v>969</v>
      </c>
      <c r="C37" s="167" t="s">
        <v>970</v>
      </c>
    </row>
    <row r="38" spans="1:4" ht="14.25" customHeight="1" x14ac:dyDescent="0.35">
      <c r="A38" s="167" t="s">
        <v>49</v>
      </c>
      <c r="B38" s="167" t="s">
        <v>48</v>
      </c>
      <c r="C38" s="167" t="s">
        <v>971</v>
      </c>
    </row>
    <row r="39" spans="1:4" ht="14.25" customHeight="1" x14ac:dyDescent="0.35">
      <c r="A39" s="167" t="s">
        <v>972</v>
      </c>
      <c r="B39" s="167" t="s">
        <v>973</v>
      </c>
      <c r="C39" s="167" t="s">
        <v>974</v>
      </c>
    </row>
    <row r="40" spans="1:4" ht="14.25" customHeight="1" x14ac:dyDescent="0.35">
      <c r="A40" s="167" t="s">
        <v>975</v>
      </c>
      <c r="B40" s="167" t="s">
        <v>976</v>
      </c>
      <c r="C40" s="167" t="s">
        <v>977</v>
      </c>
    </row>
    <row r="41" spans="1:4" ht="14.25" customHeight="1" x14ac:dyDescent="0.35">
      <c r="A41" s="167" t="s">
        <v>978</v>
      </c>
      <c r="B41" s="167" t="s">
        <v>979</v>
      </c>
      <c r="C41" s="167" t="s">
        <v>980</v>
      </c>
    </row>
    <row r="42" spans="1:4" ht="14.25" customHeight="1" x14ac:dyDescent="0.35">
      <c r="A42" s="167" t="s">
        <v>981</v>
      </c>
      <c r="B42" s="167" t="s">
        <v>982</v>
      </c>
      <c r="C42" s="167" t="s">
        <v>983</v>
      </c>
    </row>
    <row r="43" spans="1:4" ht="14.25" customHeight="1" x14ac:dyDescent="0.35">
      <c r="A43" s="167" t="s">
        <v>984</v>
      </c>
      <c r="B43" s="167" t="s">
        <v>50</v>
      </c>
      <c r="C43" s="167" t="s">
        <v>985</v>
      </c>
    </row>
    <row r="44" spans="1:4" ht="14.25" customHeight="1" x14ac:dyDescent="0.35">
      <c r="A44" s="167" t="s">
        <v>986</v>
      </c>
      <c r="B44" s="167" t="s">
        <v>987</v>
      </c>
      <c r="C44" s="167" t="s">
        <v>988</v>
      </c>
    </row>
    <row r="45" spans="1:4" ht="14.25" customHeight="1" x14ac:dyDescent="0.35">
      <c r="A45" s="167" t="s">
        <v>989</v>
      </c>
      <c r="B45" s="167" t="s">
        <v>990</v>
      </c>
      <c r="C45" s="167" t="s">
        <v>991</v>
      </c>
    </row>
    <row r="46" spans="1:4" ht="14.25" customHeight="1" x14ac:dyDescent="0.35">
      <c r="A46" s="167" t="s">
        <v>992</v>
      </c>
      <c r="B46" s="167" t="s">
        <v>993</v>
      </c>
      <c r="C46" s="167" t="s">
        <v>994</v>
      </c>
    </row>
    <row r="47" spans="1:4" ht="14.25" customHeight="1" x14ac:dyDescent="0.35">
      <c r="A47" s="167" t="s">
        <v>995</v>
      </c>
      <c r="B47" s="167" t="s">
        <v>996</v>
      </c>
      <c r="C47" s="167" t="s">
        <v>997</v>
      </c>
    </row>
    <row r="48" spans="1:4" ht="14.25" customHeight="1" x14ac:dyDescent="0.35">
      <c r="A48" s="167" t="s">
        <v>998</v>
      </c>
      <c r="B48" s="167" t="s">
        <v>999</v>
      </c>
      <c r="C48" s="167" t="s">
        <v>1000</v>
      </c>
    </row>
    <row r="49" spans="1:3" ht="14.25" customHeight="1" x14ac:dyDescent="0.35">
      <c r="A49" s="167" t="s">
        <v>1001</v>
      </c>
      <c r="B49" s="167" t="s">
        <v>1002</v>
      </c>
      <c r="C49" s="167" t="s">
        <v>1003</v>
      </c>
    </row>
    <row r="50" spans="1:3" ht="14.25" customHeight="1" x14ac:dyDescent="0.35">
      <c r="A50" s="167" t="s">
        <v>1004</v>
      </c>
      <c r="B50" s="167" t="s">
        <v>1005</v>
      </c>
      <c r="C50" s="167" t="s">
        <v>1006</v>
      </c>
    </row>
    <row r="51" spans="1:3" ht="14.25" customHeight="1" x14ac:dyDescent="0.35">
      <c r="A51" s="167" t="s">
        <v>1007</v>
      </c>
      <c r="B51" s="167" t="s">
        <v>1008</v>
      </c>
      <c r="C51" s="167" t="s">
        <v>1009</v>
      </c>
    </row>
    <row r="52" spans="1:3" ht="14.25" customHeight="1" x14ac:dyDescent="0.35">
      <c r="A52" s="167" t="s">
        <v>1010</v>
      </c>
      <c r="B52" s="167" t="s">
        <v>1011</v>
      </c>
      <c r="C52" s="167" t="s">
        <v>1012</v>
      </c>
    </row>
    <row r="53" spans="1:3" ht="14.25" customHeight="1" x14ac:dyDescent="0.35">
      <c r="A53" s="167" t="s">
        <v>1013</v>
      </c>
      <c r="B53" s="167" t="s">
        <v>1014</v>
      </c>
      <c r="C53" s="167" t="s">
        <v>1015</v>
      </c>
    </row>
    <row r="54" spans="1:3" ht="14.25" customHeight="1" x14ac:dyDescent="0.35">
      <c r="A54" s="167" t="s">
        <v>481</v>
      </c>
      <c r="B54" s="167" t="s">
        <v>52</v>
      </c>
      <c r="C54" s="167" t="s">
        <v>1016</v>
      </c>
    </row>
    <row r="55" spans="1:3" ht="14.25" customHeight="1" x14ac:dyDescent="0.35">
      <c r="A55" s="167" t="s">
        <v>1017</v>
      </c>
      <c r="B55" s="167" t="s">
        <v>1018</v>
      </c>
      <c r="C55" s="167" t="s">
        <v>1019</v>
      </c>
    </row>
    <row r="56" spans="1:3" ht="14.25" customHeight="1" x14ac:dyDescent="0.35">
      <c r="A56" s="167" t="s">
        <v>1020</v>
      </c>
      <c r="B56" s="167" t="s">
        <v>1021</v>
      </c>
      <c r="C56" s="167" t="s">
        <v>1022</v>
      </c>
    </row>
    <row r="57" spans="1:3" ht="14.25" customHeight="1" x14ac:dyDescent="0.35">
      <c r="A57" s="167" t="s">
        <v>1023</v>
      </c>
      <c r="B57" s="167" t="s">
        <v>1024</v>
      </c>
      <c r="C57" s="167" t="s">
        <v>1025</v>
      </c>
    </row>
    <row r="58" spans="1:3" ht="14.25" customHeight="1" x14ac:dyDescent="0.35">
      <c r="A58" s="167" t="s">
        <v>1026</v>
      </c>
      <c r="B58" s="167" t="s">
        <v>1027</v>
      </c>
      <c r="C58" s="167" t="s">
        <v>1028</v>
      </c>
    </row>
    <row r="59" spans="1:3" ht="14.25" customHeight="1" x14ac:dyDescent="0.35">
      <c r="A59" s="167" t="s">
        <v>1029</v>
      </c>
      <c r="B59" s="167" t="s">
        <v>1030</v>
      </c>
      <c r="C59" s="167" t="s">
        <v>1031</v>
      </c>
    </row>
    <row r="60" spans="1:3" ht="14.25" customHeight="1" x14ac:dyDescent="0.35">
      <c r="A60" s="167" t="s">
        <v>1032</v>
      </c>
      <c r="B60" s="167" t="s">
        <v>54</v>
      </c>
      <c r="C60" s="167" t="s">
        <v>1033</v>
      </c>
    </row>
    <row r="61" spans="1:3" ht="14.25" customHeight="1" x14ac:dyDescent="0.35">
      <c r="A61" s="167" t="s">
        <v>1034</v>
      </c>
      <c r="B61" s="167" t="s">
        <v>1035</v>
      </c>
      <c r="C61" s="167" t="s">
        <v>1036</v>
      </c>
    </row>
    <row r="62" spans="1:3" ht="14.25" customHeight="1" x14ac:dyDescent="0.35">
      <c r="A62" s="167" t="s">
        <v>1037</v>
      </c>
      <c r="B62" s="167" t="s">
        <v>1038</v>
      </c>
      <c r="C62" s="167" t="s">
        <v>1039</v>
      </c>
    </row>
    <row r="63" spans="1:3" ht="14.25" customHeight="1" x14ac:dyDescent="0.35">
      <c r="A63" s="167" t="s">
        <v>1040</v>
      </c>
      <c r="B63" s="167" t="s">
        <v>1041</v>
      </c>
      <c r="C63" s="167" t="s">
        <v>1042</v>
      </c>
    </row>
    <row r="64" spans="1:3" ht="14.25" customHeight="1" x14ac:dyDescent="0.35">
      <c r="A64" s="167" t="s">
        <v>1043</v>
      </c>
      <c r="B64" s="167" t="s">
        <v>1044</v>
      </c>
      <c r="C64" s="167" t="s">
        <v>1045</v>
      </c>
    </row>
    <row r="65" spans="1:3" ht="14.25" customHeight="1" x14ac:dyDescent="0.35">
      <c r="A65" s="167" t="s">
        <v>1046</v>
      </c>
      <c r="B65" s="167" t="s">
        <v>1047</v>
      </c>
      <c r="C65" s="167" t="s">
        <v>1046</v>
      </c>
    </row>
    <row r="66" spans="1:3" ht="14.25" customHeight="1" x14ac:dyDescent="0.35">
      <c r="A66" s="167" t="s">
        <v>1048</v>
      </c>
      <c r="B66" s="167" t="s">
        <v>589</v>
      </c>
      <c r="C66" s="167" t="s">
        <v>1049</v>
      </c>
    </row>
    <row r="67" spans="1:3" ht="14.25" customHeight="1" x14ac:dyDescent="0.35">
      <c r="A67" s="167" t="s">
        <v>1050</v>
      </c>
      <c r="B67" s="167" t="s">
        <v>1051</v>
      </c>
      <c r="C67" s="167" t="s">
        <v>1052</v>
      </c>
    </row>
    <row r="68" spans="1:3" ht="14.25" customHeight="1" x14ac:dyDescent="0.35">
      <c r="A68" s="167" t="s">
        <v>1053</v>
      </c>
      <c r="B68" s="167" t="s">
        <v>1054</v>
      </c>
      <c r="C68" s="167" t="s">
        <v>1055</v>
      </c>
    </row>
    <row r="69" spans="1:3" ht="14.25" customHeight="1" x14ac:dyDescent="0.35">
      <c r="A69" s="167" t="s">
        <v>1056</v>
      </c>
      <c r="B69" s="167" t="s">
        <v>1057</v>
      </c>
      <c r="C69" s="167" t="s">
        <v>1058</v>
      </c>
    </row>
    <row r="70" spans="1:3" ht="14.25" customHeight="1" x14ac:dyDescent="0.35">
      <c r="A70" s="167" t="s">
        <v>1059</v>
      </c>
      <c r="B70" s="167" t="s">
        <v>1060</v>
      </c>
      <c r="C70" s="167" t="s">
        <v>1061</v>
      </c>
    </row>
    <row r="71" spans="1:3" ht="14.25" customHeight="1" x14ac:dyDescent="0.35">
      <c r="A71" s="167" t="s">
        <v>1062</v>
      </c>
      <c r="B71" s="167" t="s">
        <v>1063</v>
      </c>
      <c r="C71" s="167" t="s">
        <v>1064</v>
      </c>
    </row>
    <row r="72" spans="1:3" ht="14.25" customHeight="1" x14ac:dyDescent="0.35">
      <c r="A72" s="167" t="s">
        <v>1065</v>
      </c>
      <c r="B72" s="167" t="s">
        <v>1066</v>
      </c>
      <c r="C72" s="167" t="s">
        <v>1067</v>
      </c>
    </row>
    <row r="73" spans="1:3" ht="14.25" customHeight="1" x14ac:dyDescent="0.35">
      <c r="A73" s="167" t="s">
        <v>1068</v>
      </c>
      <c r="B73" s="167" t="s">
        <v>1069</v>
      </c>
      <c r="C73" s="167" t="s">
        <v>1070</v>
      </c>
    </row>
    <row r="74" spans="1:3" ht="14.25" customHeight="1" x14ac:dyDescent="0.35">
      <c r="A74" s="167" t="s">
        <v>1071</v>
      </c>
      <c r="B74" s="167" t="s">
        <v>1072</v>
      </c>
      <c r="C74" s="167" t="s">
        <v>1073</v>
      </c>
    </row>
    <row r="75" spans="1:3" ht="14.25" customHeight="1" x14ac:dyDescent="0.35">
      <c r="A75" s="167" t="s">
        <v>1074</v>
      </c>
      <c r="B75" s="167" t="s">
        <v>1075</v>
      </c>
      <c r="C75" s="167" t="s">
        <v>1076</v>
      </c>
    </row>
    <row r="76" spans="1:3" ht="14.25" customHeight="1" x14ac:dyDescent="0.35">
      <c r="A76" s="167" t="s">
        <v>1077</v>
      </c>
      <c r="B76" s="167" t="s">
        <v>1078</v>
      </c>
      <c r="C76" s="167" t="s">
        <v>1079</v>
      </c>
    </row>
    <row r="77" spans="1:3" ht="14.25" customHeight="1" x14ac:dyDescent="0.35">
      <c r="A77" s="167" t="s">
        <v>1080</v>
      </c>
      <c r="B77" s="167" t="s">
        <v>1081</v>
      </c>
      <c r="C77" s="167" t="s">
        <v>1082</v>
      </c>
    </row>
    <row r="78" spans="1:3" ht="14.25" customHeight="1" x14ac:dyDescent="0.35">
      <c r="A78" s="167" t="s">
        <v>1083</v>
      </c>
      <c r="B78" s="167" t="s">
        <v>1084</v>
      </c>
      <c r="C78" s="167" t="s">
        <v>1085</v>
      </c>
    </row>
    <row r="79" spans="1:3" ht="14.25" customHeight="1" x14ac:dyDescent="0.35">
      <c r="A79" s="167" t="s">
        <v>1086</v>
      </c>
      <c r="B79" s="167" t="s">
        <v>1087</v>
      </c>
      <c r="C79" s="167" t="s">
        <v>1088</v>
      </c>
    </row>
    <row r="80" spans="1:3" ht="14.25" customHeight="1" x14ac:dyDescent="0.35">
      <c r="A80" s="167" t="s">
        <v>1089</v>
      </c>
      <c r="B80" s="167" t="s">
        <v>1090</v>
      </c>
      <c r="C80" s="167" t="s">
        <v>1091</v>
      </c>
    </row>
    <row r="81" spans="1:3" ht="14.25" customHeight="1" x14ac:dyDescent="0.35">
      <c r="A81" s="167" t="s">
        <v>1092</v>
      </c>
      <c r="B81" s="167" t="s">
        <v>1093</v>
      </c>
      <c r="C81" s="167" t="s">
        <v>1094</v>
      </c>
    </row>
    <row r="82" spans="1:3" ht="14.25" customHeight="1" x14ac:dyDescent="0.35">
      <c r="A82" s="167" t="s">
        <v>1095</v>
      </c>
      <c r="B82" s="167" t="s">
        <v>1096</v>
      </c>
      <c r="C82" s="167" t="s">
        <v>1097</v>
      </c>
    </row>
    <row r="83" spans="1:3" ht="14.25" customHeight="1" x14ac:dyDescent="0.35">
      <c r="A83" s="167" t="s">
        <v>1098</v>
      </c>
      <c r="B83" s="167" t="s">
        <v>1099</v>
      </c>
      <c r="C83" s="167" t="s">
        <v>1100</v>
      </c>
    </row>
    <row r="84" spans="1:3" ht="14.25" customHeight="1" x14ac:dyDescent="0.35">
      <c r="A84" s="167" t="s">
        <v>1101</v>
      </c>
      <c r="B84" s="167" t="s">
        <v>1102</v>
      </c>
      <c r="C84" s="167" t="s">
        <v>1103</v>
      </c>
    </row>
    <row r="85" spans="1:3" ht="14.25" customHeight="1" x14ac:dyDescent="0.35">
      <c r="A85" s="167" t="s">
        <v>1104</v>
      </c>
      <c r="B85" s="167" t="s">
        <v>1105</v>
      </c>
      <c r="C85" s="167" t="s">
        <v>1106</v>
      </c>
    </row>
    <row r="86" spans="1:3" ht="14.25" customHeight="1" x14ac:dyDescent="0.35">
      <c r="A86" s="167" t="s">
        <v>1107</v>
      </c>
      <c r="B86" s="167" t="s">
        <v>1108</v>
      </c>
      <c r="C86" s="167" t="s">
        <v>1109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7"/>
  <sheetViews>
    <sheetView zoomScaleNormal="100" workbookViewId="0">
      <selection activeCell="B5" sqref="B5"/>
    </sheetView>
  </sheetViews>
  <sheetFormatPr defaultColWidth="8.6328125" defaultRowHeight="14.5" x14ac:dyDescent="0.35"/>
  <sheetData>
    <row r="2" spans="1:6" ht="14.25" customHeight="1" x14ac:dyDescent="0.35">
      <c r="A2" t="s">
        <v>1110</v>
      </c>
      <c r="B2">
        <v>68</v>
      </c>
      <c r="C2">
        <v>0.2</v>
      </c>
      <c r="D2">
        <f>B2*C2</f>
        <v>13.600000000000001</v>
      </c>
      <c r="E2">
        <v>2</v>
      </c>
      <c r="F2">
        <f>D2*E2</f>
        <v>27.200000000000003</v>
      </c>
    </row>
    <row r="3" spans="1:6" ht="14.25" customHeight="1" x14ac:dyDescent="0.35">
      <c r="A3" t="s">
        <v>1111</v>
      </c>
      <c r="B3">
        <f>60*3.2</f>
        <v>192</v>
      </c>
      <c r="C3">
        <v>0.2</v>
      </c>
      <c r="D3">
        <f>B3*C3</f>
        <v>38.400000000000006</v>
      </c>
      <c r="E3">
        <v>1</v>
      </c>
      <c r="F3">
        <f>D3*E3</f>
        <v>38.400000000000006</v>
      </c>
    </row>
    <row r="4" spans="1:6" ht="14.25" customHeight="1" x14ac:dyDescent="0.35">
      <c r="F4">
        <f>SUM(F2:F3)</f>
        <v>65.600000000000009</v>
      </c>
    </row>
    <row r="5" spans="1:6" ht="14.25" customHeight="1" x14ac:dyDescent="0.35">
      <c r="A5" t="s">
        <v>1111</v>
      </c>
      <c r="B5">
        <v>60</v>
      </c>
      <c r="C5">
        <v>3.2</v>
      </c>
      <c r="D5">
        <v>2</v>
      </c>
      <c r="E5">
        <f>B5*C5*D5</f>
        <v>384</v>
      </c>
    </row>
    <row r="6" spans="1:6" ht="14.25" customHeight="1" x14ac:dyDescent="0.35">
      <c r="A6" t="s">
        <v>1110</v>
      </c>
      <c r="E6">
        <f>86*2</f>
        <v>172</v>
      </c>
    </row>
    <row r="7" spans="1:6" ht="14.25" customHeight="1" x14ac:dyDescent="0.35">
      <c r="E7">
        <f>E5+E6</f>
        <v>556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3"/>
  <sheetViews>
    <sheetView topLeftCell="A50" zoomScaleNormal="100" workbookViewId="0">
      <selection activeCell="F60" sqref="F60"/>
    </sheetView>
  </sheetViews>
  <sheetFormatPr defaultColWidth="8.7265625" defaultRowHeight="14.5" x14ac:dyDescent="0.35"/>
  <cols>
    <col min="1" max="1" width="9.1796875" style="168" customWidth="1"/>
    <col min="2" max="2" width="16.26953125" customWidth="1"/>
    <col min="3" max="3" width="21.26953125" customWidth="1"/>
    <col min="4" max="4" width="25.26953125" customWidth="1"/>
    <col min="5" max="5" width="20.81640625" customWidth="1"/>
    <col min="6" max="6" width="19.1796875" customWidth="1"/>
    <col min="7" max="7" width="23.1796875" customWidth="1"/>
  </cols>
  <sheetData>
    <row r="1" spans="1:7" ht="14.25" customHeight="1" x14ac:dyDescent="0.35">
      <c r="A1" s="168" t="s">
        <v>1112</v>
      </c>
      <c r="B1" t="s">
        <v>1113</v>
      </c>
      <c r="C1" t="s">
        <v>1114</v>
      </c>
      <c r="D1" s="169" t="s">
        <v>1115</v>
      </c>
      <c r="E1" t="s">
        <v>1116</v>
      </c>
      <c r="F1" s="169" t="s">
        <v>1117</v>
      </c>
      <c r="G1" s="169" t="s">
        <v>1118</v>
      </c>
    </row>
    <row r="2" spans="1:7" ht="14.25" customHeight="1" x14ac:dyDescent="0.35">
      <c r="A2" s="168">
        <v>1</v>
      </c>
      <c r="B2" t="s">
        <v>1119</v>
      </c>
      <c r="C2">
        <v>3</v>
      </c>
      <c r="D2" s="169" t="s">
        <v>242</v>
      </c>
      <c r="E2">
        <v>2</v>
      </c>
      <c r="F2">
        <v>9.33</v>
      </c>
      <c r="G2">
        <f t="shared" ref="G2:G33" si="0">F2*E2*C2</f>
        <v>55.980000000000004</v>
      </c>
    </row>
    <row r="3" spans="1:7" ht="14.25" customHeight="1" x14ac:dyDescent="0.35">
      <c r="A3" s="168">
        <v>2</v>
      </c>
      <c r="B3" t="s">
        <v>1119</v>
      </c>
      <c r="C3">
        <v>3</v>
      </c>
      <c r="D3" s="169" t="s">
        <v>242</v>
      </c>
      <c r="E3">
        <v>2</v>
      </c>
      <c r="F3">
        <v>5.57</v>
      </c>
      <c r="G3">
        <f t="shared" si="0"/>
        <v>33.42</v>
      </c>
    </row>
    <row r="4" spans="1:7" ht="14.25" customHeight="1" x14ac:dyDescent="0.35">
      <c r="A4" s="168">
        <v>3</v>
      </c>
      <c r="B4" t="s">
        <v>1119</v>
      </c>
      <c r="C4">
        <v>3</v>
      </c>
      <c r="D4" s="169" t="s">
        <v>242</v>
      </c>
      <c r="E4">
        <v>1</v>
      </c>
      <c r="F4">
        <v>5.55</v>
      </c>
      <c r="G4">
        <f t="shared" si="0"/>
        <v>16.649999999999999</v>
      </c>
    </row>
    <row r="5" spans="1:7" ht="14.25" customHeight="1" x14ac:dyDescent="0.35">
      <c r="A5" s="168">
        <v>4</v>
      </c>
      <c r="B5" t="s">
        <v>1119</v>
      </c>
      <c r="C5">
        <v>3</v>
      </c>
      <c r="D5" s="169" t="s">
        <v>242</v>
      </c>
      <c r="E5">
        <v>2</v>
      </c>
      <c r="F5">
        <v>1.38</v>
      </c>
      <c r="G5">
        <f t="shared" si="0"/>
        <v>8.2799999999999994</v>
      </c>
    </row>
    <row r="6" spans="1:7" ht="14.25" customHeight="1" x14ac:dyDescent="0.35">
      <c r="A6" s="168">
        <v>5</v>
      </c>
      <c r="B6" t="s">
        <v>1119</v>
      </c>
      <c r="C6">
        <v>3</v>
      </c>
      <c r="D6" s="169" t="s">
        <v>242</v>
      </c>
      <c r="E6">
        <v>2</v>
      </c>
      <c r="F6">
        <v>0.13900000000000001</v>
      </c>
      <c r="G6">
        <f t="shared" si="0"/>
        <v>0.83400000000000007</v>
      </c>
    </row>
    <row r="7" spans="1:7" ht="14.25" customHeight="1" x14ac:dyDescent="0.35">
      <c r="A7" s="168">
        <v>6</v>
      </c>
      <c r="B7" t="s">
        <v>1119</v>
      </c>
      <c r="C7">
        <v>3</v>
      </c>
      <c r="D7" s="169" t="s">
        <v>242</v>
      </c>
      <c r="E7">
        <v>1</v>
      </c>
      <c r="F7">
        <v>1.93</v>
      </c>
      <c r="G7">
        <f t="shared" si="0"/>
        <v>5.79</v>
      </c>
    </row>
    <row r="8" spans="1:7" ht="14.25" customHeight="1" x14ac:dyDescent="0.35">
      <c r="A8" s="168">
        <v>7</v>
      </c>
      <c r="B8" t="s">
        <v>1119</v>
      </c>
      <c r="C8">
        <v>3</v>
      </c>
      <c r="D8" s="169" t="s">
        <v>242</v>
      </c>
      <c r="E8">
        <v>2</v>
      </c>
      <c r="F8">
        <v>1.64</v>
      </c>
      <c r="G8">
        <f t="shared" si="0"/>
        <v>9.84</v>
      </c>
    </row>
    <row r="9" spans="1:7" ht="14.25" customHeight="1" x14ac:dyDescent="0.35">
      <c r="A9" s="168">
        <v>8</v>
      </c>
      <c r="B9" t="s">
        <v>1119</v>
      </c>
      <c r="C9">
        <v>3</v>
      </c>
      <c r="D9" s="169" t="s">
        <v>242</v>
      </c>
      <c r="E9">
        <v>2</v>
      </c>
      <c r="F9">
        <v>1.42</v>
      </c>
      <c r="G9">
        <f t="shared" si="0"/>
        <v>8.52</v>
      </c>
    </row>
    <row r="10" spans="1:7" ht="14.25" customHeight="1" x14ac:dyDescent="0.35">
      <c r="A10" s="168">
        <v>9</v>
      </c>
      <c r="B10" t="s">
        <v>1119</v>
      </c>
      <c r="C10">
        <v>3</v>
      </c>
      <c r="D10" s="169" t="s">
        <v>242</v>
      </c>
      <c r="E10">
        <v>2</v>
      </c>
      <c r="F10">
        <v>1.27</v>
      </c>
      <c r="G10">
        <f t="shared" si="0"/>
        <v>7.62</v>
      </c>
    </row>
    <row r="11" spans="1:7" ht="14.25" customHeight="1" x14ac:dyDescent="0.35">
      <c r="A11" s="168">
        <v>10</v>
      </c>
      <c r="B11" t="s">
        <v>1119</v>
      </c>
      <c r="C11">
        <v>3</v>
      </c>
      <c r="D11" s="169" t="s">
        <v>242</v>
      </c>
      <c r="E11">
        <v>2</v>
      </c>
      <c r="F11">
        <v>1.1000000000000001</v>
      </c>
      <c r="G11">
        <f t="shared" si="0"/>
        <v>6.6000000000000005</v>
      </c>
    </row>
    <row r="12" spans="1:7" ht="14.25" customHeight="1" x14ac:dyDescent="0.35">
      <c r="A12" s="168">
        <v>11</v>
      </c>
      <c r="B12" t="s">
        <v>1119</v>
      </c>
      <c r="C12">
        <v>3</v>
      </c>
      <c r="D12" s="169" t="s">
        <v>242</v>
      </c>
      <c r="E12">
        <v>2</v>
      </c>
      <c r="F12">
        <v>0.95</v>
      </c>
      <c r="G12">
        <f t="shared" si="0"/>
        <v>5.6999999999999993</v>
      </c>
    </row>
    <row r="13" spans="1:7" ht="14.25" customHeight="1" x14ac:dyDescent="0.35">
      <c r="A13" s="168">
        <v>12</v>
      </c>
      <c r="B13" t="s">
        <v>1119</v>
      </c>
      <c r="C13">
        <v>3</v>
      </c>
      <c r="D13" s="169" t="s">
        <v>242</v>
      </c>
      <c r="E13">
        <v>2</v>
      </c>
      <c r="F13">
        <v>0.63</v>
      </c>
      <c r="G13">
        <f t="shared" si="0"/>
        <v>3.7800000000000002</v>
      </c>
    </row>
    <row r="14" spans="1:7" ht="14.25" customHeight="1" x14ac:dyDescent="0.35">
      <c r="A14" s="168">
        <v>13</v>
      </c>
      <c r="B14" t="s">
        <v>1119</v>
      </c>
      <c r="C14">
        <v>3</v>
      </c>
      <c r="D14" s="169" t="s">
        <v>242</v>
      </c>
      <c r="E14">
        <v>8</v>
      </c>
      <c r="F14">
        <v>0.73</v>
      </c>
      <c r="G14">
        <f t="shared" si="0"/>
        <v>17.52</v>
      </c>
    </row>
    <row r="15" spans="1:7" ht="14.25" customHeight="1" x14ac:dyDescent="0.35">
      <c r="A15" s="168">
        <v>14</v>
      </c>
      <c r="B15" t="s">
        <v>1119</v>
      </c>
      <c r="C15">
        <v>3</v>
      </c>
      <c r="D15" s="169" t="s">
        <v>242</v>
      </c>
      <c r="E15">
        <v>2</v>
      </c>
      <c r="F15">
        <v>0.62</v>
      </c>
      <c r="G15">
        <f t="shared" si="0"/>
        <v>3.7199999999999998</v>
      </c>
    </row>
    <row r="16" spans="1:7" ht="14.25" customHeight="1" x14ac:dyDescent="0.35">
      <c r="A16" s="168">
        <v>15</v>
      </c>
      <c r="B16" t="s">
        <v>1119</v>
      </c>
      <c r="C16">
        <v>3</v>
      </c>
      <c r="D16" s="169" t="s">
        <v>242</v>
      </c>
      <c r="E16">
        <v>2</v>
      </c>
      <c r="F16">
        <v>0.622</v>
      </c>
      <c r="G16">
        <f t="shared" si="0"/>
        <v>3.7320000000000002</v>
      </c>
    </row>
    <row r="17" spans="1:7" ht="14.25" customHeight="1" x14ac:dyDescent="0.35">
      <c r="A17" s="168">
        <v>16</v>
      </c>
      <c r="B17" t="s">
        <v>1119</v>
      </c>
      <c r="C17">
        <v>3</v>
      </c>
      <c r="D17" s="169" t="s">
        <v>242</v>
      </c>
      <c r="E17">
        <v>10</v>
      </c>
      <c r="F17">
        <v>0.6</v>
      </c>
      <c r="G17">
        <f t="shared" si="0"/>
        <v>18</v>
      </c>
    </row>
    <row r="18" spans="1:7" ht="14.25" customHeight="1" x14ac:dyDescent="0.35">
      <c r="A18" s="168">
        <v>17</v>
      </c>
      <c r="B18" t="s">
        <v>1119</v>
      </c>
      <c r="C18">
        <v>3</v>
      </c>
      <c r="D18" s="169" t="s">
        <v>242</v>
      </c>
      <c r="E18">
        <v>1</v>
      </c>
      <c r="F18">
        <v>0.53600000000000003</v>
      </c>
      <c r="G18">
        <f t="shared" si="0"/>
        <v>1.6080000000000001</v>
      </c>
    </row>
    <row r="19" spans="1:7" ht="14.25" customHeight="1" x14ac:dyDescent="0.35">
      <c r="A19" s="168">
        <v>18</v>
      </c>
      <c r="B19" t="s">
        <v>1120</v>
      </c>
      <c r="C19">
        <v>2</v>
      </c>
      <c r="D19" s="169" t="s">
        <v>242</v>
      </c>
      <c r="E19">
        <v>2</v>
      </c>
      <c r="F19">
        <v>4.9089999999999998</v>
      </c>
      <c r="G19">
        <f t="shared" si="0"/>
        <v>19.635999999999999</v>
      </c>
    </row>
    <row r="20" spans="1:7" ht="14.25" customHeight="1" x14ac:dyDescent="0.35">
      <c r="A20" s="168">
        <v>19</v>
      </c>
      <c r="B20" t="s">
        <v>1120</v>
      </c>
      <c r="C20">
        <v>2</v>
      </c>
      <c r="D20" s="169" t="s">
        <v>242</v>
      </c>
      <c r="E20">
        <v>1</v>
      </c>
      <c r="F20">
        <v>8.1999999999999993</v>
      </c>
      <c r="G20">
        <f t="shared" si="0"/>
        <v>16.399999999999999</v>
      </c>
    </row>
    <row r="21" spans="1:7" ht="14.25" customHeight="1" x14ac:dyDescent="0.35">
      <c r="A21" s="168">
        <v>20</v>
      </c>
      <c r="B21" t="s">
        <v>1120</v>
      </c>
      <c r="C21">
        <v>2</v>
      </c>
      <c r="D21" s="169" t="s">
        <v>242</v>
      </c>
      <c r="E21">
        <v>1</v>
      </c>
      <c r="F21">
        <v>8.1999999999999993</v>
      </c>
      <c r="G21">
        <f t="shared" si="0"/>
        <v>16.399999999999999</v>
      </c>
    </row>
    <row r="22" spans="1:7" ht="14.25" customHeight="1" x14ac:dyDescent="0.35">
      <c r="A22" s="168">
        <v>21</v>
      </c>
      <c r="B22" t="s">
        <v>1120</v>
      </c>
      <c r="C22">
        <v>2</v>
      </c>
      <c r="D22" s="169" t="s">
        <v>242</v>
      </c>
      <c r="E22">
        <v>2</v>
      </c>
      <c r="F22">
        <v>2.2999999999999998</v>
      </c>
      <c r="G22">
        <f t="shared" si="0"/>
        <v>9.1999999999999993</v>
      </c>
    </row>
    <row r="23" spans="1:7" ht="14.25" customHeight="1" x14ac:dyDescent="0.35">
      <c r="A23" s="168">
        <v>22</v>
      </c>
      <c r="B23" t="s">
        <v>1120</v>
      </c>
      <c r="C23">
        <v>2</v>
      </c>
      <c r="D23" s="169" t="s">
        <v>242</v>
      </c>
      <c r="E23">
        <v>2</v>
      </c>
      <c r="F23">
        <v>0.13900000000000001</v>
      </c>
      <c r="G23">
        <f t="shared" si="0"/>
        <v>0.55600000000000005</v>
      </c>
    </row>
    <row r="24" spans="1:7" ht="14.25" customHeight="1" x14ac:dyDescent="0.35">
      <c r="A24" s="168">
        <v>23</v>
      </c>
      <c r="B24" t="s">
        <v>1120</v>
      </c>
      <c r="C24">
        <v>2</v>
      </c>
      <c r="D24" s="169" t="s">
        <v>242</v>
      </c>
      <c r="E24">
        <v>1</v>
      </c>
      <c r="F24">
        <v>1.38</v>
      </c>
      <c r="G24">
        <f t="shared" si="0"/>
        <v>2.76</v>
      </c>
    </row>
    <row r="25" spans="1:7" ht="14.25" customHeight="1" x14ac:dyDescent="0.35">
      <c r="A25" s="168">
        <v>24</v>
      </c>
      <c r="B25" t="s">
        <v>1120</v>
      </c>
      <c r="C25">
        <v>2</v>
      </c>
      <c r="D25" s="169" t="s">
        <v>242</v>
      </c>
      <c r="E25">
        <v>1</v>
      </c>
      <c r="F25">
        <v>0.54</v>
      </c>
      <c r="G25">
        <f t="shared" si="0"/>
        <v>1.08</v>
      </c>
    </row>
    <row r="26" spans="1:7" ht="14.25" customHeight="1" x14ac:dyDescent="0.35">
      <c r="A26" s="168">
        <v>25</v>
      </c>
      <c r="B26" t="s">
        <v>1120</v>
      </c>
      <c r="C26">
        <v>2</v>
      </c>
      <c r="D26" s="169" t="s">
        <v>242</v>
      </c>
      <c r="E26">
        <v>2</v>
      </c>
      <c r="F26">
        <v>0.622</v>
      </c>
      <c r="G26">
        <f t="shared" si="0"/>
        <v>2.488</v>
      </c>
    </row>
    <row r="27" spans="1:7" ht="14.25" customHeight="1" x14ac:dyDescent="0.35">
      <c r="A27" s="168">
        <v>26</v>
      </c>
      <c r="B27" t="s">
        <v>1120</v>
      </c>
      <c r="C27">
        <v>2</v>
      </c>
      <c r="D27" s="169" t="s">
        <v>242</v>
      </c>
      <c r="E27">
        <v>2</v>
      </c>
      <c r="F27">
        <v>0.55400000000000005</v>
      </c>
      <c r="G27">
        <f t="shared" si="0"/>
        <v>2.2160000000000002</v>
      </c>
    </row>
    <row r="28" spans="1:7" ht="14.25" customHeight="1" x14ac:dyDescent="0.35">
      <c r="A28" s="168">
        <v>27</v>
      </c>
      <c r="B28" t="s">
        <v>1120</v>
      </c>
      <c r="C28">
        <v>2</v>
      </c>
      <c r="D28" s="169" t="s">
        <v>242</v>
      </c>
      <c r="E28">
        <v>7</v>
      </c>
      <c r="F28">
        <v>0.60199999999999998</v>
      </c>
      <c r="G28">
        <f t="shared" si="0"/>
        <v>8.427999999999999</v>
      </c>
    </row>
    <row r="29" spans="1:7" ht="14.25" customHeight="1" x14ac:dyDescent="0.35">
      <c r="A29" s="168">
        <v>28</v>
      </c>
      <c r="B29" t="s">
        <v>1120</v>
      </c>
      <c r="C29">
        <v>2</v>
      </c>
      <c r="D29" s="169" t="s">
        <v>242</v>
      </c>
      <c r="E29">
        <v>7</v>
      </c>
      <c r="F29">
        <v>0.60199999999999998</v>
      </c>
      <c r="G29">
        <f t="shared" si="0"/>
        <v>8.427999999999999</v>
      </c>
    </row>
    <row r="30" spans="1:7" ht="14.25" customHeight="1" x14ac:dyDescent="0.35">
      <c r="A30" s="168">
        <v>29</v>
      </c>
      <c r="B30" t="s">
        <v>1120</v>
      </c>
      <c r="C30">
        <v>2</v>
      </c>
      <c r="D30" s="169" t="s">
        <v>242</v>
      </c>
      <c r="E30">
        <v>11</v>
      </c>
      <c r="F30">
        <v>0.62</v>
      </c>
      <c r="G30">
        <f t="shared" si="0"/>
        <v>13.64</v>
      </c>
    </row>
    <row r="31" spans="1:7" ht="14.25" customHeight="1" x14ac:dyDescent="0.35">
      <c r="A31" s="168">
        <v>30</v>
      </c>
      <c r="B31" t="s">
        <v>1120</v>
      </c>
      <c r="C31">
        <v>2</v>
      </c>
      <c r="D31" s="169" t="s">
        <v>242</v>
      </c>
      <c r="E31">
        <v>10</v>
      </c>
      <c r="F31">
        <v>0.82</v>
      </c>
      <c r="G31">
        <f t="shared" si="0"/>
        <v>16.399999999999999</v>
      </c>
    </row>
    <row r="32" spans="1:7" ht="14.25" customHeight="1" x14ac:dyDescent="0.35">
      <c r="A32" s="168">
        <v>31</v>
      </c>
      <c r="B32" t="s">
        <v>1121</v>
      </c>
      <c r="C32">
        <v>3</v>
      </c>
      <c r="D32" s="169" t="s">
        <v>242</v>
      </c>
      <c r="E32">
        <v>4</v>
      </c>
      <c r="F32">
        <v>3.63</v>
      </c>
      <c r="G32">
        <f t="shared" si="0"/>
        <v>43.56</v>
      </c>
    </row>
    <row r="33" spans="1:7" ht="14.25" customHeight="1" x14ac:dyDescent="0.35">
      <c r="A33" s="168">
        <v>32</v>
      </c>
      <c r="B33" t="s">
        <v>1121</v>
      </c>
      <c r="C33">
        <v>3</v>
      </c>
      <c r="D33" s="169" t="s">
        <v>242</v>
      </c>
      <c r="E33">
        <v>4</v>
      </c>
      <c r="F33">
        <v>0.8</v>
      </c>
      <c r="G33">
        <f t="shared" si="0"/>
        <v>9.6000000000000014</v>
      </c>
    </row>
    <row r="34" spans="1:7" ht="14.25" customHeight="1" x14ac:dyDescent="0.35">
      <c r="A34" s="168">
        <v>33</v>
      </c>
      <c r="B34" t="s">
        <v>1121</v>
      </c>
      <c r="C34">
        <v>3</v>
      </c>
      <c r="D34" s="169" t="s">
        <v>242</v>
      </c>
      <c r="E34">
        <v>6</v>
      </c>
      <c r="F34">
        <v>0.6</v>
      </c>
      <c r="G34">
        <f t="shared" ref="G34:G65" si="1">F34*E34*C34</f>
        <v>10.799999999999999</v>
      </c>
    </row>
    <row r="35" spans="1:7" ht="14.25" customHeight="1" x14ac:dyDescent="0.35">
      <c r="A35" s="168">
        <v>34</v>
      </c>
      <c r="B35" t="s">
        <v>1121</v>
      </c>
      <c r="C35">
        <v>3</v>
      </c>
      <c r="D35" s="169" t="s">
        <v>242</v>
      </c>
      <c r="E35">
        <v>8</v>
      </c>
      <c r="F35">
        <v>0.93</v>
      </c>
      <c r="G35">
        <f t="shared" si="1"/>
        <v>22.32</v>
      </c>
    </row>
    <row r="36" spans="1:7" ht="14.25" customHeight="1" x14ac:dyDescent="0.35">
      <c r="A36" s="168">
        <v>35</v>
      </c>
      <c r="B36" t="s">
        <v>1122</v>
      </c>
      <c r="C36">
        <v>3</v>
      </c>
      <c r="D36" s="169" t="s">
        <v>242</v>
      </c>
      <c r="E36">
        <v>2</v>
      </c>
      <c r="F36">
        <v>0.82</v>
      </c>
      <c r="G36">
        <f t="shared" si="1"/>
        <v>4.92</v>
      </c>
    </row>
    <row r="37" spans="1:7" ht="14.25" customHeight="1" x14ac:dyDescent="0.35">
      <c r="A37" s="168">
        <v>36</v>
      </c>
      <c r="B37" t="s">
        <v>1122</v>
      </c>
      <c r="C37">
        <v>3</v>
      </c>
      <c r="D37" s="169" t="s">
        <v>242</v>
      </c>
      <c r="E37">
        <v>2</v>
      </c>
      <c r="F37">
        <v>4.82</v>
      </c>
      <c r="G37">
        <f t="shared" si="1"/>
        <v>28.92</v>
      </c>
    </row>
    <row r="38" spans="1:7" ht="14.25" customHeight="1" x14ac:dyDescent="0.35">
      <c r="A38" s="168">
        <v>37</v>
      </c>
      <c r="B38" t="s">
        <v>1122</v>
      </c>
      <c r="C38">
        <v>3</v>
      </c>
      <c r="D38" s="169" t="s">
        <v>242</v>
      </c>
      <c r="E38">
        <v>2</v>
      </c>
      <c r="F38">
        <v>4</v>
      </c>
      <c r="G38">
        <f t="shared" si="1"/>
        <v>24</v>
      </c>
    </row>
    <row r="39" spans="1:7" ht="14.25" customHeight="1" x14ac:dyDescent="0.35">
      <c r="A39" s="168">
        <v>38</v>
      </c>
      <c r="B39" t="s">
        <v>1122</v>
      </c>
      <c r="C39">
        <v>3</v>
      </c>
      <c r="D39" s="169" t="s">
        <v>242</v>
      </c>
      <c r="E39">
        <v>2</v>
      </c>
      <c r="F39">
        <v>0.13900000000000001</v>
      </c>
      <c r="G39">
        <f t="shared" si="1"/>
        <v>0.83400000000000007</v>
      </c>
    </row>
    <row r="40" spans="1:7" ht="14.25" customHeight="1" x14ac:dyDescent="0.35">
      <c r="A40" s="168">
        <v>39</v>
      </c>
      <c r="B40" t="s">
        <v>1122</v>
      </c>
      <c r="C40">
        <v>3</v>
      </c>
      <c r="D40" s="169" t="s">
        <v>242</v>
      </c>
      <c r="E40">
        <v>2</v>
      </c>
      <c r="F40">
        <v>0.53600000000000003</v>
      </c>
      <c r="G40">
        <f t="shared" si="1"/>
        <v>3.2160000000000002</v>
      </c>
    </row>
    <row r="41" spans="1:7" ht="14.25" customHeight="1" x14ac:dyDescent="0.35">
      <c r="A41" s="168">
        <v>40</v>
      </c>
      <c r="B41" t="s">
        <v>1122</v>
      </c>
      <c r="C41">
        <v>3</v>
      </c>
      <c r="D41" s="169" t="s">
        <v>242</v>
      </c>
      <c r="E41">
        <v>2</v>
      </c>
      <c r="F41">
        <v>0.622</v>
      </c>
      <c r="G41">
        <f t="shared" si="1"/>
        <v>3.7320000000000002</v>
      </c>
    </row>
    <row r="42" spans="1:7" ht="14.25" customHeight="1" x14ac:dyDescent="0.35">
      <c r="A42" s="168">
        <v>41</v>
      </c>
      <c r="B42" t="s">
        <v>1122</v>
      </c>
      <c r="C42">
        <v>3</v>
      </c>
      <c r="D42" s="169" t="s">
        <v>242</v>
      </c>
      <c r="E42">
        <v>6</v>
      </c>
      <c r="F42">
        <v>0.6</v>
      </c>
      <c r="G42">
        <f t="shared" si="1"/>
        <v>10.799999999999999</v>
      </c>
    </row>
    <row r="43" spans="1:7" ht="14.25" customHeight="1" x14ac:dyDescent="0.35">
      <c r="A43" s="168">
        <v>42</v>
      </c>
      <c r="B43" t="s">
        <v>1122</v>
      </c>
      <c r="C43">
        <v>3</v>
      </c>
      <c r="D43" s="169" t="s">
        <v>242</v>
      </c>
      <c r="E43">
        <v>8</v>
      </c>
      <c r="F43">
        <v>0.8</v>
      </c>
      <c r="G43">
        <f t="shared" si="1"/>
        <v>19.200000000000003</v>
      </c>
    </row>
    <row r="44" spans="1:7" ht="14.25" customHeight="1" x14ac:dyDescent="0.35">
      <c r="A44" s="168">
        <v>43</v>
      </c>
      <c r="B44" t="s">
        <v>1123</v>
      </c>
      <c r="C44">
        <v>1</v>
      </c>
      <c r="D44" s="169" t="s">
        <v>242</v>
      </c>
      <c r="E44">
        <v>2</v>
      </c>
      <c r="F44">
        <v>4.2</v>
      </c>
      <c r="G44">
        <f t="shared" si="1"/>
        <v>8.4</v>
      </c>
    </row>
    <row r="45" spans="1:7" ht="14.25" customHeight="1" x14ac:dyDescent="0.35">
      <c r="A45" s="168">
        <v>44</v>
      </c>
      <c r="B45" t="s">
        <v>1123</v>
      </c>
      <c r="C45">
        <v>1</v>
      </c>
      <c r="D45" s="169" t="s">
        <v>242</v>
      </c>
      <c r="E45">
        <v>2</v>
      </c>
      <c r="F45">
        <v>4.2</v>
      </c>
      <c r="G45">
        <f t="shared" si="1"/>
        <v>8.4</v>
      </c>
    </row>
    <row r="46" spans="1:7" ht="14.25" customHeight="1" x14ac:dyDescent="0.35">
      <c r="A46" s="168">
        <v>45</v>
      </c>
      <c r="B46" t="s">
        <v>1123</v>
      </c>
      <c r="C46">
        <v>1</v>
      </c>
      <c r="D46" s="169" t="s">
        <v>242</v>
      </c>
      <c r="E46">
        <v>4</v>
      </c>
      <c r="F46">
        <v>0.82</v>
      </c>
      <c r="G46">
        <f t="shared" si="1"/>
        <v>3.28</v>
      </c>
    </row>
    <row r="47" spans="1:7" ht="14.25" customHeight="1" x14ac:dyDescent="0.35">
      <c r="A47" s="168">
        <v>46</v>
      </c>
      <c r="B47" t="s">
        <v>1123</v>
      </c>
      <c r="C47">
        <v>1</v>
      </c>
      <c r="D47" s="169" t="s">
        <v>242</v>
      </c>
      <c r="E47">
        <v>8</v>
      </c>
      <c r="F47">
        <v>0.78</v>
      </c>
      <c r="G47">
        <f t="shared" si="1"/>
        <v>6.24</v>
      </c>
    </row>
    <row r="48" spans="1:7" ht="14.25" customHeight="1" x14ac:dyDescent="0.35">
      <c r="A48" s="168">
        <v>47</v>
      </c>
      <c r="B48" t="s">
        <v>1123</v>
      </c>
      <c r="C48">
        <v>1</v>
      </c>
      <c r="D48" s="169" t="s">
        <v>242</v>
      </c>
      <c r="E48">
        <v>6</v>
      </c>
      <c r="F48">
        <v>0.6</v>
      </c>
      <c r="G48">
        <f t="shared" si="1"/>
        <v>3.5999999999999996</v>
      </c>
    </row>
    <row r="49" spans="1:7" ht="14.25" customHeight="1" x14ac:dyDescent="0.35">
      <c r="A49" s="168">
        <v>48</v>
      </c>
      <c r="B49" t="s">
        <v>1124</v>
      </c>
      <c r="C49">
        <v>3</v>
      </c>
      <c r="D49" s="169" t="s">
        <v>242</v>
      </c>
      <c r="E49">
        <v>4</v>
      </c>
      <c r="F49">
        <v>3.83</v>
      </c>
      <c r="G49">
        <f t="shared" si="1"/>
        <v>45.96</v>
      </c>
    </row>
    <row r="50" spans="1:7" ht="14.25" customHeight="1" x14ac:dyDescent="0.35">
      <c r="A50" s="168">
        <v>49</v>
      </c>
      <c r="B50" t="s">
        <v>1124</v>
      </c>
      <c r="C50">
        <v>3</v>
      </c>
      <c r="D50" s="169" t="s">
        <v>242</v>
      </c>
      <c r="E50">
        <v>4</v>
      </c>
      <c r="F50">
        <v>0.8</v>
      </c>
      <c r="G50">
        <f t="shared" si="1"/>
        <v>9.6000000000000014</v>
      </c>
    </row>
    <row r="51" spans="1:7" ht="14.25" customHeight="1" x14ac:dyDescent="0.35">
      <c r="A51" s="168">
        <v>50</v>
      </c>
      <c r="B51" t="s">
        <v>1124</v>
      </c>
      <c r="C51">
        <v>3</v>
      </c>
      <c r="D51" s="169" t="s">
        <v>242</v>
      </c>
      <c r="E51">
        <v>6</v>
      </c>
      <c r="F51">
        <v>0.6</v>
      </c>
      <c r="G51">
        <f t="shared" si="1"/>
        <v>10.799999999999999</v>
      </c>
    </row>
    <row r="52" spans="1:7" ht="14.25" customHeight="1" x14ac:dyDescent="0.35">
      <c r="A52" s="168">
        <v>51</v>
      </c>
      <c r="B52" t="s">
        <v>1124</v>
      </c>
      <c r="C52">
        <v>3</v>
      </c>
      <c r="D52" s="169" t="s">
        <v>242</v>
      </c>
      <c r="E52">
        <v>8</v>
      </c>
      <c r="F52">
        <v>0.92500000000000004</v>
      </c>
      <c r="G52">
        <f t="shared" si="1"/>
        <v>22.200000000000003</v>
      </c>
    </row>
    <row r="53" spans="1:7" ht="14.25" customHeight="1" x14ac:dyDescent="0.35">
      <c r="A53" s="168">
        <v>52</v>
      </c>
      <c r="B53" t="s">
        <v>1125</v>
      </c>
      <c r="C53">
        <v>4</v>
      </c>
      <c r="D53" s="169" t="s">
        <v>242</v>
      </c>
      <c r="E53">
        <v>2</v>
      </c>
      <c r="F53">
        <v>0.82</v>
      </c>
      <c r="G53">
        <f t="shared" si="1"/>
        <v>6.56</v>
      </c>
    </row>
    <row r="54" spans="1:7" ht="14.25" customHeight="1" x14ac:dyDescent="0.35">
      <c r="A54" s="168">
        <v>53</v>
      </c>
      <c r="B54" t="s">
        <v>1125</v>
      </c>
      <c r="C54">
        <v>4</v>
      </c>
      <c r="D54" s="169" t="s">
        <v>242</v>
      </c>
      <c r="E54">
        <v>2</v>
      </c>
      <c r="F54">
        <v>5.5</v>
      </c>
      <c r="G54">
        <f t="shared" si="1"/>
        <v>44</v>
      </c>
    </row>
    <row r="55" spans="1:7" ht="14.25" customHeight="1" x14ac:dyDescent="0.35">
      <c r="A55" s="168">
        <v>54</v>
      </c>
      <c r="B55" t="s">
        <v>1125</v>
      </c>
      <c r="C55">
        <v>4</v>
      </c>
      <c r="D55" s="169" t="s">
        <v>242</v>
      </c>
      <c r="E55">
        <v>5</v>
      </c>
      <c r="F55">
        <v>0.82</v>
      </c>
      <c r="G55">
        <f t="shared" si="1"/>
        <v>16.399999999999999</v>
      </c>
    </row>
    <row r="56" spans="1:7" ht="14.25" customHeight="1" x14ac:dyDescent="0.35">
      <c r="A56" s="168">
        <v>55</v>
      </c>
      <c r="B56" t="s">
        <v>1125</v>
      </c>
      <c r="C56">
        <v>4</v>
      </c>
      <c r="D56" s="169" t="s">
        <v>242</v>
      </c>
      <c r="E56">
        <v>4</v>
      </c>
      <c r="F56">
        <v>0.6</v>
      </c>
      <c r="G56">
        <f t="shared" si="1"/>
        <v>9.6</v>
      </c>
    </row>
    <row r="57" spans="1:7" ht="14.25" customHeight="1" x14ac:dyDescent="0.35">
      <c r="A57" s="168">
        <v>56</v>
      </c>
      <c r="B57" t="s">
        <v>1126</v>
      </c>
      <c r="C57">
        <v>4</v>
      </c>
      <c r="D57" s="169" t="s">
        <v>242</v>
      </c>
      <c r="E57">
        <v>1</v>
      </c>
      <c r="F57">
        <v>0.82</v>
      </c>
      <c r="G57">
        <f t="shared" si="1"/>
        <v>3.28</v>
      </c>
    </row>
    <row r="58" spans="1:7" ht="14.25" customHeight="1" x14ac:dyDescent="0.35">
      <c r="A58" s="168">
        <v>57</v>
      </c>
      <c r="B58" t="s">
        <v>1126</v>
      </c>
      <c r="C58">
        <v>4</v>
      </c>
      <c r="D58" s="169" t="s">
        <v>242</v>
      </c>
      <c r="E58">
        <v>1</v>
      </c>
      <c r="F58">
        <v>4.16</v>
      </c>
      <c r="G58">
        <f t="shared" si="1"/>
        <v>16.64</v>
      </c>
    </row>
    <row r="59" spans="1:7" ht="14.25" customHeight="1" x14ac:dyDescent="0.35">
      <c r="A59" s="168">
        <v>58</v>
      </c>
      <c r="B59" t="s">
        <v>1126</v>
      </c>
      <c r="C59">
        <v>4</v>
      </c>
      <c r="D59" s="169" t="s">
        <v>242</v>
      </c>
      <c r="E59">
        <v>1</v>
      </c>
      <c r="F59">
        <v>0.13900000000000001</v>
      </c>
      <c r="G59">
        <f t="shared" si="1"/>
        <v>0.55600000000000005</v>
      </c>
    </row>
    <row r="60" spans="1:7" ht="14.25" customHeight="1" x14ac:dyDescent="0.35">
      <c r="A60" s="168">
        <v>59</v>
      </c>
      <c r="B60" t="s">
        <v>1126</v>
      </c>
      <c r="C60">
        <v>4</v>
      </c>
      <c r="D60" s="169" t="s">
        <v>242</v>
      </c>
      <c r="E60">
        <v>1</v>
      </c>
      <c r="F60">
        <v>1.38</v>
      </c>
      <c r="G60">
        <f t="shared" si="1"/>
        <v>5.52</v>
      </c>
    </row>
    <row r="61" spans="1:7" ht="14.25" customHeight="1" x14ac:dyDescent="0.35">
      <c r="A61" s="168">
        <v>60</v>
      </c>
      <c r="B61" t="s">
        <v>1126</v>
      </c>
      <c r="C61">
        <v>4</v>
      </c>
      <c r="D61" s="169" t="s">
        <v>242</v>
      </c>
      <c r="E61">
        <v>1</v>
      </c>
      <c r="F61">
        <v>6.1</v>
      </c>
      <c r="G61">
        <f t="shared" si="1"/>
        <v>24.4</v>
      </c>
    </row>
    <row r="62" spans="1:7" ht="14.25" customHeight="1" x14ac:dyDescent="0.35">
      <c r="A62" s="168">
        <v>61</v>
      </c>
      <c r="B62" t="s">
        <v>1126</v>
      </c>
      <c r="C62">
        <v>4</v>
      </c>
      <c r="D62" s="169" t="s">
        <v>242</v>
      </c>
      <c r="E62">
        <v>1</v>
      </c>
      <c r="F62">
        <v>0.622</v>
      </c>
      <c r="G62">
        <f t="shared" si="1"/>
        <v>2.488</v>
      </c>
    </row>
    <row r="63" spans="1:7" ht="14.25" customHeight="1" x14ac:dyDescent="0.35">
      <c r="A63" s="168">
        <v>62</v>
      </c>
      <c r="B63" t="s">
        <v>1126</v>
      </c>
      <c r="C63">
        <v>4</v>
      </c>
      <c r="D63" s="169" t="s">
        <v>242</v>
      </c>
      <c r="E63">
        <v>4</v>
      </c>
      <c r="F63">
        <v>0.60199999999999998</v>
      </c>
      <c r="G63">
        <f t="shared" si="1"/>
        <v>9.6319999999999997</v>
      </c>
    </row>
    <row r="64" spans="1:7" ht="14.25" customHeight="1" x14ac:dyDescent="0.35">
      <c r="A64" s="168">
        <v>63</v>
      </c>
      <c r="B64" t="s">
        <v>1126</v>
      </c>
      <c r="C64">
        <v>4</v>
      </c>
      <c r="D64" s="169" t="s">
        <v>242</v>
      </c>
      <c r="E64">
        <v>3</v>
      </c>
      <c r="F64">
        <v>0.72799999999999998</v>
      </c>
      <c r="G64">
        <f t="shared" si="1"/>
        <v>8.7360000000000007</v>
      </c>
    </row>
    <row r="65" spans="1:7" ht="14.25" customHeight="1" x14ac:dyDescent="0.35">
      <c r="A65" s="168">
        <v>64</v>
      </c>
      <c r="B65" t="s">
        <v>1126</v>
      </c>
      <c r="C65">
        <v>4</v>
      </c>
      <c r="D65" s="169" t="s">
        <v>242</v>
      </c>
      <c r="E65">
        <v>1</v>
      </c>
      <c r="F65">
        <v>0.61499999999999999</v>
      </c>
      <c r="G65">
        <f t="shared" si="1"/>
        <v>2.46</v>
      </c>
    </row>
    <row r="66" spans="1:7" ht="14.25" customHeight="1" x14ac:dyDescent="0.35">
      <c r="A66" s="168">
        <v>65</v>
      </c>
      <c r="B66" t="s">
        <v>1127</v>
      </c>
      <c r="C66">
        <v>20</v>
      </c>
      <c r="D66" s="169" t="s">
        <v>244</v>
      </c>
      <c r="E66">
        <v>2</v>
      </c>
      <c r="F66">
        <v>3.84</v>
      </c>
      <c r="G66">
        <f t="shared" ref="G66:G77" si="2">F66*E66*C66</f>
        <v>153.6</v>
      </c>
    </row>
    <row r="67" spans="1:7" ht="14.25" customHeight="1" x14ac:dyDescent="0.35">
      <c r="A67" s="168">
        <v>66</v>
      </c>
      <c r="B67" t="s">
        <v>1127</v>
      </c>
      <c r="C67">
        <v>20</v>
      </c>
      <c r="D67" s="169" t="s">
        <v>244</v>
      </c>
      <c r="E67">
        <v>2</v>
      </c>
      <c r="F67">
        <v>0.70899999999999996</v>
      </c>
      <c r="G67">
        <f t="shared" si="2"/>
        <v>28.36</v>
      </c>
    </row>
    <row r="68" spans="1:7" ht="14.25" customHeight="1" x14ac:dyDescent="0.35">
      <c r="A68" s="168">
        <v>67</v>
      </c>
      <c r="B68" t="s">
        <v>1127</v>
      </c>
      <c r="C68">
        <v>20</v>
      </c>
      <c r="D68" s="169" t="s">
        <v>244</v>
      </c>
      <c r="E68">
        <v>4</v>
      </c>
      <c r="F68">
        <v>0.50900000000000001</v>
      </c>
      <c r="G68">
        <f t="shared" si="2"/>
        <v>40.72</v>
      </c>
    </row>
    <row r="69" spans="1:7" ht="14.25" customHeight="1" x14ac:dyDescent="0.35">
      <c r="A69" s="168">
        <v>68</v>
      </c>
      <c r="B69" t="s">
        <v>1127</v>
      </c>
      <c r="C69">
        <v>20</v>
      </c>
      <c r="D69" s="169" t="s">
        <v>244</v>
      </c>
      <c r="E69">
        <v>5</v>
      </c>
      <c r="F69">
        <v>0.72699999999999998</v>
      </c>
      <c r="G69">
        <f t="shared" si="2"/>
        <v>72.699999999999989</v>
      </c>
    </row>
    <row r="70" spans="1:7" ht="14.25" customHeight="1" x14ac:dyDescent="0.35">
      <c r="A70" s="168">
        <v>69</v>
      </c>
      <c r="B70" t="s">
        <v>1128</v>
      </c>
      <c r="C70">
        <v>1</v>
      </c>
      <c r="D70" s="169" t="s">
        <v>244</v>
      </c>
      <c r="E70">
        <v>1</v>
      </c>
      <c r="F70">
        <v>16.2</v>
      </c>
      <c r="G70">
        <f t="shared" si="2"/>
        <v>16.2</v>
      </c>
    </row>
    <row r="71" spans="1:7" ht="14.25" customHeight="1" x14ac:dyDescent="0.35">
      <c r="A71" s="168">
        <v>70</v>
      </c>
      <c r="B71" t="s">
        <v>1128</v>
      </c>
      <c r="C71">
        <v>1</v>
      </c>
      <c r="D71" s="169" t="s">
        <v>244</v>
      </c>
      <c r="E71">
        <v>1</v>
      </c>
      <c r="F71">
        <v>25.4</v>
      </c>
      <c r="G71">
        <f t="shared" si="2"/>
        <v>25.4</v>
      </c>
    </row>
    <row r="72" spans="1:7" ht="14.25" customHeight="1" x14ac:dyDescent="0.35">
      <c r="A72" s="168">
        <v>71</v>
      </c>
      <c r="B72" t="s">
        <v>1128</v>
      </c>
      <c r="C72">
        <v>1</v>
      </c>
      <c r="D72" s="169" t="s">
        <v>244</v>
      </c>
      <c r="E72">
        <v>1</v>
      </c>
      <c r="F72">
        <v>35</v>
      </c>
      <c r="G72">
        <f t="shared" si="2"/>
        <v>35</v>
      </c>
    </row>
    <row r="73" spans="1:7" ht="14.25" customHeight="1" x14ac:dyDescent="0.35">
      <c r="A73" s="168">
        <v>72</v>
      </c>
      <c r="B73" t="s">
        <v>1128</v>
      </c>
      <c r="C73">
        <v>1</v>
      </c>
      <c r="D73" s="169" t="s">
        <v>244</v>
      </c>
      <c r="E73">
        <v>1</v>
      </c>
      <c r="F73">
        <v>44.6</v>
      </c>
      <c r="G73">
        <f t="shared" si="2"/>
        <v>44.6</v>
      </c>
    </row>
    <row r="74" spans="1:7" ht="14.25" customHeight="1" x14ac:dyDescent="0.35">
      <c r="A74" s="168">
        <v>73</v>
      </c>
      <c r="B74" t="s">
        <v>1128</v>
      </c>
      <c r="C74">
        <v>1</v>
      </c>
      <c r="D74" s="169" t="s">
        <v>244</v>
      </c>
      <c r="E74">
        <v>1</v>
      </c>
      <c r="F74">
        <v>54.2</v>
      </c>
      <c r="G74">
        <f t="shared" si="2"/>
        <v>54.2</v>
      </c>
    </row>
    <row r="75" spans="1:7" ht="14.25" customHeight="1" x14ac:dyDescent="0.35">
      <c r="A75" s="168">
        <v>74</v>
      </c>
      <c r="B75" t="s">
        <v>1128</v>
      </c>
      <c r="C75">
        <v>1</v>
      </c>
      <c r="D75" s="169" t="s">
        <v>244</v>
      </c>
      <c r="E75">
        <v>1</v>
      </c>
      <c r="F75">
        <v>63.8</v>
      </c>
      <c r="G75">
        <f t="shared" si="2"/>
        <v>63.8</v>
      </c>
    </row>
    <row r="76" spans="1:7" ht="14.25" customHeight="1" x14ac:dyDescent="0.35">
      <c r="A76" s="168">
        <v>75</v>
      </c>
      <c r="B76" t="s">
        <v>1128</v>
      </c>
      <c r="C76">
        <v>1</v>
      </c>
      <c r="D76" s="169" t="s">
        <v>244</v>
      </c>
      <c r="E76">
        <v>1</v>
      </c>
      <c r="F76">
        <v>73.400000000000006</v>
      </c>
      <c r="G76">
        <f t="shared" si="2"/>
        <v>73.400000000000006</v>
      </c>
    </row>
    <row r="77" spans="1:7" ht="14.25" customHeight="1" x14ac:dyDescent="0.35">
      <c r="A77" s="168">
        <v>76</v>
      </c>
      <c r="B77" t="s">
        <v>1128</v>
      </c>
      <c r="C77">
        <v>1</v>
      </c>
      <c r="D77" s="169" t="s">
        <v>244</v>
      </c>
      <c r="E77">
        <v>1</v>
      </c>
      <c r="F77">
        <v>83.6</v>
      </c>
      <c r="G77">
        <f t="shared" si="2"/>
        <v>83.6</v>
      </c>
    </row>
    <row r="82" spans="10:11" ht="14.25" customHeight="1" x14ac:dyDescent="0.35">
      <c r="J82" s="169" t="s">
        <v>242</v>
      </c>
      <c r="K82">
        <f>SUM(G2:G65)</f>
        <v>775.88</v>
      </c>
    </row>
    <row r="83" spans="10:11" ht="14.25" customHeight="1" x14ac:dyDescent="0.35">
      <c r="J83" s="169" t="s">
        <v>244</v>
      </c>
      <c r="K83">
        <f>SUM(G66:G77)</f>
        <v>691.57999999999993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6"/>
  <sheetViews>
    <sheetView zoomScaleNormal="100" workbookViewId="0">
      <selection activeCell="B29" sqref="B29"/>
    </sheetView>
  </sheetViews>
  <sheetFormatPr defaultColWidth="8.7265625" defaultRowHeight="14.5" x14ac:dyDescent="0.35"/>
  <cols>
    <col min="2" max="2" width="28" customWidth="1"/>
    <col min="3" max="3" width="24.81640625" customWidth="1"/>
  </cols>
  <sheetData>
    <row r="1" spans="1:3" ht="14.25" customHeight="1" x14ac:dyDescent="0.35">
      <c r="A1" t="s">
        <v>17</v>
      </c>
      <c r="B1" t="s">
        <v>1129</v>
      </c>
      <c r="C1" t="s">
        <v>1130</v>
      </c>
    </row>
    <row r="2" spans="1:3" ht="14.25" customHeight="1" x14ac:dyDescent="0.35">
      <c r="A2" t="s">
        <v>653</v>
      </c>
      <c r="B2" t="s">
        <v>1131</v>
      </c>
      <c r="C2" t="str">
        <f t="shared" ref="C2:C16" si="0">_xlfn.CONCAT(A2,"-",B2)</f>
        <v>01.UG-Under Ground</v>
      </c>
    </row>
    <row r="3" spans="1:3" ht="14.25" customHeight="1" x14ac:dyDescent="0.35">
      <c r="A3" t="s">
        <v>664</v>
      </c>
      <c r="B3" t="s">
        <v>909</v>
      </c>
      <c r="C3" t="str">
        <f t="shared" si="0"/>
        <v>02.GF-Ground Floor</v>
      </c>
    </row>
    <row r="4" spans="1:3" ht="14.25" customHeight="1" x14ac:dyDescent="0.35">
      <c r="A4" t="s">
        <v>667</v>
      </c>
      <c r="B4" t="s">
        <v>1132</v>
      </c>
      <c r="C4" t="str">
        <f t="shared" si="0"/>
        <v>03.MZ-Mezzanine Floor</v>
      </c>
    </row>
    <row r="5" spans="1:3" ht="14.25" customHeight="1" x14ac:dyDescent="0.35">
      <c r="A5" t="s">
        <v>1133</v>
      </c>
      <c r="B5" t="s">
        <v>1134</v>
      </c>
      <c r="C5" t="str">
        <f t="shared" si="0"/>
        <v>04.L01-L01 Floor</v>
      </c>
    </row>
    <row r="6" spans="1:3" ht="14.25" customHeight="1" x14ac:dyDescent="0.35">
      <c r="A6" t="s">
        <v>1135</v>
      </c>
      <c r="B6" t="s">
        <v>1136</v>
      </c>
      <c r="C6" t="str">
        <f t="shared" si="0"/>
        <v>05.L02-L02 Floor</v>
      </c>
    </row>
    <row r="7" spans="1:3" ht="14.25" customHeight="1" x14ac:dyDescent="0.35">
      <c r="A7" t="s">
        <v>1137</v>
      </c>
      <c r="B7" t="s">
        <v>1138</v>
      </c>
      <c r="C7" t="str">
        <f t="shared" si="0"/>
        <v>06.L03-L03 Floor</v>
      </c>
    </row>
    <row r="8" spans="1:3" ht="14.25" customHeight="1" x14ac:dyDescent="0.35">
      <c r="A8" t="s">
        <v>1139</v>
      </c>
      <c r="B8" t="s">
        <v>1140</v>
      </c>
      <c r="C8" t="str">
        <f t="shared" si="0"/>
        <v>07.L04-L04 Floor</v>
      </c>
    </row>
    <row r="9" spans="1:3" ht="14.25" customHeight="1" x14ac:dyDescent="0.35">
      <c r="A9" t="s">
        <v>1141</v>
      </c>
      <c r="B9" t="s">
        <v>1142</v>
      </c>
      <c r="C9" t="str">
        <f t="shared" si="0"/>
        <v>08.L05-L05 Floor</v>
      </c>
    </row>
    <row r="10" spans="1:3" ht="14.25" customHeight="1" x14ac:dyDescent="0.35">
      <c r="A10" t="s">
        <v>1143</v>
      </c>
      <c r="B10" t="s">
        <v>1144</v>
      </c>
      <c r="C10" t="str">
        <f t="shared" si="0"/>
        <v>09.L06-L06 Floor</v>
      </c>
    </row>
    <row r="11" spans="1:3" ht="14.25" customHeight="1" x14ac:dyDescent="0.35">
      <c r="A11" t="s">
        <v>1145</v>
      </c>
      <c r="B11" t="s">
        <v>1146</v>
      </c>
      <c r="C11" t="str">
        <f t="shared" si="0"/>
        <v>10.L07-L07 Floor</v>
      </c>
    </row>
    <row r="12" spans="1:3" ht="14.25" customHeight="1" x14ac:dyDescent="0.35">
      <c r="A12" t="s">
        <v>1147</v>
      </c>
      <c r="B12" t="s">
        <v>1148</v>
      </c>
      <c r="C12" t="str">
        <f t="shared" si="0"/>
        <v>11.L08-L08 Floor</v>
      </c>
    </row>
    <row r="13" spans="1:3" ht="14.25" customHeight="1" x14ac:dyDescent="0.35">
      <c r="A13" t="s">
        <v>1149</v>
      </c>
      <c r="B13" t="s">
        <v>1150</v>
      </c>
      <c r="C13" t="str">
        <f t="shared" si="0"/>
        <v>12.L09-L09 Floor</v>
      </c>
    </row>
    <row r="14" spans="1:3" ht="14.25" customHeight="1" x14ac:dyDescent="0.35">
      <c r="A14" t="s">
        <v>1151</v>
      </c>
      <c r="B14" t="s">
        <v>1152</v>
      </c>
      <c r="C14" t="str">
        <f t="shared" si="0"/>
        <v>13.L10-L10 Floor</v>
      </c>
    </row>
    <row r="15" spans="1:3" ht="14.25" customHeight="1" x14ac:dyDescent="0.35">
      <c r="A15" t="s">
        <v>1153</v>
      </c>
      <c r="B15" t="s">
        <v>1154</v>
      </c>
      <c r="C15" t="str">
        <f t="shared" si="0"/>
        <v>05.LWR-Lower Roof Floor</v>
      </c>
    </row>
    <row r="16" spans="1:3" ht="14.25" customHeight="1" x14ac:dyDescent="0.35">
      <c r="A16" t="s">
        <v>1155</v>
      </c>
      <c r="B16" t="s">
        <v>1156</v>
      </c>
      <c r="C16" t="str">
        <f t="shared" si="0"/>
        <v>05.LRF-Roof Floor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7"/>
  <sheetViews>
    <sheetView topLeftCell="B1" zoomScaleNormal="100" workbookViewId="0">
      <selection activeCell="I22" sqref="I22"/>
    </sheetView>
  </sheetViews>
  <sheetFormatPr defaultColWidth="8.7265625" defaultRowHeight="14.5" x14ac:dyDescent="0.35"/>
  <cols>
    <col min="2" max="2" width="11.7265625" customWidth="1"/>
    <col min="3" max="3" width="15.26953125" customWidth="1"/>
    <col min="4" max="4" width="16" customWidth="1"/>
    <col min="5" max="5" width="17.26953125" customWidth="1"/>
    <col min="6" max="6" width="18.26953125" customWidth="1"/>
    <col min="7" max="7" width="14.453125" customWidth="1"/>
    <col min="8" max="8" width="13.7265625" customWidth="1"/>
    <col min="9" max="11" width="16" customWidth="1"/>
    <col min="12" max="12" width="13.26953125" customWidth="1"/>
    <col min="13" max="13" width="17.7265625" customWidth="1"/>
    <col min="14" max="14" width="13.1796875" customWidth="1"/>
    <col min="15" max="15" width="11.7265625" customWidth="1"/>
    <col min="16" max="16" width="11.453125" customWidth="1"/>
    <col min="17" max="17" width="18.7265625" customWidth="1"/>
    <col min="18" max="18" width="11" customWidth="1"/>
    <col min="19" max="19" width="12.26953125" customWidth="1"/>
    <col min="20" max="20" width="17.7265625" customWidth="1"/>
    <col min="21" max="21" width="11" customWidth="1"/>
  </cols>
  <sheetData>
    <row r="1" spans="1:21" ht="14.25" customHeight="1" x14ac:dyDescent="0.35">
      <c r="A1" t="s">
        <v>1157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1163</v>
      </c>
      <c r="H1" t="s">
        <v>1164</v>
      </c>
      <c r="I1" t="s">
        <v>1165</v>
      </c>
      <c r="J1" t="s">
        <v>1166</v>
      </c>
      <c r="K1" t="s">
        <v>1167</v>
      </c>
      <c r="L1" t="s">
        <v>1168</v>
      </c>
      <c r="M1" t="s">
        <v>1169</v>
      </c>
      <c r="N1" t="s">
        <v>1170</v>
      </c>
      <c r="O1" t="s">
        <v>1171</v>
      </c>
      <c r="P1" t="s">
        <v>1172</v>
      </c>
      <c r="Q1" t="s">
        <v>1173</v>
      </c>
      <c r="R1" t="s">
        <v>1170</v>
      </c>
      <c r="S1" t="s">
        <v>1174</v>
      </c>
      <c r="T1" t="s">
        <v>1175</v>
      </c>
      <c r="U1" t="s">
        <v>1170</v>
      </c>
    </row>
    <row r="2" spans="1:21" ht="14.25" customHeight="1" x14ac:dyDescent="0.35">
      <c r="A2" t="s">
        <v>1176</v>
      </c>
      <c r="B2" t="s">
        <v>1177</v>
      </c>
      <c r="C2">
        <v>0.25</v>
      </c>
      <c r="D2">
        <v>0.4</v>
      </c>
      <c r="E2">
        <v>56</v>
      </c>
      <c r="F2">
        <v>0.15</v>
      </c>
      <c r="G2">
        <f t="shared" ref="G2:G7" si="0">((C2+0.2)+(D2-F2)*2)*E2</f>
        <v>53.199999999999996</v>
      </c>
      <c r="H2">
        <f t="shared" ref="H2:H7" si="1">C2*(D2-F2)*E2</f>
        <v>3.5</v>
      </c>
      <c r="I2">
        <f t="shared" ref="I2:I9" si="2">(C2+0.2)*E2*0.05</f>
        <v>1.26</v>
      </c>
      <c r="J2">
        <f t="shared" ref="J2:J9" si="3">(C2+0.2)*E2*0.1</f>
        <v>2.52</v>
      </c>
      <c r="K2">
        <f t="shared" ref="K2:K9" si="4">(C2+0.2)*E2</f>
        <v>25.2</v>
      </c>
      <c r="L2">
        <v>16</v>
      </c>
      <c r="M2">
        <v>6</v>
      </c>
      <c r="N2">
        <f>1.578*M2*E2</f>
        <v>530.20799999999997</v>
      </c>
      <c r="O2">
        <v>8</v>
      </c>
      <c r="P2">
        <v>1.2</v>
      </c>
      <c r="Q2">
        <f t="shared" ref="Q2:Q7" si="5">E2/0.15</f>
        <v>373.33333333333337</v>
      </c>
      <c r="R2">
        <f>0.395*P2*Q2</f>
        <v>176.96</v>
      </c>
    </row>
    <row r="3" spans="1:21" ht="14.25" customHeight="1" x14ac:dyDescent="0.35">
      <c r="A3" t="s">
        <v>1176</v>
      </c>
      <c r="B3" t="s">
        <v>1178</v>
      </c>
      <c r="C3">
        <v>0.25</v>
      </c>
      <c r="D3">
        <v>0.5</v>
      </c>
      <c r="E3">
        <v>10.3</v>
      </c>
      <c r="F3">
        <v>0.2</v>
      </c>
      <c r="G3">
        <f t="shared" si="0"/>
        <v>10.815000000000001</v>
      </c>
      <c r="H3">
        <f t="shared" si="1"/>
        <v>0.77250000000000008</v>
      </c>
      <c r="I3">
        <f t="shared" si="2"/>
        <v>0.23175000000000004</v>
      </c>
      <c r="J3">
        <f t="shared" si="3"/>
        <v>0.46350000000000008</v>
      </c>
      <c r="K3">
        <f t="shared" si="4"/>
        <v>4.6350000000000007</v>
      </c>
      <c r="L3">
        <v>16</v>
      </c>
      <c r="M3">
        <v>8</v>
      </c>
      <c r="N3">
        <f>1.578*M3*E3</f>
        <v>130.02720000000002</v>
      </c>
      <c r="O3">
        <v>8</v>
      </c>
      <c r="P3">
        <f>1.4+0.4</f>
        <v>1.7999999999999998</v>
      </c>
      <c r="Q3">
        <f t="shared" si="5"/>
        <v>68.666666666666671</v>
      </c>
      <c r="R3">
        <f>0.395*P3*Q3</f>
        <v>48.822000000000003</v>
      </c>
      <c r="S3">
        <v>12</v>
      </c>
      <c r="T3">
        <v>2</v>
      </c>
      <c r="U3">
        <f>0.888*T3*E3</f>
        <v>18.2928</v>
      </c>
    </row>
    <row r="4" spans="1:21" ht="14.25" customHeight="1" x14ac:dyDescent="0.35">
      <c r="A4" t="s">
        <v>1176</v>
      </c>
      <c r="B4" t="s">
        <v>1179</v>
      </c>
      <c r="C4">
        <v>0.3</v>
      </c>
      <c r="D4">
        <v>0.5</v>
      </c>
      <c r="E4">
        <v>40</v>
      </c>
      <c r="F4">
        <v>0.15</v>
      </c>
      <c r="G4">
        <f t="shared" si="0"/>
        <v>48</v>
      </c>
      <c r="H4">
        <f t="shared" si="1"/>
        <v>4.2</v>
      </c>
      <c r="I4">
        <f t="shared" si="2"/>
        <v>1</v>
      </c>
      <c r="J4">
        <f t="shared" si="3"/>
        <v>2</v>
      </c>
      <c r="K4">
        <f t="shared" si="4"/>
        <v>20</v>
      </c>
      <c r="L4">
        <v>20</v>
      </c>
      <c r="M4">
        <v>8</v>
      </c>
      <c r="N4">
        <f>2.466*M4*E4</f>
        <v>789.12000000000012</v>
      </c>
      <c r="O4">
        <v>8</v>
      </c>
      <c r="P4">
        <f>1.4+0.64+0.44</f>
        <v>2.48</v>
      </c>
      <c r="Q4">
        <f t="shared" si="5"/>
        <v>266.66666666666669</v>
      </c>
      <c r="R4">
        <f>0.395*P4*Q4</f>
        <v>261.22666666666669</v>
      </c>
      <c r="S4">
        <v>12</v>
      </c>
      <c r="T4">
        <v>2</v>
      </c>
      <c r="U4">
        <f>0.888*T4*E4</f>
        <v>71.040000000000006</v>
      </c>
    </row>
    <row r="5" spans="1:21" ht="14.25" customHeight="1" x14ac:dyDescent="0.35">
      <c r="A5" t="s">
        <v>1176</v>
      </c>
      <c r="B5" t="s">
        <v>1180</v>
      </c>
      <c r="C5">
        <v>0.3</v>
      </c>
      <c r="D5">
        <v>0.6</v>
      </c>
      <c r="E5">
        <v>7.75</v>
      </c>
      <c r="F5">
        <v>0.2</v>
      </c>
      <c r="G5">
        <f t="shared" si="0"/>
        <v>10.074999999999999</v>
      </c>
      <c r="H5">
        <f t="shared" si="1"/>
        <v>0.92999999999999983</v>
      </c>
      <c r="I5">
        <f t="shared" si="2"/>
        <v>0.19375000000000001</v>
      </c>
      <c r="J5">
        <f t="shared" si="3"/>
        <v>0.38750000000000001</v>
      </c>
      <c r="K5">
        <f t="shared" si="4"/>
        <v>3.875</v>
      </c>
      <c r="L5">
        <v>20</v>
      </c>
      <c r="M5">
        <v>10</v>
      </c>
      <c r="N5">
        <f>2.466*M5*E5</f>
        <v>191.11500000000004</v>
      </c>
      <c r="O5">
        <v>10</v>
      </c>
      <c r="P5">
        <f>1.6+0.75+0.5+0.5</f>
        <v>3.35</v>
      </c>
      <c r="Q5">
        <f t="shared" si="5"/>
        <v>51.666666666666671</v>
      </c>
      <c r="R5">
        <f>0.617*P5*Q5</f>
        <v>106.79241666666667</v>
      </c>
      <c r="S5">
        <v>12</v>
      </c>
      <c r="T5">
        <v>2</v>
      </c>
      <c r="U5">
        <f>0.888*T5*E5</f>
        <v>13.763999999999999</v>
      </c>
    </row>
    <row r="6" spans="1:21" ht="14.25" customHeight="1" x14ac:dyDescent="0.35">
      <c r="A6" t="s">
        <v>1176</v>
      </c>
      <c r="B6" t="s">
        <v>1181</v>
      </c>
      <c r="C6">
        <v>0.4</v>
      </c>
      <c r="D6">
        <v>0.6</v>
      </c>
      <c r="E6">
        <v>40.1</v>
      </c>
      <c r="F6">
        <v>0.2</v>
      </c>
      <c r="G6">
        <f t="shared" si="0"/>
        <v>56.14</v>
      </c>
      <c r="H6">
        <f t="shared" si="1"/>
        <v>6.4160000000000004</v>
      </c>
      <c r="I6">
        <f t="shared" si="2"/>
        <v>1.2030000000000003</v>
      </c>
      <c r="J6">
        <f t="shared" si="3"/>
        <v>2.4060000000000006</v>
      </c>
      <c r="K6">
        <f t="shared" si="4"/>
        <v>24.060000000000006</v>
      </c>
      <c r="L6">
        <v>20</v>
      </c>
      <c r="M6">
        <v>10</v>
      </c>
      <c r="N6">
        <f>2.466*M6*E6</f>
        <v>988.86600000000021</v>
      </c>
      <c r="O6">
        <v>10</v>
      </c>
      <c r="P6">
        <f>1.8+1.4+0.6+0.6</f>
        <v>4.4000000000000004</v>
      </c>
      <c r="Q6">
        <f t="shared" si="5"/>
        <v>267.33333333333337</v>
      </c>
      <c r="R6">
        <f>0.617*P6*Q6</f>
        <v>725.75653333333355</v>
      </c>
      <c r="S6">
        <v>12</v>
      </c>
      <c r="T6">
        <v>2</v>
      </c>
      <c r="U6">
        <f>0.888*T6*E6</f>
        <v>71.217600000000004</v>
      </c>
    </row>
    <row r="7" spans="1:21" ht="14.25" customHeight="1" x14ac:dyDescent="0.35">
      <c r="A7" t="s">
        <v>1176</v>
      </c>
      <c r="B7" t="s">
        <v>1182</v>
      </c>
      <c r="C7">
        <v>0.4</v>
      </c>
      <c r="D7">
        <v>0.7</v>
      </c>
      <c r="E7">
        <v>113</v>
      </c>
      <c r="F7">
        <v>0.2</v>
      </c>
      <c r="G7">
        <f t="shared" si="0"/>
        <v>180.8</v>
      </c>
      <c r="H7">
        <f t="shared" si="1"/>
        <v>22.599999999999998</v>
      </c>
      <c r="I7">
        <f t="shared" si="2"/>
        <v>3.3900000000000006</v>
      </c>
      <c r="J7">
        <f t="shared" si="3"/>
        <v>6.7800000000000011</v>
      </c>
      <c r="K7">
        <f t="shared" si="4"/>
        <v>67.800000000000011</v>
      </c>
      <c r="L7">
        <v>20</v>
      </c>
      <c r="M7">
        <v>12</v>
      </c>
      <c r="N7">
        <f>2.466*M7*E7</f>
        <v>3343.8960000000002</v>
      </c>
      <c r="O7">
        <v>10</v>
      </c>
      <c r="P7">
        <f>1.8+1.4+0.6+0.6</f>
        <v>4.4000000000000004</v>
      </c>
      <c r="Q7">
        <f t="shared" si="5"/>
        <v>753.33333333333337</v>
      </c>
      <c r="R7">
        <f>0.617*P7*Q7</f>
        <v>2045.1493333333337</v>
      </c>
      <c r="S7">
        <v>16</v>
      </c>
      <c r="T7">
        <v>2</v>
      </c>
      <c r="U7">
        <f>1.578*T7*E7</f>
        <v>356.62800000000004</v>
      </c>
    </row>
    <row r="8" spans="1:21" ht="14.25" customHeight="1" x14ac:dyDescent="0.35">
      <c r="A8" t="s">
        <v>1176</v>
      </c>
      <c r="B8" t="s">
        <v>1183</v>
      </c>
      <c r="C8">
        <v>0.2</v>
      </c>
      <c r="D8">
        <v>0.4</v>
      </c>
      <c r="E8">
        <v>0</v>
      </c>
      <c r="F8">
        <v>0.2</v>
      </c>
      <c r="G8">
        <f>((C8+0.2)+(D8-F8)*2)*E9</f>
        <v>0</v>
      </c>
      <c r="H8">
        <f>C8*(D8-F8)*E9</f>
        <v>0</v>
      </c>
      <c r="I8">
        <f t="shared" si="2"/>
        <v>0</v>
      </c>
      <c r="J8">
        <f t="shared" si="3"/>
        <v>0</v>
      </c>
      <c r="K8">
        <f t="shared" si="4"/>
        <v>0</v>
      </c>
    </row>
    <row r="9" spans="1:21" ht="14.25" customHeight="1" x14ac:dyDescent="0.35">
      <c r="A9" t="s">
        <v>1176</v>
      </c>
      <c r="B9" t="s">
        <v>1184</v>
      </c>
      <c r="C9">
        <v>0.4</v>
      </c>
      <c r="D9">
        <v>0.7</v>
      </c>
      <c r="E9">
        <v>0</v>
      </c>
      <c r="F9">
        <v>0.2</v>
      </c>
      <c r="G9">
        <f>((C9+0.2)+(D9-F9)*2)*E10</f>
        <v>0</v>
      </c>
      <c r="H9">
        <f>C9*(D9-F9)*E10</f>
        <v>0</v>
      </c>
      <c r="I9">
        <f t="shared" si="2"/>
        <v>0</v>
      </c>
      <c r="J9">
        <f t="shared" si="3"/>
        <v>0</v>
      </c>
      <c r="K9">
        <f t="shared" si="4"/>
        <v>0</v>
      </c>
    </row>
    <row r="10" spans="1:21" ht="14.25" customHeight="1" x14ac:dyDescent="0.35">
      <c r="G10">
        <f>SUM(G2:G9)</f>
        <v>359.03000000000003</v>
      </c>
      <c r="H10">
        <f>SUM(H2:H9)</f>
        <v>38.418499999999995</v>
      </c>
      <c r="I10">
        <f>SUM(I2:I9)</f>
        <v>7.2785000000000011</v>
      </c>
      <c r="J10">
        <f>SUM(J2:J9)</f>
        <v>14.557000000000002</v>
      </c>
      <c r="K10">
        <f>SUM(K2:K9)</f>
        <v>145.57000000000002</v>
      </c>
    </row>
    <row r="13" spans="1:21" ht="14.25" customHeight="1" x14ac:dyDescent="0.35">
      <c r="L13">
        <v>8</v>
      </c>
      <c r="M13">
        <f>R2+R3+R4</f>
        <v>487.00866666666673</v>
      </c>
      <c r="O13">
        <f>M13/$H$10</f>
        <v>12.676410236387854</v>
      </c>
    </row>
    <row r="14" spans="1:21" ht="14.25" customHeight="1" x14ac:dyDescent="0.35">
      <c r="L14">
        <v>10</v>
      </c>
      <c r="M14">
        <f>Q5+Q6+Q7</f>
        <v>1072.3333333333335</v>
      </c>
      <c r="O14">
        <f>M14/$H$10</f>
        <v>27.911900082859393</v>
      </c>
    </row>
    <row r="15" spans="1:21" ht="14.25" customHeight="1" x14ac:dyDescent="0.35">
      <c r="L15">
        <v>12</v>
      </c>
      <c r="M15">
        <f>U3+U4+U5+U6</f>
        <v>174.31440000000001</v>
      </c>
      <c r="O15">
        <f>M15/$H$10</f>
        <v>4.5372515845230819</v>
      </c>
    </row>
    <row r="16" spans="1:21" ht="14.25" customHeight="1" x14ac:dyDescent="0.35">
      <c r="L16">
        <v>16</v>
      </c>
      <c r="M16">
        <f>U7+N2+N3</f>
        <v>1016.8632</v>
      </c>
      <c r="O16">
        <f>M16/$H$10</f>
        <v>26.468060960214483</v>
      </c>
    </row>
    <row r="17" spans="12:15" ht="14.25" customHeight="1" x14ac:dyDescent="0.35">
      <c r="L17">
        <v>20</v>
      </c>
      <c r="M17">
        <f>N4+N5+N6+N7</f>
        <v>5312.9970000000003</v>
      </c>
      <c r="O17">
        <f>M17/$H$10</f>
        <v>138.29267149940787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20"/>
  <sheetViews>
    <sheetView zoomScale="80" zoomScaleNormal="80" workbookViewId="0">
      <selection activeCell="D41" sqref="D41"/>
    </sheetView>
  </sheetViews>
  <sheetFormatPr defaultColWidth="8.7265625" defaultRowHeight="14.5" x14ac:dyDescent="0.35"/>
  <cols>
    <col min="1" max="1" width="9.1796875" style="168" customWidth="1"/>
    <col min="2" max="2" width="12.54296875" customWidth="1"/>
    <col min="3" max="3" width="15.26953125" customWidth="1"/>
    <col min="4" max="4" width="16" customWidth="1"/>
    <col min="5" max="5" width="17.26953125" customWidth="1"/>
    <col min="6" max="6" width="19.453125" customWidth="1"/>
    <col min="7" max="7" width="15.7265625" customWidth="1"/>
    <col min="8" max="8" width="14.54296875" customWidth="1"/>
    <col min="9" max="9" width="14.453125" customWidth="1"/>
    <col min="10" max="10" width="19.81640625" customWidth="1"/>
    <col min="11" max="11" width="12" customWidth="1"/>
    <col min="12" max="12" width="7.7265625" customWidth="1"/>
    <col min="13" max="13" width="10.7265625" customWidth="1"/>
    <col min="14" max="14" width="20.7265625" customWidth="1"/>
    <col min="15" max="15" width="13" customWidth="1"/>
    <col min="16" max="16" width="7.7265625" customWidth="1"/>
    <col min="17" max="17" width="10.7265625" customWidth="1"/>
    <col min="18" max="18" width="20.7265625" customWidth="1"/>
    <col min="19" max="19" width="12" customWidth="1"/>
    <col min="20" max="20" width="13.54296875" customWidth="1"/>
    <col min="21" max="21" width="19.1796875" customWidth="1"/>
    <col min="22" max="22" width="12" customWidth="1"/>
  </cols>
  <sheetData>
    <row r="1" spans="1:22" ht="14.25" customHeight="1" x14ac:dyDescent="0.35">
      <c r="A1" s="215" t="s">
        <v>1185</v>
      </c>
      <c r="B1" s="215"/>
      <c r="C1" s="215"/>
      <c r="D1" s="215"/>
      <c r="E1" s="215"/>
      <c r="F1" s="215"/>
    </row>
    <row r="2" spans="1:22" ht="14.25" customHeight="1" x14ac:dyDescent="0.35">
      <c r="A2" s="170" t="s">
        <v>1157</v>
      </c>
      <c r="B2" s="69" t="s">
        <v>1158</v>
      </c>
      <c r="C2" s="69" t="s">
        <v>1159</v>
      </c>
      <c r="D2" s="69" t="s">
        <v>1160</v>
      </c>
      <c r="E2" s="69" t="s">
        <v>1161</v>
      </c>
      <c r="F2" s="69" t="s">
        <v>1162</v>
      </c>
      <c r="G2" s="69" t="s">
        <v>1163</v>
      </c>
      <c r="H2" s="69" t="s">
        <v>1164</v>
      </c>
      <c r="I2" s="69" t="s">
        <v>1168</v>
      </c>
      <c r="J2" s="69" t="s">
        <v>1169</v>
      </c>
      <c r="K2" s="171" t="s">
        <v>1170</v>
      </c>
      <c r="L2" s="171" t="s">
        <v>1171</v>
      </c>
      <c r="M2" s="171" t="s">
        <v>1172</v>
      </c>
      <c r="N2" s="69" t="s">
        <v>1173</v>
      </c>
      <c r="O2" s="69" t="s">
        <v>1170</v>
      </c>
      <c r="P2" s="171" t="s">
        <v>1186</v>
      </c>
      <c r="Q2" s="171" t="s">
        <v>1172</v>
      </c>
      <c r="R2" s="69" t="s">
        <v>1173</v>
      </c>
      <c r="S2" s="69" t="s">
        <v>1170</v>
      </c>
      <c r="T2" s="69" t="s">
        <v>1174</v>
      </c>
      <c r="U2" s="69" t="s">
        <v>1175</v>
      </c>
      <c r="V2" s="69" t="s">
        <v>1170</v>
      </c>
    </row>
    <row r="3" spans="1:22" ht="14.25" customHeight="1" x14ac:dyDescent="0.35">
      <c r="A3" s="170" t="s">
        <v>1187</v>
      </c>
      <c r="B3" s="69" t="s">
        <v>1177</v>
      </c>
      <c r="C3" s="172">
        <v>0.25</v>
      </c>
      <c r="D3" s="172">
        <v>0.4</v>
      </c>
      <c r="E3" s="172">
        <v>79</v>
      </c>
      <c r="F3" s="172">
        <v>0.15</v>
      </c>
      <c r="G3" s="69">
        <f t="shared" ref="G3:G10" si="0">((C3+0.2)+(D3-F3)*2)*E3</f>
        <v>75.05</v>
      </c>
      <c r="H3" s="69">
        <f t="shared" ref="H3:H10" si="1">C3*(D3-F3)*E3</f>
        <v>4.9375</v>
      </c>
      <c r="I3" s="172">
        <v>16</v>
      </c>
      <c r="J3" s="172">
        <v>6</v>
      </c>
      <c r="K3" s="69">
        <f>J3*E3*'rebar weight'!G4</f>
        <v>747.97199999999998</v>
      </c>
      <c r="L3" s="172">
        <v>8</v>
      </c>
      <c r="M3" s="172">
        <v>1.2</v>
      </c>
      <c r="N3" s="173">
        <f t="shared" ref="N3:N10" si="2">E3/0.15</f>
        <v>526.66666666666674</v>
      </c>
      <c r="O3" s="174">
        <f>M3*N3*'rebar weight'!C4</f>
        <v>249.64000000000004</v>
      </c>
      <c r="P3" s="172">
        <v>0</v>
      </c>
      <c r="Q3" s="172">
        <v>0</v>
      </c>
      <c r="R3" s="173">
        <f>E3/0.15</f>
        <v>526.66666666666674</v>
      </c>
      <c r="S3" s="174">
        <f>0.395*Q3*R3</f>
        <v>0</v>
      </c>
      <c r="T3" s="172">
        <v>0</v>
      </c>
      <c r="U3" s="172">
        <v>0</v>
      </c>
      <c r="V3" s="69">
        <f>'rebar weight'!E3*U3*E3</f>
        <v>0</v>
      </c>
    </row>
    <row r="4" spans="1:22" ht="14.25" customHeight="1" x14ac:dyDescent="0.35">
      <c r="A4" s="170" t="s">
        <v>1187</v>
      </c>
      <c r="B4" s="69" t="s">
        <v>1178</v>
      </c>
      <c r="C4" s="172">
        <v>0.25</v>
      </c>
      <c r="D4" s="172">
        <v>0.5</v>
      </c>
      <c r="E4" s="172">
        <v>28</v>
      </c>
      <c r="F4" s="172">
        <v>0.15</v>
      </c>
      <c r="G4" s="69">
        <f t="shared" si="0"/>
        <v>32.199999999999996</v>
      </c>
      <c r="H4" s="69">
        <f t="shared" si="1"/>
        <v>2.4499999999999997</v>
      </c>
      <c r="I4" s="172">
        <v>16</v>
      </c>
      <c r="J4" s="172">
        <v>10</v>
      </c>
      <c r="K4" s="69">
        <f>'rebar weight'!G4*J4*E4</f>
        <v>441.84000000000003</v>
      </c>
      <c r="L4" s="172">
        <v>8</v>
      </c>
      <c r="M4" s="172">
        <f>1.4</f>
        <v>1.4</v>
      </c>
      <c r="N4" s="173">
        <f t="shared" si="2"/>
        <v>186.66666666666669</v>
      </c>
      <c r="O4" s="174">
        <f>0.395*M4*N4</f>
        <v>103.22666666666666</v>
      </c>
      <c r="P4" s="172">
        <v>8</v>
      </c>
      <c r="Q4" s="172">
        <f>0.4</f>
        <v>0.4</v>
      </c>
      <c r="R4" s="173">
        <f>E4/0.15</f>
        <v>186.66666666666669</v>
      </c>
      <c r="S4" s="174">
        <f>0.395*Q4*R4</f>
        <v>29.493333333333343</v>
      </c>
      <c r="T4" s="172">
        <v>12</v>
      </c>
      <c r="U4" s="172">
        <v>2</v>
      </c>
      <c r="V4" s="69">
        <f>'rebar weight'!E4*U4*E4</f>
        <v>49.728000000000002</v>
      </c>
    </row>
    <row r="5" spans="1:22" ht="14.25" customHeight="1" x14ac:dyDescent="0.35">
      <c r="A5" s="170" t="s">
        <v>1187</v>
      </c>
      <c r="B5" s="69" t="s">
        <v>1179</v>
      </c>
      <c r="C5" s="172">
        <v>0.3</v>
      </c>
      <c r="D5" s="172">
        <v>0.5</v>
      </c>
      <c r="E5" s="172">
        <v>12</v>
      </c>
      <c r="F5" s="172">
        <v>0.15</v>
      </c>
      <c r="G5" s="69">
        <f t="shared" si="0"/>
        <v>14.399999999999999</v>
      </c>
      <c r="H5" s="69">
        <f t="shared" si="1"/>
        <v>1.26</v>
      </c>
      <c r="I5" s="172">
        <v>20</v>
      </c>
      <c r="J5" s="172">
        <v>10</v>
      </c>
      <c r="K5" s="69">
        <f>'rebar weight'!H4*J5*E5</f>
        <v>295.92000000000007</v>
      </c>
      <c r="L5" s="172">
        <v>8</v>
      </c>
      <c r="M5" s="172">
        <f>1.5</f>
        <v>1.5</v>
      </c>
      <c r="N5" s="69">
        <f t="shared" si="2"/>
        <v>80</v>
      </c>
      <c r="O5" s="174">
        <f>'rebar weight'!C4*M5*N5</f>
        <v>47.400000000000006</v>
      </c>
      <c r="P5" s="172">
        <v>8</v>
      </c>
      <c r="Q5" s="172">
        <f>0.64+0.5</f>
        <v>1.1400000000000001</v>
      </c>
      <c r="R5" s="173">
        <f>E5/0.15</f>
        <v>80</v>
      </c>
      <c r="S5" s="174">
        <f>0.395*Q5*R5</f>
        <v>36.024000000000008</v>
      </c>
      <c r="T5" s="172">
        <v>12</v>
      </c>
      <c r="U5" s="172">
        <v>2</v>
      </c>
      <c r="V5" s="69">
        <f>0.888*U5*E5</f>
        <v>21.312000000000001</v>
      </c>
    </row>
    <row r="6" spans="1:22" ht="14.25" customHeight="1" x14ac:dyDescent="0.35">
      <c r="A6" s="170" t="s">
        <v>1187</v>
      </c>
      <c r="B6" s="69" t="s">
        <v>1180</v>
      </c>
      <c r="C6" s="172">
        <v>0</v>
      </c>
      <c r="D6" s="172">
        <v>0</v>
      </c>
      <c r="E6" s="172">
        <v>0</v>
      </c>
      <c r="F6" s="172">
        <v>0.15</v>
      </c>
      <c r="G6" s="69">
        <f t="shared" si="0"/>
        <v>0</v>
      </c>
      <c r="H6" s="69">
        <f t="shared" si="1"/>
        <v>0</v>
      </c>
      <c r="I6" s="172">
        <v>20</v>
      </c>
      <c r="J6" s="172">
        <v>10</v>
      </c>
      <c r="K6" s="69">
        <f>2.466*J6*E6</f>
        <v>0</v>
      </c>
      <c r="L6" s="172">
        <v>10</v>
      </c>
      <c r="M6" s="172">
        <f>1.6+0.75+0.5+0.5</f>
        <v>3.35</v>
      </c>
      <c r="N6" s="69">
        <f t="shared" si="2"/>
        <v>0</v>
      </c>
      <c r="O6" s="174">
        <f>0.617*M6*N6</f>
        <v>0</v>
      </c>
      <c r="P6" s="172">
        <v>10</v>
      </c>
      <c r="Q6" s="172">
        <f>1.6+0.75+0.5+0.5</f>
        <v>3.35</v>
      </c>
      <c r="R6" s="173">
        <f>E6/0.15</f>
        <v>0</v>
      </c>
      <c r="S6" s="174">
        <f>0.617*Q6*R6</f>
        <v>0</v>
      </c>
      <c r="T6" s="172">
        <v>12</v>
      </c>
      <c r="U6" s="172">
        <v>2</v>
      </c>
      <c r="V6" s="69">
        <f>0.888*U6*E6</f>
        <v>0</v>
      </c>
    </row>
    <row r="7" spans="1:22" ht="14.25" customHeight="1" x14ac:dyDescent="0.35">
      <c r="A7" s="170" t="s">
        <v>1187</v>
      </c>
      <c r="B7" s="69" t="s">
        <v>1181</v>
      </c>
      <c r="C7" s="172">
        <v>0.4</v>
      </c>
      <c r="D7" s="172">
        <v>0.6</v>
      </c>
      <c r="E7" s="172">
        <v>42</v>
      </c>
      <c r="F7" s="172">
        <v>0.15</v>
      </c>
      <c r="G7" s="69">
        <f t="shared" si="0"/>
        <v>63</v>
      </c>
      <c r="H7" s="69">
        <f t="shared" si="1"/>
        <v>7.56</v>
      </c>
      <c r="I7" s="172">
        <v>20</v>
      </c>
      <c r="J7" s="172">
        <v>16</v>
      </c>
      <c r="K7" s="69">
        <f>'rebar weight'!H4*J7*E7</f>
        <v>1657.152</v>
      </c>
      <c r="L7" s="172">
        <v>10</v>
      </c>
      <c r="M7" s="172">
        <f>2+1.5</f>
        <v>3.5</v>
      </c>
      <c r="N7" s="69">
        <f t="shared" si="2"/>
        <v>280</v>
      </c>
      <c r="O7" s="174">
        <f>0.617*M7*N7</f>
        <v>604.66</v>
      </c>
      <c r="P7" s="172">
        <v>10</v>
      </c>
      <c r="Q7" s="172">
        <f>0.6+0.6</f>
        <v>1.2</v>
      </c>
      <c r="R7" s="173">
        <f>E7/0.3</f>
        <v>140</v>
      </c>
      <c r="S7" s="174">
        <f>0.617*Q7*R7</f>
        <v>103.65599999999999</v>
      </c>
      <c r="T7" s="172">
        <v>16</v>
      </c>
      <c r="U7" s="172">
        <v>2</v>
      </c>
      <c r="V7" s="69">
        <f>'rebar weight'!G4*U7*E7</f>
        <v>132.55199999999999</v>
      </c>
    </row>
    <row r="8" spans="1:22" ht="14.25" customHeight="1" x14ac:dyDescent="0.35">
      <c r="A8" s="170" t="s">
        <v>1187</v>
      </c>
      <c r="B8" s="69" t="s">
        <v>1182</v>
      </c>
      <c r="C8" s="172">
        <v>0.4</v>
      </c>
      <c r="D8" s="172">
        <v>0.7</v>
      </c>
      <c r="E8" s="172">
        <v>70</v>
      </c>
      <c r="F8" s="172">
        <v>0.15</v>
      </c>
      <c r="G8" s="69">
        <f t="shared" si="0"/>
        <v>119</v>
      </c>
      <c r="H8" s="69">
        <f t="shared" si="1"/>
        <v>15.399999999999999</v>
      </c>
      <c r="I8" s="172">
        <v>25</v>
      </c>
      <c r="J8" s="172">
        <v>16</v>
      </c>
      <c r="K8" s="69">
        <f>'rebar weight'!I4*J8*E8</f>
        <v>4315.3600000000006</v>
      </c>
      <c r="L8" s="172">
        <v>10</v>
      </c>
      <c r="M8" s="172">
        <f>2+1.5</f>
        <v>3.5</v>
      </c>
      <c r="N8" s="173">
        <f t="shared" si="2"/>
        <v>466.66666666666669</v>
      </c>
      <c r="O8" s="174">
        <f>0.617*M8*N8</f>
        <v>1007.7666666666667</v>
      </c>
      <c r="P8" s="172">
        <v>10</v>
      </c>
      <c r="Q8" s="172">
        <f>0.6+0.6</f>
        <v>1.2</v>
      </c>
      <c r="R8" s="173">
        <f>E8/0.3</f>
        <v>233.33333333333334</v>
      </c>
      <c r="S8" s="174">
        <f>0.617*Q8*R8</f>
        <v>172.76</v>
      </c>
      <c r="T8" s="172">
        <v>16</v>
      </c>
      <c r="U8" s="172">
        <v>2</v>
      </c>
      <c r="V8" s="69">
        <f>'rebar weight'!G4*U8*E8</f>
        <v>220.92000000000002</v>
      </c>
    </row>
    <row r="9" spans="1:22" ht="14.25" customHeight="1" x14ac:dyDescent="0.35">
      <c r="A9" s="170" t="s">
        <v>1187</v>
      </c>
      <c r="B9" s="69" t="s">
        <v>1183</v>
      </c>
      <c r="C9" s="172">
        <v>0.2</v>
      </c>
      <c r="D9" s="172">
        <v>0.4</v>
      </c>
      <c r="E9" s="172">
        <v>0</v>
      </c>
      <c r="F9" s="172">
        <v>0.15</v>
      </c>
      <c r="G9" s="69">
        <f t="shared" si="0"/>
        <v>0</v>
      </c>
      <c r="H9" s="69">
        <f t="shared" si="1"/>
        <v>0</v>
      </c>
      <c r="I9" s="172">
        <v>0</v>
      </c>
      <c r="J9" s="172">
        <v>0</v>
      </c>
      <c r="K9" s="69">
        <f>2.466*J9*E9</f>
        <v>0</v>
      </c>
      <c r="L9" s="172"/>
      <c r="M9" s="172"/>
      <c r="N9" s="69">
        <f t="shared" si="2"/>
        <v>0</v>
      </c>
      <c r="O9" s="174">
        <f>0.617*M9*N9</f>
        <v>0</v>
      </c>
      <c r="P9" s="172"/>
      <c r="Q9" s="172"/>
      <c r="R9" s="173">
        <f>E9/0.15</f>
        <v>0</v>
      </c>
      <c r="S9" s="174">
        <f>0.617*Q9*R9</f>
        <v>0</v>
      </c>
      <c r="T9" s="172"/>
      <c r="U9" s="172"/>
      <c r="V9" s="69">
        <f>1.578*U9*E9</f>
        <v>0</v>
      </c>
    </row>
    <row r="10" spans="1:22" ht="14.25" customHeight="1" x14ac:dyDescent="0.35">
      <c r="A10" s="170" t="s">
        <v>1187</v>
      </c>
      <c r="B10" s="69" t="s">
        <v>1184</v>
      </c>
      <c r="C10" s="172">
        <v>0.4</v>
      </c>
      <c r="D10" s="172">
        <v>0.7</v>
      </c>
      <c r="E10" s="172">
        <v>9.1</v>
      </c>
      <c r="F10" s="172">
        <v>0.15</v>
      </c>
      <c r="G10" s="69">
        <f t="shared" si="0"/>
        <v>15.469999999999999</v>
      </c>
      <c r="H10" s="69">
        <f t="shared" si="1"/>
        <v>2.0019999999999998</v>
      </c>
      <c r="I10" s="172">
        <v>25</v>
      </c>
      <c r="J10" s="172">
        <v>16</v>
      </c>
      <c r="K10" s="69">
        <f>'rebar weight'!I4*J10*E10</f>
        <v>560.99680000000001</v>
      </c>
      <c r="L10" s="172">
        <v>12</v>
      </c>
      <c r="M10" s="172">
        <f>2.2+1.7</f>
        <v>3.9000000000000004</v>
      </c>
      <c r="N10" s="173">
        <f t="shared" si="2"/>
        <v>60.666666666666664</v>
      </c>
      <c r="O10" s="174">
        <f>'rebar weight'!E4*M10*N10</f>
        <v>210.10080000000002</v>
      </c>
      <c r="P10" s="172">
        <v>10</v>
      </c>
      <c r="Q10" s="172">
        <f>0.55+0.55+0.55</f>
        <v>1.6500000000000001</v>
      </c>
      <c r="R10" s="173">
        <f>E10/0.3</f>
        <v>30.333333333333332</v>
      </c>
      <c r="S10" s="174">
        <f>'rebar weight'!D4*Q10*R10</f>
        <v>30.880850000000002</v>
      </c>
      <c r="T10" s="172">
        <v>16</v>
      </c>
      <c r="U10" s="172">
        <v>4</v>
      </c>
      <c r="V10" s="69">
        <f>'rebar weight'!G4*U10*E10</f>
        <v>57.4392</v>
      </c>
    </row>
    <row r="11" spans="1:22" ht="14.25" customHeight="1" x14ac:dyDescent="0.35">
      <c r="G11">
        <f>SUM(G3:G10)</f>
        <v>319.12</v>
      </c>
      <c r="H11">
        <f>SUM(H3:H10)</f>
        <v>33.609499999999997</v>
      </c>
    </row>
    <row r="14" spans="1:22" ht="14.25" customHeight="1" x14ac:dyDescent="0.35">
      <c r="I14">
        <v>8</v>
      </c>
      <c r="J14" s="175">
        <f>O3+O4+O5+S3+S4+S5</f>
        <v>465.78399999999999</v>
      </c>
      <c r="K14" s="175">
        <f t="shared" ref="K14:K19" si="3">J14/$H$11</f>
        <v>13.858700664990554</v>
      </c>
    </row>
    <row r="15" spans="1:22" ht="14.25" customHeight="1" x14ac:dyDescent="0.35">
      <c r="I15">
        <v>10</v>
      </c>
      <c r="J15" s="175">
        <f>O6+O7+O8+R6+R7+R8+R9+R10</f>
        <v>2016.0933333333332</v>
      </c>
      <c r="K15" s="175">
        <f t="shared" si="3"/>
        <v>59.985817501995967</v>
      </c>
    </row>
    <row r="16" spans="1:22" ht="14.25" customHeight="1" x14ac:dyDescent="0.35">
      <c r="I16">
        <v>12</v>
      </c>
      <c r="J16" s="175">
        <f>O10+V4+V5+V6</f>
        <v>281.14080000000001</v>
      </c>
      <c r="K16" s="175">
        <f t="shared" si="3"/>
        <v>8.3649206325592473</v>
      </c>
    </row>
    <row r="17" spans="9:11" ht="14.25" customHeight="1" x14ac:dyDescent="0.35">
      <c r="I17">
        <v>16</v>
      </c>
      <c r="J17" s="175">
        <f>K3+K4+V7+V8+V10</f>
        <v>1600.7231999999999</v>
      </c>
      <c r="K17" s="175">
        <f t="shared" si="3"/>
        <v>47.627105431500027</v>
      </c>
    </row>
    <row r="18" spans="9:11" ht="14.25" customHeight="1" x14ac:dyDescent="0.35">
      <c r="I18">
        <v>20</v>
      </c>
      <c r="J18" s="175">
        <f>K5+K6+K7</f>
        <v>1953.0720000000001</v>
      </c>
      <c r="K18" s="175">
        <f t="shared" si="3"/>
        <v>58.11071274490844</v>
      </c>
    </row>
    <row r="19" spans="9:11" ht="14.25" customHeight="1" x14ac:dyDescent="0.35">
      <c r="I19">
        <v>25</v>
      </c>
      <c r="J19" s="175">
        <f>K8+K10</f>
        <v>4876.3568000000005</v>
      </c>
      <c r="K19" s="175">
        <f t="shared" si="3"/>
        <v>145.08864457965757</v>
      </c>
    </row>
    <row r="20" spans="9:11" ht="14.25" customHeight="1" x14ac:dyDescent="0.35">
      <c r="J20" s="175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"/>
  <sheetViews>
    <sheetView zoomScaleNormal="100" workbookViewId="0">
      <selection activeCell="F32" sqref="F32"/>
    </sheetView>
  </sheetViews>
  <sheetFormatPr defaultColWidth="8.7265625" defaultRowHeight="14.5" x14ac:dyDescent="0.35"/>
  <cols>
    <col min="1" max="1" width="16.7265625" customWidth="1"/>
  </cols>
  <sheetData>
    <row r="1" spans="1:11" ht="14.25" customHeight="1" x14ac:dyDescent="0.35">
      <c r="A1" s="170" t="s">
        <v>1188</v>
      </c>
      <c r="B1" s="170" t="s">
        <v>1189</v>
      </c>
      <c r="C1" s="170"/>
      <c r="D1" s="170" t="s">
        <v>1190</v>
      </c>
      <c r="E1" s="170"/>
      <c r="F1" s="170"/>
      <c r="G1" s="170"/>
      <c r="H1" s="170"/>
      <c r="I1" s="170"/>
      <c r="J1" s="170"/>
      <c r="K1" s="170"/>
    </row>
    <row r="2" spans="1:11" ht="14.25" customHeight="1" x14ac:dyDescent="0.35">
      <c r="A2" s="170" t="s">
        <v>1191</v>
      </c>
      <c r="B2" s="170">
        <v>6</v>
      </c>
      <c r="C2" s="170">
        <v>8</v>
      </c>
      <c r="D2" s="170">
        <v>10</v>
      </c>
      <c r="E2" s="170">
        <v>12</v>
      </c>
      <c r="F2" s="170">
        <v>14</v>
      </c>
      <c r="G2" s="170">
        <v>16</v>
      </c>
      <c r="H2" s="170">
        <v>20</v>
      </c>
      <c r="I2" s="170">
        <v>25</v>
      </c>
      <c r="J2" s="170">
        <v>28</v>
      </c>
      <c r="K2" s="170">
        <v>32</v>
      </c>
    </row>
    <row r="3" spans="1:11" ht="14.25" customHeight="1" x14ac:dyDescent="0.35">
      <c r="A3" s="170" t="s">
        <v>1192</v>
      </c>
      <c r="B3" s="170">
        <v>0.282743338823081</v>
      </c>
      <c r="C3" s="170">
        <v>0.50265482457436705</v>
      </c>
      <c r="D3" s="170">
        <v>0.78539816339744795</v>
      </c>
      <c r="E3" s="170">
        <v>1.13097335529233</v>
      </c>
      <c r="F3" s="170">
        <v>1.5393804002589999</v>
      </c>
      <c r="G3" s="170">
        <v>2.01061929829747</v>
      </c>
      <c r="H3" s="170">
        <v>3.14159265358979</v>
      </c>
      <c r="I3" s="170">
        <v>4.9087385212340502</v>
      </c>
      <c r="J3" s="170">
        <v>6.1575216010359899</v>
      </c>
      <c r="K3" s="170">
        <v>8.0424771931898693</v>
      </c>
    </row>
    <row r="4" spans="1:11" ht="14.25" customHeight="1" x14ac:dyDescent="0.35">
      <c r="A4" s="170" t="s">
        <v>1193</v>
      </c>
      <c r="B4" s="170">
        <v>0.222</v>
      </c>
      <c r="C4" s="170">
        <v>0.39500000000000002</v>
      </c>
      <c r="D4" s="170">
        <v>0.61699999999999999</v>
      </c>
      <c r="E4" s="170">
        <v>0.88800000000000001</v>
      </c>
      <c r="F4" s="170">
        <v>1.208</v>
      </c>
      <c r="G4" s="170">
        <v>1.5780000000000001</v>
      </c>
      <c r="H4" s="170">
        <v>2.4660000000000002</v>
      </c>
      <c r="I4" s="170">
        <v>3.8530000000000002</v>
      </c>
      <c r="J4" s="170">
        <v>4.8339999999999996</v>
      </c>
      <c r="K4" s="170">
        <v>6.3129999999999997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20"/>
  <sheetViews>
    <sheetView zoomScale="80" zoomScaleNormal="80" workbookViewId="0">
      <selection activeCell="J14" sqref="J14"/>
    </sheetView>
  </sheetViews>
  <sheetFormatPr defaultColWidth="8.7265625" defaultRowHeight="14.5" x14ac:dyDescent="0.35"/>
  <cols>
    <col min="1" max="1" width="9.1796875" style="168" customWidth="1"/>
    <col min="2" max="2" width="12.54296875" customWidth="1"/>
    <col min="3" max="3" width="15.26953125" customWidth="1"/>
    <col min="4" max="4" width="16" customWidth="1"/>
    <col min="5" max="5" width="17.26953125" customWidth="1"/>
    <col min="6" max="6" width="19.453125" customWidth="1"/>
    <col min="7" max="7" width="15.7265625" customWidth="1"/>
    <col min="8" max="8" width="14.54296875" customWidth="1"/>
    <col min="9" max="9" width="14.453125" customWidth="1"/>
    <col min="10" max="10" width="19.81640625" customWidth="1"/>
    <col min="11" max="11" width="12" customWidth="1"/>
    <col min="12" max="12" width="7.7265625" customWidth="1"/>
    <col min="13" max="13" width="10.7265625" customWidth="1"/>
    <col min="14" max="14" width="20.7265625" customWidth="1"/>
    <col min="15" max="15" width="13" customWidth="1"/>
    <col min="16" max="16" width="7.7265625" customWidth="1"/>
    <col min="17" max="17" width="10.7265625" customWidth="1"/>
    <col min="18" max="18" width="20.7265625" customWidth="1"/>
    <col min="19" max="19" width="12" customWidth="1"/>
    <col min="20" max="20" width="13.54296875" customWidth="1"/>
    <col min="21" max="21" width="19.1796875" customWidth="1"/>
    <col min="22" max="22" width="12" customWidth="1"/>
  </cols>
  <sheetData>
    <row r="1" spans="1:22" ht="14.25" customHeight="1" x14ac:dyDescent="0.35">
      <c r="A1" s="215" t="s">
        <v>1185</v>
      </c>
      <c r="B1" s="215"/>
      <c r="C1" s="215"/>
      <c r="D1" s="215"/>
      <c r="E1" s="215"/>
      <c r="F1" s="215"/>
    </row>
    <row r="2" spans="1:22" ht="14.25" customHeight="1" x14ac:dyDescent="0.35">
      <c r="A2" s="170" t="s">
        <v>1157</v>
      </c>
      <c r="B2" s="69" t="s">
        <v>1158</v>
      </c>
      <c r="C2" s="69" t="s">
        <v>1159</v>
      </c>
      <c r="D2" s="69" t="s">
        <v>1160</v>
      </c>
      <c r="E2" s="69" t="s">
        <v>1161</v>
      </c>
      <c r="F2" s="69" t="s">
        <v>1162</v>
      </c>
      <c r="G2" s="69" t="s">
        <v>1163</v>
      </c>
      <c r="H2" s="69" t="s">
        <v>1164</v>
      </c>
      <c r="I2" s="69" t="s">
        <v>1168</v>
      </c>
      <c r="J2" s="69" t="s">
        <v>1169</v>
      </c>
      <c r="K2" s="171" t="s">
        <v>1170</v>
      </c>
      <c r="L2" s="171" t="s">
        <v>1171</v>
      </c>
      <c r="M2" s="171" t="s">
        <v>1172</v>
      </c>
      <c r="N2" s="69" t="s">
        <v>1173</v>
      </c>
      <c r="O2" s="69" t="s">
        <v>1170</v>
      </c>
      <c r="P2" s="171" t="s">
        <v>1186</v>
      </c>
      <c r="Q2" s="171" t="s">
        <v>1172</v>
      </c>
      <c r="R2" s="69" t="s">
        <v>1173</v>
      </c>
      <c r="S2" s="69" t="s">
        <v>1170</v>
      </c>
      <c r="T2" s="69" t="s">
        <v>1174</v>
      </c>
      <c r="U2" s="69" t="s">
        <v>1175</v>
      </c>
      <c r="V2" s="69" t="s">
        <v>1170</v>
      </c>
    </row>
    <row r="3" spans="1:22" ht="14.25" customHeight="1" x14ac:dyDescent="0.35">
      <c r="A3" s="170" t="s">
        <v>1187</v>
      </c>
      <c r="B3" s="69" t="s">
        <v>1177</v>
      </c>
      <c r="C3" s="172">
        <v>0.25</v>
      </c>
      <c r="D3" s="172">
        <v>0.4</v>
      </c>
      <c r="E3" s="172">
        <v>125</v>
      </c>
      <c r="F3" s="172">
        <v>0.15</v>
      </c>
      <c r="G3" s="69">
        <f t="shared" ref="G3:G10" si="0">((C3+0.2)+(D3-F3)*2)*E3</f>
        <v>118.75</v>
      </c>
      <c r="H3" s="69">
        <f t="shared" ref="H3:H10" si="1">C3*(D3-F3)*E3</f>
        <v>7.8125</v>
      </c>
      <c r="I3" s="172">
        <v>16</v>
      </c>
      <c r="J3" s="172">
        <v>6</v>
      </c>
      <c r="K3" s="69">
        <f>J3*E3*'rebar weight'!G4</f>
        <v>1183.5</v>
      </c>
      <c r="L3" s="172">
        <v>8</v>
      </c>
      <c r="M3" s="172">
        <v>1.2</v>
      </c>
      <c r="N3" s="174">
        <f t="shared" ref="N3:N10" si="2">E3/0.15</f>
        <v>833.33333333333337</v>
      </c>
      <c r="O3" s="174">
        <f>M3*N3*'rebar weight'!C4</f>
        <v>395</v>
      </c>
      <c r="P3" s="172">
        <v>0</v>
      </c>
      <c r="Q3" s="172">
        <v>0</v>
      </c>
      <c r="R3" s="173">
        <f>E3/0.15</f>
        <v>833.33333333333337</v>
      </c>
      <c r="S3" s="174">
        <f>0.395*Q3*R3</f>
        <v>0</v>
      </c>
      <c r="T3" s="172">
        <v>0</v>
      </c>
      <c r="U3" s="172">
        <v>0</v>
      </c>
      <c r="V3" s="69">
        <f>'rebar weight'!E3*U3*E3</f>
        <v>0</v>
      </c>
    </row>
    <row r="4" spans="1:22" ht="14.25" customHeight="1" x14ac:dyDescent="0.35">
      <c r="A4" s="170" t="s">
        <v>1187</v>
      </c>
      <c r="B4" s="69" t="s">
        <v>1178</v>
      </c>
      <c r="C4" s="172">
        <v>0.25</v>
      </c>
      <c r="D4" s="172">
        <v>0.5</v>
      </c>
      <c r="E4" s="172">
        <v>43</v>
      </c>
      <c r="F4" s="172">
        <v>0.15</v>
      </c>
      <c r="G4" s="69">
        <f t="shared" si="0"/>
        <v>49.449999999999996</v>
      </c>
      <c r="H4" s="69">
        <f t="shared" si="1"/>
        <v>3.7624999999999997</v>
      </c>
      <c r="I4" s="172">
        <v>16</v>
      </c>
      <c r="J4" s="172">
        <v>10</v>
      </c>
      <c r="K4" s="69">
        <f>'rebar weight'!G4*J4*E4</f>
        <v>678.54000000000008</v>
      </c>
      <c r="L4" s="172">
        <v>8</v>
      </c>
      <c r="M4" s="172">
        <f>1.4</f>
        <v>1.4</v>
      </c>
      <c r="N4" s="174">
        <f t="shared" si="2"/>
        <v>286.66666666666669</v>
      </c>
      <c r="O4" s="174">
        <f>0.395*M4*N4</f>
        <v>158.52666666666667</v>
      </c>
      <c r="P4" s="172">
        <v>8</v>
      </c>
      <c r="Q4" s="172">
        <f>0.4</f>
        <v>0.4</v>
      </c>
      <c r="R4" s="173">
        <f>E4/0.15</f>
        <v>286.66666666666669</v>
      </c>
      <c r="S4" s="174">
        <f>0.395*Q4*R4</f>
        <v>45.293333333333344</v>
      </c>
      <c r="T4" s="172">
        <v>12</v>
      </c>
      <c r="U4" s="172">
        <v>2</v>
      </c>
      <c r="V4" s="69">
        <f>'rebar weight'!E4*U4*E4</f>
        <v>76.367999999999995</v>
      </c>
    </row>
    <row r="5" spans="1:22" ht="14.25" customHeight="1" x14ac:dyDescent="0.35">
      <c r="A5" s="170" t="s">
        <v>1187</v>
      </c>
      <c r="B5" s="69" t="s">
        <v>1179</v>
      </c>
      <c r="C5" s="172">
        <v>0.3</v>
      </c>
      <c r="D5" s="172">
        <v>0.5</v>
      </c>
      <c r="E5" s="172">
        <v>3.65</v>
      </c>
      <c r="F5" s="172">
        <v>0.15</v>
      </c>
      <c r="G5" s="69">
        <f t="shared" si="0"/>
        <v>4.38</v>
      </c>
      <c r="H5" s="69">
        <f t="shared" si="1"/>
        <v>0.38324999999999998</v>
      </c>
      <c r="I5" s="172">
        <v>20</v>
      </c>
      <c r="J5" s="172">
        <v>10</v>
      </c>
      <c r="K5" s="69">
        <f>'rebar weight'!H4*J5*E5</f>
        <v>90.009000000000015</v>
      </c>
      <c r="L5" s="172">
        <v>8</v>
      </c>
      <c r="M5" s="172">
        <f>1.5</f>
        <v>1.5</v>
      </c>
      <c r="N5" s="174">
        <f t="shared" si="2"/>
        <v>24.333333333333332</v>
      </c>
      <c r="O5" s="174">
        <f>'rebar weight'!C4*M5*N5</f>
        <v>14.4175</v>
      </c>
      <c r="P5" s="172">
        <v>8</v>
      </c>
      <c r="Q5" s="172">
        <f>0.64+0.5</f>
        <v>1.1400000000000001</v>
      </c>
      <c r="R5" s="173">
        <f>E5/0.15</f>
        <v>24.333333333333332</v>
      </c>
      <c r="S5" s="174">
        <f>0.395*Q5*R5</f>
        <v>10.957300000000002</v>
      </c>
      <c r="T5" s="172">
        <v>12</v>
      </c>
      <c r="U5" s="172">
        <v>2</v>
      </c>
      <c r="V5" s="69">
        <f>0.888*U5*E5</f>
        <v>6.4824000000000002</v>
      </c>
    </row>
    <row r="6" spans="1:22" ht="14.25" customHeight="1" x14ac:dyDescent="0.35">
      <c r="A6" s="170" t="s">
        <v>1187</v>
      </c>
      <c r="B6" s="69" t="s">
        <v>1180</v>
      </c>
      <c r="C6" s="172">
        <v>0.3</v>
      </c>
      <c r="D6" s="172">
        <v>0.6</v>
      </c>
      <c r="E6" s="172">
        <v>1.34</v>
      </c>
      <c r="F6" s="172">
        <v>0.15</v>
      </c>
      <c r="G6" s="69">
        <f t="shared" si="0"/>
        <v>1.8759999999999999</v>
      </c>
      <c r="H6" s="69">
        <f t="shared" si="1"/>
        <v>0.18089999999999998</v>
      </c>
      <c r="I6" s="172">
        <v>20</v>
      </c>
      <c r="J6" s="172">
        <v>10</v>
      </c>
      <c r="K6" s="69">
        <f>2.466*J6*E6</f>
        <v>33.04440000000001</v>
      </c>
      <c r="L6" s="172">
        <v>10</v>
      </c>
      <c r="M6" s="172">
        <f>1.6+0.75+0.5+0.5</f>
        <v>3.35</v>
      </c>
      <c r="N6" s="174">
        <f t="shared" si="2"/>
        <v>8.9333333333333336</v>
      </c>
      <c r="O6" s="174">
        <f>0.617*M6*N6</f>
        <v>18.464753333333331</v>
      </c>
      <c r="P6" s="172">
        <v>10</v>
      </c>
      <c r="Q6" s="172">
        <f>1.6+0.75+0.5+0.5</f>
        <v>3.35</v>
      </c>
      <c r="R6" s="173">
        <f>E6/0.15</f>
        <v>8.9333333333333336</v>
      </c>
      <c r="S6" s="174">
        <f>0.617*Q6*R6</f>
        <v>18.464753333333331</v>
      </c>
      <c r="T6" s="172">
        <v>12</v>
      </c>
      <c r="U6" s="172">
        <v>2</v>
      </c>
      <c r="V6" s="69">
        <f>0.888*U6*E6</f>
        <v>2.3798400000000002</v>
      </c>
    </row>
    <row r="7" spans="1:22" ht="14.25" customHeight="1" x14ac:dyDescent="0.35">
      <c r="A7" s="170" t="s">
        <v>1187</v>
      </c>
      <c r="B7" s="69" t="s">
        <v>1181</v>
      </c>
      <c r="C7" s="172">
        <v>0.4</v>
      </c>
      <c r="D7" s="172">
        <v>0.6</v>
      </c>
      <c r="E7" s="172">
        <v>43</v>
      </c>
      <c r="F7" s="172">
        <v>0.15</v>
      </c>
      <c r="G7" s="69">
        <f t="shared" si="0"/>
        <v>64.5</v>
      </c>
      <c r="H7" s="69">
        <f t="shared" si="1"/>
        <v>7.7399999999999993</v>
      </c>
      <c r="I7" s="172">
        <v>20</v>
      </c>
      <c r="J7" s="172">
        <v>16</v>
      </c>
      <c r="K7" s="69">
        <f>'rebar weight'!H4*J7*E7</f>
        <v>1696.6080000000002</v>
      </c>
      <c r="L7" s="172">
        <v>10</v>
      </c>
      <c r="M7" s="172">
        <f>2+1.5</f>
        <v>3.5</v>
      </c>
      <c r="N7" s="174">
        <f t="shared" si="2"/>
        <v>286.66666666666669</v>
      </c>
      <c r="O7" s="174">
        <f>0.617*M7*N7</f>
        <v>619.05666666666673</v>
      </c>
      <c r="P7" s="172">
        <v>10</v>
      </c>
      <c r="Q7" s="172">
        <f>0.6+0.6</f>
        <v>1.2</v>
      </c>
      <c r="R7" s="173">
        <f>E7/0.3</f>
        <v>143.33333333333334</v>
      </c>
      <c r="S7" s="174">
        <f>0.617*Q7*R7</f>
        <v>106.124</v>
      </c>
      <c r="T7" s="172">
        <v>16</v>
      </c>
      <c r="U7" s="172">
        <v>2</v>
      </c>
      <c r="V7" s="69">
        <f>'rebar weight'!G4*U7*E7</f>
        <v>135.708</v>
      </c>
    </row>
    <row r="8" spans="1:22" ht="14.25" customHeight="1" x14ac:dyDescent="0.35">
      <c r="A8" s="170" t="s">
        <v>1187</v>
      </c>
      <c r="B8" s="69" t="s">
        <v>1182</v>
      </c>
      <c r="C8" s="172">
        <v>0.4</v>
      </c>
      <c r="D8" s="172">
        <v>0.7</v>
      </c>
      <c r="E8" s="172">
        <v>113</v>
      </c>
      <c r="F8" s="172">
        <v>0.15</v>
      </c>
      <c r="G8" s="69">
        <f t="shared" si="0"/>
        <v>192.1</v>
      </c>
      <c r="H8" s="69">
        <f t="shared" si="1"/>
        <v>24.859999999999996</v>
      </c>
      <c r="I8" s="172">
        <v>25</v>
      </c>
      <c r="J8" s="172">
        <v>16</v>
      </c>
      <c r="K8" s="69">
        <f>'rebar weight'!I4*J8*E8</f>
        <v>6966.2240000000002</v>
      </c>
      <c r="L8" s="172">
        <v>10</v>
      </c>
      <c r="M8" s="172">
        <f>2+1.5</f>
        <v>3.5</v>
      </c>
      <c r="N8" s="174">
        <f t="shared" si="2"/>
        <v>753.33333333333337</v>
      </c>
      <c r="O8" s="174">
        <f>0.617*M8*N8</f>
        <v>1626.8233333333335</v>
      </c>
      <c r="P8" s="172">
        <v>10</v>
      </c>
      <c r="Q8" s="172">
        <f>0.6+0.6</f>
        <v>1.2</v>
      </c>
      <c r="R8" s="173">
        <f>E8/0.3</f>
        <v>376.66666666666669</v>
      </c>
      <c r="S8" s="174">
        <f>0.617*Q8*R8</f>
        <v>278.88400000000001</v>
      </c>
      <c r="T8" s="172">
        <v>16</v>
      </c>
      <c r="U8" s="172">
        <v>2</v>
      </c>
      <c r="V8" s="69">
        <f>'rebar weight'!G4*U8*E8</f>
        <v>356.62800000000004</v>
      </c>
    </row>
    <row r="9" spans="1:22" ht="14.25" customHeight="1" x14ac:dyDescent="0.35">
      <c r="A9" s="170" t="s">
        <v>1187</v>
      </c>
      <c r="B9" s="69" t="s">
        <v>1183</v>
      </c>
      <c r="C9" s="172">
        <v>0.2</v>
      </c>
      <c r="D9" s="172">
        <v>0.4</v>
      </c>
      <c r="E9" s="172">
        <v>0</v>
      </c>
      <c r="F9" s="172">
        <v>0.15</v>
      </c>
      <c r="G9" s="69">
        <f t="shared" si="0"/>
        <v>0</v>
      </c>
      <c r="H9" s="69">
        <f t="shared" si="1"/>
        <v>0</v>
      </c>
      <c r="I9" s="172">
        <v>0</v>
      </c>
      <c r="J9" s="172">
        <v>0</v>
      </c>
      <c r="K9" s="69">
        <f>2.466*J9*E9</f>
        <v>0</v>
      </c>
      <c r="L9" s="172"/>
      <c r="M9" s="172"/>
      <c r="N9" s="174">
        <f t="shared" si="2"/>
        <v>0</v>
      </c>
      <c r="O9" s="174">
        <f>0.617*M9*N9</f>
        <v>0</v>
      </c>
      <c r="P9" s="172"/>
      <c r="Q9" s="172"/>
      <c r="R9" s="173">
        <f>E9/0.15</f>
        <v>0</v>
      </c>
      <c r="S9" s="174">
        <f>0.617*Q9*R9</f>
        <v>0</v>
      </c>
      <c r="T9" s="172"/>
      <c r="U9" s="172"/>
      <c r="V9" s="69">
        <f>1.578*U9*E9</f>
        <v>0</v>
      </c>
    </row>
    <row r="10" spans="1:22" ht="14.25" customHeight="1" x14ac:dyDescent="0.35">
      <c r="A10" s="170" t="s">
        <v>1187</v>
      </c>
      <c r="B10" s="69" t="s">
        <v>1184</v>
      </c>
      <c r="C10" s="172">
        <v>0.4</v>
      </c>
      <c r="D10" s="172">
        <v>0.7</v>
      </c>
      <c r="E10" s="172">
        <v>9.1</v>
      </c>
      <c r="F10" s="172">
        <v>0.15</v>
      </c>
      <c r="G10" s="69">
        <f t="shared" si="0"/>
        <v>15.469999999999999</v>
      </c>
      <c r="H10" s="69">
        <f t="shared" si="1"/>
        <v>2.0019999999999998</v>
      </c>
      <c r="I10" s="172">
        <v>25</v>
      </c>
      <c r="J10" s="172">
        <v>16</v>
      </c>
      <c r="K10" s="69">
        <f>'rebar weight'!I4*J10*E10</f>
        <v>560.99680000000001</v>
      </c>
      <c r="L10" s="172">
        <v>12</v>
      </c>
      <c r="M10" s="172">
        <f>2.2+1.7</f>
        <v>3.9000000000000004</v>
      </c>
      <c r="N10" s="174">
        <f t="shared" si="2"/>
        <v>60.666666666666664</v>
      </c>
      <c r="O10" s="174">
        <f>'rebar weight'!E4*M10*N10</f>
        <v>210.10080000000002</v>
      </c>
      <c r="P10" s="172">
        <v>10</v>
      </c>
      <c r="Q10" s="172">
        <f>0.55+0.55+0.55</f>
        <v>1.6500000000000001</v>
      </c>
      <c r="R10" s="173">
        <f>E10/0.3</f>
        <v>30.333333333333332</v>
      </c>
      <c r="S10" s="174">
        <f>'rebar weight'!D4*Q10*R10</f>
        <v>30.880850000000002</v>
      </c>
      <c r="T10" s="172">
        <v>16</v>
      </c>
      <c r="U10" s="172">
        <v>4</v>
      </c>
      <c r="V10" s="69">
        <f>'rebar weight'!G4*U10*E10</f>
        <v>57.4392</v>
      </c>
    </row>
    <row r="11" spans="1:22" ht="14.25" customHeight="1" x14ac:dyDescent="0.35">
      <c r="G11">
        <f>SUM(G3:G10)</f>
        <v>446.52599999999995</v>
      </c>
      <c r="H11">
        <f>SUM(H3:H10)</f>
        <v>46.741149999999998</v>
      </c>
    </row>
    <row r="14" spans="1:22" ht="14.25" customHeight="1" x14ac:dyDescent="0.35">
      <c r="I14">
        <v>8</v>
      </c>
      <c r="J14" s="175">
        <f>O3+O4+O5+S3+S4+S5</f>
        <v>624.19479999999999</v>
      </c>
      <c r="K14" s="175">
        <f t="shared" ref="K14:K19" si="3">J14/$H$11</f>
        <v>13.35428845888473</v>
      </c>
    </row>
    <row r="15" spans="1:22" ht="14.25" customHeight="1" x14ac:dyDescent="0.35">
      <c r="I15">
        <v>10</v>
      </c>
      <c r="J15" s="175">
        <f>O6+O7+O8+R6+R7+R8+R9+R10</f>
        <v>2823.6114200000006</v>
      </c>
      <c r="K15" s="175">
        <f t="shared" si="3"/>
        <v>60.409541057505024</v>
      </c>
    </row>
    <row r="16" spans="1:22" ht="14.25" customHeight="1" x14ac:dyDescent="0.35">
      <c r="I16">
        <v>12</v>
      </c>
      <c r="J16" s="175">
        <f>O10+V4+V5+V6</f>
        <v>295.33103999999997</v>
      </c>
      <c r="K16" s="175">
        <f t="shared" si="3"/>
        <v>6.3184376079749853</v>
      </c>
    </row>
    <row r="17" spans="9:11" ht="14.25" customHeight="1" x14ac:dyDescent="0.35">
      <c r="I17">
        <v>16</v>
      </c>
      <c r="J17" s="175">
        <f>K3+K4+V7+V8+V10</f>
        <v>2411.8152</v>
      </c>
      <c r="K17" s="175">
        <f t="shared" si="3"/>
        <v>51.599397960897413</v>
      </c>
    </row>
    <row r="18" spans="9:11" ht="14.25" customHeight="1" x14ac:dyDescent="0.35">
      <c r="I18">
        <v>20</v>
      </c>
      <c r="J18" s="175">
        <f>K5+K6+K7</f>
        <v>1819.6614000000002</v>
      </c>
      <c r="K18" s="175">
        <f t="shared" si="3"/>
        <v>38.930608254182886</v>
      </c>
    </row>
    <row r="19" spans="9:11" ht="14.25" customHeight="1" x14ac:dyDescent="0.35">
      <c r="I19">
        <v>25</v>
      </c>
      <c r="J19" s="175">
        <f>K8+K10</f>
        <v>7527.2208000000001</v>
      </c>
      <c r="K19" s="175">
        <f t="shared" si="3"/>
        <v>161.04055634061208</v>
      </c>
    </row>
    <row r="20" spans="9:11" ht="14.25" customHeight="1" x14ac:dyDescent="0.35">
      <c r="J20" s="175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20"/>
  <sheetViews>
    <sheetView zoomScale="80" zoomScaleNormal="80" workbookViewId="0">
      <selection activeCell="G38" sqref="G38"/>
    </sheetView>
  </sheetViews>
  <sheetFormatPr defaultColWidth="8.7265625" defaultRowHeight="14.5" x14ac:dyDescent="0.35"/>
  <cols>
    <col min="1" max="1" width="9.1796875" style="168" customWidth="1"/>
    <col min="2" max="2" width="12.54296875" customWidth="1"/>
    <col min="3" max="3" width="15.26953125" customWidth="1"/>
    <col min="4" max="4" width="16" customWidth="1"/>
    <col min="5" max="5" width="17.26953125" customWidth="1"/>
    <col min="6" max="6" width="19.453125" customWidth="1"/>
    <col min="7" max="7" width="15.7265625" customWidth="1"/>
    <col min="8" max="8" width="14.54296875" customWidth="1"/>
    <col min="9" max="9" width="14.453125" customWidth="1"/>
    <col min="10" max="10" width="19.81640625" customWidth="1"/>
    <col min="11" max="11" width="12" customWidth="1"/>
    <col min="12" max="12" width="7.7265625" customWidth="1"/>
    <col min="13" max="13" width="10.7265625" customWidth="1"/>
    <col min="14" max="14" width="20.7265625" customWidth="1"/>
    <col min="15" max="15" width="13" customWidth="1"/>
    <col min="16" max="16" width="7.7265625" customWidth="1"/>
    <col min="17" max="17" width="10.7265625" customWidth="1"/>
    <col min="18" max="18" width="20.7265625" customWidth="1"/>
    <col min="19" max="19" width="12" customWidth="1"/>
    <col min="20" max="20" width="13.54296875" customWidth="1"/>
    <col min="21" max="21" width="19.1796875" customWidth="1"/>
    <col min="22" max="22" width="12" customWidth="1"/>
  </cols>
  <sheetData>
    <row r="1" spans="1:22" ht="14.25" customHeight="1" x14ac:dyDescent="0.35">
      <c r="A1" s="215" t="s">
        <v>1185</v>
      </c>
      <c r="B1" s="215"/>
      <c r="C1" s="215"/>
      <c r="D1" s="215"/>
      <c r="E1" s="215"/>
      <c r="F1" s="215"/>
    </row>
    <row r="2" spans="1:22" ht="14.25" customHeight="1" x14ac:dyDescent="0.35">
      <c r="A2" s="170" t="s">
        <v>1157</v>
      </c>
      <c r="B2" s="69" t="s">
        <v>1158</v>
      </c>
      <c r="C2" s="69" t="s">
        <v>1159</v>
      </c>
      <c r="D2" s="69" t="s">
        <v>1160</v>
      </c>
      <c r="E2" s="69" t="s">
        <v>1161</v>
      </c>
      <c r="F2" s="69" t="s">
        <v>1162</v>
      </c>
      <c r="G2" s="69" t="s">
        <v>1163</v>
      </c>
      <c r="H2" s="69" t="s">
        <v>1164</v>
      </c>
      <c r="I2" s="69" t="s">
        <v>1168</v>
      </c>
      <c r="J2" s="69" t="s">
        <v>1169</v>
      </c>
      <c r="K2" s="171" t="s">
        <v>1170</v>
      </c>
      <c r="L2" s="171" t="s">
        <v>1171</v>
      </c>
      <c r="M2" s="171" t="s">
        <v>1172</v>
      </c>
      <c r="N2" s="69" t="s">
        <v>1173</v>
      </c>
      <c r="O2" s="69" t="s">
        <v>1170</v>
      </c>
      <c r="P2" s="171" t="s">
        <v>1186</v>
      </c>
      <c r="Q2" s="171" t="s">
        <v>1172</v>
      </c>
      <c r="R2" s="69" t="s">
        <v>1173</v>
      </c>
      <c r="S2" s="69" t="s">
        <v>1170</v>
      </c>
      <c r="T2" s="69" t="s">
        <v>1174</v>
      </c>
      <c r="U2" s="69" t="s">
        <v>1175</v>
      </c>
      <c r="V2" s="69" t="s">
        <v>1170</v>
      </c>
    </row>
    <row r="3" spans="1:22" ht="14.25" customHeight="1" x14ac:dyDescent="0.35">
      <c r="A3" s="170" t="s">
        <v>1187</v>
      </c>
      <c r="B3" s="69" t="s">
        <v>1177</v>
      </c>
      <c r="C3" s="172">
        <v>0.25</v>
      </c>
      <c r="D3" s="172">
        <v>0.4</v>
      </c>
      <c r="E3" s="172">
        <v>125</v>
      </c>
      <c r="F3" s="172">
        <v>0.15</v>
      </c>
      <c r="G3" s="69">
        <f t="shared" ref="G3:G10" si="0">((C3+0.2)+(D3-F3)*2)*E3</f>
        <v>118.75</v>
      </c>
      <c r="H3" s="69">
        <f t="shared" ref="H3:H10" si="1">C3*(D3-F3)*E3</f>
        <v>7.8125</v>
      </c>
      <c r="I3" s="172">
        <v>16</v>
      </c>
      <c r="J3" s="172">
        <v>6</v>
      </c>
      <c r="K3" s="69">
        <f>J3*E3*'rebar weight'!G4</f>
        <v>1183.5</v>
      </c>
      <c r="L3" s="172">
        <v>8</v>
      </c>
      <c r="M3" s="172">
        <v>1.2</v>
      </c>
      <c r="N3" s="174">
        <f t="shared" ref="N3:N10" si="2">E3/0.15</f>
        <v>833.33333333333337</v>
      </c>
      <c r="O3" s="174">
        <f>M3*N3*'rebar weight'!C4</f>
        <v>395</v>
      </c>
      <c r="P3" s="172">
        <v>0</v>
      </c>
      <c r="Q3" s="172">
        <v>0</v>
      </c>
      <c r="R3" s="173">
        <f>E3/0.15</f>
        <v>833.33333333333337</v>
      </c>
      <c r="S3" s="174">
        <f>0.395*Q3*R3</f>
        <v>0</v>
      </c>
      <c r="T3" s="172">
        <v>0</v>
      </c>
      <c r="U3" s="172">
        <v>0</v>
      </c>
      <c r="V3" s="69">
        <f>'rebar weight'!E3*U3*E3</f>
        <v>0</v>
      </c>
    </row>
    <row r="4" spans="1:22" ht="14.25" customHeight="1" x14ac:dyDescent="0.35">
      <c r="A4" s="170" t="s">
        <v>1187</v>
      </c>
      <c r="B4" s="69" t="s">
        <v>1178</v>
      </c>
      <c r="C4" s="172">
        <v>0.25</v>
      </c>
      <c r="D4" s="172">
        <v>0.5</v>
      </c>
      <c r="E4" s="172">
        <v>43</v>
      </c>
      <c r="F4" s="172">
        <v>0.15</v>
      </c>
      <c r="G4" s="69">
        <f t="shared" si="0"/>
        <v>49.449999999999996</v>
      </c>
      <c r="H4" s="69">
        <f t="shared" si="1"/>
        <v>3.7624999999999997</v>
      </c>
      <c r="I4" s="172">
        <v>16</v>
      </c>
      <c r="J4" s="172">
        <v>10</v>
      </c>
      <c r="K4" s="69">
        <f>'rebar weight'!G4*J4*E4</f>
        <v>678.54000000000008</v>
      </c>
      <c r="L4" s="172">
        <v>8</v>
      </c>
      <c r="M4" s="172">
        <f>1.4</f>
        <v>1.4</v>
      </c>
      <c r="N4" s="174">
        <f t="shared" si="2"/>
        <v>286.66666666666669</v>
      </c>
      <c r="O4" s="174">
        <f>0.395*M4*N4</f>
        <v>158.52666666666667</v>
      </c>
      <c r="P4" s="172">
        <v>8</v>
      </c>
      <c r="Q4" s="172">
        <f>0.4</f>
        <v>0.4</v>
      </c>
      <c r="R4" s="173">
        <f>E4/0.15</f>
        <v>286.66666666666669</v>
      </c>
      <c r="S4" s="174">
        <f>0.395*Q4*R4</f>
        <v>45.293333333333344</v>
      </c>
      <c r="T4" s="172">
        <v>12</v>
      </c>
      <c r="U4" s="172">
        <v>2</v>
      </c>
      <c r="V4" s="69">
        <f>'rebar weight'!E4*U4*E4</f>
        <v>76.367999999999995</v>
      </c>
    </row>
    <row r="5" spans="1:22" ht="14.25" customHeight="1" x14ac:dyDescent="0.35">
      <c r="A5" s="170" t="s">
        <v>1187</v>
      </c>
      <c r="B5" s="69" t="s">
        <v>1179</v>
      </c>
      <c r="C5" s="172">
        <v>0.3</v>
      </c>
      <c r="D5" s="172">
        <v>0.5</v>
      </c>
      <c r="E5" s="172">
        <v>3.65</v>
      </c>
      <c r="F5" s="172">
        <v>0.15</v>
      </c>
      <c r="G5" s="69">
        <f t="shared" si="0"/>
        <v>4.38</v>
      </c>
      <c r="H5" s="69">
        <f t="shared" si="1"/>
        <v>0.38324999999999998</v>
      </c>
      <c r="I5" s="172">
        <v>20</v>
      </c>
      <c r="J5" s="172">
        <v>10</v>
      </c>
      <c r="K5" s="69">
        <f>'rebar weight'!H4*J5*E5</f>
        <v>90.009000000000015</v>
      </c>
      <c r="L5" s="172">
        <v>8</v>
      </c>
      <c r="M5" s="172">
        <f>1.5</f>
        <v>1.5</v>
      </c>
      <c r="N5" s="174">
        <f t="shared" si="2"/>
        <v>24.333333333333332</v>
      </c>
      <c r="O5" s="174">
        <f>'rebar weight'!C4*M5*N5</f>
        <v>14.4175</v>
      </c>
      <c r="P5" s="172">
        <v>8</v>
      </c>
      <c r="Q5" s="172">
        <f>0.64+0.5</f>
        <v>1.1400000000000001</v>
      </c>
      <c r="R5" s="173">
        <f>E5/0.15</f>
        <v>24.333333333333332</v>
      </c>
      <c r="S5" s="174">
        <f>0.395*Q5*R5</f>
        <v>10.957300000000002</v>
      </c>
      <c r="T5" s="172">
        <v>12</v>
      </c>
      <c r="U5" s="172">
        <v>2</v>
      </c>
      <c r="V5" s="69">
        <f>0.888*U5*E5</f>
        <v>6.4824000000000002</v>
      </c>
    </row>
    <row r="6" spans="1:22" ht="14.25" customHeight="1" x14ac:dyDescent="0.35">
      <c r="A6" s="170" t="s">
        <v>1187</v>
      </c>
      <c r="B6" s="69" t="s">
        <v>1180</v>
      </c>
      <c r="C6" s="172">
        <v>0.3</v>
      </c>
      <c r="D6" s="172">
        <v>0.6</v>
      </c>
      <c r="E6" s="172">
        <v>1.34</v>
      </c>
      <c r="F6" s="172">
        <v>0.15</v>
      </c>
      <c r="G6" s="69">
        <f t="shared" si="0"/>
        <v>1.8759999999999999</v>
      </c>
      <c r="H6" s="69">
        <f t="shared" si="1"/>
        <v>0.18089999999999998</v>
      </c>
      <c r="I6" s="172">
        <v>20</v>
      </c>
      <c r="J6" s="172">
        <v>10</v>
      </c>
      <c r="K6" s="69">
        <f>2.466*J6*E6</f>
        <v>33.04440000000001</v>
      </c>
      <c r="L6" s="172">
        <v>10</v>
      </c>
      <c r="M6" s="172">
        <f>1.6+0.75+0.5+0.5</f>
        <v>3.35</v>
      </c>
      <c r="N6" s="174">
        <f t="shared" si="2"/>
        <v>8.9333333333333336</v>
      </c>
      <c r="O6" s="174">
        <f>0.617*M6*N6</f>
        <v>18.464753333333331</v>
      </c>
      <c r="P6" s="172">
        <v>10</v>
      </c>
      <c r="Q6" s="172">
        <f>1.6+0.75+0.5+0.5</f>
        <v>3.35</v>
      </c>
      <c r="R6" s="173">
        <f>E6/0.15</f>
        <v>8.9333333333333336</v>
      </c>
      <c r="S6" s="174">
        <f>0.617*Q6*R6</f>
        <v>18.464753333333331</v>
      </c>
      <c r="T6" s="172">
        <v>12</v>
      </c>
      <c r="U6" s="172">
        <v>2</v>
      </c>
      <c r="V6" s="69">
        <f>0.888*U6*E6</f>
        <v>2.3798400000000002</v>
      </c>
    </row>
    <row r="7" spans="1:22" ht="14.25" customHeight="1" x14ac:dyDescent="0.35">
      <c r="A7" s="170" t="s">
        <v>1187</v>
      </c>
      <c r="B7" s="69" t="s">
        <v>1181</v>
      </c>
      <c r="C7" s="172">
        <v>0.4</v>
      </c>
      <c r="D7" s="172">
        <v>0.6</v>
      </c>
      <c r="E7" s="172">
        <v>43</v>
      </c>
      <c r="F7" s="172">
        <v>0.15</v>
      </c>
      <c r="G7" s="69">
        <f t="shared" si="0"/>
        <v>64.5</v>
      </c>
      <c r="H7" s="69">
        <f t="shared" si="1"/>
        <v>7.7399999999999993</v>
      </c>
      <c r="I7" s="172">
        <v>20</v>
      </c>
      <c r="J7" s="172">
        <v>16</v>
      </c>
      <c r="K7" s="69">
        <f>'rebar weight'!H4*J7*E7</f>
        <v>1696.6080000000002</v>
      </c>
      <c r="L7" s="172">
        <v>10</v>
      </c>
      <c r="M7" s="172">
        <f>2+1.5</f>
        <v>3.5</v>
      </c>
      <c r="N7" s="174">
        <f t="shared" si="2"/>
        <v>286.66666666666669</v>
      </c>
      <c r="O7" s="174">
        <f>0.617*M7*N7</f>
        <v>619.05666666666673</v>
      </c>
      <c r="P7" s="172">
        <v>10</v>
      </c>
      <c r="Q7" s="172">
        <f>0.6+0.6</f>
        <v>1.2</v>
      </c>
      <c r="R7" s="173">
        <f>E7/0.3</f>
        <v>143.33333333333334</v>
      </c>
      <c r="S7" s="174">
        <f>0.617*Q7*R7</f>
        <v>106.124</v>
      </c>
      <c r="T7" s="172">
        <v>16</v>
      </c>
      <c r="U7" s="172">
        <v>2</v>
      </c>
      <c r="V7" s="69">
        <f>'rebar weight'!G4*U7*E7</f>
        <v>135.708</v>
      </c>
    </row>
    <row r="8" spans="1:22" ht="14.25" customHeight="1" x14ac:dyDescent="0.35">
      <c r="A8" s="170" t="s">
        <v>1187</v>
      </c>
      <c r="B8" s="69" t="s">
        <v>1182</v>
      </c>
      <c r="C8" s="172">
        <v>0.4</v>
      </c>
      <c r="D8" s="172">
        <v>0.7</v>
      </c>
      <c r="E8" s="172">
        <v>113</v>
      </c>
      <c r="F8" s="172">
        <v>0.15</v>
      </c>
      <c r="G8" s="69">
        <f t="shared" si="0"/>
        <v>192.1</v>
      </c>
      <c r="H8" s="69">
        <f t="shared" si="1"/>
        <v>24.859999999999996</v>
      </c>
      <c r="I8" s="172">
        <v>25</v>
      </c>
      <c r="J8" s="172">
        <v>16</v>
      </c>
      <c r="K8" s="69">
        <f>'rebar weight'!I4*J8*E8</f>
        <v>6966.2240000000002</v>
      </c>
      <c r="L8" s="172">
        <v>10</v>
      </c>
      <c r="M8" s="172">
        <f>2+1.5</f>
        <v>3.5</v>
      </c>
      <c r="N8" s="174">
        <f t="shared" si="2"/>
        <v>753.33333333333337</v>
      </c>
      <c r="O8" s="174">
        <f>0.617*M8*N8</f>
        <v>1626.8233333333335</v>
      </c>
      <c r="P8" s="172">
        <v>10</v>
      </c>
      <c r="Q8" s="172">
        <f>0.6+0.6</f>
        <v>1.2</v>
      </c>
      <c r="R8" s="173">
        <f>E8/0.3</f>
        <v>376.66666666666669</v>
      </c>
      <c r="S8" s="174">
        <f>0.617*Q8*R8</f>
        <v>278.88400000000001</v>
      </c>
      <c r="T8" s="172">
        <v>16</v>
      </c>
      <c r="U8" s="172">
        <v>2</v>
      </c>
      <c r="V8" s="69">
        <f>'rebar weight'!G4*U8*E8</f>
        <v>356.62800000000004</v>
      </c>
    </row>
    <row r="9" spans="1:22" ht="14.25" customHeight="1" x14ac:dyDescent="0.35">
      <c r="A9" s="170" t="s">
        <v>1187</v>
      </c>
      <c r="B9" s="69" t="s">
        <v>1183</v>
      </c>
      <c r="C9" s="172">
        <v>0.2</v>
      </c>
      <c r="D9" s="172">
        <v>0.4</v>
      </c>
      <c r="E9" s="172">
        <v>0</v>
      </c>
      <c r="F9" s="172">
        <v>0.15</v>
      </c>
      <c r="G9" s="69">
        <f t="shared" si="0"/>
        <v>0</v>
      </c>
      <c r="H9" s="69">
        <f t="shared" si="1"/>
        <v>0</v>
      </c>
      <c r="I9" s="172">
        <v>0</v>
      </c>
      <c r="J9" s="172">
        <v>0</v>
      </c>
      <c r="K9" s="69">
        <f>2.466*J9*E9</f>
        <v>0</v>
      </c>
      <c r="L9" s="172"/>
      <c r="M9" s="172"/>
      <c r="N9" s="174">
        <f t="shared" si="2"/>
        <v>0</v>
      </c>
      <c r="O9" s="174">
        <f>0.617*M9*N9</f>
        <v>0</v>
      </c>
      <c r="P9" s="172"/>
      <c r="Q9" s="172"/>
      <c r="R9" s="173">
        <f>E9/0.15</f>
        <v>0</v>
      </c>
      <c r="S9" s="174">
        <f>0.617*Q9*R9</f>
        <v>0</v>
      </c>
      <c r="T9" s="172"/>
      <c r="U9" s="172"/>
      <c r="V9" s="69">
        <f>1.578*U9*E9</f>
        <v>0</v>
      </c>
    </row>
    <row r="10" spans="1:22" ht="14.25" customHeight="1" x14ac:dyDescent="0.35">
      <c r="A10" s="170" t="s">
        <v>1187</v>
      </c>
      <c r="B10" s="69" t="s">
        <v>1184</v>
      </c>
      <c r="C10" s="172">
        <v>0.4</v>
      </c>
      <c r="D10" s="172">
        <v>0.7</v>
      </c>
      <c r="E10" s="172">
        <v>9.1</v>
      </c>
      <c r="F10" s="172">
        <v>0.15</v>
      </c>
      <c r="G10" s="69">
        <f t="shared" si="0"/>
        <v>15.469999999999999</v>
      </c>
      <c r="H10" s="69">
        <f t="shared" si="1"/>
        <v>2.0019999999999998</v>
      </c>
      <c r="I10" s="172">
        <v>25</v>
      </c>
      <c r="J10" s="172">
        <v>16</v>
      </c>
      <c r="K10" s="69">
        <f>'rebar weight'!I4*J10*E10</f>
        <v>560.99680000000001</v>
      </c>
      <c r="L10" s="172">
        <v>12</v>
      </c>
      <c r="M10" s="172">
        <f>2.2+1.7</f>
        <v>3.9000000000000004</v>
      </c>
      <c r="N10" s="174">
        <f t="shared" si="2"/>
        <v>60.666666666666664</v>
      </c>
      <c r="O10" s="174">
        <f>'rebar weight'!E4*M10*N10</f>
        <v>210.10080000000002</v>
      </c>
      <c r="P10" s="172">
        <v>10</v>
      </c>
      <c r="Q10" s="172">
        <f>0.55+0.55+0.55</f>
        <v>1.6500000000000001</v>
      </c>
      <c r="R10" s="173">
        <f>E10/0.3</f>
        <v>30.333333333333332</v>
      </c>
      <c r="S10" s="174">
        <f>'rebar weight'!D4*Q10*R10</f>
        <v>30.880850000000002</v>
      </c>
      <c r="T10" s="172">
        <v>16</v>
      </c>
      <c r="U10" s="172">
        <v>4</v>
      </c>
      <c r="V10" s="69">
        <f>'rebar weight'!G4*U10*E10</f>
        <v>57.4392</v>
      </c>
    </row>
    <row r="11" spans="1:22" ht="14.25" customHeight="1" x14ac:dyDescent="0.35">
      <c r="G11">
        <f>SUM(G3:G10)</f>
        <v>446.52599999999995</v>
      </c>
      <c r="H11">
        <f>SUM(H3:H10)</f>
        <v>46.741149999999998</v>
      </c>
    </row>
    <row r="14" spans="1:22" ht="14.25" customHeight="1" x14ac:dyDescent="0.35">
      <c r="I14">
        <v>8</v>
      </c>
      <c r="J14" s="175">
        <f>O3+O4+O5+S3+S4+S5</f>
        <v>624.19479999999999</v>
      </c>
      <c r="K14" s="175">
        <f t="shared" ref="K14:K19" si="3">J14/$H$11</f>
        <v>13.35428845888473</v>
      </c>
    </row>
    <row r="15" spans="1:22" ht="14.25" customHeight="1" x14ac:dyDescent="0.35">
      <c r="I15">
        <v>10</v>
      </c>
      <c r="J15" s="175">
        <f>O6+O7+O8+R6+R7+R8+R9+R10</f>
        <v>2823.6114200000006</v>
      </c>
      <c r="K15" s="175">
        <f t="shared" si="3"/>
        <v>60.409541057505024</v>
      </c>
    </row>
    <row r="16" spans="1:22" ht="14.25" customHeight="1" x14ac:dyDescent="0.35">
      <c r="I16">
        <v>12</v>
      </c>
      <c r="J16" s="175">
        <f>O10+V4+V5+V6</f>
        <v>295.33103999999997</v>
      </c>
      <c r="K16" s="175">
        <f t="shared" si="3"/>
        <v>6.3184376079749853</v>
      </c>
    </row>
    <row r="17" spans="9:11" ht="14.25" customHeight="1" x14ac:dyDescent="0.35">
      <c r="I17">
        <v>16</v>
      </c>
      <c r="J17" s="175">
        <f>K3+K4+V7+V8+V10</f>
        <v>2411.8152</v>
      </c>
      <c r="K17" s="175">
        <f t="shared" si="3"/>
        <v>51.599397960897413</v>
      </c>
    </row>
    <row r="18" spans="9:11" ht="14.25" customHeight="1" x14ac:dyDescent="0.35">
      <c r="I18">
        <v>20</v>
      </c>
      <c r="J18" s="175">
        <f>K5+K6+K7</f>
        <v>1819.6614000000002</v>
      </c>
      <c r="K18" s="175">
        <f t="shared" si="3"/>
        <v>38.930608254182886</v>
      </c>
    </row>
    <row r="19" spans="9:11" ht="14.25" customHeight="1" x14ac:dyDescent="0.35">
      <c r="I19">
        <v>25</v>
      </c>
      <c r="J19" s="175">
        <f>K8+K10</f>
        <v>7527.2208000000001</v>
      </c>
      <c r="K19" s="175">
        <f t="shared" si="3"/>
        <v>161.04055634061208</v>
      </c>
    </row>
    <row r="20" spans="9:11" ht="14.25" customHeight="1" x14ac:dyDescent="0.35">
      <c r="J20" s="175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20"/>
  <sheetViews>
    <sheetView zoomScale="80" zoomScaleNormal="80" workbookViewId="0">
      <selection activeCell="G38" sqref="G38"/>
    </sheetView>
  </sheetViews>
  <sheetFormatPr defaultColWidth="8.7265625" defaultRowHeight="14.5" x14ac:dyDescent="0.35"/>
  <cols>
    <col min="1" max="1" width="9.1796875" style="168" customWidth="1"/>
    <col min="2" max="2" width="12.54296875" customWidth="1"/>
    <col min="3" max="3" width="15.26953125" customWidth="1"/>
    <col min="4" max="4" width="16" customWidth="1"/>
    <col min="5" max="5" width="17.26953125" customWidth="1"/>
    <col min="6" max="6" width="19.453125" customWidth="1"/>
    <col min="7" max="7" width="15.7265625" customWidth="1"/>
    <col min="8" max="8" width="14.54296875" customWidth="1"/>
    <col min="9" max="9" width="14.453125" customWidth="1"/>
    <col min="10" max="10" width="19.81640625" customWidth="1"/>
    <col min="11" max="11" width="12" customWidth="1"/>
    <col min="12" max="12" width="7.7265625" customWidth="1"/>
    <col min="13" max="13" width="10.7265625" customWidth="1"/>
    <col min="14" max="14" width="20.7265625" customWidth="1"/>
    <col min="15" max="15" width="13" customWidth="1"/>
    <col min="16" max="16" width="7.7265625" customWidth="1"/>
    <col min="17" max="17" width="10.7265625" customWidth="1"/>
    <col min="18" max="18" width="20.7265625" customWidth="1"/>
    <col min="19" max="19" width="12" customWidth="1"/>
    <col min="20" max="20" width="13.54296875" customWidth="1"/>
    <col min="21" max="21" width="19.1796875" customWidth="1"/>
    <col min="22" max="22" width="12" customWidth="1"/>
  </cols>
  <sheetData>
    <row r="1" spans="1:22" ht="14.25" customHeight="1" x14ac:dyDescent="0.35">
      <c r="A1" s="215" t="s">
        <v>1185</v>
      </c>
      <c r="B1" s="215"/>
      <c r="C1" s="215"/>
      <c r="D1" s="215"/>
      <c r="E1" s="215"/>
      <c r="F1" s="215"/>
    </row>
    <row r="2" spans="1:22" ht="14.25" customHeight="1" x14ac:dyDescent="0.35">
      <c r="A2" s="170" t="s">
        <v>1157</v>
      </c>
      <c r="B2" s="69" t="s">
        <v>1158</v>
      </c>
      <c r="C2" s="69" t="s">
        <v>1159</v>
      </c>
      <c r="D2" s="69" t="s">
        <v>1160</v>
      </c>
      <c r="E2" s="69" t="s">
        <v>1161</v>
      </c>
      <c r="F2" s="69" t="s">
        <v>1162</v>
      </c>
      <c r="G2" s="69" t="s">
        <v>1163</v>
      </c>
      <c r="H2" s="69" t="s">
        <v>1164</v>
      </c>
      <c r="I2" s="69" t="s">
        <v>1168</v>
      </c>
      <c r="J2" s="69" t="s">
        <v>1169</v>
      </c>
      <c r="K2" s="171" t="s">
        <v>1170</v>
      </c>
      <c r="L2" s="171" t="s">
        <v>1171</v>
      </c>
      <c r="M2" s="171" t="s">
        <v>1172</v>
      </c>
      <c r="N2" s="69" t="s">
        <v>1173</v>
      </c>
      <c r="O2" s="69" t="s">
        <v>1170</v>
      </c>
      <c r="P2" s="171" t="s">
        <v>1186</v>
      </c>
      <c r="Q2" s="171" t="s">
        <v>1172</v>
      </c>
      <c r="R2" s="69" t="s">
        <v>1173</v>
      </c>
      <c r="S2" s="69" t="s">
        <v>1170</v>
      </c>
      <c r="T2" s="69" t="s">
        <v>1174</v>
      </c>
      <c r="U2" s="69" t="s">
        <v>1175</v>
      </c>
      <c r="V2" s="69" t="s">
        <v>1170</v>
      </c>
    </row>
    <row r="3" spans="1:22" ht="14.25" customHeight="1" x14ac:dyDescent="0.35">
      <c r="A3" s="170" t="s">
        <v>1187</v>
      </c>
      <c r="B3" s="69" t="s">
        <v>1177</v>
      </c>
      <c r="C3" s="172">
        <v>0.25</v>
      </c>
      <c r="D3" s="172">
        <v>0.4</v>
      </c>
      <c r="E3" s="172">
        <v>125</v>
      </c>
      <c r="F3" s="172">
        <v>0.15</v>
      </c>
      <c r="G3" s="69">
        <f t="shared" ref="G3:G10" si="0">((C3+0.2)+(D3-F3)*2)*E3</f>
        <v>118.75</v>
      </c>
      <c r="H3" s="69">
        <f t="shared" ref="H3:H10" si="1">C3*(D3-F3)*E3</f>
        <v>7.8125</v>
      </c>
      <c r="I3" s="172">
        <v>16</v>
      </c>
      <c r="J3" s="172">
        <v>6</v>
      </c>
      <c r="K3" s="69">
        <f>J3*E3*'rebar weight'!G4</f>
        <v>1183.5</v>
      </c>
      <c r="L3" s="172">
        <v>8</v>
      </c>
      <c r="M3" s="172">
        <v>1.2</v>
      </c>
      <c r="N3" s="174">
        <f t="shared" ref="N3:N10" si="2">E3/0.15</f>
        <v>833.33333333333337</v>
      </c>
      <c r="O3" s="174">
        <f>M3*N3*'rebar weight'!C4</f>
        <v>395</v>
      </c>
      <c r="P3" s="172">
        <v>0</v>
      </c>
      <c r="Q3" s="172">
        <v>0</v>
      </c>
      <c r="R3" s="173">
        <f>E3/0.15</f>
        <v>833.33333333333337</v>
      </c>
      <c r="S3" s="174">
        <f>0.395*Q3*R3</f>
        <v>0</v>
      </c>
      <c r="T3" s="172">
        <v>0</v>
      </c>
      <c r="U3" s="172">
        <v>0</v>
      </c>
      <c r="V3" s="69">
        <f>'rebar weight'!E3*U3*E3</f>
        <v>0</v>
      </c>
    </row>
    <row r="4" spans="1:22" ht="14.25" customHeight="1" x14ac:dyDescent="0.35">
      <c r="A4" s="170" t="s">
        <v>1187</v>
      </c>
      <c r="B4" s="69" t="s">
        <v>1178</v>
      </c>
      <c r="C4" s="172">
        <v>0.25</v>
      </c>
      <c r="D4" s="172">
        <v>0.5</v>
      </c>
      <c r="E4" s="172">
        <v>43</v>
      </c>
      <c r="F4" s="172">
        <v>0.15</v>
      </c>
      <c r="G4" s="69">
        <f t="shared" si="0"/>
        <v>49.449999999999996</v>
      </c>
      <c r="H4" s="69">
        <f t="shared" si="1"/>
        <v>3.7624999999999997</v>
      </c>
      <c r="I4" s="172">
        <v>16</v>
      </c>
      <c r="J4" s="172">
        <v>10</v>
      </c>
      <c r="K4" s="69">
        <f>'rebar weight'!G4*J4*E4</f>
        <v>678.54000000000008</v>
      </c>
      <c r="L4" s="172">
        <v>8</v>
      </c>
      <c r="M4" s="172">
        <f>1.4</f>
        <v>1.4</v>
      </c>
      <c r="N4" s="174">
        <f t="shared" si="2"/>
        <v>286.66666666666669</v>
      </c>
      <c r="O4" s="174">
        <f>0.395*M4*N4</f>
        <v>158.52666666666667</v>
      </c>
      <c r="P4" s="172">
        <v>8</v>
      </c>
      <c r="Q4" s="172">
        <f>0.4</f>
        <v>0.4</v>
      </c>
      <c r="R4" s="173">
        <f>E4/0.15</f>
        <v>286.66666666666669</v>
      </c>
      <c r="S4" s="174">
        <f>0.395*Q4*R4</f>
        <v>45.293333333333344</v>
      </c>
      <c r="T4" s="172">
        <v>12</v>
      </c>
      <c r="U4" s="172">
        <v>2</v>
      </c>
      <c r="V4" s="69">
        <f>'rebar weight'!E4*U4*E4</f>
        <v>76.367999999999995</v>
      </c>
    </row>
    <row r="5" spans="1:22" ht="14.25" customHeight="1" x14ac:dyDescent="0.35">
      <c r="A5" s="170" t="s">
        <v>1187</v>
      </c>
      <c r="B5" s="69" t="s">
        <v>1179</v>
      </c>
      <c r="C5" s="172">
        <v>0.3</v>
      </c>
      <c r="D5" s="172">
        <v>0.5</v>
      </c>
      <c r="E5" s="172">
        <v>3.65</v>
      </c>
      <c r="F5" s="172">
        <v>0.15</v>
      </c>
      <c r="G5" s="69">
        <f t="shared" si="0"/>
        <v>4.38</v>
      </c>
      <c r="H5" s="69">
        <f t="shared" si="1"/>
        <v>0.38324999999999998</v>
      </c>
      <c r="I5" s="172">
        <v>20</v>
      </c>
      <c r="J5" s="172">
        <v>10</v>
      </c>
      <c r="K5" s="69">
        <f>'rebar weight'!H4*J5*E5</f>
        <v>90.009000000000015</v>
      </c>
      <c r="L5" s="172">
        <v>8</v>
      </c>
      <c r="M5" s="172">
        <f>1.5</f>
        <v>1.5</v>
      </c>
      <c r="N5" s="174">
        <f t="shared" si="2"/>
        <v>24.333333333333332</v>
      </c>
      <c r="O5" s="174">
        <f>'rebar weight'!C4*M5*N5</f>
        <v>14.4175</v>
      </c>
      <c r="P5" s="172">
        <v>8</v>
      </c>
      <c r="Q5" s="172">
        <f>0.64+0.5</f>
        <v>1.1400000000000001</v>
      </c>
      <c r="R5" s="173">
        <f>E5/0.15</f>
        <v>24.333333333333332</v>
      </c>
      <c r="S5" s="174">
        <f>0.395*Q5*R5</f>
        <v>10.957300000000002</v>
      </c>
      <c r="T5" s="172">
        <v>12</v>
      </c>
      <c r="U5" s="172">
        <v>2</v>
      </c>
      <c r="V5" s="69">
        <f>0.888*U5*E5</f>
        <v>6.4824000000000002</v>
      </c>
    </row>
    <row r="6" spans="1:22" ht="14.25" customHeight="1" x14ac:dyDescent="0.35">
      <c r="A6" s="170" t="s">
        <v>1187</v>
      </c>
      <c r="B6" s="69" t="s">
        <v>1180</v>
      </c>
      <c r="C6" s="172">
        <v>0.3</v>
      </c>
      <c r="D6" s="172">
        <v>0.6</v>
      </c>
      <c r="E6" s="172">
        <v>1.34</v>
      </c>
      <c r="F6" s="172">
        <v>0.15</v>
      </c>
      <c r="G6" s="69">
        <f t="shared" si="0"/>
        <v>1.8759999999999999</v>
      </c>
      <c r="H6" s="69">
        <f t="shared" si="1"/>
        <v>0.18089999999999998</v>
      </c>
      <c r="I6" s="172">
        <v>20</v>
      </c>
      <c r="J6" s="172">
        <v>10</v>
      </c>
      <c r="K6" s="69">
        <f>2.466*J6*E6</f>
        <v>33.04440000000001</v>
      </c>
      <c r="L6" s="172">
        <v>10</v>
      </c>
      <c r="M6" s="172">
        <f>1.6+0.75+0.5+0.5</f>
        <v>3.35</v>
      </c>
      <c r="N6" s="174">
        <f t="shared" si="2"/>
        <v>8.9333333333333336</v>
      </c>
      <c r="O6" s="174">
        <f>0.617*M6*N6</f>
        <v>18.464753333333331</v>
      </c>
      <c r="P6" s="172">
        <v>10</v>
      </c>
      <c r="Q6" s="172">
        <f>1.6+0.75+0.5+0.5</f>
        <v>3.35</v>
      </c>
      <c r="R6" s="173">
        <f>E6/0.15</f>
        <v>8.9333333333333336</v>
      </c>
      <c r="S6" s="174">
        <f>0.617*Q6*R6</f>
        <v>18.464753333333331</v>
      </c>
      <c r="T6" s="172">
        <v>12</v>
      </c>
      <c r="U6" s="172">
        <v>2</v>
      </c>
      <c r="V6" s="69">
        <f>0.888*U6*E6</f>
        <v>2.3798400000000002</v>
      </c>
    </row>
    <row r="7" spans="1:22" ht="14.25" customHeight="1" x14ac:dyDescent="0.35">
      <c r="A7" s="170" t="s">
        <v>1187</v>
      </c>
      <c r="B7" s="69" t="s">
        <v>1181</v>
      </c>
      <c r="C7" s="172">
        <v>0.4</v>
      </c>
      <c r="D7" s="172">
        <v>0.6</v>
      </c>
      <c r="E7" s="172">
        <v>43</v>
      </c>
      <c r="F7" s="172">
        <v>0.15</v>
      </c>
      <c r="G7" s="69">
        <f t="shared" si="0"/>
        <v>64.5</v>
      </c>
      <c r="H7" s="69">
        <f t="shared" si="1"/>
        <v>7.7399999999999993</v>
      </c>
      <c r="I7" s="172">
        <v>20</v>
      </c>
      <c r="J7" s="172">
        <v>16</v>
      </c>
      <c r="K7" s="69">
        <f>'rebar weight'!H4*J7*E7</f>
        <v>1696.6080000000002</v>
      </c>
      <c r="L7" s="172">
        <v>10</v>
      </c>
      <c r="M7" s="172">
        <f>2+1.5</f>
        <v>3.5</v>
      </c>
      <c r="N7" s="174">
        <f t="shared" si="2"/>
        <v>286.66666666666669</v>
      </c>
      <c r="O7" s="174">
        <f>0.617*M7*N7</f>
        <v>619.05666666666673</v>
      </c>
      <c r="P7" s="172">
        <v>10</v>
      </c>
      <c r="Q7" s="172">
        <f>0.6+0.6</f>
        <v>1.2</v>
      </c>
      <c r="R7" s="173">
        <f>E7/0.3</f>
        <v>143.33333333333334</v>
      </c>
      <c r="S7" s="174">
        <f>0.617*Q7*R7</f>
        <v>106.124</v>
      </c>
      <c r="T7" s="172">
        <v>16</v>
      </c>
      <c r="U7" s="172">
        <v>2</v>
      </c>
      <c r="V7" s="69">
        <f>'rebar weight'!G4*U7*E7</f>
        <v>135.708</v>
      </c>
    </row>
    <row r="8" spans="1:22" ht="14.25" customHeight="1" x14ac:dyDescent="0.35">
      <c r="A8" s="170" t="s">
        <v>1187</v>
      </c>
      <c r="B8" s="69" t="s">
        <v>1182</v>
      </c>
      <c r="C8" s="172">
        <v>0.4</v>
      </c>
      <c r="D8" s="172">
        <v>0.7</v>
      </c>
      <c r="E8" s="172">
        <v>113</v>
      </c>
      <c r="F8" s="172">
        <v>0.15</v>
      </c>
      <c r="G8" s="69">
        <f t="shared" si="0"/>
        <v>192.1</v>
      </c>
      <c r="H8" s="69">
        <f t="shared" si="1"/>
        <v>24.859999999999996</v>
      </c>
      <c r="I8" s="172">
        <v>25</v>
      </c>
      <c r="J8" s="172">
        <v>16</v>
      </c>
      <c r="K8" s="69">
        <f>'rebar weight'!I4*J8*E8</f>
        <v>6966.2240000000002</v>
      </c>
      <c r="L8" s="172">
        <v>10</v>
      </c>
      <c r="M8" s="172">
        <f>2+1.5</f>
        <v>3.5</v>
      </c>
      <c r="N8" s="174">
        <f t="shared" si="2"/>
        <v>753.33333333333337</v>
      </c>
      <c r="O8" s="174">
        <f>0.617*M8*N8</f>
        <v>1626.8233333333335</v>
      </c>
      <c r="P8" s="172">
        <v>10</v>
      </c>
      <c r="Q8" s="172">
        <f>0.6+0.6</f>
        <v>1.2</v>
      </c>
      <c r="R8" s="173">
        <f>E8/0.3</f>
        <v>376.66666666666669</v>
      </c>
      <c r="S8" s="174">
        <f>0.617*Q8*R8</f>
        <v>278.88400000000001</v>
      </c>
      <c r="T8" s="172">
        <v>16</v>
      </c>
      <c r="U8" s="172">
        <v>2</v>
      </c>
      <c r="V8" s="69">
        <f>'rebar weight'!G4*U8*E8</f>
        <v>356.62800000000004</v>
      </c>
    </row>
    <row r="9" spans="1:22" ht="14.25" customHeight="1" x14ac:dyDescent="0.35">
      <c r="A9" s="170" t="s">
        <v>1187</v>
      </c>
      <c r="B9" s="69" t="s">
        <v>1183</v>
      </c>
      <c r="C9" s="172">
        <v>0.2</v>
      </c>
      <c r="D9" s="172">
        <v>0.4</v>
      </c>
      <c r="E9" s="172">
        <v>0</v>
      </c>
      <c r="F9" s="172">
        <v>0.15</v>
      </c>
      <c r="G9" s="69">
        <f t="shared" si="0"/>
        <v>0</v>
      </c>
      <c r="H9" s="69">
        <f t="shared" si="1"/>
        <v>0</v>
      </c>
      <c r="I9" s="172">
        <v>0</v>
      </c>
      <c r="J9" s="172">
        <v>0</v>
      </c>
      <c r="K9" s="69">
        <f>2.466*J9*E9</f>
        <v>0</v>
      </c>
      <c r="L9" s="172"/>
      <c r="M9" s="172"/>
      <c r="N9" s="174">
        <f t="shared" si="2"/>
        <v>0</v>
      </c>
      <c r="O9" s="174">
        <f>0.617*M9*N9</f>
        <v>0</v>
      </c>
      <c r="P9" s="172"/>
      <c r="Q9" s="172"/>
      <c r="R9" s="173">
        <f>E9/0.15</f>
        <v>0</v>
      </c>
      <c r="S9" s="174">
        <f>0.617*Q9*R9</f>
        <v>0</v>
      </c>
      <c r="T9" s="172"/>
      <c r="U9" s="172"/>
      <c r="V9" s="69">
        <f>1.578*U9*E9</f>
        <v>0</v>
      </c>
    </row>
    <row r="10" spans="1:22" ht="14.25" customHeight="1" x14ac:dyDescent="0.35">
      <c r="A10" s="170" t="s">
        <v>1187</v>
      </c>
      <c r="B10" s="69" t="s">
        <v>1184</v>
      </c>
      <c r="C10" s="172">
        <v>0.4</v>
      </c>
      <c r="D10" s="172">
        <v>0.7</v>
      </c>
      <c r="E10" s="172">
        <v>9.1</v>
      </c>
      <c r="F10" s="172">
        <v>0.15</v>
      </c>
      <c r="G10" s="69">
        <f t="shared" si="0"/>
        <v>15.469999999999999</v>
      </c>
      <c r="H10" s="69">
        <f t="shared" si="1"/>
        <v>2.0019999999999998</v>
      </c>
      <c r="I10" s="172">
        <v>25</v>
      </c>
      <c r="J10" s="172">
        <v>16</v>
      </c>
      <c r="K10" s="69">
        <f>'rebar weight'!I4*J10*E10</f>
        <v>560.99680000000001</v>
      </c>
      <c r="L10" s="172">
        <v>12</v>
      </c>
      <c r="M10" s="172">
        <f>2.2+1.7</f>
        <v>3.9000000000000004</v>
      </c>
      <c r="N10" s="174">
        <f t="shared" si="2"/>
        <v>60.666666666666664</v>
      </c>
      <c r="O10" s="174">
        <f>'rebar weight'!E4*M10*N10</f>
        <v>210.10080000000002</v>
      </c>
      <c r="P10" s="172">
        <v>10</v>
      </c>
      <c r="Q10" s="172">
        <f>0.55+0.55+0.55</f>
        <v>1.6500000000000001</v>
      </c>
      <c r="R10" s="173">
        <f>E10/0.3</f>
        <v>30.333333333333332</v>
      </c>
      <c r="S10" s="174">
        <f>'rebar weight'!D4*Q10*R10</f>
        <v>30.880850000000002</v>
      </c>
      <c r="T10" s="172">
        <v>16</v>
      </c>
      <c r="U10" s="172">
        <v>4</v>
      </c>
      <c r="V10" s="69">
        <f>'rebar weight'!G4*U10*E10</f>
        <v>57.4392</v>
      </c>
    </row>
    <row r="11" spans="1:22" ht="14.25" customHeight="1" x14ac:dyDescent="0.35">
      <c r="G11">
        <f>SUM(G3:G10)</f>
        <v>446.52599999999995</v>
      </c>
      <c r="H11">
        <f>SUM(H3:H10)</f>
        <v>46.741149999999998</v>
      </c>
    </row>
    <row r="14" spans="1:22" ht="14.25" customHeight="1" x14ac:dyDescent="0.35">
      <c r="I14">
        <v>8</v>
      </c>
      <c r="J14" s="175">
        <f>O3+O4+O5+S3+S4+S5</f>
        <v>624.19479999999999</v>
      </c>
      <c r="K14" s="175">
        <f t="shared" ref="K14:K19" si="3">J14/$H$11</f>
        <v>13.35428845888473</v>
      </c>
    </row>
    <row r="15" spans="1:22" ht="14.25" customHeight="1" x14ac:dyDescent="0.35">
      <c r="I15">
        <v>10</v>
      </c>
      <c r="J15" s="175">
        <f>O6+O7+O8+R6+R7+R8+R9+R10</f>
        <v>2823.6114200000006</v>
      </c>
      <c r="K15" s="175">
        <f t="shared" si="3"/>
        <v>60.409541057505024</v>
      </c>
    </row>
    <row r="16" spans="1:22" ht="14.25" customHeight="1" x14ac:dyDescent="0.35">
      <c r="I16">
        <v>12</v>
      </c>
      <c r="J16" s="175">
        <f>O10+V4+V5+V6</f>
        <v>295.33103999999997</v>
      </c>
      <c r="K16" s="175">
        <f t="shared" si="3"/>
        <v>6.3184376079749853</v>
      </c>
    </row>
    <row r="17" spans="9:11" ht="14.25" customHeight="1" x14ac:dyDescent="0.35">
      <c r="I17">
        <v>16</v>
      </c>
      <c r="J17" s="175">
        <f>K3+K4+V7+V8+V10</f>
        <v>2411.8152</v>
      </c>
      <c r="K17" s="175">
        <f t="shared" si="3"/>
        <v>51.599397960897413</v>
      </c>
    </row>
    <row r="18" spans="9:11" ht="14.25" customHeight="1" x14ac:dyDescent="0.35">
      <c r="I18">
        <v>20</v>
      </c>
      <c r="J18" s="175">
        <f>K5+K6+K7</f>
        <v>1819.6614000000002</v>
      </c>
      <c r="K18" s="175">
        <f t="shared" si="3"/>
        <v>38.930608254182886</v>
      </c>
    </row>
    <row r="19" spans="9:11" ht="14.25" customHeight="1" x14ac:dyDescent="0.35">
      <c r="I19">
        <v>25</v>
      </c>
      <c r="J19" s="175">
        <f>K8+K10</f>
        <v>7527.2208000000001</v>
      </c>
      <c r="K19" s="175">
        <f t="shared" si="3"/>
        <v>161.04055634061208</v>
      </c>
    </row>
    <row r="20" spans="9:11" ht="14.25" customHeight="1" x14ac:dyDescent="0.35">
      <c r="J20" s="175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20"/>
  <sheetViews>
    <sheetView zoomScale="80" zoomScaleNormal="80" workbookViewId="0">
      <selection activeCell="F23" sqref="F23"/>
    </sheetView>
  </sheetViews>
  <sheetFormatPr defaultColWidth="8.7265625" defaultRowHeight="14.5" x14ac:dyDescent="0.35"/>
  <cols>
    <col min="1" max="1" width="9.1796875" style="168" customWidth="1"/>
    <col min="2" max="2" width="12.54296875" customWidth="1"/>
    <col min="3" max="3" width="15.26953125" customWidth="1"/>
    <col min="4" max="4" width="16" customWidth="1"/>
    <col min="5" max="5" width="17.26953125" customWidth="1"/>
    <col min="6" max="6" width="19.453125" customWidth="1"/>
    <col min="7" max="7" width="15.7265625" customWidth="1"/>
    <col min="8" max="8" width="14.54296875" customWidth="1"/>
    <col min="9" max="9" width="14.453125" customWidth="1"/>
    <col min="10" max="10" width="19.81640625" customWidth="1"/>
    <col min="11" max="11" width="12" customWidth="1"/>
    <col min="12" max="12" width="7.7265625" customWidth="1"/>
    <col min="13" max="13" width="10.7265625" customWidth="1"/>
    <col min="14" max="14" width="20.7265625" customWidth="1"/>
    <col min="15" max="15" width="13" customWidth="1"/>
    <col min="16" max="16" width="7.7265625" customWidth="1"/>
    <col min="17" max="17" width="10.7265625" customWidth="1"/>
    <col min="18" max="18" width="20.7265625" customWidth="1"/>
    <col min="19" max="19" width="12" customWidth="1"/>
    <col min="20" max="20" width="13.54296875" customWidth="1"/>
    <col min="21" max="21" width="19.1796875" customWidth="1"/>
    <col min="22" max="22" width="12" customWidth="1"/>
  </cols>
  <sheetData>
    <row r="1" spans="1:22" ht="14.25" customHeight="1" x14ac:dyDescent="0.35">
      <c r="A1" s="215" t="s">
        <v>1185</v>
      </c>
      <c r="B1" s="215"/>
      <c r="C1" s="215"/>
      <c r="D1" s="215"/>
      <c r="E1" s="215"/>
      <c r="F1" s="215"/>
    </row>
    <row r="2" spans="1:22" ht="14.25" customHeight="1" x14ac:dyDescent="0.35">
      <c r="A2" s="170" t="s">
        <v>1157</v>
      </c>
      <c r="B2" s="69" t="s">
        <v>1158</v>
      </c>
      <c r="C2" s="69" t="s">
        <v>1159</v>
      </c>
      <c r="D2" s="69" t="s">
        <v>1160</v>
      </c>
      <c r="E2" s="69" t="s">
        <v>1161</v>
      </c>
      <c r="F2" s="69" t="s">
        <v>1162</v>
      </c>
      <c r="G2" s="69" t="s">
        <v>1163</v>
      </c>
      <c r="H2" s="69" t="s">
        <v>1164</v>
      </c>
      <c r="I2" s="69" t="s">
        <v>1168</v>
      </c>
      <c r="J2" s="69" t="s">
        <v>1169</v>
      </c>
      <c r="K2" s="171" t="s">
        <v>1170</v>
      </c>
      <c r="L2" s="171" t="s">
        <v>1171</v>
      </c>
      <c r="M2" s="171" t="s">
        <v>1172</v>
      </c>
      <c r="N2" s="69" t="s">
        <v>1173</v>
      </c>
      <c r="O2" s="69" t="s">
        <v>1170</v>
      </c>
      <c r="P2" s="171" t="s">
        <v>1186</v>
      </c>
      <c r="Q2" s="171" t="s">
        <v>1172</v>
      </c>
      <c r="R2" s="69" t="s">
        <v>1173</v>
      </c>
      <c r="S2" s="69" t="s">
        <v>1170</v>
      </c>
      <c r="T2" s="69" t="s">
        <v>1174</v>
      </c>
      <c r="U2" s="69" t="s">
        <v>1175</v>
      </c>
      <c r="V2" s="69" t="s">
        <v>1170</v>
      </c>
    </row>
    <row r="3" spans="1:22" ht="14.25" customHeight="1" x14ac:dyDescent="0.35">
      <c r="A3" s="170" t="s">
        <v>1187</v>
      </c>
      <c r="B3" s="69" t="s">
        <v>1177</v>
      </c>
      <c r="C3" s="172">
        <v>0.25</v>
      </c>
      <c r="D3" s="172">
        <v>0.4</v>
      </c>
      <c r="E3" s="172">
        <v>125</v>
      </c>
      <c r="F3" s="172">
        <v>0.15</v>
      </c>
      <c r="G3" s="69">
        <f t="shared" ref="G3:G10" si="0">((C3+0.2)+(D3-F3)*2)*E3</f>
        <v>118.75</v>
      </c>
      <c r="H3" s="69">
        <f t="shared" ref="H3:H10" si="1">C3*(D3-F3)*E3</f>
        <v>7.8125</v>
      </c>
      <c r="I3" s="172">
        <v>16</v>
      </c>
      <c r="J3" s="172">
        <v>6</v>
      </c>
      <c r="K3" s="69">
        <f>J3*E3*'rebar weight'!G4</f>
        <v>1183.5</v>
      </c>
      <c r="L3" s="172">
        <v>8</v>
      </c>
      <c r="M3" s="172">
        <v>1.2</v>
      </c>
      <c r="N3" s="174">
        <f t="shared" ref="N3:N10" si="2">E3/0.15</f>
        <v>833.33333333333337</v>
      </c>
      <c r="O3" s="174">
        <f>M3*N3*'rebar weight'!C4</f>
        <v>395</v>
      </c>
      <c r="P3" s="172">
        <v>0</v>
      </c>
      <c r="Q3" s="172">
        <v>0</v>
      </c>
      <c r="R3" s="173">
        <f>E3/0.15</f>
        <v>833.33333333333337</v>
      </c>
      <c r="S3" s="174">
        <f>0.395*Q3*R3</f>
        <v>0</v>
      </c>
      <c r="T3" s="172">
        <v>0</v>
      </c>
      <c r="U3" s="172">
        <v>0</v>
      </c>
      <c r="V3" s="69">
        <f>'rebar weight'!E3*U3*E3</f>
        <v>0</v>
      </c>
    </row>
    <row r="4" spans="1:22" ht="14.25" customHeight="1" x14ac:dyDescent="0.35">
      <c r="A4" s="170" t="s">
        <v>1187</v>
      </c>
      <c r="B4" s="69" t="s">
        <v>1178</v>
      </c>
      <c r="C4" s="172">
        <v>0.25</v>
      </c>
      <c r="D4" s="172">
        <v>0.5</v>
      </c>
      <c r="E4" s="172">
        <v>43</v>
      </c>
      <c r="F4" s="172">
        <v>0.15</v>
      </c>
      <c r="G4" s="69">
        <f t="shared" si="0"/>
        <v>49.449999999999996</v>
      </c>
      <c r="H4" s="69">
        <f t="shared" si="1"/>
        <v>3.7624999999999997</v>
      </c>
      <c r="I4" s="172">
        <v>16</v>
      </c>
      <c r="J4" s="172">
        <v>10</v>
      </c>
      <c r="K4" s="69">
        <f>'rebar weight'!G4*J4*E4</f>
        <v>678.54000000000008</v>
      </c>
      <c r="L4" s="172">
        <v>8</v>
      </c>
      <c r="M4" s="172">
        <f>1.4</f>
        <v>1.4</v>
      </c>
      <c r="N4" s="174">
        <f t="shared" si="2"/>
        <v>286.66666666666669</v>
      </c>
      <c r="O4" s="174">
        <f>0.395*M4*N4</f>
        <v>158.52666666666667</v>
      </c>
      <c r="P4" s="172">
        <v>8</v>
      </c>
      <c r="Q4" s="172">
        <f>0.4</f>
        <v>0.4</v>
      </c>
      <c r="R4" s="173">
        <f>E4/0.15</f>
        <v>286.66666666666669</v>
      </c>
      <c r="S4" s="174">
        <f>0.395*Q4*R4</f>
        <v>45.293333333333344</v>
      </c>
      <c r="T4" s="172">
        <v>12</v>
      </c>
      <c r="U4" s="172">
        <v>2</v>
      </c>
      <c r="V4" s="69">
        <f>'rebar weight'!E4*U4*E4</f>
        <v>76.367999999999995</v>
      </c>
    </row>
    <row r="5" spans="1:22" ht="14.25" customHeight="1" x14ac:dyDescent="0.35">
      <c r="A5" s="170" t="s">
        <v>1187</v>
      </c>
      <c r="B5" s="69" t="s">
        <v>1179</v>
      </c>
      <c r="C5" s="172">
        <v>0.3</v>
      </c>
      <c r="D5" s="172">
        <v>0.5</v>
      </c>
      <c r="E5" s="172">
        <v>3.65</v>
      </c>
      <c r="F5" s="172">
        <v>0.15</v>
      </c>
      <c r="G5" s="69">
        <f t="shared" si="0"/>
        <v>4.38</v>
      </c>
      <c r="H5" s="69">
        <f t="shared" si="1"/>
        <v>0.38324999999999998</v>
      </c>
      <c r="I5" s="172">
        <v>20</v>
      </c>
      <c r="J5" s="172">
        <v>10</v>
      </c>
      <c r="K5" s="69">
        <f>'rebar weight'!H4*J5*E5</f>
        <v>90.009000000000015</v>
      </c>
      <c r="L5" s="172">
        <v>8</v>
      </c>
      <c r="M5" s="172">
        <f>1.5</f>
        <v>1.5</v>
      </c>
      <c r="N5" s="174">
        <f t="shared" si="2"/>
        <v>24.333333333333332</v>
      </c>
      <c r="O5" s="174">
        <f>'rebar weight'!C4*M5*N5</f>
        <v>14.4175</v>
      </c>
      <c r="P5" s="172">
        <v>8</v>
      </c>
      <c r="Q5" s="172">
        <f>0.64+0.5</f>
        <v>1.1400000000000001</v>
      </c>
      <c r="R5" s="173">
        <f>E5/0.15</f>
        <v>24.333333333333332</v>
      </c>
      <c r="S5" s="174">
        <f>0.395*Q5*R5</f>
        <v>10.957300000000002</v>
      </c>
      <c r="T5" s="172">
        <v>12</v>
      </c>
      <c r="U5" s="172">
        <v>2</v>
      </c>
      <c r="V5" s="69">
        <f>0.888*U5*E5</f>
        <v>6.4824000000000002</v>
      </c>
    </row>
    <row r="6" spans="1:22" ht="14.25" customHeight="1" x14ac:dyDescent="0.35">
      <c r="A6" s="170" t="s">
        <v>1187</v>
      </c>
      <c r="B6" s="69" t="s">
        <v>1180</v>
      </c>
      <c r="C6" s="172">
        <v>0.3</v>
      </c>
      <c r="D6" s="172">
        <v>0.6</v>
      </c>
      <c r="E6" s="172">
        <v>1.34</v>
      </c>
      <c r="F6" s="172">
        <v>0.15</v>
      </c>
      <c r="G6" s="69">
        <f t="shared" si="0"/>
        <v>1.8759999999999999</v>
      </c>
      <c r="H6" s="69">
        <f t="shared" si="1"/>
        <v>0.18089999999999998</v>
      </c>
      <c r="I6" s="172">
        <v>20</v>
      </c>
      <c r="J6" s="172">
        <v>10</v>
      </c>
      <c r="K6" s="69">
        <f>2.466*J6*E6</f>
        <v>33.04440000000001</v>
      </c>
      <c r="L6" s="172">
        <v>10</v>
      </c>
      <c r="M6" s="172">
        <f>1.6+0.75+0.5+0.5</f>
        <v>3.35</v>
      </c>
      <c r="N6" s="174">
        <f t="shared" si="2"/>
        <v>8.9333333333333336</v>
      </c>
      <c r="O6" s="174">
        <f>0.617*M6*N6</f>
        <v>18.464753333333331</v>
      </c>
      <c r="P6" s="172">
        <v>10</v>
      </c>
      <c r="Q6" s="172">
        <f>1.6+0.75+0.5+0.5</f>
        <v>3.35</v>
      </c>
      <c r="R6" s="173">
        <f>E6/0.15</f>
        <v>8.9333333333333336</v>
      </c>
      <c r="S6" s="174">
        <f>0.617*Q6*R6</f>
        <v>18.464753333333331</v>
      </c>
      <c r="T6" s="172">
        <v>12</v>
      </c>
      <c r="U6" s="172">
        <v>2</v>
      </c>
      <c r="V6" s="69">
        <f>0.888*U6*E6</f>
        <v>2.3798400000000002</v>
      </c>
    </row>
    <row r="7" spans="1:22" ht="14.25" customHeight="1" x14ac:dyDescent="0.35">
      <c r="A7" s="170" t="s">
        <v>1187</v>
      </c>
      <c r="B7" s="69" t="s">
        <v>1181</v>
      </c>
      <c r="C7" s="172">
        <v>0.4</v>
      </c>
      <c r="D7" s="172">
        <v>0.6</v>
      </c>
      <c r="E7" s="172">
        <v>43</v>
      </c>
      <c r="F7" s="172">
        <v>0.15</v>
      </c>
      <c r="G7" s="69">
        <f t="shared" si="0"/>
        <v>64.5</v>
      </c>
      <c r="H7" s="69">
        <f t="shared" si="1"/>
        <v>7.7399999999999993</v>
      </c>
      <c r="I7" s="172">
        <v>20</v>
      </c>
      <c r="J7" s="172">
        <v>16</v>
      </c>
      <c r="K7" s="69">
        <f>'rebar weight'!H4*J7*E7</f>
        <v>1696.6080000000002</v>
      </c>
      <c r="L7" s="172">
        <v>10</v>
      </c>
      <c r="M7" s="172">
        <f>2+1.5</f>
        <v>3.5</v>
      </c>
      <c r="N7" s="174">
        <f t="shared" si="2"/>
        <v>286.66666666666669</v>
      </c>
      <c r="O7" s="174">
        <f>0.617*M7*N7</f>
        <v>619.05666666666673</v>
      </c>
      <c r="P7" s="172">
        <v>10</v>
      </c>
      <c r="Q7" s="172">
        <f>0.6+0.6</f>
        <v>1.2</v>
      </c>
      <c r="R7" s="173">
        <f>E7/0.3</f>
        <v>143.33333333333334</v>
      </c>
      <c r="S7" s="174">
        <f>0.617*Q7*R7</f>
        <v>106.124</v>
      </c>
      <c r="T7" s="172">
        <v>16</v>
      </c>
      <c r="U7" s="172">
        <v>2</v>
      </c>
      <c r="V7" s="69">
        <f>'rebar weight'!G4*U7*E7</f>
        <v>135.708</v>
      </c>
    </row>
    <row r="8" spans="1:22" ht="14.25" customHeight="1" x14ac:dyDescent="0.35">
      <c r="A8" s="170" t="s">
        <v>1187</v>
      </c>
      <c r="B8" s="69" t="s">
        <v>1182</v>
      </c>
      <c r="C8" s="172">
        <v>0.4</v>
      </c>
      <c r="D8" s="172">
        <v>0.7</v>
      </c>
      <c r="E8" s="172">
        <v>113</v>
      </c>
      <c r="F8" s="172">
        <v>0.15</v>
      </c>
      <c r="G8" s="69">
        <f t="shared" si="0"/>
        <v>192.1</v>
      </c>
      <c r="H8" s="69">
        <f t="shared" si="1"/>
        <v>24.859999999999996</v>
      </c>
      <c r="I8" s="172">
        <v>25</v>
      </c>
      <c r="J8" s="172">
        <v>16</v>
      </c>
      <c r="K8" s="69">
        <f>'rebar weight'!I4*J8*E8</f>
        <v>6966.2240000000002</v>
      </c>
      <c r="L8" s="172">
        <v>10</v>
      </c>
      <c r="M8" s="172">
        <f>2+1.5</f>
        <v>3.5</v>
      </c>
      <c r="N8" s="174">
        <f t="shared" si="2"/>
        <v>753.33333333333337</v>
      </c>
      <c r="O8" s="174">
        <f>0.617*M8*N8</f>
        <v>1626.8233333333335</v>
      </c>
      <c r="P8" s="172">
        <v>10</v>
      </c>
      <c r="Q8" s="172">
        <f>0.6+0.6</f>
        <v>1.2</v>
      </c>
      <c r="R8" s="173">
        <f>E8/0.3</f>
        <v>376.66666666666669</v>
      </c>
      <c r="S8" s="174">
        <f>0.617*Q8*R8</f>
        <v>278.88400000000001</v>
      </c>
      <c r="T8" s="172">
        <v>16</v>
      </c>
      <c r="U8" s="172">
        <v>2</v>
      </c>
      <c r="V8" s="69">
        <f>'rebar weight'!G4*U8*E8</f>
        <v>356.62800000000004</v>
      </c>
    </row>
    <row r="9" spans="1:22" ht="14.25" customHeight="1" x14ac:dyDescent="0.35">
      <c r="A9" s="170" t="s">
        <v>1187</v>
      </c>
      <c r="B9" s="69" t="s">
        <v>1183</v>
      </c>
      <c r="C9" s="172">
        <v>0.2</v>
      </c>
      <c r="D9" s="172">
        <v>0.4</v>
      </c>
      <c r="E9" s="172">
        <v>0</v>
      </c>
      <c r="F9" s="172">
        <v>0.15</v>
      </c>
      <c r="G9" s="69">
        <f t="shared" si="0"/>
        <v>0</v>
      </c>
      <c r="H9" s="69">
        <f t="shared" si="1"/>
        <v>0</v>
      </c>
      <c r="I9" s="172">
        <v>0</v>
      </c>
      <c r="J9" s="172">
        <v>0</v>
      </c>
      <c r="K9" s="69">
        <f>2.466*J9*E9</f>
        <v>0</v>
      </c>
      <c r="L9" s="172"/>
      <c r="M9" s="172"/>
      <c r="N9" s="174">
        <f t="shared" si="2"/>
        <v>0</v>
      </c>
      <c r="O9" s="174">
        <f>0.617*M9*N9</f>
        <v>0</v>
      </c>
      <c r="P9" s="172"/>
      <c r="Q9" s="172"/>
      <c r="R9" s="173">
        <f>E9/0.15</f>
        <v>0</v>
      </c>
      <c r="S9" s="174">
        <f>0.617*Q9*R9</f>
        <v>0</v>
      </c>
      <c r="T9" s="172"/>
      <c r="U9" s="172"/>
      <c r="V9" s="69">
        <f>1.578*U9*E9</f>
        <v>0</v>
      </c>
    </row>
    <row r="10" spans="1:22" ht="14.25" customHeight="1" x14ac:dyDescent="0.35">
      <c r="A10" s="170" t="s">
        <v>1187</v>
      </c>
      <c r="B10" s="69" t="s">
        <v>1184</v>
      </c>
      <c r="C10" s="172">
        <v>0.4</v>
      </c>
      <c r="D10" s="172">
        <v>0.7</v>
      </c>
      <c r="E10" s="172">
        <v>9.1</v>
      </c>
      <c r="F10" s="172">
        <v>0.15</v>
      </c>
      <c r="G10" s="69">
        <f t="shared" si="0"/>
        <v>15.469999999999999</v>
      </c>
      <c r="H10" s="69">
        <f t="shared" si="1"/>
        <v>2.0019999999999998</v>
      </c>
      <c r="I10" s="172">
        <v>25</v>
      </c>
      <c r="J10" s="172">
        <v>16</v>
      </c>
      <c r="K10" s="69">
        <f>'rebar weight'!I4*J10*E10</f>
        <v>560.99680000000001</v>
      </c>
      <c r="L10" s="172">
        <v>12</v>
      </c>
      <c r="M10" s="172">
        <f>2.2+1.7</f>
        <v>3.9000000000000004</v>
      </c>
      <c r="N10" s="174">
        <f t="shared" si="2"/>
        <v>60.666666666666664</v>
      </c>
      <c r="O10" s="174">
        <f>'rebar weight'!E4*M10*N10</f>
        <v>210.10080000000002</v>
      </c>
      <c r="P10" s="172">
        <v>10</v>
      </c>
      <c r="Q10" s="172">
        <f>0.55+0.55+0.55</f>
        <v>1.6500000000000001</v>
      </c>
      <c r="R10" s="173">
        <f>E10/0.3</f>
        <v>30.333333333333332</v>
      </c>
      <c r="S10" s="174">
        <f>'rebar weight'!D4*Q10*R10</f>
        <v>30.880850000000002</v>
      </c>
      <c r="T10" s="172">
        <v>16</v>
      </c>
      <c r="U10" s="172">
        <v>4</v>
      </c>
      <c r="V10" s="69">
        <f>'rebar weight'!G4*U10*E10</f>
        <v>57.4392</v>
      </c>
    </row>
    <row r="11" spans="1:22" ht="14.25" customHeight="1" x14ac:dyDescent="0.35">
      <c r="G11">
        <f>SUM(G3:G10)</f>
        <v>446.52599999999995</v>
      </c>
      <c r="H11">
        <f>SUM(H3:H10)</f>
        <v>46.741149999999998</v>
      </c>
    </row>
    <row r="14" spans="1:22" ht="14.25" customHeight="1" x14ac:dyDescent="0.35">
      <c r="I14">
        <v>8</v>
      </c>
      <c r="J14" s="175">
        <f>O3+O4+O5+S3+S4+S5</f>
        <v>624.19479999999999</v>
      </c>
      <c r="K14" s="175">
        <f t="shared" ref="K14:K19" si="3">J14/$H$11</f>
        <v>13.35428845888473</v>
      </c>
    </row>
    <row r="15" spans="1:22" ht="14.25" customHeight="1" x14ac:dyDescent="0.35">
      <c r="I15">
        <v>10</v>
      </c>
      <c r="J15" s="175">
        <f>O6+O7+O8+R6+R7+R8+R9+R10</f>
        <v>2823.6114200000006</v>
      </c>
      <c r="K15" s="175">
        <f t="shared" si="3"/>
        <v>60.409541057505024</v>
      </c>
    </row>
    <row r="16" spans="1:22" ht="14.25" customHeight="1" x14ac:dyDescent="0.35">
      <c r="I16">
        <v>12</v>
      </c>
      <c r="J16" s="175">
        <f>O10+V4+V5+V6</f>
        <v>295.33103999999997</v>
      </c>
      <c r="K16" s="175">
        <f t="shared" si="3"/>
        <v>6.3184376079749853</v>
      </c>
    </row>
    <row r="17" spans="9:11" ht="14.25" customHeight="1" x14ac:dyDescent="0.35">
      <c r="I17">
        <v>16</v>
      </c>
      <c r="J17" s="175">
        <f>K3+K4+V7+V8+V10</f>
        <v>2411.8152</v>
      </c>
      <c r="K17" s="175">
        <f t="shared" si="3"/>
        <v>51.599397960897413</v>
      </c>
    </row>
    <row r="18" spans="9:11" ht="14.25" customHeight="1" x14ac:dyDescent="0.35">
      <c r="I18">
        <v>20</v>
      </c>
      <c r="J18" s="175">
        <f>K5+K6+K7</f>
        <v>1819.6614000000002</v>
      </c>
      <c r="K18" s="175">
        <f t="shared" si="3"/>
        <v>38.930608254182886</v>
      </c>
    </row>
    <row r="19" spans="9:11" ht="14.25" customHeight="1" x14ac:dyDescent="0.35">
      <c r="I19">
        <v>25</v>
      </c>
      <c r="J19" s="175">
        <f>K8+K10</f>
        <v>7527.2208000000001</v>
      </c>
      <c r="K19" s="175">
        <f t="shared" si="3"/>
        <v>161.04055634061208</v>
      </c>
    </row>
    <row r="20" spans="9:11" ht="14.25" customHeight="1" x14ac:dyDescent="0.35">
      <c r="J20" s="175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20"/>
  <sheetViews>
    <sheetView zoomScale="80" zoomScaleNormal="80" workbookViewId="0">
      <selection activeCell="D30" sqref="D30"/>
    </sheetView>
  </sheetViews>
  <sheetFormatPr defaultColWidth="8.7265625" defaultRowHeight="14.5" x14ac:dyDescent="0.35"/>
  <cols>
    <col min="1" max="1" width="9.1796875" style="168" customWidth="1"/>
    <col min="2" max="2" width="12.54296875" customWidth="1"/>
    <col min="3" max="3" width="15.26953125" customWidth="1"/>
    <col min="4" max="4" width="16" customWidth="1"/>
    <col min="5" max="5" width="17.26953125" customWidth="1"/>
    <col min="6" max="6" width="19.453125" customWidth="1"/>
    <col min="7" max="7" width="15.7265625" customWidth="1"/>
    <col min="8" max="8" width="14.54296875" customWidth="1"/>
    <col min="9" max="9" width="14.453125" customWidth="1"/>
    <col min="10" max="10" width="19.81640625" customWidth="1"/>
    <col min="11" max="11" width="12" customWidth="1"/>
    <col min="12" max="12" width="7.7265625" customWidth="1"/>
    <col min="13" max="13" width="10.7265625" customWidth="1"/>
    <col min="14" max="14" width="20.7265625" customWidth="1"/>
    <col min="15" max="15" width="13" customWidth="1"/>
    <col min="16" max="16" width="7.7265625" customWidth="1"/>
    <col min="17" max="17" width="10.7265625" customWidth="1"/>
    <col min="18" max="18" width="20.7265625" customWidth="1"/>
    <col min="19" max="19" width="12" customWidth="1"/>
    <col min="20" max="20" width="13.54296875" customWidth="1"/>
    <col min="21" max="21" width="19.1796875" customWidth="1"/>
    <col min="22" max="22" width="12" customWidth="1"/>
  </cols>
  <sheetData>
    <row r="1" spans="1:22" ht="14.25" customHeight="1" x14ac:dyDescent="0.35">
      <c r="A1" s="215" t="s">
        <v>1185</v>
      </c>
      <c r="B1" s="215"/>
      <c r="C1" s="215"/>
      <c r="D1" s="215"/>
      <c r="E1" s="215"/>
      <c r="F1" s="215"/>
    </row>
    <row r="2" spans="1:22" ht="14.25" customHeight="1" x14ac:dyDescent="0.35">
      <c r="A2" s="170" t="s">
        <v>1157</v>
      </c>
      <c r="B2" s="69" t="s">
        <v>1158</v>
      </c>
      <c r="C2" s="69" t="s">
        <v>1159</v>
      </c>
      <c r="D2" s="69" t="s">
        <v>1160</v>
      </c>
      <c r="E2" s="69" t="s">
        <v>1161</v>
      </c>
      <c r="F2" s="69" t="s">
        <v>1162</v>
      </c>
      <c r="G2" s="69" t="s">
        <v>1163</v>
      </c>
      <c r="H2" s="69" t="s">
        <v>1164</v>
      </c>
      <c r="I2" s="69" t="s">
        <v>1168</v>
      </c>
      <c r="J2" s="69" t="s">
        <v>1169</v>
      </c>
      <c r="K2" s="171" t="s">
        <v>1170</v>
      </c>
      <c r="L2" s="171" t="s">
        <v>1171</v>
      </c>
      <c r="M2" s="171" t="s">
        <v>1172</v>
      </c>
      <c r="N2" s="69" t="s">
        <v>1173</v>
      </c>
      <c r="O2" s="69" t="s">
        <v>1170</v>
      </c>
      <c r="P2" s="171" t="s">
        <v>1186</v>
      </c>
      <c r="Q2" s="171" t="s">
        <v>1172</v>
      </c>
      <c r="R2" s="69" t="s">
        <v>1173</v>
      </c>
      <c r="S2" s="69" t="s">
        <v>1170</v>
      </c>
      <c r="T2" s="69" t="s">
        <v>1174</v>
      </c>
      <c r="U2" s="69" t="s">
        <v>1175</v>
      </c>
      <c r="V2" s="69" t="s">
        <v>1170</v>
      </c>
    </row>
    <row r="3" spans="1:22" ht="14.25" customHeight="1" x14ac:dyDescent="0.35">
      <c r="A3" s="170" t="s">
        <v>1187</v>
      </c>
      <c r="B3" s="69" t="s">
        <v>1177</v>
      </c>
      <c r="C3" s="172">
        <v>0.25</v>
      </c>
      <c r="D3" s="172">
        <v>0.4</v>
      </c>
      <c r="E3" s="172">
        <v>125</v>
      </c>
      <c r="F3" s="172">
        <v>0.15</v>
      </c>
      <c r="G3" s="69">
        <f t="shared" ref="G3:G10" si="0">((C3+0.2)+(D3-F3)*2)*E3</f>
        <v>118.75</v>
      </c>
      <c r="H3" s="69">
        <f t="shared" ref="H3:H10" si="1">C3*(D3-F3)*E3</f>
        <v>7.8125</v>
      </c>
      <c r="I3" s="172">
        <v>16</v>
      </c>
      <c r="J3" s="172">
        <v>6</v>
      </c>
      <c r="K3" s="69">
        <f>J3*E3*'rebar weight'!G4</f>
        <v>1183.5</v>
      </c>
      <c r="L3" s="172">
        <v>8</v>
      </c>
      <c r="M3" s="172">
        <v>1.2</v>
      </c>
      <c r="N3" s="174">
        <f t="shared" ref="N3:N10" si="2">E3/0.15</f>
        <v>833.33333333333337</v>
      </c>
      <c r="O3" s="174">
        <f>M3*N3*'rebar weight'!C4</f>
        <v>395</v>
      </c>
      <c r="P3" s="172">
        <v>0</v>
      </c>
      <c r="Q3" s="172">
        <v>0</v>
      </c>
      <c r="R3" s="173">
        <f>E3/0.15</f>
        <v>833.33333333333337</v>
      </c>
      <c r="S3" s="174">
        <f>0.395*Q3*R3</f>
        <v>0</v>
      </c>
      <c r="T3" s="172">
        <v>0</v>
      </c>
      <c r="U3" s="172">
        <v>0</v>
      </c>
      <c r="V3" s="69">
        <f>'rebar weight'!E3*U3*E3</f>
        <v>0</v>
      </c>
    </row>
    <row r="4" spans="1:22" ht="14.25" customHeight="1" x14ac:dyDescent="0.35">
      <c r="A4" s="170" t="s">
        <v>1187</v>
      </c>
      <c r="B4" s="69" t="s">
        <v>1178</v>
      </c>
      <c r="C4" s="172">
        <v>0.25</v>
      </c>
      <c r="D4" s="172">
        <v>0.5</v>
      </c>
      <c r="E4" s="172">
        <v>43</v>
      </c>
      <c r="F4" s="172">
        <v>0.15</v>
      </c>
      <c r="G4" s="69">
        <f t="shared" si="0"/>
        <v>49.449999999999996</v>
      </c>
      <c r="H4" s="69">
        <f t="shared" si="1"/>
        <v>3.7624999999999997</v>
      </c>
      <c r="I4" s="172">
        <v>16</v>
      </c>
      <c r="J4" s="172">
        <v>10</v>
      </c>
      <c r="K4" s="69">
        <f>'rebar weight'!G4*J4*E4</f>
        <v>678.54000000000008</v>
      </c>
      <c r="L4" s="172">
        <v>8</v>
      </c>
      <c r="M4" s="172">
        <f>1.4</f>
        <v>1.4</v>
      </c>
      <c r="N4" s="174">
        <f t="shared" si="2"/>
        <v>286.66666666666669</v>
      </c>
      <c r="O4" s="174">
        <f>0.395*M4*N4</f>
        <v>158.52666666666667</v>
      </c>
      <c r="P4" s="172">
        <v>8</v>
      </c>
      <c r="Q4" s="172">
        <f>0.4</f>
        <v>0.4</v>
      </c>
      <c r="R4" s="173">
        <f>E4/0.15</f>
        <v>286.66666666666669</v>
      </c>
      <c r="S4" s="174">
        <f>0.395*Q4*R4</f>
        <v>45.293333333333344</v>
      </c>
      <c r="T4" s="172">
        <v>12</v>
      </c>
      <c r="U4" s="172">
        <v>2</v>
      </c>
      <c r="V4" s="69">
        <f>'rebar weight'!E4*U4*E4</f>
        <v>76.367999999999995</v>
      </c>
    </row>
    <row r="5" spans="1:22" ht="14.25" customHeight="1" x14ac:dyDescent="0.35">
      <c r="A5" s="170" t="s">
        <v>1187</v>
      </c>
      <c r="B5" s="69" t="s">
        <v>1179</v>
      </c>
      <c r="C5" s="172">
        <v>0.3</v>
      </c>
      <c r="D5" s="172">
        <v>0.5</v>
      </c>
      <c r="E5" s="172">
        <v>3.65</v>
      </c>
      <c r="F5" s="172">
        <v>0.15</v>
      </c>
      <c r="G5" s="69">
        <f t="shared" si="0"/>
        <v>4.38</v>
      </c>
      <c r="H5" s="69">
        <f t="shared" si="1"/>
        <v>0.38324999999999998</v>
      </c>
      <c r="I5" s="172">
        <v>20</v>
      </c>
      <c r="J5" s="172">
        <v>10</v>
      </c>
      <c r="K5" s="69">
        <f>'rebar weight'!H4*J5*E5</f>
        <v>90.009000000000015</v>
      </c>
      <c r="L5" s="172">
        <v>8</v>
      </c>
      <c r="M5" s="172">
        <f>1.5</f>
        <v>1.5</v>
      </c>
      <c r="N5" s="174">
        <f t="shared" si="2"/>
        <v>24.333333333333332</v>
      </c>
      <c r="O5" s="174">
        <f>'rebar weight'!C4*M5*N5</f>
        <v>14.4175</v>
      </c>
      <c r="P5" s="172">
        <v>8</v>
      </c>
      <c r="Q5" s="172">
        <f>0.64+0.5</f>
        <v>1.1400000000000001</v>
      </c>
      <c r="R5" s="173">
        <f>E5/0.15</f>
        <v>24.333333333333332</v>
      </c>
      <c r="S5" s="174">
        <f>0.395*Q5*R5</f>
        <v>10.957300000000002</v>
      </c>
      <c r="T5" s="172">
        <v>12</v>
      </c>
      <c r="U5" s="172">
        <v>2</v>
      </c>
      <c r="V5" s="69">
        <f>0.888*U5*E5</f>
        <v>6.4824000000000002</v>
      </c>
    </row>
    <row r="6" spans="1:22" ht="14.25" customHeight="1" x14ac:dyDescent="0.35">
      <c r="A6" s="170" t="s">
        <v>1187</v>
      </c>
      <c r="B6" s="69" t="s">
        <v>1180</v>
      </c>
      <c r="C6" s="172">
        <v>0.3</v>
      </c>
      <c r="D6" s="172">
        <v>0.6</v>
      </c>
      <c r="E6" s="172">
        <v>1.34</v>
      </c>
      <c r="F6" s="172">
        <v>0.15</v>
      </c>
      <c r="G6" s="69">
        <f t="shared" si="0"/>
        <v>1.8759999999999999</v>
      </c>
      <c r="H6" s="69">
        <f t="shared" si="1"/>
        <v>0.18089999999999998</v>
      </c>
      <c r="I6" s="172">
        <v>20</v>
      </c>
      <c r="J6" s="172">
        <v>10</v>
      </c>
      <c r="K6" s="69">
        <f>2.466*J6*E6</f>
        <v>33.04440000000001</v>
      </c>
      <c r="L6" s="172">
        <v>10</v>
      </c>
      <c r="M6" s="172">
        <f>1.6+0.75+0.5+0.5</f>
        <v>3.35</v>
      </c>
      <c r="N6" s="174">
        <f t="shared" si="2"/>
        <v>8.9333333333333336</v>
      </c>
      <c r="O6" s="174">
        <f>0.617*M6*N6</f>
        <v>18.464753333333331</v>
      </c>
      <c r="P6" s="172">
        <v>10</v>
      </c>
      <c r="Q6" s="172">
        <f>1.6+0.75+0.5+0.5</f>
        <v>3.35</v>
      </c>
      <c r="R6" s="173">
        <f>E6/0.15</f>
        <v>8.9333333333333336</v>
      </c>
      <c r="S6" s="174">
        <f>0.617*Q6*R6</f>
        <v>18.464753333333331</v>
      </c>
      <c r="T6" s="172">
        <v>12</v>
      </c>
      <c r="U6" s="172">
        <v>2</v>
      </c>
      <c r="V6" s="69">
        <f>0.888*U6*E6</f>
        <v>2.3798400000000002</v>
      </c>
    </row>
    <row r="7" spans="1:22" ht="14.25" customHeight="1" x14ac:dyDescent="0.35">
      <c r="A7" s="170" t="s">
        <v>1187</v>
      </c>
      <c r="B7" s="69" t="s">
        <v>1181</v>
      </c>
      <c r="C7" s="172">
        <v>0.4</v>
      </c>
      <c r="D7" s="172">
        <v>0.6</v>
      </c>
      <c r="E7" s="172">
        <v>43</v>
      </c>
      <c r="F7" s="172">
        <v>0.15</v>
      </c>
      <c r="G7" s="69">
        <f t="shared" si="0"/>
        <v>64.5</v>
      </c>
      <c r="H7" s="69">
        <f t="shared" si="1"/>
        <v>7.7399999999999993</v>
      </c>
      <c r="I7" s="172">
        <v>20</v>
      </c>
      <c r="J7" s="172">
        <v>16</v>
      </c>
      <c r="K7" s="69">
        <f>'rebar weight'!H4*J7*E7</f>
        <v>1696.6080000000002</v>
      </c>
      <c r="L7" s="172">
        <v>10</v>
      </c>
      <c r="M7" s="172">
        <f>2+1.5</f>
        <v>3.5</v>
      </c>
      <c r="N7" s="174">
        <f t="shared" si="2"/>
        <v>286.66666666666669</v>
      </c>
      <c r="O7" s="174">
        <f>0.617*M7*N7</f>
        <v>619.05666666666673</v>
      </c>
      <c r="P7" s="172">
        <v>10</v>
      </c>
      <c r="Q7" s="172">
        <f>0.6+0.6</f>
        <v>1.2</v>
      </c>
      <c r="R7" s="173">
        <f>E7/0.3</f>
        <v>143.33333333333334</v>
      </c>
      <c r="S7" s="174">
        <f>0.617*Q7*R7</f>
        <v>106.124</v>
      </c>
      <c r="T7" s="172">
        <v>16</v>
      </c>
      <c r="U7" s="172">
        <v>2</v>
      </c>
      <c r="V7" s="69">
        <f>'rebar weight'!G4*U7*E7</f>
        <v>135.708</v>
      </c>
    </row>
    <row r="8" spans="1:22" ht="14.25" customHeight="1" x14ac:dyDescent="0.35">
      <c r="A8" s="170" t="s">
        <v>1187</v>
      </c>
      <c r="B8" s="69" t="s">
        <v>1182</v>
      </c>
      <c r="C8" s="172">
        <v>0.4</v>
      </c>
      <c r="D8" s="172">
        <v>0.7</v>
      </c>
      <c r="E8" s="172">
        <v>113</v>
      </c>
      <c r="F8" s="172">
        <v>0.15</v>
      </c>
      <c r="G8" s="69">
        <f t="shared" si="0"/>
        <v>192.1</v>
      </c>
      <c r="H8" s="69">
        <f t="shared" si="1"/>
        <v>24.859999999999996</v>
      </c>
      <c r="I8" s="172">
        <v>25</v>
      </c>
      <c r="J8" s="172">
        <v>16</v>
      </c>
      <c r="K8" s="69">
        <f>'rebar weight'!I4*J8*E8</f>
        <v>6966.2240000000002</v>
      </c>
      <c r="L8" s="172">
        <v>10</v>
      </c>
      <c r="M8" s="172">
        <f>2+1.5</f>
        <v>3.5</v>
      </c>
      <c r="N8" s="174">
        <f t="shared" si="2"/>
        <v>753.33333333333337</v>
      </c>
      <c r="O8" s="174">
        <f>0.617*M8*N8</f>
        <v>1626.8233333333335</v>
      </c>
      <c r="P8" s="172">
        <v>10</v>
      </c>
      <c r="Q8" s="172">
        <f>0.6+0.6</f>
        <v>1.2</v>
      </c>
      <c r="R8" s="173">
        <f>E8/0.3</f>
        <v>376.66666666666669</v>
      </c>
      <c r="S8" s="174">
        <f>0.617*Q8*R8</f>
        <v>278.88400000000001</v>
      </c>
      <c r="T8" s="172">
        <v>16</v>
      </c>
      <c r="U8" s="172">
        <v>2</v>
      </c>
      <c r="V8" s="69">
        <f>'rebar weight'!G4*U8*E8</f>
        <v>356.62800000000004</v>
      </c>
    </row>
    <row r="9" spans="1:22" ht="14.25" customHeight="1" x14ac:dyDescent="0.35">
      <c r="A9" s="170" t="s">
        <v>1187</v>
      </c>
      <c r="B9" s="69" t="s">
        <v>1183</v>
      </c>
      <c r="C9" s="172">
        <v>0.2</v>
      </c>
      <c r="D9" s="172">
        <v>0.4</v>
      </c>
      <c r="E9" s="172">
        <v>0</v>
      </c>
      <c r="F9" s="172">
        <v>0.15</v>
      </c>
      <c r="G9" s="69">
        <f t="shared" si="0"/>
        <v>0</v>
      </c>
      <c r="H9" s="69">
        <f t="shared" si="1"/>
        <v>0</v>
      </c>
      <c r="I9" s="172">
        <v>0</v>
      </c>
      <c r="J9" s="172">
        <v>0</v>
      </c>
      <c r="K9" s="69">
        <f>2.466*J9*E9</f>
        <v>0</v>
      </c>
      <c r="L9" s="172"/>
      <c r="M9" s="172"/>
      <c r="N9" s="174">
        <f t="shared" si="2"/>
        <v>0</v>
      </c>
      <c r="O9" s="174">
        <f>0.617*M9*N9</f>
        <v>0</v>
      </c>
      <c r="P9" s="172"/>
      <c r="Q9" s="172"/>
      <c r="R9" s="173">
        <f>E9/0.15</f>
        <v>0</v>
      </c>
      <c r="S9" s="174">
        <f>0.617*Q9*R9</f>
        <v>0</v>
      </c>
      <c r="T9" s="172"/>
      <c r="U9" s="172"/>
      <c r="V9" s="69">
        <f>1.578*U9*E9</f>
        <v>0</v>
      </c>
    </row>
    <row r="10" spans="1:22" ht="14.25" customHeight="1" x14ac:dyDescent="0.35">
      <c r="A10" s="170" t="s">
        <v>1187</v>
      </c>
      <c r="B10" s="69" t="s">
        <v>1184</v>
      </c>
      <c r="C10" s="172">
        <v>0.4</v>
      </c>
      <c r="D10" s="172">
        <v>0.7</v>
      </c>
      <c r="E10" s="172">
        <v>9.1</v>
      </c>
      <c r="F10" s="172">
        <v>0.15</v>
      </c>
      <c r="G10" s="69">
        <f t="shared" si="0"/>
        <v>15.469999999999999</v>
      </c>
      <c r="H10" s="69">
        <f t="shared" si="1"/>
        <v>2.0019999999999998</v>
      </c>
      <c r="I10" s="172">
        <v>25</v>
      </c>
      <c r="J10" s="172">
        <v>16</v>
      </c>
      <c r="K10" s="69">
        <f>'rebar weight'!I4*J10*E10</f>
        <v>560.99680000000001</v>
      </c>
      <c r="L10" s="172">
        <v>12</v>
      </c>
      <c r="M10" s="172">
        <f>2.2+1.7</f>
        <v>3.9000000000000004</v>
      </c>
      <c r="N10" s="174">
        <f t="shared" si="2"/>
        <v>60.666666666666664</v>
      </c>
      <c r="O10" s="174">
        <f>'rebar weight'!E4*M10*N10</f>
        <v>210.10080000000002</v>
      </c>
      <c r="P10" s="172">
        <v>10</v>
      </c>
      <c r="Q10" s="172">
        <f>0.55+0.55+0.55</f>
        <v>1.6500000000000001</v>
      </c>
      <c r="R10" s="173">
        <f>E10/0.3</f>
        <v>30.333333333333332</v>
      </c>
      <c r="S10" s="174">
        <f>'rebar weight'!D4*Q10*R10</f>
        <v>30.880850000000002</v>
      </c>
      <c r="T10" s="172">
        <v>16</v>
      </c>
      <c r="U10" s="172">
        <v>4</v>
      </c>
      <c r="V10" s="69">
        <f>'rebar weight'!G4*U10*E10</f>
        <v>57.4392</v>
      </c>
    </row>
    <row r="11" spans="1:22" ht="14.25" customHeight="1" x14ac:dyDescent="0.35">
      <c r="G11">
        <f>SUM(G3:G10)</f>
        <v>446.52599999999995</v>
      </c>
      <c r="H11">
        <f>SUM(H3:H10)</f>
        <v>46.741149999999998</v>
      </c>
    </row>
    <row r="14" spans="1:22" ht="14.25" customHeight="1" x14ac:dyDescent="0.35">
      <c r="I14">
        <v>8</v>
      </c>
      <c r="J14" s="175">
        <f>O3+O4+O5+S3+S4+S5</f>
        <v>624.19479999999999</v>
      </c>
      <c r="K14" s="175">
        <f t="shared" ref="K14:K19" si="3">J14/$H$11</f>
        <v>13.35428845888473</v>
      </c>
    </row>
    <row r="15" spans="1:22" ht="14.25" customHeight="1" x14ac:dyDescent="0.35">
      <c r="I15">
        <v>10</v>
      </c>
      <c r="J15" s="175">
        <f>O6+O7+O8+R6+R7+R8+R9+R10</f>
        <v>2823.6114200000006</v>
      </c>
      <c r="K15" s="175">
        <f t="shared" si="3"/>
        <v>60.409541057505024</v>
      </c>
    </row>
    <row r="16" spans="1:22" ht="14.25" customHeight="1" x14ac:dyDescent="0.35">
      <c r="I16">
        <v>12</v>
      </c>
      <c r="J16" s="175">
        <f>O10+V4+V5+V6</f>
        <v>295.33103999999997</v>
      </c>
      <c r="K16" s="175">
        <f t="shared" si="3"/>
        <v>6.3184376079749853</v>
      </c>
    </row>
    <row r="17" spans="9:11" ht="14.25" customHeight="1" x14ac:dyDescent="0.35">
      <c r="I17">
        <v>16</v>
      </c>
      <c r="J17" s="175">
        <f>K3+K4+V7+V8+V10</f>
        <v>2411.8152</v>
      </c>
      <c r="K17" s="175">
        <f t="shared" si="3"/>
        <v>51.599397960897413</v>
      </c>
    </row>
    <row r="18" spans="9:11" ht="14.25" customHeight="1" x14ac:dyDescent="0.35">
      <c r="I18">
        <v>20</v>
      </c>
      <c r="J18" s="175">
        <f>K5+K6+K7</f>
        <v>1819.6614000000002</v>
      </c>
      <c r="K18" s="175">
        <f t="shared" si="3"/>
        <v>38.930608254182886</v>
      </c>
    </row>
    <row r="19" spans="9:11" ht="14.25" customHeight="1" x14ac:dyDescent="0.35">
      <c r="I19">
        <v>25</v>
      </c>
      <c r="J19" s="175">
        <f>K8+K10</f>
        <v>7527.2208000000001</v>
      </c>
      <c r="K19" s="175">
        <f t="shared" si="3"/>
        <v>161.04055634061208</v>
      </c>
    </row>
    <row r="20" spans="9:11" ht="14.25" customHeight="1" x14ac:dyDescent="0.35">
      <c r="J20" s="175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20"/>
  <sheetViews>
    <sheetView zoomScale="80" zoomScaleNormal="80" workbookViewId="0">
      <selection activeCell="J37" sqref="J37"/>
    </sheetView>
  </sheetViews>
  <sheetFormatPr defaultColWidth="8.7265625" defaultRowHeight="14.5" x14ac:dyDescent="0.35"/>
  <cols>
    <col min="1" max="1" width="9.1796875" style="168" customWidth="1"/>
    <col min="2" max="2" width="12.54296875" customWidth="1"/>
    <col min="3" max="3" width="15.26953125" customWidth="1"/>
    <col min="4" max="4" width="16" customWidth="1"/>
    <col min="5" max="5" width="17.26953125" customWidth="1"/>
    <col min="6" max="6" width="19.453125" customWidth="1"/>
    <col min="7" max="7" width="15.7265625" customWidth="1"/>
    <col min="8" max="8" width="14.54296875" customWidth="1"/>
    <col min="9" max="9" width="14.453125" customWidth="1"/>
    <col min="10" max="10" width="19.81640625" customWidth="1"/>
    <col min="11" max="11" width="12" customWidth="1"/>
    <col min="12" max="12" width="7.7265625" customWidth="1"/>
    <col min="13" max="13" width="10.7265625" customWidth="1"/>
    <col min="14" max="14" width="20.7265625" customWidth="1"/>
    <col min="15" max="15" width="13" customWidth="1"/>
    <col min="16" max="16" width="7.7265625" customWidth="1"/>
    <col min="17" max="17" width="10.7265625" customWidth="1"/>
    <col min="18" max="18" width="20.7265625" customWidth="1"/>
    <col min="19" max="19" width="12" customWidth="1"/>
    <col min="20" max="20" width="13.54296875" customWidth="1"/>
    <col min="21" max="21" width="19.1796875" customWidth="1"/>
    <col min="22" max="22" width="12" customWidth="1"/>
  </cols>
  <sheetData>
    <row r="1" spans="1:22" ht="14.25" customHeight="1" x14ac:dyDescent="0.35">
      <c r="A1" s="215" t="s">
        <v>1185</v>
      </c>
      <c r="B1" s="215"/>
      <c r="C1" s="215"/>
      <c r="D1" s="215"/>
      <c r="E1" s="215"/>
      <c r="F1" s="215"/>
    </row>
    <row r="2" spans="1:22" ht="14.25" customHeight="1" x14ac:dyDescent="0.35">
      <c r="A2" s="170" t="s">
        <v>1157</v>
      </c>
      <c r="B2" s="69" t="s">
        <v>1158</v>
      </c>
      <c r="C2" s="69" t="s">
        <v>1159</v>
      </c>
      <c r="D2" s="69" t="s">
        <v>1160</v>
      </c>
      <c r="E2" s="69" t="s">
        <v>1161</v>
      </c>
      <c r="F2" s="69" t="s">
        <v>1162</v>
      </c>
      <c r="G2" s="69" t="s">
        <v>1163</v>
      </c>
      <c r="H2" s="69" t="s">
        <v>1164</v>
      </c>
      <c r="I2" s="69" t="s">
        <v>1168</v>
      </c>
      <c r="J2" s="69" t="s">
        <v>1169</v>
      </c>
      <c r="K2" s="171" t="s">
        <v>1170</v>
      </c>
      <c r="L2" s="171" t="s">
        <v>1171</v>
      </c>
      <c r="M2" s="171" t="s">
        <v>1172</v>
      </c>
      <c r="N2" s="69" t="s">
        <v>1173</v>
      </c>
      <c r="O2" s="69" t="s">
        <v>1170</v>
      </c>
      <c r="P2" s="171" t="s">
        <v>1186</v>
      </c>
      <c r="Q2" s="171" t="s">
        <v>1172</v>
      </c>
      <c r="R2" s="69" t="s">
        <v>1173</v>
      </c>
      <c r="S2" s="69" t="s">
        <v>1170</v>
      </c>
      <c r="T2" s="69" t="s">
        <v>1174</v>
      </c>
      <c r="U2" s="69" t="s">
        <v>1175</v>
      </c>
      <c r="V2" s="69" t="s">
        <v>1170</v>
      </c>
    </row>
    <row r="3" spans="1:22" ht="14.25" customHeight="1" x14ac:dyDescent="0.35">
      <c r="A3" s="170" t="s">
        <v>1187</v>
      </c>
      <c r="B3" s="69" t="s">
        <v>1177</v>
      </c>
      <c r="C3" s="172">
        <v>0.25</v>
      </c>
      <c r="D3" s="172">
        <v>0.4</v>
      </c>
      <c r="E3" s="172">
        <v>125</v>
      </c>
      <c r="F3" s="172">
        <v>0.15</v>
      </c>
      <c r="G3" s="69">
        <f t="shared" ref="G3:G10" si="0">((C3+0.2)+(D3-F3)*2)*E3</f>
        <v>118.75</v>
      </c>
      <c r="H3" s="69">
        <f t="shared" ref="H3:H10" si="1">C3*(D3-F3)*E3</f>
        <v>7.8125</v>
      </c>
      <c r="I3" s="172">
        <v>16</v>
      </c>
      <c r="J3" s="172">
        <v>6</v>
      </c>
      <c r="K3" s="69">
        <f>J3*E3*'rebar weight'!G4</f>
        <v>1183.5</v>
      </c>
      <c r="L3" s="172">
        <v>8</v>
      </c>
      <c r="M3" s="172">
        <v>1.2</v>
      </c>
      <c r="N3" s="174">
        <f t="shared" ref="N3:N10" si="2">E3/0.15</f>
        <v>833.33333333333337</v>
      </c>
      <c r="O3" s="174">
        <f>M3*N3*'rebar weight'!C4</f>
        <v>395</v>
      </c>
      <c r="P3" s="172">
        <v>0</v>
      </c>
      <c r="Q3" s="172">
        <v>0</v>
      </c>
      <c r="R3" s="173">
        <f>E3/0.15</f>
        <v>833.33333333333337</v>
      </c>
      <c r="S3" s="174">
        <f>0.395*Q3*R3</f>
        <v>0</v>
      </c>
      <c r="T3" s="172">
        <v>0</v>
      </c>
      <c r="U3" s="172">
        <v>0</v>
      </c>
      <c r="V3" s="69">
        <f>'rebar weight'!E3*U3*E3</f>
        <v>0</v>
      </c>
    </row>
    <row r="4" spans="1:22" ht="14.25" customHeight="1" x14ac:dyDescent="0.35">
      <c r="A4" s="170" t="s">
        <v>1187</v>
      </c>
      <c r="B4" s="69" t="s">
        <v>1178</v>
      </c>
      <c r="C4" s="172">
        <v>0.25</v>
      </c>
      <c r="D4" s="172">
        <v>0.5</v>
      </c>
      <c r="E4" s="172">
        <v>43</v>
      </c>
      <c r="F4" s="172">
        <v>0.15</v>
      </c>
      <c r="G4" s="69">
        <f t="shared" si="0"/>
        <v>49.449999999999996</v>
      </c>
      <c r="H4" s="69">
        <f t="shared" si="1"/>
        <v>3.7624999999999997</v>
      </c>
      <c r="I4" s="172">
        <v>16</v>
      </c>
      <c r="J4" s="172">
        <v>10</v>
      </c>
      <c r="K4" s="69">
        <f>'rebar weight'!G4*J4*E4</f>
        <v>678.54000000000008</v>
      </c>
      <c r="L4" s="172">
        <v>8</v>
      </c>
      <c r="M4" s="172">
        <f>1.4</f>
        <v>1.4</v>
      </c>
      <c r="N4" s="174">
        <f t="shared" si="2"/>
        <v>286.66666666666669</v>
      </c>
      <c r="O4" s="174">
        <f>0.395*M4*N4</f>
        <v>158.52666666666667</v>
      </c>
      <c r="P4" s="172">
        <v>8</v>
      </c>
      <c r="Q4" s="172">
        <f>0.4</f>
        <v>0.4</v>
      </c>
      <c r="R4" s="173">
        <f>E4/0.15</f>
        <v>286.66666666666669</v>
      </c>
      <c r="S4" s="174">
        <f>0.395*Q4*R4</f>
        <v>45.293333333333344</v>
      </c>
      <c r="T4" s="172">
        <v>12</v>
      </c>
      <c r="U4" s="172">
        <v>2</v>
      </c>
      <c r="V4" s="69">
        <f>'rebar weight'!E4*U4*E4</f>
        <v>76.367999999999995</v>
      </c>
    </row>
    <row r="5" spans="1:22" ht="14.25" customHeight="1" x14ac:dyDescent="0.35">
      <c r="A5" s="170" t="s">
        <v>1187</v>
      </c>
      <c r="B5" s="69" t="s">
        <v>1179</v>
      </c>
      <c r="C5" s="172">
        <v>0.3</v>
      </c>
      <c r="D5" s="172">
        <v>0.5</v>
      </c>
      <c r="E5" s="172">
        <v>3.65</v>
      </c>
      <c r="F5" s="172">
        <v>0.15</v>
      </c>
      <c r="G5" s="69">
        <f t="shared" si="0"/>
        <v>4.38</v>
      </c>
      <c r="H5" s="69">
        <f t="shared" si="1"/>
        <v>0.38324999999999998</v>
      </c>
      <c r="I5" s="172">
        <v>20</v>
      </c>
      <c r="J5" s="172">
        <v>10</v>
      </c>
      <c r="K5" s="69">
        <f>'rebar weight'!H4*J5*E5</f>
        <v>90.009000000000015</v>
      </c>
      <c r="L5" s="172">
        <v>8</v>
      </c>
      <c r="M5" s="172">
        <f>1.5</f>
        <v>1.5</v>
      </c>
      <c r="N5" s="174">
        <f t="shared" si="2"/>
        <v>24.333333333333332</v>
      </c>
      <c r="O5" s="174">
        <f>'rebar weight'!C4*M5*N5</f>
        <v>14.4175</v>
      </c>
      <c r="P5" s="172">
        <v>8</v>
      </c>
      <c r="Q5" s="172">
        <f>0.64+0.5</f>
        <v>1.1400000000000001</v>
      </c>
      <c r="R5" s="173">
        <f>E5/0.15</f>
        <v>24.333333333333332</v>
      </c>
      <c r="S5" s="174">
        <f>0.395*Q5*R5</f>
        <v>10.957300000000002</v>
      </c>
      <c r="T5" s="172">
        <v>12</v>
      </c>
      <c r="U5" s="172">
        <v>2</v>
      </c>
      <c r="V5" s="69">
        <f>0.888*U5*E5</f>
        <v>6.4824000000000002</v>
      </c>
    </row>
    <row r="6" spans="1:22" ht="14.25" customHeight="1" x14ac:dyDescent="0.35">
      <c r="A6" s="170" t="s">
        <v>1187</v>
      </c>
      <c r="B6" s="69" t="s">
        <v>1180</v>
      </c>
      <c r="C6" s="172">
        <v>0.3</v>
      </c>
      <c r="D6" s="172">
        <v>0.6</v>
      </c>
      <c r="E6" s="172">
        <v>1.34</v>
      </c>
      <c r="F6" s="172">
        <v>0.15</v>
      </c>
      <c r="G6" s="69">
        <f t="shared" si="0"/>
        <v>1.8759999999999999</v>
      </c>
      <c r="H6" s="69">
        <f t="shared" si="1"/>
        <v>0.18089999999999998</v>
      </c>
      <c r="I6" s="172">
        <v>20</v>
      </c>
      <c r="J6" s="172">
        <v>10</v>
      </c>
      <c r="K6" s="69">
        <f>2.466*J6*E6</f>
        <v>33.04440000000001</v>
      </c>
      <c r="L6" s="172">
        <v>10</v>
      </c>
      <c r="M6" s="172">
        <f>1.6+0.75+0.5+0.5</f>
        <v>3.35</v>
      </c>
      <c r="N6" s="174">
        <f t="shared" si="2"/>
        <v>8.9333333333333336</v>
      </c>
      <c r="O6" s="174">
        <f>0.617*M6*N6</f>
        <v>18.464753333333331</v>
      </c>
      <c r="P6" s="172">
        <v>10</v>
      </c>
      <c r="Q6" s="172">
        <f>1.6+0.75+0.5+0.5</f>
        <v>3.35</v>
      </c>
      <c r="R6" s="173">
        <f>E6/0.15</f>
        <v>8.9333333333333336</v>
      </c>
      <c r="S6" s="174">
        <f>0.617*Q6*R6</f>
        <v>18.464753333333331</v>
      </c>
      <c r="T6" s="172">
        <v>12</v>
      </c>
      <c r="U6" s="172">
        <v>2</v>
      </c>
      <c r="V6" s="69">
        <f>0.888*U6*E6</f>
        <v>2.3798400000000002</v>
      </c>
    </row>
    <row r="7" spans="1:22" ht="14.25" customHeight="1" x14ac:dyDescent="0.35">
      <c r="A7" s="170" t="s">
        <v>1187</v>
      </c>
      <c r="B7" s="69" t="s">
        <v>1181</v>
      </c>
      <c r="C7" s="172">
        <v>0.4</v>
      </c>
      <c r="D7" s="172">
        <v>0.6</v>
      </c>
      <c r="E7" s="172">
        <v>43</v>
      </c>
      <c r="F7" s="172">
        <v>0.15</v>
      </c>
      <c r="G7" s="69">
        <f t="shared" si="0"/>
        <v>64.5</v>
      </c>
      <c r="H7" s="69">
        <f t="shared" si="1"/>
        <v>7.7399999999999993</v>
      </c>
      <c r="I7" s="172">
        <v>20</v>
      </c>
      <c r="J7" s="172">
        <v>16</v>
      </c>
      <c r="K7" s="69">
        <f>'rebar weight'!H4*J7*E7</f>
        <v>1696.6080000000002</v>
      </c>
      <c r="L7" s="172">
        <v>10</v>
      </c>
      <c r="M7" s="172">
        <f>2+1.5</f>
        <v>3.5</v>
      </c>
      <c r="N7" s="174">
        <f t="shared" si="2"/>
        <v>286.66666666666669</v>
      </c>
      <c r="O7" s="174">
        <f>0.617*M7*N7</f>
        <v>619.05666666666673</v>
      </c>
      <c r="P7" s="172">
        <v>10</v>
      </c>
      <c r="Q7" s="172">
        <f>0.6+0.6</f>
        <v>1.2</v>
      </c>
      <c r="R7" s="173">
        <f>E7/0.3</f>
        <v>143.33333333333334</v>
      </c>
      <c r="S7" s="174">
        <f>0.617*Q7*R7</f>
        <v>106.124</v>
      </c>
      <c r="T7" s="172">
        <v>16</v>
      </c>
      <c r="U7" s="172">
        <v>2</v>
      </c>
      <c r="V7" s="69">
        <f>'rebar weight'!G4*U7*E7</f>
        <v>135.708</v>
      </c>
    </row>
    <row r="8" spans="1:22" ht="14.25" customHeight="1" x14ac:dyDescent="0.35">
      <c r="A8" s="170" t="s">
        <v>1187</v>
      </c>
      <c r="B8" s="69" t="s">
        <v>1182</v>
      </c>
      <c r="C8" s="172">
        <v>0.4</v>
      </c>
      <c r="D8" s="172">
        <v>0.7</v>
      </c>
      <c r="E8" s="172">
        <v>113</v>
      </c>
      <c r="F8" s="172">
        <v>0.15</v>
      </c>
      <c r="G8" s="69">
        <f t="shared" si="0"/>
        <v>192.1</v>
      </c>
      <c r="H8" s="69">
        <f t="shared" si="1"/>
        <v>24.859999999999996</v>
      </c>
      <c r="I8" s="172">
        <v>25</v>
      </c>
      <c r="J8" s="172">
        <v>16</v>
      </c>
      <c r="K8" s="69">
        <f>'rebar weight'!I4*J8*E8</f>
        <v>6966.2240000000002</v>
      </c>
      <c r="L8" s="172">
        <v>10</v>
      </c>
      <c r="M8" s="172">
        <f>2+1.5</f>
        <v>3.5</v>
      </c>
      <c r="N8" s="174">
        <f t="shared" si="2"/>
        <v>753.33333333333337</v>
      </c>
      <c r="O8" s="174">
        <f>0.617*M8*N8</f>
        <v>1626.8233333333335</v>
      </c>
      <c r="P8" s="172">
        <v>10</v>
      </c>
      <c r="Q8" s="172">
        <f>0.6+0.6</f>
        <v>1.2</v>
      </c>
      <c r="R8" s="173">
        <f>E8/0.3</f>
        <v>376.66666666666669</v>
      </c>
      <c r="S8" s="174">
        <f>0.617*Q8*R8</f>
        <v>278.88400000000001</v>
      </c>
      <c r="T8" s="172">
        <v>16</v>
      </c>
      <c r="U8" s="172">
        <v>2</v>
      </c>
      <c r="V8" s="69">
        <f>'rebar weight'!G4*U8*E8</f>
        <v>356.62800000000004</v>
      </c>
    </row>
    <row r="9" spans="1:22" ht="14.25" customHeight="1" x14ac:dyDescent="0.35">
      <c r="A9" s="170" t="s">
        <v>1187</v>
      </c>
      <c r="B9" s="69" t="s">
        <v>1183</v>
      </c>
      <c r="C9" s="172">
        <v>0.2</v>
      </c>
      <c r="D9" s="172">
        <v>0.4</v>
      </c>
      <c r="E9" s="172">
        <v>0</v>
      </c>
      <c r="F9" s="172">
        <v>0.15</v>
      </c>
      <c r="G9" s="69">
        <f t="shared" si="0"/>
        <v>0</v>
      </c>
      <c r="H9" s="69">
        <f t="shared" si="1"/>
        <v>0</v>
      </c>
      <c r="I9" s="172">
        <v>0</v>
      </c>
      <c r="J9" s="172">
        <v>0</v>
      </c>
      <c r="K9" s="69">
        <f>2.466*J9*E9</f>
        <v>0</v>
      </c>
      <c r="L9" s="172"/>
      <c r="M9" s="172"/>
      <c r="N9" s="174">
        <f t="shared" si="2"/>
        <v>0</v>
      </c>
      <c r="O9" s="174">
        <f>0.617*M9*N9</f>
        <v>0</v>
      </c>
      <c r="P9" s="172"/>
      <c r="Q9" s="172"/>
      <c r="R9" s="173">
        <f>E9/0.15</f>
        <v>0</v>
      </c>
      <c r="S9" s="174">
        <f>0.617*Q9*R9</f>
        <v>0</v>
      </c>
      <c r="T9" s="172"/>
      <c r="U9" s="172"/>
      <c r="V9" s="69">
        <f>1.578*U9*E9</f>
        <v>0</v>
      </c>
    </row>
    <row r="10" spans="1:22" ht="14.25" customHeight="1" x14ac:dyDescent="0.35">
      <c r="A10" s="170" t="s">
        <v>1187</v>
      </c>
      <c r="B10" s="69" t="s">
        <v>1184</v>
      </c>
      <c r="C10" s="172">
        <v>0.4</v>
      </c>
      <c r="D10" s="172">
        <v>0.7</v>
      </c>
      <c r="E10" s="172">
        <v>9.1</v>
      </c>
      <c r="F10" s="172">
        <v>0.15</v>
      </c>
      <c r="G10" s="69">
        <f t="shared" si="0"/>
        <v>15.469999999999999</v>
      </c>
      <c r="H10" s="69">
        <f t="shared" si="1"/>
        <v>2.0019999999999998</v>
      </c>
      <c r="I10" s="172">
        <v>25</v>
      </c>
      <c r="J10" s="172">
        <v>16</v>
      </c>
      <c r="K10" s="69">
        <f>'rebar weight'!I4*J10*E10</f>
        <v>560.99680000000001</v>
      </c>
      <c r="L10" s="172">
        <v>12</v>
      </c>
      <c r="M10" s="172">
        <f>2.2+1.7</f>
        <v>3.9000000000000004</v>
      </c>
      <c r="N10" s="174">
        <f t="shared" si="2"/>
        <v>60.666666666666664</v>
      </c>
      <c r="O10" s="174">
        <f>'rebar weight'!E4*M10*N10</f>
        <v>210.10080000000002</v>
      </c>
      <c r="P10" s="172">
        <v>10</v>
      </c>
      <c r="Q10" s="172">
        <f>0.55+0.55+0.55</f>
        <v>1.6500000000000001</v>
      </c>
      <c r="R10" s="173">
        <f>E10/0.3</f>
        <v>30.333333333333332</v>
      </c>
      <c r="S10" s="174">
        <f>'rebar weight'!D4*Q10*R10</f>
        <v>30.880850000000002</v>
      </c>
      <c r="T10" s="172">
        <v>16</v>
      </c>
      <c r="U10" s="172">
        <v>4</v>
      </c>
      <c r="V10" s="69">
        <f>'rebar weight'!G4*U10*E10</f>
        <v>57.4392</v>
      </c>
    </row>
    <row r="11" spans="1:22" ht="14.25" customHeight="1" x14ac:dyDescent="0.35">
      <c r="G11">
        <f>SUM(G3:G10)</f>
        <v>446.52599999999995</v>
      </c>
      <c r="H11">
        <f>SUM(H3:H10)</f>
        <v>46.741149999999998</v>
      </c>
    </row>
    <row r="14" spans="1:22" ht="14.25" customHeight="1" x14ac:dyDescent="0.35">
      <c r="I14">
        <v>8</v>
      </c>
      <c r="J14" s="175">
        <f>O3+O4+O5+S3+S4+S5</f>
        <v>624.19479999999999</v>
      </c>
      <c r="K14" s="175">
        <f t="shared" ref="K14:K19" si="3">J14/$H$11</f>
        <v>13.35428845888473</v>
      </c>
    </row>
    <row r="15" spans="1:22" ht="14.25" customHeight="1" x14ac:dyDescent="0.35">
      <c r="I15">
        <v>10</v>
      </c>
      <c r="J15" s="175">
        <f>O6+O7+O8+R6+R7+R8+R9+R10</f>
        <v>2823.6114200000006</v>
      </c>
      <c r="K15" s="175">
        <f t="shared" si="3"/>
        <v>60.409541057505024</v>
      </c>
    </row>
    <row r="16" spans="1:22" ht="14.25" customHeight="1" x14ac:dyDescent="0.35">
      <c r="I16">
        <v>12</v>
      </c>
      <c r="J16" s="175">
        <f>O10+V4+V5+V6</f>
        <v>295.33103999999997</v>
      </c>
      <c r="K16" s="175">
        <f t="shared" si="3"/>
        <v>6.3184376079749853</v>
      </c>
    </row>
    <row r="17" spans="9:11" ht="14.25" customHeight="1" x14ac:dyDescent="0.35">
      <c r="I17">
        <v>16</v>
      </c>
      <c r="J17" s="175">
        <f>K3+K4+V7+V8+V10</f>
        <v>2411.8152</v>
      </c>
      <c r="K17" s="175">
        <f t="shared" si="3"/>
        <v>51.599397960897413</v>
      </c>
    </row>
    <row r="18" spans="9:11" ht="14.25" customHeight="1" x14ac:dyDescent="0.35">
      <c r="I18">
        <v>20</v>
      </c>
      <c r="J18" s="175">
        <f>K5+K6+K7</f>
        <v>1819.6614000000002</v>
      </c>
      <c r="K18" s="175">
        <f t="shared" si="3"/>
        <v>38.930608254182886</v>
      </c>
    </row>
    <row r="19" spans="9:11" ht="14.25" customHeight="1" x14ac:dyDescent="0.35">
      <c r="I19">
        <v>25</v>
      </c>
      <c r="J19" s="175">
        <f>K8+K10</f>
        <v>7527.2208000000001</v>
      </c>
      <c r="K19" s="175">
        <f t="shared" si="3"/>
        <v>161.04055634061208</v>
      </c>
    </row>
    <row r="20" spans="9:11" ht="14.25" customHeight="1" x14ac:dyDescent="0.35">
      <c r="J20" s="175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20"/>
  <sheetViews>
    <sheetView zoomScale="80" zoomScaleNormal="80" workbookViewId="0">
      <selection activeCell="G19" sqref="G19"/>
    </sheetView>
  </sheetViews>
  <sheetFormatPr defaultColWidth="8.7265625" defaultRowHeight="14.5" x14ac:dyDescent="0.35"/>
  <cols>
    <col min="1" max="1" width="9.1796875" style="168" customWidth="1"/>
    <col min="2" max="2" width="12.54296875" customWidth="1"/>
    <col min="3" max="3" width="15.26953125" customWidth="1"/>
    <col min="4" max="4" width="16" customWidth="1"/>
    <col min="5" max="5" width="17.26953125" customWidth="1"/>
    <col min="6" max="6" width="19.453125" customWidth="1"/>
    <col min="7" max="7" width="15.7265625" customWidth="1"/>
    <col min="8" max="8" width="14.54296875" customWidth="1"/>
    <col min="9" max="9" width="14.453125" customWidth="1"/>
    <col min="10" max="10" width="19.81640625" customWidth="1"/>
    <col min="11" max="11" width="12" customWidth="1"/>
    <col min="12" max="12" width="7.7265625" customWidth="1"/>
    <col min="13" max="13" width="10.7265625" customWidth="1"/>
    <col min="14" max="14" width="20.7265625" customWidth="1"/>
    <col min="15" max="15" width="13" customWidth="1"/>
    <col min="16" max="16" width="7.7265625" customWidth="1"/>
    <col min="17" max="17" width="10.7265625" customWidth="1"/>
    <col min="18" max="18" width="20.7265625" customWidth="1"/>
    <col min="19" max="19" width="12" customWidth="1"/>
    <col min="20" max="20" width="13.54296875" customWidth="1"/>
    <col min="21" max="21" width="19.1796875" customWidth="1"/>
    <col min="22" max="22" width="12" customWidth="1"/>
  </cols>
  <sheetData>
    <row r="1" spans="1:22" ht="14.25" customHeight="1" x14ac:dyDescent="0.35">
      <c r="A1" s="215" t="s">
        <v>1185</v>
      </c>
      <c r="B1" s="215"/>
      <c r="C1" s="215"/>
      <c r="D1" s="215"/>
      <c r="E1" s="215"/>
      <c r="F1" s="215"/>
    </row>
    <row r="2" spans="1:22" ht="14.25" customHeight="1" x14ac:dyDescent="0.35">
      <c r="A2" s="170" t="s">
        <v>1157</v>
      </c>
      <c r="B2" s="69" t="s">
        <v>1158</v>
      </c>
      <c r="C2" s="69" t="s">
        <v>1159</v>
      </c>
      <c r="D2" s="69" t="s">
        <v>1160</v>
      </c>
      <c r="E2" s="69" t="s">
        <v>1161</v>
      </c>
      <c r="F2" s="69" t="s">
        <v>1162</v>
      </c>
      <c r="G2" s="69" t="s">
        <v>1163</v>
      </c>
      <c r="H2" s="69" t="s">
        <v>1164</v>
      </c>
      <c r="I2" s="69" t="s">
        <v>1168</v>
      </c>
      <c r="J2" s="69" t="s">
        <v>1169</v>
      </c>
      <c r="K2" s="171" t="s">
        <v>1170</v>
      </c>
      <c r="L2" s="171" t="s">
        <v>1171</v>
      </c>
      <c r="M2" s="171" t="s">
        <v>1172</v>
      </c>
      <c r="N2" s="69" t="s">
        <v>1173</v>
      </c>
      <c r="O2" s="69" t="s">
        <v>1170</v>
      </c>
      <c r="P2" s="171" t="s">
        <v>1186</v>
      </c>
      <c r="Q2" s="171" t="s">
        <v>1172</v>
      </c>
      <c r="R2" s="69" t="s">
        <v>1173</v>
      </c>
      <c r="S2" s="69" t="s">
        <v>1170</v>
      </c>
      <c r="T2" s="69" t="s">
        <v>1174</v>
      </c>
      <c r="U2" s="69" t="s">
        <v>1175</v>
      </c>
      <c r="V2" s="69" t="s">
        <v>1170</v>
      </c>
    </row>
    <row r="3" spans="1:22" ht="14.25" customHeight="1" x14ac:dyDescent="0.35">
      <c r="A3" s="170" t="s">
        <v>1187</v>
      </c>
      <c r="B3" s="69" t="s">
        <v>1177</v>
      </c>
      <c r="C3" s="172">
        <v>0.25</v>
      </c>
      <c r="D3" s="172">
        <v>0.4</v>
      </c>
      <c r="E3" s="172">
        <v>78</v>
      </c>
      <c r="F3" s="172">
        <v>0.15</v>
      </c>
      <c r="G3" s="69">
        <f t="shared" ref="G3:G10" si="0">((C3+0.2)+(D3-F3)*2)*E3</f>
        <v>74.099999999999994</v>
      </c>
      <c r="H3" s="69">
        <f t="shared" ref="H3:H10" si="1">C3*(D3-F3)*E3</f>
        <v>4.875</v>
      </c>
      <c r="I3" s="172">
        <v>16</v>
      </c>
      <c r="J3" s="172">
        <v>6</v>
      </c>
      <c r="K3" s="69">
        <f>J3*E3*'rebar weight'!G4</f>
        <v>738.50400000000002</v>
      </c>
      <c r="L3" s="172">
        <v>8</v>
      </c>
      <c r="M3" s="172">
        <v>1.2</v>
      </c>
      <c r="N3" s="174">
        <f t="shared" ref="N3:N10" si="2">E3/0.15</f>
        <v>520</v>
      </c>
      <c r="O3" s="174">
        <f>M3*N3*'rebar weight'!C4</f>
        <v>246.48000000000002</v>
      </c>
      <c r="P3" s="172">
        <v>0</v>
      </c>
      <c r="Q3" s="172">
        <v>0</v>
      </c>
      <c r="R3" s="173">
        <f>E3/0.15</f>
        <v>520</v>
      </c>
      <c r="S3" s="174">
        <f>0.395*Q3*R3</f>
        <v>0</v>
      </c>
      <c r="T3" s="172">
        <v>0</v>
      </c>
      <c r="U3" s="172">
        <v>0</v>
      </c>
      <c r="V3" s="69">
        <f>'rebar weight'!E3*U3*E3</f>
        <v>0</v>
      </c>
    </row>
    <row r="4" spans="1:22" ht="14.25" customHeight="1" x14ac:dyDescent="0.35">
      <c r="A4" s="170" t="s">
        <v>1187</v>
      </c>
      <c r="B4" s="69" t="s">
        <v>1178</v>
      </c>
      <c r="C4" s="172">
        <v>0.25</v>
      </c>
      <c r="D4" s="172">
        <v>0.5</v>
      </c>
      <c r="E4" s="172">
        <v>28</v>
      </c>
      <c r="F4" s="172">
        <v>0.15</v>
      </c>
      <c r="G4" s="69">
        <f t="shared" si="0"/>
        <v>32.199999999999996</v>
      </c>
      <c r="H4" s="69">
        <f t="shared" si="1"/>
        <v>2.4499999999999997</v>
      </c>
      <c r="I4" s="172">
        <v>16</v>
      </c>
      <c r="J4" s="172">
        <v>10</v>
      </c>
      <c r="K4" s="69">
        <f>'rebar weight'!G4*J4*E4</f>
        <v>441.84000000000003</v>
      </c>
      <c r="L4" s="172">
        <v>8</v>
      </c>
      <c r="M4" s="172">
        <f>1.4</f>
        <v>1.4</v>
      </c>
      <c r="N4" s="174">
        <f t="shared" si="2"/>
        <v>186.66666666666669</v>
      </c>
      <c r="O4" s="174">
        <f>0.395*M4*N4</f>
        <v>103.22666666666666</v>
      </c>
      <c r="P4" s="172">
        <v>8</v>
      </c>
      <c r="Q4" s="172">
        <f>0.4</f>
        <v>0.4</v>
      </c>
      <c r="R4" s="173">
        <f>E4/0.15</f>
        <v>186.66666666666669</v>
      </c>
      <c r="S4" s="174">
        <f>0.395*Q4*R4</f>
        <v>29.493333333333343</v>
      </c>
      <c r="T4" s="172">
        <v>12</v>
      </c>
      <c r="U4" s="172">
        <v>2</v>
      </c>
      <c r="V4" s="69">
        <f>'rebar weight'!E4*U4*E4</f>
        <v>49.728000000000002</v>
      </c>
    </row>
    <row r="5" spans="1:22" ht="14.25" customHeight="1" x14ac:dyDescent="0.35">
      <c r="A5" s="170" t="s">
        <v>1187</v>
      </c>
      <c r="B5" s="69" t="s">
        <v>1179</v>
      </c>
      <c r="C5" s="172">
        <v>0.3</v>
      </c>
      <c r="D5" s="172">
        <v>0.5</v>
      </c>
      <c r="E5" s="172">
        <v>16.350000000000001</v>
      </c>
      <c r="F5" s="172">
        <v>0.15</v>
      </c>
      <c r="G5" s="69">
        <f t="shared" si="0"/>
        <v>19.62</v>
      </c>
      <c r="H5" s="69">
        <f t="shared" si="1"/>
        <v>1.71675</v>
      </c>
      <c r="I5" s="172">
        <v>20</v>
      </c>
      <c r="J5" s="172">
        <v>10</v>
      </c>
      <c r="K5" s="69">
        <f>'rebar weight'!H4*J5*E5</f>
        <v>403.19100000000009</v>
      </c>
      <c r="L5" s="172">
        <v>8</v>
      </c>
      <c r="M5" s="172">
        <f>1.5</f>
        <v>1.5</v>
      </c>
      <c r="N5" s="174">
        <f t="shared" si="2"/>
        <v>109.00000000000001</v>
      </c>
      <c r="O5" s="174">
        <f>'rebar weight'!C4*M5*N5</f>
        <v>64.58250000000001</v>
      </c>
      <c r="P5" s="172">
        <v>8</v>
      </c>
      <c r="Q5" s="172">
        <f>0.64+0.5</f>
        <v>1.1400000000000001</v>
      </c>
      <c r="R5" s="173">
        <f>E5/0.15</f>
        <v>109.00000000000001</v>
      </c>
      <c r="S5" s="174">
        <f>0.395*Q5*R5</f>
        <v>49.082700000000017</v>
      </c>
      <c r="T5" s="172">
        <v>12</v>
      </c>
      <c r="U5" s="172">
        <v>2</v>
      </c>
      <c r="V5" s="69">
        <f>0.888*U5*E5</f>
        <v>29.037600000000001</v>
      </c>
    </row>
    <row r="6" spans="1:22" ht="14.25" customHeight="1" x14ac:dyDescent="0.35">
      <c r="A6" s="170" t="s">
        <v>1187</v>
      </c>
      <c r="B6" s="69" t="s">
        <v>1180</v>
      </c>
      <c r="C6" s="172">
        <v>0.3</v>
      </c>
      <c r="D6" s="172">
        <v>0.6</v>
      </c>
      <c r="E6" s="172">
        <v>0</v>
      </c>
      <c r="F6" s="172">
        <v>0.15</v>
      </c>
      <c r="G6" s="69">
        <f t="shared" si="0"/>
        <v>0</v>
      </c>
      <c r="H6" s="69">
        <f t="shared" si="1"/>
        <v>0</v>
      </c>
      <c r="I6" s="172">
        <v>20</v>
      </c>
      <c r="J6" s="172">
        <v>10</v>
      </c>
      <c r="K6" s="69">
        <f>2.466*J6*E6</f>
        <v>0</v>
      </c>
      <c r="L6" s="172">
        <v>10</v>
      </c>
      <c r="M6" s="172">
        <f>1.6+0.75+0.5+0.5</f>
        <v>3.35</v>
      </c>
      <c r="N6" s="174">
        <f t="shared" si="2"/>
        <v>0</v>
      </c>
      <c r="O6" s="174">
        <f>0.617*M6*N6</f>
        <v>0</v>
      </c>
      <c r="P6" s="172">
        <v>10</v>
      </c>
      <c r="Q6" s="172">
        <f>1.6+0.75+0.5+0.5</f>
        <v>3.35</v>
      </c>
      <c r="R6" s="173">
        <f>E6/0.15</f>
        <v>0</v>
      </c>
      <c r="S6" s="174">
        <f>0.617*Q6*R6</f>
        <v>0</v>
      </c>
      <c r="T6" s="172">
        <v>12</v>
      </c>
      <c r="U6" s="172">
        <v>2</v>
      </c>
      <c r="V6" s="69">
        <f>0.888*U6*E6</f>
        <v>0</v>
      </c>
    </row>
    <row r="7" spans="1:22" ht="14.25" customHeight="1" x14ac:dyDescent="0.35">
      <c r="A7" s="170" t="s">
        <v>1187</v>
      </c>
      <c r="B7" s="69" t="s">
        <v>1181</v>
      </c>
      <c r="C7" s="172">
        <v>0.4</v>
      </c>
      <c r="D7" s="172">
        <v>0.6</v>
      </c>
      <c r="E7" s="172">
        <v>42</v>
      </c>
      <c r="F7" s="172">
        <v>0.15</v>
      </c>
      <c r="G7" s="69">
        <f t="shared" si="0"/>
        <v>63</v>
      </c>
      <c r="H7" s="69">
        <f t="shared" si="1"/>
        <v>7.56</v>
      </c>
      <c r="I7" s="172">
        <v>20</v>
      </c>
      <c r="J7" s="172">
        <v>16</v>
      </c>
      <c r="K7" s="69">
        <f>'rebar weight'!H4*J7*E7</f>
        <v>1657.152</v>
      </c>
      <c r="L7" s="172">
        <v>10</v>
      </c>
      <c r="M7" s="172">
        <f>2+1.5</f>
        <v>3.5</v>
      </c>
      <c r="N7" s="174">
        <f t="shared" si="2"/>
        <v>280</v>
      </c>
      <c r="O7" s="174">
        <f>0.617*M7*N7</f>
        <v>604.66</v>
      </c>
      <c r="P7" s="172">
        <v>10</v>
      </c>
      <c r="Q7" s="172">
        <f>0.6+0.6</f>
        <v>1.2</v>
      </c>
      <c r="R7" s="173">
        <f>E7/0.3</f>
        <v>140</v>
      </c>
      <c r="S7" s="174">
        <f>0.617*Q7*R7</f>
        <v>103.65599999999999</v>
      </c>
      <c r="T7" s="172">
        <v>16</v>
      </c>
      <c r="U7" s="172">
        <v>2</v>
      </c>
      <c r="V7" s="69">
        <f>'rebar weight'!G4*U7*E7</f>
        <v>132.55199999999999</v>
      </c>
    </row>
    <row r="8" spans="1:22" ht="14.25" customHeight="1" x14ac:dyDescent="0.35">
      <c r="A8" s="170" t="s">
        <v>1187</v>
      </c>
      <c r="B8" s="69" t="s">
        <v>1182</v>
      </c>
      <c r="C8" s="172">
        <v>0.4</v>
      </c>
      <c r="D8" s="172">
        <v>0.7</v>
      </c>
      <c r="E8" s="172">
        <v>65</v>
      </c>
      <c r="F8" s="172">
        <v>0.15</v>
      </c>
      <c r="G8" s="69">
        <f t="shared" si="0"/>
        <v>110.5</v>
      </c>
      <c r="H8" s="69">
        <f t="shared" si="1"/>
        <v>14.299999999999999</v>
      </c>
      <c r="I8" s="172">
        <v>25</v>
      </c>
      <c r="J8" s="172">
        <v>16</v>
      </c>
      <c r="K8" s="69">
        <f>'rebar weight'!I4*J8*E8</f>
        <v>4007.1200000000003</v>
      </c>
      <c r="L8" s="172">
        <v>10</v>
      </c>
      <c r="M8" s="172">
        <f>2+1.5</f>
        <v>3.5</v>
      </c>
      <c r="N8" s="174">
        <f t="shared" si="2"/>
        <v>433.33333333333337</v>
      </c>
      <c r="O8" s="174">
        <f>0.617*M8*N8</f>
        <v>935.78333333333342</v>
      </c>
      <c r="P8" s="172">
        <v>10</v>
      </c>
      <c r="Q8" s="172">
        <f>0.6+0.6</f>
        <v>1.2</v>
      </c>
      <c r="R8" s="173">
        <f>E8/0.3</f>
        <v>216.66666666666669</v>
      </c>
      <c r="S8" s="174">
        <f>0.617*Q8*R8</f>
        <v>160.42000000000002</v>
      </c>
      <c r="T8" s="172">
        <v>16</v>
      </c>
      <c r="U8" s="172">
        <v>2</v>
      </c>
      <c r="V8" s="69">
        <f>'rebar weight'!G4*U8*E8</f>
        <v>205.14000000000001</v>
      </c>
    </row>
    <row r="9" spans="1:22" ht="14.25" customHeight="1" x14ac:dyDescent="0.35">
      <c r="A9" s="170" t="s">
        <v>1187</v>
      </c>
      <c r="B9" s="69" t="s">
        <v>1183</v>
      </c>
      <c r="C9" s="172">
        <v>0.2</v>
      </c>
      <c r="D9" s="172">
        <v>0.4</v>
      </c>
      <c r="E9" s="172">
        <v>0</v>
      </c>
      <c r="F9" s="172">
        <v>0.15</v>
      </c>
      <c r="G9" s="69">
        <f t="shared" si="0"/>
        <v>0</v>
      </c>
      <c r="H9" s="69">
        <f t="shared" si="1"/>
        <v>0</v>
      </c>
      <c r="I9" s="172">
        <v>0</v>
      </c>
      <c r="J9" s="172">
        <v>0</v>
      </c>
      <c r="K9" s="69">
        <f>2.466*J9*E9</f>
        <v>0</v>
      </c>
      <c r="L9" s="172"/>
      <c r="M9" s="172"/>
      <c r="N9" s="174">
        <f t="shared" si="2"/>
        <v>0</v>
      </c>
      <c r="O9" s="174">
        <f>0.617*M9*N9</f>
        <v>0</v>
      </c>
      <c r="P9" s="172"/>
      <c r="Q9" s="172"/>
      <c r="R9" s="173">
        <f>E9/0.15</f>
        <v>0</v>
      </c>
      <c r="S9" s="174">
        <f>0.617*Q9*R9</f>
        <v>0</v>
      </c>
      <c r="T9" s="172"/>
      <c r="U9" s="172"/>
      <c r="V9" s="69">
        <f>1.578*U9*E9</f>
        <v>0</v>
      </c>
    </row>
    <row r="10" spans="1:22" ht="14.25" customHeight="1" x14ac:dyDescent="0.35">
      <c r="A10" s="170" t="s">
        <v>1187</v>
      </c>
      <c r="B10" s="69" t="s">
        <v>1184</v>
      </c>
      <c r="C10" s="172">
        <v>0.4</v>
      </c>
      <c r="D10" s="172">
        <v>0.7</v>
      </c>
      <c r="E10" s="172">
        <v>9.1</v>
      </c>
      <c r="F10" s="172">
        <v>0.15</v>
      </c>
      <c r="G10" s="69">
        <f t="shared" si="0"/>
        <v>15.469999999999999</v>
      </c>
      <c r="H10" s="69">
        <f t="shared" si="1"/>
        <v>2.0019999999999998</v>
      </c>
      <c r="I10" s="172">
        <v>25</v>
      </c>
      <c r="J10" s="172">
        <v>16</v>
      </c>
      <c r="K10" s="69">
        <f>'rebar weight'!I4*J10*E10</f>
        <v>560.99680000000001</v>
      </c>
      <c r="L10" s="172">
        <v>12</v>
      </c>
      <c r="M10" s="172">
        <f>2.2+1.7</f>
        <v>3.9000000000000004</v>
      </c>
      <c r="N10" s="174">
        <f t="shared" si="2"/>
        <v>60.666666666666664</v>
      </c>
      <c r="O10" s="174">
        <f>'rebar weight'!E4*M10*N10</f>
        <v>210.10080000000002</v>
      </c>
      <c r="P10" s="172">
        <v>10</v>
      </c>
      <c r="Q10" s="172">
        <f>0.55+0.55+0.55</f>
        <v>1.6500000000000001</v>
      </c>
      <c r="R10" s="173">
        <f>E10/0.3</f>
        <v>30.333333333333332</v>
      </c>
      <c r="S10" s="174">
        <f>'rebar weight'!D4*Q10*R10</f>
        <v>30.880850000000002</v>
      </c>
      <c r="T10" s="172">
        <v>16</v>
      </c>
      <c r="U10" s="172">
        <v>4</v>
      </c>
      <c r="V10" s="69">
        <f>'rebar weight'!G4*U10*E10</f>
        <v>57.4392</v>
      </c>
    </row>
    <row r="11" spans="1:22" ht="14.25" customHeight="1" x14ac:dyDescent="0.35">
      <c r="G11">
        <f>SUM(G3:G10)</f>
        <v>314.89</v>
      </c>
      <c r="H11">
        <f>SUM(H3:H10)</f>
        <v>32.903750000000002</v>
      </c>
    </row>
    <row r="14" spans="1:22" ht="14.25" customHeight="1" x14ac:dyDescent="0.35">
      <c r="I14">
        <v>8</v>
      </c>
      <c r="J14" s="175">
        <f>O3+O4+O5+S3+S4+S5</f>
        <v>492.86520000000007</v>
      </c>
      <c r="K14" s="175">
        <f t="shared" ref="K14:K19" si="3">J14/$H$11</f>
        <v>14.978997834593322</v>
      </c>
    </row>
    <row r="15" spans="1:22" ht="14.25" customHeight="1" x14ac:dyDescent="0.35">
      <c r="I15">
        <v>10</v>
      </c>
      <c r="J15" s="175">
        <f>O6+O7+O8+R6+R7+R8+R9+R10</f>
        <v>1927.4433333333334</v>
      </c>
      <c r="K15" s="175">
        <f t="shared" si="3"/>
        <v>58.578226899162964</v>
      </c>
    </row>
    <row r="16" spans="1:22" ht="14.25" customHeight="1" x14ac:dyDescent="0.35">
      <c r="I16">
        <v>12</v>
      </c>
      <c r="J16" s="175">
        <f>O10+V4+V5+V6</f>
        <v>288.8664</v>
      </c>
      <c r="K16" s="175">
        <f t="shared" si="3"/>
        <v>8.7791330775367538</v>
      </c>
    </row>
    <row r="17" spans="9:11" ht="14.25" customHeight="1" x14ac:dyDescent="0.35">
      <c r="I17">
        <v>16</v>
      </c>
      <c r="J17" s="175">
        <f>K3+K4+V7+V8+V10</f>
        <v>1575.4752000000001</v>
      </c>
      <c r="K17" s="175">
        <f t="shared" si="3"/>
        <v>47.881326596512558</v>
      </c>
    </row>
    <row r="18" spans="9:11" ht="14.25" customHeight="1" x14ac:dyDescent="0.35">
      <c r="I18">
        <v>20</v>
      </c>
      <c r="J18" s="175">
        <f>K5+K6+K7</f>
        <v>2060.3430000000003</v>
      </c>
      <c r="K18" s="175">
        <f t="shared" si="3"/>
        <v>62.617270068001375</v>
      </c>
    </row>
    <row r="19" spans="9:11" ht="14.25" customHeight="1" x14ac:dyDescent="0.35">
      <c r="I19">
        <v>25</v>
      </c>
      <c r="J19" s="175">
        <f>K8+K10</f>
        <v>4568.1168000000007</v>
      </c>
      <c r="K19" s="175">
        <f t="shared" si="3"/>
        <v>138.83271055730731</v>
      </c>
    </row>
    <row r="20" spans="9:11" ht="14.25" customHeight="1" x14ac:dyDescent="0.35">
      <c r="J20" s="175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20"/>
  <sheetViews>
    <sheetView zoomScale="80" zoomScaleNormal="80" workbookViewId="0">
      <selection activeCell="H24" sqref="H24"/>
    </sheetView>
  </sheetViews>
  <sheetFormatPr defaultColWidth="8.7265625" defaultRowHeight="14.5" x14ac:dyDescent="0.35"/>
  <cols>
    <col min="1" max="1" width="9.1796875" style="168" customWidth="1"/>
    <col min="2" max="2" width="12.54296875" customWidth="1"/>
    <col min="3" max="3" width="15.26953125" customWidth="1"/>
    <col min="4" max="4" width="16" customWidth="1"/>
    <col min="5" max="5" width="17.26953125" customWidth="1"/>
    <col min="6" max="6" width="19.453125" customWidth="1"/>
    <col min="7" max="7" width="15.7265625" customWidth="1"/>
    <col min="8" max="8" width="14.54296875" customWidth="1"/>
    <col min="9" max="9" width="14.453125" customWidth="1"/>
    <col min="10" max="10" width="19.81640625" customWidth="1"/>
    <col min="11" max="11" width="12" customWidth="1"/>
    <col min="12" max="12" width="7.7265625" customWidth="1"/>
    <col min="13" max="13" width="10.7265625" customWidth="1"/>
    <col min="14" max="14" width="20.7265625" customWidth="1"/>
    <col min="15" max="15" width="13" customWidth="1"/>
    <col min="16" max="16" width="7.7265625" customWidth="1"/>
    <col min="17" max="17" width="10.7265625" customWidth="1"/>
    <col min="18" max="18" width="20.7265625" customWidth="1"/>
    <col min="19" max="19" width="12" customWidth="1"/>
    <col min="20" max="20" width="13.54296875" customWidth="1"/>
    <col min="21" max="21" width="19.1796875" customWidth="1"/>
    <col min="22" max="22" width="12" customWidth="1"/>
  </cols>
  <sheetData>
    <row r="1" spans="1:22" ht="14.25" customHeight="1" x14ac:dyDescent="0.35">
      <c r="A1" s="215" t="s">
        <v>1185</v>
      </c>
      <c r="B1" s="215"/>
      <c r="C1" s="215"/>
      <c r="D1" s="215"/>
      <c r="E1" s="215"/>
      <c r="F1" s="215"/>
    </row>
    <row r="2" spans="1:22" ht="14.25" customHeight="1" x14ac:dyDescent="0.35">
      <c r="A2" s="170" t="s">
        <v>1157</v>
      </c>
      <c r="B2" s="69" t="s">
        <v>1158</v>
      </c>
      <c r="C2" s="69" t="s">
        <v>1159</v>
      </c>
      <c r="D2" s="69" t="s">
        <v>1160</v>
      </c>
      <c r="E2" s="69" t="s">
        <v>1161</v>
      </c>
      <c r="F2" s="69" t="s">
        <v>1162</v>
      </c>
      <c r="G2" s="69" t="s">
        <v>1163</v>
      </c>
      <c r="H2" s="69" t="s">
        <v>1164</v>
      </c>
      <c r="I2" s="69" t="s">
        <v>1168</v>
      </c>
      <c r="J2" s="69" t="s">
        <v>1169</v>
      </c>
      <c r="K2" s="171" t="s">
        <v>1170</v>
      </c>
      <c r="L2" s="171" t="s">
        <v>1171</v>
      </c>
      <c r="M2" s="171" t="s">
        <v>1172</v>
      </c>
      <c r="N2" s="69" t="s">
        <v>1173</v>
      </c>
      <c r="O2" s="69" t="s">
        <v>1170</v>
      </c>
      <c r="P2" s="171" t="s">
        <v>1186</v>
      </c>
      <c r="Q2" s="171" t="s">
        <v>1172</v>
      </c>
      <c r="R2" s="69" t="s">
        <v>1173</v>
      </c>
      <c r="S2" s="69" t="s">
        <v>1170</v>
      </c>
      <c r="T2" s="69" t="s">
        <v>1174</v>
      </c>
      <c r="U2" s="69" t="s">
        <v>1175</v>
      </c>
      <c r="V2" s="69" t="s">
        <v>1170</v>
      </c>
    </row>
    <row r="3" spans="1:22" ht="14.25" customHeight="1" x14ac:dyDescent="0.35">
      <c r="A3" s="170" t="s">
        <v>1187</v>
      </c>
      <c r="B3" s="69" t="s">
        <v>1177</v>
      </c>
      <c r="C3" s="172">
        <v>0.25</v>
      </c>
      <c r="D3" s="172">
        <v>0.4</v>
      </c>
      <c r="E3" s="172">
        <v>12</v>
      </c>
      <c r="F3" s="172">
        <v>0.15</v>
      </c>
      <c r="G3" s="69">
        <f t="shared" ref="G3:G10" si="0">((C3+0.2)+(D3-F3)*2)*E3</f>
        <v>11.399999999999999</v>
      </c>
      <c r="H3" s="69">
        <f t="shared" ref="H3:H10" si="1">C3*(D3-F3)*E3</f>
        <v>0.75</v>
      </c>
      <c r="I3" s="172">
        <v>16</v>
      </c>
      <c r="J3" s="172">
        <v>6</v>
      </c>
      <c r="K3" s="69">
        <f>J3*E3*'rebar weight'!G4</f>
        <v>113.616</v>
      </c>
      <c r="L3" s="172">
        <v>8</v>
      </c>
      <c r="M3" s="172">
        <v>1.2</v>
      </c>
      <c r="N3" s="174">
        <f t="shared" ref="N3:N10" si="2">E3/0.15</f>
        <v>80</v>
      </c>
      <c r="O3" s="174">
        <f>M3*N3*'rebar weight'!C4</f>
        <v>37.92</v>
      </c>
      <c r="P3" s="172">
        <v>0</v>
      </c>
      <c r="Q3" s="172">
        <v>0</v>
      </c>
      <c r="R3" s="173">
        <f>E3/0.15</f>
        <v>80</v>
      </c>
      <c r="S3" s="174">
        <f>0.395*Q3*R3</f>
        <v>0</v>
      </c>
      <c r="T3" s="172">
        <v>0</v>
      </c>
      <c r="U3" s="172">
        <v>0</v>
      </c>
      <c r="V3" s="69">
        <f>'rebar weight'!E3*U3*E3</f>
        <v>0</v>
      </c>
    </row>
    <row r="4" spans="1:22" ht="14.25" customHeight="1" x14ac:dyDescent="0.35">
      <c r="A4" s="170" t="s">
        <v>1187</v>
      </c>
      <c r="B4" s="69" t="s">
        <v>1178</v>
      </c>
      <c r="C4" s="172">
        <v>0.25</v>
      </c>
      <c r="D4" s="172">
        <v>0.5</v>
      </c>
      <c r="E4" s="172">
        <v>0</v>
      </c>
      <c r="F4" s="172">
        <v>0.15</v>
      </c>
      <c r="G4" s="69">
        <f t="shared" si="0"/>
        <v>0</v>
      </c>
      <c r="H4" s="69">
        <f t="shared" si="1"/>
        <v>0</v>
      </c>
      <c r="I4" s="172">
        <v>16</v>
      </c>
      <c r="J4" s="172">
        <v>10</v>
      </c>
      <c r="K4" s="69">
        <f>'rebar weight'!G4*J4*E4</f>
        <v>0</v>
      </c>
      <c r="L4" s="172">
        <v>8</v>
      </c>
      <c r="M4" s="172">
        <f>1.4</f>
        <v>1.4</v>
      </c>
      <c r="N4" s="174">
        <f t="shared" si="2"/>
        <v>0</v>
      </c>
      <c r="O4" s="174">
        <f>0.395*M4*N4</f>
        <v>0</v>
      </c>
      <c r="P4" s="172">
        <v>8</v>
      </c>
      <c r="Q4" s="172">
        <f>0.4</f>
        <v>0.4</v>
      </c>
      <c r="R4" s="173">
        <f>E4/0.15</f>
        <v>0</v>
      </c>
      <c r="S4" s="174">
        <f>0.395*Q4*R4</f>
        <v>0</v>
      </c>
      <c r="T4" s="172">
        <v>12</v>
      </c>
      <c r="U4" s="172">
        <v>2</v>
      </c>
      <c r="V4" s="69">
        <f>'rebar weight'!E4*U4*E4</f>
        <v>0</v>
      </c>
    </row>
    <row r="5" spans="1:22" ht="14.25" customHeight="1" x14ac:dyDescent="0.35">
      <c r="A5" s="170" t="s">
        <v>1187</v>
      </c>
      <c r="B5" s="69" t="s">
        <v>1179</v>
      </c>
      <c r="C5" s="172">
        <v>0.3</v>
      </c>
      <c r="D5" s="172">
        <v>0.5</v>
      </c>
      <c r="E5" s="172">
        <v>10</v>
      </c>
      <c r="F5" s="172">
        <v>0.15</v>
      </c>
      <c r="G5" s="69">
        <f t="shared" si="0"/>
        <v>12</v>
      </c>
      <c r="H5" s="69">
        <f t="shared" si="1"/>
        <v>1.05</v>
      </c>
      <c r="I5" s="172">
        <v>20</v>
      </c>
      <c r="J5" s="172">
        <v>10</v>
      </c>
      <c r="K5" s="69">
        <f>'rebar weight'!H4*J5*E5</f>
        <v>246.60000000000002</v>
      </c>
      <c r="L5" s="172">
        <v>8</v>
      </c>
      <c r="M5" s="172">
        <f>1.5</f>
        <v>1.5</v>
      </c>
      <c r="N5" s="174">
        <f t="shared" si="2"/>
        <v>66.666666666666671</v>
      </c>
      <c r="O5" s="174">
        <f>'rebar weight'!C4*M5*N5</f>
        <v>39.500000000000007</v>
      </c>
      <c r="P5" s="172">
        <v>8</v>
      </c>
      <c r="Q5" s="172">
        <f>0.64+0.5</f>
        <v>1.1400000000000001</v>
      </c>
      <c r="R5" s="173">
        <f>E5/0.15</f>
        <v>66.666666666666671</v>
      </c>
      <c r="S5" s="174">
        <f>0.395*Q5*R5</f>
        <v>30.020000000000007</v>
      </c>
      <c r="T5" s="172">
        <v>12</v>
      </c>
      <c r="U5" s="172">
        <v>2</v>
      </c>
      <c r="V5" s="69">
        <f>0.888*U5*E5</f>
        <v>17.760000000000002</v>
      </c>
    </row>
    <row r="6" spans="1:22" ht="14.25" customHeight="1" x14ac:dyDescent="0.35">
      <c r="A6" s="170" t="s">
        <v>1187</v>
      </c>
      <c r="B6" s="69" t="s">
        <v>1180</v>
      </c>
      <c r="C6" s="172">
        <v>0.3</v>
      </c>
      <c r="D6" s="172">
        <v>0.6</v>
      </c>
      <c r="E6" s="172">
        <v>0</v>
      </c>
      <c r="F6" s="172">
        <v>0.15</v>
      </c>
      <c r="G6" s="69">
        <f t="shared" si="0"/>
        <v>0</v>
      </c>
      <c r="H6" s="69">
        <f t="shared" si="1"/>
        <v>0</v>
      </c>
      <c r="I6" s="172">
        <v>20</v>
      </c>
      <c r="J6" s="172">
        <v>10</v>
      </c>
      <c r="K6" s="69">
        <f>2.466*J6*E6</f>
        <v>0</v>
      </c>
      <c r="L6" s="172">
        <v>10</v>
      </c>
      <c r="M6" s="172">
        <f>1.6+0.75+0.5+0.5</f>
        <v>3.35</v>
      </c>
      <c r="N6" s="174">
        <f t="shared" si="2"/>
        <v>0</v>
      </c>
      <c r="O6" s="174">
        <f>0.617*M6*N6</f>
        <v>0</v>
      </c>
      <c r="P6" s="172">
        <v>10</v>
      </c>
      <c r="Q6" s="172">
        <f>1.6+0.75+0.5+0.5</f>
        <v>3.35</v>
      </c>
      <c r="R6" s="173">
        <f>E6/0.15</f>
        <v>0</v>
      </c>
      <c r="S6" s="174">
        <f>0.617*Q6*R6</f>
        <v>0</v>
      </c>
      <c r="T6" s="172">
        <v>12</v>
      </c>
      <c r="U6" s="172">
        <v>2</v>
      </c>
      <c r="V6" s="69">
        <f>0.888*U6*E6</f>
        <v>0</v>
      </c>
    </row>
    <row r="7" spans="1:22" ht="14.25" customHeight="1" x14ac:dyDescent="0.35">
      <c r="A7" s="170" t="s">
        <v>1187</v>
      </c>
      <c r="B7" s="69" t="s">
        <v>1181</v>
      </c>
      <c r="C7" s="172">
        <v>0.4</v>
      </c>
      <c r="D7" s="172">
        <v>0.6</v>
      </c>
      <c r="E7" s="172">
        <v>9</v>
      </c>
      <c r="F7" s="172">
        <v>0.15</v>
      </c>
      <c r="G7" s="69">
        <f t="shared" si="0"/>
        <v>13.5</v>
      </c>
      <c r="H7" s="69">
        <f t="shared" si="1"/>
        <v>1.6199999999999999</v>
      </c>
      <c r="I7" s="172">
        <v>20</v>
      </c>
      <c r="J7" s="172">
        <v>16</v>
      </c>
      <c r="K7" s="69">
        <f>'rebar weight'!H4*J7*E7</f>
        <v>355.10400000000004</v>
      </c>
      <c r="L7" s="172">
        <v>10</v>
      </c>
      <c r="M7" s="172">
        <f>2+1.5</f>
        <v>3.5</v>
      </c>
      <c r="N7" s="174">
        <f t="shared" si="2"/>
        <v>60</v>
      </c>
      <c r="O7" s="174">
        <f>0.617*M7*N7</f>
        <v>129.57</v>
      </c>
      <c r="P7" s="172">
        <v>10</v>
      </c>
      <c r="Q7" s="172">
        <f>0.6+0.6</f>
        <v>1.2</v>
      </c>
      <c r="R7" s="173">
        <f>E7/0.3</f>
        <v>30</v>
      </c>
      <c r="S7" s="174">
        <f>0.617*Q7*R7</f>
        <v>22.212</v>
      </c>
      <c r="T7" s="172">
        <v>16</v>
      </c>
      <c r="U7" s="172">
        <v>2</v>
      </c>
      <c r="V7" s="69">
        <f>'rebar weight'!G4*U7*E7</f>
        <v>28.404</v>
      </c>
    </row>
    <row r="8" spans="1:22" ht="14.25" customHeight="1" x14ac:dyDescent="0.35">
      <c r="A8" s="170" t="s">
        <v>1187</v>
      </c>
      <c r="B8" s="69" t="s">
        <v>1182</v>
      </c>
      <c r="C8" s="172">
        <v>0.4</v>
      </c>
      <c r="D8" s="172">
        <v>0.7</v>
      </c>
      <c r="E8" s="172">
        <v>36</v>
      </c>
      <c r="F8" s="172">
        <v>0.15</v>
      </c>
      <c r="G8" s="69">
        <f t="shared" si="0"/>
        <v>61.199999999999996</v>
      </c>
      <c r="H8" s="69">
        <f t="shared" si="1"/>
        <v>7.919999999999999</v>
      </c>
      <c r="I8" s="172">
        <v>25</v>
      </c>
      <c r="J8" s="172">
        <v>16</v>
      </c>
      <c r="K8" s="69">
        <f>'rebar weight'!I4*J8*E8</f>
        <v>2219.328</v>
      </c>
      <c r="L8" s="172">
        <v>10</v>
      </c>
      <c r="M8" s="172">
        <f>2+1.5</f>
        <v>3.5</v>
      </c>
      <c r="N8" s="174">
        <f t="shared" si="2"/>
        <v>240</v>
      </c>
      <c r="O8" s="174">
        <f>0.617*M8*N8</f>
        <v>518.28</v>
      </c>
      <c r="P8" s="172">
        <v>10</v>
      </c>
      <c r="Q8" s="172">
        <f>0.6+0.6</f>
        <v>1.2</v>
      </c>
      <c r="R8" s="173">
        <f>E8/0.3</f>
        <v>120</v>
      </c>
      <c r="S8" s="174">
        <f>0.617*Q8*R8</f>
        <v>88.847999999999999</v>
      </c>
      <c r="T8" s="172">
        <v>16</v>
      </c>
      <c r="U8" s="172">
        <v>2</v>
      </c>
      <c r="V8" s="69">
        <f>'rebar weight'!G4*U8*E8</f>
        <v>113.616</v>
      </c>
    </row>
    <row r="9" spans="1:22" ht="14.25" customHeight="1" x14ac:dyDescent="0.35">
      <c r="A9" s="170" t="s">
        <v>1187</v>
      </c>
      <c r="B9" s="69" t="s">
        <v>1183</v>
      </c>
      <c r="C9" s="172">
        <v>0.2</v>
      </c>
      <c r="D9" s="172">
        <v>0.4</v>
      </c>
      <c r="E9" s="172">
        <v>0</v>
      </c>
      <c r="F9" s="172">
        <v>0.15</v>
      </c>
      <c r="G9" s="69">
        <f t="shared" si="0"/>
        <v>0</v>
      </c>
      <c r="H9" s="69">
        <f t="shared" si="1"/>
        <v>0</v>
      </c>
      <c r="I9" s="172">
        <v>0</v>
      </c>
      <c r="J9" s="172">
        <v>0</v>
      </c>
      <c r="K9" s="69">
        <f>2.466*J9*E9</f>
        <v>0</v>
      </c>
      <c r="L9" s="172"/>
      <c r="M9" s="172"/>
      <c r="N9" s="174">
        <f t="shared" si="2"/>
        <v>0</v>
      </c>
      <c r="O9" s="174">
        <f>0.617*M9*N9</f>
        <v>0</v>
      </c>
      <c r="P9" s="172"/>
      <c r="Q9" s="172"/>
      <c r="R9" s="173">
        <f>E9/0.15</f>
        <v>0</v>
      </c>
      <c r="S9" s="174">
        <f>0.617*Q9*R9</f>
        <v>0</v>
      </c>
      <c r="T9" s="172"/>
      <c r="U9" s="172"/>
      <c r="V9" s="69">
        <f>1.578*U9*E9</f>
        <v>0</v>
      </c>
    </row>
    <row r="10" spans="1:22" ht="14.25" customHeight="1" x14ac:dyDescent="0.35">
      <c r="A10" s="170" t="s">
        <v>1187</v>
      </c>
      <c r="B10" s="69" t="s">
        <v>1184</v>
      </c>
      <c r="C10" s="172">
        <v>0.4</v>
      </c>
      <c r="D10" s="172">
        <v>0.7</v>
      </c>
      <c r="E10" s="172">
        <v>9.1</v>
      </c>
      <c r="F10" s="172">
        <v>0.15</v>
      </c>
      <c r="G10" s="69">
        <f t="shared" si="0"/>
        <v>15.469999999999999</v>
      </c>
      <c r="H10" s="69">
        <f t="shared" si="1"/>
        <v>2.0019999999999998</v>
      </c>
      <c r="I10" s="172">
        <v>25</v>
      </c>
      <c r="J10" s="172">
        <v>16</v>
      </c>
      <c r="K10" s="69">
        <f>'rebar weight'!I4*J10*E10</f>
        <v>560.99680000000001</v>
      </c>
      <c r="L10" s="172">
        <v>12</v>
      </c>
      <c r="M10" s="172">
        <f>2.2+1.7</f>
        <v>3.9000000000000004</v>
      </c>
      <c r="N10" s="174">
        <f t="shared" si="2"/>
        <v>60.666666666666664</v>
      </c>
      <c r="O10" s="174">
        <f>'rebar weight'!E4*M10*N10</f>
        <v>210.10080000000002</v>
      </c>
      <c r="P10" s="172">
        <v>10</v>
      </c>
      <c r="Q10" s="172">
        <f>0.55+0.55+0.55</f>
        <v>1.6500000000000001</v>
      </c>
      <c r="R10" s="173">
        <f>E10/0.3</f>
        <v>30.333333333333332</v>
      </c>
      <c r="S10" s="174">
        <f>'rebar weight'!D4*Q10*R10</f>
        <v>30.880850000000002</v>
      </c>
      <c r="T10" s="172">
        <v>16</v>
      </c>
      <c r="U10" s="172">
        <v>4</v>
      </c>
      <c r="V10" s="69">
        <f>'rebar weight'!G4*U10*E10</f>
        <v>57.4392</v>
      </c>
    </row>
    <row r="11" spans="1:22" ht="14.25" customHeight="1" x14ac:dyDescent="0.35">
      <c r="G11">
        <f>SUM(G3:G10)</f>
        <v>113.57</v>
      </c>
      <c r="H11">
        <f>SUM(H3:H10)</f>
        <v>13.341999999999999</v>
      </c>
    </row>
    <row r="14" spans="1:22" ht="14.25" customHeight="1" x14ac:dyDescent="0.35">
      <c r="I14">
        <v>8</v>
      </c>
      <c r="J14" s="175">
        <f>O3+O4+O5+S3+S4+S5</f>
        <v>107.44000000000003</v>
      </c>
      <c r="K14" s="175">
        <f t="shared" ref="K14:K19" si="3">J14/$H$11</f>
        <v>8.0527657022935113</v>
      </c>
    </row>
    <row r="15" spans="1:22" ht="14.25" customHeight="1" x14ac:dyDescent="0.35">
      <c r="I15">
        <v>10</v>
      </c>
      <c r="J15" s="175">
        <f>O6+O7+O8+R6+R7+R8+R9+R10</f>
        <v>828.18333333333328</v>
      </c>
      <c r="K15" s="175">
        <f t="shared" si="3"/>
        <v>62.073402288512469</v>
      </c>
    </row>
    <row r="16" spans="1:22" ht="14.25" customHeight="1" x14ac:dyDescent="0.35">
      <c r="I16">
        <v>12</v>
      </c>
      <c r="J16" s="175">
        <f>O10+V4+V5+V6</f>
        <v>227.86080000000001</v>
      </c>
      <c r="K16" s="175">
        <f t="shared" si="3"/>
        <v>17.07845900164893</v>
      </c>
    </row>
    <row r="17" spans="9:11" ht="14.25" customHeight="1" x14ac:dyDescent="0.35">
      <c r="I17">
        <v>16</v>
      </c>
      <c r="J17" s="175">
        <f>K3+K4+V7+V8+V10</f>
        <v>313.0752</v>
      </c>
      <c r="K17" s="175">
        <f t="shared" si="3"/>
        <v>23.465387498126219</v>
      </c>
    </row>
    <row r="18" spans="9:11" ht="14.25" customHeight="1" x14ac:dyDescent="0.35">
      <c r="I18">
        <v>20</v>
      </c>
      <c r="J18" s="175">
        <f>K5+K6+K7</f>
        <v>601.70400000000006</v>
      </c>
      <c r="K18" s="175">
        <f t="shared" si="3"/>
        <v>45.09848598411034</v>
      </c>
    </row>
    <row r="19" spans="9:11" ht="14.25" customHeight="1" x14ac:dyDescent="0.35">
      <c r="I19">
        <v>25</v>
      </c>
      <c r="J19" s="175">
        <f>K8+K10</f>
        <v>2780.3247999999999</v>
      </c>
      <c r="K19" s="175">
        <f t="shared" si="3"/>
        <v>208.38890721031331</v>
      </c>
    </row>
    <row r="20" spans="9:11" ht="14.25" customHeight="1" x14ac:dyDescent="0.35">
      <c r="J20" s="175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3:C34"/>
  <sheetViews>
    <sheetView zoomScaleNormal="100" workbookViewId="0">
      <selection activeCell="A6" sqref="A6"/>
    </sheetView>
  </sheetViews>
  <sheetFormatPr defaultColWidth="8.7265625" defaultRowHeight="14.5" x14ac:dyDescent="0.35"/>
  <cols>
    <col min="1" max="1" width="49.81640625" customWidth="1"/>
    <col min="2" max="2" width="7.1796875" customWidth="1"/>
    <col min="3" max="7" width="15.453125" customWidth="1"/>
  </cols>
  <sheetData>
    <row r="3" spans="1:3" ht="14.25" customHeight="1" x14ac:dyDescent="0.35">
      <c r="A3" s="176" t="s">
        <v>443</v>
      </c>
      <c r="B3" s="177" t="s">
        <v>80</v>
      </c>
      <c r="C3" s="178" t="s">
        <v>1194</v>
      </c>
    </row>
    <row r="4" spans="1:3" ht="14.25" customHeight="1" x14ac:dyDescent="0.35">
      <c r="A4" s="179" t="s">
        <v>179</v>
      </c>
      <c r="B4" s="180" t="s">
        <v>128</v>
      </c>
      <c r="C4" s="181">
        <v>697.57</v>
      </c>
    </row>
    <row r="5" spans="1:3" ht="14.25" customHeight="1" x14ac:dyDescent="0.35">
      <c r="A5" s="182" t="s">
        <v>177</v>
      </c>
      <c r="B5" s="183" t="s">
        <v>100</v>
      </c>
      <c r="C5" s="181">
        <v>69.760000000000005</v>
      </c>
    </row>
    <row r="6" spans="1:3" ht="14.25" customHeight="1" x14ac:dyDescent="0.35">
      <c r="A6" s="182" t="s">
        <v>102</v>
      </c>
      <c r="B6" s="183" t="s">
        <v>103</v>
      </c>
      <c r="C6" s="181">
        <v>194936.96706666701</v>
      </c>
    </row>
    <row r="7" spans="1:3" ht="14.25" customHeight="1" x14ac:dyDescent="0.35">
      <c r="A7" s="182" t="s">
        <v>131</v>
      </c>
      <c r="B7" s="183" t="s">
        <v>103</v>
      </c>
      <c r="C7" s="181">
        <v>69284.758879999994</v>
      </c>
    </row>
    <row r="8" spans="1:3" ht="14.25" customHeight="1" x14ac:dyDescent="0.35">
      <c r="A8" s="182" t="s">
        <v>211</v>
      </c>
      <c r="B8" s="183" t="s">
        <v>103</v>
      </c>
      <c r="C8" s="181">
        <v>10086.0216</v>
      </c>
    </row>
    <row r="9" spans="1:3" ht="14.25" customHeight="1" x14ac:dyDescent="0.35">
      <c r="A9" s="182" t="s">
        <v>133</v>
      </c>
      <c r="B9" s="183" t="s">
        <v>103</v>
      </c>
      <c r="C9" s="181">
        <v>40840.770431999998</v>
      </c>
    </row>
    <row r="10" spans="1:3" ht="14.25" customHeight="1" x14ac:dyDescent="0.35">
      <c r="A10" s="182" t="s">
        <v>135</v>
      </c>
      <c r="B10" s="183" t="s">
        <v>103</v>
      </c>
      <c r="C10" s="181">
        <v>80027.668359999996</v>
      </c>
    </row>
    <row r="11" spans="1:3" ht="14.25" customHeight="1" x14ac:dyDescent="0.35">
      <c r="A11" s="182" t="s">
        <v>105</v>
      </c>
      <c r="B11" s="183" t="s">
        <v>103</v>
      </c>
      <c r="C11" s="181">
        <v>152042.34160000001</v>
      </c>
    </row>
    <row r="12" spans="1:3" ht="14.25" customHeight="1" x14ac:dyDescent="0.35">
      <c r="A12" s="182" t="s">
        <v>138</v>
      </c>
      <c r="B12" s="183" t="s">
        <v>103</v>
      </c>
      <c r="C12" s="181">
        <v>51464.277999999998</v>
      </c>
    </row>
    <row r="13" spans="1:3" ht="14.25" customHeight="1" x14ac:dyDescent="0.35">
      <c r="A13" s="182" t="s">
        <v>127</v>
      </c>
      <c r="B13" s="183" t="s">
        <v>128</v>
      </c>
      <c r="C13" s="181">
        <v>19052.514599999999</v>
      </c>
    </row>
    <row r="14" spans="1:3" ht="14.25" customHeight="1" x14ac:dyDescent="0.35">
      <c r="A14" s="182" t="s">
        <v>143</v>
      </c>
      <c r="B14" s="183" t="s">
        <v>100</v>
      </c>
      <c r="C14" s="181">
        <v>53.256500000000003</v>
      </c>
    </row>
    <row r="15" spans="1:3" ht="14.25" customHeight="1" x14ac:dyDescent="0.35">
      <c r="A15" s="182" t="s">
        <v>147</v>
      </c>
      <c r="B15" s="183" t="s">
        <v>128</v>
      </c>
      <c r="C15" s="181">
        <v>7.2694999999999999</v>
      </c>
    </row>
    <row r="16" spans="1:3" ht="14.25" customHeight="1" x14ac:dyDescent="0.35">
      <c r="A16" s="182" t="s">
        <v>125</v>
      </c>
      <c r="B16" s="183" t="s">
        <v>100</v>
      </c>
      <c r="C16" s="181">
        <v>2820.7953900000002</v>
      </c>
    </row>
    <row r="17" spans="1:3" ht="14.25" customHeight="1" x14ac:dyDescent="0.35">
      <c r="A17" s="182" t="s">
        <v>99</v>
      </c>
      <c r="B17" s="183" t="s">
        <v>100</v>
      </c>
      <c r="C17" s="181">
        <v>374.16368504254399</v>
      </c>
    </row>
    <row r="18" spans="1:3" ht="14.25" customHeight="1" x14ac:dyDescent="0.35">
      <c r="A18" s="182" t="s">
        <v>88</v>
      </c>
      <c r="B18" s="183" t="s">
        <v>89</v>
      </c>
      <c r="C18" s="181">
        <v>5</v>
      </c>
    </row>
    <row r="19" spans="1:3" ht="14.25" customHeight="1" x14ac:dyDescent="0.35">
      <c r="A19" s="182" t="s">
        <v>91</v>
      </c>
      <c r="B19" s="183" t="s">
        <v>89</v>
      </c>
      <c r="C19" s="181">
        <v>17</v>
      </c>
    </row>
    <row r="20" spans="1:3" ht="14.25" customHeight="1" x14ac:dyDescent="0.35">
      <c r="A20" s="182" t="s">
        <v>145</v>
      </c>
      <c r="B20" s="183" t="s">
        <v>110</v>
      </c>
      <c r="C20" s="181">
        <v>78</v>
      </c>
    </row>
    <row r="21" spans="1:3" ht="14.25" customHeight="1" x14ac:dyDescent="0.35">
      <c r="A21" s="182" t="s">
        <v>112</v>
      </c>
      <c r="B21" s="183" t="s">
        <v>113</v>
      </c>
      <c r="C21" s="181">
        <v>1</v>
      </c>
    </row>
    <row r="22" spans="1:3" ht="14.25" customHeight="1" x14ac:dyDescent="0.35">
      <c r="A22" s="182" t="s">
        <v>169</v>
      </c>
      <c r="B22" s="183" t="s">
        <v>103</v>
      </c>
      <c r="C22" s="181">
        <v>8711.3950666666697</v>
      </c>
    </row>
    <row r="23" spans="1:3" ht="14.25" customHeight="1" x14ac:dyDescent="0.35">
      <c r="A23" s="182" t="s">
        <v>123</v>
      </c>
      <c r="B23" s="183" t="s">
        <v>100</v>
      </c>
      <c r="C23" s="181">
        <v>1370.424</v>
      </c>
    </row>
    <row r="24" spans="1:3" ht="14.25" customHeight="1" x14ac:dyDescent="0.35">
      <c r="A24" s="182" t="s">
        <v>95</v>
      </c>
      <c r="B24" s="183" t="s">
        <v>89</v>
      </c>
      <c r="C24" s="181">
        <v>5</v>
      </c>
    </row>
    <row r="25" spans="1:3" ht="14.25" customHeight="1" x14ac:dyDescent="0.35">
      <c r="A25" s="182" t="s">
        <v>97</v>
      </c>
      <c r="B25" s="183" t="s">
        <v>89</v>
      </c>
      <c r="C25" s="181">
        <v>17</v>
      </c>
    </row>
    <row r="26" spans="1:3" ht="14.25" customHeight="1" x14ac:dyDescent="0.35">
      <c r="A26" s="182" t="s">
        <v>121</v>
      </c>
      <c r="B26" s="183" t="s">
        <v>100</v>
      </c>
      <c r="C26" s="181">
        <v>1571.17</v>
      </c>
    </row>
    <row r="27" spans="1:3" ht="14.25" customHeight="1" x14ac:dyDescent="0.35">
      <c r="A27" s="182" t="s">
        <v>119</v>
      </c>
      <c r="B27" s="183" t="s">
        <v>100</v>
      </c>
      <c r="C27" s="181">
        <v>1571.17</v>
      </c>
    </row>
    <row r="28" spans="1:3" ht="14.25" customHeight="1" x14ac:dyDescent="0.35">
      <c r="A28" s="182" t="s">
        <v>93</v>
      </c>
      <c r="B28" s="183" t="s">
        <v>89</v>
      </c>
      <c r="C28" s="181">
        <v>22</v>
      </c>
    </row>
    <row r="29" spans="1:3" ht="14.25" customHeight="1" x14ac:dyDescent="0.35">
      <c r="A29" s="182" t="s">
        <v>109</v>
      </c>
      <c r="B29" s="183" t="s">
        <v>110</v>
      </c>
      <c r="C29" s="181">
        <v>2201</v>
      </c>
    </row>
    <row r="30" spans="1:3" ht="14.25" customHeight="1" x14ac:dyDescent="0.35">
      <c r="A30" s="182" t="s">
        <v>107</v>
      </c>
      <c r="B30" s="183" t="s">
        <v>103</v>
      </c>
      <c r="C30" s="181">
        <v>23645.338008213301</v>
      </c>
    </row>
    <row r="31" spans="1:3" ht="14.25" customHeight="1" x14ac:dyDescent="0.35">
      <c r="A31" s="182" t="s">
        <v>141</v>
      </c>
      <c r="B31" s="183" t="s">
        <v>128</v>
      </c>
      <c r="C31" s="181">
        <v>201.43</v>
      </c>
    </row>
    <row r="32" spans="1:3" ht="14.25" customHeight="1" x14ac:dyDescent="0.35">
      <c r="A32" s="182" t="s">
        <v>158</v>
      </c>
      <c r="B32" s="183" t="s">
        <v>100</v>
      </c>
      <c r="C32" s="181">
        <v>10.5</v>
      </c>
    </row>
    <row r="33" spans="1:3" ht="14.25" customHeight="1" x14ac:dyDescent="0.35">
      <c r="A33" s="184" t="s">
        <v>1195</v>
      </c>
      <c r="B33" s="185"/>
      <c r="C33" s="186">
        <v>661185.56268859003</v>
      </c>
    </row>
    <row r="34" spans="1:3" ht="14.25" customHeight="1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"/>
  <sheetViews>
    <sheetView zoomScaleNormal="100" workbookViewId="0">
      <selection activeCell="F18" sqref="F18"/>
    </sheetView>
  </sheetViews>
  <sheetFormatPr defaultColWidth="8.7265625" defaultRowHeight="14.5" x14ac:dyDescent="0.35"/>
  <cols>
    <col min="2" max="2" width="14.1796875" customWidth="1"/>
    <col min="3" max="3" width="16.1796875" customWidth="1"/>
    <col min="4" max="4" width="14.26953125" customWidth="1"/>
    <col min="5" max="5" width="18.1796875" customWidth="1"/>
    <col min="6" max="6" width="14.26953125" customWidth="1"/>
    <col min="7" max="7" width="24.81640625" customWidth="1"/>
    <col min="8" max="8" width="18.54296875" customWidth="1"/>
    <col min="9" max="9" width="17" customWidth="1"/>
    <col min="10" max="10" width="19.26953125" customWidth="1"/>
  </cols>
  <sheetData>
    <row r="1" spans="1:10" ht="14.25" customHeight="1" x14ac:dyDescent="0.35">
      <c r="A1" t="s">
        <v>1112</v>
      </c>
      <c r="B1" t="s">
        <v>1196</v>
      </c>
      <c r="C1" t="s">
        <v>1197</v>
      </c>
      <c r="D1" t="s">
        <v>1198</v>
      </c>
      <c r="E1" t="s">
        <v>1199</v>
      </c>
      <c r="F1" s="169" t="s">
        <v>1200</v>
      </c>
      <c r="G1" t="s">
        <v>1201</v>
      </c>
      <c r="H1" s="169" t="s">
        <v>1164</v>
      </c>
      <c r="I1" t="s">
        <v>1202</v>
      </c>
      <c r="J1" s="169" t="s">
        <v>1203</v>
      </c>
    </row>
    <row r="2" spans="1:10" ht="14.25" customHeight="1" x14ac:dyDescent="0.35">
      <c r="A2" t="s">
        <v>1204</v>
      </c>
      <c r="B2">
        <v>800</v>
      </c>
      <c r="C2">
        <v>30</v>
      </c>
      <c r="D2">
        <v>17</v>
      </c>
      <c r="E2">
        <v>12</v>
      </c>
      <c r="F2">
        <v>25</v>
      </c>
      <c r="G2">
        <v>164.6</v>
      </c>
      <c r="H2">
        <f>((PI()*(B2/2)^2)/1000000)*C2*D2</f>
        <v>256.35396053292715</v>
      </c>
      <c r="I2">
        <f>(C2+1)*E2*D2*3.853</f>
        <v>24366.372000000003</v>
      </c>
      <c r="J2">
        <f>G2*D2*0.617</f>
        <v>1726.4893999999999</v>
      </c>
    </row>
    <row r="3" spans="1:10" ht="14.25" customHeight="1" x14ac:dyDescent="0.35">
      <c r="A3" t="s">
        <v>1205</v>
      </c>
      <c r="B3">
        <v>1000</v>
      </c>
      <c r="C3">
        <v>30</v>
      </c>
      <c r="D3">
        <v>5</v>
      </c>
      <c r="E3">
        <v>16</v>
      </c>
      <c r="F3">
        <v>25</v>
      </c>
      <c r="G3">
        <v>268.2</v>
      </c>
      <c r="H3">
        <f>((PI()*(B3/2)^2)/1000000)*C3*D3</f>
        <v>117.80972450961724</v>
      </c>
      <c r="I3">
        <f>(C3+1)*E3*D3*3.853</f>
        <v>9555.44</v>
      </c>
      <c r="J3">
        <f>G3*D3*0.617</f>
        <v>827.39699999999993</v>
      </c>
    </row>
    <row r="4" spans="1:10" ht="14.25" customHeight="1" x14ac:dyDescent="0.35">
      <c r="H4">
        <f>SUM(H2:H3)</f>
        <v>374.16368504254439</v>
      </c>
      <c r="I4">
        <f>SUM(I2:I3)</f>
        <v>33921.812000000005</v>
      </c>
      <c r="J4">
        <f>SUM(J2:J3)</f>
        <v>2553.8863999999999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5"/>
  <sheetViews>
    <sheetView zoomScaleNormal="100" workbookViewId="0">
      <selection activeCell="F21" sqref="F21"/>
    </sheetView>
  </sheetViews>
  <sheetFormatPr defaultColWidth="8.7265625" defaultRowHeight="14.5" x14ac:dyDescent="0.35"/>
  <cols>
    <col min="6" max="6" width="15.81640625" customWidth="1"/>
    <col min="7" max="7" width="16" customWidth="1"/>
    <col min="8" max="8" width="20.1796875" customWidth="1"/>
    <col min="9" max="9" width="17.26953125" customWidth="1"/>
    <col min="10" max="10" width="22.26953125" customWidth="1"/>
    <col min="12" max="12" width="15.81640625" customWidth="1"/>
    <col min="13" max="13" width="15" customWidth="1"/>
    <col min="16" max="16" width="17.26953125" customWidth="1"/>
    <col min="17" max="17" width="11" customWidth="1"/>
    <col min="21" max="21" width="12" customWidth="1"/>
  </cols>
  <sheetData>
    <row r="1" spans="1:21" ht="14.25" customHeight="1" x14ac:dyDescent="0.35">
      <c r="A1" t="s">
        <v>1112</v>
      </c>
      <c r="B1" t="s">
        <v>1206</v>
      </c>
      <c r="C1" t="s">
        <v>1172</v>
      </c>
      <c r="D1" t="s">
        <v>1207</v>
      </c>
      <c r="E1" t="s">
        <v>1208</v>
      </c>
      <c r="F1" t="s">
        <v>1163</v>
      </c>
      <c r="G1" s="169" t="s">
        <v>1209</v>
      </c>
      <c r="H1" t="s">
        <v>1210</v>
      </c>
      <c r="I1" s="169" t="s">
        <v>1211</v>
      </c>
      <c r="J1" s="169" t="s">
        <v>1208</v>
      </c>
      <c r="K1" s="169" t="s">
        <v>1212</v>
      </c>
      <c r="L1" s="169" t="s">
        <v>1213</v>
      </c>
      <c r="M1" s="169" t="s">
        <v>1170</v>
      </c>
      <c r="N1" s="169" t="s">
        <v>1208</v>
      </c>
      <c r="O1" s="169" t="s">
        <v>1212</v>
      </c>
      <c r="P1" s="169" t="s">
        <v>1213</v>
      </c>
      <c r="Q1" s="169" t="s">
        <v>1170</v>
      </c>
      <c r="R1" s="169" t="s">
        <v>1208</v>
      </c>
      <c r="S1" s="169" t="s">
        <v>1212</v>
      </c>
      <c r="T1" s="169" t="s">
        <v>1213</v>
      </c>
      <c r="U1" s="169" t="s">
        <v>1170</v>
      </c>
    </row>
    <row r="2" spans="1:21" ht="14.25" customHeight="1" x14ac:dyDescent="0.35">
      <c r="A2" t="s">
        <v>1214</v>
      </c>
      <c r="B2">
        <v>1.8</v>
      </c>
      <c r="C2">
        <v>1.8</v>
      </c>
      <c r="D2">
        <v>1.3</v>
      </c>
      <c r="E2">
        <v>11</v>
      </c>
      <c r="F2">
        <f>((B2+C2)*2)*D2*E2</f>
        <v>102.96000000000001</v>
      </c>
      <c r="G2">
        <f>B2*C2*D2*E2</f>
        <v>46.332000000000008</v>
      </c>
      <c r="H2">
        <f>53.51*E2</f>
        <v>588.61</v>
      </c>
      <c r="I2">
        <f>H2-G2</f>
        <v>542.27800000000002</v>
      </c>
      <c r="J2">
        <f>12*4</f>
        <v>48</v>
      </c>
      <c r="K2">
        <v>20</v>
      </c>
      <c r="L2">
        <v>4</v>
      </c>
      <c r="M2">
        <f>J2*L2*2.47*E2</f>
        <v>5216.6400000000003</v>
      </c>
      <c r="N2">
        <v>7</v>
      </c>
      <c r="O2">
        <v>12</v>
      </c>
      <c r="P2">
        <v>6.6</v>
      </c>
      <c r="Q2">
        <f>N2*P2*E2*0.888</f>
        <v>451.28159999999997</v>
      </c>
    </row>
    <row r="3" spans="1:21" ht="14.25" customHeight="1" x14ac:dyDescent="0.35">
      <c r="A3" t="s">
        <v>1215</v>
      </c>
      <c r="B3">
        <v>2</v>
      </c>
      <c r="C3">
        <v>2</v>
      </c>
      <c r="D3">
        <v>1.5</v>
      </c>
      <c r="E3">
        <v>5</v>
      </c>
      <c r="F3">
        <f>((B3+C3)*2)*D3*E3</f>
        <v>60</v>
      </c>
      <c r="G3">
        <f>B3*C3*D3*E3</f>
        <v>30</v>
      </c>
      <c r="H3">
        <f>68.66*E3</f>
        <v>343.29999999999995</v>
      </c>
      <c r="I3">
        <f>H3-G3</f>
        <v>313.29999999999995</v>
      </c>
      <c r="J3">
        <f>13*4</f>
        <v>52</v>
      </c>
      <c r="K3">
        <v>20</v>
      </c>
      <c r="L3">
        <v>4.5999999999999996</v>
      </c>
      <c r="M3">
        <f>J3*L3*2.47*E3</f>
        <v>2954.1200000000003</v>
      </c>
      <c r="N3">
        <v>8</v>
      </c>
      <c r="O3">
        <v>12</v>
      </c>
      <c r="P3">
        <v>7.4</v>
      </c>
      <c r="Q3">
        <f>N3*P3*E3*0.888</f>
        <v>262.84800000000001</v>
      </c>
    </row>
    <row r="4" spans="1:21" ht="14.25" customHeight="1" x14ac:dyDescent="0.35">
      <c r="A4" t="s">
        <v>1216</v>
      </c>
      <c r="B4">
        <v>4</v>
      </c>
      <c r="C4">
        <v>6.85</v>
      </c>
      <c r="D4">
        <v>1.75</v>
      </c>
      <c r="E4">
        <v>1</v>
      </c>
      <c r="F4">
        <f>((B4+C4)*2)*D4*E4</f>
        <v>37.975000000000001</v>
      </c>
      <c r="G4">
        <f>B4*C4*D4*E4</f>
        <v>47.949999999999996</v>
      </c>
      <c r="H4">
        <v>351.26</v>
      </c>
      <c r="I4">
        <f>H4-G4</f>
        <v>303.31</v>
      </c>
      <c r="J4">
        <v>65</v>
      </c>
      <c r="K4">
        <v>20</v>
      </c>
      <c r="L4">
        <v>9.5</v>
      </c>
      <c r="M4">
        <f>(J4*L4*2.47*E4)+605.15+815.1</f>
        <v>2945.4749999999999</v>
      </c>
      <c r="N4">
        <v>10</v>
      </c>
      <c r="O4">
        <v>12</v>
      </c>
      <c r="P4">
        <v>22</v>
      </c>
      <c r="Q4">
        <f>N4*P4*E4*0.888</f>
        <v>195.36</v>
      </c>
      <c r="R4">
        <v>30</v>
      </c>
      <c r="S4">
        <v>32</v>
      </c>
      <c r="T4">
        <v>6.7</v>
      </c>
      <c r="U4">
        <f>R4*T4*6.31</f>
        <v>1268.31</v>
      </c>
    </row>
    <row r="5" spans="1:21" ht="14.25" customHeight="1" x14ac:dyDescent="0.35">
      <c r="F5">
        <f>SUM(F2:F4)</f>
        <v>200.935</v>
      </c>
      <c r="G5">
        <f>SUM(G2:G4)</f>
        <v>124.28200000000001</v>
      </c>
      <c r="H5">
        <f>SUM(H2:H4)</f>
        <v>1283.17</v>
      </c>
      <c r="I5">
        <f>SUM(I2:I4)</f>
        <v>1158.8879999999999</v>
      </c>
      <c r="M5">
        <f>SUM(M2:M4)</f>
        <v>11116.235000000001</v>
      </c>
      <c r="Q5">
        <f>SUM(Q2:Q4)</f>
        <v>909.4896</v>
      </c>
      <c r="U5">
        <f>SUM(U4)</f>
        <v>1268.31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7"/>
  <sheetViews>
    <sheetView zoomScaleNormal="100" workbookViewId="0">
      <selection activeCell="D15" sqref="D15"/>
    </sheetView>
  </sheetViews>
  <sheetFormatPr defaultColWidth="8.7265625" defaultRowHeight="14.5" x14ac:dyDescent="0.35"/>
  <cols>
    <col min="2" max="2" width="19.81640625" customWidth="1"/>
    <col min="3" max="3" width="16.453125" customWidth="1"/>
    <col min="4" max="4" width="16.1796875" customWidth="1"/>
    <col min="5" max="5" width="16.26953125" customWidth="1"/>
    <col min="6" max="6" width="19.453125" customWidth="1"/>
    <col min="7" max="7" width="15.7265625" customWidth="1"/>
    <col min="8" max="8" width="19.26953125" customWidth="1"/>
    <col min="9" max="9" width="16.81640625" customWidth="1"/>
    <col min="10" max="10" width="17.7265625" customWidth="1"/>
  </cols>
  <sheetData>
    <row r="1" spans="1:10" ht="14.25" customHeight="1" x14ac:dyDescent="0.35">
      <c r="A1" t="s">
        <v>1112</v>
      </c>
      <c r="B1" s="169" t="s">
        <v>1217</v>
      </c>
      <c r="C1" s="169" t="s">
        <v>1218</v>
      </c>
      <c r="D1" s="169" t="s">
        <v>1219</v>
      </c>
      <c r="E1" s="169" t="s">
        <v>1213</v>
      </c>
      <c r="F1" s="169" t="s">
        <v>1220</v>
      </c>
      <c r="G1" s="169" t="s">
        <v>1221</v>
      </c>
      <c r="H1" s="169" t="s">
        <v>1222</v>
      </c>
      <c r="I1" s="169" t="s">
        <v>1223</v>
      </c>
      <c r="J1" s="169" t="s">
        <v>1224</v>
      </c>
    </row>
    <row r="2" spans="1:10" ht="14.25" customHeight="1" x14ac:dyDescent="0.35">
      <c r="A2" t="s">
        <v>1225</v>
      </c>
      <c r="B2">
        <v>2</v>
      </c>
      <c r="C2">
        <v>25</v>
      </c>
      <c r="D2">
        <v>24</v>
      </c>
      <c r="E2">
        <v>4.4000000000000004</v>
      </c>
      <c r="F2">
        <f>3.85*D2*B2*E2</f>
        <v>813.12000000000012</v>
      </c>
      <c r="G2">
        <v>12</v>
      </c>
      <c r="H2">
        <v>12</v>
      </c>
      <c r="I2">
        <f>(2.8+2.5+2.1)</f>
        <v>7.4</v>
      </c>
      <c r="J2">
        <f>0.888*I2*H2*B2</f>
        <v>157.7088</v>
      </c>
    </row>
    <row r="3" spans="1:10" ht="14.25" customHeight="1" x14ac:dyDescent="0.35">
      <c r="A3" t="s">
        <v>1226</v>
      </c>
      <c r="B3">
        <v>2</v>
      </c>
      <c r="C3">
        <v>25</v>
      </c>
      <c r="D3">
        <v>26</v>
      </c>
      <c r="E3">
        <v>4.4000000000000004</v>
      </c>
      <c r="F3">
        <f>3.85*D3*B3*E3</f>
        <v>880.88000000000011</v>
      </c>
      <c r="G3">
        <v>12</v>
      </c>
      <c r="H3">
        <v>12</v>
      </c>
      <c r="I3">
        <f>(2.8+2.5+2.1)</f>
        <v>7.4</v>
      </c>
      <c r="J3">
        <f>0.888*I3*H3*B3</f>
        <v>157.7088</v>
      </c>
    </row>
    <row r="4" spans="1:10" ht="14.25" customHeight="1" x14ac:dyDescent="0.35">
      <c r="A4" t="s">
        <v>1227</v>
      </c>
      <c r="B4">
        <v>4</v>
      </c>
      <c r="C4">
        <v>32</v>
      </c>
      <c r="D4">
        <v>24</v>
      </c>
      <c r="E4">
        <v>4.4000000000000004</v>
      </c>
      <c r="F4">
        <f>6.32*D4*B4*E4</f>
        <v>2669.5680000000002</v>
      </c>
      <c r="G4">
        <v>12</v>
      </c>
      <c r="H4">
        <v>12</v>
      </c>
      <c r="I4">
        <f>3+2.1+2.1</f>
        <v>7.1999999999999993</v>
      </c>
      <c r="J4">
        <f>0.888*I4*H4*B4</f>
        <v>306.89279999999997</v>
      </c>
    </row>
    <row r="5" spans="1:10" ht="14.25" customHeight="1" x14ac:dyDescent="0.35">
      <c r="A5" t="s">
        <v>1228</v>
      </c>
      <c r="B5">
        <v>4</v>
      </c>
      <c r="C5">
        <v>32</v>
      </c>
      <c r="D5">
        <v>28</v>
      </c>
      <c r="E5">
        <v>4.4000000000000004</v>
      </c>
      <c r="F5">
        <f>6.32*D5*B5*E5</f>
        <v>3114.4960000000005</v>
      </c>
      <c r="G5">
        <v>12</v>
      </c>
      <c r="H5">
        <v>12</v>
      </c>
      <c r="I5">
        <f>3.4+2.5+2.5</f>
        <v>8.4</v>
      </c>
      <c r="J5">
        <f>0.888*I5*H5*B5</f>
        <v>358.04160000000002</v>
      </c>
    </row>
    <row r="6" spans="1:10" ht="14.25" customHeight="1" x14ac:dyDescent="0.35">
      <c r="A6" t="s">
        <v>1229</v>
      </c>
      <c r="B6">
        <v>4</v>
      </c>
      <c r="C6">
        <v>32</v>
      </c>
      <c r="D6">
        <v>32</v>
      </c>
      <c r="E6">
        <v>4.4000000000000004</v>
      </c>
      <c r="F6">
        <f>6.32*D6*B6*E6</f>
        <v>3559.4240000000004</v>
      </c>
      <c r="G6">
        <v>12</v>
      </c>
      <c r="H6">
        <v>12</v>
      </c>
      <c r="I6">
        <f>3.4+2.6+2.6</f>
        <v>8.6</v>
      </c>
      <c r="J6">
        <f>0.888*I6*H6*B6</f>
        <v>366.56639999999999</v>
      </c>
    </row>
    <row r="7" spans="1:10" ht="14.25" customHeight="1" x14ac:dyDescent="0.35">
      <c r="J7">
        <f>SUM(J2:J6)</f>
        <v>1346.9184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1"/>
  <sheetViews>
    <sheetView zoomScaleNormal="100" workbookViewId="0">
      <selection activeCell="N3" sqref="N3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1225</v>
      </c>
      <c r="B2">
        <v>2</v>
      </c>
      <c r="C2">
        <v>0.6</v>
      </c>
      <c r="D2">
        <v>0.9</v>
      </c>
      <c r="E2">
        <v>4.2</v>
      </c>
      <c r="F2">
        <f>B2*C2*D2*E2</f>
        <v>4.5360000000000005</v>
      </c>
      <c r="G2">
        <f>((C2+D2)*2)*E2*B2</f>
        <v>25.200000000000003</v>
      </c>
      <c r="H2">
        <v>25</v>
      </c>
      <c r="I2">
        <v>24</v>
      </c>
      <c r="J2">
        <f>4.2+1</f>
        <v>5.2</v>
      </c>
      <c r="K2">
        <f>3.85*I2*B2*J2</f>
        <v>960.96</v>
      </c>
      <c r="L2">
        <v>12</v>
      </c>
      <c r="M2">
        <v>28</v>
      </c>
      <c r="N2">
        <f>(2.8+2.5+2.1)</f>
        <v>7.4</v>
      </c>
      <c r="O2">
        <f>0.888*N2*M2*B2</f>
        <v>367.98720000000003</v>
      </c>
    </row>
    <row r="3" spans="1:15" ht="14.25" customHeight="1" x14ac:dyDescent="0.35">
      <c r="A3" t="s">
        <v>1226</v>
      </c>
      <c r="B3">
        <v>2</v>
      </c>
      <c r="C3">
        <v>0.5</v>
      </c>
      <c r="D3">
        <v>0.8</v>
      </c>
      <c r="E3">
        <v>4.2</v>
      </c>
      <c r="F3">
        <f>B3*C3*D3*E3</f>
        <v>3.3600000000000003</v>
      </c>
      <c r="G3">
        <f>((C3+D3)*2)*E3*B3</f>
        <v>21.840000000000003</v>
      </c>
      <c r="H3">
        <v>25</v>
      </c>
      <c r="I3">
        <v>24</v>
      </c>
      <c r="J3">
        <f>4.2+1</f>
        <v>5.2</v>
      </c>
      <c r="K3">
        <f>3.85*I3*B3*J3</f>
        <v>960.96</v>
      </c>
      <c r="L3">
        <v>12</v>
      </c>
      <c r="M3">
        <v>28</v>
      </c>
      <c r="N3">
        <f>(2.3+2.1+1.7)</f>
        <v>6.1000000000000005</v>
      </c>
      <c r="O3">
        <f>0.888*N3*M3*B3</f>
        <v>303.3408</v>
      </c>
    </row>
    <row r="4" spans="1:15" ht="14.25" customHeight="1" x14ac:dyDescent="0.35">
      <c r="A4" t="s">
        <v>1227</v>
      </c>
      <c r="B4">
        <v>4</v>
      </c>
      <c r="C4">
        <v>0.8</v>
      </c>
      <c r="D4">
        <v>0.8</v>
      </c>
      <c r="E4">
        <v>4.2</v>
      </c>
      <c r="F4">
        <f>B4*C4*D4*E4</f>
        <v>10.752000000000002</v>
      </c>
      <c r="G4">
        <f>((C4+D4)*2)*E4*B4</f>
        <v>53.760000000000005</v>
      </c>
      <c r="H4">
        <v>32</v>
      </c>
      <c r="I4">
        <v>24</v>
      </c>
      <c r="J4">
        <f>4.2+1</f>
        <v>5.2</v>
      </c>
      <c r="K4">
        <f>6.32*I4*B4*J4</f>
        <v>3154.9440000000004</v>
      </c>
      <c r="L4">
        <v>12</v>
      </c>
      <c r="M4">
        <v>28</v>
      </c>
      <c r="N4">
        <f>2.9+2.1+2.1</f>
        <v>7.1</v>
      </c>
      <c r="O4">
        <f>0.888*N4*M4*B4</f>
        <v>706.13760000000002</v>
      </c>
    </row>
    <row r="5" spans="1:15" ht="14.25" customHeight="1" x14ac:dyDescent="0.35">
      <c r="A5" t="s">
        <v>1228</v>
      </c>
      <c r="B5">
        <v>4</v>
      </c>
      <c r="C5">
        <v>0.9</v>
      </c>
      <c r="D5">
        <v>0.9</v>
      </c>
      <c r="E5">
        <v>4.2</v>
      </c>
      <c r="F5">
        <f>B5*C5*D5*E5</f>
        <v>13.608000000000002</v>
      </c>
      <c r="G5">
        <f>((C5+D5)*2)*E5*B5</f>
        <v>60.480000000000004</v>
      </c>
      <c r="H5">
        <v>32</v>
      </c>
      <c r="I5">
        <v>24</v>
      </c>
      <c r="J5">
        <f>4.2+1</f>
        <v>5.2</v>
      </c>
      <c r="K5">
        <f>6.32*I5*B5*J5</f>
        <v>3154.9440000000004</v>
      </c>
      <c r="L5">
        <v>12</v>
      </c>
      <c r="M5">
        <v>28</v>
      </c>
      <c r="N5">
        <f>3.4+2.5+2.5</f>
        <v>8.4</v>
      </c>
      <c r="O5">
        <f>0.888*N5*M5*B5</f>
        <v>835.43039999999996</v>
      </c>
    </row>
    <row r="6" spans="1:15" ht="14.25" customHeight="1" x14ac:dyDescent="0.35">
      <c r="A6" t="s">
        <v>1229</v>
      </c>
      <c r="B6">
        <v>4</v>
      </c>
      <c r="C6">
        <v>0.9</v>
      </c>
      <c r="D6">
        <v>0.9</v>
      </c>
      <c r="E6">
        <v>4.2</v>
      </c>
      <c r="F6">
        <f>B6*C6*D6*E6</f>
        <v>13.608000000000002</v>
      </c>
      <c r="G6">
        <f>((C6+D6)*2)*E6*B6</f>
        <v>60.480000000000004</v>
      </c>
      <c r="H6">
        <v>32</v>
      </c>
      <c r="I6">
        <v>32</v>
      </c>
      <c r="J6">
        <f>4.2+1</f>
        <v>5.2</v>
      </c>
      <c r="K6">
        <f>6.32*I6*B6*J6</f>
        <v>4206.5920000000006</v>
      </c>
      <c r="L6">
        <v>12</v>
      </c>
      <c r="M6">
        <v>28</v>
      </c>
      <c r="N6">
        <f>3.33+2.6+2.6</f>
        <v>8.5299999999999994</v>
      </c>
      <c r="O6">
        <f>0.888*N6*M6*B6</f>
        <v>848.35967999999991</v>
      </c>
    </row>
    <row r="7" spans="1:15" ht="14.25" customHeight="1" x14ac:dyDescent="0.35">
      <c r="F7">
        <f>SUM(F2:F6)</f>
        <v>45.864000000000011</v>
      </c>
      <c r="G7">
        <f>SUM(G2:G6)</f>
        <v>221.76000000000005</v>
      </c>
      <c r="O7">
        <f>SUM(O2:O6)</f>
        <v>3061.2556799999998</v>
      </c>
    </row>
    <row r="9" spans="1:15" ht="14.25" customHeight="1" x14ac:dyDescent="0.35">
      <c r="H9">
        <v>12</v>
      </c>
      <c r="I9">
        <f>O7</f>
        <v>3061.2556799999998</v>
      </c>
    </row>
    <row r="10" spans="1:15" ht="14.25" customHeight="1" x14ac:dyDescent="0.35">
      <c r="H10">
        <v>25</v>
      </c>
      <c r="I10">
        <f>K2+K3</f>
        <v>1921.92</v>
      </c>
    </row>
    <row r="11" spans="1:15" ht="14.25" customHeight="1" x14ac:dyDescent="0.35">
      <c r="H11">
        <v>32</v>
      </c>
      <c r="I11">
        <f>K4+K5+K6</f>
        <v>10516.480000000001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1"/>
  <sheetViews>
    <sheetView zoomScaleNormal="100" workbookViewId="0">
      <selection activeCell="N3" sqref="N3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1225</v>
      </c>
      <c r="B2">
        <v>2</v>
      </c>
      <c r="C2">
        <v>0.6</v>
      </c>
      <c r="D2">
        <v>0.9</v>
      </c>
      <c r="E2">
        <v>3.6</v>
      </c>
      <c r="F2">
        <f>B2*C2*D2*E2</f>
        <v>3.8880000000000003</v>
      </c>
      <c r="G2">
        <f>((C2+D2)*2)*E2*B2</f>
        <v>21.6</v>
      </c>
      <c r="H2">
        <v>25</v>
      </c>
      <c r="I2">
        <v>24</v>
      </c>
      <c r="J2">
        <f>3.6+1</f>
        <v>4.5999999999999996</v>
      </c>
      <c r="K2">
        <f>3.85*I2*B2*J2</f>
        <v>850.08</v>
      </c>
      <c r="L2">
        <v>12</v>
      </c>
      <c r="M2">
        <v>24</v>
      </c>
      <c r="N2">
        <f>(2.8+2.5+2.1)</f>
        <v>7.4</v>
      </c>
      <c r="O2">
        <f>0.888*N2*M2*B2</f>
        <v>315.41759999999999</v>
      </c>
    </row>
    <row r="3" spans="1:15" ht="14.25" customHeight="1" x14ac:dyDescent="0.35">
      <c r="A3" t="s">
        <v>1226</v>
      </c>
      <c r="B3">
        <v>2</v>
      </c>
      <c r="C3">
        <v>0.5</v>
      </c>
      <c r="D3">
        <v>0.8</v>
      </c>
      <c r="E3">
        <v>3.6</v>
      </c>
      <c r="F3">
        <f>B3*C3*D3*E3</f>
        <v>2.8800000000000003</v>
      </c>
      <c r="G3">
        <f>((C3+D3)*2)*E3*B3</f>
        <v>18.720000000000002</v>
      </c>
      <c r="H3">
        <v>25</v>
      </c>
      <c r="I3">
        <v>24</v>
      </c>
      <c r="J3">
        <f>3.6+1</f>
        <v>4.5999999999999996</v>
      </c>
      <c r="K3">
        <f>3.85*I3*B3*J3</f>
        <v>850.08</v>
      </c>
      <c r="L3">
        <v>12</v>
      </c>
      <c r="M3">
        <v>24</v>
      </c>
      <c r="N3">
        <v>6.1</v>
      </c>
      <c r="O3">
        <f>0.888*N3*M3*B3</f>
        <v>260.00639999999999</v>
      </c>
    </row>
    <row r="4" spans="1:15" ht="14.25" customHeight="1" x14ac:dyDescent="0.35">
      <c r="A4" t="s">
        <v>1227</v>
      </c>
      <c r="B4">
        <v>4</v>
      </c>
      <c r="C4">
        <v>0.8</v>
      </c>
      <c r="D4">
        <v>0.8</v>
      </c>
      <c r="E4">
        <v>3.6</v>
      </c>
      <c r="F4">
        <f>B4*C4*D4*E4</f>
        <v>9.2160000000000029</v>
      </c>
      <c r="G4">
        <f>((C4+D4)*2)*E4*B4</f>
        <v>46.080000000000005</v>
      </c>
      <c r="H4">
        <v>32</v>
      </c>
      <c r="I4">
        <v>24</v>
      </c>
      <c r="J4">
        <f>3.6+1</f>
        <v>4.5999999999999996</v>
      </c>
      <c r="K4">
        <f>6.32*I4*B4*J4</f>
        <v>2790.9119999999998</v>
      </c>
      <c r="L4">
        <v>12</v>
      </c>
      <c r="M4">
        <v>24</v>
      </c>
      <c r="N4">
        <v>7.1</v>
      </c>
      <c r="O4">
        <f>0.888*N4*M4*B4</f>
        <v>605.26080000000002</v>
      </c>
    </row>
    <row r="5" spans="1:15" ht="14.25" customHeight="1" x14ac:dyDescent="0.35">
      <c r="A5" t="s">
        <v>1228</v>
      </c>
      <c r="B5">
        <v>4</v>
      </c>
      <c r="C5">
        <v>0.9</v>
      </c>
      <c r="D5">
        <v>0.9</v>
      </c>
      <c r="E5">
        <v>3.6</v>
      </c>
      <c r="F5">
        <f>B5*C5*D5*E5</f>
        <v>11.664000000000001</v>
      </c>
      <c r="G5">
        <f>((C5+D5)*2)*E5*B5</f>
        <v>51.84</v>
      </c>
      <c r="H5">
        <v>32</v>
      </c>
      <c r="I5">
        <v>24</v>
      </c>
      <c r="J5">
        <f>3.6+1</f>
        <v>4.5999999999999996</v>
      </c>
      <c r="K5">
        <f>6.32*I5*B5*J5</f>
        <v>2790.9119999999998</v>
      </c>
      <c r="L5">
        <v>12</v>
      </c>
      <c r="M5">
        <v>24</v>
      </c>
      <c r="N5">
        <v>8.4</v>
      </c>
      <c r="O5">
        <f>0.888*N5*M5*B5</f>
        <v>716.08320000000003</v>
      </c>
    </row>
    <row r="6" spans="1:15" ht="14.25" customHeight="1" x14ac:dyDescent="0.35">
      <c r="A6" t="s">
        <v>1229</v>
      </c>
      <c r="B6">
        <v>4</v>
      </c>
      <c r="C6">
        <v>0.9</v>
      </c>
      <c r="D6">
        <v>0.9</v>
      </c>
      <c r="E6">
        <v>3.6</v>
      </c>
      <c r="F6">
        <f>B6*C6*D6*E6</f>
        <v>11.664000000000001</v>
      </c>
      <c r="G6">
        <f>((C6+D6)*2)*E6*B6</f>
        <v>51.84</v>
      </c>
      <c r="H6">
        <v>32</v>
      </c>
      <c r="I6">
        <v>32</v>
      </c>
      <c r="J6">
        <f>3.6+1</f>
        <v>4.5999999999999996</v>
      </c>
      <c r="K6">
        <f>6.32*I6*B6*J6</f>
        <v>3721.2159999999999</v>
      </c>
      <c r="L6">
        <v>12</v>
      </c>
      <c r="M6">
        <v>24</v>
      </c>
      <c r="N6">
        <v>8.5299999999999994</v>
      </c>
      <c r="O6">
        <f>0.888*N6*M6*B6</f>
        <v>727.16543999999999</v>
      </c>
    </row>
    <row r="7" spans="1:15" ht="14.25" customHeight="1" x14ac:dyDescent="0.35">
      <c r="F7">
        <f>SUM(F2:F6)</f>
        <v>39.312000000000005</v>
      </c>
      <c r="G7">
        <f>SUM(G2:G6)</f>
        <v>190.08</v>
      </c>
      <c r="O7">
        <f>SUM(O2:O6)</f>
        <v>2623.9334399999998</v>
      </c>
    </row>
    <row r="9" spans="1:15" ht="14.25" customHeight="1" x14ac:dyDescent="0.35">
      <c r="H9">
        <v>12</v>
      </c>
      <c r="I9">
        <f>O7</f>
        <v>2623.9334399999998</v>
      </c>
    </row>
    <row r="10" spans="1:15" ht="14.25" customHeight="1" x14ac:dyDescent="0.35">
      <c r="H10">
        <v>25</v>
      </c>
      <c r="I10">
        <f>K2+K3</f>
        <v>1700.16</v>
      </c>
    </row>
    <row r="11" spans="1:15" ht="14.25" customHeight="1" x14ac:dyDescent="0.35">
      <c r="H11">
        <v>32</v>
      </c>
      <c r="I11">
        <f>K4+K5+K6</f>
        <v>9303.0399999999991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1"/>
  <sheetViews>
    <sheetView zoomScaleNormal="100" workbookViewId="0">
      <selection activeCell="M15" sqref="M15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1225</v>
      </c>
      <c r="B2">
        <v>2</v>
      </c>
      <c r="C2">
        <v>0.6</v>
      </c>
      <c r="D2">
        <v>0.9</v>
      </c>
      <c r="E2">
        <v>4.2</v>
      </c>
      <c r="F2">
        <f>B2*C2*D2*E2</f>
        <v>4.5360000000000005</v>
      </c>
      <c r="G2">
        <f>((C2+D2)*2)*E2*B2</f>
        <v>25.200000000000003</v>
      </c>
      <c r="H2">
        <v>25</v>
      </c>
      <c r="I2">
        <v>24</v>
      </c>
      <c r="J2">
        <f>4.2+1</f>
        <v>5.2</v>
      </c>
      <c r="K2">
        <f>3.85*I2*B2*J2</f>
        <v>960.96</v>
      </c>
      <c r="L2">
        <v>12</v>
      </c>
      <c r="M2">
        <v>28</v>
      </c>
      <c r="N2">
        <f>(2.8+2.5+2.1)</f>
        <v>7.4</v>
      </c>
      <c r="O2">
        <f>0.888*N2*M2*B2</f>
        <v>367.98720000000003</v>
      </c>
    </row>
    <row r="3" spans="1:15" ht="14.25" customHeight="1" x14ac:dyDescent="0.35">
      <c r="A3" t="s">
        <v>1226</v>
      </c>
      <c r="B3">
        <v>2</v>
      </c>
      <c r="C3">
        <v>0.5</v>
      </c>
      <c r="D3">
        <v>0.8</v>
      </c>
      <c r="E3">
        <v>4.2</v>
      </c>
      <c r="F3">
        <f>B3*C3*D3*E3</f>
        <v>3.3600000000000003</v>
      </c>
      <c r="G3">
        <f>((C3+D3)*2)*E3*B3</f>
        <v>21.840000000000003</v>
      </c>
      <c r="H3">
        <v>25</v>
      </c>
      <c r="I3">
        <v>24</v>
      </c>
      <c r="J3">
        <f>4.2+1</f>
        <v>5.2</v>
      </c>
      <c r="K3">
        <f>3.85*I3*B3*J3</f>
        <v>960.96</v>
      </c>
      <c r="L3">
        <v>12</v>
      </c>
      <c r="M3">
        <v>28</v>
      </c>
      <c r="N3">
        <v>6.1</v>
      </c>
      <c r="O3">
        <f>0.888*N3*M3*B3</f>
        <v>303.34079999999994</v>
      </c>
    </row>
    <row r="4" spans="1:15" ht="14.25" customHeight="1" x14ac:dyDescent="0.35">
      <c r="A4" t="s">
        <v>1227</v>
      </c>
      <c r="B4">
        <v>4</v>
      </c>
      <c r="C4">
        <v>0.8</v>
      </c>
      <c r="D4">
        <v>0.8</v>
      </c>
      <c r="E4">
        <v>4.2</v>
      </c>
      <c r="F4">
        <f>B4*C4*D4*E4</f>
        <v>10.752000000000002</v>
      </c>
      <c r="G4">
        <f>((C4+D4)*2)*E4*B4</f>
        <v>53.760000000000005</v>
      </c>
      <c r="H4">
        <v>32</v>
      </c>
      <c r="I4">
        <v>24</v>
      </c>
      <c r="J4">
        <f>4.2+1</f>
        <v>5.2</v>
      </c>
      <c r="K4">
        <f>6.32*I4*B4*J4</f>
        <v>3154.9440000000004</v>
      </c>
      <c r="L4">
        <v>12</v>
      </c>
      <c r="M4">
        <v>28</v>
      </c>
      <c r="N4">
        <v>7.1</v>
      </c>
      <c r="O4">
        <f>0.888*N4*M4*B4</f>
        <v>706.13760000000002</v>
      </c>
    </row>
    <row r="5" spans="1:15" ht="14.25" customHeight="1" x14ac:dyDescent="0.35">
      <c r="A5" t="s">
        <v>1228</v>
      </c>
      <c r="B5">
        <v>4</v>
      </c>
      <c r="C5">
        <v>0.9</v>
      </c>
      <c r="D5">
        <v>0.9</v>
      </c>
      <c r="E5">
        <v>4.2</v>
      </c>
      <c r="F5">
        <f>B5*C5*D5*E5</f>
        <v>13.608000000000002</v>
      </c>
      <c r="G5">
        <f>((C5+D5)*2)*E5*B5</f>
        <v>60.480000000000004</v>
      </c>
      <c r="H5">
        <v>32</v>
      </c>
      <c r="I5">
        <v>24</v>
      </c>
      <c r="J5">
        <f>4.2+1</f>
        <v>5.2</v>
      </c>
      <c r="K5">
        <f>6.32*I5*B5*J5</f>
        <v>3154.9440000000004</v>
      </c>
      <c r="L5">
        <v>12</v>
      </c>
      <c r="M5">
        <v>28</v>
      </c>
      <c r="N5">
        <v>8.4</v>
      </c>
      <c r="O5">
        <f>0.888*N5*M5*B5</f>
        <v>835.43039999999996</v>
      </c>
    </row>
    <row r="6" spans="1:15" ht="14.25" customHeight="1" x14ac:dyDescent="0.35">
      <c r="A6" t="s">
        <v>1229</v>
      </c>
      <c r="B6">
        <v>4</v>
      </c>
      <c r="C6">
        <v>0.9</v>
      </c>
      <c r="D6">
        <v>0.9</v>
      </c>
      <c r="E6">
        <v>4.2</v>
      </c>
      <c r="F6">
        <f>B6*C6*D6*E6</f>
        <v>13.608000000000002</v>
      </c>
      <c r="G6">
        <f>((C6+D6)*2)*E6*B6</f>
        <v>60.480000000000004</v>
      </c>
      <c r="H6">
        <v>32</v>
      </c>
      <c r="I6">
        <v>32</v>
      </c>
      <c r="J6">
        <f>4.2+1</f>
        <v>5.2</v>
      </c>
      <c r="K6">
        <f>6.32*I6*B6*J6</f>
        <v>4206.5920000000006</v>
      </c>
      <c r="L6">
        <v>12</v>
      </c>
      <c r="M6">
        <v>28</v>
      </c>
      <c r="N6">
        <v>8.5299999999999994</v>
      </c>
      <c r="O6">
        <f>0.888*N6*M6*B6</f>
        <v>848.35967999999991</v>
      </c>
    </row>
    <row r="7" spans="1:15" ht="14.25" customHeight="1" x14ac:dyDescent="0.35">
      <c r="F7">
        <f>SUM(F2:F6)</f>
        <v>45.864000000000011</v>
      </c>
      <c r="G7">
        <f>SUM(G2:G6)</f>
        <v>221.76000000000005</v>
      </c>
      <c r="O7">
        <f>SUM(O2:O6)</f>
        <v>3061.2556799999998</v>
      </c>
    </row>
    <row r="9" spans="1:15" ht="14.25" customHeight="1" x14ac:dyDescent="0.35">
      <c r="H9">
        <v>12</v>
      </c>
      <c r="I9">
        <f>O7</f>
        <v>3061.2556799999998</v>
      </c>
    </row>
    <row r="10" spans="1:15" ht="14.25" customHeight="1" x14ac:dyDescent="0.35">
      <c r="H10">
        <v>25</v>
      </c>
      <c r="I10">
        <f>K2+K3</f>
        <v>1921.92</v>
      </c>
    </row>
    <row r="11" spans="1:15" ht="14.25" customHeight="1" x14ac:dyDescent="0.35">
      <c r="H11">
        <v>32</v>
      </c>
      <c r="I11">
        <f>K4+K5+K6</f>
        <v>10516.480000000001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1"/>
  <sheetViews>
    <sheetView zoomScaleNormal="100" workbookViewId="0">
      <selection activeCell="I9" sqref="I9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1225</v>
      </c>
      <c r="B2">
        <v>2</v>
      </c>
      <c r="C2">
        <v>0.6</v>
      </c>
      <c r="D2">
        <v>0.9</v>
      </c>
      <c r="E2">
        <v>4.2</v>
      </c>
      <c r="F2">
        <f>B2*C2*D2*E2</f>
        <v>4.5360000000000005</v>
      </c>
      <c r="G2">
        <f>((C2+D2)*2)*E2*B2</f>
        <v>25.200000000000003</v>
      </c>
      <c r="H2">
        <v>25</v>
      </c>
      <c r="I2">
        <v>24</v>
      </c>
      <c r="J2">
        <f>4.2+1</f>
        <v>5.2</v>
      </c>
      <c r="K2">
        <f>3.85*I2*B2*J2</f>
        <v>960.96</v>
      </c>
      <c r="L2">
        <v>12</v>
      </c>
      <c r="M2">
        <v>28</v>
      </c>
      <c r="N2">
        <f>(2.8+2.5+2.1)</f>
        <v>7.4</v>
      </c>
      <c r="O2">
        <f>0.888*N2*M2*B2</f>
        <v>367.98720000000003</v>
      </c>
    </row>
    <row r="3" spans="1:15" ht="14.25" customHeight="1" x14ac:dyDescent="0.35">
      <c r="A3" t="s">
        <v>1226</v>
      </c>
      <c r="B3">
        <v>2</v>
      </c>
      <c r="C3">
        <v>0.5</v>
      </c>
      <c r="D3">
        <v>0.8</v>
      </c>
      <c r="E3">
        <v>4.2</v>
      </c>
      <c r="F3">
        <f>B3*C3*D3*E3</f>
        <v>3.3600000000000003</v>
      </c>
      <c r="G3">
        <f>((C3+D3)*2)*E3*B3</f>
        <v>21.840000000000003</v>
      </c>
      <c r="H3">
        <v>25</v>
      </c>
      <c r="I3">
        <v>24</v>
      </c>
      <c r="J3">
        <f>4.2+1</f>
        <v>5.2</v>
      </c>
      <c r="K3">
        <f>3.85*I3*B3*J3</f>
        <v>960.96</v>
      </c>
      <c r="L3">
        <v>12</v>
      </c>
      <c r="M3">
        <v>28</v>
      </c>
      <c r="N3">
        <v>6.1</v>
      </c>
      <c r="O3">
        <f>0.888*N3*M3*B3</f>
        <v>303.34079999999994</v>
      </c>
    </row>
    <row r="4" spans="1:15" ht="14.25" customHeight="1" x14ac:dyDescent="0.35">
      <c r="A4" t="s">
        <v>1227</v>
      </c>
      <c r="B4">
        <v>4</v>
      </c>
      <c r="C4">
        <v>0.8</v>
      </c>
      <c r="D4">
        <v>0.8</v>
      </c>
      <c r="E4">
        <v>4.2</v>
      </c>
      <c r="F4">
        <f>B4*C4*D4*E4</f>
        <v>10.752000000000002</v>
      </c>
      <c r="G4">
        <f>((C4+D4)*2)*E4*B4</f>
        <v>53.760000000000005</v>
      </c>
      <c r="H4">
        <v>32</v>
      </c>
      <c r="I4">
        <v>24</v>
      </c>
      <c r="J4">
        <f>4.2+1</f>
        <v>5.2</v>
      </c>
      <c r="K4">
        <f>6.32*I4*B4*J4</f>
        <v>3154.9440000000004</v>
      </c>
      <c r="L4">
        <v>12</v>
      </c>
      <c r="M4">
        <v>28</v>
      </c>
      <c r="N4">
        <v>7.1</v>
      </c>
      <c r="O4">
        <f>0.888*N4*M4*B4</f>
        <v>706.13760000000002</v>
      </c>
    </row>
    <row r="5" spans="1:15" ht="14.25" customHeight="1" x14ac:dyDescent="0.35">
      <c r="A5" t="s">
        <v>1228</v>
      </c>
      <c r="B5">
        <v>4</v>
      </c>
      <c r="C5">
        <v>0.9</v>
      </c>
      <c r="D5">
        <v>0.9</v>
      </c>
      <c r="E5">
        <v>4.2</v>
      </c>
      <c r="F5">
        <f>B5*C5*D5*E5</f>
        <v>13.608000000000002</v>
      </c>
      <c r="G5">
        <f>((C5+D5)*2)*E5*B5</f>
        <v>60.480000000000004</v>
      </c>
      <c r="H5">
        <v>32</v>
      </c>
      <c r="I5">
        <v>24</v>
      </c>
      <c r="J5">
        <f>4.2+1</f>
        <v>5.2</v>
      </c>
      <c r="K5">
        <f>6.32*I5*B5*J5</f>
        <v>3154.9440000000004</v>
      </c>
      <c r="L5">
        <v>12</v>
      </c>
      <c r="M5">
        <v>28</v>
      </c>
      <c r="N5">
        <v>8.4</v>
      </c>
      <c r="O5">
        <f>0.888*N5*M5*B5</f>
        <v>835.43039999999996</v>
      </c>
    </row>
    <row r="6" spans="1:15" ht="14.25" customHeight="1" x14ac:dyDescent="0.35">
      <c r="A6" t="s">
        <v>1229</v>
      </c>
      <c r="B6">
        <v>4</v>
      </c>
      <c r="C6">
        <v>0.9</v>
      </c>
      <c r="D6">
        <v>0.9</v>
      </c>
      <c r="E6">
        <v>4.2</v>
      </c>
      <c r="F6">
        <f>B6*C6*D6*E6</f>
        <v>13.608000000000002</v>
      </c>
      <c r="G6">
        <f>((C6+D6)*2)*E6*B6</f>
        <v>60.480000000000004</v>
      </c>
      <c r="H6">
        <v>32</v>
      </c>
      <c r="I6">
        <v>32</v>
      </c>
      <c r="J6">
        <f>4.2+1</f>
        <v>5.2</v>
      </c>
      <c r="K6">
        <f>6.32*I6*B6*J6</f>
        <v>4206.5920000000006</v>
      </c>
      <c r="L6">
        <v>12</v>
      </c>
      <c r="M6">
        <v>28</v>
      </c>
      <c r="N6">
        <v>8.5299999999999994</v>
      </c>
      <c r="O6">
        <f>0.888*N6*M6*B6</f>
        <v>848.35967999999991</v>
      </c>
    </row>
    <row r="7" spans="1:15" ht="14.25" customHeight="1" x14ac:dyDescent="0.35">
      <c r="F7">
        <f>SUM(F2:F6)</f>
        <v>45.864000000000011</v>
      </c>
      <c r="G7">
        <f>SUM(G2:G6)</f>
        <v>221.76000000000005</v>
      </c>
      <c r="O7">
        <f>SUM(O2:O6)</f>
        <v>3061.2556799999998</v>
      </c>
    </row>
    <row r="9" spans="1:15" ht="14.25" customHeight="1" x14ac:dyDescent="0.35">
      <c r="H9">
        <v>12</v>
      </c>
      <c r="I9">
        <f>O7</f>
        <v>3061.2556799999998</v>
      </c>
    </row>
    <row r="10" spans="1:15" ht="14.25" customHeight="1" x14ac:dyDescent="0.35">
      <c r="H10">
        <v>25</v>
      </c>
      <c r="I10">
        <f>K2+K3</f>
        <v>1921.92</v>
      </c>
    </row>
    <row r="11" spans="1:15" ht="14.25" customHeight="1" x14ac:dyDescent="0.35">
      <c r="H11">
        <v>32</v>
      </c>
      <c r="I11">
        <f>K4+K5+K6</f>
        <v>10516.480000000001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1"/>
  <sheetViews>
    <sheetView zoomScaleNormal="100" workbookViewId="0">
      <selection activeCell="I14" sqref="I14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1225</v>
      </c>
      <c r="B2">
        <v>2</v>
      </c>
      <c r="C2">
        <v>0.5</v>
      </c>
      <c r="D2">
        <v>0.8</v>
      </c>
      <c r="E2">
        <v>4.2</v>
      </c>
      <c r="F2">
        <f>B2*C2*D2*E2</f>
        <v>3.3600000000000003</v>
      </c>
      <c r="G2">
        <f>((C2+D2)*2)*E2*B2</f>
        <v>21.840000000000003</v>
      </c>
      <c r="H2">
        <v>20</v>
      </c>
      <c r="I2">
        <v>24</v>
      </c>
      <c r="J2">
        <f>4.2+1</f>
        <v>5.2</v>
      </c>
      <c r="K2">
        <f>2.466*I2*B2*J2</f>
        <v>615.51360000000011</v>
      </c>
      <c r="L2">
        <v>12</v>
      </c>
      <c r="M2">
        <v>28</v>
      </c>
      <c r="N2">
        <f>(2.3+2.1+1.6)</f>
        <v>6</v>
      </c>
      <c r="O2">
        <f>0.888*N2*M2*B2</f>
        <v>298.36799999999999</v>
      </c>
    </row>
    <row r="3" spans="1:15" ht="14.25" customHeight="1" x14ac:dyDescent="0.35">
      <c r="A3" t="s">
        <v>1226</v>
      </c>
      <c r="B3">
        <v>2</v>
      </c>
      <c r="C3">
        <v>0.5</v>
      </c>
      <c r="D3">
        <v>0.8</v>
      </c>
      <c r="E3">
        <v>4.2</v>
      </c>
      <c r="F3">
        <f>B3*C3*D3*E3</f>
        <v>3.3600000000000003</v>
      </c>
      <c r="G3">
        <f>((C3+D3)*2)*E3*B3</f>
        <v>21.840000000000003</v>
      </c>
      <c r="H3">
        <v>20</v>
      </c>
      <c r="I3">
        <v>24</v>
      </c>
      <c r="J3">
        <f>4.2+1</f>
        <v>5.2</v>
      </c>
      <c r="K3">
        <f>2.466*I3*B3*J3</f>
        <v>615.51360000000011</v>
      </c>
      <c r="L3">
        <v>12</v>
      </c>
      <c r="M3">
        <v>28</v>
      </c>
      <c r="N3">
        <v>6.1</v>
      </c>
      <c r="O3">
        <f>0.888*N3*M3*B3</f>
        <v>303.34079999999994</v>
      </c>
    </row>
    <row r="4" spans="1:15" ht="14.25" customHeight="1" x14ac:dyDescent="0.35">
      <c r="A4" t="s">
        <v>1227</v>
      </c>
      <c r="B4">
        <v>4</v>
      </c>
      <c r="C4">
        <v>0.8</v>
      </c>
      <c r="D4">
        <v>0.8</v>
      </c>
      <c r="E4">
        <v>4.2</v>
      </c>
      <c r="F4">
        <f>B4*C4*D4*E4</f>
        <v>10.752000000000002</v>
      </c>
      <c r="G4">
        <f>((C4+D4)*2)*E4*B4</f>
        <v>53.760000000000005</v>
      </c>
      <c r="H4">
        <v>25</v>
      </c>
      <c r="I4">
        <v>24</v>
      </c>
      <c r="J4">
        <f>4.2+1</f>
        <v>5.2</v>
      </c>
      <c r="K4">
        <f>3.583*I4*B4*J4</f>
        <v>1788.6336000000001</v>
      </c>
      <c r="L4">
        <v>12</v>
      </c>
      <c r="M4">
        <v>28</v>
      </c>
      <c r="N4">
        <v>7.1</v>
      </c>
      <c r="O4">
        <f>0.888*N4*M4*B4</f>
        <v>706.13760000000002</v>
      </c>
    </row>
    <row r="5" spans="1:15" ht="14.25" customHeight="1" x14ac:dyDescent="0.35">
      <c r="A5" t="s">
        <v>1228</v>
      </c>
      <c r="B5">
        <v>4</v>
      </c>
      <c r="C5">
        <v>0.8</v>
      </c>
      <c r="D5">
        <v>0.8</v>
      </c>
      <c r="E5">
        <v>4.2</v>
      </c>
      <c r="F5">
        <f>B5*C5*D5*E5</f>
        <v>10.752000000000002</v>
      </c>
      <c r="G5">
        <f>((C5+D5)*2)*E5*B5</f>
        <v>53.760000000000005</v>
      </c>
      <c r="H5">
        <v>25</v>
      </c>
      <c r="I5">
        <v>24</v>
      </c>
      <c r="J5">
        <f>4.2+1</f>
        <v>5.2</v>
      </c>
      <c r="K5">
        <f>3.583*I5*B5*J5</f>
        <v>1788.6336000000001</v>
      </c>
      <c r="L5">
        <v>12</v>
      </c>
      <c r="M5">
        <v>28</v>
      </c>
      <c r="N5">
        <f>2.9+2.1+2.1</f>
        <v>7.1</v>
      </c>
      <c r="O5">
        <f>0.888*N5*M5*B5</f>
        <v>706.13760000000002</v>
      </c>
    </row>
    <row r="6" spans="1:15" ht="14.25" customHeight="1" x14ac:dyDescent="0.35">
      <c r="A6" t="s">
        <v>1229</v>
      </c>
      <c r="B6">
        <v>4</v>
      </c>
      <c r="C6">
        <v>0.8</v>
      </c>
      <c r="D6">
        <v>0.8</v>
      </c>
      <c r="E6">
        <v>4.2</v>
      </c>
      <c r="F6">
        <f>B6*C6*D6*E6</f>
        <v>10.752000000000002</v>
      </c>
      <c r="G6">
        <f>((C6+D6)*2)*E6*B6</f>
        <v>53.760000000000005</v>
      </c>
      <c r="H6">
        <v>25</v>
      </c>
      <c r="I6">
        <v>24</v>
      </c>
      <c r="J6">
        <f>4.2+1</f>
        <v>5.2</v>
      </c>
      <c r="K6">
        <f>3.583*I6*B6*J6</f>
        <v>1788.6336000000001</v>
      </c>
      <c r="L6">
        <v>12</v>
      </c>
      <c r="M6">
        <v>28</v>
      </c>
      <c r="N6">
        <f>2.9+2.1+2.1</f>
        <v>7.1</v>
      </c>
      <c r="O6">
        <f>0.888*N6*M6*B6</f>
        <v>706.13760000000002</v>
      </c>
    </row>
    <row r="7" spans="1:15" ht="14.25" customHeight="1" x14ac:dyDescent="0.35">
      <c r="F7">
        <f>SUM(F2:F6)</f>
        <v>38.976000000000006</v>
      </c>
      <c r="G7">
        <f>SUM(G2:G6)</f>
        <v>204.96000000000004</v>
      </c>
      <c r="O7">
        <f>SUM(O2:O6)</f>
        <v>2720.1215999999999</v>
      </c>
    </row>
    <row r="9" spans="1:15" ht="14.25" customHeight="1" x14ac:dyDescent="0.35">
      <c r="H9">
        <v>12</v>
      </c>
      <c r="I9">
        <f>O7</f>
        <v>2720.1215999999999</v>
      </c>
    </row>
    <row r="10" spans="1:15" ht="14.25" customHeight="1" x14ac:dyDescent="0.35">
      <c r="H10">
        <v>20</v>
      </c>
      <c r="I10">
        <f>K2+K3</f>
        <v>1231.0272000000002</v>
      </c>
    </row>
    <row r="11" spans="1:15" ht="14.25" customHeight="1" x14ac:dyDescent="0.35">
      <c r="H11">
        <v>25</v>
      </c>
      <c r="I11">
        <f>K4+K5+K6</f>
        <v>5365.9008000000003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2"/>
  <sheetViews>
    <sheetView zoomScaleNormal="100" workbookViewId="0">
      <selection activeCell="D32" sqref="D32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1225</v>
      </c>
      <c r="B2">
        <v>2</v>
      </c>
      <c r="C2">
        <v>0.5</v>
      </c>
      <c r="D2">
        <v>0.8</v>
      </c>
      <c r="E2">
        <v>4.2</v>
      </c>
      <c r="F2">
        <f>B2*C2*D2*E2</f>
        <v>3.3600000000000003</v>
      </c>
      <c r="G2">
        <f>((C2+D2)*2)*E2*B2</f>
        <v>21.840000000000003</v>
      </c>
      <c r="H2">
        <v>20</v>
      </c>
      <c r="I2">
        <v>24</v>
      </c>
      <c r="J2">
        <f>4.2+1</f>
        <v>5.2</v>
      </c>
      <c r="K2">
        <f>2.466*I2*B2*J2</f>
        <v>615.51360000000011</v>
      </c>
      <c r="L2">
        <v>10</v>
      </c>
      <c r="M2">
        <v>28</v>
      </c>
      <c r="N2">
        <f>(2.3+2.1+1.6)</f>
        <v>6</v>
      </c>
      <c r="O2">
        <f>0.617*N2*M2*B2</f>
        <v>207.31200000000001</v>
      </c>
    </row>
    <row r="3" spans="1:15" ht="14.25" customHeight="1" x14ac:dyDescent="0.35">
      <c r="A3" t="s">
        <v>1226</v>
      </c>
      <c r="B3">
        <v>2</v>
      </c>
      <c r="C3">
        <v>0.5</v>
      </c>
      <c r="D3">
        <v>0.8</v>
      </c>
      <c r="E3">
        <v>4.2</v>
      </c>
      <c r="F3">
        <f>B3*C3*D3*E3</f>
        <v>3.3600000000000003</v>
      </c>
      <c r="G3">
        <f>((C3+D3)*2)*E3*B3</f>
        <v>21.840000000000003</v>
      </c>
      <c r="H3">
        <v>20</v>
      </c>
      <c r="I3">
        <v>24</v>
      </c>
      <c r="J3">
        <f>4.2+1</f>
        <v>5.2</v>
      </c>
      <c r="K3">
        <f>2.466*I3*B3*J3</f>
        <v>615.51360000000011</v>
      </c>
      <c r="L3">
        <v>10</v>
      </c>
      <c r="M3">
        <v>28</v>
      </c>
      <c r="N3">
        <v>6.1</v>
      </c>
      <c r="O3">
        <f>0.617*N3*M3*B3</f>
        <v>210.76719999999997</v>
      </c>
    </row>
    <row r="4" spans="1:15" ht="14.25" customHeight="1" x14ac:dyDescent="0.35">
      <c r="A4" t="s">
        <v>1227</v>
      </c>
      <c r="B4">
        <v>4</v>
      </c>
      <c r="C4">
        <v>0.8</v>
      </c>
      <c r="D4">
        <v>0.8</v>
      </c>
      <c r="E4">
        <v>4.2</v>
      </c>
      <c r="F4">
        <f>B4*C4*D4*E4</f>
        <v>10.752000000000002</v>
      </c>
      <c r="G4">
        <f>((C4+D4)*2)*E4*B4</f>
        <v>53.760000000000005</v>
      </c>
      <c r="H4">
        <v>25</v>
      </c>
      <c r="I4">
        <v>24</v>
      </c>
      <c r="J4">
        <f>4.2+1</f>
        <v>5.2</v>
      </c>
      <c r="K4">
        <f>3.583*I4*B4*J4</f>
        <v>1788.6336000000001</v>
      </c>
      <c r="L4">
        <v>12</v>
      </c>
      <c r="M4">
        <v>28</v>
      </c>
      <c r="N4">
        <v>7.1</v>
      </c>
      <c r="O4">
        <f>0.888*N4*M4*B4</f>
        <v>706.13760000000002</v>
      </c>
    </row>
    <row r="5" spans="1:15" ht="14.25" customHeight="1" x14ac:dyDescent="0.35">
      <c r="A5" t="s">
        <v>1228</v>
      </c>
      <c r="B5">
        <v>4</v>
      </c>
      <c r="C5">
        <v>0.8</v>
      </c>
      <c r="D5">
        <v>0.8</v>
      </c>
      <c r="E5">
        <v>4.2</v>
      </c>
      <c r="F5">
        <f>B5*C5*D5*E5</f>
        <v>10.752000000000002</v>
      </c>
      <c r="G5">
        <f>((C5+D5)*2)*E5*B5</f>
        <v>53.760000000000005</v>
      </c>
      <c r="H5">
        <v>25</v>
      </c>
      <c r="I5">
        <v>24</v>
      </c>
      <c r="J5">
        <f>4.2+1</f>
        <v>5.2</v>
      </c>
      <c r="K5">
        <f>3.583*I5*B5*J5</f>
        <v>1788.6336000000001</v>
      </c>
      <c r="L5">
        <v>12</v>
      </c>
      <c r="M5">
        <v>28</v>
      </c>
      <c r="N5">
        <f>2.9+2.1+2.1</f>
        <v>7.1</v>
      </c>
      <c r="O5">
        <f>0.888*N5*M5*B5</f>
        <v>706.13760000000002</v>
      </c>
    </row>
    <row r="6" spans="1:15" ht="14.25" customHeight="1" x14ac:dyDescent="0.35">
      <c r="A6" t="s">
        <v>1229</v>
      </c>
      <c r="B6">
        <v>4</v>
      </c>
      <c r="C6">
        <v>0.8</v>
      </c>
      <c r="D6">
        <v>0.8</v>
      </c>
      <c r="E6">
        <v>4.2</v>
      </c>
      <c r="F6">
        <f>B6*C6*D6*E6</f>
        <v>10.752000000000002</v>
      </c>
      <c r="G6">
        <f>((C6+D6)*2)*E6*B6</f>
        <v>53.760000000000005</v>
      </c>
      <c r="H6">
        <v>25</v>
      </c>
      <c r="I6">
        <v>24</v>
      </c>
      <c r="J6">
        <f>4.2+1</f>
        <v>5.2</v>
      </c>
      <c r="K6">
        <f>3.583*I6*B6*J6</f>
        <v>1788.6336000000001</v>
      </c>
      <c r="L6">
        <v>12</v>
      </c>
      <c r="M6">
        <v>28</v>
      </c>
      <c r="N6">
        <f>2.9+2.1+2.1</f>
        <v>7.1</v>
      </c>
      <c r="O6">
        <f>0.888*N6*M6*B6</f>
        <v>706.13760000000002</v>
      </c>
    </row>
    <row r="7" spans="1:15" ht="14.25" customHeight="1" x14ac:dyDescent="0.35">
      <c r="F7">
        <f>SUM(F2:F6)</f>
        <v>38.976000000000006</v>
      </c>
      <c r="G7">
        <f>SUM(G2:G6)</f>
        <v>204.96000000000004</v>
      </c>
    </row>
    <row r="9" spans="1:15" ht="14.25" customHeight="1" x14ac:dyDescent="0.35">
      <c r="H9">
        <v>10</v>
      </c>
      <c r="I9">
        <f>O2+O3</f>
        <v>418.07920000000001</v>
      </c>
    </row>
    <row r="10" spans="1:15" ht="14.25" customHeight="1" x14ac:dyDescent="0.35">
      <c r="H10">
        <v>12</v>
      </c>
      <c r="I10">
        <f>O4+O5+O6</f>
        <v>2118.4128000000001</v>
      </c>
    </row>
    <row r="11" spans="1:15" ht="14.25" customHeight="1" x14ac:dyDescent="0.35">
      <c r="H11">
        <v>20</v>
      </c>
      <c r="I11">
        <f>K2+K3</f>
        <v>1231.0272000000002</v>
      </c>
    </row>
    <row r="12" spans="1:15" ht="14.25" customHeight="1" x14ac:dyDescent="0.35">
      <c r="H12">
        <v>25</v>
      </c>
      <c r="I12">
        <f>K4+K5+K6</f>
        <v>5365.9008000000003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2"/>
  <sheetViews>
    <sheetView zoomScaleNormal="100" workbookViewId="0">
      <selection activeCell="H15" sqref="H15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1225</v>
      </c>
      <c r="B2">
        <v>2</v>
      </c>
      <c r="C2">
        <v>0.5</v>
      </c>
      <c r="D2">
        <v>0.8</v>
      </c>
      <c r="E2">
        <v>4.2</v>
      </c>
      <c r="F2">
        <f>B2*C2*D2*E2</f>
        <v>3.3600000000000003</v>
      </c>
      <c r="G2">
        <f>((C2+D2)*2)*E2*B2</f>
        <v>21.840000000000003</v>
      </c>
      <c r="H2">
        <v>20</v>
      </c>
      <c r="I2">
        <v>24</v>
      </c>
      <c r="J2">
        <f>4.2+1</f>
        <v>5.2</v>
      </c>
      <c r="K2">
        <f>2.466*I2*B2*J2</f>
        <v>615.51360000000011</v>
      </c>
      <c r="L2">
        <v>10</v>
      </c>
      <c r="M2">
        <v>28</v>
      </c>
      <c r="N2">
        <f>(2.3+2.1+1.6)</f>
        <v>6</v>
      </c>
      <c r="O2">
        <f>0.617*N2*M2*B2</f>
        <v>207.31200000000001</v>
      </c>
    </row>
    <row r="3" spans="1:15" ht="14.25" customHeight="1" x14ac:dyDescent="0.35">
      <c r="A3" t="s">
        <v>1226</v>
      </c>
      <c r="B3">
        <v>2</v>
      </c>
      <c r="C3">
        <v>0.5</v>
      </c>
      <c r="D3">
        <v>0.8</v>
      </c>
      <c r="E3">
        <v>4.2</v>
      </c>
      <c r="F3">
        <f>B3*C3*D3*E3</f>
        <v>3.3600000000000003</v>
      </c>
      <c r="G3">
        <f>((C3+D3)*2)*E3*B3</f>
        <v>21.840000000000003</v>
      </c>
      <c r="H3">
        <v>20</v>
      </c>
      <c r="I3">
        <v>24</v>
      </c>
      <c r="J3">
        <f>4.2+1</f>
        <v>5.2</v>
      </c>
      <c r="K3">
        <f>2.466*I3*B3*J3</f>
        <v>615.51360000000011</v>
      </c>
      <c r="L3">
        <v>10</v>
      </c>
      <c r="M3">
        <v>28</v>
      </c>
      <c r="N3">
        <v>6.1</v>
      </c>
      <c r="O3">
        <f>0.617*N3*M3*B3</f>
        <v>210.76719999999997</v>
      </c>
    </row>
    <row r="4" spans="1:15" ht="14.25" customHeight="1" x14ac:dyDescent="0.35">
      <c r="A4" t="s">
        <v>1227</v>
      </c>
      <c r="B4">
        <v>4</v>
      </c>
      <c r="C4">
        <v>0.8</v>
      </c>
      <c r="D4">
        <v>0.8</v>
      </c>
      <c r="E4">
        <v>4.2</v>
      </c>
      <c r="F4">
        <f>B4*C4*D4*E4</f>
        <v>10.752000000000002</v>
      </c>
      <c r="G4">
        <f>((C4+D4)*2)*E4*B4</f>
        <v>53.760000000000005</v>
      </c>
      <c r="H4">
        <v>25</v>
      </c>
      <c r="I4">
        <v>24</v>
      </c>
      <c r="J4">
        <f>4.2+1</f>
        <v>5.2</v>
      </c>
      <c r="K4">
        <f>3.583*I4*B4*J4</f>
        <v>1788.6336000000001</v>
      </c>
      <c r="L4">
        <v>12</v>
      </c>
      <c r="M4">
        <v>28</v>
      </c>
      <c r="N4">
        <v>7.1</v>
      </c>
      <c r="O4">
        <f>0.888*N4*M4*B4</f>
        <v>706.13760000000002</v>
      </c>
    </row>
    <row r="5" spans="1:15" ht="14.25" customHeight="1" x14ac:dyDescent="0.35">
      <c r="A5" t="s">
        <v>1228</v>
      </c>
      <c r="B5">
        <v>4</v>
      </c>
      <c r="C5">
        <v>0.8</v>
      </c>
      <c r="D5">
        <v>0.8</v>
      </c>
      <c r="E5">
        <v>4.2</v>
      </c>
      <c r="F5">
        <f>B5*C5*D5*E5</f>
        <v>10.752000000000002</v>
      </c>
      <c r="G5">
        <f>((C5+D5)*2)*E5*B5</f>
        <v>53.760000000000005</v>
      </c>
      <c r="H5">
        <v>25</v>
      </c>
      <c r="I5">
        <v>24</v>
      </c>
      <c r="J5">
        <f>4.2+1</f>
        <v>5.2</v>
      </c>
      <c r="K5">
        <f>3.583*I5*B5*J5</f>
        <v>1788.6336000000001</v>
      </c>
      <c r="L5">
        <v>12</v>
      </c>
      <c r="M5">
        <v>28</v>
      </c>
      <c r="N5">
        <f>2.9+2.1+2.1</f>
        <v>7.1</v>
      </c>
      <c r="O5">
        <f>0.888*N5*M5*B5</f>
        <v>706.13760000000002</v>
      </c>
    </row>
    <row r="6" spans="1:15" ht="14.25" customHeight="1" x14ac:dyDescent="0.35">
      <c r="A6" t="s">
        <v>1229</v>
      </c>
      <c r="B6">
        <v>4</v>
      </c>
      <c r="C6">
        <v>0.8</v>
      </c>
      <c r="D6">
        <v>0.8</v>
      </c>
      <c r="E6">
        <v>4.2</v>
      </c>
      <c r="F6">
        <f>B6*C6*D6*E6</f>
        <v>10.752000000000002</v>
      </c>
      <c r="G6">
        <f>((C6+D6)*2)*E6*B6</f>
        <v>53.760000000000005</v>
      </c>
      <c r="H6">
        <v>25</v>
      </c>
      <c r="I6">
        <v>24</v>
      </c>
      <c r="J6">
        <f>4.2+1</f>
        <v>5.2</v>
      </c>
      <c r="K6">
        <f>3.583*I6*B6*J6</f>
        <v>1788.6336000000001</v>
      </c>
      <c r="L6">
        <v>12</v>
      </c>
      <c r="M6">
        <v>28</v>
      </c>
      <c r="N6">
        <f>2.9+2.1+2.1</f>
        <v>7.1</v>
      </c>
      <c r="O6">
        <f>0.888*N6*M6*B6</f>
        <v>706.13760000000002</v>
      </c>
    </row>
    <row r="7" spans="1:15" ht="14.25" customHeight="1" x14ac:dyDescent="0.35">
      <c r="F7">
        <f>SUM(F2:F6)</f>
        <v>38.976000000000006</v>
      </c>
      <c r="G7">
        <f>SUM(G2:G6)</f>
        <v>204.96000000000004</v>
      </c>
    </row>
    <row r="9" spans="1:15" ht="14.25" customHeight="1" x14ac:dyDescent="0.35">
      <c r="H9">
        <v>10</v>
      </c>
      <c r="I9">
        <f>O2+O3</f>
        <v>418.07920000000001</v>
      </c>
    </row>
    <row r="10" spans="1:15" ht="14.25" customHeight="1" x14ac:dyDescent="0.35">
      <c r="H10">
        <v>12</v>
      </c>
      <c r="I10">
        <f>O4+O5+O6</f>
        <v>2118.4128000000001</v>
      </c>
    </row>
    <row r="11" spans="1:15" ht="14.25" customHeight="1" x14ac:dyDescent="0.35">
      <c r="H11">
        <v>20</v>
      </c>
      <c r="I11">
        <f>K2+K3</f>
        <v>1231.0272000000002</v>
      </c>
    </row>
    <row r="12" spans="1:15" ht="14.25" customHeight="1" x14ac:dyDescent="0.35">
      <c r="H12">
        <v>25</v>
      </c>
      <c r="I12">
        <f>K4+K5+K6</f>
        <v>5365.9008000000003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0"/>
  <sheetViews>
    <sheetView zoomScaleNormal="100" workbookViewId="0">
      <selection activeCell="I9" sqref="I9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1225</v>
      </c>
      <c r="B2">
        <v>2</v>
      </c>
      <c r="C2">
        <v>0.4</v>
      </c>
      <c r="D2">
        <v>0.8</v>
      </c>
      <c r="E2">
        <v>4.2</v>
      </c>
      <c r="F2">
        <f>B2*C2*D2*E2</f>
        <v>2.6880000000000006</v>
      </c>
      <c r="G2">
        <f>((C2+D2)*2)*E2*B2</f>
        <v>20.160000000000004</v>
      </c>
      <c r="H2">
        <v>20</v>
      </c>
      <c r="I2">
        <v>20</v>
      </c>
      <c r="J2">
        <f>4.2+1</f>
        <v>5.2</v>
      </c>
      <c r="K2">
        <f>2.466*I2*B2*J2</f>
        <v>512.92800000000011</v>
      </c>
      <c r="L2">
        <v>10</v>
      </c>
      <c r="M2">
        <v>28</v>
      </c>
      <c r="N2">
        <f>(2.3+2.1+1.6)</f>
        <v>6</v>
      </c>
      <c r="O2">
        <f>0.617*N2*M2*B2</f>
        <v>207.31200000000001</v>
      </c>
    </row>
    <row r="3" spans="1:15" ht="14.25" customHeight="1" x14ac:dyDescent="0.35">
      <c r="A3" t="s">
        <v>1226</v>
      </c>
      <c r="B3">
        <v>2</v>
      </c>
      <c r="C3">
        <v>0.5</v>
      </c>
      <c r="D3">
        <v>0.8</v>
      </c>
      <c r="E3">
        <v>4.2</v>
      </c>
      <c r="F3">
        <f>B3*C3*D3*E3</f>
        <v>3.3600000000000003</v>
      </c>
      <c r="G3">
        <f>((C3+D3)*2)*E3*B3</f>
        <v>21.840000000000003</v>
      </c>
      <c r="H3">
        <v>20</v>
      </c>
      <c r="I3">
        <v>24</v>
      </c>
      <c r="J3">
        <f>4.2+1</f>
        <v>5.2</v>
      </c>
      <c r="K3">
        <f>2.466*I3*B3*J3</f>
        <v>615.51360000000011</v>
      </c>
      <c r="L3">
        <v>10</v>
      </c>
      <c r="M3">
        <v>28</v>
      </c>
      <c r="N3">
        <v>6.1</v>
      </c>
      <c r="O3">
        <f>0.617*N3*M3*B3</f>
        <v>210.76719999999997</v>
      </c>
    </row>
    <row r="4" spans="1:15" ht="14.25" customHeight="1" x14ac:dyDescent="0.35">
      <c r="A4" t="s">
        <v>1227</v>
      </c>
      <c r="B4">
        <v>4</v>
      </c>
      <c r="C4">
        <v>0.8</v>
      </c>
      <c r="D4">
        <v>0.8</v>
      </c>
      <c r="E4">
        <v>4.2</v>
      </c>
      <c r="F4">
        <f>B4*C4*D4*E4</f>
        <v>10.752000000000002</v>
      </c>
      <c r="G4">
        <f>((C4+D4)*2)*E4*B4</f>
        <v>53.760000000000005</v>
      </c>
      <c r="H4">
        <v>20</v>
      </c>
      <c r="I4">
        <v>24</v>
      </c>
      <c r="J4">
        <f>4.2+1</f>
        <v>5.2</v>
      </c>
      <c r="K4">
        <f>2.466*I4*B4*J4</f>
        <v>1231.0272000000002</v>
      </c>
      <c r="L4">
        <v>10</v>
      </c>
      <c r="M4">
        <v>28</v>
      </c>
      <c r="N4">
        <v>7.1</v>
      </c>
      <c r="O4">
        <f>0.617*N4*M4*B4</f>
        <v>490.63839999999999</v>
      </c>
    </row>
    <row r="5" spans="1:15" ht="14.25" customHeight="1" x14ac:dyDescent="0.35">
      <c r="A5" t="s">
        <v>1228</v>
      </c>
      <c r="B5">
        <v>4</v>
      </c>
      <c r="C5">
        <v>0.8</v>
      </c>
      <c r="D5">
        <v>0.8</v>
      </c>
      <c r="E5">
        <v>4.2</v>
      </c>
      <c r="F5">
        <f>B5*C5*D5*E5</f>
        <v>10.752000000000002</v>
      </c>
      <c r="G5">
        <f>((C5+D5)*2)*E5*B5</f>
        <v>53.760000000000005</v>
      </c>
      <c r="H5">
        <v>20</v>
      </c>
      <c r="I5">
        <v>24</v>
      </c>
      <c r="J5">
        <f>4.2+1</f>
        <v>5.2</v>
      </c>
      <c r="K5">
        <f>2.466*I5*B5*J5</f>
        <v>1231.0272000000002</v>
      </c>
      <c r="L5">
        <v>10</v>
      </c>
      <c r="M5">
        <v>28</v>
      </c>
      <c r="N5">
        <f>2.9+2.1+2.1</f>
        <v>7.1</v>
      </c>
      <c r="O5">
        <f>0.617*N5*M5*B5</f>
        <v>490.63839999999999</v>
      </c>
    </row>
    <row r="6" spans="1:15" ht="14.25" customHeight="1" x14ac:dyDescent="0.35">
      <c r="A6" t="s">
        <v>1229</v>
      </c>
      <c r="B6">
        <v>4</v>
      </c>
      <c r="C6">
        <v>0.8</v>
      </c>
      <c r="D6">
        <v>0.8</v>
      </c>
      <c r="E6">
        <v>4.2</v>
      </c>
      <c r="F6">
        <f>B6*C6*D6*E6</f>
        <v>10.752000000000002</v>
      </c>
      <c r="G6">
        <f>((C6+D6)*2)*E6*B6</f>
        <v>53.760000000000005</v>
      </c>
      <c r="H6">
        <v>20</v>
      </c>
      <c r="I6">
        <v>24</v>
      </c>
      <c r="J6">
        <f>4.2+1</f>
        <v>5.2</v>
      </c>
      <c r="K6">
        <f>2.466*I6*B6*J6</f>
        <v>1231.0272000000002</v>
      </c>
      <c r="L6">
        <v>10</v>
      </c>
      <c r="M6">
        <v>28</v>
      </c>
      <c r="N6">
        <f>2.9+2.1+2.1</f>
        <v>7.1</v>
      </c>
      <c r="O6">
        <f>0.617*N6*M6*B6</f>
        <v>490.63839999999999</v>
      </c>
    </row>
    <row r="7" spans="1:15" ht="14.25" customHeight="1" x14ac:dyDescent="0.35">
      <c r="F7">
        <f>SUM(F2:F6)</f>
        <v>38.304000000000009</v>
      </c>
      <c r="G7">
        <f>SUM(G2:G6)</f>
        <v>203.28000000000003</v>
      </c>
    </row>
    <row r="9" spans="1:15" ht="14.25" customHeight="1" x14ac:dyDescent="0.35">
      <c r="H9">
        <v>10</v>
      </c>
      <c r="I9">
        <f>SUM(O2:O6)</f>
        <v>1889.9944</v>
      </c>
    </row>
    <row r="10" spans="1:15" ht="14.25" customHeight="1" x14ac:dyDescent="0.35">
      <c r="H10">
        <v>20</v>
      </c>
      <c r="I10">
        <f>SUM(K2:K6)</f>
        <v>4821.5232000000015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6"/>
  <sheetViews>
    <sheetView zoomScaleNormal="100" workbookViewId="0">
      <selection activeCell="I10" sqref="I10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1232</v>
      </c>
      <c r="B2">
        <v>22</v>
      </c>
      <c r="C2">
        <v>0.25</v>
      </c>
      <c r="D2">
        <v>0.4</v>
      </c>
      <c r="E2">
        <v>0.7</v>
      </c>
      <c r="F2">
        <f>B2*C2*D2*E2</f>
        <v>1.54</v>
      </c>
      <c r="G2">
        <f>((C2+D2)*2)*E2*B2</f>
        <v>20.02</v>
      </c>
      <c r="H2">
        <v>16</v>
      </c>
      <c r="I2">
        <v>8</v>
      </c>
      <c r="J2">
        <f>0.7+1</f>
        <v>1.7</v>
      </c>
      <c r="K2">
        <f>'rebar weight'!G4*I2*B2*J2</f>
        <v>472.13760000000002</v>
      </c>
      <c r="L2">
        <v>10</v>
      </c>
      <c r="M2">
        <v>6</v>
      </c>
      <c r="N2">
        <f>(1.2+0.8)</f>
        <v>2</v>
      </c>
      <c r="O2">
        <f>'rebar weight'!D4*N2*M2*B2</f>
        <v>162.88800000000001</v>
      </c>
    </row>
    <row r="3" spans="1:15" ht="14.25" customHeight="1" x14ac:dyDescent="0.35">
      <c r="F3">
        <f>SUM(F2:F2)</f>
        <v>1.54</v>
      </c>
      <c r="G3">
        <f>SUM(G2:G2)</f>
        <v>20.02</v>
      </c>
    </row>
    <row r="5" spans="1:15" ht="14.25" customHeight="1" x14ac:dyDescent="0.35">
      <c r="H5">
        <v>10</v>
      </c>
      <c r="I5">
        <f>SUM(O2:O2)</f>
        <v>162.88800000000001</v>
      </c>
    </row>
    <row r="6" spans="1:15" ht="14.25" customHeight="1" x14ac:dyDescent="0.35">
      <c r="H6">
        <v>16</v>
      </c>
      <c r="I6">
        <f>SUM(K2:K2)</f>
        <v>472.13760000000002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0"/>
  <sheetViews>
    <sheetView zoomScaleNormal="100" workbookViewId="0">
      <selection activeCell="D31" sqref="D31"/>
    </sheetView>
  </sheetViews>
  <sheetFormatPr defaultColWidth="8.7265625" defaultRowHeight="14.5" x14ac:dyDescent="0.35"/>
  <cols>
    <col min="2" max="2" width="19.81640625" customWidth="1"/>
    <col min="3" max="3" width="9.7265625" customWidth="1"/>
    <col min="4" max="4" width="10.54296875" customWidth="1"/>
    <col min="5" max="5" width="10.453125" customWidth="1"/>
    <col min="6" max="6" width="13.7265625" customWidth="1"/>
    <col min="7" max="7" width="14.7265625" customWidth="1"/>
    <col min="8" max="8" width="16.453125" customWidth="1"/>
    <col min="9" max="9" width="16.1796875" customWidth="1"/>
    <col min="10" max="10" width="16.26953125" customWidth="1"/>
    <col min="11" max="11" width="19.453125" customWidth="1"/>
    <col min="12" max="12" width="15.7265625" customWidth="1"/>
    <col min="13" max="13" width="19.26953125" customWidth="1"/>
    <col min="14" max="14" width="16.81640625" customWidth="1"/>
    <col min="15" max="15" width="17.7265625" customWidth="1"/>
  </cols>
  <sheetData>
    <row r="1" spans="1:15" ht="14.25" customHeight="1" x14ac:dyDescent="0.35">
      <c r="A1" t="s">
        <v>1112</v>
      </c>
      <c r="B1" s="169" t="s">
        <v>1217</v>
      </c>
      <c r="C1" s="169" t="s">
        <v>1230</v>
      </c>
      <c r="D1" s="169" t="s">
        <v>1197</v>
      </c>
      <c r="E1" s="169" t="s">
        <v>1231</v>
      </c>
      <c r="F1" s="169" t="s">
        <v>1164</v>
      </c>
      <c r="G1" s="169" t="s">
        <v>1163</v>
      </c>
      <c r="H1" s="169" t="s">
        <v>1218</v>
      </c>
      <c r="I1" s="169" t="s">
        <v>1219</v>
      </c>
      <c r="J1" s="169" t="s">
        <v>1213</v>
      </c>
      <c r="K1" s="169" t="s">
        <v>1220</v>
      </c>
      <c r="L1" s="169" t="s">
        <v>1221</v>
      </c>
      <c r="M1" s="169" t="s">
        <v>1222</v>
      </c>
      <c r="N1" s="169" t="s">
        <v>1223</v>
      </c>
      <c r="O1" s="169" t="s">
        <v>1224</v>
      </c>
    </row>
    <row r="2" spans="1:15" ht="14.25" customHeight="1" x14ac:dyDescent="0.35">
      <c r="A2" t="s">
        <v>1225</v>
      </c>
      <c r="B2">
        <v>2</v>
      </c>
      <c r="C2">
        <v>0.4</v>
      </c>
      <c r="D2">
        <v>0.8</v>
      </c>
      <c r="E2">
        <v>3.5</v>
      </c>
      <c r="F2">
        <f>B2*C2*D2*E2</f>
        <v>2.2400000000000002</v>
      </c>
      <c r="G2">
        <f>((C2+D2)*2)*E2*B2</f>
        <v>16.800000000000004</v>
      </c>
      <c r="H2">
        <v>20</v>
      </c>
      <c r="I2">
        <v>20</v>
      </c>
      <c r="J2">
        <f>3.5+1</f>
        <v>4.5</v>
      </c>
      <c r="K2">
        <f>2.466*I2*B2*J2</f>
        <v>443.88000000000005</v>
      </c>
      <c r="L2">
        <v>10</v>
      </c>
      <c r="M2">
        <v>24</v>
      </c>
      <c r="N2">
        <f>(2.3+2.1+1.6)</f>
        <v>6</v>
      </c>
      <c r="O2">
        <f>0.617*N2*M2*B2</f>
        <v>177.696</v>
      </c>
    </row>
    <row r="3" spans="1:15" ht="14.25" customHeight="1" x14ac:dyDescent="0.35">
      <c r="A3" t="s">
        <v>1226</v>
      </c>
      <c r="B3">
        <v>2</v>
      </c>
      <c r="C3">
        <v>0.5</v>
      </c>
      <c r="D3">
        <v>0.8</v>
      </c>
      <c r="E3">
        <v>3.5</v>
      </c>
      <c r="F3">
        <f>B3*C3*D3*E3</f>
        <v>2.8000000000000003</v>
      </c>
      <c r="G3">
        <f>((C3+D3)*2)*E3*B3</f>
        <v>18.2</v>
      </c>
      <c r="H3">
        <v>20</v>
      </c>
      <c r="I3">
        <v>24</v>
      </c>
      <c r="J3">
        <f>3.5+1</f>
        <v>4.5</v>
      </c>
      <c r="K3">
        <f>2.466*I3*B3*J3</f>
        <v>532.65600000000006</v>
      </c>
      <c r="L3">
        <v>10</v>
      </c>
      <c r="M3">
        <v>24</v>
      </c>
      <c r="N3">
        <v>6.1</v>
      </c>
      <c r="O3">
        <f>0.617*N3*M3*B3</f>
        <v>180.65759999999997</v>
      </c>
    </row>
    <row r="4" spans="1:15" ht="14.25" customHeight="1" x14ac:dyDescent="0.35">
      <c r="A4" t="s">
        <v>1227</v>
      </c>
      <c r="B4">
        <v>4</v>
      </c>
      <c r="C4">
        <v>0.8</v>
      </c>
      <c r="D4">
        <v>0.8</v>
      </c>
      <c r="E4">
        <v>3.5</v>
      </c>
      <c r="F4">
        <f>B4*C4*D4*E4</f>
        <v>8.9600000000000009</v>
      </c>
      <c r="G4">
        <f>((C4+D4)*2)*E4*B4</f>
        <v>44.800000000000004</v>
      </c>
      <c r="H4">
        <v>20</v>
      </c>
      <c r="I4">
        <v>24</v>
      </c>
      <c r="J4">
        <f>3.5+1</f>
        <v>4.5</v>
      </c>
      <c r="K4">
        <f>2.466*I4*B4*J4</f>
        <v>1065.3120000000001</v>
      </c>
      <c r="L4">
        <v>10</v>
      </c>
      <c r="M4">
        <v>24</v>
      </c>
      <c r="N4">
        <v>7.1</v>
      </c>
      <c r="O4">
        <f>0.617*N4*M4*B4</f>
        <v>420.54719999999998</v>
      </c>
    </row>
    <row r="5" spans="1:15" ht="14.25" customHeight="1" x14ac:dyDescent="0.35">
      <c r="A5" t="s">
        <v>1228</v>
      </c>
      <c r="B5">
        <v>4</v>
      </c>
      <c r="C5">
        <v>0.8</v>
      </c>
      <c r="D5">
        <v>0.8</v>
      </c>
      <c r="E5">
        <v>3.5</v>
      </c>
      <c r="F5">
        <f>B5*C5*D5*E5</f>
        <v>8.9600000000000009</v>
      </c>
      <c r="G5">
        <f>((C5+D5)*2)*E5*B5</f>
        <v>44.800000000000004</v>
      </c>
      <c r="H5">
        <v>20</v>
      </c>
      <c r="I5">
        <v>24</v>
      </c>
      <c r="J5">
        <f>3.5+1</f>
        <v>4.5</v>
      </c>
      <c r="K5">
        <f>2.466*I5*B5*J5</f>
        <v>1065.3120000000001</v>
      </c>
      <c r="L5">
        <v>10</v>
      </c>
      <c r="M5">
        <v>24</v>
      </c>
      <c r="N5">
        <f>2.9+2.1+2.1</f>
        <v>7.1</v>
      </c>
      <c r="O5">
        <f>0.617*N5*M5*B5</f>
        <v>420.54719999999998</v>
      </c>
    </row>
    <row r="6" spans="1:15" ht="14.25" customHeight="1" x14ac:dyDescent="0.35">
      <c r="A6" t="s">
        <v>1229</v>
      </c>
      <c r="B6">
        <v>4</v>
      </c>
      <c r="C6">
        <v>0.8</v>
      </c>
      <c r="D6">
        <v>0.8</v>
      </c>
      <c r="E6">
        <v>3.5</v>
      </c>
      <c r="F6">
        <f>B6*C6*D6*E6</f>
        <v>8.9600000000000009</v>
      </c>
      <c r="G6">
        <f>((C6+D6)*2)*E6*B6</f>
        <v>44.800000000000004</v>
      </c>
      <c r="H6">
        <v>20</v>
      </c>
      <c r="I6">
        <v>24</v>
      </c>
      <c r="J6">
        <f>3.5+1</f>
        <v>4.5</v>
      </c>
      <c r="K6">
        <f>2.466*I6*B6*J6</f>
        <v>1065.3120000000001</v>
      </c>
      <c r="L6">
        <v>10</v>
      </c>
      <c r="M6">
        <v>24</v>
      </c>
      <c r="N6">
        <f>2.9+2.1+2.1</f>
        <v>7.1</v>
      </c>
      <c r="O6">
        <f>0.617*N6*M6*B6</f>
        <v>420.54719999999998</v>
      </c>
    </row>
    <row r="7" spans="1:15" ht="14.25" customHeight="1" x14ac:dyDescent="0.35">
      <c r="F7">
        <f>SUM(F2:F6)</f>
        <v>31.92</v>
      </c>
      <c r="G7">
        <f>SUM(G2:G6)</f>
        <v>169.40000000000003</v>
      </c>
    </row>
    <row r="9" spans="1:15" ht="14.25" customHeight="1" x14ac:dyDescent="0.35">
      <c r="H9">
        <v>10</v>
      </c>
      <c r="I9">
        <f>SUM(O2:O6)</f>
        <v>1619.9951999999998</v>
      </c>
    </row>
    <row r="10" spans="1:15" ht="14.25" customHeight="1" x14ac:dyDescent="0.35">
      <c r="H10">
        <v>20</v>
      </c>
      <c r="I10">
        <f>SUM(K2:K6)</f>
        <v>4172.4720000000007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5"/>
  <sheetViews>
    <sheetView zoomScaleNormal="100" workbookViewId="0">
      <selection activeCell="D2" sqref="D2"/>
    </sheetView>
  </sheetViews>
  <sheetFormatPr defaultColWidth="8.7265625" defaultRowHeight="14.5" x14ac:dyDescent="0.35"/>
  <cols>
    <col min="1" max="1" width="18" customWidth="1"/>
    <col min="2" max="2" width="16.1796875" customWidth="1"/>
    <col min="3" max="3" width="15.1796875" customWidth="1"/>
    <col min="4" max="4" width="15" customWidth="1"/>
  </cols>
  <sheetData>
    <row r="1" spans="1:4" ht="14.25" customHeight="1" x14ac:dyDescent="0.35">
      <c r="A1" s="169" t="s">
        <v>1233</v>
      </c>
      <c r="B1" s="169" t="s">
        <v>1234</v>
      </c>
      <c r="C1" s="169" t="s">
        <v>1197</v>
      </c>
      <c r="D1" s="169" t="s">
        <v>1170</v>
      </c>
    </row>
    <row r="2" spans="1:4" ht="14.25" customHeight="1" x14ac:dyDescent="0.35">
      <c r="A2" s="169">
        <v>10</v>
      </c>
      <c r="B2" s="169">
        <f>(7+7+4+4+4+7+7)*14</f>
        <v>560</v>
      </c>
      <c r="C2" s="169">
        <f>0.7</f>
        <v>0.7</v>
      </c>
      <c r="D2">
        <f>0.617*C2*B2</f>
        <v>241.86399999999998</v>
      </c>
    </row>
    <row r="3" spans="1:4" ht="14.25" customHeight="1" x14ac:dyDescent="0.35">
      <c r="A3" s="169">
        <v>12</v>
      </c>
      <c r="B3" s="169">
        <v>28</v>
      </c>
      <c r="C3" s="169">
        <f>5.7+13+5.7+5.7+13</f>
        <v>43.099999999999994</v>
      </c>
      <c r="D3">
        <f>0.888*C3*B3</f>
        <v>1071.6383999999998</v>
      </c>
    </row>
    <row r="4" spans="1:4" ht="14.25" customHeight="1" x14ac:dyDescent="0.35">
      <c r="A4">
        <v>16</v>
      </c>
      <c r="B4">
        <f>17+17+17+17+11+11+11+11+11+11+6+6+9+9+4+4+9+9+6+6</f>
        <v>202</v>
      </c>
      <c r="C4">
        <f>4.2+1</f>
        <v>5.2</v>
      </c>
      <c r="D4">
        <f>1.58*C4*B4</f>
        <v>1659.6320000000003</v>
      </c>
    </row>
    <row r="5" spans="1:4" ht="14.25" customHeight="1" x14ac:dyDescent="0.35">
      <c r="A5">
        <v>20</v>
      </c>
      <c r="B5">
        <f>8+8+8+12+16+12</f>
        <v>64</v>
      </c>
      <c r="C5">
        <f>4.2+1</f>
        <v>5.2</v>
      </c>
      <c r="D5">
        <f>2.47*C5*B5</f>
        <v>822.01600000000008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5"/>
  <sheetViews>
    <sheetView zoomScaleNormal="100" workbookViewId="0">
      <selection activeCell="D2" sqref="D2"/>
    </sheetView>
  </sheetViews>
  <sheetFormatPr defaultColWidth="8.7265625" defaultRowHeight="14.5" x14ac:dyDescent="0.35"/>
  <cols>
    <col min="1" max="1" width="18" customWidth="1"/>
    <col min="2" max="2" width="16.1796875" customWidth="1"/>
    <col min="3" max="3" width="15.1796875" customWidth="1"/>
    <col min="4" max="4" width="15" customWidth="1"/>
  </cols>
  <sheetData>
    <row r="1" spans="1:4" ht="14.25" customHeight="1" x14ac:dyDescent="0.35">
      <c r="A1" s="169" t="s">
        <v>1233</v>
      </c>
      <c r="B1" s="169" t="s">
        <v>1234</v>
      </c>
      <c r="C1" s="169" t="s">
        <v>1197</v>
      </c>
      <c r="D1" s="169" t="s">
        <v>1170</v>
      </c>
    </row>
    <row r="2" spans="1:4" ht="14.25" customHeight="1" x14ac:dyDescent="0.35">
      <c r="A2" s="169">
        <v>10</v>
      </c>
      <c r="B2" s="169">
        <f>(7+7+4+4+4+7+7)*12</f>
        <v>480</v>
      </c>
      <c r="C2" s="169">
        <f>0.7</f>
        <v>0.7</v>
      </c>
      <c r="D2">
        <f>0.617*C2*B2</f>
        <v>207.31199999999998</v>
      </c>
    </row>
    <row r="3" spans="1:4" ht="14.25" customHeight="1" x14ac:dyDescent="0.35">
      <c r="A3" s="169">
        <v>12</v>
      </c>
      <c r="B3" s="169">
        <v>24</v>
      </c>
      <c r="C3" s="169">
        <f>5.7+13+5.7+5.7+13</f>
        <v>43.099999999999994</v>
      </c>
      <c r="D3">
        <f>0.888*C3*B3</f>
        <v>918.54719999999998</v>
      </c>
    </row>
    <row r="4" spans="1:4" ht="14.25" customHeight="1" x14ac:dyDescent="0.35">
      <c r="A4">
        <v>16</v>
      </c>
      <c r="B4">
        <f>17+17+17+17+11+11+11+11+11+11+6+6+9+9+4+4+9+9+6+6</f>
        <v>202</v>
      </c>
      <c r="C4">
        <f>3.5+1</f>
        <v>4.5</v>
      </c>
      <c r="D4">
        <f>1.58*C4*B4</f>
        <v>1436.22</v>
      </c>
    </row>
    <row r="5" spans="1:4" ht="14.25" customHeight="1" x14ac:dyDescent="0.35">
      <c r="A5">
        <v>20</v>
      </c>
      <c r="B5">
        <f>8+8+8+12+16+12</f>
        <v>64</v>
      </c>
      <c r="C5">
        <f>3.5+1</f>
        <v>4.5</v>
      </c>
      <c r="D5">
        <f>2.47*C5*B5</f>
        <v>711.36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4"/>
  <sheetViews>
    <sheetView zoomScaleNormal="100" workbookViewId="0">
      <selection activeCell="B3" sqref="B3"/>
    </sheetView>
  </sheetViews>
  <sheetFormatPr defaultColWidth="8.7265625" defaultRowHeight="14.5" x14ac:dyDescent="0.35"/>
  <cols>
    <col min="1" max="1" width="18" customWidth="1"/>
    <col min="2" max="2" width="16.1796875" customWidth="1"/>
    <col min="3" max="3" width="15.1796875" customWidth="1"/>
    <col min="4" max="4" width="15" customWidth="1"/>
  </cols>
  <sheetData>
    <row r="1" spans="1:4" ht="14.25" customHeight="1" x14ac:dyDescent="0.35">
      <c r="A1" s="169" t="s">
        <v>1233</v>
      </c>
      <c r="B1" s="169" t="s">
        <v>1234</v>
      </c>
      <c r="C1" s="169" t="s">
        <v>1197</v>
      </c>
      <c r="D1" s="169" t="s">
        <v>1170</v>
      </c>
    </row>
    <row r="2" spans="1:4" ht="14.25" customHeight="1" x14ac:dyDescent="0.35">
      <c r="A2" s="169">
        <v>10</v>
      </c>
      <c r="B2" s="169">
        <f>(80/0.3)*4</f>
        <v>1066.6666666666667</v>
      </c>
      <c r="C2" s="169">
        <v>0.4</v>
      </c>
      <c r="D2" s="187">
        <f>0.617*C2*B2</f>
        <v>263.25333333333339</v>
      </c>
    </row>
    <row r="3" spans="1:4" ht="14.25" customHeight="1" x14ac:dyDescent="0.35">
      <c r="A3" s="169">
        <v>12</v>
      </c>
      <c r="B3" s="169">
        <f>(80/0.15)*2</f>
        <v>1066.6666666666667</v>
      </c>
      <c r="C3" s="169">
        <v>1.9</v>
      </c>
      <c r="D3">
        <f>0.888*C3*B3</f>
        <v>1799.68</v>
      </c>
    </row>
    <row r="4" spans="1:4" ht="14.25" customHeight="1" x14ac:dyDescent="0.35">
      <c r="A4" s="169">
        <v>12</v>
      </c>
      <c r="B4" s="169">
        <v>16</v>
      </c>
      <c r="C4" s="169">
        <v>80</v>
      </c>
      <c r="D4">
        <f>0.888*C4*B4</f>
        <v>1136.6400000000001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5"/>
  <sheetViews>
    <sheetView zoomScaleNormal="100" workbookViewId="0">
      <selection activeCell="D4" sqref="D4"/>
    </sheetView>
  </sheetViews>
  <sheetFormatPr defaultColWidth="8.7265625" defaultRowHeight="14.5" x14ac:dyDescent="0.35"/>
  <cols>
    <col min="1" max="1" width="18" customWidth="1"/>
    <col min="2" max="2" width="16.1796875" customWidth="1"/>
    <col min="3" max="3" width="15.1796875" customWidth="1"/>
    <col min="4" max="4" width="15" customWidth="1"/>
  </cols>
  <sheetData>
    <row r="1" spans="1:4" ht="14.25" customHeight="1" x14ac:dyDescent="0.35">
      <c r="A1" s="169" t="s">
        <v>1233</v>
      </c>
      <c r="B1" s="169" t="s">
        <v>1234</v>
      </c>
      <c r="C1" s="169" t="s">
        <v>1197</v>
      </c>
      <c r="D1" s="169" t="s">
        <v>1170</v>
      </c>
    </row>
    <row r="2" spans="1:4" ht="14.25" customHeight="1" x14ac:dyDescent="0.35">
      <c r="A2" s="169">
        <v>10</v>
      </c>
      <c r="B2" s="169">
        <f>(7+7+4+4+4+7+7)*12</f>
        <v>480</v>
      </c>
      <c r="C2" s="169">
        <f>0.7</f>
        <v>0.7</v>
      </c>
      <c r="D2">
        <f>0.617*C2*B2</f>
        <v>207.31199999999998</v>
      </c>
    </row>
    <row r="3" spans="1:4" ht="14.25" customHeight="1" x14ac:dyDescent="0.35">
      <c r="A3" s="169">
        <v>12</v>
      </c>
      <c r="B3" s="169">
        <v>24</v>
      </c>
      <c r="C3" s="169">
        <f>5.7+13+5.7+5.7+13</f>
        <v>43.099999999999994</v>
      </c>
      <c r="D3">
        <f>0.888*C3*B3</f>
        <v>918.54719999999998</v>
      </c>
    </row>
    <row r="4" spans="1:4" ht="14.25" customHeight="1" x14ac:dyDescent="0.35">
      <c r="A4">
        <v>14</v>
      </c>
      <c r="B4">
        <f>17+17+17+17+11+11+11+11+11+11+6+6+9+9+4+4+9+9+6+6</f>
        <v>202</v>
      </c>
      <c r="C4">
        <f>3.6+1</f>
        <v>4.5999999999999996</v>
      </c>
      <c r="D4">
        <f>1.208*C4*B4</f>
        <v>1122.4735999999998</v>
      </c>
    </row>
    <row r="5" spans="1:4" ht="14.25" customHeight="1" x14ac:dyDescent="0.35">
      <c r="A5">
        <v>20</v>
      </c>
      <c r="B5">
        <f>8+8+8+12+16+12</f>
        <v>64</v>
      </c>
      <c r="C5">
        <f>3.6+1</f>
        <v>4.5999999999999996</v>
      </c>
      <c r="D5">
        <f>2.47*C5*B5</f>
        <v>727.16800000000001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U16"/>
  <sheetViews>
    <sheetView zoomScaleNormal="100" workbookViewId="0">
      <selection activeCell="H14" sqref="H14"/>
    </sheetView>
  </sheetViews>
  <sheetFormatPr defaultColWidth="8.7265625" defaultRowHeight="14.5" x14ac:dyDescent="0.35"/>
  <cols>
    <col min="1" max="1" width="5.453125" customWidth="1"/>
    <col min="2" max="2" width="11.7265625" customWidth="1"/>
    <col min="3" max="3" width="15.26953125" customWidth="1"/>
    <col min="4" max="4" width="16" customWidth="1"/>
    <col min="5" max="5" width="16.1796875" customWidth="1"/>
    <col min="6" max="6" width="17.26953125" customWidth="1"/>
    <col min="7" max="7" width="14.7265625" customWidth="1"/>
    <col min="8" max="8" width="13.7265625" customWidth="1"/>
    <col min="9" max="9" width="9.453125" customWidth="1"/>
    <col min="10" max="10" width="11.54296875" customWidth="1"/>
    <col min="11" max="11" width="6" customWidth="1"/>
    <col min="12" max="12" width="12.26953125" customWidth="1"/>
    <col min="13" max="13" width="17.7265625" customWidth="1"/>
    <col min="14" max="14" width="11" customWidth="1"/>
    <col min="15" max="15" width="6.81640625" customWidth="1"/>
    <col min="16" max="16" width="9.81640625" customWidth="1"/>
    <col min="17" max="17" width="18.7265625" customWidth="1"/>
    <col min="18" max="18" width="11" customWidth="1"/>
    <col min="19" max="19" width="11.54296875" customWidth="1"/>
    <col min="20" max="20" width="16.81640625" customWidth="1"/>
    <col min="21" max="21" width="11" customWidth="1"/>
  </cols>
  <sheetData>
    <row r="1" spans="1:21" ht="14.25" customHeight="1" x14ac:dyDescent="0.35">
      <c r="A1" t="s">
        <v>1157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1163</v>
      </c>
      <c r="H1" t="s">
        <v>1164</v>
      </c>
      <c r="I1" t="s">
        <v>1165</v>
      </c>
      <c r="J1" t="s">
        <v>1166</v>
      </c>
      <c r="K1" t="s">
        <v>1167</v>
      </c>
      <c r="L1" t="s">
        <v>1168</v>
      </c>
      <c r="M1" t="s">
        <v>1169</v>
      </c>
      <c r="N1" t="s">
        <v>1170</v>
      </c>
      <c r="O1" t="s">
        <v>1171</v>
      </c>
      <c r="P1" t="s">
        <v>1172</v>
      </c>
      <c r="Q1" t="s">
        <v>1173</v>
      </c>
      <c r="R1" t="s">
        <v>1170</v>
      </c>
      <c r="S1" t="s">
        <v>1174</v>
      </c>
      <c r="T1" t="s">
        <v>1175</v>
      </c>
      <c r="U1" t="s">
        <v>1170</v>
      </c>
    </row>
    <row r="2" spans="1:21" ht="14.25" customHeight="1" x14ac:dyDescent="0.35">
      <c r="A2" t="s">
        <v>1176</v>
      </c>
      <c r="B2" t="s">
        <v>1177</v>
      </c>
      <c r="C2">
        <v>0.25</v>
      </c>
      <c r="D2">
        <v>0.4</v>
      </c>
      <c r="E2">
        <f>10*2</f>
        <v>20</v>
      </c>
      <c r="F2">
        <v>0.15</v>
      </c>
      <c r="G2">
        <f>((C2+0.2)+(D2-F2)*2)*E2</f>
        <v>19</v>
      </c>
      <c r="H2">
        <f>C2*(D2-F2)*E2</f>
        <v>1.25</v>
      </c>
      <c r="I2">
        <f>(C2+0.2)*E2*0.05</f>
        <v>0.45</v>
      </c>
      <c r="J2">
        <f>(C2+0.2)*E2*0.1</f>
        <v>0.9</v>
      </c>
      <c r="K2">
        <f>(C2+0.2)*E2</f>
        <v>9</v>
      </c>
      <c r="L2">
        <v>16</v>
      </c>
      <c r="M2">
        <v>6</v>
      </c>
      <c r="N2">
        <f>1.578*M2*E2</f>
        <v>189.36</v>
      </c>
      <c r="O2">
        <v>8</v>
      </c>
      <c r="P2">
        <v>1.2</v>
      </c>
      <c r="Q2">
        <f>E2/0.15</f>
        <v>133.33333333333334</v>
      </c>
      <c r="R2">
        <f>0.395*P2*Q2</f>
        <v>63.2</v>
      </c>
    </row>
    <row r="3" spans="1:21" ht="14.25" customHeight="1" x14ac:dyDescent="0.35">
      <c r="A3" t="s">
        <v>1176</v>
      </c>
      <c r="B3" t="s">
        <v>1179</v>
      </c>
      <c r="C3">
        <v>0.3</v>
      </c>
      <c r="D3">
        <v>0.5</v>
      </c>
      <c r="E3">
        <v>13</v>
      </c>
      <c r="F3">
        <v>0.2</v>
      </c>
      <c r="G3">
        <f>((C3+0.2)+(D3-F3)*2)*E3</f>
        <v>14.3</v>
      </c>
      <c r="H3">
        <f>C3*(D3-F3)*E3</f>
        <v>1.17</v>
      </c>
      <c r="I3">
        <f>(C3+0.2)*E3*0.05</f>
        <v>0.32500000000000001</v>
      </c>
      <c r="J3">
        <f>(C3+0.2)*E3*0.1</f>
        <v>0.65</v>
      </c>
      <c r="K3">
        <f>(C3+0.2)*E3</f>
        <v>6.5</v>
      </c>
      <c r="L3">
        <v>20</v>
      </c>
      <c r="M3">
        <v>8</v>
      </c>
      <c r="N3">
        <f>2.446*M3*E3</f>
        <v>254.38400000000001</v>
      </c>
      <c r="O3">
        <v>8</v>
      </c>
      <c r="P3">
        <f>1.4+0.4</f>
        <v>1.7999999999999998</v>
      </c>
      <c r="Q3">
        <f>E3/0.15</f>
        <v>86.666666666666671</v>
      </c>
      <c r="R3">
        <f>0.395*P3*Q3</f>
        <v>61.62</v>
      </c>
      <c r="S3">
        <v>12</v>
      </c>
      <c r="T3">
        <v>2</v>
      </c>
      <c r="U3">
        <f>0.888*T3*E3</f>
        <v>23.088000000000001</v>
      </c>
    </row>
    <row r="4" spans="1:21" ht="14.25" customHeight="1" x14ac:dyDescent="0.35">
      <c r="B4" t="s">
        <v>1235</v>
      </c>
      <c r="C4">
        <v>0.2</v>
      </c>
      <c r="D4">
        <v>0.3</v>
      </c>
      <c r="E4">
        <v>9</v>
      </c>
      <c r="F4">
        <v>0.15</v>
      </c>
      <c r="G4">
        <f>((C4+0.2)+(D4-F4)*2)*E4</f>
        <v>6.3</v>
      </c>
      <c r="H4">
        <f>C4*(D4-F4)*E4</f>
        <v>0.27</v>
      </c>
      <c r="L4">
        <v>16</v>
      </c>
      <c r="M4">
        <v>4</v>
      </c>
      <c r="N4">
        <f>2.446*M4*E4</f>
        <v>88.056000000000012</v>
      </c>
      <c r="O4">
        <v>8</v>
      </c>
      <c r="P4">
        <v>0.8</v>
      </c>
      <c r="Q4">
        <v>11</v>
      </c>
      <c r="R4">
        <f>0.395*P4*Q4</f>
        <v>3.4760000000000009</v>
      </c>
    </row>
    <row r="5" spans="1:21" ht="14.25" customHeight="1" x14ac:dyDescent="0.35">
      <c r="B5" t="s">
        <v>1183</v>
      </c>
      <c r="C5">
        <v>0.2</v>
      </c>
      <c r="D5">
        <v>0.4</v>
      </c>
      <c r="E5">
        <v>3.2</v>
      </c>
      <c r="F5">
        <v>0.15</v>
      </c>
      <c r="G5">
        <f>((C5+0.2)+(D5-F5)*2)*E5</f>
        <v>2.8800000000000003</v>
      </c>
      <c r="H5">
        <f>C5*(D5-F5)*E5</f>
        <v>0.16000000000000003</v>
      </c>
      <c r="L5">
        <v>16</v>
      </c>
      <c r="M5">
        <v>4</v>
      </c>
      <c r="N5">
        <f>2.446*M5*E5</f>
        <v>31.308800000000005</v>
      </c>
      <c r="O5">
        <v>8</v>
      </c>
      <c r="P5">
        <v>1</v>
      </c>
      <c r="Q5">
        <v>11</v>
      </c>
      <c r="R5">
        <f>0.395*P5*Q5</f>
        <v>4.3450000000000006</v>
      </c>
    </row>
    <row r="12" spans="1:21" ht="14.25" customHeight="1" x14ac:dyDescent="0.35">
      <c r="L12">
        <v>8</v>
      </c>
      <c r="M12">
        <f>(1.2*2*11*2*'rebar weight'!C4)+R2+R3+(0.8*11*3*'rebar weight'!C4)+R4+(2.5*6*2*'rebar weight'!G4)+(1*11*2*'rebar weight'!C4)+R5</f>
        <v>219.95499999999998</v>
      </c>
    </row>
    <row r="13" spans="1:21" ht="14.25" customHeight="1" x14ac:dyDescent="0.35">
      <c r="L13">
        <v>10</v>
      </c>
      <c r="M13">
        <f>3.45*60</f>
        <v>207</v>
      </c>
    </row>
    <row r="14" spans="1:21" ht="14.25" customHeight="1" x14ac:dyDescent="0.35">
      <c r="L14">
        <v>12</v>
      </c>
      <c r="M14">
        <f>(17.55*120)+(3.45*60)+(5.016*120)</f>
        <v>2914.92</v>
      </c>
    </row>
    <row r="15" spans="1:21" ht="14.25" customHeight="1" x14ac:dyDescent="0.35">
      <c r="L15">
        <v>16</v>
      </c>
      <c r="M15">
        <f>(2.5*8*2*'rebar weight'!G4)+N2+(2.5*4*3*'rebar weight'!G4)+N4+N5+(0.25*0.4*7.3*160)</f>
        <v>535.98480000000006</v>
      </c>
    </row>
    <row r="16" spans="1:21" ht="14.25" customHeight="1" x14ac:dyDescent="0.35">
      <c r="L16">
        <v>20</v>
      </c>
      <c r="M16">
        <f>N3</f>
        <v>254.38400000000001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4"/>
  <sheetViews>
    <sheetView zoomScaleNormal="100" workbookViewId="0">
      <selection activeCell="A13" sqref="A13"/>
    </sheetView>
  </sheetViews>
  <sheetFormatPr defaultColWidth="8.7265625" defaultRowHeight="14.5" x14ac:dyDescent="0.35"/>
  <cols>
    <col min="1" max="1" width="36.26953125" customWidth="1"/>
  </cols>
  <sheetData>
    <row r="1" spans="1:1" ht="14.25" customHeight="1" x14ac:dyDescent="0.35">
      <c r="A1" t="s">
        <v>468</v>
      </c>
    </row>
    <row r="2" spans="1:1" ht="14.25" customHeight="1" x14ac:dyDescent="0.35">
      <c r="A2" s="188" t="s">
        <v>1236</v>
      </c>
    </row>
    <row r="3" spans="1:1" ht="14.25" customHeight="1" x14ac:dyDescent="0.35">
      <c r="A3" t="s">
        <v>1237</v>
      </c>
    </row>
    <row r="4" spans="1:1" ht="14.25" customHeight="1" x14ac:dyDescent="0.35">
      <c r="A4" t="s">
        <v>1238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4"/>
  <sheetViews>
    <sheetView zoomScaleNormal="100" workbookViewId="0">
      <selection activeCell="C28" sqref="C28"/>
    </sheetView>
  </sheetViews>
  <sheetFormatPr defaultColWidth="8.7265625" defaultRowHeight="14.5" x14ac:dyDescent="0.35"/>
  <cols>
    <col min="2" max="2" width="22.7265625" customWidth="1"/>
    <col min="3" max="3" width="41.7265625" customWidth="1"/>
  </cols>
  <sheetData>
    <row r="1" spans="1:3" ht="14.25" customHeight="1" x14ac:dyDescent="0.35">
      <c r="A1" t="s">
        <v>1239</v>
      </c>
      <c r="B1" t="s">
        <v>1240</v>
      </c>
      <c r="C1" t="s">
        <v>1241</v>
      </c>
    </row>
    <row r="2" spans="1:3" ht="14.25" customHeight="1" x14ac:dyDescent="0.35">
      <c r="A2" t="s">
        <v>1242</v>
      </c>
      <c r="B2" t="s">
        <v>1243</v>
      </c>
      <c r="C2" t="s">
        <v>1244</v>
      </c>
    </row>
    <row r="3" spans="1:3" ht="14.25" customHeight="1" x14ac:dyDescent="0.35">
      <c r="A3" t="s">
        <v>1245</v>
      </c>
      <c r="B3" t="s">
        <v>1246</v>
      </c>
      <c r="C3" t="s">
        <v>1247</v>
      </c>
    </row>
    <row r="4" spans="1:3" ht="14.25" customHeight="1" x14ac:dyDescent="0.35">
      <c r="A4" t="s">
        <v>1248</v>
      </c>
      <c r="B4" t="s">
        <v>1249</v>
      </c>
      <c r="C4" t="s">
        <v>1250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4"/>
  <sheetViews>
    <sheetView zoomScaleNormal="100" workbookViewId="0">
      <selection activeCell="D21" sqref="D21"/>
    </sheetView>
  </sheetViews>
  <sheetFormatPr defaultColWidth="8.7265625" defaultRowHeight="14.5" x14ac:dyDescent="0.35"/>
  <cols>
    <col min="2" max="2" width="19.81640625" customWidth="1"/>
  </cols>
  <sheetData>
    <row r="1" spans="1:2" ht="14.25" customHeight="1" x14ac:dyDescent="0.35">
      <c r="A1" s="189" t="s">
        <v>415</v>
      </c>
      <c r="B1" t="s">
        <v>1251</v>
      </c>
    </row>
    <row r="2" spans="1:2" ht="14.25" customHeight="1" x14ac:dyDescent="0.35">
      <c r="A2" s="189" t="s">
        <v>417</v>
      </c>
      <c r="B2" t="s">
        <v>1252</v>
      </c>
    </row>
    <row r="3" spans="1:2" ht="14.25" customHeight="1" x14ac:dyDescent="0.35">
      <c r="A3" s="189" t="s">
        <v>419</v>
      </c>
      <c r="B3" t="s">
        <v>1253</v>
      </c>
    </row>
    <row r="4" spans="1:2" ht="14.25" customHeight="1" x14ac:dyDescent="0.35">
      <c r="A4" s="189" t="s">
        <v>421</v>
      </c>
      <c r="B4" t="s">
        <v>1254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5"/>
  <sheetViews>
    <sheetView zoomScaleNormal="100" workbookViewId="0">
      <selection activeCell="C22" sqref="C22"/>
    </sheetView>
  </sheetViews>
  <sheetFormatPr defaultColWidth="8.7265625" defaultRowHeight="14.5" x14ac:dyDescent="0.35"/>
  <cols>
    <col min="1" max="1" width="17.54296875" customWidth="1"/>
    <col min="2" max="2" width="26" customWidth="1"/>
  </cols>
  <sheetData>
    <row r="1" spans="1:2" ht="14.25" customHeight="1" x14ac:dyDescent="0.35">
      <c r="A1" t="s">
        <v>411</v>
      </c>
      <c r="B1" t="s">
        <v>18</v>
      </c>
    </row>
    <row r="2" spans="1:2" ht="14.25" customHeight="1" x14ac:dyDescent="0.35">
      <c r="A2" t="s">
        <v>414</v>
      </c>
      <c r="B2" t="s">
        <v>1255</v>
      </c>
    </row>
    <row r="3" spans="1:2" ht="14.25" customHeight="1" x14ac:dyDescent="0.35">
      <c r="A3" t="s">
        <v>1256</v>
      </c>
      <c r="B3" t="s">
        <v>1257</v>
      </c>
    </row>
    <row r="4" spans="1:2" ht="14.25" customHeight="1" x14ac:dyDescent="0.35">
      <c r="A4" t="s">
        <v>1258</v>
      </c>
      <c r="B4" t="s">
        <v>481</v>
      </c>
    </row>
    <row r="5" spans="1:2" ht="14.25" customHeight="1" x14ac:dyDescent="0.35">
      <c r="A5" t="s">
        <v>1259</v>
      </c>
      <c r="B5" t="s">
        <v>1260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4</vt:i4>
      </vt:variant>
    </vt:vector>
  </HeadingPairs>
  <TitlesOfParts>
    <vt:vector size="52" baseType="lpstr">
      <vt:lpstr>Cover</vt:lpstr>
      <vt:lpstr>BoQ Breakdown</vt:lpstr>
      <vt:lpstr>Project Budget</vt:lpstr>
      <vt:lpstr>Floor Code (2)</vt:lpstr>
      <vt:lpstr>Floor Code</vt:lpstr>
      <vt:lpstr>CS BoQ Level</vt:lpstr>
      <vt:lpstr>RFQ_Rawdata</vt:lpstr>
      <vt:lpstr>Preliminaries</vt:lpstr>
      <vt:lpstr>Raw Data</vt:lpstr>
      <vt:lpstr>Price List</vt:lpstr>
      <vt:lpstr>Budget Code</vt:lpstr>
      <vt:lpstr>Sheet1</vt:lpstr>
      <vt:lpstr>main truss</vt:lpstr>
      <vt:lpstr>Level</vt:lpstr>
      <vt:lpstr>ground beam</vt:lpstr>
      <vt:lpstr>mz beam</vt:lpstr>
      <vt:lpstr>rebar weight</vt:lpstr>
      <vt:lpstr>1F,2F beam</vt:lpstr>
      <vt:lpstr>3F beam</vt:lpstr>
      <vt:lpstr>4F beam</vt:lpstr>
      <vt:lpstr>5F&amp;6F beam</vt:lpstr>
      <vt:lpstr>7F,8F,9F beam</vt:lpstr>
      <vt:lpstr>10F beam</vt:lpstr>
      <vt:lpstr>TR beam</vt:lpstr>
      <vt:lpstr>RR beam</vt:lpstr>
      <vt:lpstr>Sheet6 (2)</vt:lpstr>
      <vt:lpstr>bored pile</vt:lpstr>
      <vt:lpstr>pile cap</vt:lpstr>
      <vt:lpstr>Stump</vt:lpstr>
      <vt:lpstr>Column GF</vt:lpstr>
      <vt:lpstr>Column MF</vt:lpstr>
      <vt:lpstr>Column 1F</vt:lpstr>
      <vt:lpstr>Column 2F</vt:lpstr>
      <vt:lpstr>Column 3F </vt:lpstr>
      <vt:lpstr>Column 4F</vt:lpstr>
      <vt:lpstr>Column 5F&amp;6F</vt:lpstr>
      <vt:lpstr>Column 7F,8F,9F</vt:lpstr>
      <vt:lpstr>TR Column</vt:lpstr>
      <vt:lpstr>Column TF</vt:lpstr>
      <vt:lpstr>GF wall</vt:lpstr>
      <vt:lpstr>TF wall</vt:lpstr>
      <vt:lpstr>TR wall</vt:lpstr>
      <vt:lpstr>4F to 6F wall</vt:lpstr>
      <vt:lpstr>GF Staircase</vt:lpstr>
      <vt:lpstr>Concrete Type</vt:lpstr>
      <vt:lpstr>PTB Code</vt:lpstr>
      <vt:lpstr>Design Stage</vt:lpstr>
      <vt:lpstr>Building Code</vt:lpstr>
      <vt:lpstr>Cover!Print_Area</vt:lpstr>
      <vt:lpstr>'Project Budget'!Print_Area</vt:lpstr>
      <vt:lpstr>RFQ_Rawdata!Print_Area</vt:lpstr>
      <vt:lpstr>'BoQ Breakdown'!Print_Titles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Pouth Liheng</dc:creator>
  <dc:description/>
  <cp:lastModifiedBy>liheng pouth</cp:lastModifiedBy>
  <cp:revision>0</cp:revision>
  <dcterms:created xsi:type="dcterms:W3CDTF">2023-08-11T10:23:59Z</dcterms:created>
  <dcterms:modified xsi:type="dcterms:W3CDTF">2026-07-05T12:41:24Z</dcterms:modified>
  <dc:language>en-US</dc:language>
</cp:coreProperties>
</file>