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 Library" sheetId="1" state="visible" r:id="rId3"/>
    <sheet name="Description Library" sheetId="2" state="visible" r:id="rId4"/>
    <sheet name="Entry Template" sheetId="3" state="visible" r:id="rId5"/>
    <sheet name="Validation Lists" sheetId="4" state="visible" r:id="rId6"/>
    <sheet name="Naming Standard" sheetId="5" state="visible" r:id="rId7"/>
  </sheets>
  <definedNames>
    <definedName function="false" hidden="false" localSheetId="1" name="_xlnm.Print_Titles" vbProcedure="false">'Description Library'!$5:$5</definedName>
    <definedName function="false" hidden="true" localSheetId="1" name="_xlnm._FilterDatabase" vbProcedure="false">'Description Library'!$A$5:$J$808</definedName>
    <definedName function="false" hidden="false" localSheetId="0" name="_xlnm.Print_Titles" vbProcedure="false">'Element Library'!$5:$5</definedName>
    <definedName function="false" hidden="true" localSheetId="0" name="_xlnm._FilterDatabase" vbProcedure="false">'Element Library'!$A$5:$I$523</definedName>
    <definedName function="false" hidden="false" name="DSC001" vbProcedure="false">'Validation Lists'!$FJ$5:$FJ$5</definedName>
    <definedName function="false" hidden="false" name="DSC002" vbProcedure="false">'Validation Lists'!$FK$5:$FK$5</definedName>
    <definedName function="false" hidden="false" name="DSC003" vbProcedure="false">'Validation Lists'!$FL$5:$FL$5</definedName>
    <definedName function="false" hidden="false" name="DSC004" vbProcedure="false">'Validation Lists'!$FM$5:$FM$5</definedName>
    <definedName function="false" hidden="false" name="DSC005" vbProcedure="false">'Validation Lists'!$FN$5:$FN$5</definedName>
    <definedName function="false" hidden="false" name="DSC006" vbProcedure="false">'Validation Lists'!$FO$5:$FO$5</definedName>
    <definedName function="false" hidden="false" name="DSC007" vbProcedure="false">'Validation Lists'!$FP$5:$FP$5</definedName>
    <definedName function="false" hidden="false" name="DSC008" vbProcedure="false">'Validation Lists'!$FQ$5:$FQ$5</definedName>
    <definedName function="false" hidden="false" name="DSC009" vbProcedure="false">'Validation Lists'!$FR$5:$FR$5</definedName>
    <definedName function="false" hidden="false" name="DSC010" vbProcedure="false">'Validation Lists'!$FS$5:$FS$5</definedName>
    <definedName function="false" hidden="false" name="DSC011" vbProcedure="false">'Validation Lists'!$FT$5:$FT$5</definedName>
    <definedName function="false" hidden="false" name="DSC012" vbProcedure="false">'Validation Lists'!$FU$5:$FU$5</definedName>
    <definedName function="false" hidden="false" name="DSC013" vbProcedure="false">'Validation Lists'!$FV$5:$FV$5</definedName>
    <definedName function="false" hidden="false" name="DSC014" vbProcedure="false">'Validation Lists'!$FW$5:$FW$6</definedName>
    <definedName function="false" hidden="false" name="DSC015" vbProcedure="false">'Validation Lists'!$FX$5:$FX$8</definedName>
    <definedName function="false" hidden="false" name="DSC016" vbProcedure="false">'Validation Lists'!$FY$5:$FY$13</definedName>
    <definedName function="false" hidden="false" name="DSC017" vbProcedure="false">'Validation Lists'!$FZ$5:$FZ$5</definedName>
    <definedName function="false" hidden="false" name="DSC018" vbProcedure="false">'Validation Lists'!$GA$5:$GA$5</definedName>
    <definedName function="false" hidden="false" name="DSC019" vbProcedure="false">'Validation Lists'!$GB$5:$GB$5</definedName>
    <definedName function="false" hidden="false" name="DSC020" vbProcedure="false">'Validation Lists'!$GC$5:$GC$6</definedName>
    <definedName function="false" hidden="false" name="DSC021" vbProcedure="false">'Validation Lists'!$GD$5:$GD$6</definedName>
    <definedName function="false" hidden="false" name="DSC022" vbProcedure="false">'Validation Lists'!$GE$5:$GE$6</definedName>
    <definedName function="false" hidden="false" name="DSC023" vbProcedure="false">'Validation Lists'!$GF$5:$GF$6</definedName>
    <definedName function="false" hidden="false" name="DSC024" vbProcedure="false">'Validation Lists'!$GG$5:$GG$5</definedName>
    <definedName function="false" hidden="false" name="DSC025" vbProcedure="false">'Validation Lists'!$GH$5:$GH$5</definedName>
    <definedName function="false" hidden="false" name="DSC026" vbProcedure="false">'Validation Lists'!$GI$5:$GI$5</definedName>
    <definedName function="false" hidden="false" name="DSC027" vbProcedure="false">'Validation Lists'!$GJ$5:$GJ$5</definedName>
    <definedName function="false" hidden="false" name="DSC028" vbProcedure="false">'Validation Lists'!$GK$5:$GK$5</definedName>
    <definedName function="false" hidden="false" name="DSC029" vbProcedure="false">'Validation Lists'!$GL$5:$GL$5</definedName>
    <definedName function="false" hidden="false" name="DSC030" vbProcedure="false">'Validation Lists'!$GM$5:$GM$6</definedName>
    <definedName function="false" hidden="false" name="DSC031" vbProcedure="false">'Validation Lists'!$GN$5:$GN$7</definedName>
    <definedName function="false" hidden="false" name="DSC032" vbProcedure="false">'Validation Lists'!$GO$5:$GO$5</definedName>
    <definedName function="false" hidden="false" name="DSC033" vbProcedure="false">'Validation Lists'!$GP$5:$GP$6</definedName>
    <definedName function="false" hidden="false" name="DSC034" vbProcedure="false">'Validation Lists'!$GQ$5:$GQ$5</definedName>
    <definedName function="false" hidden="false" name="DSC035" vbProcedure="false">'Validation Lists'!$GR$5:$GR$8</definedName>
    <definedName function="false" hidden="false" name="DSC036" vbProcedure="false">'Validation Lists'!$GS$5:$GS$7</definedName>
    <definedName function="false" hidden="false" name="DSC037" vbProcedure="false">'Validation Lists'!$GT$5:$GT$13</definedName>
    <definedName function="false" hidden="false" name="DSC038" vbProcedure="false">'Validation Lists'!$GU$5:$GU$5</definedName>
    <definedName function="false" hidden="false" name="DSC039" vbProcedure="false">'Validation Lists'!$GV$5:$GV$5</definedName>
    <definedName function="false" hidden="false" name="DSC040" vbProcedure="false">'Validation Lists'!$GW$5:$GW$7</definedName>
    <definedName function="false" hidden="false" name="DSC041" vbProcedure="false">'Validation Lists'!$GX$5:$GX$5</definedName>
    <definedName function="false" hidden="false" name="DSC042" vbProcedure="false">'Validation Lists'!$GY$5:$GY$7</definedName>
    <definedName function="false" hidden="false" name="DSC043" vbProcedure="false">'Validation Lists'!$GZ$5:$GZ$5</definedName>
    <definedName function="false" hidden="false" name="DSC044" vbProcedure="false">'Validation Lists'!$HA$5:$HA$6</definedName>
    <definedName function="false" hidden="false" name="DSC045" vbProcedure="false">'Validation Lists'!$HB$5:$HB$5</definedName>
    <definedName function="false" hidden="false" name="DSC046" vbProcedure="false">'Validation Lists'!$HC$5:$HC$8</definedName>
    <definedName function="false" hidden="false" name="DSC047" vbProcedure="false">'Validation Lists'!$HD$5:$HD$6</definedName>
    <definedName function="false" hidden="false" name="DSC048" vbProcedure="false">'Validation Lists'!$HE$5:$HE$13</definedName>
    <definedName function="false" hidden="false" name="DSC049" vbProcedure="false">'Validation Lists'!$HF$5:$HF$5</definedName>
    <definedName function="false" hidden="false" name="DSC050" vbProcedure="false">'Validation Lists'!$HG$5:$HG$5</definedName>
    <definedName function="false" hidden="false" name="DSC051" vbProcedure="false">'Validation Lists'!$HH$5:$HH$7</definedName>
    <definedName function="false" hidden="false" name="DSC052" vbProcedure="false">'Validation Lists'!$HI$5:$HI$5</definedName>
    <definedName function="false" hidden="false" name="DSC053" vbProcedure="false">'Validation Lists'!$HJ$5:$HJ$7</definedName>
    <definedName function="false" hidden="false" name="DSC054" vbProcedure="false">'Validation Lists'!$HK$5:$HK$5</definedName>
    <definedName function="false" hidden="false" name="DSC055" vbProcedure="false">'Validation Lists'!$HL$5:$HL$8</definedName>
    <definedName function="false" hidden="false" name="DSC056" vbProcedure="false">'Validation Lists'!$HM$5:$HM$6</definedName>
    <definedName function="false" hidden="false" name="DSC057" vbProcedure="false">'Validation Lists'!$HN$5:$HN$13</definedName>
    <definedName function="false" hidden="false" name="DSC058" vbProcedure="false">'Validation Lists'!$HO$5:$HO$5</definedName>
    <definedName function="false" hidden="false" name="DSC059" vbProcedure="false">'Validation Lists'!$HP$5:$HP$7</definedName>
    <definedName function="false" hidden="false" name="DSC060" vbProcedure="false">'Validation Lists'!$HQ$5:$HQ$5</definedName>
    <definedName function="false" hidden="false" name="DSC061" vbProcedure="false">'Validation Lists'!$HR$5:$HR$6</definedName>
    <definedName function="false" hidden="false" name="DSC062" vbProcedure="false">'Validation Lists'!$HS$5:$HS$5</definedName>
    <definedName function="false" hidden="false" name="DSC063" vbProcedure="false">'Validation Lists'!$HT$5:$HT$5</definedName>
    <definedName function="false" hidden="false" name="DSC064" vbProcedure="false">'Validation Lists'!$HU$5:$HU$5</definedName>
    <definedName function="false" hidden="false" name="DSC065" vbProcedure="false">'Validation Lists'!$HV$5:$HV$8</definedName>
    <definedName function="false" hidden="false" name="DSC066" vbProcedure="false">'Validation Lists'!$HW$5:$HW$6</definedName>
    <definedName function="false" hidden="false" name="DSC067" vbProcedure="false">'Validation Lists'!$HX$5:$HX$13</definedName>
    <definedName function="false" hidden="false" name="DSC068" vbProcedure="false">'Validation Lists'!$HY$5:$HY$5</definedName>
    <definedName function="false" hidden="false" name="DSC069" vbProcedure="false">'Validation Lists'!$HZ$5:$HZ$7</definedName>
    <definedName function="false" hidden="false" name="DSC070" vbProcedure="false">'Validation Lists'!$IA$5:$IA$7</definedName>
    <definedName function="false" hidden="false" name="DSC071" vbProcedure="false">'Validation Lists'!$IB$5:$IB$5</definedName>
    <definedName function="false" hidden="false" name="DSC072" vbProcedure="false">'Validation Lists'!$IC$5:$IC$6</definedName>
    <definedName function="false" hidden="false" name="DSC073" vbProcedure="false">'Validation Lists'!$ID$5:$ID$5</definedName>
    <definedName function="false" hidden="false" name="DSC074" vbProcedure="false">'Validation Lists'!$IE$5:$IE$8</definedName>
    <definedName function="false" hidden="false" name="DSC075" vbProcedure="false">'Validation Lists'!$IF$5:$IF$6</definedName>
    <definedName function="false" hidden="false" name="DSC076" vbProcedure="false">'Validation Lists'!$IG$5:$IG$13</definedName>
    <definedName function="false" hidden="false" name="DSC077" vbProcedure="false">'Validation Lists'!$IH$5:$IH$5</definedName>
    <definedName function="false" hidden="false" name="DSC078" vbProcedure="false">'Validation Lists'!$II$5:$II$5</definedName>
    <definedName function="false" hidden="false" name="DSC079" vbProcedure="false">'Validation Lists'!$IJ$5:$IJ$7</definedName>
    <definedName function="false" hidden="false" name="DSC080" vbProcedure="false">'Validation Lists'!$IK$5:$IK$5</definedName>
    <definedName function="false" hidden="false" name="DSC081" vbProcedure="false">'Validation Lists'!$IL$5:$IL$7</definedName>
    <definedName function="false" hidden="false" name="DSC082" vbProcedure="false">'Validation Lists'!$IM$5:$IM$5</definedName>
    <definedName function="false" hidden="false" name="DSC083" vbProcedure="false">'Validation Lists'!$IN$5:$IN$6</definedName>
    <definedName function="false" hidden="false" name="DSC084" vbProcedure="false">'Validation Lists'!$IO$5:$IO$5</definedName>
    <definedName function="false" hidden="false" name="DSC085" vbProcedure="false">'Validation Lists'!$IP$5:$IP$8</definedName>
    <definedName function="false" hidden="false" name="DSC086" vbProcedure="false">'Validation Lists'!$IQ$5:$IQ$6</definedName>
    <definedName function="false" hidden="false" name="DSC087" vbProcedure="false">'Validation Lists'!$IR$5:$IR$13</definedName>
    <definedName function="false" hidden="false" name="DSC088" vbProcedure="false">'Validation Lists'!$IS$5:$IS$5</definedName>
    <definedName function="false" hidden="false" name="DSC089" vbProcedure="false">'Validation Lists'!$IT$5:$IT$5</definedName>
    <definedName function="false" hidden="false" name="DSC090" vbProcedure="false">'Validation Lists'!$IU$5:$IU$7</definedName>
    <definedName function="false" hidden="false" name="DSC091" vbProcedure="false">'Validation Lists'!$IV$5:$IV$5</definedName>
    <definedName function="false" hidden="false" name="DSC092" vbProcedure="false">'Validation Lists'!$IW$5:$IW$7</definedName>
    <definedName function="false" hidden="false" name="DSC093" vbProcedure="false">'Validation Lists'!$IX$5:$IX$5</definedName>
    <definedName function="false" hidden="false" name="DSC094" vbProcedure="false">'Validation Lists'!$IY$5:$IY$8</definedName>
    <definedName function="false" hidden="false" name="DSC095" vbProcedure="false">'Validation Lists'!$IZ$5:$IZ$6</definedName>
    <definedName function="false" hidden="false" name="DSC096" vbProcedure="false">'Validation Lists'!$JA$5:$JA$13</definedName>
    <definedName function="false" hidden="false" name="DSC097" vbProcedure="false">'Validation Lists'!$JB$5:$JB$5</definedName>
    <definedName function="false" hidden="false" name="DSC098" vbProcedure="false">'Validation Lists'!$JC$5:$JC$5</definedName>
    <definedName function="false" hidden="false" name="DSC099" vbProcedure="false">'Validation Lists'!$JD$5:$JD$7</definedName>
    <definedName function="false" hidden="false" name="DSC100" vbProcedure="false">'Validation Lists'!$JE$5:$JE$7</definedName>
    <definedName function="false" hidden="false" name="DSC101" vbProcedure="false">'Validation Lists'!$JF$5:$JF$8</definedName>
    <definedName function="false" hidden="false" name="DSC102" vbProcedure="false">'Validation Lists'!$JG$5:$JG$6</definedName>
    <definedName function="false" hidden="false" name="DSC103" vbProcedure="false">'Validation Lists'!$JH$5:$JH$13</definedName>
    <definedName function="false" hidden="false" name="DSC104" vbProcedure="false">'Validation Lists'!$JI$5:$JI$5</definedName>
    <definedName function="false" hidden="false" name="DSC105" vbProcedure="false">'Validation Lists'!$JJ$5:$JJ$5</definedName>
    <definedName function="false" hidden="false" name="DSC106" vbProcedure="false">'Validation Lists'!$JK$5:$JK$7</definedName>
    <definedName function="false" hidden="false" name="DSC107" vbProcedure="false">'Validation Lists'!$JL$5:$JL$5</definedName>
    <definedName function="false" hidden="false" name="DSC108" vbProcedure="false">'Validation Lists'!$JM$5:$JM$5</definedName>
    <definedName function="false" hidden="false" name="DSC109" vbProcedure="false">'Validation Lists'!$JN$5:$JN$8</definedName>
    <definedName function="false" hidden="false" name="DSC110" vbProcedure="false">'Validation Lists'!$JO$5:$JO$6</definedName>
    <definedName function="false" hidden="false" name="DSC111" vbProcedure="false">'Validation Lists'!$JP$5:$JP$13</definedName>
    <definedName function="false" hidden="false" name="DSC112" vbProcedure="false">'Validation Lists'!$JQ$5:$JQ$5</definedName>
    <definedName function="false" hidden="false" name="DSC113" vbProcedure="false">'Validation Lists'!$JR$5:$JR$5</definedName>
    <definedName function="false" hidden="false" name="DSC114" vbProcedure="false">'Validation Lists'!$JS$5:$JS$5</definedName>
    <definedName function="false" hidden="false" name="DSC115" vbProcedure="false">'Validation Lists'!$JT$5:$JT$8</definedName>
    <definedName function="false" hidden="false" name="DSC116" vbProcedure="false">'Validation Lists'!$JU$5:$JU$6</definedName>
    <definedName function="false" hidden="false" name="DSC117" vbProcedure="false">'Validation Lists'!$JV$5:$JV$13</definedName>
    <definedName function="false" hidden="false" name="DSC118" vbProcedure="false">'Validation Lists'!$JW$5:$JW$5</definedName>
    <definedName function="false" hidden="false" name="DSC119" vbProcedure="false">'Validation Lists'!$JX$5:$JX$8</definedName>
    <definedName function="false" hidden="false" name="DSC120" vbProcedure="false">'Validation Lists'!$JY$5:$JY$6</definedName>
    <definedName function="false" hidden="false" name="DSC121" vbProcedure="false">'Validation Lists'!$JZ$5:$JZ$13</definedName>
    <definedName function="false" hidden="false" name="DSC122" vbProcedure="false">'Validation Lists'!$KA$5:$KA$5</definedName>
    <definedName function="false" hidden="false" name="DSC123" vbProcedure="false">'Validation Lists'!$KB$5:$KB$5</definedName>
    <definedName function="false" hidden="false" name="DSC124" vbProcedure="false">'Validation Lists'!$KC$5:$KC$5</definedName>
    <definedName function="false" hidden="false" name="DSC125" vbProcedure="false">'Validation Lists'!$KD$5:$KD$8</definedName>
    <definedName function="false" hidden="false" name="DSC126" vbProcedure="false">'Validation Lists'!$KE$5:$KE$6</definedName>
    <definedName function="false" hidden="false" name="DSC127" vbProcedure="false">'Validation Lists'!$KF$5:$KF$13</definedName>
    <definedName function="false" hidden="false" name="DSC128" vbProcedure="false">'Validation Lists'!$KG$5:$KG$5</definedName>
    <definedName function="false" hidden="false" name="DSC129" vbProcedure="false">'Validation Lists'!$KH$5:$KH$5</definedName>
    <definedName function="false" hidden="false" name="DSC130" vbProcedure="false">'Validation Lists'!$KI$5:$KI$8</definedName>
    <definedName function="false" hidden="false" name="DSC131" vbProcedure="false">'Validation Lists'!$KJ$5:$KJ$6</definedName>
    <definedName function="false" hidden="false" name="DSC132" vbProcedure="false">'Validation Lists'!$KK$5:$KK$13</definedName>
    <definedName function="false" hidden="false" name="DSC133" vbProcedure="false">'Validation Lists'!$KL$5:$KL$5</definedName>
    <definedName function="false" hidden="false" name="DSC134" vbProcedure="false">'Validation Lists'!$KM$5:$KM$8</definedName>
    <definedName function="false" hidden="false" name="DSC135" vbProcedure="false">'Validation Lists'!$KN$5:$KN$6</definedName>
    <definedName function="false" hidden="false" name="DSC136" vbProcedure="false">'Validation Lists'!$KO$5:$KO$13</definedName>
    <definedName function="false" hidden="false" name="DSC137" vbProcedure="false">'Validation Lists'!$KP$5:$KP$5</definedName>
    <definedName function="false" hidden="false" name="DSC138" vbProcedure="false">'Validation Lists'!$KQ$5:$KQ$8</definedName>
    <definedName function="false" hidden="false" name="DSC139" vbProcedure="false">'Validation Lists'!$KR$5:$KR$6</definedName>
    <definedName function="false" hidden="false" name="DSC140" vbProcedure="false">'Validation Lists'!$KS$5:$KS$13</definedName>
    <definedName function="false" hidden="false" name="DSC141" vbProcedure="false">'Validation Lists'!$KT$5:$KT$5</definedName>
    <definedName function="false" hidden="false" name="DSC142" vbProcedure="false">'Validation Lists'!$KU$5:$KU$5</definedName>
    <definedName function="false" hidden="false" name="DSC143" vbProcedure="false">'Validation Lists'!$KV$5:$KV$8</definedName>
    <definedName function="false" hidden="false" name="DSC144" vbProcedure="false">'Validation Lists'!$KW$5:$KW$6</definedName>
    <definedName function="false" hidden="false" name="DSC145" vbProcedure="false">'Validation Lists'!$KX$5:$KX$13</definedName>
    <definedName function="false" hidden="false" name="DSC146" vbProcedure="false">'Validation Lists'!$KY$5:$KY$5</definedName>
    <definedName function="false" hidden="false" name="DSC147" vbProcedure="false">'Validation Lists'!$KZ$5:$KZ$5</definedName>
    <definedName function="false" hidden="false" name="DSC148" vbProcedure="false">'Validation Lists'!$LA$5:$LA$5</definedName>
    <definedName function="false" hidden="false" name="DSC149" vbProcedure="false">'Validation Lists'!$LB$5:$LB$5</definedName>
    <definedName function="false" hidden="false" name="DSC150" vbProcedure="false">'Validation Lists'!$LC$5:$LC$5</definedName>
    <definedName function="false" hidden="false" name="DSC151" vbProcedure="false">'Validation Lists'!$LD$5:$LD$5</definedName>
    <definedName function="false" hidden="false" name="DSC152" vbProcedure="false">'Validation Lists'!$LE$5:$LE$5</definedName>
    <definedName function="false" hidden="false" name="DSC153" vbProcedure="false">'Validation Lists'!$LF$5:$LF$5</definedName>
    <definedName function="false" hidden="false" name="DSC154" vbProcedure="false">'Validation Lists'!$LG$5:$LG$5</definedName>
    <definedName function="false" hidden="false" name="DSC155" vbProcedure="false">'Validation Lists'!$LH$5:$LH$5</definedName>
    <definedName function="false" hidden="false" name="DSC156" vbProcedure="false">'Validation Lists'!$LI$5:$LI$5</definedName>
    <definedName function="false" hidden="false" name="DSC157" vbProcedure="false">'Validation Lists'!$LJ$5:$LJ$5</definedName>
    <definedName function="false" hidden="false" name="DSC158" vbProcedure="false">'Validation Lists'!$LK$5:$LK$5</definedName>
    <definedName function="false" hidden="false" name="DSC159" vbProcedure="false">'Validation Lists'!$LL$5:$LL$6</definedName>
    <definedName function="false" hidden="false" name="DSC160" vbProcedure="false">'Validation Lists'!$LM$5:$LM$5</definedName>
    <definedName function="false" hidden="false" name="DSC161" vbProcedure="false">'Validation Lists'!$LN$5:$LN$5</definedName>
    <definedName function="false" hidden="false" name="DSC162" vbProcedure="false">'Validation Lists'!$LO$5:$LO$5</definedName>
    <definedName function="false" hidden="false" name="DSC163" vbProcedure="false">'Validation Lists'!$LP$5:$LP$5</definedName>
    <definedName function="false" hidden="false" name="DSC164" vbProcedure="false">'Validation Lists'!$LQ$5:$LQ$5</definedName>
    <definedName function="false" hidden="false" name="DSC165" vbProcedure="false">'Validation Lists'!$LR$5:$LR$5</definedName>
    <definedName function="false" hidden="false" name="DSC166" vbProcedure="false">'Validation Lists'!$LS$5:$LS$5</definedName>
    <definedName function="false" hidden="false" name="DSC167" vbProcedure="false">'Validation Lists'!$LT$5:$LT$5</definedName>
    <definedName function="false" hidden="false" name="DSC168" vbProcedure="false">'Validation Lists'!$LU$5:$LU$6</definedName>
    <definedName function="false" hidden="false" name="DSC169" vbProcedure="false">'Validation Lists'!$LV$5:$LV$5</definedName>
    <definedName function="false" hidden="false" name="DSC170" vbProcedure="false">'Validation Lists'!$LW$5:$LW$5</definedName>
    <definedName function="false" hidden="false" name="DSC171" vbProcedure="false">'Validation Lists'!$LX$5:$LX$5</definedName>
    <definedName function="false" hidden="false" name="DSC172" vbProcedure="false">'Validation Lists'!$LY$5:$LY$5</definedName>
    <definedName function="false" hidden="false" name="DSC173" vbProcedure="false">'Validation Lists'!$LZ$5:$LZ$5</definedName>
    <definedName function="false" hidden="false" name="DSC174" vbProcedure="false">'Validation Lists'!$MA$5:$MA$5</definedName>
    <definedName function="false" hidden="false" name="DSC175" vbProcedure="false">'Validation Lists'!$MB$5:$MB$5</definedName>
    <definedName function="false" hidden="false" name="DSC176" vbProcedure="false">'Validation Lists'!$MC$5:$MC$5</definedName>
    <definedName function="false" hidden="false" name="DSC177" vbProcedure="false">'Validation Lists'!$MD$5:$MD$5</definedName>
    <definedName function="false" hidden="false" name="DSC178" vbProcedure="false">'Validation Lists'!$ME$5:$ME$5</definedName>
    <definedName function="false" hidden="false" name="DSC179" vbProcedure="false">'Validation Lists'!$MF$5:$MF$5</definedName>
    <definedName function="false" hidden="false" name="DSC180" vbProcedure="false">'Validation Lists'!$MG$5:$MG$5</definedName>
    <definedName function="false" hidden="false" name="DSC181" vbProcedure="false">'Validation Lists'!$MH$5:$MH$5</definedName>
    <definedName function="false" hidden="false" name="DSC182" vbProcedure="false">'Validation Lists'!$MI$5:$MI$5</definedName>
    <definedName function="false" hidden="false" name="DSC183" vbProcedure="false">'Validation Lists'!$MJ$5:$MJ$5</definedName>
    <definedName function="false" hidden="false" name="DSC184" vbProcedure="false">'Validation Lists'!$MK$5:$MK$5</definedName>
    <definedName function="false" hidden="false" name="DSC185" vbProcedure="false">'Validation Lists'!$ML$5:$ML$5</definedName>
    <definedName function="false" hidden="false" name="DSC186" vbProcedure="false">'Validation Lists'!$MM$5:$MM$6</definedName>
    <definedName function="false" hidden="false" name="DSC187" vbProcedure="false">'Validation Lists'!$MN$5:$MN$5</definedName>
    <definedName function="false" hidden="false" name="DSC188" vbProcedure="false">'Validation Lists'!$MO$5:$MO$5</definedName>
    <definedName function="false" hidden="false" name="DSC189" vbProcedure="false">'Validation Lists'!$MP$5:$MP$5</definedName>
    <definedName function="false" hidden="false" name="DSC190" vbProcedure="false">'Validation Lists'!$MQ$5:$MQ$6</definedName>
    <definedName function="false" hidden="false" name="DSC191" vbProcedure="false">'Validation Lists'!$MR$5:$MR$5</definedName>
    <definedName function="false" hidden="false" name="DSC192" vbProcedure="false">'Validation Lists'!$MS$5:$MS$5</definedName>
    <definedName function="false" hidden="false" name="DSC193" vbProcedure="false">'Validation Lists'!$MT$5:$MT$7</definedName>
    <definedName function="false" hidden="false" name="DSC194" vbProcedure="false">'Validation Lists'!$MU$5:$MU$5</definedName>
    <definedName function="false" hidden="false" name="DSC195" vbProcedure="false">'Validation Lists'!$MV$5:$MV$5</definedName>
    <definedName function="false" hidden="false" name="DSC196" vbProcedure="false">'Validation Lists'!$MW$5:$MW$5</definedName>
    <definedName function="false" hidden="false" name="DSC197" vbProcedure="false">'Validation Lists'!$MX$5:$MX$5</definedName>
    <definedName function="false" hidden="false" name="DSC198" vbProcedure="false">'Validation Lists'!$MY$5:$MY$5</definedName>
    <definedName function="false" hidden="false" name="DSC199" vbProcedure="false">'Validation Lists'!$MZ$5:$MZ$5</definedName>
    <definedName function="false" hidden="false" name="DSC200" vbProcedure="false">'Validation Lists'!$NA$5:$NA$5</definedName>
    <definedName function="false" hidden="false" name="DSC201" vbProcedure="false">'Validation Lists'!$NB$5:$NB$5</definedName>
    <definedName function="false" hidden="false" name="DSC202" vbProcedure="false">'Validation Lists'!$NC$5:$NC$5</definedName>
    <definedName function="false" hidden="false" name="DSC203" vbProcedure="false">'Validation Lists'!$ND$5:$ND$5</definedName>
    <definedName function="false" hidden="false" name="DSC204" vbProcedure="false">'Validation Lists'!$NE$5:$NE$5</definedName>
    <definedName function="false" hidden="false" name="DSC205" vbProcedure="false">'Validation Lists'!$NF$5:$NF$5</definedName>
    <definedName function="false" hidden="false" name="DSC206" vbProcedure="false">'Validation Lists'!$NG$5:$NG$5</definedName>
    <definedName function="false" hidden="false" name="DSC207" vbProcedure="false">'Validation Lists'!$NH$5:$NH$5</definedName>
    <definedName function="false" hidden="false" name="DSC208" vbProcedure="false">'Validation Lists'!$NI$5:$NI$5</definedName>
    <definedName function="false" hidden="false" name="DSC209" vbProcedure="false">'Validation Lists'!$NJ$5:$NJ$5</definedName>
    <definedName function="false" hidden="false" name="DSC210" vbProcedure="false">'Validation Lists'!$NK$5:$NK$5</definedName>
    <definedName function="false" hidden="false" name="DSC211" vbProcedure="false">'Validation Lists'!$NL$5:$NL$5</definedName>
    <definedName function="false" hidden="false" name="DSC212" vbProcedure="false">'Validation Lists'!$NM$5:$NM$14</definedName>
    <definedName function="false" hidden="false" name="DSC213" vbProcedure="false">'Validation Lists'!$NN$5:$NN$5</definedName>
    <definedName function="false" hidden="false" name="DSC214" vbProcedure="false">'Validation Lists'!$NO$5:$NO$5</definedName>
    <definedName function="false" hidden="false" name="DSC215" vbProcedure="false">'Validation Lists'!$NP$5:$NP$5</definedName>
    <definedName function="false" hidden="false" name="DSC216" vbProcedure="false">'Validation Lists'!$NQ$5:$NQ$5</definedName>
    <definedName function="false" hidden="false" name="DSC217" vbProcedure="false">'Validation Lists'!$NR$5:$NR$5</definedName>
    <definedName function="false" hidden="false" name="DSC218" vbProcedure="false">'Validation Lists'!$NS$5:$NS$5</definedName>
    <definedName function="false" hidden="false" name="DSC219" vbProcedure="false">'Validation Lists'!$NT$5:$NT$5</definedName>
    <definedName function="false" hidden="false" name="DSC220" vbProcedure="false">'Validation Lists'!$NU$5:$NU$5</definedName>
    <definedName function="false" hidden="false" name="DSC221" vbProcedure="false">'Validation Lists'!$NV$5:$NV$5</definedName>
    <definedName function="false" hidden="false" name="DSC222" vbProcedure="false">'Validation Lists'!$NW$5:$NW$5</definedName>
    <definedName function="false" hidden="false" name="DSC223" vbProcedure="false">'Validation Lists'!$NX$5:$NX$5</definedName>
    <definedName function="false" hidden="false" name="DSC224" vbProcedure="false">'Validation Lists'!$NY$5:$NY$6</definedName>
    <definedName function="false" hidden="false" name="DSC225" vbProcedure="false">'Validation Lists'!$NZ$5:$NZ$5</definedName>
    <definedName function="false" hidden="false" name="DSC226" vbProcedure="false">'Validation Lists'!$OA$5:$OA$7</definedName>
    <definedName function="false" hidden="false" name="DSC227" vbProcedure="false">'Validation Lists'!$OB$5:$OB$5</definedName>
    <definedName function="false" hidden="false" name="DSC228" vbProcedure="false">'Validation Lists'!$OC$5:$OC$6</definedName>
    <definedName function="false" hidden="false" name="DSC229" vbProcedure="false">'Validation Lists'!$OD$5:$OD$7</definedName>
    <definedName function="false" hidden="false" name="DSC230" vbProcedure="false">'Validation Lists'!$OE$5:$OE$5</definedName>
    <definedName function="false" hidden="false" name="DSC231" vbProcedure="false">'Validation Lists'!$OF$5:$OF$5</definedName>
    <definedName function="false" hidden="false" name="DSC232" vbProcedure="false">'Validation Lists'!$OG$5:$OG$5</definedName>
    <definedName function="false" hidden="false" name="DSC233" vbProcedure="false">'Validation Lists'!$OH$5:$OH$5</definedName>
    <definedName function="false" hidden="false" name="DSC234" vbProcedure="false">'Validation Lists'!$OI$5:$OI$5</definedName>
    <definedName function="false" hidden="false" name="DSC235" vbProcedure="false">'Validation Lists'!$OJ$5:$OJ$5</definedName>
    <definedName function="false" hidden="false" name="DSC236" vbProcedure="false">'Validation Lists'!$OK$5:$OK$5</definedName>
    <definedName function="false" hidden="false" name="DSC237" vbProcedure="false">'Validation Lists'!$OL$5:$OL$5</definedName>
    <definedName function="false" hidden="false" name="DSC238" vbProcedure="false">'Validation Lists'!$OM$5:$OM$5</definedName>
    <definedName function="false" hidden="false" name="DSC239" vbProcedure="false">'Validation Lists'!$ON$5:$ON$5</definedName>
    <definedName function="false" hidden="false" name="DSC240" vbProcedure="false">'Validation Lists'!$OO$5:$OO$5</definedName>
    <definedName function="false" hidden="false" name="DSC241" vbProcedure="false">'Validation Lists'!$OP$5:$OP$5</definedName>
    <definedName function="false" hidden="false" name="DSC242" vbProcedure="false">'Validation Lists'!$OQ$5:$OQ$5</definedName>
    <definedName function="false" hidden="false" name="DSC243" vbProcedure="false">'Validation Lists'!$OR$5:$OR$5</definedName>
    <definedName function="false" hidden="false" name="DSC244" vbProcedure="false">'Validation Lists'!$OS$5:$OS$5</definedName>
    <definedName function="false" hidden="false" name="DSC245" vbProcedure="false">'Validation Lists'!$OT$5:$OT$5</definedName>
    <definedName function="false" hidden="false" name="DSC246" vbProcedure="false">'Validation Lists'!$OU$5:$OU$5</definedName>
    <definedName function="false" hidden="false" name="DSC247" vbProcedure="false">'Validation Lists'!$OV$5:$OV$5</definedName>
    <definedName function="false" hidden="false" name="DSC248" vbProcedure="false">'Validation Lists'!$OW$5:$OW$5</definedName>
    <definedName function="false" hidden="false" name="DSC249" vbProcedure="false">'Validation Lists'!$OX$5:$OX$5</definedName>
    <definedName function="false" hidden="false" name="DSC250" vbProcedure="false">'Validation Lists'!$OY$5:$OY$5</definedName>
    <definedName function="false" hidden="false" name="DSC251" vbProcedure="false">'Validation Lists'!$OZ$5:$OZ$5</definedName>
    <definedName function="false" hidden="false" name="DSC252" vbProcedure="false">'Validation Lists'!$PA$5:$PA$5</definedName>
    <definedName function="false" hidden="false" name="DSC253" vbProcedure="false">'Validation Lists'!$PB$5:$PB$5</definedName>
    <definedName function="false" hidden="false" name="DSC254" vbProcedure="false">'Validation Lists'!$PC$5:$PC$5</definedName>
    <definedName function="false" hidden="false" name="DSC255" vbProcedure="false">'Validation Lists'!$PD$5:$PD$5</definedName>
    <definedName function="false" hidden="false" name="DSC256" vbProcedure="false">'Validation Lists'!$PE$5:$PE$5</definedName>
    <definedName function="false" hidden="false" name="DSC257" vbProcedure="false">'Validation Lists'!$PF$5:$PF$5</definedName>
    <definedName function="false" hidden="false" name="DSC258" vbProcedure="false">'Validation Lists'!$PG$5:$PG$5</definedName>
    <definedName function="false" hidden="false" name="DSC259" vbProcedure="false">'Validation Lists'!$PH$5:$PH$5</definedName>
    <definedName function="false" hidden="false" name="DSC260" vbProcedure="false">'Validation Lists'!$PI$5:$PI$5</definedName>
    <definedName function="false" hidden="false" name="DSC261" vbProcedure="false">'Validation Lists'!$PJ$5:$PJ$5</definedName>
    <definedName function="false" hidden="false" name="DSC262" vbProcedure="false">'Validation Lists'!$PK$5:$PK$5</definedName>
    <definedName function="false" hidden="false" name="DSC263" vbProcedure="false">'Validation Lists'!$PL$5:$PL$5</definedName>
    <definedName function="false" hidden="false" name="DSC264" vbProcedure="false">'Validation Lists'!$PM$5:$PM$5</definedName>
    <definedName function="false" hidden="false" name="DSC265" vbProcedure="false">'Validation Lists'!$PN$5:$PN$5</definedName>
    <definedName function="false" hidden="false" name="DSC266" vbProcedure="false">'Validation Lists'!$PO$5:$PO$5</definedName>
    <definedName function="false" hidden="false" name="DSC267" vbProcedure="false">'Validation Lists'!$PP$5:$PP$10</definedName>
    <definedName function="false" hidden="false" name="DSC268" vbProcedure="false">'Validation Lists'!$PQ$5:$PQ$5</definedName>
    <definedName function="false" hidden="false" name="DSC269" vbProcedure="false">'Validation Lists'!$PR$5:$PR$10</definedName>
    <definedName function="false" hidden="false" name="DSC270" vbProcedure="false">'Validation Lists'!$PS$5:$PS$6</definedName>
    <definedName function="false" hidden="false" name="DSC271" vbProcedure="false">'Validation Lists'!$PT$5:$PT$5</definedName>
    <definedName function="false" hidden="false" name="DSC272" vbProcedure="false">'Validation Lists'!$PU$5:$PU$5</definedName>
    <definedName function="false" hidden="false" name="DSC273" vbProcedure="false">'Validation Lists'!$PV$5:$PV$5</definedName>
    <definedName function="false" hidden="false" name="DSC274" vbProcedure="false">'Validation Lists'!$PW$5:$PW$5</definedName>
    <definedName function="false" hidden="false" name="DSC275" vbProcedure="false">'Validation Lists'!$PX$5:$PX$5</definedName>
    <definedName function="false" hidden="false" name="DSC276" vbProcedure="false">'Validation Lists'!$PY$5:$PY$5</definedName>
    <definedName function="false" hidden="false" name="DSC277" vbProcedure="false">'Validation Lists'!$PZ$5:$PZ$5</definedName>
    <definedName function="false" hidden="false" name="DSC278" vbProcedure="false">'Validation Lists'!$QA$5:$QA$5</definedName>
    <definedName function="false" hidden="false" name="DSC279" vbProcedure="false">'Validation Lists'!$QB$5:$QB$5</definedName>
    <definedName function="false" hidden="false" name="DSC280" vbProcedure="false">'Validation Lists'!$QC$5:$QC$5</definedName>
    <definedName function="false" hidden="false" name="DSC281" vbProcedure="false">'Validation Lists'!$QD$5:$QD$5</definedName>
    <definedName function="false" hidden="false" name="DSC282" vbProcedure="false">'Validation Lists'!$QE$5:$QE$5</definedName>
    <definedName function="false" hidden="false" name="DSC283" vbProcedure="false">'Validation Lists'!$QF$5:$QF$6</definedName>
    <definedName function="false" hidden="false" name="DSC284" vbProcedure="false">'Validation Lists'!$QG$5:$QG$5</definedName>
    <definedName function="false" hidden="false" name="DSC285" vbProcedure="false">'Validation Lists'!$QH$5:$QH$7</definedName>
    <definedName function="false" hidden="false" name="DSC286" vbProcedure="false">'Validation Lists'!$QI$5:$QI$5</definedName>
    <definedName function="false" hidden="false" name="DSC287" vbProcedure="false">'Validation Lists'!$QJ$5:$QJ$5</definedName>
    <definedName function="false" hidden="false" name="DSC288" vbProcedure="false">'Validation Lists'!$QK$5:$QK$5</definedName>
    <definedName function="false" hidden="false" name="DSC289" vbProcedure="false">'Validation Lists'!$QL$5:$QL$5</definedName>
    <definedName function="false" hidden="false" name="DSC290" vbProcedure="false">'Validation Lists'!$QM$5:$QM$5</definedName>
    <definedName function="false" hidden="false" name="DSC291" vbProcedure="false">'Validation Lists'!$QN$5:$QN$5</definedName>
    <definedName function="false" hidden="false" name="DSC292" vbProcedure="false">'Validation Lists'!$QO$5:$QO$5</definedName>
    <definedName function="false" hidden="false" name="DSC293" vbProcedure="false">'Validation Lists'!$QP$5:$QP$5</definedName>
    <definedName function="false" hidden="false" name="DSC294" vbProcedure="false">'Validation Lists'!$QQ$5:$QQ$5</definedName>
    <definedName function="false" hidden="false" name="DSC295" vbProcedure="false">'Validation Lists'!$QR$5:$QR$5</definedName>
    <definedName function="false" hidden="false" name="DSC296" vbProcedure="false">'Validation Lists'!$QS$5:$QS$6</definedName>
    <definedName function="false" hidden="false" name="DSC297" vbProcedure="false">'Validation Lists'!$QT$5:$QT$5</definedName>
    <definedName function="false" hidden="false" name="DSC298" vbProcedure="false">'Validation Lists'!$QU$5:$QU$5</definedName>
    <definedName function="false" hidden="false" name="DSC299" vbProcedure="false">'Validation Lists'!$QV$5:$QV$5</definedName>
    <definedName function="false" hidden="false" name="DSC300" vbProcedure="false">'Validation Lists'!$QW$5:$QW$5</definedName>
    <definedName function="false" hidden="false" name="DSC301" vbProcedure="false">'Validation Lists'!$QX$5:$QX$5</definedName>
    <definedName function="false" hidden="false" name="DSC302" vbProcedure="false">'Validation Lists'!$QY$5:$QY$5</definedName>
    <definedName function="false" hidden="false" name="DSC303" vbProcedure="false">'Validation Lists'!$QZ$5:$QZ$5</definedName>
    <definedName function="false" hidden="false" name="DSC304" vbProcedure="false">'Validation Lists'!$RA$5:$RA$5</definedName>
    <definedName function="false" hidden="false" name="DSC305" vbProcedure="false">'Validation Lists'!$RB$5:$RB$5</definedName>
    <definedName function="false" hidden="false" name="DSC306" vbProcedure="false">'Validation Lists'!$RC$5:$RC$5</definedName>
    <definedName function="false" hidden="false" name="DSC307" vbProcedure="false">'Validation Lists'!$RD$5:$RD$7</definedName>
    <definedName function="false" hidden="false" name="DSC308" vbProcedure="false">'Validation Lists'!$RE$5:$RE$5</definedName>
    <definedName function="false" hidden="false" name="DSC309" vbProcedure="false">'Validation Lists'!$RF$5:$RF$5</definedName>
    <definedName function="false" hidden="false" name="DSC310" vbProcedure="false">'Validation Lists'!$RG$5:$RG$5</definedName>
    <definedName function="false" hidden="false" name="DSC311" vbProcedure="false">'Validation Lists'!$RH$5:$RH$5</definedName>
    <definedName function="false" hidden="false" name="DSC312" vbProcedure="false">'Validation Lists'!$RI$5:$RI$5</definedName>
    <definedName function="false" hidden="false" name="DSC313" vbProcedure="false">'Validation Lists'!$RJ$5:$RJ$5</definedName>
    <definedName function="false" hidden="false" name="DSC314" vbProcedure="false">'Validation Lists'!$RK$5:$RK$5</definedName>
    <definedName function="false" hidden="false" name="DSC315" vbProcedure="false">'Validation Lists'!$RL$5:$RL$5</definedName>
    <definedName function="false" hidden="false" name="DSC316" vbProcedure="false">'Validation Lists'!$RM$5:$RM$5</definedName>
    <definedName function="false" hidden="false" name="DSC317" vbProcedure="false">'Validation Lists'!$RN$5:$RN$5</definedName>
    <definedName function="false" hidden="false" name="DSC318" vbProcedure="false">'Validation Lists'!$RO$5:$RO$5</definedName>
    <definedName function="false" hidden="false" name="DSC319" vbProcedure="false">'Validation Lists'!$RP$5:$RP$5</definedName>
    <definedName function="false" hidden="false" name="DSC320" vbProcedure="false">'Validation Lists'!$RQ$5:$RQ$5</definedName>
    <definedName function="false" hidden="false" name="DSC321" vbProcedure="false">'Validation Lists'!$RR$5:$RR$5</definedName>
    <definedName function="false" hidden="false" name="DSC322" vbProcedure="false">'Validation Lists'!$RS$5:$RS$5</definedName>
    <definedName function="false" hidden="false" name="DSC323" vbProcedure="false">'Validation Lists'!$RT$5:$RT$5</definedName>
    <definedName function="false" hidden="false" name="DSC324" vbProcedure="false">'Validation Lists'!$RU$5:$RU$5</definedName>
    <definedName function="false" hidden="false" name="DSC325" vbProcedure="false">'Validation Lists'!$RV$5:$RV$5</definedName>
    <definedName function="false" hidden="false" name="DSC326" vbProcedure="false">'Validation Lists'!$RW$5:$RW$5</definedName>
    <definedName function="false" hidden="false" name="DSC327" vbProcedure="false">'Validation Lists'!$RX$5:$RX$5</definedName>
    <definedName function="false" hidden="false" name="DSC328" vbProcedure="false">'Validation Lists'!$RY$5:$RY$5</definedName>
    <definedName function="false" hidden="false" name="DSC329" vbProcedure="false">'Validation Lists'!$RZ$5:$RZ$5</definedName>
    <definedName function="false" hidden="false" name="DSC330" vbProcedure="false">'Validation Lists'!$SA$5:$SA$5</definedName>
    <definedName function="false" hidden="false" name="DSC331" vbProcedure="false">'Validation Lists'!$SB$5:$SB$5</definedName>
    <definedName function="false" hidden="false" name="DSC332" vbProcedure="false">'Validation Lists'!$SC$5:$SC$5</definedName>
    <definedName function="false" hidden="false" name="DSC333" vbProcedure="false">'Validation Lists'!$SD$5:$SD$5</definedName>
    <definedName function="false" hidden="false" name="DSC334" vbProcedure="false">'Validation Lists'!$SE$5:$SE$5</definedName>
    <definedName function="false" hidden="false" name="DSC335" vbProcedure="false">'Validation Lists'!$SF$5:$SF$5</definedName>
    <definedName function="false" hidden="false" name="DSC336" vbProcedure="false">'Validation Lists'!$SG$5:$SG$5</definedName>
    <definedName function="false" hidden="false" name="DSC337" vbProcedure="false">'Validation Lists'!$SH$5:$SH$5</definedName>
    <definedName function="false" hidden="false" name="DSC338" vbProcedure="false">'Validation Lists'!$SI$5:$SI$5</definedName>
    <definedName function="false" hidden="false" name="DSC339" vbProcedure="false">'Validation Lists'!$SJ$5:$SJ$5</definedName>
    <definedName function="false" hidden="false" name="DSC340" vbProcedure="false">'Validation Lists'!$SK$5:$SK$5</definedName>
    <definedName function="false" hidden="false" name="DSC341" vbProcedure="false">'Validation Lists'!$SL$5:$SL$5</definedName>
    <definedName function="false" hidden="false" name="DSC342" vbProcedure="false">'Validation Lists'!$SM$5:$SM$5</definedName>
    <definedName function="false" hidden="false" name="DSC343" vbProcedure="false">'Validation Lists'!$SN$5:$SN$5</definedName>
    <definedName function="false" hidden="false" name="DSC344" vbProcedure="false">'Validation Lists'!$SO$5:$SO$5</definedName>
    <definedName function="false" hidden="false" name="DSC345" vbProcedure="false">'Validation Lists'!$SP$5:$SP$5</definedName>
    <definedName function="false" hidden="false" name="DSC346" vbProcedure="false">'Validation Lists'!$SQ$5:$SQ$5</definedName>
    <definedName function="false" hidden="false" name="DSC347" vbProcedure="false">'Validation Lists'!$SR$5:$SR$5</definedName>
    <definedName function="false" hidden="false" name="DSC348" vbProcedure="false">'Validation Lists'!$SS$5:$SS$5</definedName>
    <definedName function="false" hidden="false" name="DSC349" vbProcedure="false">'Validation Lists'!$ST$5:$ST$5</definedName>
    <definedName function="false" hidden="false" name="DSC350" vbProcedure="false">'Validation Lists'!$SU$5:$SU$5</definedName>
    <definedName function="false" hidden="false" name="DSC351" vbProcedure="false">'Validation Lists'!$SV$5:$SV$5</definedName>
    <definedName function="false" hidden="false" name="DSC352" vbProcedure="false">'Validation Lists'!$SW$5:$SW$5</definedName>
    <definedName function="false" hidden="false" name="DSC353" vbProcedure="false">'Validation Lists'!$SX$5:$SX$5</definedName>
    <definedName function="false" hidden="false" name="DSC354" vbProcedure="false">'Validation Lists'!$SY$5:$SY$5</definedName>
    <definedName function="false" hidden="false" name="DSC355" vbProcedure="false">'Validation Lists'!$SZ$5:$SZ$5</definedName>
    <definedName function="false" hidden="false" name="DSC356" vbProcedure="false">'Validation Lists'!$TA$5:$TA$5</definedName>
    <definedName function="false" hidden="false" name="DSC357" vbProcedure="false">'Validation Lists'!$TB$5:$TB$5</definedName>
    <definedName function="false" hidden="false" name="DSC358" vbProcedure="false">'Validation Lists'!$TC$5:$TC$5</definedName>
    <definedName function="false" hidden="false" name="DSC359" vbProcedure="false">'Validation Lists'!$TD$5:$TD$5</definedName>
    <definedName function="false" hidden="false" name="DSC360" vbProcedure="false">'Validation Lists'!$TE$5:$TE$5</definedName>
    <definedName function="false" hidden="false" name="DSC361" vbProcedure="false">'Validation Lists'!$TF$5:$TF$5</definedName>
    <definedName function="false" hidden="false" name="DSC362" vbProcedure="false">'Validation Lists'!$TG$5:$TG$5</definedName>
    <definedName function="false" hidden="false" name="DSC363" vbProcedure="false">'Validation Lists'!$TH$5:$TH$5</definedName>
    <definedName function="false" hidden="false" name="DSC364" vbProcedure="false">'Validation Lists'!$TI$5:$TI$5</definedName>
    <definedName function="false" hidden="false" name="DSC365" vbProcedure="false">'Validation Lists'!$TJ$5:$TJ$5</definedName>
    <definedName function="false" hidden="false" name="DSC366" vbProcedure="false">'Validation Lists'!$TK$5:$TK$5</definedName>
    <definedName function="false" hidden="false" name="DSC367" vbProcedure="false">'Validation Lists'!$TL$5:$TL$5</definedName>
    <definedName function="false" hidden="false" name="DSC368" vbProcedure="false">'Validation Lists'!$TM$5:$TM$5</definedName>
    <definedName function="false" hidden="false" name="DSC369" vbProcedure="false">'Validation Lists'!$TN$5:$TN$5</definedName>
    <definedName function="false" hidden="false" name="DSC370" vbProcedure="false">'Validation Lists'!$TO$5:$TO$5</definedName>
    <definedName function="false" hidden="false" name="DSC371" vbProcedure="false">'Validation Lists'!$TP$5:$TP$5</definedName>
    <definedName function="false" hidden="false" name="DSC372" vbProcedure="false">'Validation Lists'!$TQ$5:$TQ$5</definedName>
    <definedName function="false" hidden="false" name="DSC373" vbProcedure="false">'Validation Lists'!$TR$5:$TR$5</definedName>
    <definedName function="false" hidden="false" name="DSC374" vbProcedure="false">'Validation Lists'!$TS$5:$TS$5</definedName>
    <definedName function="false" hidden="false" name="DSC375" vbProcedure="false">'Validation Lists'!$TT$5:$TT$5</definedName>
    <definedName function="false" hidden="false" name="DSC376" vbProcedure="false">'Validation Lists'!$TU$5:$TU$5</definedName>
    <definedName function="false" hidden="false" name="DSC377" vbProcedure="false">'Validation Lists'!$TV$5:$TV$5</definedName>
    <definedName function="false" hidden="false" name="DSC378" vbProcedure="false">'Validation Lists'!$TW$5:$TW$5</definedName>
    <definedName function="false" hidden="false" name="DSC379" vbProcedure="false">'Validation Lists'!$TX$5:$TX$5</definedName>
    <definedName function="false" hidden="false" name="DSC380" vbProcedure="false">'Validation Lists'!$TY$5:$TY$5</definedName>
    <definedName function="false" hidden="false" name="DSC381" vbProcedure="false">'Validation Lists'!$TZ$5:$TZ$5</definedName>
    <definedName function="false" hidden="false" name="DSC382" vbProcedure="false">'Validation Lists'!$UA$5:$UA$5</definedName>
    <definedName function="false" hidden="false" name="DSC383" vbProcedure="false">'Validation Lists'!$UB$5:$UB$5</definedName>
    <definedName function="false" hidden="false" name="DSC384" vbProcedure="false">'Validation Lists'!$UC$5:$UC$5</definedName>
    <definedName function="false" hidden="false" name="DSC385" vbProcedure="false">'Validation Lists'!$UD$5:$UD$5</definedName>
    <definedName function="false" hidden="false" name="DSC386" vbProcedure="false">'Validation Lists'!$UE$5:$UE$5</definedName>
    <definedName function="false" hidden="false" name="DSC387" vbProcedure="false">'Validation Lists'!$UF$5:$UF$5</definedName>
    <definedName function="false" hidden="false" name="DSC388" vbProcedure="false">'Validation Lists'!$UG$5:$UG$5</definedName>
    <definedName function="false" hidden="false" name="DSC389" vbProcedure="false">'Validation Lists'!$UH$5:$UH$5</definedName>
    <definedName function="false" hidden="false" name="DSC390" vbProcedure="false">'Validation Lists'!$UI$5:$UI$5</definedName>
    <definedName function="false" hidden="false" name="DSC391" vbProcedure="false">'Validation Lists'!$UJ$5:$UJ$5</definedName>
    <definedName function="false" hidden="false" name="DSC392" vbProcedure="false">'Validation Lists'!$UK$5:$UK$5</definedName>
    <definedName function="false" hidden="false" name="DSC393" vbProcedure="false">'Validation Lists'!$UL$5:$UL$5</definedName>
    <definedName function="false" hidden="false" name="DSC394" vbProcedure="false">'Validation Lists'!$UM$5:$UM$5</definedName>
    <definedName function="false" hidden="false" name="DSC395" vbProcedure="false">'Validation Lists'!$UN$5:$UN$5</definedName>
    <definedName function="false" hidden="false" name="DSC396" vbProcedure="false">'Validation Lists'!$UO$5:$UO$5</definedName>
    <definedName function="false" hidden="false" name="DSC397" vbProcedure="false">'Validation Lists'!$UP$5:$UP$5</definedName>
    <definedName function="false" hidden="false" name="DSC398" vbProcedure="false">'Validation Lists'!$UQ$5:$UQ$5</definedName>
    <definedName function="false" hidden="false" name="DSC399" vbProcedure="false">'Validation Lists'!$UR$5:$UR$5</definedName>
    <definedName function="false" hidden="false" name="DSC400" vbProcedure="false">'Validation Lists'!$US$5:$US$5</definedName>
    <definedName function="false" hidden="false" name="DSC401" vbProcedure="false">'Validation Lists'!$UT$5:$UT$5</definedName>
    <definedName function="false" hidden="false" name="DSC402" vbProcedure="false">'Validation Lists'!$UU$5:$UU$5</definedName>
    <definedName function="false" hidden="false" name="DSC403" vbProcedure="false">'Validation Lists'!$UV$5:$UV$5</definedName>
    <definedName function="false" hidden="false" name="DSC404" vbProcedure="false">'Validation Lists'!$UW$5:$UW$5</definedName>
    <definedName function="false" hidden="false" name="DSC405" vbProcedure="false">'Validation Lists'!$UX$5:$UX$5</definedName>
    <definedName function="false" hidden="false" name="DSC406" vbProcedure="false">'Validation Lists'!$UY$5:$UY$5</definedName>
    <definedName function="false" hidden="false" name="DSC407" vbProcedure="false">'Validation Lists'!$UZ$5:$UZ$5</definedName>
    <definedName function="false" hidden="false" name="DSC408" vbProcedure="false">'Validation Lists'!$VA$5:$VA$5</definedName>
    <definedName function="false" hidden="false" name="DSC409" vbProcedure="false">'Validation Lists'!$VB$5:$VB$5</definedName>
    <definedName function="false" hidden="false" name="DSC410" vbProcedure="false">'Validation Lists'!$VC$5:$VC$5</definedName>
    <definedName function="false" hidden="false" name="DSC411" vbProcedure="false">'Validation Lists'!$VD$5:$VD$5</definedName>
    <definedName function="false" hidden="false" name="DSC412" vbProcedure="false">'Validation Lists'!$VE$5:$VE$5</definedName>
    <definedName function="false" hidden="false" name="DSC413" vbProcedure="false">'Validation Lists'!$VF$5:$VF$5</definedName>
    <definedName function="false" hidden="false" name="DSC414" vbProcedure="false">'Validation Lists'!$VG$5:$VG$5</definedName>
    <definedName function="false" hidden="false" name="DSC415" vbProcedure="false">'Validation Lists'!$VH$5:$VH$5</definedName>
    <definedName function="false" hidden="false" name="DSC416" vbProcedure="false">'Validation Lists'!$VI$5:$VI$5</definedName>
    <definedName function="false" hidden="false" name="DSC417" vbProcedure="false">'Validation Lists'!$VJ$5:$VJ$5</definedName>
    <definedName function="false" hidden="false" name="DSC418" vbProcedure="false">'Validation Lists'!$VK$5:$VK$5</definedName>
    <definedName function="false" hidden="false" name="DSC419" vbProcedure="false">'Validation Lists'!$VL$5:$VL$5</definedName>
    <definedName function="false" hidden="false" name="DSC420" vbProcedure="false">'Validation Lists'!$VM$5:$VM$5</definedName>
    <definedName function="false" hidden="false" name="DSC421" vbProcedure="false">'Validation Lists'!$VN$5:$VN$5</definedName>
    <definedName function="false" hidden="false" name="DSC422" vbProcedure="false">'Validation Lists'!$VO$5:$VO$5</definedName>
    <definedName function="false" hidden="false" name="DSC423" vbProcedure="false">'Validation Lists'!$VP$5:$VP$5</definedName>
    <definedName function="false" hidden="false" name="DSC424" vbProcedure="false">'Validation Lists'!$VQ$5:$VQ$5</definedName>
    <definedName function="false" hidden="false" name="DSC425" vbProcedure="false">'Validation Lists'!$VR$5:$VR$5</definedName>
    <definedName function="false" hidden="false" name="DSC426" vbProcedure="false">'Validation Lists'!$VS$5:$VS$5</definedName>
    <definedName function="false" hidden="false" name="DSC427" vbProcedure="false">'Validation Lists'!$VT$5:$VT$5</definedName>
    <definedName function="false" hidden="false" name="DSC428" vbProcedure="false">'Validation Lists'!$VU$5:$VU$5</definedName>
    <definedName function="false" hidden="false" name="DSC429" vbProcedure="false">'Validation Lists'!$VV$5:$VV$5</definedName>
    <definedName function="false" hidden="false" name="DSC430" vbProcedure="false">'Validation Lists'!$VW$5:$VW$5</definedName>
    <definedName function="false" hidden="false" name="DSC431" vbProcedure="false">'Validation Lists'!$VX$5:$VX$5</definedName>
    <definedName function="false" hidden="false" name="DSC432" vbProcedure="false">'Validation Lists'!$VY$5:$VY$5</definedName>
    <definedName function="false" hidden="false" name="DSC433" vbProcedure="false">'Validation Lists'!$VZ$5:$VZ$5</definedName>
    <definedName function="false" hidden="false" name="DSC434" vbProcedure="false">'Validation Lists'!$WA$5:$WA$5</definedName>
    <definedName function="false" hidden="false" name="DSC435" vbProcedure="false">'Validation Lists'!$WB$5:$WB$5</definedName>
    <definedName function="false" hidden="false" name="DSC436" vbProcedure="false">'Validation Lists'!$WC$5:$WC$5</definedName>
    <definedName function="false" hidden="false" name="DSC437" vbProcedure="false">'Validation Lists'!$WD$5:$WD$5</definedName>
    <definedName function="false" hidden="false" name="DSC438" vbProcedure="false">'Validation Lists'!$WE$5:$WE$5</definedName>
    <definedName function="false" hidden="false" name="DSC439" vbProcedure="false">'Validation Lists'!$WF$5:$WF$5</definedName>
    <definedName function="false" hidden="false" name="DSC440" vbProcedure="false">'Validation Lists'!$WG$5:$WG$5</definedName>
    <definedName function="false" hidden="false" name="DSC441" vbProcedure="false">'Validation Lists'!$WH$5:$WH$5</definedName>
    <definedName function="false" hidden="false" name="DSC442" vbProcedure="false">'Validation Lists'!$WI$5:$WI$5</definedName>
    <definedName function="false" hidden="false" name="DSC443" vbProcedure="false">'Validation Lists'!$WJ$5:$WJ$5</definedName>
    <definedName function="false" hidden="false" name="DSC444" vbProcedure="false">'Validation Lists'!$WK$5:$WK$5</definedName>
    <definedName function="false" hidden="false" name="DSC445" vbProcedure="false">'Validation Lists'!$WL$5:$WL$5</definedName>
    <definedName function="false" hidden="false" name="DSC446" vbProcedure="false">'Validation Lists'!$WM$5:$WM$5</definedName>
    <definedName function="false" hidden="false" name="DSC447" vbProcedure="false">'Validation Lists'!$WN$5:$WN$5</definedName>
    <definedName function="false" hidden="false" name="DSC448" vbProcedure="false">'Validation Lists'!$WO$5:$WO$5</definedName>
    <definedName function="false" hidden="false" name="DSC449" vbProcedure="false">'Validation Lists'!$WP$5:$WP$5</definedName>
    <definedName function="false" hidden="false" name="DSC450" vbProcedure="false">'Validation Lists'!$WQ$5:$WQ$5</definedName>
    <definedName function="false" hidden="false" name="DSC451" vbProcedure="false">'Validation Lists'!$WR$5:$WR$5</definedName>
    <definedName function="false" hidden="false" name="DSC452" vbProcedure="false">'Validation Lists'!$WS$5:$WS$5</definedName>
    <definedName function="false" hidden="false" name="DSC453" vbProcedure="false">'Validation Lists'!$WT$5:$WT$5</definedName>
    <definedName function="false" hidden="false" name="DSC454" vbProcedure="false">'Validation Lists'!$WU$5:$WU$5</definedName>
    <definedName function="false" hidden="false" name="DSC455" vbProcedure="false">'Validation Lists'!$WV$5:$WV$5</definedName>
    <definedName function="false" hidden="false" name="DSC456" vbProcedure="false">'Validation Lists'!$WW$5:$WW$5</definedName>
    <definedName function="false" hidden="false" name="DSC457" vbProcedure="false">'Validation Lists'!$WX$5:$WX$5</definedName>
    <definedName function="false" hidden="false" name="DSC458" vbProcedure="false">'Validation Lists'!$WY$5:$WY$5</definedName>
    <definedName function="false" hidden="false" name="DSC459" vbProcedure="false">'Validation Lists'!$WZ$5:$WZ$5</definedName>
    <definedName function="false" hidden="false" name="DSC460" vbProcedure="false">'Validation Lists'!$XA$5:$XA$5</definedName>
    <definedName function="false" hidden="false" name="DSC461" vbProcedure="false">'Validation Lists'!$XB$5:$XB$5</definedName>
    <definedName function="false" hidden="false" name="DSC462" vbProcedure="false">'Validation Lists'!$XC$5:$XC$5</definedName>
    <definedName function="false" hidden="false" name="DSC463" vbProcedure="false">'Validation Lists'!$XD$5:$XD$5</definedName>
    <definedName function="false" hidden="false" name="DSC464" vbProcedure="false">'Validation Lists'!$XE$5:$XE$5</definedName>
    <definedName function="false" hidden="false" name="DSC465" vbProcedure="false">'Validation Lists'!$XF$5:$XF$5</definedName>
    <definedName function="false" hidden="false" name="DSC466" vbProcedure="false">'Validation Lists'!$XG$5:$XG$5</definedName>
    <definedName function="false" hidden="false" name="DSC467" vbProcedure="false">'Validation Lists'!$XH$5:$XH$5</definedName>
    <definedName function="false" hidden="false" name="DSC468" vbProcedure="false">'Validation Lists'!$XI$5:$XI$5</definedName>
    <definedName function="false" hidden="false" name="DSC469" vbProcedure="false">'Validation Lists'!$XJ$5:$XJ$5</definedName>
    <definedName function="false" hidden="false" name="DSC470" vbProcedure="false">'Validation Lists'!$XK$5:$XK$5</definedName>
    <definedName function="false" hidden="false" name="DSC471" vbProcedure="false">'Validation Lists'!$XL$5:$XL$5</definedName>
    <definedName function="false" hidden="false" name="DSC472" vbProcedure="false">'Validation Lists'!$XM$5:$XM$5</definedName>
    <definedName function="false" hidden="false" name="DSC473" vbProcedure="false">'Validation Lists'!$XN$5:$XN$5</definedName>
    <definedName function="false" hidden="false" name="DSC474" vbProcedure="false">'Validation Lists'!$XO$5:$XO$5</definedName>
    <definedName function="false" hidden="false" name="DSC475" vbProcedure="false">'Validation Lists'!$XP$5:$XP$5</definedName>
    <definedName function="false" hidden="false" name="DSC476" vbProcedure="false">'Validation Lists'!$XQ$5:$XQ$5</definedName>
    <definedName function="false" hidden="false" name="DSC477" vbProcedure="false">'Validation Lists'!$XR$5:$XR$5</definedName>
    <definedName function="false" hidden="false" name="DSC478" vbProcedure="false">'Validation Lists'!$XS$5:$XS$5</definedName>
    <definedName function="false" hidden="false" name="DSC479" vbProcedure="false">'Validation Lists'!$XT$5:$XT$5</definedName>
    <definedName function="false" hidden="false" name="DSC480" vbProcedure="false">'Validation Lists'!$XU$5:$XU$5</definedName>
    <definedName function="false" hidden="false" name="DSC481" vbProcedure="false">'Validation Lists'!$XV$5:$XV$5</definedName>
    <definedName function="false" hidden="false" name="DSC482" vbProcedure="false">'Validation Lists'!$XW$5:$XW$5</definedName>
    <definedName function="false" hidden="false" name="DSC483" vbProcedure="false">'Validation Lists'!$XX$5:$XX$5</definedName>
    <definedName function="false" hidden="false" name="DSC484" vbProcedure="false">'Validation Lists'!$XY$5:$XY$5</definedName>
    <definedName function="false" hidden="false" name="DSC485" vbProcedure="false">'Validation Lists'!$XZ$5:$XZ$5</definedName>
    <definedName function="false" hidden="false" name="DSC486" vbProcedure="false">'Validation Lists'!$YA$5:$YA$5</definedName>
    <definedName function="false" hidden="false" name="DSC487" vbProcedure="false">'Validation Lists'!$YB$5:$YB$5</definedName>
    <definedName function="false" hidden="false" name="DSC488" vbProcedure="false">'Validation Lists'!$YC$5:$YC$5</definedName>
    <definedName function="false" hidden="false" name="DSC489" vbProcedure="false">'Validation Lists'!$YD$5:$YD$5</definedName>
    <definedName function="false" hidden="false" name="DSC490" vbProcedure="false">'Validation Lists'!$YE$5:$YE$5</definedName>
    <definedName function="false" hidden="false" name="DSC491" vbProcedure="false">'Validation Lists'!$YF$5:$YF$5</definedName>
    <definedName function="false" hidden="false" name="DSC492" vbProcedure="false">'Validation Lists'!$YG$5:$YG$5</definedName>
    <definedName function="false" hidden="false" name="DSC493" vbProcedure="false">'Validation Lists'!$YH$5:$YH$5</definedName>
    <definedName function="false" hidden="false" name="DSC494" vbProcedure="false">'Validation Lists'!$YI$5:$YI$5</definedName>
    <definedName function="false" hidden="false" name="DSC495" vbProcedure="false">'Validation Lists'!$YJ$5:$YJ$5</definedName>
    <definedName function="false" hidden="false" name="DSC496" vbProcedure="false">'Validation Lists'!$YK$5:$YK$5</definedName>
    <definedName function="false" hidden="false" name="DSC497" vbProcedure="false">'Validation Lists'!$YL$5:$YL$5</definedName>
    <definedName function="false" hidden="false" name="DSC498" vbProcedure="false">'Validation Lists'!$YM$5:$YM$5</definedName>
    <definedName function="false" hidden="false" name="DSC499" vbProcedure="false">'Validation Lists'!$YN$5:$YN$5</definedName>
    <definedName function="false" hidden="false" name="DSC500" vbProcedure="false">'Validation Lists'!$YO$5:$YO$5</definedName>
    <definedName function="false" hidden="false" name="DSC501" vbProcedure="false">'Validation Lists'!$YP$5:$YP$5</definedName>
    <definedName function="false" hidden="false" name="DSC502" vbProcedure="false">'Validation Lists'!$YQ$5:$YQ$5</definedName>
    <definedName function="false" hidden="false" name="DSC503" vbProcedure="false">'Validation Lists'!$YR$5:$YR$5</definedName>
    <definedName function="false" hidden="false" name="DSC504" vbProcedure="false">'Validation Lists'!$YS$5:$YS$5</definedName>
    <definedName function="false" hidden="false" name="DSC505" vbProcedure="false">'Validation Lists'!$YT$5:$YT$5</definedName>
    <definedName function="false" hidden="false" name="DSC506" vbProcedure="false">'Validation Lists'!$YU$5:$YU$5</definedName>
    <definedName function="false" hidden="false" name="DSC507" vbProcedure="false">'Validation Lists'!$YV$5:$YV$5</definedName>
    <definedName function="false" hidden="false" name="DSC508" vbProcedure="false">'Validation Lists'!$YW$5:$YW$5</definedName>
    <definedName function="false" hidden="false" name="DSC509" vbProcedure="false">'Validation Lists'!$YX$5:$YX$5</definedName>
    <definedName function="false" hidden="false" name="DSC510" vbProcedure="false">'Validation Lists'!$YY$5:$YY$5</definedName>
    <definedName function="false" hidden="false" name="DSC511" vbProcedure="false">'Validation Lists'!$YZ$5:$YZ$5</definedName>
    <definedName function="false" hidden="false" name="DSC512" vbProcedure="false">'Validation Lists'!$ZA$5:$ZA$5</definedName>
    <definedName function="false" hidden="false" name="DSC513" vbProcedure="false">'Validation Lists'!$ZB$5:$ZB$5</definedName>
    <definedName function="false" hidden="false" name="DSC514" vbProcedure="false">'Validation Lists'!$ZC$5:$ZC$5</definedName>
    <definedName function="false" hidden="false" name="DSC515" vbProcedure="false">'Validation Lists'!$ZD$5:$ZD$5</definedName>
    <definedName function="false" hidden="false" name="DSC516" vbProcedure="false">'Validation Lists'!$ZE$5:$ZE$5</definedName>
    <definedName function="false" hidden="false" name="DSC517" vbProcedure="false">'Validation Lists'!$ZF$5:$ZF$5</definedName>
    <definedName function="false" hidden="false" name="DSC518" vbProcedure="false">'Validation Lists'!$ZG$5:$ZG$5</definedName>
    <definedName function="false" hidden="false" name="DSC519" vbProcedure="false">'Validation Lists'!$ZH$5:$ZH$5</definedName>
    <definedName function="false" hidden="false" name="DSC520" vbProcedure="false">'Validation Lists'!$ZI$5:$ZI$5</definedName>
    <definedName function="false" hidden="false" name="L_SECTION" vbProcedure="false">'Validation Lists'!$A$5:$A$33</definedName>
    <definedName function="false" hidden="false" name="MAP_SE" vbProcedure="false">'Validation Lists'!$I$5:$J$524</definedName>
    <definedName function="false" hidden="false" name="MAP_SEC" vbProcedure="false">'Validation Lists'!$C$5:$D$33</definedName>
    <definedName function="false" hidden="false" name="MAP_SUB" vbProcedure="false">'Validation Lists'!$F$5:$G$128</definedName>
    <definedName function="false" hidden="false" name="SEC001" vbProcedure="false">'Validation Lists'!$M$5:$M$16</definedName>
    <definedName function="false" hidden="false" name="SEC002" vbProcedure="false">'Validation Lists'!$N$5:$N$15</definedName>
    <definedName function="false" hidden="false" name="SEC003" vbProcedure="false">'Validation Lists'!$O$5:$O$9</definedName>
    <definedName function="false" hidden="false" name="SEC004" vbProcedure="false">'Validation Lists'!$P$5:$P$8</definedName>
    <definedName function="false" hidden="false" name="SEC005" vbProcedure="false">'Validation Lists'!$Q$5:$Q$9</definedName>
    <definedName function="false" hidden="false" name="SEC006" vbProcedure="false">'Validation Lists'!$R$5:$R$7</definedName>
    <definedName function="false" hidden="false" name="SEC007" vbProcedure="false">'Validation Lists'!$S$5:$S$7</definedName>
    <definedName function="false" hidden="false" name="SEC008" vbProcedure="false">'Validation Lists'!$T$5:$T$5</definedName>
    <definedName function="false" hidden="false" name="SEC009" vbProcedure="false">'Validation Lists'!$U$5:$U$6</definedName>
    <definedName function="false" hidden="false" name="SEC010" vbProcedure="false">'Validation Lists'!$V$5:$V$8</definedName>
    <definedName function="false" hidden="false" name="SEC011" vbProcedure="false">'Validation Lists'!$W$5:$W$9</definedName>
    <definedName function="false" hidden="false" name="SEC012" vbProcedure="false">'Validation Lists'!$X$5:$X$10</definedName>
    <definedName function="false" hidden="false" name="SEC013" vbProcedure="false">'Validation Lists'!$Y$5:$Y$5</definedName>
    <definedName function="false" hidden="false" name="SEC014" vbProcedure="false">'Validation Lists'!$Z$5:$Z$10</definedName>
    <definedName function="false" hidden="false" name="SEC015" vbProcedure="false">'Validation Lists'!$AA$5:$AA$11</definedName>
    <definedName function="false" hidden="false" name="SEC016" vbProcedure="false">'Validation Lists'!$AB$5:$AB$8</definedName>
    <definedName function="false" hidden="false" name="SEC017" vbProcedure="false">'Validation Lists'!$AC$5:$AC$8</definedName>
    <definedName function="false" hidden="false" name="SEC018" vbProcedure="false">'Validation Lists'!$AD$5:$AD$7</definedName>
    <definedName function="false" hidden="false" name="SEC019" vbProcedure="false">'Validation Lists'!$AE$5:$AE$8</definedName>
    <definedName function="false" hidden="false" name="SEC020" vbProcedure="false">'Validation Lists'!$AF$5:$AF$6</definedName>
    <definedName function="false" hidden="false" name="SEC021" vbProcedure="false">'Validation Lists'!$AG$5:$AG$7</definedName>
    <definedName function="false" hidden="false" name="SEC022" vbProcedure="false">'Validation Lists'!$AH$5:$AH$10</definedName>
    <definedName function="false" hidden="false" name="SEC023" vbProcedure="false">'Validation Lists'!$AI$5:$AI$9</definedName>
    <definedName function="false" hidden="false" name="SEC024" vbProcedure="false">'Validation Lists'!$AJ$5:$AJ$8</definedName>
    <definedName function="false" hidden="false" name="SEC025" vbProcedure="false">'Validation Lists'!$AK$5:$AK$8</definedName>
    <definedName function="false" hidden="false" name="SEC026" vbProcedure="false">'Validation Lists'!$AL$5:$AL$5</definedName>
    <definedName function="false" hidden="false" name="SEC027" vbProcedure="false">'Validation Lists'!$AM$5:$AM$7</definedName>
    <definedName function="false" hidden="false" name="SEC028" vbProcedure="false">'Validation Lists'!$AN$5:$AN$5</definedName>
    <definedName function="false" hidden="false" name="SEC029" vbProcedure="false">'Validation Lists'!$AO$5:$AO$9</definedName>
    <definedName function="false" hidden="false" name="SUB001" vbProcedure="false">'Validation Lists'!$AP$5:$AP$11</definedName>
    <definedName function="false" hidden="false" name="SUB002" vbProcedure="false">'Validation Lists'!$AQ$5:$AQ$10</definedName>
    <definedName function="false" hidden="false" name="SUB003" vbProcedure="false">'Validation Lists'!$AR$5:$AR$16</definedName>
    <definedName function="false" hidden="false" name="SUB004" vbProcedure="false">'Validation Lists'!$AS$5:$AS$9</definedName>
    <definedName function="false" hidden="false" name="SUB005" vbProcedure="false">'Validation Lists'!$AT$5:$AT$15</definedName>
    <definedName function="false" hidden="false" name="SUB006" vbProcedure="false">'Validation Lists'!$AU$5:$AU$15</definedName>
    <definedName function="false" hidden="false" name="SUB007" vbProcedure="false">'Validation Lists'!$AV$5:$AV$11</definedName>
    <definedName function="false" hidden="false" name="SUB008" vbProcedure="false">'Validation Lists'!$AW$5:$AW$14</definedName>
    <definedName function="false" hidden="false" name="SUB009" vbProcedure="false">'Validation Lists'!$AX$5:$AX$15</definedName>
    <definedName function="false" hidden="false" name="SUB010" vbProcedure="false">'Validation Lists'!$AY$5:$AY$15</definedName>
    <definedName function="false" hidden="false" name="SUB011" vbProcedure="false">'Validation Lists'!$AZ$5:$AZ$12</definedName>
    <definedName function="false" hidden="false" name="SUB012" vbProcedure="false">'Validation Lists'!$BA$5:$BA$13</definedName>
    <definedName function="false" hidden="false" name="SUB013" vbProcedure="false">'Validation Lists'!$BB$5:$BB$10</definedName>
    <definedName function="false" hidden="false" name="SUB014" vbProcedure="false">'Validation Lists'!$BC$5:$BC$8</definedName>
    <definedName function="false" hidden="false" name="SUB015" vbProcedure="false">'Validation Lists'!$BD$5:$BD$10</definedName>
    <definedName function="false" hidden="false" name="SUB016" vbProcedure="false">'Validation Lists'!$BE$5:$BE$9</definedName>
    <definedName function="false" hidden="false" name="SUB017" vbProcedure="false">'Validation Lists'!$BF$5:$BF$8</definedName>
    <definedName function="false" hidden="false" name="SUB018" vbProcedure="false">'Validation Lists'!$BG$5:$BG$8</definedName>
    <definedName function="false" hidden="false" name="SUB019" vbProcedure="false">'Validation Lists'!$BH$5:$BH$9</definedName>
    <definedName function="false" hidden="false" name="SUB020" vbProcedure="false">'Validation Lists'!$BI$5:$BI$8</definedName>
    <definedName function="false" hidden="false" name="SUB021" vbProcedure="false">'Validation Lists'!$BJ$5:$BJ$18</definedName>
    <definedName function="false" hidden="false" name="SUB022" vbProcedure="false">'Validation Lists'!$BK$5:$BK$12</definedName>
    <definedName function="false" hidden="false" name="SUB023" vbProcedure="false">'Validation Lists'!$BL$5:$BL$8</definedName>
    <definedName function="false" hidden="false" name="SUB024" vbProcedure="false">'Validation Lists'!$BM$5:$BM$9</definedName>
    <definedName function="false" hidden="false" name="SUB025" vbProcedure="false">'Validation Lists'!$BN$5:$BN$7</definedName>
    <definedName function="false" hidden="false" name="SUB026" vbProcedure="false">'Validation Lists'!$BO$5:$BO$7</definedName>
    <definedName function="false" hidden="false" name="SUB027" vbProcedure="false">'Validation Lists'!$BP$5:$BP$6</definedName>
    <definedName function="false" hidden="false" name="SUB028" vbProcedure="false">'Validation Lists'!$BQ$5:$BQ$8</definedName>
    <definedName function="false" hidden="false" name="SUB029" vbProcedure="false">'Validation Lists'!$BR$5:$BR$7</definedName>
    <definedName function="false" hidden="false" name="SUB030" vbProcedure="false">'Validation Lists'!$BS$5:$BS$7</definedName>
    <definedName function="false" hidden="false" name="SUB031" vbProcedure="false">'Validation Lists'!$BT$5:$BT$6</definedName>
    <definedName function="false" hidden="false" name="SUB032" vbProcedure="false">'Validation Lists'!$BU$5:$BU$6</definedName>
    <definedName function="false" hidden="false" name="SUB033" vbProcedure="false">'Validation Lists'!$BV$5:$BV$6</definedName>
    <definedName function="false" hidden="false" name="SUB034" vbProcedure="false">'Validation Lists'!$BW$5:$BW$6</definedName>
    <definedName function="false" hidden="false" name="SUB035" vbProcedure="false">'Validation Lists'!$BX$5:$BX$6</definedName>
    <definedName function="false" hidden="false" name="SUB036" vbProcedure="false">'Validation Lists'!$BY$5:$BY$6</definedName>
    <definedName function="false" hidden="false" name="SUB037" vbProcedure="false">'Validation Lists'!$BZ$5:$BZ$8</definedName>
    <definedName function="false" hidden="false" name="SUB038" vbProcedure="false">'Validation Lists'!$CA$5:$CA$8</definedName>
    <definedName function="false" hidden="false" name="SUB039" vbProcedure="false">'Validation Lists'!$CB$5:$CB$6</definedName>
    <definedName function="false" hidden="false" name="SUB040" vbProcedure="false">'Validation Lists'!$CC$5:$CC$8</definedName>
    <definedName function="false" hidden="false" name="SUB041" vbProcedure="false">'Validation Lists'!$CD$5:$CD$6</definedName>
    <definedName function="false" hidden="false" name="SUB042" vbProcedure="false">'Validation Lists'!$CE$5:$CE$6</definedName>
    <definedName function="false" hidden="false" name="SUB043" vbProcedure="false">'Validation Lists'!$CF$5:$CF$6</definedName>
    <definedName function="false" hidden="false" name="SUB044" vbProcedure="false">'Validation Lists'!$CG$5:$CG$7</definedName>
    <definedName function="false" hidden="false" name="SUB045" vbProcedure="false">'Validation Lists'!$CH$5:$CH$8</definedName>
    <definedName function="false" hidden="false" name="SUB046" vbProcedure="false">'Validation Lists'!$CI$5:$CI$7</definedName>
    <definedName function="false" hidden="false" name="SUB047" vbProcedure="false">'Validation Lists'!$CJ$5:$CJ$8</definedName>
    <definedName function="false" hidden="false" name="SUB048" vbProcedure="false">'Validation Lists'!$CK$5:$CK$8</definedName>
    <definedName function="false" hidden="false" name="SUB049" vbProcedure="false">'Validation Lists'!$CL$5:$CL$8</definedName>
    <definedName function="false" hidden="false" name="SUB050" vbProcedure="false">'Validation Lists'!$CM$5:$CM$8</definedName>
    <definedName function="false" hidden="false" name="SUB051" vbProcedure="false">'Validation Lists'!$CN$5:$CN$6</definedName>
    <definedName function="false" hidden="false" name="SUB052" vbProcedure="false">'Validation Lists'!$CO$5:$CO$8</definedName>
    <definedName function="false" hidden="false" name="SUB053" vbProcedure="false">'Validation Lists'!$CP$5:$CP$6</definedName>
    <definedName function="false" hidden="false" name="SUB054" vbProcedure="false">'Validation Lists'!$CQ$5:$CQ$6</definedName>
    <definedName function="false" hidden="false" name="SUB055" vbProcedure="false">'Validation Lists'!$CR$5:$CR$7</definedName>
    <definedName function="false" hidden="false" name="SUB056" vbProcedure="false">'Validation Lists'!$CS$5:$CS$6</definedName>
    <definedName function="false" hidden="false" name="SUB057" vbProcedure="false">'Validation Lists'!$CT$5:$CT$5</definedName>
    <definedName function="false" hidden="false" name="SUB058" vbProcedure="false">'Validation Lists'!$CU$5:$CU$6</definedName>
    <definedName function="false" hidden="false" name="SUB059" vbProcedure="false">'Validation Lists'!$CV$5:$CV$6</definedName>
    <definedName function="false" hidden="false" name="SUB060" vbProcedure="false">'Validation Lists'!$CW$5:$CW$9</definedName>
    <definedName function="false" hidden="false" name="SUB061" vbProcedure="false">'Validation Lists'!$CX$5:$CX$6</definedName>
    <definedName function="false" hidden="false" name="SUB062" vbProcedure="false">'Validation Lists'!$CY$5:$CY$6</definedName>
    <definedName function="false" hidden="false" name="SUB063" vbProcedure="false">'Validation Lists'!$CZ$5:$CZ$6</definedName>
    <definedName function="false" hidden="false" name="SUB064" vbProcedure="false">'Validation Lists'!$DA$5:$DA$6</definedName>
    <definedName function="false" hidden="false" name="SUB065" vbProcedure="false">'Validation Lists'!$DB$5:$DB$6</definedName>
    <definedName function="false" hidden="false" name="SUB066" vbProcedure="false">'Validation Lists'!$DC$5:$DC$8</definedName>
    <definedName function="false" hidden="false" name="SUB067" vbProcedure="false">'Validation Lists'!$DD$5:$DD$5</definedName>
    <definedName function="false" hidden="false" name="SUB068" vbProcedure="false">'Validation Lists'!$DE$5:$DE$6</definedName>
    <definedName function="false" hidden="false" name="SUB069" vbProcedure="false">'Validation Lists'!$DF$5:$DF$7</definedName>
    <definedName function="false" hidden="false" name="SUB070" vbProcedure="false">'Validation Lists'!$DG$5:$DG$7</definedName>
    <definedName function="false" hidden="false" name="SUB071" vbProcedure="false">'Validation Lists'!$DH$5:$DH$9</definedName>
    <definedName function="false" hidden="false" name="SUB072" vbProcedure="false">'Validation Lists'!$DI$5:$DI$6</definedName>
    <definedName function="false" hidden="false" name="SUB073" vbProcedure="false">'Validation Lists'!$DJ$5:$DJ$7</definedName>
    <definedName function="false" hidden="false" name="SUB074" vbProcedure="false">'Validation Lists'!$DK$5:$DK$7</definedName>
    <definedName function="false" hidden="false" name="SUB075" vbProcedure="false">'Validation Lists'!$DL$5:$DL$6</definedName>
    <definedName function="false" hidden="false" name="SUB076" vbProcedure="false">'Validation Lists'!$DM$5:$DM$6</definedName>
    <definedName function="false" hidden="false" name="SUB077" vbProcedure="false">'Validation Lists'!$DN$5:$DN$9</definedName>
    <definedName function="false" hidden="false" name="SUB078" vbProcedure="false">'Validation Lists'!$DO$5:$DO$11</definedName>
    <definedName function="false" hidden="false" name="SUB079" vbProcedure="false">'Validation Lists'!$DP$5:$DP$7</definedName>
    <definedName function="false" hidden="false" name="SUB080" vbProcedure="false">'Validation Lists'!$DQ$5:$DQ$7</definedName>
    <definedName function="false" hidden="false" name="SUB081" vbProcedure="false">'Validation Lists'!$DR$5:$DR$10</definedName>
    <definedName function="false" hidden="false" name="SUB082" vbProcedure="false">'Validation Lists'!$DS$5:$DS$10</definedName>
    <definedName function="false" hidden="false" name="SUB083" vbProcedure="false">'Validation Lists'!$DT$5:$DT$10</definedName>
    <definedName function="false" hidden="false" name="SUB084" vbProcedure="false">'Validation Lists'!$DU$5:$DU$8</definedName>
    <definedName function="false" hidden="false" name="SUB085" vbProcedure="false">'Validation Lists'!$DV$5:$DV$7</definedName>
    <definedName function="false" hidden="false" name="SUB086" vbProcedure="false">'Validation Lists'!$DW$5:$DW$7</definedName>
    <definedName function="false" hidden="false" name="SUB087" vbProcedure="false">'Validation Lists'!$DX$5:$DX$9</definedName>
    <definedName function="false" hidden="false" name="SUB088" vbProcedure="false">'Validation Lists'!$DY$5:$DY$9</definedName>
    <definedName function="false" hidden="false" name="SUB089" vbProcedure="false">'Validation Lists'!$DZ$5:$DZ$9</definedName>
    <definedName function="false" hidden="false" name="SUB090" vbProcedure="false">'Validation Lists'!$EA$5:$EA$7</definedName>
    <definedName function="false" hidden="false" name="SUB091" vbProcedure="false">'Validation Lists'!$EB$5:$EB$8</definedName>
    <definedName function="false" hidden="false" name="SUB092" vbProcedure="false">'Validation Lists'!$EC$5:$EC$8</definedName>
    <definedName function="false" hidden="false" name="SUB093" vbProcedure="false">'Validation Lists'!$ED$5:$ED$8</definedName>
    <definedName function="false" hidden="false" name="SUB094" vbProcedure="false">'Validation Lists'!$EE$5:$EE$10</definedName>
    <definedName function="false" hidden="false" name="SUB095" vbProcedure="false">'Validation Lists'!$EF$5:$EF$10</definedName>
    <definedName function="false" hidden="false" name="SUB096" vbProcedure="false">'Validation Lists'!$EG$5:$EG$8</definedName>
    <definedName function="false" hidden="false" name="SUB097" vbProcedure="false">'Validation Lists'!$EH$5:$EH$9</definedName>
    <definedName function="false" hidden="false" name="SUB098" vbProcedure="false">'Validation Lists'!$EI$5:$EI$8</definedName>
    <definedName function="false" hidden="false" name="SUB099" vbProcedure="false">'Validation Lists'!$EJ$5:$EJ$8</definedName>
    <definedName function="false" hidden="false" name="SUB100" vbProcedure="false">'Validation Lists'!$EK$5:$EK$8</definedName>
    <definedName function="false" hidden="false" name="SUB101" vbProcedure="false">'Validation Lists'!$EL$5:$EL$8</definedName>
    <definedName function="false" hidden="false" name="SUB102" vbProcedure="false">'Validation Lists'!$EM$5:$EM$9</definedName>
    <definedName function="false" hidden="false" name="SUB103" vbProcedure="false">'Validation Lists'!$EN$5:$EN$9</definedName>
    <definedName function="false" hidden="false" name="SUB104" vbProcedure="false">'Validation Lists'!$EO$5:$EO$6</definedName>
    <definedName function="false" hidden="false" name="SUB105" vbProcedure="false">'Validation Lists'!$EP$5:$EP$9</definedName>
    <definedName function="false" hidden="false" name="SUB106" vbProcedure="false">'Validation Lists'!$EQ$5:$EQ$9</definedName>
    <definedName function="false" hidden="false" name="SUB107" vbProcedure="false">'Validation Lists'!$ER$5:$ER$10</definedName>
    <definedName function="false" hidden="false" name="SUB108" vbProcedure="false">'Validation Lists'!$ES$5:$ES$7</definedName>
    <definedName function="false" hidden="false" name="SUB109" vbProcedure="false">'Validation Lists'!$ET$5:$ET$8</definedName>
    <definedName function="false" hidden="false" name="SUB110" vbProcedure="false">'Validation Lists'!$EU$5:$EU$8</definedName>
    <definedName function="false" hidden="false" name="SUB111" vbProcedure="false">'Validation Lists'!$EV$5:$EV$7</definedName>
    <definedName function="false" hidden="false" name="SUB112" vbProcedure="false">'Validation Lists'!$EW$5:$EW$8</definedName>
    <definedName function="false" hidden="false" name="SUB113" vbProcedure="false">'Validation Lists'!$EX$5:$EX$8</definedName>
    <definedName function="false" hidden="false" name="SUB114" vbProcedure="false">'Validation Lists'!$EY$5:$EY$8</definedName>
    <definedName function="false" hidden="false" name="SUB115" vbProcedure="false">'Validation Lists'!$EZ$5:$EZ$5</definedName>
    <definedName function="false" hidden="false" name="SUB116" vbProcedure="false">'Validation Lists'!$FA$5:$FA$7</definedName>
    <definedName function="false" hidden="false" name="SUB117" vbProcedure="false">'Validation Lists'!$FB$5:$FB$9</definedName>
    <definedName function="false" hidden="false" name="SUB118" vbProcedure="false">'Validation Lists'!$FC$5:$FC$7</definedName>
    <definedName function="false" hidden="false" name="SUB119" vbProcedure="false">'Validation Lists'!$FD$5:$FD$10</definedName>
    <definedName function="false" hidden="false" name="SUB120" vbProcedure="false">'Validation Lists'!$FE$5:$FE$9</definedName>
    <definedName function="false" hidden="false" name="SUB121" vbProcedure="false">'Validation Lists'!$FF$5:$FF$8</definedName>
    <definedName function="false" hidden="false" name="SUB122" vbProcedure="false">'Validation Lists'!$FG$5:$FG$10</definedName>
    <definedName function="false" hidden="false" name="SUB123" vbProcedure="false">'Validation Lists'!$FH$5:$FH$5</definedName>
    <definedName function="false" hidden="false" name="SUB124" vbProcedure="false">'Validation Lists'!$FI$5:$FI$5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<sst xmlns="http://schemas.openxmlformats.org/spreadsheetml/2006/main" count="14957" uniqueCount="3158">
  <si>
    <t xml:space="preserve">QS ELEMENT LIBRARY — SECTION / SUB SECTION / SUB ELEMENT</t>
  </si>
  <si>
    <t xml:space="preserve">Standard coding list for BoQ takeoff — Structure, Architecture, MEP &amp; External Works. Aligned to the project Budget Code framework.</t>
  </si>
  <si>
    <t xml:space="preserve">Each Sub Element links to one or more standard Descriptions on the Description Library sheet.</t>
  </si>
  <si>
    <t xml:space="preserve">No.</t>
  </si>
  <si>
    <t xml:space="preserve">Discipline</t>
  </si>
  <si>
    <t xml:space="preserve">Budget Code</t>
  </si>
  <si>
    <t xml:space="preserve">Section</t>
  </si>
  <si>
    <t xml:space="preserve">Sub Section</t>
  </si>
  <si>
    <t xml:space="preserve">Sub Element</t>
  </si>
  <si>
    <t xml:space="preserve">Typical Unit</t>
  </si>
  <si>
    <t xml:space="preserve">No. of Desc.</t>
  </si>
  <si>
    <t xml:space="preserve">Default Description</t>
  </si>
  <si>
    <t xml:space="preserve">Key</t>
  </si>
  <si>
    <t xml:space="preserve">Civil and Structure</t>
  </si>
  <si>
    <t xml:space="preserve">A.04</t>
  </si>
  <si>
    <t xml:space="preserve">Sub Structure</t>
  </si>
  <si>
    <t xml:space="preserve">Site Preparation &amp; Earthwork</t>
  </si>
  <si>
    <t xml:space="preserve">Site Clearing</t>
  </si>
  <si>
    <t xml:space="preserve">m2</t>
  </si>
  <si>
    <t xml:space="preserve">Site clearing, grubbing and removal of vegetation and debris off site</t>
  </si>
  <si>
    <t xml:space="preserve">Sub Structure|Site Preparation &amp; Earthwork|Site Clearing</t>
  </si>
  <si>
    <t xml:space="preserve">Excavation</t>
  </si>
  <si>
    <t xml:space="preserve">m3</t>
  </si>
  <si>
    <t xml:space="preserve">Bulk excavation by machine incl. trimming and levelling of formation</t>
  </si>
  <si>
    <t xml:space="preserve">Sub Structure|Site Preparation &amp; Earthwork|Excavation</t>
  </si>
  <si>
    <t xml:space="preserve">Backfill</t>
  </si>
  <si>
    <t xml:space="preserve">Backfilling with approved material in 200mm layers incl. compaction to 95% MDD</t>
  </si>
  <si>
    <t xml:space="preserve">Sub Structure|Site Preparation &amp; Earthwork|Backfill</t>
  </si>
  <si>
    <t xml:space="preserve">Soil Disposal</t>
  </si>
  <si>
    <t xml:space="preserve">Cart away surplus excavated material off site incl. tipping fee</t>
  </si>
  <si>
    <t xml:space="preserve">Sub Structure|Site Preparation &amp; Earthwork|Soil Disposal</t>
  </si>
  <si>
    <t xml:space="preserve">Compaction</t>
  </si>
  <si>
    <t xml:space="preserve">Compaction of formation to 95% MDD incl. watering and testing</t>
  </si>
  <si>
    <t xml:space="preserve">Sub Structure|Site Preparation &amp; Earthwork|Compaction</t>
  </si>
  <si>
    <t xml:space="preserve">Dewatering</t>
  </si>
  <si>
    <t xml:space="preserve">Lot</t>
  </si>
  <si>
    <t xml:space="preserve">Dewatering incl. pumps, sump pits, piping and maintenance during construction</t>
  </si>
  <si>
    <t xml:space="preserve">Sub Structure|Site Preparation &amp; Earthwork|Dewatering</t>
  </si>
  <si>
    <t xml:space="preserve">Levelling &amp; Setting Out</t>
  </si>
  <si>
    <t xml:space="preserve">Setting out, levelling and establishment of benchmarks and grid lines</t>
  </si>
  <si>
    <t xml:space="preserve">Sub Structure|Site Preparation &amp; Earthwork|Levelling &amp; Setting Out</t>
  </si>
  <si>
    <t xml:space="preserve">B.02</t>
  </si>
  <si>
    <t xml:space="preserve">Shoring &amp; Sheet Pile</t>
  </si>
  <si>
    <t xml:space="preserve">Sheet Pile Supply</t>
  </si>
  <si>
    <t xml:space="preserve">Supply of steel sheet pile, hot rolled section as per design</t>
  </si>
  <si>
    <t xml:space="preserve">Sub Structure|Shoring &amp; Sheet Pile|Sheet Pile Supply</t>
  </si>
  <si>
    <t xml:space="preserve">Sheet Pile Driving</t>
  </si>
  <si>
    <t xml:space="preserve">Driving of steel sheet pile to required depth incl. plant and equipment</t>
  </si>
  <si>
    <t xml:space="preserve">Sub Structure|Shoring &amp; Sheet Pile|Sheet Pile Driving</t>
  </si>
  <si>
    <t xml:space="preserve">Sheet Pile Extraction</t>
  </si>
  <si>
    <t xml:space="preserve">Extraction of steel sheet pile and making good of voids</t>
  </si>
  <si>
    <t xml:space="preserve">Sub Structure|Shoring &amp; Sheet Pile|Sheet Pile Extraction</t>
  </si>
  <si>
    <t xml:space="preserve">Strut &amp; Waler</t>
  </si>
  <si>
    <t xml:space="preserve">kg</t>
  </si>
  <si>
    <t xml:space="preserve">Steel strut and waler incl. fabrication, installation and removal</t>
  </si>
  <si>
    <t xml:space="preserve">Sub Structure|Shoring &amp; Sheet Pile|Strut &amp; Waler</t>
  </si>
  <si>
    <t xml:space="preserve">Ground Anchor</t>
  </si>
  <si>
    <t xml:space="preserve">Nos</t>
  </si>
  <si>
    <t xml:space="preserve">Ground anchor incl. drilling, grouting, stressing and testing</t>
  </si>
  <si>
    <t xml:space="preserve">Sub Structure|Shoring &amp; Sheet Pile|Ground Anchor</t>
  </si>
  <si>
    <t xml:space="preserve">Guide Wall</t>
  </si>
  <si>
    <t xml:space="preserve">m</t>
  </si>
  <si>
    <t xml:space="preserve">Reinforced concrete guide wall incl. concrete, rebar and formwork</t>
  </si>
  <si>
    <t xml:space="preserve">Sub Structure|Shoring &amp; Sheet Pile|Guide Wall</t>
  </si>
  <si>
    <t xml:space="preserve">B.01</t>
  </si>
  <si>
    <t xml:space="preserve">Bored Pile</t>
  </si>
  <si>
    <t xml:space="preserve">Bored Pile Boring</t>
  </si>
  <si>
    <t xml:space="preserve">Bored piling D1000mm incl. boring, casing and disposal of spoil</t>
  </si>
  <si>
    <t xml:space="preserve">Sub Structure|Bored Pile|Bored Pile Boring</t>
  </si>
  <si>
    <t xml:space="preserve">Concrete</t>
  </si>
  <si>
    <t xml:space="preserve">Normal Concrete, 35Mpa (Cylinder), Slump 13+-2.5</t>
  </si>
  <si>
    <t xml:space="preserve">Sub Structure|Bored Pile|Concrete</t>
  </si>
  <si>
    <t xml:space="preserve">Rebar</t>
  </si>
  <si>
    <t xml:space="preserve">Deform Bar, DB10(fy=390 Mpa)</t>
  </si>
  <si>
    <t xml:space="preserve">Sub Structure|Bored Pile|Rebar</t>
  </si>
  <si>
    <t xml:space="preserve">Steel Tie Wire</t>
  </si>
  <si>
    <t xml:space="preserve">Steel Tie Wire 1mm (Estimated 4% of Total Rebar Weight)</t>
  </si>
  <si>
    <t xml:space="preserve">Sub Structure|Bored Pile|Steel Tie Wire</t>
  </si>
  <si>
    <t xml:space="preserve">Steel Round Pipe</t>
  </si>
  <si>
    <t xml:space="preserve">Steel Round Pipe (D49x2mm) with rush primer and paint</t>
  </si>
  <si>
    <t xml:space="preserve">Sub Structure|Bored Pile|Steel Round Pipe</t>
  </si>
  <si>
    <t xml:space="preserve">Bentonite / Slurry</t>
  </si>
  <si>
    <t xml:space="preserve">Bentonite / polymer slurry incl. mixing, circulation and disposal</t>
  </si>
  <si>
    <t xml:space="preserve">Sub Structure|Bored Pile|Bentonite / Slurry</t>
  </si>
  <si>
    <t xml:space="preserve">Bored Pile Head Cutting</t>
  </si>
  <si>
    <t xml:space="preserve">Pile Head Cutting up to required level D1000mm</t>
  </si>
  <si>
    <t xml:space="preserve">Sub Structure|Bored Pile|Bored Pile Head Cutting</t>
  </si>
  <si>
    <t xml:space="preserve">Bored Pile Testing</t>
  </si>
  <si>
    <t xml:space="preserve">Sonic Logging Test (SLT)</t>
  </si>
  <si>
    <t xml:space="preserve">Sub Structure|Bored Pile|Bored Pile Testing</t>
  </si>
  <si>
    <t xml:space="preserve">Bored Pile Coring</t>
  </si>
  <si>
    <t xml:space="preserve">Soil Coring for Bored Pile D1000mm, Depth 30m</t>
  </si>
  <si>
    <t xml:space="preserve">Sub Structure|Bored Pile|Bored Pile Coring</t>
  </si>
  <si>
    <t xml:space="preserve">Pile Load Test</t>
  </si>
  <si>
    <t xml:space="preserve">Dynamic pile load test (PDA)</t>
  </si>
  <si>
    <t xml:space="preserve">Sub Structure|Bored Pile|Pile Load Test</t>
  </si>
  <si>
    <t xml:space="preserve">Rebar Testing</t>
  </si>
  <si>
    <t xml:space="preserve">Rebar Testing as per Specification</t>
  </si>
  <si>
    <t xml:space="preserve">Sub Structure|Bored Pile|Rebar Testing</t>
  </si>
  <si>
    <t xml:space="preserve">Concrete Testing</t>
  </si>
  <si>
    <t xml:space="preserve">Concrete cube / cylinder test as per specification</t>
  </si>
  <si>
    <t xml:space="preserve">Sub Structure|Bored Pile|Concrete Testing</t>
  </si>
  <si>
    <t xml:space="preserve">Driven Pile / Micro Pile</t>
  </si>
  <si>
    <t xml:space="preserve">Pile Supply</t>
  </si>
  <si>
    <t xml:space="preserve">Supply of precast / spun pile as per design section</t>
  </si>
  <si>
    <t xml:space="preserve">Sub Structure|Driven Pile / Micro Pile|Pile Supply</t>
  </si>
  <si>
    <t xml:space="preserve">Pile Driving</t>
  </si>
  <si>
    <t xml:space="preserve">Driving of precast / spun pile to required set incl. plant</t>
  </si>
  <si>
    <t xml:space="preserve">Sub Structure|Driven Pile / Micro Pile|Pile Driving</t>
  </si>
  <si>
    <t xml:space="preserve">Pile Splicing</t>
  </si>
  <si>
    <t xml:space="preserve">Pile splicing by full penetration weld incl. splice plate</t>
  </si>
  <si>
    <t xml:space="preserve">Sub Structure|Driven Pile / Micro Pile|Pile Splicing</t>
  </si>
  <si>
    <t xml:space="preserve">Pile Head Cutting</t>
  </si>
  <si>
    <t xml:space="preserve">Pile head cutting and trimming to required cut-off level</t>
  </si>
  <si>
    <t xml:space="preserve">Sub Structure|Driven Pile / Micro Pile|Pile Head Cutting</t>
  </si>
  <si>
    <t xml:space="preserve">Sub Structure|Driven Pile / Micro Pile|Pile Load Test</t>
  </si>
  <si>
    <t xml:space="preserve">B.03</t>
  </si>
  <si>
    <t xml:space="preserve">Pile Cap &amp; Stump</t>
  </si>
  <si>
    <t xml:space="preserve">Earthwork</t>
  </si>
  <si>
    <t xml:space="preserve">Soil Backfill</t>
  </si>
  <si>
    <t xml:space="preserve">Sub Structure|Pile Cap &amp; Stump|Earthwork</t>
  </si>
  <si>
    <t xml:space="preserve">Base Preparation</t>
  </si>
  <si>
    <t xml:space="preserve">Well Soil Compact</t>
  </si>
  <si>
    <t xml:space="preserve">Sub Structure|Pile Cap &amp; Stump|Base Preparation</t>
  </si>
  <si>
    <t xml:space="preserve">Crush Stone</t>
  </si>
  <si>
    <t xml:space="preserve">Crush Stone 40x60mm 100mm Thk.</t>
  </si>
  <si>
    <t xml:space="preserve">Sub Structure|Pile Cap &amp; Stump|Crush Stone</t>
  </si>
  <si>
    <t xml:space="preserve">Lean Concrete</t>
  </si>
  <si>
    <t xml:space="preserve">Lean Concrete, 15Mpa (Cylinder)</t>
  </si>
  <si>
    <t xml:space="preserve">Sub Structure|Pile Cap &amp; Stump|Lean Concrete</t>
  </si>
  <si>
    <t xml:space="preserve">Sub Structure|Pile Cap &amp; Stump|Concrete</t>
  </si>
  <si>
    <t xml:space="preserve">Formwork</t>
  </si>
  <si>
    <t xml:space="preserve">Sub Structure|Pile Cap &amp; Stump|Formwork</t>
  </si>
  <si>
    <t xml:space="preserve">Sub Structure|Pile Cap &amp; Stump|Rebar</t>
  </si>
  <si>
    <t xml:space="preserve">Sub Structure|Pile Cap &amp; Stump|Steel Tie Wire</t>
  </si>
  <si>
    <t xml:space="preserve">Water Stop</t>
  </si>
  <si>
    <t xml:space="preserve">PVC Waterbar® V VN 20 (Width 200mm)</t>
  </si>
  <si>
    <t xml:space="preserve">Sub Structure|Pile Cap &amp; Stump|Water Stop</t>
  </si>
  <si>
    <t xml:space="preserve">Waterproofing</t>
  </si>
  <si>
    <t xml:space="preserve">Membrance sheet 2mm thk</t>
  </si>
  <si>
    <t xml:space="preserve">Sub Structure|Pile Cap &amp; Stump|Waterproofing</t>
  </si>
  <si>
    <t xml:space="preserve">Anti-Termite</t>
  </si>
  <si>
    <t xml:space="preserve">Anti-Termite with Plastic Membrane</t>
  </si>
  <si>
    <t xml:space="preserve">Sub Structure|Pile Cap &amp; Stump|Anti-Termite</t>
  </si>
  <si>
    <t xml:space="preserve">Footing / Raft Foundation</t>
  </si>
  <si>
    <t xml:space="preserve">Sub Structure|Footing / Raft Foundation|Earthwork</t>
  </si>
  <si>
    <t xml:space="preserve">Sub Structure|Footing / Raft Foundation|Base Preparation</t>
  </si>
  <si>
    <t xml:space="preserve">Sub Structure|Footing / Raft Foundation|Crush Stone</t>
  </si>
  <si>
    <t xml:space="preserve">Sub Structure|Footing / Raft Foundation|Lean Concrete</t>
  </si>
  <si>
    <t xml:space="preserve">Sub Structure|Footing / Raft Foundation|Concrete</t>
  </si>
  <si>
    <t xml:space="preserve">Formwork to curved / special shape incl. erection and striking</t>
  </si>
  <si>
    <t xml:space="preserve">Sub Structure|Footing / Raft Foundation|Formwork</t>
  </si>
  <si>
    <t xml:space="preserve">Sub Structure|Footing / Raft Foundation|Rebar</t>
  </si>
  <si>
    <t xml:space="preserve">Sub Structure|Footing / Raft Foundation|Steel Tie Wire</t>
  </si>
  <si>
    <t xml:space="preserve">Sub Structure|Footing / Raft Foundation|Water Stop</t>
  </si>
  <si>
    <t xml:space="preserve">Sub Structure|Footing / Raft Foundation|Waterproofing</t>
  </si>
  <si>
    <t xml:space="preserve">Sub Structure|Footing / Raft Foundation|Anti-Termite</t>
  </si>
  <si>
    <t xml:space="preserve">Ground Beam / Tie Beam</t>
  </si>
  <si>
    <t xml:space="preserve">Sub Structure|Ground Beam / Tie Beam|Earthwork</t>
  </si>
  <si>
    <t xml:space="preserve">Sub Structure|Ground Beam / Tie Beam|Lean Concrete</t>
  </si>
  <si>
    <t xml:space="preserve">Sub Structure|Ground Beam / Tie Beam|Concrete</t>
  </si>
  <si>
    <t xml:space="preserve">Sub Structure|Ground Beam / Tie Beam|Formwork</t>
  </si>
  <si>
    <t xml:space="preserve">Sub Structure|Ground Beam / Tie Beam|Rebar</t>
  </si>
  <si>
    <t xml:space="preserve">Sub Structure|Ground Beam / Tie Beam|Steel Tie Wire</t>
  </si>
  <si>
    <t xml:space="preserve">Sub Structure|Ground Beam / Tie Beam|Waterproofing</t>
  </si>
  <si>
    <t xml:space="preserve">Slab on Grade / Ground Slab</t>
  </si>
  <si>
    <t xml:space="preserve">Sub Structure|Slab on Grade / Ground Slab|Base Preparation</t>
  </si>
  <si>
    <t xml:space="preserve">Sub Structure|Slab on Grade / Ground Slab|Crush Stone</t>
  </si>
  <si>
    <t xml:space="preserve">Sub Structure|Slab on Grade / Ground Slab|Anti-Termite</t>
  </si>
  <si>
    <t xml:space="preserve">Vapour Barrier</t>
  </si>
  <si>
    <t xml:space="preserve">Polyethylene vapour barrier 0.15mm thk. laid with 300mm laps</t>
  </si>
  <si>
    <t xml:space="preserve">Sub Structure|Slab on Grade / Ground Slab|Vapour Barrier</t>
  </si>
  <si>
    <t xml:space="preserve">Sub Structure|Slab on Grade / Ground Slab|Lean Concrete</t>
  </si>
  <si>
    <t xml:space="preserve">Sub Structure|Slab on Grade / Ground Slab|Concrete</t>
  </si>
  <si>
    <t xml:space="preserve">Sub Structure|Slab on Grade / Ground Slab|Formwork</t>
  </si>
  <si>
    <t xml:space="preserve">Sub Structure|Slab on Grade / Ground Slab|Rebar</t>
  </si>
  <si>
    <t xml:space="preserve">Sub Structure|Slab on Grade / Ground Slab|Steel Tie Wire</t>
  </si>
  <si>
    <t xml:space="preserve">Sub Structure|Slab on Grade / Ground Slab|Waterproofing</t>
  </si>
  <si>
    <t xml:space="preserve">Septic tank</t>
  </si>
  <si>
    <t xml:space="preserve">Sub Structure|Septic tank|Earthwork</t>
  </si>
  <si>
    <t xml:space="preserve">Sub Structure|Septic tank|Base Preparation</t>
  </si>
  <si>
    <t xml:space="preserve">Sub Structure|Septic tank|Crush Stone</t>
  </si>
  <si>
    <t xml:space="preserve">Sub Structure|Septic tank|Lean Concrete</t>
  </si>
  <si>
    <t xml:space="preserve">Sub Structure|Septic tank|Concrete</t>
  </si>
  <si>
    <t xml:space="preserve">Sub Structure|Septic tank|Formwork</t>
  </si>
  <si>
    <t xml:space="preserve">Sub Structure|Septic tank|Rebar</t>
  </si>
  <si>
    <t xml:space="preserve">Sub Structure|Septic tank|Steel Tie Wire</t>
  </si>
  <si>
    <t xml:space="preserve">Sub Structure|Septic tank|Water Stop</t>
  </si>
  <si>
    <t xml:space="preserve">Sub Structure|Septic tank|Waterproofing</t>
  </si>
  <si>
    <t xml:space="preserve">Sub Structure|Septic tank|Anti-Termite</t>
  </si>
  <si>
    <t xml:space="preserve">Water Tank / Sump Pit</t>
  </si>
  <si>
    <t xml:space="preserve">Sub Structure|Water Tank / Sump Pit|Earthwork</t>
  </si>
  <si>
    <t xml:space="preserve">Sub Structure|Water Tank / Sump Pit|Base Preparation</t>
  </si>
  <si>
    <t xml:space="preserve">Sub Structure|Water Tank / Sump Pit|Crush Stone</t>
  </si>
  <si>
    <t xml:space="preserve">Sub Structure|Water Tank / Sump Pit|Lean Concrete</t>
  </si>
  <si>
    <t xml:space="preserve">Sub Structure|Water Tank / Sump Pit|Concrete</t>
  </si>
  <si>
    <t xml:space="preserve">Sub Structure|Water Tank / Sump Pit|Formwork</t>
  </si>
  <si>
    <t xml:space="preserve">Sub Structure|Water Tank / Sump Pit|Rebar</t>
  </si>
  <si>
    <t xml:space="preserve">Sub Structure|Water Tank / Sump Pit|Steel Tie Wire</t>
  </si>
  <si>
    <t xml:space="preserve">Sub Structure|Water Tank / Sump Pit|Water Stop</t>
  </si>
  <si>
    <t xml:space="preserve">Sub Structure|Water Tank / Sump Pit|Waterproofing</t>
  </si>
  <si>
    <t xml:space="preserve">Sub Structure|Water Tank / Sump Pit|Anti-Termite</t>
  </si>
  <si>
    <t xml:space="preserve">Lift Pit</t>
  </si>
  <si>
    <t xml:space="preserve">Sub Structure|Lift Pit|Earthwork</t>
  </si>
  <si>
    <t xml:space="preserve">Sub Structure|Lift Pit|Lean Concrete</t>
  </si>
  <si>
    <t xml:space="preserve">Sub Structure|Lift Pit|Concrete</t>
  </si>
  <si>
    <t xml:space="preserve">Sub Structure|Lift Pit|Formwork</t>
  </si>
  <si>
    <t xml:space="preserve">Sub Structure|Lift Pit|Rebar</t>
  </si>
  <si>
    <t xml:space="preserve">Sub Structure|Lift Pit|Steel Tie Wire</t>
  </si>
  <si>
    <t xml:space="preserve">Sub Structure|Lift Pit|Water Stop</t>
  </si>
  <si>
    <t xml:space="preserve">Sub Structure|Lift Pit|Waterproofing</t>
  </si>
  <si>
    <t xml:space="preserve">Basement / Retaining Wall</t>
  </si>
  <si>
    <t xml:space="preserve">Sub Structure|Basement / Retaining Wall|Earthwork</t>
  </si>
  <si>
    <t xml:space="preserve">Sub Structure|Basement / Retaining Wall|Concrete</t>
  </si>
  <si>
    <t xml:space="preserve">Sub Structure|Basement / Retaining Wall|Formwork</t>
  </si>
  <si>
    <t xml:space="preserve">Sub Structure|Basement / Retaining Wall|Rebar</t>
  </si>
  <si>
    <t xml:space="preserve">Sub Structure|Basement / Retaining Wall|Steel Tie Wire</t>
  </si>
  <si>
    <t xml:space="preserve">Sub Structure|Basement / Retaining Wall|Water Stop</t>
  </si>
  <si>
    <t xml:space="preserve">Sub Structure|Basement / Retaining Wall|Waterproofing</t>
  </si>
  <si>
    <t xml:space="preserve">Protection Board</t>
  </si>
  <si>
    <t xml:space="preserve">Protection board 6mm thk. to waterproofing membrane</t>
  </si>
  <si>
    <t xml:space="preserve">Sub Structure|Basement / Retaining Wall|Protection Board</t>
  </si>
  <si>
    <t xml:space="preserve">Drainage Board</t>
  </si>
  <si>
    <t xml:space="preserve">Dimpled HDPE drainage board with filter fabric</t>
  </si>
  <si>
    <t xml:space="preserve">Sub Structure|Basement / Retaining Wall|Drainage Board</t>
  </si>
  <si>
    <t xml:space="preserve">B.04</t>
  </si>
  <si>
    <t xml:space="preserve">Super Structure</t>
  </si>
  <si>
    <t xml:space="preserve">Structural Column</t>
  </si>
  <si>
    <t xml:space="preserve">Super Structure|Structural Column|Concrete</t>
  </si>
  <si>
    <t xml:space="preserve">Super Structure|Structural Column|Formwork</t>
  </si>
  <si>
    <t xml:space="preserve">Super Structure|Structural Column|Rebar</t>
  </si>
  <si>
    <t xml:space="preserve">Super Structure|Structural Column|Steel Tie Wire</t>
  </si>
  <si>
    <t xml:space="preserve">Column Starter Bar</t>
  </si>
  <si>
    <t xml:space="preserve">Column starter bar incl. bending, fixing and tying</t>
  </si>
  <si>
    <t xml:space="preserve">Super Structure|Structural Column|Column Starter Bar</t>
  </si>
  <si>
    <t xml:space="preserve">Grouting</t>
  </si>
  <si>
    <t xml:space="preserve">Non-shrink cementitious grout to base plate / gap</t>
  </si>
  <si>
    <t xml:space="preserve">Super Structure|Structural Column|Grouting</t>
  </si>
  <si>
    <t xml:space="preserve">Structural Beam</t>
  </si>
  <si>
    <t xml:space="preserve">Super Structure|Structural Beam|Concrete</t>
  </si>
  <si>
    <t xml:space="preserve">Super Structure|Structural Beam|Formwork</t>
  </si>
  <si>
    <t xml:space="preserve">Super Structure|Structural Beam|Rebar</t>
  </si>
  <si>
    <t xml:space="preserve">Super Structure|Structural Beam|Steel Tie Wire</t>
  </si>
  <si>
    <t xml:space="preserve">Structural Slab</t>
  </si>
  <si>
    <t xml:space="preserve">Super Structure|Structural Slab|Concrete</t>
  </si>
  <si>
    <t xml:space="preserve">Super Structure|Structural Slab|Formwork</t>
  </si>
  <si>
    <t xml:space="preserve">Super Structure|Structural Slab|Rebar</t>
  </si>
  <si>
    <t xml:space="preserve">Super Structure|Structural Slab|Steel Tie Wire</t>
  </si>
  <si>
    <t xml:space="preserve">Post-Tension Strand</t>
  </si>
  <si>
    <t xml:space="preserve">Post-tension strand incl. duct, anchorage, stressing and grouting</t>
  </si>
  <si>
    <t xml:space="preserve">Super Structure|Structural Slab|Post-Tension Strand</t>
  </si>
  <si>
    <t xml:space="preserve">Steel Deck</t>
  </si>
  <si>
    <t xml:space="preserve">Galvanised steel deck 0.75mm thk. incl. shear stud and end closure</t>
  </si>
  <si>
    <t xml:space="preserve">Super Structure|Structural Slab|Steel Deck</t>
  </si>
  <si>
    <t xml:space="preserve">Structural Wall</t>
  </si>
  <si>
    <t xml:space="preserve">Super Structure|Structural Wall|Concrete</t>
  </si>
  <si>
    <t xml:space="preserve">Super Structure|Structural Wall|Formwork</t>
  </si>
  <si>
    <t xml:space="preserve">Super Structure|Structural Wall|Rebar</t>
  </si>
  <si>
    <t xml:space="preserve">Super Structure|Structural Wall|Steel Tie Wire</t>
  </si>
  <si>
    <t xml:space="preserve">Super Structure|Structural Wall|Water Stop</t>
  </si>
  <si>
    <t xml:space="preserve">Structural Staircase</t>
  </si>
  <si>
    <t xml:space="preserve">Super Structure|Structural Staircase|Concrete</t>
  </si>
  <si>
    <t xml:space="preserve">Super Structure|Structural Staircase|Formwork</t>
  </si>
  <si>
    <t xml:space="preserve">Super Structure|Structural Staircase|Rebar</t>
  </si>
  <si>
    <t xml:space="preserve">Super Structure|Structural Staircase|Steel Tie Wire</t>
  </si>
  <si>
    <t xml:space="preserve">Parapet wall &amp; Stiffener Column</t>
  </si>
  <si>
    <t xml:space="preserve">Super Structure|Parapet wall &amp; Stiffener Column|Concrete</t>
  </si>
  <si>
    <t xml:space="preserve">Super Structure|Parapet wall &amp; Stiffener Column|Formwork</t>
  </si>
  <si>
    <t xml:space="preserve">Super Structure|Parapet wall &amp; Stiffener Column|Rebar</t>
  </si>
  <si>
    <t xml:space="preserve">Super Structure|Parapet wall &amp; Stiffener Column|Steel Tie Wire</t>
  </si>
  <si>
    <t xml:space="preserve">Lift Core / Shear Core</t>
  </si>
  <si>
    <t xml:space="preserve">Super Structure|Lift Core / Shear Core|Concrete</t>
  </si>
  <si>
    <t xml:space="preserve">Super Structure|Lift Core / Shear Core|Formwork</t>
  </si>
  <si>
    <t xml:space="preserve">Super Structure|Lift Core / Shear Core|Rebar</t>
  </si>
  <si>
    <t xml:space="preserve">Super Structure|Lift Core / Shear Core|Steel Tie Wire</t>
  </si>
  <si>
    <t xml:space="preserve">Super Structure|Lift Core / Shear Core|Water Stop</t>
  </si>
  <si>
    <t xml:space="preserve">Ramp</t>
  </si>
  <si>
    <t xml:space="preserve">Super Structure|Ramp|Concrete</t>
  </si>
  <si>
    <t xml:space="preserve">Super Structure|Ramp|Formwork</t>
  </si>
  <si>
    <t xml:space="preserve">Super Structure|Ramp|Rebar</t>
  </si>
  <si>
    <t xml:space="preserve">Super Structure|Ramp|Steel Tie Wire</t>
  </si>
  <si>
    <t xml:space="preserve">Structural Steel</t>
  </si>
  <si>
    <t xml:space="preserve">Steel Section / Beam</t>
  </si>
  <si>
    <t xml:space="preserve">Structural steel section (H/I beam) SS400 incl. fabrication and erection</t>
  </si>
  <si>
    <t xml:space="preserve">Super Structure|Structural Steel|Steel Section / Beam</t>
  </si>
  <si>
    <t xml:space="preserve">U steel</t>
  </si>
  <si>
    <t xml:space="preserve">U-50*100*5mm</t>
  </si>
  <si>
    <t xml:space="preserve">Super Structure|Structural Steel|U steel</t>
  </si>
  <si>
    <t xml:space="preserve">Hollow steel tube</t>
  </si>
  <si>
    <t xml:space="preserve">Tub-50*100*2mm</t>
  </si>
  <si>
    <t xml:space="preserve">Super Structure|Structural Steel|Hollow steel tube</t>
  </si>
  <si>
    <t xml:space="preserve">Purlin</t>
  </si>
  <si>
    <t xml:space="preserve">Steel purlin C-channel incl. fabrication, erection and fixing</t>
  </si>
  <si>
    <t xml:space="preserve">Super Structure|Structural Steel|Purlin</t>
  </si>
  <si>
    <t xml:space="preserve">Sag rod</t>
  </si>
  <si>
    <t xml:space="preserve">Sag rod 12mm</t>
  </si>
  <si>
    <t xml:space="preserve">Super Structure|Structural Steel|Sag rod</t>
  </si>
  <si>
    <t xml:space="preserve">Bracing</t>
  </si>
  <si>
    <t xml:space="preserve">Steel bracing member incl. fabrication, erection and connection</t>
  </si>
  <si>
    <t xml:space="preserve">Super Structure|Structural Steel|Bracing</t>
  </si>
  <si>
    <t xml:space="preserve">Base Plate</t>
  </si>
  <si>
    <t xml:space="preserve">Steel base plate incl. drilling, welding and levelling</t>
  </si>
  <si>
    <t xml:space="preserve">Super Structure|Structural Steel|Base Plate</t>
  </si>
  <si>
    <t xml:space="preserve">Steel plate</t>
  </si>
  <si>
    <t xml:space="preserve">Steel plate 200x230x12mm</t>
  </si>
  <si>
    <t xml:space="preserve">Super Structure|Structural Steel|Steel plate</t>
  </si>
  <si>
    <t xml:space="preserve">J bolt</t>
  </si>
  <si>
    <t xml:space="preserve">J bolt M12, L=600mm, grade 5.6</t>
  </si>
  <si>
    <t xml:space="preserve">Super Structure|Structural Steel|J bolt</t>
  </si>
  <si>
    <t xml:space="preserve">Anchor Bolt</t>
  </si>
  <si>
    <t xml:space="preserve">Anchor bolt incl. template, setting and grouting</t>
  </si>
  <si>
    <t xml:space="preserve">Super Structure|Structural Steel|Anchor Bolt</t>
  </si>
  <si>
    <t xml:space="preserve">Bolt &amp; Nut</t>
  </si>
  <si>
    <t xml:space="preserve">High tensile bolt, nut and washer grade 8.8</t>
  </si>
  <si>
    <t xml:space="preserve">Super Structure|Structural Steel|Bolt &amp; Nut</t>
  </si>
  <si>
    <t xml:space="preserve">Welding</t>
  </si>
  <si>
    <t xml:space="preserve">Site welding incl. electrode, preparation and testing</t>
  </si>
  <si>
    <t xml:space="preserve">Super Structure|Structural Steel|Welding</t>
  </si>
  <si>
    <t xml:space="preserve">Painting / Galvanizing</t>
  </si>
  <si>
    <t xml:space="preserve">Anti-corrosive primer and 2 coats finish paint to steelwork</t>
  </si>
  <si>
    <t xml:space="preserve">Super Structure|Structural Steel|Painting / Galvanizing</t>
  </si>
  <si>
    <t xml:space="preserve">Fire Proofing</t>
  </si>
  <si>
    <t xml:space="preserve">Intumescent fire protection coating to steelwork, 2 hour rating</t>
  </si>
  <si>
    <t xml:space="preserve">Super Structure|Structural Steel|Fire Proofing</t>
  </si>
  <si>
    <t xml:space="preserve">Roof Structure / Truss</t>
  </si>
  <si>
    <t xml:space="preserve">Truss</t>
  </si>
  <si>
    <t xml:space="preserve">Steel roof truss incl. fabrication, erection and connection</t>
  </si>
  <si>
    <t xml:space="preserve">Super Structure|Roof Structure / Truss|Truss</t>
  </si>
  <si>
    <t xml:space="preserve">Super Structure|Roof Structure / Truss|Purlin</t>
  </si>
  <si>
    <t xml:space="preserve">Super Structure|Roof Structure / Truss|Sag rod</t>
  </si>
  <si>
    <t xml:space="preserve">Super Structure|Roof Structure / Truss|Bracing</t>
  </si>
  <si>
    <t xml:space="preserve">Zinc sheet</t>
  </si>
  <si>
    <t xml:space="preserve">Zinc sheet 0.4mm</t>
  </si>
  <si>
    <t xml:space="preserve">Super Structure|Roof Structure / Truss|Zinc sheet</t>
  </si>
  <si>
    <t xml:space="preserve">Flashing</t>
  </si>
  <si>
    <t xml:space="preserve">Flashing cover roof</t>
  </si>
  <si>
    <t xml:space="preserve">Super Structure|Roof Structure / Truss|Flashing</t>
  </si>
  <si>
    <t xml:space="preserve">Super Structure|Roof Structure / Truss|Anchor Bolt</t>
  </si>
  <si>
    <t xml:space="preserve">Super Structure|Roof Structure / Truss|Painting / Galvanizing</t>
  </si>
  <si>
    <t xml:space="preserve">Testing &amp; Quality Control</t>
  </si>
  <si>
    <t xml:space="preserve">Super Structure|Testing &amp; Quality Control|Concrete Testing</t>
  </si>
  <si>
    <t xml:space="preserve">Super Structure|Testing &amp; Quality Control|Rebar Testing</t>
  </si>
  <si>
    <t xml:space="preserve">Non-Destructive Test</t>
  </si>
  <si>
    <t xml:space="preserve">Non-destructive test (rebound hammer / ultrasonic) as per specification</t>
  </si>
  <si>
    <t xml:space="preserve">Super Structure|Testing &amp; Quality Control|Non-Destructive Test</t>
  </si>
  <si>
    <t xml:space="preserve">Survey &amp; As-Built</t>
  </si>
  <si>
    <t xml:space="preserve">Setting out, survey and as-built record</t>
  </si>
  <si>
    <t xml:space="preserve">Super Structure|Testing &amp; Quality Control|Survey &amp; As-Built</t>
  </si>
  <si>
    <t xml:space="preserve">Architecture</t>
  </si>
  <si>
    <t xml:space="preserve">C.01</t>
  </si>
  <si>
    <t xml:space="preserve">Exterior Wall and Partition</t>
  </si>
  <si>
    <t xml:space="preserve">Hollow clay brick</t>
  </si>
  <si>
    <t xml:space="preserve">Hollow clay brick 100mm Thk.</t>
  </si>
  <si>
    <t xml:space="preserve">Hollow clay brick, thickness 100mm, laid in cement:sand mortar 1:4</t>
  </si>
  <si>
    <t xml:space="preserve">Exterior Wall and Partition|Hollow clay brick|Hollow clay brick 100mm Thk.</t>
  </si>
  <si>
    <t xml:space="preserve">Hollow clay brick 200mm Thk.</t>
  </si>
  <si>
    <t xml:space="preserve">Hollow clay brick (80x80x180)mm, thickness 200mm Thk.</t>
  </si>
  <si>
    <t xml:space="preserve">Exterior Wall and Partition|Hollow clay brick|Hollow clay brick 200mm Thk.</t>
  </si>
  <si>
    <t xml:space="preserve">Hollow clay brick 400mm Thk.</t>
  </si>
  <si>
    <t xml:space="preserve">Hollow clay brick (80x80x180)mm, thickness 400mm Thk.</t>
  </si>
  <si>
    <t xml:space="preserve">Exterior Wall and Partition|Hollow clay brick|Hollow clay brick 400mm Thk.</t>
  </si>
  <si>
    <t xml:space="preserve">Hollow clay brick 500mm Thk.</t>
  </si>
  <si>
    <t xml:space="preserve">Hollow clay brick (80x80x180)mm, thickness 500mm Thk.</t>
  </si>
  <si>
    <t xml:space="preserve">Exterior Wall and Partition|Hollow clay brick|Hollow clay brick 500mm Thk.</t>
  </si>
  <si>
    <t xml:space="preserve">Hollow clay brick 800mm Thk.</t>
  </si>
  <si>
    <t xml:space="preserve">Hollow clay brick (80x80x180)mm, thickness 800mm Thk.</t>
  </si>
  <si>
    <t xml:space="preserve">Exterior Wall and Partition|Hollow clay brick|Hollow clay brick 800mm Thk.</t>
  </si>
  <si>
    <t xml:space="preserve">Concrete block</t>
  </si>
  <si>
    <t xml:space="preserve">Concrete block 100mm Thk.</t>
  </si>
  <si>
    <t xml:space="preserve">concrete block, thickness 100mm, laid in cement:sand mortar 1:4</t>
  </si>
  <si>
    <t xml:space="preserve">Exterior Wall and Partition|Concrete block|Concrete block 100mm Thk.</t>
  </si>
  <si>
    <t xml:space="preserve">Concrete block 150mm Thk.</t>
  </si>
  <si>
    <t xml:space="preserve">concrete block, thickness 150mm, laid in cement:sand mortar 1:4</t>
  </si>
  <si>
    <t xml:space="preserve">Exterior Wall and Partition|Concrete block|Concrete block 150mm Thk.</t>
  </si>
  <si>
    <t xml:space="preserve">Concrete block 200mm Thk.</t>
  </si>
  <si>
    <t xml:space="preserve">concrete block, thickness 200mm, laid in cement:sand mortar 1:4</t>
  </si>
  <si>
    <t xml:space="preserve">Exterior Wall and Partition|Concrete block|Concrete block 200mm Thk.</t>
  </si>
  <si>
    <t xml:space="preserve">AAC block</t>
  </si>
  <si>
    <t xml:space="preserve">AAC block 100mm Thk.</t>
  </si>
  <si>
    <t xml:space="preserve">AAC lightweight block 100mm thk. laid in thin-bed adhesive mortar</t>
  </si>
  <si>
    <t xml:space="preserve">Exterior Wall and Partition|AAC block|AAC block 100mm Thk.</t>
  </si>
  <si>
    <t xml:space="preserve">AAC block 150mm Thk.</t>
  </si>
  <si>
    <t xml:space="preserve">AAC lightweight block 150mm thk. laid in thin-bed adhesive mortar</t>
  </si>
  <si>
    <t xml:space="preserve">Exterior Wall and Partition|AAC block|AAC block 150mm Thk.</t>
  </si>
  <si>
    <t xml:space="preserve">AAC block 200mm Thk.</t>
  </si>
  <si>
    <t xml:space="preserve">AAC lightweight block 200mm thk. laid in thin-bed adhesive mortar</t>
  </si>
  <si>
    <t xml:space="preserve">Exterior Wall and Partition|AAC block|AAC block 200mm Thk.</t>
  </si>
  <si>
    <t xml:space="preserve">Precast concrete panel</t>
  </si>
  <si>
    <t xml:space="preserve">Precast wall panel</t>
  </si>
  <si>
    <t xml:space="preserve">Precast concrete wall panel incl. lifting, setting and jointing</t>
  </si>
  <si>
    <t xml:space="preserve">Exterior Wall and Partition|Precast concrete panel|Precast wall panel</t>
  </si>
  <si>
    <t xml:space="preserve">Panel jointing &amp; sealant</t>
  </si>
  <si>
    <t xml:space="preserve">Panel joint backer rod and weatherproof silicone sealant</t>
  </si>
  <si>
    <t xml:space="preserve">Exterior Wall and Partition|Precast concrete panel|Panel jointing &amp; sealant</t>
  </si>
  <si>
    <t xml:space="preserve">External façade</t>
  </si>
  <si>
    <t xml:space="preserve">concrete block</t>
  </si>
  <si>
    <t xml:space="preserve">Exterior Wall and Partition|External façade|External façade</t>
  </si>
  <si>
    <t xml:space="preserve">Curtain wall</t>
  </si>
  <si>
    <t xml:space="preserve">Aluminium curtain wall system with 8mm tempered glass incl. framing and sealant</t>
  </si>
  <si>
    <t xml:space="preserve">Exterior Wall and Partition|External façade|Curtain wall</t>
  </si>
  <si>
    <t xml:space="preserve">Aluminium composite panel</t>
  </si>
  <si>
    <t xml:space="preserve">Aluminium composite panel 4mm, PVDF finish, incl. sub-frame and sealant</t>
  </si>
  <si>
    <t xml:space="preserve">Exterior Wall and Partition|External façade|Aluminium composite panel</t>
  </si>
  <si>
    <t xml:space="preserve">Louver screen</t>
  </si>
  <si>
    <t xml:space="preserve">Aluminium louver screen incl. sub-frame and fixing</t>
  </si>
  <si>
    <t xml:space="preserve">Exterior Wall and Partition|External façade|Louver screen</t>
  </si>
  <si>
    <t xml:space="preserve">C.02</t>
  </si>
  <si>
    <t xml:space="preserve">Exterior Wall Finishes</t>
  </si>
  <si>
    <t xml:space="preserve">Plastering</t>
  </si>
  <si>
    <t xml:space="preserve">20mm cement plaster</t>
  </si>
  <si>
    <t xml:space="preserve">Exterior Wall Finishes|Plastering|Plastering</t>
  </si>
  <si>
    <t xml:space="preserve">Skim coat</t>
  </si>
  <si>
    <t xml:space="preserve">Skim coat, 2 coats, sanded ready to receive paint</t>
  </si>
  <si>
    <t xml:space="preserve">Exterior Wall Finishes|Plastering|Skim coat</t>
  </si>
  <si>
    <t xml:space="preserve">Molding / Cornice</t>
  </si>
  <si>
    <t xml:space="preserve">Cement molding / cornice incl. forming and finishing</t>
  </si>
  <si>
    <t xml:space="preserve">Exterior Wall Finishes|Plastering|Molding / Cornice</t>
  </si>
  <si>
    <t xml:space="preserve">Painting</t>
  </si>
  <si>
    <t xml:space="preserve">Exterior Wall Finishes|Painting|Painting</t>
  </si>
  <si>
    <t xml:space="preserve">Primer coat</t>
  </si>
  <si>
    <t xml:space="preserve">Alkali resistant primer, 1 coat</t>
  </si>
  <si>
    <t xml:space="preserve">Exterior Wall Finishes|Painting|Primer coat</t>
  </si>
  <si>
    <t xml:space="preserve">Weather-shield coating</t>
  </si>
  <si>
    <t xml:space="preserve">Weather-shield exterior coating, primer + 2 coats</t>
  </si>
  <si>
    <t xml:space="preserve">Exterior Wall Finishes|Painting|Weather-shield coating</t>
  </si>
  <si>
    <t xml:space="preserve">Wall tiling</t>
  </si>
  <si>
    <t xml:space="preserve">Wall tile Size 0.6x0.6m,Height 1.2m, at cooridor</t>
  </si>
  <si>
    <t xml:space="preserve">Exterior Wall Finishes|Wall tiling|Wall tiling</t>
  </si>
  <si>
    <t xml:space="preserve">Stone cladding</t>
  </si>
  <si>
    <t xml:space="preserve">Natural stone cladding incl. adhesive, anchor and pointing</t>
  </si>
  <si>
    <t xml:space="preserve">Exterior Wall Finishes|Wall tiling|Stone cladding</t>
  </si>
  <si>
    <t xml:space="preserve">Expansion joint</t>
  </si>
  <si>
    <t xml:space="preserve">Expansion joint incl. backer rod, sealant and cover profile</t>
  </si>
  <si>
    <t xml:space="preserve">Exterior Wall Finishes|Expansion joint|Expansion joint</t>
  </si>
  <si>
    <t xml:space="preserve">Sealant</t>
  </si>
  <si>
    <t xml:space="preserve">Weatherproof silicone sealant incl. backer rod</t>
  </si>
  <si>
    <t xml:space="preserve">Exterior Wall Finishes|Expansion joint|Sealant</t>
  </si>
  <si>
    <t xml:space="preserve">C.03</t>
  </si>
  <si>
    <t xml:space="preserve">Exterior Door</t>
  </si>
  <si>
    <t xml:space="preserve">Steel Door</t>
  </si>
  <si>
    <t xml:space="preserve">Steel Door, W:900,H:2100mm incl. frame, ironmongery and painting</t>
  </si>
  <si>
    <t xml:space="preserve">Exterior Door|Steel Door|Steel Door</t>
  </si>
  <si>
    <t xml:space="preserve">Fire rated steel door</t>
  </si>
  <si>
    <t xml:space="preserve">Fire rated steel door 2 hour incl. frame, closer and panic bar</t>
  </si>
  <si>
    <t xml:space="preserve">Exterior Door|Steel Door|Fire rated steel door</t>
  </si>
  <si>
    <t xml:space="preserve">Aluminium door</t>
  </si>
  <si>
    <t xml:space="preserve">Aluminium framed door with 6mm tempered glass incl. ironmongery</t>
  </si>
  <si>
    <t xml:space="preserve">Exterior Door|Aluminium door|Aluminium door</t>
  </si>
  <si>
    <t xml:space="preserve">Aluminium sliding door</t>
  </si>
  <si>
    <t xml:space="preserve">Aluminium sliding door with 6mm tempered glass incl. track and ironmongery</t>
  </si>
  <si>
    <t xml:space="preserve">Exterior Door|Aluminium door|Aluminium sliding door</t>
  </si>
  <si>
    <t xml:space="preserve">Glass door</t>
  </si>
  <si>
    <t xml:space="preserve">Frameless glass door</t>
  </si>
  <si>
    <t xml:space="preserve">Frameless tempered glass door 12mm incl. floor spring and patch fitting</t>
  </si>
  <si>
    <t xml:space="preserve">Exterior Door|Glass door|Frameless glass door</t>
  </si>
  <si>
    <t xml:space="preserve">Framed glass door</t>
  </si>
  <si>
    <t xml:space="preserve">Aluminium framed glass door incl. ironmongery</t>
  </si>
  <si>
    <t xml:space="preserve">Exterior Door|Glass door|Framed glass door</t>
  </si>
  <si>
    <t xml:space="preserve">Rolling shutter</t>
  </si>
  <si>
    <t xml:space="preserve">Galvanised steel rolling shutter incl. guide rail and lock</t>
  </si>
  <si>
    <t xml:space="preserve">Exterior Door|Rolling shutter|Rolling shutter</t>
  </si>
  <si>
    <t xml:space="preserve">Motor &amp; control</t>
  </si>
  <si>
    <t xml:space="preserve">Roller shutter motor and control panel incl. wiring</t>
  </si>
  <si>
    <t xml:space="preserve">Exterior Door|Rolling shutter|Motor &amp; control</t>
  </si>
  <si>
    <t xml:space="preserve">Door ironmongery</t>
  </si>
  <si>
    <t xml:space="preserve">Lockset</t>
  </si>
  <si>
    <t xml:space="preserve">Mortice lockset, stainless steel lever handle</t>
  </si>
  <si>
    <t xml:space="preserve">Exterior Door|Door ironmongery|Lockset</t>
  </si>
  <si>
    <t xml:space="preserve">Door closer</t>
  </si>
  <si>
    <t xml:space="preserve">Overhead door closer, adjustable</t>
  </si>
  <si>
    <t xml:space="preserve">Exterior Door|Door ironmongery|Door closer</t>
  </si>
  <si>
    <t xml:space="preserve">Hinge</t>
  </si>
  <si>
    <t xml:space="preserve">Stainless steel butt hinge 100mm</t>
  </si>
  <si>
    <t xml:space="preserve">Exterior Door|Door ironmongery|Hinge</t>
  </si>
  <si>
    <t xml:space="preserve">Door stopper</t>
  </si>
  <si>
    <t xml:space="preserve">Floor / wall mounted door stopper</t>
  </si>
  <si>
    <t xml:space="preserve">Exterior Door|Door ironmongery|Door stopper</t>
  </si>
  <si>
    <t xml:space="preserve">C.04</t>
  </si>
  <si>
    <t xml:space="preserve">Exterior Window and Louver</t>
  </si>
  <si>
    <t xml:space="preserve">Glass Window</t>
  </si>
  <si>
    <t xml:space="preserve">Internal Fix Windoor (L:1200,H:500)mm &amp; Slide window (L:1200,H:1000)mm</t>
  </si>
  <si>
    <t xml:space="preserve">Exterior Window and Louver|Glass Window|Glass Window</t>
  </si>
  <si>
    <t xml:space="preserve">Fixed glass window</t>
  </si>
  <si>
    <t xml:space="preserve">Fixed aluminium window with 6mm tempered glass incl. sealant</t>
  </si>
  <si>
    <t xml:space="preserve">Exterior Window and Louver|Glass Window|Fixed glass window</t>
  </si>
  <si>
    <t xml:space="preserve">Sliding glass window</t>
  </si>
  <si>
    <t xml:space="preserve">Sliding aluminium window with 6mm tempered glass incl. track and lock</t>
  </si>
  <si>
    <t xml:space="preserve">Exterior Window and Louver|Glass Window|Sliding glass window</t>
  </si>
  <si>
    <t xml:space="preserve">Casement window</t>
  </si>
  <si>
    <t xml:space="preserve">Casement aluminium window with 6mm glass incl. friction stay</t>
  </si>
  <si>
    <t xml:space="preserve">Exterior Window and Louver|Glass Window|Casement window</t>
  </si>
  <si>
    <t xml:space="preserve">Aluminium louver</t>
  </si>
  <si>
    <t xml:space="preserve">Aluminium louver incl. frame and fixing</t>
  </si>
  <si>
    <t xml:space="preserve">Exterior Window and Louver|Aluminium louver|Aluminium louver</t>
  </si>
  <si>
    <t xml:space="preserve">Steel louver</t>
  </si>
  <si>
    <t xml:space="preserve">Steel louver incl. frame, fixing and painting</t>
  </si>
  <si>
    <t xml:space="preserve">Exterior Window and Louver|Aluminium louver|Steel louver</t>
  </si>
  <si>
    <t xml:space="preserve">Window accessories</t>
  </si>
  <si>
    <t xml:space="preserve">Window fence / grille</t>
  </si>
  <si>
    <t xml:space="preserve">Steel window grille incl. painting and fixing</t>
  </si>
  <si>
    <t xml:space="preserve">Exterior Window and Louver|Window accessories|Window fence / grille</t>
  </si>
  <si>
    <t xml:space="preserve">Mosquito screen</t>
  </si>
  <si>
    <t xml:space="preserve">Aluminium frame mosquito / insect screen</t>
  </si>
  <si>
    <t xml:space="preserve">Exterior Window and Louver|Window accessories|Mosquito screen</t>
  </si>
  <si>
    <t xml:space="preserve">Exterior Window and Louver|Window accessories|Sealant</t>
  </si>
  <si>
    <t xml:space="preserve">Window sill</t>
  </si>
  <si>
    <t xml:space="preserve">Cement / stone window sill incl. forming and finishing</t>
  </si>
  <si>
    <t xml:space="preserve">Exterior Window and Louver|Window accessories|Window sill</t>
  </si>
  <si>
    <t xml:space="preserve">C.05</t>
  </si>
  <si>
    <t xml:space="preserve">Exterior floor</t>
  </si>
  <si>
    <t xml:space="preserve">Screeding</t>
  </si>
  <si>
    <t xml:space="preserve">Cement:sand screed 1:3, 40mm thk. steel trowel finish</t>
  </si>
  <si>
    <t xml:space="preserve">Exterior floor|Screeding|Screeding</t>
  </si>
  <si>
    <t xml:space="preserve">Floor hardener</t>
  </si>
  <si>
    <t xml:space="preserve">Non-metallic floor hardener 3kg/m2 incl. power trowel finish</t>
  </si>
  <si>
    <t xml:space="preserve">Exterior floor|Screeding|Floor hardener</t>
  </si>
  <si>
    <t xml:space="preserve">Floor tiling</t>
  </si>
  <si>
    <t xml:space="preserve">Floor tile Size 0.3x0.3m incl. adhesive and grout</t>
  </si>
  <si>
    <t xml:space="preserve">Exterior floor|Floor tiling|Floor tiling</t>
  </si>
  <si>
    <t xml:space="preserve">Anti-slip tile</t>
  </si>
  <si>
    <t xml:space="preserve">Anti-slip ceramic tile incl. adhesive and grout</t>
  </si>
  <si>
    <t xml:space="preserve">Exterior floor|Floor tiling|Anti-slip tile</t>
  </si>
  <si>
    <t xml:space="preserve">Exterior floor|Waterproofing|Waterproofing</t>
  </si>
  <si>
    <t xml:space="preserve">Protection screed</t>
  </si>
  <si>
    <t xml:space="preserve">Protection screed 40mm thk. to waterproofing membrane</t>
  </si>
  <si>
    <t xml:space="preserve">Exterior floor|Waterproofing|Protection screed</t>
  </si>
  <si>
    <t xml:space="preserve">C.06</t>
  </si>
  <si>
    <t xml:space="preserve">Exterior soffit</t>
  </si>
  <si>
    <t xml:space="preserve">Soffit finishes</t>
  </si>
  <si>
    <t xml:space="preserve">Exterior soffit|Soffit finishes|Plastering</t>
  </si>
  <si>
    <t xml:space="preserve">Exterior soffit|Soffit finishes|Painting</t>
  </si>
  <si>
    <t xml:space="preserve">Soffit cladding</t>
  </si>
  <si>
    <t xml:space="preserve">Soffit cladding board incl. sub-frame and jointing</t>
  </si>
  <si>
    <t xml:space="preserve">Exterior soffit|Soffit finishes|Soffit cladding</t>
  </si>
  <si>
    <t xml:space="preserve">C.07</t>
  </si>
  <si>
    <t xml:space="preserve">Exterior Stair Ramp</t>
  </si>
  <si>
    <t xml:space="preserve">Stair &amp; Ramp finishes</t>
  </si>
  <si>
    <t xml:space="preserve">Stair tread &amp; riser finish</t>
  </si>
  <si>
    <t xml:space="preserve">Stair tread and riser tile / stone finish incl. adhesive</t>
  </si>
  <si>
    <t xml:space="preserve">Exterior Stair Ramp|Stair &amp; Ramp finishes|Stair tread &amp; riser finish</t>
  </si>
  <si>
    <t xml:space="preserve">Ramp finish</t>
  </si>
  <si>
    <t xml:space="preserve">Ramp anti-slip floor finish incl. adhesive and grout</t>
  </si>
  <si>
    <t xml:space="preserve">Exterior Stair Ramp|Stair &amp; Ramp finishes|Ramp finish</t>
  </si>
  <si>
    <t xml:space="preserve">Stair nosing</t>
  </si>
  <si>
    <t xml:space="preserve">Aluminium stair nosing with anti-slip insert</t>
  </si>
  <si>
    <t xml:space="preserve">Exterior Stair Ramp|Stair &amp; Ramp finishes|Stair nosing</t>
  </si>
  <si>
    <t xml:space="preserve">Tactile paving</t>
  </si>
  <si>
    <t xml:space="preserve">Tactile warning paving for accessibility incl. adhesive</t>
  </si>
  <si>
    <t xml:space="preserve">Exterior Stair Ramp|Stair &amp; Ramp finishes|Tactile paving</t>
  </si>
  <si>
    <t xml:space="preserve">Handrail &amp; Balustrade</t>
  </si>
  <si>
    <t xml:space="preserve">Handrail</t>
  </si>
  <si>
    <t xml:space="preserve">Steel handrail with paiting H=1m</t>
  </si>
  <si>
    <t xml:space="preserve">Exterior Stair Ramp|Handrail &amp; Balustrade|Handrail</t>
  </si>
  <si>
    <t xml:space="preserve">Balustrade</t>
  </si>
  <si>
    <t xml:space="preserve">Stainless steel / glass balustrade H=1.1m incl. fixing</t>
  </si>
  <si>
    <t xml:space="preserve">Exterior Stair Ramp|Handrail &amp; Balustrade|Balustrade</t>
  </si>
  <si>
    <t xml:space="preserve">Guard rail</t>
  </si>
  <si>
    <t xml:space="preserve">Steel guard rail incl. fabrication, painting and fixing</t>
  </si>
  <si>
    <t xml:space="preserve">Exterior Stair Ramp|Handrail &amp; Balustrade|Guard rail</t>
  </si>
  <si>
    <t xml:space="preserve">C.08</t>
  </si>
  <si>
    <t xml:space="preserve">Roofing</t>
  </si>
  <si>
    <t xml:space="preserve">Roof covering</t>
  </si>
  <si>
    <t xml:space="preserve">Metal roof sheet</t>
  </si>
  <si>
    <t xml:space="preserve">Metal roof sheet 0.47mm thk. colour coated incl. fixing accessories</t>
  </si>
  <si>
    <t xml:space="preserve">Roofing|Roof covering|Metal roof sheet</t>
  </si>
  <si>
    <t xml:space="preserve">Roof tile</t>
  </si>
  <si>
    <t xml:space="preserve">Concrete / clay roof tile incl. batten, ridge and fixing</t>
  </si>
  <si>
    <t xml:space="preserve">Roofing|Roof covering|Roof tile</t>
  </si>
  <si>
    <t xml:space="preserve">Translucent sheet</t>
  </si>
  <si>
    <t xml:space="preserve">Translucent polycarbonate roof sheet incl. fixing</t>
  </si>
  <si>
    <t xml:space="preserve">Roofing|Roof covering|Translucent sheet</t>
  </si>
  <si>
    <t xml:space="preserve">Ridge cap</t>
  </si>
  <si>
    <t xml:space="preserve">Colour coated ridge cap incl. sealing and fixing</t>
  </si>
  <si>
    <t xml:space="preserve">Roofing|Roof covering|Ridge cap</t>
  </si>
  <si>
    <t xml:space="preserve">Roof waterproofing &amp; insulation</t>
  </si>
  <si>
    <t xml:space="preserve">Waterproofing membrane</t>
  </si>
  <si>
    <t xml:space="preserve">Torch-on bituminous waterproofing membrane 3mm incl. primer and up-turn</t>
  </si>
  <si>
    <t xml:space="preserve">Roofing|Roof waterproofing &amp; insulation|Waterproofing membrane</t>
  </si>
  <si>
    <t xml:space="preserve">Thermal insulation</t>
  </si>
  <si>
    <t xml:space="preserve">Roof thermal insulation, glasswool 50mm with foil facing</t>
  </si>
  <si>
    <t xml:space="preserve">Roofing|Roof waterproofing &amp; insulation|Thermal insulation</t>
  </si>
  <si>
    <t xml:space="preserve">Vapour barrier</t>
  </si>
  <si>
    <t xml:space="preserve">Vapour barrier; supply and install complete incl. all accessories, jointing and making good.</t>
  </si>
  <si>
    <t xml:space="preserve">Roofing|Roof waterproofing &amp; insulation|Vapour barrier</t>
  </si>
  <si>
    <t xml:space="preserve">Roofing|Roof waterproofing &amp; insulation|Protection screed</t>
  </si>
  <si>
    <t xml:space="preserve">Roof drainage</t>
  </si>
  <si>
    <t xml:space="preserve">Gutter</t>
  </si>
  <si>
    <t xml:space="preserve">Colour coated metal gutter incl. bracket and outlet</t>
  </si>
  <si>
    <t xml:space="preserve">Roofing|Roof drainage|Gutter</t>
  </si>
  <si>
    <t xml:space="preserve">Downpipe</t>
  </si>
  <si>
    <t xml:space="preserve">uPVC downpipe incl. bracket, bend and shoe</t>
  </si>
  <si>
    <t xml:space="preserve">Roofing|Roof drainage|Downpipe</t>
  </si>
  <si>
    <t xml:space="preserve">Roof drain</t>
  </si>
  <si>
    <t xml:space="preserve">Cast iron / uPVC roof drain with dome grating</t>
  </si>
  <si>
    <t xml:space="preserve">Roofing|Roof drainage|Roof drain</t>
  </si>
  <si>
    <t xml:space="preserve">Roofing|Roof drainage|Flashing</t>
  </si>
  <si>
    <t xml:space="preserve">Roof accessories</t>
  </si>
  <si>
    <t xml:space="preserve">Skylight</t>
  </si>
  <si>
    <t xml:space="preserve">Skylight with laminated glass incl. aluminium frame and flashing</t>
  </si>
  <si>
    <t xml:space="preserve">Roofing|Roof accessories|Skylight</t>
  </si>
  <si>
    <t xml:space="preserve">Roof access hatch</t>
  </si>
  <si>
    <t xml:space="preserve">Roof access hatch incl. frame, cover and lock</t>
  </si>
  <si>
    <t xml:space="preserve">Roofing|Roof accessories|Roof access hatch</t>
  </si>
  <si>
    <t xml:space="preserve">Roof ladder</t>
  </si>
  <si>
    <t xml:space="preserve">Steel cat ladder incl. safety hoop and painting</t>
  </si>
  <si>
    <t xml:space="preserve">Roofing|Roof accessories|Roof ladder</t>
  </si>
  <si>
    <t xml:space="preserve">Lightning terminal base</t>
  </si>
  <si>
    <t xml:space="preserve">Lightning air terminal base incl. fixing to roof structure</t>
  </si>
  <si>
    <t xml:space="preserve">Roofing|Roof accessories|Lightning terminal base</t>
  </si>
  <si>
    <t xml:space="preserve">C.09</t>
  </si>
  <si>
    <t xml:space="preserve">Interior Wall and Partition</t>
  </si>
  <si>
    <t xml:space="preserve">Hollow clay brick (80x80x180)mm, thickness 100mm Thk.</t>
  </si>
  <si>
    <t xml:space="preserve">Interior Wall and Partition|Hollow clay brick|Hollow clay brick 100mm Thk.</t>
  </si>
  <si>
    <t xml:space="preserve">Hollow clay brick, thickness 200mm, laid in cement:sand mortar 1:4</t>
  </si>
  <si>
    <t xml:space="preserve">Interior Wall and Partition|Hollow clay brick|Hollow clay brick 200mm Thk.</t>
  </si>
  <si>
    <t xml:space="preserve">Dry wall partition</t>
  </si>
  <si>
    <t xml:space="preserve">Gypsum board partition</t>
  </si>
  <si>
    <t xml:space="preserve">Gypsum board partition 2x12mm both sides on 76mm metal stud incl. jointing</t>
  </si>
  <si>
    <t xml:space="preserve">Interior Wall and Partition|Dry wall partition|Gypsum board partition</t>
  </si>
  <si>
    <t xml:space="preserve">Cement board partition</t>
  </si>
  <si>
    <t xml:space="preserve">Fibre cement board partition 2x9mm both sides on metal stud incl. jointing</t>
  </si>
  <si>
    <t xml:space="preserve">Interior Wall and Partition|Dry wall partition|Cement board partition</t>
  </si>
  <si>
    <t xml:space="preserve">Metal stud framing</t>
  </si>
  <si>
    <t xml:space="preserve">Galvanised metal stud and track framing at 600mm c/c</t>
  </si>
  <si>
    <t xml:space="preserve">Interior Wall and Partition|Dry wall partition|Metal stud framing</t>
  </si>
  <si>
    <t xml:space="preserve">Acoustic infill</t>
  </si>
  <si>
    <t xml:space="preserve">Rockwool acoustic infill 50mm thk. density 60kg/m3 to partition cavity</t>
  </si>
  <si>
    <t xml:space="preserve">Interior Wall and Partition|Dry wall partition|Acoustic infill</t>
  </si>
  <si>
    <t xml:space="preserve">Glass partition</t>
  </si>
  <si>
    <t xml:space="preserve">Frameless glass partition</t>
  </si>
  <si>
    <t xml:space="preserve">Frameless tempered glass partition 12mm thk. incl. patch fitting and sealant</t>
  </si>
  <si>
    <t xml:space="preserve">Interior Wall and Partition|Glass partition|Frameless glass partition</t>
  </si>
  <si>
    <t xml:space="preserve">Framed glass partition</t>
  </si>
  <si>
    <t xml:space="preserve">Aluminium framed glass partition with 8mm tempered glass</t>
  </si>
  <si>
    <t xml:space="preserve">Interior Wall and Partition|Glass partition|Framed glass partition</t>
  </si>
  <si>
    <t xml:space="preserve">Toilet cubicle</t>
  </si>
  <si>
    <t xml:space="preserve">Toilet cubicle, compact laminate 12mm thk. incl. door, hardware and pilaster</t>
  </si>
  <si>
    <t xml:space="preserve">Interior Wall and Partition|Toilet cubicle|Toilet cubicle</t>
  </si>
  <si>
    <t xml:space="preserve">Urinal divider</t>
  </si>
  <si>
    <t xml:space="preserve">Urinal divider, compact laminate 12mm thk. incl. bracket</t>
  </si>
  <si>
    <t xml:space="preserve">Interior Wall and Partition|Toilet cubicle|Urinal divider</t>
  </si>
  <si>
    <t xml:space="preserve">Interior Wall and Partition|Handrail|Handrail</t>
  </si>
  <si>
    <t xml:space="preserve">Handrail on staircase</t>
  </si>
  <si>
    <t xml:space="preserve">Steel handrail with paiting Handrail on staircase, H=1m</t>
  </si>
  <si>
    <t xml:space="preserve">Interior Wall and Partition|Handrail|Handrail on staircase</t>
  </si>
  <si>
    <t xml:space="preserve">Wall guard rail</t>
  </si>
  <si>
    <t xml:space="preserve">Wall mounted guard rail / crash rail incl. bracket and fixing</t>
  </si>
  <si>
    <t xml:space="preserve">Interior Wall and Partition|Handrail|Wall guard rail</t>
  </si>
  <si>
    <t xml:space="preserve">C.10</t>
  </si>
  <si>
    <t xml:space="preserve">Interior Doors</t>
  </si>
  <si>
    <t xml:space="preserve">Wood door</t>
  </si>
  <si>
    <t xml:space="preserve">Wood door size (L:1600,H:2100,W:500)mm</t>
  </si>
  <si>
    <t xml:space="preserve">Interior Doors|Wood door|Wood door</t>
  </si>
  <si>
    <t xml:space="preserve">Solid core wood door</t>
  </si>
  <si>
    <t xml:space="preserve">Solid core timber door with laminate finish incl. frame and ironmongery</t>
  </si>
  <si>
    <t xml:space="preserve">Interior Doors|Wood door|Solid core wood door</t>
  </si>
  <si>
    <t xml:space="preserve">PVC door</t>
  </si>
  <si>
    <t xml:space="preserve">PVC door size (L:750,H:2000,W:400)mm</t>
  </si>
  <si>
    <t xml:space="preserve">Interior Doors|PVC door|PVC door</t>
  </si>
  <si>
    <t xml:space="preserve">Steel door size (L:880,H:2100,W:400)mm</t>
  </si>
  <si>
    <t xml:space="preserve">Interior Doors|Steel Door|Steel Door</t>
  </si>
  <si>
    <t xml:space="preserve">Fire rated door</t>
  </si>
  <si>
    <t xml:space="preserve">Fire rated door 1 hour, steel, incl. frame, closer and ironmongery</t>
  </si>
  <si>
    <t xml:space="preserve">Interior Doors|Steel Door|Fire rated door</t>
  </si>
  <si>
    <t xml:space="preserve">Aluminium / Glass door</t>
  </si>
  <si>
    <t xml:space="preserve">Interior Doors|Aluminium / Glass door|Aluminium door</t>
  </si>
  <si>
    <t xml:space="preserve">Tempered glass door 12mm thk. incl. patch fitting and floor spring</t>
  </si>
  <si>
    <t xml:space="preserve">Interior Doors|Aluminium / Glass door|Glass door</t>
  </si>
  <si>
    <t xml:space="preserve">Interior Doors|Door ironmongery|Lockset</t>
  </si>
  <si>
    <t xml:space="preserve">Interior Doors|Door ironmongery|Door closer</t>
  </si>
  <si>
    <t xml:space="preserve">Interior Doors|Door ironmongery|Hinge</t>
  </si>
  <si>
    <t xml:space="preserve">Interior Doors|Door ironmongery|Door stopper</t>
  </si>
  <si>
    <t xml:space="preserve">Panic bar</t>
  </si>
  <si>
    <t xml:space="preserve">Panic exit device / push bar to fire escape door</t>
  </si>
  <si>
    <t xml:space="preserve">Interior Doors|Door ironmongery|Panic bar</t>
  </si>
  <si>
    <t xml:space="preserve">Interior window / louver</t>
  </si>
  <si>
    <t xml:space="preserve">Interior glass window</t>
  </si>
  <si>
    <t xml:space="preserve">Interior aluminium framed glass window with 6mm glass</t>
  </si>
  <si>
    <t xml:space="preserve">Interior Doors|Interior window / louver|Interior glass window</t>
  </si>
  <si>
    <t xml:space="preserve">Interior louver</t>
  </si>
  <si>
    <t xml:space="preserve">Interior aluminium louver incl. frame</t>
  </si>
  <si>
    <t xml:space="preserve">Interior Doors|Interior window / louver|Interior louver</t>
  </si>
  <si>
    <t xml:space="preserve">C.11</t>
  </si>
  <si>
    <t xml:space="preserve">Special installation</t>
  </si>
  <si>
    <t xml:space="preserve">Gas installation</t>
  </si>
  <si>
    <t xml:space="preserve">LPG gas system</t>
  </si>
  <si>
    <t xml:space="preserve">LPG gas piping system incl. regulator, valve and testing</t>
  </si>
  <si>
    <t xml:space="preserve">Special installation|Gas installation|LPG gas system</t>
  </si>
  <si>
    <t xml:space="preserve">Laboratory gas outlet</t>
  </si>
  <si>
    <t xml:space="preserve">Laboratory gas outlet point incl. piping, valve and testing</t>
  </si>
  <si>
    <t xml:space="preserve">Special installation|Gas installation|Laboratory gas outlet</t>
  </si>
  <si>
    <t xml:space="preserve">D.01</t>
  </si>
  <si>
    <t xml:space="preserve">Interior Wall Finishes</t>
  </si>
  <si>
    <t xml:space="preserve">Interior Wall Finishes|Plastering|Plastering</t>
  </si>
  <si>
    <t xml:space="preserve">Interior Wall Finishes|Plastering|Skim coat</t>
  </si>
  <si>
    <t xml:space="preserve">Interior Wall Finishes|Painting|Painting</t>
  </si>
  <si>
    <t xml:space="preserve">Interior Wall Finishes|Painting|Primer coat</t>
  </si>
  <si>
    <t xml:space="preserve">Interior Wall Finishes|Wall tiling|Wall tiling</t>
  </si>
  <si>
    <t xml:space="preserve">Toilet Wall tile</t>
  </si>
  <si>
    <t xml:space="preserve">Toilet Wall tile Size 0.3x0.6m incl. adhesive and grout</t>
  </si>
  <si>
    <t xml:space="preserve">Interior Wall Finishes|Wall tiling|Toilet Wall tile</t>
  </si>
  <si>
    <t xml:space="preserve">Wall cladding</t>
  </si>
  <si>
    <t xml:space="preserve">Decorative wall cladding panel incl. sub-frame and fixing</t>
  </si>
  <si>
    <t xml:space="preserve">Interior Wall Finishes|Wall cladding|Wall cladding</t>
  </si>
  <si>
    <t xml:space="preserve">Acoustic panel</t>
  </si>
  <si>
    <t xml:space="preserve">Acoustic wall panel incl. sub-frame and fixing</t>
  </si>
  <si>
    <t xml:space="preserve">Interior Wall Finishes|Wall cladding|Acoustic panel</t>
  </si>
  <si>
    <t xml:space="preserve">Wallpaper</t>
  </si>
  <si>
    <t xml:space="preserve">Vinyl wallpaper incl. adhesive and surface preparation</t>
  </si>
  <si>
    <t xml:space="preserve">Interior Wall Finishes|Wall cladding|Wallpaper</t>
  </si>
  <si>
    <t xml:space="preserve">Mirror</t>
  </si>
  <si>
    <t xml:space="preserve">Silver mirror 5mm thk. incl. backing and fixing</t>
  </si>
  <si>
    <t xml:space="preserve">Interior Wall Finishes|Wall cladding|Mirror</t>
  </si>
  <si>
    <t xml:space="preserve">Skirting</t>
  </si>
  <si>
    <t xml:space="preserve">Tile / cement skirting 100mm high incl. adhesive and grout</t>
  </si>
  <si>
    <t xml:space="preserve">Interior Wall Finishes|Skirting|Skirting</t>
  </si>
  <si>
    <t xml:space="preserve">D.02</t>
  </si>
  <si>
    <t xml:space="preserve">Interior Floor Finishes</t>
  </si>
  <si>
    <t xml:space="preserve">Interior Floor Finishes|Screeding|Screeding</t>
  </si>
  <si>
    <t xml:space="preserve">Self-levelling screed</t>
  </si>
  <si>
    <t xml:space="preserve">Self-levelling screed 5mm thk. to receive floor finish</t>
  </si>
  <si>
    <t xml:space="preserve">Interior Floor Finishes|Screeding|Self-levelling screed</t>
  </si>
  <si>
    <t xml:space="preserve">Interior Floor Finishes|Floor tiling|Floor tiling</t>
  </si>
  <si>
    <t xml:space="preserve">Toilet Floor tile</t>
  </si>
  <si>
    <t xml:space="preserve">Toilet Floor tile Size 0.3x0.3m, anti-slip, incl. adhesive and grout</t>
  </si>
  <si>
    <t xml:space="preserve">Interior Floor Finishes|Floor tiling|Toilet Floor tile</t>
  </si>
  <si>
    <t xml:space="preserve">Homogeneous tile</t>
  </si>
  <si>
    <t xml:space="preserve">Homogeneous tile 600x600mm incl. adhesive and grout</t>
  </si>
  <si>
    <t xml:space="preserve">Interior Floor Finishes|Floor tiling|Homogeneous tile</t>
  </si>
  <si>
    <t xml:space="preserve">Stone flooring</t>
  </si>
  <si>
    <t xml:space="preserve">Marble on staircase</t>
  </si>
  <si>
    <t xml:space="preserve">Interior Floor Finishes|Stone flooring|Marble on staircase</t>
  </si>
  <si>
    <t xml:space="preserve">Marble flooring</t>
  </si>
  <si>
    <t xml:space="preserve">Marble slab flooring 20mm thk. incl. bedding, polishing and sealing</t>
  </si>
  <si>
    <t xml:space="preserve">Interior Floor Finishes|Stone flooring|Marble flooring</t>
  </si>
  <si>
    <t xml:space="preserve">Granite flooring</t>
  </si>
  <si>
    <t xml:space="preserve">Granite slab flooring 20mm thk. incl. bedding and polishing</t>
  </si>
  <si>
    <t xml:space="preserve">Interior Floor Finishes|Stone flooring|Granite flooring</t>
  </si>
  <si>
    <t xml:space="preserve">Resilient flooring</t>
  </si>
  <si>
    <t xml:space="preserve">Vinyl flooring</t>
  </si>
  <si>
    <t xml:space="preserve">Homogeneous vinyl sheet flooring 2mm thk. incl. adhesive and welding rod</t>
  </si>
  <si>
    <t xml:space="preserve">Interior Floor Finishes|Resilient flooring|Vinyl flooring</t>
  </si>
  <si>
    <t xml:space="preserve">Epoxy flooring</t>
  </si>
  <si>
    <t xml:space="preserve">Epoxy floor coating, self-levelling 2mm thk. incl. primer</t>
  </si>
  <si>
    <t xml:space="preserve">Interior Floor Finishes|Resilient flooring|Epoxy flooring</t>
  </si>
  <si>
    <t xml:space="preserve">Wooden flooring</t>
  </si>
  <si>
    <t xml:space="preserve">Engineered timber flooring incl. underlay and skirting</t>
  </si>
  <si>
    <t xml:space="preserve">Interior Floor Finishes|Resilient flooring|Wooden flooring</t>
  </si>
  <si>
    <t xml:space="preserve">Carpet</t>
  </si>
  <si>
    <t xml:space="preserve">Carpet tile 500x500mm incl. adhesive</t>
  </si>
  <si>
    <t xml:space="preserve">Interior Floor Finishes|Resilient flooring|Carpet</t>
  </si>
  <si>
    <t xml:space="preserve">Raised floor</t>
  </si>
  <si>
    <t xml:space="preserve">Raised access floor 600x600mm panel incl. pedestal</t>
  </si>
  <si>
    <t xml:space="preserve">Interior Floor Finishes|Resilient flooring|Raised floor</t>
  </si>
  <si>
    <t xml:space="preserve">Interior Floor Finishes|Waterproofing|Waterproofing</t>
  </si>
  <si>
    <t xml:space="preserve">anti termite</t>
  </si>
  <si>
    <t xml:space="preserve">Interior Floor Finishes|Waterproofing|anti termite</t>
  </si>
  <si>
    <t xml:space="preserve">Floor accessories</t>
  </si>
  <si>
    <t xml:space="preserve">Interior Floor Finishes|Floor accessories|Skirting</t>
  </si>
  <si>
    <t xml:space="preserve">Interior Floor Finishes|Floor accessories|Stair nosing</t>
  </si>
  <si>
    <t xml:space="preserve">Floor trim / divider</t>
  </si>
  <si>
    <t xml:space="preserve">Aluminium floor trim / divider strip</t>
  </si>
  <si>
    <t xml:space="preserve">Interior Floor Finishes|Floor accessories|Floor trim / divider</t>
  </si>
  <si>
    <t xml:space="preserve">D.03</t>
  </si>
  <si>
    <t xml:space="preserve">Ceiling Finishes</t>
  </si>
  <si>
    <t xml:space="preserve">Suspended ceiling</t>
  </si>
  <si>
    <t xml:space="preserve">10mm Plasterboard with 600mm ceiling frame height</t>
  </si>
  <si>
    <t xml:space="preserve">Ceiling Finishes|Suspended ceiling|Suspended ceiling</t>
  </si>
  <si>
    <t xml:space="preserve">Gypsum board ceiling</t>
  </si>
  <si>
    <t xml:space="preserve">Gypsum board ceiling 9mm thk. on metal furring incl. jointing</t>
  </si>
  <si>
    <t xml:space="preserve">Ceiling Finishes|Suspended ceiling|Gypsum board ceiling</t>
  </si>
  <si>
    <t xml:space="preserve">Cement board ceiling</t>
  </si>
  <si>
    <t xml:space="preserve">Fibre cement board ceiling 4.5mm thk. on metal furring</t>
  </si>
  <si>
    <t xml:space="preserve">Ceiling Finishes|Suspended ceiling|Cement board ceiling</t>
  </si>
  <si>
    <t xml:space="preserve">Acoustic ceiling</t>
  </si>
  <si>
    <t xml:space="preserve">Acoustic ceiling tile</t>
  </si>
  <si>
    <t xml:space="preserve">Acoustic ceiling tile 600x600mm on exposed T-grid</t>
  </si>
  <si>
    <t xml:space="preserve">Ceiling Finishes|Acoustic ceiling|Acoustic ceiling tile</t>
  </si>
  <si>
    <t xml:space="preserve">Mineral fibre ceiling</t>
  </si>
  <si>
    <t xml:space="preserve">Mineral fibre ceiling board 600x1200mm on T-grid system</t>
  </si>
  <si>
    <t xml:space="preserve">Ceiling Finishes|Acoustic ceiling|Mineral fibre ceiling</t>
  </si>
  <si>
    <t xml:space="preserve">Metal ceiling</t>
  </si>
  <si>
    <t xml:space="preserve">Aluminium strip ceiling</t>
  </si>
  <si>
    <t xml:space="preserve">Aluminium strip ceiling incl. carrier and trim</t>
  </si>
  <si>
    <t xml:space="preserve">Ceiling Finishes|Metal ceiling|Aluminium strip ceiling</t>
  </si>
  <si>
    <t xml:space="preserve">Metal grid ceiling</t>
  </si>
  <si>
    <t xml:space="preserve">Metal open grid ceiling incl. suspension system</t>
  </si>
  <si>
    <t xml:space="preserve">Ceiling Finishes|Metal ceiling|Metal grid ceiling</t>
  </si>
  <si>
    <t xml:space="preserve">Ceiling accessories</t>
  </si>
  <si>
    <t xml:space="preserve">Ceiling access panel</t>
  </si>
  <si>
    <t xml:space="preserve">Ceiling access panel 600x600mm incl. frame and lock</t>
  </si>
  <si>
    <t xml:space="preserve">Ceiling Finishes|Ceiling accessories|Ceiling access panel</t>
  </si>
  <si>
    <t xml:space="preserve">Cornice</t>
  </si>
  <si>
    <t xml:space="preserve">Gypsum cornice incl. fixing and jointing</t>
  </si>
  <si>
    <t xml:space="preserve">Ceiling Finishes|Ceiling accessories|Cornice</t>
  </si>
  <si>
    <t xml:space="preserve">Bulkhead</t>
  </si>
  <si>
    <t xml:space="preserve">Ceiling bulkhead incl. framing, board and jointing</t>
  </si>
  <si>
    <t xml:space="preserve">Ceiling Finishes|Ceiling accessories|Bulkhead</t>
  </si>
  <si>
    <t xml:space="preserve">Ceiling painting</t>
  </si>
  <si>
    <t xml:space="preserve">Ceiling painting, primer + 2 coats emulsion</t>
  </si>
  <si>
    <t xml:space="preserve">Ceiling Finishes|Ceiling accessories|Ceiling painting</t>
  </si>
  <si>
    <t xml:space="preserve">Curtain box</t>
  </si>
  <si>
    <t xml:space="preserve">Curtain box / pelmet incl. framing and finishing</t>
  </si>
  <si>
    <t xml:space="preserve">Ceiling Finishes|Ceiling accessories|Curtain box</t>
  </si>
  <si>
    <t xml:space="preserve">E.01</t>
  </si>
  <si>
    <t xml:space="preserve">Fittings, furnishings and equipment</t>
  </si>
  <si>
    <t xml:space="preserve">General Fitting</t>
  </si>
  <si>
    <t xml:space="preserve">Toilet accessories</t>
  </si>
  <si>
    <t xml:space="preserve">set</t>
  </si>
  <si>
    <t xml:space="preserve">Toilet accessories set: paper holder, soap dispenser, coat hook, grab bar</t>
  </si>
  <si>
    <t xml:space="preserve">Fittings, furnishings and equipment|General Fitting|Toilet accessories</t>
  </si>
  <si>
    <t xml:space="preserve">Fittings, furnishings and equipment|General Fitting|Mirror</t>
  </si>
  <si>
    <t xml:space="preserve">Counter top</t>
  </si>
  <si>
    <t xml:space="preserve">Solid surface counter top 12mm thk. incl. support and sealing</t>
  </si>
  <si>
    <t xml:space="preserve">Fittings, furnishings and equipment|General Fitting|Counter top</t>
  </si>
  <si>
    <t xml:space="preserve">Locker</t>
  </si>
  <si>
    <t xml:space="preserve">Steel locker unit incl. lock and fixing</t>
  </si>
  <si>
    <t xml:space="preserve">Fittings, furnishings and equipment|General Fitting|Locker</t>
  </si>
  <si>
    <t xml:space="preserve">Shelving</t>
  </si>
  <si>
    <t xml:space="preserve">Melamine faced shelving incl. bracket and fixing</t>
  </si>
  <si>
    <t xml:space="preserve">Fittings, furnishings and equipment|General Fitting|Shelving</t>
  </si>
  <si>
    <t xml:space="preserve">Blind &amp; curtain</t>
  </si>
  <si>
    <t xml:space="preserve">Roller blind / curtain incl. track and bracket</t>
  </si>
  <si>
    <t xml:space="preserve">Fittings, furnishings and equipment|General Fitting|Blind &amp; curtain</t>
  </si>
  <si>
    <t xml:space="preserve">White board</t>
  </si>
  <si>
    <t xml:space="preserve">Magnetic white board incl. frame and fixing</t>
  </si>
  <si>
    <t xml:space="preserve">Fittings, furnishings and equipment|General Fitting|White board</t>
  </si>
  <si>
    <t xml:space="preserve">E.02</t>
  </si>
  <si>
    <t xml:space="preserve">Kitchen Fitting</t>
  </si>
  <si>
    <t xml:space="preserve">Kitchen cabinet</t>
  </si>
  <si>
    <t xml:space="preserve">Kitchen cabinet, melamine faced carcass incl. hardware</t>
  </si>
  <si>
    <t xml:space="preserve">Fittings, furnishings and equipment|Kitchen Fitting|Kitchen cabinet</t>
  </si>
  <si>
    <t xml:space="preserve">Fittings, furnishings and equipment|Kitchen Fitting|Counter top</t>
  </si>
  <si>
    <t xml:space="preserve">Sink</t>
  </si>
  <si>
    <t xml:space="preserve">Stainless steel sink incl. tap, waste and P-trap</t>
  </si>
  <si>
    <t xml:space="preserve">Fittings, furnishings and equipment|Kitchen Fitting|Sink</t>
  </si>
  <si>
    <t xml:space="preserve">E.03</t>
  </si>
  <si>
    <t xml:space="preserve">Special purpose Fitting</t>
  </si>
  <si>
    <t xml:space="preserve">Laboratory bench</t>
  </si>
  <si>
    <t xml:space="preserve">Laboratory bench with chemical resistant top incl. base cabinet</t>
  </si>
  <si>
    <t xml:space="preserve">Fittings, furnishings and equipment|Special purpose Fitting|Laboratory bench</t>
  </si>
  <si>
    <t xml:space="preserve">Library shelving</t>
  </si>
  <si>
    <t xml:space="preserve">Library shelving unit incl. fixing</t>
  </si>
  <si>
    <t xml:space="preserve">Fittings, furnishings and equipment|Special purpose Fitting|Library shelving</t>
  </si>
  <si>
    <t xml:space="preserve">Sport / gym equipment</t>
  </si>
  <si>
    <t xml:space="preserve">Sport / gymnasium equipment as per schedule</t>
  </si>
  <si>
    <t xml:space="preserve">Fittings, furnishings and equipment|Special purpose Fitting|Sport / gym equipment</t>
  </si>
  <si>
    <t xml:space="preserve">E.04</t>
  </si>
  <si>
    <t xml:space="preserve">Signage</t>
  </si>
  <si>
    <t xml:space="preserve">Fittings, furnishings and equipment|Signage|Signage</t>
  </si>
  <si>
    <t xml:space="preserve">External round logo</t>
  </si>
  <si>
    <t xml:space="preserve">External round logo include framing</t>
  </si>
  <si>
    <t xml:space="preserve">Fittings, furnishings and equipment|Signage|External round logo</t>
  </si>
  <si>
    <t xml:space="preserve">Khmer and Chinese text</t>
  </si>
  <si>
    <t xml:space="preserve">Khmer and chinesse text</t>
  </si>
  <si>
    <t xml:space="preserve">Fittings, furnishings and equipment|Signage|Khmer and Chinese text</t>
  </si>
  <si>
    <t xml:space="preserve">Wayfinding sign</t>
  </si>
  <si>
    <t xml:space="preserve">Wayfinding directional sign incl. frame and fixing</t>
  </si>
  <si>
    <t xml:space="preserve">Fittings, furnishings and equipment|Signage|Wayfinding sign</t>
  </si>
  <si>
    <t xml:space="preserve">Room sign</t>
  </si>
  <si>
    <t xml:space="preserve">Room identification sign incl. fixing</t>
  </si>
  <si>
    <t xml:space="preserve">Fittings, furnishings and equipment|Signage|Room sign</t>
  </si>
  <si>
    <t xml:space="preserve">Statutory / safety sign</t>
  </si>
  <si>
    <t xml:space="preserve">Statutory / safety signage incl. fixing</t>
  </si>
  <si>
    <t xml:space="preserve">Fittings, furnishings and equipment|Signage|Statutory / safety sign</t>
  </si>
  <si>
    <t xml:space="preserve">MEP</t>
  </si>
  <si>
    <t xml:space="preserve">F.01</t>
  </si>
  <si>
    <t xml:space="preserve">Sanitary Installations</t>
  </si>
  <si>
    <t xml:space="preserve">Sanitary ware</t>
  </si>
  <si>
    <t xml:space="preserve">Water closet</t>
  </si>
  <si>
    <t xml:space="preserve">Water closet, close-couple, vitreous china, incl. seat cover, cistern and connector</t>
  </si>
  <si>
    <t xml:space="preserve">Sanitary Installations|Sanitary ware|Water closet</t>
  </si>
  <si>
    <t xml:space="preserve">Wash basin</t>
  </si>
  <si>
    <t xml:space="preserve">Wash basin, vitreous china, incl. tap, bottle trap, waste and bracket</t>
  </si>
  <si>
    <t xml:space="preserve">Sanitary Installations|Sanitary ware|Wash basin</t>
  </si>
  <si>
    <t xml:space="preserve">Urinal</t>
  </si>
  <si>
    <t xml:space="preserve">Urinal, vitreous china, incl. flush valve, waste and bracket</t>
  </si>
  <si>
    <t xml:space="preserve">Sanitary Installations|Sanitary ware|Urinal</t>
  </si>
  <si>
    <t xml:space="preserve">Shower set</t>
  </si>
  <si>
    <t xml:space="preserve">Shower set incl. mixer, riser rail, hand shower and hose</t>
  </si>
  <si>
    <t xml:space="preserve">Sanitary Installations|Sanitary ware|Shower set</t>
  </si>
  <si>
    <t xml:space="preserve">Squat pan</t>
  </si>
  <si>
    <t xml:space="preserve">Squat pan incl. flush pipe, connector and floor fixing</t>
  </si>
  <si>
    <t xml:space="preserve">Sanitary Installations|Sanitary ware|Squat pan</t>
  </si>
  <si>
    <t xml:space="preserve">Sanitary Installations|Sanitary ware|Sink</t>
  </si>
  <si>
    <t xml:space="preserve">Sanitary fitting</t>
  </si>
  <si>
    <t xml:space="preserve">Tap / faucet</t>
  </si>
  <si>
    <t xml:space="preserve">Chromed brass tap / faucet incl. connector</t>
  </si>
  <si>
    <t xml:space="preserve">Sanitary Installations|Sanitary fitting|Tap / faucet</t>
  </si>
  <si>
    <t xml:space="preserve">Flush valve</t>
  </si>
  <si>
    <t xml:space="preserve">Flush valve, exposed type, incl. connector</t>
  </si>
  <si>
    <t xml:space="preserve">Sanitary Installations|Sanitary fitting|Flush valve</t>
  </si>
  <si>
    <t xml:space="preserve">Angle valve</t>
  </si>
  <si>
    <t xml:space="preserve">Chromed brass angle valve incl. flexible connector</t>
  </si>
  <si>
    <t xml:space="preserve">Sanitary Installations|Sanitary fitting|Angle valve</t>
  </si>
  <si>
    <t xml:space="preserve">Floor drain</t>
  </si>
  <si>
    <t xml:space="preserve">Stainless steel floor drain with removable grating</t>
  </si>
  <si>
    <t xml:space="preserve">Sanitary Installations|Sanitary fitting|Floor drain</t>
  </si>
  <si>
    <t xml:space="preserve">Floor trap</t>
  </si>
  <si>
    <t xml:space="preserve">Floor trap with water seal incl. grating</t>
  </si>
  <si>
    <t xml:space="preserve">Sanitary Installations|Sanitary fitting|Floor trap</t>
  </si>
  <si>
    <t xml:space="preserve">Clean out</t>
  </si>
  <si>
    <t xml:space="preserve">Clean out / rodding eye incl. cover</t>
  </si>
  <si>
    <t xml:space="preserve">Sanitary Installations|Sanitary fitting|Clean out</t>
  </si>
  <si>
    <t xml:space="preserve">Sanitary accessories</t>
  </si>
  <si>
    <t xml:space="preserve">Toilet paper holder</t>
  </si>
  <si>
    <t xml:space="preserve">Stainless steel toilet paper holder incl. fixing</t>
  </si>
  <si>
    <t xml:space="preserve">Sanitary Installations|Sanitary accessories|Toilet paper holder</t>
  </si>
  <si>
    <t xml:space="preserve">Soap dispenser</t>
  </si>
  <si>
    <t xml:space="preserve">Wall mounted soap dispenser incl. fixing</t>
  </si>
  <si>
    <t xml:space="preserve">Sanitary Installations|Sanitary accessories|Soap dispenser</t>
  </si>
  <si>
    <t xml:space="preserve">Grab bar</t>
  </si>
  <si>
    <t xml:space="preserve">Stainless steel grab bar for accessible toilet incl. fixing</t>
  </si>
  <si>
    <t xml:space="preserve">Sanitary Installations|Sanitary accessories|Grab bar</t>
  </si>
  <si>
    <t xml:space="preserve">Hand dryer</t>
  </si>
  <si>
    <t xml:space="preserve">Electric hand dryer incl. wiring connection</t>
  </si>
  <si>
    <t xml:space="preserve">Sanitary Installations|Sanitary accessories|Hand dryer</t>
  </si>
  <si>
    <t xml:space="preserve">F.02</t>
  </si>
  <si>
    <t xml:space="preserve">AIR-CONDITIONAL SYSTEM</t>
  </si>
  <si>
    <t xml:space="preserve">Split unit system</t>
  </si>
  <si>
    <t xml:space="preserve">Wall mounted split unit</t>
  </si>
  <si>
    <t xml:space="preserve">Wall mounted split type air conditioner incl. indoor unit, bracket and control</t>
  </si>
  <si>
    <t xml:space="preserve">AIR-CONDITIONAL SYSTEM|Split unit system|Wall mounted split unit</t>
  </si>
  <si>
    <t xml:space="preserve">Cassette type unit</t>
  </si>
  <si>
    <t xml:space="preserve">Ceiling cassette type air conditioner incl. panel and control</t>
  </si>
  <si>
    <t xml:space="preserve">AIR-CONDITIONAL SYSTEM|Split unit system|Cassette type unit</t>
  </si>
  <si>
    <t xml:space="preserve">Outdoor condensing unit</t>
  </si>
  <si>
    <t xml:space="preserve">Outdoor condensing unit incl. base, anti-vibration mount and wiring</t>
  </si>
  <si>
    <t xml:space="preserve">AIR-CONDITIONAL SYSTEM|Split unit system|Outdoor condensing unit</t>
  </si>
  <si>
    <t xml:space="preserve">VRF / VRV system</t>
  </si>
  <si>
    <t xml:space="preserve">VRF indoor unit</t>
  </si>
  <si>
    <t xml:space="preserve">VRF indoor unit incl. drain pump, control and commissioning</t>
  </si>
  <si>
    <t xml:space="preserve">AIR-CONDITIONAL SYSTEM|VRF / VRV system|VRF indoor unit</t>
  </si>
  <si>
    <t xml:space="preserve">VRF outdoor unit</t>
  </si>
  <si>
    <t xml:space="preserve">VRF outdoor unit incl. base, anti-vibration mount and wiring</t>
  </si>
  <si>
    <t xml:space="preserve">AIR-CONDITIONAL SYSTEM|VRF / VRV system|VRF outdoor unit</t>
  </si>
  <si>
    <t xml:space="preserve">Refnet joint</t>
  </si>
  <si>
    <t xml:space="preserve">VRF refnet joint / header incl. insulation</t>
  </si>
  <si>
    <t xml:space="preserve">AIR-CONDITIONAL SYSTEM|VRF / VRV system|Refnet joint</t>
  </si>
  <si>
    <t xml:space="preserve">Chilled water system</t>
  </si>
  <si>
    <t xml:space="preserve">Chiller</t>
  </si>
  <si>
    <t xml:space="preserve">Water cooled / air cooled chiller incl. base, connection and commissioning</t>
  </si>
  <si>
    <t xml:space="preserve">AIR-CONDITIONAL SYSTEM|Chilled water system|Chiller</t>
  </si>
  <si>
    <t xml:space="preserve">Air handling unit (AHU)</t>
  </si>
  <si>
    <t xml:space="preserve">Air handling unit incl. filter, coil, fan, drain pan and control</t>
  </si>
  <si>
    <t xml:space="preserve">AIR-CONDITIONAL SYSTEM|Chilled water system|Air handling unit (AHU)</t>
  </si>
  <si>
    <t xml:space="preserve">Fan coil unit (FCU)</t>
  </si>
  <si>
    <t xml:space="preserve">Fan coil unit incl. filter, drain pan, valve and control</t>
  </si>
  <si>
    <t xml:space="preserve">AIR-CONDITIONAL SYSTEM|Chilled water system|Fan coil unit (FCU)</t>
  </si>
  <si>
    <t xml:space="preserve">Chilled water pump</t>
  </si>
  <si>
    <t xml:space="preserve">Chilled water pump incl. base, coupling, valve and control</t>
  </si>
  <si>
    <t xml:space="preserve">AIR-CONDITIONAL SYSTEM|Chilled water system|Chilled water pump</t>
  </si>
  <si>
    <t xml:space="preserve">Cooling tower</t>
  </si>
  <si>
    <t xml:space="preserve">Cooling tower incl. base, make-up water and control</t>
  </si>
  <si>
    <t xml:space="preserve">AIR-CONDITIONAL SYSTEM|Chilled water system|Cooling tower</t>
  </si>
  <si>
    <t xml:space="preserve">AC piping &amp; accessories</t>
  </si>
  <si>
    <t xml:space="preserve">Refrigerant piping</t>
  </si>
  <si>
    <t xml:space="preserve">Copper refrigerant piping incl. insulation, fitting and gas charging</t>
  </si>
  <si>
    <t xml:space="preserve">AIR-CONDITIONAL SYSTEM|AC piping &amp; accessories|Refrigerant piping</t>
  </si>
  <si>
    <t xml:space="preserve">Chilled water piping</t>
  </si>
  <si>
    <t xml:space="preserve">Chilled water piping incl. valve, fitting, insulation and support</t>
  </si>
  <si>
    <t xml:space="preserve">AIR-CONDITIONAL SYSTEM|AC piping &amp; accessories|Chilled water piping</t>
  </si>
  <si>
    <t xml:space="preserve">Condensate drain piping</t>
  </si>
  <si>
    <t xml:space="preserve">Condensate drain piping uPVC incl. insulation, fitting and support</t>
  </si>
  <si>
    <t xml:space="preserve">AIR-CONDITIONAL SYSTEM|AC piping &amp; accessories|Condensate drain piping</t>
  </si>
  <si>
    <t xml:space="preserve">Pipe insulation</t>
  </si>
  <si>
    <t xml:space="preserve">Closed cell / rockwool pipe insulation incl. vapour barrier and cladding</t>
  </si>
  <si>
    <t xml:space="preserve">AIR-CONDITIONAL SYSTEM|AC piping &amp; accessories|Pipe insulation</t>
  </si>
  <si>
    <t xml:space="preserve">Thermostat / control</t>
  </si>
  <si>
    <t xml:space="preserve">Room thermostat / wired controller incl. wiring</t>
  </si>
  <si>
    <t xml:space="preserve">AIR-CONDITIONAL SYSTEM|AC piping &amp; accessories|Thermostat / control</t>
  </si>
  <si>
    <t xml:space="preserve">F.03</t>
  </si>
  <si>
    <t xml:space="preserve">MECHANICAL VENTILATION SYSTEM</t>
  </si>
  <si>
    <t xml:space="preserve">Ventilation fan</t>
  </si>
  <si>
    <t xml:space="preserve">Toilet exhaust fan</t>
  </si>
  <si>
    <t xml:space="preserve">Toilet exhaust fan incl. bracket, damper and wiring</t>
  </si>
  <si>
    <t xml:space="preserve">MECHANICAL VENTILATION SYSTEM|Ventilation fan|Toilet exhaust fan</t>
  </si>
  <si>
    <t xml:space="preserve">Kitchen exhaust fan</t>
  </si>
  <si>
    <t xml:space="preserve">Kitchen exhaust fan incl. bracket, damper and wiring</t>
  </si>
  <si>
    <t xml:space="preserve">MECHANICAL VENTILATION SYSTEM|Ventilation fan|Kitchen exhaust fan</t>
  </si>
  <si>
    <t xml:space="preserve">Car park ventilation fan</t>
  </si>
  <si>
    <t xml:space="preserve">Car park ventilation fan incl. support and wiring</t>
  </si>
  <si>
    <t xml:space="preserve">MECHANICAL VENTILATION SYSTEM|Ventilation fan|Car park ventilation fan</t>
  </si>
  <si>
    <t xml:space="preserve">Fresh air fan</t>
  </si>
  <si>
    <t xml:space="preserve">Fresh air supply fan incl. filter, damper and wiring</t>
  </si>
  <si>
    <t xml:space="preserve">MECHANICAL VENTILATION SYSTEM|Ventilation fan|Fresh air fan</t>
  </si>
  <si>
    <t xml:space="preserve">Staircase pressurization fan</t>
  </si>
  <si>
    <t xml:space="preserve">Staircase pressurization fan incl. relief damper and control</t>
  </si>
  <si>
    <t xml:space="preserve">MECHANICAL VENTILATION SYSTEM|Ventilation fan|Staircase pressurization fan</t>
  </si>
  <si>
    <t xml:space="preserve">Specialist ventilation</t>
  </si>
  <si>
    <t xml:space="preserve">Kitchen hood</t>
  </si>
  <si>
    <t xml:space="preserve">Stainless steel kitchen hood incl. grease filter and light</t>
  </si>
  <si>
    <t xml:space="preserve">MECHANICAL VENTILATION SYSTEM|Specialist ventilation|Kitchen hood</t>
  </si>
  <si>
    <t xml:space="preserve">Smoke extraction fan</t>
  </si>
  <si>
    <t xml:space="preserve">Smoke extraction fan, 250°C/2hr rated, incl. control</t>
  </si>
  <si>
    <t xml:space="preserve">MECHANICAL VENTILATION SYSTEM|Specialist ventilation|Smoke extraction fan</t>
  </si>
  <si>
    <t xml:space="preserve">Laboratory fume hood</t>
  </si>
  <si>
    <t xml:space="preserve">Laboratory fume hood incl. exhaust fan, duct and control</t>
  </si>
  <si>
    <t xml:space="preserve">MECHANICAL VENTILATION SYSTEM|Specialist ventilation|Laboratory fume hood</t>
  </si>
  <si>
    <t xml:space="preserve">F.04</t>
  </si>
  <si>
    <t xml:space="preserve">MV DISTRIBUTION SYSTEM</t>
  </si>
  <si>
    <t xml:space="preserve">Ductwork</t>
  </si>
  <si>
    <t xml:space="preserve">GI ductwork</t>
  </si>
  <si>
    <t xml:space="preserve">Galvanised iron ductwork incl. flange, gasket, support and sealing</t>
  </si>
  <si>
    <t xml:space="preserve">MV DISTRIBUTION SYSTEM|Ductwork|GI ductwork</t>
  </si>
  <si>
    <t xml:space="preserve">Flexible duct</t>
  </si>
  <si>
    <t xml:space="preserve">Insulated flexible duct incl. clamp and connection</t>
  </si>
  <si>
    <t xml:space="preserve">MV DISTRIBUTION SYSTEM|Ductwork|Flexible duct</t>
  </si>
  <si>
    <t xml:space="preserve">Duct insulation</t>
  </si>
  <si>
    <t xml:space="preserve">Duct thermal insulation incl. vapour barrier and finish</t>
  </si>
  <si>
    <t xml:space="preserve">MV DISTRIBUTION SYSTEM|Ductwork|Duct insulation</t>
  </si>
  <si>
    <t xml:space="preserve">Duct support</t>
  </si>
  <si>
    <t xml:space="preserve">Duct hanger and support incl. anchor and rod</t>
  </si>
  <si>
    <t xml:space="preserve">MV DISTRIBUTION SYSTEM|Ductwork|Duct support</t>
  </si>
  <si>
    <t xml:space="preserve">Air terminal</t>
  </si>
  <si>
    <t xml:space="preserve">Supply air diffuser</t>
  </si>
  <si>
    <t xml:space="preserve">Supply air diffuser incl. plenum box and damper</t>
  </si>
  <si>
    <t xml:space="preserve">MV DISTRIBUTION SYSTEM|Air terminal|Supply air diffuser</t>
  </si>
  <si>
    <t xml:space="preserve">Return air grille</t>
  </si>
  <si>
    <t xml:space="preserve">Return air grille incl. filter and frame</t>
  </si>
  <si>
    <t xml:space="preserve">MV DISTRIBUTION SYSTEM|Air terminal|Return air grille</t>
  </si>
  <si>
    <t xml:space="preserve">Exhaust grille</t>
  </si>
  <si>
    <t xml:space="preserve">Exhaust air grille incl. frame and damper</t>
  </si>
  <si>
    <t xml:space="preserve">MV DISTRIBUTION SYSTEM|Air terminal|Exhaust grille</t>
  </si>
  <si>
    <t xml:space="preserve">Louver</t>
  </si>
  <si>
    <t xml:space="preserve">Weather louver with bird screen incl. frame</t>
  </si>
  <si>
    <t xml:space="preserve">MV DISTRIBUTION SYSTEM|Air terminal|Louver</t>
  </si>
  <si>
    <t xml:space="preserve">Damper &amp; control</t>
  </si>
  <si>
    <t xml:space="preserve">Volume control damper</t>
  </si>
  <si>
    <t xml:space="preserve">Volume control damper incl. actuator quadrant</t>
  </si>
  <si>
    <t xml:space="preserve">MV DISTRIBUTION SYSTEM|Damper &amp; control|Volume control damper</t>
  </si>
  <si>
    <t xml:space="preserve">Fire damper</t>
  </si>
  <si>
    <t xml:space="preserve">Fire damper 2 hour rated incl. fusible link and access panel</t>
  </si>
  <si>
    <t xml:space="preserve">MV DISTRIBUTION SYSTEM|Damper &amp; control|Fire damper</t>
  </si>
  <si>
    <t xml:space="preserve">Motorized damper</t>
  </si>
  <si>
    <t xml:space="preserve">Motorized damper incl. actuator and wiring</t>
  </si>
  <si>
    <t xml:space="preserve">MV DISTRIBUTION SYSTEM|Damper &amp; control|Motorized damper</t>
  </si>
  <si>
    <t xml:space="preserve">Testing &amp; balancing</t>
  </si>
  <si>
    <t xml:space="preserve">Air / water testing, adjusting and balancing incl. report</t>
  </si>
  <si>
    <t xml:space="preserve">MV DISTRIBUTION SYSTEM|Damper &amp; control|Testing &amp; balancing</t>
  </si>
  <si>
    <t xml:space="preserve">F.05</t>
  </si>
  <si>
    <t xml:space="preserve">ELECTRICAL SYSTEM</t>
  </si>
  <si>
    <t xml:space="preserve">Main distribution</t>
  </si>
  <si>
    <t xml:space="preserve">Main switchboard (MSB)</t>
  </si>
  <si>
    <t xml:space="preserve">Main switchboard incl. ACB/MCCB, busbar, metering and testing</t>
  </si>
  <si>
    <t xml:space="preserve">ELECTRICAL SYSTEM|Main distribution|Main switchboard (MSB)</t>
  </si>
  <si>
    <t xml:space="preserve">Sub-distribution board (DB)</t>
  </si>
  <si>
    <t xml:space="preserve">Sub distribution board incl. MCB/RCBO, enclosure and labelling</t>
  </si>
  <si>
    <t xml:space="preserve">ELECTRICAL SYSTEM|Main distribution|Sub-distribution board (DB)</t>
  </si>
  <si>
    <t xml:space="preserve">Busduct / Busway</t>
  </si>
  <si>
    <t xml:space="preserve">Busduct / busway incl. joint, support and tap-off unit</t>
  </si>
  <si>
    <t xml:space="preserve">ELECTRICAL SYSTEM|Main distribution|Busduct / Busway</t>
  </si>
  <si>
    <t xml:space="preserve">Transformer</t>
  </si>
  <si>
    <t xml:space="preserve">Distribution transformer incl. base, connection and testing</t>
  </si>
  <si>
    <t xml:space="preserve">ELECTRICAL SYSTEM|Main distribution|Transformer</t>
  </si>
  <si>
    <t xml:space="preserve">Capacitor bank</t>
  </si>
  <si>
    <t xml:space="preserve">Automatic power factor correction capacitor bank incl. controller</t>
  </si>
  <si>
    <t xml:space="preserve">ELECTRICAL SYSTEM|Main distribution|Capacitor bank</t>
  </si>
  <si>
    <t xml:space="preserve">Metering panel</t>
  </si>
  <si>
    <t xml:space="preserve">Metering panel incl. CT, meter and wiring</t>
  </si>
  <si>
    <t xml:space="preserve">ELECTRICAL SYSTEM|Main distribution|Metering panel</t>
  </si>
  <si>
    <t xml:space="preserve">Cable &amp; containment</t>
  </si>
  <si>
    <t xml:space="preserve">Power cable</t>
  </si>
  <si>
    <t xml:space="preserve">XLPE/PVC power cable incl. termination, gland and lug</t>
  </si>
  <si>
    <t xml:space="preserve">ELECTRICAL SYSTEM|Cable &amp; containment|Power cable</t>
  </si>
  <si>
    <t xml:space="preserve">Control cable</t>
  </si>
  <si>
    <t xml:space="preserve">Control cable incl. termination and gland</t>
  </si>
  <si>
    <t xml:space="preserve">ELECTRICAL SYSTEM|Cable &amp; containment|Control cable</t>
  </si>
  <si>
    <t xml:space="preserve">Cable tray</t>
  </si>
  <si>
    <t xml:space="preserve">Hot dip galvanised cable tray incl. support, bend and accessories</t>
  </si>
  <si>
    <t xml:space="preserve">ELECTRICAL SYSTEM|Cable &amp; containment|Cable tray</t>
  </si>
  <si>
    <t xml:space="preserve">Cable trunking</t>
  </si>
  <si>
    <t xml:space="preserve">Metal cable trunking incl. cover, support and accessories</t>
  </si>
  <si>
    <t xml:space="preserve">ELECTRICAL SYSTEM|Cable &amp; containment|Cable trunking</t>
  </si>
  <si>
    <t xml:space="preserve">Conduit</t>
  </si>
  <si>
    <t xml:space="preserve">uPVC / GI conduit incl. bend, coupling, box and support</t>
  </si>
  <si>
    <t xml:space="preserve">ELECTRICAL SYSTEM|Cable &amp; containment|Conduit</t>
  </si>
  <si>
    <t xml:space="preserve">Cable ladder</t>
  </si>
  <si>
    <t xml:space="preserve">Cable ladder incl. support, bend and accessories</t>
  </si>
  <si>
    <t xml:space="preserve">ELECTRICAL SYSTEM|Cable &amp; containment|Cable ladder</t>
  </si>
  <si>
    <t xml:space="preserve">Power &amp; wiring accessories</t>
  </si>
  <si>
    <t xml:space="preserve">Socket outlet</t>
  </si>
  <si>
    <t xml:space="preserve">point</t>
  </si>
  <si>
    <t xml:space="preserve">13A switched socket outlet point incl. wiring, conduit and accessories</t>
  </si>
  <si>
    <t xml:space="preserve">ELECTRICAL SYSTEM|Power &amp; wiring accessories|Socket outlet</t>
  </si>
  <si>
    <t xml:space="preserve">Switch</t>
  </si>
  <si>
    <t xml:space="preserve">Lighting switch point incl. wiring, conduit and accessories</t>
  </si>
  <si>
    <t xml:space="preserve">ELECTRICAL SYSTEM|Power &amp; wiring accessories|Switch</t>
  </si>
  <si>
    <t xml:space="preserve">Isolator</t>
  </si>
  <si>
    <t xml:space="preserve">Weatherproof isolator incl. wiring and fixing</t>
  </si>
  <si>
    <t xml:space="preserve">ELECTRICAL SYSTEM|Power &amp; wiring accessories|Isolator</t>
  </si>
  <si>
    <t xml:space="preserve">Wiring point</t>
  </si>
  <si>
    <t xml:space="preserve">Wiring point incl. cable, conduit and termination</t>
  </si>
  <si>
    <t xml:space="preserve">ELECTRICAL SYSTEM|Power &amp; wiring accessories|Wiring point</t>
  </si>
  <si>
    <t xml:space="preserve">Lighting</t>
  </si>
  <si>
    <t xml:space="preserve">Interior luminaire</t>
  </si>
  <si>
    <t xml:space="preserve">LED interior luminaire incl. lamp, driver, wiring and fixing</t>
  </si>
  <si>
    <t xml:space="preserve">ELECTRICAL SYSTEM|Lighting|Interior luminaire</t>
  </si>
  <si>
    <t xml:space="preserve">Exterior luminaire</t>
  </si>
  <si>
    <t xml:space="preserve">LED exterior / flood luminaire IP65 incl. pole/bracket and wiring</t>
  </si>
  <si>
    <t xml:space="preserve">ELECTRICAL SYSTEM|Lighting|Exterior luminaire</t>
  </si>
  <si>
    <t xml:space="preserve">Emergency light</t>
  </si>
  <si>
    <t xml:space="preserve">LED emergency light with 3 hour battery backup incl. testing</t>
  </si>
  <si>
    <t xml:space="preserve">ELECTRICAL SYSTEM|Lighting|Emergency light</t>
  </si>
  <si>
    <t xml:space="preserve">Exit sign</t>
  </si>
  <si>
    <t xml:space="preserve">LED exit sign with battery backup incl. fixing and testing</t>
  </si>
  <si>
    <t xml:space="preserve">ELECTRICAL SYSTEM|Lighting|Exit sign</t>
  </si>
  <si>
    <t xml:space="preserve">Lighting control / sensor</t>
  </si>
  <si>
    <t xml:space="preserve">Occupancy / daylight sensor incl. wiring and commissioning</t>
  </si>
  <si>
    <t xml:space="preserve">ELECTRICAL SYSTEM|Lighting|Lighting control / sensor</t>
  </si>
  <si>
    <t xml:space="preserve">Earthing &amp; lightning protection</t>
  </si>
  <si>
    <t xml:space="preserve">Earthing system</t>
  </si>
  <si>
    <t xml:space="preserve">Earthing system incl. conductor, bonding and testing</t>
  </si>
  <si>
    <t xml:space="preserve">ELECTRICAL SYSTEM|Earthing &amp; lightning protection|Earthing system</t>
  </si>
  <si>
    <t xml:space="preserve">Earth rod &amp; pit</t>
  </si>
  <si>
    <t xml:space="preserve">Copper earth rod with inspection pit incl. clamp and testing</t>
  </si>
  <si>
    <t xml:space="preserve">ELECTRICAL SYSTEM|Earthing &amp; lightning protection|Earth rod &amp; pit</t>
  </si>
  <si>
    <t xml:space="preserve">Lightning air terminal</t>
  </si>
  <si>
    <t xml:space="preserve">Lightning air terminal incl. base, mast and connection</t>
  </si>
  <si>
    <t xml:space="preserve">ELECTRICAL SYSTEM|Earthing &amp; lightning protection|Lightning air terminal</t>
  </si>
  <si>
    <t xml:space="preserve">Down conductor</t>
  </si>
  <si>
    <t xml:space="preserve">Lightning down conductor incl. clamp, tape and test joint</t>
  </si>
  <si>
    <t xml:space="preserve">ELECTRICAL SYSTEM|Earthing &amp; lightning protection|Down conductor</t>
  </si>
  <si>
    <t xml:space="preserve">Standby power</t>
  </si>
  <si>
    <t xml:space="preserve">Generator set</t>
  </si>
  <si>
    <t xml:space="preserve">Diesel generator set incl. canopy, base, exhaust and commissioning</t>
  </si>
  <si>
    <t xml:space="preserve">ELECTRICAL SYSTEM|Standby power|Generator set</t>
  </si>
  <si>
    <t xml:space="preserve">Automatic transfer switch (ATS)</t>
  </si>
  <si>
    <t xml:space="preserve">Automatic transfer switch incl. controller and wiring</t>
  </si>
  <si>
    <t xml:space="preserve">ELECTRICAL SYSTEM|Standby power|Automatic transfer switch (ATS)</t>
  </si>
  <si>
    <t xml:space="preserve">UPS</t>
  </si>
  <si>
    <t xml:space="preserve">Uninterruptible power supply incl. battery, cabinet and commissioning</t>
  </si>
  <si>
    <t xml:space="preserve">ELECTRICAL SYSTEM|Standby power|UPS</t>
  </si>
  <si>
    <t xml:space="preserve">Fuel tank &amp; piping</t>
  </si>
  <si>
    <t xml:space="preserve">Diesel fuel tank incl. piping, valve, level gauge and bund</t>
  </si>
  <si>
    <t xml:space="preserve">ELECTRICAL SYSTEM|Standby power|Fuel tank &amp; piping</t>
  </si>
  <si>
    <t xml:space="preserve">F.06</t>
  </si>
  <si>
    <t xml:space="preserve">ELV INSTALLATION</t>
  </si>
  <si>
    <t xml:space="preserve">Fire alarm system</t>
  </si>
  <si>
    <t xml:space="preserve">Fire alarm control panel</t>
  </si>
  <si>
    <t xml:space="preserve">Addressable fire alarm control panel incl. battery and programming</t>
  </si>
  <si>
    <t xml:space="preserve">ELV INSTALLATION|Fire alarm system|Fire alarm control panel</t>
  </si>
  <si>
    <t xml:space="preserve">Smoke / heat detector</t>
  </si>
  <si>
    <t xml:space="preserve">Addressable smoke / heat detector incl. base and wiring</t>
  </si>
  <si>
    <t xml:space="preserve">ELV INSTALLATION|Fire alarm system|Smoke / heat detector</t>
  </si>
  <si>
    <t xml:space="preserve">Manual call point</t>
  </si>
  <si>
    <t xml:space="preserve">Manual call point incl. back box and wiring</t>
  </si>
  <si>
    <t xml:space="preserve">ELV INSTALLATION|Fire alarm system|Manual call point</t>
  </si>
  <si>
    <t xml:space="preserve">Alarm bell / sounder</t>
  </si>
  <si>
    <t xml:space="preserve">Alarm bell / sounder incl. wiring and testing</t>
  </si>
  <si>
    <t xml:space="preserve">ELV INSTALLATION|Fire alarm system|Alarm bell / sounder</t>
  </si>
  <si>
    <t xml:space="preserve">Security system</t>
  </si>
  <si>
    <t xml:space="preserve">CCTV camera</t>
  </si>
  <si>
    <t xml:space="preserve">IP CCTV camera incl. bracket, cabling and configuration</t>
  </si>
  <si>
    <t xml:space="preserve">ELV INSTALLATION|Security system|CCTV camera</t>
  </si>
  <si>
    <t xml:space="preserve">NVR / recorder</t>
  </si>
  <si>
    <t xml:space="preserve">Network video recorder incl. hard disk, rack and configuration</t>
  </si>
  <si>
    <t xml:space="preserve">ELV INSTALLATION|Security system|NVR / recorder</t>
  </si>
  <si>
    <t xml:space="preserve">Access control door</t>
  </si>
  <si>
    <t xml:space="preserve">Door access control set incl. reader, EM lock, button and controller</t>
  </si>
  <si>
    <t xml:space="preserve">ELV INSTALLATION|Security system|Access control door</t>
  </si>
  <si>
    <t xml:space="preserve">Intercom</t>
  </si>
  <si>
    <t xml:space="preserve">Audio / video intercom incl. wiring and commissioning</t>
  </si>
  <si>
    <t xml:space="preserve">ELV INSTALLATION|Security system|Intercom</t>
  </si>
  <si>
    <t xml:space="preserve">Communication system</t>
  </si>
  <si>
    <t xml:space="preserve">Structured cabling outlet</t>
  </si>
  <si>
    <t xml:space="preserve">Cat6 data outlet incl. cable, patch panel termination and testing</t>
  </si>
  <si>
    <t xml:space="preserve">ELV INSTALLATION|Communication system|Structured cabling outlet</t>
  </si>
  <si>
    <t xml:space="preserve">Network switch / rack</t>
  </si>
  <si>
    <t xml:space="preserve">Network switch and 19" rack incl. patch panel, PDU and accessories</t>
  </si>
  <si>
    <t xml:space="preserve">ELV INSTALLATION|Communication system|Network switch / rack</t>
  </si>
  <si>
    <t xml:space="preserve">Telephone system</t>
  </si>
  <si>
    <t xml:space="preserve">Telephone system incl. exchange, handset and cabling</t>
  </si>
  <si>
    <t xml:space="preserve">ELV INSTALLATION|Communication system|Telephone system</t>
  </si>
  <si>
    <t xml:space="preserve">MATV / TV outlet</t>
  </si>
  <si>
    <t xml:space="preserve">MATV / TV outlet incl. coaxial cable, splitter and termination</t>
  </si>
  <si>
    <t xml:space="preserve">ELV INSTALLATION|Communication system|MATV / TV outlet</t>
  </si>
  <si>
    <t xml:space="preserve">WiFi access point</t>
  </si>
  <si>
    <t xml:space="preserve">Wireless access point incl. PoE cabling and configuration</t>
  </si>
  <si>
    <t xml:space="preserve">ELV INSTALLATION|Communication system|WiFi access point</t>
  </si>
  <si>
    <t xml:space="preserve">Audio visual &amp; school system</t>
  </si>
  <si>
    <t xml:space="preserve">Public address (PA) system</t>
  </si>
  <si>
    <t xml:space="preserve">Public address system incl. amplifier, mixer, microphone and zoning</t>
  </si>
  <si>
    <t xml:space="preserve">ELV INSTALLATION|Audio visual &amp; school system|Public address (PA) system</t>
  </si>
  <si>
    <t xml:space="preserve">Speaker</t>
  </si>
  <si>
    <t xml:space="preserve">Ceiling / wall speaker incl. cabling and termination</t>
  </si>
  <si>
    <t xml:space="preserve">ELV INSTALLATION|Audio visual &amp; school system|Speaker</t>
  </si>
  <si>
    <t xml:space="preserve">Bell / clock system</t>
  </si>
  <si>
    <t xml:space="preserve">School bell and master clock system incl. programming</t>
  </si>
  <si>
    <t xml:space="preserve">ELV INSTALLATION|Audio visual &amp; school system|Bell / clock system</t>
  </si>
  <si>
    <t xml:space="preserve">Projector &amp; screen</t>
  </si>
  <si>
    <t xml:space="preserve">Projector with motorized screen incl. mount, cabling and commissioning</t>
  </si>
  <si>
    <t xml:space="preserve">ELV INSTALLATION|Audio visual &amp; school system|Projector &amp; screen</t>
  </si>
  <si>
    <t xml:space="preserve">Classroom AV system</t>
  </si>
  <si>
    <t xml:space="preserve">Classroom audio visual system incl. panel, speaker and cabling</t>
  </si>
  <si>
    <t xml:space="preserve">ELV INSTALLATION|Audio visual &amp; school system|Classroom AV system</t>
  </si>
  <si>
    <t xml:space="preserve">Building management</t>
  </si>
  <si>
    <t xml:space="preserve">BMS control panel</t>
  </si>
  <si>
    <t xml:space="preserve">Building management system panel incl. controller and graphics</t>
  </si>
  <si>
    <t xml:space="preserve">ELV INSTALLATION|Building management|BMS control panel</t>
  </si>
  <si>
    <t xml:space="preserve">Field device &amp; sensor</t>
  </si>
  <si>
    <t xml:space="preserve">BMS field device / sensor incl. wiring and calibration</t>
  </si>
  <si>
    <t xml:space="preserve">ELV INSTALLATION|Building management|Field device &amp; sensor</t>
  </si>
  <si>
    <t xml:space="preserve">F.07</t>
  </si>
  <si>
    <t xml:space="preserve">PLUMBING SYSTEM</t>
  </si>
  <si>
    <t xml:space="preserve">Water supply</t>
  </si>
  <si>
    <t xml:space="preserve">Cold water piping</t>
  </si>
  <si>
    <t xml:space="preserve">PPR / uPVC cold water piping incl. fitting, valve, support and testing</t>
  </si>
  <si>
    <t xml:space="preserve">PLUMBING SYSTEM|Water supply|Cold water piping</t>
  </si>
  <si>
    <t xml:space="preserve">Hot water piping</t>
  </si>
  <si>
    <t xml:space="preserve">PPR hot water piping incl. insulation, fitting and testing</t>
  </si>
  <si>
    <t xml:space="preserve">PLUMBING SYSTEM|Water supply|Hot water piping</t>
  </si>
  <si>
    <t xml:space="preserve">PLUMBING SYSTEM|Water supply|Pipe insulation</t>
  </si>
  <si>
    <t xml:space="preserve">Valve &amp; fitting</t>
  </si>
  <si>
    <t xml:space="preserve">Gate / check / ball valve incl. flange, gasket and bolt</t>
  </si>
  <si>
    <t xml:space="preserve">PLUMBING SYSTEM|Water supply|Valve &amp; fitting</t>
  </si>
  <si>
    <t xml:space="preserve">Water meter</t>
  </si>
  <si>
    <t xml:space="preserve">Water meter incl. strainer, valve and connection</t>
  </si>
  <si>
    <t xml:space="preserve">PLUMBING SYSTEM|Water supply|Water meter</t>
  </si>
  <si>
    <t xml:space="preserve">Water storage &amp; pump</t>
  </si>
  <si>
    <t xml:space="preserve">Water tank</t>
  </si>
  <si>
    <t xml:space="preserve">Water storage tank incl. base, level control, pipework and cleaning</t>
  </si>
  <si>
    <t xml:space="preserve">PLUMBING SYSTEM|Water storage &amp; pump|Water tank</t>
  </si>
  <si>
    <t xml:space="preserve">Transfer pump</t>
  </si>
  <si>
    <t xml:space="preserve">Water transfer pump set incl. base, valve, control panel and wiring</t>
  </si>
  <si>
    <t xml:space="preserve">PLUMBING SYSTEM|Water storage &amp; pump|Transfer pump</t>
  </si>
  <si>
    <t xml:space="preserve">Booster pump</t>
  </si>
  <si>
    <t xml:space="preserve">Booster pump set with pressure vessel incl. control panel</t>
  </si>
  <si>
    <t xml:space="preserve">PLUMBING SYSTEM|Water storage &amp; pump|Booster pump</t>
  </si>
  <si>
    <t xml:space="preserve">Water heater</t>
  </si>
  <si>
    <t xml:space="preserve">Electric water heater incl. safety valve, bracket and wiring</t>
  </si>
  <si>
    <t xml:space="preserve">PLUMBING SYSTEM|Water storage &amp; pump|Water heater</t>
  </si>
  <si>
    <t xml:space="preserve">Level control</t>
  </si>
  <si>
    <t xml:space="preserve">Water level control system incl. electrode, relay and wiring</t>
  </si>
  <si>
    <t xml:space="preserve">PLUMBING SYSTEM|Water storage &amp; pump|Level control</t>
  </si>
  <si>
    <t xml:space="preserve">Drainage</t>
  </si>
  <si>
    <t xml:space="preserve">Soil pipe</t>
  </si>
  <si>
    <t xml:space="preserve">uPVC soil pipe incl. fitting, support, jointing and testing</t>
  </si>
  <si>
    <t xml:space="preserve">PLUMBING SYSTEM|Drainage|Soil pipe</t>
  </si>
  <si>
    <t xml:space="preserve">Waste pipe</t>
  </si>
  <si>
    <t xml:space="preserve">uPVC waste pipe incl. fitting, trap, support and testing</t>
  </si>
  <si>
    <t xml:space="preserve">PLUMBING SYSTEM|Drainage|Waste pipe</t>
  </si>
  <si>
    <t xml:space="preserve">Vent pipe</t>
  </si>
  <si>
    <t xml:space="preserve">uPVC vent pipe incl. fitting, cowl and support</t>
  </si>
  <si>
    <t xml:space="preserve">PLUMBING SYSTEM|Drainage|Vent pipe</t>
  </si>
  <si>
    <t xml:space="preserve">Rainwater downpipe</t>
  </si>
  <si>
    <t xml:space="preserve">uPVC rainwater downpipe incl. fitting, bracket and shoe</t>
  </si>
  <si>
    <t xml:space="preserve">PLUMBING SYSTEM|Drainage|Rainwater downpipe</t>
  </si>
  <si>
    <t xml:space="preserve">Manhole / inspection chamber</t>
  </si>
  <si>
    <t xml:space="preserve">Manhole / inspection chamber incl. excavation, concrete, benching and cover</t>
  </si>
  <si>
    <t xml:space="preserve">PLUMBING SYSTEM|Drainage|Manhole / inspection chamber</t>
  </si>
  <si>
    <t xml:space="preserve">Grease trap</t>
  </si>
  <si>
    <t xml:space="preserve">Grease trap incl. excavation, installation, cover and connection</t>
  </si>
  <si>
    <t xml:space="preserve">PLUMBING SYSTEM|Drainage|Grease trap</t>
  </si>
  <si>
    <t xml:space="preserve">Sewage treatment</t>
  </si>
  <si>
    <t xml:space="preserve">Septic tank (precast)</t>
  </si>
  <si>
    <t xml:space="preserve">Precast septic tank incl. excavation, bedding, connection and backfill</t>
  </si>
  <si>
    <t xml:space="preserve">PLUMBING SYSTEM|Sewage treatment|Septic tank (precast)</t>
  </si>
  <si>
    <t xml:space="preserve">Sewage treatment plant (STP)</t>
  </si>
  <si>
    <t xml:space="preserve">Package sewage treatment plant incl. blower, control and commissioning</t>
  </si>
  <si>
    <t xml:space="preserve">PLUMBING SYSTEM|Sewage treatment|Sewage treatment plant (STP)</t>
  </si>
  <si>
    <t xml:space="preserve">Sewer connection</t>
  </si>
  <si>
    <t xml:space="preserve">Connection to public sewer incl. excavation, pipe, chamber and reinstatement</t>
  </si>
  <si>
    <t xml:space="preserve">PLUMBING SYSTEM|Sewage treatment|Sewer connection</t>
  </si>
  <si>
    <t xml:space="preserve">F.08</t>
  </si>
  <si>
    <t xml:space="preserve">FIRE FIGHTING SYSTEM</t>
  </si>
  <si>
    <t xml:space="preserve">Hydrant &amp; hose reel</t>
  </si>
  <si>
    <t xml:space="preserve">Fire hydrant</t>
  </si>
  <si>
    <t xml:space="preserve">Fire hydrant / landing valve incl. cabinet, hose and accessories</t>
  </si>
  <si>
    <t xml:space="preserve">FIRE FIGHTING SYSTEM|Hydrant &amp; hose reel|Fire hydrant</t>
  </si>
  <si>
    <t xml:space="preserve">Hose reel</t>
  </si>
  <si>
    <t xml:space="preserve">Fire hose reel 30m incl. cabinet, nozzle and valve</t>
  </si>
  <si>
    <t xml:space="preserve">FIRE FIGHTING SYSTEM|Hydrant &amp; hose reel|Hose reel</t>
  </si>
  <si>
    <t xml:space="preserve">Landing valve</t>
  </si>
  <si>
    <t xml:space="preserve">Landing valve incl. cabinet and blank cap</t>
  </si>
  <si>
    <t xml:space="preserve">FIRE FIGHTING SYSTEM|Hydrant &amp; hose reel|Landing valve</t>
  </si>
  <si>
    <t xml:space="preserve">Fire riser piping</t>
  </si>
  <si>
    <t xml:space="preserve">Fire riser piping, galvanised steel, incl. fitting, support and testing</t>
  </si>
  <si>
    <t xml:space="preserve">FIRE FIGHTING SYSTEM|Hydrant &amp; hose reel|Fire riser piping</t>
  </si>
  <si>
    <t xml:space="preserve">Sprinkler system</t>
  </si>
  <si>
    <t xml:space="preserve">Sprinkler head</t>
  </si>
  <si>
    <t xml:space="preserve">Pendent / upright sprinkler head incl. escutcheon and testing</t>
  </si>
  <si>
    <t xml:space="preserve">FIRE FIGHTING SYSTEM|Sprinkler system|Sprinkler head</t>
  </si>
  <si>
    <t xml:space="preserve">Sprinkler piping</t>
  </si>
  <si>
    <t xml:space="preserve">Sprinkler piping incl. fitting, hanger, support and hydrostatic testing</t>
  </si>
  <si>
    <t xml:space="preserve">FIRE FIGHTING SYSTEM|Sprinkler system|Sprinkler piping</t>
  </si>
  <si>
    <t xml:space="preserve">Alarm valve set</t>
  </si>
  <si>
    <t xml:space="preserve">Sprinkler alarm valve set incl. gauge, drain and trim</t>
  </si>
  <si>
    <t xml:space="preserve">FIRE FIGHTING SYSTEM|Sprinkler system|Alarm valve set</t>
  </si>
  <si>
    <t xml:space="preserve">Flow switch</t>
  </si>
  <si>
    <t xml:space="preserve">Flow switch / tamper switch incl. wiring to fire alarm panel</t>
  </si>
  <si>
    <t xml:space="preserve">FIRE FIGHTING SYSTEM|Sprinkler system|Flow switch</t>
  </si>
  <si>
    <t xml:space="preserve">Fire pump &amp; tank</t>
  </si>
  <si>
    <t xml:space="preserve">Fire pump set</t>
  </si>
  <si>
    <t xml:space="preserve">Fire pump set (electric + diesel + jockey) incl. controller and commissioning</t>
  </si>
  <si>
    <t xml:space="preserve">FIRE FIGHTING SYSTEM|Fire pump &amp; tank|Fire pump set</t>
  </si>
  <si>
    <t xml:space="preserve">Jockey pump</t>
  </si>
  <si>
    <t xml:space="preserve">Jockey pump incl. pressure switch and control</t>
  </si>
  <si>
    <t xml:space="preserve">FIRE FIGHTING SYSTEM|Fire pump &amp; tank|Jockey pump</t>
  </si>
  <si>
    <t xml:space="preserve">Fire water tank</t>
  </si>
  <si>
    <t xml:space="preserve">Fire water storage tank incl. base, level control and connection</t>
  </si>
  <si>
    <t xml:space="preserve">FIRE FIGHTING SYSTEM|Fire pump &amp; tank|Fire water tank</t>
  </si>
  <si>
    <t xml:space="preserve">Portable &amp; special suppression</t>
  </si>
  <si>
    <t xml:space="preserve">Fire extinguisher</t>
  </si>
  <si>
    <t xml:space="preserve">Portable fire extinguisher incl. bracket, sign and servicing</t>
  </si>
  <si>
    <t xml:space="preserve">FIRE FIGHTING SYSTEM|Portable &amp; special suppression|Fire extinguisher</t>
  </si>
  <si>
    <t xml:space="preserve">Fire blanket</t>
  </si>
  <si>
    <t xml:space="preserve">Fire blanket incl. cabinet and fixing</t>
  </si>
  <si>
    <t xml:space="preserve">FIRE FIGHTING SYSTEM|Portable &amp; special suppression|Fire blanket</t>
  </si>
  <si>
    <t xml:space="preserve">FM200 / CO2 system</t>
  </si>
  <si>
    <t xml:space="preserve">FM200 / CO2 clean agent suppression system incl. cylinder, nozzle and panel</t>
  </si>
  <si>
    <t xml:space="preserve">FIRE FIGHTING SYSTEM|Portable &amp; special suppression|FM200 / CO2 system</t>
  </si>
  <si>
    <t xml:space="preserve">Kitchen suppression system</t>
  </si>
  <si>
    <t xml:space="preserve">Kitchen hood wet chemical suppression system incl. nozzle and control</t>
  </si>
  <si>
    <t xml:space="preserve">FIRE FIGHTING SYSTEM|Portable &amp; special suppression|Kitchen suppression system</t>
  </si>
  <si>
    <t xml:space="preserve">F.09</t>
  </si>
  <si>
    <t xml:space="preserve">Specialist Installations</t>
  </si>
  <si>
    <t xml:space="preserve">Renewable &amp; specialist</t>
  </si>
  <si>
    <t xml:space="preserve">Solar PV system</t>
  </si>
  <si>
    <t xml:space="preserve">Solar PV system incl. panel, inverter, mounting, cabling and commissioning</t>
  </si>
  <si>
    <t xml:space="preserve">Specialist Installations|Renewable &amp; specialist|Solar PV system</t>
  </si>
  <si>
    <t xml:space="preserve">Water treatment plant</t>
  </si>
  <si>
    <t xml:space="preserve">Water treatment plant incl. filter, dosing, control and commissioning</t>
  </si>
  <si>
    <t xml:space="preserve">Specialist Installations|Renewable &amp; specialist|Water treatment plant</t>
  </si>
  <si>
    <t xml:space="preserve">Swimming pool system</t>
  </si>
  <si>
    <t xml:space="preserve">Swimming pool filtration system incl. pump, filter, dosing and control</t>
  </si>
  <si>
    <t xml:space="preserve">Specialist Installations|Renewable &amp; specialist|Swimming pool system</t>
  </si>
  <si>
    <t xml:space="preserve">Kitchen equipment</t>
  </si>
  <si>
    <t xml:space="preserve">Commercial kitchen equipment incl. connection and commissioning</t>
  </si>
  <si>
    <t xml:space="preserve">Specialist Installations|Renewable &amp; specialist|Kitchen equipment</t>
  </si>
  <si>
    <t xml:space="preserve">F.10</t>
  </si>
  <si>
    <t xml:space="preserve">VERTICAL TRANSPORTATION SYSTEM</t>
  </si>
  <si>
    <t xml:space="preserve">Lift</t>
  </si>
  <si>
    <t xml:space="preserve">Passenger lift</t>
  </si>
  <si>
    <t xml:space="preserve">Passenger lift, 1000kg / 13 person, incl. car, door, control and commissioning</t>
  </si>
  <si>
    <t xml:space="preserve">VERTICAL TRANSPORTATION SYSTEM|Lift|Passenger lift</t>
  </si>
  <si>
    <t xml:space="preserve">Service / goods lift</t>
  </si>
  <si>
    <t xml:space="preserve">Service / goods lift incl. car, door, control and commissioning</t>
  </si>
  <si>
    <t xml:space="preserve">VERTICAL TRANSPORTATION SYSTEM|Lift|Service / goods lift</t>
  </si>
  <si>
    <t xml:space="preserve">Firefighting lift</t>
  </si>
  <si>
    <t xml:space="preserve">Firefighting lift incl. fireman switch, control and commissioning</t>
  </si>
  <si>
    <t xml:space="preserve">VERTICAL TRANSPORTATION SYSTEM|Lift|Firefighting lift</t>
  </si>
  <si>
    <t xml:space="preserve">Platform / accessibility lift</t>
  </si>
  <si>
    <t xml:space="preserve">Platform / accessibility lift incl. control and commissioning</t>
  </si>
  <si>
    <t xml:space="preserve">VERTICAL TRANSPORTATION SYSTEM|Lift|Platform / accessibility lift</t>
  </si>
  <si>
    <t xml:space="preserve">Escalator</t>
  </si>
  <si>
    <t xml:space="preserve">Escalator incl. truss, balustrade, control and commissioning</t>
  </si>
  <si>
    <t xml:space="preserve">VERTICAL TRANSPORTATION SYSTEM|Escalator|Escalator</t>
  </si>
  <si>
    <t xml:space="preserve">Lift shaft equipment</t>
  </si>
  <si>
    <t xml:space="preserve">Lift shaft ladder</t>
  </si>
  <si>
    <t xml:space="preserve">Lift pit access ladder incl. fixing</t>
  </si>
  <si>
    <t xml:space="preserve">VERTICAL TRANSPORTATION SYSTEM|Lift shaft equipment|Lift shaft ladder</t>
  </si>
  <si>
    <t xml:space="preserve">Shaft lighting &amp; socket</t>
  </si>
  <si>
    <t xml:space="preserve">Lift shaft lighting and socket incl. wiring and switch</t>
  </si>
  <si>
    <t xml:space="preserve">VERTICAL TRANSPORTATION SYSTEM|Lift shaft equipment|Shaft lighting &amp; socket</t>
  </si>
  <si>
    <t xml:space="preserve">Machine room equipment</t>
  </si>
  <si>
    <t xml:space="preserve">Lift machine room equipment incl. ventilation, lighting and hoisting beam</t>
  </si>
  <si>
    <t xml:space="preserve">VERTICAL TRANSPORTATION SYSTEM|Lift shaft equipment|Machine room equipment</t>
  </si>
  <si>
    <t xml:space="preserve">F.00</t>
  </si>
  <si>
    <t xml:space="preserve">Services</t>
  </si>
  <si>
    <t xml:space="preserve">Testing &amp; Commissioning</t>
  </si>
  <si>
    <t xml:space="preserve">Testing &amp; commissioning</t>
  </si>
  <si>
    <t xml:space="preserve">Testing, adjusting and commissioning of complete installation incl. report</t>
  </si>
  <si>
    <t xml:space="preserve">Services|Testing &amp; Commissioning|Testing &amp; commissioning</t>
  </si>
  <si>
    <t xml:space="preserve">As-built drawing</t>
  </si>
  <si>
    <t xml:space="preserve">As-built drawings incl. printing and soft copy submission</t>
  </si>
  <si>
    <t xml:space="preserve">Services|Testing &amp; Commissioning|As-built drawing</t>
  </si>
  <si>
    <t xml:space="preserve">O&amp;M manual</t>
  </si>
  <si>
    <t xml:space="preserve">Operation and maintenance manual incl. warranty documents</t>
  </si>
  <si>
    <t xml:space="preserve">Services|Testing &amp; Commissioning|O&amp;M manual</t>
  </si>
  <si>
    <t xml:space="preserve">Training</t>
  </si>
  <si>
    <t xml:space="preserve">Training of client operating personnel</t>
  </si>
  <si>
    <t xml:space="preserve">Services|Testing &amp; Commissioning|Training</t>
  </si>
  <si>
    <t xml:space="preserve">Spare parts</t>
  </si>
  <si>
    <t xml:space="preserve">Recommended spare parts as per specification</t>
  </si>
  <si>
    <t xml:space="preserve">Services|Testing &amp; Commissioning|Spare parts</t>
  </si>
  <si>
    <t xml:space="preserve">External Works</t>
  </si>
  <si>
    <t xml:space="preserve">G.01</t>
  </si>
  <si>
    <t xml:space="preserve">External Work</t>
  </si>
  <si>
    <t xml:space="preserve">Site preparation</t>
  </si>
  <si>
    <t xml:space="preserve">Site clearing</t>
  </si>
  <si>
    <t xml:space="preserve">Site clearing; supply and lay complete incl. base preparation and jointing.</t>
  </si>
  <si>
    <t xml:space="preserve">External Work|Site preparation|Site clearing</t>
  </si>
  <si>
    <t xml:space="preserve">Cut &amp; fill</t>
  </si>
  <si>
    <t xml:space="preserve">Cut and fill to formation level incl. compaction</t>
  </si>
  <si>
    <t xml:space="preserve">External Work|Site preparation|Cut &amp; fill</t>
  </si>
  <si>
    <t xml:space="preserve">External Work|Site preparation|Compaction</t>
  </si>
  <si>
    <t xml:space="preserve">G.02</t>
  </si>
  <si>
    <t xml:space="preserve">Roads, path, paving</t>
  </si>
  <si>
    <t xml:space="preserve">Concrete paving</t>
  </si>
  <si>
    <t xml:space="preserve">Reinforced concrete paving 150mm thk. incl. base, mesh and joint</t>
  </si>
  <si>
    <t xml:space="preserve">External Work|Roads, path, paving|Concrete paving</t>
  </si>
  <si>
    <t xml:space="preserve">Asphalt paving</t>
  </si>
  <si>
    <t xml:space="preserve">Asphalt concrete wearing course 50mm thk. incl. prime coat and base</t>
  </si>
  <si>
    <t xml:space="preserve">External Work|Roads, path, paving|Asphalt paving</t>
  </si>
  <si>
    <t xml:space="preserve">Interlocking paver</t>
  </si>
  <si>
    <t xml:space="preserve">Interlocking concrete paver 60mm thk. incl. sand bedding and jointing</t>
  </si>
  <si>
    <t xml:space="preserve">External Work|Roads, path, paving|Interlocking paver</t>
  </si>
  <si>
    <t xml:space="preserve">Kerb</t>
  </si>
  <si>
    <t xml:space="preserve">Precast concrete kerb incl. bedding, haunching and jointing</t>
  </si>
  <si>
    <t xml:space="preserve">External Work|Roads, path, paving|Kerb</t>
  </si>
  <si>
    <t xml:space="preserve">Road marking</t>
  </si>
  <si>
    <t xml:space="preserve">Thermoplastic road marking incl. surface preparation</t>
  </si>
  <si>
    <t xml:space="preserve">External Work|Roads, path, paving|Road marking</t>
  </si>
  <si>
    <t xml:space="preserve">Car park</t>
  </si>
  <si>
    <t xml:space="preserve">Car park surfacing incl. marking, wheel stop and signage</t>
  </si>
  <si>
    <t xml:space="preserve">External Work|Roads, path, paving|Car park</t>
  </si>
  <si>
    <t xml:space="preserve">G.03</t>
  </si>
  <si>
    <t xml:space="preserve">Landscape</t>
  </si>
  <si>
    <t xml:space="preserve">Top soil</t>
  </si>
  <si>
    <t xml:space="preserve">Approved top soil spread and levelled</t>
  </si>
  <si>
    <t xml:space="preserve">External Work|Landscape|Top soil</t>
  </si>
  <si>
    <t xml:space="preserve">Turfing</t>
  </si>
  <si>
    <t xml:space="preserve">Turfing incl. top soil, fertiliser and watering to establishment</t>
  </si>
  <si>
    <t xml:space="preserve">External Work|Landscape|Turfing</t>
  </si>
  <si>
    <t xml:space="preserve">Tree &amp; shrub</t>
  </si>
  <si>
    <t xml:space="preserve">Supply and plant tree / shrub incl. pit, soil mix, stake and maintenance</t>
  </si>
  <si>
    <t xml:space="preserve">External Work|Landscape|Tree &amp; shrub</t>
  </si>
  <si>
    <t xml:space="preserve">Planter</t>
  </si>
  <si>
    <t xml:space="preserve">Planter box incl. waterproofing, drainage layer and soil</t>
  </si>
  <si>
    <t xml:space="preserve">External Work|Landscape|Planter</t>
  </si>
  <si>
    <t xml:space="preserve">Irrigation system</t>
  </si>
  <si>
    <t xml:space="preserve">Landscape irrigation system incl. piping, sprinkler, valve and controller</t>
  </si>
  <si>
    <t xml:space="preserve">External Work|Landscape|Irrigation system</t>
  </si>
  <si>
    <t xml:space="preserve">G.04</t>
  </si>
  <si>
    <t xml:space="preserve">Fence, railing &amp; wall</t>
  </si>
  <si>
    <t xml:space="preserve">Boundary fence</t>
  </si>
  <si>
    <t xml:space="preserve">Boundary fence incl. post, mesh/panel, foundation and painting</t>
  </si>
  <si>
    <t xml:space="preserve">External Work|Fence, railing &amp; wall|Boundary fence</t>
  </si>
  <si>
    <t xml:space="preserve">Main gate</t>
  </si>
  <si>
    <t xml:space="preserve">Main entrance gate incl. frame, leaf, hardware, motor and painting</t>
  </si>
  <si>
    <t xml:space="preserve">External Work|Fence, railing &amp; wall|Main gate</t>
  </si>
  <si>
    <t xml:space="preserve">External Work|Fence, railing &amp; wall|Guard rail</t>
  </si>
  <si>
    <t xml:space="preserve">Boundary wall</t>
  </si>
  <si>
    <t xml:space="preserve">Boundary wall incl. foundation, blockwork, plaster and paint</t>
  </si>
  <si>
    <t xml:space="preserve">External Work|Fence, railing &amp; wall|Boundary wall</t>
  </si>
  <si>
    <t xml:space="preserve">G.05</t>
  </si>
  <si>
    <t xml:space="preserve">External fixture</t>
  </si>
  <si>
    <t xml:space="preserve">Flag pole</t>
  </si>
  <si>
    <t xml:space="preserve">Flag pole incl. foundation, halyard and finishing</t>
  </si>
  <si>
    <t xml:space="preserve">External Work|External fixture|Flag pole</t>
  </si>
  <si>
    <t xml:space="preserve">Bollard</t>
  </si>
  <si>
    <t xml:space="preserve">Bollard incl. foundation and finishing</t>
  </si>
  <si>
    <t xml:space="preserve">External Work|External fixture|Bollard</t>
  </si>
  <si>
    <t xml:space="preserve">Bicycle rack</t>
  </si>
  <si>
    <t xml:space="preserve">Bicycle rack incl. fixing to slab</t>
  </si>
  <si>
    <t xml:space="preserve">External Work|External fixture|Bicycle rack</t>
  </si>
  <si>
    <t xml:space="preserve">Covered walkway</t>
  </si>
  <si>
    <t xml:space="preserve">Covered walkway incl. steel structure, roofing and finishes</t>
  </si>
  <si>
    <t xml:space="preserve">External Work|External fixture|Covered walkway</t>
  </si>
  <si>
    <t xml:space="preserve">Guard house</t>
  </si>
  <si>
    <t xml:space="preserve">Guard house incl. structure, finishes and services</t>
  </si>
  <si>
    <t xml:space="preserve">External Work|External fixture|Guard house</t>
  </si>
  <si>
    <t xml:space="preserve">Playground / sport court</t>
  </si>
  <si>
    <t xml:space="preserve">Playground / sport court incl. surfacing, marking and equipment</t>
  </si>
  <si>
    <t xml:space="preserve">External Work|External fixture|Playground / sport court</t>
  </si>
  <si>
    <t xml:space="preserve">DESCRIPTION LIBRARY — STANDARD BoQ DESCRIPTIONS (MATERIAL TYPE)</t>
  </si>
  <si>
    <t xml:space="preserve">One or more standard descriptions per Sub Element. "In Price List = Yes" means a rate already exists in the current project Price List.</t>
  </si>
  <si>
    <t xml:space="preserve">Copy the Description into the Material Type column of Raw Data. Edit sizes / grades to match the specification before pricing.</t>
  </si>
  <si>
    <t xml:space="preserve">Description  (Material Type)</t>
  </si>
  <si>
    <t xml:space="preserve">Unit</t>
  </si>
  <si>
    <t xml:space="preserve">In Price List</t>
  </si>
  <si>
    <t xml:space="preserve">Current Rate ($)</t>
  </si>
  <si>
    <t xml:space="preserve">-</t>
  </si>
  <si>
    <t xml:space="preserve">Sub Structure|Site Preparation &amp; Earthwork|Site Clearing|Site clearing, grubbing and removal of vegetation and debris off site</t>
  </si>
  <si>
    <t xml:space="preserve">Sub Structure|Site Preparation &amp; Earthwork|Excavation|Bulk excavation by machine incl. trimming and levelling of formation</t>
  </si>
  <si>
    <t xml:space="preserve">Sub Structure|Site Preparation &amp; Earthwork|Backfill|Backfilling with approved material in 200mm layers incl. compaction to 95% MDD</t>
  </si>
  <si>
    <t xml:space="preserve">Sub Structure|Site Preparation &amp; Earthwork|Soil Disposal|Cart away surplus excavated material off site incl. tipping fee</t>
  </si>
  <si>
    <t xml:space="preserve">Sub Structure|Site Preparation &amp; Earthwork|Compaction|Compaction of formation to 95% MDD incl. watering and testing</t>
  </si>
  <si>
    <t xml:space="preserve">Sub Structure|Site Preparation &amp; Earthwork|Dewatering|Dewatering incl. pumps, sump pits, piping and maintenance during construction</t>
  </si>
  <si>
    <t xml:space="preserve">Sub Structure|Site Preparation &amp; Earthwork|Levelling &amp; Setting Out|Setting out, levelling and establishment of benchmarks and grid lines</t>
  </si>
  <si>
    <t xml:space="preserve">Sub Structure|Shoring &amp; Sheet Pile|Sheet Pile Supply|Supply of steel sheet pile, hot rolled section as per design</t>
  </si>
  <si>
    <t xml:space="preserve">Sub Structure|Shoring &amp; Sheet Pile|Sheet Pile Driving|Driving of steel sheet pile to required depth incl. plant and equipment</t>
  </si>
  <si>
    <t xml:space="preserve">Sub Structure|Shoring &amp; Sheet Pile|Sheet Pile Extraction|Extraction of steel sheet pile and making good of voids</t>
  </si>
  <si>
    <t xml:space="preserve">Sub Structure|Shoring &amp; Sheet Pile|Strut &amp; Waler|Steel strut and waler incl. fabrication, installation and removal</t>
  </si>
  <si>
    <t xml:space="preserve">Sub Structure|Shoring &amp; Sheet Pile|Ground Anchor|Ground anchor incl. drilling, grouting, stressing and testing</t>
  </si>
  <si>
    <t xml:space="preserve">Sub Structure|Shoring &amp; Sheet Pile|Guide Wall|Reinforced concrete guide wall incl. concrete, rebar and formwork</t>
  </si>
  <si>
    <t xml:space="preserve">Sub Structure|Bored Pile|Bored Pile Boring|Bored piling D1000mm incl. boring, casing and disposal of spoil</t>
  </si>
  <si>
    <t xml:space="preserve">Bored piling D800mm incl. boring, casing and disposal of spoil</t>
  </si>
  <si>
    <t xml:space="preserve">Sub Structure|Bored Pile|Bored Pile Boring|Bored piling D800mm incl. boring, casing and disposal of spoil</t>
  </si>
  <si>
    <t xml:space="preserve">Yes</t>
  </si>
  <si>
    <t xml:space="preserve">Sub Structure|Bored Pile|Concrete|Normal Concrete, 35Mpa (Cylinder), Slump 13+-2.5</t>
  </si>
  <si>
    <t xml:space="preserve">Normal Concrete, 35Mpa (Cylinder), Slump 15+-2.5</t>
  </si>
  <si>
    <t xml:space="preserve">Sub Structure|Bored Pile|Concrete|Normal Concrete, 35Mpa (Cylinder), Slump 15+-2.5</t>
  </si>
  <si>
    <t xml:space="preserve">Normal Concrete, 25Mpa (Cylinder), Slump 10+-2.5</t>
  </si>
  <si>
    <t xml:space="preserve">Sub Structure|Bored Pile|Concrete|Normal Concrete, 25Mpa (Cylinder), Slump 10+-2.5</t>
  </si>
  <si>
    <t xml:space="preserve">Normal Concrete, 30Mpa (Cylinder), Slump 13+-2.5</t>
  </si>
  <si>
    <t xml:space="preserve">Sub Structure|Bored Pile|Concrete|Normal Concrete, 30Mpa (Cylinder), Slump 13+-2.5</t>
  </si>
  <si>
    <t xml:space="preserve">Sub Structure|Bored Pile|Rebar|Deform Bar, DB10(fy=390 Mpa)</t>
  </si>
  <si>
    <t xml:space="preserve">Deform Bar, DB12(fy=390 Mpa)</t>
  </si>
  <si>
    <t xml:space="preserve">Sub Structure|Bored Pile|Rebar|Deform Bar, DB12(fy=390 Mpa)</t>
  </si>
  <si>
    <t xml:space="preserve">Deform Bar, DB14(fy=390 Mpa)</t>
  </si>
  <si>
    <t xml:space="preserve">Sub Structure|Bored Pile|Rebar|Deform Bar, DB14(fy=390 Mpa)</t>
  </si>
  <si>
    <t xml:space="preserve">Deform Bar, DB16(fy=390 Mpa)</t>
  </si>
  <si>
    <t xml:space="preserve">Sub Structure|Bored Pile|Rebar|Deform Bar, DB16(fy=390 Mpa)</t>
  </si>
  <si>
    <t xml:space="preserve">Deform Bar, DB20(fy=390 Mpa)</t>
  </si>
  <si>
    <t xml:space="preserve">Sub Structure|Bored Pile|Rebar|Deform Bar, DB20(fy=390 Mpa)</t>
  </si>
  <si>
    <t xml:space="preserve">Deform Bar, DB25(fy=390 Mpa)</t>
  </si>
  <si>
    <t xml:space="preserve">Sub Structure|Bored Pile|Rebar|Deform Bar, DB25(fy=390 Mpa)</t>
  </si>
  <si>
    <t xml:space="preserve">Deform Bar, DB32(fy=390 Mpa)</t>
  </si>
  <si>
    <t xml:space="preserve">Sub Structure|Bored Pile|Rebar|Deform Bar, DB32(fy=390 Mpa)</t>
  </si>
  <si>
    <t xml:space="preserve">Round Bar, RB8(fy=250 Mpa)</t>
  </si>
  <si>
    <t xml:space="preserve">Sub Structure|Bored Pile|Rebar|Round Bar, RB8(fy=250 Mpa)</t>
  </si>
  <si>
    <t xml:space="preserve">Round Bar, RB6(fy=250 Mpa)</t>
  </si>
  <si>
    <t xml:space="preserve">Sub Structure|Bored Pile|Rebar|Round Bar, RB6(fy=250 Mpa)</t>
  </si>
  <si>
    <t xml:space="preserve">Sub Structure|Bored Pile|Steel Tie Wire|Steel Tie Wire 1mm (Estimated 4% of Total Rebar Weight)</t>
  </si>
  <si>
    <t xml:space="preserve">Sub Structure|Bored Pile|Steel Round Pipe|Steel Round Pipe (D49x2mm) with rush primer and paint</t>
  </si>
  <si>
    <t xml:space="preserve">Sub Structure|Bored Pile|Bentonite / Slurry|Bentonite / polymer slurry incl. mixing, circulation and disposal</t>
  </si>
  <si>
    <t xml:space="preserve">Sub Structure|Bored Pile|Bored Pile Head Cutting|Pile Head Cutting up to required level D1000mm</t>
  </si>
  <si>
    <t xml:space="preserve">Pile Head Cutting up to required level D800mm</t>
  </si>
  <si>
    <t xml:space="preserve">Sub Structure|Bored Pile|Bored Pile Head Cutting|Pile Head Cutting up to required level D800mm</t>
  </si>
  <si>
    <t xml:space="preserve">Sub Structure|Bored Pile|Bored Pile Testing|Sonic Logging Test (SLT)</t>
  </si>
  <si>
    <t xml:space="preserve">Pile Integrity Test (PIT)</t>
  </si>
  <si>
    <t xml:space="preserve">Sub Structure|Bored Pile|Bored Pile Testing|Pile Integrity Test (PIT)</t>
  </si>
  <si>
    <t xml:space="preserve">Sub Structure|Bored Pile|Bored Pile Coring|Soil Coring for Bored Pile D1000mm, Depth 30m</t>
  </si>
  <si>
    <t xml:space="preserve">Soil Coring for Bored Pile D800mm, Depth 30m</t>
  </si>
  <si>
    <t xml:space="preserve">Sub Structure|Bored Pile|Bored Pile Coring|Soil Coring for Bored Pile D800mm, Depth 30m</t>
  </si>
  <si>
    <t xml:space="preserve">Sub Structure|Bored Pile|Pile Load Test|Dynamic pile load test (PDA)</t>
  </si>
  <si>
    <t xml:space="preserve">Static pile load test to 200% design working load</t>
  </si>
  <si>
    <t xml:space="preserve">Sub Structure|Bored Pile|Pile Load Test|Static pile load test to 200% design working load</t>
  </si>
  <si>
    <t xml:space="preserve">Sub Structure|Bored Pile|Rebar Testing|Rebar Testing as per Specification</t>
  </si>
  <si>
    <t xml:space="preserve">Sub Structure|Bored Pile|Concrete Testing|Concrete cube / cylinder test as per specification</t>
  </si>
  <si>
    <t xml:space="preserve">Sub Structure|Driven Pile / Micro Pile|Pile Supply|Supply of precast / spun pile as per design section</t>
  </si>
  <si>
    <t xml:space="preserve">Sub Structure|Driven Pile / Micro Pile|Pile Driving|Driving of precast / spun pile to required set incl. plant</t>
  </si>
  <si>
    <t xml:space="preserve">Sub Structure|Driven Pile / Micro Pile|Pile Splicing|Pile splicing by full penetration weld incl. splice plate</t>
  </si>
  <si>
    <t xml:space="preserve">Sub Structure|Driven Pile / Micro Pile|Pile Head Cutting|Pile head cutting and trimming to required cut-off level</t>
  </si>
  <si>
    <t xml:space="preserve">Sub Structure|Driven Pile / Micro Pile|Pile Load Test|Dynamic pile load test (PDA)</t>
  </si>
  <si>
    <t xml:space="preserve">Sub Structure|Driven Pile / Micro Pile|Pile Load Test|Static pile load test to 200% design working load</t>
  </si>
  <si>
    <t xml:space="preserve">Sub Structure|Pile Cap &amp; Stump|Earthwork|Soil Backfill</t>
  </si>
  <si>
    <t xml:space="preserve">Sub Structure|Pile Cap &amp; Stump|Earthwork|Soil Disposal</t>
  </si>
  <si>
    <t xml:space="preserve">Soil Excavation</t>
  </si>
  <si>
    <t xml:space="preserve">Sub Structure|Pile Cap &amp; Stump|Earthwork|Soil Excavation</t>
  </si>
  <si>
    <t xml:space="preserve">Sub Structure|Pile Cap &amp; Stump|Base Preparation|Well Soil Compact</t>
  </si>
  <si>
    <t xml:space="preserve">Sub Structure|Pile Cap &amp; Stump|Crush Stone|Crush Stone 40x60mm 100mm Thk.</t>
  </si>
  <si>
    <t xml:space="preserve">Crush Stone 40x60mm 150mm Thk.</t>
  </si>
  <si>
    <t xml:space="preserve">Sub Structure|Pile Cap &amp; Stump|Crush Stone|Crush Stone 40x60mm 150mm Thk.</t>
  </si>
  <si>
    <t xml:space="preserve">Sub Structure|Pile Cap &amp; Stump|Lean Concrete|Lean Concrete, 15Mpa (Cylinder)</t>
  </si>
  <si>
    <t xml:space="preserve">Sub Structure|Pile Cap &amp; Stump|Concrete|Normal Concrete, 35Mpa (Cylinder), Slump 13+-2.5</t>
  </si>
  <si>
    <t xml:space="preserve">Sub Structure|Pile Cap &amp; Stump|Concrete|Normal Concrete, 35Mpa (Cylinder), Slump 15+-2.5</t>
  </si>
  <si>
    <t xml:space="preserve">Sub Structure|Pile Cap &amp; Stump|Concrete|Normal Concrete, 25Mpa (Cylinder), Slump 10+-2.5</t>
  </si>
  <si>
    <t xml:space="preserve">Sub Structure|Pile Cap &amp; Stump|Concrete|Normal Concrete, 30Mpa (Cylinder), Slump 13+-2.5</t>
  </si>
  <si>
    <t xml:space="preserve">Sub Structure|Pile Cap &amp; Stump|Formwork|Formwork</t>
  </si>
  <si>
    <t xml:space="preserve">Sub Structure|Pile Cap &amp; Stump|Formwork|Formwork to curved / special shape incl. erection and striking</t>
  </si>
  <si>
    <t xml:space="preserve">Formwork, plywood 18mm thk. incl. erection, bracing, oiling and striking</t>
  </si>
  <si>
    <t xml:space="preserve">Sub Structure|Pile Cap &amp; Stump|Formwork|Formwork, plywood 18mm thk. incl. erection, bracing, oiling and striking</t>
  </si>
  <si>
    <t xml:space="preserve">Sub Structure|Pile Cap &amp; Stump|Rebar|Deform Bar, DB10(fy=390 Mpa)</t>
  </si>
  <si>
    <t xml:space="preserve">Sub Structure|Pile Cap &amp; Stump|Rebar|Deform Bar, DB12(fy=390 Mpa)</t>
  </si>
  <si>
    <t xml:space="preserve">Sub Structure|Pile Cap &amp; Stump|Rebar|Deform Bar, DB14(fy=390 Mpa)</t>
  </si>
  <si>
    <t xml:space="preserve">Sub Structure|Pile Cap &amp; Stump|Rebar|Deform Bar, DB16(fy=390 Mpa)</t>
  </si>
  <si>
    <t xml:space="preserve">Sub Structure|Pile Cap &amp; Stump|Rebar|Deform Bar, DB20(fy=390 Mpa)</t>
  </si>
  <si>
    <t xml:space="preserve">Sub Structure|Pile Cap &amp; Stump|Rebar|Deform Bar, DB25(fy=390 Mpa)</t>
  </si>
  <si>
    <t xml:space="preserve">Sub Structure|Pile Cap &amp; Stump|Rebar|Deform Bar, DB32(fy=390 Mpa)</t>
  </si>
  <si>
    <t xml:space="preserve">Sub Structure|Pile Cap &amp; Stump|Rebar|Round Bar, RB8(fy=250 Mpa)</t>
  </si>
  <si>
    <t xml:space="preserve">Sub Structure|Pile Cap &amp; Stump|Rebar|Round Bar, RB6(fy=250 Mpa)</t>
  </si>
  <si>
    <t xml:space="preserve">Sub Structure|Pile Cap &amp; Stump|Steel Tie Wire|Steel Tie Wire 1mm (Estimated 4% of Total Rebar Weight)</t>
  </si>
  <si>
    <t xml:space="preserve">Sub Structure|Pile Cap &amp; Stump|Water Stop|PVC Waterbar® V VN 20 (Width 200mm)</t>
  </si>
  <si>
    <t xml:space="preserve">Sub Structure|Pile Cap &amp; Stump|Waterproofing|Membrance sheet 2mm thk</t>
  </si>
  <si>
    <t xml:space="preserve">Sika Waterproofing</t>
  </si>
  <si>
    <t xml:space="preserve">Sub Structure|Pile Cap &amp; Stump|Waterproofing|Sika Waterproofing</t>
  </si>
  <si>
    <t xml:space="preserve">Cementitious waterproofing, 2 coats, to wet area incl. up-turn 300mm</t>
  </si>
  <si>
    <t xml:space="preserve">Sub Structure|Pile Cap &amp; Stump|Waterproofing|Cementitious waterproofing, 2 coats, to wet area incl. up-turn 300mm</t>
  </si>
  <si>
    <t xml:space="preserve">Sub Structure|Pile Cap &amp; Stump|Anti-Termite|Anti-Termite with Plastic Membrane</t>
  </si>
  <si>
    <t xml:space="preserve">Sub Structure|Footing / Raft Foundation|Earthwork|Soil Backfill</t>
  </si>
  <si>
    <t xml:space="preserve">Sub Structure|Footing / Raft Foundation|Earthwork|Soil Disposal</t>
  </si>
  <si>
    <t xml:space="preserve">Sub Structure|Footing / Raft Foundation|Earthwork|Soil Excavation</t>
  </si>
  <si>
    <t xml:space="preserve">Sub Structure|Footing / Raft Foundation|Base Preparation|Well Soil Compact</t>
  </si>
  <si>
    <t xml:space="preserve">Sub Structure|Footing / Raft Foundation|Crush Stone|Crush Stone 40x60mm 100mm Thk.</t>
  </si>
  <si>
    <t xml:space="preserve">Sub Structure|Footing / Raft Foundation|Crush Stone|Crush Stone 40x60mm 150mm Thk.</t>
  </si>
  <si>
    <t xml:space="preserve">Sub Structure|Footing / Raft Foundation|Lean Concrete|Lean Concrete, 15Mpa (Cylinder)</t>
  </si>
  <si>
    <t xml:space="preserve">Sub Structure|Footing / Raft Foundation|Concrete|Normal Concrete, 35Mpa (Cylinder), Slump 13+-2.5</t>
  </si>
  <si>
    <t xml:space="preserve">Sub Structure|Footing / Raft Foundation|Concrete|Normal Concrete, 35Mpa (Cylinder), Slump 15+-2.5</t>
  </si>
  <si>
    <t xml:space="preserve">Sub Structure|Footing / Raft Foundation|Concrete|Normal Concrete, 25Mpa (Cylinder), Slump 10+-2.5</t>
  </si>
  <si>
    <t xml:space="preserve">Sub Structure|Footing / Raft Foundation|Concrete|Normal Concrete, 30Mpa (Cylinder), Slump 13+-2.5</t>
  </si>
  <si>
    <t xml:space="preserve">Sub Structure|Footing / Raft Foundation|Formwork|Formwork to curved / special shape incl. erection and striking</t>
  </si>
  <si>
    <t xml:space="preserve">Sub Structure|Footing / Raft Foundation|Formwork|Formwork, plywood 18mm thk. incl. erection, bracing, oiling and striking</t>
  </si>
  <si>
    <t xml:space="preserve">Sub Structure|Footing / Raft Foundation|Rebar|Deform Bar, DB10(fy=390 Mpa)</t>
  </si>
  <si>
    <t xml:space="preserve">Sub Structure|Footing / Raft Foundation|Rebar|Deform Bar, DB12(fy=390 Mpa)</t>
  </si>
  <si>
    <t xml:space="preserve">Sub Structure|Footing / Raft Foundation|Rebar|Deform Bar, DB14(fy=390 Mpa)</t>
  </si>
  <si>
    <t xml:space="preserve">Sub Structure|Footing / Raft Foundation|Rebar|Deform Bar, DB16(fy=390 Mpa)</t>
  </si>
  <si>
    <t xml:space="preserve">Sub Structure|Footing / Raft Foundation|Rebar|Deform Bar, DB20(fy=390 Mpa)</t>
  </si>
  <si>
    <t xml:space="preserve">Sub Structure|Footing / Raft Foundation|Rebar|Deform Bar, DB25(fy=390 Mpa)</t>
  </si>
  <si>
    <t xml:space="preserve">Sub Structure|Footing / Raft Foundation|Rebar|Deform Bar, DB32(fy=390 Mpa)</t>
  </si>
  <si>
    <t xml:space="preserve">Sub Structure|Footing / Raft Foundation|Rebar|Round Bar, RB8(fy=250 Mpa)</t>
  </si>
  <si>
    <t xml:space="preserve">Sub Structure|Footing / Raft Foundation|Rebar|Round Bar, RB6(fy=250 Mpa)</t>
  </si>
  <si>
    <t xml:space="preserve">Sub Structure|Footing / Raft Foundation|Steel Tie Wire|Steel Tie Wire 1mm (Estimated 4% of Total Rebar Weight)</t>
  </si>
  <si>
    <t xml:space="preserve">Sub Structure|Footing / Raft Foundation|Water Stop|PVC Waterbar® V VN 20 (Width 200mm)</t>
  </si>
  <si>
    <t xml:space="preserve">Sub Structure|Footing / Raft Foundation|Waterproofing|Membrance sheet 2mm thk</t>
  </si>
  <si>
    <t xml:space="preserve">Sub Structure|Footing / Raft Foundation|Waterproofing|Sika Waterproofing</t>
  </si>
  <si>
    <t xml:space="preserve">Sub Structure|Footing / Raft Foundation|Waterproofing|Cementitious waterproofing, 2 coats, to wet area incl. up-turn 300mm</t>
  </si>
  <si>
    <t xml:space="preserve">Sub Structure|Footing / Raft Foundation|Anti-Termite|Anti-Termite with Plastic Membrane</t>
  </si>
  <si>
    <t xml:space="preserve">Sub Structure|Ground Beam / Tie Beam|Earthwork|Soil Backfill</t>
  </si>
  <si>
    <t xml:space="preserve">Sub Structure|Ground Beam / Tie Beam|Earthwork|Soil Disposal</t>
  </si>
  <si>
    <t xml:space="preserve">Sub Structure|Ground Beam / Tie Beam|Earthwork|Soil Excavation</t>
  </si>
  <si>
    <t xml:space="preserve">Sub Structure|Ground Beam / Tie Beam|Lean Concrete|Lean Concrete, 15Mpa (Cylinder)</t>
  </si>
  <si>
    <t xml:space="preserve">Sub Structure|Ground Beam / Tie Beam|Concrete|Normal Concrete, 35Mpa (Cylinder), Slump 13+-2.5</t>
  </si>
  <si>
    <t xml:space="preserve">Sub Structure|Ground Beam / Tie Beam|Concrete|Normal Concrete, 35Mpa (Cylinder), Slump 15+-2.5</t>
  </si>
  <si>
    <t xml:space="preserve">Sub Structure|Ground Beam / Tie Beam|Concrete|Normal Concrete, 25Mpa (Cylinder), Slump 10+-2.5</t>
  </si>
  <si>
    <t xml:space="preserve">Sub Structure|Ground Beam / Tie Beam|Concrete|Normal Concrete, 30Mpa (Cylinder), Slump 13+-2.5</t>
  </si>
  <si>
    <t xml:space="preserve">Sub Structure|Ground Beam / Tie Beam|Formwork|Formwork to curved / special shape incl. erection and striking</t>
  </si>
  <si>
    <t xml:space="preserve">Sub Structure|Ground Beam / Tie Beam|Formwork|Formwork, plywood 18mm thk. incl. erection, bracing, oiling and striking</t>
  </si>
  <si>
    <t xml:space="preserve">Sub Structure|Ground Beam / Tie Beam|Rebar|Deform Bar, DB10(fy=390 Mpa)</t>
  </si>
  <si>
    <t xml:space="preserve">Sub Structure|Ground Beam / Tie Beam|Rebar|Deform Bar, DB12(fy=390 Mpa)</t>
  </si>
  <si>
    <t xml:space="preserve">Sub Structure|Ground Beam / Tie Beam|Rebar|Deform Bar, DB14(fy=390 Mpa)</t>
  </si>
  <si>
    <t xml:space="preserve">Sub Structure|Ground Beam / Tie Beam|Rebar|Deform Bar, DB16(fy=390 Mpa)</t>
  </si>
  <si>
    <t xml:space="preserve">Sub Structure|Ground Beam / Tie Beam|Rebar|Deform Bar, DB20(fy=390 Mpa)</t>
  </si>
  <si>
    <t xml:space="preserve">Sub Structure|Ground Beam / Tie Beam|Rebar|Deform Bar, DB25(fy=390 Mpa)</t>
  </si>
  <si>
    <t xml:space="preserve">Sub Structure|Ground Beam / Tie Beam|Rebar|Deform Bar, DB32(fy=390 Mpa)</t>
  </si>
  <si>
    <t xml:space="preserve">Sub Structure|Ground Beam / Tie Beam|Rebar|Round Bar, RB8(fy=250 Mpa)</t>
  </si>
  <si>
    <t xml:space="preserve">Sub Structure|Ground Beam / Tie Beam|Rebar|Round Bar, RB6(fy=250 Mpa)</t>
  </si>
  <si>
    <t xml:space="preserve">Sub Structure|Ground Beam / Tie Beam|Steel Tie Wire|Steel Tie Wire 1mm (Estimated 4% of Total Rebar Weight)</t>
  </si>
  <si>
    <t xml:space="preserve">Sub Structure|Ground Beam / Tie Beam|Waterproofing|Membrance sheet 2mm thk</t>
  </si>
  <si>
    <t xml:space="preserve">Sub Structure|Ground Beam / Tie Beam|Waterproofing|Sika Waterproofing</t>
  </si>
  <si>
    <t xml:space="preserve">Sub Structure|Ground Beam / Tie Beam|Waterproofing|Cementitious waterproofing, 2 coats, to wet area incl. up-turn 300mm</t>
  </si>
  <si>
    <t xml:space="preserve">Sub Structure|Slab on Grade / Ground Slab|Base Preparation|Well Soil Compact</t>
  </si>
  <si>
    <t xml:space="preserve">Sub Structure|Slab on Grade / Ground Slab|Crush Stone|Crush Stone 40x60mm 100mm Thk.</t>
  </si>
  <si>
    <t xml:space="preserve">Sub Structure|Slab on Grade / Ground Slab|Crush Stone|Crush Stone 40x60mm 150mm Thk.</t>
  </si>
  <si>
    <t xml:space="preserve">Sub Structure|Slab on Grade / Ground Slab|Anti-Termite|Anti-Termite with Plastic Membrane</t>
  </si>
  <si>
    <t xml:space="preserve">Sub Structure|Slab on Grade / Ground Slab|Vapour Barrier|Polyethylene vapour barrier 0.15mm thk. laid with 300mm laps</t>
  </si>
  <si>
    <t xml:space="preserve">Sub Structure|Slab on Grade / Ground Slab|Lean Concrete|Lean Concrete, 15Mpa (Cylinder)</t>
  </si>
  <si>
    <t xml:space="preserve">Sub Structure|Slab on Grade / Ground Slab|Concrete|Normal Concrete, 35Mpa (Cylinder), Slump 13+-2.5</t>
  </si>
  <si>
    <t xml:space="preserve">Sub Structure|Slab on Grade / Ground Slab|Concrete|Normal Concrete, 35Mpa (Cylinder), Slump 15+-2.5</t>
  </si>
  <si>
    <t xml:space="preserve">Sub Structure|Slab on Grade / Ground Slab|Concrete|Normal Concrete, 25Mpa (Cylinder), Slump 10+-2.5</t>
  </si>
  <si>
    <t xml:space="preserve">Sub Structure|Slab on Grade / Ground Slab|Concrete|Normal Concrete, 30Mpa (Cylinder), Slump 13+-2.5</t>
  </si>
  <si>
    <t xml:space="preserve">Sub Structure|Slab on Grade / Ground Slab|Formwork|Formwork to curved / special shape incl. erection and striking</t>
  </si>
  <si>
    <t xml:space="preserve">Sub Structure|Slab on Grade / Ground Slab|Formwork|Formwork, plywood 18mm thk. incl. erection, bracing, oiling and striking</t>
  </si>
  <si>
    <t xml:space="preserve">Sub Structure|Slab on Grade / Ground Slab|Rebar|Deform Bar, DB10(fy=390 Mpa)</t>
  </si>
  <si>
    <t xml:space="preserve">Sub Structure|Slab on Grade / Ground Slab|Rebar|Deform Bar, DB12(fy=390 Mpa)</t>
  </si>
  <si>
    <t xml:space="preserve">Sub Structure|Slab on Grade / Ground Slab|Rebar|Deform Bar, DB14(fy=390 Mpa)</t>
  </si>
  <si>
    <t xml:space="preserve">Sub Structure|Slab on Grade / Ground Slab|Rebar|Deform Bar, DB16(fy=390 Mpa)</t>
  </si>
  <si>
    <t xml:space="preserve">Sub Structure|Slab on Grade / Ground Slab|Rebar|Deform Bar, DB20(fy=390 Mpa)</t>
  </si>
  <si>
    <t xml:space="preserve">Sub Structure|Slab on Grade / Ground Slab|Rebar|Deform Bar, DB25(fy=390 Mpa)</t>
  </si>
  <si>
    <t xml:space="preserve">Sub Structure|Slab on Grade / Ground Slab|Rebar|Deform Bar, DB32(fy=390 Mpa)</t>
  </si>
  <si>
    <t xml:space="preserve">Sub Structure|Slab on Grade / Ground Slab|Rebar|Round Bar, RB8(fy=250 Mpa)</t>
  </si>
  <si>
    <t xml:space="preserve">Sub Structure|Slab on Grade / Ground Slab|Rebar|Round Bar, RB6(fy=250 Mpa)</t>
  </si>
  <si>
    <t xml:space="preserve">Sub Structure|Slab on Grade / Ground Slab|Steel Tie Wire|Steel Tie Wire 1mm (Estimated 4% of Total Rebar Weight)</t>
  </si>
  <si>
    <t xml:space="preserve">Sub Structure|Slab on Grade / Ground Slab|Waterproofing|Membrance sheet 2mm thk</t>
  </si>
  <si>
    <t xml:space="preserve">Sub Structure|Slab on Grade / Ground Slab|Waterproofing|Sika Waterproofing</t>
  </si>
  <si>
    <t xml:space="preserve">Sub Structure|Slab on Grade / Ground Slab|Waterproofing|Cementitious waterproofing, 2 coats, to wet area incl. up-turn 300mm</t>
  </si>
  <si>
    <t xml:space="preserve">Sub Structure|Septic tank|Earthwork|Soil Backfill</t>
  </si>
  <si>
    <t xml:space="preserve">Sub Structure|Septic tank|Earthwork|Soil Disposal</t>
  </si>
  <si>
    <t xml:space="preserve">Sub Structure|Septic tank|Earthwork|Soil Excavation</t>
  </si>
  <si>
    <t xml:space="preserve">Sub Structure|Septic tank|Base Preparation|Well Soil Compact</t>
  </si>
  <si>
    <t xml:space="preserve">Sub Structure|Septic tank|Crush Stone|Crush Stone 40x60mm 100mm Thk.</t>
  </si>
  <si>
    <t xml:space="preserve">Sub Structure|Septic tank|Crush Stone|Crush Stone 40x60mm 150mm Thk.</t>
  </si>
  <si>
    <t xml:space="preserve">Sub Structure|Septic tank|Lean Concrete|Lean Concrete, 15Mpa (Cylinder)</t>
  </si>
  <si>
    <t xml:space="preserve">Sub Structure|Septic tank|Concrete|Normal Concrete, 35Mpa (Cylinder), Slump 13+-2.5</t>
  </si>
  <si>
    <t xml:space="preserve">Sub Structure|Septic tank|Concrete|Normal Concrete, 35Mpa (Cylinder), Slump 15+-2.5</t>
  </si>
  <si>
    <t xml:space="preserve">Sub Structure|Septic tank|Concrete|Normal Concrete, 25Mpa (Cylinder), Slump 10+-2.5</t>
  </si>
  <si>
    <t xml:space="preserve">Sub Structure|Septic tank|Concrete|Normal Concrete, 30Mpa (Cylinder), Slump 13+-2.5</t>
  </si>
  <si>
    <t xml:space="preserve">Sub Structure|Septic tank|Formwork|Formwork to curved / special shape incl. erection and striking</t>
  </si>
  <si>
    <t xml:space="preserve">Sub Structure|Septic tank|Formwork|Formwork, plywood 18mm thk. incl. erection, bracing, oiling and striking</t>
  </si>
  <si>
    <t xml:space="preserve">Sub Structure|Septic tank|Rebar|Deform Bar, DB10(fy=390 Mpa)</t>
  </si>
  <si>
    <t xml:space="preserve">Sub Structure|Septic tank|Rebar|Deform Bar, DB12(fy=390 Mpa)</t>
  </si>
  <si>
    <t xml:space="preserve">Sub Structure|Septic tank|Rebar|Deform Bar, DB14(fy=390 Mpa)</t>
  </si>
  <si>
    <t xml:space="preserve">Sub Structure|Septic tank|Rebar|Deform Bar, DB16(fy=390 Mpa)</t>
  </si>
  <si>
    <t xml:space="preserve">Sub Structure|Septic tank|Rebar|Deform Bar, DB20(fy=390 Mpa)</t>
  </si>
  <si>
    <t xml:space="preserve">Sub Structure|Septic tank|Rebar|Deform Bar, DB25(fy=390 Mpa)</t>
  </si>
  <si>
    <t xml:space="preserve">Sub Structure|Septic tank|Rebar|Deform Bar, DB32(fy=390 Mpa)</t>
  </si>
  <si>
    <t xml:space="preserve">Sub Structure|Septic tank|Rebar|Round Bar, RB8(fy=250 Mpa)</t>
  </si>
  <si>
    <t xml:space="preserve">Sub Structure|Septic tank|Rebar|Round Bar, RB6(fy=250 Mpa)</t>
  </si>
  <si>
    <t xml:space="preserve">Sub Structure|Septic tank|Steel Tie Wire|Steel Tie Wire 1mm (Estimated 4% of Total Rebar Weight)</t>
  </si>
  <si>
    <t xml:space="preserve">Sub Structure|Septic tank|Water Stop|PVC Waterbar® V VN 20 (Width 200mm)</t>
  </si>
  <si>
    <t xml:space="preserve">Sub Structure|Septic tank|Waterproofing|Membrance sheet 2mm thk</t>
  </si>
  <si>
    <t xml:space="preserve">Sub Structure|Septic tank|Waterproofing|Sika Waterproofing</t>
  </si>
  <si>
    <t xml:space="preserve">Sub Structure|Septic tank|Waterproofing|Cementitious waterproofing, 2 coats, to wet area incl. up-turn 300mm</t>
  </si>
  <si>
    <t xml:space="preserve">Sub Structure|Septic tank|Anti-Termite|Anti-Termite with Plastic Membrane</t>
  </si>
  <si>
    <t xml:space="preserve">Sub Structure|Water Tank / Sump Pit|Earthwork|Soil Backfill</t>
  </si>
  <si>
    <t xml:space="preserve">Sub Structure|Water Tank / Sump Pit|Earthwork|Soil Disposal</t>
  </si>
  <si>
    <t xml:space="preserve">Sub Structure|Water Tank / Sump Pit|Earthwork|Soil Excavation</t>
  </si>
  <si>
    <t xml:space="preserve">Sub Structure|Water Tank / Sump Pit|Base Preparation|Well Soil Compact</t>
  </si>
  <si>
    <t xml:space="preserve">Sub Structure|Water Tank / Sump Pit|Crush Stone|Crush Stone 40x60mm 100mm Thk.</t>
  </si>
  <si>
    <t xml:space="preserve">Sub Structure|Water Tank / Sump Pit|Crush Stone|Crush Stone 40x60mm 150mm Thk.</t>
  </si>
  <si>
    <t xml:space="preserve">Sub Structure|Water Tank / Sump Pit|Lean Concrete|Lean Concrete, 15Mpa (Cylinder)</t>
  </si>
  <si>
    <t xml:space="preserve">Sub Structure|Water Tank / Sump Pit|Concrete|Normal Concrete, 35Mpa (Cylinder), Slump 13+-2.5</t>
  </si>
  <si>
    <t xml:space="preserve">Sub Structure|Water Tank / Sump Pit|Concrete|Normal Concrete, 35Mpa (Cylinder), Slump 15+-2.5</t>
  </si>
  <si>
    <t xml:space="preserve">Sub Structure|Water Tank / Sump Pit|Concrete|Normal Concrete, 25Mpa (Cylinder), Slump 10+-2.5</t>
  </si>
  <si>
    <t xml:space="preserve">Sub Structure|Water Tank / Sump Pit|Concrete|Normal Concrete, 30Mpa (Cylinder), Slump 13+-2.5</t>
  </si>
  <si>
    <t xml:space="preserve">Sub Structure|Water Tank / Sump Pit|Formwork|Formwork to curved / special shape incl. erection and striking</t>
  </si>
  <si>
    <t xml:space="preserve">Sub Structure|Water Tank / Sump Pit|Formwork|Formwork, plywood 18mm thk. incl. erection, bracing, oiling and striking</t>
  </si>
  <si>
    <t xml:space="preserve">Sub Structure|Water Tank / Sump Pit|Rebar|Deform Bar, DB10(fy=390 Mpa)</t>
  </si>
  <si>
    <t xml:space="preserve">Sub Structure|Water Tank / Sump Pit|Rebar|Deform Bar, DB12(fy=390 Mpa)</t>
  </si>
  <si>
    <t xml:space="preserve">Sub Structure|Water Tank / Sump Pit|Rebar|Deform Bar, DB14(fy=390 Mpa)</t>
  </si>
  <si>
    <t xml:space="preserve">Sub Structure|Water Tank / Sump Pit|Rebar|Deform Bar, DB16(fy=390 Mpa)</t>
  </si>
  <si>
    <t xml:space="preserve">Sub Structure|Water Tank / Sump Pit|Rebar|Deform Bar, DB20(fy=390 Mpa)</t>
  </si>
  <si>
    <t xml:space="preserve">Sub Structure|Water Tank / Sump Pit|Rebar|Deform Bar, DB25(fy=390 Mpa)</t>
  </si>
  <si>
    <t xml:space="preserve">Sub Structure|Water Tank / Sump Pit|Rebar|Deform Bar, DB32(fy=390 Mpa)</t>
  </si>
  <si>
    <t xml:space="preserve">Sub Structure|Water Tank / Sump Pit|Rebar|Round Bar, RB8(fy=250 Mpa)</t>
  </si>
  <si>
    <t xml:space="preserve">Sub Structure|Water Tank / Sump Pit|Rebar|Round Bar, RB6(fy=250 Mpa)</t>
  </si>
  <si>
    <t xml:space="preserve">Sub Structure|Water Tank / Sump Pit|Steel Tie Wire|Steel Tie Wire 1mm (Estimated 4% of Total Rebar Weight)</t>
  </si>
  <si>
    <t xml:space="preserve">Sub Structure|Water Tank / Sump Pit|Water Stop|PVC Waterbar® V VN 20 (Width 200mm)</t>
  </si>
  <si>
    <t xml:space="preserve">Sub Structure|Water Tank / Sump Pit|Waterproofing|Membrance sheet 2mm thk</t>
  </si>
  <si>
    <t xml:space="preserve">Sub Structure|Water Tank / Sump Pit|Waterproofing|Sika Waterproofing</t>
  </si>
  <si>
    <t xml:space="preserve">Sub Structure|Water Tank / Sump Pit|Waterproofing|Cementitious waterproofing, 2 coats, to wet area incl. up-turn 300mm</t>
  </si>
  <si>
    <t xml:space="preserve">Sub Structure|Water Tank / Sump Pit|Anti-Termite|Anti-Termite with Plastic Membrane</t>
  </si>
  <si>
    <t xml:space="preserve">Sub Structure|Lift Pit|Earthwork|Soil Backfill</t>
  </si>
  <si>
    <t xml:space="preserve">Sub Structure|Lift Pit|Earthwork|Soil Disposal</t>
  </si>
  <si>
    <t xml:space="preserve">Sub Structure|Lift Pit|Earthwork|Soil Excavation</t>
  </si>
  <si>
    <t xml:space="preserve">Sub Structure|Lift Pit|Lean Concrete|Lean Concrete, 15Mpa (Cylinder)</t>
  </si>
  <si>
    <t xml:space="preserve">Sub Structure|Lift Pit|Concrete|Normal Concrete, 35Mpa (Cylinder), Slump 13+-2.5</t>
  </si>
  <si>
    <t xml:space="preserve">Sub Structure|Lift Pit|Concrete|Normal Concrete, 35Mpa (Cylinder), Slump 15+-2.5</t>
  </si>
  <si>
    <t xml:space="preserve">Sub Structure|Lift Pit|Concrete|Normal Concrete, 25Mpa (Cylinder), Slump 10+-2.5</t>
  </si>
  <si>
    <t xml:space="preserve">Sub Structure|Lift Pit|Concrete|Normal Concrete, 30Mpa (Cylinder), Slump 13+-2.5</t>
  </si>
  <si>
    <t xml:space="preserve">Sub Structure|Lift Pit|Formwork|Formwork to curved / special shape incl. erection and striking</t>
  </si>
  <si>
    <t xml:space="preserve">Sub Structure|Lift Pit|Formwork|Formwork, plywood 18mm thk. incl. erection, bracing, oiling and striking</t>
  </si>
  <si>
    <t xml:space="preserve">Sub Structure|Lift Pit|Rebar|Deform Bar, DB10(fy=390 Mpa)</t>
  </si>
  <si>
    <t xml:space="preserve">Sub Structure|Lift Pit|Rebar|Deform Bar, DB12(fy=390 Mpa)</t>
  </si>
  <si>
    <t xml:space="preserve">Sub Structure|Lift Pit|Rebar|Deform Bar, DB14(fy=390 Mpa)</t>
  </si>
  <si>
    <t xml:space="preserve">Sub Structure|Lift Pit|Rebar|Deform Bar, DB16(fy=390 Mpa)</t>
  </si>
  <si>
    <t xml:space="preserve">Sub Structure|Lift Pit|Rebar|Deform Bar, DB20(fy=390 Mpa)</t>
  </si>
  <si>
    <t xml:space="preserve">Sub Structure|Lift Pit|Rebar|Deform Bar, DB25(fy=390 Mpa)</t>
  </si>
  <si>
    <t xml:space="preserve">Sub Structure|Lift Pit|Rebar|Deform Bar, DB32(fy=390 Mpa)</t>
  </si>
  <si>
    <t xml:space="preserve">Sub Structure|Lift Pit|Rebar|Round Bar, RB8(fy=250 Mpa)</t>
  </si>
  <si>
    <t xml:space="preserve">Sub Structure|Lift Pit|Rebar|Round Bar, RB6(fy=250 Mpa)</t>
  </si>
  <si>
    <t xml:space="preserve">Sub Structure|Lift Pit|Steel Tie Wire|Steel Tie Wire 1mm (Estimated 4% of Total Rebar Weight)</t>
  </si>
  <si>
    <t xml:space="preserve">Sub Structure|Lift Pit|Water Stop|PVC Waterbar® V VN 20 (Width 200mm)</t>
  </si>
  <si>
    <t xml:space="preserve">Sub Structure|Lift Pit|Waterproofing|Membrance sheet 2mm thk</t>
  </si>
  <si>
    <t xml:space="preserve">Sub Structure|Lift Pit|Waterproofing|Sika Waterproofing</t>
  </si>
  <si>
    <t xml:space="preserve">Sub Structure|Lift Pit|Waterproofing|Cementitious waterproofing, 2 coats, to wet area incl. up-turn 300mm</t>
  </si>
  <si>
    <t xml:space="preserve">Sub Structure|Basement / Retaining Wall|Earthwork|Soil Backfill</t>
  </si>
  <si>
    <t xml:space="preserve">Sub Structure|Basement / Retaining Wall|Earthwork|Soil Disposal</t>
  </si>
  <si>
    <t xml:space="preserve">Sub Structure|Basement / Retaining Wall|Earthwork|Soil Excavation</t>
  </si>
  <si>
    <t xml:space="preserve">Sub Structure|Basement / Retaining Wall|Concrete|Normal Concrete, 35Mpa (Cylinder), Slump 13+-2.5</t>
  </si>
  <si>
    <t xml:space="preserve">Sub Structure|Basement / Retaining Wall|Concrete|Normal Concrete, 35Mpa (Cylinder), Slump 15+-2.5</t>
  </si>
  <si>
    <t xml:space="preserve">Sub Structure|Basement / Retaining Wall|Concrete|Normal Concrete, 25Mpa (Cylinder), Slump 10+-2.5</t>
  </si>
  <si>
    <t xml:space="preserve">Sub Structure|Basement / Retaining Wall|Concrete|Normal Concrete, 30Mpa (Cylinder), Slump 13+-2.5</t>
  </si>
  <si>
    <t xml:space="preserve">Sub Structure|Basement / Retaining Wall|Formwork|Formwork to curved / special shape incl. erection and striking</t>
  </si>
  <si>
    <t xml:space="preserve">Sub Structure|Basement / Retaining Wall|Formwork|Formwork, plywood 18mm thk. incl. erection, bracing, oiling and striking</t>
  </si>
  <si>
    <t xml:space="preserve">Sub Structure|Basement / Retaining Wall|Rebar|Deform Bar, DB10(fy=390 Mpa)</t>
  </si>
  <si>
    <t xml:space="preserve">Sub Structure|Basement / Retaining Wall|Rebar|Deform Bar, DB12(fy=390 Mpa)</t>
  </si>
  <si>
    <t xml:space="preserve">Sub Structure|Basement / Retaining Wall|Rebar|Deform Bar, DB14(fy=390 Mpa)</t>
  </si>
  <si>
    <t xml:space="preserve">Sub Structure|Basement / Retaining Wall|Rebar|Deform Bar, DB16(fy=390 Mpa)</t>
  </si>
  <si>
    <t xml:space="preserve">Sub Structure|Basement / Retaining Wall|Rebar|Deform Bar, DB20(fy=390 Mpa)</t>
  </si>
  <si>
    <t xml:space="preserve">Sub Structure|Basement / Retaining Wall|Rebar|Deform Bar, DB25(fy=390 Mpa)</t>
  </si>
  <si>
    <t xml:space="preserve">Sub Structure|Basement / Retaining Wall|Rebar|Deform Bar, DB32(fy=390 Mpa)</t>
  </si>
  <si>
    <t xml:space="preserve">Sub Structure|Basement / Retaining Wall|Rebar|Round Bar, RB8(fy=250 Mpa)</t>
  </si>
  <si>
    <t xml:space="preserve">Sub Structure|Basement / Retaining Wall|Rebar|Round Bar, RB6(fy=250 Mpa)</t>
  </si>
  <si>
    <t xml:space="preserve">Sub Structure|Basement / Retaining Wall|Steel Tie Wire|Steel Tie Wire 1mm (Estimated 4% of Total Rebar Weight)</t>
  </si>
  <si>
    <t xml:space="preserve">Sub Structure|Basement / Retaining Wall|Water Stop|PVC Waterbar® V VN 20 (Width 200mm)</t>
  </si>
  <si>
    <t xml:space="preserve">Sub Structure|Basement / Retaining Wall|Waterproofing|Membrance sheet 2mm thk</t>
  </si>
  <si>
    <t xml:space="preserve">Sub Structure|Basement / Retaining Wall|Waterproofing|Sika Waterproofing</t>
  </si>
  <si>
    <t xml:space="preserve">Sub Structure|Basement / Retaining Wall|Waterproofing|Cementitious waterproofing, 2 coats, to wet area incl. up-turn 300mm</t>
  </si>
  <si>
    <t xml:space="preserve">Sub Structure|Basement / Retaining Wall|Protection Board|Protection board 6mm thk. to waterproofing membrane</t>
  </si>
  <si>
    <t xml:space="preserve">Sub Structure|Basement / Retaining Wall|Drainage Board|Dimpled HDPE drainage board with filter fabric</t>
  </si>
  <si>
    <t xml:space="preserve">Super Structure|Structural Column|Concrete|Normal Concrete, 35Mpa (Cylinder), Slump 13+-2.5</t>
  </si>
  <si>
    <t xml:space="preserve">Super Structure|Structural Column|Concrete|Normal Concrete, 35Mpa (Cylinder), Slump 15+-2.5</t>
  </si>
  <si>
    <t xml:space="preserve">Super Structure|Structural Column|Concrete|Normal Concrete, 25Mpa (Cylinder), Slump 10+-2.5</t>
  </si>
  <si>
    <t xml:space="preserve">Super Structure|Structural Column|Concrete|Normal Concrete, 30Mpa (Cylinder), Slump 13+-2.5</t>
  </si>
  <si>
    <t xml:space="preserve">Super Structure|Structural Column|Formwork|Formwork to curved / special shape incl. erection and striking</t>
  </si>
  <si>
    <t xml:space="preserve">Super Structure|Structural Column|Formwork|Formwork, plywood 18mm thk. incl. erection, bracing, oiling and striking</t>
  </si>
  <si>
    <t xml:space="preserve">Super Structure|Structural Column|Rebar|Deform Bar, DB10(fy=390 Mpa)</t>
  </si>
  <si>
    <t xml:space="preserve">Super Structure|Structural Column|Rebar|Deform Bar, DB12(fy=390 Mpa)</t>
  </si>
  <si>
    <t xml:space="preserve">Super Structure|Structural Column|Rebar|Deform Bar, DB14(fy=390 Mpa)</t>
  </si>
  <si>
    <t xml:space="preserve">Super Structure|Structural Column|Rebar|Deform Bar, DB16(fy=390 Mpa)</t>
  </si>
  <si>
    <t xml:space="preserve">Super Structure|Structural Column|Rebar|Deform Bar, DB20(fy=390 Mpa)</t>
  </si>
  <si>
    <t xml:space="preserve">Super Structure|Structural Column|Rebar|Deform Bar, DB25(fy=390 Mpa)</t>
  </si>
  <si>
    <t xml:space="preserve">Super Structure|Structural Column|Rebar|Deform Bar, DB32(fy=390 Mpa)</t>
  </si>
  <si>
    <t xml:space="preserve">Super Structure|Structural Column|Rebar|Round Bar, RB8(fy=250 Mpa)</t>
  </si>
  <si>
    <t xml:space="preserve">Super Structure|Structural Column|Rebar|Round Bar, RB6(fy=250 Mpa)</t>
  </si>
  <si>
    <t xml:space="preserve">Super Structure|Structural Column|Steel Tie Wire|Steel Tie Wire 1mm (Estimated 4% of Total Rebar Weight)</t>
  </si>
  <si>
    <t xml:space="preserve">Super Structure|Structural Column|Column Starter Bar|Column starter bar incl. bending, fixing and tying</t>
  </si>
  <si>
    <t xml:space="preserve">Super Structure|Structural Column|Grouting|Non-shrink cementitious grout to base plate / gap</t>
  </si>
  <si>
    <t xml:space="preserve">Super Structure|Structural Beam|Concrete|Normal Concrete, 35Mpa (Cylinder), Slump 13+-2.5</t>
  </si>
  <si>
    <t xml:space="preserve">Super Structure|Structural Beam|Concrete|Normal Concrete, 35Mpa (Cylinder), Slump 15+-2.5</t>
  </si>
  <si>
    <t xml:space="preserve">Super Structure|Structural Beam|Concrete|Normal Concrete, 25Mpa (Cylinder), Slump 10+-2.5</t>
  </si>
  <si>
    <t xml:space="preserve">Super Structure|Structural Beam|Concrete|Normal Concrete, 30Mpa (Cylinder), Slump 13+-2.5</t>
  </si>
  <si>
    <t xml:space="preserve">Super Structure|Structural Beam|Formwork|Formwork to curved / special shape incl. erection and striking</t>
  </si>
  <si>
    <t xml:space="preserve">Super Structure|Structural Beam|Formwork|Formwork, plywood 18mm thk. incl. erection, bracing, oiling and striking</t>
  </si>
  <si>
    <t xml:space="preserve">Super Structure|Structural Beam|Rebar|Deform Bar, DB10(fy=390 Mpa)</t>
  </si>
  <si>
    <t xml:space="preserve">Super Structure|Structural Beam|Rebar|Deform Bar, DB12(fy=390 Mpa)</t>
  </si>
  <si>
    <t xml:space="preserve">Super Structure|Structural Beam|Rebar|Deform Bar, DB14(fy=390 Mpa)</t>
  </si>
  <si>
    <t xml:space="preserve">Super Structure|Structural Beam|Rebar|Deform Bar, DB16(fy=390 Mpa)</t>
  </si>
  <si>
    <t xml:space="preserve">Super Structure|Structural Beam|Rebar|Deform Bar, DB20(fy=390 Mpa)</t>
  </si>
  <si>
    <t xml:space="preserve">Super Structure|Structural Beam|Rebar|Deform Bar, DB25(fy=390 Mpa)</t>
  </si>
  <si>
    <t xml:space="preserve">Super Structure|Structural Beam|Rebar|Deform Bar, DB32(fy=390 Mpa)</t>
  </si>
  <si>
    <t xml:space="preserve">Super Structure|Structural Beam|Rebar|Round Bar, RB8(fy=250 Mpa)</t>
  </si>
  <si>
    <t xml:space="preserve">Super Structure|Structural Beam|Rebar|Round Bar, RB6(fy=250 Mpa)</t>
  </si>
  <si>
    <t xml:space="preserve">Super Structure|Structural Beam|Steel Tie Wire|Steel Tie Wire 1mm (Estimated 4% of Total Rebar Weight)</t>
  </si>
  <si>
    <t xml:space="preserve">Super Structure|Structural Slab|Concrete|Normal Concrete, 35Mpa (Cylinder), Slump 13+-2.5</t>
  </si>
  <si>
    <t xml:space="preserve">Super Structure|Structural Slab|Concrete|Normal Concrete, 35Mpa (Cylinder), Slump 15+-2.5</t>
  </si>
  <si>
    <t xml:space="preserve">Super Structure|Structural Slab|Concrete|Normal Concrete, 25Mpa (Cylinder), Slump 10+-2.5</t>
  </si>
  <si>
    <t xml:space="preserve">Super Structure|Structural Slab|Concrete|Normal Concrete, 30Mpa (Cylinder), Slump 13+-2.5</t>
  </si>
  <si>
    <t xml:space="preserve">Super Structure|Structural Slab|Formwork|Formwork to curved / special shape incl. erection and striking</t>
  </si>
  <si>
    <t xml:space="preserve">Super Structure|Structural Slab|Formwork|Formwork, plywood 18mm thk. incl. erection, bracing, oiling and striking</t>
  </si>
  <si>
    <t xml:space="preserve">Super Structure|Structural Slab|Rebar|Deform Bar, DB10(fy=390 Mpa)</t>
  </si>
  <si>
    <t xml:space="preserve">Super Structure|Structural Slab|Rebar|Deform Bar, DB12(fy=390 Mpa)</t>
  </si>
  <si>
    <t xml:space="preserve">Super Structure|Structural Slab|Rebar|Deform Bar, DB14(fy=390 Mpa)</t>
  </si>
  <si>
    <t xml:space="preserve">Super Structure|Structural Slab|Rebar|Deform Bar, DB16(fy=390 Mpa)</t>
  </si>
  <si>
    <t xml:space="preserve">Super Structure|Structural Slab|Rebar|Deform Bar, DB20(fy=390 Mpa)</t>
  </si>
  <si>
    <t xml:space="preserve">Super Structure|Structural Slab|Rebar|Deform Bar, DB25(fy=390 Mpa)</t>
  </si>
  <si>
    <t xml:space="preserve">Super Structure|Structural Slab|Rebar|Deform Bar, DB32(fy=390 Mpa)</t>
  </si>
  <si>
    <t xml:space="preserve">Super Structure|Structural Slab|Rebar|Round Bar, RB8(fy=250 Mpa)</t>
  </si>
  <si>
    <t xml:space="preserve">Super Structure|Structural Slab|Rebar|Round Bar, RB6(fy=250 Mpa)</t>
  </si>
  <si>
    <t xml:space="preserve">Super Structure|Structural Slab|Steel Tie Wire|Steel Tie Wire 1mm (Estimated 4% of Total Rebar Weight)</t>
  </si>
  <si>
    <t xml:space="preserve">Super Structure|Structural Slab|Post-Tension Strand|Post-tension strand incl. duct, anchorage, stressing and grouting</t>
  </si>
  <si>
    <t xml:space="preserve">Super Structure|Structural Slab|Steel Deck|Galvanised steel deck 0.75mm thk. incl. shear stud and end closure</t>
  </si>
  <si>
    <t xml:space="preserve">Super Structure|Structural Wall|Concrete|Normal Concrete, 35Mpa (Cylinder), Slump 13+-2.5</t>
  </si>
  <si>
    <t xml:space="preserve">Super Structure|Structural Wall|Concrete|Normal Concrete, 35Mpa (Cylinder), Slump 15+-2.5</t>
  </si>
  <si>
    <t xml:space="preserve">Super Structure|Structural Wall|Concrete|Normal Concrete, 25Mpa (Cylinder), Slump 10+-2.5</t>
  </si>
  <si>
    <t xml:space="preserve">Super Structure|Structural Wall|Concrete|Normal Concrete, 30Mpa (Cylinder), Slump 13+-2.5</t>
  </si>
  <si>
    <t xml:space="preserve">Super Structure|Structural Wall|Formwork|Formwork to curved / special shape incl. erection and striking</t>
  </si>
  <si>
    <t xml:space="preserve">Super Structure|Structural Wall|Formwork|Formwork, plywood 18mm thk. incl. erection, bracing, oiling and striking</t>
  </si>
  <si>
    <t xml:space="preserve">Super Structure|Structural Wall|Rebar|Deform Bar, DB10(fy=390 Mpa)</t>
  </si>
  <si>
    <t xml:space="preserve">Super Structure|Structural Wall|Rebar|Deform Bar, DB12(fy=390 Mpa)</t>
  </si>
  <si>
    <t xml:space="preserve">Super Structure|Structural Wall|Rebar|Deform Bar, DB14(fy=390 Mpa)</t>
  </si>
  <si>
    <t xml:space="preserve">Super Structure|Structural Wall|Rebar|Deform Bar, DB16(fy=390 Mpa)</t>
  </si>
  <si>
    <t xml:space="preserve">Super Structure|Structural Wall|Rebar|Deform Bar, DB20(fy=390 Mpa)</t>
  </si>
  <si>
    <t xml:space="preserve">Super Structure|Structural Wall|Rebar|Deform Bar, DB25(fy=390 Mpa)</t>
  </si>
  <si>
    <t xml:space="preserve">Super Structure|Structural Wall|Rebar|Deform Bar, DB32(fy=390 Mpa)</t>
  </si>
  <si>
    <t xml:space="preserve">Super Structure|Structural Wall|Rebar|Round Bar, RB8(fy=250 Mpa)</t>
  </si>
  <si>
    <t xml:space="preserve">Super Structure|Structural Wall|Rebar|Round Bar, RB6(fy=250 Mpa)</t>
  </si>
  <si>
    <t xml:space="preserve">Super Structure|Structural Wall|Steel Tie Wire|Steel Tie Wire 1mm (Estimated 4% of Total Rebar Weight)</t>
  </si>
  <si>
    <t xml:space="preserve">Super Structure|Structural Wall|Water Stop|PVC Waterbar® V VN 20 (Width 200mm)</t>
  </si>
  <si>
    <t xml:space="preserve">Super Structure|Structural Staircase|Concrete|Normal Concrete, 35Mpa (Cylinder), Slump 13+-2.5</t>
  </si>
  <si>
    <t xml:space="preserve">Super Structure|Structural Staircase|Concrete|Normal Concrete, 35Mpa (Cylinder), Slump 15+-2.5</t>
  </si>
  <si>
    <t xml:space="preserve">Super Structure|Structural Staircase|Concrete|Normal Concrete, 25Mpa (Cylinder), Slump 10+-2.5</t>
  </si>
  <si>
    <t xml:space="preserve">Super Structure|Structural Staircase|Concrete|Normal Concrete, 30Mpa (Cylinder), Slump 13+-2.5</t>
  </si>
  <si>
    <t xml:space="preserve">Super Structure|Structural Staircase|Formwork|Formwork to curved / special shape incl. erection and striking</t>
  </si>
  <si>
    <t xml:space="preserve">Super Structure|Structural Staircase|Formwork|Formwork, plywood 18mm thk. incl. erection, bracing, oiling and striking</t>
  </si>
  <si>
    <t xml:space="preserve">Super Structure|Structural Staircase|Rebar|Deform Bar, DB10(fy=390 Mpa)</t>
  </si>
  <si>
    <t xml:space="preserve">Super Structure|Structural Staircase|Rebar|Deform Bar, DB12(fy=390 Mpa)</t>
  </si>
  <si>
    <t xml:space="preserve">Super Structure|Structural Staircase|Rebar|Deform Bar, DB14(fy=390 Mpa)</t>
  </si>
  <si>
    <t xml:space="preserve">Super Structure|Structural Staircase|Rebar|Deform Bar, DB16(fy=390 Mpa)</t>
  </si>
  <si>
    <t xml:space="preserve">Super Structure|Structural Staircase|Rebar|Deform Bar, DB20(fy=390 Mpa)</t>
  </si>
  <si>
    <t xml:space="preserve">Super Structure|Structural Staircase|Rebar|Deform Bar, DB25(fy=390 Mpa)</t>
  </si>
  <si>
    <t xml:space="preserve">Super Structure|Structural Staircase|Rebar|Deform Bar, DB32(fy=390 Mpa)</t>
  </si>
  <si>
    <t xml:space="preserve">Super Structure|Structural Staircase|Rebar|Round Bar, RB8(fy=250 Mpa)</t>
  </si>
  <si>
    <t xml:space="preserve">Super Structure|Structural Staircase|Rebar|Round Bar, RB6(fy=250 Mpa)</t>
  </si>
  <si>
    <t xml:space="preserve">Super Structure|Structural Staircase|Steel Tie Wire|Steel Tie Wire 1mm (Estimated 4% of Total Rebar Weight)</t>
  </si>
  <si>
    <t xml:space="preserve">Super Structure|Parapet wall &amp; Stiffener Column|Concrete|Normal Concrete, 35Mpa (Cylinder), Slump 13+-2.5</t>
  </si>
  <si>
    <t xml:space="preserve">Super Structure|Parapet wall &amp; Stiffener Column|Concrete|Normal Concrete, 35Mpa (Cylinder), Slump 15+-2.5</t>
  </si>
  <si>
    <t xml:space="preserve">Super Structure|Parapet wall &amp; Stiffener Column|Concrete|Normal Concrete, 25Mpa (Cylinder), Slump 10+-2.5</t>
  </si>
  <si>
    <t xml:space="preserve">Super Structure|Parapet wall &amp; Stiffener Column|Concrete|Normal Concrete, 30Mpa (Cylinder), Slump 13+-2.5</t>
  </si>
  <si>
    <t xml:space="preserve">Super Structure|Parapet wall &amp; Stiffener Column|Formwork|Formwork to curved / special shape incl. erection and striking</t>
  </si>
  <si>
    <t xml:space="preserve">Super Structure|Parapet wall &amp; Stiffener Column|Formwork|Formwork, plywood 18mm thk. incl. erection, bracing, oiling and striking</t>
  </si>
  <si>
    <t xml:space="preserve">Super Structure|Parapet wall &amp; Stiffener Column|Rebar|Deform Bar, DB10(fy=390 Mpa)</t>
  </si>
  <si>
    <t xml:space="preserve">Super Structure|Parapet wall &amp; Stiffener Column|Rebar|Deform Bar, DB12(fy=390 Mpa)</t>
  </si>
  <si>
    <t xml:space="preserve">Super Structure|Parapet wall &amp; Stiffener Column|Rebar|Deform Bar, DB14(fy=390 Mpa)</t>
  </si>
  <si>
    <t xml:space="preserve">Super Structure|Parapet wall &amp; Stiffener Column|Rebar|Deform Bar, DB16(fy=390 Mpa)</t>
  </si>
  <si>
    <t xml:space="preserve">Super Structure|Parapet wall &amp; Stiffener Column|Rebar|Deform Bar, DB20(fy=390 Mpa)</t>
  </si>
  <si>
    <t xml:space="preserve">Super Structure|Parapet wall &amp; Stiffener Column|Rebar|Deform Bar, DB25(fy=390 Mpa)</t>
  </si>
  <si>
    <t xml:space="preserve">Super Structure|Parapet wall &amp; Stiffener Column|Rebar|Deform Bar, DB32(fy=390 Mpa)</t>
  </si>
  <si>
    <t xml:space="preserve">Super Structure|Parapet wall &amp; Stiffener Column|Rebar|Round Bar, RB8(fy=250 Mpa)</t>
  </si>
  <si>
    <t xml:space="preserve">Super Structure|Parapet wall &amp; Stiffener Column|Rebar|Round Bar, RB6(fy=250 Mpa)</t>
  </si>
  <si>
    <t xml:space="preserve">Super Structure|Parapet wall &amp; Stiffener Column|Steel Tie Wire|Steel Tie Wire 1mm (Estimated 4% of Total Rebar Weight)</t>
  </si>
  <si>
    <t xml:space="preserve">Super Structure|Lift Core / Shear Core|Concrete|Normal Concrete, 35Mpa (Cylinder), Slump 13+-2.5</t>
  </si>
  <si>
    <t xml:space="preserve">Super Structure|Lift Core / Shear Core|Concrete|Normal Concrete, 35Mpa (Cylinder), Slump 15+-2.5</t>
  </si>
  <si>
    <t xml:space="preserve">Super Structure|Lift Core / Shear Core|Concrete|Normal Concrete, 25Mpa (Cylinder), Slump 10+-2.5</t>
  </si>
  <si>
    <t xml:space="preserve">Super Structure|Lift Core / Shear Core|Concrete|Normal Concrete, 30Mpa (Cylinder), Slump 13+-2.5</t>
  </si>
  <si>
    <t xml:space="preserve">Super Structure|Lift Core / Shear Core|Formwork|Formwork to curved / special shape incl. erection and striking</t>
  </si>
  <si>
    <t xml:space="preserve">Super Structure|Lift Core / Shear Core|Formwork|Formwork, plywood 18mm thk. incl. erection, bracing, oiling and striking</t>
  </si>
  <si>
    <t xml:space="preserve">Super Structure|Lift Core / Shear Core|Rebar|Deform Bar, DB10(fy=390 Mpa)</t>
  </si>
  <si>
    <t xml:space="preserve">Super Structure|Lift Core / Shear Core|Rebar|Deform Bar, DB12(fy=390 Mpa)</t>
  </si>
  <si>
    <t xml:space="preserve">Super Structure|Lift Core / Shear Core|Rebar|Deform Bar, DB14(fy=390 Mpa)</t>
  </si>
  <si>
    <t xml:space="preserve">Super Structure|Lift Core / Shear Core|Rebar|Deform Bar, DB16(fy=390 Mpa)</t>
  </si>
  <si>
    <t xml:space="preserve">Super Structure|Lift Core / Shear Core|Rebar|Deform Bar, DB20(fy=390 Mpa)</t>
  </si>
  <si>
    <t xml:space="preserve">Super Structure|Lift Core / Shear Core|Rebar|Deform Bar, DB25(fy=390 Mpa)</t>
  </si>
  <si>
    <t xml:space="preserve">Super Structure|Lift Core / Shear Core|Rebar|Deform Bar, DB32(fy=390 Mpa)</t>
  </si>
  <si>
    <t xml:space="preserve">Super Structure|Lift Core / Shear Core|Rebar|Round Bar, RB8(fy=250 Mpa)</t>
  </si>
  <si>
    <t xml:space="preserve">Super Structure|Lift Core / Shear Core|Rebar|Round Bar, RB6(fy=250 Mpa)</t>
  </si>
  <si>
    <t xml:space="preserve">Super Structure|Lift Core / Shear Core|Steel Tie Wire|Steel Tie Wire 1mm (Estimated 4% of Total Rebar Weight)</t>
  </si>
  <si>
    <t xml:space="preserve">Super Structure|Lift Core / Shear Core|Water Stop|PVC Waterbar® V VN 20 (Width 200mm)</t>
  </si>
  <si>
    <t xml:space="preserve">Super Structure|Ramp|Concrete|Normal Concrete, 35Mpa (Cylinder), Slump 13+-2.5</t>
  </si>
  <si>
    <t xml:space="preserve">Super Structure|Ramp|Concrete|Normal Concrete, 35Mpa (Cylinder), Slump 15+-2.5</t>
  </si>
  <si>
    <t xml:space="preserve">Super Structure|Ramp|Concrete|Normal Concrete, 25Mpa (Cylinder), Slump 10+-2.5</t>
  </si>
  <si>
    <t xml:space="preserve">Super Structure|Ramp|Concrete|Normal Concrete, 30Mpa (Cylinder), Slump 13+-2.5</t>
  </si>
  <si>
    <t xml:space="preserve">Super Structure|Ramp|Formwork|Formwork to curved / special shape incl. erection and striking</t>
  </si>
  <si>
    <t xml:space="preserve">Super Structure|Ramp|Formwork|Formwork, plywood 18mm thk. incl. erection, bracing, oiling and striking</t>
  </si>
  <si>
    <t xml:space="preserve">Super Structure|Ramp|Rebar|Deform Bar, DB10(fy=390 Mpa)</t>
  </si>
  <si>
    <t xml:space="preserve">Super Structure|Ramp|Rebar|Deform Bar, DB12(fy=390 Mpa)</t>
  </si>
  <si>
    <t xml:space="preserve">Super Structure|Ramp|Rebar|Deform Bar, DB14(fy=390 Mpa)</t>
  </si>
  <si>
    <t xml:space="preserve">Super Structure|Ramp|Rebar|Deform Bar, DB16(fy=390 Mpa)</t>
  </si>
  <si>
    <t xml:space="preserve">Super Structure|Ramp|Rebar|Deform Bar, DB20(fy=390 Mpa)</t>
  </si>
  <si>
    <t xml:space="preserve">Super Structure|Ramp|Rebar|Deform Bar, DB25(fy=390 Mpa)</t>
  </si>
  <si>
    <t xml:space="preserve">Super Structure|Ramp|Rebar|Deform Bar, DB32(fy=390 Mpa)</t>
  </si>
  <si>
    <t xml:space="preserve">Super Structure|Ramp|Rebar|Round Bar, RB8(fy=250 Mpa)</t>
  </si>
  <si>
    <t xml:space="preserve">Super Structure|Ramp|Rebar|Round Bar, RB6(fy=250 Mpa)</t>
  </si>
  <si>
    <t xml:space="preserve">Super Structure|Ramp|Steel Tie Wire|Steel Tie Wire 1mm (Estimated 4% of Total Rebar Weight)</t>
  </si>
  <si>
    <t xml:space="preserve">Super Structure|Structural Steel|Steel Section / Beam|Structural steel section (H/I beam) SS400 incl. fabrication and erection</t>
  </si>
  <si>
    <t xml:space="preserve">Super Structure|Structural Steel|U steel|U-50*100*5mm</t>
  </si>
  <si>
    <t xml:space="preserve">Super Structure|Structural Steel|Hollow steel tube|Tub-50*100*2mm</t>
  </si>
  <si>
    <t xml:space="preserve">Super Structure|Structural Steel|Purlin|Steel purlin C-channel incl. fabrication, erection and fixing</t>
  </si>
  <si>
    <t xml:space="preserve">Super Structure|Structural Steel|Sag rod|Sag rod 12mm</t>
  </si>
  <si>
    <t xml:space="preserve">Super Structure|Structural Steel|Bracing|Steel bracing member incl. fabrication, erection and connection</t>
  </si>
  <si>
    <t xml:space="preserve">Super Structure|Structural Steel|Base Plate|Steel base plate incl. drilling, welding and levelling</t>
  </si>
  <si>
    <t xml:space="preserve">Super Structure|Structural Steel|Steel plate|Steel plate 200x230x12mm</t>
  </si>
  <si>
    <t xml:space="preserve">Super Structure|Structural Steel|J bolt|J bolt M12, L=600mm, grade 5.6</t>
  </si>
  <si>
    <t xml:space="preserve">Super Structure|Structural Steel|Anchor Bolt|Anchor bolt incl. template, setting and grouting</t>
  </si>
  <si>
    <t xml:space="preserve">Super Structure|Structural Steel|Bolt &amp; Nut|High tensile bolt, nut and washer grade 8.8</t>
  </si>
  <si>
    <t xml:space="preserve">Super Structure|Structural Steel|Welding|Site welding incl. electrode, preparation and testing</t>
  </si>
  <si>
    <t xml:space="preserve">Super Structure|Structural Steel|Painting / Galvanizing|Anti-corrosive primer and 2 coats finish paint to steelwork</t>
  </si>
  <si>
    <t xml:space="preserve">Hot dip galvanizing to steelwork, 85 micron minimum</t>
  </si>
  <si>
    <t xml:space="preserve">Super Structure|Structural Steel|Painting / Galvanizing|Hot dip galvanizing to steelwork, 85 micron minimum</t>
  </si>
  <si>
    <t xml:space="preserve">Super Structure|Structural Steel|Fire Proofing|Intumescent fire protection coating to steelwork, 2 hour rating</t>
  </si>
  <si>
    <t xml:space="preserve">Super Structure|Roof Structure / Truss|Truss|Steel roof truss incl. fabrication, erection and connection</t>
  </si>
  <si>
    <t xml:space="preserve">Super Structure|Roof Structure / Truss|Purlin|Steel purlin C-channel incl. fabrication, erection and fixing</t>
  </si>
  <si>
    <t xml:space="preserve">Super Structure|Roof Structure / Truss|Sag rod|Sag rod 12mm</t>
  </si>
  <si>
    <t xml:space="preserve">Super Structure|Roof Structure / Truss|Bracing|Steel bracing member incl. fabrication, erection and connection</t>
  </si>
  <si>
    <t xml:space="preserve">Super Structure|Roof Structure / Truss|Zinc sheet|Zinc sheet 0.4mm</t>
  </si>
  <si>
    <t xml:space="preserve">Super Structure|Roof Structure / Truss|Flashing|Flashing cover roof</t>
  </si>
  <si>
    <t xml:space="preserve">Super Structure|Roof Structure / Truss|Anchor Bolt|Anchor bolt incl. template, setting and grouting</t>
  </si>
  <si>
    <t xml:space="preserve">Super Structure|Roof Structure / Truss|Painting / Galvanizing|Anti-corrosive primer and 2 coats finish paint to steelwork</t>
  </si>
  <si>
    <t xml:space="preserve">Super Structure|Roof Structure / Truss|Painting / Galvanizing|Hot dip galvanizing to steelwork, 85 micron minimum</t>
  </si>
  <si>
    <t xml:space="preserve">Super Structure|Testing &amp; Quality Control|Concrete Testing|Concrete cube / cylinder test as per specification</t>
  </si>
  <si>
    <t xml:space="preserve">Super Structure|Testing &amp; Quality Control|Rebar Testing|Rebar Testing as per Specification</t>
  </si>
  <si>
    <t xml:space="preserve">Super Structure|Testing &amp; Quality Control|Non-Destructive Test|Non-destructive test (rebound hammer / ultrasonic) as per specification</t>
  </si>
  <si>
    <t xml:space="preserve">Super Structure|Testing &amp; Quality Control|Survey &amp; As-Built|Setting out, survey and as-built record</t>
  </si>
  <si>
    <t xml:space="preserve">Exterior Wall and Partition|Hollow clay brick|Hollow clay brick 100mm Thk.|Hollow clay brick, thickness 100mm, laid in cement:sand mortar 1:4</t>
  </si>
  <si>
    <t xml:space="preserve">Exterior Wall and Partition|Hollow clay brick|Hollow clay brick 200mm Thk.|Hollow clay brick (80x80x180)mm, thickness 200mm Thk.</t>
  </si>
  <si>
    <t xml:space="preserve">Exterior Wall and Partition|Hollow clay brick|Hollow clay brick 400mm Thk.|Hollow clay brick (80x80x180)mm, thickness 400mm Thk.</t>
  </si>
  <si>
    <t xml:space="preserve">Exterior Wall and Partition|Hollow clay brick|Hollow clay brick 500mm Thk.|Hollow clay brick (80x80x180)mm, thickness 500mm Thk.</t>
  </si>
  <si>
    <t xml:space="preserve">Exterior Wall and Partition|Hollow clay brick|Hollow clay brick 800mm Thk.|Hollow clay brick (80x80x180)mm, thickness 800mm Thk.</t>
  </si>
  <si>
    <t xml:space="preserve">Exterior Wall and Partition|Concrete block|Concrete block 100mm Thk.|concrete block, thickness 100mm, laid in cement:sand mortar 1:4</t>
  </si>
  <si>
    <t xml:space="preserve">Exterior Wall and Partition|Concrete block|Concrete block 150mm Thk.|concrete block, thickness 150mm, laid in cement:sand mortar 1:4</t>
  </si>
  <si>
    <t xml:space="preserve">Exterior Wall and Partition|Concrete block|Concrete block 200mm Thk.|concrete block, thickness 200mm, laid in cement:sand mortar 1:4</t>
  </si>
  <si>
    <t xml:space="preserve">Exterior Wall and Partition|AAC block|AAC block 100mm Thk.|AAC lightweight block 100mm thk. laid in thin-bed adhesive mortar</t>
  </si>
  <si>
    <t xml:space="preserve">Exterior Wall and Partition|AAC block|AAC block 150mm Thk.|AAC lightweight block 150mm thk. laid in thin-bed adhesive mortar</t>
  </si>
  <si>
    <t xml:space="preserve">Exterior Wall and Partition|AAC block|AAC block 200mm Thk.|AAC lightweight block 200mm thk. laid in thin-bed adhesive mortar</t>
  </si>
  <si>
    <t xml:space="preserve">Exterior Wall and Partition|Precast concrete panel|Precast wall panel|Precast concrete wall panel incl. lifting, setting and jointing</t>
  </si>
  <si>
    <t xml:space="preserve">Exterior Wall and Partition|Precast concrete panel|Panel jointing &amp; sealant|Panel joint backer rod and weatherproof silicone sealant</t>
  </si>
  <si>
    <t xml:space="preserve">Exterior Wall and Partition|External façade|External façade|concrete block</t>
  </si>
  <si>
    <t xml:space="preserve">Exterior Wall and Partition|External façade|External façade|External façade</t>
  </si>
  <si>
    <t xml:space="preserve">Exterior Wall and Partition|External façade|Curtain wall|Aluminium curtain wall system with 8mm tempered glass incl. framing and sealant</t>
  </si>
  <si>
    <t xml:space="preserve">Exterior Wall and Partition|External façade|Aluminium composite panel|Aluminium composite panel 4mm, PVDF finish, incl. sub-frame and sealant</t>
  </si>
  <si>
    <t xml:space="preserve">Exterior Wall and Partition|External façade|Louver screen|Aluminium louver screen incl. sub-frame and fixing</t>
  </si>
  <si>
    <t xml:space="preserve">Exterior Wall Finishes|Plastering|Plastering|20mm cement plaster</t>
  </si>
  <si>
    <t xml:space="preserve">15mm cement plaster</t>
  </si>
  <si>
    <t xml:space="preserve">Exterior Wall Finishes|Plastering|Plastering|15mm cement plaster</t>
  </si>
  <si>
    <t xml:space="preserve">Exterior Wall Finishes|Plastering|Skim coat|Skim coat, 2 coats, sanded ready to receive paint</t>
  </si>
  <si>
    <t xml:space="preserve">Exterior Wall Finishes|Plastering|Molding / Cornice|Cement molding / cornice incl. forming and finishing</t>
  </si>
  <si>
    <t xml:space="preserve">Exterior Wall Finishes|Painting|Painting|Painting</t>
  </si>
  <si>
    <t xml:space="preserve">Painting, primer + 2 coats emulsion (interior)</t>
  </si>
  <si>
    <t xml:space="preserve">Exterior Wall Finishes|Painting|Painting|Painting, primer + 2 coats emulsion (interior)</t>
  </si>
  <si>
    <t xml:space="preserve">Painting, primer + 2 coats weather-shield (exterior)</t>
  </si>
  <si>
    <t xml:space="preserve">Exterior Wall Finishes|Painting|Painting|Painting, primer + 2 coats weather-shield (exterior)</t>
  </si>
  <si>
    <t xml:space="preserve">Exterior Wall Finishes|Painting|Primer coat|Alkali resistant primer, 1 coat</t>
  </si>
  <si>
    <t xml:space="preserve">Exterior Wall Finishes|Painting|Weather-shield coating|Weather-shield exterior coating, primer + 2 coats</t>
  </si>
  <si>
    <t xml:space="preserve">Exterior Wall Finishes|Wall tiling|Wall tiling|Wall tile Size 0.6x0.6m,Height 1.2m, at cooridor</t>
  </si>
  <si>
    <t xml:space="preserve">Exterior Wall Finishes|Wall tiling|Stone cladding|Natural stone cladding incl. adhesive, anchor and pointing</t>
  </si>
  <si>
    <t xml:space="preserve">Exterior Wall Finishes|Expansion joint|Expansion joint|Expansion joint incl. backer rod, sealant and cover profile</t>
  </si>
  <si>
    <t xml:space="preserve">Exterior Wall Finishes|Expansion joint|Sealant|Weatherproof silicone sealant incl. backer rod</t>
  </si>
  <si>
    <t xml:space="preserve">Exterior Door|Steel Door|Steel Door|Steel Door, W:900,H:2100mm incl. frame, ironmongery and painting</t>
  </si>
  <si>
    <t xml:space="preserve">Exterior Door|Steel Door|Fire rated steel door|Fire rated steel door 2 hour incl. frame, closer and panic bar</t>
  </si>
  <si>
    <t xml:space="preserve">Exterior Door|Aluminium door|Aluminium door|Aluminium framed door with 6mm tempered glass incl. ironmongery</t>
  </si>
  <si>
    <t xml:space="preserve">Exterior Door|Aluminium door|Aluminium sliding door|Aluminium sliding door with 6mm tempered glass incl. track and ironmongery</t>
  </si>
  <si>
    <t xml:space="preserve">Exterior Door|Glass door|Frameless glass door|Frameless tempered glass door 12mm incl. floor spring and patch fitting</t>
  </si>
  <si>
    <t xml:space="preserve">Exterior Door|Glass door|Framed glass door|Aluminium framed glass door incl. ironmongery</t>
  </si>
  <si>
    <t xml:space="preserve">Exterior Door|Rolling shutter|Rolling shutter|Galvanised steel rolling shutter incl. guide rail and lock</t>
  </si>
  <si>
    <t xml:space="preserve">Exterior Door|Rolling shutter|Motor &amp; control|Roller shutter motor and control panel incl. wiring</t>
  </si>
  <si>
    <t xml:space="preserve">Exterior Door|Door ironmongery|Lockset|Mortice lockset, stainless steel lever handle</t>
  </si>
  <si>
    <t xml:space="preserve">Exterior Door|Door ironmongery|Door closer|Overhead door closer, adjustable</t>
  </si>
  <si>
    <t xml:space="preserve">Exterior Door|Door ironmongery|Hinge|Stainless steel butt hinge 100mm</t>
  </si>
  <si>
    <t xml:space="preserve">Exterior Door|Door ironmongery|Door stopper|Floor / wall mounted door stopper</t>
  </si>
  <si>
    <t xml:space="preserve">pcs</t>
  </si>
  <si>
    <t xml:space="preserve">Exterior Window and Louver|Glass Window|Glass Window|Internal Fix Windoor (L:1200,H:500)mm &amp; Slide window (L:1200,H:1000)mm</t>
  </si>
  <si>
    <t xml:space="preserve">Internal Fix Windoor (L:1800,H:500)mm</t>
  </si>
  <si>
    <t xml:space="preserve">Exterior Window and Louver|Glass Window|Glass Window|Internal Fix Windoor (L:1800,H:500)mm</t>
  </si>
  <si>
    <t xml:space="preserve">Internal Fix Windoor (L:2000,H:500)mm &amp; Slide window (L:2000,H:1000)mm</t>
  </si>
  <si>
    <t xml:space="preserve">Exterior Window and Louver|Glass Window|Glass Window|Internal Fix Windoor (L:2000,H:500)mm &amp; Slide window (L:2000,H:1000)mm</t>
  </si>
  <si>
    <t xml:space="preserve">Internal Fix Windoor (L:2000,H:500)mm &amp; Slide window (L:2000,H:10300)mm</t>
  </si>
  <si>
    <t xml:space="preserve">Exterior Window and Louver|Glass Window|Glass Window|Internal Fix Windoor (L:2000,H:500)mm &amp; Slide window (L:2000,H:10300)mm</t>
  </si>
  <si>
    <t xml:space="preserve">Internal Fix Windoor (L:3000,H:500)mm</t>
  </si>
  <si>
    <t xml:space="preserve">Exterior Window and Louver|Glass Window|Glass Window|Internal Fix Windoor (L:3000,H:500)mm</t>
  </si>
  <si>
    <t xml:space="preserve">Internal Fix Windoor (L:3000,H:500)mm &amp; Slide window (L:3000,H:1000)mm</t>
  </si>
  <si>
    <t xml:space="preserve">Exterior Window and Louver|Glass Window|Glass Window|Internal Fix Windoor (L:3000,H:500)mm &amp; Slide window (L:3000,H:1000)mm</t>
  </si>
  <si>
    <t xml:space="preserve">Internal Fix Windoor (L:4000,H:500)mm &amp; Slide window (L:4000,H:1700)mm</t>
  </si>
  <si>
    <t xml:space="preserve">Exterior Window and Louver|Glass Window|Glass Window|Internal Fix Windoor (L:4000,H:500)mm &amp; Slide window (L:4000,H:1700)mm</t>
  </si>
  <si>
    <t xml:space="preserve">Internal Fix Windoor (L:900,H:1000)mm</t>
  </si>
  <si>
    <t xml:space="preserve">Exterior Window and Louver|Glass Window|Glass Window|Internal Fix Windoor (L:900,H:1000)mm</t>
  </si>
  <si>
    <t xml:space="preserve">Windoor Aluminium frame with 6mm tempered glass, fix + slide panel</t>
  </si>
  <si>
    <t xml:space="preserve">Exterior Window and Louver|Glass Window|Glass Window|Windoor Aluminium frame with 6mm tempered glass, fix + slide panel</t>
  </si>
  <si>
    <t xml:space="preserve">Windoor Aluminium frame with 6mm tempered glass, fix panel</t>
  </si>
  <si>
    <t xml:space="preserve">Exterior Window and Louver|Glass Window|Glass Window|Windoor Aluminium frame with 6mm tempered glass, fix panel</t>
  </si>
  <si>
    <t xml:space="preserve">Exterior Window and Louver|Glass Window|Fixed glass window|Fixed aluminium window with 6mm tempered glass incl. sealant</t>
  </si>
  <si>
    <t xml:space="preserve">Exterior Window and Louver|Glass Window|Sliding glass window|Sliding aluminium window with 6mm tempered glass incl. track and lock</t>
  </si>
  <si>
    <t xml:space="preserve">Exterior Window and Louver|Glass Window|Casement window|Casement aluminium window with 6mm glass incl. friction stay</t>
  </si>
  <si>
    <t xml:space="preserve">Exterior Window and Louver|Aluminium louver|Aluminium louver|Aluminium louver incl. frame and fixing</t>
  </si>
  <si>
    <t xml:space="preserve">Exterior Window and Louver|Aluminium louver|Steel louver|Steel louver incl. frame, fixing and painting</t>
  </si>
  <si>
    <t xml:space="preserve">Exterior Window and Louver|Window accessories|Window fence / grille|Steel window grille incl. painting and fixing</t>
  </si>
  <si>
    <t xml:space="preserve">Exterior Window and Louver|Window accessories|Mosquito screen|Aluminium frame mosquito / insect screen</t>
  </si>
  <si>
    <t xml:space="preserve">Exterior Window and Louver|Window accessories|Sealant|Weatherproof silicone sealant incl. backer rod</t>
  </si>
  <si>
    <t xml:space="preserve">Exterior Window and Louver|Window accessories|Window sill|Cement / stone window sill incl. forming and finishing</t>
  </si>
  <si>
    <t xml:space="preserve">Exterior floor|Screeding|Screeding|Cement:sand screed 1:3, 40mm thk. steel trowel finish</t>
  </si>
  <si>
    <t xml:space="preserve">Exterior floor|Screeding|Floor hardener|Non-metallic floor hardener 3kg/m2 incl. power trowel finish</t>
  </si>
  <si>
    <t xml:space="preserve">Exterior floor|Floor tiling|Floor tiling|Floor tile Size 0.3x0.3m incl. adhesive and grout</t>
  </si>
  <si>
    <t xml:space="preserve">Floor tile Size 0.6x0.6m incl. adhesive and grout</t>
  </si>
  <si>
    <t xml:space="preserve">Exterior floor|Floor tiling|Floor tiling|Floor tile Size 0.6x0.6m incl. adhesive and grout</t>
  </si>
  <si>
    <t xml:space="preserve">Exterior floor|Floor tiling|Anti-slip tile|Anti-slip ceramic tile incl. adhesive and grout</t>
  </si>
  <si>
    <t xml:space="preserve">Exterior floor|Waterproofing|Waterproofing|Membrance sheet 2mm thk</t>
  </si>
  <si>
    <t xml:space="preserve">Exterior floor|Waterproofing|Waterproofing|Sika Waterproofing</t>
  </si>
  <si>
    <t xml:space="preserve">Exterior floor|Waterproofing|Waterproofing|Cementitious waterproofing, 2 coats, to wet area incl. up-turn 300mm</t>
  </si>
  <si>
    <t xml:space="preserve">Exterior floor|Waterproofing|Protection screed|Protection screed 40mm thk. to waterproofing membrane</t>
  </si>
  <si>
    <t xml:space="preserve">Exterior soffit|Soffit finishes|Plastering|20mm cement plaster</t>
  </si>
  <si>
    <t xml:space="preserve">Exterior soffit|Soffit finishes|Plastering|15mm cement plaster</t>
  </si>
  <si>
    <t xml:space="preserve">Exterior soffit|Soffit finishes|Painting|Painting</t>
  </si>
  <si>
    <t xml:space="preserve">Exterior soffit|Soffit finishes|Painting|Painting, primer + 2 coats emulsion (interior)</t>
  </si>
  <si>
    <t xml:space="preserve">Exterior soffit|Soffit finishes|Painting|Painting, primer + 2 coats weather-shield (exterior)</t>
  </si>
  <si>
    <t xml:space="preserve">Exterior soffit|Soffit finishes|Soffit cladding|Soffit cladding board incl. sub-frame and jointing</t>
  </si>
  <si>
    <t xml:space="preserve">Exterior Stair Ramp|Stair &amp; Ramp finishes|Stair tread &amp; riser finish|Stair tread and riser tile / stone finish incl. adhesive</t>
  </si>
  <si>
    <t xml:space="preserve">Exterior Stair Ramp|Stair &amp; Ramp finishes|Ramp finish|Ramp anti-slip floor finish incl. adhesive and grout</t>
  </si>
  <si>
    <t xml:space="preserve">Exterior Stair Ramp|Stair &amp; Ramp finishes|Stair nosing|Aluminium stair nosing with anti-slip insert</t>
  </si>
  <si>
    <t xml:space="preserve">Exterior Stair Ramp|Stair &amp; Ramp finishes|Tactile paving|Tactile warning paving for accessibility incl. adhesive</t>
  </si>
  <si>
    <t xml:space="preserve">Exterior Stair Ramp|Handrail &amp; Balustrade|Handrail|Steel handrail with paiting H=1m</t>
  </si>
  <si>
    <t xml:space="preserve">Exterior Stair Ramp|Handrail &amp; Balustrade|Balustrade|Stainless steel / glass balustrade H=1.1m incl. fixing</t>
  </si>
  <si>
    <t xml:space="preserve">Exterior Stair Ramp|Handrail &amp; Balustrade|Guard rail|Steel guard rail incl. fabrication, painting and fixing</t>
  </si>
  <si>
    <t xml:space="preserve">Roofing|Roof covering|Metal roof sheet|Metal roof sheet 0.47mm thk. colour coated incl. fixing accessories</t>
  </si>
  <si>
    <t xml:space="preserve">Roofing|Roof covering|Roof tile|Concrete / clay roof tile incl. batten, ridge and fixing</t>
  </si>
  <si>
    <t xml:space="preserve">Roofing|Roof covering|Translucent sheet|Translucent polycarbonate roof sheet incl. fixing</t>
  </si>
  <si>
    <t xml:space="preserve">Roofing|Roof covering|Ridge cap|Colour coated ridge cap incl. sealing and fixing</t>
  </si>
  <si>
    <t xml:space="preserve">Roofing|Roof waterproofing &amp; insulation|Waterproofing membrane|Torch-on bituminous waterproofing membrane 3mm incl. primer and up-turn</t>
  </si>
  <si>
    <t xml:space="preserve">Roofing|Roof waterproofing &amp; insulation|Thermal insulation|Roof thermal insulation, glasswool 50mm with foil facing</t>
  </si>
  <si>
    <t xml:space="preserve">Roofing|Roof waterproofing &amp; insulation|Vapour barrier|Vapour barrier; supply and install complete incl. all accessories, jointing and making good.</t>
  </si>
  <si>
    <t xml:space="preserve">Roofing|Roof waterproofing &amp; insulation|Protection screed|Protection screed 40mm thk. to waterproofing membrane</t>
  </si>
  <si>
    <t xml:space="preserve">Roofing|Roof drainage|Gutter|Colour coated metal gutter incl. bracket and outlet</t>
  </si>
  <si>
    <t xml:space="preserve">Roofing|Roof drainage|Downpipe|uPVC downpipe incl. bracket, bend and shoe</t>
  </si>
  <si>
    <t xml:space="preserve">Roofing|Roof drainage|Roof drain|Cast iron / uPVC roof drain with dome grating</t>
  </si>
  <si>
    <t xml:space="preserve">Roofing|Roof drainage|Flashing|Flashing cover roof</t>
  </si>
  <si>
    <t xml:space="preserve">Roofing|Roof accessories|Skylight|Skylight with laminated glass incl. aluminium frame and flashing</t>
  </si>
  <si>
    <t xml:space="preserve">Roofing|Roof accessories|Roof access hatch|Roof access hatch incl. frame, cover and lock</t>
  </si>
  <si>
    <t xml:space="preserve">Roofing|Roof accessories|Roof ladder|Steel cat ladder incl. safety hoop and painting</t>
  </si>
  <si>
    <t xml:space="preserve">Roofing|Roof accessories|Lightning terminal base|Lightning air terminal base incl. fixing to roof structure</t>
  </si>
  <si>
    <t xml:space="preserve">Interior Wall and Partition|Hollow clay brick|Hollow clay brick 100mm Thk.|Hollow clay brick (80x80x180)mm, thickness 100mm Thk.</t>
  </si>
  <si>
    <t xml:space="preserve">Interior Wall and Partition|Hollow clay brick|Hollow clay brick 200mm Thk.|Hollow clay brick, thickness 200mm, laid in cement:sand mortar 1:4</t>
  </si>
  <si>
    <t xml:space="preserve">Interior Wall and Partition|Dry wall partition|Gypsum board partition|Gypsum board partition 2x12mm both sides on 76mm metal stud incl. jointing</t>
  </si>
  <si>
    <t xml:space="preserve">Interior Wall and Partition|Dry wall partition|Cement board partition|Fibre cement board partition 2x9mm both sides on metal stud incl. jointing</t>
  </si>
  <si>
    <t xml:space="preserve">Interior Wall and Partition|Dry wall partition|Metal stud framing|Galvanised metal stud and track framing at 600mm c/c</t>
  </si>
  <si>
    <t xml:space="preserve">Interior Wall and Partition|Dry wall partition|Acoustic infill|Rockwool acoustic infill 50mm thk. density 60kg/m3 to partition cavity</t>
  </si>
  <si>
    <t xml:space="preserve">Interior Wall and Partition|Glass partition|Frameless glass partition|Frameless tempered glass partition 12mm thk. incl. patch fitting and sealant</t>
  </si>
  <si>
    <t xml:space="preserve">Interior Wall and Partition|Glass partition|Framed glass partition|Aluminium framed glass partition with 8mm tempered glass</t>
  </si>
  <si>
    <t xml:space="preserve">Interior Wall and Partition|Toilet cubicle|Toilet cubicle|Toilet cubicle, compact laminate 12mm thk. incl. door, hardware and pilaster</t>
  </si>
  <si>
    <t xml:space="preserve">Interior Wall and Partition|Toilet cubicle|Urinal divider|Urinal divider, compact laminate 12mm thk. incl. bracket</t>
  </si>
  <si>
    <t xml:space="preserve">Interior Wall and Partition|Handrail|Handrail|Steel handrail with paiting H=1m</t>
  </si>
  <si>
    <t xml:space="preserve">Interior Wall and Partition|Handrail|Handrail on staircase|Steel handrail with paiting Handrail on staircase, H=1m</t>
  </si>
  <si>
    <t xml:space="preserve">Interior Wall and Partition|Handrail|Wall guard rail|Wall mounted guard rail / crash rail incl. bracket and fixing</t>
  </si>
  <si>
    <t xml:space="preserve">Interior Doors|Wood door|Wood door|Wood door size (L:1600,H:2100,W:500)mm</t>
  </si>
  <si>
    <t xml:space="preserve">Wood door size (L:900,H:2100,W:400)mm</t>
  </si>
  <si>
    <t xml:space="preserve">Interior Doors|Wood door|Wood door|Wood door size (L:900,H:2100,W:400)mm</t>
  </si>
  <si>
    <t xml:space="preserve">Wood door size (L:900,H:2100,W:500)mm</t>
  </si>
  <si>
    <t xml:space="preserve">Interior Doors|Wood door|Wood door|Wood door size (L:900,H:2100,W:500)mm</t>
  </si>
  <si>
    <t xml:space="preserve">Double leaf wood door, W:1600,H:2100mm incl. frame and ironmongery</t>
  </si>
  <si>
    <t xml:space="preserve">Interior Doors|Wood door|Wood door|Double leaf wood door, W:1600,H:2100mm incl. frame and ironmongery</t>
  </si>
  <si>
    <t xml:space="preserve">Wood door, W:800,H:2100mm incl. frame, ironmongery and painting</t>
  </si>
  <si>
    <t xml:space="preserve">Interior Doors|Wood door|Wood door|Wood door, W:800,H:2100mm incl. frame, ironmongery and painting</t>
  </si>
  <si>
    <t xml:space="preserve">Wood door, W:900,H:2100mm incl. frame, ironmongery and painting</t>
  </si>
  <si>
    <t xml:space="preserve">Interior Doors|Wood door|Wood door|Wood door, W:900,H:2100mm incl. frame, ironmongery and painting</t>
  </si>
  <si>
    <t xml:space="preserve">Interior Doors|Wood door|Solid core wood door|Solid core timber door with laminate finish incl. frame and ironmongery</t>
  </si>
  <si>
    <t xml:space="preserve">Interior Doors|PVC door|PVC door|PVC door size (L:750,H:2000,W:400)mm</t>
  </si>
  <si>
    <t xml:space="preserve">PVC door size (L:800,H:2100,W:400)mm</t>
  </si>
  <si>
    <t xml:space="preserve">Interior Doors|PVC door|PVC door|PVC door size (L:800,H:2100,W:400)mm</t>
  </si>
  <si>
    <t xml:space="preserve">PVC door size (L:900,H:2100,W:400)mm</t>
  </si>
  <si>
    <t xml:space="preserve">Interior Doors|PVC door|PVC door|PVC door size (L:900,H:2100,W:400)mm</t>
  </si>
  <si>
    <t xml:space="preserve">PVC door, W:700,H:2000mm incl. frame and ironmongery</t>
  </si>
  <si>
    <t xml:space="preserve">Interior Doors|PVC door|PVC door|PVC door, W:700,H:2000mm incl. frame and ironmongery</t>
  </si>
  <si>
    <t xml:space="preserve">PVC door, W:800,H:2000mm incl. frame and ironmongery</t>
  </si>
  <si>
    <t xml:space="preserve">Interior Doors|PVC door|PVC door|PVC door, W:800,H:2000mm incl. frame and ironmongery</t>
  </si>
  <si>
    <t xml:space="preserve">PVC door, W:900,H:2000mm incl. frame and ironmongery</t>
  </si>
  <si>
    <t xml:space="preserve">Interior Doors|PVC door|PVC door|PVC door, W:900,H:2000mm incl. frame and ironmongery</t>
  </si>
  <si>
    <t xml:space="preserve">Interior Doors|Steel Door|Steel Door|Steel door size (L:880,H:2100,W:400)mm</t>
  </si>
  <si>
    <t xml:space="preserve">Interior Doors|Steel Door|Steel Door|Steel Door, W:900,H:2100mm incl. frame, ironmongery and painting</t>
  </si>
  <si>
    <t xml:space="preserve">Interior Doors|Steel Door|Fire rated door|Fire rated door 1 hour, steel, incl. frame, closer and ironmongery</t>
  </si>
  <si>
    <t xml:space="preserve">Interior Doors|Aluminium / Glass door|Aluminium door|Aluminium framed door with 6mm tempered glass incl. ironmongery</t>
  </si>
  <si>
    <t xml:space="preserve">Interior Doors|Aluminium / Glass door|Glass door|Tempered glass door 12mm thk. incl. patch fitting and floor spring</t>
  </si>
  <si>
    <t xml:space="preserve">Interior Doors|Door ironmongery|Lockset|Mortice lockset, stainless steel lever handle</t>
  </si>
  <si>
    <t xml:space="preserve">Interior Doors|Door ironmongery|Door closer|Overhead door closer, adjustable</t>
  </si>
  <si>
    <t xml:space="preserve">Interior Doors|Door ironmongery|Hinge|Stainless steel butt hinge 100mm</t>
  </si>
  <si>
    <t xml:space="preserve">Interior Doors|Door ironmongery|Door stopper|Floor / wall mounted door stopper</t>
  </si>
  <si>
    <t xml:space="preserve">Interior Doors|Door ironmongery|Panic bar|Panic exit device / push bar to fire escape door</t>
  </si>
  <si>
    <t xml:space="preserve">Interior Doors|Interior window / louver|Interior glass window|Interior aluminium framed glass window with 6mm glass</t>
  </si>
  <si>
    <t xml:space="preserve">Interior Doors|Interior window / louver|Interior louver|Interior aluminium louver incl. frame</t>
  </si>
  <si>
    <t xml:space="preserve">Special installation|Gas installation|LPG gas system|LPG gas piping system incl. regulator, valve and testing</t>
  </si>
  <si>
    <t xml:space="preserve">Special installation|Gas installation|Laboratory gas outlet|Laboratory gas outlet point incl. piping, valve and testing</t>
  </si>
  <si>
    <t xml:space="preserve">Interior Wall Finishes|Plastering|Plastering|20mm cement plaster</t>
  </si>
  <si>
    <t xml:space="preserve">Interior Wall Finishes|Plastering|Plastering|15mm cement plaster</t>
  </si>
  <si>
    <t xml:space="preserve">Interior Wall Finishes|Plastering|Skim coat|Skim coat, 2 coats, sanded ready to receive paint</t>
  </si>
  <si>
    <t xml:space="preserve">Interior Wall Finishes|Painting|Painting|Painting</t>
  </si>
  <si>
    <t xml:space="preserve">Interior Wall Finishes|Painting|Painting|Painting, primer + 2 coats emulsion (interior)</t>
  </si>
  <si>
    <t xml:space="preserve">Interior Wall Finishes|Painting|Painting|Painting, primer + 2 coats weather-shield (exterior)</t>
  </si>
  <si>
    <t xml:space="preserve">Interior Wall Finishes|Painting|Primer coat|Alkali resistant primer, 1 coat</t>
  </si>
  <si>
    <t xml:space="preserve">Interior Wall Finishes|Wall tiling|Wall tiling|Wall tile Size 0.6x0.6m,Height 1.2m, at cooridor</t>
  </si>
  <si>
    <t xml:space="preserve">Interior Wall Finishes|Wall tiling|Toilet Wall tile|Toilet Wall tile Size 0.3x0.6m incl. adhesive and grout</t>
  </si>
  <si>
    <t xml:space="preserve">Interior Wall Finishes|Wall cladding|Wall cladding|Decorative wall cladding panel incl. sub-frame and fixing</t>
  </si>
  <si>
    <t xml:space="preserve">Interior Wall Finishes|Wall cladding|Acoustic panel|Acoustic wall panel incl. sub-frame and fixing</t>
  </si>
  <si>
    <t xml:space="preserve">Interior Wall Finishes|Wall cladding|Wallpaper|Vinyl wallpaper incl. adhesive and surface preparation</t>
  </si>
  <si>
    <t xml:space="preserve">Interior Wall Finishes|Wall cladding|Mirror|Silver mirror 5mm thk. incl. backing and fixing</t>
  </si>
  <si>
    <t xml:space="preserve">Interior Wall Finishes|Skirting|Skirting|Tile / cement skirting 100mm high incl. adhesive and grout</t>
  </si>
  <si>
    <t xml:space="preserve">Interior Floor Finishes|Screeding|Screeding|Cement:sand screed 1:3, 40mm thk. steel trowel finish</t>
  </si>
  <si>
    <t xml:space="preserve">Interior Floor Finishes|Screeding|Self-levelling screed|Self-levelling screed 5mm thk. to receive floor finish</t>
  </si>
  <si>
    <t xml:space="preserve">Interior Floor Finishes|Floor tiling|Floor tiling|Floor tile Size 0.3x0.3m incl. adhesive and grout</t>
  </si>
  <si>
    <t xml:space="preserve">Interior Floor Finishes|Floor tiling|Floor tiling|Floor tile Size 0.6x0.6m incl. adhesive and grout</t>
  </si>
  <si>
    <t xml:space="preserve">Interior Floor Finishes|Floor tiling|Toilet Floor tile|Toilet Floor tile Size 0.3x0.3m, anti-slip, incl. adhesive and grout</t>
  </si>
  <si>
    <t xml:space="preserve">Interior Floor Finishes|Floor tiling|Homogeneous tile|Homogeneous tile 600x600mm incl. adhesive and grout</t>
  </si>
  <si>
    <t xml:space="preserve">Interior Floor Finishes|Stone flooring|Marble on staircase|Marble on staircase</t>
  </si>
  <si>
    <t xml:space="preserve">Interior Floor Finishes|Stone flooring|Marble flooring|Marble slab flooring 20mm thk. incl. bedding, polishing and sealing</t>
  </si>
  <si>
    <t xml:space="preserve">Interior Floor Finishes|Stone flooring|Granite flooring|Granite slab flooring 20mm thk. incl. bedding and polishing</t>
  </si>
  <si>
    <t xml:space="preserve">Interior Floor Finishes|Resilient flooring|Vinyl flooring|Homogeneous vinyl sheet flooring 2mm thk. incl. adhesive and welding rod</t>
  </si>
  <si>
    <t xml:space="preserve">Interior Floor Finishes|Resilient flooring|Epoxy flooring|Epoxy floor coating, self-levelling 2mm thk. incl. primer</t>
  </si>
  <si>
    <t xml:space="preserve">Interior Floor Finishes|Resilient flooring|Wooden flooring|Engineered timber flooring incl. underlay and skirting</t>
  </si>
  <si>
    <t xml:space="preserve">Interior Floor Finishes|Resilient flooring|Carpet|Carpet tile 500x500mm incl. adhesive</t>
  </si>
  <si>
    <t xml:space="preserve">Interior Floor Finishes|Resilient flooring|Raised floor|Raised access floor 600x600mm panel incl. pedestal</t>
  </si>
  <si>
    <t xml:space="preserve">Interior Floor Finishes|Waterproofing|Waterproofing|Membrance sheet 2mm thk</t>
  </si>
  <si>
    <t xml:space="preserve">Interior Floor Finishes|Waterproofing|Waterproofing|Sika Waterproofing</t>
  </si>
  <si>
    <t xml:space="preserve">Interior Floor Finishes|Waterproofing|Waterproofing|Cementitious waterproofing, 2 coats, to wet area incl. up-turn 300mm</t>
  </si>
  <si>
    <t xml:space="preserve">Interior Floor Finishes|Waterproofing|anti termite|anti termite</t>
  </si>
  <si>
    <t xml:space="preserve">Interior Floor Finishes|Floor accessories|Skirting|Tile / cement skirting 100mm high incl. adhesive and grout</t>
  </si>
  <si>
    <t xml:space="preserve">Interior Floor Finishes|Floor accessories|Stair nosing|Aluminium stair nosing with anti-slip insert</t>
  </si>
  <si>
    <t xml:space="preserve">Interior Floor Finishes|Floor accessories|Floor trim / divider|Aluminium floor trim / divider strip</t>
  </si>
  <si>
    <t xml:space="preserve">Ceiling Finishes|Suspended ceiling|Suspended ceiling|10mm Plasterboard with 600mm ceiling frame height</t>
  </si>
  <si>
    <t xml:space="preserve">Ceiling Finishes|Suspended ceiling|Gypsum board ceiling|Gypsum board ceiling 9mm thk. on metal furring incl. jointing</t>
  </si>
  <si>
    <t xml:space="preserve">Ceiling Finishes|Suspended ceiling|Cement board ceiling|Fibre cement board ceiling 4.5mm thk. on metal furring</t>
  </si>
  <si>
    <t xml:space="preserve">Ceiling Finishes|Acoustic ceiling|Acoustic ceiling tile|Acoustic ceiling tile 600x600mm on exposed T-grid</t>
  </si>
  <si>
    <t xml:space="preserve">Ceiling Finishes|Acoustic ceiling|Mineral fibre ceiling|Mineral fibre ceiling board 600x1200mm on T-grid system</t>
  </si>
  <si>
    <t xml:space="preserve">Ceiling Finishes|Metal ceiling|Aluminium strip ceiling|Aluminium strip ceiling incl. carrier and trim</t>
  </si>
  <si>
    <t xml:space="preserve">Ceiling Finishes|Metal ceiling|Metal grid ceiling|Metal open grid ceiling incl. suspension system</t>
  </si>
  <si>
    <t xml:space="preserve">Ceiling Finishes|Ceiling accessories|Ceiling access panel|Ceiling access panel 600x600mm incl. frame and lock</t>
  </si>
  <si>
    <t xml:space="preserve">Ceiling Finishes|Ceiling accessories|Cornice|Gypsum cornice incl. fixing and jointing</t>
  </si>
  <si>
    <t xml:space="preserve">Ceiling Finishes|Ceiling accessories|Bulkhead|Ceiling bulkhead incl. framing, board and jointing</t>
  </si>
  <si>
    <t xml:space="preserve">Ceiling Finishes|Ceiling accessories|Ceiling painting|Ceiling painting, primer + 2 coats emulsion</t>
  </si>
  <si>
    <t xml:space="preserve">Ceiling Finishes|Ceiling accessories|Curtain box|Curtain box / pelmet incl. framing and finishing</t>
  </si>
  <si>
    <t xml:space="preserve">Fittings, furnishings and equipment|General Fitting|Toilet accessories|Toilet accessories set: paper holder, soap dispenser, coat hook, grab bar</t>
  </si>
  <si>
    <t xml:space="preserve">Fittings, furnishings and equipment|General Fitting|Mirror|Silver mirror 5mm thk. incl. backing and fixing</t>
  </si>
  <si>
    <t xml:space="preserve">Fittings, furnishings and equipment|General Fitting|Counter top|Solid surface counter top 12mm thk. incl. support and sealing</t>
  </si>
  <si>
    <t xml:space="preserve">Fittings, furnishings and equipment|General Fitting|Locker|Steel locker unit incl. lock and fixing</t>
  </si>
  <si>
    <t xml:space="preserve">Fittings, furnishings and equipment|General Fitting|Shelving|Melamine faced shelving incl. bracket and fixing</t>
  </si>
  <si>
    <t xml:space="preserve">Fittings, furnishings and equipment|General Fitting|Blind &amp; curtain|Roller blind / curtain incl. track and bracket</t>
  </si>
  <si>
    <t xml:space="preserve">Fittings, furnishings and equipment|General Fitting|White board|Magnetic white board incl. frame and fixing</t>
  </si>
  <si>
    <t xml:space="preserve">Fittings, furnishings and equipment|Kitchen Fitting|Kitchen cabinet|Kitchen cabinet, melamine faced carcass incl. hardware</t>
  </si>
  <si>
    <t xml:space="preserve">Fittings, furnishings and equipment|Kitchen Fitting|Counter top|Solid surface counter top 12mm thk. incl. support and sealing</t>
  </si>
  <si>
    <t xml:space="preserve">Fittings, furnishings and equipment|Kitchen Fitting|Sink|Stainless steel sink incl. tap, waste and P-trap</t>
  </si>
  <si>
    <t xml:space="preserve">Fittings, furnishings and equipment|Special purpose Fitting|Laboratory bench|Laboratory bench with chemical resistant top incl. base cabinet</t>
  </si>
  <si>
    <t xml:space="preserve">Fittings, furnishings and equipment|Special purpose Fitting|Library shelving|Library shelving unit incl. fixing</t>
  </si>
  <si>
    <t xml:space="preserve">Fittings, furnishings and equipment|Special purpose Fitting|Sport / gym equipment|Sport / gymnasium equipment as per schedule</t>
  </si>
  <si>
    <t xml:space="preserve">Fittings, furnishings and equipment|Signage|Signage|Signage</t>
  </si>
  <si>
    <t xml:space="preserve">Fittings, furnishings and equipment|Signage|External round logo|External round logo include framing</t>
  </si>
  <si>
    <t xml:space="preserve">Fittings, furnishings and equipment|Signage|Khmer and Chinese text|Khmer and chinesse text</t>
  </si>
  <si>
    <t xml:space="preserve">Fittings, furnishings and equipment|Signage|Wayfinding sign|Wayfinding directional sign incl. frame and fixing</t>
  </si>
  <si>
    <t xml:space="preserve">Fittings, furnishings and equipment|Signage|Room sign|Room identification sign incl. fixing</t>
  </si>
  <si>
    <t xml:space="preserve">Fittings, furnishings and equipment|Signage|Statutory / safety sign|Statutory / safety signage incl. fixing</t>
  </si>
  <si>
    <t xml:space="preserve">Sanitary Installations|Sanitary ware|Water closet|Water closet, close-couple, vitreous china, incl. seat cover, cistern and connector</t>
  </si>
  <si>
    <t xml:space="preserve">Sanitary Installations|Sanitary ware|Wash basin|Wash basin, vitreous china, incl. tap, bottle trap, waste and bracket</t>
  </si>
  <si>
    <t xml:space="preserve">Sanitary Installations|Sanitary ware|Urinal|Urinal, vitreous china, incl. flush valve, waste and bracket</t>
  </si>
  <si>
    <t xml:space="preserve">Sanitary Installations|Sanitary ware|Shower set|Shower set incl. mixer, riser rail, hand shower and hose</t>
  </si>
  <si>
    <t xml:space="preserve">Sanitary Installations|Sanitary ware|Squat pan|Squat pan incl. flush pipe, connector and floor fixing</t>
  </si>
  <si>
    <t xml:space="preserve">Sanitary Installations|Sanitary ware|Sink|Stainless steel sink incl. tap, waste and P-trap</t>
  </si>
  <si>
    <t xml:space="preserve">Sanitary Installations|Sanitary fitting|Tap / faucet|Chromed brass tap / faucet incl. connector</t>
  </si>
  <si>
    <t xml:space="preserve">Sanitary Installations|Sanitary fitting|Flush valve|Flush valve, exposed type, incl. connector</t>
  </si>
  <si>
    <t xml:space="preserve">Sanitary Installations|Sanitary fitting|Angle valve|Chromed brass angle valve incl. flexible connector</t>
  </si>
  <si>
    <t xml:space="preserve">Sanitary Installations|Sanitary fitting|Floor drain|Stainless steel floor drain with removable grating</t>
  </si>
  <si>
    <t xml:space="preserve">Sanitary Installations|Sanitary fitting|Floor trap|Floor trap with water seal incl. grating</t>
  </si>
  <si>
    <t xml:space="preserve">Sanitary Installations|Sanitary fitting|Clean out|Clean out / rodding eye incl. cover</t>
  </si>
  <si>
    <t xml:space="preserve">Sanitary Installations|Sanitary accessories|Toilet paper holder|Stainless steel toilet paper holder incl. fixing</t>
  </si>
  <si>
    <t xml:space="preserve">Sanitary Installations|Sanitary accessories|Soap dispenser|Wall mounted soap dispenser incl. fixing</t>
  </si>
  <si>
    <t xml:space="preserve">Sanitary Installations|Sanitary accessories|Grab bar|Stainless steel grab bar for accessible toilet incl. fixing</t>
  </si>
  <si>
    <t xml:space="preserve">Sanitary Installations|Sanitary accessories|Hand dryer|Electric hand dryer incl. wiring connection</t>
  </si>
  <si>
    <t xml:space="preserve">AIR-CONDITIONAL SYSTEM|Split unit system|Wall mounted split unit|Wall mounted split type air conditioner incl. indoor unit, bracket and control</t>
  </si>
  <si>
    <t xml:space="preserve">AIR-CONDITIONAL SYSTEM|Split unit system|Cassette type unit|Ceiling cassette type air conditioner incl. panel and control</t>
  </si>
  <si>
    <t xml:space="preserve">AIR-CONDITIONAL SYSTEM|Split unit system|Outdoor condensing unit|Outdoor condensing unit incl. base, anti-vibration mount and wiring</t>
  </si>
  <si>
    <t xml:space="preserve">AIR-CONDITIONAL SYSTEM|VRF / VRV system|VRF indoor unit|VRF indoor unit incl. drain pump, control and commissioning</t>
  </si>
  <si>
    <t xml:space="preserve">AIR-CONDITIONAL SYSTEM|VRF / VRV system|VRF outdoor unit|VRF outdoor unit incl. base, anti-vibration mount and wiring</t>
  </si>
  <si>
    <t xml:space="preserve">AIR-CONDITIONAL SYSTEM|VRF / VRV system|Refnet joint|VRF refnet joint / header incl. insulation</t>
  </si>
  <si>
    <t xml:space="preserve">AIR-CONDITIONAL SYSTEM|Chilled water system|Chiller|Water cooled / air cooled chiller incl. base, connection and commissioning</t>
  </si>
  <si>
    <t xml:space="preserve">AIR-CONDITIONAL SYSTEM|Chilled water system|Air handling unit (AHU)|Air handling unit incl. filter, coil, fan, drain pan and control</t>
  </si>
  <si>
    <t xml:space="preserve">AIR-CONDITIONAL SYSTEM|Chilled water system|Fan coil unit (FCU)|Fan coil unit incl. filter, drain pan, valve and control</t>
  </si>
  <si>
    <t xml:space="preserve">AIR-CONDITIONAL SYSTEM|Chilled water system|Chilled water pump|Chilled water pump incl. base, coupling, valve and control</t>
  </si>
  <si>
    <t xml:space="preserve">AIR-CONDITIONAL SYSTEM|Chilled water system|Cooling tower|Cooling tower incl. base, make-up water and control</t>
  </si>
  <si>
    <t xml:space="preserve">AIR-CONDITIONAL SYSTEM|AC piping &amp; accessories|Refrigerant piping|Copper refrigerant piping incl. insulation, fitting and gas charging</t>
  </si>
  <si>
    <t xml:space="preserve">AIR-CONDITIONAL SYSTEM|AC piping &amp; accessories|Chilled water piping|Chilled water piping incl. valve, fitting, insulation and support</t>
  </si>
  <si>
    <t xml:space="preserve">AIR-CONDITIONAL SYSTEM|AC piping &amp; accessories|Condensate drain piping|Condensate drain piping uPVC incl. insulation, fitting and support</t>
  </si>
  <si>
    <t xml:space="preserve">AIR-CONDITIONAL SYSTEM|AC piping &amp; accessories|Pipe insulation|Closed cell / rockwool pipe insulation incl. vapour barrier and cladding</t>
  </si>
  <si>
    <t xml:space="preserve">AIR-CONDITIONAL SYSTEM|AC piping &amp; accessories|Thermostat / control|Room thermostat / wired controller incl. wiring</t>
  </si>
  <si>
    <t xml:space="preserve">MECHANICAL VENTILATION SYSTEM|Ventilation fan|Toilet exhaust fan|Toilet exhaust fan incl. bracket, damper and wiring</t>
  </si>
  <si>
    <t xml:space="preserve">MECHANICAL VENTILATION SYSTEM|Ventilation fan|Kitchen exhaust fan|Kitchen exhaust fan incl. bracket, damper and wiring</t>
  </si>
  <si>
    <t xml:space="preserve">MECHANICAL VENTILATION SYSTEM|Ventilation fan|Car park ventilation fan|Car park ventilation fan incl. support and wiring</t>
  </si>
  <si>
    <t xml:space="preserve">MECHANICAL VENTILATION SYSTEM|Ventilation fan|Fresh air fan|Fresh air supply fan incl. filter, damper and wiring</t>
  </si>
  <si>
    <t xml:space="preserve">MECHANICAL VENTILATION SYSTEM|Ventilation fan|Staircase pressurization fan|Staircase pressurization fan incl. relief damper and control</t>
  </si>
  <si>
    <t xml:space="preserve">MECHANICAL VENTILATION SYSTEM|Specialist ventilation|Kitchen hood|Stainless steel kitchen hood incl. grease filter and light</t>
  </si>
  <si>
    <t xml:space="preserve">MECHANICAL VENTILATION SYSTEM|Specialist ventilation|Smoke extraction fan|Smoke extraction fan, 250°C/2hr rated, incl. control</t>
  </si>
  <si>
    <t xml:space="preserve">MECHANICAL VENTILATION SYSTEM|Specialist ventilation|Laboratory fume hood|Laboratory fume hood incl. exhaust fan, duct and control</t>
  </si>
  <si>
    <t xml:space="preserve">MV DISTRIBUTION SYSTEM|Ductwork|GI ductwork|Galvanised iron ductwork incl. flange, gasket, support and sealing</t>
  </si>
  <si>
    <t xml:space="preserve">MV DISTRIBUTION SYSTEM|Ductwork|Flexible duct|Insulated flexible duct incl. clamp and connection</t>
  </si>
  <si>
    <t xml:space="preserve">MV DISTRIBUTION SYSTEM|Ductwork|Duct insulation|Duct thermal insulation incl. vapour barrier and finish</t>
  </si>
  <si>
    <t xml:space="preserve">MV DISTRIBUTION SYSTEM|Ductwork|Duct support|Duct hanger and support incl. anchor and rod</t>
  </si>
  <si>
    <t xml:space="preserve">MV DISTRIBUTION SYSTEM|Air terminal|Supply air diffuser|Supply air diffuser incl. plenum box and damper</t>
  </si>
  <si>
    <t xml:space="preserve">MV DISTRIBUTION SYSTEM|Air terminal|Return air grille|Return air grille incl. filter and frame</t>
  </si>
  <si>
    <t xml:space="preserve">MV DISTRIBUTION SYSTEM|Air terminal|Exhaust grille|Exhaust air grille incl. frame and damper</t>
  </si>
  <si>
    <t xml:space="preserve">MV DISTRIBUTION SYSTEM|Air terminal|Louver|Weather louver with bird screen incl. frame</t>
  </si>
  <si>
    <t xml:space="preserve">MV DISTRIBUTION SYSTEM|Damper &amp; control|Volume control damper|Volume control damper incl. actuator quadrant</t>
  </si>
  <si>
    <t xml:space="preserve">MV DISTRIBUTION SYSTEM|Damper &amp; control|Fire damper|Fire damper 2 hour rated incl. fusible link and access panel</t>
  </si>
  <si>
    <t xml:space="preserve">MV DISTRIBUTION SYSTEM|Damper &amp; control|Motorized damper|Motorized damper incl. actuator and wiring</t>
  </si>
  <si>
    <t xml:space="preserve">MV DISTRIBUTION SYSTEM|Damper &amp; control|Testing &amp; balancing|Air / water testing, adjusting and balancing incl. report</t>
  </si>
  <si>
    <t xml:space="preserve">ELECTRICAL SYSTEM|Main distribution|Main switchboard (MSB)|Main switchboard incl. ACB/MCCB, busbar, metering and testing</t>
  </si>
  <si>
    <t xml:space="preserve">ELECTRICAL SYSTEM|Main distribution|Sub-distribution board (DB)|Sub distribution board incl. MCB/RCBO, enclosure and labelling</t>
  </si>
  <si>
    <t xml:space="preserve">ELECTRICAL SYSTEM|Main distribution|Busduct / Busway|Busduct / busway incl. joint, support and tap-off unit</t>
  </si>
  <si>
    <t xml:space="preserve">ELECTRICAL SYSTEM|Main distribution|Transformer|Distribution transformer incl. base, connection and testing</t>
  </si>
  <si>
    <t xml:space="preserve">ELECTRICAL SYSTEM|Main distribution|Capacitor bank|Automatic power factor correction capacitor bank incl. controller</t>
  </si>
  <si>
    <t xml:space="preserve">ELECTRICAL SYSTEM|Main distribution|Metering panel|Metering panel incl. CT, meter and wiring</t>
  </si>
  <si>
    <t xml:space="preserve">ELECTRICAL SYSTEM|Cable &amp; containment|Power cable|XLPE/PVC power cable incl. termination, gland and lug</t>
  </si>
  <si>
    <t xml:space="preserve">ELECTRICAL SYSTEM|Cable &amp; containment|Control cable|Control cable incl. termination and gland</t>
  </si>
  <si>
    <t xml:space="preserve">ELECTRICAL SYSTEM|Cable &amp; containment|Cable tray|Hot dip galvanised cable tray incl. support, bend and accessories</t>
  </si>
  <si>
    <t xml:space="preserve">ELECTRICAL SYSTEM|Cable &amp; containment|Cable trunking|Metal cable trunking incl. cover, support and accessories</t>
  </si>
  <si>
    <t xml:space="preserve">ELECTRICAL SYSTEM|Cable &amp; containment|Conduit|uPVC / GI conduit incl. bend, coupling, box and support</t>
  </si>
  <si>
    <t xml:space="preserve">ELECTRICAL SYSTEM|Cable &amp; containment|Cable ladder|Cable ladder incl. support, bend and accessories</t>
  </si>
  <si>
    <t xml:space="preserve">ELECTRICAL SYSTEM|Power &amp; wiring accessories|Socket outlet|13A switched socket outlet point incl. wiring, conduit and accessories</t>
  </si>
  <si>
    <t xml:space="preserve">ELECTRICAL SYSTEM|Power &amp; wiring accessories|Switch|Lighting switch point incl. wiring, conduit and accessories</t>
  </si>
  <si>
    <t xml:space="preserve">ELECTRICAL SYSTEM|Power &amp; wiring accessories|Isolator|Weatherproof isolator incl. wiring and fixing</t>
  </si>
  <si>
    <t xml:space="preserve">ELECTRICAL SYSTEM|Power &amp; wiring accessories|Wiring point|Wiring point incl. cable, conduit and termination</t>
  </si>
  <si>
    <t xml:space="preserve">ELECTRICAL SYSTEM|Lighting|Interior luminaire|LED interior luminaire incl. lamp, driver, wiring and fixing</t>
  </si>
  <si>
    <t xml:space="preserve">ELECTRICAL SYSTEM|Lighting|Exterior luminaire|LED exterior / flood luminaire IP65 incl. pole/bracket and wiring</t>
  </si>
  <si>
    <t xml:space="preserve">ELECTRICAL SYSTEM|Lighting|Emergency light|LED emergency light with 3 hour battery backup incl. testing</t>
  </si>
  <si>
    <t xml:space="preserve">ELECTRICAL SYSTEM|Lighting|Exit sign|LED exit sign with battery backup incl. fixing and testing</t>
  </si>
  <si>
    <t xml:space="preserve">ELECTRICAL SYSTEM|Lighting|Lighting control / sensor|Occupancy / daylight sensor incl. wiring and commissioning</t>
  </si>
  <si>
    <t xml:space="preserve">ELECTRICAL SYSTEM|Earthing &amp; lightning protection|Earthing system|Earthing system incl. conductor, bonding and testing</t>
  </si>
  <si>
    <t xml:space="preserve">ELECTRICAL SYSTEM|Earthing &amp; lightning protection|Earth rod &amp; pit|Copper earth rod with inspection pit incl. clamp and testing</t>
  </si>
  <si>
    <t xml:space="preserve">ELECTRICAL SYSTEM|Earthing &amp; lightning protection|Lightning air terminal|Lightning air terminal incl. base, mast and connection</t>
  </si>
  <si>
    <t xml:space="preserve">ELECTRICAL SYSTEM|Earthing &amp; lightning protection|Down conductor|Lightning down conductor incl. clamp, tape and test joint</t>
  </si>
  <si>
    <t xml:space="preserve">ELECTRICAL SYSTEM|Standby power|Generator set|Diesel generator set incl. canopy, base, exhaust and commissioning</t>
  </si>
  <si>
    <t xml:space="preserve">ELECTRICAL SYSTEM|Standby power|Automatic transfer switch (ATS)|Automatic transfer switch incl. controller and wiring</t>
  </si>
  <si>
    <t xml:space="preserve">ELECTRICAL SYSTEM|Standby power|UPS|Uninterruptible power supply incl. battery, cabinet and commissioning</t>
  </si>
  <si>
    <t xml:space="preserve">ELECTRICAL SYSTEM|Standby power|Fuel tank &amp; piping|Diesel fuel tank incl. piping, valve, level gauge and bund</t>
  </si>
  <si>
    <t xml:space="preserve">ELV INSTALLATION|Fire alarm system|Fire alarm control panel|Addressable fire alarm control panel incl. battery and programming</t>
  </si>
  <si>
    <t xml:space="preserve">ELV INSTALLATION|Fire alarm system|Smoke / heat detector|Addressable smoke / heat detector incl. base and wiring</t>
  </si>
  <si>
    <t xml:space="preserve">ELV INSTALLATION|Fire alarm system|Manual call point|Manual call point incl. back box and wiring</t>
  </si>
  <si>
    <t xml:space="preserve">ELV INSTALLATION|Fire alarm system|Alarm bell / sounder|Alarm bell / sounder incl. wiring and testing</t>
  </si>
  <si>
    <t xml:space="preserve">ELV INSTALLATION|Security system|CCTV camera|IP CCTV camera incl. bracket, cabling and configuration</t>
  </si>
  <si>
    <t xml:space="preserve">ELV INSTALLATION|Security system|NVR / recorder|Network video recorder incl. hard disk, rack and configuration</t>
  </si>
  <si>
    <t xml:space="preserve">ELV INSTALLATION|Security system|Access control door|Door access control set incl. reader, EM lock, button and controller</t>
  </si>
  <si>
    <t xml:space="preserve">ELV INSTALLATION|Security system|Intercom|Audio / video intercom incl. wiring and commissioning</t>
  </si>
  <si>
    <t xml:space="preserve">ELV INSTALLATION|Communication system|Structured cabling outlet|Cat6 data outlet incl. cable, patch panel termination and testing</t>
  </si>
  <si>
    <t xml:space="preserve">ELV INSTALLATION|Communication system|Network switch / rack|Network switch and 19" rack incl. patch panel, PDU and accessories</t>
  </si>
  <si>
    <t xml:space="preserve">ELV INSTALLATION|Communication system|Telephone system|Telephone system incl. exchange, handset and cabling</t>
  </si>
  <si>
    <t xml:space="preserve">ELV INSTALLATION|Communication system|MATV / TV outlet|MATV / TV outlet incl. coaxial cable, splitter and termination</t>
  </si>
  <si>
    <t xml:space="preserve">ELV INSTALLATION|Communication system|WiFi access point|Wireless access point incl. PoE cabling and configuration</t>
  </si>
  <si>
    <t xml:space="preserve">ELV INSTALLATION|Audio visual &amp; school system|Public address (PA) system|Public address system incl. amplifier, mixer, microphone and zoning</t>
  </si>
  <si>
    <t xml:space="preserve">ELV INSTALLATION|Audio visual &amp; school system|Speaker|Ceiling / wall speaker incl. cabling and termination</t>
  </si>
  <si>
    <t xml:space="preserve">ELV INSTALLATION|Audio visual &amp; school system|Bell / clock system|School bell and master clock system incl. programming</t>
  </si>
  <si>
    <t xml:space="preserve">ELV INSTALLATION|Audio visual &amp; school system|Projector &amp; screen|Projector with motorized screen incl. mount, cabling and commissioning</t>
  </si>
  <si>
    <t xml:space="preserve">ELV INSTALLATION|Audio visual &amp; school system|Classroom AV system|Classroom audio visual system incl. panel, speaker and cabling</t>
  </si>
  <si>
    <t xml:space="preserve">ELV INSTALLATION|Building management|BMS control panel|Building management system panel incl. controller and graphics</t>
  </si>
  <si>
    <t xml:space="preserve">ELV INSTALLATION|Building management|Field device &amp; sensor|BMS field device / sensor incl. wiring and calibration</t>
  </si>
  <si>
    <t xml:space="preserve">PLUMBING SYSTEM|Water supply|Cold water piping|PPR / uPVC cold water piping incl. fitting, valve, support and testing</t>
  </si>
  <si>
    <t xml:space="preserve">PLUMBING SYSTEM|Water supply|Hot water piping|PPR hot water piping incl. insulation, fitting and testing</t>
  </si>
  <si>
    <t xml:space="preserve">PLUMBING SYSTEM|Water supply|Pipe insulation|Closed cell / rockwool pipe insulation incl. vapour barrier and cladding</t>
  </si>
  <si>
    <t xml:space="preserve">PLUMBING SYSTEM|Water supply|Valve &amp; fitting|Gate / check / ball valve incl. flange, gasket and bolt</t>
  </si>
  <si>
    <t xml:space="preserve">PLUMBING SYSTEM|Water supply|Water meter|Water meter incl. strainer, valve and connection</t>
  </si>
  <si>
    <t xml:space="preserve">PLUMBING SYSTEM|Water storage &amp; pump|Water tank|Water storage tank incl. base, level control, pipework and cleaning</t>
  </si>
  <si>
    <t xml:space="preserve">PLUMBING SYSTEM|Water storage &amp; pump|Transfer pump|Water transfer pump set incl. base, valve, control panel and wiring</t>
  </si>
  <si>
    <t xml:space="preserve">PLUMBING SYSTEM|Water storage &amp; pump|Booster pump|Booster pump set with pressure vessel incl. control panel</t>
  </si>
  <si>
    <t xml:space="preserve">PLUMBING SYSTEM|Water storage &amp; pump|Water heater|Electric water heater incl. safety valve, bracket and wiring</t>
  </si>
  <si>
    <t xml:space="preserve">PLUMBING SYSTEM|Water storage &amp; pump|Level control|Water level control system incl. electrode, relay and wiring</t>
  </si>
  <si>
    <t xml:space="preserve">PLUMBING SYSTEM|Drainage|Soil pipe|uPVC soil pipe incl. fitting, support, jointing and testing</t>
  </si>
  <si>
    <t xml:space="preserve">PLUMBING SYSTEM|Drainage|Waste pipe|uPVC waste pipe incl. fitting, trap, support and testing</t>
  </si>
  <si>
    <t xml:space="preserve">PLUMBING SYSTEM|Drainage|Vent pipe|uPVC vent pipe incl. fitting, cowl and support</t>
  </si>
  <si>
    <t xml:space="preserve">PLUMBING SYSTEM|Drainage|Rainwater downpipe|uPVC rainwater downpipe incl. fitting, bracket and shoe</t>
  </si>
  <si>
    <t xml:space="preserve">PLUMBING SYSTEM|Drainage|Manhole / inspection chamber|Manhole / inspection chamber incl. excavation, concrete, benching and cover</t>
  </si>
  <si>
    <t xml:space="preserve">PLUMBING SYSTEM|Drainage|Grease trap|Grease trap incl. excavation, installation, cover and connection</t>
  </si>
  <si>
    <t xml:space="preserve">PLUMBING SYSTEM|Sewage treatment|Septic tank (precast)|Precast septic tank incl. excavation, bedding, connection and backfill</t>
  </si>
  <si>
    <t xml:space="preserve">PLUMBING SYSTEM|Sewage treatment|Sewage treatment plant (STP)|Package sewage treatment plant incl. blower, control and commissioning</t>
  </si>
  <si>
    <t xml:space="preserve">PLUMBING SYSTEM|Sewage treatment|Sewer connection|Connection to public sewer incl. excavation, pipe, chamber and reinstatement</t>
  </si>
  <si>
    <t xml:space="preserve">FIRE FIGHTING SYSTEM|Hydrant &amp; hose reel|Fire hydrant|Fire hydrant / landing valve incl. cabinet, hose and accessories</t>
  </si>
  <si>
    <t xml:space="preserve">FIRE FIGHTING SYSTEM|Hydrant &amp; hose reel|Hose reel|Fire hose reel 30m incl. cabinet, nozzle and valve</t>
  </si>
  <si>
    <t xml:space="preserve">FIRE FIGHTING SYSTEM|Hydrant &amp; hose reel|Landing valve|Landing valve incl. cabinet and blank cap</t>
  </si>
  <si>
    <t xml:space="preserve">FIRE FIGHTING SYSTEM|Hydrant &amp; hose reel|Fire riser piping|Fire riser piping, galvanised steel, incl. fitting, support and testing</t>
  </si>
  <si>
    <t xml:space="preserve">FIRE FIGHTING SYSTEM|Sprinkler system|Sprinkler head|Pendent / upright sprinkler head incl. escutcheon and testing</t>
  </si>
  <si>
    <t xml:space="preserve">FIRE FIGHTING SYSTEM|Sprinkler system|Sprinkler piping|Sprinkler piping incl. fitting, hanger, support and hydrostatic testing</t>
  </si>
  <si>
    <t xml:space="preserve">FIRE FIGHTING SYSTEM|Sprinkler system|Alarm valve set|Sprinkler alarm valve set incl. gauge, drain and trim</t>
  </si>
  <si>
    <t xml:space="preserve">FIRE FIGHTING SYSTEM|Sprinkler system|Flow switch|Flow switch / tamper switch incl. wiring to fire alarm panel</t>
  </si>
  <si>
    <t xml:space="preserve">FIRE FIGHTING SYSTEM|Fire pump &amp; tank|Fire pump set|Fire pump set (electric + diesel + jockey) incl. controller and commissioning</t>
  </si>
  <si>
    <t xml:space="preserve">FIRE FIGHTING SYSTEM|Fire pump &amp; tank|Jockey pump|Jockey pump incl. pressure switch and control</t>
  </si>
  <si>
    <t xml:space="preserve">FIRE FIGHTING SYSTEM|Fire pump &amp; tank|Fire water tank|Fire water storage tank incl. base, level control and connection</t>
  </si>
  <si>
    <t xml:space="preserve">FIRE FIGHTING SYSTEM|Portable &amp; special suppression|Fire extinguisher|Portable fire extinguisher incl. bracket, sign and servicing</t>
  </si>
  <si>
    <t xml:space="preserve">FIRE FIGHTING SYSTEM|Portable &amp; special suppression|Fire blanket|Fire blanket incl. cabinet and fixing</t>
  </si>
  <si>
    <t xml:space="preserve">FIRE FIGHTING SYSTEM|Portable &amp; special suppression|FM200 / CO2 system|FM200 / CO2 clean agent suppression system incl. cylinder, nozzle and panel</t>
  </si>
  <si>
    <t xml:space="preserve">FIRE FIGHTING SYSTEM|Portable &amp; special suppression|Kitchen suppression system|Kitchen hood wet chemical suppression system incl. nozzle and control</t>
  </si>
  <si>
    <t xml:space="preserve">Specialist Installations|Renewable &amp; specialist|Solar PV system|Solar PV system incl. panel, inverter, mounting, cabling and commissioning</t>
  </si>
  <si>
    <t xml:space="preserve">Specialist Installations|Renewable &amp; specialist|Water treatment plant|Water treatment plant incl. filter, dosing, control and commissioning</t>
  </si>
  <si>
    <t xml:space="preserve">Specialist Installations|Renewable &amp; specialist|Swimming pool system|Swimming pool filtration system incl. pump, filter, dosing and control</t>
  </si>
  <si>
    <t xml:space="preserve">Specialist Installations|Renewable &amp; specialist|Kitchen equipment|Commercial kitchen equipment incl. connection and commissioning</t>
  </si>
  <si>
    <t xml:space="preserve">VERTICAL TRANSPORTATION SYSTEM|Lift|Passenger lift|Passenger lift, 1000kg / 13 person, incl. car, door, control and commissioning</t>
  </si>
  <si>
    <t xml:space="preserve">VERTICAL TRANSPORTATION SYSTEM|Lift|Service / goods lift|Service / goods lift incl. car, door, control and commissioning</t>
  </si>
  <si>
    <t xml:space="preserve">VERTICAL TRANSPORTATION SYSTEM|Lift|Firefighting lift|Firefighting lift incl. fireman switch, control and commissioning</t>
  </si>
  <si>
    <t xml:space="preserve">VERTICAL TRANSPORTATION SYSTEM|Lift|Platform / accessibility lift|Platform / accessibility lift incl. control and commissioning</t>
  </si>
  <si>
    <t xml:space="preserve">VERTICAL TRANSPORTATION SYSTEM|Escalator|Escalator|Escalator incl. truss, balustrade, control and commissioning</t>
  </si>
  <si>
    <t xml:space="preserve">VERTICAL TRANSPORTATION SYSTEM|Lift shaft equipment|Lift shaft ladder|Lift pit access ladder incl. fixing</t>
  </si>
  <si>
    <t xml:space="preserve">VERTICAL TRANSPORTATION SYSTEM|Lift shaft equipment|Shaft lighting &amp; socket|Lift shaft lighting and socket incl. wiring and switch</t>
  </si>
  <si>
    <t xml:space="preserve">VERTICAL TRANSPORTATION SYSTEM|Lift shaft equipment|Machine room equipment|Lift machine room equipment incl. ventilation, lighting and hoisting beam</t>
  </si>
  <si>
    <t xml:space="preserve">Services|Testing &amp; Commissioning|Testing &amp; commissioning|Testing, adjusting and commissioning of complete installation incl. report</t>
  </si>
  <si>
    <t xml:space="preserve">Services|Testing &amp; Commissioning|As-built drawing|As-built drawings incl. printing and soft copy submission</t>
  </si>
  <si>
    <t xml:space="preserve">Services|Testing &amp; Commissioning|O&amp;M manual|Operation and maintenance manual incl. warranty documents</t>
  </si>
  <si>
    <t xml:space="preserve">Services|Testing &amp; Commissioning|Training|Training of client operating personnel</t>
  </si>
  <si>
    <t xml:space="preserve">Services|Testing &amp; Commissioning|Spare parts|Recommended spare parts as per specification</t>
  </si>
  <si>
    <t xml:space="preserve">External Work|Site preparation|Site clearing|Site clearing; supply and lay complete incl. base preparation and jointing.</t>
  </si>
  <si>
    <t xml:space="preserve">External Work|Site preparation|Cut &amp; fill|Cut and fill to formation level incl. compaction</t>
  </si>
  <si>
    <t xml:space="preserve">External Work|Site preparation|Compaction|Compaction of formation to 95% MDD incl. watering and testing</t>
  </si>
  <si>
    <t xml:space="preserve">External Work|Roads, path, paving|Concrete paving|Reinforced concrete paving 150mm thk. incl. base, mesh and joint</t>
  </si>
  <si>
    <t xml:space="preserve">External Work|Roads, path, paving|Asphalt paving|Asphalt concrete wearing course 50mm thk. incl. prime coat and base</t>
  </si>
  <si>
    <t xml:space="preserve">External Work|Roads, path, paving|Interlocking paver|Interlocking concrete paver 60mm thk. incl. sand bedding and jointing</t>
  </si>
  <si>
    <t xml:space="preserve">External Work|Roads, path, paving|Kerb|Precast concrete kerb incl. bedding, haunching and jointing</t>
  </si>
  <si>
    <t xml:space="preserve">External Work|Roads, path, paving|Road marking|Thermoplastic road marking incl. surface preparation</t>
  </si>
  <si>
    <t xml:space="preserve">External Work|Roads, path, paving|Car park|Car park surfacing incl. marking, wheel stop and signage</t>
  </si>
  <si>
    <t xml:space="preserve">External Work|Landscape|Top soil|Approved top soil spread and levelled</t>
  </si>
  <si>
    <t xml:space="preserve">External Work|Landscape|Turfing|Turfing incl. top soil, fertiliser and watering to establishment</t>
  </si>
  <si>
    <t xml:space="preserve">External Work|Landscape|Tree &amp; shrub|Supply and plant tree / shrub incl. pit, soil mix, stake and maintenance</t>
  </si>
  <si>
    <t xml:space="preserve">External Work|Landscape|Planter|Planter box incl. waterproofing, drainage layer and soil</t>
  </si>
  <si>
    <t xml:space="preserve">External Work|Landscape|Irrigation system|Landscape irrigation system incl. piping, sprinkler, valve and controller</t>
  </si>
  <si>
    <t xml:space="preserve">External Work|Fence, railing &amp; wall|Boundary fence|Boundary fence incl. post, mesh/panel, foundation and painting</t>
  </si>
  <si>
    <t xml:space="preserve">External Work|Fence, railing &amp; wall|Main gate|Main entrance gate incl. frame, leaf, hardware, motor and painting</t>
  </si>
  <si>
    <t xml:space="preserve">External Work|Fence, railing &amp; wall|Guard rail|Steel guard rail incl. fabrication, painting and fixing</t>
  </si>
  <si>
    <t xml:space="preserve">External Work|Fence, railing &amp; wall|Boundary wall|Boundary wall incl. foundation, blockwork, plaster and paint</t>
  </si>
  <si>
    <t xml:space="preserve">External Work|External fixture|Flag pole|Flag pole incl. foundation, halyard and finishing</t>
  </si>
  <si>
    <t xml:space="preserve">External Work|External fixture|Bollard|Bollard incl. foundation and finishing</t>
  </si>
  <si>
    <t xml:space="preserve">External Work|External fixture|Bicycle rack|Bicycle rack incl. fixing to slab</t>
  </si>
  <si>
    <t xml:space="preserve">External Work|External fixture|Covered walkway|Covered walkway incl. steel structure, roofing and finishes</t>
  </si>
  <si>
    <t xml:space="preserve">External Work|External fixture|Guard house|Guard house incl. structure, finishes and services</t>
  </si>
  <si>
    <t xml:space="preserve">External Work|External fixture|Playground / sport court|Playground / sport court incl. surfacing, marking and equipment</t>
  </si>
  <si>
    <t xml:space="preserve">tile size (300x300)mm</t>
  </si>
  <si>
    <t xml:space="preserve">Interior Floor Finishes|Toilet Floor tile|Toilet Floor tile|tile size (300x300)mm</t>
  </si>
  <si>
    <t xml:space="preserve">tile size (300x600)mm</t>
  </si>
  <si>
    <t xml:space="preserve">Interior Wall Finishes|Toilet Wall tile|Toilet Wall tile|tile size (300x600)mm</t>
  </si>
  <si>
    <t xml:space="preserve">BoQ TAKE-OFF ENTRY TEMPLATE — 4-level dependent drop-downs</t>
  </si>
  <si>
    <t xml:space="preserve">Pick in order: Section → Sub Section → Sub Element → Description. Budget Code, Unit and existing Rate fill in automatically.</t>
  </si>
  <si>
    <t xml:space="preserve">Description (Material Type)</t>
  </si>
  <si>
    <t xml:space="preserve">Quantity</t>
  </si>
  <si>
    <t xml:space="preserve">Amount ($)</t>
  </si>
  <si>
    <t xml:space="preserve">h1</t>
  </si>
  <si>
    <t xml:space="preserve">h2</t>
  </si>
  <si>
    <t xml:space="preserve">h3</t>
  </si>
  <si>
    <t xml:space="preserve">VALIDATION SOURCE LISTS — do not delete (drives the drop-downs on Entry Template)</t>
  </si>
  <si>
    <t xml:space="preserve">Referenced by defined names. To extend: add to Element Library / Description Library, then add here.</t>
  </si>
  <si>
    <t xml:space="preserve">Range</t>
  </si>
  <si>
    <t xml:space="preserve">Section|SubSection</t>
  </si>
  <si>
    <t xml:space="preserve">Section|SubSection|SubElement</t>
  </si>
  <si>
    <t xml:space="preserve">SEC001</t>
  </si>
  <si>
    <t xml:space="preserve">SEC002</t>
  </si>
  <si>
    <t xml:space="preserve">SEC003</t>
  </si>
  <si>
    <t xml:space="preserve">SEC004</t>
  </si>
  <si>
    <t xml:space="preserve">SEC005</t>
  </si>
  <si>
    <t xml:space="preserve">SEC006</t>
  </si>
  <si>
    <t xml:space="preserve">SEC007</t>
  </si>
  <si>
    <t xml:space="preserve">SEC008</t>
  </si>
  <si>
    <t xml:space="preserve">SEC009</t>
  </si>
  <si>
    <t xml:space="preserve">SEC010</t>
  </si>
  <si>
    <t xml:space="preserve">SEC011</t>
  </si>
  <si>
    <t xml:space="preserve">SEC012</t>
  </si>
  <si>
    <t xml:space="preserve">SEC013</t>
  </si>
  <si>
    <t xml:space="preserve">SEC014</t>
  </si>
  <si>
    <t xml:space="preserve">SEC015</t>
  </si>
  <si>
    <t xml:space="preserve">SEC016</t>
  </si>
  <si>
    <t xml:space="preserve">SEC017</t>
  </si>
  <si>
    <t xml:space="preserve">SEC018</t>
  </si>
  <si>
    <t xml:space="preserve">SEC019</t>
  </si>
  <si>
    <t xml:space="preserve">SEC020</t>
  </si>
  <si>
    <t xml:space="preserve">SEC021</t>
  </si>
  <si>
    <t xml:space="preserve">SEC022</t>
  </si>
  <si>
    <t xml:space="preserve">SEC023</t>
  </si>
  <si>
    <t xml:space="preserve">SEC024</t>
  </si>
  <si>
    <t xml:space="preserve">SEC025</t>
  </si>
  <si>
    <t xml:space="preserve">SEC026</t>
  </si>
  <si>
    <t xml:space="preserve">SEC027</t>
  </si>
  <si>
    <t xml:space="preserve">SEC028</t>
  </si>
  <si>
    <t xml:space="preserve">SEC029</t>
  </si>
  <si>
    <t xml:space="preserve">SUB001</t>
  </si>
  <si>
    <t xml:space="preserve">SUB002</t>
  </si>
  <si>
    <t xml:space="preserve">SUB003</t>
  </si>
  <si>
    <t xml:space="preserve">SUB004</t>
  </si>
  <si>
    <t xml:space="preserve">SUB005</t>
  </si>
  <si>
    <t xml:space="preserve">SUB006</t>
  </si>
  <si>
    <t xml:space="preserve">SUB007</t>
  </si>
  <si>
    <t xml:space="preserve">SUB008</t>
  </si>
  <si>
    <t xml:space="preserve">SUB009</t>
  </si>
  <si>
    <t xml:space="preserve">SUB010</t>
  </si>
  <si>
    <t xml:space="preserve">SUB011</t>
  </si>
  <si>
    <t xml:space="preserve">SUB012</t>
  </si>
  <si>
    <t xml:space="preserve">SUB013</t>
  </si>
  <si>
    <t xml:space="preserve">SUB014</t>
  </si>
  <si>
    <t xml:space="preserve">SUB015</t>
  </si>
  <si>
    <t xml:space="preserve">SUB016</t>
  </si>
  <si>
    <t xml:space="preserve">SUB017</t>
  </si>
  <si>
    <t xml:space="preserve">SUB018</t>
  </si>
  <si>
    <t xml:space="preserve">SUB019</t>
  </si>
  <si>
    <t xml:space="preserve">SUB020</t>
  </si>
  <si>
    <t xml:space="preserve">SUB021</t>
  </si>
  <si>
    <t xml:space="preserve">SUB022</t>
  </si>
  <si>
    <t xml:space="preserve">SUB023</t>
  </si>
  <si>
    <t xml:space="preserve">SUB024</t>
  </si>
  <si>
    <t xml:space="preserve">SUB025</t>
  </si>
  <si>
    <t xml:space="preserve">SUB026</t>
  </si>
  <si>
    <t xml:space="preserve">SUB027</t>
  </si>
  <si>
    <t xml:space="preserve">SUB028</t>
  </si>
  <si>
    <t xml:space="preserve">SUB029</t>
  </si>
  <si>
    <t xml:space="preserve">SUB030</t>
  </si>
  <si>
    <t xml:space="preserve">SUB031</t>
  </si>
  <si>
    <t xml:space="preserve">SUB032</t>
  </si>
  <si>
    <t xml:space="preserve">SUB033</t>
  </si>
  <si>
    <t xml:space="preserve">SUB034</t>
  </si>
  <si>
    <t xml:space="preserve">SUB035</t>
  </si>
  <si>
    <t xml:space="preserve">SUB036</t>
  </si>
  <si>
    <t xml:space="preserve">SUB037</t>
  </si>
  <si>
    <t xml:space="preserve">SUB038</t>
  </si>
  <si>
    <t xml:space="preserve">SUB039</t>
  </si>
  <si>
    <t xml:space="preserve">SUB040</t>
  </si>
  <si>
    <t xml:space="preserve">SUB041</t>
  </si>
  <si>
    <t xml:space="preserve">SUB042</t>
  </si>
  <si>
    <t xml:space="preserve">SUB043</t>
  </si>
  <si>
    <t xml:space="preserve">SUB044</t>
  </si>
  <si>
    <t xml:space="preserve">SUB045</t>
  </si>
  <si>
    <t xml:space="preserve">SUB046</t>
  </si>
  <si>
    <t xml:space="preserve">SUB047</t>
  </si>
  <si>
    <t xml:space="preserve">SUB048</t>
  </si>
  <si>
    <t xml:space="preserve">SUB049</t>
  </si>
  <si>
    <t xml:space="preserve">SUB050</t>
  </si>
  <si>
    <t xml:space="preserve">SUB051</t>
  </si>
  <si>
    <t xml:space="preserve">SUB052</t>
  </si>
  <si>
    <t xml:space="preserve">SUB053</t>
  </si>
  <si>
    <t xml:space="preserve">SUB054</t>
  </si>
  <si>
    <t xml:space="preserve">SUB055</t>
  </si>
  <si>
    <t xml:space="preserve">SUB056</t>
  </si>
  <si>
    <t xml:space="preserve">SUB057</t>
  </si>
  <si>
    <t xml:space="preserve">SUB058</t>
  </si>
  <si>
    <t xml:space="preserve">SUB059</t>
  </si>
  <si>
    <t xml:space="preserve">SUB060</t>
  </si>
  <si>
    <t xml:space="preserve">SUB061</t>
  </si>
  <si>
    <t xml:space="preserve">SUB062</t>
  </si>
  <si>
    <t xml:space="preserve">SUB063</t>
  </si>
  <si>
    <t xml:space="preserve">SUB064</t>
  </si>
  <si>
    <t xml:space="preserve">SUB065</t>
  </si>
  <si>
    <t xml:space="preserve">SUB066</t>
  </si>
  <si>
    <t xml:space="preserve">SUB067</t>
  </si>
  <si>
    <t xml:space="preserve">SUB068</t>
  </si>
  <si>
    <t xml:space="preserve">SUB069</t>
  </si>
  <si>
    <t xml:space="preserve">SUB070</t>
  </si>
  <si>
    <t xml:space="preserve">SUB071</t>
  </si>
  <si>
    <t xml:space="preserve">SUB072</t>
  </si>
  <si>
    <t xml:space="preserve">SUB073</t>
  </si>
  <si>
    <t xml:space="preserve">SUB074</t>
  </si>
  <si>
    <t xml:space="preserve">SUB075</t>
  </si>
  <si>
    <t xml:space="preserve">SUB076</t>
  </si>
  <si>
    <t xml:space="preserve">SUB077</t>
  </si>
  <si>
    <t xml:space="preserve">SUB078</t>
  </si>
  <si>
    <t xml:space="preserve">SUB079</t>
  </si>
  <si>
    <t xml:space="preserve">SUB080</t>
  </si>
  <si>
    <t xml:space="preserve">SUB081</t>
  </si>
  <si>
    <t xml:space="preserve">SUB082</t>
  </si>
  <si>
    <t xml:space="preserve">SUB083</t>
  </si>
  <si>
    <t xml:space="preserve">SUB084</t>
  </si>
  <si>
    <t xml:space="preserve">SUB085</t>
  </si>
  <si>
    <t xml:space="preserve">SUB086</t>
  </si>
  <si>
    <t xml:space="preserve">SUB087</t>
  </si>
  <si>
    <t xml:space="preserve">SUB088</t>
  </si>
  <si>
    <t xml:space="preserve">SUB089</t>
  </si>
  <si>
    <t xml:space="preserve">SUB090</t>
  </si>
  <si>
    <t xml:space="preserve">SUB091</t>
  </si>
  <si>
    <t xml:space="preserve">SUB092</t>
  </si>
  <si>
    <t xml:space="preserve">SUB093</t>
  </si>
  <si>
    <t xml:space="preserve">SUB094</t>
  </si>
  <si>
    <t xml:space="preserve">SUB095</t>
  </si>
  <si>
    <t xml:space="preserve">SUB096</t>
  </si>
  <si>
    <t xml:space="preserve">SUB097</t>
  </si>
  <si>
    <t xml:space="preserve">SUB098</t>
  </si>
  <si>
    <t xml:space="preserve">SUB099</t>
  </si>
  <si>
    <t xml:space="preserve">SUB100</t>
  </si>
  <si>
    <t xml:space="preserve">SUB101</t>
  </si>
  <si>
    <t xml:space="preserve">SUB102</t>
  </si>
  <si>
    <t xml:space="preserve">SUB103</t>
  </si>
  <si>
    <t xml:space="preserve">SUB104</t>
  </si>
  <si>
    <t xml:space="preserve">SUB105</t>
  </si>
  <si>
    <t xml:space="preserve">SUB106</t>
  </si>
  <si>
    <t xml:space="preserve">SUB107</t>
  </si>
  <si>
    <t xml:space="preserve">SUB108</t>
  </si>
  <si>
    <t xml:space="preserve">SUB109</t>
  </si>
  <si>
    <t xml:space="preserve">SUB110</t>
  </si>
  <si>
    <t xml:space="preserve">SUB111</t>
  </si>
  <si>
    <t xml:space="preserve">SUB112</t>
  </si>
  <si>
    <t xml:space="preserve">SUB113</t>
  </si>
  <si>
    <t xml:space="preserve">SUB114</t>
  </si>
  <si>
    <t xml:space="preserve">SUB115</t>
  </si>
  <si>
    <t xml:space="preserve">SUB116</t>
  </si>
  <si>
    <t xml:space="preserve">SUB117</t>
  </si>
  <si>
    <t xml:space="preserve">SUB118</t>
  </si>
  <si>
    <t xml:space="preserve">SUB119</t>
  </si>
  <si>
    <t xml:space="preserve">SUB120</t>
  </si>
  <si>
    <t xml:space="preserve">SUB121</t>
  </si>
  <si>
    <t xml:space="preserve">SUB122</t>
  </si>
  <si>
    <t xml:space="preserve">SUB123</t>
  </si>
  <si>
    <t xml:space="preserve">SUB124</t>
  </si>
  <si>
    <t xml:space="preserve">DSC001</t>
  </si>
  <si>
    <t xml:space="preserve">DSC002</t>
  </si>
  <si>
    <t xml:space="preserve">DSC003</t>
  </si>
  <si>
    <t xml:space="preserve">DSC004</t>
  </si>
  <si>
    <t xml:space="preserve">DSC005</t>
  </si>
  <si>
    <t xml:space="preserve">DSC006</t>
  </si>
  <si>
    <t xml:space="preserve">DSC007</t>
  </si>
  <si>
    <t xml:space="preserve">DSC008</t>
  </si>
  <si>
    <t xml:space="preserve">DSC009</t>
  </si>
  <si>
    <t xml:space="preserve">DSC010</t>
  </si>
  <si>
    <t xml:space="preserve">DSC011</t>
  </si>
  <si>
    <t xml:space="preserve">DSC012</t>
  </si>
  <si>
    <t xml:space="preserve">DSC013</t>
  </si>
  <si>
    <t xml:space="preserve">DSC014</t>
  </si>
  <si>
    <t xml:space="preserve">DSC015</t>
  </si>
  <si>
    <t xml:space="preserve">DSC016</t>
  </si>
  <si>
    <t xml:space="preserve">DSC017</t>
  </si>
  <si>
    <t xml:space="preserve">DSC018</t>
  </si>
  <si>
    <t xml:space="preserve">DSC019</t>
  </si>
  <si>
    <t xml:space="preserve">DSC020</t>
  </si>
  <si>
    <t xml:space="preserve">DSC021</t>
  </si>
  <si>
    <t xml:space="preserve">DSC022</t>
  </si>
  <si>
    <t xml:space="preserve">DSC023</t>
  </si>
  <si>
    <t xml:space="preserve">DSC024</t>
  </si>
  <si>
    <t xml:space="preserve">DSC025</t>
  </si>
  <si>
    <t xml:space="preserve">DSC026</t>
  </si>
  <si>
    <t xml:space="preserve">DSC027</t>
  </si>
  <si>
    <t xml:space="preserve">DSC028</t>
  </si>
  <si>
    <t xml:space="preserve">DSC029</t>
  </si>
  <si>
    <t xml:space="preserve">DSC030</t>
  </si>
  <si>
    <t xml:space="preserve">DSC031</t>
  </si>
  <si>
    <t xml:space="preserve">DSC032</t>
  </si>
  <si>
    <t xml:space="preserve">DSC033</t>
  </si>
  <si>
    <t xml:space="preserve">DSC034</t>
  </si>
  <si>
    <t xml:space="preserve">DSC035</t>
  </si>
  <si>
    <t xml:space="preserve">DSC036</t>
  </si>
  <si>
    <t xml:space="preserve">DSC037</t>
  </si>
  <si>
    <t xml:space="preserve">DSC038</t>
  </si>
  <si>
    <t xml:space="preserve">DSC039</t>
  </si>
  <si>
    <t xml:space="preserve">DSC040</t>
  </si>
  <si>
    <t xml:space="preserve">DSC041</t>
  </si>
  <si>
    <t xml:space="preserve">DSC042</t>
  </si>
  <si>
    <t xml:space="preserve">DSC043</t>
  </si>
  <si>
    <t xml:space="preserve">DSC044</t>
  </si>
  <si>
    <t xml:space="preserve">DSC045</t>
  </si>
  <si>
    <t xml:space="preserve">DSC046</t>
  </si>
  <si>
    <t xml:space="preserve">DSC047</t>
  </si>
  <si>
    <t xml:space="preserve">DSC048</t>
  </si>
  <si>
    <t xml:space="preserve">DSC049</t>
  </si>
  <si>
    <t xml:space="preserve">DSC050</t>
  </si>
  <si>
    <t xml:space="preserve">DSC051</t>
  </si>
  <si>
    <t xml:space="preserve">DSC052</t>
  </si>
  <si>
    <t xml:space="preserve">DSC053</t>
  </si>
  <si>
    <t xml:space="preserve">DSC054</t>
  </si>
  <si>
    <t xml:space="preserve">DSC055</t>
  </si>
  <si>
    <t xml:space="preserve">DSC056</t>
  </si>
  <si>
    <t xml:space="preserve">DSC057</t>
  </si>
  <si>
    <t xml:space="preserve">DSC058</t>
  </si>
  <si>
    <t xml:space="preserve">DSC059</t>
  </si>
  <si>
    <t xml:space="preserve">DSC060</t>
  </si>
  <si>
    <t xml:space="preserve">DSC061</t>
  </si>
  <si>
    <t xml:space="preserve">DSC062</t>
  </si>
  <si>
    <t xml:space="preserve">DSC063</t>
  </si>
  <si>
    <t xml:space="preserve">DSC064</t>
  </si>
  <si>
    <t xml:space="preserve">DSC065</t>
  </si>
  <si>
    <t xml:space="preserve">DSC066</t>
  </si>
  <si>
    <t xml:space="preserve">DSC067</t>
  </si>
  <si>
    <t xml:space="preserve">DSC068</t>
  </si>
  <si>
    <t xml:space="preserve">DSC069</t>
  </si>
  <si>
    <t xml:space="preserve">DSC070</t>
  </si>
  <si>
    <t xml:space="preserve">DSC071</t>
  </si>
  <si>
    <t xml:space="preserve">DSC072</t>
  </si>
  <si>
    <t xml:space="preserve">DSC073</t>
  </si>
  <si>
    <t xml:space="preserve">DSC074</t>
  </si>
  <si>
    <t xml:space="preserve">DSC075</t>
  </si>
  <si>
    <t xml:space="preserve">DSC076</t>
  </si>
  <si>
    <t xml:space="preserve">DSC077</t>
  </si>
  <si>
    <t xml:space="preserve">DSC078</t>
  </si>
  <si>
    <t xml:space="preserve">DSC079</t>
  </si>
  <si>
    <t xml:space="preserve">DSC080</t>
  </si>
  <si>
    <t xml:space="preserve">DSC081</t>
  </si>
  <si>
    <t xml:space="preserve">DSC082</t>
  </si>
  <si>
    <t xml:space="preserve">DSC083</t>
  </si>
  <si>
    <t xml:space="preserve">DSC084</t>
  </si>
  <si>
    <t xml:space="preserve">DSC085</t>
  </si>
  <si>
    <t xml:space="preserve">DSC086</t>
  </si>
  <si>
    <t xml:space="preserve">DSC087</t>
  </si>
  <si>
    <t xml:space="preserve">DSC088</t>
  </si>
  <si>
    <t xml:space="preserve">DSC089</t>
  </si>
  <si>
    <t xml:space="preserve">DSC090</t>
  </si>
  <si>
    <t xml:space="preserve">DSC091</t>
  </si>
  <si>
    <t xml:space="preserve">DSC092</t>
  </si>
  <si>
    <t xml:space="preserve">DSC093</t>
  </si>
  <si>
    <t xml:space="preserve">DSC094</t>
  </si>
  <si>
    <t xml:space="preserve">DSC095</t>
  </si>
  <si>
    <t xml:space="preserve">DSC096</t>
  </si>
  <si>
    <t xml:space="preserve">DSC097</t>
  </si>
  <si>
    <t xml:space="preserve">DSC098</t>
  </si>
  <si>
    <t xml:space="preserve">DSC099</t>
  </si>
  <si>
    <t xml:space="preserve">DSC100</t>
  </si>
  <si>
    <t xml:space="preserve">DSC101</t>
  </si>
  <si>
    <t xml:space="preserve">DSC102</t>
  </si>
  <si>
    <t xml:space="preserve">DSC103</t>
  </si>
  <si>
    <t xml:space="preserve">DSC104</t>
  </si>
  <si>
    <t xml:space="preserve">DSC105</t>
  </si>
  <si>
    <t xml:space="preserve">DSC106</t>
  </si>
  <si>
    <t xml:space="preserve">DSC107</t>
  </si>
  <si>
    <t xml:space="preserve">DSC108</t>
  </si>
  <si>
    <t xml:space="preserve">DSC109</t>
  </si>
  <si>
    <t xml:space="preserve">DSC110</t>
  </si>
  <si>
    <t xml:space="preserve">DSC111</t>
  </si>
  <si>
    <t xml:space="preserve">DSC112</t>
  </si>
  <si>
    <t xml:space="preserve">DSC113</t>
  </si>
  <si>
    <t xml:space="preserve">DSC114</t>
  </si>
  <si>
    <t xml:space="preserve">DSC115</t>
  </si>
  <si>
    <t xml:space="preserve">DSC116</t>
  </si>
  <si>
    <t xml:space="preserve">DSC117</t>
  </si>
  <si>
    <t xml:space="preserve">DSC118</t>
  </si>
  <si>
    <t xml:space="preserve">DSC119</t>
  </si>
  <si>
    <t xml:space="preserve">DSC120</t>
  </si>
  <si>
    <t xml:space="preserve">DSC121</t>
  </si>
  <si>
    <t xml:space="preserve">DSC122</t>
  </si>
  <si>
    <t xml:space="preserve">DSC123</t>
  </si>
  <si>
    <t xml:space="preserve">DSC124</t>
  </si>
  <si>
    <t xml:space="preserve">DSC125</t>
  </si>
  <si>
    <t xml:space="preserve">DSC126</t>
  </si>
  <si>
    <t xml:space="preserve">DSC127</t>
  </si>
  <si>
    <t xml:space="preserve">DSC128</t>
  </si>
  <si>
    <t xml:space="preserve">DSC129</t>
  </si>
  <si>
    <t xml:space="preserve">DSC130</t>
  </si>
  <si>
    <t xml:space="preserve">DSC131</t>
  </si>
  <si>
    <t xml:space="preserve">DSC132</t>
  </si>
  <si>
    <t xml:space="preserve">DSC133</t>
  </si>
  <si>
    <t xml:space="preserve">DSC134</t>
  </si>
  <si>
    <t xml:space="preserve">DSC135</t>
  </si>
  <si>
    <t xml:space="preserve">DSC136</t>
  </si>
  <si>
    <t xml:space="preserve">DSC137</t>
  </si>
  <si>
    <t xml:space="preserve">DSC138</t>
  </si>
  <si>
    <t xml:space="preserve">DSC139</t>
  </si>
  <si>
    <t xml:space="preserve">DSC140</t>
  </si>
  <si>
    <t xml:space="preserve">DSC141</t>
  </si>
  <si>
    <t xml:space="preserve">DSC142</t>
  </si>
  <si>
    <t xml:space="preserve">DSC143</t>
  </si>
  <si>
    <t xml:space="preserve">DSC144</t>
  </si>
  <si>
    <t xml:space="preserve">DSC145</t>
  </si>
  <si>
    <t xml:space="preserve">DSC146</t>
  </si>
  <si>
    <t xml:space="preserve">DSC147</t>
  </si>
  <si>
    <t xml:space="preserve">DSC148</t>
  </si>
  <si>
    <t xml:space="preserve">DSC149</t>
  </si>
  <si>
    <t xml:space="preserve">DSC150</t>
  </si>
  <si>
    <t xml:space="preserve">DSC151</t>
  </si>
  <si>
    <t xml:space="preserve">DSC152</t>
  </si>
  <si>
    <t xml:space="preserve">DSC153</t>
  </si>
  <si>
    <t xml:space="preserve">DSC154</t>
  </si>
  <si>
    <t xml:space="preserve">DSC155</t>
  </si>
  <si>
    <t xml:space="preserve">DSC156</t>
  </si>
  <si>
    <t xml:space="preserve">DSC157</t>
  </si>
  <si>
    <t xml:space="preserve">DSC158</t>
  </si>
  <si>
    <t xml:space="preserve">DSC159</t>
  </si>
  <si>
    <t xml:space="preserve">DSC160</t>
  </si>
  <si>
    <t xml:space="preserve">DSC161</t>
  </si>
  <si>
    <t xml:space="preserve">DSC162</t>
  </si>
  <si>
    <t xml:space="preserve">DSC163</t>
  </si>
  <si>
    <t xml:space="preserve">DSC164</t>
  </si>
  <si>
    <t xml:space="preserve">DSC165</t>
  </si>
  <si>
    <t xml:space="preserve">DSC166</t>
  </si>
  <si>
    <t xml:space="preserve">DSC167</t>
  </si>
  <si>
    <t xml:space="preserve">DSC168</t>
  </si>
  <si>
    <t xml:space="preserve">DSC169</t>
  </si>
  <si>
    <t xml:space="preserve">DSC170</t>
  </si>
  <si>
    <t xml:space="preserve">DSC171</t>
  </si>
  <si>
    <t xml:space="preserve">DSC172</t>
  </si>
  <si>
    <t xml:space="preserve">DSC173</t>
  </si>
  <si>
    <t xml:space="preserve">DSC174</t>
  </si>
  <si>
    <t xml:space="preserve">DSC175</t>
  </si>
  <si>
    <t xml:space="preserve">DSC176</t>
  </si>
  <si>
    <t xml:space="preserve">DSC177</t>
  </si>
  <si>
    <t xml:space="preserve">DSC178</t>
  </si>
  <si>
    <t xml:space="preserve">DSC179</t>
  </si>
  <si>
    <t xml:space="preserve">DSC180</t>
  </si>
  <si>
    <t xml:space="preserve">DSC181</t>
  </si>
  <si>
    <t xml:space="preserve">DSC182</t>
  </si>
  <si>
    <t xml:space="preserve">DSC183</t>
  </si>
  <si>
    <t xml:space="preserve">DSC184</t>
  </si>
  <si>
    <t xml:space="preserve">DSC185</t>
  </si>
  <si>
    <t xml:space="preserve">DSC186</t>
  </si>
  <si>
    <t xml:space="preserve">DSC187</t>
  </si>
  <si>
    <t xml:space="preserve">DSC188</t>
  </si>
  <si>
    <t xml:space="preserve">DSC189</t>
  </si>
  <si>
    <t xml:space="preserve">DSC190</t>
  </si>
  <si>
    <t xml:space="preserve">DSC191</t>
  </si>
  <si>
    <t xml:space="preserve">DSC192</t>
  </si>
  <si>
    <t xml:space="preserve">DSC193</t>
  </si>
  <si>
    <t xml:space="preserve">DSC194</t>
  </si>
  <si>
    <t xml:space="preserve">DSC195</t>
  </si>
  <si>
    <t xml:space="preserve">DSC196</t>
  </si>
  <si>
    <t xml:space="preserve">DSC197</t>
  </si>
  <si>
    <t xml:space="preserve">DSC198</t>
  </si>
  <si>
    <t xml:space="preserve">DSC199</t>
  </si>
  <si>
    <t xml:space="preserve">DSC200</t>
  </si>
  <si>
    <t xml:space="preserve">DSC201</t>
  </si>
  <si>
    <t xml:space="preserve">DSC202</t>
  </si>
  <si>
    <t xml:space="preserve">DSC203</t>
  </si>
  <si>
    <t xml:space="preserve">DSC204</t>
  </si>
  <si>
    <t xml:space="preserve">DSC205</t>
  </si>
  <si>
    <t xml:space="preserve">DSC206</t>
  </si>
  <si>
    <t xml:space="preserve">DSC207</t>
  </si>
  <si>
    <t xml:space="preserve">DSC208</t>
  </si>
  <si>
    <t xml:space="preserve">DSC209</t>
  </si>
  <si>
    <t xml:space="preserve">DSC210</t>
  </si>
  <si>
    <t xml:space="preserve">DSC211</t>
  </si>
  <si>
    <t xml:space="preserve">DSC212</t>
  </si>
  <si>
    <t xml:space="preserve">DSC213</t>
  </si>
  <si>
    <t xml:space="preserve">DSC214</t>
  </si>
  <si>
    <t xml:space="preserve">DSC215</t>
  </si>
  <si>
    <t xml:space="preserve">DSC216</t>
  </si>
  <si>
    <t xml:space="preserve">DSC217</t>
  </si>
  <si>
    <t xml:space="preserve">DSC218</t>
  </si>
  <si>
    <t xml:space="preserve">DSC219</t>
  </si>
  <si>
    <t xml:space="preserve">DSC220</t>
  </si>
  <si>
    <t xml:space="preserve">DSC221</t>
  </si>
  <si>
    <t xml:space="preserve">DSC222</t>
  </si>
  <si>
    <t xml:space="preserve">DSC223</t>
  </si>
  <si>
    <t xml:space="preserve">DSC224</t>
  </si>
  <si>
    <t xml:space="preserve">DSC225</t>
  </si>
  <si>
    <t xml:space="preserve">DSC226</t>
  </si>
  <si>
    <t xml:space="preserve">DSC227</t>
  </si>
  <si>
    <t xml:space="preserve">DSC228</t>
  </si>
  <si>
    <t xml:space="preserve">DSC229</t>
  </si>
  <si>
    <t xml:space="preserve">DSC230</t>
  </si>
  <si>
    <t xml:space="preserve">DSC231</t>
  </si>
  <si>
    <t xml:space="preserve">DSC232</t>
  </si>
  <si>
    <t xml:space="preserve">DSC233</t>
  </si>
  <si>
    <t xml:space="preserve">DSC234</t>
  </si>
  <si>
    <t xml:space="preserve">DSC235</t>
  </si>
  <si>
    <t xml:space="preserve">DSC236</t>
  </si>
  <si>
    <t xml:space="preserve">DSC237</t>
  </si>
  <si>
    <t xml:space="preserve">DSC238</t>
  </si>
  <si>
    <t xml:space="preserve">DSC239</t>
  </si>
  <si>
    <t xml:space="preserve">DSC240</t>
  </si>
  <si>
    <t xml:space="preserve">DSC241</t>
  </si>
  <si>
    <t xml:space="preserve">DSC242</t>
  </si>
  <si>
    <t xml:space="preserve">DSC243</t>
  </si>
  <si>
    <t xml:space="preserve">DSC244</t>
  </si>
  <si>
    <t xml:space="preserve">DSC245</t>
  </si>
  <si>
    <t xml:space="preserve">DSC246</t>
  </si>
  <si>
    <t xml:space="preserve">DSC247</t>
  </si>
  <si>
    <t xml:space="preserve">DSC248</t>
  </si>
  <si>
    <t xml:space="preserve">DSC249</t>
  </si>
  <si>
    <t xml:space="preserve">DSC250</t>
  </si>
  <si>
    <t xml:space="preserve">DSC251</t>
  </si>
  <si>
    <t xml:space="preserve">DSC252</t>
  </si>
  <si>
    <t xml:space="preserve">DSC253</t>
  </si>
  <si>
    <t xml:space="preserve">DSC254</t>
  </si>
  <si>
    <t xml:space="preserve">DSC255</t>
  </si>
  <si>
    <t xml:space="preserve">DSC256</t>
  </si>
  <si>
    <t xml:space="preserve">DSC257</t>
  </si>
  <si>
    <t xml:space="preserve">DSC258</t>
  </si>
  <si>
    <t xml:space="preserve">DSC259</t>
  </si>
  <si>
    <t xml:space="preserve">DSC260</t>
  </si>
  <si>
    <t xml:space="preserve">DSC261</t>
  </si>
  <si>
    <t xml:space="preserve">DSC262</t>
  </si>
  <si>
    <t xml:space="preserve">DSC263</t>
  </si>
  <si>
    <t xml:space="preserve">DSC264</t>
  </si>
  <si>
    <t xml:space="preserve">DSC265</t>
  </si>
  <si>
    <t xml:space="preserve">DSC266</t>
  </si>
  <si>
    <t xml:space="preserve">DSC267</t>
  </si>
  <si>
    <t xml:space="preserve">DSC268</t>
  </si>
  <si>
    <t xml:space="preserve">DSC269</t>
  </si>
  <si>
    <t xml:space="preserve">DSC270</t>
  </si>
  <si>
    <t xml:space="preserve">DSC271</t>
  </si>
  <si>
    <t xml:space="preserve">DSC272</t>
  </si>
  <si>
    <t xml:space="preserve">DSC273</t>
  </si>
  <si>
    <t xml:space="preserve">DSC274</t>
  </si>
  <si>
    <t xml:space="preserve">DSC275</t>
  </si>
  <si>
    <t xml:space="preserve">DSC276</t>
  </si>
  <si>
    <t xml:space="preserve">DSC277</t>
  </si>
  <si>
    <t xml:space="preserve">DSC278</t>
  </si>
  <si>
    <t xml:space="preserve">DSC279</t>
  </si>
  <si>
    <t xml:space="preserve">DSC280</t>
  </si>
  <si>
    <t xml:space="preserve">DSC281</t>
  </si>
  <si>
    <t xml:space="preserve">DSC282</t>
  </si>
  <si>
    <t xml:space="preserve">DSC283</t>
  </si>
  <si>
    <t xml:space="preserve">DSC284</t>
  </si>
  <si>
    <t xml:space="preserve">DSC285</t>
  </si>
  <si>
    <t xml:space="preserve">DSC286</t>
  </si>
  <si>
    <t xml:space="preserve">DSC287</t>
  </si>
  <si>
    <t xml:space="preserve">DSC288</t>
  </si>
  <si>
    <t xml:space="preserve">DSC289</t>
  </si>
  <si>
    <t xml:space="preserve">DSC290</t>
  </si>
  <si>
    <t xml:space="preserve">DSC291</t>
  </si>
  <si>
    <t xml:space="preserve">DSC292</t>
  </si>
  <si>
    <t xml:space="preserve">DSC293</t>
  </si>
  <si>
    <t xml:space="preserve">DSC294</t>
  </si>
  <si>
    <t xml:space="preserve">DSC295</t>
  </si>
  <si>
    <t xml:space="preserve">DSC296</t>
  </si>
  <si>
    <t xml:space="preserve">DSC297</t>
  </si>
  <si>
    <t xml:space="preserve">DSC298</t>
  </si>
  <si>
    <t xml:space="preserve">DSC299</t>
  </si>
  <si>
    <t xml:space="preserve">DSC300</t>
  </si>
  <si>
    <t xml:space="preserve">DSC301</t>
  </si>
  <si>
    <t xml:space="preserve">DSC302</t>
  </si>
  <si>
    <t xml:space="preserve">DSC303</t>
  </si>
  <si>
    <t xml:space="preserve">DSC304</t>
  </si>
  <si>
    <t xml:space="preserve">DSC305</t>
  </si>
  <si>
    <t xml:space="preserve">DSC306</t>
  </si>
  <si>
    <t xml:space="preserve">DSC307</t>
  </si>
  <si>
    <t xml:space="preserve">DSC308</t>
  </si>
  <si>
    <t xml:space="preserve">DSC309</t>
  </si>
  <si>
    <t xml:space="preserve">DSC310</t>
  </si>
  <si>
    <t xml:space="preserve">DSC311</t>
  </si>
  <si>
    <t xml:space="preserve">DSC312</t>
  </si>
  <si>
    <t xml:space="preserve">DSC313</t>
  </si>
  <si>
    <t xml:space="preserve">DSC314</t>
  </si>
  <si>
    <t xml:space="preserve">DSC315</t>
  </si>
  <si>
    <t xml:space="preserve">DSC316</t>
  </si>
  <si>
    <t xml:space="preserve">DSC317</t>
  </si>
  <si>
    <t xml:space="preserve">DSC318</t>
  </si>
  <si>
    <t xml:space="preserve">DSC319</t>
  </si>
  <si>
    <t xml:space="preserve">DSC320</t>
  </si>
  <si>
    <t xml:space="preserve">DSC321</t>
  </si>
  <si>
    <t xml:space="preserve">DSC322</t>
  </si>
  <si>
    <t xml:space="preserve">DSC323</t>
  </si>
  <si>
    <t xml:space="preserve">DSC324</t>
  </si>
  <si>
    <t xml:space="preserve">DSC325</t>
  </si>
  <si>
    <t xml:space="preserve">DSC326</t>
  </si>
  <si>
    <t xml:space="preserve">DSC327</t>
  </si>
  <si>
    <t xml:space="preserve">DSC328</t>
  </si>
  <si>
    <t xml:space="preserve">DSC329</t>
  </si>
  <si>
    <t xml:space="preserve">DSC330</t>
  </si>
  <si>
    <t xml:space="preserve">DSC331</t>
  </si>
  <si>
    <t xml:space="preserve">DSC332</t>
  </si>
  <si>
    <t xml:space="preserve">DSC333</t>
  </si>
  <si>
    <t xml:space="preserve">DSC334</t>
  </si>
  <si>
    <t xml:space="preserve">DSC335</t>
  </si>
  <si>
    <t xml:space="preserve">DSC336</t>
  </si>
  <si>
    <t xml:space="preserve">DSC337</t>
  </si>
  <si>
    <t xml:space="preserve">DSC338</t>
  </si>
  <si>
    <t xml:space="preserve">DSC339</t>
  </si>
  <si>
    <t xml:space="preserve">DSC340</t>
  </si>
  <si>
    <t xml:space="preserve">DSC341</t>
  </si>
  <si>
    <t xml:space="preserve">DSC342</t>
  </si>
  <si>
    <t xml:space="preserve">DSC343</t>
  </si>
  <si>
    <t xml:space="preserve">DSC344</t>
  </si>
  <si>
    <t xml:space="preserve">DSC345</t>
  </si>
  <si>
    <t xml:space="preserve">DSC346</t>
  </si>
  <si>
    <t xml:space="preserve">DSC347</t>
  </si>
  <si>
    <t xml:space="preserve">DSC348</t>
  </si>
  <si>
    <t xml:space="preserve">DSC349</t>
  </si>
  <si>
    <t xml:space="preserve">DSC350</t>
  </si>
  <si>
    <t xml:space="preserve">DSC351</t>
  </si>
  <si>
    <t xml:space="preserve">DSC352</t>
  </si>
  <si>
    <t xml:space="preserve">DSC353</t>
  </si>
  <si>
    <t xml:space="preserve">DSC354</t>
  </si>
  <si>
    <t xml:space="preserve">DSC355</t>
  </si>
  <si>
    <t xml:space="preserve">DSC356</t>
  </si>
  <si>
    <t xml:space="preserve">DSC357</t>
  </si>
  <si>
    <t xml:space="preserve">DSC358</t>
  </si>
  <si>
    <t xml:space="preserve">DSC359</t>
  </si>
  <si>
    <t xml:space="preserve">DSC360</t>
  </si>
  <si>
    <t xml:space="preserve">DSC361</t>
  </si>
  <si>
    <t xml:space="preserve">DSC362</t>
  </si>
  <si>
    <t xml:space="preserve">DSC363</t>
  </si>
  <si>
    <t xml:space="preserve">DSC364</t>
  </si>
  <si>
    <t xml:space="preserve">DSC365</t>
  </si>
  <si>
    <t xml:space="preserve">DSC366</t>
  </si>
  <si>
    <t xml:space="preserve">DSC367</t>
  </si>
  <si>
    <t xml:space="preserve">DSC368</t>
  </si>
  <si>
    <t xml:space="preserve">DSC369</t>
  </si>
  <si>
    <t xml:space="preserve">DSC370</t>
  </si>
  <si>
    <t xml:space="preserve">DSC371</t>
  </si>
  <si>
    <t xml:space="preserve">DSC372</t>
  </si>
  <si>
    <t xml:space="preserve">DSC373</t>
  </si>
  <si>
    <t xml:space="preserve">DSC374</t>
  </si>
  <si>
    <t xml:space="preserve">DSC375</t>
  </si>
  <si>
    <t xml:space="preserve">DSC376</t>
  </si>
  <si>
    <t xml:space="preserve">DSC377</t>
  </si>
  <si>
    <t xml:space="preserve">DSC378</t>
  </si>
  <si>
    <t xml:space="preserve">DSC379</t>
  </si>
  <si>
    <t xml:space="preserve">DSC380</t>
  </si>
  <si>
    <t xml:space="preserve">DSC381</t>
  </si>
  <si>
    <t xml:space="preserve">DSC382</t>
  </si>
  <si>
    <t xml:space="preserve">DSC383</t>
  </si>
  <si>
    <t xml:space="preserve">DSC384</t>
  </si>
  <si>
    <t xml:space="preserve">DSC385</t>
  </si>
  <si>
    <t xml:space="preserve">DSC386</t>
  </si>
  <si>
    <t xml:space="preserve">DSC387</t>
  </si>
  <si>
    <t xml:space="preserve">DSC388</t>
  </si>
  <si>
    <t xml:space="preserve">DSC389</t>
  </si>
  <si>
    <t xml:space="preserve">DSC390</t>
  </si>
  <si>
    <t xml:space="preserve">DSC391</t>
  </si>
  <si>
    <t xml:space="preserve">DSC392</t>
  </si>
  <si>
    <t xml:space="preserve">DSC393</t>
  </si>
  <si>
    <t xml:space="preserve">DSC394</t>
  </si>
  <si>
    <t xml:space="preserve">DSC395</t>
  </si>
  <si>
    <t xml:space="preserve">DSC396</t>
  </si>
  <si>
    <t xml:space="preserve">DSC397</t>
  </si>
  <si>
    <t xml:space="preserve">DSC398</t>
  </si>
  <si>
    <t xml:space="preserve">DSC399</t>
  </si>
  <si>
    <t xml:space="preserve">DSC400</t>
  </si>
  <si>
    <t xml:space="preserve">DSC401</t>
  </si>
  <si>
    <t xml:space="preserve">DSC402</t>
  </si>
  <si>
    <t xml:space="preserve">DSC403</t>
  </si>
  <si>
    <t xml:space="preserve">DSC404</t>
  </si>
  <si>
    <t xml:space="preserve">DSC405</t>
  </si>
  <si>
    <t xml:space="preserve">DSC406</t>
  </si>
  <si>
    <t xml:space="preserve">DSC407</t>
  </si>
  <si>
    <t xml:space="preserve">DSC408</t>
  </si>
  <si>
    <t xml:space="preserve">DSC409</t>
  </si>
  <si>
    <t xml:space="preserve">DSC410</t>
  </si>
  <si>
    <t xml:space="preserve">DSC411</t>
  </si>
  <si>
    <t xml:space="preserve">DSC412</t>
  </si>
  <si>
    <t xml:space="preserve">DSC413</t>
  </si>
  <si>
    <t xml:space="preserve">DSC414</t>
  </si>
  <si>
    <t xml:space="preserve">DSC415</t>
  </si>
  <si>
    <t xml:space="preserve">DSC416</t>
  </si>
  <si>
    <t xml:space="preserve">DSC417</t>
  </si>
  <si>
    <t xml:space="preserve">DSC418</t>
  </si>
  <si>
    <t xml:space="preserve">DSC419</t>
  </si>
  <si>
    <t xml:space="preserve">DSC420</t>
  </si>
  <si>
    <t xml:space="preserve">DSC421</t>
  </si>
  <si>
    <t xml:space="preserve">DSC422</t>
  </si>
  <si>
    <t xml:space="preserve">DSC423</t>
  </si>
  <si>
    <t xml:space="preserve">DSC424</t>
  </si>
  <si>
    <t xml:space="preserve">DSC425</t>
  </si>
  <si>
    <t xml:space="preserve">DSC426</t>
  </si>
  <si>
    <t xml:space="preserve">DSC427</t>
  </si>
  <si>
    <t xml:space="preserve">DSC428</t>
  </si>
  <si>
    <t xml:space="preserve">DSC429</t>
  </si>
  <si>
    <t xml:space="preserve">DSC430</t>
  </si>
  <si>
    <t xml:space="preserve">DSC431</t>
  </si>
  <si>
    <t xml:space="preserve">DSC432</t>
  </si>
  <si>
    <t xml:space="preserve">DSC433</t>
  </si>
  <si>
    <t xml:space="preserve">DSC434</t>
  </si>
  <si>
    <t xml:space="preserve">DSC435</t>
  </si>
  <si>
    <t xml:space="preserve">DSC436</t>
  </si>
  <si>
    <t xml:space="preserve">DSC437</t>
  </si>
  <si>
    <t xml:space="preserve">DSC438</t>
  </si>
  <si>
    <t xml:space="preserve">DSC439</t>
  </si>
  <si>
    <t xml:space="preserve">DSC440</t>
  </si>
  <si>
    <t xml:space="preserve">DSC441</t>
  </si>
  <si>
    <t xml:space="preserve">DSC442</t>
  </si>
  <si>
    <t xml:space="preserve">DSC443</t>
  </si>
  <si>
    <t xml:space="preserve">DSC444</t>
  </si>
  <si>
    <t xml:space="preserve">DSC445</t>
  </si>
  <si>
    <t xml:space="preserve">DSC446</t>
  </si>
  <si>
    <t xml:space="preserve">DSC447</t>
  </si>
  <si>
    <t xml:space="preserve">DSC448</t>
  </si>
  <si>
    <t xml:space="preserve">DSC449</t>
  </si>
  <si>
    <t xml:space="preserve">DSC450</t>
  </si>
  <si>
    <t xml:space="preserve">DSC451</t>
  </si>
  <si>
    <t xml:space="preserve">DSC452</t>
  </si>
  <si>
    <t xml:space="preserve">DSC453</t>
  </si>
  <si>
    <t xml:space="preserve">DSC454</t>
  </si>
  <si>
    <t xml:space="preserve">DSC455</t>
  </si>
  <si>
    <t xml:space="preserve">DSC456</t>
  </si>
  <si>
    <t xml:space="preserve">DSC457</t>
  </si>
  <si>
    <t xml:space="preserve">DSC458</t>
  </si>
  <si>
    <t xml:space="preserve">DSC459</t>
  </si>
  <si>
    <t xml:space="preserve">DSC460</t>
  </si>
  <si>
    <t xml:space="preserve">DSC461</t>
  </si>
  <si>
    <t xml:space="preserve">DSC462</t>
  </si>
  <si>
    <t xml:space="preserve">DSC463</t>
  </si>
  <si>
    <t xml:space="preserve">DSC464</t>
  </si>
  <si>
    <t xml:space="preserve">DSC465</t>
  </si>
  <si>
    <t xml:space="preserve">DSC466</t>
  </si>
  <si>
    <t xml:space="preserve">DSC467</t>
  </si>
  <si>
    <t xml:space="preserve">DSC468</t>
  </si>
  <si>
    <t xml:space="preserve">DSC469</t>
  </si>
  <si>
    <t xml:space="preserve">DSC470</t>
  </si>
  <si>
    <t xml:space="preserve">DSC471</t>
  </si>
  <si>
    <t xml:space="preserve">DSC472</t>
  </si>
  <si>
    <t xml:space="preserve">DSC473</t>
  </si>
  <si>
    <t xml:space="preserve">DSC474</t>
  </si>
  <si>
    <t xml:space="preserve">DSC475</t>
  </si>
  <si>
    <t xml:space="preserve">DSC476</t>
  </si>
  <si>
    <t xml:space="preserve">DSC477</t>
  </si>
  <si>
    <t xml:space="preserve">DSC478</t>
  </si>
  <si>
    <t xml:space="preserve">DSC479</t>
  </si>
  <si>
    <t xml:space="preserve">DSC480</t>
  </si>
  <si>
    <t xml:space="preserve">DSC481</t>
  </si>
  <si>
    <t xml:space="preserve">DSC482</t>
  </si>
  <si>
    <t xml:space="preserve">DSC483</t>
  </si>
  <si>
    <t xml:space="preserve">DSC484</t>
  </si>
  <si>
    <t xml:space="preserve">DSC485</t>
  </si>
  <si>
    <t xml:space="preserve">DSC486</t>
  </si>
  <si>
    <t xml:space="preserve">DSC487</t>
  </si>
  <si>
    <t xml:space="preserve">DSC488</t>
  </si>
  <si>
    <t xml:space="preserve">DSC489</t>
  </si>
  <si>
    <t xml:space="preserve">DSC490</t>
  </si>
  <si>
    <t xml:space="preserve">DSC491</t>
  </si>
  <si>
    <t xml:space="preserve">DSC492</t>
  </si>
  <si>
    <t xml:space="preserve">DSC493</t>
  </si>
  <si>
    <t xml:space="preserve">DSC494</t>
  </si>
  <si>
    <t xml:space="preserve">DSC495</t>
  </si>
  <si>
    <t xml:space="preserve">DSC496</t>
  </si>
  <si>
    <t xml:space="preserve">DSC497</t>
  </si>
  <si>
    <t xml:space="preserve">DSC498</t>
  </si>
  <si>
    <t xml:space="preserve">DSC499</t>
  </si>
  <si>
    <t xml:space="preserve">DSC500</t>
  </si>
  <si>
    <t xml:space="preserve">DSC501</t>
  </si>
  <si>
    <t xml:space="preserve">DSC502</t>
  </si>
  <si>
    <t xml:space="preserve">DSC503</t>
  </si>
  <si>
    <t xml:space="preserve">DSC504</t>
  </si>
  <si>
    <t xml:space="preserve">DSC505</t>
  </si>
  <si>
    <t xml:space="preserve">DSC506</t>
  </si>
  <si>
    <t xml:space="preserve">DSC507</t>
  </si>
  <si>
    <t xml:space="preserve">DSC508</t>
  </si>
  <si>
    <t xml:space="preserve">DSC509</t>
  </si>
  <si>
    <t xml:space="preserve">DSC510</t>
  </si>
  <si>
    <t xml:space="preserve">DSC511</t>
  </si>
  <si>
    <t xml:space="preserve">DSC512</t>
  </si>
  <si>
    <t xml:space="preserve">DSC513</t>
  </si>
  <si>
    <t xml:space="preserve">DSC514</t>
  </si>
  <si>
    <t xml:space="preserve">DSC515</t>
  </si>
  <si>
    <t xml:space="preserve">DSC516</t>
  </si>
  <si>
    <t xml:space="preserve">DSC517</t>
  </si>
  <si>
    <t xml:space="preserve">DSC518</t>
  </si>
  <si>
    <t xml:space="preserve">DSC519</t>
  </si>
  <si>
    <t xml:space="preserve">DSC520</t>
  </si>
  <si>
    <t xml:space="preserve">Sub Structure|Site Preparation &amp; Earthwork</t>
  </si>
  <si>
    <t xml:space="preserve">Sub Structure|Shoring &amp; Sheet Pile</t>
  </si>
  <si>
    <t xml:space="preserve">Sub Structure|Bored Pile</t>
  </si>
  <si>
    <t xml:space="preserve">Sub Structure|Driven Pile / Micro Pile</t>
  </si>
  <si>
    <t xml:space="preserve">Sub Structure|Pile Cap &amp; Stump</t>
  </si>
  <si>
    <t xml:space="preserve">Sub Structure|Footing / Raft Foundation</t>
  </si>
  <si>
    <t xml:space="preserve">Sub Structure|Ground Beam / Tie Beam</t>
  </si>
  <si>
    <t xml:space="preserve">Sub Structure|Slab on Grade / Ground Slab</t>
  </si>
  <si>
    <t xml:space="preserve">Sub Structure|Septic tank</t>
  </si>
  <si>
    <t xml:space="preserve">Sub Structure|Water Tank / Sump Pit</t>
  </si>
  <si>
    <t xml:space="preserve">Sub Structure|Lift Pit</t>
  </si>
  <si>
    <t xml:space="preserve">Sub Structure|Basement / Retaining Wall</t>
  </si>
  <si>
    <t xml:space="preserve">Super Structure|Structural Column</t>
  </si>
  <si>
    <t xml:space="preserve">Super Structure|Structural Beam</t>
  </si>
  <si>
    <t xml:space="preserve">Super Structure|Structural Slab</t>
  </si>
  <si>
    <t xml:space="preserve">Super Structure|Structural Wall</t>
  </si>
  <si>
    <t xml:space="preserve">Super Structure|Structural Staircase</t>
  </si>
  <si>
    <t xml:space="preserve">Super Structure|Parapet wall &amp; Stiffener Column</t>
  </si>
  <si>
    <t xml:space="preserve">Super Structure|Lift Core / Shear Core</t>
  </si>
  <si>
    <t xml:space="preserve">Super Structure|Ramp</t>
  </si>
  <si>
    <t xml:space="preserve">Super Structure|Structural Steel</t>
  </si>
  <si>
    <t xml:space="preserve">Super Structure|Roof Structure / Truss</t>
  </si>
  <si>
    <t xml:space="preserve">Super Structure|Testing &amp; Quality Control</t>
  </si>
  <si>
    <t xml:space="preserve">Exterior Wall and Partition|Hollow clay brick</t>
  </si>
  <si>
    <t xml:space="preserve">Exterior Wall and Partition|Concrete block</t>
  </si>
  <si>
    <t xml:space="preserve">Exterior Wall and Partition|AAC block</t>
  </si>
  <si>
    <t xml:space="preserve">Exterior Wall and Partition|Precast concrete panel</t>
  </si>
  <si>
    <t xml:space="preserve">Exterior Wall and Partition|External façade</t>
  </si>
  <si>
    <t xml:space="preserve">Exterior Wall Finishes|Plastering</t>
  </si>
  <si>
    <t xml:space="preserve">Exterior Wall Finishes|Painting</t>
  </si>
  <si>
    <t xml:space="preserve">Exterior Wall Finishes|Wall tiling</t>
  </si>
  <si>
    <t xml:space="preserve">Exterior Wall Finishes|Expansion joint</t>
  </si>
  <si>
    <t xml:space="preserve">Exterior Door|Steel Door</t>
  </si>
  <si>
    <t xml:space="preserve">Exterior Door|Aluminium door</t>
  </si>
  <si>
    <t xml:space="preserve">Exterior Door|Glass door</t>
  </si>
  <si>
    <t xml:space="preserve">Exterior Door|Rolling shutter</t>
  </si>
  <si>
    <t xml:space="preserve">Exterior Door|Door ironmongery</t>
  </si>
  <si>
    <t xml:space="preserve">Exterior Window and Louver|Glass Window</t>
  </si>
  <si>
    <t xml:space="preserve">Exterior Window and Louver|Aluminium louver</t>
  </si>
  <si>
    <t xml:space="preserve">Exterior Window and Louver|Window accessories</t>
  </si>
  <si>
    <t xml:space="preserve">Exterior floor|Screeding</t>
  </si>
  <si>
    <t xml:space="preserve">Exterior floor|Floor tiling</t>
  </si>
  <si>
    <t xml:space="preserve">Exterior floor|Waterproofing</t>
  </si>
  <si>
    <t xml:space="preserve">Exterior soffit|Soffit finishes</t>
  </si>
  <si>
    <t xml:space="preserve">Exterior Stair Ramp|Stair &amp; Ramp finishes</t>
  </si>
  <si>
    <t xml:space="preserve">Exterior Stair Ramp|Handrail &amp; Balustrade</t>
  </si>
  <si>
    <t xml:space="preserve">Roofing|Roof covering</t>
  </si>
  <si>
    <t xml:space="preserve">Roofing|Roof waterproofing &amp; insulation</t>
  </si>
  <si>
    <t xml:space="preserve">Roofing|Roof drainage</t>
  </si>
  <si>
    <t xml:space="preserve">Roofing|Roof accessories</t>
  </si>
  <si>
    <t xml:space="preserve">Interior Wall and Partition|Hollow clay brick</t>
  </si>
  <si>
    <t xml:space="preserve">Interior Wall and Partition|Dry wall partition</t>
  </si>
  <si>
    <t xml:space="preserve">Interior Wall and Partition|Glass partition</t>
  </si>
  <si>
    <t xml:space="preserve">Interior Wall and Partition|Toilet cubicle</t>
  </si>
  <si>
    <t xml:space="preserve">Interior Wall and Partition|Handrail</t>
  </si>
  <si>
    <t xml:space="preserve">Interior Doors|Wood door</t>
  </si>
  <si>
    <t xml:space="preserve">Interior Doors|PVC door</t>
  </si>
  <si>
    <t xml:space="preserve">Interior Doors|Steel Door</t>
  </si>
  <si>
    <t xml:space="preserve">Interior Doors|Aluminium / Glass door</t>
  </si>
  <si>
    <t xml:space="preserve">Interior Doors|Door ironmongery</t>
  </si>
  <si>
    <t xml:space="preserve">Interior Doors|Interior window / louver</t>
  </si>
  <si>
    <t xml:space="preserve">Special installation|Gas installation</t>
  </si>
  <si>
    <t xml:space="preserve">Interior Wall Finishes|Plastering</t>
  </si>
  <si>
    <t xml:space="preserve">Interior Wall Finishes|Painting</t>
  </si>
  <si>
    <t xml:space="preserve">Interior Wall Finishes|Wall tiling</t>
  </si>
  <si>
    <t xml:space="preserve">Interior Wall Finishes|Wall cladding</t>
  </si>
  <si>
    <t xml:space="preserve">Interior Wall Finishes|Skirting</t>
  </si>
  <si>
    <t xml:space="preserve">Interior Floor Finishes|Screeding</t>
  </si>
  <si>
    <t xml:space="preserve">Interior Floor Finishes|Floor tiling</t>
  </si>
  <si>
    <t xml:space="preserve">Interior Floor Finishes|Stone flooring</t>
  </si>
  <si>
    <t xml:space="preserve">Interior Floor Finishes|Resilient flooring</t>
  </si>
  <si>
    <t xml:space="preserve">Interior Floor Finishes|Waterproofing</t>
  </si>
  <si>
    <t xml:space="preserve">Interior Floor Finishes|Floor accessories</t>
  </si>
  <si>
    <t xml:space="preserve">Ceiling Finishes|Suspended ceiling</t>
  </si>
  <si>
    <t xml:space="preserve">Ceiling Finishes|Acoustic ceiling</t>
  </si>
  <si>
    <t xml:space="preserve">Ceiling Finishes|Metal ceiling</t>
  </si>
  <si>
    <t xml:space="preserve">Ceiling Finishes|Ceiling accessories</t>
  </si>
  <si>
    <t xml:space="preserve">Fittings, furnishings and equipment|General Fitting</t>
  </si>
  <si>
    <t xml:space="preserve">Fittings, furnishings and equipment|Kitchen Fitting</t>
  </si>
  <si>
    <t xml:space="preserve">Fittings, furnishings and equipment|Special purpose Fitting</t>
  </si>
  <si>
    <t xml:space="preserve">Fittings, furnishings and equipment|Signage</t>
  </si>
  <si>
    <t xml:space="preserve">Sanitary Installations|Sanitary ware</t>
  </si>
  <si>
    <t xml:space="preserve">Sanitary Installations|Sanitary fitting</t>
  </si>
  <si>
    <t xml:space="preserve">Sanitary Installations|Sanitary accessories</t>
  </si>
  <si>
    <t xml:space="preserve">AIR-CONDITIONAL SYSTEM|Split unit system</t>
  </si>
  <si>
    <t xml:space="preserve">AIR-CONDITIONAL SYSTEM|VRF / VRV system</t>
  </si>
  <si>
    <t xml:space="preserve">AIR-CONDITIONAL SYSTEM|Chilled water system</t>
  </si>
  <si>
    <t xml:space="preserve">AIR-CONDITIONAL SYSTEM|AC piping &amp; accessories</t>
  </si>
  <si>
    <t xml:space="preserve">MECHANICAL VENTILATION SYSTEM|Ventilation fan</t>
  </si>
  <si>
    <t xml:space="preserve">MECHANICAL VENTILATION SYSTEM|Specialist ventilation</t>
  </si>
  <si>
    <t xml:space="preserve">MV DISTRIBUTION SYSTEM|Ductwork</t>
  </si>
  <si>
    <t xml:space="preserve">MV DISTRIBUTION SYSTEM|Air terminal</t>
  </si>
  <si>
    <t xml:space="preserve">MV DISTRIBUTION SYSTEM|Damper &amp; control</t>
  </si>
  <si>
    <t xml:space="preserve">ELECTRICAL SYSTEM|Main distribution</t>
  </si>
  <si>
    <t xml:space="preserve">ELECTRICAL SYSTEM|Cable &amp; containment</t>
  </si>
  <si>
    <t xml:space="preserve">ELECTRICAL SYSTEM|Power &amp; wiring accessories</t>
  </si>
  <si>
    <t xml:space="preserve">ELECTRICAL SYSTEM|Lighting</t>
  </si>
  <si>
    <t xml:space="preserve">ELECTRICAL SYSTEM|Earthing &amp; lightning protection</t>
  </si>
  <si>
    <t xml:space="preserve">ELECTRICAL SYSTEM|Standby power</t>
  </si>
  <si>
    <t xml:space="preserve">ELV INSTALLATION|Fire alarm system</t>
  </si>
  <si>
    <t xml:space="preserve">ELV INSTALLATION|Security system</t>
  </si>
  <si>
    <t xml:space="preserve">ELV INSTALLATION|Communication system</t>
  </si>
  <si>
    <t xml:space="preserve">ELV INSTALLATION|Audio visual &amp; school system</t>
  </si>
  <si>
    <t xml:space="preserve">ELV INSTALLATION|Building management</t>
  </si>
  <si>
    <t xml:space="preserve">PLUMBING SYSTEM|Water supply</t>
  </si>
  <si>
    <t xml:space="preserve">PLUMBING SYSTEM|Water storage &amp; pump</t>
  </si>
  <si>
    <t xml:space="preserve">PLUMBING SYSTEM|Drainage</t>
  </si>
  <si>
    <t xml:space="preserve">PLUMBING SYSTEM|Sewage treatment</t>
  </si>
  <si>
    <t xml:space="preserve">FIRE FIGHTING SYSTEM|Hydrant &amp; hose reel</t>
  </si>
  <si>
    <t xml:space="preserve">FIRE FIGHTING SYSTEM|Sprinkler system</t>
  </si>
  <si>
    <t xml:space="preserve">FIRE FIGHTING SYSTEM|Fire pump &amp; tank</t>
  </si>
  <si>
    <t xml:space="preserve">FIRE FIGHTING SYSTEM|Portable &amp; special suppression</t>
  </si>
  <si>
    <t xml:space="preserve">Specialist Installations|Renewable &amp; specialist</t>
  </si>
  <si>
    <t xml:space="preserve">VERTICAL TRANSPORTATION SYSTEM|Lift</t>
  </si>
  <si>
    <t xml:space="preserve">VERTICAL TRANSPORTATION SYSTEM|Escalator</t>
  </si>
  <si>
    <t xml:space="preserve">VERTICAL TRANSPORTATION SYSTEM|Lift shaft equipment</t>
  </si>
  <si>
    <t xml:space="preserve">Services|Testing &amp; Commissioning</t>
  </si>
  <si>
    <t xml:space="preserve">External Work|Site preparation</t>
  </si>
  <si>
    <t xml:space="preserve">External Work|Roads, path, paving</t>
  </si>
  <si>
    <t xml:space="preserve">External Work|Landscape</t>
  </si>
  <si>
    <t xml:space="preserve">External Work|Fence, railing &amp; wall</t>
  </si>
  <si>
    <t xml:space="preserve">External Work|External fixture</t>
  </si>
  <si>
    <t xml:space="preserve">Interior Floor Finishes|Toilet Floor tile</t>
  </si>
  <si>
    <t xml:space="preserve">Interior Wall Finishes|Toilet Wall tile</t>
  </si>
  <si>
    <t xml:space="preserve">Interior Floor Finishes|Toilet Floor tile|Toilet Floor tile</t>
  </si>
  <si>
    <t xml:space="preserve">Interior Wall Finishes|Toilet Wall tile|Toilet Wall tile</t>
  </si>
  <si>
    <t xml:space="preserve">NAMING STANDARD &amp; DUPLICATE WARNING</t>
  </si>
  <si>
    <t xml:space="preserve">Inconsistent spelling splits SUMIFS roll-ups. These variants exist in the current project file — standardise on the left column.</t>
  </si>
  <si>
    <t xml:space="preserve">Use this (standard)</t>
  </si>
  <si>
    <t xml:space="preserve">Do NOT use (variant found)</t>
  </si>
  <si>
    <t xml:space="preserve">Why it matters</t>
  </si>
  <si>
    <t xml:space="preserve">Internal Wall Finishes</t>
  </si>
  <si>
    <t xml:space="preserve">Two spellings = two separate D.01 groups in the BoQ</t>
  </si>
  <si>
    <t xml:space="preserve">Internal Floor Finishes</t>
  </si>
  <si>
    <t xml:space="preserve">Two spellings = two separate D.02 groups</t>
  </si>
  <si>
    <t xml:space="preserve">Ceiling Finshes</t>
  </si>
  <si>
    <t xml:space="preserve">Typo in current file — breaks lookup against Budget Code list</t>
  </si>
  <si>
    <t xml:space="preserve">External Wall and Partition</t>
  </si>
  <si>
    <t xml:space="preserve">Budget Code C.01 wording</t>
  </si>
  <si>
    <t xml:space="preserve">External Windows and Louvers</t>
  </si>
  <si>
    <t xml:space="preserve">Budget Code C.04 wording</t>
  </si>
  <si>
    <t xml:space="preserve">Interior Door</t>
  </si>
  <si>
    <t xml:space="preserve">Budget Code C.10 wording</t>
  </si>
  <si>
    <t xml:space="preserve">Keep Sub Section = Handrail; put location in Sub Element / Description</t>
  </si>
  <si>
    <t xml:space="preserve">(no trailing spaces)</t>
  </si>
  <si>
    <t xml:space="preserve">"Formwork " / "Marble on staircase "</t>
  </si>
  <si>
    <t xml:space="preserve">Trailing spaces silently zero-out SUMIFS — always TRIM</t>
  </si>
  <si>
    <t xml:space="preserve">RULES OF USE</t>
  </si>
  <si>
    <t xml:space="preserve">1.  Section = Budget Code element (e.g. Interior Wall Finishes). One Section = one Budget Code.</t>
  </si>
  <si>
    <t xml:space="preserve">2.  Sub Section = work type / trade package (e.g. Plastering, Hollow clay brick, Lighting).</t>
  </si>
  <si>
    <t xml:space="preserve">3.  Sub Element = the item measured (e.g. Toilet Wall tile, Emergency light).</t>
  </si>
  <si>
    <t xml:space="preserve">4.  Description (Material Type) = the priced specification wording. THIS is what the rate attaches to.</t>
  </si>
  <si>
    <t xml:space="preserve">5.  Structure differs: Sub Section = structural element (Structural Beam); Sub Element = work type (Concrete, Rebar, Formwork).</t>
  </si>
  <si>
    <t xml:space="preserve">6.  Descriptions marked "In Price List = Yes" already carry a rate in the current project — reuse them for consistency.</t>
  </si>
  <si>
    <t xml:space="preserve">7.  Always edit sizes / grades in the Description to match the specification before pricing.</t>
  </si>
  <si>
    <t xml:space="preserve">8.  Never retype a Section or Description — copy from this library so the spelling never drifts.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</si>
</sst>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BFBFBF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9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548235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A6A6A6"/>
      <rgbColor rgb="FF003366"/>
      <rgbColor rgb="FF548235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28"/>
    <col collapsed="false" customWidth="true" hidden="false" outlineLevel="0" max="5" min="5" style="0" width="27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58"/>
    <col collapsed="false" customWidth="true" hidden="true" outlineLevel="0" max="10" min="10" style="0" width="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117.9" hidden="false" customHeight="false" outlineLevel="0" collapsed="false">
      <c r="A6" s="5" t="n">
        <v>1</v>
      </c>
      <c r="B6" s="6" t="s">
        <v>13</v>
      </c>
      <c r="C6" s="7" t="s">
        <v>14</v>
      </c>
      <c r="D6" s="8" t="s">
        <v>15</v>
      </c>
      <c r="E6" s="8" t="s">
        <v>16</v>
      </c>
      <c r="F6" s="8" t="s">
        <v>17</v>
      </c>
      <c r="G6" s="5" t="s">
        <v>18</v>
      </c>
      <c r="H6" s="5" t="n">
        <v>1</v>
      </c>
      <c r="I6" s="8" t="s">
        <v>19</v>
      </c>
      <c r="J6" s="9" t="s">
        <v>20</v>
      </c>
    </row>
    <row r="7" customFormat="false" ht="117.9" hidden="false" customHeight="false" outlineLevel="0" collapsed="false">
      <c r="A7" s="5" t="n">
        <v>2</v>
      </c>
      <c r="B7" s="6" t="s">
        <v>13</v>
      </c>
      <c r="C7" s="7" t="s">
        <v>14</v>
      </c>
      <c r="D7" s="8" t="s">
        <v>15</v>
      </c>
      <c r="E7" s="8" t="s">
        <v>16</v>
      </c>
      <c r="F7" s="8" t="s">
        <v>21</v>
      </c>
      <c r="G7" s="5" t="s">
        <v>22</v>
      </c>
      <c r="H7" s="5" t="n">
        <v>1</v>
      </c>
      <c r="I7" s="8" t="s">
        <v>23</v>
      </c>
      <c r="J7" s="9" t="s">
        <v>24</v>
      </c>
    </row>
    <row r="8" customFormat="false" ht="108.95" hidden="false" customHeight="false" outlineLevel="0" collapsed="false">
      <c r="A8" s="5" t="n">
        <v>3</v>
      </c>
      <c r="B8" s="6" t="s">
        <v>13</v>
      </c>
      <c r="C8" s="7" t="s">
        <v>14</v>
      </c>
      <c r="D8" s="8" t="s">
        <v>15</v>
      </c>
      <c r="E8" s="8" t="s">
        <v>16</v>
      </c>
      <c r="F8" s="8" t="s">
        <v>25</v>
      </c>
      <c r="G8" s="5" t="s">
        <v>22</v>
      </c>
      <c r="H8" s="5" t="n">
        <v>1</v>
      </c>
      <c r="I8" s="8" t="s">
        <v>26</v>
      </c>
      <c r="J8" s="9" t="s">
        <v>27</v>
      </c>
    </row>
    <row r="9" customFormat="false" ht="117.9" hidden="false" customHeight="false" outlineLevel="0" collapsed="false">
      <c r="A9" s="5" t="n">
        <v>4</v>
      </c>
      <c r="B9" s="6" t="s">
        <v>13</v>
      </c>
      <c r="C9" s="7" t="s">
        <v>14</v>
      </c>
      <c r="D9" s="8" t="s">
        <v>15</v>
      </c>
      <c r="E9" s="8" t="s">
        <v>16</v>
      </c>
      <c r="F9" s="8" t="s">
        <v>28</v>
      </c>
      <c r="G9" s="5" t="s">
        <v>22</v>
      </c>
      <c r="H9" s="5" t="n">
        <v>1</v>
      </c>
      <c r="I9" s="8" t="s">
        <v>29</v>
      </c>
      <c r="J9" s="9" t="s">
        <v>30</v>
      </c>
    </row>
    <row r="10" customFormat="false" ht="117.9" hidden="false" customHeight="false" outlineLevel="0" collapsed="false">
      <c r="A10" s="5" t="n">
        <v>5</v>
      </c>
      <c r="B10" s="6" t="s">
        <v>13</v>
      </c>
      <c r="C10" s="7" t="s">
        <v>14</v>
      </c>
      <c r="D10" s="8" t="s">
        <v>15</v>
      </c>
      <c r="E10" s="8" t="s">
        <v>16</v>
      </c>
      <c r="F10" s="8" t="s">
        <v>31</v>
      </c>
      <c r="G10" s="5" t="s">
        <v>18</v>
      </c>
      <c r="H10" s="5" t="n">
        <v>1</v>
      </c>
      <c r="I10" s="8" t="s">
        <v>32</v>
      </c>
      <c r="J10" s="9" t="s">
        <v>33</v>
      </c>
    </row>
    <row r="11" customFormat="false" ht="117.9" hidden="false" customHeight="false" outlineLevel="0" collapsed="false">
      <c r="A11" s="5" t="n">
        <v>6</v>
      </c>
      <c r="B11" s="6" t="s">
        <v>13</v>
      </c>
      <c r="C11" s="7" t="s">
        <v>14</v>
      </c>
      <c r="D11" s="8" t="s">
        <v>15</v>
      </c>
      <c r="E11" s="8" t="s">
        <v>16</v>
      </c>
      <c r="F11" s="8" t="s">
        <v>34</v>
      </c>
      <c r="G11" s="5" t="s">
        <v>35</v>
      </c>
      <c r="H11" s="5" t="n">
        <v>1</v>
      </c>
      <c r="I11" s="8" t="s">
        <v>36</v>
      </c>
      <c r="J11" s="9" t="s">
        <v>37</v>
      </c>
    </row>
    <row r="12" customFormat="false" ht="144.75" hidden="false" customHeight="false" outlineLevel="0" collapsed="false">
      <c r="A12" s="5" t="n">
        <v>7</v>
      </c>
      <c r="B12" s="6" t="s">
        <v>13</v>
      </c>
      <c r="C12" s="7" t="s">
        <v>14</v>
      </c>
      <c r="D12" s="8" t="s">
        <v>15</v>
      </c>
      <c r="E12" s="8" t="s">
        <v>16</v>
      </c>
      <c r="F12" s="8" t="s">
        <v>38</v>
      </c>
      <c r="G12" s="5" t="s">
        <v>18</v>
      </c>
      <c r="H12" s="5" t="n">
        <v>1</v>
      </c>
      <c r="I12" s="8" t="s">
        <v>39</v>
      </c>
      <c r="J12" s="9" t="s">
        <v>40</v>
      </c>
    </row>
    <row r="13" customFormat="false" ht="135.8" hidden="false" customHeight="false" outlineLevel="0" collapsed="false">
      <c r="A13" s="5" t="n">
        <v>8</v>
      </c>
      <c r="B13" s="6" t="s">
        <v>13</v>
      </c>
      <c r="C13" s="7" t="s">
        <v>41</v>
      </c>
      <c r="D13" s="8" t="s">
        <v>15</v>
      </c>
      <c r="E13" s="8" t="s">
        <v>42</v>
      </c>
      <c r="F13" s="8" t="s">
        <v>43</v>
      </c>
      <c r="G13" s="5" t="s">
        <v>18</v>
      </c>
      <c r="H13" s="5" t="n">
        <v>1</v>
      </c>
      <c r="I13" s="8" t="s">
        <v>44</v>
      </c>
      <c r="J13" s="9" t="s">
        <v>45</v>
      </c>
    </row>
    <row r="14" customFormat="false" ht="135.8" hidden="false" customHeight="false" outlineLevel="0" collapsed="false">
      <c r="A14" s="5" t="n">
        <v>9</v>
      </c>
      <c r="B14" s="6" t="s">
        <v>13</v>
      </c>
      <c r="C14" s="7" t="s">
        <v>41</v>
      </c>
      <c r="D14" s="8" t="s">
        <v>15</v>
      </c>
      <c r="E14" s="8" t="s">
        <v>42</v>
      </c>
      <c r="F14" s="8" t="s">
        <v>46</v>
      </c>
      <c r="G14" s="5" t="s">
        <v>18</v>
      </c>
      <c r="H14" s="5" t="n">
        <v>1</v>
      </c>
      <c r="I14" s="8" t="s">
        <v>47</v>
      </c>
      <c r="J14" s="9" t="s">
        <v>48</v>
      </c>
    </row>
    <row r="15" customFormat="false" ht="144.75" hidden="false" customHeight="false" outlineLevel="0" collapsed="false">
      <c r="A15" s="5" t="n">
        <v>10</v>
      </c>
      <c r="B15" s="6" t="s">
        <v>13</v>
      </c>
      <c r="C15" s="7" t="s">
        <v>41</v>
      </c>
      <c r="D15" s="8" t="s">
        <v>15</v>
      </c>
      <c r="E15" s="8" t="s">
        <v>42</v>
      </c>
      <c r="F15" s="8" t="s">
        <v>49</v>
      </c>
      <c r="G15" s="5" t="s">
        <v>18</v>
      </c>
      <c r="H15" s="5" t="n">
        <v>1</v>
      </c>
      <c r="I15" s="8" t="s">
        <v>50</v>
      </c>
      <c r="J15" s="9" t="s">
        <v>51</v>
      </c>
    </row>
    <row r="16" customFormat="false" ht="126.85" hidden="false" customHeight="false" outlineLevel="0" collapsed="false">
      <c r="A16" s="5" t="n">
        <v>11</v>
      </c>
      <c r="B16" s="6" t="s">
        <v>13</v>
      </c>
      <c r="C16" s="7" t="s">
        <v>41</v>
      </c>
      <c r="D16" s="8" t="s">
        <v>15</v>
      </c>
      <c r="E16" s="8" t="s">
        <v>42</v>
      </c>
      <c r="F16" s="8" t="s">
        <v>52</v>
      </c>
      <c r="G16" s="5" t="s">
        <v>53</v>
      </c>
      <c r="H16" s="5" t="n">
        <v>1</v>
      </c>
      <c r="I16" s="8" t="s">
        <v>54</v>
      </c>
      <c r="J16" s="9" t="s">
        <v>55</v>
      </c>
    </row>
    <row r="17" customFormat="false" ht="126.85" hidden="false" customHeight="false" outlineLevel="0" collapsed="false">
      <c r="A17" s="5" t="n">
        <v>12</v>
      </c>
      <c r="B17" s="6" t="s">
        <v>13</v>
      </c>
      <c r="C17" s="7" t="s">
        <v>41</v>
      </c>
      <c r="D17" s="8" t="s">
        <v>15</v>
      </c>
      <c r="E17" s="8" t="s">
        <v>42</v>
      </c>
      <c r="F17" s="8" t="s">
        <v>56</v>
      </c>
      <c r="G17" s="5" t="s">
        <v>57</v>
      </c>
      <c r="H17" s="5" t="n">
        <v>1</v>
      </c>
      <c r="I17" s="8" t="s">
        <v>58</v>
      </c>
      <c r="J17" s="9" t="s">
        <v>59</v>
      </c>
    </row>
    <row r="18" customFormat="false" ht="117.9" hidden="false" customHeight="false" outlineLevel="0" collapsed="false">
      <c r="A18" s="5" t="n">
        <v>13</v>
      </c>
      <c r="B18" s="6" t="s">
        <v>13</v>
      </c>
      <c r="C18" s="7" t="s">
        <v>41</v>
      </c>
      <c r="D18" s="8" t="s">
        <v>15</v>
      </c>
      <c r="E18" s="8" t="s">
        <v>42</v>
      </c>
      <c r="F18" s="8" t="s">
        <v>60</v>
      </c>
      <c r="G18" s="5" t="s">
        <v>61</v>
      </c>
      <c r="H18" s="5" t="n">
        <v>1</v>
      </c>
      <c r="I18" s="8" t="s">
        <v>62</v>
      </c>
      <c r="J18" s="9" t="s">
        <v>63</v>
      </c>
    </row>
    <row r="19" customFormat="false" ht="108.95" hidden="false" customHeight="false" outlineLevel="0" collapsed="false">
      <c r="A19" s="5" t="n">
        <v>14</v>
      </c>
      <c r="B19" s="6" t="s">
        <v>13</v>
      </c>
      <c r="C19" s="7" t="s">
        <v>64</v>
      </c>
      <c r="D19" s="8" t="s">
        <v>15</v>
      </c>
      <c r="E19" s="8" t="s">
        <v>65</v>
      </c>
      <c r="F19" s="8" t="s">
        <v>66</v>
      </c>
      <c r="G19" s="5" t="s">
        <v>61</v>
      </c>
      <c r="H19" s="5" t="n">
        <v>2</v>
      </c>
      <c r="I19" s="8" t="s">
        <v>67</v>
      </c>
      <c r="J19" s="9" t="s">
        <v>68</v>
      </c>
    </row>
    <row r="20" customFormat="false" ht="82.05" hidden="false" customHeight="false" outlineLevel="0" collapsed="false">
      <c r="A20" s="5" t="n">
        <v>15</v>
      </c>
      <c r="B20" s="6" t="s">
        <v>13</v>
      </c>
      <c r="C20" s="7" t="s">
        <v>64</v>
      </c>
      <c r="D20" s="8" t="s">
        <v>15</v>
      </c>
      <c r="E20" s="8" t="s">
        <v>65</v>
      </c>
      <c r="F20" s="8" t="s">
        <v>69</v>
      </c>
      <c r="G20" s="5" t="s">
        <v>22</v>
      </c>
      <c r="H20" s="5" t="n">
        <v>4</v>
      </c>
      <c r="I20" s="8" t="s">
        <v>70</v>
      </c>
      <c r="J20" s="9" t="s">
        <v>71</v>
      </c>
    </row>
    <row r="21" customFormat="false" ht="82.05" hidden="false" customHeight="false" outlineLevel="0" collapsed="false">
      <c r="A21" s="5" t="n">
        <v>16</v>
      </c>
      <c r="B21" s="6" t="s">
        <v>13</v>
      </c>
      <c r="C21" s="7" t="s">
        <v>64</v>
      </c>
      <c r="D21" s="8" t="s">
        <v>15</v>
      </c>
      <c r="E21" s="8" t="s">
        <v>65</v>
      </c>
      <c r="F21" s="8" t="s">
        <v>72</v>
      </c>
      <c r="G21" s="5" t="s">
        <v>53</v>
      </c>
      <c r="H21" s="5" t="n">
        <v>9</v>
      </c>
      <c r="I21" s="8" t="s">
        <v>73</v>
      </c>
      <c r="J21" s="9" t="s">
        <v>74</v>
      </c>
    </row>
    <row r="22" customFormat="false" ht="91" hidden="false" customHeight="false" outlineLevel="0" collapsed="false">
      <c r="A22" s="5" t="n">
        <v>17</v>
      </c>
      <c r="B22" s="6" t="s">
        <v>13</v>
      </c>
      <c r="C22" s="7" t="s">
        <v>64</v>
      </c>
      <c r="D22" s="8" t="s">
        <v>15</v>
      </c>
      <c r="E22" s="8" t="s">
        <v>65</v>
      </c>
      <c r="F22" s="8" t="s">
        <v>75</v>
      </c>
      <c r="G22" s="5" t="s">
        <v>53</v>
      </c>
      <c r="H22" s="5" t="n">
        <v>1</v>
      </c>
      <c r="I22" s="8" t="s">
        <v>76</v>
      </c>
      <c r="J22" s="9" t="s">
        <v>77</v>
      </c>
    </row>
    <row r="23" customFormat="false" ht="108.95" hidden="false" customHeight="false" outlineLevel="0" collapsed="false">
      <c r="A23" s="5" t="n">
        <v>18</v>
      </c>
      <c r="B23" s="6" t="s">
        <v>13</v>
      </c>
      <c r="C23" s="7" t="s">
        <v>64</v>
      </c>
      <c r="D23" s="8" t="s">
        <v>15</v>
      </c>
      <c r="E23" s="8" t="s">
        <v>65</v>
      </c>
      <c r="F23" s="8" t="s">
        <v>78</v>
      </c>
      <c r="G23" s="5" t="s">
        <v>53</v>
      </c>
      <c r="H23" s="5" t="n">
        <v>1</v>
      </c>
      <c r="I23" s="8" t="s">
        <v>79</v>
      </c>
      <c r="J23" s="9" t="s">
        <v>80</v>
      </c>
    </row>
    <row r="24" customFormat="false" ht="108.95" hidden="false" customHeight="false" outlineLevel="0" collapsed="false">
      <c r="A24" s="5" t="n">
        <v>19</v>
      </c>
      <c r="B24" s="6" t="s">
        <v>13</v>
      </c>
      <c r="C24" s="7" t="s">
        <v>64</v>
      </c>
      <c r="D24" s="8" t="s">
        <v>15</v>
      </c>
      <c r="E24" s="8" t="s">
        <v>65</v>
      </c>
      <c r="F24" s="8" t="s">
        <v>81</v>
      </c>
      <c r="G24" s="5" t="s">
        <v>35</v>
      </c>
      <c r="H24" s="5" t="n">
        <v>1</v>
      </c>
      <c r="I24" s="8" t="s">
        <v>82</v>
      </c>
      <c r="J24" s="9" t="s">
        <v>83</v>
      </c>
    </row>
    <row r="25" customFormat="false" ht="126.85" hidden="false" customHeight="false" outlineLevel="0" collapsed="false">
      <c r="A25" s="5" t="n">
        <v>20</v>
      </c>
      <c r="B25" s="6" t="s">
        <v>13</v>
      </c>
      <c r="C25" s="7" t="s">
        <v>64</v>
      </c>
      <c r="D25" s="8" t="s">
        <v>15</v>
      </c>
      <c r="E25" s="8" t="s">
        <v>65</v>
      </c>
      <c r="F25" s="8" t="s">
        <v>84</v>
      </c>
      <c r="G25" s="5" t="s">
        <v>57</v>
      </c>
      <c r="H25" s="5" t="n">
        <v>2</v>
      </c>
      <c r="I25" s="8" t="s">
        <v>85</v>
      </c>
      <c r="J25" s="9" t="s">
        <v>86</v>
      </c>
    </row>
    <row r="26" customFormat="false" ht="108.95" hidden="false" customHeight="false" outlineLevel="0" collapsed="false">
      <c r="A26" s="5" t="n">
        <v>21</v>
      </c>
      <c r="B26" s="6" t="s">
        <v>13</v>
      </c>
      <c r="C26" s="7" t="s">
        <v>64</v>
      </c>
      <c r="D26" s="8" t="s">
        <v>15</v>
      </c>
      <c r="E26" s="8" t="s">
        <v>65</v>
      </c>
      <c r="F26" s="8" t="s">
        <v>87</v>
      </c>
      <c r="G26" s="5" t="s">
        <v>57</v>
      </c>
      <c r="H26" s="5" t="n">
        <v>2</v>
      </c>
      <c r="I26" s="8" t="s">
        <v>88</v>
      </c>
      <c r="J26" s="9" t="s">
        <v>89</v>
      </c>
    </row>
    <row r="27" customFormat="false" ht="108.95" hidden="false" customHeight="false" outlineLevel="0" collapsed="false">
      <c r="A27" s="5" t="n">
        <v>22</v>
      </c>
      <c r="B27" s="6" t="s">
        <v>13</v>
      </c>
      <c r="C27" s="7" t="s">
        <v>64</v>
      </c>
      <c r="D27" s="8" t="s">
        <v>15</v>
      </c>
      <c r="E27" s="8" t="s">
        <v>65</v>
      </c>
      <c r="F27" s="8" t="s">
        <v>90</v>
      </c>
      <c r="G27" s="5" t="s">
        <v>57</v>
      </c>
      <c r="H27" s="5" t="n">
        <v>2</v>
      </c>
      <c r="I27" s="8" t="s">
        <v>91</v>
      </c>
      <c r="J27" s="9" t="s">
        <v>92</v>
      </c>
    </row>
    <row r="28" customFormat="false" ht="91" hidden="false" customHeight="false" outlineLevel="0" collapsed="false">
      <c r="A28" s="5" t="n">
        <v>23</v>
      </c>
      <c r="B28" s="6" t="s">
        <v>13</v>
      </c>
      <c r="C28" s="7" t="s">
        <v>64</v>
      </c>
      <c r="D28" s="8" t="s">
        <v>15</v>
      </c>
      <c r="E28" s="8" t="s">
        <v>65</v>
      </c>
      <c r="F28" s="8" t="s">
        <v>93</v>
      </c>
      <c r="G28" s="5" t="s">
        <v>57</v>
      </c>
      <c r="H28" s="5" t="n">
        <v>2</v>
      </c>
      <c r="I28" s="8" t="s">
        <v>94</v>
      </c>
      <c r="J28" s="9" t="s">
        <v>95</v>
      </c>
    </row>
    <row r="29" customFormat="false" ht="99.95" hidden="false" customHeight="false" outlineLevel="0" collapsed="false">
      <c r="A29" s="5" t="n">
        <v>24</v>
      </c>
      <c r="B29" s="6" t="s">
        <v>13</v>
      </c>
      <c r="C29" s="7" t="s">
        <v>64</v>
      </c>
      <c r="D29" s="8" t="s">
        <v>15</v>
      </c>
      <c r="E29" s="8" t="s">
        <v>65</v>
      </c>
      <c r="F29" s="8" t="s">
        <v>96</v>
      </c>
      <c r="G29" s="5" t="s">
        <v>57</v>
      </c>
      <c r="H29" s="5" t="n">
        <v>1</v>
      </c>
      <c r="I29" s="8" t="s">
        <v>97</v>
      </c>
      <c r="J29" s="9" t="s">
        <v>98</v>
      </c>
    </row>
    <row r="30" customFormat="false" ht="99.95" hidden="false" customHeight="false" outlineLevel="0" collapsed="false">
      <c r="A30" s="5" t="n">
        <v>25</v>
      </c>
      <c r="B30" s="6" t="s">
        <v>13</v>
      </c>
      <c r="C30" s="7" t="s">
        <v>64</v>
      </c>
      <c r="D30" s="8" t="s">
        <v>15</v>
      </c>
      <c r="E30" s="8" t="s">
        <v>65</v>
      </c>
      <c r="F30" s="8" t="s">
        <v>99</v>
      </c>
      <c r="G30" s="5" t="s">
        <v>57</v>
      </c>
      <c r="H30" s="5" t="n">
        <v>1</v>
      </c>
      <c r="I30" s="8" t="s">
        <v>100</v>
      </c>
      <c r="J30" s="9" t="s">
        <v>101</v>
      </c>
    </row>
    <row r="31" customFormat="false" ht="117.9" hidden="false" customHeight="false" outlineLevel="0" collapsed="false">
      <c r="A31" s="5" t="n">
        <v>26</v>
      </c>
      <c r="B31" s="6" t="s">
        <v>13</v>
      </c>
      <c r="C31" s="7" t="s">
        <v>64</v>
      </c>
      <c r="D31" s="8" t="s">
        <v>15</v>
      </c>
      <c r="E31" s="8" t="s">
        <v>102</v>
      </c>
      <c r="F31" s="8" t="s">
        <v>103</v>
      </c>
      <c r="G31" s="5" t="s">
        <v>61</v>
      </c>
      <c r="H31" s="5" t="n">
        <v>1</v>
      </c>
      <c r="I31" s="8" t="s">
        <v>104</v>
      </c>
      <c r="J31" s="9" t="s">
        <v>105</v>
      </c>
    </row>
    <row r="32" customFormat="false" ht="117.9" hidden="false" customHeight="false" outlineLevel="0" collapsed="false">
      <c r="A32" s="5" t="n">
        <v>27</v>
      </c>
      <c r="B32" s="6" t="s">
        <v>13</v>
      </c>
      <c r="C32" s="7" t="s">
        <v>64</v>
      </c>
      <c r="D32" s="8" t="s">
        <v>15</v>
      </c>
      <c r="E32" s="8" t="s">
        <v>102</v>
      </c>
      <c r="F32" s="8" t="s">
        <v>106</v>
      </c>
      <c r="G32" s="5" t="s">
        <v>61</v>
      </c>
      <c r="H32" s="5" t="n">
        <v>1</v>
      </c>
      <c r="I32" s="8" t="s">
        <v>107</v>
      </c>
      <c r="J32" s="9" t="s">
        <v>108</v>
      </c>
    </row>
    <row r="33" customFormat="false" ht="117.9" hidden="false" customHeight="false" outlineLevel="0" collapsed="false">
      <c r="A33" s="5" t="n">
        <v>28</v>
      </c>
      <c r="B33" s="6" t="s">
        <v>13</v>
      </c>
      <c r="C33" s="7" t="s">
        <v>64</v>
      </c>
      <c r="D33" s="8" t="s">
        <v>15</v>
      </c>
      <c r="E33" s="8" t="s">
        <v>102</v>
      </c>
      <c r="F33" s="8" t="s">
        <v>109</v>
      </c>
      <c r="G33" s="5" t="s">
        <v>57</v>
      </c>
      <c r="H33" s="5" t="n">
        <v>1</v>
      </c>
      <c r="I33" s="8" t="s">
        <v>110</v>
      </c>
      <c r="J33" s="9" t="s">
        <v>111</v>
      </c>
    </row>
    <row r="34" customFormat="false" ht="135.8" hidden="false" customHeight="false" outlineLevel="0" collapsed="false">
      <c r="A34" s="5" t="n">
        <v>29</v>
      </c>
      <c r="B34" s="6" t="s">
        <v>13</v>
      </c>
      <c r="C34" s="7" t="s">
        <v>64</v>
      </c>
      <c r="D34" s="8" t="s">
        <v>15</v>
      </c>
      <c r="E34" s="8" t="s">
        <v>102</v>
      </c>
      <c r="F34" s="8" t="s">
        <v>112</v>
      </c>
      <c r="G34" s="5" t="s">
        <v>57</v>
      </c>
      <c r="H34" s="5" t="n">
        <v>1</v>
      </c>
      <c r="I34" s="8" t="s">
        <v>113</v>
      </c>
      <c r="J34" s="9" t="s">
        <v>114</v>
      </c>
    </row>
    <row r="35" customFormat="false" ht="117.9" hidden="false" customHeight="false" outlineLevel="0" collapsed="false">
      <c r="A35" s="5" t="n">
        <v>30</v>
      </c>
      <c r="B35" s="6" t="s">
        <v>13</v>
      </c>
      <c r="C35" s="7" t="s">
        <v>64</v>
      </c>
      <c r="D35" s="8" t="s">
        <v>15</v>
      </c>
      <c r="E35" s="8" t="s">
        <v>102</v>
      </c>
      <c r="F35" s="8" t="s">
        <v>93</v>
      </c>
      <c r="G35" s="5" t="s">
        <v>57</v>
      </c>
      <c r="H35" s="5" t="n">
        <v>2</v>
      </c>
      <c r="I35" s="8" t="s">
        <v>94</v>
      </c>
      <c r="J35" s="9" t="s">
        <v>115</v>
      </c>
    </row>
    <row r="36" customFormat="false" ht="99.95" hidden="false" customHeight="false" outlineLevel="0" collapsed="false">
      <c r="A36" s="5" t="n">
        <v>31</v>
      </c>
      <c r="B36" s="6" t="s">
        <v>13</v>
      </c>
      <c r="C36" s="7" t="s">
        <v>116</v>
      </c>
      <c r="D36" s="8" t="s">
        <v>15</v>
      </c>
      <c r="E36" s="8" t="s">
        <v>117</v>
      </c>
      <c r="F36" s="8" t="s">
        <v>118</v>
      </c>
      <c r="G36" s="5" t="s">
        <v>22</v>
      </c>
      <c r="H36" s="5" t="n">
        <v>3</v>
      </c>
      <c r="I36" s="8" t="s">
        <v>119</v>
      </c>
      <c r="J36" s="9" t="s">
        <v>120</v>
      </c>
    </row>
    <row r="37" customFormat="false" ht="117.9" hidden="false" customHeight="false" outlineLevel="0" collapsed="false">
      <c r="A37" s="5" t="n">
        <v>32</v>
      </c>
      <c r="B37" s="6" t="s">
        <v>13</v>
      </c>
      <c r="C37" s="7" t="s">
        <v>116</v>
      </c>
      <c r="D37" s="8" t="s">
        <v>15</v>
      </c>
      <c r="E37" s="8" t="s">
        <v>117</v>
      </c>
      <c r="F37" s="8" t="s">
        <v>121</v>
      </c>
      <c r="G37" s="5" t="s">
        <v>18</v>
      </c>
      <c r="H37" s="5" t="n">
        <v>1</v>
      </c>
      <c r="I37" s="8" t="s">
        <v>122</v>
      </c>
      <c r="J37" s="9" t="s">
        <v>123</v>
      </c>
    </row>
    <row r="38" customFormat="false" ht="108.95" hidden="false" customHeight="false" outlineLevel="0" collapsed="false">
      <c r="A38" s="5" t="n">
        <v>33</v>
      </c>
      <c r="B38" s="6" t="s">
        <v>13</v>
      </c>
      <c r="C38" s="7" t="s">
        <v>116</v>
      </c>
      <c r="D38" s="8" t="s">
        <v>15</v>
      </c>
      <c r="E38" s="8" t="s">
        <v>117</v>
      </c>
      <c r="F38" s="8" t="s">
        <v>124</v>
      </c>
      <c r="G38" s="5" t="s">
        <v>22</v>
      </c>
      <c r="H38" s="5" t="n">
        <v>2</v>
      </c>
      <c r="I38" s="8" t="s">
        <v>125</v>
      </c>
      <c r="J38" s="9" t="s">
        <v>126</v>
      </c>
    </row>
    <row r="39" customFormat="false" ht="99.95" hidden="false" customHeight="false" outlineLevel="0" collapsed="false">
      <c r="A39" s="5" t="n">
        <v>34</v>
      </c>
      <c r="B39" s="6" t="s">
        <v>13</v>
      </c>
      <c r="C39" s="7" t="s">
        <v>116</v>
      </c>
      <c r="D39" s="8" t="s">
        <v>15</v>
      </c>
      <c r="E39" s="8" t="s">
        <v>117</v>
      </c>
      <c r="F39" s="8" t="s">
        <v>127</v>
      </c>
      <c r="G39" s="5" t="s">
        <v>22</v>
      </c>
      <c r="H39" s="5" t="n">
        <v>1</v>
      </c>
      <c r="I39" s="8" t="s">
        <v>128</v>
      </c>
      <c r="J39" s="9" t="s">
        <v>129</v>
      </c>
    </row>
    <row r="40" customFormat="false" ht="91" hidden="false" customHeight="false" outlineLevel="0" collapsed="false">
      <c r="A40" s="5" t="n">
        <v>35</v>
      </c>
      <c r="B40" s="6" t="s">
        <v>13</v>
      </c>
      <c r="C40" s="7" t="s">
        <v>116</v>
      </c>
      <c r="D40" s="8" t="s">
        <v>15</v>
      </c>
      <c r="E40" s="8" t="s">
        <v>117</v>
      </c>
      <c r="F40" s="8" t="s">
        <v>69</v>
      </c>
      <c r="G40" s="5" t="s">
        <v>22</v>
      </c>
      <c r="H40" s="5" t="n">
        <v>4</v>
      </c>
      <c r="I40" s="8" t="s">
        <v>70</v>
      </c>
      <c r="J40" s="9" t="s">
        <v>130</v>
      </c>
    </row>
    <row r="41" customFormat="false" ht="99.95" hidden="false" customHeight="false" outlineLevel="0" collapsed="false">
      <c r="A41" s="5" t="n">
        <v>36</v>
      </c>
      <c r="B41" s="6" t="s">
        <v>13</v>
      </c>
      <c r="C41" s="7" t="s">
        <v>116</v>
      </c>
      <c r="D41" s="8" t="s">
        <v>15</v>
      </c>
      <c r="E41" s="8" t="s">
        <v>117</v>
      </c>
      <c r="F41" s="8" t="s">
        <v>131</v>
      </c>
      <c r="G41" s="5" t="s">
        <v>18</v>
      </c>
      <c r="H41" s="5" t="n">
        <v>3</v>
      </c>
      <c r="I41" s="8" t="s">
        <v>131</v>
      </c>
      <c r="J41" s="9" t="s">
        <v>132</v>
      </c>
    </row>
    <row r="42" customFormat="false" ht="91" hidden="false" customHeight="false" outlineLevel="0" collapsed="false">
      <c r="A42" s="5" t="n">
        <v>37</v>
      </c>
      <c r="B42" s="6" t="s">
        <v>13</v>
      </c>
      <c r="C42" s="7" t="s">
        <v>116</v>
      </c>
      <c r="D42" s="8" t="s">
        <v>15</v>
      </c>
      <c r="E42" s="8" t="s">
        <v>117</v>
      </c>
      <c r="F42" s="8" t="s">
        <v>72</v>
      </c>
      <c r="G42" s="5" t="s">
        <v>53</v>
      </c>
      <c r="H42" s="5" t="n">
        <v>9</v>
      </c>
      <c r="I42" s="8" t="s">
        <v>73</v>
      </c>
      <c r="J42" s="9" t="s">
        <v>133</v>
      </c>
    </row>
    <row r="43" customFormat="false" ht="99.95" hidden="false" customHeight="false" outlineLevel="0" collapsed="false">
      <c r="A43" s="5" t="n">
        <v>38</v>
      </c>
      <c r="B43" s="6" t="s">
        <v>13</v>
      </c>
      <c r="C43" s="7" t="s">
        <v>116</v>
      </c>
      <c r="D43" s="8" t="s">
        <v>15</v>
      </c>
      <c r="E43" s="8" t="s">
        <v>117</v>
      </c>
      <c r="F43" s="8" t="s">
        <v>75</v>
      </c>
      <c r="G43" s="5" t="s">
        <v>53</v>
      </c>
      <c r="H43" s="5" t="n">
        <v>1</v>
      </c>
      <c r="I43" s="8" t="s">
        <v>76</v>
      </c>
      <c r="J43" s="9" t="s">
        <v>134</v>
      </c>
    </row>
    <row r="44" customFormat="false" ht="99.95" hidden="false" customHeight="false" outlineLevel="0" collapsed="false">
      <c r="A44" s="5" t="n">
        <v>39</v>
      </c>
      <c r="B44" s="6" t="s">
        <v>13</v>
      </c>
      <c r="C44" s="7" t="s">
        <v>116</v>
      </c>
      <c r="D44" s="8" t="s">
        <v>15</v>
      </c>
      <c r="E44" s="8" t="s">
        <v>117</v>
      </c>
      <c r="F44" s="8" t="s">
        <v>135</v>
      </c>
      <c r="G44" s="5" t="s">
        <v>61</v>
      </c>
      <c r="H44" s="5" t="n">
        <v>1</v>
      </c>
      <c r="I44" s="8" t="s">
        <v>136</v>
      </c>
      <c r="J44" s="9" t="s">
        <v>137</v>
      </c>
    </row>
    <row r="45" customFormat="false" ht="108.95" hidden="false" customHeight="false" outlineLevel="0" collapsed="false">
      <c r="A45" s="5" t="n">
        <v>40</v>
      </c>
      <c r="B45" s="6" t="s">
        <v>13</v>
      </c>
      <c r="C45" s="7" t="s">
        <v>116</v>
      </c>
      <c r="D45" s="8" t="s">
        <v>15</v>
      </c>
      <c r="E45" s="8" t="s">
        <v>117</v>
      </c>
      <c r="F45" s="8" t="s">
        <v>138</v>
      </c>
      <c r="G45" s="5" t="s">
        <v>18</v>
      </c>
      <c r="H45" s="5" t="n">
        <v>3</v>
      </c>
      <c r="I45" s="8" t="s">
        <v>139</v>
      </c>
      <c r="J45" s="9" t="s">
        <v>140</v>
      </c>
    </row>
    <row r="46" customFormat="false" ht="99.95" hidden="false" customHeight="false" outlineLevel="0" collapsed="false">
      <c r="A46" s="5" t="n">
        <v>41</v>
      </c>
      <c r="B46" s="6" t="s">
        <v>13</v>
      </c>
      <c r="C46" s="7" t="s">
        <v>116</v>
      </c>
      <c r="D46" s="8" t="s">
        <v>15</v>
      </c>
      <c r="E46" s="8" t="s">
        <v>117</v>
      </c>
      <c r="F46" s="8" t="s">
        <v>141</v>
      </c>
      <c r="G46" s="5" t="s">
        <v>18</v>
      </c>
      <c r="H46" s="5" t="n">
        <v>1</v>
      </c>
      <c r="I46" s="8" t="s">
        <v>142</v>
      </c>
      <c r="J46" s="9" t="s">
        <v>143</v>
      </c>
    </row>
    <row r="47" customFormat="false" ht="117.9" hidden="false" customHeight="false" outlineLevel="0" collapsed="false">
      <c r="A47" s="5" t="n">
        <v>42</v>
      </c>
      <c r="B47" s="6" t="s">
        <v>13</v>
      </c>
      <c r="C47" s="7" t="s">
        <v>116</v>
      </c>
      <c r="D47" s="8" t="s">
        <v>15</v>
      </c>
      <c r="E47" s="8" t="s">
        <v>144</v>
      </c>
      <c r="F47" s="8" t="s">
        <v>118</v>
      </c>
      <c r="G47" s="5" t="s">
        <v>22</v>
      </c>
      <c r="H47" s="5" t="n">
        <v>3</v>
      </c>
      <c r="I47" s="8" t="s">
        <v>119</v>
      </c>
      <c r="J47" s="9" t="s">
        <v>145</v>
      </c>
    </row>
    <row r="48" customFormat="false" ht="135.8" hidden="false" customHeight="false" outlineLevel="0" collapsed="false">
      <c r="A48" s="5" t="n">
        <v>43</v>
      </c>
      <c r="B48" s="6" t="s">
        <v>13</v>
      </c>
      <c r="C48" s="7" t="s">
        <v>116</v>
      </c>
      <c r="D48" s="8" t="s">
        <v>15</v>
      </c>
      <c r="E48" s="8" t="s">
        <v>144</v>
      </c>
      <c r="F48" s="8" t="s">
        <v>121</v>
      </c>
      <c r="G48" s="5" t="s">
        <v>18</v>
      </c>
      <c r="H48" s="5" t="n">
        <v>1</v>
      </c>
      <c r="I48" s="8" t="s">
        <v>122</v>
      </c>
      <c r="J48" s="9" t="s">
        <v>146</v>
      </c>
    </row>
    <row r="49" customFormat="false" ht="126.85" hidden="false" customHeight="false" outlineLevel="0" collapsed="false">
      <c r="A49" s="5" t="n">
        <v>44</v>
      </c>
      <c r="B49" s="6" t="s">
        <v>13</v>
      </c>
      <c r="C49" s="7" t="s">
        <v>116</v>
      </c>
      <c r="D49" s="8" t="s">
        <v>15</v>
      </c>
      <c r="E49" s="8" t="s">
        <v>144</v>
      </c>
      <c r="F49" s="8" t="s">
        <v>124</v>
      </c>
      <c r="G49" s="5" t="s">
        <v>22</v>
      </c>
      <c r="H49" s="5" t="n">
        <v>2</v>
      </c>
      <c r="I49" s="8" t="s">
        <v>125</v>
      </c>
      <c r="J49" s="9" t="s">
        <v>147</v>
      </c>
    </row>
    <row r="50" customFormat="false" ht="117.9" hidden="false" customHeight="false" outlineLevel="0" collapsed="false">
      <c r="A50" s="5" t="n">
        <v>45</v>
      </c>
      <c r="B50" s="6" t="s">
        <v>13</v>
      </c>
      <c r="C50" s="7" t="s">
        <v>116</v>
      </c>
      <c r="D50" s="8" t="s">
        <v>15</v>
      </c>
      <c r="E50" s="8" t="s">
        <v>144</v>
      </c>
      <c r="F50" s="8" t="s">
        <v>127</v>
      </c>
      <c r="G50" s="5" t="s">
        <v>22</v>
      </c>
      <c r="H50" s="5" t="n">
        <v>1</v>
      </c>
      <c r="I50" s="8" t="s">
        <v>128</v>
      </c>
      <c r="J50" s="9" t="s">
        <v>148</v>
      </c>
    </row>
    <row r="51" customFormat="false" ht="108.95" hidden="false" customHeight="false" outlineLevel="0" collapsed="false">
      <c r="A51" s="5" t="n">
        <v>46</v>
      </c>
      <c r="B51" s="6" t="s">
        <v>13</v>
      </c>
      <c r="C51" s="7" t="s">
        <v>116</v>
      </c>
      <c r="D51" s="8" t="s">
        <v>15</v>
      </c>
      <c r="E51" s="8" t="s">
        <v>144</v>
      </c>
      <c r="F51" s="8" t="s">
        <v>69</v>
      </c>
      <c r="G51" s="5" t="s">
        <v>22</v>
      </c>
      <c r="H51" s="5" t="n">
        <v>4</v>
      </c>
      <c r="I51" s="8" t="s">
        <v>70</v>
      </c>
      <c r="J51" s="9" t="s">
        <v>149</v>
      </c>
    </row>
    <row r="52" customFormat="false" ht="117.9" hidden="false" customHeight="false" outlineLevel="0" collapsed="false">
      <c r="A52" s="5" t="n">
        <v>47</v>
      </c>
      <c r="B52" s="6" t="s">
        <v>13</v>
      </c>
      <c r="C52" s="7" t="s">
        <v>116</v>
      </c>
      <c r="D52" s="8" t="s">
        <v>15</v>
      </c>
      <c r="E52" s="8" t="s">
        <v>144</v>
      </c>
      <c r="F52" s="8" t="s">
        <v>131</v>
      </c>
      <c r="G52" s="5" t="s">
        <v>18</v>
      </c>
      <c r="H52" s="5" t="n">
        <v>2</v>
      </c>
      <c r="I52" s="8" t="s">
        <v>150</v>
      </c>
      <c r="J52" s="9" t="s">
        <v>151</v>
      </c>
    </row>
    <row r="53" customFormat="false" ht="108.95" hidden="false" customHeight="false" outlineLevel="0" collapsed="false">
      <c r="A53" s="5" t="n">
        <v>48</v>
      </c>
      <c r="B53" s="6" t="s">
        <v>13</v>
      </c>
      <c r="C53" s="7" t="s">
        <v>116</v>
      </c>
      <c r="D53" s="8" t="s">
        <v>15</v>
      </c>
      <c r="E53" s="8" t="s">
        <v>144</v>
      </c>
      <c r="F53" s="8" t="s">
        <v>72</v>
      </c>
      <c r="G53" s="5" t="s">
        <v>53</v>
      </c>
      <c r="H53" s="5" t="n">
        <v>9</v>
      </c>
      <c r="I53" s="8" t="s">
        <v>73</v>
      </c>
      <c r="J53" s="9" t="s">
        <v>152</v>
      </c>
    </row>
    <row r="54" customFormat="false" ht="117.9" hidden="false" customHeight="false" outlineLevel="0" collapsed="false">
      <c r="A54" s="5" t="n">
        <v>49</v>
      </c>
      <c r="B54" s="6" t="s">
        <v>13</v>
      </c>
      <c r="C54" s="7" t="s">
        <v>116</v>
      </c>
      <c r="D54" s="8" t="s">
        <v>15</v>
      </c>
      <c r="E54" s="8" t="s">
        <v>144</v>
      </c>
      <c r="F54" s="8" t="s">
        <v>75</v>
      </c>
      <c r="G54" s="5" t="s">
        <v>53</v>
      </c>
      <c r="H54" s="5" t="n">
        <v>1</v>
      </c>
      <c r="I54" s="8" t="s">
        <v>76</v>
      </c>
      <c r="J54" s="9" t="s">
        <v>153</v>
      </c>
    </row>
    <row r="55" customFormat="false" ht="117.9" hidden="false" customHeight="false" outlineLevel="0" collapsed="false">
      <c r="A55" s="5" t="n">
        <v>50</v>
      </c>
      <c r="B55" s="6" t="s">
        <v>13</v>
      </c>
      <c r="C55" s="7" t="s">
        <v>116</v>
      </c>
      <c r="D55" s="8" t="s">
        <v>15</v>
      </c>
      <c r="E55" s="8" t="s">
        <v>144</v>
      </c>
      <c r="F55" s="8" t="s">
        <v>135</v>
      </c>
      <c r="G55" s="5" t="s">
        <v>61</v>
      </c>
      <c r="H55" s="5" t="n">
        <v>1</v>
      </c>
      <c r="I55" s="8" t="s">
        <v>136</v>
      </c>
      <c r="J55" s="9" t="s">
        <v>154</v>
      </c>
    </row>
    <row r="56" customFormat="false" ht="126.85" hidden="false" customHeight="false" outlineLevel="0" collapsed="false">
      <c r="A56" s="5" t="n">
        <v>51</v>
      </c>
      <c r="B56" s="6" t="s">
        <v>13</v>
      </c>
      <c r="C56" s="7" t="s">
        <v>116</v>
      </c>
      <c r="D56" s="8" t="s">
        <v>15</v>
      </c>
      <c r="E56" s="8" t="s">
        <v>144</v>
      </c>
      <c r="F56" s="8" t="s">
        <v>138</v>
      </c>
      <c r="G56" s="5" t="s">
        <v>18</v>
      </c>
      <c r="H56" s="5" t="n">
        <v>3</v>
      </c>
      <c r="I56" s="8" t="s">
        <v>139</v>
      </c>
      <c r="J56" s="9" t="s">
        <v>155</v>
      </c>
    </row>
    <row r="57" customFormat="false" ht="117.9" hidden="false" customHeight="false" outlineLevel="0" collapsed="false">
      <c r="A57" s="5" t="n">
        <v>52</v>
      </c>
      <c r="B57" s="6" t="s">
        <v>13</v>
      </c>
      <c r="C57" s="7" t="s">
        <v>116</v>
      </c>
      <c r="D57" s="8" t="s">
        <v>15</v>
      </c>
      <c r="E57" s="8" t="s">
        <v>144</v>
      </c>
      <c r="F57" s="8" t="s">
        <v>141</v>
      </c>
      <c r="G57" s="5" t="s">
        <v>18</v>
      </c>
      <c r="H57" s="5" t="n">
        <v>1</v>
      </c>
      <c r="I57" s="8" t="s">
        <v>142</v>
      </c>
      <c r="J57" s="9" t="s">
        <v>156</v>
      </c>
    </row>
    <row r="58" customFormat="false" ht="126.85" hidden="false" customHeight="false" outlineLevel="0" collapsed="false">
      <c r="A58" s="5" t="n">
        <v>53</v>
      </c>
      <c r="B58" s="6" t="s">
        <v>13</v>
      </c>
      <c r="C58" s="7" t="s">
        <v>116</v>
      </c>
      <c r="D58" s="8" t="s">
        <v>15</v>
      </c>
      <c r="E58" s="8" t="s">
        <v>157</v>
      </c>
      <c r="F58" s="8" t="s">
        <v>118</v>
      </c>
      <c r="G58" s="5" t="s">
        <v>22</v>
      </c>
      <c r="H58" s="5" t="n">
        <v>3</v>
      </c>
      <c r="I58" s="8" t="s">
        <v>119</v>
      </c>
      <c r="J58" s="9" t="s">
        <v>158</v>
      </c>
    </row>
    <row r="59" customFormat="false" ht="126.85" hidden="false" customHeight="false" outlineLevel="0" collapsed="false">
      <c r="A59" s="5" t="n">
        <v>54</v>
      </c>
      <c r="B59" s="6" t="s">
        <v>13</v>
      </c>
      <c r="C59" s="7" t="s">
        <v>116</v>
      </c>
      <c r="D59" s="8" t="s">
        <v>15</v>
      </c>
      <c r="E59" s="8" t="s">
        <v>157</v>
      </c>
      <c r="F59" s="8" t="s">
        <v>127</v>
      </c>
      <c r="G59" s="5" t="s">
        <v>22</v>
      </c>
      <c r="H59" s="5" t="n">
        <v>1</v>
      </c>
      <c r="I59" s="8" t="s">
        <v>128</v>
      </c>
      <c r="J59" s="9" t="s">
        <v>159</v>
      </c>
    </row>
    <row r="60" customFormat="false" ht="117.9" hidden="false" customHeight="false" outlineLevel="0" collapsed="false">
      <c r="A60" s="5" t="n">
        <v>55</v>
      </c>
      <c r="B60" s="6" t="s">
        <v>13</v>
      </c>
      <c r="C60" s="7" t="s">
        <v>116</v>
      </c>
      <c r="D60" s="8" t="s">
        <v>15</v>
      </c>
      <c r="E60" s="8" t="s">
        <v>157</v>
      </c>
      <c r="F60" s="8" t="s">
        <v>69</v>
      </c>
      <c r="G60" s="5" t="s">
        <v>22</v>
      </c>
      <c r="H60" s="5" t="n">
        <v>4</v>
      </c>
      <c r="I60" s="8" t="s">
        <v>70</v>
      </c>
      <c r="J60" s="9" t="s">
        <v>160</v>
      </c>
    </row>
    <row r="61" customFormat="false" ht="126.85" hidden="false" customHeight="false" outlineLevel="0" collapsed="false">
      <c r="A61" s="5" t="n">
        <v>56</v>
      </c>
      <c r="B61" s="6" t="s">
        <v>13</v>
      </c>
      <c r="C61" s="7" t="s">
        <v>116</v>
      </c>
      <c r="D61" s="8" t="s">
        <v>15</v>
      </c>
      <c r="E61" s="8" t="s">
        <v>157</v>
      </c>
      <c r="F61" s="8" t="s">
        <v>131</v>
      </c>
      <c r="G61" s="5" t="s">
        <v>18</v>
      </c>
      <c r="H61" s="5" t="n">
        <v>2</v>
      </c>
      <c r="I61" s="8" t="s">
        <v>150</v>
      </c>
      <c r="J61" s="9" t="s">
        <v>161</v>
      </c>
    </row>
    <row r="62" customFormat="false" ht="117.9" hidden="false" customHeight="false" outlineLevel="0" collapsed="false">
      <c r="A62" s="5" t="n">
        <v>57</v>
      </c>
      <c r="B62" s="6" t="s">
        <v>13</v>
      </c>
      <c r="C62" s="7" t="s">
        <v>116</v>
      </c>
      <c r="D62" s="8" t="s">
        <v>15</v>
      </c>
      <c r="E62" s="8" t="s">
        <v>157</v>
      </c>
      <c r="F62" s="8" t="s">
        <v>72</v>
      </c>
      <c r="G62" s="5" t="s">
        <v>53</v>
      </c>
      <c r="H62" s="5" t="n">
        <v>9</v>
      </c>
      <c r="I62" s="8" t="s">
        <v>73</v>
      </c>
      <c r="J62" s="9" t="s">
        <v>162</v>
      </c>
    </row>
    <row r="63" customFormat="false" ht="126.85" hidden="false" customHeight="false" outlineLevel="0" collapsed="false">
      <c r="A63" s="5" t="n">
        <v>58</v>
      </c>
      <c r="B63" s="6" t="s">
        <v>13</v>
      </c>
      <c r="C63" s="7" t="s">
        <v>116</v>
      </c>
      <c r="D63" s="8" t="s">
        <v>15</v>
      </c>
      <c r="E63" s="8" t="s">
        <v>157</v>
      </c>
      <c r="F63" s="8" t="s">
        <v>75</v>
      </c>
      <c r="G63" s="5" t="s">
        <v>53</v>
      </c>
      <c r="H63" s="5" t="n">
        <v>1</v>
      </c>
      <c r="I63" s="8" t="s">
        <v>76</v>
      </c>
      <c r="J63" s="9" t="s">
        <v>163</v>
      </c>
    </row>
    <row r="64" customFormat="false" ht="135.8" hidden="false" customHeight="false" outlineLevel="0" collapsed="false">
      <c r="A64" s="5" t="n">
        <v>59</v>
      </c>
      <c r="B64" s="6" t="s">
        <v>13</v>
      </c>
      <c r="C64" s="7" t="s">
        <v>116</v>
      </c>
      <c r="D64" s="8" t="s">
        <v>15</v>
      </c>
      <c r="E64" s="8" t="s">
        <v>157</v>
      </c>
      <c r="F64" s="8" t="s">
        <v>138</v>
      </c>
      <c r="G64" s="5" t="s">
        <v>18</v>
      </c>
      <c r="H64" s="5" t="n">
        <v>3</v>
      </c>
      <c r="I64" s="8" t="s">
        <v>139</v>
      </c>
      <c r="J64" s="9" t="s">
        <v>164</v>
      </c>
    </row>
    <row r="65" customFormat="false" ht="135.8" hidden="false" customHeight="false" outlineLevel="0" collapsed="false">
      <c r="A65" s="5" t="n">
        <v>60</v>
      </c>
      <c r="B65" s="6" t="s">
        <v>13</v>
      </c>
      <c r="C65" s="7" t="s">
        <v>116</v>
      </c>
      <c r="D65" s="8" t="s">
        <v>15</v>
      </c>
      <c r="E65" s="8" t="s">
        <v>165</v>
      </c>
      <c r="F65" s="8" t="s">
        <v>121</v>
      </c>
      <c r="G65" s="5" t="s">
        <v>18</v>
      </c>
      <c r="H65" s="5" t="n">
        <v>1</v>
      </c>
      <c r="I65" s="8" t="s">
        <v>122</v>
      </c>
      <c r="J65" s="9" t="s">
        <v>166</v>
      </c>
    </row>
    <row r="66" customFormat="false" ht="126.85" hidden="false" customHeight="false" outlineLevel="0" collapsed="false">
      <c r="A66" s="5" t="n">
        <v>61</v>
      </c>
      <c r="B66" s="6" t="s">
        <v>13</v>
      </c>
      <c r="C66" s="7" t="s">
        <v>116</v>
      </c>
      <c r="D66" s="8" t="s">
        <v>15</v>
      </c>
      <c r="E66" s="8" t="s">
        <v>165</v>
      </c>
      <c r="F66" s="8" t="s">
        <v>124</v>
      </c>
      <c r="G66" s="5" t="s">
        <v>22</v>
      </c>
      <c r="H66" s="5" t="n">
        <v>2</v>
      </c>
      <c r="I66" s="8" t="s">
        <v>125</v>
      </c>
      <c r="J66" s="9" t="s">
        <v>167</v>
      </c>
    </row>
    <row r="67" customFormat="false" ht="117.9" hidden="false" customHeight="false" outlineLevel="0" collapsed="false">
      <c r="A67" s="5" t="n">
        <v>62</v>
      </c>
      <c r="B67" s="6" t="s">
        <v>13</v>
      </c>
      <c r="C67" s="7" t="s">
        <v>116</v>
      </c>
      <c r="D67" s="8" t="s">
        <v>15</v>
      </c>
      <c r="E67" s="8" t="s">
        <v>165</v>
      </c>
      <c r="F67" s="8" t="s">
        <v>141</v>
      </c>
      <c r="G67" s="5" t="s">
        <v>18</v>
      </c>
      <c r="H67" s="5" t="n">
        <v>1</v>
      </c>
      <c r="I67" s="8" t="s">
        <v>142</v>
      </c>
      <c r="J67" s="9" t="s">
        <v>168</v>
      </c>
    </row>
    <row r="68" customFormat="false" ht="126.85" hidden="false" customHeight="false" outlineLevel="0" collapsed="false">
      <c r="A68" s="5" t="n">
        <v>63</v>
      </c>
      <c r="B68" s="6" t="s">
        <v>13</v>
      </c>
      <c r="C68" s="7" t="s">
        <v>116</v>
      </c>
      <c r="D68" s="8" t="s">
        <v>15</v>
      </c>
      <c r="E68" s="8" t="s">
        <v>165</v>
      </c>
      <c r="F68" s="8" t="s">
        <v>169</v>
      </c>
      <c r="G68" s="5" t="s">
        <v>18</v>
      </c>
      <c r="H68" s="5" t="n">
        <v>1</v>
      </c>
      <c r="I68" s="8" t="s">
        <v>170</v>
      </c>
      <c r="J68" s="9" t="s">
        <v>171</v>
      </c>
    </row>
    <row r="69" customFormat="false" ht="117.9" hidden="false" customHeight="false" outlineLevel="0" collapsed="false">
      <c r="A69" s="5" t="n">
        <v>64</v>
      </c>
      <c r="B69" s="6" t="s">
        <v>13</v>
      </c>
      <c r="C69" s="7" t="s">
        <v>116</v>
      </c>
      <c r="D69" s="8" t="s">
        <v>15</v>
      </c>
      <c r="E69" s="8" t="s">
        <v>165</v>
      </c>
      <c r="F69" s="8" t="s">
        <v>127</v>
      </c>
      <c r="G69" s="5" t="s">
        <v>22</v>
      </c>
      <c r="H69" s="5" t="n">
        <v>1</v>
      </c>
      <c r="I69" s="8" t="s">
        <v>128</v>
      </c>
      <c r="J69" s="9" t="s">
        <v>172</v>
      </c>
    </row>
    <row r="70" customFormat="false" ht="108.95" hidden="false" customHeight="false" outlineLevel="0" collapsed="false">
      <c r="A70" s="5" t="n">
        <v>65</v>
      </c>
      <c r="B70" s="6" t="s">
        <v>13</v>
      </c>
      <c r="C70" s="7" t="s">
        <v>116</v>
      </c>
      <c r="D70" s="8" t="s">
        <v>15</v>
      </c>
      <c r="E70" s="8" t="s">
        <v>165</v>
      </c>
      <c r="F70" s="8" t="s">
        <v>69</v>
      </c>
      <c r="G70" s="5" t="s">
        <v>22</v>
      </c>
      <c r="H70" s="5" t="n">
        <v>4</v>
      </c>
      <c r="I70" s="8" t="s">
        <v>70</v>
      </c>
      <c r="J70" s="9" t="s">
        <v>173</v>
      </c>
    </row>
    <row r="71" customFormat="false" ht="117.9" hidden="false" customHeight="false" outlineLevel="0" collapsed="false">
      <c r="A71" s="5" t="n">
        <v>66</v>
      </c>
      <c r="B71" s="6" t="s">
        <v>13</v>
      </c>
      <c r="C71" s="7" t="s">
        <v>116</v>
      </c>
      <c r="D71" s="8" t="s">
        <v>15</v>
      </c>
      <c r="E71" s="8" t="s">
        <v>165</v>
      </c>
      <c r="F71" s="8" t="s">
        <v>131</v>
      </c>
      <c r="G71" s="5" t="s">
        <v>18</v>
      </c>
      <c r="H71" s="5" t="n">
        <v>2</v>
      </c>
      <c r="I71" s="8" t="s">
        <v>150</v>
      </c>
      <c r="J71" s="9" t="s">
        <v>174</v>
      </c>
    </row>
    <row r="72" customFormat="false" ht="108.95" hidden="false" customHeight="false" outlineLevel="0" collapsed="false">
      <c r="A72" s="5" t="n">
        <v>67</v>
      </c>
      <c r="B72" s="6" t="s">
        <v>13</v>
      </c>
      <c r="C72" s="7" t="s">
        <v>116</v>
      </c>
      <c r="D72" s="8" t="s">
        <v>15</v>
      </c>
      <c r="E72" s="8" t="s">
        <v>165</v>
      </c>
      <c r="F72" s="8" t="s">
        <v>72</v>
      </c>
      <c r="G72" s="5" t="s">
        <v>53</v>
      </c>
      <c r="H72" s="5" t="n">
        <v>9</v>
      </c>
      <c r="I72" s="8" t="s">
        <v>73</v>
      </c>
      <c r="J72" s="9" t="s">
        <v>175</v>
      </c>
    </row>
    <row r="73" customFormat="false" ht="117.9" hidden="false" customHeight="false" outlineLevel="0" collapsed="false">
      <c r="A73" s="5" t="n">
        <v>68</v>
      </c>
      <c r="B73" s="6" t="s">
        <v>13</v>
      </c>
      <c r="C73" s="7" t="s">
        <v>116</v>
      </c>
      <c r="D73" s="8" t="s">
        <v>15</v>
      </c>
      <c r="E73" s="8" t="s">
        <v>165</v>
      </c>
      <c r="F73" s="8" t="s">
        <v>75</v>
      </c>
      <c r="G73" s="5" t="s">
        <v>53</v>
      </c>
      <c r="H73" s="5" t="n">
        <v>1</v>
      </c>
      <c r="I73" s="8" t="s">
        <v>76</v>
      </c>
      <c r="J73" s="9" t="s">
        <v>176</v>
      </c>
    </row>
    <row r="74" customFormat="false" ht="126.85" hidden="false" customHeight="false" outlineLevel="0" collapsed="false">
      <c r="A74" s="5" t="n">
        <v>69</v>
      </c>
      <c r="B74" s="6" t="s">
        <v>13</v>
      </c>
      <c r="C74" s="7" t="s">
        <v>116</v>
      </c>
      <c r="D74" s="8" t="s">
        <v>15</v>
      </c>
      <c r="E74" s="8" t="s">
        <v>165</v>
      </c>
      <c r="F74" s="8" t="s">
        <v>138</v>
      </c>
      <c r="G74" s="5" t="s">
        <v>18</v>
      </c>
      <c r="H74" s="5" t="n">
        <v>3</v>
      </c>
      <c r="I74" s="8" t="s">
        <v>139</v>
      </c>
      <c r="J74" s="9" t="s">
        <v>177</v>
      </c>
    </row>
    <row r="75" customFormat="false" ht="91" hidden="false" customHeight="false" outlineLevel="0" collapsed="false">
      <c r="A75" s="5" t="n">
        <v>70</v>
      </c>
      <c r="B75" s="6" t="s">
        <v>13</v>
      </c>
      <c r="C75" s="7" t="s">
        <v>116</v>
      </c>
      <c r="D75" s="8" t="s">
        <v>15</v>
      </c>
      <c r="E75" s="8" t="s">
        <v>178</v>
      </c>
      <c r="F75" s="8" t="s">
        <v>118</v>
      </c>
      <c r="G75" s="5" t="s">
        <v>22</v>
      </c>
      <c r="H75" s="5" t="n">
        <v>3</v>
      </c>
      <c r="I75" s="8" t="s">
        <v>119</v>
      </c>
      <c r="J75" s="9" t="s">
        <v>179</v>
      </c>
    </row>
    <row r="76" customFormat="false" ht="108.95" hidden="false" customHeight="false" outlineLevel="0" collapsed="false">
      <c r="A76" s="5" t="n">
        <v>71</v>
      </c>
      <c r="B76" s="6" t="s">
        <v>13</v>
      </c>
      <c r="C76" s="7" t="s">
        <v>116</v>
      </c>
      <c r="D76" s="8" t="s">
        <v>15</v>
      </c>
      <c r="E76" s="8" t="s">
        <v>178</v>
      </c>
      <c r="F76" s="8" t="s">
        <v>121</v>
      </c>
      <c r="G76" s="5" t="s">
        <v>18</v>
      </c>
      <c r="H76" s="5" t="n">
        <v>1</v>
      </c>
      <c r="I76" s="8" t="s">
        <v>122</v>
      </c>
      <c r="J76" s="9" t="s">
        <v>180</v>
      </c>
    </row>
    <row r="77" customFormat="false" ht="99.95" hidden="false" customHeight="false" outlineLevel="0" collapsed="false">
      <c r="A77" s="5" t="n">
        <v>72</v>
      </c>
      <c r="B77" s="6" t="s">
        <v>13</v>
      </c>
      <c r="C77" s="7" t="s">
        <v>116</v>
      </c>
      <c r="D77" s="8" t="s">
        <v>15</v>
      </c>
      <c r="E77" s="8" t="s">
        <v>178</v>
      </c>
      <c r="F77" s="8" t="s">
        <v>124</v>
      </c>
      <c r="G77" s="5" t="s">
        <v>22</v>
      </c>
      <c r="H77" s="5" t="n">
        <v>2</v>
      </c>
      <c r="I77" s="8" t="s">
        <v>125</v>
      </c>
      <c r="J77" s="9" t="s">
        <v>181</v>
      </c>
    </row>
    <row r="78" customFormat="false" ht="91" hidden="false" customHeight="false" outlineLevel="0" collapsed="false">
      <c r="A78" s="5" t="n">
        <v>73</v>
      </c>
      <c r="B78" s="6" t="s">
        <v>13</v>
      </c>
      <c r="C78" s="7" t="s">
        <v>116</v>
      </c>
      <c r="D78" s="8" t="s">
        <v>15</v>
      </c>
      <c r="E78" s="8" t="s">
        <v>178</v>
      </c>
      <c r="F78" s="8" t="s">
        <v>127</v>
      </c>
      <c r="G78" s="5" t="s">
        <v>22</v>
      </c>
      <c r="H78" s="5" t="n">
        <v>1</v>
      </c>
      <c r="I78" s="8" t="s">
        <v>128</v>
      </c>
      <c r="J78" s="9" t="s">
        <v>182</v>
      </c>
    </row>
    <row r="79" customFormat="false" ht="82.05" hidden="false" customHeight="false" outlineLevel="0" collapsed="false">
      <c r="A79" s="5" t="n">
        <v>74</v>
      </c>
      <c r="B79" s="6" t="s">
        <v>13</v>
      </c>
      <c r="C79" s="7" t="s">
        <v>116</v>
      </c>
      <c r="D79" s="8" t="s">
        <v>15</v>
      </c>
      <c r="E79" s="8" t="s">
        <v>178</v>
      </c>
      <c r="F79" s="8" t="s">
        <v>69</v>
      </c>
      <c r="G79" s="5" t="s">
        <v>22</v>
      </c>
      <c r="H79" s="5" t="n">
        <v>4</v>
      </c>
      <c r="I79" s="8" t="s">
        <v>70</v>
      </c>
      <c r="J79" s="9" t="s">
        <v>183</v>
      </c>
    </row>
    <row r="80" customFormat="false" ht="91" hidden="false" customHeight="false" outlineLevel="0" collapsed="false">
      <c r="A80" s="5" t="n">
        <v>75</v>
      </c>
      <c r="B80" s="6" t="s">
        <v>13</v>
      </c>
      <c r="C80" s="7" t="s">
        <v>116</v>
      </c>
      <c r="D80" s="8" t="s">
        <v>15</v>
      </c>
      <c r="E80" s="8" t="s">
        <v>178</v>
      </c>
      <c r="F80" s="8" t="s">
        <v>131</v>
      </c>
      <c r="G80" s="5" t="s">
        <v>18</v>
      </c>
      <c r="H80" s="5" t="n">
        <v>2</v>
      </c>
      <c r="I80" s="8" t="s">
        <v>150</v>
      </c>
      <c r="J80" s="9" t="s">
        <v>184</v>
      </c>
    </row>
    <row r="81" customFormat="false" ht="82.05" hidden="false" customHeight="false" outlineLevel="0" collapsed="false">
      <c r="A81" s="5" t="n">
        <v>76</v>
      </c>
      <c r="B81" s="6" t="s">
        <v>13</v>
      </c>
      <c r="C81" s="7" t="s">
        <v>116</v>
      </c>
      <c r="D81" s="8" t="s">
        <v>15</v>
      </c>
      <c r="E81" s="8" t="s">
        <v>178</v>
      </c>
      <c r="F81" s="8" t="s">
        <v>72</v>
      </c>
      <c r="G81" s="5" t="s">
        <v>53</v>
      </c>
      <c r="H81" s="5" t="n">
        <v>9</v>
      </c>
      <c r="I81" s="8" t="s">
        <v>73</v>
      </c>
      <c r="J81" s="9" t="s">
        <v>185</v>
      </c>
    </row>
    <row r="82" customFormat="false" ht="91" hidden="false" customHeight="false" outlineLevel="0" collapsed="false">
      <c r="A82" s="5" t="n">
        <v>77</v>
      </c>
      <c r="B82" s="6" t="s">
        <v>13</v>
      </c>
      <c r="C82" s="7" t="s">
        <v>116</v>
      </c>
      <c r="D82" s="8" t="s">
        <v>15</v>
      </c>
      <c r="E82" s="8" t="s">
        <v>178</v>
      </c>
      <c r="F82" s="8" t="s">
        <v>75</v>
      </c>
      <c r="G82" s="5" t="s">
        <v>53</v>
      </c>
      <c r="H82" s="5" t="n">
        <v>1</v>
      </c>
      <c r="I82" s="8" t="s">
        <v>76</v>
      </c>
      <c r="J82" s="9" t="s">
        <v>186</v>
      </c>
    </row>
    <row r="83" customFormat="false" ht="91" hidden="false" customHeight="false" outlineLevel="0" collapsed="false">
      <c r="A83" s="5" t="n">
        <v>78</v>
      </c>
      <c r="B83" s="6" t="s">
        <v>13</v>
      </c>
      <c r="C83" s="7" t="s">
        <v>116</v>
      </c>
      <c r="D83" s="8" t="s">
        <v>15</v>
      </c>
      <c r="E83" s="8" t="s">
        <v>178</v>
      </c>
      <c r="F83" s="8" t="s">
        <v>135</v>
      </c>
      <c r="G83" s="5" t="s">
        <v>61</v>
      </c>
      <c r="H83" s="5" t="n">
        <v>1</v>
      </c>
      <c r="I83" s="8" t="s">
        <v>136</v>
      </c>
      <c r="J83" s="9" t="s">
        <v>187</v>
      </c>
    </row>
    <row r="84" customFormat="false" ht="99.95" hidden="false" customHeight="false" outlineLevel="0" collapsed="false">
      <c r="A84" s="5" t="n">
        <v>79</v>
      </c>
      <c r="B84" s="6" t="s">
        <v>13</v>
      </c>
      <c r="C84" s="7" t="s">
        <v>116</v>
      </c>
      <c r="D84" s="8" t="s">
        <v>15</v>
      </c>
      <c r="E84" s="8" t="s">
        <v>178</v>
      </c>
      <c r="F84" s="8" t="s">
        <v>138</v>
      </c>
      <c r="G84" s="5" t="s">
        <v>18</v>
      </c>
      <c r="H84" s="5" t="n">
        <v>3</v>
      </c>
      <c r="I84" s="8" t="s">
        <v>139</v>
      </c>
      <c r="J84" s="9" t="s">
        <v>188</v>
      </c>
    </row>
    <row r="85" customFormat="false" ht="91" hidden="false" customHeight="false" outlineLevel="0" collapsed="false">
      <c r="A85" s="5" t="n">
        <v>80</v>
      </c>
      <c r="B85" s="6" t="s">
        <v>13</v>
      </c>
      <c r="C85" s="7" t="s">
        <v>116</v>
      </c>
      <c r="D85" s="8" t="s">
        <v>15</v>
      </c>
      <c r="E85" s="8" t="s">
        <v>178</v>
      </c>
      <c r="F85" s="8" t="s">
        <v>141</v>
      </c>
      <c r="G85" s="5" t="s">
        <v>18</v>
      </c>
      <c r="H85" s="5" t="n">
        <v>1</v>
      </c>
      <c r="I85" s="8" t="s">
        <v>142</v>
      </c>
      <c r="J85" s="9" t="s">
        <v>189</v>
      </c>
    </row>
    <row r="86" customFormat="false" ht="117.9" hidden="false" customHeight="false" outlineLevel="0" collapsed="false">
      <c r="A86" s="5" t="n">
        <v>81</v>
      </c>
      <c r="B86" s="6" t="s">
        <v>13</v>
      </c>
      <c r="C86" s="7" t="s">
        <v>116</v>
      </c>
      <c r="D86" s="8" t="s">
        <v>15</v>
      </c>
      <c r="E86" s="8" t="s">
        <v>190</v>
      </c>
      <c r="F86" s="8" t="s">
        <v>118</v>
      </c>
      <c r="G86" s="5" t="s">
        <v>22</v>
      </c>
      <c r="H86" s="5" t="n">
        <v>3</v>
      </c>
      <c r="I86" s="8" t="s">
        <v>119</v>
      </c>
      <c r="J86" s="9" t="s">
        <v>191</v>
      </c>
    </row>
    <row r="87" customFormat="false" ht="135.8" hidden="false" customHeight="false" outlineLevel="0" collapsed="false">
      <c r="A87" s="5" t="n">
        <v>82</v>
      </c>
      <c r="B87" s="6" t="s">
        <v>13</v>
      </c>
      <c r="C87" s="7" t="s">
        <v>116</v>
      </c>
      <c r="D87" s="8" t="s">
        <v>15</v>
      </c>
      <c r="E87" s="8" t="s">
        <v>190</v>
      </c>
      <c r="F87" s="8" t="s">
        <v>121</v>
      </c>
      <c r="G87" s="5" t="s">
        <v>18</v>
      </c>
      <c r="H87" s="5" t="n">
        <v>1</v>
      </c>
      <c r="I87" s="8" t="s">
        <v>122</v>
      </c>
      <c r="J87" s="9" t="s">
        <v>192</v>
      </c>
    </row>
    <row r="88" customFormat="false" ht="126.85" hidden="false" customHeight="false" outlineLevel="0" collapsed="false">
      <c r="A88" s="5" t="n">
        <v>83</v>
      </c>
      <c r="B88" s="6" t="s">
        <v>13</v>
      </c>
      <c r="C88" s="7" t="s">
        <v>116</v>
      </c>
      <c r="D88" s="8" t="s">
        <v>15</v>
      </c>
      <c r="E88" s="8" t="s">
        <v>190</v>
      </c>
      <c r="F88" s="8" t="s">
        <v>124</v>
      </c>
      <c r="G88" s="5" t="s">
        <v>22</v>
      </c>
      <c r="H88" s="5" t="n">
        <v>2</v>
      </c>
      <c r="I88" s="8" t="s">
        <v>125</v>
      </c>
      <c r="J88" s="9" t="s">
        <v>193</v>
      </c>
    </row>
    <row r="89" customFormat="false" ht="117.9" hidden="false" customHeight="false" outlineLevel="0" collapsed="false">
      <c r="A89" s="5" t="n">
        <v>84</v>
      </c>
      <c r="B89" s="6" t="s">
        <v>13</v>
      </c>
      <c r="C89" s="7" t="s">
        <v>116</v>
      </c>
      <c r="D89" s="8" t="s">
        <v>15</v>
      </c>
      <c r="E89" s="8" t="s">
        <v>190</v>
      </c>
      <c r="F89" s="8" t="s">
        <v>127</v>
      </c>
      <c r="G89" s="5" t="s">
        <v>22</v>
      </c>
      <c r="H89" s="5" t="n">
        <v>1</v>
      </c>
      <c r="I89" s="8" t="s">
        <v>128</v>
      </c>
      <c r="J89" s="9" t="s">
        <v>194</v>
      </c>
    </row>
    <row r="90" customFormat="false" ht="108.95" hidden="false" customHeight="false" outlineLevel="0" collapsed="false">
      <c r="A90" s="5" t="n">
        <v>85</v>
      </c>
      <c r="B90" s="6" t="s">
        <v>13</v>
      </c>
      <c r="C90" s="7" t="s">
        <v>116</v>
      </c>
      <c r="D90" s="8" t="s">
        <v>15</v>
      </c>
      <c r="E90" s="8" t="s">
        <v>190</v>
      </c>
      <c r="F90" s="8" t="s">
        <v>69</v>
      </c>
      <c r="G90" s="5" t="s">
        <v>22</v>
      </c>
      <c r="H90" s="5" t="n">
        <v>4</v>
      </c>
      <c r="I90" s="8" t="s">
        <v>70</v>
      </c>
      <c r="J90" s="9" t="s">
        <v>195</v>
      </c>
    </row>
    <row r="91" customFormat="false" ht="117.9" hidden="false" customHeight="false" outlineLevel="0" collapsed="false">
      <c r="A91" s="5" t="n">
        <v>86</v>
      </c>
      <c r="B91" s="6" t="s">
        <v>13</v>
      </c>
      <c r="C91" s="7" t="s">
        <v>116</v>
      </c>
      <c r="D91" s="8" t="s">
        <v>15</v>
      </c>
      <c r="E91" s="8" t="s">
        <v>190</v>
      </c>
      <c r="F91" s="8" t="s">
        <v>131</v>
      </c>
      <c r="G91" s="5" t="s">
        <v>18</v>
      </c>
      <c r="H91" s="5" t="n">
        <v>2</v>
      </c>
      <c r="I91" s="8" t="s">
        <v>150</v>
      </c>
      <c r="J91" s="9" t="s">
        <v>196</v>
      </c>
    </row>
    <row r="92" customFormat="false" ht="108.95" hidden="false" customHeight="false" outlineLevel="0" collapsed="false">
      <c r="A92" s="5" t="n">
        <v>87</v>
      </c>
      <c r="B92" s="6" t="s">
        <v>13</v>
      </c>
      <c r="C92" s="7" t="s">
        <v>116</v>
      </c>
      <c r="D92" s="8" t="s">
        <v>15</v>
      </c>
      <c r="E92" s="8" t="s">
        <v>190</v>
      </c>
      <c r="F92" s="8" t="s">
        <v>72</v>
      </c>
      <c r="G92" s="5" t="s">
        <v>53</v>
      </c>
      <c r="H92" s="5" t="n">
        <v>9</v>
      </c>
      <c r="I92" s="8" t="s">
        <v>73</v>
      </c>
      <c r="J92" s="9" t="s">
        <v>197</v>
      </c>
    </row>
    <row r="93" customFormat="false" ht="117.9" hidden="false" customHeight="false" outlineLevel="0" collapsed="false">
      <c r="A93" s="5" t="n">
        <v>88</v>
      </c>
      <c r="B93" s="6" t="s">
        <v>13</v>
      </c>
      <c r="C93" s="7" t="s">
        <v>116</v>
      </c>
      <c r="D93" s="8" t="s">
        <v>15</v>
      </c>
      <c r="E93" s="8" t="s">
        <v>190</v>
      </c>
      <c r="F93" s="8" t="s">
        <v>75</v>
      </c>
      <c r="G93" s="5" t="s">
        <v>53</v>
      </c>
      <c r="H93" s="5" t="n">
        <v>1</v>
      </c>
      <c r="I93" s="8" t="s">
        <v>76</v>
      </c>
      <c r="J93" s="9" t="s">
        <v>198</v>
      </c>
    </row>
    <row r="94" customFormat="false" ht="117.9" hidden="false" customHeight="false" outlineLevel="0" collapsed="false">
      <c r="A94" s="5" t="n">
        <v>89</v>
      </c>
      <c r="B94" s="6" t="s">
        <v>13</v>
      </c>
      <c r="C94" s="7" t="s">
        <v>116</v>
      </c>
      <c r="D94" s="8" t="s">
        <v>15</v>
      </c>
      <c r="E94" s="8" t="s">
        <v>190</v>
      </c>
      <c r="F94" s="8" t="s">
        <v>135</v>
      </c>
      <c r="G94" s="5" t="s">
        <v>61</v>
      </c>
      <c r="H94" s="5" t="n">
        <v>1</v>
      </c>
      <c r="I94" s="8" t="s">
        <v>136</v>
      </c>
      <c r="J94" s="9" t="s">
        <v>199</v>
      </c>
    </row>
    <row r="95" customFormat="false" ht="126.85" hidden="false" customHeight="false" outlineLevel="0" collapsed="false">
      <c r="A95" s="5" t="n">
        <v>90</v>
      </c>
      <c r="B95" s="6" t="s">
        <v>13</v>
      </c>
      <c r="C95" s="7" t="s">
        <v>116</v>
      </c>
      <c r="D95" s="8" t="s">
        <v>15</v>
      </c>
      <c r="E95" s="8" t="s">
        <v>190</v>
      </c>
      <c r="F95" s="8" t="s">
        <v>138</v>
      </c>
      <c r="G95" s="5" t="s">
        <v>18</v>
      </c>
      <c r="H95" s="5" t="n">
        <v>3</v>
      </c>
      <c r="I95" s="8" t="s">
        <v>139</v>
      </c>
      <c r="J95" s="9" t="s">
        <v>200</v>
      </c>
    </row>
    <row r="96" customFormat="false" ht="117.9" hidden="false" customHeight="false" outlineLevel="0" collapsed="false">
      <c r="A96" s="5" t="n">
        <v>91</v>
      </c>
      <c r="B96" s="6" t="s">
        <v>13</v>
      </c>
      <c r="C96" s="7" t="s">
        <v>116</v>
      </c>
      <c r="D96" s="8" t="s">
        <v>15</v>
      </c>
      <c r="E96" s="8" t="s">
        <v>190</v>
      </c>
      <c r="F96" s="8" t="s">
        <v>141</v>
      </c>
      <c r="G96" s="5" t="s">
        <v>18</v>
      </c>
      <c r="H96" s="5" t="n">
        <v>1</v>
      </c>
      <c r="I96" s="8" t="s">
        <v>142</v>
      </c>
      <c r="J96" s="9" t="s">
        <v>201</v>
      </c>
    </row>
    <row r="97" customFormat="false" ht="73.1" hidden="false" customHeight="false" outlineLevel="0" collapsed="false">
      <c r="A97" s="5" t="n">
        <v>92</v>
      </c>
      <c r="B97" s="6" t="s">
        <v>13</v>
      </c>
      <c r="C97" s="7" t="s">
        <v>116</v>
      </c>
      <c r="D97" s="8" t="s">
        <v>15</v>
      </c>
      <c r="E97" s="8" t="s">
        <v>202</v>
      </c>
      <c r="F97" s="8" t="s">
        <v>118</v>
      </c>
      <c r="G97" s="5" t="s">
        <v>22</v>
      </c>
      <c r="H97" s="5" t="n">
        <v>3</v>
      </c>
      <c r="I97" s="8" t="s">
        <v>119</v>
      </c>
      <c r="J97" s="9" t="s">
        <v>203</v>
      </c>
    </row>
    <row r="98" customFormat="false" ht="73.1" hidden="false" customHeight="false" outlineLevel="0" collapsed="false">
      <c r="A98" s="5" t="n">
        <v>93</v>
      </c>
      <c r="B98" s="6" t="s">
        <v>13</v>
      </c>
      <c r="C98" s="7" t="s">
        <v>116</v>
      </c>
      <c r="D98" s="8" t="s">
        <v>15</v>
      </c>
      <c r="E98" s="8" t="s">
        <v>202</v>
      </c>
      <c r="F98" s="8" t="s">
        <v>127</v>
      </c>
      <c r="G98" s="5" t="s">
        <v>22</v>
      </c>
      <c r="H98" s="5" t="n">
        <v>1</v>
      </c>
      <c r="I98" s="8" t="s">
        <v>128</v>
      </c>
      <c r="J98" s="9" t="s">
        <v>204</v>
      </c>
    </row>
    <row r="99" customFormat="false" ht="64.15" hidden="false" customHeight="false" outlineLevel="0" collapsed="false">
      <c r="A99" s="5" t="n">
        <v>94</v>
      </c>
      <c r="B99" s="6" t="s">
        <v>13</v>
      </c>
      <c r="C99" s="7" t="s">
        <v>116</v>
      </c>
      <c r="D99" s="8" t="s">
        <v>15</v>
      </c>
      <c r="E99" s="8" t="s">
        <v>202</v>
      </c>
      <c r="F99" s="8" t="s">
        <v>69</v>
      </c>
      <c r="G99" s="5" t="s">
        <v>22</v>
      </c>
      <c r="H99" s="5" t="n">
        <v>4</v>
      </c>
      <c r="I99" s="8" t="s">
        <v>70</v>
      </c>
      <c r="J99" s="9" t="s">
        <v>205</v>
      </c>
    </row>
    <row r="100" customFormat="false" ht="73.1" hidden="false" customHeight="false" outlineLevel="0" collapsed="false">
      <c r="A100" s="5" t="n">
        <v>95</v>
      </c>
      <c r="B100" s="6" t="s">
        <v>13</v>
      </c>
      <c r="C100" s="7" t="s">
        <v>116</v>
      </c>
      <c r="D100" s="8" t="s">
        <v>15</v>
      </c>
      <c r="E100" s="8" t="s">
        <v>202</v>
      </c>
      <c r="F100" s="8" t="s">
        <v>131</v>
      </c>
      <c r="G100" s="5" t="s">
        <v>18</v>
      </c>
      <c r="H100" s="5" t="n">
        <v>2</v>
      </c>
      <c r="I100" s="8" t="s">
        <v>150</v>
      </c>
      <c r="J100" s="9" t="s">
        <v>206</v>
      </c>
    </row>
    <row r="101" customFormat="false" ht="64.15" hidden="false" customHeight="false" outlineLevel="0" collapsed="false">
      <c r="A101" s="5" t="n">
        <v>96</v>
      </c>
      <c r="B101" s="6" t="s">
        <v>13</v>
      </c>
      <c r="C101" s="7" t="s">
        <v>116</v>
      </c>
      <c r="D101" s="8" t="s">
        <v>15</v>
      </c>
      <c r="E101" s="8" t="s">
        <v>202</v>
      </c>
      <c r="F101" s="8" t="s">
        <v>72</v>
      </c>
      <c r="G101" s="5" t="s">
        <v>53</v>
      </c>
      <c r="H101" s="5" t="n">
        <v>9</v>
      </c>
      <c r="I101" s="8" t="s">
        <v>73</v>
      </c>
      <c r="J101" s="9" t="s">
        <v>207</v>
      </c>
    </row>
    <row r="102" customFormat="false" ht="73.1" hidden="false" customHeight="false" outlineLevel="0" collapsed="false">
      <c r="A102" s="5" t="n">
        <v>97</v>
      </c>
      <c r="B102" s="6" t="s">
        <v>13</v>
      </c>
      <c r="C102" s="7" t="s">
        <v>116</v>
      </c>
      <c r="D102" s="8" t="s">
        <v>15</v>
      </c>
      <c r="E102" s="8" t="s">
        <v>202</v>
      </c>
      <c r="F102" s="8" t="s">
        <v>75</v>
      </c>
      <c r="G102" s="5" t="s">
        <v>53</v>
      </c>
      <c r="H102" s="5" t="n">
        <v>1</v>
      </c>
      <c r="I102" s="8" t="s">
        <v>76</v>
      </c>
      <c r="J102" s="9" t="s">
        <v>208</v>
      </c>
    </row>
    <row r="103" customFormat="false" ht="73.1" hidden="false" customHeight="false" outlineLevel="0" collapsed="false">
      <c r="A103" s="5" t="n">
        <v>98</v>
      </c>
      <c r="B103" s="6" t="s">
        <v>13</v>
      </c>
      <c r="C103" s="7" t="s">
        <v>116</v>
      </c>
      <c r="D103" s="8" t="s">
        <v>15</v>
      </c>
      <c r="E103" s="8" t="s">
        <v>202</v>
      </c>
      <c r="F103" s="8" t="s">
        <v>135</v>
      </c>
      <c r="G103" s="5" t="s">
        <v>61</v>
      </c>
      <c r="H103" s="5" t="n">
        <v>1</v>
      </c>
      <c r="I103" s="8" t="s">
        <v>136</v>
      </c>
      <c r="J103" s="9" t="s">
        <v>209</v>
      </c>
    </row>
    <row r="104" customFormat="false" ht="82.05" hidden="false" customHeight="false" outlineLevel="0" collapsed="false">
      <c r="A104" s="5" t="n">
        <v>99</v>
      </c>
      <c r="B104" s="6" t="s">
        <v>13</v>
      </c>
      <c r="C104" s="7" t="s">
        <v>116</v>
      </c>
      <c r="D104" s="8" t="s">
        <v>15</v>
      </c>
      <c r="E104" s="8" t="s">
        <v>202</v>
      </c>
      <c r="F104" s="8" t="s">
        <v>138</v>
      </c>
      <c r="G104" s="5" t="s">
        <v>18</v>
      </c>
      <c r="H104" s="5" t="n">
        <v>3</v>
      </c>
      <c r="I104" s="8" t="s">
        <v>139</v>
      </c>
      <c r="J104" s="9" t="s">
        <v>210</v>
      </c>
    </row>
    <row r="105" customFormat="false" ht="117.9" hidden="false" customHeight="false" outlineLevel="0" collapsed="false">
      <c r="A105" s="5" t="n">
        <v>100</v>
      </c>
      <c r="B105" s="6" t="s">
        <v>13</v>
      </c>
      <c r="C105" s="7" t="s">
        <v>41</v>
      </c>
      <c r="D105" s="8" t="s">
        <v>15</v>
      </c>
      <c r="E105" s="8" t="s">
        <v>211</v>
      </c>
      <c r="F105" s="8" t="s">
        <v>118</v>
      </c>
      <c r="G105" s="5" t="s">
        <v>22</v>
      </c>
      <c r="H105" s="5" t="n">
        <v>3</v>
      </c>
      <c r="I105" s="8" t="s">
        <v>119</v>
      </c>
      <c r="J105" s="9" t="s">
        <v>212</v>
      </c>
    </row>
    <row r="106" customFormat="false" ht="108.95" hidden="false" customHeight="false" outlineLevel="0" collapsed="false">
      <c r="A106" s="5" t="n">
        <v>101</v>
      </c>
      <c r="B106" s="6" t="s">
        <v>13</v>
      </c>
      <c r="C106" s="7" t="s">
        <v>41</v>
      </c>
      <c r="D106" s="8" t="s">
        <v>15</v>
      </c>
      <c r="E106" s="8" t="s">
        <v>211</v>
      </c>
      <c r="F106" s="8" t="s">
        <v>69</v>
      </c>
      <c r="G106" s="5" t="s">
        <v>22</v>
      </c>
      <c r="H106" s="5" t="n">
        <v>4</v>
      </c>
      <c r="I106" s="8" t="s">
        <v>70</v>
      </c>
      <c r="J106" s="9" t="s">
        <v>213</v>
      </c>
    </row>
    <row r="107" customFormat="false" ht="117.9" hidden="false" customHeight="false" outlineLevel="0" collapsed="false">
      <c r="A107" s="5" t="n">
        <v>102</v>
      </c>
      <c r="B107" s="6" t="s">
        <v>13</v>
      </c>
      <c r="C107" s="7" t="s">
        <v>41</v>
      </c>
      <c r="D107" s="8" t="s">
        <v>15</v>
      </c>
      <c r="E107" s="8" t="s">
        <v>211</v>
      </c>
      <c r="F107" s="8" t="s">
        <v>131</v>
      </c>
      <c r="G107" s="5" t="s">
        <v>18</v>
      </c>
      <c r="H107" s="5" t="n">
        <v>2</v>
      </c>
      <c r="I107" s="8" t="s">
        <v>150</v>
      </c>
      <c r="J107" s="9" t="s">
        <v>214</v>
      </c>
    </row>
    <row r="108" customFormat="false" ht="108.95" hidden="false" customHeight="false" outlineLevel="0" collapsed="false">
      <c r="A108" s="5" t="n">
        <v>103</v>
      </c>
      <c r="B108" s="6" t="s">
        <v>13</v>
      </c>
      <c r="C108" s="7" t="s">
        <v>41</v>
      </c>
      <c r="D108" s="8" t="s">
        <v>15</v>
      </c>
      <c r="E108" s="8" t="s">
        <v>211</v>
      </c>
      <c r="F108" s="8" t="s">
        <v>72</v>
      </c>
      <c r="G108" s="5" t="s">
        <v>53</v>
      </c>
      <c r="H108" s="5" t="n">
        <v>9</v>
      </c>
      <c r="I108" s="8" t="s">
        <v>73</v>
      </c>
      <c r="J108" s="9" t="s">
        <v>215</v>
      </c>
    </row>
    <row r="109" customFormat="false" ht="117.9" hidden="false" customHeight="false" outlineLevel="0" collapsed="false">
      <c r="A109" s="5" t="n">
        <v>104</v>
      </c>
      <c r="B109" s="6" t="s">
        <v>13</v>
      </c>
      <c r="C109" s="7" t="s">
        <v>41</v>
      </c>
      <c r="D109" s="8" t="s">
        <v>15</v>
      </c>
      <c r="E109" s="8" t="s">
        <v>211</v>
      </c>
      <c r="F109" s="8" t="s">
        <v>75</v>
      </c>
      <c r="G109" s="5" t="s">
        <v>53</v>
      </c>
      <c r="H109" s="5" t="n">
        <v>1</v>
      </c>
      <c r="I109" s="8" t="s">
        <v>76</v>
      </c>
      <c r="J109" s="9" t="s">
        <v>216</v>
      </c>
    </row>
    <row r="110" customFormat="false" ht="117.9" hidden="false" customHeight="false" outlineLevel="0" collapsed="false">
      <c r="A110" s="5" t="n">
        <v>105</v>
      </c>
      <c r="B110" s="6" t="s">
        <v>13</v>
      </c>
      <c r="C110" s="7" t="s">
        <v>41</v>
      </c>
      <c r="D110" s="8" t="s">
        <v>15</v>
      </c>
      <c r="E110" s="8" t="s">
        <v>211</v>
      </c>
      <c r="F110" s="8" t="s">
        <v>135</v>
      </c>
      <c r="G110" s="5" t="s">
        <v>61</v>
      </c>
      <c r="H110" s="5" t="n">
        <v>1</v>
      </c>
      <c r="I110" s="8" t="s">
        <v>136</v>
      </c>
      <c r="J110" s="9" t="s">
        <v>217</v>
      </c>
    </row>
    <row r="111" customFormat="false" ht="126.85" hidden="false" customHeight="false" outlineLevel="0" collapsed="false">
      <c r="A111" s="5" t="n">
        <v>106</v>
      </c>
      <c r="B111" s="6" t="s">
        <v>13</v>
      </c>
      <c r="C111" s="7" t="s">
        <v>41</v>
      </c>
      <c r="D111" s="8" t="s">
        <v>15</v>
      </c>
      <c r="E111" s="8" t="s">
        <v>211</v>
      </c>
      <c r="F111" s="8" t="s">
        <v>138</v>
      </c>
      <c r="G111" s="5" t="s">
        <v>18</v>
      </c>
      <c r="H111" s="5" t="n">
        <v>3</v>
      </c>
      <c r="I111" s="8" t="s">
        <v>139</v>
      </c>
      <c r="J111" s="9" t="s">
        <v>218</v>
      </c>
    </row>
    <row r="112" customFormat="false" ht="135.8" hidden="false" customHeight="false" outlineLevel="0" collapsed="false">
      <c r="A112" s="5" t="n">
        <v>107</v>
      </c>
      <c r="B112" s="6" t="s">
        <v>13</v>
      </c>
      <c r="C112" s="7" t="s">
        <v>41</v>
      </c>
      <c r="D112" s="8" t="s">
        <v>15</v>
      </c>
      <c r="E112" s="8" t="s">
        <v>211</v>
      </c>
      <c r="F112" s="8" t="s">
        <v>219</v>
      </c>
      <c r="G112" s="5" t="s">
        <v>18</v>
      </c>
      <c r="H112" s="5" t="n">
        <v>1</v>
      </c>
      <c r="I112" s="8" t="s">
        <v>220</v>
      </c>
      <c r="J112" s="9" t="s">
        <v>221</v>
      </c>
    </row>
    <row r="113" customFormat="false" ht="126.85" hidden="false" customHeight="false" outlineLevel="0" collapsed="false">
      <c r="A113" s="5" t="n">
        <v>108</v>
      </c>
      <c r="B113" s="6" t="s">
        <v>13</v>
      </c>
      <c r="C113" s="7" t="s">
        <v>41</v>
      </c>
      <c r="D113" s="8" t="s">
        <v>15</v>
      </c>
      <c r="E113" s="8" t="s">
        <v>211</v>
      </c>
      <c r="F113" s="8" t="s">
        <v>222</v>
      </c>
      <c r="G113" s="5" t="s">
        <v>18</v>
      </c>
      <c r="H113" s="5" t="n">
        <v>1</v>
      </c>
      <c r="I113" s="8" t="s">
        <v>223</v>
      </c>
      <c r="J113" s="9" t="s">
        <v>224</v>
      </c>
    </row>
    <row r="114" customFormat="false" ht="108.95" hidden="false" customHeight="false" outlineLevel="0" collapsed="false">
      <c r="A114" s="5" t="n">
        <v>109</v>
      </c>
      <c r="B114" s="6" t="s">
        <v>13</v>
      </c>
      <c r="C114" s="7" t="s">
        <v>225</v>
      </c>
      <c r="D114" s="8" t="s">
        <v>226</v>
      </c>
      <c r="E114" s="8" t="s">
        <v>227</v>
      </c>
      <c r="F114" s="8" t="s">
        <v>69</v>
      </c>
      <c r="G114" s="5" t="s">
        <v>22</v>
      </c>
      <c r="H114" s="5" t="n">
        <v>4</v>
      </c>
      <c r="I114" s="8" t="s">
        <v>70</v>
      </c>
      <c r="J114" s="9" t="s">
        <v>228</v>
      </c>
    </row>
    <row r="115" customFormat="false" ht="117.9" hidden="false" customHeight="false" outlineLevel="0" collapsed="false">
      <c r="A115" s="5" t="n">
        <v>110</v>
      </c>
      <c r="B115" s="6" t="s">
        <v>13</v>
      </c>
      <c r="C115" s="7" t="s">
        <v>225</v>
      </c>
      <c r="D115" s="8" t="s">
        <v>226</v>
      </c>
      <c r="E115" s="8" t="s">
        <v>227</v>
      </c>
      <c r="F115" s="8" t="s">
        <v>131</v>
      </c>
      <c r="G115" s="5" t="s">
        <v>18</v>
      </c>
      <c r="H115" s="5" t="n">
        <v>2</v>
      </c>
      <c r="I115" s="8" t="s">
        <v>150</v>
      </c>
      <c r="J115" s="9" t="s">
        <v>229</v>
      </c>
    </row>
    <row r="116" customFormat="false" ht="108.95" hidden="false" customHeight="false" outlineLevel="0" collapsed="false">
      <c r="A116" s="5" t="n">
        <v>111</v>
      </c>
      <c r="B116" s="6" t="s">
        <v>13</v>
      </c>
      <c r="C116" s="7" t="s">
        <v>225</v>
      </c>
      <c r="D116" s="8" t="s">
        <v>226</v>
      </c>
      <c r="E116" s="8" t="s">
        <v>227</v>
      </c>
      <c r="F116" s="8" t="s">
        <v>72</v>
      </c>
      <c r="G116" s="5" t="s">
        <v>53</v>
      </c>
      <c r="H116" s="5" t="n">
        <v>9</v>
      </c>
      <c r="I116" s="8" t="s">
        <v>73</v>
      </c>
      <c r="J116" s="9" t="s">
        <v>230</v>
      </c>
    </row>
    <row r="117" customFormat="false" ht="117.9" hidden="false" customHeight="false" outlineLevel="0" collapsed="false">
      <c r="A117" s="5" t="n">
        <v>112</v>
      </c>
      <c r="B117" s="6" t="s">
        <v>13</v>
      </c>
      <c r="C117" s="7" t="s">
        <v>225</v>
      </c>
      <c r="D117" s="8" t="s">
        <v>226</v>
      </c>
      <c r="E117" s="8" t="s">
        <v>227</v>
      </c>
      <c r="F117" s="8" t="s">
        <v>75</v>
      </c>
      <c r="G117" s="5" t="s">
        <v>53</v>
      </c>
      <c r="H117" s="5" t="n">
        <v>1</v>
      </c>
      <c r="I117" s="8" t="s">
        <v>76</v>
      </c>
      <c r="J117" s="9" t="s">
        <v>231</v>
      </c>
    </row>
    <row r="118" customFormat="false" ht="135.8" hidden="false" customHeight="false" outlineLevel="0" collapsed="false">
      <c r="A118" s="5" t="n">
        <v>113</v>
      </c>
      <c r="B118" s="6" t="s">
        <v>13</v>
      </c>
      <c r="C118" s="7" t="s">
        <v>225</v>
      </c>
      <c r="D118" s="8" t="s">
        <v>226</v>
      </c>
      <c r="E118" s="8" t="s">
        <v>227</v>
      </c>
      <c r="F118" s="8" t="s">
        <v>232</v>
      </c>
      <c r="G118" s="5" t="s">
        <v>53</v>
      </c>
      <c r="H118" s="5" t="n">
        <v>1</v>
      </c>
      <c r="I118" s="8" t="s">
        <v>233</v>
      </c>
      <c r="J118" s="9" t="s">
        <v>234</v>
      </c>
    </row>
    <row r="119" customFormat="false" ht="108.95" hidden="false" customHeight="false" outlineLevel="0" collapsed="false">
      <c r="A119" s="5" t="n">
        <v>114</v>
      </c>
      <c r="B119" s="6" t="s">
        <v>13</v>
      </c>
      <c r="C119" s="7" t="s">
        <v>225</v>
      </c>
      <c r="D119" s="8" t="s">
        <v>226</v>
      </c>
      <c r="E119" s="8" t="s">
        <v>227</v>
      </c>
      <c r="F119" s="8" t="s">
        <v>235</v>
      </c>
      <c r="G119" s="5" t="s">
        <v>57</v>
      </c>
      <c r="H119" s="5" t="n">
        <v>1</v>
      </c>
      <c r="I119" s="8" t="s">
        <v>236</v>
      </c>
      <c r="J119" s="9" t="s">
        <v>237</v>
      </c>
    </row>
    <row r="120" customFormat="false" ht="108.95" hidden="false" customHeight="false" outlineLevel="0" collapsed="false">
      <c r="A120" s="5" t="n">
        <v>115</v>
      </c>
      <c r="B120" s="6" t="s">
        <v>13</v>
      </c>
      <c r="C120" s="7" t="s">
        <v>225</v>
      </c>
      <c r="D120" s="8" t="s">
        <v>226</v>
      </c>
      <c r="E120" s="8" t="s">
        <v>238</v>
      </c>
      <c r="F120" s="8" t="s">
        <v>69</v>
      </c>
      <c r="G120" s="5" t="s">
        <v>22</v>
      </c>
      <c r="H120" s="5" t="n">
        <v>4</v>
      </c>
      <c r="I120" s="8" t="s">
        <v>70</v>
      </c>
      <c r="J120" s="9" t="s">
        <v>239</v>
      </c>
    </row>
    <row r="121" customFormat="false" ht="117.9" hidden="false" customHeight="false" outlineLevel="0" collapsed="false">
      <c r="A121" s="5" t="n">
        <v>116</v>
      </c>
      <c r="B121" s="6" t="s">
        <v>13</v>
      </c>
      <c r="C121" s="7" t="s">
        <v>225</v>
      </c>
      <c r="D121" s="8" t="s">
        <v>226</v>
      </c>
      <c r="E121" s="8" t="s">
        <v>238</v>
      </c>
      <c r="F121" s="8" t="s">
        <v>131</v>
      </c>
      <c r="G121" s="5" t="s">
        <v>18</v>
      </c>
      <c r="H121" s="5" t="n">
        <v>2</v>
      </c>
      <c r="I121" s="8" t="s">
        <v>150</v>
      </c>
      <c r="J121" s="9" t="s">
        <v>240</v>
      </c>
    </row>
    <row r="122" customFormat="false" ht="108.95" hidden="false" customHeight="false" outlineLevel="0" collapsed="false">
      <c r="A122" s="5" t="n">
        <v>117</v>
      </c>
      <c r="B122" s="6" t="s">
        <v>13</v>
      </c>
      <c r="C122" s="7" t="s">
        <v>225</v>
      </c>
      <c r="D122" s="8" t="s">
        <v>226</v>
      </c>
      <c r="E122" s="8" t="s">
        <v>238</v>
      </c>
      <c r="F122" s="8" t="s">
        <v>72</v>
      </c>
      <c r="G122" s="5" t="s">
        <v>53</v>
      </c>
      <c r="H122" s="5" t="n">
        <v>9</v>
      </c>
      <c r="I122" s="8" t="s">
        <v>73</v>
      </c>
      <c r="J122" s="9" t="s">
        <v>241</v>
      </c>
    </row>
    <row r="123" customFormat="false" ht="117.9" hidden="false" customHeight="false" outlineLevel="0" collapsed="false">
      <c r="A123" s="5" t="n">
        <v>118</v>
      </c>
      <c r="B123" s="6" t="s">
        <v>13</v>
      </c>
      <c r="C123" s="7" t="s">
        <v>225</v>
      </c>
      <c r="D123" s="8" t="s">
        <v>226</v>
      </c>
      <c r="E123" s="8" t="s">
        <v>238</v>
      </c>
      <c r="F123" s="8" t="s">
        <v>75</v>
      </c>
      <c r="G123" s="5" t="s">
        <v>53</v>
      </c>
      <c r="H123" s="5" t="n">
        <v>1</v>
      </c>
      <c r="I123" s="8" t="s">
        <v>76</v>
      </c>
      <c r="J123" s="9" t="s">
        <v>242</v>
      </c>
    </row>
    <row r="124" customFormat="false" ht="99.95" hidden="false" customHeight="false" outlineLevel="0" collapsed="false">
      <c r="A124" s="5" t="n">
        <v>119</v>
      </c>
      <c r="B124" s="6" t="s">
        <v>13</v>
      </c>
      <c r="C124" s="7" t="s">
        <v>225</v>
      </c>
      <c r="D124" s="8" t="s">
        <v>226</v>
      </c>
      <c r="E124" s="8" t="s">
        <v>243</v>
      </c>
      <c r="F124" s="8" t="s">
        <v>69</v>
      </c>
      <c r="G124" s="5" t="s">
        <v>22</v>
      </c>
      <c r="H124" s="5" t="n">
        <v>4</v>
      </c>
      <c r="I124" s="8" t="s">
        <v>70</v>
      </c>
      <c r="J124" s="9" t="s">
        <v>244</v>
      </c>
    </row>
    <row r="125" customFormat="false" ht="108.95" hidden="false" customHeight="false" outlineLevel="0" collapsed="false">
      <c r="A125" s="5" t="n">
        <v>120</v>
      </c>
      <c r="B125" s="6" t="s">
        <v>13</v>
      </c>
      <c r="C125" s="7" t="s">
        <v>225</v>
      </c>
      <c r="D125" s="8" t="s">
        <v>226</v>
      </c>
      <c r="E125" s="8" t="s">
        <v>243</v>
      </c>
      <c r="F125" s="8" t="s">
        <v>131</v>
      </c>
      <c r="G125" s="5" t="s">
        <v>18</v>
      </c>
      <c r="H125" s="5" t="n">
        <v>2</v>
      </c>
      <c r="I125" s="8" t="s">
        <v>150</v>
      </c>
      <c r="J125" s="9" t="s">
        <v>245</v>
      </c>
    </row>
    <row r="126" customFormat="false" ht="99.95" hidden="false" customHeight="false" outlineLevel="0" collapsed="false">
      <c r="A126" s="5" t="n">
        <v>121</v>
      </c>
      <c r="B126" s="6" t="s">
        <v>13</v>
      </c>
      <c r="C126" s="7" t="s">
        <v>225</v>
      </c>
      <c r="D126" s="8" t="s">
        <v>226</v>
      </c>
      <c r="E126" s="8" t="s">
        <v>243</v>
      </c>
      <c r="F126" s="8" t="s">
        <v>72</v>
      </c>
      <c r="G126" s="5" t="s">
        <v>53</v>
      </c>
      <c r="H126" s="5" t="n">
        <v>9</v>
      </c>
      <c r="I126" s="8" t="s">
        <v>73</v>
      </c>
      <c r="J126" s="9" t="s">
        <v>246</v>
      </c>
    </row>
    <row r="127" customFormat="false" ht="108.95" hidden="false" customHeight="false" outlineLevel="0" collapsed="false">
      <c r="A127" s="5" t="n">
        <v>122</v>
      </c>
      <c r="B127" s="6" t="s">
        <v>13</v>
      </c>
      <c r="C127" s="7" t="s">
        <v>225</v>
      </c>
      <c r="D127" s="8" t="s">
        <v>226</v>
      </c>
      <c r="E127" s="8" t="s">
        <v>243</v>
      </c>
      <c r="F127" s="8" t="s">
        <v>75</v>
      </c>
      <c r="G127" s="5" t="s">
        <v>53</v>
      </c>
      <c r="H127" s="5" t="n">
        <v>1</v>
      </c>
      <c r="I127" s="8" t="s">
        <v>76</v>
      </c>
      <c r="J127" s="9" t="s">
        <v>247</v>
      </c>
    </row>
    <row r="128" customFormat="false" ht="135.8" hidden="false" customHeight="false" outlineLevel="0" collapsed="false">
      <c r="A128" s="5" t="n">
        <v>123</v>
      </c>
      <c r="B128" s="6" t="s">
        <v>13</v>
      </c>
      <c r="C128" s="7" t="s">
        <v>225</v>
      </c>
      <c r="D128" s="8" t="s">
        <v>226</v>
      </c>
      <c r="E128" s="8" t="s">
        <v>243</v>
      </c>
      <c r="F128" s="8" t="s">
        <v>248</v>
      </c>
      <c r="G128" s="5" t="s">
        <v>53</v>
      </c>
      <c r="H128" s="5" t="n">
        <v>1</v>
      </c>
      <c r="I128" s="8" t="s">
        <v>249</v>
      </c>
      <c r="J128" s="9" t="s">
        <v>250</v>
      </c>
    </row>
    <row r="129" customFormat="false" ht="117.9" hidden="false" customHeight="false" outlineLevel="0" collapsed="false">
      <c r="A129" s="5" t="n">
        <v>124</v>
      </c>
      <c r="B129" s="6" t="s">
        <v>13</v>
      </c>
      <c r="C129" s="7" t="s">
        <v>225</v>
      </c>
      <c r="D129" s="8" t="s">
        <v>226</v>
      </c>
      <c r="E129" s="8" t="s">
        <v>243</v>
      </c>
      <c r="F129" s="8" t="s">
        <v>251</v>
      </c>
      <c r="G129" s="5" t="s">
        <v>18</v>
      </c>
      <c r="H129" s="5" t="n">
        <v>1</v>
      </c>
      <c r="I129" s="8" t="s">
        <v>252</v>
      </c>
      <c r="J129" s="9" t="s">
        <v>253</v>
      </c>
    </row>
    <row r="130" customFormat="false" ht="99.95" hidden="false" customHeight="false" outlineLevel="0" collapsed="false">
      <c r="A130" s="5" t="n">
        <v>125</v>
      </c>
      <c r="B130" s="6" t="s">
        <v>13</v>
      </c>
      <c r="C130" s="7" t="s">
        <v>225</v>
      </c>
      <c r="D130" s="8" t="s">
        <v>226</v>
      </c>
      <c r="E130" s="8" t="s">
        <v>254</v>
      </c>
      <c r="F130" s="8" t="s">
        <v>69</v>
      </c>
      <c r="G130" s="5" t="s">
        <v>22</v>
      </c>
      <c r="H130" s="5" t="n">
        <v>4</v>
      </c>
      <c r="I130" s="8" t="s">
        <v>70</v>
      </c>
      <c r="J130" s="9" t="s">
        <v>255</v>
      </c>
    </row>
    <row r="131" customFormat="false" ht="108.95" hidden="false" customHeight="false" outlineLevel="0" collapsed="false">
      <c r="A131" s="5" t="n">
        <v>126</v>
      </c>
      <c r="B131" s="6" t="s">
        <v>13</v>
      </c>
      <c r="C131" s="7" t="s">
        <v>225</v>
      </c>
      <c r="D131" s="8" t="s">
        <v>226</v>
      </c>
      <c r="E131" s="8" t="s">
        <v>254</v>
      </c>
      <c r="F131" s="8" t="s">
        <v>131</v>
      </c>
      <c r="G131" s="5" t="s">
        <v>18</v>
      </c>
      <c r="H131" s="5" t="n">
        <v>2</v>
      </c>
      <c r="I131" s="8" t="s">
        <v>150</v>
      </c>
      <c r="J131" s="9" t="s">
        <v>256</v>
      </c>
    </row>
    <row r="132" customFormat="false" ht="99.95" hidden="false" customHeight="false" outlineLevel="0" collapsed="false">
      <c r="A132" s="5" t="n">
        <v>127</v>
      </c>
      <c r="B132" s="6" t="s">
        <v>13</v>
      </c>
      <c r="C132" s="7" t="s">
        <v>225</v>
      </c>
      <c r="D132" s="8" t="s">
        <v>226</v>
      </c>
      <c r="E132" s="8" t="s">
        <v>254</v>
      </c>
      <c r="F132" s="8" t="s">
        <v>72</v>
      </c>
      <c r="G132" s="5" t="s">
        <v>53</v>
      </c>
      <c r="H132" s="5" t="n">
        <v>9</v>
      </c>
      <c r="I132" s="8" t="s">
        <v>73</v>
      </c>
      <c r="J132" s="9" t="s">
        <v>257</v>
      </c>
    </row>
    <row r="133" customFormat="false" ht="108.95" hidden="false" customHeight="false" outlineLevel="0" collapsed="false">
      <c r="A133" s="5" t="n">
        <v>128</v>
      </c>
      <c r="B133" s="6" t="s">
        <v>13</v>
      </c>
      <c r="C133" s="7" t="s">
        <v>225</v>
      </c>
      <c r="D133" s="8" t="s">
        <v>226</v>
      </c>
      <c r="E133" s="8" t="s">
        <v>254</v>
      </c>
      <c r="F133" s="8" t="s">
        <v>75</v>
      </c>
      <c r="G133" s="5" t="s">
        <v>53</v>
      </c>
      <c r="H133" s="5" t="n">
        <v>1</v>
      </c>
      <c r="I133" s="8" t="s">
        <v>76</v>
      </c>
      <c r="J133" s="9" t="s">
        <v>258</v>
      </c>
    </row>
    <row r="134" customFormat="false" ht="108.95" hidden="false" customHeight="false" outlineLevel="0" collapsed="false">
      <c r="A134" s="5" t="n">
        <v>129</v>
      </c>
      <c r="B134" s="6" t="s">
        <v>13</v>
      </c>
      <c r="C134" s="7" t="s">
        <v>225</v>
      </c>
      <c r="D134" s="8" t="s">
        <v>226</v>
      </c>
      <c r="E134" s="8" t="s">
        <v>254</v>
      </c>
      <c r="F134" s="8" t="s">
        <v>135</v>
      </c>
      <c r="G134" s="5" t="s">
        <v>61</v>
      </c>
      <c r="H134" s="5" t="n">
        <v>1</v>
      </c>
      <c r="I134" s="8" t="s">
        <v>136</v>
      </c>
      <c r="J134" s="9" t="s">
        <v>259</v>
      </c>
    </row>
    <row r="135" customFormat="false" ht="117.9" hidden="false" customHeight="false" outlineLevel="0" collapsed="false">
      <c r="A135" s="5" t="n">
        <v>130</v>
      </c>
      <c r="B135" s="6" t="s">
        <v>13</v>
      </c>
      <c r="C135" s="7" t="s">
        <v>225</v>
      </c>
      <c r="D135" s="8" t="s">
        <v>226</v>
      </c>
      <c r="E135" s="8" t="s">
        <v>260</v>
      </c>
      <c r="F135" s="8" t="s">
        <v>69</v>
      </c>
      <c r="G135" s="5" t="s">
        <v>22</v>
      </c>
      <c r="H135" s="5" t="n">
        <v>4</v>
      </c>
      <c r="I135" s="8" t="s">
        <v>70</v>
      </c>
      <c r="J135" s="9" t="s">
        <v>261</v>
      </c>
    </row>
    <row r="136" customFormat="false" ht="126.85" hidden="false" customHeight="false" outlineLevel="0" collapsed="false">
      <c r="A136" s="5" t="n">
        <v>131</v>
      </c>
      <c r="B136" s="6" t="s">
        <v>13</v>
      </c>
      <c r="C136" s="7" t="s">
        <v>225</v>
      </c>
      <c r="D136" s="8" t="s">
        <v>226</v>
      </c>
      <c r="E136" s="8" t="s">
        <v>260</v>
      </c>
      <c r="F136" s="8" t="s">
        <v>131</v>
      </c>
      <c r="G136" s="5" t="s">
        <v>18</v>
      </c>
      <c r="H136" s="5" t="n">
        <v>2</v>
      </c>
      <c r="I136" s="8" t="s">
        <v>150</v>
      </c>
      <c r="J136" s="9" t="s">
        <v>262</v>
      </c>
    </row>
    <row r="137" customFormat="false" ht="117.9" hidden="false" customHeight="false" outlineLevel="0" collapsed="false">
      <c r="A137" s="5" t="n">
        <v>132</v>
      </c>
      <c r="B137" s="6" t="s">
        <v>13</v>
      </c>
      <c r="C137" s="7" t="s">
        <v>225</v>
      </c>
      <c r="D137" s="8" t="s">
        <v>226</v>
      </c>
      <c r="E137" s="8" t="s">
        <v>260</v>
      </c>
      <c r="F137" s="8" t="s">
        <v>72</v>
      </c>
      <c r="G137" s="5" t="s">
        <v>53</v>
      </c>
      <c r="H137" s="5" t="n">
        <v>9</v>
      </c>
      <c r="I137" s="8" t="s">
        <v>73</v>
      </c>
      <c r="J137" s="9" t="s">
        <v>263</v>
      </c>
    </row>
    <row r="138" customFormat="false" ht="126.85" hidden="false" customHeight="false" outlineLevel="0" collapsed="false">
      <c r="A138" s="5" t="n">
        <v>133</v>
      </c>
      <c r="B138" s="6" t="s">
        <v>13</v>
      </c>
      <c r="C138" s="7" t="s">
        <v>225</v>
      </c>
      <c r="D138" s="8" t="s">
        <v>226</v>
      </c>
      <c r="E138" s="8" t="s">
        <v>260</v>
      </c>
      <c r="F138" s="8" t="s">
        <v>75</v>
      </c>
      <c r="G138" s="5" t="s">
        <v>53</v>
      </c>
      <c r="H138" s="5" t="n">
        <v>1</v>
      </c>
      <c r="I138" s="8" t="s">
        <v>76</v>
      </c>
      <c r="J138" s="9" t="s">
        <v>264</v>
      </c>
    </row>
    <row r="139" customFormat="false" ht="135.8" hidden="false" customHeight="false" outlineLevel="0" collapsed="false">
      <c r="A139" s="5" t="n">
        <v>134</v>
      </c>
      <c r="B139" s="6" t="s">
        <v>13</v>
      </c>
      <c r="C139" s="7" t="s">
        <v>225</v>
      </c>
      <c r="D139" s="8" t="s">
        <v>226</v>
      </c>
      <c r="E139" s="8" t="s">
        <v>265</v>
      </c>
      <c r="F139" s="8" t="s">
        <v>69</v>
      </c>
      <c r="G139" s="5" t="s">
        <v>22</v>
      </c>
      <c r="H139" s="5" t="n">
        <v>4</v>
      </c>
      <c r="I139" s="8" t="s">
        <v>70</v>
      </c>
      <c r="J139" s="9" t="s">
        <v>266</v>
      </c>
    </row>
    <row r="140" customFormat="false" ht="144.75" hidden="false" customHeight="false" outlineLevel="0" collapsed="false">
      <c r="A140" s="5" t="n">
        <v>135</v>
      </c>
      <c r="B140" s="6" t="s">
        <v>13</v>
      </c>
      <c r="C140" s="7" t="s">
        <v>225</v>
      </c>
      <c r="D140" s="8" t="s">
        <v>226</v>
      </c>
      <c r="E140" s="8" t="s">
        <v>265</v>
      </c>
      <c r="F140" s="8" t="s">
        <v>131</v>
      </c>
      <c r="G140" s="5" t="s">
        <v>18</v>
      </c>
      <c r="H140" s="5" t="n">
        <v>2</v>
      </c>
      <c r="I140" s="8" t="s">
        <v>150</v>
      </c>
      <c r="J140" s="9" t="s">
        <v>267</v>
      </c>
    </row>
    <row r="141" customFormat="false" ht="135.8" hidden="false" customHeight="false" outlineLevel="0" collapsed="false">
      <c r="A141" s="5" t="n">
        <v>136</v>
      </c>
      <c r="B141" s="6" t="s">
        <v>13</v>
      </c>
      <c r="C141" s="7" t="s">
        <v>225</v>
      </c>
      <c r="D141" s="8" t="s">
        <v>226</v>
      </c>
      <c r="E141" s="8" t="s">
        <v>265</v>
      </c>
      <c r="F141" s="8" t="s">
        <v>72</v>
      </c>
      <c r="G141" s="5" t="s">
        <v>53</v>
      </c>
      <c r="H141" s="5" t="n">
        <v>9</v>
      </c>
      <c r="I141" s="8" t="s">
        <v>73</v>
      </c>
      <c r="J141" s="9" t="s">
        <v>268</v>
      </c>
    </row>
    <row r="142" customFormat="false" ht="144.75" hidden="false" customHeight="false" outlineLevel="0" collapsed="false">
      <c r="A142" s="5" t="n">
        <v>137</v>
      </c>
      <c r="B142" s="6" t="s">
        <v>13</v>
      </c>
      <c r="C142" s="7" t="s">
        <v>225</v>
      </c>
      <c r="D142" s="8" t="s">
        <v>226</v>
      </c>
      <c r="E142" s="8" t="s">
        <v>265</v>
      </c>
      <c r="F142" s="8" t="s">
        <v>75</v>
      </c>
      <c r="G142" s="5" t="s">
        <v>53</v>
      </c>
      <c r="H142" s="5" t="n">
        <v>1</v>
      </c>
      <c r="I142" s="8" t="s">
        <v>76</v>
      </c>
      <c r="J142" s="9" t="s">
        <v>269</v>
      </c>
    </row>
    <row r="143" customFormat="false" ht="117.9" hidden="false" customHeight="false" outlineLevel="0" collapsed="false">
      <c r="A143" s="5" t="n">
        <v>138</v>
      </c>
      <c r="B143" s="6" t="s">
        <v>13</v>
      </c>
      <c r="C143" s="7" t="s">
        <v>225</v>
      </c>
      <c r="D143" s="8" t="s">
        <v>226</v>
      </c>
      <c r="E143" s="8" t="s">
        <v>270</v>
      </c>
      <c r="F143" s="8" t="s">
        <v>69</v>
      </c>
      <c r="G143" s="5" t="s">
        <v>22</v>
      </c>
      <c r="H143" s="5" t="n">
        <v>4</v>
      </c>
      <c r="I143" s="8" t="s">
        <v>70</v>
      </c>
      <c r="J143" s="9" t="s">
        <v>271</v>
      </c>
    </row>
    <row r="144" customFormat="false" ht="126.85" hidden="false" customHeight="false" outlineLevel="0" collapsed="false">
      <c r="A144" s="5" t="n">
        <v>139</v>
      </c>
      <c r="B144" s="6" t="s">
        <v>13</v>
      </c>
      <c r="C144" s="7" t="s">
        <v>225</v>
      </c>
      <c r="D144" s="8" t="s">
        <v>226</v>
      </c>
      <c r="E144" s="8" t="s">
        <v>270</v>
      </c>
      <c r="F144" s="8" t="s">
        <v>131</v>
      </c>
      <c r="G144" s="5" t="s">
        <v>18</v>
      </c>
      <c r="H144" s="5" t="n">
        <v>2</v>
      </c>
      <c r="I144" s="8" t="s">
        <v>150</v>
      </c>
      <c r="J144" s="9" t="s">
        <v>272</v>
      </c>
    </row>
    <row r="145" customFormat="false" ht="117.9" hidden="false" customHeight="false" outlineLevel="0" collapsed="false">
      <c r="A145" s="5" t="n">
        <v>140</v>
      </c>
      <c r="B145" s="6" t="s">
        <v>13</v>
      </c>
      <c r="C145" s="7" t="s">
        <v>225</v>
      </c>
      <c r="D145" s="8" t="s">
        <v>226</v>
      </c>
      <c r="E145" s="8" t="s">
        <v>270</v>
      </c>
      <c r="F145" s="8" t="s">
        <v>72</v>
      </c>
      <c r="G145" s="5" t="s">
        <v>53</v>
      </c>
      <c r="H145" s="5" t="n">
        <v>9</v>
      </c>
      <c r="I145" s="8" t="s">
        <v>73</v>
      </c>
      <c r="J145" s="9" t="s">
        <v>273</v>
      </c>
    </row>
    <row r="146" customFormat="false" ht="126.85" hidden="false" customHeight="false" outlineLevel="0" collapsed="false">
      <c r="A146" s="5" t="n">
        <v>141</v>
      </c>
      <c r="B146" s="6" t="s">
        <v>13</v>
      </c>
      <c r="C146" s="7" t="s">
        <v>225</v>
      </c>
      <c r="D146" s="8" t="s">
        <v>226</v>
      </c>
      <c r="E146" s="8" t="s">
        <v>270</v>
      </c>
      <c r="F146" s="8" t="s">
        <v>75</v>
      </c>
      <c r="G146" s="5" t="s">
        <v>53</v>
      </c>
      <c r="H146" s="5" t="n">
        <v>1</v>
      </c>
      <c r="I146" s="8" t="s">
        <v>76</v>
      </c>
      <c r="J146" s="9" t="s">
        <v>274</v>
      </c>
    </row>
    <row r="147" customFormat="false" ht="126.85" hidden="false" customHeight="false" outlineLevel="0" collapsed="false">
      <c r="A147" s="5" t="n">
        <v>142</v>
      </c>
      <c r="B147" s="6" t="s">
        <v>13</v>
      </c>
      <c r="C147" s="7" t="s">
        <v>225</v>
      </c>
      <c r="D147" s="8" t="s">
        <v>226</v>
      </c>
      <c r="E147" s="8" t="s">
        <v>270</v>
      </c>
      <c r="F147" s="8" t="s">
        <v>135</v>
      </c>
      <c r="G147" s="5" t="s">
        <v>61</v>
      </c>
      <c r="H147" s="5" t="n">
        <v>1</v>
      </c>
      <c r="I147" s="8" t="s">
        <v>136</v>
      </c>
      <c r="J147" s="9" t="s">
        <v>275</v>
      </c>
    </row>
    <row r="148" customFormat="false" ht="82.05" hidden="false" customHeight="false" outlineLevel="0" collapsed="false">
      <c r="A148" s="5" t="n">
        <v>143</v>
      </c>
      <c r="B148" s="6" t="s">
        <v>13</v>
      </c>
      <c r="C148" s="7" t="s">
        <v>225</v>
      </c>
      <c r="D148" s="8" t="s">
        <v>226</v>
      </c>
      <c r="E148" s="8" t="s">
        <v>276</v>
      </c>
      <c r="F148" s="8" t="s">
        <v>69</v>
      </c>
      <c r="G148" s="5" t="s">
        <v>22</v>
      </c>
      <c r="H148" s="5" t="n">
        <v>4</v>
      </c>
      <c r="I148" s="8" t="s">
        <v>70</v>
      </c>
      <c r="J148" s="9" t="s">
        <v>277</v>
      </c>
    </row>
    <row r="149" customFormat="false" ht="91" hidden="false" customHeight="false" outlineLevel="0" collapsed="false">
      <c r="A149" s="5" t="n">
        <v>144</v>
      </c>
      <c r="B149" s="6" t="s">
        <v>13</v>
      </c>
      <c r="C149" s="7" t="s">
        <v>225</v>
      </c>
      <c r="D149" s="8" t="s">
        <v>226</v>
      </c>
      <c r="E149" s="8" t="s">
        <v>276</v>
      </c>
      <c r="F149" s="8" t="s">
        <v>131</v>
      </c>
      <c r="G149" s="5" t="s">
        <v>18</v>
      </c>
      <c r="H149" s="5" t="n">
        <v>2</v>
      </c>
      <c r="I149" s="8" t="s">
        <v>150</v>
      </c>
      <c r="J149" s="9" t="s">
        <v>278</v>
      </c>
    </row>
    <row r="150" customFormat="false" ht="82.05" hidden="false" customHeight="false" outlineLevel="0" collapsed="false">
      <c r="A150" s="5" t="n">
        <v>145</v>
      </c>
      <c r="B150" s="6" t="s">
        <v>13</v>
      </c>
      <c r="C150" s="7" t="s">
        <v>225</v>
      </c>
      <c r="D150" s="8" t="s">
        <v>226</v>
      </c>
      <c r="E150" s="8" t="s">
        <v>276</v>
      </c>
      <c r="F150" s="8" t="s">
        <v>72</v>
      </c>
      <c r="G150" s="5" t="s">
        <v>53</v>
      </c>
      <c r="H150" s="5" t="n">
        <v>9</v>
      </c>
      <c r="I150" s="8" t="s">
        <v>73</v>
      </c>
      <c r="J150" s="9" t="s">
        <v>279</v>
      </c>
    </row>
    <row r="151" customFormat="false" ht="91" hidden="false" customHeight="false" outlineLevel="0" collapsed="false">
      <c r="A151" s="5" t="n">
        <v>146</v>
      </c>
      <c r="B151" s="6" t="s">
        <v>13</v>
      </c>
      <c r="C151" s="7" t="s">
        <v>225</v>
      </c>
      <c r="D151" s="8" t="s">
        <v>226</v>
      </c>
      <c r="E151" s="8" t="s">
        <v>276</v>
      </c>
      <c r="F151" s="8" t="s">
        <v>75</v>
      </c>
      <c r="G151" s="5" t="s">
        <v>53</v>
      </c>
      <c r="H151" s="5" t="n">
        <v>1</v>
      </c>
      <c r="I151" s="8" t="s">
        <v>76</v>
      </c>
      <c r="J151" s="9" t="s">
        <v>280</v>
      </c>
    </row>
    <row r="152" customFormat="false" ht="144.75" hidden="false" customHeight="false" outlineLevel="0" collapsed="false">
      <c r="A152" s="5" t="n">
        <v>147</v>
      </c>
      <c r="B152" s="6" t="s">
        <v>13</v>
      </c>
      <c r="C152" s="7" t="s">
        <v>225</v>
      </c>
      <c r="D152" s="8" t="s">
        <v>226</v>
      </c>
      <c r="E152" s="8" t="s">
        <v>281</v>
      </c>
      <c r="F152" s="8" t="s">
        <v>282</v>
      </c>
      <c r="G152" s="5" t="s">
        <v>53</v>
      </c>
      <c r="H152" s="5" t="n">
        <v>1</v>
      </c>
      <c r="I152" s="8" t="s">
        <v>283</v>
      </c>
      <c r="J152" s="9" t="s">
        <v>284</v>
      </c>
    </row>
    <row r="153" customFormat="false" ht="99.95" hidden="false" customHeight="false" outlineLevel="0" collapsed="false">
      <c r="A153" s="5" t="n">
        <v>148</v>
      </c>
      <c r="B153" s="6" t="s">
        <v>13</v>
      </c>
      <c r="C153" s="7" t="s">
        <v>225</v>
      </c>
      <c r="D153" s="8" t="s">
        <v>226</v>
      </c>
      <c r="E153" s="8" t="s">
        <v>281</v>
      </c>
      <c r="F153" s="8" t="s">
        <v>285</v>
      </c>
      <c r="G153" s="5" t="s">
        <v>53</v>
      </c>
      <c r="H153" s="5" t="n">
        <v>1</v>
      </c>
      <c r="I153" s="8" t="s">
        <v>286</v>
      </c>
      <c r="J153" s="9" t="s">
        <v>287</v>
      </c>
    </row>
    <row r="154" customFormat="false" ht="126.85" hidden="false" customHeight="false" outlineLevel="0" collapsed="false">
      <c r="A154" s="5" t="n">
        <v>149</v>
      </c>
      <c r="B154" s="6" t="s">
        <v>13</v>
      </c>
      <c r="C154" s="7" t="s">
        <v>225</v>
      </c>
      <c r="D154" s="8" t="s">
        <v>226</v>
      </c>
      <c r="E154" s="8" t="s">
        <v>281</v>
      </c>
      <c r="F154" s="8" t="s">
        <v>288</v>
      </c>
      <c r="G154" s="5" t="s">
        <v>53</v>
      </c>
      <c r="H154" s="5" t="n">
        <v>1</v>
      </c>
      <c r="I154" s="8" t="s">
        <v>289</v>
      </c>
      <c r="J154" s="9" t="s">
        <v>290</v>
      </c>
    </row>
    <row r="155" customFormat="false" ht="108.95" hidden="false" customHeight="false" outlineLevel="0" collapsed="false">
      <c r="A155" s="5" t="n">
        <v>150</v>
      </c>
      <c r="B155" s="6" t="s">
        <v>13</v>
      </c>
      <c r="C155" s="7" t="s">
        <v>225</v>
      </c>
      <c r="D155" s="8" t="s">
        <v>226</v>
      </c>
      <c r="E155" s="8" t="s">
        <v>281</v>
      </c>
      <c r="F155" s="8" t="s">
        <v>291</v>
      </c>
      <c r="G155" s="5" t="s">
        <v>53</v>
      </c>
      <c r="H155" s="5" t="n">
        <v>1</v>
      </c>
      <c r="I155" s="8" t="s">
        <v>292</v>
      </c>
      <c r="J155" s="9" t="s">
        <v>293</v>
      </c>
    </row>
    <row r="156" customFormat="false" ht="99.95" hidden="false" customHeight="false" outlineLevel="0" collapsed="false">
      <c r="A156" s="5" t="n">
        <v>151</v>
      </c>
      <c r="B156" s="6" t="s">
        <v>13</v>
      </c>
      <c r="C156" s="7" t="s">
        <v>225</v>
      </c>
      <c r="D156" s="8" t="s">
        <v>226</v>
      </c>
      <c r="E156" s="8" t="s">
        <v>281</v>
      </c>
      <c r="F156" s="8" t="s">
        <v>294</v>
      </c>
      <c r="G156" s="5" t="s">
        <v>53</v>
      </c>
      <c r="H156" s="5" t="n">
        <v>1</v>
      </c>
      <c r="I156" s="8" t="s">
        <v>295</v>
      </c>
      <c r="J156" s="9" t="s">
        <v>296</v>
      </c>
    </row>
    <row r="157" customFormat="false" ht="108.95" hidden="false" customHeight="false" outlineLevel="0" collapsed="false">
      <c r="A157" s="5" t="n">
        <v>152</v>
      </c>
      <c r="B157" s="6" t="s">
        <v>13</v>
      </c>
      <c r="C157" s="7" t="s">
        <v>225</v>
      </c>
      <c r="D157" s="8" t="s">
        <v>226</v>
      </c>
      <c r="E157" s="8" t="s">
        <v>281</v>
      </c>
      <c r="F157" s="8" t="s">
        <v>297</v>
      </c>
      <c r="G157" s="5" t="s">
        <v>53</v>
      </c>
      <c r="H157" s="5" t="n">
        <v>1</v>
      </c>
      <c r="I157" s="8" t="s">
        <v>298</v>
      </c>
      <c r="J157" s="9" t="s">
        <v>299</v>
      </c>
    </row>
    <row r="158" customFormat="false" ht="126.85" hidden="false" customHeight="false" outlineLevel="0" collapsed="false">
      <c r="A158" s="5" t="n">
        <v>153</v>
      </c>
      <c r="B158" s="6" t="s">
        <v>13</v>
      </c>
      <c r="C158" s="7" t="s">
        <v>225</v>
      </c>
      <c r="D158" s="8" t="s">
        <v>226</v>
      </c>
      <c r="E158" s="8" t="s">
        <v>281</v>
      </c>
      <c r="F158" s="8" t="s">
        <v>300</v>
      </c>
      <c r="G158" s="5" t="s">
        <v>53</v>
      </c>
      <c r="H158" s="5" t="n">
        <v>1</v>
      </c>
      <c r="I158" s="8" t="s">
        <v>301</v>
      </c>
      <c r="J158" s="9" t="s">
        <v>302</v>
      </c>
    </row>
    <row r="159" customFormat="false" ht="117.9" hidden="false" customHeight="false" outlineLevel="0" collapsed="false">
      <c r="A159" s="5" t="n">
        <v>154</v>
      </c>
      <c r="B159" s="6" t="s">
        <v>13</v>
      </c>
      <c r="C159" s="7" t="s">
        <v>225</v>
      </c>
      <c r="D159" s="8" t="s">
        <v>226</v>
      </c>
      <c r="E159" s="8" t="s">
        <v>281</v>
      </c>
      <c r="F159" s="8" t="s">
        <v>303</v>
      </c>
      <c r="G159" s="5" t="s">
        <v>53</v>
      </c>
      <c r="H159" s="5" t="n">
        <v>1</v>
      </c>
      <c r="I159" s="8" t="s">
        <v>304</v>
      </c>
      <c r="J159" s="9" t="s">
        <v>305</v>
      </c>
    </row>
    <row r="160" customFormat="false" ht="99.95" hidden="false" customHeight="false" outlineLevel="0" collapsed="false">
      <c r="A160" s="5" t="n">
        <v>155</v>
      </c>
      <c r="B160" s="6" t="s">
        <v>13</v>
      </c>
      <c r="C160" s="7" t="s">
        <v>225</v>
      </c>
      <c r="D160" s="8" t="s">
        <v>226</v>
      </c>
      <c r="E160" s="8" t="s">
        <v>281</v>
      </c>
      <c r="F160" s="8" t="s">
        <v>306</v>
      </c>
      <c r="G160" s="5" t="s">
        <v>57</v>
      </c>
      <c r="H160" s="5" t="n">
        <v>1</v>
      </c>
      <c r="I160" s="8" t="s">
        <v>307</v>
      </c>
      <c r="J160" s="9" t="s">
        <v>308</v>
      </c>
    </row>
    <row r="161" customFormat="false" ht="117.9" hidden="false" customHeight="false" outlineLevel="0" collapsed="false">
      <c r="A161" s="5" t="n">
        <v>156</v>
      </c>
      <c r="B161" s="6" t="s">
        <v>13</v>
      </c>
      <c r="C161" s="7" t="s">
        <v>225</v>
      </c>
      <c r="D161" s="8" t="s">
        <v>226</v>
      </c>
      <c r="E161" s="8" t="s">
        <v>281</v>
      </c>
      <c r="F161" s="8" t="s">
        <v>309</v>
      </c>
      <c r="G161" s="5" t="s">
        <v>57</v>
      </c>
      <c r="H161" s="5" t="n">
        <v>1</v>
      </c>
      <c r="I161" s="8" t="s">
        <v>310</v>
      </c>
      <c r="J161" s="9" t="s">
        <v>311</v>
      </c>
    </row>
    <row r="162" customFormat="false" ht="108.95" hidden="false" customHeight="false" outlineLevel="0" collapsed="false">
      <c r="A162" s="5" t="n">
        <v>157</v>
      </c>
      <c r="B162" s="6" t="s">
        <v>13</v>
      </c>
      <c r="C162" s="7" t="s">
        <v>225</v>
      </c>
      <c r="D162" s="8" t="s">
        <v>226</v>
      </c>
      <c r="E162" s="8" t="s">
        <v>281</v>
      </c>
      <c r="F162" s="8" t="s">
        <v>312</v>
      </c>
      <c r="G162" s="5" t="s">
        <v>57</v>
      </c>
      <c r="H162" s="5" t="n">
        <v>1</v>
      </c>
      <c r="I162" s="8" t="s">
        <v>313</v>
      </c>
      <c r="J162" s="9" t="s">
        <v>314</v>
      </c>
    </row>
    <row r="163" customFormat="false" ht="108.95" hidden="false" customHeight="false" outlineLevel="0" collapsed="false">
      <c r="A163" s="5" t="n">
        <v>158</v>
      </c>
      <c r="B163" s="6" t="s">
        <v>13</v>
      </c>
      <c r="C163" s="7" t="s">
        <v>225</v>
      </c>
      <c r="D163" s="8" t="s">
        <v>226</v>
      </c>
      <c r="E163" s="8" t="s">
        <v>281</v>
      </c>
      <c r="F163" s="8" t="s">
        <v>315</v>
      </c>
      <c r="G163" s="5" t="s">
        <v>61</v>
      </c>
      <c r="H163" s="5" t="n">
        <v>1</v>
      </c>
      <c r="I163" s="8" t="s">
        <v>316</v>
      </c>
      <c r="J163" s="9" t="s">
        <v>317</v>
      </c>
    </row>
    <row r="164" customFormat="false" ht="135.8" hidden="false" customHeight="false" outlineLevel="0" collapsed="false">
      <c r="A164" s="5" t="n">
        <v>159</v>
      </c>
      <c r="B164" s="6" t="s">
        <v>13</v>
      </c>
      <c r="C164" s="7" t="s">
        <v>225</v>
      </c>
      <c r="D164" s="8" t="s">
        <v>226</v>
      </c>
      <c r="E164" s="8" t="s">
        <v>281</v>
      </c>
      <c r="F164" s="8" t="s">
        <v>318</v>
      </c>
      <c r="G164" s="5" t="s">
        <v>18</v>
      </c>
      <c r="H164" s="5" t="n">
        <v>2</v>
      </c>
      <c r="I164" s="8" t="s">
        <v>319</v>
      </c>
      <c r="J164" s="9" t="s">
        <v>320</v>
      </c>
    </row>
    <row r="165" customFormat="false" ht="108.95" hidden="false" customHeight="false" outlineLevel="0" collapsed="false">
      <c r="A165" s="5" t="n">
        <v>160</v>
      </c>
      <c r="B165" s="6" t="s">
        <v>13</v>
      </c>
      <c r="C165" s="7" t="s">
        <v>225</v>
      </c>
      <c r="D165" s="8" t="s">
        <v>226</v>
      </c>
      <c r="E165" s="8" t="s">
        <v>281</v>
      </c>
      <c r="F165" s="8" t="s">
        <v>321</v>
      </c>
      <c r="G165" s="5" t="s">
        <v>18</v>
      </c>
      <c r="H165" s="5" t="n">
        <v>1</v>
      </c>
      <c r="I165" s="8" t="s">
        <v>322</v>
      </c>
      <c r="J165" s="9" t="s">
        <v>323</v>
      </c>
    </row>
    <row r="166" customFormat="false" ht="117.9" hidden="false" customHeight="false" outlineLevel="0" collapsed="false">
      <c r="A166" s="5" t="n">
        <v>161</v>
      </c>
      <c r="B166" s="6" t="s">
        <v>13</v>
      </c>
      <c r="C166" s="7" t="s">
        <v>225</v>
      </c>
      <c r="D166" s="8" t="s">
        <v>226</v>
      </c>
      <c r="E166" s="8" t="s">
        <v>324</v>
      </c>
      <c r="F166" s="8" t="s">
        <v>325</v>
      </c>
      <c r="G166" s="5" t="s">
        <v>53</v>
      </c>
      <c r="H166" s="5" t="n">
        <v>1</v>
      </c>
      <c r="I166" s="8" t="s">
        <v>326</v>
      </c>
      <c r="J166" s="9" t="s">
        <v>327</v>
      </c>
    </row>
    <row r="167" customFormat="false" ht="117.9" hidden="false" customHeight="false" outlineLevel="0" collapsed="false">
      <c r="A167" s="5" t="n">
        <v>162</v>
      </c>
      <c r="B167" s="6" t="s">
        <v>13</v>
      </c>
      <c r="C167" s="7" t="s">
        <v>225</v>
      </c>
      <c r="D167" s="8" t="s">
        <v>226</v>
      </c>
      <c r="E167" s="8" t="s">
        <v>324</v>
      </c>
      <c r="F167" s="8" t="s">
        <v>291</v>
      </c>
      <c r="G167" s="5" t="s">
        <v>53</v>
      </c>
      <c r="H167" s="5" t="n">
        <v>1</v>
      </c>
      <c r="I167" s="8" t="s">
        <v>292</v>
      </c>
      <c r="J167" s="9" t="s">
        <v>328</v>
      </c>
    </row>
    <row r="168" customFormat="false" ht="117.9" hidden="false" customHeight="false" outlineLevel="0" collapsed="false">
      <c r="A168" s="5" t="n">
        <v>163</v>
      </c>
      <c r="B168" s="6" t="s">
        <v>13</v>
      </c>
      <c r="C168" s="7" t="s">
        <v>225</v>
      </c>
      <c r="D168" s="8" t="s">
        <v>226</v>
      </c>
      <c r="E168" s="8" t="s">
        <v>324</v>
      </c>
      <c r="F168" s="8" t="s">
        <v>294</v>
      </c>
      <c r="G168" s="5" t="s">
        <v>53</v>
      </c>
      <c r="H168" s="5" t="n">
        <v>1</v>
      </c>
      <c r="I168" s="8" t="s">
        <v>295</v>
      </c>
      <c r="J168" s="9" t="s">
        <v>329</v>
      </c>
    </row>
    <row r="169" customFormat="false" ht="117.9" hidden="false" customHeight="false" outlineLevel="0" collapsed="false">
      <c r="A169" s="5" t="n">
        <v>164</v>
      </c>
      <c r="B169" s="6" t="s">
        <v>13</v>
      </c>
      <c r="C169" s="7" t="s">
        <v>225</v>
      </c>
      <c r="D169" s="8" t="s">
        <v>226</v>
      </c>
      <c r="E169" s="8" t="s">
        <v>324</v>
      </c>
      <c r="F169" s="8" t="s">
        <v>297</v>
      </c>
      <c r="G169" s="5" t="s">
        <v>53</v>
      </c>
      <c r="H169" s="5" t="n">
        <v>1</v>
      </c>
      <c r="I169" s="8" t="s">
        <v>298</v>
      </c>
      <c r="J169" s="9" t="s">
        <v>330</v>
      </c>
    </row>
    <row r="170" customFormat="false" ht="126.85" hidden="false" customHeight="false" outlineLevel="0" collapsed="false">
      <c r="A170" s="5" t="n">
        <v>165</v>
      </c>
      <c r="B170" s="6" t="s">
        <v>13</v>
      </c>
      <c r="C170" s="7" t="s">
        <v>225</v>
      </c>
      <c r="D170" s="8" t="s">
        <v>226</v>
      </c>
      <c r="E170" s="8" t="s">
        <v>324</v>
      </c>
      <c r="F170" s="8" t="s">
        <v>331</v>
      </c>
      <c r="G170" s="5" t="s">
        <v>18</v>
      </c>
      <c r="H170" s="5" t="n">
        <v>1</v>
      </c>
      <c r="I170" s="8" t="s">
        <v>332</v>
      </c>
      <c r="J170" s="9" t="s">
        <v>333</v>
      </c>
    </row>
    <row r="171" customFormat="false" ht="117.9" hidden="false" customHeight="false" outlineLevel="0" collapsed="false">
      <c r="A171" s="5" t="n">
        <v>166</v>
      </c>
      <c r="B171" s="6" t="s">
        <v>13</v>
      </c>
      <c r="C171" s="7" t="s">
        <v>225</v>
      </c>
      <c r="D171" s="8" t="s">
        <v>226</v>
      </c>
      <c r="E171" s="8" t="s">
        <v>324</v>
      </c>
      <c r="F171" s="8" t="s">
        <v>334</v>
      </c>
      <c r="G171" s="5" t="s">
        <v>61</v>
      </c>
      <c r="H171" s="5" t="n">
        <v>1</v>
      </c>
      <c r="I171" s="8" t="s">
        <v>335</v>
      </c>
      <c r="J171" s="9" t="s">
        <v>336</v>
      </c>
    </row>
    <row r="172" customFormat="false" ht="126.85" hidden="false" customHeight="false" outlineLevel="0" collapsed="false">
      <c r="A172" s="5" t="n">
        <v>167</v>
      </c>
      <c r="B172" s="6" t="s">
        <v>13</v>
      </c>
      <c r="C172" s="7" t="s">
        <v>225</v>
      </c>
      <c r="D172" s="8" t="s">
        <v>226</v>
      </c>
      <c r="E172" s="8" t="s">
        <v>324</v>
      </c>
      <c r="F172" s="8" t="s">
        <v>309</v>
      </c>
      <c r="G172" s="5" t="s">
        <v>57</v>
      </c>
      <c r="H172" s="5" t="n">
        <v>1</v>
      </c>
      <c r="I172" s="8" t="s">
        <v>310</v>
      </c>
      <c r="J172" s="9" t="s">
        <v>337</v>
      </c>
    </row>
    <row r="173" customFormat="false" ht="144.75" hidden="false" customHeight="false" outlineLevel="0" collapsed="false">
      <c r="A173" s="5" t="n">
        <v>168</v>
      </c>
      <c r="B173" s="6" t="s">
        <v>13</v>
      </c>
      <c r="C173" s="7" t="s">
        <v>225</v>
      </c>
      <c r="D173" s="8" t="s">
        <v>226</v>
      </c>
      <c r="E173" s="8" t="s">
        <v>324</v>
      </c>
      <c r="F173" s="8" t="s">
        <v>318</v>
      </c>
      <c r="G173" s="5" t="s">
        <v>18</v>
      </c>
      <c r="H173" s="5" t="n">
        <v>2</v>
      </c>
      <c r="I173" s="8" t="s">
        <v>319</v>
      </c>
      <c r="J173" s="9" t="s">
        <v>338</v>
      </c>
    </row>
    <row r="174" customFormat="false" ht="135.8" hidden="false" customHeight="false" outlineLevel="0" collapsed="false">
      <c r="A174" s="5" t="n">
        <v>169</v>
      </c>
      <c r="B174" s="6" t="s">
        <v>13</v>
      </c>
      <c r="C174" s="7" t="s">
        <v>225</v>
      </c>
      <c r="D174" s="8" t="s">
        <v>226</v>
      </c>
      <c r="E174" s="8" t="s">
        <v>339</v>
      </c>
      <c r="F174" s="8" t="s">
        <v>99</v>
      </c>
      <c r="G174" s="5" t="s">
        <v>57</v>
      </c>
      <c r="H174" s="5" t="n">
        <v>1</v>
      </c>
      <c r="I174" s="8" t="s">
        <v>100</v>
      </c>
      <c r="J174" s="9" t="s">
        <v>340</v>
      </c>
    </row>
    <row r="175" customFormat="false" ht="135.8" hidden="false" customHeight="false" outlineLevel="0" collapsed="false">
      <c r="A175" s="5" t="n">
        <v>170</v>
      </c>
      <c r="B175" s="6" t="s">
        <v>13</v>
      </c>
      <c r="C175" s="7" t="s">
        <v>225</v>
      </c>
      <c r="D175" s="8" t="s">
        <v>226</v>
      </c>
      <c r="E175" s="8" t="s">
        <v>339</v>
      </c>
      <c r="F175" s="8" t="s">
        <v>96</v>
      </c>
      <c r="G175" s="5" t="s">
        <v>57</v>
      </c>
      <c r="H175" s="5" t="n">
        <v>1</v>
      </c>
      <c r="I175" s="8" t="s">
        <v>97</v>
      </c>
      <c r="J175" s="9" t="s">
        <v>341</v>
      </c>
    </row>
    <row r="176" customFormat="false" ht="144.75" hidden="false" customHeight="false" outlineLevel="0" collapsed="false">
      <c r="A176" s="5" t="n">
        <v>171</v>
      </c>
      <c r="B176" s="6" t="s">
        <v>13</v>
      </c>
      <c r="C176" s="7" t="s">
        <v>225</v>
      </c>
      <c r="D176" s="8" t="s">
        <v>226</v>
      </c>
      <c r="E176" s="8" t="s">
        <v>339</v>
      </c>
      <c r="F176" s="8" t="s">
        <v>342</v>
      </c>
      <c r="G176" s="5" t="s">
        <v>57</v>
      </c>
      <c r="H176" s="5" t="n">
        <v>1</v>
      </c>
      <c r="I176" s="8" t="s">
        <v>343</v>
      </c>
      <c r="J176" s="9" t="s">
        <v>344</v>
      </c>
    </row>
    <row r="177" customFormat="false" ht="135.8" hidden="false" customHeight="false" outlineLevel="0" collapsed="false">
      <c r="A177" s="5" t="n">
        <v>172</v>
      </c>
      <c r="B177" s="6" t="s">
        <v>13</v>
      </c>
      <c r="C177" s="7" t="s">
        <v>225</v>
      </c>
      <c r="D177" s="8" t="s">
        <v>226</v>
      </c>
      <c r="E177" s="8" t="s">
        <v>339</v>
      </c>
      <c r="F177" s="8" t="s">
        <v>345</v>
      </c>
      <c r="G177" s="5" t="s">
        <v>35</v>
      </c>
      <c r="H177" s="5" t="n">
        <v>1</v>
      </c>
      <c r="I177" s="8" t="s">
        <v>346</v>
      </c>
      <c r="J177" s="9" t="s">
        <v>347</v>
      </c>
    </row>
    <row r="178" customFormat="false" ht="162.65" hidden="false" customHeight="false" outlineLevel="0" collapsed="false">
      <c r="A178" s="5" t="n">
        <v>173</v>
      </c>
      <c r="B178" s="10" t="s">
        <v>348</v>
      </c>
      <c r="C178" s="11" t="s">
        <v>349</v>
      </c>
      <c r="D178" s="8" t="s">
        <v>350</v>
      </c>
      <c r="E178" s="8" t="s">
        <v>351</v>
      </c>
      <c r="F178" s="8" t="s">
        <v>352</v>
      </c>
      <c r="G178" s="5" t="s">
        <v>18</v>
      </c>
      <c r="H178" s="5" t="n">
        <v>1</v>
      </c>
      <c r="I178" s="8" t="s">
        <v>353</v>
      </c>
      <c r="J178" s="9" t="s">
        <v>354</v>
      </c>
    </row>
    <row r="179" customFormat="false" ht="162.65" hidden="false" customHeight="false" outlineLevel="0" collapsed="false">
      <c r="A179" s="5" t="n">
        <v>174</v>
      </c>
      <c r="B179" s="10" t="s">
        <v>348</v>
      </c>
      <c r="C179" s="11" t="s">
        <v>349</v>
      </c>
      <c r="D179" s="8" t="s">
        <v>350</v>
      </c>
      <c r="E179" s="8" t="s">
        <v>351</v>
      </c>
      <c r="F179" s="8" t="s">
        <v>355</v>
      </c>
      <c r="G179" s="5" t="s">
        <v>18</v>
      </c>
      <c r="H179" s="5" t="n">
        <v>1</v>
      </c>
      <c r="I179" s="8" t="s">
        <v>356</v>
      </c>
      <c r="J179" s="9" t="s">
        <v>357</v>
      </c>
    </row>
    <row r="180" customFormat="false" ht="162.65" hidden="false" customHeight="false" outlineLevel="0" collapsed="false">
      <c r="A180" s="5" t="n">
        <v>175</v>
      </c>
      <c r="B180" s="10" t="s">
        <v>348</v>
      </c>
      <c r="C180" s="11" t="s">
        <v>349</v>
      </c>
      <c r="D180" s="8" t="s">
        <v>350</v>
      </c>
      <c r="E180" s="8" t="s">
        <v>351</v>
      </c>
      <c r="F180" s="8" t="s">
        <v>358</v>
      </c>
      <c r="G180" s="5" t="s">
        <v>18</v>
      </c>
      <c r="H180" s="5" t="n">
        <v>1</v>
      </c>
      <c r="I180" s="8" t="s">
        <v>359</v>
      </c>
      <c r="J180" s="9" t="s">
        <v>360</v>
      </c>
    </row>
    <row r="181" customFormat="false" ht="162.65" hidden="false" customHeight="false" outlineLevel="0" collapsed="false">
      <c r="A181" s="5" t="n">
        <v>176</v>
      </c>
      <c r="B181" s="10" t="s">
        <v>348</v>
      </c>
      <c r="C181" s="11" t="s">
        <v>349</v>
      </c>
      <c r="D181" s="8" t="s">
        <v>350</v>
      </c>
      <c r="E181" s="8" t="s">
        <v>351</v>
      </c>
      <c r="F181" s="8" t="s">
        <v>361</v>
      </c>
      <c r="G181" s="5" t="s">
        <v>18</v>
      </c>
      <c r="H181" s="5" t="n">
        <v>1</v>
      </c>
      <c r="I181" s="8" t="s">
        <v>362</v>
      </c>
      <c r="J181" s="9" t="s">
        <v>363</v>
      </c>
    </row>
    <row r="182" customFormat="false" ht="162.65" hidden="false" customHeight="false" outlineLevel="0" collapsed="false">
      <c r="A182" s="5" t="n">
        <v>177</v>
      </c>
      <c r="B182" s="10" t="s">
        <v>348</v>
      </c>
      <c r="C182" s="11" t="s">
        <v>349</v>
      </c>
      <c r="D182" s="8" t="s">
        <v>350</v>
      </c>
      <c r="E182" s="8" t="s">
        <v>351</v>
      </c>
      <c r="F182" s="8" t="s">
        <v>364</v>
      </c>
      <c r="G182" s="5" t="s">
        <v>18</v>
      </c>
      <c r="H182" s="5" t="n">
        <v>1</v>
      </c>
      <c r="I182" s="8" t="s">
        <v>365</v>
      </c>
      <c r="J182" s="9" t="s">
        <v>366</v>
      </c>
    </row>
    <row r="183" customFormat="false" ht="153.7" hidden="false" customHeight="false" outlineLevel="0" collapsed="false">
      <c r="A183" s="5" t="n">
        <v>178</v>
      </c>
      <c r="B183" s="10" t="s">
        <v>348</v>
      </c>
      <c r="C183" s="11" t="s">
        <v>349</v>
      </c>
      <c r="D183" s="8" t="s">
        <v>350</v>
      </c>
      <c r="E183" s="8" t="s">
        <v>367</v>
      </c>
      <c r="F183" s="8" t="s">
        <v>368</v>
      </c>
      <c r="G183" s="5" t="s">
        <v>18</v>
      </c>
      <c r="H183" s="5" t="n">
        <v>1</v>
      </c>
      <c r="I183" s="8" t="s">
        <v>369</v>
      </c>
      <c r="J183" s="9" t="s">
        <v>370</v>
      </c>
    </row>
    <row r="184" customFormat="false" ht="153.7" hidden="false" customHeight="false" outlineLevel="0" collapsed="false">
      <c r="A184" s="5" t="n">
        <v>179</v>
      </c>
      <c r="B184" s="10" t="s">
        <v>348</v>
      </c>
      <c r="C184" s="11" t="s">
        <v>349</v>
      </c>
      <c r="D184" s="8" t="s">
        <v>350</v>
      </c>
      <c r="E184" s="8" t="s">
        <v>367</v>
      </c>
      <c r="F184" s="8" t="s">
        <v>371</v>
      </c>
      <c r="G184" s="5" t="s">
        <v>18</v>
      </c>
      <c r="H184" s="5" t="n">
        <v>1</v>
      </c>
      <c r="I184" s="8" t="s">
        <v>372</v>
      </c>
      <c r="J184" s="9" t="s">
        <v>373</v>
      </c>
    </row>
    <row r="185" customFormat="false" ht="153.7" hidden="false" customHeight="false" outlineLevel="0" collapsed="false">
      <c r="A185" s="5" t="n">
        <v>180</v>
      </c>
      <c r="B185" s="10" t="s">
        <v>348</v>
      </c>
      <c r="C185" s="11" t="s">
        <v>349</v>
      </c>
      <c r="D185" s="8" t="s">
        <v>350</v>
      </c>
      <c r="E185" s="8" t="s">
        <v>367</v>
      </c>
      <c r="F185" s="8" t="s">
        <v>374</v>
      </c>
      <c r="G185" s="5" t="s">
        <v>18</v>
      </c>
      <c r="H185" s="5" t="n">
        <v>1</v>
      </c>
      <c r="I185" s="8" t="s">
        <v>375</v>
      </c>
      <c r="J185" s="9" t="s">
        <v>376</v>
      </c>
    </row>
    <row r="186" customFormat="false" ht="135.8" hidden="false" customHeight="false" outlineLevel="0" collapsed="false">
      <c r="A186" s="5" t="n">
        <v>181</v>
      </c>
      <c r="B186" s="10" t="s">
        <v>348</v>
      </c>
      <c r="C186" s="11" t="s">
        <v>349</v>
      </c>
      <c r="D186" s="8" t="s">
        <v>350</v>
      </c>
      <c r="E186" s="8" t="s">
        <v>377</v>
      </c>
      <c r="F186" s="8" t="s">
        <v>378</v>
      </c>
      <c r="G186" s="5" t="s">
        <v>18</v>
      </c>
      <c r="H186" s="5" t="n">
        <v>1</v>
      </c>
      <c r="I186" s="8" t="s">
        <v>379</v>
      </c>
      <c r="J186" s="9" t="s">
        <v>380</v>
      </c>
    </row>
    <row r="187" customFormat="false" ht="135.8" hidden="false" customHeight="false" outlineLevel="0" collapsed="false">
      <c r="A187" s="5" t="n">
        <v>182</v>
      </c>
      <c r="B187" s="10" t="s">
        <v>348</v>
      </c>
      <c r="C187" s="11" t="s">
        <v>349</v>
      </c>
      <c r="D187" s="8" t="s">
        <v>350</v>
      </c>
      <c r="E187" s="8" t="s">
        <v>377</v>
      </c>
      <c r="F187" s="8" t="s">
        <v>381</v>
      </c>
      <c r="G187" s="5" t="s">
        <v>18</v>
      </c>
      <c r="H187" s="5" t="n">
        <v>1</v>
      </c>
      <c r="I187" s="8" t="s">
        <v>382</v>
      </c>
      <c r="J187" s="9" t="s">
        <v>383</v>
      </c>
    </row>
    <row r="188" customFormat="false" ht="135.8" hidden="false" customHeight="false" outlineLevel="0" collapsed="false">
      <c r="A188" s="5" t="n">
        <v>183</v>
      </c>
      <c r="B188" s="10" t="s">
        <v>348</v>
      </c>
      <c r="C188" s="11" t="s">
        <v>349</v>
      </c>
      <c r="D188" s="8" t="s">
        <v>350</v>
      </c>
      <c r="E188" s="8" t="s">
        <v>377</v>
      </c>
      <c r="F188" s="8" t="s">
        <v>384</v>
      </c>
      <c r="G188" s="5" t="s">
        <v>18</v>
      </c>
      <c r="H188" s="5" t="n">
        <v>1</v>
      </c>
      <c r="I188" s="8" t="s">
        <v>385</v>
      </c>
      <c r="J188" s="9" t="s">
        <v>386</v>
      </c>
    </row>
    <row r="189" customFormat="false" ht="153.7" hidden="false" customHeight="false" outlineLevel="0" collapsed="false">
      <c r="A189" s="5" t="n">
        <v>184</v>
      </c>
      <c r="B189" s="10" t="s">
        <v>348</v>
      </c>
      <c r="C189" s="11" t="s">
        <v>349</v>
      </c>
      <c r="D189" s="8" t="s">
        <v>350</v>
      </c>
      <c r="E189" s="8" t="s">
        <v>387</v>
      </c>
      <c r="F189" s="8" t="s">
        <v>388</v>
      </c>
      <c r="G189" s="5" t="s">
        <v>18</v>
      </c>
      <c r="H189" s="5" t="n">
        <v>1</v>
      </c>
      <c r="I189" s="8" t="s">
        <v>389</v>
      </c>
      <c r="J189" s="9" t="s">
        <v>390</v>
      </c>
    </row>
    <row r="190" customFormat="false" ht="162.65" hidden="false" customHeight="false" outlineLevel="0" collapsed="false">
      <c r="A190" s="5" t="n">
        <v>185</v>
      </c>
      <c r="B190" s="10" t="s">
        <v>348</v>
      </c>
      <c r="C190" s="11" t="s">
        <v>349</v>
      </c>
      <c r="D190" s="8" t="s">
        <v>350</v>
      </c>
      <c r="E190" s="8" t="s">
        <v>387</v>
      </c>
      <c r="F190" s="8" t="s">
        <v>391</v>
      </c>
      <c r="G190" s="5" t="s">
        <v>61</v>
      </c>
      <c r="H190" s="5" t="n">
        <v>1</v>
      </c>
      <c r="I190" s="8" t="s">
        <v>392</v>
      </c>
      <c r="J190" s="9" t="s">
        <v>393</v>
      </c>
    </row>
    <row r="191" customFormat="false" ht="126.85" hidden="false" customHeight="false" outlineLevel="0" collapsed="false">
      <c r="A191" s="5" t="n">
        <v>186</v>
      </c>
      <c r="B191" s="10" t="s">
        <v>348</v>
      </c>
      <c r="C191" s="11" t="s">
        <v>349</v>
      </c>
      <c r="D191" s="8" t="s">
        <v>350</v>
      </c>
      <c r="E191" s="8" t="s">
        <v>394</v>
      </c>
      <c r="F191" s="8" t="s">
        <v>394</v>
      </c>
      <c r="G191" s="5" t="s">
        <v>18</v>
      </c>
      <c r="H191" s="5" t="n">
        <v>2</v>
      </c>
      <c r="I191" s="8" t="s">
        <v>395</v>
      </c>
      <c r="J191" s="9" t="s">
        <v>396</v>
      </c>
    </row>
    <row r="192" customFormat="false" ht="117.9" hidden="false" customHeight="false" outlineLevel="0" collapsed="false">
      <c r="A192" s="5" t="n">
        <v>187</v>
      </c>
      <c r="B192" s="10" t="s">
        <v>348</v>
      </c>
      <c r="C192" s="11" t="s">
        <v>349</v>
      </c>
      <c r="D192" s="8" t="s">
        <v>350</v>
      </c>
      <c r="E192" s="8" t="s">
        <v>394</v>
      </c>
      <c r="F192" s="8" t="s">
        <v>397</v>
      </c>
      <c r="G192" s="5" t="s">
        <v>18</v>
      </c>
      <c r="H192" s="5" t="n">
        <v>1</v>
      </c>
      <c r="I192" s="8" t="s">
        <v>398</v>
      </c>
      <c r="J192" s="9" t="s">
        <v>399</v>
      </c>
    </row>
    <row r="193" customFormat="false" ht="162.65" hidden="false" customHeight="false" outlineLevel="0" collapsed="false">
      <c r="A193" s="5" t="n">
        <v>188</v>
      </c>
      <c r="B193" s="10" t="s">
        <v>348</v>
      </c>
      <c r="C193" s="11" t="s">
        <v>349</v>
      </c>
      <c r="D193" s="8" t="s">
        <v>350</v>
      </c>
      <c r="E193" s="8" t="s">
        <v>394</v>
      </c>
      <c r="F193" s="8" t="s">
        <v>400</v>
      </c>
      <c r="G193" s="5" t="s">
        <v>18</v>
      </c>
      <c r="H193" s="5" t="n">
        <v>1</v>
      </c>
      <c r="I193" s="8" t="s">
        <v>401</v>
      </c>
      <c r="J193" s="9" t="s">
        <v>402</v>
      </c>
    </row>
    <row r="194" customFormat="false" ht="126.85" hidden="false" customHeight="false" outlineLevel="0" collapsed="false">
      <c r="A194" s="5" t="n">
        <v>189</v>
      </c>
      <c r="B194" s="10" t="s">
        <v>348</v>
      </c>
      <c r="C194" s="11" t="s">
        <v>349</v>
      </c>
      <c r="D194" s="8" t="s">
        <v>350</v>
      </c>
      <c r="E194" s="8" t="s">
        <v>394</v>
      </c>
      <c r="F194" s="8" t="s">
        <v>403</v>
      </c>
      <c r="G194" s="5" t="s">
        <v>18</v>
      </c>
      <c r="H194" s="5" t="n">
        <v>1</v>
      </c>
      <c r="I194" s="8" t="s">
        <v>404</v>
      </c>
      <c r="J194" s="9" t="s">
        <v>405</v>
      </c>
    </row>
    <row r="195" customFormat="false" ht="91" hidden="false" customHeight="false" outlineLevel="0" collapsed="false">
      <c r="A195" s="5" t="n">
        <v>190</v>
      </c>
      <c r="B195" s="10" t="s">
        <v>348</v>
      </c>
      <c r="C195" s="11" t="s">
        <v>406</v>
      </c>
      <c r="D195" s="8" t="s">
        <v>407</v>
      </c>
      <c r="E195" s="8" t="s">
        <v>408</v>
      </c>
      <c r="F195" s="8" t="s">
        <v>408</v>
      </c>
      <c r="G195" s="5" t="s">
        <v>18</v>
      </c>
      <c r="H195" s="5" t="n">
        <v>2</v>
      </c>
      <c r="I195" s="8" t="s">
        <v>409</v>
      </c>
      <c r="J195" s="9" t="s">
        <v>410</v>
      </c>
    </row>
    <row r="196" customFormat="false" ht="91" hidden="false" customHeight="false" outlineLevel="0" collapsed="false">
      <c r="A196" s="5" t="n">
        <v>191</v>
      </c>
      <c r="B196" s="10" t="s">
        <v>348</v>
      </c>
      <c r="C196" s="11" t="s">
        <v>406</v>
      </c>
      <c r="D196" s="8" t="s">
        <v>407</v>
      </c>
      <c r="E196" s="8" t="s">
        <v>408</v>
      </c>
      <c r="F196" s="8" t="s">
        <v>411</v>
      </c>
      <c r="G196" s="5" t="s">
        <v>18</v>
      </c>
      <c r="H196" s="5" t="n">
        <v>1</v>
      </c>
      <c r="I196" s="8" t="s">
        <v>412</v>
      </c>
      <c r="J196" s="9" t="s">
        <v>413</v>
      </c>
    </row>
    <row r="197" customFormat="false" ht="108.95" hidden="false" customHeight="false" outlineLevel="0" collapsed="false">
      <c r="A197" s="5" t="n">
        <v>192</v>
      </c>
      <c r="B197" s="10" t="s">
        <v>348</v>
      </c>
      <c r="C197" s="11" t="s">
        <v>406</v>
      </c>
      <c r="D197" s="8" t="s">
        <v>407</v>
      </c>
      <c r="E197" s="8" t="s">
        <v>408</v>
      </c>
      <c r="F197" s="8" t="s">
        <v>414</v>
      </c>
      <c r="G197" s="5" t="s">
        <v>61</v>
      </c>
      <c r="H197" s="5" t="n">
        <v>1</v>
      </c>
      <c r="I197" s="8" t="s">
        <v>415</v>
      </c>
      <c r="J197" s="9" t="s">
        <v>416</v>
      </c>
    </row>
    <row r="198" customFormat="false" ht="82.05" hidden="false" customHeight="false" outlineLevel="0" collapsed="false">
      <c r="A198" s="5" t="n">
        <v>193</v>
      </c>
      <c r="B198" s="10" t="s">
        <v>348</v>
      </c>
      <c r="C198" s="11" t="s">
        <v>406</v>
      </c>
      <c r="D198" s="8" t="s">
        <v>407</v>
      </c>
      <c r="E198" s="8" t="s">
        <v>417</v>
      </c>
      <c r="F198" s="8" t="s">
        <v>417</v>
      </c>
      <c r="G198" s="5" t="s">
        <v>18</v>
      </c>
      <c r="H198" s="5" t="n">
        <v>3</v>
      </c>
      <c r="I198" s="8" t="s">
        <v>417</v>
      </c>
      <c r="J198" s="9" t="s">
        <v>418</v>
      </c>
    </row>
    <row r="199" customFormat="false" ht="91" hidden="false" customHeight="false" outlineLevel="0" collapsed="false">
      <c r="A199" s="5" t="n">
        <v>194</v>
      </c>
      <c r="B199" s="10" t="s">
        <v>348</v>
      </c>
      <c r="C199" s="11" t="s">
        <v>406</v>
      </c>
      <c r="D199" s="8" t="s">
        <v>407</v>
      </c>
      <c r="E199" s="8" t="s">
        <v>417</v>
      </c>
      <c r="F199" s="8" t="s">
        <v>419</v>
      </c>
      <c r="G199" s="5" t="s">
        <v>18</v>
      </c>
      <c r="H199" s="5" t="n">
        <v>1</v>
      </c>
      <c r="I199" s="8" t="s">
        <v>420</v>
      </c>
      <c r="J199" s="9" t="s">
        <v>421</v>
      </c>
    </row>
    <row r="200" customFormat="false" ht="117.9" hidden="false" customHeight="false" outlineLevel="0" collapsed="false">
      <c r="A200" s="5" t="n">
        <v>195</v>
      </c>
      <c r="B200" s="10" t="s">
        <v>348</v>
      </c>
      <c r="C200" s="11" t="s">
        <v>406</v>
      </c>
      <c r="D200" s="8" t="s">
        <v>407</v>
      </c>
      <c r="E200" s="8" t="s">
        <v>417</v>
      </c>
      <c r="F200" s="8" t="s">
        <v>422</v>
      </c>
      <c r="G200" s="5" t="s">
        <v>18</v>
      </c>
      <c r="H200" s="5" t="n">
        <v>1</v>
      </c>
      <c r="I200" s="8" t="s">
        <v>423</v>
      </c>
      <c r="J200" s="9" t="s">
        <v>424</v>
      </c>
    </row>
    <row r="201" customFormat="false" ht="82.05" hidden="false" customHeight="false" outlineLevel="0" collapsed="false">
      <c r="A201" s="5" t="n">
        <v>196</v>
      </c>
      <c r="B201" s="10" t="s">
        <v>348</v>
      </c>
      <c r="C201" s="11" t="s">
        <v>406</v>
      </c>
      <c r="D201" s="8" t="s">
        <v>407</v>
      </c>
      <c r="E201" s="8" t="s">
        <v>425</v>
      </c>
      <c r="F201" s="8" t="s">
        <v>425</v>
      </c>
      <c r="G201" s="5" t="s">
        <v>18</v>
      </c>
      <c r="H201" s="5" t="n">
        <v>1</v>
      </c>
      <c r="I201" s="8" t="s">
        <v>426</v>
      </c>
      <c r="J201" s="9" t="s">
        <v>427</v>
      </c>
    </row>
    <row r="202" customFormat="false" ht="108.95" hidden="false" customHeight="false" outlineLevel="0" collapsed="false">
      <c r="A202" s="5" t="n">
        <v>197</v>
      </c>
      <c r="B202" s="10" t="s">
        <v>348</v>
      </c>
      <c r="C202" s="11" t="s">
        <v>406</v>
      </c>
      <c r="D202" s="8" t="s">
        <v>407</v>
      </c>
      <c r="E202" s="8" t="s">
        <v>425</v>
      </c>
      <c r="F202" s="8" t="s">
        <v>428</v>
      </c>
      <c r="G202" s="5" t="s">
        <v>18</v>
      </c>
      <c r="H202" s="5" t="n">
        <v>1</v>
      </c>
      <c r="I202" s="8" t="s">
        <v>429</v>
      </c>
      <c r="J202" s="9" t="s">
        <v>430</v>
      </c>
    </row>
    <row r="203" customFormat="false" ht="117.9" hidden="false" customHeight="false" outlineLevel="0" collapsed="false">
      <c r="A203" s="5" t="n">
        <v>198</v>
      </c>
      <c r="B203" s="10" t="s">
        <v>348</v>
      </c>
      <c r="C203" s="11" t="s">
        <v>406</v>
      </c>
      <c r="D203" s="8" t="s">
        <v>407</v>
      </c>
      <c r="E203" s="8" t="s">
        <v>431</v>
      </c>
      <c r="F203" s="8" t="s">
        <v>431</v>
      </c>
      <c r="G203" s="5" t="s">
        <v>61</v>
      </c>
      <c r="H203" s="5" t="n">
        <v>1</v>
      </c>
      <c r="I203" s="8" t="s">
        <v>432</v>
      </c>
      <c r="J203" s="9" t="s">
        <v>433</v>
      </c>
    </row>
    <row r="204" customFormat="false" ht="99.95" hidden="false" customHeight="false" outlineLevel="0" collapsed="false">
      <c r="A204" s="5" t="n">
        <v>199</v>
      </c>
      <c r="B204" s="10" t="s">
        <v>348</v>
      </c>
      <c r="C204" s="11" t="s">
        <v>406</v>
      </c>
      <c r="D204" s="8" t="s">
        <v>407</v>
      </c>
      <c r="E204" s="8" t="s">
        <v>431</v>
      </c>
      <c r="F204" s="8" t="s">
        <v>434</v>
      </c>
      <c r="G204" s="5" t="s">
        <v>61</v>
      </c>
      <c r="H204" s="5" t="n">
        <v>1</v>
      </c>
      <c r="I204" s="8" t="s">
        <v>435</v>
      </c>
      <c r="J204" s="9" t="s">
        <v>436</v>
      </c>
    </row>
    <row r="205" customFormat="false" ht="99.95" hidden="false" customHeight="false" outlineLevel="0" collapsed="false">
      <c r="A205" s="5" t="n">
        <v>200</v>
      </c>
      <c r="B205" s="10" t="s">
        <v>348</v>
      </c>
      <c r="C205" s="11" t="s">
        <v>437</v>
      </c>
      <c r="D205" s="8" t="s">
        <v>438</v>
      </c>
      <c r="E205" s="8" t="s">
        <v>439</v>
      </c>
      <c r="F205" s="8" t="s">
        <v>439</v>
      </c>
      <c r="G205" s="5" t="s">
        <v>57</v>
      </c>
      <c r="H205" s="5" t="n">
        <v>1</v>
      </c>
      <c r="I205" s="8" t="s">
        <v>440</v>
      </c>
      <c r="J205" s="9" t="s">
        <v>441</v>
      </c>
    </row>
    <row r="206" customFormat="false" ht="108.95" hidden="false" customHeight="false" outlineLevel="0" collapsed="false">
      <c r="A206" s="5" t="n">
        <v>201</v>
      </c>
      <c r="B206" s="10" t="s">
        <v>348</v>
      </c>
      <c r="C206" s="11" t="s">
        <v>437</v>
      </c>
      <c r="D206" s="8" t="s">
        <v>438</v>
      </c>
      <c r="E206" s="8" t="s">
        <v>439</v>
      </c>
      <c r="F206" s="8" t="s">
        <v>442</v>
      </c>
      <c r="G206" s="5" t="s">
        <v>57</v>
      </c>
      <c r="H206" s="5" t="n">
        <v>1</v>
      </c>
      <c r="I206" s="8" t="s">
        <v>443</v>
      </c>
      <c r="J206" s="9" t="s">
        <v>444</v>
      </c>
    </row>
    <row r="207" customFormat="false" ht="108.95" hidden="false" customHeight="false" outlineLevel="0" collapsed="false">
      <c r="A207" s="5" t="n">
        <v>202</v>
      </c>
      <c r="B207" s="10" t="s">
        <v>348</v>
      </c>
      <c r="C207" s="11" t="s">
        <v>437</v>
      </c>
      <c r="D207" s="8" t="s">
        <v>438</v>
      </c>
      <c r="E207" s="8" t="s">
        <v>445</v>
      </c>
      <c r="F207" s="8" t="s">
        <v>445</v>
      </c>
      <c r="G207" s="5" t="s">
        <v>57</v>
      </c>
      <c r="H207" s="5" t="n">
        <v>1</v>
      </c>
      <c r="I207" s="8" t="s">
        <v>446</v>
      </c>
      <c r="J207" s="9" t="s">
        <v>447</v>
      </c>
    </row>
    <row r="208" customFormat="false" ht="126.85" hidden="false" customHeight="false" outlineLevel="0" collapsed="false">
      <c r="A208" s="5" t="n">
        <v>203</v>
      </c>
      <c r="B208" s="10" t="s">
        <v>348</v>
      </c>
      <c r="C208" s="11" t="s">
        <v>437</v>
      </c>
      <c r="D208" s="8" t="s">
        <v>438</v>
      </c>
      <c r="E208" s="8" t="s">
        <v>445</v>
      </c>
      <c r="F208" s="8" t="s">
        <v>448</v>
      </c>
      <c r="G208" s="5" t="s">
        <v>57</v>
      </c>
      <c r="H208" s="5" t="n">
        <v>1</v>
      </c>
      <c r="I208" s="8" t="s">
        <v>449</v>
      </c>
      <c r="J208" s="9" t="s">
        <v>450</v>
      </c>
    </row>
    <row r="209" customFormat="false" ht="117.9" hidden="false" customHeight="false" outlineLevel="0" collapsed="false">
      <c r="A209" s="5" t="n">
        <v>204</v>
      </c>
      <c r="B209" s="10" t="s">
        <v>348</v>
      </c>
      <c r="C209" s="11" t="s">
        <v>437</v>
      </c>
      <c r="D209" s="8" t="s">
        <v>438</v>
      </c>
      <c r="E209" s="8" t="s">
        <v>451</v>
      </c>
      <c r="F209" s="8" t="s">
        <v>452</v>
      </c>
      <c r="G209" s="5" t="s">
        <v>57</v>
      </c>
      <c r="H209" s="5" t="n">
        <v>1</v>
      </c>
      <c r="I209" s="8" t="s">
        <v>453</v>
      </c>
      <c r="J209" s="9" t="s">
        <v>454</v>
      </c>
    </row>
    <row r="210" customFormat="false" ht="108.95" hidden="false" customHeight="false" outlineLevel="0" collapsed="false">
      <c r="A210" s="5" t="n">
        <v>205</v>
      </c>
      <c r="B210" s="10" t="s">
        <v>348</v>
      </c>
      <c r="C210" s="11" t="s">
        <v>437</v>
      </c>
      <c r="D210" s="8" t="s">
        <v>438</v>
      </c>
      <c r="E210" s="8" t="s">
        <v>451</v>
      </c>
      <c r="F210" s="8" t="s">
        <v>455</v>
      </c>
      <c r="G210" s="5" t="s">
        <v>57</v>
      </c>
      <c r="H210" s="5" t="n">
        <v>1</v>
      </c>
      <c r="I210" s="8" t="s">
        <v>456</v>
      </c>
      <c r="J210" s="9" t="s">
        <v>457</v>
      </c>
    </row>
    <row r="211" customFormat="false" ht="108.95" hidden="false" customHeight="false" outlineLevel="0" collapsed="false">
      <c r="A211" s="5" t="n">
        <v>206</v>
      </c>
      <c r="B211" s="10" t="s">
        <v>348</v>
      </c>
      <c r="C211" s="11" t="s">
        <v>437</v>
      </c>
      <c r="D211" s="8" t="s">
        <v>438</v>
      </c>
      <c r="E211" s="8" t="s">
        <v>458</v>
      </c>
      <c r="F211" s="8" t="s">
        <v>458</v>
      </c>
      <c r="G211" s="5" t="s">
        <v>18</v>
      </c>
      <c r="H211" s="5" t="n">
        <v>1</v>
      </c>
      <c r="I211" s="8" t="s">
        <v>459</v>
      </c>
      <c r="J211" s="9" t="s">
        <v>460</v>
      </c>
    </row>
    <row r="212" customFormat="false" ht="108.95" hidden="false" customHeight="false" outlineLevel="0" collapsed="false">
      <c r="A212" s="5" t="n">
        <v>207</v>
      </c>
      <c r="B212" s="10" t="s">
        <v>348</v>
      </c>
      <c r="C212" s="11" t="s">
        <v>437</v>
      </c>
      <c r="D212" s="8" t="s">
        <v>438</v>
      </c>
      <c r="E212" s="8" t="s">
        <v>458</v>
      </c>
      <c r="F212" s="8" t="s">
        <v>461</v>
      </c>
      <c r="G212" s="5" t="s">
        <v>57</v>
      </c>
      <c r="H212" s="5" t="n">
        <v>1</v>
      </c>
      <c r="I212" s="8" t="s">
        <v>462</v>
      </c>
      <c r="J212" s="9" t="s">
        <v>463</v>
      </c>
    </row>
    <row r="213" customFormat="false" ht="91" hidden="false" customHeight="false" outlineLevel="0" collapsed="false">
      <c r="A213" s="5" t="n">
        <v>208</v>
      </c>
      <c r="B213" s="10" t="s">
        <v>348</v>
      </c>
      <c r="C213" s="11" t="s">
        <v>437</v>
      </c>
      <c r="D213" s="8" t="s">
        <v>438</v>
      </c>
      <c r="E213" s="8" t="s">
        <v>464</v>
      </c>
      <c r="F213" s="8" t="s">
        <v>465</v>
      </c>
      <c r="G213" s="5" t="s">
        <v>57</v>
      </c>
      <c r="H213" s="5" t="n">
        <v>1</v>
      </c>
      <c r="I213" s="8" t="s">
        <v>466</v>
      </c>
      <c r="J213" s="9" t="s">
        <v>467</v>
      </c>
    </row>
    <row r="214" customFormat="false" ht="99.95" hidden="false" customHeight="false" outlineLevel="0" collapsed="false">
      <c r="A214" s="5" t="n">
        <v>209</v>
      </c>
      <c r="B214" s="10" t="s">
        <v>348</v>
      </c>
      <c r="C214" s="11" t="s">
        <v>437</v>
      </c>
      <c r="D214" s="8" t="s">
        <v>438</v>
      </c>
      <c r="E214" s="8" t="s">
        <v>464</v>
      </c>
      <c r="F214" s="8" t="s">
        <v>468</v>
      </c>
      <c r="G214" s="5" t="s">
        <v>57</v>
      </c>
      <c r="H214" s="5" t="n">
        <v>1</v>
      </c>
      <c r="I214" s="8" t="s">
        <v>469</v>
      </c>
      <c r="J214" s="9" t="s">
        <v>470</v>
      </c>
    </row>
    <row r="215" customFormat="false" ht="91" hidden="false" customHeight="false" outlineLevel="0" collapsed="false">
      <c r="A215" s="5" t="n">
        <v>210</v>
      </c>
      <c r="B215" s="10" t="s">
        <v>348</v>
      </c>
      <c r="C215" s="11" t="s">
        <v>437</v>
      </c>
      <c r="D215" s="8" t="s">
        <v>438</v>
      </c>
      <c r="E215" s="8" t="s">
        <v>464</v>
      </c>
      <c r="F215" s="8" t="s">
        <v>471</v>
      </c>
      <c r="G215" s="5" t="s">
        <v>57</v>
      </c>
      <c r="H215" s="5" t="n">
        <v>1</v>
      </c>
      <c r="I215" s="8" t="s">
        <v>472</v>
      </c>
      <c r="J215" s="9" t="s">
        <v>473</v>
      </c>
    </row>
    <row r="216" customFormat="false" ht="99.95" hidden="false" customHeight="false" outlineLevel="0" collapsed="false">
      <c r="A216" s="5" t="n">
        <v>211</v>
      </c>
      <c r="B216" s="10" t="s">
        <v>348</v>
      </c>
      <c r="C216" s="11" t="s">
        <v>437</v>
      </c>
      <c r="D216" s="8" t="s">
        <v>438</v>
      </c>
      <c r="E216" s="8" t="s">
        <v>464</v>
      </c>
      <c r="F216" s="8" t="s">
        <v>474</v>
      </c>
      <c r="G216" s="5" t="s">
        <v>57</v>
      </c>
      <c r="H216" s="5" t="n">
        <v>1</v>
      </c>
      <c r="I216" s="8" t="s">
        <v>475</v>
      </c>
      <c r="J216" s="9" t="s">
        <v>476</v>
      </c>
    </row>
    <row r="217" customFormat="false" ht="135.8" hidden="false" customHeight="false" outlineLevel="0" collapsed="false">
      <c r="A217" s="5" t="n">
        <v>212</v>
      </c>
      <c r="B217" s="10" t="s">
        <v>348</v>
      </c>
      <c r="C217" s="11" t="s">
        <v>477</v>
      </c>
      <c r="D217" s="8" t="s">
        <v>478</v>
      </c>
      <c r="E217" s="8" t="s">
        <v>479</v>
      </c>
      <c r="F217" s="8" t="s">
        <v>479</v>
      </c>
      <c r="G217" s="5" t="s">
        <v>57</v>
      </c>
      <c r="H217" s="5" t="n">
        <v>10</v>
      </c>
      <c r="I217" s="8" t="s">
        <v>480</v>
      </c>
      <c r="J217" s="9" t="s">
        <v>481</v>
      </c>
    </row>
    <row r="218" customFormat="false" ht="153.7" hidden="false" customHeight="false" outlineLevel="0" collapsed="false">
      <c r="A218" s="5" t="n">
        <v>213</v>
      </c>
      <c r="B218" s="10" t="s">
        <v>348</v>
      </c>
      <c r="C218" s="11" t="s">
        <v>477</v>
      </c>
      <c r="D218" s="8" t="s">
        <v>478</v>
      </c>
      <c r="E218" s="8" t="s">
        <v>479</v>
      </c>
      <c r="F218" s="8" t="s">
        <v>482</v>
      </c>
      <c r="G218" s="5" t="s">
        <v>18</v>
      </c>
      <c r="H218" s="5" t="n">
        <v>1</v>
      </c>
      <c r="I218" s="8" t="s">
        <v>483</v>
      </c>
      <c r="J218" s="9" t="s">
        <v>484</v>
      </c>
    </row>
    <row r="219" customFormat="false" ht="153.7" hidden="false" customHeight="false" outlineLevel="0" collapsed="false">
      <c r="A219" s="5" t="n">
        <v>214</v>
      </c>
      <c r="B219" s="10" t="s">
        <v>348</v>
      </c>
      <c r="C219" s="11" t="s">
        <v>477</v>
      </c>
      <c r="D219" s="8" t="s">
        <v>478</v>
      </c>
      <c r="E219" s="8" t="s">
        <v>479</v>
      </c>
      <c r="F219" s="8" t="s">
        <v>485</v>
      </c>
      <c r="G219" s="5" t="s">
        <v>18</v>
      </c>
      <c r="H219" s="5" t="n">
        <v>1</v>
      </c>
      <c r="I219" s="8" t="s">
        <v>486</v>
      </c>
      <c r="J219" s="9" t="s">
        <v>487</v>
      </c>
    </row>
    <row r="220" customFormat="false" ht="144.75" hidden="false" customHeight="false" outlineLevel="0" collapsed="false">
      <c r="A220" s="5" t="n">
        <v>215</v>
      </c>
      <c r="B220" s="10" t="s">
        <v>348</v>
      </c>
      <c r="C220" s="11" t="s">
        <v>477</v>
      </c>
      <c r="D220" s="8" t="s">
        <v>478</v>
      </c>
      <c r="E220" s="8" t="s">
        <v>479</v>
      </c>
      <c r="F220" s="8" t="s">
        <v>488</v>
      </c>
      <c r="G220" s="5" t="s">
        <v>18</v>
      </c>
      <c r="H220" s="5" t="n">
        <v>1</v>
      </c>
      <c r="I220" s="8" t="s">
        <v>489</v>
      </c>
      <c r="J220" s="9" t="s">
        <v>490</v>
      </c>
    </row>
    <row r="221" customFormat="false" ht="153.7" hidden="false" customHeight="false" outlineLevel="0" collapsed="false">
      <c r="A221" s="5" t="n">
        <v>216</v>
      </c>
      <c r="B221" s="10" t="s">
        <v>348</v>
      </c>
      <c r="C221" s="11" t="s">
        <v>477</v>
      </c>
      <c r="D221" s="8" t="s">
        <v>478</v>
      </c>
      <c r="E221" s="8" t="s">
        <v>491</v>
      </c>
      <c r="F221" s="8" t="s">
        <v>491</v>
      </c>
      <c r="G221" s="5" t="s">
        <v>18</v>
      </c>
      <c r="H221" s="5" t="n">
        <v>1</v>
      </c>
      <c r="I221" s="8" t="s">
        <v>492</v>
      </c>
      <c r="J221" s="9" t="s">
        <v>493</v>
      </c>
    </row>
    <row r="222" customFormat="false" ht="144.75" hidden="false" customHeight="false" outlineLevel="0" collapsed="false">
      <c r="A222" s="5" t="n">
        <v>217</v>
      </c>
      <c r="B222" s="10" t="s">
        <v>348</v>
      </c>
      <c r="C222" s="11" t="s">
        <v>477</v>
      </c>
      <c r="D222" s="8" t="s">
        <v>478</v>
      </c>
      <c r="E222" s="8" t="s">
        <v>491</v>
      </c>
      <c r="F222" s="8" t="s">
        <v>494</v>
      </c>
      <c r="G222" s="5" t="s">
        <v>18</v>
      </c>
      <c r="H222" s="5" t="n">
        <v>1</v>
      </c>
      <c r="I222" s="8" t="s">
        <v>495</v>
      </c>
      <c r="J222" s="9" t="s">
        <v>496</v>
      </c>
    </row>
    <row r="223" customFormat="false" ht="153.7" hidden="false" customHeight="false" outlineLevel="0" collapsed="false">
      <c r="A223" s="5" t="n">
        <v>218</v>
      </c>
      <c r="B223" s="10" t="s">
        <v>348</v>
      </c>
      <c r="C223" s="11" t="s">
        <v>477</v>
      </c>
      <c r="D223" s="8" t="s">
        <v>478</v>
      </c>
      <c r="E223" s="8" t="s">
        <v>497</v>
      </c>
      <c r="F223" s="8" t="s">
        <v>498</v>
      </c>
      <c r="G223" s="5" t="s">
        <v>18</v>
      </c>
      <c r="H223" s="5" t="n">
        <v>1</v>
      </c>
      <c r="I223" s="8" t="s">
        <v>499</v>
      </c>
      <c r="J223" s="9" t="s">
        <v>500</v>
      </c>
    </row>
    <row r="224" customFormat="false" ht="144.75" hidden="false" customHeight="false" outlineLevel="0" collapsed="false">
      <c r="A224" s="5" t="n">
        <v>219</v>
      </c>
      <c r="B224" s="10" t="s">
        <v>348</v>
      </c>
      <c r="C224" s="11" t="s">
        <v>477</v>
      </c>
      <c r="D224" s="8" t="s">
        <v>478</v>
      </c>
      <c r="E224" s="8" t="s">
        <v>497</v>
      </c>
      <c r="F224" s="8" t="s">
        <v>501</v>
      </c>
      <c r="G224" s="5" t="s">
        <v>18</v>
      </c>
      <c r="H224" s="5" t="n">
        <v>1</v>
      </c>
      <c r="I224" s="8" t="s">
        <v>502</v>
      </c>
      <c r="J224" s="9" t="s">
        <v>503</v>
      </c>
    </row>
    <row r="225" customFormat="false" ht="126.85" hidden="false" customHeight="false" outlineLevel="0" collapsed="false">
      <c r="A225" s="5" t="n">
        <v>220</v>
      </c>
      <c r="B225" s="10" t="s">
        <v>348</v>
      </c>
      <c r="C225" s="11" t="s">
        <v>477</v>
      </c>
      <c r="D225" s="8" t="s">
        <v>478</v>
      </c>
      <c r="E225" s="8" t="s">
        <v>497</v>
      </c>
      <c r="F225" s="8" t="s">
        <v>434</v>
      </c>
      <c r="G225" s="5" t="s">
        <v>61</v>
      </c>
      <c r="H225" s="5" t="n">
        <v>1</v>
      </c>
      <c r="I225" s="8" t="s">
        <v>435</v>
      </c>
      <c r="J225" s="9" t="s">
        <v>504</v>
      </c>
    </row>
    <row r="226" customFormat="false" ht="135.8" hidden="false" customHeight="false" outlineLevel="0" collapsed="false">
      <c r="A226" s="5" t="n">
        <v>221</v>
      </c>
      <c r="B226" s="10" t="s">
        <v>348</v>
      </c>
      <c r="C226" s="11" t="s">
        <v>477</v>
      </c>
      <c r="D226" s="8" t="s">
        <v>478</v>
      </c>
      <c r="E226" s="8" t="s">
        <v>497</v>
      </c>
      <c r="F226" s="8" t="s">
        <v>505</v>
      </c>
      <c r="G226" s="5" t="s">
        <v>61</v>
      </c>
      <c r="H226" s="5" t="n">
        <v>1</v>
      </c>
      <c r="I226" s="8" t="s">
        <v>506</v>
      </c>
      <c r="J226" s="9" t="s">
        <v>507</v>
      </c>
    </row>
    <row r="227" customFormat="false" ht="82.05" hidden="false" customHeight="false" outlineLevel="0" collapsed="false">
      <c r="A227" s="5" t="n">
        <v>222</v>
      </c>
      <c r="B227" s="10" t="s">
        <v>348</v>
      </c>
      <c r="C227" s="11" t="s">
        <v>508</v>
      </c>
      <c r="D227" s="8" t="s">
        <v>509</v>
      </c>
      <c r="E227" s="8" t="s">
        <v>510</v>
      </c>
      <c r="F227" s="8" t="s">
        <v>510</v>
      </c>
      <c r="G227" s="5" t="s">
        <v>18</v>
      </c>
      <c r="H227" s="5" t="n">
        <v>1</v>
      </c>
      <c r="I227" s="8" t="s">
        <v>511</v>
      </c>
      <c r="J227" s="9" t="s">
        <v>512</v>
      </c>
    </row>
    <row r="228" customFormat="false" ht="91" hidden="false" customHeight="false" outlineLevel="0" collapsed="false">
      <c r="A228" s="5" t="n">
        <v>223</v>
      </c>
      <c r="B228" s="10" t="s">
        <v>348</v>
      </c>
      <c r="C228" s="11" t="s">
        <v>508</v>
      </c>
      <c r="D228" s="8" t="s">
        <v>509</v>
      </c>
      <c r="E228" s="8" t="s">
        <v>510</v>
      </c>
      <c r="F228" s="8" t="s">
        <v>513</v>
      </c>
      <c r="G228" s="5" t="s">
        <v>18</v>
      </c>
      <c r="H228" s="5" t="n">
        <v>1</v>
      </c>
      <c r="I228" s="8" t="s">
        <v>514</v>
      </c>
      <c r="J228" s="9" t="s">
        <v>515</v>
      </c>
    </row>
    <row r="229" customFormat="false" ht="91" hidden="false" customHeight="false" outlineLevel="0" collapsed="false">
      <c r="A229" s="5" t="n">
        <v>224</v>
      </c>
      <c r="B229" s="10" t="s">
        <v>348</v>
      </c>
      <c r="C229" s="11" t="s">
        <v>508</v>
      </c>
      <c r="D229" s="8" t="s">
        <v>509</v>
      </c>
      <c r="E229" s="8" t="s">
        <v>516</v>
      </c>
      <c r="F229" s="8" t="s">
        <v>516</v>
      </c>
      <c r="G229" s="5" t="s">
        <v>18</v>
      </c>
      <c r="H229" s="5" t="n">
        <v>2</v>
      </c>
      <c r="I229" s="8" t="s">
        <v>517</v>
      </c>
      <c r="J229" s="9" t="s">
        <v>518</v>
      </c>
    </row>
    <row r="230" customFormat="false" ht="91" hidden="false" customHeight="false" outlineLevel="0" collapsed="false">
      <c r="A230" s="5" t="n">
        <v>225</v>
      </c>
      <c r="B230" s="10" t="s">
        <v>348</v>
      </c>
      <c r="C230" s="11" t="s">
        <v>508</v>
      </c>
      <c r="D230" s="8" t="s">
        <v>509</v>
      </c>
      <c r="E230" s="8" t="s">
        <v>516</v>
      </c>
      <c r="F230" s="8" t="s">
        <v>519</v>
      </c>
      <c r="G230" s="5" t="s">
        <v>18</v>
      </c>
      <c r="H230" s="5" t="n">
        <v>1</v>
      </c>
      <c r="I230" s="8" t="s">
        <v>520</v>
      </c>
      <c r="J230" s="9" t="s">
        <v>521</v>
      </c>
    </row>
    <row r="231" customFormat="false" ht="99.95" hidden="false" customHeight="false" outlineLevel="0" collapsed="false">
      <c r="A231" s="5" t="n">
        <v>226</v>
      </c>
      <c r="B231" s="10" t="s">
        <v>348</v>
      </c>
      <c r="C231" s="11" t="s">
        <v>508</v>
      </c>
      <c r="D231" s="8" t="s">
        <v>509</v>
      </c>
      <c r="E231" s="8" t="s">
        <v>138</v>
      </c>
      <c r="F231" s="8" t="s">
        <v>138</v>
      </c>
      <c r="G231" s="5" t="s">
        <v>18</v>
      </c>
      <c r="H231" s="5" t="n">
        <v>3</v>
      </c>
      <c r="I231" s="8" t="s">
        <v>139</v>
      </c>
      <c r="J231" s="9" t="s">
        <v>522</v>
      </c>
    </row>
    <row r="232" customFormat="false" ht="108.95" hidden="false" customHeight="false" outlineLevel="0" collapsed="false">
      <c r="A232" s="5" t="n">
        <v>227</v>
      </c>
      <c r="B232" s="10" t="s">
        <v>348</v>
      </c>
      <c r="C232" s="11" t="s">
        <v>508</v>
      </c>
      <c r="D232" s="8" t="s">
        <v>509</v>
      </c>
      <c r="E232" s="8" t="s">
        <v>138</v>
      </c>
      <c r="F232" s="8" t="s">
        <v>523</v>
      </c>
      <c r="G232" s="5" t="s">
        <v>18</v>
      </c>
      <c r="H232" s="5" t="n">
        <v>1</v>
      </c>
      <c r="I232" s="8" t="s">
        <v>524</v>
      </c>
      <c r="J232" s="9" t="s">
        <v>525</v>
      </c>
    </row>
    <row r="233" customFormat="false" ht="91" hidden="false" customHeight="false" outlineLevel="0" collapsed="false">
      <c r="A233" s="5" t="n">
        <v>228</v>
      </c>
      <c r="B233" s="10" t="s">
        <v>348</v>
      </c>
      <c r="C233" s="11" t="s">
        <v>526</v>
      </c>
      <c r="D233" s="8" t="s">
        <v>527</v>
      </c>
      <c r="E233" s="8" t="s">
        <v>528</v>
      </c>
      <c r="F233" s="8" t="s">
        <v>408</v>
      </c>
      <c r="G233" s="5" t="s">
        <v>18</v>
      </c>
      <c r="H233" s="5" t="n">
        <v>2</v>
      </c>
      <c r="I233" s="8" t="s">
        <v>409</v>
      </c>
      <c r="J233" s="9" t="s">
        <v>529</v>
      </c>
    </row>
    <row r="234" customFormat="false" ht="91" hidden="false" customHeight="false" outlineLevel="0" collapsed="false">
      <c r="A234" s="5" t="n">
        <v>229</v>
      </c>
      <c r="B234" s="10" t="s">
        <v>348</v>
      </c>
      <c r="C234" s="11" t="s">
        <v>526</v>
      </c>
      <c r="D234" s="8" t="s">
        <v>527</v>
      </c>
      <c r="E234" s="8" t="s">
        <v>528</v>
      </c>
      <c r="F234" s="8" t="s">
        <v>417</v>
      </c>
      <c r="G234" s="5" t="s">
        <v>18</v>
      </c>
      <c r="H234" s="5" t="n">
        <v>3</v>
      </c>
      <c r="I234" s="8" t="s">
        <v>417</v>
      </c>
      <c r="J234" s="9" t="s">
        <v>530</v>
      </c>
    </row>
    <row r="235" customFormat="false" ht="108.95" hidden="false" customHeight="false" outlineLevel="0" collapsed="false">
      <c r="A235" s="5" t="n">
        <v>230</v>
      </c>
      <c r="B235" s="10" t="s">
        <v>348</v>
      </c>
      <c r="C235" s="11" t="s">
        <v>526</v>
      </c>
      <c r="D235" s="8" t="s">
        <v>527</v>
      </c>
      <c r="E235" s="8" t="s">
        <v>528</v>
      </c>
      <c r="F235" s="8" t="s">
        <v>531</v>
      </c>
      <c r="G235" s="5" t="s">
        <v>18</v>
      </c>
      <c r="H235" s="5" t="n">
        <v>1</v>
      </c>
      <c r="I235" s="8" t="s">
        <v>532</v>
      </c>
      <c r="J235" s="9" t="s">
        <v>533</v>
      </c>
    </row>
    <row r="236" customFormat="false" ht="153.7" hidden="false" customHeight="false" outlineLevel="0" collapsed="false">
      <c r="A236" s="5" t="n">
        <v>231</v>
      </c>
      <c r="B236" s="10" t="s">
        <v>348</v>
      </c>
      <c r="C236" s="11" t="s">
        <v>534</v>
      </c>
      <c r="D236" s="8" t="s">
        <v>535</v>
      </c>
      <c r="E236" s="8" t="s">
        <v>536</v>
      </c>
      <c r="F236" s="8" t="s">
        <v>537</v>
      </c>
      <c r="G236" s="5" t="s">
        <v>18</v>
      </c>
      <c r="H236" s="5" t="n">
        <v>1</v>
      </c>
      <c r="I236" s="8" t="s">
        <v>538</v>
      </c>
      <c r="J236" s="9" t="s">
        <v>539</v>
      </c>
    </row>
    <row r="237" customFormat="false" ht="135.8" hidden="false" customHeight="false" outlineLevel="0" collapsed="false">
      <c r="A237" s="5" t="n">
        <v>232</v>
      </c>
      <c r="B237" s="10" t="s">
        <v>348</v>
      </c>
      <c r="C237" s="11" t="s">
        <v>534</v>
      </c>
      <c r="D237" s="8" t="s">
        <v>535</v>
      </c>
      <c r="E237" s="8" t="s">
        <v>536</v>
      </c>
      <c r="F237" s="8" t="s">
        <v>540</v>
      </c>
      <c r="G237" s="5" t="s">
        <v>18</v>
      </c>
      <c r="H237" s="5" t="n">
        <v>1</v>
      </c>
      <c r="I237" s="8" t="s">
        <v>541</v>
      </c>
      <c r="J237" s="9" t="s">
        <v>542</v>
      </c>
    </row>
    <row r="238" customFormat="false" ht="126.85" hidden="false" customHeight="false" outlineLevel="0" collapsed="false">
      <c r="A238" s="5" t="n">
        <v>233</v>
      </c>
      <c r="B238" s="10" t="s">
        <v>348</v>
      </c>
      <c r="C238" s="11" t="s">
        <v>534</v>
      </c>
      <c r="D238" s="8" t="s">
        <v>535</v>
      </c>
      <c r="E238" s="8" t="s">
        <v>536</v>
      </c>
      <c r="F238" s="8" t="s">
        <v>543</v>
      </c>
      <c r="G238" s="5" t="s">
        <v>61</v>
      </c>
      <c r="H238" s="5" t="n">
        <v>1</v>
      </c>
      <c r="I238" s="8" t="s">
        <v>544</v>
      </c>
      <c r="J238" s="9" t="s">
        <v>545</v>
      </c>
    </row>
    <row r="239" customFormat="false" ht="135.8" hidden="false" customHeight="false" outlineLevel="0" collapsed="false">
      <c r="A239" s="5" t="n">
        <v>234</v>
      </c>
      <c r="B239" s="10" t="s">
        <v>348</v>
      </c>
      <c r="C239" s="11" t="s">
        <v>534</v>
      </c>
      <c r="D239" s="8" t="s">
        <v>535</v>
      </c>
      <c r="E239" s="8" t="s">
        <v>536</v>
      </c>
      <c r="F239" s="8" t="s">
        <v>546</v>
      </c>
      <c r="G239" s="5" t="s">
        <v>18</v>
      </c>
      <c r="H239" s="5" t="n">
        <v>1</v>
      </c>
      <c r="I239" s="8" t="s">
        <v>547</v>
      </c>
      <c r="J239" s="9" t="s">
        <v>548</v>
      </c>
    </row>
    <row r="240" customFormat="false" ht="117.9" hidden="false" customHeight="false" outlineLevel="0" collapsed="false">
      <c r="A240" s="5" t="n">
        <v>235</v>
      </c>
      <c r="B240" s="10" t="s">
        <v>348</v>
      </c>
      <c r="C240" s="11" t="s">
        <v>534</v>
      </c>
      <c r="D240" s="8" t="s">
        <v>535</v>
      </c>
      <c r="E240" s="8" t="s">
        <v>549</v>
      </c>
      <c r="F240" s="8" t="s">
        <v>550</v>
      </c>
      <c r="G240" s="5" t="s">
        <v>61</v>
      </c>
      <c r="H240" s="5" t="n">
        <v>1</v>
      </c>
      <c r="I240" s="8" t="s">
        <v>551</v>
      </c>
      <c r="J240" s="9" t="s">
        <v>552</v>
      </c>
    </row>
    <row r="241" customFormat="false" ht="126.85" hidden="false" customHeight="false" outlineLevel="0" collapsed="false">
      <c r="A241" s="5" t="n">
        <v>236</v>
      </c>
      <c r="B241" s="10" t="s">
        <v>348</v>
      </c>
      <c r="C241" s="11" t="s">
        <v>534</v>
      </c>
      <c r="D241" s="8" t="s">
        <v>535</v>
      </c>
      <c r="E241" s="8" t="s">
        <v>549</v>
      </c>
      <c r="F241" s="8" t="s">
        <v>553</v>
      </c>
      <c r="G241" s="5" t="s">
        <v>61</v>
      </c>
      <c r="H241" s="5" t="n">
        <v>1</v>
      </c>
      <c r="I241" s="8" t="s">
        <v>554</v>
      </c>
      <c r="J241" s="9" t="s">
        <v>555</v>
      </c>
    </row>
    <row r="242" customFormat="false" ht="117.9" hidden="false" customHeight="false" outlineLevel="0" collapsed="false">
      <c r="A242" s="5" t="n">
        <v>237</v>
      </c>
      <c r="B242" s="10" t="s">
        <v>348</v>
      </c>
      <c r="C242" s="11" t="s">
        <v>534</v>
      </c>
      <c r="D242" s="8" t="s">
        <v>535</v>
      </c>
      <c r="E242" s="8" t="s">
        <v>549</v>
      </c>
      <c r="F242" s="8" t="s">
        <v>556</v>
      </c>
      <c r="G242" s="5" t="s">
        <v>61</v>
      </c>
      <c r="H242" s="5" t="n">
        <v>1</v>
      </c>
      <c r="I242" s="8" t="s">
        <v>557</v>
      </c>
      <c r="J242" s="9" t="s">
        <v>558</v>
      </c>
    </row>
    <row r="243" customFormat="false" ht="82.05" hidden="false" customHeight="false" outlineLevel="0" collapsed="false">
      <c r="A243" s="5" t="n">
        <v>238</v>
      </c>
      <c r="B243" s="10" t="s">
        <v>348</v>
      </c>
      <c r="C243" s="11" t="s">
        <v>559</v>
      </c>
      <c r="D243" s="8" t="s">
        <v>560</v>
      </c>
      <c r="E243" s="8" t="s">
        <v>561</v>
      </c>
      <c r="F243" s="8" t="s">
        <v>562</v>
      </c>
      <c r="G243" s="5" t="s">
        <v>18</v>
      </c>
      <c r="H243" s="5" t="n">
        <v>1</v>
      </c>
      <c r="I243" s="8" t="s">
        <v>563</v>
      </c>
      <c r="J243" s="9" t="s">
        <v>564</v>
      </c>
    </row>
    <row r="244" customFormat="false" ht="64.15" hidden="false" customHeight="false" outlineLevel="0" collapsed="false">
      <c r="A244" s="5" t="n">
        <v>239</v>
      </c>
      <c r="B244" s="10" t="s">
        <v>348</v>
      </c>
      <c r="C244" s="11" t="s">
        <v>559</v>
      </c>
      <c r="D244" s="8" t="s">
        <v>560</v>
      </c>
      <c r="E244" s="8" t="s">
        <v>561</v>
      </c>
      <c r="F244" s="8" t="s">
        <v>565</v>
      </c>
      <c r="G244" s="5" t="s">
        <v>18</v>
      </c>
      <c r="H244" s="5" t="n">
        <v>1</v>
      </c>
      <c r="I244" s="8" t="s">
        <v>566</v>
      </c>
      <c r="J244" s="9" t="s">
        <v>567</v>
      </c>
    </row>
    <row r="245" customFormat="false" ht="91" hidden="false" customHeight="false" outlineLevel="0" collapsed="false">
      <c r="A245" s="5" t="n">
        <v>240</v>
      </c>
      <c r="B245" s="10" t="s">
        <v>348</v>
      </c>
      <c r="C245" s="11" t="s">
        <v>559</v>
      </c>
      <c r="D245" s="8" t="s">
        <v>560</v>
      </c>
      <c r="E245" s="8" t="s">
        <v>561</v>
      </c>
      <c r="F245" s="8" t="s">
        <v>568</v>
      </c>
      <c r="G245" s="5" t="s">
        <v>18</v>
      </c>
      <c r="H245" s="5" t="n">
        <v>1</v>
      </c>
      <c r="I245" s="8" t="s">
        <v>569</v>
      </c>
      <c r="J245" s="9" t="s">
        <v>570</v>
      </c>
    </row>
    <row r="246" customFormat="false" ht="73.1" hidden="false" customHeight="false" outlineLevel="0" collapsed="false">
      <c r="A246" s="5" t="n">
        <v>241</v>
      </c>
      <c r="B246" s="10" t="s">
        <v>348</v>
      </c>
      <c r="C246" s="11" t="s">
        <v>559</v>
      </c>
      <c r="D246" s="8" t="s">
        <v>560</v>
      </c>
      <c r="E246" s="8" t="s">
        <v>561</v>
      </c>
      <c r="F246" s="8" t="s">
        <v>571</v>
      </c>
      <c r="G246" s="5" t="s">
        <v>61</v>
      </c>
      <c r="H246" s="5" t="n">
        <v>1</v>
      </c>
      <c r="I246" s="8" t="s">
        <v>572</v>
      </c>
      <c r="J246" s="9" t="s">
        <v>573</v>
      </c>
    </row>
    <row r="247" customFormat="false" ht="153.7" hidden="false" customHeight="false" outlineLevel="0" collapsed="false">
      <c r="A247" s="5" t="n">
        <v>242</v>
      </c>
      <c r="B247" s="10" t="s">
        <v>348</v>
      </c>
      <c r="C247" s="11" t="s">
        <v>559</v>
      </c>
      <c r="D247" s="8" t="s">
        <v>560</v>
      </c>
      <c r="E247" s="8" t="s">
        <v>574</v>
      </c>
      <c r="F247" s="8" t="s">
        <v>575</v>
      </c>
      <c r="G247" s="5" t="s">
        <v>18</v>
      </c>
      <c r="H247" s="5" t="n">
        <v>1</v>
      </c>
      <c r="I247" s="8" t="s">
        <v>576</v>
      </c>
      <c r="J247" s="9" t="s">
        <v>577</v>
      </c>
    </row>
    <row r="248" customFormat="false" ht="126.85" hidden="false" customHeight="false" outlineLevel="0" collapsed="false">
      <c r="A248" s="5" t="n">
        <v>243</v>
      </c>
      <c r="B248" s="10" t="s">
        <v>348</v>
      </c>
      <c r="C248" s="11" t="s">
        <v>559</v>
      </c>
      <c r="D248" s="8" t="s">
        <v>560</v>
      </c>
      <c r="E248" s="8" t="s">
        <v>574</v>
      </c>
      <c r="F248" s="8" t="s">
        <v>578</v>
      </c>
      <c r="G248" s="5" t="s">
        <v>18</v>
      </c>
      <c r="H248" s="5" t="n">
        <v>1</v>
      </c>
      <c r="I248" s="8" t="s">
        <v>579</v>
      </c>
      <c r="J248" s="9" t="s">
        <v>580</v>
      </c>
    </row>
    <row r="249" customFormat="false" ht="126.85" hidden="false" customHeight="false" outlineLevel="0" collapsed="false">
      <c r="A249" s="5" t="n">
        <v>244</v>
      </c>
      <c r="B249" s="10" t="s">
        <v>348</v>
      </c>
      <c r="C249" s="11" t="s">
        <v>559</v>
      </c>
      <c r="D249" s="8" t="s">
        <v>560</v>
      </c>
      <c r="E249" s="8" t="s">
        <v>574</v>
      </c>
      <c r="F249" s="8" t="s">
        <v>581</v>
      </c>
      <c r="G249" s="5" t="s">
        <v>18</v>
      </c>
      <c r="H249" s="5" t="n">
        <v>1</v>
      </c>
      <c r="I249" s="8" t="s">
        <v>582</v>
      </c>
      <c r="J249" s="9" t="s">
        <v>583</v>
      </c>
    </row>
    <row r="250" customFormat="false" ht="135.8" hidden="false" customHeight="false" outlineLevel="0" collapsed="false">
      <c r="A250" s="5" t="n">
        <v>245</v>
      </c>
      <c r="B250" s="10" t="s">
        <v>348</v>
      </c>
      <c r="C250" s="11" t="s">
        <v>559</v>
      </c>
      <c r="D250" s="8" t="s">
        <v>560</v>
      </c>
      <c r="E250" s="8" t="s">
        <v>574</v>
      </c>
      <c r="F250" s="8" t="s">
        <v>523</v>
      </c>
      <c r="G250" s="5" t="s">
        <v>18</v>
      </c>
      <c r="H250" s="5" t="n">
        <v>1</v>
      </c>
      <c r="I250" s="8" t="s">
        <v>524</v>
      </c>
      <c r="J250" s="9" t="s">
        <v>584</v>
      </c>
    </row>
    <row r="251" customFormat="false" ht="64.15" hidden="false" customHeight="false" outlineLevel="0" collapsed="false">
      <c r="A251" s="5" t="n">
        <v>246</v>
      </c>
      <c r="B251" s="10" t="s">
        <v>348</v>
      </c>
      <c r="C251" s="11" t="s">
        <v>559</v>
      </c>
      <c r="D251" s="8" t="s">
        <v>560</v>
      </c>
      <c r="E251" s="8" t="s">
        <v>585</v>
      </c>
      <c r="F251" s="8" t="s">
        <v>586</v>
      </c>
      <c r="G251" s="5" t="s">
        <v>61</v>
      </c>
      <c r="H251" s="5" t="n">
        <v>1</v>
      </c>
      <c r="I251" s="8" t="s">
        <v>587</v>
      </c>
      <c r="J251" s="9" t="s">
        <v>588</v>
      </c>
    </row>
    <row r="252" customFormat="false" ht="73.1" hidden="false" customHeight="false" outlineLevel="0" collapsed="false">
      <c r="A252" s="5" t="n">
        <v>247</v>
      </c>
      <c r="B252" s="10" t="s">
        <v>348</v>
      </c>
      <c r="C252" s="11" t="s">
        <v>559</v>
      </c>
      <c r="D252" s="8" t="s">
        <v>560</v>
      </c>
      <c r="E252" s="8" t="s">
        <v>585</v>
      </c>
      <c r="F252" s="8" t="s">
        <v>589</v>
      </c>
      <c r="G252" s="5" t="s">
        <v>61</v>
      </c>
      <c r="H252" s="5" t="n">
        <v>1</v>
      </c>
      <c r="I252" s="8" t="s">
        <v>590</v>
      </c>
      <c r="J252" s="9" t="s">
        <v>591</v>
      </c>
    </row>
    <row r="253" customFormat="false" ht="64.15" hidden="false" customHeight="false" outlineLevel="0" collapsed="false">
      <c r="A253" s="5" t="n">
        <v>248</v>
      </c>
      <c r="B253" s="10" t="s">
        <v>348</v>
      </c>
      <c r="C253" s="11" t="s">
        <v>559</v>
      </c>
      <c r="D253" s="8" t="s">
        <v>560</v>
      </c>
      <c r="E253" s="8" t="s">
        <v>585</v>
      </c>
      <c r="F253" s="8" t="s">
        <v>592</v>
      </c>
      <c r="G253" s="5" t="s">
        <v>57</v>
      </c>
      <c r="H253" s="5" t="n">
        <v>1</v>
      </c>
      <c r="I253" s="8" t="s">
        <v>593</v>
      </c>
      <c r="J253" s="9" t="s">
        <v>594</v>
      </c>
    </row>
    <row r="254" customFormat="false" ht="64.15" hidden="false" customHeight="false" outlineLevel="0" collapsed="false">
      <c r="A254" s="5" t="n">
        <v>249</v>
      </c>
      <c r="B254" s="10" t="s">
        <v>348</v>
      </c>
      <c r="C254" s="11" t="s">
        <v>559</v>
      </c>
      <c r="D254" s="8" t="s">
        <v>560</v>
      </c>
      <c r="E254" s="8" t="s">
        <v>585</v>
      </c>
      <c r="F254" s="8" t="s">
        <v>334</v>
      </c>
      <c r="G254" s="5" t="s">
        <v>61</v>
      </c>
      <c r="H254" s="5" t="n">
        <v>1</v>
      </c>
      <c r="I254" s="8" t="s">
        <v>335</v>
      </c>
      <c r="J254" s="9" t="s">
        <v>595</v>
      </c>
    </row>
    <row r="255" customFormat="false" ht="73.1" hidden="false" customHeight="false" outlineLevel="0" collapsed="false">
      <c r="A255" s="5" t="n">
        <v>250</v>
      </c>
      <c r="B255" s="10" t="s">
        <v>348</v>
      </c>
      <c r="C255" s="11" t="s">
        <v>559</v>
      </c>
      <c r="D255" s="8" t="s">
        <v>560</v>
      </c>
      <c r="E255" s="8" t="s">
        <v>596</v>
      </c>
      <c r="F255" s="8" t="s">
        <v>597</v>
      </c>
      <c r="G255" s="5" t="s">
        <v>18</v>
      </c>
      <c r="H255" s="5" t="n">
        <v>1</v>
      </c>
      <c r="I255" s="8" t="s">
        <v>598</v>
      </c>
      <c r="J255" s="9" t="s">
        <v>599</v>
      </c>
    </row>
    <row r="256" customFormat="false" ht="99.95" hidden="false" customHeight="false" outlineLevel="0" collapsed="false">
      <c r="A256" s="5" t="n">
        <v>251</v>
      </c>
      <c r="B256" s="10" t="s">
        <v>348</v>
      </c>
      <c r="C256" s="11" t="s">
        <v>559</v>
      </c>
      <c r="D256" s="8" t="s">
        <v>560</v>
      </c>
      <c r="E256" s="8" t="s">
        <v>596</v>
      </c>
      <c r="F256" s="8" t="s">
        <v>600</v>
      </c>
      <c r="G256" s="5" t="s">
        <v>57</v>
      </c>
      <c r="H256" s="5" t="n">
        <v>1</v>
      </c>
      <c r="I256" s="8" t="s">
        <v>601</v>
      </c>
      <c r="J256" s="9" t="s">
        <v>602</v>
      </c>
    </row>
    <row r="257" customFormat="false" ht="82.05" hidden="false" customHeight="false" outlineLevel="0" collapsed="false">
      <c r="A257" s="5" t="n">
        <v>252</v>
      </c>
      <c r="B257" s="10" t="s">
        <v>348</v>
      </c>
      <c r="C257" s="11" t="s">
        <v>559</v>
      </c>
      <c r="D257" s="8" t="s">
        <v>560</v>
      </c>
      <c r="E257" s="8" t="s">
        <v>596</v>
      </c>
      <c r="F257" s="8" t="s">
        <v>603</v>
      </c>
      <c r="G257" s="5" t="s">
        <v>57</v>
      </c>
      <c r="H257" s="5" t="n">
        <v>1</v>
      </c>
      <c r="I257" s="8" t="s">
        <v>604</v>
      </c>
      <c r="J257" s="9" t="s">
        <v>605</v>
      </c>
    </row>
    <row r="258" customFormat="false" ht="99.95" hidden="false" customHeight="false" outlineLevel="0" collapsed="false">
      <c r="A258" s="5" t="n">
        <v>253</v>
      </c>
      <c r="B258" s="10" t="s">
        <v>348</v>
      </c>
      <c r="C258" s="11" t="s">
        <v>559</v>
      </c>
      <c r="D258" s="8" t="s">
        <v>560</v>
      </c>
      <c r="E258" s="8" t="s">
        <v>596</v>
      </c>
      <c r="F258" s="8" t="s">
        <v>606</v>
      </c>
      <c r="G258" s="5" t="s">
        <v>57</v>
      </c>
      <c r="H258" s="5" t="n">
        <v>1</v>
      </c>
      <c r="I258" s="8" t="s">
        <v>607</v>
      </c>
      <c r="J258" s="9" t="s">
        <v>608</v>
      </c>
    </row>
    <row r="259" customFormat="false" ht="162.65" hidden="false" customHeight="false" outlineLevel="0" collapsed="false">
      <c r="A259" s="5" t="n">
        <v>254</v>
      </c>
      <c r="B259" s="10" t="s">
        <v>348</v>
      </c>
      <c r="C259" s="11" t="s">
        <v>609</v>
      </c>
      <c r="D259" s="8" t="s">
        <v>610</v>
      </c>
      <c r="E259" s="8" t="s">
        <v>351</v>
      </c>
      <c r="F259" s="8" t="s">
        <v>352</v>
      </c>
      <c r="G259" s="5" t="s">
        <v>18</v>
      </c>
      <c r="H259" s="5" t="n">
        <v>1</v>
      </c>
      <c r="I259" s="8" t="s">
        <v>611</v>
      </c>
      <c r="J259" s="9" t="s">
        <v>612</v>
      </c>
    </row>
    <row r="260" customFormat="false" ht="162.65" hidden="false" customHeight="false" outlineLevel="0" collapsed="false">
      <c r="A260" s="5" t="n">
        <v>255</v>
      </c>
      <c r="B260" s="10" t="s">
        <v>348</v>
      </c>
      <c r="C260" s="11" t="s">
        <v>609</v>
      </c>
      <c r="D260" s="8" t="s">
        <v>610</v>
      </c>
      <c r="E260" s="8" t="s">
        <v>351</v>
      </c>
      <c r="F260" s="8" t="s">
        <v>355</v>
      </c>
      <c r="G260" s="5" t="s">
        <v>18</v>
      </c>
      <c r="H260" s="5" t="n">
        <v>1</v>
      </c>
      <c r="I260" s="8" t="s">
        <v>613</v>
      </c>
      <c r="J260" s="9" t="s">
        <v>614</v>
      </c>
    </row>
    <row r="261" customFormat="false" ht="144.75" hidden="false" customHeight="false" outlineLevel="0" collapsed="false">
      <c r="A261" s="5" t="n">
        <v>256</v>
      </c>
      <c r="B261" s="10" t="s">
        <v>348</v>
      </c>
      <c r="C261" s="11" t="s">
        <v>609</v>
      </c>
      <c r="D261" s="8" t="s">
        <v>610</v>
      </c>
      <c r="E261" s="8" t="s">
        <v>615</v>
      </c>
      <c r="F261" s="8" t="s">
        <v>616</v>
      </c>
      <c r="G261" s="5" t="s">
        <v>18</v>
      </c>
      <c r="H261" s="5" t="n">
        <v>1</v>
      </c>
      <c r="I261" s="8" t="s">
        <v>617</v>
      </c>
      <c r="J261" s="9" t="s">
        <v>618</v>
      </c>
    </row>
    <row r="262" customFormat="false" ht="144.75" hidden="false" customHeight="false" outlineLevel="0" collapsed="false">
      <c r="A262" s="5" t="n">
        <v>257</v>
      </c>
      <c r="B262" s="10" t="s">
        <v>348</v>
      </c>
      <c r="C262" s="11" t="s">
        <v>609</v>
      </c>
      <c r="D262" s="8" t="s">
        <v>610</v>
      </c>
      <c r="E262" s="8" t="s">
        <v>615</v>
      </c>
      <c r="F262" s="8" t="s">
        <v>619</v>
      </c>
      <c r="G262" s="5" t="s">
        <v>18</v>
      </c>
      <c r="H262" s="5" t="n">
        <v>1</v>
      </c>
      <c r="I262" s="8" t="s">
        <v>620</v>
      </c>
      <c r="J262" s="9" t="s">
        <v>621</v>
      </c>
    </row>
    <row r="263" customFormat="false" ht="135.8" hidden="false" customHeight="false" outlineLevel="0" collapsed="false">
      <c r="A263" s="5" t="n">
        <v>258</v>
      </c>
      <c r="B263" s="10" t="s">
        <v>348</v>
      </c>
      <c r="C263" s="11" t="s">
        <v>609</v>
      </c>
      <c r="D263" s="8" t="s">
        <v>610</v>
      </c>
      <c r="E263" s="8" t="s">
        <v>615</v>
      </c>
      <c r="F263" s="8" t="s">
        <v>622</v>
      </c>
      <c r="G263" s="5" t="s">
        <v>18</v>
      </c>
      <c r="H263" s="5" t="n">
        <v>1</v>
      </c>
      <c r="I263" s="8" t="s">
        <v>623</v>
      </c>
      <c r="J263" s="9" t="s">
        <v>624</v>
      </c>
    </row>
    <row r="264" customFormat="false" ht="117.9" hidden="false" customHeight="false" outlineLevel="0" collapsed="false">
      <c r="A264" s="5" t="n">
        <v>259</v>
      </c>
      <c r="B264" s="10" t="s">
        <v>348</v>
      </c>
      <c r="C264" s="11" t="s">
        <v>609</v>
      </c>
      <c r="D264" s="8" t="s">
        <v>610</v>
      </c>
      <c r="E264" s="8" t="s">
        <v>615</v>
      </c>
      <c r="F264" s="8" t="s">
        <v>625</v>
      </c>
      <c r="G264" s="5" t="s">
        <v>18</v>
      </c>
      <c r="H264" s="5" t="n">
        <v>1</v>
      </c>
      <c r="I264" s="8" t="s">
        <v>626</v>
      </c>
      <c r="J264" s="9" t="s">
        <v>627</v>
      </c>
    </row>
    <row r="265" customFormat="false" ht="153.7" hidden="false" customHeight="false" outlineLevel="0" collapsed="false">
      <c r="A265" s="5" t="n">
        <v>260</v>
      </c>
      <c r="B265" s="10" t="s">
        <v>348</v>
      </c>
      <c r="C265" s="11" t="s">
        <v>609</v>
      </c>
      <c r="D265" s="8" t="s">
        <v>610</v>
      </c>
      <c r="E265" s="8" t="s">
        <v>628</v>
      </c>
      <c r="F265" s="8" t="s">
        <v>629</v>
      </c>
      <c r="G265" s="5" t="s">
        <v>18</v>
      </c>
      <c r="H265" s="5" t="n">
        <v>1</v>
      </c>
      <c r="I265" s="8" t="s">
        <v>630</v>
      </c>
      <c r="J265" s="9" t="s">
        <v>631</v>
      </c>
    </row>
    <row r="266" customFormat="false" ht="144.75" hidden="false" customHeight="false" outlineLevel="0" collapsed="false">
      <c r="A266" s="5" t="n">
        <v>261</v>
      </c>
      <c r="B266" s="10" t="s">
        <v>348</v>
      </c>
      <c r="C266" s="11" t="s">
        <v>609</v>
      </c>
      <c r="D266" s="8" t="s">
        <v>610</v>
      </c>
      <c r="E266" s="8" t="s">
        <v>628</v>
      </c>
      <c r="F266" s="8" t="s">
        <v>632</v>
      </c>
      <c r="G266" s="5" t="s">
        <v>18</v>
      </c>
      <c r="H266" s="5" t="n">
        <v>1</v>
      </c>
      <c r="I266" s="8" t="s">
        <v>633</v>
      </c>
      <c r="J266" s="9" t="s">
        <v>634</v>
      </c>
    </row>
    <row r="267" customFormat="false" ht="126.85" hidden="false" customHeight="false" outlineLevel="0" collapsed="false">
      <c r="A267" s="5" t="n">
        <v>262</v>
      </c>
      <c r="B267" s="10" t="s">
        <v>348</v>
      </c>
      <c r="C267" s="11" t="s">
        <v>609</v>
      </c>
      <c r="D267" s="8" t="s">
        <v>610</v>
      </c>
      <c r="E267" s="8" t="s">
        <v>635</v>
      </c>
      <c r="F267" s="8" t="s">
        <v>635</v>
      </c>
      <c r="G267" s="5" t="s">
        <v>57</v>
      </c>
      <c r="H267" s="5" t="n">
        <v>1</v>
      </c>
      <c r="I267" s="8" t="s">
        <v>636</v>
      </c>
      <c r="J267" s="9" t="s">
        <v>637</v>
      </c>
    </row>
    <row r="268" customFormat="false" ht="126.85" hidden="false" customHeight="false" outlineLevel="0" collapsed="false">
      <c r="A268" s="5" t="n">
        <v>263</v>
      </c>
      <c r="B268" s="10" t="s">
        <v>348</v>
      </c>
      <c r="C268" s="11" t="s">
        <v>609</v>
      </c>
      <c r="D268" s="8" t="s">
        <v>610</v>
      </c>
      <c r="E268" s="8" t="s">
        <v>635</v>
      </c>
      <c r="F268" s="8" t="s">
        <v>638</v>
      </c>
      <c r="G268" s="5" t="s">
        <v>57</v>
      </c>
      <c r="H268" s="5" t="n">
        <v>1</v>
      </c>
      <c r="I268" s="8" t="s">
        <v>639</v>
      </c>
      <c r="J268" s="9" t="s">
        <v>640</v>
      </c>
    </row>
    <row r="269" customFormat="false" ht="91" hidden="false" customHeight="false" outlineLevel="0" collapsed="false">
      <c r="A269" s="5" t="n">
        <v>264</v>
      </c>
      <c r="B269" s="10" t="s">
        <v>348</v>
      </c>
      <c r="C269" s="11" t="s">
        <v>609</v>
      </c>
      <c r="D269" s="8" t="s">
        <v>610</v>
      </c>
      <c r="E269" s="8" t="s">
        <v>550</v>
      </c>
      <c r="F269" s="8" t="s">
        <v>550</v>
      </c>
      <c r="G269" s="5" t="s">
        <v>61</v>
      </c>
      <c r="H269" s="5" t="n">
        <v>1</v>
      </c>
      <c r="I269" s="8" t="s">
        <v>551</v>
      </c>
      <c r="J269" s="9" t="s">
        <v>641</v>
      </c>
    </row>
    <row r="270" customFormat="false" ht="117.9" hidden="false" customHeight="false" outlineLevel="0" collapsed="false">
      <c r="A270" s="5" t="n">
        <v>265</v>
      </c>
      <c r="B270" s="10" t="s">
        <v>348</v>
      </c>
      <c r="C270" s="11" t="s">
        <v>609</v>
      </c>
      <c r="D270" s="8" t="s">
        <v>610</v>
      </c>
      <c r="E270" s="8" t="s">
        <v>550</v>
      </c>
      <c r="F270" s="8" t="s">
        <v>642</v>
      </c>
      <c r="G270" s="5" t="s">
        <v>61</v>
      </c>
      <c r="H270" s="5" t="n">
        <v>1</v>
      </c>
      <c r="I270" s="8" t="s">
        <v>643</v>
      </c>
      <c r="J270" s="9" t="s">
        <v>644</v>
      </c>
    </row>
    <row r="271" customFormat="false" ht="99.95" hidden="false" customHeight="false" outlineLevel="0" collapsed="false">
      <c r="A271" s="5" t="n">
        <v>266</v>
      </c>
      <c r="B271" s="10" t="s">
        <v>348</v>
      </c>
      <c r="C271" s="11" t="s">
        <v>609</v>
      </c>
      <c r="D271" s="8" t="s">
        <v>610</v>
      </c>
      <c r="E271" s="8" t="s">
        <v>550</v>
      </c>
      <c r="F271" s="8" t="s">
        <v>645</v>
      </c>
      <c r="G271" s="5" t="s">
        <v>61</v>
      </c>
      <c r="H271" s="5" t="n">
        <v>1</v>
      </c>
      <c r="I271" s="8" t="s">
        <v>646</v>
      </c>
      <c r="J271" s="9" t="s">
        <v>647</v>
      </c>
    </row>
    <row r="272" customFormat="false" ht="91" hidden="false" customHeight="false" outlineLevel="0" collapsed="false">
      <c r="A272" s="5" t="n">
        <v>267</v>
      </c>
      <c r="B272" s="10" t="s">
        <v>348</v>
      </c>
      <c r="C272" s="11" t="s">
        <v>648</v>
      </c>
      <c r="D272" s="8" t="s">
        <v>649</v>
      </c>
      <c r="E272" s="8" t="s">
        <v>650</v>
      </c>
      <c r="F272" s="8" t="s">
        <v>650</v>
      </c>
      <c r="G272" s="5" t="s">
        <v>57</v>
      </c>
      <c r="H272" s="5" t="n">
        <v>6</v>
      </c>
      <c r="I272" s="8" t="s">
        <v>651</v>
      </c>
      <c r="J272" s="9" t="s">
        <v>652</v>
      </c>
    </row>
    <row r="273" customFormat="false" ht="108.95" hidden="false" customHeight="false" outlineLevel="0" collapsed="false">
      <c r="A273" s="5" t="n">
        <v>268</v>
      </c>
      <c r="B273" s="10" t="s">
        <v>348</v>
      </c>
      <c r="C273" s="11" t="s">
        <v>648</v>
      </c>
      <c r="D273" s="8" t="s">
        <v>649</v>
      </c>
      <c r="E273" s="8" t="s">
        <v>650</v>
      </c>
      <c r="F273" s="8" t="s">
        <v>653</v>
      </c>
      <c r="G273" s="5" t="s">
        <v>57</v>
      </c>
      <c r="H273" s="5" t="n">
        <v>1</v>
      </c>
      <c r="I273" s="8" t="s">
        <v>654</v>
      </c>
      <c r="J273" s="9" t="s">
        <v>655</v>
      </c>
    </row>
    <row r="274" customFormat="false" ht="73.1" hidden="false" customHeight="false" outlineLevel="0" collapsed="false">
      <c r="A274" s="5" t="n">
        <v>269</v>
      </c>
      <c r="B274" s="10" t="s">
        <v>348</v>
      </c>
      <c r="C274" s="11" t="s">
        <v>648</v>
      </c>
      <c r="D274" s="8" t="s">
        <v>649</v>
      </c>
      <c r="E274" s="8" t="s">
        <v>656</v>
      </c>
      <c r="F274" s="8" t="s">
        <v>656</v>
      </c>
      <c r="G274" s="5" t="s">
        <v>57</v>
      </c>
      <c r="H274" s="5" t="n">
        <v>6</v>
      </c>
      <c r="I274" s="8" t="s">
        <v>657</v>
      </c>
      <c r="J274" s="9" t="s">
        <v>658</v>
      </c>
    </row>
    <row r="275" customFormat="false" ht="99.95" hidden="false" customHeight="false" outlineLevel="0" collapsed="false">
      <c r="A275" s="5" t="n">
        <v>270</v>
      </c>
      <c r="B275" s="10" t="s">
        <v>348</v>
      </c>
      <c r="C275" s="11" t="s">
        <v>648</v>
      </c>
      <c r="D275" s="8" t="s">
        <v>649</v>
      </c>
      <c r="E275" s="8" t="s">
        <v>439</v>
      </c>
      <c r="F275" s="8" t="s">
        <v>439</v>
      </c>
      <c r="G275" s="5" t="s">
        <v>57</v>
      </c>
      <c r="H275" s="5" t="n">
        <v>2</v>
      </c>
      <c r="I275" s="8" t="s">
        <v>659</v>
      </c>
      <c r="J275" s="9" t="s">
        <v>660</v>
      </c>
    </row>
    <row r="276" customFormat="false" ht="99.95" hidden="false" customHeight="false" outlineLevel="0" collapsed="false">
      <c r="A276" s="5" t="n">
        <v>271</v>
      </c>
      <c r="B276" s="10" t="s">
        <v>348</v>
      </c>
      <c r="C276" s="11" t="s">
        <v>648</v>
      </c>
      <c r="D276" s="8" t="s">
        <v>649</v>
      </c>
      <c r="E276" s="8" t="s">
        <v>439</v>
      </c>
      <c r="F276" s="8" t="s">
        <v>661</v>
      </c>
      <c r="G276" s="5" t="s">
        <v>57</v>
      </c>
      <c r="H276" s="5" t="n">
        <v>1</v>
      </c>
      <c r="I276" s="8" t="s">
        <v>662</v>
      </c>
      <c r="J276" s="9" t="s">
        <v>663</v>
      </c>
    </row>
    <row r="277" customFormat="false" ht="126.85" hidden="false" customHeight="false" outlineLevel="0" collapsed="false">
      <c r="A277" s="5" t="n">
        <v>272</v>
      </c>
      <c r="B277" s="10" t="s">
        <v>348</v>
      </c>
      <c r="C277" s="11" t="s">
        <v>648</v>
      </c>
      <c r="D277" s="8" t="s">
        <v>649</v>
      </c>
      <c r="E277" s="8" t="s">
        <v>664</v>
      </c>
      <c r="F277" s="8" t="s">
        <v>445</v>
      </c>
      <c r="G277" s="5" t="s">
        <v>57</v>
      </c>
      <c r="H277" s="5" t="n">
        <v>1</v>
      </c>
      <c r="I277" s="8" t="s">
        <v>446</v>
      </c>
      <c r="J277" s="9" t="s">
        <v>665</v>
      </c>
    </row>
    <row r="278" customFormat="false" ht="117.9" hidden="false" customHeight="false" outlineLevel="0" collapsed="false">
      <c r="A278" s="5" t="n">
        <v>273</v>
      </c>
      <c r="B278" s="10" t="s">
        <v>348</v>
      </c>
      <c r="C278" s="11" t="s">
        <v>648</v>
      </c>
      <c r="D278" s="8" t="s">
        <v>649</v>
      </c>
      <c r="E278" s="8" t="s">
        <v>664</v>
      </c>
      <c r="F278" s="8" t="s">
        <v>451</v>
      </c>
      <c r="G278" s="5" t="s">
        <v>57</v>
      </c>
      <c r="H278" s="5" t="n">
        <v>1</v>
      </c>
      <c r="I278" s="8" t="s">
        <v>666</v>
      </c>
      <c r="J278" s="9" t="s">
        <v>667</v>
      </c>
    </row>
    <row r="279" customFormat="false" ht="91" hidden="false" customHeight="false" outlineLevel="0" collapsed="false">
      <c r="A279" s="5" t="n">
        <v>274</v>
      </c>
      <c r="B279" s="10" t="s">
        <v>348</v>
      </c>
      <c r="C279" s="11" t="s">
        <v>648</v>
      </c>
      <c r="D279" s="8" t="s">
        <v>649</v>
      </c>
      <c r="E279" s="8" t="s">
        <v>464</v>
      </c>
      <c r="F279" s="8" t="s">
        <v>465</v>
      </c>
      <c r="G279" s="5" t="s">
        <v>57</v>
      </c>
      <c r="H279" s="5" t="n">
        <v>1</v>
      </c>
      <c r="I279" s="8" t="s">
        <v>466</v>
      </c>
      <c r="J279" s="9" t="s">
        <v>668</v>
      </c>
    </row>
    <row r="280" customFormat="false" ht="99.95" hidden="false" customHeight="false" outlineLevel="0" collapsed="false">
      <c r="A280" s="5" t="n">
        <v>275</v>
      </c>
      <c r="B280" s="10" t="s">
        <v>348</v>
      </c>
      <c r="C280" s="11" t="s">
        <v>648</v>
      </c>
      <c r="D280" s="8" t="s">
        <v>649</v>
      </c>
      <c r="E280" s="8" t="s">
        <v>464</v>
      </c>
      <c r="F280" s="8" t="s">
        <v>468</v>
      </c>
      <c r="G280" s="5" t="s">
        <v>57</v>
      </c>
      <c r="H280" s="5" t="n">
        <v>1</v>
      </c>
      <c r="I280" s="8" t="s">
        <v>469</v>
      </c>
      <c r="J280" s="9" t="s">
        <v>669</v>
      </c>
    </row>
    <row r="281" customFormat="false" ht="91" hidden="false" customHeight="false" outlineLevel="0" collapsed="false">
      <c r="A281" s="5" t="n">
        <v>276</v>
      </c>
      <c r="B281" s="10" t="s">
        <v>348</v>
      </c>
      <c r="C281" s="11" t="s">
        <v>648</v>
      </c>
      <c r="D281" s="8" t="s">
        <v>649</v>
      </c>
      <c r="E281" s="8" t="s">
        <v>464</v>
      </c>
      <c r="F281" s="8" t="s">
        <v>471</v>
      </c>
      <c r="G281" s="5" t="s">
        <v>57</v>
      </c>
      <c r="H281" s="5" t="n">
        <v>1</v>
      </c>
      <c r="I281" s="8" t="s">
        <v>472</v>
      </c>
      <c r="J281" s="9" t="s">
        <v>670</v>
      </c>
    </row>
    <row r="282" customFormat="false" ht="99.95" hidden="false" customHeight="false" outlineLevel="0" collapsed="false">
      <c r="A282" s="5" t="n">
        <v>277</v>
      </c>
      <c r="B282" s="10" t="s">
        <v>348</v>
      </c>
      <c r="C282" s="11" t="s">
        <v>648</v>
      </c>
      <c r="D282" s="8" t="s">
        <v>649</v>
      </c>
      <c r="E282" s="8" t="s">
        <v>464</v>
      </c>
      <c r="F282" s="8" t="s">
        <v>474</v>
      </c>
      <c r="G282" s="5" t="s">
        <v>57</v>
      </c>
      <c r="H282" s="5" t="n">
        <v>1</v>
      </c>
      <c r="I282" s="8" t="s">
        <v>475</v>
      </c>
      <c r="J282" s="9" t="s">
        <v>671</v>
      </c>
    </row>
    <row r="283" customFormat="false" ht="91" hidden="false" customHeight="false" outlineLevel="0" collapsed="false">
      <c r="A283" s="5" t="n">
        <v>278</v>
      </c>
      <c r="B283" s="10" t="s">
        <v>348</v>
      </c>
      <c r="C283" s="11" t="s">
        <v>648</v>
      </c>
      <c r="D283" s="8" t="s">
        <v>649</v>
      </c>
      <c r="E283" s="8" t="s">
        <v>464</v>
      </c>
      <c r="F283" s="8" t="s">
        <v>672</v>
      </c>
      <c r="G283" s="5" t="s">
        <v>57</v>
      </c>
      <c r="H283" s="5" t="n">
        <v>1</v>
      </c>
      <c r="I283" s="8" t="s">
        <v>673</v>
      </c>
      <c r="J283" s="9" t="s">
        <v>674</v>
      </c>
    </row>
    <row r="284" customFormat="false" ht="144.75" hidden="false" customHeight="false" outlineLevel="0" collapsed="false">
      <c r="A284" s="5" t="n">
        <v>279</v>
      </c>
      <c r="B284" s="10" t="s">
        <v>348</v>
      </c>
      <c r="C284" s="11" t="s">
        <v>648</v>
      </c>
      <c r="D284" s="8" t="s">
        <v>649</v>
      </c>
      <c r="E284" s="8" t="s">
        <v>675</v>
      </c>
      <c r="F284" s="8" t="s">
        <v>676</v>
      </c>
      <c r="G284" s="5" t="s">
        <v>57</v>
      </c>
      <c r="H284" s="5" t="n">
        <v>1</v>
      </c>
      <c r="I284" s="8" t="s">
        <v>677</v>
      </c>
      <c r="J284" s="9" t="s">
        <v>678</v>
      </c>
    </row>
    <row r="285" customFormat="false" ht="126.85" hidden="false" customHeight="false" outlineLevel="0" collapsed="false">
      <c r="A285" s="5" t="n">
        <v>280</v>
      </c>
      <c r="B285" s="10" t="s">
        <v>348</v>
      </c>
      <c r="C285" s="11" t="s">
        <v>648</v>
      </c>
      <c r="D285" s="8" t="s">
        <v>649</v>
      </c>
      <c r="E285" s="8" t="s">
        <v>675</v>
      </c>
      <c r="F285" s="8" t="s">
        <v>679</v>
      </c>
      <c r="G285" s="5" t="s">
        <v>18</v>
      </c>
      <c r="H285" s="5" t="n">
        <v>1</v>
      </c>
      <c r="I285" s="8" t="s">
        <v>680</v>
      </c>
      <c r="J285" s="9" t="s">
        <v>681</v>
      </c>
    </row>
    <row r="286" customFormat="false" ht="117.9" hidden="false" customHeight="false" outlineLevel="0" collapsed="false">
      <c r="A286" s="5" t="n">
        <v>281</v>
      </c>
      <c r="B286" s="10" t="s">
        <v>348</v>
      </c>
      <c r="C286" s="11" t="s">
        <v>682</v>
      </c>
      <c r="D286" s="8" t="s">
        <v>683</v>
      </c>
      <c r="E286" s="8" t="s">
        <v>684</v>
      </c>
      <c r="F286" s="8" t="s">
        <v>685</v>
      </c>
      <c r="G286" s="5" t="s">
        <v>35</v>
      </c>
      <c r="H286" s="5" t="n">
        <v>1</v>
      </c>
      <c r="I286" s="8" t="s">
        <v>686</v>
      </c>
      <c r="J286" s="9" t="s">
        <v>687</v>
      </c>
    </row>
    <row r="287" customFormat="false" ht="135.8" hidden="false" customHeight="false" outlineLevel="0" collapsed="false">
      <c r="A287" s="5" t="n">
        <v>282</v>
      </c>
      <c r="B287" s="10" t="s">
        <v>348</v>
      </c>
      <c r="C287" s="11" t="s">
        <v>682</v>
      </c>
      <c r="D287" s="8" t="s">
        <v>683</v>
      </c>
      <c r="E287" s="8" t="s">
        <v>684</v>
      </c>
      <c r="F287" s="8" t="s">
        <v>688</v>
      </c>
      <c r="G287" s="5" t="s">
        <v>57</v>
      </c>
      <c r="H287" s="5" t="n">
        <v>1</v>
      </c>
      <c r="I287" s="8" t="s">
        <v>689</v>
      </c>
      <c r="J287" s="9" t="s">
        <v>690</v>
      </c>
    </row>
    <row r="288" customFormat="false" ht="91" hidden="false" customHeight="false" outlineLevel="0" collapsed="false">
      <c r="A288" s="5" t="n">
        <v>283</v>
      </c>
      <c r="B288" s="10" t="s">
        <v>348</v>
      </c>
      <c r="C288" s="11" t="s">
        <v>691</v>
      </c>
      <c r="D288" s="8" t="s">
        <v>692</v>
      </c>
      <c r="E288" s="8" t="s">
        <v>408</v>
      </c>
      <c r="F288" s="8" t="s">
        <v>408</v>
      </c>
      <c r="G288" s="5" t="s">
        <v>18</v>
      </c>
      <c r="H288" s="5" t="n">
        <v>2</v>
      </c>
      <c r="I288" s="8" t="s">
        <v>409</v>
      </c>
      <c r="J288" s="9" t="s">
        <v>693</v>
      </c>
    </row>
    <row r="289" customFormat="false" ht="91" hidden="false" customHeight="false" outlineLevel="0" collapsed="false">
      <c r="A289" s="5" t="n">
        <v>284</v>
      </c>
      <c r="B289" s="10" t="s">
        <v>348</v>
      </c>
      <c r="C289" s="11" t="s">
        <v>691</v>
      </c>
      <c r="D289" s="8" t="s">
        <v>692</v>
      </c>
      <c r="E289" s="8" t="s">
        <v>408</v>
      </c>
      <c r="F289" s="8" t="s">
        <v>411</v>
      </c>
      <c r="G289" s="5" t="s">
        <v>18</v>
      </c>
      <c r="H289" s="5" t="n">
        <v>1</v>
      </c>
      <c r="I289" s="8" t="s">
        <v>412</v>
      </c>
      <c r="J289" s="9" t="s">
        <v>694</v>
      </c>
    </row>
    <row r="290" customFormat="false" ht="82.05" hidden="false" customHeight="false" outlineLevel="0" collapsed="false">
      <c r="A290" s="5" t="n">
        <v>285</v>
      </c>
      <c r="B290" s="10" t="s">
        <v>348</v>
      </c>
      <c r="C290" s="11" t="s">
        <v>691</v>
      </c>
      <c r="D290" s="8" t="s">
        <v>692</v>
      </c>
      <c r="E290" s="8" t="s">
        <v>417</v>
      </c>
      <c r="F290" s="8" t="s">
        <v>417</v>
      </c>
      <c r="G290" s="5" t="s">
        <v>18</v>
      </c>
      <c r="H290" s="5" t="n">
        <v>3</v>
      </c>
      <c r="I290" s="8" t="s">
        <v>417</v>
      </c>
      <c r="J290" s="9" t="s">
        <v>695</v>
      </c>
    </row>
    <row r="291" customFormat="false" ht="91" hidden="false" customHeight="false" outlineLevel="0" collapsed="false">
      <c r="A291" s="5" t="n">
        <v>286</v>
      </c>
      <c r="B291" s="10" t="s">
        <v>348</v>
      </c>
      <c r="C291" s="11" t="s">
        <v>691</v>
      </c>
      <c r="D291" s="8" t="s">
        <v>692</v>
      </c>
      <c r="E291" s="8" t="s">
        <v>417</v>
      </c>
      <c r="F291" s="8" t="s">
        <v>419</v>
      </c>
      <c r="G291" s="5" t="s">
        <v>18</v>
      </c>
      <c r="H291" s="5" t="n">
        <v>1</v>
      </c>
      <c r="I291" s="8" t="s">
        <v>420</v>
      </c>
      <c r="J291" s="9" t="s">
        <v>696</v>
      </c>
    </row>
    <row r="292" customFormat="false" ht="82.05" hidden="false" customHeight="false" outlineLevel="0" collapsed="false">
      <c r="A292" s="5" t="n">
        <v>287</v>
      </c>
      <c r="B292" s="10" t="s">
        <v>348</v>
      </c>
      <c r="C292" s="11" t="s">
        <v>691</v>
      </c>
      <c r="D292" s="8" t="s">
        <v>692</v>
      </c>
      <c r="E292" s="8" t="s">
        <v>425</v>
      </c>
      <c r="F292" s="8" t="s">
        <v>425</v>
      </c>
      <c r="G292" s="5" t="s">
        <v>18</v>
      </c>
      <c r="H292" s="5" t="n">
        <v>1</v>
      </c>
      <c r="I292" s="8" t="s">
        <v>426</v>
      </c>
      <c r="J292" s="9" t="s">
        <v>697</v>
      </c>
    </row>
    <row r="293" customFormat="false" ht="108.95" hidden="false" customHeight="false" outlineLevel="0" collapsed="false">
      <c r="A293" s="5" t="n">
        <v>288</v>
      </c>
      <c r="B293" s="10" t="s">
        <v>348</v>
      </c>
      <c r="C293" s="11" t="s">
        <v>691</v>
      </c>
      <c r="D293" s="8" t="s">
        <v>692</v>
      </c>
      <c r="E293" s="8" t="s">
        <v>425</v>
      </c>
      <c r="F293" s="8" t="s">
        <v>698</v>
      </c>
      <c r="G293" s="5" t="s">
        <v>18</v>
      </c>
      <c r="H293" s="5" t="n">
        <v>1</v>
      </c>
      <c r="I293" s="8" t="s">
        <v>699</v>
      </c>
      <c r="J293" s="9" t="s">
        <v>700</v>
      </c>
    </row>
    <row r="294" customFormat="false" ht="99.95" hidden="false" customHeight="false" outlineLevel="0" collapsed="false">
      <c r="A294" s="5" t="n">
        <v>289</v>
      </c>
      <c r="B294" s="10" t="s">
        <v>348</v>
      </c>
      <c r="C294" s="11" t="s">
        <v>691</v>
      </c>
      <c r="D294" s="8" t="s">
        <v>692</v>
      </c>
      <c r="E294" s="8" t="s">
        <v>701</v>
      </c>
      <c r="F294" s="8" t="s">
        <v>701</v>
      </c>
      <c r="G294" s="5" t="s">
        <v>18</v>
      </c>
      <c r="H294" s="5" t="n">
        <v>1</v>
      </c>
      <c r="I294" s="8" t="s">
        <v>702</v>
      </c>
      <c r="J294" s="9" t="s">
        <v>703</v>
      </c>
    </row>
    <row r="295" customFormat="false" ht="108.95" hidden="false" customHeight="false" outlineLevel="0" collapsed="false">
      <c r="A295" s="5" t="n">
        <v>290</v>
      </c>
      <c r="B295" s="10" t="s">
        <v>348</v>
      </c>
      <c r="C295" s="11" t="s">
        <v>691</v>
      </c>
      <c r="D295" s="8" t="s">
        <v>692</v>
      </c>
      <c r="E295" s="8" t="s">
        <v>701</v>
      </c>
      <c r="F295" s="8" t="s">
        <v>704</v>
      </c>
      <c r="G295" s="5" t="s">
        <v>18</v>
      </c>
      <c r="H295" s="5" t="n">
        <v>1</v>
      </c>
      <c r="I295" s="8" t="s">
        <v>705</v>
      </c>
      <c r="J295" s="9" t="s">
        <v>706</v>
      </c>
    </row>
    <row r="296" customFormat="false" ht="99.95" hidden="false" customHeight="false" outlineLevel="0" collapsed="false">
      <c r="A296" s="5" t="n">
        <v>291</v>
      </c>
      <c r="B296" s="10" t="s">
        <v>348</v>
      </c>
      <c r="C296" s="11" t="s">
        <v>691</v>
      </c>
      <c r="D296" s="8" t="s">
        <v>692</v>
      </c>
      <c r="E296" s="8" t="s">
        <v>701</v>
      </c>
      <c r="F296" s="8" t="s">
        <v>707</v>
      </c>
      <c r="G296" s="5" t="s">
        <v>18</v>
      </c>
      <c r="H296" s="5" t="n">
        <v>1</v>
      </c>
      <c r="I296" s="8" t="s">
        <v>708</v>
      </c>
      <c r="J296" s="9" t="s">
        <v>709</v>
      </c>
    </row>
    <row r="297" customFormat="false" ht="91" hidden="false" customHeight="false" outlineLevel="0" collapsed="false">
      <c r="A297" s="5" t="n">
        <v>292</v>
      </c>
      <c r="B297" s="10" t="s">
        <v>348</v>
      </c>
      <c r="C297" s="11" t="s">
        <v>691</v>
      </c>
      <c r="D297" s="8" t="s">
        <v>692</v>
      </c>
      <c r="E297" s="8" t="s">
        <v>701</v>
      </c>
      <c r="F297" s="8" t="s">
        <v>710</v>
      </c>
      <c r="G297" s="5" t="s">
        <v>18</v>
      </c>
      <c r="H297" s="5" t="n">
        <v>1</v>
      </c>
      <c r="I297" s="8" t="s">
        <v>711</v>
      </c>
      <c r="J297" s="9" t="s">
        <v>712</v>
      </c>
    </row>
    <row r="298" customFormat="false" ht="82.05" hidden="false" customHeight="false" outlineLevel="0" collapsed="false">
      <c r="A298" s="5" t="n">
        <v>293</v>
      </c>
      <c r="B298" s="10" t="s">
        <v>348</v>
      </c>
      <c r="C298" s="11" t="s">
        <v>691</v>
      </c>
      <c r="D298" s="8" t="s">
        <v>692</v>
      </c>
      <c r="E298" s="8" t="s">
        <v>713</v>
      </c>
      <c r="F298" s="8" t="s">
        <v>713</v>
      </c>
      <c r="G298" s="5" t="s">
        <v>61</v>
      </c>
      <c r="H298" s="5" t="n">
        <v>1</v>
      </c>
      <c r="I298" s="8" t="s">
        <v>714</v>
      </c>
      <c r="J298" s="9" t="s">
        <v>715</v>
      </c>
    </row>
    <row r="299" customFormat="false" ht="108.95" hidden="false" customHeight="false" outlineLevel="0" collapsed="false">
      <c r="A299" s="5" t="n">
        <v>294</v>
      </c>
      <c r="B299" s="10" t="s">
        <v>348</v>
      </c>
      <c r="C299" s="11" t="s">
        <v>716</v>
      </c>
      <c r="D299" s="8" t="s">
        <v>717</v>
      </c>
      <c r="E299" s="8" t="s">
        <v>510</v>
      </c>
      <c r="F299" s="8" t="s">
        <v>510</v>
      </c>
      <c r="G299" s="5" t="s">
        <v>18</v>
      </c>
      <c r="H299" s="5" t="n">
        <v>1</v>
      </c>
      <c r="I299" s="8" t="s">
        <v>511</v>
      </c>
      <c r="J299" s="9" t="s">
        <v>718</v>
      </c>
    </row>
    <row r="300" customFormat="false" ht="126.85" hidden="false" customHeight="false" outlineLevel="0" collapsed="false">
      <c r="A300" s="5" t="n">
        <v>295</v>
      </c>
      <c r="B300" s="10" t="s">
        <v>348</v>
      </c>
      <c r="C300" s="11" t="s">
        <v>716</v>
      </c>
      <c r="D300" s="8" t="s">
        <v>717</v>
      </c>
      <c r="E300" s="8" t="s">
        <v>510</v>
      </c>
      <c r="F300" s="8" t="s">
        <v>719</v>
      </c>
      <c r="G300" s="5" t="s">
        <v>18</v>
      </c>
      <c r="H300" s="5" t="n">
        <v>1</v>
      </c>
      <c r="I300" s="8" t="s">
        <v>720</v>
      </c>
      <c r="J300" s="9" t="s">
        <v>721</v>
      </c>
    </row>
    <row r="301" customFormat="false" ht="117.9" hidden="false" customHeight="false" outlineLevel="0" collapsed="false">
      <c r="A301" s="5" t="n">
        <v>296</v>
      </c>
      <c r="B301" s="10" t="s">
        <v>348</v>
      </c>
      <c r="C301" s="11" t="s">
        <v>716</v>
      </c>
      <c r="D301" s="8" t="s">
        <v>717</v>
      </c>
      <c r="E301" s="8" t="s">
        <v>516</v>
      </c>
      <c r="F301" s="8" t="s">
        <v>516</v>
      </c>
      <c r="G301" s="5" t="s">
        <v>18</v>
      </c>
      <c r="H301" s="5" t="n">
        <v>2</v>
      </c>
      <c r="I301" s="8" t="s">
        <v>517</v>
      </c>
      <c r="J301" s="9" t="s">
        <v>722</v>
      </c>
    </row>
    <row r="302" customFormat="false" ht="126.85" hidden="false" customHeight="false" outlineLevel="0" collapsed="false">
      <c r="A302" s="5" t="n">
        <v>297</v>
      </c>
      <c r="B302" s="10" t="s">
        <v>348</v>
      </c>
      <c r="C302" s="11" t="s">
        <v>716</v>
      </c>
      <c r="D302" s="8" t="s">
        <v>717</v>
      </c>
      <c r="E302" s="8" t="s">
        <v>516</v>
      </c>
      <c r="F302" s="8" t="s">
        <v>723</v>
      </c>
      <c r="G302" s="5" t="s">
        <v>18</v>
      </c>
      <c r="H302" s="5" t="n">
        <v>1</v>
      </c>
      <c r="I302" s="8" t="s">
        <v>724</v>
      </c>
      <c r="J302" s="9" t="s">
        <v>725</v>
      </c>
    </row>
    <row r="303" customFormat="false" ht="126.85" hidden="false" customHeight="false" outlineLevel="0" collapsed="false">
      <c r="A303" s="5" t="n">
        <v>298</v>
      </c>
      <c r="B303" s="10" t="s">
        <v>348</v>
      </c>
      <c r="C303" s="11" t="s">
        <v>716</v>
      </c>
      <c r="D303" s="8" t="s">
        <v>717</v>
      </c>
      <c r="E303" s="8" t="s">
        <v>516</v>
      </c>
      <c r="F303" s="8" t="s">
        <v>726</v>
      </c>
      <c r="G303" s="5" t="s">
        <v>18</v>
      </c>
      <c r="H303" s="5" t="n">
        <v>1</v>
      </c>
      <c r="I303" s="8" t="s">
        <v>727</v>
      </c>
      <c r="J303" s="9" t="s">
        <v>728</v>
      </c>
    </row>
    <row r="304" customFormat="false" ht="135.8" hidden="false" customHeight="false" outlineLevel="0" collapsed="false">
      <c r="A304" s="5" t="n">
        <v>299</v>
      </c>
      <c r="B304" s="10" t="s">
        <v>348</v>
      </c>
      <c r="C304" s="11" t="s">
        <v>716</v>
      </c>
      <c r="D304" s="8" t="s">
        <v>717</v>
      </c>
      <c r="E304" s="8" t="s">
        <v>729</v>
      </c>
      <c r="F304" s="8" t="s">
        <v>730</v>
      </c>
      <c r="G304" s="5" t="s">
        <v>18</v>
      </c>
      <c r="H304" s="5" t="n">
        <v>1</v>
      </c>
      <c r="I304" s="8" t="s">
        <v>730</v>
      </c>
      <c r="J304" s="9" t="s">
        <v>731</v>
      </c>
    </row>
    <row r="305" customFormat="false" ht="126.85" hidden="false" customHeight="false" outlineLevel="0" collapsed="false">
      <c r="A305" s="5" t="n">
        <v>300</v>
      </c>
      <c r="B305" s="10" t="s">
        <v>348</v>
      </c>
      <c r="C305" s="11" t="s">
        <v>716</v>
      </c>
      <c r="D305" s="8" t="s">
        <v>717</v>
      </c>
      <c r="E305" s="8" t="s">
        <v>729</v>
      </c>
      <c r="F305" s="8" t="s">
        <v>732</v>
      </c>
      <c r="G305" s="5" t="s">
        <v>18</v>
      </c>
      <c r="H305" s="5" t="n">
        <v>1</v>
      </c>
      <c r="I305" s="8" t="s">
        <v>733</v>
      </c>
      <c r="J305" s="9" t="s">
        <v>734</v>
      </c>
    </row>
    <row r="306" customFormat="false" ht="126.85" hidden="false" customHeight="false" outlineLevel="0" collapsed="false">
      <c r="A306" s="5" t="n">
        <v>301</v>
      </c>
      <c r="B306" s="10" t="s">
        <v>348</v>
      </c>
      <c r="C306" s="11" t="s">
        <v>716</v>
      </c>
      <c r="D306" s="8" t="s">
        <v>717</v>
      </c>
      <c r="E306" s="8" t="s">
        <v>729</v>
      </c>
      <c r="F306" s="8" t="s">
        <v>735</v>
      </c>
      <c r="G306" s="5" t="s">
        <v>18</v>
      </c>
      <c r="H306" s="5" t="n">
        <v>1</v>
      </c>
      <c r="I306" s="8" t="s">
        <v>736</v>
      </c>
      <c r="J306" s="9" t="s">
        <v>737</v>
      </c>
    </row>
    <row r="307" customFormat="false" ht="117.9" hidden="false" customHeight="false" outlineLevel="0" collapsed="false">
      <c r="A307" s="5" t="n">
        <v>302</v>
      </c>
      <c r="B307" s="10" t="s">
        <v>348</v>
      </c>
      <c r="C307" s="11" t="s">
        <v>716</v>
      </c>
      <c r="D307" s="8" t="s">
        <v>717</v>
      </c>
      <c r="E307" s="8" t="s">
        <v>738</v>
      </c>
      <c r="F307" s="8" t="s">
        <v>739</v>
      </c>
      <c r="G307" s="5" t="s">
        <v>18</v>
      </c>
      <c r="H307" s="5" t="n">
        <v>1</v>
      </c>
      <c r="I307" s="8" t="s">
        <v>740</v>
      </c>
      <c r="J307" s="9" t="s">
        <v>741</v>
      </c>
    </row>
    <row r="308" customFormat="false" ht="126.85" hidden="false" customHeight="false" outlineLevel="0" collapsed="false">
      <c r="A308" s="5" t="n">
        <v>303</v>
      </c>
      <c r="B308" s="10" t="s">
        <v>348</v>
      </c>
      <c r="C308" s="11" t="s">
        <v>716</v>
      </c>
      <c r="D308" s="8" t="s">
        <v>717</v>
      </c>
      <c r="E308" s="8" t="s">
        <v>738</v>
      </c>
      <c r="F308" s="8" t="s">
        <v>742</v>
      </c>
      <c r="G308" s="5" t="s">
        <v>18</v>
      </c>
      <c r="H308" s="5" t="n">
        <v>1</v>
      </c>
      <c r="I308" s="8" t="s">
        <v>743</v>
      </c>
      <c r="J308" s="9" t="s">
        <v>744</v>
      </c>
    </row>
    <row r="309" customFormat="false" ht="126.85" hidden="false" customHeight="false" outlineLevel="0" collapsed="false">
      <c r="A309" s="5" t="n">
        <v>304</v>
      </c>
      <c r="B309" s="10" t="s">
        <v>348</v>
      </c>
      <c r="C309" s="11" t="s">
        <v>716</v>
      </c>
      <c r="D309" s="8" t="s">
        <v>717</v>
      </c>
      <c r="E309" s="8" t="s">
        <v>738</v>
      </c>
      <c r="F309" s="8" t="s">
        <v>745</v>
      </c>
      <c r="G309" s="5" t="s">
        <v>18</v>
      </c>
      <c r="H309" s="5" t="n">
        <v>1</v>
      </c>
      <c r="I309" s="8" t="s">
        <v>746</v>
      </c>
      <c r="J309" s="9" t="s">
        <v>747</v>
      </c>
    </row>
    <row r="310" customFormat="false" ht="108.95" hidden="false" customHeight="false" outlineLevel="0" collapsed="false">
      <c r="A310" s="5" t="n">
        <v>305</v>
      </c>
      <c r="B310" s="10" t="s">
        <v>348</v>
      </c>
      <c r="C310" s="11" t="s">
        <v>716</v>
      </c>
      <c r="D310" s="8" t="s">
        <v>717</v>
      </c>
      <c r="E310" s="8" t="s">
        <v>738</v>
      </c>
      <c r="F310" s="8" t="s">
        <v>748</v>
      </c>
      <c r="G310" s="5" t="s">
        <v>18</v>
      </c>
      <c r="H310" s="5" t="n">
        <v>1</v>
      </c>
      <c r="I310" s="8" t="s">
        <v>749</v>
      </c>
      <c r="J310" s="9" t="s">
        <v>750</v>
      </c>
    </row>
    <row r="311" customFormat="false" ht="117.9" hidden="false" customHeight="false" outlineLevel="0" collapsed="false">
      <c r="A311" s="5" t="n">
        <v>306</v>
      </c>
      <c r="B311" s="10" t="s">
        <v>348</v>
      </c>
      <c r="C311" s="11" t="s">
        <v>716</v>
      </c>
      <c r="D311" s="8" t="s">
        <v>717</v>
      </c>
      <c r="E311" s="8" t="s">
        <v>738</v>
      </c>
      <c r="F311" s="8" t="s">
        <v>751</v>
      </c>
      <c r="G311" s="5" t="s">
        <v>18</v>
      </c>
      <c r="H311" s="5" t="n">
        <v>1</v>
      </c>
      <c r="I311" s="8" t="s">
        <v>752</v>
      </c>
      <c r="J311" s="9" t="s">
        <v>753</v>
      </c>
    </row>
    <row r="312" customFormat="false" ht="126.85" hidden="false" customHeight="false" outlineLevel="0" collapsed="false">
      <c r="A312" s="5" t="n">
        <v>307</v>
      </c>
      <c r="B312" s="10" t="s">
        <v>348</v>
      </c>
      <c r="C312" s="11" t="s">
        <v>716</v>
      </c>
      <c r="D312" s="8" t="s">
        <v>717</v>
      </c>
      <c r="E312" s="8" t="s">
        <v>138</v>
      </c>
      <c r="F312" s="8" t="s">
        <v>138</v>
      </c>
      <c r="G312" s="5" t="s">
        <v>18</v>
      </c>
      <c r="H312" s="5" t="n">
        <v>3</v>
      </c>
      <c r="I312" s="8" t="s">
        <v>139</v>
      </c>
      <c r="J312" s="9" t="s">
        <v>754</v>
      </c>
    </row>
    <row r="313" customFormat="false" ht="117.9" hidden="false" customHeight="false" outlineLevel="0" collapsed="false">
      <c r="A313" s="5" t="n">
        <v>308</v>
      </c>
      <c r="B313" s="10" t="s">
        <v>348</v>
      </c>
      <c r="C313" s="11" t="s">
        <v>716</v>
      </c>
      <c r="D313" s="8" t="s">
        <v>717</v>
      </c>
      <c r="E313" s="8" t="s">
        <v>138</v>
      </c>
      <c r="F313" s="8" t="s">
        <v>755</v>
      </c>
      <c r="G313" s="5" t="s">
        <v>18</v>
      </c>
      <c r="H313" s="5" t="n">
        <v>1</v>
      </c>
      <c r="I313" s="8" t="s">
        <v>755</v>
      </c>
      <c r="J313" s="9" t="s">
        <v>756</v>
      </c>
    </row>
    <row r="314" customFormat="false" ht="117.9" hidden="false" customHeight="false" outlineLevel="0" collapsed="false">
      <c r="A314" s="5" t="n">
        <v>309</v>
      </c>
      <c r="B314" s="10" t="s">
        <v>348</v>
      </c>
      <c r="C314" s="11" t="s">
        <v>716</v>
      </c>
      <c r="D314" s="8" t="s">
        <v>717</v>
      </c>
      <c r="E314" s="8" t="s">
        <v>757</v>
      </c>
      <c r="F314" s="8" t="s">
        <v>713</v>
      </c>
      <c r="G314" s="5" t="s">
        <v>61</v>
      </c>
      <c r="H314" s="5" t="n">
        <v>1</v>
      </c>
      <c r="I314" s="8" t="s">
        <v>714</v>
      </c>
      <c r="J314" s="9" t="s">
        <v>758</v>
      </c>
    </row>
    <row r="315" customFormat="false" ht="126.85" hidden="false" customHeight="false" outlineLevel="0" collapsed="false">
      <c r="A315" s="5" t="n">
        <v>310</v>
      </c>
      <c r="B315" s="10" t="s">
        <v>348</v>
      </c>
      <c r="C315" s="11" t="s">
        <v>716</v>
      </c>
      <c r="D315" s="8" t="s">
        <v>717</v>
      </c>
      <c r="E315" s="8" t="s">
        <v>757</v>
      </c>
      <c r="F315" s="8" t="s">
        <v>543</v>
      </c>
      <c r="G315" s="5" t="s">
        <v>61</v>
      </c>
      <c r="H315" s="5" t="n">
        <v>1</v>
      </c>
      <c r="I315" s="8" t="s">
        <v>544</v>
      </c>
      <c r="J315" s="9" t="s">
        <v>759</v>
      </c>
    </row>
    <row r="316" customFormat="false" ht="144.75" hidden="false" customHeight="false" outlineLevel="0" collapsed="false">
      <c r="A316" s="5" t="n">
        <v>311</v>
      </c>
      <c r="B316" s="10" t="s">
        <v>348</v>
      </c>
      <c r="C316" s="11" t="s">
        <v>716</v>
      </c>
      <c r="D316" s="8" t="s">
        <v>717</v>
      </c>
      <c r="E316" s="8" t="s">
        <v>757</v>
      </c>
      <c r="F316" s="8" t="s">
        <v>760</v>
      </c>
      <c r="G316" s="5" t="s">
        <v>61</v>
      </c>
      <c r="H316" s="5" t="n">
        <v>1</v>
      </c>
      <c r="I316" s="8" t="s">
        <v>761</v>
      </c>
      <c r="J316" s="9" t="s">
        <v>762</v>
      </c>
    </row>
    <row r="317" customFormat="false" ht="126.85" hidden="false" customHeight="false" outlineLevel="0" collapsed="false">
      <c r="A317" s="5" t="n">
        <v>312</v>
      </c>
      <c r="B317" s="10" t="s">
        <v>348</v>
      </c>
      <c r="C317" s="11" t="s">
        <v>763</v>
      </c>
      <c r="D317" s="8" t="s">
        <v>764</v>
      </c>
      <c r="E317" s="8" t="s">
        <v>765</v>
      </c>
      <c r="F317" s="8" t="s">
        <v>765</v>
      </c>
      <c r="G317" s="5" t="s">
        <v>18</v>
      </c>
      <c r="H317" s="5" t="n">
        <v>1</v>
      </c>
      <c r="I317" s="8" t="s">
        <v>766</v>
      </c>
      <c r="J317" s="9" t="s">
        <v>767</v>
      </c>
    </row>
    <row r="318" customFormat="false" ht="135.8" hidden="false" customHeight="false" outlineLevel="0" collapsed="false">
      <c r="A318" s="5" t="n">
        <v>313</v>
      </c>
      <c r="B318" s="10" t="s">
        <v>348</v>
      </c>
      <c r="C318" s="11" t="s">
        <v>763</v>
      </c>
      <c r="D318" s="8" t="s">
        <v>764</v>
      </c>
      <c r="E318" s="8" t="s">
        <v>765</v>
      </c>
      <c r="F318" s="8" t="s">
        <v>768</v>
      </c>
      <c r="G318" s="5" t="s">
        <v>18</v>
      </c>
      <c r="H318" s="5" t="n">
        <v>1</v>
      </c>
      <c r="I318" s="8" t="s">
        <v>769</v>
      </c>
      <c r="J318" s="9" t="s">
        <v>770</v>
      </c>
    </row>
    <row r="319" customFormat="false" ht="135.8" hidden="false" customHeight="false" outlineLevel="0" collapsed="false">
      <c r="A319" s="5" t="n">
        <v>314</v>
      </c>
      <c r="B319" s="10" t="s">
        <v>348</v>
      </c>
      <c r="C319" s="11" t="s">
        <v>763</v>
      </c>
      <c r="D319" s="8" t="s">
        <v>764</v>
      </c>
      <c r="E319" s="8" t="s">
        <v>765</v>
      </c>
      <c r="F319" s="8" t="s">
        <v>771</v>
      </c>
      <c r="G319" s="5" t="s">
        <v>18</v>
      </c>
      <c r="H319" s="5" t="n">
        <v>1</v>
      </c>
      <c r="I319" s="8" t="s">
        <v>772</v>
      </c>
      <c r="J319" s="9" t="s">
        <v>773</v>
      </c>
    </row>
    <row r="320" customFormat="false" ht="117.9" hidden="false" customHeight="false" outlineLevel="0" collapsed="false">
      <c r="A320" s="5" t="n">
        <v>315</v>
      </c>
      <c r="B320" s="10" t="s">
        <v>348</v>
      </c>
      <c r="C320" s="11" t="s">
        <v>763</v>
      </c>
      <c r="D320" s="8" t="s">
        <v>764</v>
      </c>
      <c r="E320" s="8" t="s">
        <v>774</v>
      </c>
      <c r="F320" s="8" t="s">
        <v>775</v>
      </c>
      <c r="G320" s="5" t="s">
        <v>18</v>
      </c>
      <c r="H320" s="5" t="n">
        <v>1</v>
      </c>
      <c r="I320" s="8" t="s">
        <v>776</v>
      </c>
      <c r="J320" s="9" t="s">
        <v>777</v>
      </c>
    </row>
    <row r="321" customFormat="false" ht="117.9" hidden="false" customHeight="false" outlineLevel="0" collapsed="false">
      <c r="A321" s="5" t="n">
        <v>316</v>
      </c>
      <c r="B321" s="10" t="s">
        <v>348</v>
      </c>
      <c r="C321" s="11" t="s">
        <v>763</v>
      </c>
      <c r="D321" s="8" t="s">
        <v>764</v>
      </c>
      <c r="E321" s="8" t="s">
        <v>774</v>
      </c>
      <c r="F321" s="8" t="s">
        <v>778</v>
      </c>
      <c r="G321" s="5" t="s">
        <v>18</v>
      </c>
      <c r="H321" s="5" t="n">
        <v>1</v>
      </c>
      <c r="I321" s="8" t="s">
        <v>779</v>
      </c>
      <c r="J321" s="9" t="s">
        <v>780</v>
      </c>
    </row>
    <row r="322" customFormat="false" ht="126.85" hidden="false" customHeight="false" outlineLevel="0" collapsed="false">
      <c r="A322" s="5" t="n">
        <v>317</v>
      </c>
      <c r="B322" s="10" t="s">
        <v>348</v>
      </c>
      <c r="C322" s="11" t="s">
        <v>763</v>
      </c>
      <c r="D322" s="8" t="s">
        <v>764</v>
      </c>
      <c r="E322" s="8" t="s">
        <v>781</v>
      </c>
      <c r="F322" s="8" t="s">
        <v>782</v>
      </c>
      <c r="G322" s="5" t="s">
        <v>18</v>
      </c>
      <c r="H322" s="5" t="n">
        <v>1</v>
      </c>
      <c r="I322" s="8" t="s">
        <v>783</v>
      </c>
      <c r="J322" s="9" t="s">
        <v>784</v>
      </c>
    </row>
    <row r="323" customFormat="false" ht="108.95" hidden="false" customHeight="false" outlineLevel="0" collapsed="false">
      <c r="A323" s="5" t="n">
        <v>318</v>
      </c>
      <c r="B323" s="10" t="s">
        <v>348</v>
      </c>
      <c r="C323" s="11" t="s">
        <v>763</v>
      </c>
      <c r="D323" s="8" t="s">
        <v>764</v>
      </c>
      <c r="E323" s="8" t="s">
        <v>781</v>
      </c>
      <c r="F323" s="8" t="s">
        <v>785</v>
      </c>
      <c r="G323" s="5" t="s">
        <v>18</v>
      </c>
      <c r="H323" s="5" t="n">
        <v>1</v>
      </c>
      <c r="I323" s="8" t="s">
        <v>786</v>
      </c>
      <c r="J323" s="9" t="s">
        <v>787</v>
      </c>
    </row>
    <row r="324" customFormat="false" ht="135.8" hidden="false" customHeight="false" outlineLevel="0" collapsed="false">
      <c r="A324" s="5" t="n">
        <v>319</v>
      </c>
      <c r="B324" s="10" t="s">
        <v>348</v>
      </c>
      <c r="C324" s="11" t="s">
        <v>763</v>
      </c>
      <c r="D324" s="8" t="s">
        <v>764</v>
      </c>
      <c r="E324" s="8" t="s">
        <v>788</v>
      </c>
      <c r="F324" s="8" t="s">
        <v>789</v>
      </c>
      <c r="G324" s="5" t="s">
        <v>57</v>
      </c>
      <c r="H324" s="5" t="n">
        <v>1</v>
      </c>
      <c r="I324" s="8" t="s">
        <v>790</v>
      </c>
      <c r="J324" s="9" t="s">
        <v>791</v>
      </c>
    </row>
    <row r="325" customFormat="false" ht="99.95" hidden="false" customHeight="false" outlineLevel="0" collapsed="false">
      <c r="A325" s="5" t="n">
        <v>320</v>
      </c>
      <c r="B325" s="10" t="s">
        <v>348</v>
      </c>
      <c r="C325" s="11" t="s">
        <v>763</v>
      </c>
      <c r="D325" s="8" t="s">
        <v>764</v>
      </c>
      <c r="E325" s="8" t="s">
        <v>788</v>
      </c>
      <c r="F325" s="8" t="s">
        <v>792</v>
      </c>
      <c r="G325" s="5" t="s">
        <v>61</v>
      </c>
      <c r="H325" s="5" t="n">
        <v>1</v>
      </c>
      <c r="I325" s="8" t="s">
        <v>793</v>
      </c>
      <c r="J325" s="9" t="s">
        <v>794</v>
      </c>
    </row>
    <row r="326" customFormat="false" ht="99.95" hidden="false" customHeight="false" outlineLevel="0" collapsed="false">
      <c r="A326" s="5" t="n">
        <v>321</v>
      </c>
      <c r="B326" s="10" t="s">
        <v>348</v>
      </c>
      <c r="C326" s="11" t="s">
        <v>763</v>
      </c>
      <c r="D326" s="8" t="s">
        <v>764</v>
      </c>
      <c r="E326" s="8" t="s">
        <v>788</v>
      </c>
      <c r="F326" s="8" t="s">
        <v>795</v>
      </c>
      <c r="G326" s="5" t="s">
        <v>61</v>
      </c>
      <c r="H326" s="5" t="n">
        <v>1</v>
      </c>
      <c r="I326" s="8" t="s">
        <v>796</v>
      </c>
      <c r="J326" s="9" t="s">
        <v>797</v>
      </c>
    </row>
    <row r="327" customFormat="false" ht="117.9" hidden="false" customHeight="false" outlineLevel="0" collapsed="false">
      <c r="A327" s="5" t="n">
        <v>322</v>
      </c>
      <c r="B327" s="10" t="s">
        <v>348</v>
      </c>
      <c r="C327" s="11" t="s">
        <v>763</v>
      </c>
      <c r="D327" s="8" t="s">
        <v>764</v>
      </c>
      <c r="E327" s="8" t="s">
        <v>788</v>
      </c>
      <c r="F327" s="8" t="s">
        <v>798</v>
      </c>
      <c r="G327" s="5" t="s">
        <v>18</v>
      </c>
      <c r="H327" s="5" t="n">
        <v>1</v>
      </c>
      <c r="I327" s="8" t="s">
        <v>799</v>
      </c>
      <c r="J327" s="9" t="s">
        <v>800</v>
      </c>
    </row>
    <row r="328" customFormat="false" ht="108.95" hidden="false" customHeight="false" outlineLevel="0" collapsed="false">
      <c r="A328" s="5" t="n">
        <v>323</v>
      </c>
      <c r="B328" s="10" t="s">
        <v>348</v>
      </c>
      <c r="C328" s="11" t="s">
        <v>763</v>
      </c>
      <c r="D328" s="8" t="s">
        <v>764</v>
      </c>
      <c r="E328" s="8" t="s">
        <v>788</v>
      </c>
      <c r="F328" s="8" t="s">
        <v>801</v>
      </c>
      <c r="G328" s="5" t="s">
        <v>61</v>
      </c>
      <c r="H328" s="5" t="n">
        <v>1</v>
      </c>
      <c r="I328" s="8" t="s">
        <v>802</v>
      </c>
      <c r="J328" s="9" t="s">
        <v>803</v>
      </c>
    </row>
    <row r="329" customFormat="false" ht="162.65" hidden="false" customHeight="false" outlineLevel="0" collapsed="false">
      <c r="A329" s="5" t="n">
        <v>324</v>
      </c>
      <c r="B329" s="10" t="s">
        <v>348</v>
      </c>
      <c r="C329" s="11" t="s">
        <v>804</v>
      </c>
      <c r="D329" s="8" t="s">
        <v>805</v>
      </c>
      <c r="E329" s="8" t="s">
        <v>806</v>
      </c>
      <c r="F329" s="8" t="s">
        <v>807</v>
      </c>
      <c r="G329" s="5" t="s">
        <v>808</v>
      </c>
      <c r="H329" s="5" t="n">
        <v>1</v>
      </c>
      <c r="I329" s="8" t="s">
        <v>809</v>
      </c>
      <c r="J329" s="9" t="s">
        <v>810</v>
      </c>
    </row>
    <row r="330" customFormat="false" ht="135.8" hidden="false" customHeight="false" outlineLevel="0" collapsed="false">
      <c r="A330" s="5" t="n">
        <v>325</v>
      </c>
      <c r="B330" s="10" t="s">
        <v>348</v>
      </c>
      <c r="C330" s="11" t="s">
        <v>804</v>
      </c>
      <c r="D330" s="8" t="s">
        <v>805</v>
      </c>
      <c r="E330" s="8" t="s">
        <v>806</v>
      </c>
      <c r="F330" s="8" t="s">
        <v>710</v>
      </c>
      <c r="G330" s="5" t="s">
        <v>57</v>
      </c>
      <c r="H330" s="5" t="n">
        <v>1</v>
      </c>
      <c r="I330" s="8" t="s">
        <v>711</v>
      </c>
      <c r="J330" s="9" t="s">
        <v>811</v>
      </c>
    </row>
    <row r="331" customFormat="false" ht="144.75" hidden="false" customHeight="false" outlineLevel="0" collapsed="false">
      <c r="A331" s="5" t="n">
        <v>326</v>
      </c>
      <c r="B331" s="10" t="s">
        <v>348</v>
      </c>
      <c r="C331" s="11" t="s">
        <v>804</v>
      </c>
      <c r="D331" s="8" t="s">
        <v>805</v>
      </c>
      <c r="E331" s="8" t="s">
        <v>806</v>
      </c>
      <c r="F331" s="8" t="s">
        <v>812</v>
      </c>
      <c r="G331" s="5" t="s">
        <v>61</v>
      </c>
      <c r="H331" s="5" t="n">
        <v>1</v>
      </c>
      <c r="I331" s="8" t="s">
        <v>813</v>
      </c>
      <c r="J331" s="9" t="s">
        <v>814</v>
      </c>
    </row>
    <row r="332" customFormat="false" ht="135.8" hidden="false" customHeight="false" outlineLevel="0" collapsed="false">
      <c r="A332" s="5" t="n">
        <v>327</v>
      </c>
      <c r="B332" s="10" t="s">
        <v>348</v>
      </c>
      <c r="C332" s="11" t="s">
        <v>804</v>
      </c>
      <c r="D332" s="8" t="s">
        <v>805</v>
      </c>
      <c r="E332" s="8" t="s">
        <v>806</v>
      </c>
      <c r="F332" s="8" t="s">
        <v>815</v>
      </c>
      <c r="G332" s="5" t="s">
        <v>57</v>
      </c>
      <c r="H332" s="5" t="n">
        <v>1</v>
      </c>
      <c r="I332" s="8" t="s">
        <v>816</v>
      </c>
      <c r="J332" s="9" t="s">
        <v>817</v>
      </c>
    </row>
    <row r="333" customFormat="false" ht="135.8" hidden="false" customHeight="false" outlineLevel="0" collapsed="false">
      <c r="A333" s="5" t="n">
        <v>328</v>
      </c>
      <c r="B333" s="10" t="s">
        <v>348</v>
      </c>
      <c r="C333" s="11" t="s">
        <v>804</v>
      </c>
      <c r="D333" s="8" t="s">
        <v>805</v>
      </c>
      <c r="E333" s="8" t="s">
        <v>806</v>
      </c>
      <c r="F333" s="8" t="s">
        <v>818</v>
      </c>
      <c r="G333" s="5" t="s">
        <v>61</v>
      </c>
      <c r="H333" s="5" t="n">
        <v>1</v>
      </c>
      <c r="I333" s="8" t="s">
        <v>819</v>
      </c>
      <c r="J333" s="9" t="s">
        <v>820</v>
      </c>
    </row>
    <row r="334" customFormat="false" ht="153.7" hidden="false" customHeight="false" outlineLevel="0" collapsed="false">
      <c r="A334" s="5" t="n">
        <v>329</v>
      </c>
      <c r="B334" s="10" t="s">
        <v>348</v>
      </c>
      <c r="C334" s="11" t="s">
        <v>804</v>
      </c>
      <c r="D334" s="8" t="s">
        <v>805</v>
      </c>
      <c r="E334" s="8" t="s">
        <v>806</v>
      </c>
      <c r="F334" s="8" t="s">
        <v>821</v>
      </c>
      <c r="G334" s="5" t="s">
        <v>18</v>
      </c>
      <c r="H334" s="5" t="n">
        <v>1</v>
      </c>
      <c r="I334" s="8" t="s">
        <v>822</v>
      </c>
      <c r="J334" s="9" t="s">
        <v>823</v>
      </c>
    </row>
    <row r="335" customFormat="false" ht="153.7" hidden="false" customHeight="false" outlineLevel="0" collapsed="false">
      <c r="A335" s="5" t="n">
        <v>330</v>
      </c>
      <c r="B335" s="10" t="s">
        <v>348</v>
      </c>
      <c r="C335" s="11" t="s">
        <v>804</v>
      </c>
      <c r="D335" s="8" t="s">
        <v>805</v>
      </c>
      <c r="E335" s="8" t="s">
        <v>806</v>
      </c>
      <c r="F335" s="8" t="s">
        <v>824</v>
      </c>
      <c r="G335" s="5" t="s">
        <v>57</v>
      </c>
      <c r="H335" s="5" t="n">
        <v>1</v>
      </c>
      <c r="I335" s="8" t="s">
        <v>825</v>
      </c>
      <c r="J335" s="9" t="s">
        <v>826</v>
      </c>
    </row>
    <row r="336" customFormat="false" ht="153.7" hidden="false" customHeight="false" outlineLevel="0" collapsed="false">
      <c r="A336" s="5" t="n">
        <v>331</v>
      </c>
      <c r="B336" s="10" t="s">
        <v>348</v>
      </c>
      <c r="C336" s="11" t="s">
        <v>827</v>
      </c>
      <c r="D336" s="8" t="s">
        <v>805</v>
      </c>
      <c r="E336" s="8" t="s">
        <v>828</v>
      </c>
      <c r="F336" s="8" t="s">
        <v>829</v>
      </c>
      <c r="G336" s="5" t="s">
        <v>61</v>
      </c>
      <c r="H336" s="5" t="n">
        <v>1</v>
      </c>
      <c r="I336" s="8" t="s">
        <v>830</v>
      </c>
      <c r="J336" s="9" t="s">
        <v>831</v>
      </c>
    </row>
    <row r="337" customFormat="false" ht="144.75" hidden="false" customHeight="false" outlineLevel="0" collapsed="false">
      <c r="A337" s="5" t="n">
        <v>332</v>
      </c>
      <c r="B337" s="10" t="s">
        <v>348</v>
      </c>
      <c r="C337" s="11" t="s">
        <v>827</v>
      </c>
      <c r="D337" s="8" t="s">
        <v>805</v>
      </c>
      <c r="E337" s="8" t="s">
        <v>828</v>
      </c>
      <c r="F337" s="8" t="s">
        <v>812</v>
      </c>
      <c r="G337" s="5" t="s">
        <v>61</v>
      </c>
      <c r="H337" s="5" t="n">
        <v>1</v>
      </c>
      <c r="I337" s="8" t="s">
        <v>813</v>
      </c>
      <c r="J337" s="9" t="s">
        <v>832</v>
      </c>
    </row>
    <row r="338" customFormat="false" ht="126.85" hidden="false" customHeight="false" outlineLevel="0" collapsed="false">
      <c r="A338" s="5" t="n">
        <v>333</v>
      </c>
      <c r="B338" s="10" t="s">
        <v>348</v>
      </c>
      <c r="C338" s="11" t="s">
        <v>827</v>
      </c>
      <c r="D338" s="8" t="s">
        <v>805</v>
      </c>
      <c r="E338" s="8" t="s">
        <v>828</v>
      </c>
      <c r="F338" s="8" t="s">
        <v>833</v>
      </c>
      <c r="G338" s="5" t="s">
        <v>57</v>
      </c>
      <c r="H338" s="5" t="n">
        <v>1</v>
      </c>
      <c r="I338" s="8" t="s">
        <v>834</v>
      </c>
      <c r="J338" s="9" t="s">
        <v>835</v>
      </c>
    </row>
    <row r="339" customFormat="false" ht="180.55" hidden="false" customHeight="false" outlineLevel="0" collapsed="false">
      <c r="A339" s="5" t="n">
        <v>334</v>
      </c>
      <c r="B339" s="10" t="s">
        <v>348</v>
      </c>
      <c r="C339" s="11" t="s">
        <v>836</v>
      </c>
      <c r="D339" s="8" t="s">
        <v>805</v>
      </c>
      <c r="E339" s="8" t="s">
        <v>837</v>
      </c>
      <c r="F339" s="8" t="s">
        <v>838</v>
      </c>
      <c r="G339" s="5" t="s">
        <v>61</v>
      </c>
      <c r="H339" s="5" t="n">
        <v>1</v>
      </c>
      <c r="I339" s="8" t="s">
        <v>839</v>
      </c>
      <c r="J339" s="9" t="s">
        <v>840</v>
      </c>
    </row>
    <row r="340" customFormat="false" ht="171.6" hidden="false" customHeight="false" outlineLevel="0" collapsed="false">
      <c r="A340" s="5" t="n">
        <v>335</v>
      </c>
      <c r="B340" s="10" t="s">
        <v>348</v>
      </c>
      <c r="C340" s="11" t="s">
        <v>836</v>
      </c>
      <c r="D340" s="8" t="s">
        <v>805</v>
      </c>
      <c r="E340" s="8" t="s">
        <v>837</v>
      </c>
      <c r="F340" s="8" t="s">
        <v>841</v>
      </c>
      <c r="G340" s="5" t="s">
        <v>61</v>
      </c>
      <c r="H340" s="5" t="n">
        <v>1</v>
      </c>
      <c r="I340" s="8" t="s">
        <v>842</v>
      </c>
      <c r="J340" s="9" t="s">
        <v>843</v>
      </c>
    </row>
    <row r="341" customFormat="false" ht="189.55" hidden="false" customHeight="false" outlineLevel="0" collapsed="false">
      <c r="A341" s="5" t="n">
        <v>336</v>
      </c>
      <c r="B341" s="10" t="s">
        <v>348</v>
      </c>
      <c r="C341" s="11" t="s">
        <v>836</v>
      </c>
      <c r="D341" s="8" t="s">
        <v>805</v>
      </c>
      <c r="E341" s="8" t="s">
        <v>837</v>
      </c>
      <c r="F341" s="8" t="s">
        <v>844</v>
      </c>
      <c r="G341" s="5" t="s">
        <v>35</v>
      </c>
      <c r="H341" s="5" t="n">
        <v>1</v>
      </c>
      <c r="I341" s="8" t="s">
        <v>845</v>
      </c>
      <c r="J341" s="9" t="s">
        <v>846</v>
      </c>
    </row>
    <row r="342" customFormat="false" ht="117.9" hidden="false" customHeight="false" outlineLevel="0" collapsed="false">
      <c r="A342" s="5" t="n">
        <v>337</v>
      </c>
      <c r="B342" s="10" t="s">
        <v>348</v>
      </c>
      <c r="C342" s="11" t="s">
        <v>847</v>
      </c>
      <c r="D342" s="8" t="s">
        <v>805</v>
      </c>
      <c r="E342" s="8" t="s">
        <v>848</v>
      </c>
      <c r="F342" s="8" t="s">
        <v>848</v>
      </c>
      <c r="G342" s="5" t="s">
        <v>57</v>
      </c>
      <c r="H342" s="5" t="n">
        <v>1</v>
      </c>
      <c r="I342" s="8" t="s">
        <v>848</v>
      </c>
      <c r="J342" s="9" t="s">
        <v>849</v>
      </c>
    </row>
    <row r="343" customFormat="false" ht="144.75" hidden="false" customHeight="false" outlineLevel="0" collapsed="false">
      <c r="A343" s="5" t="n">
        <v>338</v>
      </c>
      <c r="B343" s="10" t="s">
        <v>348</v>
      </c>
      <c r="C343" s="11" t="s">
        <v>847</v>
      </c>
      <c r="D343" s="8" t="s">
        <v>805</v>
      </c>
      <c r="E343" s="8" t="s">
        <v>848</v>
      </c>
      <c r="F343" s="8" t="s">
        <v>850</v>
      </c>
      <c r="G343" s="5" t="s">
        <v>18</v>
      </c>
      <c r="H343" s="5" t="n">
        <v>1</v>
      </c>
      <c r="I343" s="8" t="s">
        <v>851</v>
      </c>
      <c r="J343" s="9" t="s">
        <v>852</v>
      </c>
    </row>
    <row r="344" customFormat="false" ht="153.7" hidden="false" customHeight="false" outlineLevel="0" collapsed="false">
      <c r="A344" s="5" t="n">
        <v>339</v>
      </c>
      <c r="B344" s="10" t="s">
        <v>348</v>
      </c>
      <c r="C344" s="11" t="s">
        <v>847</v>
      </c>
      <c r="D344" s="8" t="s">
        <v>805</v>
      </c>
      <c r="E344" s="8" t="s">
        <v>848</v>
      </c>
      <c r="F344" s="8" t="s">
        <v>853</v>
      </c>
      <c r="G344" s="5" t="s">
        <v>35</v>
      </c>
      <c r="H344" s="5" t="n">
        <v>1</v>
      </c>
      <c r="I344" s="8" t="s">
        <v>854</v>
      </c>
      <c r="J344" s="9" t="s">
        <v>855</v>
      </c>
    </row>
    <row r="345" customFormat="false" ht="135.8" hidden="false" customHeight="false" outlineLevel="0" collapsed="false">
      <c r="A345" s="5" t="n">
        <v>340</v>
      </c>
      <c r="B345" s="10" t="s">
        <v>348</v>
      </c>
      <c r="C345" s="11" t="s">
        <v>847</v>
      </c>
      <c r="D345" s="8" t="s">
        <v>805</v>
      </c>
      <c r="E345" s="8" t="s">
        <v>848</v>
      </c>
      <c r="F345" s="8" t="s">
        <v>856</v>
      </c>
      <c r="G345" s="5" t="s">
        <v>57</v>
      </c>
      <c r="H345" s="5" t="n">
        <v>1</v>
      </c>
      <c r="I345" s="8" t="s">
        <v>857</v>
      </c>
      <c r="J345" s="9" t="s">
        <v>858</v>
      </c>
    </row>
    <row r="346" customFormat="false" ht="126.85" hidden="false" customHeight="false" outlineLevel="0" collapsed="false">
      <c r="A346" s="5" t="n">
        <v>341</v>
      </c>
      <c r="B346" s="10" t="s">
        <v>348</v>
      </c>
      <c r="C346" s="11" t="s">
        <v>847</v>
      </c>
      <c r="D346" s="8" t="s">
        <v>805</v>
      </c>
      <c r="E346" s="8" t="s">
        <v>848</v>
      </c>
      <c r="F346" s="8" t="s">
        <v>859</v>
      </c>
      <c r="G346" s="5" t="s">
        <v>57</v>
      </c>
      <c r="H346" s="5" t="n">
        <v>1</v>
      </c>
      <c r="I346" s="8" t="s">
        <v>860</v>
      </c>
      <c r="J346" s="9" t="s">
        <v>861</v>
      </c>
    </row>
    <row r="347" customFormat="false" ht="153.7" hidden="false" customHeight="false" outlineLevel="0" collapsed="false">
      <c r="A347" s="5" t="n">
        <v>342</v>
      </c>
      <c r="B347" s="10" t="s">
        <v>348</v>
      </c>
      <c r="C347" s="11" t="s">
        <v>847</v>
      </c>
      <c r="D347" s="8" t="s">
        <v>805</v>
      </c>
      <c r="E347" s="8" t="s">
        <v>848</v>
      </c>
      <c r="F347" s="8" t="s">
        <v>862</v>
      </c>
      <c r="G347" s="5" t="s">
        <v>57</v>
      </c>
      <c r="H347" s="5" t="n">
        <v>1</v>
      </c>
      <c r="I347" s="8" t="s">
        <v>863</v>
      </c>
      <c r="J347" s="9" t="s">
        <v>864</v>
      </c>
    </row>
    <row r="348" customFormat="false" ht="117.9" hidden="false" customHeight="false" outlineLevel="0" collapsed="false">
      <c r="A348" s="5" t="n">
        <v>343</v>
      </c>
      <c r="B348" s="12" t="s">
        <v>865</v>
      </c>
      <c r="C348" s="13" t="s">
        <v>866</v>
      </c>
      <c r="D348" s="8" t="s">
        <v>867</v>
      </c>
      <c r="E348" s="8" t="s">
        <v>868</v>
      </c>
      <c r="F348" s="8" t="s">
        <v>869</v>
      </c>
      <c r="G348" s="5" t="s">
        <v>57</v>
      </c>
      <c r="H348" s="5" t="n">
        <v>1</v>
      </c>
      <c r="I348" s="8" t="s">
        <v>870</v>
      </c>
      <c r="J348" s="9" t="s">
        <v>871</v>
      </c>
    </row>
    <row r="349" customFormat="false" ht="117.9" hidden="false" customHeight="false" outlineLevel="0" collapsed="false">
      <c r="A349" s="5" t="n">
        <v>344</v>
      </c>
      <c r="B349" s="12" t="s">
        <v>865</v>
      </c>
      <c r="C349" s="13" t="s">
        <v>866</v>
      </c>
      <c r="D349" s="8" t="s">
        <v>867</v>
      </c>
      <c r="E349" s="8" t="s">
        <v>868</v>
      </c>
      <c r="F349" s="8" t="s">
        <v>872</v>
      </c>
      <c r="G349" s="5" t="s">
        <v>57</v>
      </c>
      <c r="H349" s="5" t="n">
        <v>1</v>
      </c>
      <c r="I349" s="8" t="s">
        <v>873</v>
      </c>
      <c r="J349" s="9" t="s">
        <v>874</v>
      </c>
    </row>
    <row r="350" customFormat="false" ht="99.95" hidden="false" customHeight="false" outlineLevel="0" collapsed="false">
      <c r="A350" s="5" t="n">
        <v>345</v>
      </c>
      <c r="B350" s="12" t="s">
        <v>865</v>
      </c>
      <c r="C350" s="13" t="s">
        <v>866</v>
      </c>
      <c r="D350" s="8" t="s">
        <v>867</v>
      </c>
      <c r="E350" s="8" t="s">
        <v>868</v>
      </c>
      <c r="F350" s="8" t="s">
        <v>875</v>
      </c>
      <c r="G350" s="5" t="s">
        <v>57</v>
      </c>
      <c r="H350" s="5" t="n">
        <v>1</v>
      </c>
      <c r="I350" s="8" t="s">
        <v>876</v>
      </c>
      <c r="J350" s="9" t="s">
        <v>877</v>
      </c>
    </row>
    <row r="351" customFormat="false" ht="108.95" hidden="false" customHeight="false" outlineLevel="0" collapsed="false">
      <c r="A351" s="5" t="n">
        <v>346</v>
      </c>
      <c r="B351" s="12" t="s">
        <v>865</v>
      </c>
      <c r="C351" s="13" t="s">
        <v>866</v>
      </c>
      <c r="D351" s="8" t="s">
        <v>867</v>
      </c>
      <c r="E351" s="8" t="s">
        <v>868</v>
      </c>
      <c r="F351" s="8" t="s">
        <v>878</v>
      </c>
      <c r="G351" s="5" t="s">
        <v>57</v>
      </c>
      <c r="H351" s="5" t="n">
        <v>1</v>
      </c>
      <c r="I351" s="8" t="s">
        <v>879</v>
      </c>
      <c r="J351" s="9" t="s">
        <v>880</v>
      </c>
    </row>
    <row r="352" customFormat="false" ht="108.95" hidden="false" customHeight="false" outlineLevel="0" collapsed="false">
      <c r="A352" s="5" t="n">
        <v>347</v>
      </c>
      <c r="B352" s="12" t="s">
        <v>865</v>
      </c>
      <c r="C352" s="13" t="s">
        <v>866</v>
      </c>
      <c r="D352" s="8" t="s">
        <v>867</v>
      </c>
      <c r="E352" s="8" t="s">
        <v>868</v>
      </c>
      <c r="F352" s="8" t="s">
        <v>881</v>
      </c>
      <c r="G352" s="5" t="s">
        <v>57</v>
      </c>
      <c r="H352" s="5" t="n">
        <v>1</v>
      </c>
      <c r="I352" s="8" t="s">
        <v>882</v>
      </c>
      <c r="J352" s="9" t="s">
        <v>883</v>
      </c>
    </row>
    <row r="353" customFormat="false" ht="82.05" hidden="false" customHeight="false" outlineLevel="0" collapsed="false">
      <c r="A353" s="5" t="n">
        <v>348</v>
      </c>
      <c r="B353" s="12" t="s">
        <v>865</v>
      </c>
      <c r="C353" s="13" t="s">
        <v>866</v>
      </c>
      <c r="D353" s="8" t="s">
        <v>867</v>
      </c>
      <c r="E353" s="8" t="s">
        <v>868</v>
      </c>
      <c r="F353" s="8" t="s">
        <v>833</v>
      </c>
      <c r="G353" s="5" t="s">
        <v>57</v>
      </c>
      <c r="H353" s="5" t="n">
        <v>1</v>
      </c>
      <c r="I353" s="8" t="s">
        <v>834</v>
      </c>
      <c r="J353" s="9" t="s">
        <v>884</v>
      </c>
    </row>
    <row r="354" customFormat="false" ht="117.9" hidden="false" customHeight="false" outlineLevel="0" collapsed="false">
      <c r="A354" s="5" t="n">
        <v>349</v>
      </c>
      <c r="B354" s="12" t="s">
        <v>865</v>
      </c>
      <c r="C354" s="13" t="s">
        <v>866</v>
      </c>
      <c r="D354" s="8" t="s">
        <v>867</v>
      </c>
      <c r="E354" s="8" t="s">
        <v>885</v>
      </c>
      <c r="F354" s="8" t="s">
        <v>886</v>
      </c>
      <c r="G354" s="5" t="s">
        <v>57</v>
      </c>
      <c r="H354" s="5" t="n">
        <v>1</v>
      </c>
      <c r="I354" s="8" t="s">
        <v>887</v>
      </c>
      <c r="J354" s="9" t="s">
        <v>888</v>
      </c>
    </row>
    <row r="355" customFormat="false" ht="117.9" hidden="false" customHeight="false" outlineLevel="0" collapsed="false">
      <c r="A355" s="5" t="n">
        <v>350</v>
      </c>
      <c r="B355" s="12" t="s">
        <v>865</v>
      </c>
      <c r="C355" s="13" t="s">
        <v>866</v>
      </c>
      <c r="D355" s="8" t="s">
        <v>867</v>
      </c>
      <c r="E355" s="8" t="s">
        <v>885</v>
      </c>
      <c r="F355" s="8" t="s">
        <v>889</v>
      </c>
      <c r="G355" s="5" t="s">
        <v>57</v>
      </c>
      <c r="H355" s="5" t="n">
        <v>1</v>
      </c>
      <c r="I355" s="8" t="s">
        <v>890</v>
      </c>
      <c r="J355" s="9" t="s">
        <v>891</v>
      </c>
    </row>
    <row r="356" customFormat="false" ht="117.9" hidden="false" customHeight="false" outlineLevel="0" collapsed="false">
      <c r="A356" s="5" t="n">
        <v>351</v>
      </c>
      <c r="B356" s="12" t="s">
        <v>865</v>
      </c>
      <c r="C356" s="13" t="s">
        <v>866</v>
      </c>
      <c r="D356" s="8" t="s">
        <v>867</v>
      </c>
      <c r="E356" s="8" t="s">
        <v>885</v>
      </c>
      <c r="F356" s="8" t="s">
        <v>892</v>
      </c>
      <c r="G356" s="5" t="s">
        <v>57</v>
      </c>
      <c r="H356" s="5" t="n">
        <v>1</v>
      </c>
      <c r="I356" s="8" t="s">
        <v>893</v>
      </c>
      <c r="J356" s="9" t="s">
        <v>894</v>
      </c>
    </row>
    <row r="357" customFormat="false" ht="108.95" hidden="false" customHeight="false" outlineLevel="0" collapsed="false">
      <c r="A357" s="5" t="n">
        <v>352</v>
      </c>
      <c r="B357" s="12" t="s">
        <v>865</v>
      </c>
      <c r="C357" s="13" t="s">
        <v>866</v>
      </c>
      <c r="D357" s="8" t="s">
        <v>867</v>
      </c>
      <c r="E357" s="8" t="s">
        <v>885</v>
      </c>
      <c r="F357" s="8" t="s">
        <v>895</v>
      </c>
      <c r="G357" s="5" t="s">
        <v>57</v>
      </c>
      <c r="H357" s="5" t="n">
        <v>1</v>
      </c>
      <c r="I357" s="8" t="s">
        <v>896</v>
      </c>
      <c r="J357" s="9" t="s">
        <v>897</v>
      </c>
    </row>
    <row r="358" customFormat="false" ht="108.95" hidden="false" customHeight="false" outlineLevel="0" collapsed="false">
      <c r="A358" s="5" t="n">
        <v>353</v>
      </c>
      <c r="B358" s="12" t="s">
        <v>865</v>
      </c>
      <c r="C358" s="13" t="s">
        <v>866</v>
      </c>
      <c r="D358" s="8" t="s">
        <v>867</v>
      </c>
      <c r="E358" s="8" t="s">
        <v>885</v>
      </c>
      <c r="F358" s="8" t="s">
        <v>898</v>
      </c>
      <c r="G358" s="5" t="s">
        <v>57</v>
      </c>
      <c r="H358" s="5" t="n">
        <v>1</v>
      </c>
      <c r="I358" s="8" t="s">
        <v>899</v>
      </c>
      <c r="J358" s="9" t="s">
        <v>900</v>
      </c>
    </row>
    <row r="359" customFormat="false" ht="99.95" hidden="false" customHeight="false" outlineLevel="0" collapsed="false">
      <c r="A359" s="5" t="n">
        <v>354</v>
      </c>
      <c r="B359" s="12" t="s">
        <v>865</v>
      </c>
      <c r="C359" s="13" t="s">
        <v>866</v>
      </c>
      <c r="D359" s="8" t="s">
        <v>867</v>
      </c>
      <c r="E359" s="8" t="s">
        <v>885</v>
      </c>
      <c r="F359" s="8" t="s">
        <v>901</v>
      </c>
      <c r="G359" s="5" t="s">
        <v>57</v>
      </c>
      <c r="H359" s="5" t="n">
        <v>1</v>
      </c>
      <c r="I359" s="8" t="s">
        <v>902</v>
      </c>
      <c r="J359" s="9" t="s">
        <v>903</v>
      </c>
    </row>
    <row r="360" customFormat="false" ht="144.75" hidden="false" customHeight="false" outlineLevel="0" collapsed="false">
      <c r="A360" s="5" t="n">
        <v>355</v>
      </c>
      <c r="B360" s="12" t="s">
        <v>865</v>
      </c>
      <c r="C360" s="13" t="s">
        <v>866</v>
      </c>
      <c r="D360" s="8" t="s">
        <v>867</v>
      </c>
      <c r="E360" s="8" t="s">
        <v>904</v>
      </c>
      <c r="F360" s="8" t="s">
        <v>905</v>
      </c>
      <c r="G360" s="5" t="s">
        <v>57</v>
      </c>
      <c r="H360" s="5" t="n">
        <v>1</v>
      </c>
      <c r="I360" s="8" t="s">
        <v>906</v>
      </c>
      <c r="J360" s="9" t="s">
        <v>907</v>
      </c>
    </row>
    <row r="361" customFormat="false" ht="135.8" hidden="false" customHeight="false" outlineLevel="0" collapsed="false">
      <c r="A361" s="5" t="n">
        <v>356</v>
      </c>
      <c r="B361" s="12" t="s">
        <v>865</v>
      </c>
      <c r="C361" s="13" t="s">
        <v>866</v>
      </c>
      <c r="D361" s="8" t="s">
        <v>867</v>
      </c>
      <c r="E361" s="8" t="s">
        <v>904</v>
      </c>
      <c r="F361" s="8" t="s">
        <v>908</v>
      </c>
      <c r="G361" s="5" t="s">
        <v>57</v>
      </c>
      <c r="H361" s="5" t="n">
        <v>1</v>
      </c>
      <c r="I361" s="8" t="s">
        <v>909</v>
      </c>
      <c r="J361" s="9" t="s">
        <v>910</v>
      </c>
    </row>
    <row r="362" customFormat="false" ht="108.95" hidden="false" customHeight="false" outlineLevel="0" collapsed="false">
      <c r="A362" s="5" t="n">
        <v>357</v>
      </c>
      <c r="B362" s="12" t="s">
        <v>865</v>
      </c>
      <c r="C362" s="13" t="s">
        <v>866</v>
      </c>
      <c r="D362" s="8" t="s">
        <v>867</v>
      </c>
      <c r="E362" s="8" t="s">
        <v>904</v>
      </c>
      <c r="F362" s="8" t="s">
        <v>911</v>
      </c>
      <c r="G362" s="5" t="s">
        <v>57</v>
      </c>
      <c r="H362" s="5" t="n">
        <v>1</v>
      </c>
      <c r="I362" s="8" t="s">
        <v>912</v>
      </c>
      <c r="J362" s="9" t="s">
        <v>913</v>
      </c>
    </row>
    <row r="363" customFormat="false" ht="126.85" hidden="false" customHeight="false" outlineLevel="0" collapsed="false">
      <c r="A363" s="5" t="n">
        <v>358</v>
      </c>
      <c r="B363" s="12" t="s">
        <v>865</v>
      </c>
      <c r="C363" s="13" t="s">
        <v>866</v>
      </c>
      <c r="D363" s="8" t="s">
        <v>867</v>
      </c>
      <c r="E363" s="8" t="s">
        <v>904</v>
      </c>
      <c r="F363" s="8" t="s">
        <v>914</v>
      </c>
      <c r="G363" s="5" t="s">
        <v>57</v>
      </c>
      <c r="H363" s="5" t="n">
        <v>1</v>
      </c>
      <c r="I363" s="8" t="s">
        <v>915</v>
      </c>
      <c r="J363" s="9" t="s">
        <v>916</v>
      </c>
    </row>
    <row r="364" customFormat="false" ht="144.75" hidden="false" customHeight="false" outlineLevel="0" collapsed="false">
      <c r="A364" s="5" t="n">
        <v>359</v>
      </c>
      <c r="B364" s="12" t="s">
        <v>865</v>
      </c>
      <c r="C364" s="13" t="s">
        <v>917</v>
      </c>
      <c r="D364" s="8" t="s">
        <v>918</v>
      </c>
      <c r="E364" s="8" t="s">
        <v>919</v>
      </c>
      <c r="F364" s="8" t="s">
        <v>920</v>
      </c>
      <c r="G364" s="5" t="s">
        <v>57</v>
      </c>
      <c r="H364" s="5" t="n">
        <v>1</v>
      </c>
      <c r="I364" s="8" t="s">
        <v>921</v>
      </c>
      <c r="J364" s="9" t="s">
        <v>922</v>
      </c>
    </row>
    <row r="365" customFormat="false" ht="135.8" hidden="false" customHeight="false" outlineLevel="0" collapsed="false">
      <c r="A365" s="5" t="n">
        <v>360</v>
      </c>
      <c r="B365" s="12" t="s">
        <v>865</v>
      </c>
      <c r="C365" s="13" t="s">
        <v>917</v>
      </c>
      <c r="D365" s="8" t="s">
        <v>918</v>
      </c>
      <c r="E365" s="8" t="s">
        <v>919</v>
      </c>
      <c r="F365" s="8" t="s">
        <v>923</v>
      </c>
      <c r="G365" s="5" t="s">
        <v>57</v>
      </c>
      <c r="H365" s="5" t="n">
        <v>1</v>
      </c>
      <c r="I365" s="8" t="s">
        <v>924</v>
      </c>
      <c r="J365" s="9" t="s">
        <v>925</v>
      </c>
    </row>
    <row r="366" customFormat="false" ht="153.7" hidden="false" customHeight="false" outlineLevel="0" collapsed="false">
      <c r="A366" s="5" t="n">
        <v>361</v>
      </c>
      <c r="B366" s="12" t="s">
        <v>865</v>
      </c>
      <c r="C366" s="13" t="s">
        <v>917</v>
      </c>
      <c r="D366" s="8" t="s">
        <v>918</v>
      </c>
      <c r="E366" s="8" t="s">
        <v>919</v>
      </c>
      <c r="F366" s="8" t="s">
        <v>926</v>
      </c>
      <c r="G366" s="5" t="s">
        <v>57</v>
      </c>
      <c r="H366" s="5" t="n">
        <v>1</v>
      </c>
      <c r="I366" s="8" t="s">
        <v>927</v>
      </c>
      <c r="J366" s="9" t="s">
        <v>928</v>
      </c>
    </row>
    <row r="367" customFormat="false" ht="144.75" hidden="false" customHeight="false" outlineLevel="0" collapsed="false">
      <c r="A367" s="5" t="n">
        <v>362</v>
      </c>
      <c r="B367" s="12" t="s">
        <v>865</v>
      </c>
      <c r="C367" s="13" t="s">
        <v>917</v>
      </c>
      <c r="D367" s="8" t="s">
        <v>918</v>
      </c>
      <c r="E367" s="8" t="s">
        <v>929</v>
      </c>
      <c r="F367" s="8" t="s">
        <v>930</v>
      </c>
      <c r="G367" s="5" t="s">
        <v>57</v>
      </c>
      <c r="H367" s="5" t="n">
        <v>1</v>
      </c>
      <c r="I367" s="8" t="s">
        <v>931</v>
      </c>
      <c r="J367" s="9" t="s">
        <v>932</v>
      </c>
    </row>
    <row r="368" customFormat="false" ht="144.75" hidden="false" customHeight="false" outlineLevel="0" collapsed="false">
      <c r="A368" s="5" t="n">
        <v>363</v>
      </c>
      <c r="B368" s="12" t="s">
        <v>865</v>
      </c>
      <c r="C368" s="13" t="s">
        <v>917</v>
      </c>
      <c r="D368" s="8" t="s">
        <v>918</v>
      </c>
      <c r="E368" s="8" t="s">
        <v>929</v>
      </c>
      <c r="F368" s="8" t="s">
        <v>933</v>
      </c>
      <c r="G368" s="5" t="s">
        <v>57</v>
      </c>
      <c r="H368" s="5" t="n">
        <v>1</v>
      </c>
      <c r="I368" s="8" t="s">
        <v>934</v>
      </c>
      <c r="J368" s="9" t="s">
        <v>935</v>
      </c>
    </row>
    <row r="369" customFormat="false" ht="135.8" hidden="false" customHeight="false" outlineLevel="0" collapsed="false">
      <c r="A369" s="5" t="n">
        <v>364</v>
      </c>
      <c r="B369" s="12" t="s">
        <v>865</v>
      </c>
      <c r="C369" s="13" t="s">
        <v>917</v>
      </c>
      <c r="D369" s="8" t="s">
        <v>918</v>
      </c>
      <c r="E369" s="8" t="s">
        <v>929</v>
      </c>
      <c r="F369" s="8" t="s">
        <v>936</v>
      </c>
      <c r="G369" s="5" t="s">
        <v>57</v>
      </c>
      <c r="H369" s="5" t="n">
        <v>1</v>
      </c>
      <c r="I369" s="8" t="s">
        <v>937</v>
      </c>
      <c r="J369" s="9" t="s">
        <v>938</v>
      </c>
    </row>
    <row r="370" customFormat="false" ht="144.75" hidden="false" customHeight="false" outlineLevel="0" collapsed="false">
      <c r="A370" s="5" t="n">
        <v>365</v>
      </c>
      <c r="B370" s="12" t="s">
        <v>865</v>
      </c>
      <c r="C370" s="13" t="s">
        <v>917</v>
      </c>
      <c r="D370" s="8" t="s">
        <v>918</v>
      </c>
      <c r="E370" s="8" t="s">
        <v>939</v>
      </c>
      <c r="F370" s="8" t="s">
        <v>940</v>
      </c>
      <c r="G370" s="5" t="s">
        <v>57</v>
      </c>
      <c r="H370" s="5" t="n">
        <v>1</v>
      </c>
      <c r="I370" s="8" t="s">
        <v>941</v>
      </c>
      <c r="J370" s="9" t="s">
        <v>942</v>
      </c>
    </row>
    <row r="371" customFormat="false" ht="180.55" hidden="false" customHeight="false" outlineLevel="0" collapsed="false">
      <c r="A371" s="5" t="n">
        <v>366</v>
      </c>
      <c r="B371" s="12" t="s">
        <v>865</v>
      </c>
      <c r="C371" s="13" t="s">
        <v>917</v>
      </c>
      <c r="D371" s="8" t="s">
        <v>918</v>
      </c>
      <c r="E371" s="8" t="s">
        <v>939</v>
      </c>
      <c r="F371" s="8" t="s">
        <v>943</v>
      </c>
      <c r="G371" s="5" t="s">
        <v>57</v>
      </c>
      <c r="H371" s="5" t="n">
        <v>1</v>
      </c>
      <c r="I371" s="8" t="s">
        <v>944</v>
      </c>
      <c r="J371" s="9" t="s">
        <v>945</v>
      </c>
    </row>
    <row r="372" customFormat="false" ht="171.6" hidden="false" customHeight="false" outlineLevel="0" collapsed="false">
      <c r="A372" s="5" t="n">
        <v>367</v>
      </c>
      <c r="B372" s="12" t="s">
        <v>865</v>
      </c>
      <c r="C372" s="13" t="s">
        <v>917</v>
      </c>
      <c r="D372" s="8" t="s">
        <v>918</v>
      </c>
      <c r="E372" s="8" t="s">
        <v>939</v>
      </c>
      <c r="F372" s="8" t="s">
        <v>946</v>
      </c>
      <c r="G372" s="5" t="s">
        <v>57</v>
      </c>
      <c r="H372" s="5" t="n">
        <v>1</v>
      </c>
      <c r="I372" s="8" t="s">
        <v>947</v>
      </c>
      <c r="J372" s="9" t="s">
        <v>948</v>
      </c>
    </row>
    <row r="373" customFormat="false" ht="180.55" hidden="false" customHeight="false" outlineLevel="0" collapsed="false">
      <c r="A373" s="5" t="n">
        <v>368</v>
      </c>
      <c r="B373" s="12" t="s">
        <v>865</v>
      </c>
      <c r="C373" s="13" t="s">
        <v>917</v>
      </c>
      <c r="D373" s="8" t="s">
        <v>918</v>
      </c>
      <c r="E373" s="8" t="s">
        <v>939</v>
      </c>
      <c r="F373" s="8" t="s">
        <v>949</v>
      </c>
      <c r="G373" s="5" t="s">
        <v>57</v>
      </c>
      <c r="H373" s="5" t="n">
        <v>1</v>
      </c>
      <c r="I373" s="8" t="s">
        <v>950</v>
      </c>
      <c r="J373" s="9" t="s">
        <v>951</v>
      </c>
    </row>
    <row r="374" customFormat="false" ht="162.65" hidden="false" customHeight="false" outlineLevel="0" collapsed="false">
      <c r="A374" s="5" t="n">
        <v>369</v>
      </c>
      <c r="B374" s="12" t="s">
        <v>865</v>
      </c>
      <c r="C374" s="13" t="s">
        <v>917</v>
      </c>
      <c r="D374" s="8" t="s">
        <v>918</v>
      </c>
      <c r="E374" s="8" t="s">
        <v>939</v>
      </c>
      <c r="F374" s="8" t="s">
        <v>952</v>
      </c>
      <c r="G374" s="5" t="s">
        <v>57</v>
      </c>
      <c r="H374" s="5" t="n">
        <v>1</v>
      </c>
      <c r="I374" s="8" t="s">
        <v>953</v>
      </c>
      <c r="J374" s="9" t="s">
        <v>954</v>
      </c>
    </row>
    <row r="375" customFormat="false" ht="162.65" hidden="false" customHeight="false" outlineLevel="0" collapsed="false">
      <c r="A375" s="5" t="n">
        <v>370</v>
      </c>
      <c r="B375" s="12" t="s">
        <v>865</v>
      </c>
      <c r="C375" s="13" t="s">
        <v>917</v>
      </c>
      <c r="D375" s="8" t="s">
        <v>918</v>
      </c>
      <c r="E375" s="8" t="s">
        <v>955</v>
      </c>
      <c r="F375" s="8" t="s">
        <v>956</v>
      </c>
      <c r="G375" s="5" t="s">
        <v>61</v>
      </c>
      <c r="H375" s="5" t="n">
        <v>1</v>
      </c>
      <c r="I375" s="8" t="s">
        <v>957</v>
      </c>
      <c r="J375" s="9" t="s">
        <v>958</v>
      </c>
    </row>
    <row r="376" customFormat="false" ht="171.6" hidden="false" customHeight="false" outlineLevel="0" collapsed="false">
      <c r="A376" s="5" t="n">
        <v>371</v>
      </c>
      <c r="B376" s="12" t="s">
        <v>865</v>
      </c>
      <c r="C376" s="13" t="s">
        <v>917</v>
      </c>
      <c r="D376" s="8" t="s">
        <v>918</v>
      </c>
      <c r="E376" s="8" t="s">
        <v>955</v>
      </c>
      <c r="F376" s="8" t="s">
        <v>959</v>
      </c>
      <c r="G376" s="5" t="s">
        <v>61</v>
      </c>
      <c r="H376" s="5" t="n">
        <v>1</v>
      </c>
      <c r="I376" s="8" t="s">
        <v>960</v>
      </c>
      <c r="J376" s="9" t="s">
        <v>961</v>
      </c>
    </row>
    <row r="377" customFormat="false" ht="171.6" hidden="false" customHeight="false" outlineLevel="0" collapsed="false">
      <c r="A377" s="5" t="n">
        <v>372</v>
      </c>
      <c r="B377" s="12" t="s">
        <v>865</v>
      </c>
      <c r="C377" s="13" t="s">
        <v>917</v>
      </c>
      <c r="D377" s="8" t="s">
        <v>918</v>
      </c>
      <c r="E377" s="8" t="s">
        <v>955</v>
      </c>
      <c r="F377" s="8" t="s">
        <v>962</v>
      </c>
      <c r="G377" s="5" t="s">
        <v>61</v>
      </c>
      <c r="H377" s="5" t="n">
        <v>1</v>
      </c>
      <c r="I377" s="8" t="s">
        <v>963</v>
      </c>
      <c r="J377" s="9" t="s">
        <v>964</v>
      </c>
    </row>
    <row r="378" customFormat="false" ht="144.75" hidden="false" customHeight="false" outlineLevel="0" collapsed="false">
      <c r="A378" s="5" t="n">
        <v>373</v>
      </c>
      <c r="B378" s="12" t="s">
        <v>865</v>
      </c>
      <c r="C378" s="13" t="s">
        <v>917</v>
      </c>
      <c r="D378" s="8" t="s">
        <v>918</v>
      </c>
      <c r="E378" s="8" t="s">
        <v>955</v>
      </c>
      <c r="F378" s="8" t="s">
        <v>965</v>
      </c>
      <c r="G378" s="5" t="s">
        <v>61</v>
      </c>
      <c r="H378" s="5" t="n">
        <v>1</v>
      </c>
      <c r="I378" s="8" t="s">
        <v>966</v>
      </c>
      <c r="J378" s="9" t="s">
        <v>967</v>
      </c>
    </row>
    <row r="379" customFormat="false" ht="162.65" hidden="false" customHeight="false" outlineLevel="0" collapsed="false">
      <c r="A379" s="5" t="n">
        <v>374</v>
      </c>
      <c r="B379" s="12" t="s">
        <v>865</v>
      </c>
      <c r="C379" s="13" t="s">
        <v>917</v>
      </c>
      <c r="D379" s="8" t="s">
        <v>918</v>
      </c>
      <c r="E379" s="8" t="s">
        <v>955</v>
      </c>
      <c r="F379" s="8" t="s">
        <v>968</v>
      </c>
      <c r="G379" s="5" t="s">
        <v>57</v>
      </c>
      <c r="H379" s="5" t="n">
        <v>1</v>
      </c>
      <c r="I379" s="8" t="s">
        <v>969</v>
      </c>
      <c r="J379" s="9" t="s">
        <v>970</v>
      </c>
    </row>
    <row r="380" customFormat="false" ht="171.6" hidden="false" customHeight="false" outlineLevel="0" collapsed="false">
      <c r="A380" s="5" t="n">
        <v>375</v>
      </c>
      <c r="B380" s="12" t="s">
        <v>865</v>
      </c>
      <c r="C380" s="13" t="s">
        <v>971</v>
      </c>
      <c r="D380" s="8" t="s">
        <v>972</v>
      </c>
      <c r="E380" s="8" t="s">
        <v>973</v>
      </c>
      <c r="F380" s="8" t="s">
        <v>974</v>
      </c>
      <c r="G380" s="5" t="s">
        <v>57</v>
      </c>
      <c r="H380" s="5" t="n">
        <v>1</v>
      </c>
      <c r="I380" s="8" t="s">
        <v>975</v>
      </c>
      <c r="J380" s="9" t="s">
        <v>976</v>
      </c>
    </row>
    <row r="381" customFormat="false" ht="171.6" hidden="false" customHeight="false" outlineLevel="0" collapsed="false">
      <c r="A381" s="5" t="n">
        <v>376</v>
      </c>
      <c r="B381" s="12" t="s">
        <v>865</v>
      </c>
      <c r="C381" s="13" t="s">
        <v>971</v>
      </c>
      <c r="D381" s="8" t="s">
        <v>972</v>
      </c>
      <c r="E381" s="8" t="s">
        <v>973</v>
      </c>
      <c r="F381" s="8" t="s">
        <v>977</v>
      </c>
      <c r="G381" s="5" t="s">
        <v>57</v>
      </c>
      <c r="H381" s="5" t="n">
        <v>1</v>
      </c>
      <c r="I381" s="8" t="s">
        <v>978</v>
      </c>
      <c r="J381" s="9" t="s">
        <v>979</v>
      </c>
    </row>
    <row r="382" customFormat="false" ht="171.6" hidden="false" customHeight="false" outlineLevel="0" collapsed="false">
      <c r="A382" s="5" t="n">
        <v>377</v>
      </c>
      <c r="B382" s="12" t="s">
        <v>865</v>
      </c>
      <c r="C382" s="13" t="s">
        <v>971</v>
      </c>
      <c r="D382" s="8" t="s">
        <v>972</v>
      </c>
      <c r="E382" s="8" t="s">
        <v>973</v>
      </c>
      <c r="F382" s="8" t="s">
        <v>980</v>
      </c>
      <c r="G382" s="5" t="s">
        <v>57</v>
      </c>
      <c r="H382" s="5" t="n">
        <v>1</v>
      </c>
      <c r="I382" s="8" t="s">
        <v>981</v>
      </c>
      <c r="J382" s="9" t="s">
        <v>982</v>
      </c>
    </row>
    <row r="383" customFormat="false" ht="153.7" hidden="false" customHeight="false" outlineLevel="0" collapsed="false">
      <c r="A383" s="5" t="n">
        <v>378</v>
      </c>
      <c r="B383" s="12" t="s">
        <v>865</v>
      </c>
      <c r="C383" s="13" t="s">
        <v>971</v>
      </c>
      <c r="D383" s="8" t="s">
        <v>972</v>
      </c>
      <c r="E383" s="8" t="s">
        <v>973</v>
      </c>
      <c r="F383" s="8" t="s">
        <v>983</v>
      </c>
      <c r="G383" s="5" t="s">
        <v>57</v>
      </c>
      <c r="H383" s="5" t="n">
        <v>1</v>
      </c>
      <c r="I383" s="8" t="s">
        <v>984</v>
      </c>
      <c r="J383" s="9" t="s">
        <v>985</v>
      </c>
    </row>
    <row r="384" customFormat="false" ht="180.55" hidden="false" customHeight="false" outlineLevel="0" collapsed="false">
      <c r="A384" s="5" t="n">
        <v>379</v>
      </c>
      <c r="B384" s="12" t="s">
        <v>865</v>
      </c>
      <c r="C384" s="13" t="s">
        <v>971</v>
      </c>
      <c r="D384" s="8" t="s">
        <v>972</v>
      </c>
      <c r="E384" s="8" t="s">
        <v>973</v>
      </c>
      <c r="F384" s="8" t="s">
        <v>986</v>
      </c>
      <c r="G384" s="5" t="s">
        <v>57</v>
      </c>
      <c r="H384" s="5" t="n">
        <v>1</v>
      </c>
      <c r="I384" s="8" t="s">
        <v>987</v>
      </c>
      <c r="J384" s="9" t="s">
        <v>988</v>
      </c>
    </row>
    <row r="385" customFormat="false" ht="171.6" hidden="false" customHeight="false" outlineLevel="0" collapsed="false">
      <c r="A385" s="5" t="n">
        <v>380</v>
      </c>
      <c r="B385" s="12" t="s">
        <v>865</v>
      </c>
      <c r="C385" s="13" t="s">
        <v>971</v>
      </c>
      <c r="D385" s="8" t="s">
        <v>972</v>
      </c>
      <c r="E385" s="8" t="s">
        <v>989</v>
      </c>
      <c r="F385" s="8" t="s">
        <v>990</v>
      </c>
      <c r="G385" s="5" t="s">
        <v>57</v>
      </c>
      <c r="H385" s="5" t="n">
        <v>1</v>
      </c>
      <c r="I385" s="8" t="s">
        <v>991</v>
      </c>
      <c r="J385" s="9" t="s">
        <v>992</v>
      </c>
    </row>
    <row r="386" customFormat="false" ht="189.55" hidden="false" customHeight="false" outlineLevel="0" collapsed="false">
      <c r="A386" s="5" t="n">
        <v>381</v>
      </c>
      <c r="B386" s="12" t="s">
        <v>865</v>
      </c>
      <c r="C386" s="13" t="s">
        <v>971</v>
      </c>
      <c r="D386" s="8" t="s">
        <v>972</v>
      </c>
      <c r="E386" s="8" t="s">
        <v>989</v>
      </c>
      <c r="F386" s="8" t="s">
        <v>993</v>
      </c>
      <c r="G386" s="5" t="s">
        <v>57</v>
      </c>
      <c r="H386" s="5" t="n">
        <v>1</v>
      </c>
      <c r="I386" s="8" t="s">
        <v>994</v>
      </c>
      <c r="J386" s="9" t="s">
        <v>995</v>
      </c>
    </row>
    <row r="387" customFormat="false" ht="189.55" hidden="false" customHeight="false" outlineLevel="0" collapsed="false">
      <c r="A387" s="5" t="n">
        <v>382</v>
      </c>
      <c r="B387" s="12" t="s">
        <v>865</v>
      </c>
      <c r="C387" s="13" t="s">
        <v>971</v>
      </c>
      <c r="D387" s="8" t="s">
        <v>972</v>
      </c>
      <c r="E387" s="8" t="s">
        <v>989</v>
      </c>
      <c r="F387" s="8" t="s">
        <v>996</v>
      </c>
      <c r="G387" s="5" t="s">
        <v>57</v>
      </c>
      <c r="H387" s="5" t="n">
        <v>1</v>
      </c>
      <c r="I387" s="8" t="s">
        <v>997</v>
      </c>
      <c r="J387" s="9" t="s">
        <v>998</v>
      </c>
    </row>
    <row r="388" customFormat="false" ht="117.9" hidden="false" customHeight="false" outlineLevel="0" collapsed="false">
      <c r="A388" s="5" t="n">
        <v>383</v>
      </c>
      <c r="B388" s="12" t="s">
        <v>865</v>
      </c>
      <c r="C388" s="13" t="s">
        <v>999</v>
      </c>
      <c r="D388" s="8" t="s">
        <v>1000</v>
      </c>
      <c r="E388" s="8" t="s">
        <v>1001</v>
      </c>
      <c r="F388" s="8" t="s">
        <v>1002</v>
      </c>
      <c r="G388" s="5" t="s">
        <v>53</v>
      </c>
      <c r="H388" s="5" t="n">
        <v>1</v>
      </c>
      <c r="I388" s="8" t="s">
        <v>1003</v>
      </c>
      <c r="J388" s="9" t="s">
        <v>1004</v>
      </c>
    </row>
    <row r="389" customFormat="false" ht="126.85" hidden="false" customHeight="false" outlineLevel="0" collapsed="false">
      <c r="A389" s="5" t="n">
        <v>384</v>
      </c>
      <c r="B389" s="12" t="s">
        <v>865</v>
      </c>
      <c r="C389" s="13" t="s">
        <v>999</v>
      </c>
      <c r="D389" s="8" t="s">
        <v>1000</v>
      </c>
      <c r="E389" s="8" t="s">
        <v>1001</v>
      </c>
      <c r="F389" s="8" t="s">
        <v>1005</v>
      </c>
      <c r="G389" s="5" t="s">
        <v>61</v>
      </c>
      <c r="H389" s="5" t="n">
        <v>1</v>
      </c>
      <c r="I389" s="8" t="s">
        <v>1006</v>
      </c>
      <c r="J389" s="9" t="s">
        <v>1007</v>
      </c>
    </row>
    <row r="390" customFormat="false" ht="126.85" hidden="false" customHeight="false" outlineLevel="0" collapsed="false">
      <c r="A390" s="5" t="n">
        <v>385</v>
      </c>
      <c r="B390" s="12" t="s">
        <v>865</v>
      </c>
      <c r="C390" s="13" t="s">
        <v>999</v>
      </c>
      <c r="D390" s="8" t="s">
        <v>1000</v>
      </c>
      <c r="E390" s="8" t="s">
        <v>1001</v>
      </c>
      <c r="F390" s="8" t="s">
        <v>1008</v>
      </c>
      <c r="G390" s="5" t="s">
        <v>18</v>
      </c>
      <c r="H390" s="5" t="n">
        <v>1</v>
      </c>
      <c r="I390" s="8" t="s">
        <v>1009</v>
      </c>
      <c r="J390" s="9" t="s">
        <v>1010</v>
      </c>
    </row>
    <row r="391" customFormat="false" ht="126.85" hidden="false" customHeight="false" outlineLevel="0" collapsed="false">
      <c r="A391" s="5" t="n">
        <v>386</v>
      </c>
      <c r="B391" s="12" t="s">
        <v>865</v>
      </c>
      <c r="C391" s="13" t="s">
        <v>999</v>
      </c>
      <c r="D391" s="8" t="s">
        <v>1000</v>
      </c>
      <c r="E391" s="8" t="s">
        <v>1001</v>
      </c>
      <c r="F391" s="8" t="s">
        <v>1011</v>
      </c>
      <c r="G391" s="5" t="s">
        <v>35</v>
      </c>
      <c r="H391" s="5" t="n">
        <v>1</v>
      </c>
      <c r="I391" s="8" t="s">
        <v>1012</v>
      </c>
      <c r="J391" s="9" t="s">
        <v>1013</v>
      </c>
    </row>
    <row r="392" customFormat="false" ht="135.8" hidden="false" customHeight="false" outlineLevel="0" collapsed="false">
      <c r="A392" s="5" t="n">
        <v>387</v>
      </c>
      <c r="B392" s="12" t="s">
        <v>865</v>
      </c>
      <c r="C392" s="13" t="s">
        <v>999</v>
      </c>
      <c r="D392" s="8" t="s">
        <v>1000</v>
      </c>
      <c r="E392" s="8" t="s">
        <v>1014</v>
      </c>
      <c r="F392" s="8" t="s">
        <v>1015</v>
      </c>
      <c r="G392" s="5" t="s">
        <v>57</v>
      </c>
      <c r="H392" s="5" t="n">
        <v>1</v>
      </c>
      <c r="I392" s="8" t="s">
        <v>1016</v>
      </c>
      <c r="J392" s="9" t="s">
        <v>1017</v>
      </c>
    </row>
    <row r="393" customFormat="false" ht="126.85" hidden="false" customHeight="false" outlineLevel="0" collapsed="false">
      <c r="A393" s="5" t="n">
        <v>388</v>
      </c>
      <c r="B393" s="12" t="s">
        <v>865</v>
      </c>
      <c r="C393" s="13" t="s">
        <v>999</v>
      </c>
      <c r="D393" s="8" t="s">
        <v>1000</v>
      </c>
      <c r="E393" s="8" t="s">
        <v>1014</v>
      </c>
      <c r="F393" s="8" t="s">
        <v>1018</v>
      </c>
      <c r="G393" s="5" t="s">
        <v>57</v>
      </c>
      <c r="H393" s="5" t="n">
        <v>1</v>
      </c>
      <c r="I393" s="8" t="s">
        <v>1019</v>
      </c>
      <c r="J393" s="9" t="s">
        <v>1020</v>
      </c>
    </row>
    <row r="394" customFormat="false" ht="117.9" hidden="false" customHeight="false" outlineLevel="0" collapsed="false">
      <c r="A394" s="5" t="n">
        <v>389</v>
      </c>
      <c r="B394" s="12" t="s">
        <v>865</v>
      </c>
      <c r="C394" s="13" t="s">
        <v>999</v>
      </c>
      <c r="D394" s="8" t="s">
        <v>1000</v>
      </c>
      <c r="E394" s="8" t="s">
        <v>1014</v>
      </c>
      <c r="F394" s="8" t="s">
        <v>1021</v>
      </c>
      <c r="G394" s="5" t="s">
        <v>57</v>
      </c>
      <c r="H394" s="5" t="n">
        <v>1</v>
      </c>
      <c r="I394" s="8" t="s">
        <v>1022</v>
      </c>
      <c r="J394" s="9" t="s">
        <v>1023</v>
      </c>
    </row>
    <row r="395" customFormat="false" ht="108.95" hidden="false" customHeight="false" outlineLevel="0" collapsed="false">
      <c r="A395" s="5" t="n">
        <v>390</v>
      </c>
      <c r="B395" s="12" t="s">
        <v>865</v>
      </c>
      <c r="C395" s="13" t="s">
        <v>999</v>
      </c>
      <c r="D395" s="8" t="s">
        <v>1000</v>
      </c>
      <c r="E395" s="8" t="s">
        <v>1014</v>
      </c>
      <c r="F395" s="8" t="s">
        <v>1024</v>
      </c>
      <c r="G395" s="5" t="s">
        <v>57</v>
      </c>
      <c r="H395" s="5" t="n">
        <v>1</v>
      </c>
      <c r="I395" s="8" t="s">
        <v>1025</v>
      </c>
      <c r="J395" s="9" t="s">
        <v>1026</v>
      </c>
    </row>
    <row r="396" customFormat="false" ht="171.6" hidden="false" customHeight="false" outlineLevel="0" collapsed="false">
      <c r="A396" s="5" t="n">
        <v>391</v>
      </c>
      <c r="B396" s="12" t="s">
        <v>865</v>
      </c>
      <c r="C396" s="13" t="s">
        <v>999</v>
      </c>
      <c r="D396" s="8" t="s">
        <v>1000</v>
      </c>
      <c r="E396" s="8" t="s">
        <v>1027</v>
      </c>
      <c r="F396" s="8" t="s">
        <v>1028</v>
      </c>
      <c r="G396" s="5" t="s">
        <v>57</v>
      </c>
      <c r="H396" s="5" t="n">
        <v>1</v>
      </c>
      <c r="I396" s="8" t="s">
        <v>1029</v>
      </c>
      <c r="J396" s="9" t="s">
        <v>1030</v>
      </c>
    </row>
    <row r="397" customFormat="false" ht="144.75" hidden="false" customHeight="false" outlineLevel="0" collapsed="false">
      <c r="A397" s="5" t="n">
        <v>392</v>
      </c>
      <c r="B397" s="12" t="s">
        <v>865</v>
      </c>
      <c r="C397" s="13" t="s">
        <v>999</v>
      </c>
      <c r="D397" s="8" t="s">
        <v>1000</v>
      </c>
      <c r="E397" s="8" t="s">
        <v>1027</v>
      </c>
      <c r="F397" s="8" t="s">
        <v>1031</v>
      </c>
      <c r="G397" s="5" t="s">
        <v>57</v>
      </c>
      <c r="H397" s="5" t="n">
        <v>1</v>
      </c>
      <c r="I397" s="8" t="s">
        <v>1032</v>
      </c>
      <c r="J397" s="9" t="s">
        <v>1033</v>
      </c>
    </row>
    <row r="398" customFormat="false" ht="153.7" hidden="false" customHeight="false" outlineLevel="0" collapsed="false">
      <c r="A398" s="5" t="n">
        <v>393</v>
      </c>
      <c r="B398" s="12" t="s">
        <v>865</v>
      </c>
      <c r="C398" s="13" t="s">
        <v>999</v>
      </c>
      <c r="D398" s="8" t="s">
        <v>1000</v>
      </c>
      <c r="E398" s="8" t="s">
        <v>1027</v>
      </c>
      <c r="F398" s="8" t="s">
        <v>1034</v>
      </c>
      <c r="G398" s="5" t="s">
        <v>57</v>
      </c>
      <c r="H398" s="5" t="n">
        <v>1</v>
      </c>
      <c r="I398" s="8" t="s">
        <v>1035</v>
      </c>
      <c r="J398" s="9" t="s">
        <v>1036</v>
      </c>
    </row>
    <row r="399" customFormat="false" ht="162.65" hidden="false" customHeight="false" outlineLevel="0" collapsed="false">
      <c r="A399" s="5" t="n">
        <v>394</v>
      </c>
      <c r="B399" s="12" t="s">
        <v>865</v>
      </c>
      <c r="C399" s="13" t="s">
        <v>999</v>
      </c>
      <c r="D399" s="8" t="s">
        <v>1000</v>
      </c>
      <c r="E399" s="8" t="s">
        <v>1027</v>
      </c>
      <c r="F399" s="8" t="s">
        <v>1037</v>
      </c>
      <c r="G399" s="5" t="s">
        <v>35</v>
      </c>
      <c r="H399" s="5" t="n">
        <v>1</v>
      </c>
      <c r="I399" s="8" t="s">
        <v>1038</v>
      </c>
      <c r="J399" s="9" t="s">
        <v>1039</v>
      </c>
    </row>
    <row r="400" customFormat="false" ht="144.75" hidden="false" customHeight="false" outlineLevel="0" collapsed="false">
      <c r="A400" s="5" t="n">
        <v>395</v>
      </c>
      <c r="B400" s="12" t="s">
        <v>865</v>
      </c>
      <c r="C400" s="13" t="s">
        <v>1040</v>
      </c>
      <c r="D400" s="8" t="s">
        <v>1041</v>
      </c>
      <c r="E400" s="8" t="s">
        <v>1042</v>
      </c>
      <c r="F400" s="8" t="s">
        <v>1043</v>
      </c>
      <c r="G400" s="5" t="s">
        <v>57</v>
      </c>
      <c r="H400" s="5" t="n">
        <v>1</v>
      </c>
      <c r="I400" s="8" t="s">
        <v>1044</v>
      </c>
      <c r="J400" s="9" t="s">
        <v>1045</v>
      </c>
    </row>
    <row r="401" customFormat="false" ht="153.7" hidden="false" customHeight="false" outlineLevel="0" collapsed="false">
      <c r="A401" s="5" t="n">
        <v>396</v>
      </c>
      <c r="B401" s="12" t="s">
        <v>865</v>
      </c>
      <c r="C401" s="13" t="s">
        <v>1040</v>
      </c>
      <c r="D401" s="8" t="s">
        <v>1041</v>
      </c>
      <c r="E401" s="8" t="s">
        <v>1042</v>
      </c>
      <c r="F401" s="8" t="s">
        <v>1046</v>
      </c>
      <c r="G401" s="5" t="s">
        <v>57</v>
      </c>
      <c r="H401" s="5" t="n">
        <v>1</v>
      </c>
      <c r="I401" s="8" t="s">
        <v>1047</v>
      </c>
      <c r="J401" s="9" t="s">
        <v>1048</v>
      </c>
    </row>
    <row r="402" customFormat="false" ht="135.8" hidden="false" customHeight="false" outlineLevel="0" collapsed="false">
      <c r="A402" s="5" t="n">
        <v>397</v>
      </c>
      <c r="B402" s="12" t="s">
        <v>865</v>
      </c>
      <c r="C402" s="13" t="s">
        <v>1040</v>
      </c>
      <c r="D402" s="8" t="s">
        <v>1041</v>
      </c>
      <c r="E402" s="8" t="s">
        <v>1042</v>
      </c>
      <c r="F402" s="8" t="s">
        <v>1049</v>
      </c>
      <c r="G402" s="5" t="s">
        <v>61</v>
      </c>
      <c r="H402" s="5" t="n">
        <v>1</v>
      </c>
      <c r="I402" s="8" t="s">
        <v>1050</v>
      </c>
      <c r="J402" s="9" t="s">
        <v>1051</v>
      </c>
    </row>
    <row r="403" customFormat="false" ht="117.9" hidden="false" customHeight="false" outlineLevel="0" collapsed="false">
      <c r="A403" s="5" t="n">
        <v>398</v>
      </c>
      <c r="B403" s="12" t="s">
        <v>865</v>
      </c>
      <c r="C403" s="13" t="s">
        <v>1040</v>
      </c>
      <c r="D403" s="8" t="s">
        <v>1041</v>
      </c>
      <c r="E403" s="8" t="s">
        <v>1042</v>
      </c>
      <c r="F403" s="8" t="s">
        <v>1052</v>
      </c>
      <c r="G403" s="5" t="s">
        <v>57</v>
      </c>
      <c r="H403" s="5" t="n">
        <v>1</v>
      </c>
      <c r="I403" s="8" t="s">
        <v>1053</v>
      </c>
      <c r="J403" s="9" t="s">
        <v>1054</v>
      </c>
    </row>
    <row r="404" customFormat="false" ht="126.85" hidden="false" customHeight="false" outlineLevel="0" collapsed="false">
      <c r="A404" s="5" t="n">
        <v>399</v>
      </c>
      <c r="B404" s="12" t="s">
        <v>865</v>
      </c>
      <c r="C404" s="13" t="s">
        <v>1040</v>
      </c>
      <c r="D404" s="8" t="s">
        <v>1041</v>
      </c>
      <c r="E404" s="8" t="s">
        <v>1042</v>
      </c>
      <c r="F404" s="8" t="s">
        <v>1055</v>
      </c>
      <c r="G404" s="5" t="s">
        <v>57</v>
      </c>
      <c r="H404" s="5" t="n">
        <v>1</v>
      </c>
      <c r="I404" s="8" t="s">
        <v>1056</v>
      </c>
      <c r="J404" s="9" t="s">
        <v>1057</v>
      </c>
    </row>
    <row r="405" customFormat="false" ht="126.85" hidden="false" customHeight="false" outlineLevel="0" collapsed="false">
      <c r="A405" s="5" t="n">
        <v>400</v>
      </c>
      <c r="B405" s="12" t="s">
        <v>865</v>
      </c>
      <c r="C405" s="13" t="s">
        <v>1040</v>
      </c>
      <c r="D405" s="8" t="s">
        <v>1041</v>
      </c>
      <c r="E405" s="8" t="s">
        <v>1042</v>
      </c>
      <c r="F405" s="8" t="s">
        <v>1058</v>
      </c>
      <c r="G405" s="5" t="s">
        <v>57</v>
      </c>
      <c r="H405" s="5" t="n">
        <v>1</v>
      </c>
      <c r="I405" s="8" t="s">
        <v>1059</v>
      </c>
      <c r="J405" s="9" t="s">
        <v>1060</v>
      </c>
    </row>
    <row r="406" customFormat="false" ht="135.8" hidden="false" customHeight="false" outlineLevel="0" collapsed="false">
      <c r="A406" s="5" t="n">
        <v>401</v>
      </c>
      <c r="B406" s="12" t="s">
        <v>865</v>
      </c>
      <c r="C406" s="13" t="s">
        <v>1040</v>
      </c>
      <c r="D406" s="8" t="s">
        <v>1041</v>
      </c>
      <c r="E406" s="8" t="s">
        <v>1061</v>
      </c>
      <c r="F406" s="8" t="s">
        <v>1062</v>
      </c>
      <c r="G406" s="5" t="s">
        <v>61</v>
      </c>
      <c r="H406" s="5" t="n">
        <v>1</v>
      </c>
      <c r="I406" s="8" t="s">
        <v>1063</v>
      </c>
      <c r="J406" s="9" t="s">
        <v>1064</v>
      </c>
    </row>
    <row r="407" customFormat="false" ht="135.8" hidden="false" customHeight="false" outlineLevel="0" collapsed="false">
      <c r="A407" s="5" t="n">
        <v>402</v>
      </c>
      <c r="B407" s="12" t="s">
        <v>865</v>
      </c>
      <c r="C407" s="13" t="s">
        <v>1040</v>
      </c>
      <c r="D407" s="8" t="s">
        <v>1041</v>
      </c>
      <c r="E407" s="8" t="s">
        <v>1061</v>
      </c>
      <c r="F407" s="8" t="s">
        <v>1065</v>
      </c>
      <c r="G407" s="5" t="s">
        <v>61</v>
      </c>
      <c r="H407" s="5" t="n">
        <v>1</v>
      </c>
      <c r="I407" s="8" t="s">
        <v>1066</v>
      </c>
      <c r="J407" s="9" t="s">
        <v>1067</v>
      </c>
    </row>
    <row r="408" customFormat="false" ht="126.85" hidden="false" customHeight="false" outlineLevel="0" collapsed="false">
      <c r="A408" s="5" t="n">
        <v>403</v>
      </c>
      <c r="B408" s="12" t="s">
        <v>865</v>
      </c>
      <c r="C408" s="13" t="s">
        <v>1040</v>
      </c>
      <c r="D408" s="8" t="s">
        <v>1041</v>
      </c>
      <c r="E408" s="8" t="s">
        <v>1061</v>
      </c>
      <c r="F408" s="8" t="s">
        <v>1068</v>
      </c>
      <c r="G408" s="5" t="s">
        <v>61</v>
      </c>
      <c r="H408" s="5" t="n">
        <v>1</v>
      </c>
      <c r="I408" s="8" t="s">
        <v>1069</v>
      </c>
      <c r="J408" s="9" t="s">
        <v>1070</v>
      </c>
    </row>
    <row r="409" customFormat="false" ht="135.8" hidden="false" customHeight="false" outlineLevel="0" collapsed="false">
      <c r="A409" s="5" t="n">
        <v>404</v>
      </c>
      <c r="B409" s="12" t="s">
        <v>865</v>
      </c>
      <c r="C409" s="13" t="s">
        <v>1040</v>
      </c>
      <c r="D409" s="8" t="s">
        <v>1041</v>
      </c>
      <c r="E409" s="8" t="s">
        <v>1061</v>
      </c>
      <c r="F409" s="8" t="s">
        <v>1071</v>
      </c>
      <c r="G409" s="5" t="s">
        <v>61</v>
      </c>
      <c r="H409" s="5" t="n">
        <v>1</v>
      </c>
      <c r="I409" s="8" t="s">
        <v>1072</v>
      </c>
      <c r="J409" s="9" t="s">
        <v>1073</v>
      </c>
    </row>
    <row r="410" customFormat="false" ht="117.9" hidden="false" customHeight="false" outlineLevel="0" collapsed="false">
      <c r="A410" s="5" t="n">
        <v>405</v>
      </c>
      <c r="B410" s="12" t="s">
        <v>865</v>
      </c>
      <c r="C410" s="13" t="s">
        <v>1040</v>
      </c>
      <c r="D410" s="8" t="s">
        <v>1041</v>
      </c>
      <c r="E410" s="8" t="s">
        <v>1061</v>
      </c>
      <c r="F410" s="8" t="s">
        <v>1074</v>
      </c>
      <c r="G410" s="5" t="s">
        <v>61</v>
      </c>
      <c r="H410" s="5" t="n">
        <v>1</v>
      </c>
      <c r="I410" s="8" t="s">
        <v>1075</v>
      </c>
      <c r="J410" s="9" t="s">
        <v>1076</v>
      </c>
    </row>
    <row r="411" customFormat="false" ht="135.8" hidden="false" customHeight="false" outlineLevel="0" collapsed="false">
      <c r="A411" s="5" t="n">
        <v>406</v>
      </c>
      <c r="B411" s="12" t="s">
        <v>865</v>
      </c>
      <c r="C411" s="13" t="s">
        <v>1040</v>
      </c>
      <c r="D411" s="8" t="s">
        <v>1041</v>
      </c>
      <c r="E411" s="8" t="s">
        <v>1061</v>
      </c>
      <c r="F411" s="8" t="s">
        <v>1077</v>
      </c>
      <c r="G411" s="5" t="s">
        <v>61</v>
      </c>
      <c r="H411" s="5" t="n">
        <v>1</v>
      </c>
      <c r="I411" s="8" t="s">
        <v>1078</v>
      </c>
      <c r="J411" s="9" t="s">
        <v>1079</v>
      </c>
    </row>
    <row r="412" customFormat="false" ht="153.7" hidden="false" customHeight="false" outlineLevel="0" collapsed="false">
      <c r="A412" s="5" t="n">
        <v>407</v>
      </c>
      <c r="B412" s="12" t="s">
        <v>865</v>
      </c>
      <c r="C412" s="13" t="s">
        <v>1040</v>
      </c>
      <c r="D412" s="8" t="s">
        <v>1041</v>
      </c>
      <c r="E412" s="8" t="s">
        <v>1080</v>
      </c>
      <c r="F412" s="8" t="s">
        <v>1081</v>
      </c>
      <c r="G412" s="5" t="s">
        <v>1082</v>
      </c>
      <c r="H412" s="5" t="n">
        <v>1</v>
      </c>
      <c r="I412" s="8" t="s">
        <v>1083</v>
      </c>
      <c r="J412" s="9" t="s">
        <v>1084</v>
      </c>
    </row>
    <row r="413" customFormat="false" ht="135.8" hidden="false" customHeight="false" outlineLevel="0" collapsed="false">
      <c r="A413" s="5" t="n">
        <v>408</v>
      </c>
      <c r="B413" s="12" t="s">
        <v>865</v>
      </c>
      <c r="C413" s="13" t="s">
        <v>1040</v>
      </c>
      <c r="D413" s="8" t="s">
        <v>1041</v>
      </c>
      <c r="E413" s="8" t="s">
        <v>1080</v>
      </c>
      <c r="F413" s="8" t="s">
        <v>1085</v>
      </c>
      <c r="G413" s="5" t="s">
        <v>1082</v>
      </c>
      <c r="H413" s="5" t="n">
        <v>1</v>
      </c>
      <c r="I413" s="8" t="s">
        <v>1086</v>
      </c>
      <c r="J413" s="9" t="s">
        <v>1087</v>
      </c>
    </row>
    <row r="414" customFormat="false" ht="135.8" hidden="false" customHeight="false" outlineLevel="0" collapsed="false">
      <c r="A414" s="5" t="n">
        <v>409</v>
      </c>
      <c r="B414" s="12" t="s">
        <v>865</v>
      </c>
      <c r="C414" s="13" t="s">
        <v>1040</v>
      </c>
      <c r="D414" s="8" t="s">
        <v>1041</v>
      </c>
      <c r="E414" s="8" t="s">
        <v>1080</v>
      </c>
      <c r="F414" s="8" t="s">
        <v>1088</v>
      </c>
      <c r="G414" s="5" t="s">
        <v>57</v>
      </c>
      <c r="H414" s="5" t="n">
        <v>1</v>
      </c>
      <c r="I414" s="8" t="s">
        <v>1089</v>
      </c>
      <c r="J414" s="9" t="s">
        <v>1090</v>
      </c>
    </row>
    <row r="415" customFormat="false" ht="144.75" hidden="false" customHeight="false" outlineLevel="0" collapsed="false">
      <c r="A415" s="5" t="n">
        <v>410</v>
      </c>
      <c r="B415" s="12" t="s">
        <v>865</v>
      </c>
      <c r="C415" s="13" t="s">
        <v>1040</v>
      </c>
      <c r="D415" s="8" t="s">
        <v>1041</v>
      </c>
      <c r="E415" s="8" t="s">
        <v>1080</v>
      </c>
      <c r="F415" s="8" t="s">
        <v>1091</v>
      </c>
      <c r="G415" s="5" t="s">
        <v>1082</v>
      </c>
      <c r="H415" s="5" t="n">
        <v>1</v>
      </c>
      <c r="I415" s="8" t="s">
        <v>1092</v>
      </c>
      <c r="J415" s="9" t="s">
        <v>1093</v>
      </c>
    </row>
    <row r="416" customFormat="false" ht="108.95" hidden="false" customHeight="false" outlineLevel="0" collapsed="false">
      <c r="A416" s="5" t="n">
        <v>411</v>
      </c>
      <c r="B416" s="12" t="s">
        <v>865</v>
      </c>
      <c r="C416" s="13" t="s">
        <v>1040</v>
      </c>
      <c r="D416" s="8" t="s">
        <v>1041</v>
      </c>
      <c r="E416" s="8" t="s">
        <v>1094</v>
      </c>
      <c r="F416" s="8" t="s">
        <v>1095</v>
      </c>
      <c r="G416" s="5" t="s">
        <v>57</v>
      </c>
      <c r="H416" s="5" t="n">
        <v>1</v>
      </c>
      <c r="I416" s="8" t="s">
        <v>1096</v>
      </c>
      <c r="J416" s="9" t="s">
        <v>1097</v>
      </c>
    </row>
    <row r="417" customFormat="false" ht="108.95" hidden="false" customHeight="false" outlineLevel="0" collapsed="false">
      <c r="A417" s="5" t="n">
        <v>412</v>
      </c>
      <c r="B417" s="12" t="s">
        <v>865</v>
      </c>
      <c r="C417" s="13" t="s">
        <v>1040</v>
      </c>
      <c r="D417" s="8" t="s">
        <v>1041</v>
      </c>
      <c r="E417" s="8" t="s">
        <v>1094</v>
      </c>
      <c r="F417" s="8" t="s">
        <v>1098</v>
      </c>
      <c r="G417" s="5" t="s">
        <v>57</v>
      </c>
      <c r="H417" s="5" t="n">
        <v>1</v>
      </c>
      <c r="I417" s="8" t="s">
        <v>1099</v>
      </c>
      <c r="J417" s="9" t="s">
        <v>1100</v>
      </c>
    </row>
    <row r="418" customFormat="false" ht="108.95" hidden="false" customHeight="false" outlineLevel="0" collapsed="false">
      <c r="A418" s="5" t="n">
        <v>413</v>
      </c>
      <c r="B418" s="12" t="s">
        <v>865</v>
      </c>
      <c r="C418" s="13" t="s">
        <v>1040</v>
      </c>
      <c r="D418" s="8" t="s">
        <v>1041</v>
      </c>
      <c r="E418" s="8" t="s">
        <v>1094</v>
      </c>
      <c r="F418" s="8" t="s">
        <v>1101</v>
      </c>
      <c r="G418" s="5" t="s">
        <v>57</v>
      </c>
      <c r="H418" s="5" t="n">
        <v>1</v>
      </c>
      <c r="I418" s="8" t="s">
        <v>1102</v>
      </c>
      <c r="J418" s="9" t="s">
        <v>1103</v>
      </c>
    </row>
    <row r="419" customFormat="false" ht="91" hidden="false" customHeight="false" outlineLevel="0" collapsed="false">
      <c r="A419" s="5" t="n">
        <v>414</v>
      </c>
      <c r="B419" s="12" t="s">
        <v>865</v>
      </c>
      <c r="C419" s="13" t="s">
        <v>1040</v>
      </c>
      <c r="D419" s="8" t="s">
        <v>1041</v>
      </c>
      <c r="E419" s="8" t="s">
        <v>1094</v>
      </c>
      <c r="F419" s="8" t="s">
        <v>1104</v>
      </c>
      <c r="G419" s="5" t="s">
        <v>57</v>
      </c>
      <c r="H419" s="5" t="n">
        <v>1</v>
      </c>
      <c r="I419" s="8" t="s">
        <v>1105</v>
      </c>
      <c r="J419" s="9" t="s">
        <v>1106</v>
      </c>
    </row>
    <row r="420" customFormat="false" ht="126.85" hidden="false" customHeight="false" outlineLevel="0" collapsed="false">
      <c r="A420" s="5" t="n">
        <v>415</v>
      </c>
      <c r="B420" s="12" t="s">
        <v>865</v>
      </c>
      <c r="C420" s="13" t="s">
        <v>1040</v>
      </c>
      <c r="D420" s="8" t="s">
        <v>1041</v>
      </c>
      <c r="E420" s="8" t="s">
        <v>1094</v>
      </c>
      <c r="F420" s="8" t="s">
        <v>1107</v>
      </c>
      <c r="G420" s="5" t="s">
        <v>57</v>
      </c>
      <c r="H420" s="5" t="n">
        <v>1</v>
      </c>
      <c r="I420" s="8" t="s">
        <v>1108</v>
      </c>
      <c r="J420" s="9" t="s">
        <v>1109</v>
      </c>
    </row>
    <row r="421" customFormat="false" ht="162.65" hidden="false" customHeight="false" outlineLevel="0" collapsed="false">
      <c r="A421" s="5" t="n">
        <v>416</v>
      </c>
      <c r="B421" s="12" t="s">
        <v>865</v>
      </c>
      <c r="C421" s="13" t="s">
        <v>1040</v>
      </c>
      <c r="D421" s="8" t="s">
        <v>1041</v>
      </c>
      <c r="E421" s="8" t="s">
        <v>1110</v>
      </c>
      <c r="F421" s="8" t="s">
        <v>1111</v>
      </c>
      <c r="G421" s="5" t="s">
        <v>35</v>
      </c>
      <c r="H421" s="5" t="n">
        <v>1</v>
      </c>
      <c r="I421" s="8" t="s">
        <v>1112</v>
      </c>
      <c r="J421" s="9" t="s">
        <v>1113</v>
      </c>
    </row>
    <row r="422" customFormat="false" ht="162.65" hidden="false" customHeight="false" outlineLevel="0" collapsed="false">
      <c r="A422" s="5" t="n">
        <v>417</v>
      </c>
      <c r="B422" s="12" t="s">
        <v>865</v>
      </c>
      <c r="C422" s="13" t="s">
        <v>1040</v>
      </c>
      <c r="D422" s="8" t="s">
        <v>1041</v>
      </c>
      <c r="E422" s="8" t="s">
        <v>1110</v>
      </c>
      <c r="F422" s="8" t="s">
        <v>1114</v>
      </c>
      <c r="G422" s="5" t="s">
        <v>57</v>
      </c>
      <c r="H422" s="5" t="n">
        <v>1</v>
      </c>
      <c r="I422" s="8" t="s">
        <v>1115</v>
      </c>
      <c r="J422" s="9" t="s">
        <v>1116</v>
      </c>
    </row>
    <row r="423" customFormat="false" ht="171.6" hidden="false" customHeight="false" outlineLevel="0" collapsed="false">
      <c r="A423" s="5" t="n">
        <v>418</v>
      </c>
      <c r="B423" s="12" t="s">
        <v>865</v>
      </c>
      <c r="C423" s="13" t="s">
        <v>1040</v>
      </c>
      <c r="D423" s="8" t="s">
        <v>1041</v>
      </c>
      <c r="E423" s="8" t="s">
        <v>1110</v>
      </c>
      <c r="F423" s="8" t="s">
        <v>1117</v>
      </c>
      <c r="G423" s="5" t="s">
        <v>57</v>
      </c>
      <c r="H423" s="5" t="n">
        <v>1</v>
      </c>
      <c r="I423" s="8" t="s">
        <v>1118</v>
      </c>
      <c r="J423" s="9" t="s">
        <v>1119</v>
      </c>
    </row>
    <row r="424" customFormat="false" ht="162.65" hidden="false" customHeight="false" outlineLevel="0" collapsed="false">
      <c r="A424" s="5" t="n">
        <v>419</v>
      </c>
      <c r="B424" s="12" t="s">
        <v>865</v>
      </c>
      <c r="C424" s="13" t="s">
        <v>1040</v>
      </c>
      <c r="D424" s="8" t="s">
        <v>1041</v>
      </c>
      <c r="E424" s="8" t="s">
        <v>1110</v>
      </c>
      <c r="F424" s="8" t="s">
        <v>1120</v>
      </c>
      <c r="G424" s="5" t="s">
        <v>61</v>
      </c>
      <c r="H424" s="5" t="n">
        <v>1</v>
      </c>
      <c r="I424" s="8" t="s">
        <v>1121</v>
      </c>
      <c r="J424" s="9" t="s">
        <v>1122</v>
      </c>
    </row>
    <row r="425" customFormat="false" ht="126.85" hidden="false" customHeight="false" outlineLevel="0" collapsed="false">
      <c r="A425" s="5" t="n">
        <v>420</v>
      </c>
      <c r="B425" s="12" t="s">
        <v>865</v>
      </c>
      <c r="C425" s="13" t="s">
        <v>1040</v>
      </c>
      <c r="D425" s="8" t="s">
        <v>1041</v>
      </c>
      <c r="E425" s="8" t="s">
        <v>1123</v>
      </c>
      <c r="F425" s="8" t="s">
        <v>1124</v>
      </c>
      <c r="G425" s="5" t="s">
        <v>57</v>
      </c>
      <c r="H425" s="5" t="n">
        <v>1</v>
      </c>
      <c r="I425" s="8" t="s">
        <v>1125</v>
      </c>
      <c r="J425" s="9" t="s">
        <v>1126</v>
      </c>
    </row>
    <row r="426" customFormat="false" ht="171.6" hidden="false" customHeight="false" outlineLevel="0" collapsed="false">
      <c r="A426" s="5" t="n">
        <v>421</v>
      </c>
      <c r="B426" s="12" t="s">
        <v>865</v>
      </c>
      <c r="C426" s="13" t="s">
        <v>1040</v>
      </c>
      <c r="D426" s="8" t="s">
        <v>1041</v>
      </c>
      <c r="E426" s="8" t="s">
        <v>1123</v>
      </c>
      <c r="F426" s="8" t="s">
        <v>1127</v>
      </c>
      <c r="G426" s="5" t="s">
        <v>57</v>
      </c>
      <c r="H426" s="5" t="n">
        <v>1</v>
      </c>
      <c r="I426" s="8" t="s">
        <v>1128</v>
      </c>
      <c r="J426" s="9" t="s">
        <v>1129</v>
      </c>
    </row>
    <row r="427" customFormat="false" ht="99.95" hidden="false" customHeight="false" outlineLevel="0" collapsed="false">
      <c r="A427" s="5" t="n">
        <v>422</v>
      </c>
      <c r="B427" s="12" t="s">
        <v>865</v>
      </c>
      <c r="C427" s="13" t="s">
        <v>1040</v>
      </c>
      <c r="D427" s="8" t="s">
        <v>1041</v>
      </c>
      <c r="E427" s="8" t="s">
        <v>1123</v>
      </c>
      <c r="F427" s="8" t="s">
        <v>1130</v>
      </c>
      <c r="G427" s="5" t="s">
        <v>57</v>
      </c>
      <c r="H427" s="5" t="n">
        <v>1</v>
      </c>
      <c r="I427" s="8" t="s">
        <v>1131</v>
      </c>
      <c r="J427" s="9" t="s">
        <v>1132</v>
      </c>
    </row>
    <row r="428" customFormat="false" ht="135.8" hidden="false" customHeight="false" outlineLevel="0" collapsed="false">
      <c r="A428" s="5" t="n">
        <v>423</v>
      </c>
      <c r="B428" s="12" t="s">
        <v>865</v>
      </c>
      <c r="C428" s="13" t="s">
        <v>1040</v>
      </c>
      <c r="D428" s="8" t="s">
        <v>1041</v>
      </c>
      <c r="E428" s="8" t="s">
        <v>1123</v>
      </c>
      <c r="F428" s="8" t="s">
        <v>1133</v>
      </c>
      <c r="G428" s="5" t="s">
        <v>35</v>
      </c>
      <c r="H428" s="5" t="n">
        <v>1</v>
      </c>
      <c r="I428" s="8" t="s">
        <v>1134</v>
      </c>
      <c r="J428" s="9" t="s">
        <v>1135</v>
      </c>
    </row>
    <row r="429" customFormat="false" ht="153.7" hidden="false" customHeight="false" outlineLevel="0" collapsed="false">
      <c r="A429" s="5" t="n">
        <v>424</v>
      </c>
      <c r="B429" s="12" t="s">
        <v>865</v>
      </c>
      <c r="C429" s="13" t="s">
        <v>1136</v>
      </c>
      <c r="D429" s="8" t="s">
        <v>1137</v>
      </c>
      <c r="E429" s="8" t="s">
        <v>1138</v>
      </c>
      <c r="F429" s="8" t="s">
        <v>1139</v>
      </c>
      <c r="G429" s="5" t="s">
        <v>57</v>
      </c>
      <c r="H429" s="5" t="n">
        <v>1</v>
      </c>
      <c r="I429" s="8" t="s">
        <v>1140</v>
      </c>
      <c r="J429" s="9" t="s">
        <v>1141</v>
      </c>
    </row>
    <row r="430" customFormat="false" ht="135.8" hidden="false" customHeight="false" outlineLevel="0" collapsed="false">
      <c r="A430" s="5" t="n">
        <v>425</v>
      </c>
      <c r="B430" s="12" t="s">
        <v>865</v>
      </c>
      <c r="C430" s="13" t="s">
        <v>1136</v>
      </c>
      <c r="D430" s="8" t="s">
        <v>1137</v>
      </c>
      <c r="E430" s="8" t="s">
        <v>1138</v>
      </c>
      <c r="F430" s="8" t="s">
        <v>1142</v>
      </c>
      <c r="G430" s="5" t="s">
        <v>57</v>
      </c>
      <c r="H430" s="5" t="n">
        <v>1</v>
      </c>
      <c r="I430" s="8" t="s">
        <v>1143</v>
      </c>
      <c r="J430" s="9" t="s">
        <v>1144</v>
      </c>
    </row>
    <row r="431" customFormat="false" ht="126.85" hidden="false" customHeight="false" outlineLevel="0" collapsed="false">
      <c r="A431" s="5" t="n">
        <v>426</v>
      </c>
      <c r="B431" s="12" t="s">
        <v>865</v>
      </c>
      <c r="C431" s="13" t="s">
        <v>1136</v>
      </c>
      <c r="D431" s="8" t="s">
        <v>1137</v>
      </c>
      <c r="E431" s="8" t="s">
        <v>1138</v>
      </c>
      <c r="F431" s="8" t="s">
        <v>1145</v>
      </c>
      <c r="G431" s="5" t="s">
        <v>57</v>
      </c>
      <c r="H431" s="5" t="n">
        <v>1</v>
      </c>
      <c r="I431" s="8" t="s">
        <v>1146</v>
      </c>
      <c r="J431" s="9" t="s">
        <v>1147</v>
      </c>
    </row>
    <row r="432" customFormat="false" ht="135.8" hidden="false" customHeight="false" outlineLevel="0" collapsed="false">
      <c r="A432" s="5" t="n">
        <v>427</v>
      </c>
      <c r="B432" s="12" t="s">
        <v>865</v>
      </c>
      <c r="C432" s="13" t="s">
        <v>1136</v>
      </c>
      <c r="D432" s="8" t="s">
        <v>1137</v>
      </c>
      <c r="E432" s="8" t="s">
        <v>1138</v>
      </c>
      <c r="F432" s="8" t="s">
        <v>1148</v>
      </c>
      <c r="G432" s="5" t="s">
        <v>57</v>
      </c>
      <c r="H432" s="5" t="n">
        <v>1</v>
      </c>
      <c r="I432" s="8" t="s">
        <v>1149</v>
      </c>
      <c r="J432" s="9" t="s">
        <v>1150</v>
      </c>
    </row>
    <row r="433" customFormat="false" ht="117.9" hidden="false" customHeight="false" outlineLevel="0" collapsed="false">
      <c r="A433" s="5" t="n">
        <v>428</v>
      </c>
      <c r="B433" s="12" t="s">
        <v>865</v>
      </c>
      <c r="C433" s="13" t="s">
        <v>1136</v>
      </c>
      <c r="D433" s="8" t="s">
        <v>1137</v>
      </c>
      <c r="E433" s="8" t="s">
        <v>1151</v>
      </c>
      <c r="F433" s="8" t="s">
        <v>1152</v>
      </c>
      <c r="G433" s="5" t="s">
        <v>57</v>
      </c>
      <c r="H433" s="5" t="n">
        <v>1</v>
      </c>
      <c r="I433" s="8" t="s">
        <v>1153</v>
      </c>
      <c r="J433" s="9" t="s">
        <v>1154</v>
      </c>
    </row>
    <row r="434" customFormat="false" ht="117.9" hidden="false" customHeight="false" outlineLevel="0" collapsed="false">
      <c r="A434" s="5" t="n">
        <v>429</v>
      </c>
      <c r="B434" s="12" t="s">
        <v>865</v>
      </c>
      <c r="C434" s="13" t="s">
        <v>1136</v>
      </c>
      <c r="D434" s="8" t="s">
        <v>1137</v>
      </c>
      <c r="E434" s="8" t="s">
        <v>1151</v>
      </c>
      <c r="F434" s="8" t="s">
        <v>1155</v>
      </c>
      <c r="G434" s="5" t="s">
        <v>57</v>
      </c>
      <c r="H434" s="5" t="n">
        <v>1</v>
      </c>
      <c r="I434" s="8" t="s">
        <v>1156</v>
      </c>
      <c r="J434" s="9" t="s">
        <v>1157</v>
      </c>
    </row>
    <row r="435" customFormat="false" ht="126.85" hidden="false" customHeight="false" outlineLevel="0" collapsed="false">
      <c r="A435" s="5" t="n">
        <v>430</v>
      </c>
      <c r="B435" s="12" t="s">
        <v>865</v>
      </c>
      <c r="C435" s="13" t="s">
        <v>1136</v>
      </c>
      <c r="D435" s="8" t="s">
        <v>1137</v>
      </c>
      <c r="E435" s="8" t="s">
        <v>1151</v>
      </c>
      <c r="F435" s="8" t="s">
        <v>1158</v>
      </c>
      <c r="G435" s="5" t="s">
        <v>57</v>
      </c>
      <c r="H435" s="5" t="n">
        <v>1</v>
      </c>
      <c r="I435" s="8" t="s">
        <v>1159</v>
      </c>
      <c r="J435" s="9" t="s">
        <v>1160</v>
      </c>
    </row>
    <row r="436" customFormat="false" ht="99.95" hidden="false" customHeight="false" outlineLevel="0" collapsed="false">
      <c r="A436" s="5" t="n">
        <v>431</v>
      </c>
      <c r="B436" s="12" t="s">
        <v>865</v>
      </c>
      <c r="C436" s="13" t="s">
        <v>1136</v>
      </c>
      <c r="D436" s="8" t="s">
        <v>1137</v>
      </c>
      <c r="E436" s="8" t="s">
        <v>1151</v>
      </c>
      <c r="F436" s="8" t="s">
        <v>1161</v>
      </c>
      <c r="G436" s="5" t="s">
        <v>57</v>
      </c>
      <c r="H436" s="5" t="n">
        <v>1</v>
      </c>
      <c r="I436" s="8" t="s">
        <v>1162</v>
      </c>
      <c r="J436" s="9" t="s">
        <v>1163</v>
      </c>
    </row>
    <row r="437" customFormat="false" ht="162.65" hidden="false" customHeight="false" outlineLevel="0" collapsed="false">
      <c r="A437" s="5" t="n">
        <v>432</v>
      </c>
      <c r="B437" s="12" t="s">
        <v>865</v>
      </c>
      <c r="C437" s="13" t="s">
        <v>1136</v>
      </c>
      <c r="D437" s="8" t="s">
        <v>1137</v>
      </c>
      <c r="E437" s="8" t="s">
        <v>1164</v>
      </c>
      <c r="F437" s="8" t="s">
        <v>1165</v>
      </c>
      <c r="G437" s="5" t="s">
        <v>1082</v>
      </c>
      <c r="H437" s="5" t="n">
        <v>1</v>
      </c>
      <c r="I437" s="8" t="s">
        <v>1166</v>
      </c>
      <c r="J437" s="9" t="s">
        <v>1167</v>
      </c>
    </row>
    <row r="438" customFormat="false" ht="144.75" hidden="false" customHeight="false" outlineLevel="0" collapsed="false">
      <c r="A438" s="5" t="n">
        <v>433</v>
      </c>
      <c r="B438" s="12" t="s">
        <v>865</v>
      </c>
      <c r="C438" s="13" t="s">
        <v>1136</v>
      </c>
      <c r="D438" s="8" t="s">
        <v>1137</v>
      </c>
      <c r="E438" s="8" t="s">
        <v>1164</v>
      </c>
      <c r="F438" s="8" t="s">
        <v>1168</v>
      </c>
      <c r="G438" s="5" t="s">
        <v>57</v>
      </c>
      <c r="H438" s="5" t="n">
        <v>1</v>
      </c>
      <c r="I438" s="8" t="s">
        <v>1169</v>
      </c>
      <c r="J438" s="9" t="s">
        <v>1170</v>
      </c>
    </row>
    <row r="439" customFormat="false" ht="144.75" hidden="false" customHeight="false" outlineLevel="0" collapsed="false">
      <c r="A439" s="5" t="n">
        <v>434</v>
      </c>
      <c r="B439" s="12" t="s">
        <v>865</v>
      </c>
      <c r="C439" s="13" t="s">
        <v>1136</v>
      </c>
      <c r="D439" s="8" t="s">
        <v>1137</v>
      </c>
      <c r="E439" s="8" t="s">
        <v>1164</v>
      </c>
      <c r="F439" s="8" t="s">
        <v>1171</v>
      </c>
      <c r="G439" s="5" t="s">
        <v>57</v>
      </c>
      <c r="H439" s="5" t="n">
        <v>1</v>
      </c>
      <c r="I439" s="8" t="s">
        <v>1172</v>
      </c>
      <c r="J439" s="9" t="s">
        <v>1173</v>
      </c>
    </row>
    <row r="440" customFormat="false" ht="144.75" hidden="false" customHeight="false" outlineLevel="0" collapsed="false">
      <c r="A440" s="5" t="n">
        <v>435</v>
      </c>
      <c r="B440" s="12" t="s">
        <v>865</v>
      </c>
      <c r="C440" s="13" t="s">
        <v>1136</v>
      </c>
      <c r="D440" s="8" t="s">
        <v>1137</v>
      </c>
      <c r="E440" s="8" t="s">
        <v>1164</v>
      </c>
      <c r="F440" s="8" t="s">
        <v>1174</v>
      </c>
      <c r="G440" s="5" t="s">
        <v>1082</v>
      </c>
      <c r="H440" s="5" t="n">
        <v>1</v>
      </c>
      <c r="I440" s="8" t="s">
        <v>1175</v>
      </c>
      <c r="J440" s="9" t="s">
        <v>1176</v>
      </c>
    </row>
    <row r="441" customFormat="false" ht="135.8" hidden="false" customHeight="false" outlineLevel="0" collapsed="false">
      <c r="A441" s="5" t="n">
        <v>436</v>
      </c>
      <c r="B441" s="12" t="s">
        <v>865</v>
      </c>
      <c r="C441" s="13" t="s">
        <v>1136</v>
      </c>
      <c r="D441" s="8" t="s">
        <v>1137</v>
      </c>
      <c r="E441" s="8" t="s">
        <v>1164</v>
      </c>
      <c r="F441" s="8" t="s">
        <v>1177</v>
      </c>
      <c r="G441" s="5" t="s">
        <v>57</v>
      </c>
      <c r="H441" s="5" t="n">
        <v>1</v>
      </c>
      <c r="I441" s="8" t="s">
        <v>1178</v>
      </c>
      <c r="J441" s="9" t="s">
        <v>1179</v>
      </c>
    </row>
    <row r="442" customFormat="false" ht="180.55" hidden="false" customHeight="false" outlineLevel="0" collapsed="false">
      <c r="A442" s="5" t="n">
        <v>437</v>
      </c>
      <c r="B442" s="12" t="s">
        <v>865</v>
      </c>
      <c r="C442" s="13" t="s">
        <v>1136</v>
      </c>
      <c r="D442" s="8" t="s">
        <v>1137</v>
      </c>
      <c r="E442" s="8" t="s">
        <v>1180</v>
      </c>
      <c r="F442" s="8" t="s">
        <v>1181</v>
      </c>
      <c r="G442" s="5" t="s">
        <v>35</v>
      </c>
      <c r="H442" s="5" t="n">
        <v>1</v>
      </c>
      <c r="I442" s="8" t="s">
        <v>1182</v>
      </c>
      <c r="J442" s="9" t="s">
        <v>1183</v>
      </c>
    </row>
    <row r="443" customFormat="false" ht="135.8" hidden="false" customHeight="false" outlineLevel="0" collapsed="false">
      <c r="A443" s="5" t="n">
        <v>438</v>
      </c>
      <c r="B443" s="12" t="s">
        <v>865</v>
      </c>
      <c r="C443" s="13" t="s">
        <v>1136</v>
      </c>
      <c r="D443" s="8" t="s">
        <v>1137</v>
      </c>
      <c r="E443" s="8" t="s">
        <v>1180</v>
      </c>
      <c r="F443" s="8" t="s">
        <v>1184</v>
      </c>
      <c r="G443" s="5" t="s">
        <v>57</v>
      </c>
      <c r="H443" s="5" t="n">
        <v>1</v>
      </c>
      <c r="I443" s="8" t="s">
        <v>1185</v>
      </c>
      <c r="J443" s="9" t="s">
        <v>1186</v>
      </c>
    </row>
    <row r="444" customFormat="false" ht="162.65" hidden="false" customHeight="false" outlineLevel="0" collapsed="false">
      <c r="A444" s="5" t="n">
        <v>439</v>
      </c>
      <c r="B444" s="12" t="s">
        <v>865</v>
      </c>
      <c r="C444" s="13" t="s">
        <v>1136</v>
      </c>
      <c r="D444" s="8" t="s">
        <v>1137</v>
      </c>
      <c r="E444" s="8" t="s">
        <v>1180</v>
      </c>
      <c r="F444" s="8" t="s">
        <v>1187</v>
      </c>
      <c r="G444" s="5" t="s">
        <v>35</v>
      </c>
      <c r="H444" s="5" t="n">
        <v>1</v>
      </c>
      <c r="I444" s="8" t="s">
        <v>1188</v>
      </c>
      <c r="J444" s="9" t="s">
        <v>1189</v>
      </c>
    </row>
    <row r="445" customFormat="false" ht="162.65" hidden="false" customHeight="false" outlineLevel="0" collapsed="false">
      <c r="A445" s="5" t="n">
        <v>440</v>
      </c>
      <c r="B445" s="12" t="s">
        <v>865</v>
      </c>
      <c r="C445" s="13" t="s">
        <v>1136</v>
      </c>
      <c r="D445" s="8" t="s">
        <v>1137</v>
      </c>
      <c r="E445" s="8" t="s">
        <v>1180</v>
      </c>
      <c r="F445" s="8" t="s">
        <v>1190</v>
      </c>
      <c r="G445" s="5" t="s">
        <v>57</v>
      </c>
      <c r="H445" s="5" t="n">
        <v>1</v>
      </c>
      <c r="I445" s="8" t="s">
        <v>1191</v>
      </c>
      <c r="J445" s="9" t="s">
        <v>1192</v>
      </c>
    </row>
    <row r="446" customFormat="false" ht="171.6" hidden="false" customHeight="false" outlineLevel="0" collapsed="false">
      <c r="A446" s="5" t="n">
        <v>441</v>
      </c>
      <c r="B446" s="12" t="s">
        <v>865</v>
      </c>
      <c r="C446" s="13" t="s">
        <v>1136</v>
      </c>
      <c r="D446" s="8" t="s">
        <v>1137</v>
      </c>
      <c r="E446" s="8" t="s">
        <v>1180</v>
      </c>
      <c r="F446" s="8" t="s">
        <v>1193</v>
      </c>
      <c r="G446" s="5" t="s">
        <v>35</v>
      </c>
      <c r="H446" s="5" t="n">
        <v>1</v>
      </c>
      <c r="I446" s="8" t="s">
        <v>1194</v>
      </c>
      <c r="J446" s="9" t="s">
        <v>1195</v>
      </c>
    </row>
    <row r="447" customFormat="false" ht="144.75" hidden="false" customHeight="false" outlineLevel="0" collapsed="false">
      <c r="A447" s="5" t="n">
        <v>442</v>
      </c>
      <c r="B447" s="12" t="s">
        <v>865</v>
      </c>
      <c r="C447" s="13" t="s">
        <v>1136</v>
      </c>
      <c r="D447" s="8" t="s">
        <v>1137</v>
      </c>
      <c r="E447" s="8" t="s">
        <v>1196</v>
      </c>
      <c r="F447" s="8" t="s">
        <v>1197</v>
      </c>
      <c r="G447" s="5" t="s">
        <v>57</v>
      </c>
      <c r="H447" s="5" t="n">
        <v>1</v>
      </c>
      <c r="I447" s="8" t="s">
        <v>1198</v>
      </c>
      <c r="J447" s="9" t="s">
        <v>1199</v>
      </c>
    </row>
    <row r="448" customFormat="false" ht="144.75" hidden="false" customHeight="false" outlineLevel="0" collapsed="false">
      <c r="A448" s="5" t="n">
        <v>443</v>
      </c>
      <c r="B448" s="12" t="s">
        <v>865</v>
      </c>
      <c r="C448" s="13" t="s">
        <v>1136</v>
      </c>
      <c r="D448" s="8" t="s">
        <v>1137</v>
      </c>
      <c r="E448" s="8" t="s">
        <v>1196</v>
      </c>
      <c r="F448" s="8" t="s">
        <v>1200</v>
      </c>
      <c r="G448" s="5" t="s">
        <v>57</v>
      </c>
      <c r="H448" s="5" t="n">
        <v>1</v>
      </c>
      <c r="I448" s="8" t="s">
        <v>1201</v>
      </c>
      <c r="J448" s="9" t="s">
        <v>1202</v>
      </c>
    </row>
    <row r="449" customFormat="false" ht="135.8" hidden="false" customHeight="false" outlineLevel="0" collapsed="false">
      <c r="A449" s="5" t="n">
        <v>444</v>
      </c>
      <c r="B449" s="12" t="s">
        <v>865</v>
      </c>
      <c r="C449" s="13" t="s">
        <v>1203</v>
      </c>
      <c r="D449" s="8" t="s">
        <v>1204</v>
      </c>
      <c r="E449" s="8" t="s">
        <v>1205</v>
      </c>
      <c r="F449" s="8" t="s">
        <v>1206</v>
      </c>
      <c r="G449" s="5" t="s">
        <v>61</v>
      </c>
      <c r="H449" s="5" t="n">
        <v>1</v>
      </c>
      <c r="I449" s="8" t="s">
        <v>1207</v>
      </c>
      <c r="J449" s="9" t="s">
        <v>1208</v>
      </c>
    </row>
    <row r="450" customFormat="false" ht="135.8" hidden="false" customHeight="false" outlineLevel="0" collapsed="false">
      <c r="A450" s="5" t="n">
        <v>445</v>
      </c>
      <c r="B450" s="12" t="s">
        <v>865</v>
      </c>
      <c r="C450" s="13" t="s">
        <v>1203</v>
      </c>
      <c r="D450" s="8" t="s">
        <v>1204</v>
      </c>
      <c r="E450" s="8" t="s">
        <v>1205</v>
      </c>
      <c r="F450" s="8" t="s">
        <v>1209</v>
      </c>
      <c r="G450" s="5" t="s">
        <v>61</v>
      </c>
      <c r="H450" s="5" t="n">
        <v>1</v>
      </c>
      <c r="I450" s="8" t="s">
        <v>1210</v>
      </c>
      <c r="J450" s="9" t="s">
        <v>1211</v>
      </c>
    </row>
    <row r="451" customFormat="false" ht="117.9" hidden="false" customHeight="false" outlineLevel="0" collapsed="false">
      <c r="A451" s="5" t="n">
        <v>446</v>
      </c>
      <c r="B451" s="12" t="s">
        <v>865</v>
      </c>
      <c r="C451" s="13" t="s">
        <v>1203</v>
      </c>
      <c r="D451" s="8" t="s">
        <v>1204</v>
      </c>
      <c r="E451" s="8" t="s">
        <v>1205</v>
      </c>
      <c r="F451" s="8" t="s">
        <v>965</v>
      </c>
      <c r="G451" s="5" t="s">
        <v>61</v>
      </c>
      <c r="H451" s="5" t="n">
        <v>1</v>
      </c>
      <c r="I451" s="8" t="s">
        <v>966</v>
      </c>
      <c r="J451" s="9" t="s">
        <v>1212</v>
      </c>
    </row>
    <row r="452" customFormat="false" ht="126.85" hidden="false" customHeight="false" outlineLevel="0" collapsed="false">
      <c r="A452" s="5" t="n">
        <v>447</v>
      </c>
      <c r="B452" s="12" t="s">
        <v>865</v>
      </c>
      <c r="C452" s="13" t="s">
        <v>1203</v>
      </c>
      <c r="D452" s="8" t="s">
        <v>1204</v>
      </c>
      <c r="E452" s="8" t="s">
        <v>1205</v>
      </c>
      <c r="F452" s="8" t="s">
        <v>1213</v>
      </c>
      <c r="G452" s="5" t="s">
        <v>57</v>
      </c>
      <c r="H452" s="5" t="n">
        <v>1</v>
      </c>
      <c r="I452" s="8" t="s">
        <v>1214</v>
      </c>
      <c r="J452" s="9" t="s">
        <v>1215</v>
      </c>
    </row>
    <row r="453" customFormat="false" ht="126.85" hidden="false" customHeight="false" outlineLevel="0" collapsed="false">
      <c r="A453" s="5" t="n">
        <v>448</v>
      </c>
      <c r="B453" s="12" t="s">
        <v>865</v>
      </c>
      <c r="C453" s="13" t="s">
        <v>1203</v>
      </c>
      <c r="D453" s="8" t="s">
        <v>1204</v>
      </c>
      <c r="E453" s="8" t="s">
        <v>1205</v>
      </c>
      <c r="F453" s="8" t="s">
        <v>1216</v>
      </c>
      <c r="G453" s="5" t="s">
        <v>57</v>
      </c>
      <c r="H453" s="5" t="n">
        <v>1</v>
      </c>
      <c r="I453" s="8" t="s">
        <v>1217</v>
      </c>
      <c r="J453" s="9" t="s">
        <v>1218</v>
      </c>
    </row>
    <row r="454" customFormat="false" ht="135.8" hidden="false" customHeight="false" outlineLevel="0" collapsed="false">
      <c r="A454" s="5" t="n">
        <v>449</v>
      </c>
      <c r="B454" s="12" t="s">
        <v>865</v>
      </c>
      <c r="C454" s="13" t="s">
        <v>1203</v>
      </c>
      <c r="D454" s="8" t="s">
        <v>1204</v>
      </c>
      <c r="E454" s="8" t="s">
        <v>1219</v>
      </c>
      <c r="F454" s="8" t="s">
        <v>1220</v>
      </c>
      <c r="G454" s="5" t="s">
        <v>57</v>
      </c>
      <c r="H454" s="5" t="n">
        <v>1</v>
      </c>
      <c r="I454" s="8" t="s">
        <v>1221</v>
      </c>
      <c r="J454" s="9" t="s">
        <v>1222</v>
      </c>
    </row>
    <row r="455" customFormat="false" ht="144.75" hidden="false" customHeight="false" outlineLevel="0" collapsed="false">
      <c r="A455" s="5" t="n">
        <v>450</v>
      </c>
      <c r="B455" s="12" t="s">
        <v>865</v>
      </c>
      <c r="C455" s="13" t="s">
        <v>1203</v>
      </c>
      <c r="D455" s="8" t="s">
        <v>1204</v>
      </c>
      <c r="E455" s="8" t="s">
        <v>1219</v>
      </c>
      <c r="F455" s="8" t="s">
        <v>1223</v>
      </c>
      <c r="G455" s="5" t="s">
        <v>57</v>
      </c>
      <c r="H455" s="5" t="n">
        <v>1</v>
      </c>
      <c r="I455" s="8" t="s">
        <v>1224</v>
      </c>
      <c r="J455" s="9" t="s">
        <v>1225</v>
      </c>
    </row>
    <row r="456" customFormat="false" ht="144.75" hidden="false" customHeight="false" outlineLevel="0" collapsed="false">
      <c r="A456" s="5" t="n">
        <v>451</v>
      </c>
      <c r="B456" s="12" t="s">
        <v>865</v>
      </c>
      <c r="C456" s="13" t="s">
        <v>1203</v>
      </c>
      <c r="D456" s="8" t="s">
        <v>1204</v>
      </c>
      <c r="E456" s="8" t="s">
        <v>1219</v>
      </c>
      <c r="F456" s="8" t="s">
        <v>1226</v>
      </c>
      <c r="G456" s="5" t="s">
        <v>57</v>
      </c>
      <c r="H456" s="5" t="n">
        <v>1</v>
      </c>
      <c r="I456" s="8" t="s">
        <v>1227</v>
      </c>
      <c r="J456" s="9" t="s">
        <v>1228</v>
      </c>
    </row>
    <row r="457" customFormat="false" ht="144.75" hidden="false" customHeight="false" outlineLevel="0" collapsed="false">
      <c r="A457" s="5" t="n">
        <v>452</v>
      </c>
      <c r="B457" s="12" t="s">
        <v>865</v>
      </c>
      <c r="C457" s="13" t="s">
        <v>1203</v>
      </c>
      <c r="D457" s="8" t="s">
        <v>1204</v>
      </c>
      <c r="E457" s="8" t="s">
        <v>1219</v>
      </c>
      <c r="F457" s="8" t="s">
        <v>1229</v>
      </c>
      <c r="G457" s="5" t="s">
        <v>57</v>
      </c>
      <c r="H457" s="5" t="n">
        <v>1</v>
      </c>
      <c r="I457" s="8" t="s">
        <v>1230</v>
      </c>
      <c r="J457" s="9" t="s">
        <v>1231</v>
      </c>
    </row>
    <row r="458" customFormat="false" ht="144.75" hidden="false" customHeight="false" outlineLevel="0" collapsed="false">
      <c r="A458" s="5" t="n">
        <v>453</v>
      </c>
      <c r="B458" s="12" t="s">
        <v>865</v>
      </c>
      <c r="C458" s="13" t="s">
        <v>1203</v>
      </c>
      <c r="D458" s="8" t="s">
        <v>1204</v>
      </c>
      <c r="E458" s="8" t="s">
        <v>1219</v>
      </c>
      <c r="F458" s="8" t="s">
        <v>1232</v>
      </c>
      <c r="G458" s="5" t="s">
        <v>35</v>
      </c>
      <c r="H458" s="5" t="n">
        <v>1</v>
      </c>
      <c r="I458" s="8" t="s">
        <v>1233</v>
      </c>
      <c r="J458" s="9" t="s">
        <v>1234</v>
      </c>
    </row>
    <row r="459" customFormat="false" ht="91" hidden="false" customHeight="false" outlineLevel="0" collapsed="false">
      <c r="A459" s="5" t="n">
        <v>454</v>
      </c>
      <c r="B459" s="12" t="s">
        <v>865</v>
      </c>
      <c r="C459" s="13" t="s">
        <v>1203</v>
      </c>
      <c r="D459" s="8" t="s">
        <v>1204</v>
      </c>
      <c r="E459" s="8" t="s">
        <v>1235</v>
      </c>
      <c r="F459" s="8" t="s">
        <v>1236</v>
      </c>
      <c r="G459" s="5" t="s">
        <v>61</v>
      </c>
      <c r="H459" s="5" t="n">
        <v>1</v>
      </c>
      <c r="I459" s="8" t="s">
        <v>1237</v>
      </c>
      <c r="J459" s="9" t="s">
        <v>1238</v>
      </c>
    </row>
    <row r="460" customFormat="false" ht="108.95" hidden="false" customHeight="false" outlineLevel="0" collapsed="false">
      <c r="A460" s="5" t="n">
        <v>455</v>
      </c>
      <c r="B460" s="12" t="s">
        <v>865</v>
      </c>
      <c r="C460" s="13" t="s">
        <v>1203</v>
      </c>
      <c r="D460" s="8" t="s">
        <v>1204</v>
      </c>
      <c r="E460" s="8" t="s">
        <v>1235</v>
      </c>
      <c r="F460" s="8" t="s">
        <v>1239</v>
      </c>
      <c r="G460" s="5" t="s">
        <v>61</v>
      </c>
      <c r="H460" s="5" t="n">
        <v>1</v>
      </c>
      <c r="I460" s="8" t="s">
        <v>1240</v>
      </c>
      <c r="J460" s="9" t="s">
        <v>1241</v>
      </c>
    </row>
    <row r="461" customFormat="false" ht="99.95" hidden="false" customHeight="false" outlineLevel="0" collapsed="false">
      <c r="A461" s="5" t="n">
        <v>456</v>
      </c>
      <c r="B461" s="12" t="s">
        <v>865</v>
      </c>
      <c r="C461" s="13" t="s">
        <v>1203</v>
      </c>
      <c r="D461" s="8" t="s">
        <v>1204</v>
      </c>
      <c r="E461" s="8" t="s">
        <v>1235</v>
      </c>
      <c r="F461" s="8" t="s">
        <v>1242</v>
      </c>
      <c r="G461" s="5" t="s">
        <v>61</v>
      </c>
      <c r="H461" s="5" t="n">
        <v>1</v>
      </c>
      <c r="I461" s="8" t="s">
        <v>1243</v>
      </c>
      <c r="J461" s="9" t="s">
        <v>1244</v>
      </c>
    </row>
    <row r="462" customFormat="false" ht="135.8" hidden="false" customHeight="false" outlineLevel="0" collapsed="false">
      <c r="A462" s="5" t="n">
        <v>457</v>
      </c>
      <c r="B462" s="12" t="s">
        <v>865</v>
      </c>
      <c r="C462" s="13" t="s">
        <v>1203</v>
      </c>
      <c r="D462" s="8" t="s">
        <v>1204</v>
      </c>
      <c r="E462" s="8" t="s">
        <v>1235</v>
      </c>
      <c r="F462" s="8" t="s">
        <v>1245</v>
      </c>
      <c r="G462" s="5" t="s">
        <v>61</v>
      </c>
      <c r="H462" s="5" t="n">
        <v>1</v>
      </c>
      <c r="I462" s="8" t="s">
        <v>1246</v>
      </c>
      <c r="J462" s="9" t="s">
        <v>1247</v>
      </c>
    </row>
    <row r="463" customFormat="false" ht="162.65" hidden="false" customHeight="false" outlineLevel="0" collapsed="false">
      <c r="A463" s="5" t="n">
        <v>458</v>
      </c>
      <c r="B463" s="12" t="s">
        <v>865</v>
      </c>
      <c r="C463" s="13" t="s">
        <v>1203</v>
      </c>
      <c r="D463" s="8" t="s">
        <v>1204</v>
      </c>
      <c r="E463" s="8" t="s">
        <v>1235</v>
      </c>
      <c r="F463" s="8" t="s">
        <v>1248</v>
      </c>
      <c r="G463" s="5" t="s">
        <v>57</v>
      </c>
      <c r="H463" s="5" t="n">
        <v>1</v>
      </c>
      <c r="I463" s="8" t="s">
        <v>1249</v>
      </c>
      <c r="J463" s="9" t="s">
        <v>1250</v>
      </c>
    </row>
    <row r="464" customFormat="false" ht="108.95" hidden="false" customHeight="false" outlineLevel="0" collapsed="false">
      <c r="A464" s="5" t="n">
        <v>459</v>
      </c>
      <c r="B464" s="12" t="s">
        <v>865</v>
      </c>
      <c r="C464" s="13" t="s">
        <v>1203</v>
      </c>
      <c r="D464" s="8" t="s">
        <v>1204</v>
      </c>
      <c r="E464" s="8" t="s">
        <v>1235</v>
      </c>
      <c r="F464" s="8" t="s">
        <v>1251</v>
      </c>
      <c r="G464" s="5" t="s">
        <v>57</v>
      </c>
      <c r="H464" s="5" t="n">
        <v>1</v>
      </c>
      <c r="I464" s="8" t="s">
        <v>1252</v>
      </c>
      <c r="J464" s="9" t="s">
        <v>1253</v>
      </c>
    </row>
    <row r="465" customFormat="false" ht="144.75" hidden="false" customHeight="false" outlineLevel="0" collapsed="false">
      <c r="A465" s="5" t="n">
        <v>460</v>
      </c>
      <c r="B465" s="12" t="s">
        <v>865</v>
      </c>
      <c r="C465" s="13" t="s">
        <v>1203</v>
      </c>
      <c r="D465" s="8" t="s">
        <v>1204</v>
      </c>
      <c r="E465" s="8" t="s">
        <v>1254</v>
      </c>
      <c r="F465" s="8" t="s">
        <v>1255</v>
      </c>
      <c r="G465" s="5" t="s">
        <v>57</v>
      </c>
      <c r="H465" s="5" t="n">
        <v>1</v>
      </c>
      <c r="I465" s="8" t="s">
        <v>1256</v>
      </c>
      <c r="J465" s="9" t="s">
        <v>1257</v>
      </c>
    </row>
    <row r="466" customFormat="false" ht="162.65" hidden="false" customHeight="false" outlineLevel="0" collapsed="false">
      <c r="A466" s="5" t="n">
        <v>461</v>
      </c>
      <c r="B466" s="12" t="s">
        <v>865</v>
      </c>
      <c r="C466" s="13" t="s">
        <v>1203</v>
      </c>
      <c r="D466" s="8" t="s">
        <v>1204</v>
      </c>
      <c r="E466" s="8" t="s">
        <v>1254</v>
      </c>
      <c r="F466" s="8" t="s">
        <v>1258</v>
      </c>
      <c r="G466" s="5" t="s">
        <v>35</v>
      </c>
      <c r="H466" s="5" t="n">
        <v>1</v>
      </c>
      <c r="I466" s="8" t="s">
        <v>1259</v>
      </c>
      <c r="J466" s="9" t="s">
        <v>1260</v>
      </c>
    </row>
    <row r="467" customFormat="false" ht="144.75" hidden="false" customHeight="false" outlineLevel="0" collapsed="false">
      <c r="A467" s="5" t="n">
        <v>462</v>
      </c>
      <c r="B467" s="12" t="s">
        <v>865</v>
      </c>
      <c r="C467" s="13" t="s">
        <v>1203</v>
      </c>
      <c r="D467" s="8" t="s">
        <v>1204</v>
      </c>
      <c r="E467" s="8" t="s">
        <v>1254</v>
      </c>
      <c r="F467" s="8" t="s">
        <v>1261</v>
      </c>
      <c r="G467" s="5" t="s">
        <v>35</v>
      </c>
      <c r="H467" s="5" t="n">
        <v>1</v>
      </c>
      <c r="I467" s="8" t="s">
        <v>1262</v>
      </c>
      <c r="J467" s="9" t="s">
        <v>1263</v>
      </c>
    </row>
    <row r="468" customFormat="false" ht="144.75" hidden="false" customHeight="false" outlineLevel="0" collapsed="false">
      <c r="A468" s="5" t="n">
        <v>463</v>
      </c>
      <c r="B468" s="12" t="s">
        <v>865</v>
      </c>
      <c r="C468" s="13" t="s">
        <v>1264</v>
      </c>
      <c r="D468" s="8" t="s">
        <v>1265</v>
      </c>
      <c r="E468" s="8" t="s">
        <v>1266</v>
      </c>
      <c r="F468" s="8" t="s">
        <v>1267</v>
      </c>
      <c r="G468" s="5" t="s">
        <v>57</v>
      </c>
      <c r="H468" s="5" t="n">
        <v>1</v>
      </c>
      <c r="I468" s="8" t="s">
        <v>1268</v>
      </c>
      <c r="J468" s="9" t="s">
        <v>1269</v>
      </c>
    </row>
    <row r="469" customFormat="false" ht="144.75" hidden="false" customHeight="false" outlineLevel="0" collapsed="false">
      <c r="A469" s="5" t="n">
        <v>464</v>
      </c>
      <c r="B469" s="12" t="s">
        <v>865</v>
      </c>
      <c r="C469" s="13" t="s">
        <v>1264</v>
      </c>
      <c r="D469" s="8" t="s">
        <v>1265</v>
      </c>
      <c r="E469" s="8" t="s">
        <v>1266</v>
      </c>
      <c r="F469" s="8" t="s">
        <v>1270</v>
      </c>
      <c r="G469" s="5" t="s">
        <v>57</v>
      </c>
      <c r="H469" s="5" t="n">
        <v>1</v>
      </c>
      <c r="I469" s="8" t="s">
        <v>1271</v>
      </c>
      <c r="J469" s="9" t="s">
        <v>1272</v>
      </c>
    </row>
    <row r="470" customFormat="false" ht="153.7" hidden="false" customHeight="false" outlineLevel="0" collapsed="false">
      <c r="A470" s="5" t="n">
        <v>465</v>
      </c>
      <c r="B470" s="12" t="s">
        <v>865</v>
      </c>
      <c r="C470" s="13" t="s">
        <v>1264</v>
      </c>
      <c r="D470" s="8" t="s">
        <v>1265</v>
      </c>
      <c r="E470" s="8" t="s">
        <v>1266</v>
      </c>
      <c r="F470" s="8" t="s">
        <v>1273</v>
      </c>
      <c r="G470" s="5" t="s">
        <v>57</v>
      </c>
      <c r="H470" s="5" t="n">
        <v>1</v>
      </c>
      <c r="I470" s="8" t="s">
        <v>1274</v>
      </c>
      <c r="J470" s="9" t="s">
        <v>1275</v>
      </c>
    </row>
    <row r="471" customFormat="false" ht="153.7" hidden="false" customHeight="false" outlineLevel="0" collapsed="false">
      <c r="A471" s="5" t="n">
        <v>466</v>
      </c>
      <c r="B471" s="12" t="s">
        <v>865</v>
      </c>
      <c r="C471" s="13" t="s">
        <v>1264</v>
      </c>
      <c r="D471" s="8" t="s">
        <v>1265</v>
      </c>
      <c r="E471" s="8" t="s">
        <v>1266</v>
      </c>
      <c r="F471" s="8" t="s">
        <v>1276</v>
      </c>
      <c r="G471" s="5" t="s">
        <v>61</v>
      </c>
      <c r="H471" s="5" t="n">
        <v>1</v>
      </c>
      <c r="I471" s="8" t="s">
        <v>1277</v>
      </c>
      <c r="J471" s="9" t="s">
        <v>1278</v>
      </c>
    </row>
    <row r="472" customFormat="false" ht="135.8" hidden="false" customHeight="false" outlineLevel="0" collapsed="false">
      <c r="A472" s="5" t="n">
        <v>467</v>
      </c>
      <c r="B472" s="12" t="s">
        <v>865</v>
      </c>
      <c r="C472" s="13" t="s">
        <v>1264</v>
      </c>
      <c r="D472" s="8" t="s">
        <v>1265</v>
      </c>
      <c r="E472" s="8" t="s">
        <v>1279</v>
      </c>
      <c r="F472" s="8" t="s">
        <v>1280</v>
      </c>
      <c r="G472" s="5" t="s">
        <v>57</v>
      </c>
      <c r="H472" s="5" t="n">
        <v>1</v>
      </c>
      <c r="I472" s="8" t="s">
        <v>1281</v>
      </c>
      <c r="J472" s="9" t="s">
        <v>1282</v>
      </c>
    </row>
    <row r="473" customFormat="false" ht="144.75" hidden="false" customHeight="false" outlineLevel="0" collapsed="false">
      <c r="A473" s="5" t="n">
        <v>468</v>
      </c>
      <c r="B473" s="12" t="s">
        <v>865</v>
      </c>
      <c r="C473" s="13" t="s">
        <v>1264</v>
      </c>
      <c r="D473" s="8" t="s">
        <v>1265</v>
      </c>
      <c r="E473" s="8" t="s">
        <v>1279</v>
      </c>
      <c r="F473" s="8" t="s">
        <v>1283</v>
      </c>
      <c r="G473" s="5" t="s">
        <v>61</v>
      </c>
      <c r="H473" s="5" t="n">
        <v>1</v>
      </c>
      <c r="I473" s="8" t="s">
        <v>1284</v>
      </c>
      <c r="J473" s="9" t="s">
        <v>1285</v>
      </c>
    </row>
    <row r="474" customFormat="false" ht="144.75" hidden="false" customHeight="false" outlineLevel="0" collapsed="false">
      <c r="A474" s="5" t="n">
        <v>469</v>
      </c>
      <c r="B474" s="12" t="s">
        <v>865</v>
      </c>
      <c r="C474" s="13" t="s">
        <v>1264</v>
      </c>
      <c r="D474" s="8" t="s">
        <v>1265</v>
      </c>
      <c r="E474" s="8" t="s">
        <v>1279</v>
      </c>
      <c r="F474" s="8" t="s">
        <v>1286</v>
      </c>
      <c r="G474" s="5" t="s">
        <v>57</v>
      </c>
      <c r="H474" s="5" t="n">
        <v>1</v>
      </c>
      <c r="I474" s="8" t="s">
        <v>1287</v>
      </c>
      <c r="J474" s="9" t="s">
        <v>1288</v>
      </c>
    </row>
    <row r="475" customFormat="false" ht="135.8" hidden="false" customHeight="false" outlineLevel="0" collapsed="false">
      <c r="A475" s="5" t="n">
        <v>470</v>
      </c>
      <c r="B475" s="12" t="s">
        <v>865</v>
      </c>
      <c r="C475" s="13" t="s">
        <v>1264</v>
      </c>
      <c r="D475" s="8" t="s">
        <v>1265</v>
      </c>
      <c r="E475" s="8" t="s">
        <v>1279</v>
      </c>
      <c r="F475" s="8" t="s">
        <v>1289</v>
      </c>
      <c r="G475" s="5" t="s">
        <v>57</v>
      </c>
      <c r="H475" s="5" t="n">
        <v>1</v>
      </c>
      <c r="I475" s="8" t="s">
        <v>1290</v>
      </c>
      <c r="J475" s="9" t="s">
        <v>1291</v>
      </c>
    </row>
    <row r="476" customFormat="false" ht="126.85" hidden="false" customHeight="false" outlineLevel="0" collapsed="false">
      <c r="A476" s="5" t="n">
        <v>471</v>
      </c>
      <c r="B476" s="12" t="s">
        <v>865</v>
      </c>
      <c r="C476" s="13" t="s">
        <v>1264</v>
      </c>
      <c r="D476" s="8" t="s">
        <v>1265</v>
      </c>
      <c r="E476" s="8" t="s">
        <v>1292</v>
      </c>
      <c r="F476" s="8" t="s">
        <v>1293</v>
      </c>
      <c r="G476" s="5" t="s">
        <v>57</v>
      </c>
      <c r="H476" s="5" t="n">
        <v>1</v>
      </c>
      <c r="I476" s="8" t="s">
        <v>1294</v>
      </c>
      <c r="J476" s="9" t="s">
        <v>1295</v>
      </c>
    </row>
    <row r="477" customFormat="false" ht="135.8" hidden="false" customHeight="false" outlineLevel="0" collapsed="false">
      <c r="A477" s="5" t="n">
        <v>472</v>
      </c>
      <c r="B477" s="12" t="s">
        <v>865</v>
      </c>
      <c r="C477" s="13" t="s">
        <v>1264</v>
      </c>
      <c r="D477" s="8" t="s">
        <v>1265</v>
      </c>
      <c r="E477" s="8" t="s">
        <v>1292</v>
      </c>
      <c r="F477" s="8" t="s">
        <v>1296</v>
      </c>
      <c r="G477" s="5" t="s">
        <v>57</v>
      </c>
      <c r="H477" s="5" t="n">
        <v>1</v>
      </c>
      <c r="I477" s="8" t="s">
        <v>1297</v>
      </c>
      <c r="J477" s="9" t="s">
        <v>1298</v>
      </c>
    </row>
    <row r="478" customFormat="false" ht="135.8" hidden="false" customHeight="false" outlineLevel="0" collapsed="false">
      <c r="A478" s="5" t="n">
        <v>473</v>
      </c>
      <c r="B478" s="12" t="s">
        <v>865</v>
      </c>
      <c r="C478" s="13" t="s">
        <v>1264</v>
      </c>
      <c r="D478" s="8" t="s">
        <v>1265</v>
      </c>
      <c r="E478" s="8" t="s">
        <v>1292</v>
      </c>
      <c r="F478" s="8" t="s">
        <v>1299</v>
      </c>
      <c r="G478" s="5" t="s">
        <v>57</v>
      </c>
      <c r="H478" s="5" t="n">
        <v>1</v>
      </c>
      <c r="I478" s="8" t="s">
        <v>1300</v>
      </c>
      <c r="J478" s="9" t="s">
        <v>1301</v>
      </c>
    </row>
    <row r="479" customFormat="false" ht="180.55" hidden="false" customHeight="false" outlineLevel="0" collapsed="false">
      <c r="A479" s="5" t="n">
        <v>474</v>
      </c>
      <c r="B479" s="12" t="s">
        <v>865</v>
      </c>
      <c r="C479" s="13" t="s">
        <v>1264</v>
      </c>
      <c r="D479" s="8" t="s">
        <v>1265</v>
      </c>
      <c r="E479" s="8" t="s">
        <v>1302</v>
      </c>
      <c r="F479" s="8" t="s">
        <v>1303</v>
      </c>
      <c r="G479" s="5" t="s">
        <v>57</v>
      </c>
      <c r="H479" s="5" t="n">
        <v>1</v>
      </c>
      <c r="I479" s="8" t="s">
        <v>1304</v>
      </c>
      <c r="J479" s="9" t="s">
        <v>1305</v>
      </c>
    </row>
    <row r="480" customFormat="false" ht="171.6" hidden="false" customHeight="false" outlineLevel="0" collapsed="false">
      <c r="A480" s="5" t="n">
        <v>475</v>
      </c>
      <c r="B480" s="12" t="s">
        <v>865</v>
      </c>
      <c r="C480" s="13" t="s">
        <v>1264</v>
      </c>
      <c r="D480" s="8" t="s">
        <v>1265</v>
      </c>
      <c r="E480" s="8" t="s">
        <v>1302</v>
      </c>
      <c r="F480" s="8" t="s">
        <v>1306</v>
      </c>
      <c r="G480" s="5" t="s">
        <v>57</v>
      </c>
      <c r="H480" s="5" t="n">
        <v>1</v>
      </c>
      <c r="I480" s="8" t="s">
        <v>1307</v>
      </c>
      <c r="J480" s="9" t="s">
        <v>1308</v>
      </c>
    </row>
    <row r="481" customFormat="false" ht="189.55" hidden="false" customHeight="false" outlineLevel="0" collapsed="false">
      <c r="A481" s="5" t="n">
        <v>476</v>
      </c>
      <c r="B481" s="12" t="s">
        <v>865</v>
      </c>
      <c r="C481" s="13" t="s">
        <v>1264</v>
      </c>
      <c r="D481" s="8" t="s">
        <v>1265</v>
      </c>
      <c r="E481" s="8" t="s">
        <v>1302</v>
      </c>
      <c r="F481" s="8" t="s">
        <v>1309</v>
      </c>
      <c r="G481" s="5" t="s">
        <v>35</v>
      </c>
      <c r="H481" s="5" t="n">
        <v>1</v>
      </c>
      <c r="I481" s="8" t="s">
        <v>1310</v>
      </c>
      <c r="J481" s="9" t="s">
        <v>1311</v>
      </c>
    </row>
    <row r="482" customFormat="false" ht="207.45" hidden="false" customHeight="false" outlineLevel="0" collapsed="false">
      <c r="A482" s="5" t="n">
        <v>477</v>
      </c>
      <c r="B482" s="12" t="s">
        <v>865</v>
      </c>
      <c r="C482" s="13" t="s">
        <v>1264</v>
      </c>
      <c r="D482" s="8" t="s">
        <v>1265</v>
      </c>
      <c r="E482" s="8" t="s">
        <v>1302</v>
      </c>
      <c r="F482" s="8" t="s">
        <v>1312</v>
      </c>
      <c r="G482" s="5" t="s">
        <v>35</v>
      </c>
      <c r="H482" s="5" t="n">
        <v>1</v>
      </c>
      <c r="I482" s="8" t="s">
        <v>1313</v>
      </c>
      <c r="J482" s="9" t="s">
        <v>1314</v>
      </c>
    </row>
    <row r="483" customFormat="false" ht="144.75" hidden="false" customHeight="false" outlineLevel="0" collapsed="false">
      <c r="A483" s="5" t="n">
        <v>478</v>
      </c>
      <c r="B483" s="12" t="s">
        <v>865</v>
      </c>
      <c r="C483" s="13" t="s">
        <v>1315</v>
      </c>
      <c r="D483" s="8" t="s">
        <v>1316</v>
      </c>
      <c r="E483" s="8" t="s">
        <v>1317</v>
      </c>
      <c r="F483" s="8" t="s">
        <v>1318</v>
      </c>
      <c r="G483" s="5" t="s">
        <v>35</v>
      </c>
      <c r="H483" s="5" t="n">
        <v>1</v>
      </c>
      <c r="I483" s="8" t="s">
        <v>1319</v>
      </c>
      <c r="J483" s="9" t="s">
        <v>1320</v>
      </c>
    </row>
    <row r="484" customFormat="false" ht="153.7" hidden="false" customHeight="false" outlineLevel="0" collapsed="false">
      <c r="A484" s="5" t="n">
        <v>479</v>
      </c>
      <c r="B484" s="12" t="s">
        <v>865</v>
      </c>
      <c r="C484" s="13" t="s">
        <v>1315</v>
      </c>
      <c r="D484" s="8" t="s">
        <v>1316</v>
      </c>
      <c r="E484" s="8" t="s">
        <v>1317</v>
      </c>
      <c r="F484" s="8" t="s">
        <v>1321</v>
      </c>
      <c r="G484" s="5" t="s">
        <v>35</v>
      </c>
      <c r="H484" s="5" t="n">
        <v>1</v>
      </c>
      <c r="I484" s="8" t="s">
        <v>1322</v>
      </c>
      <c r="J484" s="9" t="s">
        <v>1323</v>
      </c>
    </row>
    <row r="485" customFormat="false" ht="162.65" hidden="false" customHeight="false" outlineLevel="0" collapsed="false">
      <c r="A485" s="5" t="n">
        <v>480</v>
      </c>
      <c r="B485" s="12" t="s">
        <v>865</v>
      </c>
      <c r="C485" s="13" t="s">
        <v>1315</v>
      </c>
      <c r="D485" s="8" t="s">
        <v>1316</v>
      </c>
      <c r="E485" s="8" t="s">
        <v>1317</v>
      </c>
      <c r="F485" s="8" t="s">
        <v>1324</v>
      </c>
      <c r="G485" s="5" t="s">
        <v>35</v>
      </c>
      <c r="H485" s="5" t="n">
        <v>1</v>
      </c>
      <c r="I485" s="8" t="s">
        <v>1325</v>
      </c>
      <c r="J485" s="9" t="s">
        <v>1326</v>
      </c>
    </row>
    <row r="486" customFormat="false" ht="153.7" hidden="false" customHeight="false" outlineLevel="0" collapsed="false">
      <c r="A486" s="5" t="n">
        <v>481</v>
      </c>
      <c r="B486" s="12" t="s">
        <v>865</v>
      </c>
      <c r="C486" s="13" t="s">
        <v>1315</v>
      </c>
      <c r="D486" s="8" t="s">
        <v>1316</v>
      </c>
      <c r="E486" s="8" t="s">
        <v>1317</v>
      </c>
      <c r="F486" s="8" t="s">
        <v>1327</v>
      </c>
      <c r="G486" s="5" t="s">
        <v>35</v>
      </c>
      <c r="H486" s="5" t="n">
        <v>1</v>
      </c>
      <c r="I486" s="8" t="s">
        <v>1328</v>
      </c>
      <c r="J486" s="9" t="s">
        <v>1329</v>
      </c>
    </row>
    <row r="487" customFormat="false" ht="126.85" hidden="false" customHeight="false" outlineLevel="0" collapsed="false">
      <c r="A487" s="5" t="n">
        <v>482</v>
      </c>
      <c r="B487" s="12" t="s">
        <v>865</v>
      </c>
      <c r="C487" s="13" t="s">
        <v>1330</v>
      </c>
      <c r="D487" s="8" t="s">
        <v>1331</v>
      </c>
      <c r="E487" s="8" t="s">
        <v>1332</v>
      </c>
      <c r="F487" s="8" t="s">
        <v>1333</v>
      </c>
      <c r="G487" s="5" t="s">
        <v>57</v>
      </c>
      <c r="H487" s="5" t="n">
        <v>1</v>
      </c>
      <c r="I487" s="8" t="s">
        <v>1334</v>
      </c>
      <c r="J487" s="9" t="s">
        <v>1335</v>
      </c>
    </row>
    <row r="488" customFormat="false" ht="135.8" hidden="false" customHeight="false" outlineLevel="0" collapsed="false">
      <c r="A488" s="5" t="n">
        <v>483</v>
      </c>
      <c r="B488" s="12" t="s">
        <v>865</v>
      </c>
      <c r="C488" s="13" t="s">
        <v>1330</v>
      </c>
      <c r="D488" s="8" t="s">
        <v>1331</v>
      </c>
      <c r="E488" s="8" t="s">
        <v>1332</v>
      </c>
      <c r="F488" s="8" t="s">
        <v>1336</v>
      </c>
      <c r="G488" s="5" t="s">
        <v>57</v>
      </c>
      <c r="H488" s="5" t="n">
        <v>1</v>
      </c>
      <c r="I488" s="8" t="s">
        <v>1337</v>
      </c>
      <c r="J488" s="9" t="s">
        <v>1338</v>
      </c>
    </row>
    <row r="489" customFormat="false" ht="126.85" hidden="false" customHeight="false" outlineLevel="0" collapsed="false">
      <c r="A489" s="5" t="n">
        <v>484</v>
      </c>
      <c r="B489" s="12" t="s">
        <v>865</v>
      </c>
      <c r="C489" s="13" t="s">
        <v>1330</v>
      </c>
      <c r="D489" s="8" t="s">
        <v>1331</v>
      </c>
      <c r="E489" s="8" t="s">
        <v>1332</v>
      </c>
      <c r="F489" s="8" t="s">
        <v>1339</v>
      </c>
      <c r="G489" s="5" t="s">
        <v>57</v>
      </c>
      <c r="H489" s="5" t="n">
        <v>1</v>
      </c>
      <c r="I489" s="8" t="s">
        <v>1340</v>
      </c>
      <c r="J489" s="9" t="s">
        <v>1341</v>
      </c>
    </row>
    <row r="490" customFormat="false" ht="162.65" hidden="false" customHeight="false" outlineLevel="0" collapsed="false">
      <c r="A490" s="5" t="n">
        <v>485</v>
      </c>
      <c r="B490" s="12" t="s">
        <v>865</v>
      </c>
      <c r="C490" s="13" t="s">
        <v>1330</v>
      </c>
      <c r="D490" s="8" t="s">
        <v>1331</v>
      </c>
      <c r="E490" s="8" t="s">
        <v>1332</v>
      </c>
      <c r="F490" s="8" t="s">
        <v>1342</v>
      </c>
      <c r="G490" s="5" t="s">
        <v>57</v>
      </c>
      <c r="H490" s="5" t="n">
        <v>1</v>
      </c>
      <c r="I490" s="8" t="s">
        <v>1343</v>
      </c>
      <c r="J490" s="9" t="s">
        <v>1344</v>
      </c>
    </row>
    <row r="491" customFormat="false" ht="135.8" hidden="false" customHeight="false" outlineLevel="0" collapsed="false">
      <c r="A491" s="5" t="n">
        <v>486</v>
      </c>
      <c r="B491" s="12" t="s">
        <v>865</v>
      </c>
      <c r="C491" s="13" t="s">
        <v>1330</v>
      </c>
      <c r="D491" s="8" t="s">
        <v>1331</v>
      </c>
      <c r="E491" s="8" t="s">
        <v>1345</v>
      </c>
      <c r="F491" s="8" t="s">
        <v>1345</v>
      </c>
      <c r="G491" s="5" t="s">
        <v>57</v>
      </c>
      <c r="H491" s="5" t="n">
        <v>1</v>
      </c>
      <c r="I491" s="8" t="s">
        <v>1346</v>
      </c>
      <c r="J491" s="9" t="s">
        <v>1347</v>
      </c>
    </row>
    <row r="492" customFormat="false" ht="171.6" hidden="false" customHeight="false" outlineLevel="0" collapsed="false">
      <c r="A492" s="5" t="n">
        <v>487</v>
      </c>
      <c r="B492" s="12" t="s">
        <v>865</v>
      </c>
      <c r="C492" s="13" t="s">
        <v>1330</v>
      </c>
      <c r="D492" s="8" t="s">
        <v>1331</v>
      </c>
      <c r="E492" s="8" t="s">
        <v>1348</v>
      </c>
      <c r="F492" s="8" t="s">
        <v>1349</v>
      </c>
      <c r="G492" s="5" t="s">
        <v>57</v>
      </c>
      <c r="H492" s="5" t="n">
        <v>1</v>
      </c>
      <c r="I492" s="8" t="s">
        <v>1350</v>
      </c>
      <c r="J492" s="9" t="s">
        <v>1351</v>
      </c>
    </row>
    <row r="493" customFormat="false" ht="189.55" hidden="false" customHeight="false" outlineLevel="0" collapsed="false">
      <c r="A493" s="5" t="n">
        <v>488</v>
      </c>
      <c r="B493" s="12" t="s">
        <v>865</v>
      </c>
      <c r="C493" s="13" t="s">
        <v>1330</v>
      </c>
      <c r="D493" s="8" t="s">
        <v>1331</v>
      </c>
      <c r="E493" s="8" t="s">
        <v>1348</v>
      </c>
      <c r="F493" s="8" t="s">
        <v>1352</v>
      </c>
      <c r="G493" s="5" t="s">
        <v>35</v>
      </c>
      <c r="H493" s="5" t="n">
        <v>1</v>
      </c>
      <c r="I493" s="8" t="s">
        <v>1353</v>
      </c>
      <c r="J493" s="9" t="s">
        <v>1354</v>
      </c>
    </row>
    <row r="494" customFormat="false" ht="198.5" hidden="false" customHeight="false" outlineLevel="0" collapsed="false">
      <c r="A494" s="5" t="n">
        <v>489</v>
      </c>
      <c r="B494" s="12" t="s">
        <v>865</v>
      </c>
      <c r="C494" s="13" t="s">
        <v>1330</v>
      </c>
      <c r="D494" s="8" t="s">
        <v>1331</v>
      </c>
      <c r="E494" s="8" t="s">
        <v>1348</v>
      </c>
      <c r="F494" s="8" t="s">
        <v>1355</v>
      </c>
      <c r="G494" s="5" t="s">
        <v>35</v>
      </c>
      <c r="H494" s="5" t="n">
        <v>1</v>
      </c>
      <c r="I494" s="8" t="s">
        <v>1356</v>
      </c>
      <c r="J494" s="9" t="s">
        <v>1357</v>
      </c>
    </row>
    <row r="495" customFormat="false" ht="126.85" hidden="false" customHeight="false" outlineLevel="0" collapsed="false">
      <c r="A495" s="5" t="n">
        <v>490</v>
      </c>
      <c r="B495" s="12" t="s">
        <v>865</v>
      </c>
      <c r="C495" s="13" t="s">
        <v>1358</v>
      </c>
      <c r="D495" s="8" t="s">
        <v>1359</v>
      </c>
      <c r="E495" s="8" t="s">
        <v>1360</v>
      </c>
      <c r="F495" s="8" t="s">
        <v>1361</v>
      </c>
      <c r="G495" s="5" t="s">
        <v>35</v>
      </c>
      <c r="H495" s="5" t="n">
        <v>1</v>
      </c>
      <c r="I495" s="8" t="s">
        <v>1362</v>
      </c>
      <c r="J495" s="9" t="s">
        <v>1363</v>
      </c>
    </row>
    <row r="496" customFormat="false" ht="108.95" hidden="false" customHeight="false" outlineLevel="0" collapsed="false">
      <c r="A496" s="5" t="n">
        <v>491</v>
      </c>
      <c r="B496" s="12" t="s">
        <v>865</v>
      </c>
      <c r="C496" s="13" t="s">
        <v>1358</v>
      </c>
      <c r="D496" s="8" t="s">
        <v>1359</v>
      </c>
      <c r="E496" s="8" t="s">
        <v>1360</v>
      </c>
      <c r="F496" s="8" t="s">
        <v>1364</v>
      </c>
      <c r="G496" s="5" t="s">
        <v>35</v>
      </c>
      <c r="H496" s="5" t="n">
        <v>1</v>
      </c>
      <c r="I496" s="8" t="s">
        <v>1365</v>
      </c>
      <c r="J496" s="9" t="s">
        <v>1366</v>
      </c>
    </row>
    <row r="497" customFormat="false" ht="108.95" hidden="false" customHeight="false" outlineLevel="0" collapsed="false">
      <c r="A497" s="5" t="n">
        <v>492</v>
      </c>
      <c r="B497" s="12" t="s">
        <v>865</v>
      </c>
      <c r="C497" s="13" t="s">
        <v>1358</v>
      </c>
      <c r="D497" s="8" t="s">
        <v>1359</v>
      </c>
      <c r="E497" s="8" t="s">
        <v>1360</v>
      </c>
      <c r="F497" s="8" t="s">
        <v>1367</v>
      </c>
      <c r="G497" s="5" t="s">
        <v>35</v>
      </c>
      <c r="H497" s="5" t="n">
        <v>1</v>
      </c>
      <c r="I497" s="8" t="s">
        <v>1368</v>
      </c>
      <c r="J497" s="9" t="s">
        <v>1369</v>
      </c>
    </row>
    <row r="498" customFormat="false" ht="91" hidden="false" customHeight="false" outlineLevel="0" collapsed="false">
      <c r="A498" s="5" t="n">
        <v>493</v>
      </c>
      <c r="B498" s="12" t="s">
        <v>865</v>
      </c>
      <c r="C498" s="13" t="s">
        <v>1358</v>
      </c>
      <c r="D498" s="8" t="s">
        <v>1359</v>
      </c>
      <c r="E498" s="8" t="s">
        <v>1360</v>
      </c>
      <c r="F498" s="8" t="s">
        <v>1370</v>
      </c>
      <c r="G498" s="5" t="s">
        <v>35</v>
      </c>
      <c r="H498" s="5" t="n">
        <v>1</v>
      </c>
      <c r="I498" s="8" t="s">
        <v>1371</v>
      </c>
      <c r="J498" s="9" t="s">
        <v>1372</v>
      </c>
    </row>
    <row r="499" customFormat="false" ht="99.95" hidden="false" customHeight="false" outlineLevel="0" collapsed="false">
      <c r="A499" s="5" t="n">
        <v>494</v>
      </c>
      <c r="B499" s="12" t="s">
        <v>865</v>
      </c>
      <c r="C499" s="13" t="s">
        <v>1358</v>
      </c>
      <c r="D499" s="8" t="s">
        <v>1359</v>
      </c>
      <c r="E499" s="8" t="s">
        <v>1360</v>
      </c>
      <c r="F499" s="8" t="s">
        <v>1373</v>
      </c>
      <c r="G499" s="5" t="s">
        <v>35</v>
      </c>
      <c r="H499" s="5" t="n">
        <v>1</v>
      </c>
      <c r="I499" s="8" t="s">
        <v>1374</v>
      </c>
      <c r="J499" s="9" t="s">
        <v>1375</v>
      </c>
    </row>
    <row r="500" customFormat="false" ht="99.95" hidden="false" customHeight="false" outlineLevel="0" collapsed="false">
      <c r="A500" s="5" t="n">
        <v>495</v>
      </c>
      <c r="B500" s="14" t="s">
        <v>1376</v>
      </c>
      <c r="C500" s="15" t="s">
        <v>1377</v>
      </c>
      <c r="D500" s="8" t="s">
        <v>1378</v>
      </c>
      <c r="E500" s="8" t="s">
        <v>1379</v>
      </c>
      <c r="F500" s="8" t="s">
        <v>1380</v>
      </c>
      <c r="G500" s="5" t="s">
        <v>18</v>
      </c>
      <c r="H500" s="5" t="n">
        <v>1</v>
      </c>
      <c r="I500" s="8" t="s">
        <v>1381</v>
      </c>
      <c r="J500" s="9" t="s">
        <v>1382</v>
      </c>
    </row>
    <row r="501" customFormat="false" ht="91" hidden="false" customHeight="false" outlineLevel="0" collapsed="false">
      <c r="A501" s="5" t="n">
        <v>496</v>
      </c>
      <c r="B501" s="14" t="s">
        <v>1376</v>
      </c>
      <c r="C501" s="15" t="s">
        <v>1377</v>
      </c>
      <c r="D501" s="8" t="s">
        <v>1378</v>
      </c>
      <c r="E501" s="8" t="s">
        <v>1379</v>
      </c>
      <c r="F501" s="8" t="s">
        <v>1383</v>
      </c>
      <c r="G501" s="5" t="s">
        <v>22</v>
      </c>
      <c r="H501" s="5" t="n">
        <v>1</v>
      </c>
      <c r="I501" s="8" t="s">
        <v>1384</v>
      </c>
      <c r="J501" s="9" t="s">
        <v>1385</v>
      </c>
    </row>
    <row r="502" customFormat="false" ht="99.95" hidden="false" customHeight="false" outlineLevel="0" collapsed="false">
      <c r="A502" s="5" t="n">
        <v>497</v>
      </c>
      <c r="B502" s="14" t="s">
        <v>1376</v>
      </c>
      <c r="C502" s="15" t="s">
        <v>1377</v>
      </c>
      <c r="D502" s="8" t="s">
        <v>1378</v>
      </c>
      <c r="E502" s="8" t="s">
        <v>1379</v>
      </c>
      <c r="F502" s="8" t="s">
        <v>31</v>
      </c>
      <c r="G502" s="5" t="s">
        <v>18</v>
      </c>
      <c r="H502" s="5" t="n">
        <v>1</v>
      </c>
      <c r="I502" s="8" t="s">
        <v>32</v>
      </c>
      <c r="J502" s="9" t="s">
        <v>1386</v>
      </c>
    </row>
    <row r="503" customFormat="false" ht="117.9" hidden="false" customHeight="false" outlineLevel="0" collapsed="false">
      <c r="A503" s="5" t="n">
        <v>498</v>
      </c>
      <c r="B503" s="14" t="s">
        <v>1376</v>
      </c>
      <c r="C503" s="15" t="s">
        <v>1387</v>
      </c>
      <c r="D503" s="8" t="s">
        <v>1378</v>
      </c>
      <c r="E503" s="8" t="s">
        <v>1388</v>
      </c>
      <c r="F503" s="8" t="s">
        <v>1389</v>
      </c>
      <c r="G503" s="5" t="s">
        <v>18</v>
      </c>
      <c r="H503" s="5" t="n">
        <v>1</v>
      </c>
      <c r="I503" s="8" t="s">
        <v>1390</v>
      </c>
      <c r="J503" s="9" t="s">
        <v>1391</v>
      </c>
    </row>
    <row r="504" customFormat="false" ht="117.9" hidden="false" customHeight="false" outlineLevel="0" collapsed="false">
      <c r="A504" s="5" t="n">
        <v>499</v>
      </c>
      <c r="B504" s="14" t="s">
        <v>1376</v>
      </c>
      <c r="C504" s="15" t="s">
        <v>1387</v>
      </c>
      <c r="D504" s="8" t="s">
        <v>1378</v>
      </c>
      <c r="E504" s="8" t="s">
        <v>1388</v>
      </c>
      <c r="F504" s="8" t="s">
        <v>1392</v>
      </c>
      <c r="G504" s="5" t="s">
        <v>18</v>
      </c>
      <c r="H504" s="5" t="n">
        <v>1</v>
      </c>
      <c r="I504" s="8" t="s">
        <v>1393</v>
      </c>
      <c r="J504" s="9" t="s">
        <v>1394</v>
      </c>
    </row>
    <row r="505" customFormat="false" ht="126.85" hidden="false" customHeight="false" outlineLevel="0" collapsed="false">
      <c r="A505" s="5" t="n">
        <v>500</v>
      </c>
      <c r="B505" s="14" t="s">
        <v>1376</v>
      </c>
      <c r="C505" s="15" t="s">
        <v>1387</v>
      </c>
      <c r="D505" s="8" t="s">
        <v>1378</v>
      </c>
      <c r="E505" s="8" t="s">
        <v>1388</v>
      </c>
      <c r="F505" s="8" t="s">
        <v>1395</v>
      </c>
      <c r="G505" s="5" t="s">
        <v>18</v>
      </c>
      <c r="H505" s="5" t="n">
        <v>1</v>
      </c>
      <c r="I505" s="8" t="s">
        <v>1396</v>
      </c>
      <c r="J505" s="9" t="s">
        <v>1397</v>
      </c>
    </row>
    <row r="506" customFormat="false" ht="91" hidden="false" customHeight="false" outlineLevel="0" collapsed="false">
      <c r="A506" s="5" t="n">
        <v>501</v>
      </c>
      <c r="B506" s="14" t="s">
        <v>1376</v>
      </c>
      <c r="C506" s="15" t="s">
        <v>1387</v>
      </c>
      <c r="D506" s="8" t="s">
        <v>1378</v>
      </c>
      <c r="E506" s="8" t="s">
        <v>1388</v>
      </c>
      <c r="F506" s="8" t="s">
        <v>1398</v>
      </c>
      <c r="G506" s="5" t="s">
        <v>61</v>
      </c>
      <c r="H506" s="5" t="n">
        <v>1</v>
      </c>
      <c r="I506" s="8" t="s">
        <v>1399</v>
      </c>
      <c r="J506" s="9" t="s">
        <v>1400</v>
      </c>
    </row>
    <row r="507" customFormat="false" ht="117.9" hidden="false" customHeight="false" outlineLevel="0" collapsed="false">
      <c r="A507" s="5" t="n">
        <v>502</v>
      </c>
      <c r="B507" s="14" t="s">
        <v>1376</v>
      </c>
      <c r="C507" s="15" t="s">
        <v>1387</v>
      </c>
      <c r="D507" s="8" t="s">
        <v>1378</v>
      </c>
      <c r="E507" s="8" t="s">
        <v>1388</v>
      </c>
      <c r="F507" s="8" t="s">
        <v>1401</v>
      </c>
      <c r="G507" s="5" t="s">
        <v>61</v>
      </c>
      <c r="H507" s="5" t="n">
        <v>1</v>
      </c>
      <c r="I507" s="8" t="s">
        <v>1402</v>
      </c>
      <c r="J507" s="9" t="s">
        <v>1403</v>
      </c>
    </row>
    <row r="508" customFormat="false" ht="99.95" hidden="false" customHeight="false" outlineLevel="0" collapsed="false">
      <c r="A508" s="5" t="n">
        <v>503</v>
      </c>
      <c r="B508" s="14" t="s">
        <v>1376</v>
      </c>
      <c r="C508" s="15" t="s">
        <v>1387</v>
      </c>
      <c r="D508" s="8" t="s">
        <v>1378</v>
      </c>
      <c r="E508" s="8" t="s">
        <v>1388</v>
      </c>
      <c r="F508" s="8" t="s">
        <v>1404</v>
      </c>
      <c r="G508" s="5" t="s">
        <v>18</v>
      </c>
      <c r="H508" s="5" t="n">
        <v>1</v>
      </c>
      <c r="I508" s="8" t="s">
        <v>1405</v>
      </c>
      <c r="J508" s="9" t="s">
        <v>1406</v>
      </c>
    </row>
    <row r="509" customFormat="false" ht="82.05" hidden="false" customHeight="false" outlineLevel="0" collapsed="false">
      <c r="A509" s="5" t="n">
        <v>504</v>
      </c>
      <c r="B509" s="14" t="s">
        <v>1376</v>
      </c>
      <c r="C509" s="15" t="s">
        <v>1407</v>
      </c>
      <c r="D509" s="8" t="s">
        <v>1378</v>
      </c>
      <c r="E509" s="8" t="s">
        <v>1408</v>
      </c>
      <c r="F509" s="8" t="s">
        <v>1409</v>
      </c>
      <c r="G509" s="5" t="s">
        <v>22</v>
      </c>
      <c r="H509" s="5" t="n">
        <v>1</v>
      </c>
      <c r="I509" s="8" t="s">
        <v>1410</v>
      </c>
      <c r="J509" s="9" t="s">
        <v>1411</v>
      </c>
    </row>
    <row r="510" customFormat="false" ht="82.05" hidden="false" customHeight="false" outlineLevel="0" collapsed="false">
      <c r="A510" s="5" t="n">
        <v>505</v>
      </c>
      <c r="B510" s="14" t="s">
        <v>1376</v>
      </c>
      <c r="C510" s="15" t="s">
        <v>1407</v>
      </c>
      <c r="D510" s="8" t="s">
        <v>1378</v>
      </c>
      <c r="E510" s="8" t="s">
        <v>1408</v>
      </c>
      <c r="F510" s="8" t="s">
        <v>1412</v>
      </c>
      <c r="G510" s="5" t="s">
        <v>18</v>
      </c>
      <c r="H510" s="5" t="n">
        <v>1</v>
      </c>
      <c r="I510" s="8" t="s">
        <v>1413</v>
      </c>
      <c r="J510" s="9" t="s">
        <v>1414</v>
      </c>
    </row>
    <row r="511" customFormat="false" ht="99.95" hidden="false" customHeight="false" outlineLevel="0" collapsed="false">
      <c r="A511" s="5" t="n">
        <v>506</v>
      </c>
      <c r="B511" s="14" t="s">
        <v>1376</v>
      </c>
      <c r="C511" s="15" t="s">
        <v>1407</v>
      </c>
      <c r="D511" s="8" t="s">
        <v>1378</v>
      </c>
      <c r="E511" s="8" t="s">
        <v>1408</v>
      </c>
      <c r="F511" s="8" t="s">
        <v>1415</v>
      </c>
      <c r="G511" s="5" t="s">
        <v>57</v>
      </c>
      <c r="H511" s="5" t="n">
        <v>1</v>
      </c>
      <c r="I511" s="8" t="s">
        <v>1416</v>
      </c>
      <c r="J511" s="9" t="s">
        <v>1417</v>
      </c>
    </row>
    <row r="512" customFormat="false" ht="82.05" hidden="false" customHeight="false" outlineLevel="0" collapsed="false">
      <c r="A512" s="5" t="n">
        <v>507</v>
      </c>
      <c r="B512" s="14" t="s">
        <v>1376</v>
      </c>
      <c r="C512" s="15" t="s">
        <v>1407</v>
      </c>
      <c r="D512" s="8" t="s">
        <v>1378</v>
      </c>
      <c r="E512" s="8" t="s">
        <v>1408</v>
      </c>
      <c r="F512" s="8" t="s">
        <v>1418</v>
      </c>
      <c r="G512" s="5" t="s">
        <v>57</v>
      </c>
      <c r="H512" s="5" t="n">
        <v>1</v>
      </c>
      <c r="I512" s="8" t="s">
        <v>1419</v>
      </c>
      <c r="J512" s="9" t="s">
        <v>1420</v>
      </c>
    </row>
    <row r="513" customFormat="false" ht="99.95" hidden="false" customHeight="false" outlineLevel="0" collapsed="false">
      <c r="A513" s="5" t="n">
        <v>508</v>
      </c>
      <c r="B513" s="14" t="s">
        <v>1376</v>
      </c>
      <c r="C513" s="15" t="s">
        <v>1407</v>
      </c>
      <c r="D513" s="8" t="s">
        <v>1378</v>
      </c>
      <c r="E513" s="8" t="s">
        <v>1408</v>
      </c>
      <c r="F513" s="8" t="s">
        <v>1421</v>
      </c>
      <c r="G513" s="5" t="s">
        <v>35</v>
      </c>
      <c r="H513" s="5" t="n">
        <v>1</v>
      </c>
      <c r="I513" s="8" t="s">
        <v>1422</v>
      </c>
      <c r="J513" s="9" t="s">
        <v>1423</v>
      </c>
    </row>
    <row r="514" customFormat="false" ht="126.85" hidden="false" customHeight="false" outlineLevel="0" collapsed="false">
      <c r="A514" s="5" t="n">
        <v>509</v>
      </c>
      <c r="B514" s="14" t="s">
        <v>1376</v>
      </c>
      <c r="C514" s="15" t="s">
        <v>1424</v>
      </c>
      <c r="D514" s="8" t="s">
        <v>1378</v>
      </c>
      <c r="E514" s="8" t="s">
        <v>1425</v>
      </c>
      <c r="F514" s="8" t="s">
        <v>1426</v>
      </c>
      <c r="G514" s="5" t="s">
        <v>61</v>
      </c>
      <c r="H514" s="5" t="n">
        <v>1</v>
      </c>
      <c r="I514" s="8" t="s">
        <v>1427</v>
      </c>
      <c r="J514" s="9" t="s">
        <v>1428</v>
      </c>
    </row>
    <row r="515" customFormat="false" ht="99.95" hidden="false" customHeight="false" outlineLevel="0" collapsed="false">
      <c r="A515" s="5" t="n">
        <v>510</v>
      </c>
      <c r="B515" s="14" t="s">
        <v>1376</v>
      </c>
      <c r="C515" s="15" t="s">
        <v>1424</v>
      </c>
      <c r="D515" s="8" t="s">
        <v>1378</v>
      </c>
      <c r="E515" s="8" t="s">
        <v>1425</v>
      </c>
      <c r="F515" s="8" t="s">
        <v>1429</v>
      </c>
      <c r="G515" s="5" t="s">
        <v>57</v>
      </c>
      <c r="H515" s="5" t="n">
        <v>1</v>
      </c>
      <c r="I515" s="8" t="s">
        <v>1430</v>
      </c>
      <c r="J515" s="9" t="s">
        <v>1431</v>
      </c>
    </row>
    <row r="516" customFormat="false" ht="99.95" hidden="false" customHeight="false" outlineLevel="0" collapsed="false">
      <c r="A516" s="5" t="n">
        <v>511</v>
      </c>
      <c r="B516" s="14" t="s">
        <v>1376</v>
      </c>
      <c r="C516" s="15" t="s">
        <v>1424</v>
      </c>
      <c r="D516" s="8" t="s">
        <v>1378</v>
      </c>
      <c r="E516" s="8" t="s">
        <v>1425</v>
      </c>
      <c r="F516" s="8" t="s">
        <v>556</v>
      </c>
      <c r="G516" s="5" t="s">
        <v>61</v>
      </c>
      <c r="H516" s="5" t="n">
        <v>1</v>
      </c>
      <c r="I516" s="8" t="s">
        <v>557</v>
      </c>
      <c r="J516" s="9" t="s">
        <v>1432</v>
      </c>
    </row>
    <row r="517" customFormat="false" ht="117.9" hidden="false" customHeight="false" outlineLevel="0" collapsed="false">
      <c r="A517" s="5" t="n">
        <v>512</v>
      </c>
      <c r="B517" s="14" t="s">
        <v>1376</v>
      </c>
      <c r="C517" s="15" t="s">
        <v>1424</v>
      </c>
      <c r="D517" s="8" t="s">
        <v>1378</v>
      </c>
      <c r="E517" s="8" t="s">
        <v>1425</v>
      </c>
      <c r="F517" s="8" t="s">
        <v>1433</v>
      </c>
      <c r="G517" s="5" t="s">
        <v>18</v>
      </c>
      <c r="H517" s="5" t="n">
        <v>1</v>
      </c>
      <c r="I517" s="8" t="s">
        <v>1434</v>
      </c>
      <c r="J517" s="9" t="s">
        <v>1435</v>
      </c>
    </row>
    <row r="518" customFormat="false" ht="91" hidden="false" customHeight="false" outlineLevel="0" collapsed="false">
      <c r="A518" s="5" t="n">
        <v>513</v>
      </c>
      <c r="B518" s="14" t="s">
        <v>1376</v>
      </c>
      <c r="C518" s="15" t="s">
        <v>1436</v>
      </c>
      <c r="D518" s="8" t="s">
        <v>1378</v>
      </c>
      <c r="E518" s="8" t="s">
        <v>1437</v>
      </c>
      <c r="F518" s="8" t="s">
        <v>1438</v>
      </c>
      <c r="G518" s="5" t="s">
        <v>57</v>
      </c>
      <c r="H518" s="5" t="n">
        <v>1</v>
      </c>
      <c r="I518" s="8" t="s">
        <v>1439</v>
      </c>
      <c r="J518" s="9" t="s">
        <v>1440</v>
      </c>
    </row>
    <row r="519" customFormat="false" ht="91" hidden="false" customHeight="false" outlineLevel="0" collapsed="false">
      <c r="A519" s="5" t="n">
        <v>514</v>
      </c>
      <c r="B519" s="14" t="s">
        <v>1376</v>
      </c>
      <c r="C519" s="15" t="s">
        <v>1436</v>
      </c>
      <c r="D519" s="8" t="s">
        <v>1378</v>
      </c>
      <c r="E519" s="8" t="s">
        <v>1437</v>
      </c>
      <c r="F519" s="8" t="s">
        <v>1441</v>
      </c>
      <c r="G519" s="5" t="s">
        <v>57</v>
      </c>
      <c r="H519" s="5" t="n">
        <v>1</v>
      </c>
      <c r="I519" s="8" t="s">
        <v>1442</v>
      </c>
      <c r="J519" s="9" t="s">
        <v>1443</v>
      </c>
    </row>
    <row r="520" customFormat="false" ht="99.95" hidden="false" customHeight="false" outlineLevel="0" collapsed="false">
      <c r="A520" s="5" t="n">
        <v>515</v>
      </c>
      <c r="B520" s="14" t="s">
        <v>1376</v>
      </c>
      <c r="C520" s="15" t="s">
        <v>1436</v>
      </c>
      <c r="D520" s="8" t="s">
        <v>1378</v>
      </c>
      <c r="E520" s="8" t="s">
        <v>1437</v>
      </c>
      <c r="F520" s="8" t="s">
        <v>1444</v>
      </c>
      <c r="G520" s="5" t="s">
        <v>57</v>
      </c>
      <c r="H520" s="5" t="n">
        <v>1</v>
      </c>
      <c r="I520" s="8" t="s">
        <v>1445</v>
      </c>
      <c r="J520" s="9" t="s">
        <v>1446</v>
      </c>
    </row>
    <row r="521" customFormat="false" ht="108.95" hidden="false" customHeight="false" outlineLevel="0" collapsed="false">
      <c r="A521" s="5" t="n">
        <v>516</v>
      </c>
      <c r="B521" s="14" t="s">
        <v>1376</v>
      </c>
      <c r="C521" s="15" t="s">
        <v>1436</v>
      </c>
      <c r="D521" s="8" t="s">
        <v>1378</v>
      </c>
      <c r="E521" s="8" t="s">
        <v>1437</v>
      </c>
      <c r="F521" s="8" t="s">
        <v>1447</v>
      </c>
      <c r="G521" s="5" t="s">
        <v>18</v>
      </c>
      <c r="H521" s="5" t="n">
        <v>1</v>
      </c>
      <c r="I521" s="8" t="s">
        <v>1448</v>
      </c>
      <c r="J521" s="9" t="s">
        <v>1449</v>
      </c>
    </row>
    <row r="522" customFormat="false" ht="108.95" hidden="false" customHeight="false" outlineLevel="0" collapsed="false">
      <c r="A522" s="5" t="n">
        <v>517</v>
      </c>
      <c r="B522" s="14" t="s">
        <v>1376</v>
      </c>
      <c r="C522" s="15" t="s">
        <v>1436</v>
      </c>
      <c r="D522" s="8" t="s">
        <v>1378</v>
      </c>
      <c r="E522" s="8" t="s">
        <v>1437</v>
      </c>
      <c r="F522" s="8" t="s">
        <v>1450</v>
      </c>
      <c r="G522" s="5" t="s">
        <v>57</v>
      </c>
      <c r="H522" s="5" t="n">
        <v>1</v>
      </c>
      <c r="I522" s="8" t="s">
        <v>1451</v>
      </c>
      <c r="J522" s="9" t="s">
        <v>1452</v>
      </c>
    </row>
    <row r="523" customFormat="false" ht="117.9" hidden="false" customHeight="false" outlineLevel="0" collapsed="false">
      <c r="A523" s="5" t="n">
        <v>518</v>
      </c>
      <c r="B523" s="14" t="s">
        <v>1376</v>
      </c>
      <c r="C523" s="15" t="s">
        <v>1436</v>
      </c>
      <c r="D523" s="8" t="s">
        <v>1378</v>
      </c>
      <c r="E523" s="8" t="s">
        <v>1437</v>
      </c>
      <c r="F523" s="8" t="s">
        <v>1453</v>
      </c>
      <c r="G523" s="5" t="s">
        <v>35</v>
      </c>
      <c r="H523" s="5" t="n">
        <v>1</v>
      </c>
      <c r="I523" s="8" t="s">
        <v>1454</v>
      </c>
      <c r="J523" s="9" t="s">
        <v>1455</v>
      </c>
    </row>
  </sheetData>
  <autoFilter ref="A5:I5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5" min="5" style="0" width="25"/>
    <col collapsed="false" customWidth="true" hidden="false" outlineLevel="0" max="6" min="6" style="0" width="28"/>
    <col collapsed="false" customWidth="true" hidden="false" outlineLevel="0" max="7" min="7" style="0" width="66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true" outlineLevel="0" max="11" min="11" style="0" width="4"/>
  </cols>
  <sheetData>
    <row r="1" customFormat="false" ht="18.55" hidden="false" customHeight="false" outlineLevel="0" collapsed="false">
      <c r="A1" s="1" t="s">
        <v>1456</v>
      </c>
    </row>
    <row r="2" customFormat="false" ht="15" hidden="false" customHeight="false" outlineLevel="0" collapsed="false">
      <c r="A2" s="2" t="s">
        <v>1457</v>
      </c>
    </row>
    <row r="3" customFormat="false" ht="15" hidden="false" customHeight="false" outlineLevel="0" collapsed="false">
      <c r="A3" s="3" t="s">
        <v>1458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1459</v>
      </c>
      <c r="H5" s="4" t="s">
        <v>1460</v>
      </c>
      <c r="I5" s="4" t="s">
        <v>1461</v>
      </c>
      <c r="J5" s="4" t="s">
        <v>1462</v>
      </c>
      <c r="K5" s="4" t="s">
        <v>12</v>
      </c>
    </row>
    <row r="6" customFormat="false" ht="261.9" hidden="false" customHeight="false" outlineLevel="0" collapsed="false">
      <c r="A6" s="5" t="n">
        <v>1</v>
      </c>
      <c r="B6" s="6" t="s">
        <v>13</v>
      </c>
      <c r="C6" s="7" t="s">
        <v>14</v>
      </c>
      <c r="D6" s="8" t="s">
        <v>15</v>
      </c>
      <c r="E6" s="8" t="s">
        <v>16</v>
      </c>
      <c r="F6" s="8" t="s">
        <v>17</v>
      </c>
      <c r="G6" s="8" t="s">
        <v>19</v>
      </c>
      <c r="H6" s="5" t="s">
        <v>18</v>
      </c>
      <c r="I6" s="16" t="s">
        <v>1463</v>
      </c>
      <c r="J6" s="8"/>
      <c r="K6" s="9" t="s">
        <v>1464</v>
      </c>
    </row>
    <row r="7" customFormat="false" ht="252.95" hidden="false" customHeight="false" outlineLevel="0" collapsed="false">
      <c r="A7" s="5" t="n">
        <v>2</v>
      </c>
      <c r="B7" s="6" t="s">
        <v>13</v>
      </c>
      <c r="C7" s="7" t="s">
        <v>14</v>
      </c>
      <c r="D7" s="8" t="s">
        <v>15</v>
      </c>
      <c r="E7" s="8" t="s">
        <v>16</v>
      </c>
      <c r="F7" s="8" t="s">
        <v>21</v>
      </c>
      <c r="G7" s="8" t="s">
        <v>23</v>
      </c>
      <c r="H7" s="5" t="s">
        <v>22</v>
      </c>
      <c r="I7" s="16" t="s">
        <v>1463</v>
      </c>
      <c r="J7" s="8"/>
      <c r="K7" s="9" t="s">
        <v>1465</v>
      </c>
    </row>
    <row r="8" customFormat="false" ht="288.8" hidden="false" customHeight="false" outlineLevel="0" collapsed="false">
      <c r="A8" s="5" t="n">
        <v>3</v>
      </c>
      <c r="B8" s="6" t="s">
        <v>13</v>
      </c>
      <c r="C8" s="7" t="s">
        <v>14</v>
      </c>
      <c r="D8" s="8" t="s">
        <v>15</v>
      </c>
      <c r="E8" s="8" t="s">
        <v>16</v>
      </c>
      <c r="F8" s="8" t="s">
        <v>25</v>
      </c>
      <c r="G8" s="8" t="s">
        <v>26</v>
      </c>
      <c r="H8" s="5" t="s">
        <v>22</v>
      </c>
      <c r="I8" s="16" t="s">
        <v>1463</v>
      </c>
      <c r="J8" s="8"/>
      <c r="K8" s="9" t="s">
        <v>1466</v>
      </c>
    </row>
    <row r="9" customFormat="false" ht="261.9" hidden="false" customHeight="false" outlineLevel="0" collapsed="false">
      <c r="A9" s="5" t="n">
        <v>4</v>
      </c>
      <c r="B9" s="6" t="s">
        <v>13</v>
      </c>
      <c r="C9" s="7" t="s">
        <v>14</v>
      </c>
      <c r="D9" s="8" t="s">
        <v>15</v>
      </c>
      <c r="E9" s="8" t="s">
        <v>16</v>
      </c>
      <c r="F9" s="8" t="s">
        <v>28</v>
      </c>
      <c r="G9" s="8" t="s">
        <v>29</v>
      </c>
      <c r="H9" s="5" t="s">
        <v>22</v>
      </c>
      <c r="I9" s="16" t="s">
        <v>1463</v>
      </c>
      <c r="J9" s="8"/>
      <c r="K9" s="9" t="s">
        <v>1467</v>
      </c>
    </row>
    <row r="10" customFormat="false" ht="252.95" hidden="false" customHeight="false" outlineLevel="0" collapsed="false">
      <c r="A10" s="5" t="n">
        <v>5</v>
      </c>
      <c r="B10" s="6" t="s">
        <v>13</v>
      </c>
      <c r="C10" s="7" t="s">
        <v>14</v>
      </c>
      <c r="D10" s="8" t="s">
        <v>15</v>
      </c>
      <c r="E10" s="8" t="s">
        <v>16</v>
      </c>
      <c r="F10" s="8" t="s">
        <v>31</v>
      </c>
      <c r="G10" s="8" t="s">
        <v>32</v>
      </c>
      <c r="H10" s="5" t="s">
        <v>18</v>
      </c>
      <c r="I10" s="16" t="s">
        <v>1463</v>
      </c>
      <c r="J10" s="8"/>
      <c r="K10" s="9" t="s">
        <v>1468</v>
      </c>
    </row>
    <row r="11" customFormat="false" ht="297.75" hidden="false" customHeight="false" outlineLevel="0" collapsed="false">
      <c r="A11" s="5" t="n">
        <v>6</v>
      </c>
      <c r="B11" s="6" t="s">
        <v>13</v>
      </c>
      <c r="C11" s="7" t="s">
        <v>14</v>
      </c>
      <c r="D11" s="8" t="s">
        <v>15</v>
      </c>
      <c r="E11" s="8" t="s">
        <v>16</v>
      </c>
      <c r="F11" s="8" t="s">
        <v>34</v>
      </c>
      <c r="G11" s="8" t="s">
        <v>36</v>
      </c>
      <c r="H11" s="5" t="s">
        <v>35</v>
      </c>
      <c r="I11" s="16" t="s">
        <v>1463</v>
      </c>
      <c r="J11" s="8"/>
      <c r="K11" s="9" t="s">
        <v>1469</v>
      </c>
    </row>
    <row r="12" customFormat="false" ht="288.8" hidden="false" customHeight="false" outlineLevel="0" collapsed="false">
      <c r="A12" s="5" t="n">
        <v>7</v>
      </c>
      <c r="B12" s="6" t="s">
        <v>13</v>
      </c>
      <c r="C12" s="7" t="s">
        <v>14</v>
      </c>
      <c r="D12" s="8" t="s">
        <v>15</v>
      </c>
      <c r="E12" s="8" t="s">
        <v>16</v>
      </c>
      <c r="F12" s="8" t="s">
        <v>38</v>
      </c>
      <c r="G12" s="8" t="s">
        <v>39</v>
      </c>
      <c r="H12" s="5" t="s">
        <v>18</v>
      </c>
      <c r="I12" s="16" t="s">
        <v>1463</v>
      </c>
      <c r="J12" s="8"/>
      <c r="K12" s="9" t="s">
        <v>1470</v>
      </c>
    </row>
    <row r="13" customFormat="false" ht="279.85" hidden="false" customHeight="false" outlineLevel="0" collapsed="false">
      <c r="A13" s="5" t="n">
        <v>8</v>
      </c>
      <c r="B13" s="6" t="s">
        <v>13</v>
      </c>
      <c r="C13" s="7" t="s">
        <v>41</v>
      </c>
      <c r="D13" s="8" t="s">
        <v>15</v>
      </c>
      <c r="E13" s="8" t="s">
        <v>42</v>
      </c>
      <c r="F13" s="8" t="s">
        <v>43</v>
      </c>
      <c r="G13" s="8" t="s">
        <v>44</v>
      </c>
      <c r="H13" s="5" t="s">
        <v>18</v>
      </c>
      <c r="I13" s="16" t="s">
        <v>1463</v>
      </c>
      <c r="J13" s="8"/>
      <c r="K13" s="9" t="s">
        <v>1471</v>
      </c>
    </row>
    <row r="14" customFormat="false" ht="279.85" hidden="false" customHeight="false" outlineLevel="0" collapsed="false">
      <c r="A14" s="5" t="n">
        <v>9</v>
      </c>
      <c r="B14" s="6" t="s">
        <v>13</v>
      </c>
      <c r="C14" s="7" t="s">
        <v>41</v>
      </c>
      <c r="D14" s="8" t="s">
        <v>15</v>
      </c>
      <c r="E14" s="8" t="s">
        <v>42</v>
      </c>
      <c r="F14" s="8" t="s">
        <v>46</v>
      </c>
      <c r="G14" s="8" t="s">
        <v>47</v>
      </c>
      <c r="H14" s="5" t="s">
        <v>18</v>
      </c>
      <c r="I14" s="16" t="s">
        <v>1463</v>
      </c>
      <c r="J14" s="8"/>
      <c r="K14" s="9" t="s">
        <v>1472</v>
      </c>
    </row>
    <row r="15" customFormat="false" ht="261.9" hidden="false" customHeight="false" outlineLevel="0" collapsed="false">
      <c r="A15" s="5" t="n">
        <v>10</v>
      </c>
      <c r="B15" s="6" t="s">
        <v>13</v>
      </c>
      <c r="C15" s="7" t="s">
        <v>41</v>
      </c>
      <c r="D15" s="8" t="s">
        <v>15</v>
      </c>
      <c r="E15" s="8" t="s">
        <v>42</v>
      </c>
      <c r="F15" s="8" t="s">
        <v>49</v>
      </c>
      <c r="G15" s="8" t="s">
        <v>50</v>
      </c>
      <c r="H15" s="5" t="s">
        <v>18</v>
      </c>
      <c r="I15" s="16" t="s">
        <v>1463</v>
      </c>
      <c r="J15" s="8"/>
      <c r="K15" s="9" t="s">
        <v>1473</v>
      </c>
    </row>
    <row r="16" customFormat="false" ht="270.85" hidden="false" customHeight="false" outlineLevel="0" collapsed="false">
      <c r="A16" s="5" t="n">
        <v>11</v>
      </c>
      <c r="B16" s="6" t="s">
        <v>13</v>
      </c>
      <c r="C16" s="7" t="s">
        <v>41</v>
      </c>
      <c r="D16" s="8" t="s">
        <v>15</v>
      </c>
      <c r="E16" s="8" t="s">
        <v>42</v>
      </c>
      <c r="F16" s="8" t="s">
        <v>52</v>
      </c>
      <c r="G16" s="8" t="s">
        <v>54</v>
      </c>
      <c r="H16" s="5" t="s">
        <v>53</v>
      </c>
      <c r="I16" s="16" t="s">
        <v>1463</v>
      </c>
      <c r="J16" s="8"/>
      <c r="K16" s="9" t="s">
        <v>1474</v>
      </c>
    </row>
    <row r="17" customFormat="false" ht="252.95" hidden="false" customHeight="false" outlineLevel="0" collapsed="false">
      <c r="A17" s="5" t="n">
        <v>12</v>
      </c>
      <c r="B17" s="6" t="s">
        <v>13</v>
      </c>
      <c r="C17" s="7" t="s">
        <v>41</v>
      </c>
      <c r="D17" s="8" t="s">
        <v>15</v>
      </c>
      <c r="E17" s="8" t="s">
        <v>42</v>
      </c>
      <c r="F17" s="8" t="s">
        <v>56</v>
      </c>
      <c r="G17" s="8" t="s">
        <v>58</v>
      </c>
      <c r="H17" s="5" t="s">
        <v>57</v>
      </c>
      <c r="I17" s="16" t="s">
        <v>1463</v>
      </c>
      <c r="J17" s="8"/>
      <c r="K17" s="9" t="s">
        <v>1475</v>
      </c>
    </row>
    <row r="18" customFormat="false" ht="261.9" hidden="false" customHeight="false" outlineLevel="0" collapsed="false">
      <c r="A18" s="5" t="n">
        <v>13</v>
      </c>
      <c r="B18" s="6" t="s">
        <v>13</v>
      </c>
      <c r="C18" s="7" t="s">
        <v>41</v>
      </c>
      <c r="D18" s="8" t="s">
        <v>15</v>
      </c>
      <c r="E18" s="8" t="s">
        <v>42</v>
      </c>
      <c r="F18" s="8" t="s">
        <v>60</v>
      </c>
      <c r="G18" s="8" t="s">
        <v>62</v>
      </c>
      <c r="H18" s="5" t="s">
        <v>61</v>
      </c>
      <c r="I18" s="16" t="s">
        <v>1463</v>
      </c>
      <c r="J18" s="8"/>
      <c r="K18" s="9" t="s">
        <v>1476</v>
      </c>
    </row>
    <row r="19" customFormat="false" ht="261.9" hidden="false" customHeight="false" outlineLevel="0" collapsed="false">
      <c r="A19" s="5" t="n">
        <v>14</v>
      </c>
      <c r="B19" s="6" t="s">
        <v>13</v>
      </c>
      <c r="C19" s="7" t="s">
        <v>64</v>
      </c>
      <c r="D19" s="8" t="s">
        <v>15</v>
      </c>
      <c r="E19" s="8" t="s">
        <v>65</v>
      </c>
      <c r="F19" s="8" t="s">
        <v>66</v>
      </c>
      <c r="G19" s="8" t="s">
        <v>67</v>
      </c>
      <c r="H19" s="5" t="s">
        <v>61</v>
      </c>
      <c r="I19" s="16" t="s">
        <v>1463</v>
      </c>
      <c r="J19" s="8"/>
      <c r="K19" s="9" t="s">
        <v>1477</v>
      </c>
    </row>
    <row r="20" customFormat="false" ht="252.95" hidden="false" customHeight="false" outlineLevel="0" collapsed="false">
      <c r="A20" s="5" t="n">
        <v>15</v>
      </c>
      <c r="B20" s="6" t="s">
        <v>13</v>
      </c>
      <c r="C20" s="7" t="s">
        <v>64</v>
      </c>
      <c r="D20" s="8" t="s">
        <v>15</v>
      </c>
      <c r="E20" s="8" t="s">
        <v>65</v>
      </c>
      <c r="F20" s="8" t="s">
        <v>66</v>
      </c>
      <c r="G20" s="8" t="s">
        <v>1478</v>
      </c>
      <c r="H20" s="5" t="s">
        <v>61</v>
      </c>
      <c r="I20" s="16" t="s">
        <v>1463</v>
      </c>
      <c r="J20" s="8"/>
      <c r="K20" s="9" t="s">
        <v>1479</v>
      </c>
    </row>
    <row r="21" customFormat="false" ht="216.4" hidden="false" customHeight="false" outlineLevel="0" collapsed="false">
      <c r="A21" s="5" t="n">
        <v>16</v>
      </c>
      <c r="B21" s="6" t="s">
        <v>13</v>
      </c>
      <c r="C21" s="7" t="s">
        <v>64</v>
      </c>
      <c r="D21" s="8" t="s">
        <v>15</v>
      </c>
      <c r="E21" s="8" t="s">
        <v>65</v>
      </c>
      <c r="F21" s="8" t="s">
        <v>69</v>
      </c>
      <c r="G21" s="8" t="s">
        <v>70</v>
      </c>
      <c r="H21" s="5" t="s">
        <v>22</v>
      </c>
      <c r="I21" s="17" t="s">
        <v>1480</v>
      </c>
      <c r="J21" s="18" t="n">
        <v>121.76</v>
      </c>
      <c r="K21" s="9" t="s">
        <v>1481</v>
      </c>
    </row>
    <row r="22" customFormat="false" ht="216.4" hidden="false" customHeight="false" outlineLevel="0" collapsed="false">
      <c r="A22" s="5" t="n">
        <v>17</v>
      </c>
      <c r="B22" s="6" t="s">
        <v>13</v>
      </c>
      <c r="C22" s="7" t="s">
        <v>64</v>
      </c>
      <c r="D22" s="8" t="s">
        <v>15</v>
      </c>
      <c r="E22" s="8" t="s">
        <v>65</v>
      </c>
      <c r="F22" s="8" t="s">
        <v>69</v>
      </c>
      <c r="G22" s="8" t="s">
        <v>1482</v>
      </c>
      <c r="H22" s="5" t="s">
        <v>22</v>
      </c>
      <c r="I22" s="17" t="s">
        <v>1480</v>
      </c>
      <c r="J22" s="18" t="n">
        <v>119.36</v>
      </c>
      <c r="K22" s="9" t="s">
        <v>1483</v>
      </c>
    </row>
    <row r="23" customFormat="false" ht="216.4" hidden="false" customHeight="false" outlineLevel="0" collapsed="false">
      <c r="A23" s="5" t="n">
        <v>18</v>
      </c>
      <c r="B23" s="6" t="s">
        <v>13</v>
      </c>
      <c r="C23" s="7" t="s">
        <v>64</v>
      </c>
      <c r="D23" s="8" t="s">
        <v>15</v>
      </c>
      <c r="E23" s="8" t="s">
        <v>65</v>
      </c>
      <c r="F23" s="8" t="s">
        <v>69</v>
      </c>
      <c r="G23" s="8" t="s">
        <v>1484</v>
      </c>
      <c r="H23" s="5" t="s">
        <v>22</v>
      </c>
      <c r="I23" s="16" t="s">
        <v>1463</v>
      </c>
      <c r="J23" s="8"/>
      <c r="K23" s="9" t="s">
        <v>1485</v>
      </c>
    </row>
    <row r="24" customFormat="false" ht="216.4" hidden="false" customHeight="false" outlineLevel="0" collapsed="false">
      <c r="A24" s="5" t="n">
        <v>19</v>
      </c>
      <c r="B24" s="6" t="s">
        <v>13</v>
      </c>
      <c r="C24" s="7" t="s">
        <v>64</v>
      </c>
      <c r="D24" s="8" t="s">
        <v>15</v>
      </c>
      <c r="E24" s="8" t="s">
        <v>65</v>
      </c>
      <c r="F24" s="8" t="s">
        <v>69</v>
      </c>
      <c r="G24" s="8" t="s">
        <v>1486</v>
      </c>
      <c r="H24" s="5" t="s">
        <v>22</v>
      </c>
      <c r="I24" s="16" t="s">
        <v>1463</v>
      </c>
      <c r="J24" s="8"/>
      <c r="K24" s="9" t="s">
        <v>1487</v>
      </c>
    </row>
    <row r="25" customFormat="false" ht="153.7" hidden="false" customHeight="false" outlineLevel="0" collapsed="false">
      <c r="A25" s="5" t="n">
        <v>20</v>
      </c>
      <c r="B25" s="6" t="s">
        <v>13</v>
      </c>
      <c r="C25" s="7" t="s">
        <v>64</v>
      </c>
      <c r="D25" s="8" t="s">
        <v>15</v>
      </c>
      <c r="E25" s="8" t="s">
        <v>65</v>
      </c>
      <c r="F25" s="8" t="s">
        <v>72</v>
      </c>
      <c r="G25" s="8" t="s">
        <v>73</v>
      </c>
      <c r="H25" s="5" t="s">
        <v>53</v>
      </c>
      <c r="I25" s="17" t="s">
        <v>1480</v>
      </c>
      <c r="J25" s="18" t="n">
        <v>1.0176</v>
      </c>
      <c r="K25" s="9" t="s">
        <v>1488</v>
      </c>
    </row>
    <row r="26" customFormat="false" ht="153.7" hidden="false" customHeight="false" outlineLevel="0" collapsed="false">
      <c r="A26" s="5" t="n">
        <v>21</v>
      </c>
      <c r="B26" s="6" t="s">
        <v>13</v>
      </c>
      <c r="C26" s="7" t="s">
        <v>64</v>
      </c>
      <c r="D26" s="8" t="s">
        <v>15</v>
      </c>
      <c r="E26" s="8" t="s">
        <v>65</v>
      </c>
      <c r="F26" s="8" t="s">
        <v>72</v>
      </c>
      <c r="G26" s="8" t="s">
        <v>1489</v>
      </c>
      <c r="H26" s="5" t="s">
        <v>53</v>
      </c>
      <c r="I26" s="17" t="s">
        <v>1480</v>
      </c>
      <c r="J26" s="18" t="n">
        <v>0.9832</v>
      </c>
      <c r="K26" s="9" t="s">
        <v>1490</v>
      </c>
    </row>
    <row r="27" customFormat="false" ht="153.7" hidden="false" customHeight="false" outlineLevel="0" collapsed="false">
      <c r="A27" s="5" t="n">
        <v>22</v>
      </c>
      <c r="B27" s="6" t="s">
        <v>13</v>
      </c>
      <c r="C27" s="7" t="s">
        <v>64</v>
      </c>
      <c r="D27" s="8" t="s">
        <v>15</v>
      </c>
      <c r="E27" s="8" t="s">
        <v>65</v>
      </c>
      <c r="F27" s="8" t="s">
        <v>72</v>
      </c>
      <c r="G27" s="8" t="s">
        <v>1491</v>
      </c>
      <c r="H27" s="5" t="s">
        <v>53</v>
      </c>
      <c r="I27" s="17" t="s">
        <v>1480</v>
      </c>
      <c r="J27" s="18" t="n">
        <v>0.96</v>
      </c>
      <c r="K27" s="9" t="s">
        <v>1492</v>
      </c>
    </row>
    <row r="28" customFormat="false" ht="153.7" hidden="false" customHeight="false" outlineLevel="0" collapsed="false">
      <c r="A28" s="5" t="n">
        <v>23</v>
      </c>
      <c r="B28" s="6" t="s">
        <v>13</v>
      </c>
      <c r="C28" s="7" t="s">
        <v>64</v>
      </c>
      <c r="D28" s="8" t="s">
        <v>15</v>
      </c>
      <c r="E28" s="8" t="s">
        <v>65</v>
      </c>
      <c r="F28" s="8" t="s">
        <v>72</v>
      </c>
      <c r="G28" s="8" t="s">
        <v>1493</v>
      </c>
      <c r="H28" s="5" t="s">
        <v>53</v>
      </c>
      <c r="I28" s="17" t="s">
        <v>1480</v>
      </c>
      <c r="J28" s="18" t="n">
        <v>0.9488</v>
      </c>
      <c r="K28" s="9" t="s">
        <v>1494</v>
      </c>
    </row>
    <row r="29" customFormat="false" ht="153.7" hidden="false" customHeight="false" outlineLevel="0" collapsed="false">
      <c r="A29" s="5" t="n">
        <v>24</v>
      </c>
      <c r="B29" s="6" t="s">
        <v>13</v>
      </c>
      <c r="C29" s="7" t="s">
        <v>64</v>
      </c>
      <c r="D29" s="8" t="s">
        <v>15</v>
      </c>
      <c r="E29" s="8" t="s">
        <v>65</v>
      </c>
      <c r="F29" s="8" t="s">
        <v>72</v>
      </c>
      <c r="G29" s="8" t="s">
        <v>1495</v>
      </c>
      <c r="H29" s="5" t="s">
        <v>53</v>
      </c>
      <c r="I29" s="17" t="s">
        <v>1480</v>
      </c>
      <c r="J29" s="18" t="n">
        <v>0.9256</v>
      </c>
      <c r="K29" s="9" t="s">
        <v>1496</v>
      </c>
    </row>
    <row r="30" customFormat="false" ht="153.7" hidden="false" customHeight="false" outlineLevel="0" collapsed="false">
      <c r="A30" s="5" t="n">
        <v>25</v>
      </c>
      <c r="B30" s="6" t="s">
        <v>13</v>
      </c>
      <c r="C30" s="7" t="s">
        <v>64</v>
      </c>
      <c r="D30" s="8" t="s">
        <v>15</v>
      </c>
      <c r="E30" s="8" t="s">
        <v>65</v>
      </c>
      <c r="F30" s="8" t="s">
        <v>72</v>
      </c>
      <c r="G30" s="8" t="s">
        <v>1497</v>
      </c>
      <c r="H30" s="5" t="s">
        <v>53</v>
      </c>
      <c r="I30" s="17" t="s">
        <v>1480</v>
      </c>
      <c r="J30" s="18" t="n">
        <v>0.9024</v>
      </c>
      <c r="K30" s="9" t="s">
        <v>1498</v>
      </c>
    </row>
    <row r="31" customFormat="false" ht="153.7" hidden="false" customHeight="false" outlineLevel="0" collapsed="false">
      <c r="A31" s="5" t="n">
        <v>26</v>
      </c>
      <c r="B31" s="6" t="s">
        <v>13</v>
      </c>
      <c r="C31" s="7" t="s">
        <v>64</v>
      </c>
      <c r="D31" s="8" t="s">
        <v>15</v>
      </c>
      <c r="E31" s="8" t="s">
        <v>65</v>
      </c>
      <c r="F31" s="8" t="s">
        <v>72</v>
      </c>
      <c r="G31" s="8" t="s">
        <v>1499</v>
      </c>
      <c r="H31" s="5" t="s">
        <v>53</v>
      </c>
      <c r="I31" s="17" t="s">
        <v>1480</v>
      </c>
      <c r="J31" s="18" t="n">
        <v>0.8912</v>
      </c>
      <c r="K31" s="9" t="s">
        <v>1500</v>
      </c>
    </row>
    <row r="32" customFormat="false" ht="153.7" hidden="false" customHeight="false" outlineLevel="0" collapsed="false">
      <c r="A32" s="5" t="n">
        <v>27</v>
      </c>
      <c r="B32" s="6" t="s">
        <v>13</v>
      </c>
      <c r="C32" s="7" t="s">
        <v>64</v>
      </c>
      <c r="D32" s="8" t="s">
        <v>15</v>
      </c>
      <c r="E32" s="8" t="s">
        <v>65</v>
      </c>
      <c r="F32" s="8" t="s">
        <v>72</v>
      </c>
      <c r="G32" s="8" t="s">
        <v>1501</v>
      </c>
      <c r="H32" s="5" t="s">
        <v>53</v>
      </c>
      <c r="I32" s="17" t="s">
        <v>1480</v>
      </c>
      <c r="J32" s="18" t="n">
        <v>1.0064</v>
      </c>
      <c r="K32" s="9" t="s">
        <v>1502</v>
      </c>
    </row>
    <row r="33" customFormat="false" ht="153.7" hidden="false" customHeight="false" outlineLevel="0" collapsed="false">
      <c r="A33" s="5" t="n">
        <v>28</v>
      </c>
      <c r="B33" s="6" t="s">
        <v>13</v>
      </c>
      <c r="C33" s="7" t="s">
        <v>64</v>
      </c>
      <c r="D33" s="8" t="s">
        <v>15</v>
      </c>
      <c r="E33" s="8" t="s">
        <v>65</v>
      </c>
      <c r="F33" s="8" t="s">
        <v>72</v>
      </c>
      <c r="G33" s="8" t="s">
        <v>1503</v>
      </c>
      <c r="H33" s="5" t="s">
        <v>53</v>
      </c>
      <c r="I33" s="16" t="s">
        <v>1463</v>
      </c>
      <c r="J33" s="8"/>
      <c r="K33" s="9" t="s">
        <v>1504</v>
      </c>
    </row>
    <row r="34" customFormat="false" ht="225.35" hidden="false" customHeight="false" outlineLevel="0" collapsed="false">
      <c r="A34" s="5" t="n">
        <v>29</v>
      </c>
      <c r="B34" s="6" t="s">
        <v>13</v>
      </c>
      <c r="C34" s="7" t="s">
        <v>64</v>
      </c>
      <c r="D34" s="8" t="s">
        <v>15</v>
      </c>
      <c r="E34" s="8" t="s">
        <v>65</v>
      </c>
      <c r="F34" s="8" t="s">
        <v>75</v>
      </c>
      <c r="G34" s="8" t="s">
        <v>76</v>
      </c>
      <c r="H34" s="5" t="s">
        <v>53</v>
      </c>
      <c r="I34" s="17" t="s">
        <v>1480</v>
      </c>
      <c r="J34" s="18" t="n">
        <v>1.404</v>
      </c>
      <c r="K34" s="9" t="s">
        <v>1505</v>
      </c>
    </row>
    <row r="35" customFormat="false" ht="234.3" hidden="false" customHeight="false" outlineLevel="0" collapsed="false">
      <c r="A35" s="5" t="n">
        <v>30</v>
      </c>
      <c r="B35" s="6" t="s">
        <v>13</v>
      </c>
      <c r="C35" s="7" t="s">
        <v>64</v>
      </c>
      <c r="D35" s="8" t="s">
        <v>15</v>
      </c>
      <c r="E35" s="8" t="s">
        <v>65</v>
      </c>
      <c r="F35" s="8" t="s">
        <v>78</v>
      </c>
      <c r="G35" s="8" t="s">
        <v>79</v>
      </c>
      <c r="H35" s="5" t="s">
        <v>53</v>
      </c>
      <c r="I35" s="17" t="s">
        <v>1480</v>
      </c>
      <c r="J35" s="18" t="n">
        <v>6.84</v>
      </c>
      <c r="K35" s="9" t="s">
        <v>1506</v>
      </c>
    </row>
    <row r="36" customFormat="false" ht="252.95" hidden="false" customHeight="false" outlineLevel="0" collapsed="false">
      <c r="A36" s="5" t="n">
        <v>31</v>
      </c>
      <c r="B36" s="6" t="s">
        <v>13</v>
      </c>
      <c r="C36" s="7" t="s">
        <v>64</v>
      </c>
      <c r="D36" s="8" t="s">
        <v>15</v>
      </c>
      <c r="E36" s="8" t="s">
        <v>65</v>
      </c>
      <c r="F36" s="8" t="s">
        <v>81</v>
      </c>
      <c r="G36" s="8" t="s">
        <v>82</v>
      </c>
      <c r="H36" s="5" t="s">
        <v>35</v>
      </c>
      <c r="I36" s="16" t="s">
        <v>1463</v>
      </c>
      <c r="J36" s="8"/>
      <c r="K36" s="9" t="s">
        <v>1507</v>
      </c>
    </row>
    <row r="37" customFormat="false" ht="234.3" hidden="false" customHeight="false" outlineLevel="0" collapsed="false">
      <c r="A37" s="5" t="n">
        <v>32</v>
      </c>
      <c r="B37" s="6" t="s">
        <v>13</v>
      </c>
      <c r="C37" s="7" t="s">
        <v>64</v>
      </c>
      <c r="D37" s="8" t="s">
        <v>15</v>
      </c>
      <c r="E37" s="8" t="s">
        <v>65</v>
      </c>
      <c r="F37" s="8" t="s">
        <v>84</v>
      </c>
      <c r="G37" s="8" t="s">
        <v>85</v>
      </c>
      <c r="H37" s="5" t="s">
        <v>57</v>
      </c>
      <c r="I37" s="17" t="s">
        <v>1480</v>
      </c>
      <c r="J37" s="18" t="n">
        <v>66</v>
      </c>
      <c r="K37" s="9" t="s">
        <v>1508</v>
      </c>
    </row>
    <row r="38" customFormat="false" ht="225.35" hidden="false" customHeight="false" outlineLevel="0" collapsed="false">
      <c r="A38" s="5" t="n">
        <v>33</v>
      </c>
      <c r="B38" s="6" t="s">
        <v>13</v>
      </c>
      <c r="C38" s="7" t="s">
        <v>64</v>
      </c>
      <c r="D38" s="8" t="s">
        <v>15</v>
      </c>
      <c r="E38" s="8" t="s">
        <v>65</v>
      </c>
      <c r="F38" s="8" t="s">
        <v>84</v>
      </c>
      <c r="G38" s="8" t="s">
        <v>1509</v>
      </c>
      <c r="H38" s="5" t="s">
        <v>57</v>
      </c>
      <c r="I38" s="17" t="s">
        <v>1480</v>
      </c>
      <c r="J38" s="18" t="n">
        <v>48</v>
      </c>
      <c r="K38" s="9" t="s">
        <v>1510</v>
      </c>
    </row>
    <row r="39" customFormat="false" ht="171.6" hidden="false" customHeight="false" outlineLevel="0" collapsed="false">
      <c r="A39" s="5" t="n">
        <v>34</v>
      </c>
      <c r="B39" s="6" t="s">
        <v>13</v>
      </c>
      <c r="C39" s="7" t="s">
        <v>64</v>
      </c>
      <c r="D39" s="8" t="s">
        <v>15</v>
      </c>
      <c r="E39" s="8" t="s">
        <v>65</v>
      </c>
      <c r="F39" s="8" t="s">
        <v>87</v>
      </c>
      <c r="G39" s="8" t="s">
        <v>88</v>
      </c>
      <c r="H39" s="5" t="s">
        <v>57</v>
      </c>
      <c r="I39" s="17" t="s">
        <v>1480</v>
      </c>
      <c r="J39" s="18" t="n">
        <v>55</v>
      </c>
      <c r="K39" s="9" t="s">
        <v>1511</v>
      </c>
    </row>
    <row r="40" customFormat="false" ht="153.7" hidden="false" customHeight="false" outlineLevel="0" collapsed="false">
      <c r="A40" s="5" t="n">
        <v>35</v>
      </c>
      <c r="B40" s="6" t="s">
        <v>13</v>
      </c>
      <c r="C40" s="7" t="s">
        <v>64</v>
      </c>
      <c r="D40" s="8" t="s">
        <v>15</v>
      </c>
      <c r="E40" s="8" t="s">
        <v>65</v>
      </c>
      <c r="F40" s="8" t="s">
        <v>87</v>
      </c>
      <c r="G40" s="8" t="s">
        <v>1512</v>
      </c>
      <c r="H40" s="5" t="s">
        <v>57</v>
      </c>
      <c r="I40" s="16" t="s">
        <v>1463</v>
      </c>
      <c r="J40" s="8"/>
      <c r="K40" s="9" t="s">
        <v>1513</v>
      </c>
    </row>
    <row r="41" customFormat="false" ht="225.35" hidden="false" customHeight="false" outlineLevel="0" collapsed="false">
      <c r="A41" s="5" t="n">
        <v>36</v>
      </c>
      <c r="B41" s="6" t="s">
        <v>13</v>
      </c>
      <c r="C41" s="7" t="s">
        <v>64</v>
      </c>
      <c r="D41" s="8" t="s">
        <v>15</v>
      </c>
      <c r="E41" s="8" t="s">
        <v>65</v>
      </c>
      <c r="F41" s="8" t="s">
        <v>90</v>
      </c>
      <c r="G41" s="8" t="s">
        <v>91</v>
      </c>
      <c r="H41" s="5" t="s">
        <v>57</v>
      </c>
      <c r="I41" s="17" t="s">
        <v>1480</v>
      </c>
      <c r="J41" s="18" t="n">
        <v>385</v>
      </c>
      <c r="K41" s="9" t="s">
        <v>1514</v>
      </c>
    </row>
    <row r="42" customFormat="false" ht="225.35" hidden="false" customHeight="false" outlineLevel="0" collapsed="false">
      <c r="A42" s="5" t="n">
        <v>37</v>
      </c>
      <c r="B42" s="6" t="s">
        <v>13</v>
      </c>
      <c r="C42" s="7" t="s">
        <v>64</v>
      </c>
      <c r="D42" s="8" t="s">
        <v>15</v>
      </c>
      <c r="E42" s="8" t="s">
        <v>65</v>
      </c>
      <c r="F42" s="8" t="s">
        <v>90</v>
      </c>
      <c r="G42" s="8" t="s">
        <v>1515</v>
      </c>
      <c r="H42" s="5" t="s">
        <v>57</v>
      </c>
      <c r="I42" s="17" t="s">
        <v>1480</v>
      </c>
      <c r="J42" s="18" t="n">
        <v>330</v>
      </c>
      <c r="K42" s="9" t="s">
        <v>1516</v>
      </c>
    </row>
    <row r="43" customFormat="false" ht="153.7" hidden="false" customHeight="false" outlineLevel="0" collapsed="false">
      <c r="A43" s="5" t="n">
        <v>38</v>
      </c>
      <c r="B43" s="6" t="s">
        <v>13</v>
      </c>
      <c r="C43" s="7" t="s">
        <v>64</v>
      </c>
      <c r="D43" s="8" t="s">
        <v>15</v>
      </c>
      <c r="E43" s="8" t="s">
        <v>65</v>
      </c>
      <c r="F43" s="8" t="s">
        <v>93</v>
      </c>
      <c r="G43" s="8" t="s">
        <v>94</v>
      </c>
      <c r="H43" s="5" t="s">
        <v>57</v>
      </c>
      <c r="I43" s="16" t="s">
        <v>1463</v>
      </c>
      <c r="J43" s="8"/>
      <c r="K43" s="9" t="s">
        <v>1517</v>
      </c>
    </row>
    <row r="44" customFormat="false" ht="207.45" hidden="false" customHeight="false" outlineLevel="0" collapsed="false">
      <c r="A44" s="5" t="n">
        <v>39</v>
      </c>
      <c r="B44" s="6" t="s">
        <v>13</v>
      </c>
      <c r="C44" s="7" t="s">
        <v>64</v>
      </c>
      <c r="D44" s="8" t="s">
        <v>15</v>
      </c>
      <c r="E44" s="8" t="s">
        <v>65</v>
      </c>
      <c r="F44" s="8" t="s">
        <v>93</v>
      </c>
      <c r="G44" s="8" t="s">
        <v>1518</v>
      </c>
      <c r="H44" s="5" t="s">
        <v>57</v>
      </c>
      <c r="I44" s="16" t="s">
        <v>1463</v>
      </c>
      <c r="J44" s="8"/>
      <c r="K44" s="9" t="s">
        <v>1519</v>
      </c>
    </row>
    <row r="45" customFormat="false" ht="180.55" hidden="false" customHeight="false" outlineLevel="0" collapsed="false">
      <c r="A45" s="5" t="n">
        <v>40</v>
      </c>
      <c r="B45" s="6" t="s">
        <v>13</v>
      </c>
      <c r="C45" s="7" t="s">
        <v>64</v>
      </c>
      <c r="D45" s="8" t="s">
        <v>15</v>
      </c>
      <c r="E45" s="8" t="s">
        <v>65</v>
      </c>
      <c r="F45" s="8" t="s">
        <v>96</v>
      </c>
      <c r="G45" s="8" t="s">
        <v>97</v>
      </c>
      <c r="H45" s="5" t="s">
        <v>57</v>
      </c>
      <c r="I45" s="17" t="s">
        <v>1480</v>
      </c>
      <c r="J45" s="18" t="n">
        <v>220</v>
      </c>
      <c r="K45" s="9" t="s">
        <v>1520</v>
      </c>
    </row>
    <row r="46" customFormat="false" ht="207.45" hidden="false" customHeight="false" outlineLevel="0" collapsed="false">
      <c r="A46" s="5" t="n">
        <v>41</v>
      </c>
      <c r="B46" s="6" t="s">
        <v>13</v>
      </c>
      <c r="C46" s="7" t="s">
        <v>64</v>
      </c>
      <c r="D46" s="8" t="s">
        <v>15</v>
      </c>
      <c r="E46" s="8" t="s">
        <v>65</v>
      </c>
      <c r="F46" s="8" t="s">
        <v>99</v>
      </c>
      <c r="G46" s="8" t="s">
        <v>100</v>
      </c>
      <c r="H46" s="5" t="s">
        <v>57</v>
      </c>
      <c r="I46" s="16" t="s">
        <v>1463</v>
      </c>
      <c r="J46" s="8"/>
      <c r="K46" s="9" t="s">
        <v>1521</v>
      </c>
    </row>
    <row r="47" customFormat="false" ht="234.3" hidden="false" customHeight="false" outlineLevel="0" collapsed="false">
      <c r="A47" s="5" t="n">
        <v>42</v>
      </c>
      <c r="B47" s="6" t="s">
        <v>13</v>
      </c>
      <c r="C47" s="7" t="s">
        <v>64</v>
      </c>
      <c r="D47" s="8" t="s">
        <v>15</v>
      </c>
      <c r="E47" s="8" t="s">
        <v>102</v>
      </c>
      <c r="F47" s="8" t="s">
        <v>103</v>
      </c>
      <c r="G47" s="8" t="s">
        <v>104</v>
      </c>
      <c r="H47" s="5" t="s">
        <v>61</v>
      </c>
      <c r="I47" s="16" t="s">
        <v>1463</v>
      </c>
      <c r="J47" s="8"/>
      <c r="K47" s="9" t="s">
        <v>1522</v>
      </c>
    </row>
    <row r="48" customFormat="false" ht="225.35" hidden="false" customHeight="false" outlineLevel="0" collapsed="false">
      <c r="A48" s="5" t="n">
        <v>43</v>
      </c>
      <c r="B48" s="6" t="s">
        <v>13</v>
      </c>
      <c r="C48" s="7" t="s">
        <v>64</v>
      </c>
      <c r="D48" s="8" t="s">
        <v>15</v>
      </c>
      <c r="E48" s="8" t="s">
        <v>102</v>
      </c>
      <c r="F48" s="8" t="s">
        <v>106</v>
      </c>
      <c r="G48" s="8" t="s">
        <v>107</v>
      </c>
      <c r="H48" s="5" t="s">
        <v>61</v>
      </c>
      <c r="I48" s="16" t="s">
        <v>1463</v>
      </c>
      <c r="J48" s="8"/>
      <c r="K48" s="9" t="s">
        <v>1523</v>
      </c>
    </row>
    <row r="49" customFormat="false" ht="234.3" hidden="false" customHeight="false" outlineLevel="0" collapsed="false">
      <c r="A49" s="5" t="n">
        <v>44</v>
      </c>
      <c r="B49" s="6" t="s">
        <v>13</v>
      </c>
      <c r="C49" s="7" t="s">
        <v>64</v>
      </c>
      <c r="D49" s="8" t="s">
        <v>15</v>
      </c>
      <c r="E49" s="8" t="s">
        <v>102</v>
      </c>
      <c r="F49" s="8" t="s">
        <v>109</v>
      </c>
      <c r="G49" s="8" t="s">
        <v>110</v>
      </c>
      <c r="H49" s="5" t="s">
        <v>57</v>
      </c>
      <c r="I49" s="16" t="s">
        <v>1463</v>
      </c>
      <c r="J49" s="8"/>
      <c r="K49" s="9" t="s">
        <v>1524</v>
      </c>
    </row>
    <row r="50" customFormat="false" ht="252.95" hidden="false" customHeight="false" outlineLevel="0" collapsed="false">
      <c r="A50" s="5" t="n">
        <v>45</v>
      </c>
      <c r="B50" s="6" t="s">
        <v>13</v>
      </c>
      <c r="C50" s="7" t="s">
        <v>64</v>
      </c>
      <c r="D50" s="8" t="s">
        <v>15</v>
      </c>
      <c r="E50" s="8" t="s">
        <v>102</v>
      </c>
      <c r="F50" s="8" t="s">
        <v>112</v>
      </c>
      <c r="G50" s="8" t="s">
        <v>113</v>
      </c>
      <c r="H50" s="5" t="s">
        <v>57</v>
      </c>
      <c r="I50" s="16" t="s">
        <v>1463</v>
      </c>
      <c r="J50" s="8"/>
      <c r="K50" s="9" t="s">
        <v>1525</v>
      </c>
    </row>
    <row r="51" customFormat="false" ht="180.55" hidden="false" customHeight="false" outlineLevel="0" collapsed="false">
      <c r="A51" s="5" t="n">
        <v>46</v>
      </c>
      <c r="B51" s="6" t="s">
        <v>13</v>
      </c>
      <c r="C51" s="7" t="s">
        <v>64</v>
      </c>
      <c r="D51" s="8" t="s">
        <v>15</v>
      </c>
      <c r="E51" s="8" t="s">
        <v>102</v>
      </c>
      <c r="F51" s="8" t="s">
        <v>93</v>
      </c>
      <c r="G51" s="8" t="s">
        <v>94</v>
      </c>
      <c r="H51" s="5" t="s">
        <v>57</v>
      </c>
      <c r="I51" s="16" t="s">
        <v>1463</v>
      </c>
      <c r="J51" s="8"/>
      <c r="K51" s="9" t="s">
        <v>1526</v>
      </c>
    </row>
    <row r="52" customFormat="false" ht="234.3" hidden="false" customHeight="false" outlineLevel="0" collapsed="false">
      <c r="A52" s="5" t="n">
        <v>47</v>
      </c>
      <c r="B52" s="6" t="s">
        <v>13</v>
      </c>
      <c r="C52" s="7" t="s">
        <v>64</v>
      </c>
      <c r="D52" s="8" t="s">
        <v>15</v>
      </c>
      <c r="E52" s="8" t="s">
        <v>102</v>
      </c>
      <c r="F52" s="8" t="s">
        <v>93</v>
      </c>
      <c r="G52" s="8" t="s">
        <v>1518</v>
      </c>
      <c r="H52" s="5" t="s">
        <v>57</v>
      </c>
      <c r="I52" s="16" t="s">
        <v>1463</v>
      </c>
      <c r="J52" s="8"/>
      <c r="K52" s="9" t="s">
        <v>1527</v>
      </c>
    </row>
    <row r="53" customFormat="false" ht="126.85" hidden="false" customHeight="false" outlineLevel="0" collapsed="false">
      <c r="A53" s="5" t="n">
        <v>48</v>
      </c>
      <c r="B53" s="6" t="s">
        <v>13</v>
      </c>
      <c r="C53" s="7" t="s">
        <v>116</v>
      </c>
      <c r="D53" s="8" t="s">
        <v>15</v>
      </c>
      <c r="E53" s="8" t="s">
        <v>117</v>
      </c>
      <c r="F53" s="8" t="s">
        <v>118</v>
      </c>
      <c r="G53" s="8" t="s">
        <v>119</v>
      </c>
      <c r="H53" s="5" t="s">
        <v>22</v>
      </c>
      <c r="I53" s="17" t="s">
        <v>1480</v>
      </c>
      <c r="J53" s="18" t="n">
        <v>4.8</v>
      </c>
      <c r="K53" s="9" t="s">
        <v>1528</v>
      </c>
    </row>
    <row r="54" customFormat="false" ht="126.85" hidden="false" customHeight="false" outlineLevel="0" collapsed="false">
      <c r="A54" s="5" t="n">
        <v>49</v>
      </c>
      <c r="B54" s="6" t="s">
        <v>13</v>
      </c>
      <c r="C54" s="7" t="s">
        <v>116</v>
      </c>
      <c r="D54" s="8" t="s">
        <v>15</v>
      </c>
      <c r="E54" s="8" t="s">
        <v>117</v>
      </c>
      <c r="F54" s="8" t="s">
        <v>118</v>
      </c>
      <c r="G54" s="8" t="s">
        <v>28</v>
      </c>
      <c r="H54" s="5" t="s">
        <v>22</v>
      </c>
      <c r="I54" s="17" t="s">
        <v>1480</v>
      </c>
      <c r="J54" s="18" t="n">
        <v>4.8</v>
      </c>
      <c r="K54" s="9" t="s">
        <v>1529</v>
      </c>
    </row>
    <row r="55" customFormat="false" ht="135.8" hidden="false" customHeight="false" outlineLevel="0" collapsed="false">
      <c r="A55" s="5" t="n">
        <v>50</v>
      </c>
      <c r="B55" s="6" t="s">
        <v>13</v>
      </c>
      <c r="C55" s="7" t="s">
        <v>116</v>
      </c>
      <c r="D55" s="8" t="s">
        <v>15</v>
      </c>
      <c r="E55" s="8" t="s">
        <v>117</v>
      </c>
      <c r="F55" s="8" t="s">
        <v>118</v>
      </c>
      <c r="G55" s="8" t="s">
        <v>1530</v>
      </c>
      <c r="H55" s="5" t="s">
        <v>22</v>
      </c>
      <c r="I55" s="17" t="s">
        <v>1480</v>
      </c>
      <c r="J55" s="18" t="n">
        <v>3.6</v>
      </c>
      <c r="K55" s="9" t="s">
        <v>1531</v>
      </c>
    </row>
    <row r="56" customFormat="false" ht="153.7" hidden="false" customHeight="false" outlineLevel="0" collapsed="false">
      <c r="A56" s="5" t="n">
        <v>51</v>
      </c>
      <c r="B56" s="6" t="s">
        <v>13</v>
      </c>
      <c r="C56" s="7" t="s">
        <v>116</v>
      </c>
      <c r="D56" s="8" t="s">
        <v>15</v>
      </c>
      <c r="E56" s="8" t="s">
        <v>117</v>
      </c>
      <c r="F56" s="8" t="s">
        <v>121</v>
      </c>
      <c r="G56" s="8" t="s">
        <v>122</v>
      </c>
      <c r="H56" s="5" t="s">
        <v>18</v>
      </c>
      <c r="I56" s="17" t="s">
        <v>1480</v>
      </c>
      <c r="J56" s="18" t="n">
        <v>2.4</v>
      </c>
      <c r="K56" s="9" t="s">
        <v>1532</v>
      </c>
    </row>
    <row r="57" customFormat="false" ht="189.55" hidden="false" customHeight="false" outlineLevel="0" collapsed="false">
      <c r="A57" s="5" t="n">
        <v>52</v>
      </c>
      <c r="B57" s="6" t="s">
        <v>13</v>
      </c>
      <c r="C57" s="7" t="s">
        <v>116</v>
      </c>
      <c r="D57" s="8" t="s">
        <v>15</v>
      </c>
      <c r="E57" s="8" t="s">
        <v>117</v>
      </c>
      <c r="F57" s="8" t="s">
        <v>124</v>
      </c>
      <c r="G57" s="8" t="s">
        <v>125</v>
      </c>
      <c r="H57" s="5" t="s">
        <v>22</v>
      </c>
      <c r="I57" s="17" t="s">
        <v>1480</v>
      </c>
      <c r="J57" s="18" t="n">
        <v>23.76</v>
      </c>
      <c r="K57" s="9" t="s">
        <v>1533</v>
      </c>
    </row>
    <row r="58" customFormat="false" ht="189.55" hidden="false" customHeight="false" outlineLevel="0" collapsed="false">
      <c r="A58" s="5" t="n">
        <v>53</v>
      </c>
      <c r="B58" s="6" t="s">
        <v>13</v>
      </c>
      <c r="C58" s="7" t="s">
        <v>116</v>
      </c>
      <c r="D58" s="8" t="s">
        <v>15</v>
      </c>
      <c r="E58" s="8" t="s">
        <v>117</v>
      </c>
      <c r="F58" s="8" t="s">
        <v>124</v>
      </c>
      <c r="G58" s="8" t="s">
        <v>1534</v>
      </c>
      <c r="H58" s="5" t="s">
        <v>22</v>
      </c>
      <c r="I58" s="17" t="s">
        <v>1480</v>
      </c>
      <c r="J58" s="18" t="n">
        <v>23.76</v>
      </c>
      <c r="K58" s="9" t="s">
        <v>1535</v>
      </c>
    </row>
    <row r="59" customFormat="false" ht="189.55" hidden="false" customHeight="false" outlineLevel="0" collapsed="false">
      <c r="A59" s="5" t="n">
        <v>54</v>
      </c>
      <c r="B59" s="6" t="s">
        <v>13</v>
      </c>
      <c r="C59" s="7" t="s">
        <v>116</v>
      </c>
      <c r="D59" s="8" t="s">
        <v>15</v>
      </c>
      <c r="E59" s="8" t="s">
        <v>117</v>
      </c>
      <c r="F59" s="8" t="s">
        <v>127</v>
      </c>
      <c r="G59" s="8" t="s">
        <v>128</v>
      </c>
      <c r="H59" s="5" t="s">
        <v>22</v>
      </c>
      <c r="I59" s="17" t="s">
        <v>1480</v>
      </c>
      <c r="J59" s="18" t="n">
        <v>92.4</v>
      </c>
      <c r="K59" s="9" t="s">
        <v>1536</v>
      </c>
    </row>
    <row r="60" customFormat="false" ht="225.35" hidden="false" customHeight="false" outlineLevel="0" collapsed="false">
      <c r="A60" s="5" t="n">
        <v>55</v>
      </c>
      <c r="B60" s="6" t="s">
        <v>13</v>
      </c>
      <c r="C60" s="7" t="s">
        <v>116</v>
      </c>
      <c r="D60" s="8" t="s">
        <v>15</v>
      </c>
      <c r="E60" s="8" t="s">
        <v>117</v>
      </c>
      <c r="F60" s="8" t="s">
        <v>69</v>
      </c>
      <c r="G60" s="8" t="s">
        <v>70</v>
      </c>
      <c r="H60" s="5" t="s">
        <v>22</v>
      </c>
      <c r="I60" s="17" t="s">
        <v>1480</v>
      </c>
      <c r="J60" s="18" t="n">
        <v>121.76</v>
      </c>
      <c r="K60" s="9" t="s">
        <v>1537</v>
      </c>
    </row>
    <row r="61" customFormat="false" ht="225.35" hidden="false" customHeight="false" outlineLevel="0" collapsed="false">
      <c r="A61" s="5" t="n">
        <v>56</v>
      </c>
      <c r="B61" s="6" t="s">
        <v>13</v>
      </c>
      <c r="C61" s="7" t="s">
        <v>116</v>
      </c>
      <c r="D61" s="8" t="s">
        <v>15</v>
      </c>
      <c r="E61" s="8" t="s">
        <v>117</v>
      </c>
      <c r="F61" s="8" t="s">
        <v>69</v>
      </c>
      <c r="G61" s="8" t="s">
        <v>1482</v>
      </c>
      <c r="H61" s="5" t="s">
        <v>22</v>
      </c>
      <c r="I61" s="17" t="s">
        <v>1480</v>
      </c>
      <c r="J61" s="18" t="n">
        <v>119.36</v>
      </c>
      <c r="K61" s="9" t="s">
        <v>1538</v>
      </c>
    </row>
    <row r="62" customFormat="false" ht="225.35" hidden="false" customHeight="false" outlineLevel="0" collapsed="false">
      <c r="A62" s="5" t="n">
        <v>57</v>
      </c>
      <c r="B62" s="6" t="s">
        <v>13</v>
      </c>
      <c r="C62" s="7" t="s">
        <v>116</v>
      </c>
      <c r="D62" s="8" t="s">
        <v>15</v>
      </c>
      <c r="E62" s="8" t="s">
        <v>117</v>
      </c>
      <c r="F62" s="8" t="s">
        <v>69</v>
      </c>
      <c r="G62" s="8" t="s">
        <v>1484</v>
      </c>
      <c r="H62" s="5" t="s">
        <v>22</v>
      </c>
      <c r="I62" s="16" t="s">
        <v>1463</v>
      </c>
      <c r="J62" s="8"/>
      <c r="K62" s="9" t="s">
        <v>1539</v>
      </c>
    </row>
    <row r="63" customFormat="false" ht="225.35" hidden="false" customHeight="false" outlineLevel="0" collapsed="false">
      <c r="A63" s="5" t="n">
        <v>58</v>
      </c>
      <c r="B63" s="6" t="s">
        <v>13</v>
      </c>
      <c r="C63" s="7" t="s">
        <v>116</v>
      </c>
      <c r="D63" s="8" t="s">
        <v>15</v>
      </c>
      <c r="E63" s="8" t="s">
        <v>117</v>
      </c>
      <c r="F63" s="8" t="s">
        <v>69</v>
      </c>
      <c r="G63" s="8" t="s">
        <v>1486</v>
      </c>
      <c r="H63" s="5" t="s">
        <v>22</v>
      </c>
      <c r="I63" s="16" t="s">
        <v>1463</v>
      </c>
      <c r="J63" s="8"/>
      <c r="K63" s="9" t="s">
        <v>1540</v>
      </c>
    </row>
    <row r="64" customFormat="false" ht="126.85" hidden="false" customHeight="false" outlineLevel="0" collapsed="false">
      <c r="A64" s="5" t="n">
        <v>59</v>
      </c>
      <c r="B64" s="6" t="s">
        <v>13</v>
      </c>
      <c r="C64" s="7" t="s">
        <v>116</v>
      </c>
      <c r="D64" s="8" t="s">
        <v>15</v>
      </c>
      <c r="E64" s="8" t="s">
        <v>117</v>
      </c>
      <c r="F64" s="8" t="s">
        <v>131</v>
      </c>
      <c r="G64" s="8" t="s">
        <v>131</v>
      </c>
      <c r="H64" s="5" t="s">
        <v>18</v>
      </c>
      <c r="I64" s="17" t="s">
        <v>1480</v>
      </c>
      <c r="J64" s="18" t="n">
        <v>12.8</v>
      </c>
      <c r="K64" s="9" t="s">
        <v>1541</v>
      </c>
    </row>
    <row r="65" customFormat="false" ht="234.3" hidden="false" customHeight="false" outlineLevel="0" collapsed="false">
      <c r="A65" s="5" t="n">
        <v>60</v>
      </c>
      <c r="B65" s="6" t="s">
        <v>13</v>
      </c>
      <c r="C65" s="7" t="s">
        <v>116</v>
      </c>
      <c r="D65" s="8" t="s">
        <v>15</v>
      </c>
      <c r="E65" s="8" t="s">
        <v>117</v>
      </c>
      <c r="F65" s="8" t="s">
        <v>131</v>
      </c>
      <c r="G65" s="8" t="s">
        <v>150</v>
      </c>
      <c r="H65" s="5" t="s">
        <v>18</v>
      </c>
      <c r="I65" s="16" t="s">
        <v>1463</v>
      </c>
      <c r="J65" s="8"/>
      <c r="K65" s="9" t="s">
        <v>1542</v>
      </c>
    </row>
    <row r="66" customFormat="false" ht="261.9" hidden="false" customHeight="false" outlineLevel="0" collapsed="false">
      <c r="A66" s="5" t="n">
        <v>61</v>
      </c>
      <c r="B66" s="6" t="s">
        <v>13</v>
      </c>
      <c r="C66" s="7" t="s">
        <v>116</v>
      </c>
      <c r="D66" s="8" t="s">
        <v>15</v>
      </c>
      <c r="E66" s="8" t="s">
        <v>117</v>
      </c>
      <c r="F66" s="8" t="s">
        <v>131</v>
      </c>
      <c r="G66" s="8" t="s">
        <v>1543</v>
      </c>
      <c r="H66" s="5" t="s">
        <v>18</v>
      </c>
      <c r="I66" s="16" t="s">
        <v>1463</v>
      </c>
      <c r="J66" s="8"/>
      <c r="K66" s="9" t="s">
        <v>1544</v>
      </c>
    </row>
    <row r="67" customFormat="false" ht="162.65" hidden="false" customHeight="false" outlineLevel="0" collapsed="false">
      <c r="A67" s="5" t="n">
        <v>62</v>
      </c>
      <c r="B67" s="6" t="s">
        <v>13</v>
      </c>
      <c r="C67" s="7" t="s">
        <v>116</v>
      </c>
      <c r="D67" s="8" t="s">
        <v>15</v>
      </c>
      <c r="E67" s="8" t="s">
        <v>117</v>
      </c>
      <c r="F67" s="8" t="s">
        <v>72</v>
      </c>
      <c r="G67" s="8" t="s">
        <v>73</v>
      </c>
      <c r="H67" s="5" t="s">
        <v>53</v>
      </c>
      <c r="I67" s="17" t="s">
        <v>1480</v>
      </c>
      <c r="J67" s="18" t="n">
        <v>1.0176</v>
      </c>
      <c r="K67" s="9" t="s">
        <v>1545</v>
      </c>
    </row>
    <row r="68" customFormat="false" ht="162.65" hidden="false" customHeight="false" outlineLevel="0" collapsed="false">
      <c r="A68" s="5" t="n">
        <v>63</v>
      </c>
      <c r="B68" s="6" t="s">
        <v>13</v>
      </c>
      <c r="C68" s="7" t="s">
        <v>116</v>
      </c>
      <c r="D68" s="8" t="s">
        <v>15</v>
      </c>
      <c r="E68" s="8" t="s">
        <v>117</v>
      </c>
      <c r="F68" s="8" t="s">
        <v>72</v>
      </c>
      <c r="G68" s="8" t="s">
        <v>1489</v>
      </c>
      <c r="H68" s="5" t="s">
        <v>53</v>
      </c>
      <c r="I68" s="17" t="s">
        <v>1480</v>
      </c>
      <c r="J68" s="18" t="n">
        <v>0.9832</v>
      </c>
      <c r="K68" s="9" t="s">
        <v>1546</v>
      </c>
    </row>
    <row r="69" customFormat="false" ht="162.65" hidden="false" customHeight="false" outlineLevel="0" collapsed="false">
      <c r="A69" s="5" t="n">
        <v>64</v>
      </c>
      <c r="B69" s="6" t="s">
        <v>13</v>
      </c>
      <c r="C69" s="7" t="s">
        <v>116</v>
      </c>
      <c r="D69" s="8" t="s">
        <v>15</v>
      </c>
      <c r="E69" s="8" t="s">
        <v>117</v>
      </c>
      <c r="F69" s="8" t="s">
        <v>72</v>
      </c>
      <c r="G69" s="8" t="s">
        <v>1491</v>
      </c>
      <c r="H69" s="5" t="s">
        <v>53</v>
      </c>
      <c r="I69" s="17" t="s">
        <v>1480</v>
      </c>
      <c r="J69" s="18" t="n">
        <v>0.96</v>
      </c>
      <c r="K69" s="9" t="s">
        <v>1547</v>
      </c>
    </row>
    <row r="70" customFormat="false" ht="162.65" hidden="false" customHeight="false" outlineLevel="0" collapsed="false">
      <c r="A70" s="5" t="n">
        <v>65</v>
      </c>
      <c r="B70" s="6" t="s">
        <v>13</v>
      </c>
      <c r="C70" s="7" t="s">
        <v>116</v>
      </c>
      <c r="D70" s="8" t="s">
        <v>15</v>
      </c>
      <c r="E70" s="8" t="s">
        <v>117</v>
      </c>
      <c r="F70" s="8" t="s">
        <v>72</v>
      </c>
      <c r="G70" s="8" t="s">
        <v>1493</v>
      </c>
      <c r="H70" s="5" t="s">
        <v>53</v>
      </c>
      <c r="I70" s="17" t="s">
        <v>1480</v>
      </c>
      <c r="J70" s="18" t="n">
        <v>0.9488</v>
      </c>
      <c r="K70" s="9" t="s">
        <v>1548</v>
      </c>
    </row>
    <row r="71" customFormat="false" ht="162.65" hidden="false" customHeight="false" outlineLevel="0" collapsed="false">
      <c r="A71" s="5" t="n">
        <v>66</v>
      </c>
      <c r="B71" s="6" t="s">
        <v>13</v>
      </c>
      <c r="C71" s="7" t="s">
        <v>116</v>
      </c>
      <c r="D71" s="8" t="s">
        <v>15</v>
      </c>
      <c r="E71" s="8" t="s">
        <v>117</v>
      </c>
      <c r="F71" s="8" t="s">
        <v>72</v>
      </c>
      <c r="G71" s="8" t="s">
        <v>1495</v>
      </c>
      <c r="H71" s="5" t="s">
        <v>53</v>
      </c>
      <c r="I71" s="17" t="s">
        <v>1480</v>
      </c>
      <c r="J71" s="18" t="n">
        <v>0.9256</v>
      </c>
      <c r="K71" s="9" t="s">
        <v>1549</v>
      </c>
    </row>
    <row r="72" customFormat="false" ht="162.65" hidden="false" customHeight="false" outlineLevel="0" collapsed="false">
      <c r="A72" s="5" t="n">
        <v>67</v>
      </c>
      <c r="B72" s="6" t="s">
        <v>13</v>
      </c>
      <c r="C72" s="7" t="s">
        <v>116</v>
      </c>
      <c r="D72" s="8" t="s">
        <v>15</v>
      </c>
      <c r="E72" s="8" t="s">
        <v>117</v>
      </c>
      <c r="F72" s="8" t="s">
        <v>72</v>
      </c>
      <c r="G72" s="8" t="s">
        <v>1497</v>
      </c>
      <c r="H72" s="5" t="s">
        <v>53</v>
      </c>
      <c r="I72" s="17" t="s">
        <v>1480</v>
      </c>
      <c r="J72" s="18" t="n">
        <v>0.9024</v>
      </c>
      <c r="K72" s="9" t="s">
        <v>1550</v>
      </c>
    </row>
    <row r="73" customFormat="false" ht="162.65" hidden="false" customHeight="false" outlineLevel="0" collapsed="false">
      <c r="A73" s="5" t="n">
        <v>68</v>
      </c>
      <c r="B73" s="6" t="s">
        <v>13</v>
      </c>
      <c r="C73" s="7" t="s">
        <v>116</v>
      </c>
      <c r="D73" s="8" t="s">
        <v>15</v>
      </c>
      <c r="E73" s="8" t="s">
        <v>117</v>
      </c>
      <c r="F73" s="8" t="s">
        <v>72</v>
      </c>
      <c r="G73" s="8" t="s">
        <v>1499</v>
      </c>
      <c r="H73" s="5" t="s">
        <v>53</v>
      </c>
      <c r="I73" s="17" t="s">
        <v>1480</v>
      </c>
      <c r="J73" s="18" t="n">
        <v>0.8912</v>
      </c>
      <c r="K73" s="9" t="s">
        <v>1551</v>
      </c>
    </row>
    <row r="74" customFormat="false" ht="162.65" hidden="false" customHeight="false" outlineLevel="0" collapsed="false">
      <c r="A74" s="5" t="n">
        <v>69</v>
      </c>
      <c r="B74" s="6" t="s">
        <v>13</v>
      </c>
      <c r="C74" s="7" t="s">
        <v>116</v>
      </c>
      <c r="D74" s="8" t="s">
        <v>15</v>
      </c>
      <c r="E74" s="8" t="s">
        <v>117</v>
      </c>
      <c r="F74" s="8" t="s">
        <v>72</v>
      </c>
      <c r="G74" s="8" t="s">
        <v>1501</v>
      </c>
      <c r="H74" s="5" t="s">
        <v>53</v>
      </c>
      <c r="I74" s="17" t="s">
        <v>1480</v>
      </c>
      <c r="J74" s="18" t="n">
        <v>1.0064</v>
      </c>
      <c r="K74" s="9" t="s">
        <v>1552</v>
      </c>
    </row>
    <row r="75" customFormat="false" ht="162.65" hidden="false" customHeight="false" outlineLevel="0" collapsed="false">
      <c r="A75" s="5" t="n">
        <v>70</v>
      </c>
      <c r="B75" s="6" t="s">
        <v>13</v>
      </c>
      <c r="C75" s="7" t="s">
        <v>116</v>
      </c>
      <c r="D75" s="8" t="s">
        <v>15</v>
      </c>
      <c r="E75" s="8" t="s">
        <v>117</v>
      </c>
      <c r="F75" s="8" t="s">
        <v>72</v>
      </c>
      <c r="G75" s="8" t="s">
        <v>1503</v>
      </c>
      <c r="H75" s="5" t="s">
        <v>53</v>
      </c>
      <c r="I75" s="16" t="s">
        <v>1463</v>
      </c>
      <c r="J75" s="8"/>
      <c r="K75" s="9" t="s">
        <v>1553</v>
      </c>
    </row>
    <row r="76" customFormat="false" ht="234.3" hidden="false" customHeight="false" outlineLevel="0" collapsed="false">
      <c r="A76" s="5" t="n">
        <v>71</v>
      </c>
      <c r="B76" s="6" t="s">
        <v>13</v>
      </c>
      <c r="C76" s="7" t="s">
        <v>116</v>
      </c>
      <c r="D76" s="8" t="s">
        <v>15</v>
      </c>
      <c r="E76" s="8" t="s">
        <v>117</v>
      </c>
      <c r="F76" s="8" t="s">
        <v>75</v>
      </c>
      <c r="G76" s="8" t="s">
        <v>76</v>
      </c>
      <c r="H76" s="5" t="s">
        <v>53</v>
      </c>
      <c r="I76" s="17" t="s">
        <v>1480</v>
      </c>
      <c r="J76" s="18" t="n">
        <v>1.404</v>
      </c>
      <c r="K76" s="9" t="s">
        <v>1554</v>
      </c>
    </row>
    <row r="77" customFormat="false" ht="198.5" hidden="false" customHeight="false" outlineLevel="0" collapsed="false">
      <c r="A77" s="5" t="n">
        <v>72</v>
      </c>
      <c r="B77" s="6" t="s">
        <v>13</v>
      </c>
      <c r="C77" s="7" t="s">
        <v>116</v>
      </c>
      <c r="D77" s="8" t="s">
        <v>15</v>
      </c>
      <c r="E77" s="8" t="s">
        <v>117</v>
      </c>
      <c r="F77" s="8" t="s">
        <v>135</v>
      </c>
      <c r="G77" s="8" t="s">
        <v>136</v>
      </c>
      <c r="H77" s="5" t="s">
        <v>61</v>
      </c>
      <c r="I77" s="17" t="s">
        <v>1480</v>
      </c>
      <c r="J77" s="18" t="n">
        <v>6.28</v>
      </c>
      <c r="K77" s="9" t="s">
        <v>1555</v>
      </c>
    </row>
    <row r="78" customFormat="false" ht="171.6" hidden="false" customHeight="false" outlineLevel="0" collapsed="false">
      <c r="A78" s="5" t="n">
        <v>73</v>
      </c>
      <c r="B78" s="6" t="s">
        <v>13</v>
      </c>
      <c r="C78" s="7" t="s">
        <v>116</v>
      </c>
      <c r="D78" s="8" t="s">
        <v>15</v>
      </c>
      <c r="E78" s="8" t="s">
        <v>117</v>
      </c>
      <c r="F78" s="8" t="s">
        <v>138</v>
      </c>
      <c r="G78" s="8" t="s">
        <v>139</v>
      </c>
      <c r="H78" s="5" t="s">
        <v>18</v>
      </c>
      <c r="I78" s="17" t="s">
        <v>1480</v>
      </c>
      <c r="J78" s="18" t="n">
        <v>9.68</v>
      </c>
      <c r="K78" s="9" t="s">
        <v>1556</v>
      </c>
    </row>
    <row r="79" customFormat="false" ht="153.7" hidden="false" customHeight="false" outlineLevel="0" collapsed="false">
      <c r="A79" s="5" t="n">
        <v>74</v>
      </c>
      <c r="B79" s="6" t="s">
        <v>13</v>
      </c>
      <c r="C79" s="7" t="s">
        <v>116</v>
      </c>
      <c r="D79" s="8" t="s">
        <v>15</v>
      </c>
      <c r="E79" s="8" t="s">
        <v>117</v>
      </c>
      <c r="F79" s="8" t="s">
        <v>138</v>
      </c>
      <c r="G79" s="8" t="s">
        <v>1557</v>
      </c>
      <c r="H79" s="5" t="s">
        <v>18</v>
      </c>
      <c r="I79" s="17" t="s">
        <v>1480</v>
      </c>
      <c r="J79" s="18" t="n">
        <v>9.12</v>
      </c>
      <c r="K79" s="9" t="s">
        <v>1558</v>
      </c>
    </row>
    <row r="80" customFormat="false" ht="252.95" hidden="false" customHeight="false" outlineLevel="0" collapsed="false">
      <c r="A80" s="5" t="n">
        <v>75</v>
      </c>
      <c r="B80" s="6" t="s">
        <v>13</v>
      </c>
      <c r="C80" s="7" t="s">
        <v>116</v>
      </c>
      <c r="D80" s="8" t="s">
        <v>15</v>
      </c>
      <c r="E80" s="8" t="s">
        <v>117</v>
      </c>
      <c r="F80" s="8" t="s">
        <v>138</v>
      </c>
      <c r="G80" s="8" t="s">
        <v>1559</v>
      </c>
      <c r="H80" s="5" t="s">
        <v>18</v>
      </c>
      <c r="I80" s="16" t="s">
        <v>1463</v>
      </c>
      <c r="J80" s="8"/>
      <c r="K80" s="9" t="s">
        <v>1560</v>
      </c>
    </row>
    <row r="81" customFormat="false" ht="180.55" hidden="false" customHeight="false" outlineLevel="0" collapsed="false">
      <c r="A81" s="5" t="n">
        <v>76</v>
      </c>
      <c r="B81" s="6" t="s">
        <v>13</v>
      </c>
      <c r="C81" s="7" t="s">
        <v>116</v>
      </c>
      <c r="D81" s="8" t="s">
        <v>15</v>
      </c>
      <c r="E81" s="8" t="s">
        <v>117</v>
      </c>
      <c r="F81" s="8" t="s">
        <v>141</v>
      </c>
      <c r="G81" s="8" t="s">
        <v>142</v>
      </c>
      <c r="H81" s="5" t="s">
        <v>18</v>
      </c>
      <c r="I81" s="17" t="s">
        <v>1480</v>
      </c>
      <c r="J81" s="18" t="n">
        <v>4</v>
      </c>
      <c r="K81" s="9" t="s">
        <v>1561</v>
      </c>
    </row>
    <row r="82" customFormat="false" ht="144.75" hidden="false" customHeight="false" outlineLevel="0" collapsed="false">
      <c r="A82" s="5" t="n">
        <v>77</v>
      </c>
      <c r="B82" s="6" t="s">
        <v>13</v>
      </c>
      <c r="C82" s="7" t="s">
        <v>116</v>
      </c>
      <c r="D82" s="8" t="s">
        <v>15</v>
      </c>
      <c r="E82" s="8" t="s">
        <v>144</v>
      </c>
      <c r="F82" s="8" t="s">
        <v>118</v>
      </c>
      <c r="G82" s="8" t="s">
        <v>119</v>
      </c>
      <c r="H82" s="5" t="s">
        <v>22</v>
      </c>
      <c r="I82" s="17" t="s">
        <v>1480</v>
      </c>
      <c r="J82" s="18" t="n">
        <v>4.8</v>
      </c>
      <c r="K82" s="9" t="s">
        <v>1562</v>
      </c>
    </row>
    <row r="83" customFormat="false" ht="144.75" hidden="false" customHeight="false" outlineLevel="0" collapsed="false">
      <c r="A83" s="5" t="n">
        <v>78</v>
      </c>
      <c r="B83" s="6" t="s">
        <v>13</v>
      </c>
      <c r="C83" s="7" t="s">
        <v>116</v>
      </c>
      <c r="D83" s="8" t="s">
        <v>15</v>
      </c>
      <c r="E83" s="8" t="s">
        <v>144</v>
      </c>
      <c r="F83" s="8" t="s">
        <v>118</v>
      </c>
      <c r="G83" s="8" t="s">
        <v>28</v>
      </c>
      <c r="H83" s="5" t="s">
        <v>22</v>
      </c>
      <c r="I83" s="17" t="s">
        <v>1480</v>
      </c>
      <c r="J83" s="18" t="n">
        <v>4.8</v>
      </c>
      <c r="K83" s="9" t="s">
        <v>1563</v>
      </c>
    </row>
    <row r="84" customFormat="false" ht="153.7" hidden="false" customHeight="false" outlineLevel="0" collapsed="false">
      <c r="A84" s="5" t="n">
        <v>79</v>
      </c>
      <c r="B84" s="6" t="s">
        <v>13</v>
      </c>
      <c r="C84" s="7" t="s">
        <v>116</v>
      </c>
      <c r="D84" s="8" t="s">
        <v>15</v>
      </c>
      <c r="E84" s="8" t="s">
        <v>144</v>
      </c>
      <c r="F84" s="8" t="s">
        <v>118</v>
      </c>
      <c r="G84" s="8" t="s">
        <v>1530</v>
      </c>
      <c r="H84" s="5" t="s">
        <v>22</v>
      </c>
      <c r="I84" s="17" t="s">
        <v>1480</v>
      </c>
      <c r="J84" s="18" t="n">
        <v>3.6</v>
      </c>
      <c r="K84" s="9" t="s">
        <v>1564</v>
      </c>
    </row>
    <row r="85" customFormat="false" ht="171.6" hidden="false" customHeight="false" outlineLevel="0" collapsed="false">
      <c r="A85" s="5" t="n">
        <v>80</v>
      </c>
      <c r="B85" s="6" t="s">
        <v>13</v>
      </c>
      <c r="C85" s="7" t="s">
        <v>116</v>
      </c>
      <c r="D85" s="8" t="s">
        <v>15</v>
      </c>
      <c r="E85" s="8" t="s">
        <v>144</v>
      </c>
      <c r="F85" s="8" t="s">
        <v>121</v>
      </c>
      <c r="G85" s="8" t="s">
        <v>122</v>
      </c>
      <c r="H85" s="5" t="s">
        <v>18</v>
      </c>
      <c r="I85" s="17" t="s">
        <v>1480</v>
      </c>
      <c r="J85" s="18" t="n">
        <v>2.4</v>
      </c>
      <c r="K85" s="9" t="s">
        <v>1565</v>
      </c>
    </row>
    <row r="86" customFormat="false" ht="207.45" hidden="false" customHeight="false" outlineLevel="0" collapsed="false">
      <c r="A86" s="5" t="n">
        <v>81</v>
      </c>
      <c r="B86" s="6" t="s">
        <v>13</v>
      </c>
      <c r="C86" s="7" t="s">
        <v>116</v>
      </c>
      <c r="D86" s="8" t="s">
        <v>15</v>
      </c>
      <c r="E86" s="8" t="s">
        <v>144</v>
      </c>
      <c r="F86" s="8" t="s">
        <v>124</v>
      </c>
      <c r="G86" s="8" t="s">
        <v>125</v>
      </c>
      <c r="H86" s="5" t="s">
        <v>22</v>
      </c>
      <c r="I86" s="17" t="s">
        <v>1480</v>
      </c>
      <c r="J86" s="18" t="n">
        <v>23.76</v>
      </c>
      <c r="K86" s="9" t="s">
        <v>1566</v>
      </c>
    </row>
    <row r="87" customFormat="false" ht="207.45" hidden="false" customHeight="false" outlineLevel="0" collapsed="false">
      <c r="A87" s="5" t="n">
        <v>82</v>
      </c>
      <c r="B87" s="6" t="s">
        <v>13</v>
      </c>
      <c r="C87" s="7" t="s">
        <v>116</v>
      </c>
      <c r="D87" s="8" t="s">
        <v>15</v>
      </c>
      <c r="E87" s="8" t="s">
        <v>144</v>
      </c>
      <c r="F87" s="8" t="s">
        <v>124</v>
      </c>
      <c r="G87" s="8" t="s">
        <v>1534</v>
      </c>
      <c r="H87" s="5" t="s">
        <v>22</v>
      </c>
      <c r="I87" s="17" t="s">
        <v>1480</v>
      </c>
      <c r="J87" s="18" t="n">
        <v>23.76</v>
      </c>
      <c r="K87" s="9" t="s">
        <v>1567</v>
      </c>
    </row>
    <row r="88" customFormat="false" ht="207.45" hidden="false" customHeight="false" outlineLevel="0" collapsed="false">
      <c r="A88" s="5" t="n">
        <v>83</v>
      </c>
      <c r="B88" s="6" t="s">
        <v>13</v>
      </c>
      <c r="C88" s="7" t="s">
        <v>116</v>
      </c>
      <c r="D88" s="8" t="s">
        <v>15</v>
      </c>
      <c r="E88" s="8" t="s">
        <v>144</v>
      </c>
      <c r="F88" s="8" t="s">
        <v>127</v>
      </c>
      <c r="G88" s="8" t="s">
        <v>128</v>
      </c>
      <c r="H88" s="5" t="s">
        <v>22</v>
      </c>
      <c r="I88" s="17" t="s">
        <v>1480</v>
      </c>
      <c r="J88" s="18" t="n">
        <v>92.4</v>
      </c>
      <c r="K88" s="9" t="s">
        <v>1568</v>
      </c>
    </row>
    <row r="89" customFormat="false" ht="244" hidden="false" customHeight="false" outlineLevel="0" collapsed="false">
      <c r="A89" s="5" t="n">
        <v>84</v>
      </c>
      <c r="B89" s="6" t="s">
        <v>13</v>
      </c>
      <c r="C89" s="7" t="s">
        <v>116</v>
      </c>
      <c r="D89" s="8" t="s">
        <v>15</v>
      </c>
      <c r="E89" s="8" t="s">
        <v>144</v>
      </c>
      <c r="F89" s="8" t="s">
        <v>69</v>
      </c>
      <c r="G89" s="8" t="s">
        <v>70</v>
      </c>
      <c r="H89" s="5" t="s">
        <v>22</v>
      </c>
      <c r="I89" s="17" t="s">
        <v>1480</v>
      </c>
      <c r="J89" s="18" t="n">
        <v>121.76</v>
      </c>
      <c r="K89" s="9" t="s">
        <v>1569</v>
      </c>
    </row>
    <row r="90" customFormat="false" ht="244" hidden="false" customHeight="false" outlineLevel="0" collapsed="false">
      <c r="A90" s="5" t="n">
        <v>85</v>
      </c>
      <c r="B90" s="6" t="s">
        <v>13</v>
      </c>
      <c r="C90" s="7" t="s">
        <v>116</v>
      </c>
      <c r="D90" s="8" t="s">
        <v>15</v>
      </c>
      <c r="E90" s="8" t="s">
        <v>144</v>
      </c>
      <c r="F90" s="8" t="s">
        <v>69</v>
      </c>
      <c r="G90" s="8" t="s">
        <v>1482</v>
      </c>
      <c r="H90" s="5" t="s">
        <v>22</v>
      </c>
      <c r="I90" s="17" t="s">
        <v>1480</v>
      </c>
      <c r="J90" s="18" t="n">
        <v>119.36</v>
      </c>
      <c r="K90" s="9" t="s">
        <v>1570</v>
      </c>
    </row>
    <row r="91" customFormat="false" ht="244" hidden="false" customHeight="false" outlineLevel="0" collapsed="false">
      <c r="A91" s="5" t="n">
        <v>86</v>
      </c>
      <c r="B91" s="6" t="s">
        <v>13</v>
      </c>
      <c r="C91" s="7" t="s">
        <v>116</v>
      </c>
      <c r="D91" s="8" t="s">
        <v>15</v>
      </c>
      <c r="E91" s="8" t="s">
        <v>144</v>
      </c>
      <c r="F91" s="8" t="s">
        <v>69</v>
      </c>
      <c r="G91" s="8" t="s">
        <v>1484</v>
      </c>
      <c r="H91" s="5" t="s">
        <v>22</v>
      </c>
      <c r="I91" s="16" t="s">
        <v>1463</v>
      </c>
      <c r="J91" s="8"/>
      <c r="K91" s="9" t="s">
        <v>1571</v>
      </c>
    </row>
    <row r="92" customFormat="false" ht="244" hidden="false" customHeight="false" outlineLevel="0" collapsed="false">
      <c r="A92" s="5" t="n">
        <v>87</v>
      </c>
      <c r="B92" s="6" t="s">
        <v>13</v>
      </c>
      <c r="C92" s="7" t="s">
        <v>116</v>
      </c>
      <c r="D92" s="8" t="s">
        <v>15</v>
      </c>
      <c r="E92" s="8" t="s">
        <v>144</v>
      </c>
      <c r="F92" s="8" t="s">
        <v>69</v>
      </c>
      <c r="G92" s="8" t="s">
        <v>1486</v>
      </c>
      <c r="H92" s="5" t="s">
        <v>22</v>
      </c>
      <c r="I92" s="16" t="s">
        <v>1463</v>
      </c>
      <c r="J92" s="8"/>
      <c r="K92" s="9" t="s">
        <v>1572</v>
      </c>
    </row>
    <row r="93" customFormat="false" ht="252.95" hidden="false" customHeight="false" outlineLevel="0" collapsed="false">
      <c r="A93" s="5" t="n">
        <v>88</v>
      </c>
      <c r="B93" s="6" t="s">
        <v>13</v>
      </c>
      <c r="C93" s="7" t="s">
        <v>116</v>
      </c>
      <c r="D93" s="8" t="s">
        <v>15</v>
      </c>
      <c r="E93" s="8" t="s">
        <v>144</v>
      </c>
      <c r="F93" s="8" t="s">
        <v>131</v>
      </c>
      <c r="G93" s="8" t="s">
        <v>150</v>
      </c>
      <c r="H93" s="5" t="s">
        <v>18</v>
      </c>
      <c r="I93" s="16" t="s">
        <v>1463</v>
      </c>
      <c r="J93" s="8"/>
      <c r="K93" s="9" t="s">
        <v>1573</v>
      </c>
    </row>
    <row r="94" customFormat="false" ht="279.85" hidden="false" customHeight="false" outlineLevel="0" collapsed="false">
      <c r="A94" s="5" t="n">
        <v>89</v>
      </c>
      <c r="B94" s="6" t="s">
        <v>13</v>
      </c>
      <c r="C94" s="7" t="s">
        <v>116</v>
      </c>
      <c r="D94" s="8" t="s">
        <v>15</v>
      </c>
      <c r="E94" s="8" t="s">
        <v>144</v>
      </c>
      <c r="F94" s="8" t="s">
        <v>131</v>
      </c>
      <c r="G94" s="8" t="s">
        <v>1543</v>
      </c>
      <c r="H94" s="5" t="s">
        <v>18</v>
      </c>
      <c r="I94" s="16" t="s">
        <v>1463</v>
      </c>
      <c r="J94" s="8"/>
      <c r="K94" s="9" t="s">
        <v>1574</v>
      </c>
    </row>
    <row r="95" customFormat="false" ht="180.55" hidden="false" customHeight="false" outlineLevel="0" collapsed="false">
      <c r="A95" s="5" t="n">
        <v>90</v>
      </c>
      <c r="B95" s="6" t="s">
        <v>13</v>
      </c>
      <c r="C95" s="7" t="s">
        <v>116</v>
      </c>
      <c r="D95" s="8" t="s">
        <v>15</v>
      </c>
      <c r="E95" s="8" t="s">
        <v>144</v>
      </c>
      <c r="F95" s="8" t="s">
        <v>72</v>
      </c>
      <c r="G95" s="8" t="s">
        <v>73</v>
      </c>
      <c r="H95" s="5" t="s">
        <v>53</v>
      </c>
      <c r="I95" s="17" t="s">
        <v>1480</v>
      </c>
      <c r="J95" s="18" t="n">
        <v>1.0176</v>
      </c>
      <c r="K95" s="9" t="s">
        <v>1575</v>
      </c>
    </row>
    <row r="96" customFormat="false" ht="180.55" hidden="false" customHeight="false" outlineLevel="0" collapsed="false">
      <c r="A96" s="5" t="n">
        <v>91</v>
      </c>
      <c r="B96" s="6" t="s">
        <v>13</v>
      </c>
      <c r="C96" s="7" t="s">
        <v>116</v>
      </c>
      <c r="D96" s="8" t="s">
        <v>15</v>
      </c>
      <c r="E96" s="8" t="s">
        <v>144</v>
      </c>
      <c r="F96" s="8" t="s">
        <v>72</v>
      </c>
      <c r="G96" s="8" t="s">
        <v>1489</v>
      </c>
      <c r="H96" s="5" t="s">
        <v>53</v>
      </c>
      <c r="I96" s="17" t="s">
        <v>1480</v>
      </c>
      <c r="J96" s="18" t="n">
        <v>0.9832</v>
      </c>
      <c r="K96" s="9" t="s">
        <v>1576</v>
      </c>
    </row>
    <row r="97" customFormat="false" ht="180.55" hidden="false" customHeight="false" outlineLevel="0" collapsed="false">
      <c r="A97" s="5" t="n">
        <v>92</v>
      </c>
      <c r="B97" s="6" t="s">
        <v>13</v>
      </c>
      <c r="C97" s="7" t="s">
        <v>116</v>
      </c>
      <c r="D97" s="8" t="s">
        <v>15</v>
      </c>
      <c r="E97" s="8" t="s">
        <v>144</v>
      </c>
      <c r="F97" s="8" t="s">
        <v>72</v>
      </c>
      <c r="G97" s="8" t="s">
        <v>1491</v>
      </c>
      <c r="H97" s="5" t="s">
        <v>53</v>
      </c>
      <c r="I97" s="17" t="s">
        <v>1480</v>
      </c>
      <c r="J97" s="18" t="n">
        <v>0.96</v>
      </c>
      <c r="K97" s="9" t="s">
        <v>1577</v>
      </c>
    </row>
    <row r="98" customFormat="false" ht="180.55" hidden="false" customHeight="false" outlineLevel="0" collapsed="false">
      <c r="A98" s="5" t="n">
        <v>93</v>
      </c>
      <c r="B98" s="6" t="s">
        <v>13</v>
      </c>
      <c r="C98" s="7" t="s">
        <v>116</v>
      </c>
      <c r="D98" s="8" t="s">
        <v>15</v>
      </c>
      <c r="E98" s="8" t="s">
        <v>144</v>
      </c>
      <c r="F98" s="8" t="s">
        <v>72</v>
      </c>
      <c r="G98" s="8" t="s">
        <v>1493</v>
      </c>
      <c r="H98" s="5" t="s">
        <v>53</v>
      </c>
      <c r="I98" s="17" t="s">
        <v>1480</v>
      </c>
      <c r="J98" s="18" t="n">
        <v>0.9488</v>
      </c>
      <c r="K98" s="9" t="s">
        <v>1578</v>
      </c>
    </row>
    <row r="99" customFormat="false" ht="180.55" hidden="false" customHeight="false" outlineLevel="0" collapsed="false">
      <c r="A99" s="5" t="n">
        <v>94</v>
      </c>
      <c r="B99" s="6" t="s">
        <v>13</v>
      </c>
      <c r="C99" s="7" t="s">
        <v>116</v>
      </c>
      <c r="D99" s="8" t="s">
        <v>15</v>
      </c>
      <c r="E99" s="8" t="s">
        <v>144</v>
      </c>
      <c r="F99" s="8" t="s">
        <v>72</v>
      </c>
      <c r="G99" s="8" t="s">
        <v>1495</v>
      </c>
      <c r="H99" s="5" t="s">
        <v>53</v>
      </c>
      <c r="I99" s="17" t="s">
        <v>1480</v>
      </c>
      <c r="J99" s="18" t="n">
        <v>0.9256</v>
      </c>
      <c r="K99" s="9" t="s">
        <v>1579</v>
      </c>
    </row>
    <row r="100" customFormat="false" ht="180.55" hidden="false" customHeight="false" outlineLevel="0" collapsed="false">
      <c r="A100" s="5" t="n">
        <v>95</v>
      </c>
      <c r="B100" s="6" t="s">
        <v>13</v>
      </c>
      <c r="C100" s="7" t="s">
        <v>116</v>
      </c>
      <c r="D100" s="8" t="s">
        <v>15</v>
      </c>
      <c r="E100" s="8" t="s">
        <v>144</v>
      </c>
      <c r="F100" s="8" t="s">
        <v>72</v>
      </c>
      <c r="G100" s="8" t="s">
        <v>1497</v>
      </c>
      <c r="H100" s="5" t="s">
        <v>53</v>
      </c>
      <c r="I100" s="17" t="s">
        <v>1480</v>
      </c>
      <c r="J100" s="18" t="n">
        <v>0.9024</v>
      </c>
      <c r="K100" s="9" t="s">
        <v>1580</v>
      </c>
    </row>
    <row r="101" customFormat="false" ht="180.55" hidden="false" customHeight="false" outlineLevel="0" collapsed="false">
      <c r="A101" s="5" t="n">
        <v>96</v>
      </c>
      <c r="B101" s="6" t="s">
        <v>13</v>
      </c>
      <c r="C101" s="7" t="s">
        <v>116</v>
      </c>
      <c r="D101" s="8" t="s">
        <v>15</v>
      </c>
      <c r="E101" s="8" t="s">
        <v>144</v>
      </c>
      <c r="F101" s="8" t="s">
        <v>72</v>
      </c>
      <c r="G101" s="8" t="s">
        <v>1499</v>
      </c>
      <c r="H101" s="5" t="s">
        <v>53</v>
      </c>
      <c r="I101" s="17" t="s">
        <v>1480</v>
      </c>
      <c r="J101" s="18" t="n">
        <v>0.8912</v>
      </c>
      <c r="K101" s="9" t="s">
        <v>1581</v>
      </c>
    </row>
    <row r="102" customFormat="false" ht="180.55" hidden="false" customHeight="false" outlineLevel="0" collapsed="false">
      <c r="A102" s="5" t="n">
        <v>97</v>
      </c>
      <c r="B102" s="6" t="s">
        <v>13</v>
      </c>
      <c r="C102" s="7" t="s">
        <v>116</v>
      </c>
      <c r="D102" s="8" t="s">
        <v>15</v>
      </c>
      <c r="E102" s="8" t="s">
        <v>144</v>
      </c>
      <c r="F102" s="8" t="s">
        <v>72</v>
      </c>
      <c r="G102" s="8" t="s">
        <v>1501</v>
      </c>
      <c r="H102" s="5" t="s">
        <v>53</v>
      </c>
      <c r="I102" s="17" t="s">
        <v>1480</v>
      </c>
      <c r="J102" s="18" t="n">
        <v>1.0064</v>
      </c>
      <c r="K102" s="9" t="s">
        <v>1582</v>
      </c>
    </row>
    <row r="103" customFormat="false" ht="180.55" hidden="false" customHeight="false" outlineLevel="0" collapsed="false">
      <c r="A103" s="5" t="n">
        <v>98</v>
      </c>
      <c r="B103" s="6" t="s">
        <v>13</v>
      </c>
      <c r="C103" s="7" t="s">
        <v>116</v>
      </c>
      <c r="D103" s="8" t="s">
        <v>15</v>
      </c>
      <c r="E103" s="8" t="s">
        <v>144</v>
      </c>
      <c r="F103" s="8" t="s">
        <v>72</v>
      </c>
      <c r="G103" s="8" t="s">
        <v>1503</v>
      </c>
      <c r="H103" s="5" t="s">
        <v>53</v>
      </c>
      <c r="I103" s="16" t="s">
        <v>1463</v>
      </c>
      <c r="J103" s="8"/>
      <c r="K103" s="9" t="s">
        <v>1583</v>
      </c>
    </row>
    <row r="104" customFormat="false" ht="252.95" hidden="false" customHeight="false" outlineLevel="0" collapsed="false">
      <c r="A104" s="5" t="n">
        <v>99</v>
      </c>
      <c r="B104" s="6" t="s">
        <v>13</v>
      </c>
      <c r="C104" s="7" t="s">
        <v>116</v>
      </c>
      <c r="D104" s="8" t="s">
        <v>15</v>
      </c>
      <c r="E104" s="8" t="s">
        <v>144</v>
      </c>
      <c r="F104" s="8" t="s">
        <v>75</v>
      </c>
      <c r="G104" s="8" t="s">
        <v>76</v>
      </c>
      <c r="H104" s="5" t="s">
        <v>53</v>
      </c>
      <c r="I104" s="17" t="s">
        <v>1480</v>
      </c>
      <c r="J104" s="18" t="n">
        <v>1.404</v>
      </c>
      <c r="K104" s="9" t="s">
        <v>1584</v>
      </c>
    </row>
    <row r="105" customFormat="false" ht="216.4" hidden="false" customHeight="false" outlineLevel="0" collapsed="false">
      <c r="A105" s="5" t="n">
        <v>100</v>
      </c>
      <c r="B105" s="6" t="s">
        <v>13</v>
      </c>
      <c r="C105" s="7" t="s">
        <v>116</v>
      </c>
      <c r="D105" s="8" t="s">
        <v>15</v>
      </c>
      <c r="E105" s="8" t="s">
        <v>144</v>
      </c>
      <c r="F105" s="8" t="s">
        <v>135</v>
      </c>
      <c r="G105" s="8" t="s">
        <v>136</v>
      </c>
      <c r="H105" s="5" t="s">
        <v>61</v>
      </c>
      <c r="I105" s="17" t="s">
        <v>1480</v>
      </c>
      <c r="J105" s="18" t="n">
        <v>6.28</v>
      </c>
      <c r="K105" s="9" t="s">
        <v>1585</v>
      </c>
    </row>
    <row r="106" customFormat="false" ht="189.55" hidden="false" customHeight="false" outlineLevel="0" collapsed="false">
      <c r="A106" s="5" t="n">
        <v>101</v>
      </c>
      <c r="B106" s="6" t="s">
        <v>13</v>
      </c>
      <c r="C106" s="7" t="s">
        <v>116</v>
      </c>
      <c r="D106" s="8" t="s">
        <v>15</v>
      </c>
      <c r="E106" s="8" t="s">
        <v>144</v>
      </c>
      <c r="F106" s="8" t="s">
        <v>138</v>
      </c>
      <c r="G106" s="8" t="s">
        <v>139</v>
      </c>
      <c r="H106" s="5" t="s">
        <v>18</v>
      </c>
      <c r="I106" s="17" t="s">
        <v>1480</v>
      </c>
      <c r="J106" s="18" t="n">
        <v>9.68</v>
      </c>
      <c r="K106" s="9" t="s">
        <v>1586</v>
      </c>
    </row>
    <row r="107" customFormat="false" ht="171.6" hidden="false" customHeight="false" outlineLevel="0" collapsed="false">
      <c r="A107" s="5" t="n">
        <v>102</v>
      </c>
      <c r="B107" s="6" t="s">
        <v>13</v>
      </c>
      <c r="C107" s="7" t="s">
        <v>116</v>
      </c>
      <c r="D107" s="8" t="s">
        <v>15</v>
      </c>
      <c r="E107" s="8" t="s">
        <v>144</v>
      </c>
      <c r="F107" s="8" t="s">
        <v>138</v>
      </c>
      <c r="G107" s="8" t="s">
        <v>1557</v>
      </c>
      <c r="H107" s="5" t="s">
        <v>18</v>
      </c>
      <c r="I107" s="17" t="s">
        <v>1480</v>
      </c>
      <c r="J107" s="18" t="n">
        <v>9.12</v>
      </c>
      <c r="K107" s="9" t="s">
        <v>1587</v>
      </c>
    </row>
    <row r="108" customFormat="false" ht="270.85" hidden="false" customHeight="false" outlineLevel="0" collapsed="false">
      <c r="A108" s="5" t="n">
        <v>103</v>
      </c>
      <c r="B108" s="6" t="s">
        <v>13</v>
      </c>
      <c r="C108" s="7" t="s">
        <v>116</v>
      </c>
      <c r="D108" s="8" t="s">
        <v>15</v>
      </c>
      <c r="E108" s="8" t="s">
        <v>144</v>
      </c>
      <c r="F108" s="8" t="s">
        <v>138</v>
      </c>
      <c r="G108" s="8" t="s">
        <v>1559</v>
      </c>
      <c r="H108" s="5" t="s">
        <v>18</v>
      </c>
      <c r="I108" s="16" t="s">
        <v>1463</v>
      </c>
      <c r="J108" s="8"/>
      <c r="K108" s="9" t="s">
        <v>1588</v>
      </c>
    </row>
    <row r="109" customFormat="false" ht="198.5" hidden="false" customHeight="false" outlineLevel="0" collapsed="false">
      <c r="A109" s="5" t="n">
        <v>104</v>
      </c>
      <c r="B109" s="6" t="s">
        <v>13</v>
      </c>
      <c r="C109" s="7" t="s">
        <v>116</v>
      </c>
      <c r="D109" s="8" t="s">
        <v>15</v>
      </c>
      <c r="E109" s="8" t="s">
        <v>144</v>
      </c>
      <c r="F109" s="8" t="s">
        <v>141</v>
      </c>
      <c r="G109" s="8" t="s">
        <v>142</v>
      </c>
      <c r="H109" s="5" t="s">
        <v>18</v>
      </c>
      <c r="I109" s="17" t="s">
        <v>1480</v>
      </c>
      <c r="J109" s="18" t="n">
        <v>4</v>
      </c>
      <c r="K109" s="9" t="s">
        <v>1589</v>
      </c>
    </row>
    <row r="110" customFormat="false" ht="153.7" hidden="false" customHeight="false" outlineLevel="0" collapsed="false">
      <c r="A110" s="5" t="n">
        <v>105</v>
      </c>
      <c r="B110" s="6" t="s">
        <v>13</v>
      </c>
      <c r="C110" s="7" t="s">
        <v>116</v>
      </c>
      <c r="D110" s="8" t="s">
        <v>15</v>
      </c>
      <c r="E110" s="8" t="s">
        <v>157</v>
      </c>
      <c r="F110" s="8" t="s">
        <v>118</v>
      </c>
      <c r="G110" s="8" t="s">
        <v>119</v>
      </c>
      <c r="H110" s="5" t="s">
        <v>22</v>
      </c>
      <c r="I110" s="17" t="s">
        <v>1480</v>
      </c>
      <c r="J110" s="18" t="n">
        <v>4.8</v>
      </c>
      <c r="K110" s="9" t="s">
        <v>1590</v>
      </c>
    </row>
    <row r="111" customFormat="false" ht="153.7" hidden="false" customHeight="false" outlineLevel="0" collapsed="false">
      <c r="A111" s="5" t="n">
        <v>106</v>
      </c>
      <c r="B111" s="6" t="s">
        <v>13</v>
      </c>
      <c r="C111" s="7" t="s">
        <v>116</v>
      </c>
      <c r="D111" s="8" t="s">
        <v>15</v>
      </c>
      <c r="E111" s="8" t="s">
        <v>157</v>
      </c>
      <c r="F111" s="8" t="s">
        <v>118</v>
      </c>
      <c r="G111" s="8" t="s">
        <v>28</v>
      </c>
      <c r="H111" s="5" t="s">
        <v>22</v>
      </c>
      <c r="I111" s="17" t="s">
        <v>1480</v>
      </c>
      <c r="J111" s="18" t="n">
        <v>4.8</v>
      </c>
      <c r="K111" s="9" t="s">
        <v>1591</v>
      </c>
    </row>
    <row r="112" customFormat="false" ht="162.65" hidden="false" customHeight="false" outlineLevel="0" collapsed="false">
      <c r="A112" s="5" t="n">
        <v>107</v>
      </c>
      <c r="B112" s="6" t="s">
        <v>13</v>
      </c>
      <c r="C112" s="7" t="s">
        <v>116</v>
      </c>
      <c r="D112" s="8" t="s">
        <v>15</v>
      </c>
      <c r="E112" s="8" t="s">
        <v>157</v>
      </c>
      <c r="F112" s="8" t="s">
        <v>118</v>
      </c>
      <c r="G112" s="8" t="s">
        <v>1530</v>
      </c>
      <c r="H112" s="5" t="s">
        <v>22</v>
      </c>
      <c r="I112" s="17" t="s">
        <v>1480</v>
      </c>
      <c r="J112" s="18" t="n">
        <v>3.6</v>
      </c>
      <c r="K112" s="9" t="s">
        <v>1592</v>
      </c>
    </row>
    <row r="113" customFormat="false" ht="216.4" hidden="false" customHeight="false" outlineLevel="0" collapsed="false">
      <c r="A113" s="5" t="n">
        <v>108</v>
      </c>
      <c r="B113" s="6" t="s">
        <v>13</v>
      </c>
      <c r="C113" s="7" t="s">
        <v>116</v>
      </c>
      <c r="D113" s="8" t="s">
        <v>15</v>
      </c>
      <c r="E113" s="8" t="s">
        <v>157</v>
      </c>
      <c r="F113" s="8" t="s">
        <v>127</v>
      </c>
      <c r="G113" s="8" t="s">
        <v>128</v>
      </c>
      <c r="H113" s="5" t="s">
        <v>22</v>
      </c>
      <c r="I113" s="17" t="s">
        <v>1480</v>
      </c>
      <c r="J113" s="18" t="n">
        <v>92.4</v>
      </c>
      <c r="K113" s="9" t="s">
        <v>1593</v>
      </c>
    </row>
    <row r="114" customFormat="false" ht="252.95" hidden="false" customHeight="false" outlineLevel="0" collapsed="false">
      <c r="A114" s="5" t="n">
        <v>109</v>
      </c>
      <c r="B114" s="6" t="s">
        <v>13</v>
      </c>
      <c r="C114" s="7" t="s">
        <v>116</v>
      </c>
      <c r="D114" s="8" t="s">
        <v>15</v>
      </c>
      <c r="E114" s="8" t="s">
        <v>157</v>
      </c>
      <c r="F114" s="8" t="s">
        <v>69</v>
      </c>
      <c r="G114" s="8" t="s">
        <v>70</v>
      </c>
      <c r="H114" s="5" t="s">
        <v>22</v>
      </c>
      <c r="I114" s="17" t="s">
        <v>1480</v>
      </c>
      <c r="J114" s="18" t="n">
        <v>121.76</v>
      </c>
      <c r="K114" s="9" t="s">
        <v>1594</v>
      </c>
    </row>
    <row r="115" customFormat="false" ht="252.95" hidden="false" customHeight="false" outlineLevel="0" collapsed="false">
      <c r="A115" s="5" t="n">
        <v>110</v>
      </c>
      <c r="B115" s="6" t="s">
        <v>13</v>
      </c>
      <c r="C115" s="7" t="s">
        <v>116</v>
      </c>
      <c r="D115" s="8" t="s">
        <v>15</v>
      </c>
      <c r="E115" s="8" t="s">
        <v>157</v>
      </c>
      <c r="F115" s="8" t="s">
        <v>69</v>
      </c>
      <c r="G115" s="8" t="s">
        <v>1482</v>
      </c>
      <c r="H115" s="5" t="s">
        <v>22</v>
      </c>
      <c r="I115" s="17" t="s">
        <v>1480</v>
      </c>
      <c r="J115" s="18" t="n">
        <v>119.36</v>
      </c>
      <c r="K115" s="9" t="s">
        <v>1595</v>
      </c>
    </row>
    <row r="116" customFormat="false" ht="252.95" hidden="false" customHeight="false" outlineLevel="0" collapsed="false">
      <c r="A116" s="5" t="n">
        <v>111</v>
      </c>
      <c r="B116" s="6" t="s">
        <v>13</v>
      </c>
      <c r="C116" s="7" t="s">
        <v>116</v>
      </c>
      <c r="D116" s="8" t="s">
        <v>15</v>
      </c>
      <c r="E116" s="8" t="s">
        <v>157</v>
      </c>
      <c r="F116" s="8" t="s">
        <v>69</v>
      </c>
      <c r="G116" s="8" t="s">
        <v>1484</v>
      </c>
      <c r="H116" s="5" t="s">
        <v>22</v>
      </c>
      <c r="I116" s="16" t="s">
        <v>1463</v>
      </c>
      <c r="J116" s="8"/>
      <c r="K116" s="9" t="s">
        <v>1596</v>
      </c>
    </row>
    <row r="117" customFormat="false" ht="252.95" hidden="false" customHeight="false" outlineLevel="0" collapsed="false">
      <c r="A117" s="5" t="n">
        <v>112</v>
      </c>
      <c r="B117" s="6" t="s">
        <v>13</v>
      </c>
      <c r="C117" s="7" t="s">
        <v>116</v>
      </c>
      <c r="D117" s="8" t="s">
        <v>15</v>
      </c>
      <c r="E117" s="8" t="s">
        <v>157</v>
      </c>
      <c r="F117" s="8" t="s">
        <v>69</v>
      </c>
      <c r="G117" s="8" t="s">
        <v>1486</v>
      </c>
      <c r="H117" s="5" t="s">
        <v>22</v>
      </c>
      <c r="I117" s="16" t="s">
        <v>1463</v>
      </c>
      <c r="J117" s="8"/>
      <c r="K117" s="9" t="s">
        <v>1597</v>
      </c>
    </row>
    <row r="118" customFormat="false" ht="261.9" hidden="false" customHeight="false" outlineLevel="0" collapsed="false">
      <c r="A118" s="5" t="n">
        <v>113</v>
      </c>
      <c r="B118" s="6" t="s">
        <v>13</v>
      </c>
      <c r="C118" s="7" t="s">
        <v>116</v>
      </c>
      <c r="D118" s="8" t="s">
        <v>15</v>
      </c>
      <c r="E118" s="8" t="s">
        <v>157</v>
      </c>
      <c r="F118" s="8" t="s">
        <v>131</v>
      </c>
      <c r="G118" s="8" t="s">
        <v>150</v>
      </c>
      <c r="H118" s="5" t="s">
        <v>18</v>
      </c>
      <c r="I118" s="16" t="s">
        <v>1463</v>
      </c>
      <c r="J118" s="8"/>
      <c r="K118" s="9" t="s">
        <v>1598</v>
      </c>
    </row>
    <row r="119" customFormat="false" ht="288.8" hidden="false" customHeight="false" outlineLevel="0" collapsed="false">
      <c r="A119" s="5" t="n">
        <v>114</v>
      </c>
      <c r="B119" s="6" t="s">
        <v>13</v>
      </c>
      <c r="C119" s="7" t="s">
        <v>116</v>
      </c>
      <c r="D119" s="8" t="s">
        <v>15</v>
      </c>
      <c r="E119" s="8" t="s">
        <v>157</v>
      </c>
      <c r="F119" s="8" t="s">
        <v>131</v>
      </c>
      <c r="G119" s="8" t="s">
        <v>1543</v>
      </c>
      <c r="H119" s="5" t="s">
        <v>18</v>
      </c>
      <c r="I119" s="16" t="s">
        <v>1463</v>
      </c>
      <c r="J119" s="8"/>
      <c r="K119" s="9" t="s">
        <v>1599</v>
      </c>
    </row>
    <row r="120" customFormat="false" ht="189.55" hidden="false" customHeight="false" outlineLevel="0" collapsed="false">
      <c r="A120" s="5" t="n">
        <v>115</v>
      </c>
      <c r="B120" s="6" t="s">
        <v>13</v>
      </c>
      <c r="C120" s="7" t="s">
        <v>116</v>
      </c>
      <c r="D120" s="8" t="s">
        <v>15</v>
      </c>
      <c r="E120" s="8" t="s">
        <v>157</v>
      </c>
      <c r="F120" s="8" t="s">
        <v>72</v>
      </c>
      <c r="G120" s="8" t="s">
        <v>73</v>
      </c>
      <c r="H120" s="5" t="s">
        <v>53</v>
      </c>
      <c r="I120" s="17" t="s">
        <v>1480</v>
      </c>
      <c r="J120" s="18" t="n">
        <v>1.0176</v>
      </c>
      <c r="K120" s="9" t="s">
        <v>1600</v>
      </c>
    </row>
    <row r="121" customFormat="false" ht="189.55" hidden="false" customHeight="false" outlineLevel="0" collapsed="false">
      <c r="A121" s="5" t="n">
        <v>116</v>
      </c>
      <c r="B121" s="6" t="s">
        <v>13</v>
      </c>
      <c r="C121" s="7" t="s">
        <v>116</v>
      </c>
      <c r="D121" s="8" t="s">
        <v>15</v>
      </c>
      <c r="E121" s="8" t="s">
        <v>157</v>
      </c>
      <c r="F121" s="8" t="s">
        <v>72</v>
      </c>
      <c r="G121" s="8" t="s">
        <v>1489</v>
      </c>
      <c r="H121" s="5" t="s">
        <v>53</v>
      </c>
      <c r="I121" s="17" t="s">
        <v>1480</v>
      </c>
      <c r="J121" s="18" t="n">
        <v>0.9832</v>
      </c>
      <c r="K121" s="9" t="s">
        <v>1601</v>
      </c>
    </row>
    <row r="122" customFormat="false" ht="189.55" hidden="false" customHeight="false" outlineLevel="0" collapsed="false">
      <c r="A122" s="5" t="n">
        <v>117</v>
      </c>
      <c r="B122" s="6" t="s">
        <v>13</v>
      </c>
      <c r="C122" s="7" t="s">
        <v>116</v>
      </c>
      <c r="D122" s="8" t="s">
        <v>15</v>
      </c>
      <c r="E122" s="8" t="s">
        <v>157</v>
      </c>
      <c r="F122" s="8" t="s">
        <v>72</v>
      </c>
      <c r="G122" s="8" t="s">
        <v>1491</v>
      </c>
      <c r="H122" s="5" t="s">
        <v>53</v>
      </c>
      <c r="I122" s="17" t="s">
        <v>1480</v>
      </c>
      <c r="J122" s="18" t="n">
        <v>0.96</v>
      </c>
      <c r="K122" s="9" t="s">
        <v>1602</v>
      </c>
    </row>
    <row r="123" customFormat="false" ht="189.55" hidden="false" customHeight="false" outlineLevel="0" collapsed="false">
      <c r="A123" s="5" t="n">
        <v>118</v>
      </c>
      <c r="B123" s="6" t="s">
        <v>13</v>
      </c>
      <c r="C123" s="7" t="s">
        <v>116</v>
      </c>
      <c r="D123" s="8" t="s">
        <v>15</v>
      </c>
      <c r="E123" s="8" t="s">
        <v>157</v>
      </c>
      <c r="F123" s="8" t="s">
        <v>72</v>
      </c>
      <c r="G123" s="8" t="s">
        <v>1493</v>
      </c>
      <c r="H123" s="5" t="s">
        <v>53</v>
      </c>
      <c r="I123" s="17" t="s">
        <v>1480</v>
      </c>
      <c r="J123" s="18" t="n">
        <v>0.9488</v>
      </c>
      <c r="K123" s="9" t="s">
        <v>1603</v>
      </c>
    </row>
    <row r="124" customFormat="false" ht="189.55" hidden="false" customHeight="false" outlineLevel="0" collapsed="false">
      <c r="A124" s="5" t="n">
        <v>119</v>
      </c>
      <c r="B124" s="6" t="s">
        <v>13</v>
      </c>
      <c r="C124" s="7" t="s">
        <v>116</v>
      </c>
      <c r="D124" s="8" t="s">
        <v>15</v>
      </c>
      <c r="E124" s="8" t="s">
        <v>157</v>
      </c>
      <c r="F124" s="8" t="s">
        <v>72</v>
      </c>
      <c r="G124" s="8" t="s">
        <v>1495</v>
      </c>
      <c r="H124" s="5" t="s">
        <v>53</v>
      </c>
      <c r="I124" s="17" t="s">
        <v>1480</v>
      </c>
      <c r="J124" s="18" t="n">
        <v>0.9256</v>
      </c>
      <c r="K124" s="9" t="s">
        <v>1604</v>
      </c>
    </row>
    <row r="125" customFormat="false" ht="189.55" hidden="false" customHeight="false" outlineLevel="0" collapsed="false">
      <c r="A125" s="5" t="n">
        <v>120</v>
      </c>
      <c r="B125" s="6" t="s">
        <v>13</v>
      </c>
      <c r="C125" s="7" t="s">
        <v>116</v>
      </c>
      <c r="D125" s="8" t="s">
        <v>15</v>
      </c>
      <c r="E125" s="8" t="s">
        <v>157</v>
      </c>
      <c r="F125" s="8" t="s">
        <v>72</v>
      </c>
      <c r="G125" s="8" t="s">
        <v>1497</v>
      </c>
      <c r="H125" s="5" t="s">
        <v>53</v>
      </c>
      <c r="I125" s="17" t="s">
        <v>1480</v>
      </c>
      <c r="J125" s="18" t="n">
        <v>0.9024</v>
      </c>
      <c r="K125" s="9" t="s">
        <v>1605</v>
      </c>
    </row>
    <row r="126" customFormat="false" ht="189.55" hidden="false" customHeight="false" outlineLevel="0" collapsed="false">
      <c r="A126" s="5" t="n">
        <v>121</v>
      </c>
      <c r="B126" s="6" t="s">
        <v>13</v>
      </c>
      <c r="C126" s="7" t="s">
        <v>116</v>
      </c>
      <c r="D126" s="8" t="s">
        <v>15</v>
      </c>
      <c r="E126" s="8" t="s">
        <v>157</v>
      </c>
      <c r="F126" s="8" t="s">
        <v>72</v>
      </c>
      <c r="G126" s="8" t="s">
        <v>1499</v>
      </c>
      <c r="H126" s="5" t="s">
        <v>53</v>
      </c>
      <c r="I126" s="17" t="s">
        <v>1480</v>
      </c>
      <c r="J126" s="18" t="n">
        <v>0.8912</v>
      </c>
      <c r="K126" s="9" t="s">
        <v>1606</v>
      </c>
    </row>
    <row r="127" customFormat="false" ht="189.55" hidden="false" customHeight="false" outlineLevel="0" collapsed="false">
      <c r="A127" s="5" t="n">
        <v>122</v>
      </c>
      <c r="B127" s="6" t="s">
        <v>13</v>
      </c>
      <c r="C127" s="7" t="s">
        <v>116</v>
      </c>
      <c r="D127" s="8" t="s">
        <v>15</v>
      </c>
      <c r="E127" s="8" t="s">
        <v>157</v>
      </c>
      <c r="F127" s="8" t="s">
        <v>72</v>
      </c>
      <c r="G127" s="8" t="s">
        <v>1501</v>
      </c>
      <c r="H127" s="5" t="s">
        <v>53</v>
      </c>
      <c r="I127" s="17" t="s">
        <v>1480</v>
      </c>
      <c r="J127" s="18" t="n">
        <v>1.0064</v>
      </c>
      <c r="K127" s="9" t="s">
        <v>1607</v>
      </c>
    </row>
    <row r="128" customFormat="false" ht="189.55" hidden="false" customHeight="false" outlineLevel="0" collapsed="false">
      <c r="A128" s="5" t="n">
        <v>123</v>
      </c>
      <c r="B128" s="6" t="s">
        <v>13</v>
      </c>
      <c r="C128" s="7" t="s">
        <v>116</v>
      </c>
      <c r="D128" s="8" t="s">
        <v>15</v>
      </c>
      <c r="E128" s="8" t="s">
        <v>157</v>
      </c>
      <c r="F128" s="8" t="s">
        <v>72</v>
      </c>
      <c r="G128" s="8" t="s">
        <v>1503</v>
      </c>
      <c r="H128" s="5" t="s">
        <v>53</v>
      </c>
      <c r="I128" s="16" t="s">
        <v>1463</v>
      </c>
      <c r="J128" s="8"/>
      <c r="K128" s="9" t="s">
        <v>1608</v>
      </c>
    </row>
    <row r="129" customFormat="false" ht="261.9" hidden="false" customHeight="false" outlineLevel="0" collapsed="false">
      <c r="A129" s="5" t="n">
        <v>124</v>
      </c>
      <c r="B129" s="6" t="s">
        <v>13</v>
      </c>
      <c r="C129" s="7" t="s">
        <v>116</v>
      </c>
      <c r="D129" s="8" t="s">
        <v>15</v>
      </c>
      <c r="E129" s="8" t="s">
        <v>157</v>
      </c>
      <c r="F129" s="8" t="s">
        <v>75</v>
      </c>
      <c r="G129" s="8" t="s">
        <v>76</v>
      </c>
      <c r="H129" s="5" t="s">
        <v>53</v>
      </c>
      <c r="I129" s="17" t="s">
        <v>1480</v>
      </c>
      <c r="J129" s="18" t="n">
        <v>1.404</v>
      </c>
      <c r="K129" s="9" t="s">
        <v>1609</v>
      </c>
    </row>
    <row r="130" customFormat="false" ht="198.5" hidden="false" customHeight="false" outlineLevel="0" collapsed="false">
      <c r="A130" s="5" t="n">
        <v>125</v>
      </c>
      <c r="B130" s="6" t="s">
        <v>13</v>
      </c>
      <c r="C130" s="7" t="s">
        <v>116</v>
      </c>
      <c r="D130" s="8" t="s">
        <v>15</v>
      </c>
      <c r="E130" s="8" t="s">
        <v>157</v>
      </c>
      <c r="F130" s="8" t="s">
        <v>138</v>
      </c>
      <c r="G130" s="8" t="s">
        <v>139</v>
      </c>
      <c r="H130" s="5" t="s">
        <v>18</v>
      </c>
      <c r="I130" s="17" t="s">
        <v>1480</v>
      </c>
      <c r="J130" s="18" t="n">
        <v>9.68</v>
      </c>
      <c r="K130" s="9" t="s">
        <v>1610</v>
      </c>
    </row>
    <row r="131" customFormat="false" ht="180.55" hidden="false" customHeight="false" outlineLevel="0" collapsed="false">
      <c r="A131" s="5" t="n">
        <v>126</v>
      </c>
      <c r="B131" s="6" t="s">
        <v>13</v>
      </c>
      <c r="C131" s="7" t="s">
        <v>116</v>
      </c>
      <c r="D131" s="8" t="s">
        <v>15</v>
      </c>
      <c r="E131" s="8" t="s">
        <v>157</v>
      </c>
      <c r="F131" s="8" t="s">
        <v>138</v>
      </c>
      <c r="G131" s="8" t="s">
        <v>1557</v>
      </c>
      <c r="H131" s="5" t="s">
        <v>18</v>
      </c>
      <c r="I131" s="17" t="s">
        <v>1480</v>
      </c>
      <c r="J131" s="18" t="n">
        <v>9.12</v>
      </c>
      <c r="K131" s="9" t="s">
        <v>1611</v>
      </c>
    </row>
    <row r="132" customFormat="false" ht="279.85" hidden="false" customHeight="false" outlineLevel="0" collapsed="false">
      <c r="A132" s="5" t="n">
        <v>127</v>
      </c>
      <c r="B132" s="6" t="s">
        <v>13</v>
      </c>
      <c r="C132" s="7" t="s">
        <v>116</v>
      </c>
      <c r="D132" s="8" t="s">
        <v>15</v>
      </c>
      <c r="E132" s="8" t="s">
        <v>157</v>
      </c>
      <c r="F132" s="8" t="s">
        <v>138</v>
      </c>
      <c r="G132" s="8" t="s">
        <v>1559</v>
      </c>
      <c r="H132" s="5" t="s">
        <v>18</v>
      </c>
      <c r="I132" s="16" t="s">
        <v>1463</v>
      </c>
      <c r="J132" s="8"/>
      <c r="K132" s="9" t="s">
        <v>1612</v>
      </c>
    </row>
    <row r="133" customFormat="false" ht="171.6" hidden="false" customHeight="false" outlineLevel="0" collapsed="false">
      <c r="A133" s="5" t="n">
        <v>128</v>
      </c>
      <c r="B133" s="6" t="s">
        <v>13</v>
      </c>
      <c r="C133" s="7" t="s">
        <v>116</v>
      </c>
      <c r="D133" s="8" t="s">
        <v>15</v>
      </c>
      <c r="E133" s="8" t="s">
        <v>165</v>
      </c>
      <c r="F133" s="8" t="s">
        <v>121</v>
      </c>
      <c r="G133" s="8" t="s">
        <v>122</v>
      </c>
      <c r="H133" s="5" t="s">
        <v>18</v>
      </c>
      <c r="I133" s="17" t="s">
        <v>1480</v>
      </c>
      <c r="J133" s="18" t="n">
        <v>2.4</v>
      </c>
      <c r="K133" s="9" t="s">
        <v>1613</v>
      </c>
    </row>
    <row r="134" customFormat="false" ht="207.45" hidden="false" customHeight="false" outlineLevel="0" collapsed="false">
      <c r="A134" s="5" t="n">
        <v>129</v>
      </c>
      <c r="B134" s="6" t="s">
        <v>13</v>
      </c>
      <c r="C134" s="7" t="s">
        <v>116</v>
      </c>
      <c r="D134" s="8" t="s">
        <v>15</v>
      </c>
      <c r="E134" s="8" t="s">
        <v>165</v>
      </c>
      <c r="F134" s="8" t="s">
        <v>124</v>
      </c>
      <c r="G134" s="8" t="s">
        <v>125</v>
      </c>
      <c r="H134" s="5" t="s">
        <v>22</v>
      </c>
      <c r="I134" s="17" t="s">
        <v>1480</v>
      </c>
      <c r="J134" s="18" t="n">
        <v>23.76</v>
      </c>
      <c r="K134" s="9" t="s">
        <v>1614</v>
      </c>
    </row>
    <row r="135" customFormat="false" ht="207.45" hidden="false" customHeight="false" outlineLevel="0" collapsed="false">
      <c r="A135" s="5" t="n">
        <v>130</v>
      </c>
      <c r="B135" s="6" t="s">
        <v>13</v>
      </c>
      <c r="C135" s="7" t="s">
        <v>116</v>
      </c>
      <c r="D135" s="8" t="s">
        <v>15</v>
      </c>
      <c r="E135" s="8" t="s">
        <v>165</v>
      </c>
      <c r="F135" s="8" t="s">
        <v>124</v>
      </c>
      <c r="G135" s="8" t="s">
        <v>1534</v>
      </c>
      <c r="H135" s="5" t="s">
        <v>22</v>
      </c>
      <c r="I135" s="17" t="s">
        <v>1480</v>
      </c>
      <c r="J135" s="18" t="n">
        <v>23.76</v>
      </c>
      <c r="K135" s="9" t="s">
        <v>1615</v>
      </c>
    </row>
    <row r="136" customFormat="false" ht="198.5" hidden="false" customHeight="false" outlineLevel="0" collapsed="false">
      <c r="A136" s="5" t="n">
        <v>131</v>
      </c>
      <c r="B136" s="6" t="s">
        <v>13</v>
      </c>
      <c r="C136" s="7" t="s">
        <v>116</v>
      </c>
      <c r="D136" s="8" t="s">
        <v>15</v>
      </c>
      <c r="E136" s="8" t="s">
        <v>165</v>
      </c>
      <c r="F136" s="8" t="s">
        <v>141</v>
      </c>
      <c r="G136" s="8" t="s">
        <v>142</v>
      </c>
      <c r="H136" s="5" t="s">
        <v>18</v>
      </c>
      <c r="I136" s="17" t="s">
        <v>1480</v>
      </c>
      <c r="J136" s="18" t="n">
        <v>4</v>
      </c>
      <c r="K136" s="9" t="s">
        <v>1616</v>
      </c>
    </row>
    <row r="137" customFormat="false" ht="261.9" hidden="false" customHeight="false" outlineLevel="0" collapsed="false">
      <c r="A137" s="5" t="n">
        <v>132</v>
      </c>
      <c r="B137" s="6" t="s">
        <v>13</v>
      </c>
      <c r="C137" s="7" t="s">
        <v>116</v>
      </c>
      <c r="D137" s="8" t="s">
        <v>15</v>
      </c>
      <c r="E137" s="8" t="s">
        <v>165</v>
      </c>
      <c r="F137" s="8" t="s">
        <v>169</v>
      </c>
      <c r="G137" s="8" t="s">
        <v>170</v>
      </c>
      <c r="H137" s="5" t="s">
        <v>18</v>
      </c>
      <c r="I137" s="16" t="s">
        <v>1463</v>
      </c>
      <c r="J137" s="8"/>
      <c r="K137" s="9" t="s">
        <v>1617</v>
      </c>
    </row>
    <row r="138" customFormat="false" ht="207.45" hidden="false" customHeight="false" outlineLevel="0" collapsed="false">
      <c r="A138" s="5" t="n">
        <v>133</v>
      </c>
      <c r="B138" s="6" t="s">
        <v>13</v>
      </c>
      <c r="C138" s="7" t="s">
        <v>116</v>
      </c>
      <c r="D138" s="8" t="s">
        <v>15</v>
      </c>
      <c r="E138" s="8" t="s">
        <v>165</v>
      </c>
      <c r="F138" s="8" t="s">
        <v>127</v>
      </c>
      <c r="G138" s="8" t="s">
        <v>128</v>
      </c>
      <c r="H138" s="5" t="s">
        <v>22</v>
      </c>
      <c r="I138" s="17" t="s">
        <v>1480</v>
      </c>
      <c r="J138" s="18" t="n">
        <v>92.4</v>
      </c>
      <c r="K138" s="9" t="s">
        <v>1618</v>
      </c>
    </row>
    <row r="139" customFormat="false" ht="244" hidden="false" customHeight="false" outlineLevel="0" collapsed="false">
      <c r="A139" s="5" t="n">
        <v>134</v>
      </c>
      <c r="B139" s="6" t="s">
        <v>13</v>
      </c>
      <c r="C139" s="7" t="s">
        <v>116</v>
      </c>
      <c r="D139" s="8" t="s">
        <v>15</v>
      </c>
      <c r="E139" s="8" t="s">
        <v>165</v>
      </c>
      <c r="F139" s="8" t="s">
        <v>69</v>
      </c>
      <c r="G139" s="8" t="s">
        <v>70</v>
      </c>
      <c r="H139" s="5" t="s">
        <v>22</v>
      </c>
      <c r="I139" s="17" t="s">
        <v>1480</v>
      </c>
      <c r="J139" s="18" t="n">
        <v>121.76</v>
      </c>
      <c r="K139" s="9" t="s">
        <v>1619</v>
      </c>
    </row>
    <row r="140" customFormat="false" ht="244" hidden="false" customHeight="false" outlineLevel="0" collapsed="false">
      <c r="A140" s="5" t="n">
        <v>135</v>
      </c>
      <c r="B140" s="6" t="s">
        <v>13</v>
      </c>
      <c r="C140" s="7" t="s">
        <v>116</v>
      </c>
      <c r="D140" s="8" t="s">
        <v>15</v>
      </c>
      <c r="E140" s="8" t="s">
        <v>165</v>
      </c>
      <c r="F140" s="8" t="s">
        <v>69</v>
      </c>
      <c r="G140" s="8" t="s">
        <v>1482</v>
      </c>
      <c r="H140" s="5" t="s">
        <v>22</v>
      </c>
      <c r="I140" s="17" t="s">
        <v>1480</v>
      </c>
      <c r="J140" s="18" t="n">
        <v>119.36</v>
      </c>
      <c r="K140" s="9" t="s">
        <v>1620</v>
      </c>
    </row>
    <row r="141" customFormat="false" ht="244" hidden="false" customHeight="false" outlineLevel="0" collapsed="false">
      <c r="A141" s="5" t="n">
        <v>136</v>
      </c>
      <c r="B141" s="6" t="s">
        <v>13</v>
      </c>
      <c r="C141" s="7" t="s">
        <v>116</v>
      </c>
      <c r="D141" s="8" t="s">
        <v>15</v>
      </c>
      <c r="E141" s="8" t="s">
        <v>165</v>
      </c>
      <c r="F141" s="8" t="s">
        <v>69</v>
      </c>
      <c r="G141" s="8" t="s">
        <v>1484</v>
      </c>
      <c r="H141" s="5" t="s">
        <v>22</v>
      </c>
      <c r="I141" s="16" t="s">
        <v>1463</v>
      </c>
      <c r="J141" s="8"/>
      <c r="K141" s="9" t="s">
        <v>1621</v>
      </c>
    </row>
    <row r="142" customFormat="false" ht="244" hidden="false" customHeight="false" outlineLevel="0" collapsed="false">
      <c r="A142" s="5" t="n">
        <v>137</v>
      </c>
      <c r="B142" s="6" t="s">
        <v>13</v>
      </c>
      <c r="C142" s="7" t="s">
        <v>116</v>
      </c>
      <c r="D142" s="8" t="s">
        <v>15</v>
      </c>
      <c r="E142" s="8" t="s">
        <v>165</v>
      </c>
      <c r="F142" s="8" t="s">
        <v>69</v>
      </c>
      <c r="G142" s="8" t="s">
        <v>1486</v>
      </c>
      <c r="H142" s="5" t="s">
        <v>22</v>
      </c>
      <c r="I142" s="16" t="s">
        <v>1463</v>
      </c>
      <c r="J142" s="8"/>
      <c r="K142" s="9" t="s">
        <v>1622</v>
      </c>
    </row>
    <row r="143" customFormat="false" ht="252.95" hidden="false" customHeight="false" outlineLevel="0" collapsed="false">
      <c r="A143" s="5" t="n">
        <v>138</v>
      </c>
      <c r="B143" s="6" t="s">
        <v>13</v>
      </c>
      <c r="C143" s="7" t="s">
        <v>116</v>
      </c>
      <c r="D143" s="8" t="s">
        <v>15</v>
      </c>
      <c r="E143" s="8" t="s">
        <v>165</v>
      </c>
      <c r="F143" s="8" t="s">
        <v>131</v>
      </c>
      <c r="G143" s="8" t="s">
        <v>150</v>
      </c>
      <c r="H143" s="5" t="s">
        <v>18</v>
      </c>
      <c r="I143" s="16" t="s">
        <v>1463</v>
      </c>
      <c r="J143" s="8"/>
      <c r="K143" s="9" t="s">
        <v>1623</v>
      </c>
    </row>
    <row r="144" customFormat="false" ht="279.85" hidden="false" customHeight="false" outlineLevel="0" collapsed="false">
      <c r="A144" s="5" t="n">
        <v>139</v>
      </c>
      <c r="B144" s="6" t="s">
        <v>13</v>
      </c>
      <c r="C144" s="7" t="s">
        <v>116</v>
      </c>
      <c r="D144" s="8" t="s">
        <v>15</v>
      </c>
      <c r="E144" s="8" t="s">
        <v>165</v>
      </c>
      <c r="F144" s="8" t="s">
        <v>131</v>
      </c>
      <c r="G144" s="8" t="s">
        <v>1543</v>
      </c>
      <c r="H144" s="5" t="s">
        <v>18</v>
      </c>
      <c r="I144" s="16" t="s">
        <v>1463</v>
      </c>
      <c r="J144" s="8"/>
      <c r="K144" s="9" t="s">
        <v>1624</v>
      </c>
    </row>
    <row r="145" customFormat="false" ht="180.55" hidden="false" customHeight="false" outlineLevel="0" collapsed="false">
      <c r="A145" s="5" t="n">
        <v>140</v>
      </c>
      <c r="B145" s="6" t="s">
        <v>13</v>
      </c>
      <c r="C145" s="7" t="s">
        <v>116</v>
      </c>
      <c r="D145" s="8" t="s">
        <v>15</v>
      </c>
      <c r="E145" s="8" t="s">
        <v>165</v>
      </c>
      <c r="F145" s="8" t="s">
        <v>72</v>
      </c>
      <c r="G145" s="8" t="s">
        <v>73</v>
      </c>
      <c r="H145" s="5" t="s">
        <v>53</v>
      </c>
      <c r="I145" s="17" t="s">
        <v>1480</v>
      </c>
      <c r="J145" s="18" t="n">
        <v>1.0176</v>
      </c>
      <c r="K145" s="9" t="s">
        <v>1625</v>
      </c>
    </row>
    <row r="146" customFormat="false" ht="180.55" hidden="false" customHeight="false" outlineLevel="0" collapsed="false">
      <c r="A146" s="5" t="n">
        <v>141</v>
      </c>
      <c r="B146" s="6" t="s">
        <v>13</v>
      </c>
      <c r="C146" s="7" t="s">
        <v>116</v>
      </c>
      <c r="D146" s="8" t="s">
        <v>15</v>
      </c>
      <c r="E146" s="8" t="s">
        <v>165</v>
      </c>
      <c r="F146" s="8" t="s">
        <v>72</v>
      </c>
      <c r="G146" s="8" t="s">
        <v>1489</v>
      </c>
      <c r="H146" s="5" t="s">
        <v>53</v>
      </c>
      <c r="I146" s="17" t="s">
        <v>1480</v>
      </c>
      <c r="J146" s="18" t="n">
        <v>0.9832</v>
      </c>
      <c r="K146" s="9" t="s">
        <v>1626</v>
      </c>
    </row>
    <row r="147" customFormat="false" ht="180.55" hidden="false" customHeight="false" outlineLevel="0" collapsed="false">
      <c r="A147" s="5" t="n">
        <v>142</v>
      </c>
      <c r="B147" s="6" t="s">
        <v>13</v>
      </c>
      <c r="C147" s="7" t="s">
        <v>116</v>
      </c>
      <c r="D147" s="8" t="s">
        <v>15</v>
      </c>
      <c r="E147" s="8" t="s">
        <v>165</v>
      </c>
      <c r="F147" s="8" t="s">
        <v>72</v>
      </c>
      <c r="G147" s="8" t="s">
        <v>1491</v>
      </c>
      <c r="H147" s="5" t="s">
        <v>53</v>
      </c>
      <c r="I147" s="17" t="s">
        <v>1480</v>
      </c>
      <c r="J147" s="18" t="n">
        <v>0.96</v>
      </c>
      <c r="K147" s="9" t="s">
        <v>1627</v>
      </c>
    </row>
    <row r="148" customFormat="false" ht="180.55" hidden="false" customHeight="false" outlineLevel="0" collapsed="false">
      <c r="A148" s="5" t="n">
        <v>143</v>
      </c>
      <c r="B148" s="6" t="s">
        <v>13</v>
      </c>
      <c r="C148" s="7" t="s">
        <v>116</v>
      </c>
      <c r="D148" s="8" t="s">
        <v>15</v>
      </c>
      <c r="E148" s="8" t="s">
        <v>165</v>
      </c>
      <c r="F148" s="8" t="s">
        <v>72</v>
      </c>
      <c r="G148" s="8" t="s">
        <v>1493</v>
      </c>
      <c r="H148" s="5" t="s">
        <v>53</v>
      </c>
      <c r="I148" s="17" t="s">
        <v>1480</v>
      </c>
      <c r="J148" s="18" t="n">
        <v>0.9488</v>
      </c>
      <c r="K148" s="9" t="s">
        <v>1628</v>
      </c>
    </row>
    <row r="149" customFormat="false" ht="180.55" hidden="false" customHeight="false" outlineLevel="0" collapsed="false">
      <c r="A149" s="5" t="n">
        <v>144</v>
      </c>
      <c r="B149" s="6" t="s">
        <v>13</v>
      </c>
      <c r="C149" s="7" t="s">
        <v>116</v>
      </c>
      <c r="D149" s="8" t="s">
        <v>15</v>
      </c>
      <c r="E149" s="8" t="s">
        <v>165</v>
      </c>
      <c r="F149" s="8" t="s">
        <v>72</v>
      </c>
      <c r="G149" s="8" t="s">
        <v>1495</v>
      </c>
      <c r="H149" s="5" t="s">
        <v>53</v>
      </c>
      <c r="I149" s="17" t="s">
        <v>1480</v>
      </c>
      <c r="J149" s="18" t="n">
        <v>0.9256</v>
      </c>
      <c r="K149" s="9" t="s">
        <v>1629</v>
      </c>
    </row>
    <row r="150" customFormat="false" ht="180.55" hidden="false" customHeight="false" outlineLevel="0" collapsed="false">
      <c r="A150" s="5" t="n">
        <v>145</v>
      </c>
      <c r="B150" s="6" t="s">
        <v>13</v>
      </c>
      <c r="C150" s="7" t="s">
        <v>116</v>
      </c>
      <c r="D150" s="8" t="s">
        <v>15</v>
      </c>
      <c r="E150" s="8" t="s">
        <v>165</v>
      </c>
      <c r="F150" s="8" t="s">
        <v>72</v>
      </c>
      <c r="G150" s="8" t="s">
        <v>1497</v>
      </c>
      <c r="H150" s="5" t="s">
        <v>53</v>
      </c>
      <c r="I150" s="17" t="s">
        <v>1480</v>
      </c>
      <c r="J150" s="18" t="n">
        <v>0.9024</v>
      </c>
      <c r="K150" s="9" t="s">
        <v>1630</v>
      </c>
    </row>
    <row r="151" customFormat="false" ht="180.55" hidden="false" customHeight="false" outlineLevel="0" collapsed="false">
      <c r="A151" s="5" t="n">
        <v>146</v>
      </c>
      <c r="B151" s="6" t="s">
        <v>13</v>
      </c>
      <c r="C151" s="7" t="s">
        <v>116</v>
      </c>
      <c r="D151" s="8" t="s">
        <v>15</v>
      </c>
      <c r="E151" s="8" t="s">
        <v>165</v>
      </c>
      <c r="F151" s="8" t="s">
        <v>72</v>
      </c>
      <c r="G151" s="8" t="s">
        <v>1499</v>
      </c>
      <c r="H151" s="5" t="s">
        <v>53</v>
      </c>
      <c r="I151" s="17" t="s">
        <v>1480</v>
      </c>
      <c r="J151" s="18" t="n">
        <v>0.8912</v>
      </c>
      <c r="K151" s="9" t="s">
        <v>1631</v>
      </c>
    </row>
    <row r="152" customFormat="false" ht="180.55" hidden="false" customHeight="false" outlineLevel="0" collapsed="false">
      <c r="A152" s="5" t="n">
        <v>147</v>
      </c>
      <c r="B152" s="6" t="s">
        <v>13</v>
      </c>
      <c r="C152" s="7" t="s">
        <v>116</v>
      </c>
      <c r="D152" s="8" t="s">
        <v>15</v>
      </c>
      <c r="E152" s="8" t="s">
        <v>165</v>
      </c>
      <c r="F152" s="8" t="s">
        <v>72</v>
      </c>
      <c r="G152" s="8" t="s">
        <v>1501</v>
      </c>
      <c r="H152" s="5" t="s">
        <v>53</v>
      </c>
      <c r="I152" s="17" t="s">
        <v>1480</v>
      </c>
      <c r="J152" s="18" t="n">
        <v>1.0064</v>
      </c>
      <c r="K152" s="9" t="s">
        <v>1632</v>
      </c>
    </row>
    <row r="153" customFormat="false" ht="180.55" hidden="false" customHeight="false" outlineLevel="0" collapsed="false">
      <c r="A153" s="5" t="n">
        <v>148</v>
      </c>
      <c r="B153" s="6" t="s">
        <v>13</v>
      </c>
      <c r="C153" s="7" t="s">
        <v>116</v>
      </c>
      <c r="D153" s="8" t="s">
        <v>15</v>
      </c>
      <c r="E153" s="8" t="s">
        <v>165</v>
      </c>
      <c r="F153" s="8" t="s">
        <v>72</v>
      </c>
      <c r="G153" s="8" t="s">
        <v>1503</v>
      </c>
      <c r="H153" s="5" t="s">
        <v>53</v>
      </c>
      <c r="I153" s="16" t="s">
        <v>1463</v>
      </c>
      <c r="J153" s="8"/>
      <c r="K153" s="9" t="s">
        <v>1633</v>
      </c>
    </row>
    <row r="154" customFormat="false" ht="252.95" hidden="false" customHeight="false" outlineLevel="0" collapsed="false">
      <c r="A154" s="5" t="n">
        <v>149</v>
      </c>
      <c r="B154" s="6" t="s">
        <v>13</v>
      </c>
      <c r="C154" s="7" t="s">
        <v>116</v>
      </c>
      <c r="D154" s="8" t="s">
        <v>15</v>
      </c>
      <c r="E154" s="8" t="s">
        <v>165</v>
      </c>
      <c r="F154" s="8" t="s">
        <v>75</v>
      </c>
      <c r="G154" s="8" t="s">
        <v>76</v>
      </c>
      <c r="H154" s="5" t="s">
        <v>53</v>
      </c>
      <c r="I154" s="17" t="s">
        <v>1480</v>
      </c>
      <c r="J154" s="18" t="n">
        <v>1.404</v>
      </c>
      <c r="K154" s="9" t="s">
        <v>1634</v>
      </c>
    </row>
    <row r="155" customFormat="false" ht="189.55" hidden="false" customHeight="false" outlineLevel="0" collapsed="false">
      <c r="A155" s="5" t="n">
        <v>150</v>
      </c>
      <c r="B155" s="6" t="s">
        <v>13</v>
      </c>
      <c r="C155" s="7" t="s">
        <v>116</v>
      </c>
      <c r="D155" s="8" t="s">
        <v>15</v>
      </c>
      <c r="E155" s="8" t="s">
        <v>165</v>
      </c>
      <c r="F155" s="8" t="s">
        <v>138</v>
      </c>
      <c r="G155" s="8" t="s">
        <v>139</v>
      </c>
      <c r="H155" s="5" t="s">
        <v>18</v>
      </c>
      <c r="I155" s="17" t="s">
        <v>1480</v>
      </c>
      <c r="J155" s="18" t="n">
        <v>9.68</v>
      </c>
      <c r="K155" s="9" t="s">
        <v>1635</v>
      </c>
    </row>
    <row r="156" customFormat="false" ht="171.6" hidden="false" customHeight="false" outlineLevel="0" collapsed="false">
      <c r="A156" s="5" t="n">
        <v>151</v>
      </c>
      <c r="B156" s="6" t="s">
        <v>13</v>
      </c>
      <c r="C156" s="7" t="s">
        <v>116</v>
      </c>
      <c r="D156" s="8" t="s">
        <v>15</v>
      </c>
      <c r="E156" s="8" t="s">
        <v>165</v>
      </c>
      <c r="F156" s="8" t="s">
        <v>138</v>
      </c>
      <c r="G156" s="8" t="s">
        <v>1557</v>
      </c>
      <c r="H156" s="5" t="s">
        <v>18</v>
      </c>
      <c r="I156" s="17" t="s">
        <v>1480</v>
      </c>
      <c r="J156" s="18" t="n">
        <v>9.12</v>
      </c>
      <c r="K156" s="9" t="s">
        <v>1636</v>
      </c>
    </row>
    <row r="157" customFormat="false" ht="270.85" hidden="false" customHeight="false" outlineLevel="0" collapsed="false">
      <c r="A157" s="5" t="n">
        <v>152</v>
      </c>
      <c r="B157" s="6" t="s">
        <v>13</v>
      </c>
      <c r="C157" s="7" t="s">
        <v>116</v>
      </c>
      <c r="D157" s="8" t="s">
        <v>15</v>
      </c>
      <c r="E157" s="8" t="s">
        <v>165</v>
      </c>
      <c r="F157" s="8" t="s">
        <v>138</v>
      </c>
      <c r="G157" s="8" t="s">
        <v>1559</v>
      </c>
      <c r="H157" s="5" t="s">
        <v>18</v>
      </c>
      <c r="I157" s="16" t="s">
        <v>1463</v>
      </c>
      <c r="J157" s="8"/>
      <c r="K157" s="9" t="s">
        <v>1637</v>
      </c>
    </row>
    <row r="158" customFormat="false" ht="117.9" hidden="false" customHeight="false" outlineLevel="0" collapsed="false">
      <c r="A158" s="5" t="n">
        <v>153</v>
      </c>
      <c r="B158" s="6" t="s">
        <v>13</v>
      </c>
      <c r="C158" s="7" t="s">
        <v>116</v>
      </c>
      <c r="D158" s="8" t="s">
        <v>15</v>
      </c>
      <c r="E158" s="8" t="s">
        <v>178</v>
      </c>
      <c r="F158" s="8" t="s">
        <v>118</v>
      </c>
      <c r="G158" s="8" t="s">
        <v>119</v>
      </c>
      <c r="H158" s="5" t="s">
        <v>22</v>
      </c>
      <c r="I158" s="17" t="s">
        <v>1480</v>
      </c>
      <c r="J158" s="18" t="n">
        <v>4.8</v>
      </c>
      <c r="K158" s="9" t="s">
        <v>1638</v>
      </c>
    </row>
    <row r="159" customFormat="false" ht="117.9" hidden="false" customHeight="false" outlineLevel="0" collapsed="false">
      <c r="A159" s="5" t="n">
        <v>154</v>
      </c>
      <c r="B159" s="6" t="s">
        <v>13</v>
      </c>
      <c r="C159" s="7" t="s">
        <v>116</v>
      </c>
      <c r="D159" s="8" t="s">
        <v>15</v>
      </c>
      <c r="E159" s="8" t="s">
        <v>178</v>
      </c>
      <c r="F159" s="8" t="s">
        <v>118</v>
      </c>
      <c r="G159" s="8" t="s">
        <v>28</v>
      </c>
      <c r="H159" s="5" t="s">
        <v>22</v>
      </c>
      <c r="I159" s="17" t="s">
        <v>1480</v>
      </c>
      <c r="J159" s="18" t="n">
        <v>4.8</v>
      </c>
      <c r="K159" s="9" t="s">
        <v>1639</v>
      </c>
    </row>
    <row r="160" customFormat="false" ht="126.85" hidden="false" customHeight="false" outlineLevel="0" collapsed="false">
      <c r="A160" s="5" t="n">
        <v>155</v>
      </c>
      <c r="B160" s="6" t="s">
        <v>13</v>
      </c>
      <c r="C160" s="7" t="s">
        <v>116</v>
      </c>
      <c r="D160" s="8" t="s">
        <v>15</v>
      </c>
      <c r="E160" s="8" t="s">
        <v>178</v>
      </c>
      <c r="F160" s="8" t="s">
        <v>118</v>
      </c>
      <c r="G160" s="8" t="s">
        <v>1530</v>
      </c>
      <c r="H160" s="5" t="s">
        <v>22</v>
      </c>
      <c r="I160" s="17" t="s">
        <v>1480</v>
      </c>
      <c r="J160" s="18" t="n">
        <v>3.6</v>
      </c>
      <c r="K160" s="9" t="s">
        <v>1640</v>
      </c>
    </row>
    <row r="161" customFormat="false" ht="144.75" hidden="false" customHeight="false" outlineLevel="0" collapsed="false">
      <c r="A161" s="5" t="n">
        <v>156</v>
      </c>
      <c r="B161" s="6" t="s">
        <v>13</v>
      </c>
      <c r="C161" s="7" t="s">
        <v>116</v>
      </c>
      <c r="D161" s="8" t="s">
        <v>15</v>
      </c>
      <c r="E161" s="8" t="s">
        <v>178</v>
      </c>
      <c r="F161" s="8" t="s">
        <v>121</v>
      </c>
      <c r="G161" s="8" t="s">
        <v>122</v>
      </c>
      <c r="H161" s="5" t="s">
        <v>18</v>
      </c>
      <c r="I161" s="17" t="s">
        <v>1480</v>
      </c>
      <c r="J161" s="18" t="n">
        <v>2.4</v>
      </c>
      <c r="K161" s="9" t="s">
        <v>1641</v>
      </c>
    </row>
    <row r="162" customFormat="false" ht="180.55" hidden="false" customHeight="false" outlineLevel="0" collapsed="false">
      <c r="A162" s="5" t="n">
        <v>157</v>
      </c>
      <c r="B162" s="6" t="s">
        <v>13</v>
      </c>
      <c r="C162" s="7" t="s">
        <v>116</v>
      </c>
      <c r="D162" s="8" t="s">
        <v>15</v>
      </c>
      <c r="E162" s="8" t="s">
        <v>178</v>
      </c>
      <c r="F162" s="8" t="s">
        <v>124</v>
      </c>
      <c r="G162" s="8" t="s">
        <v>125</v>
      </c>
      <c r="H162" s="5" t="s">
        <v>22</v>
      </c>
      <c r="I162" s="17" t="s">
        <v>1480</v>
      </c>
      <c r="J162" s="18" t="n">
        <v>23.76</v>
      </c>
      <c r="K162" s="9" t="s">
        <v>1642</v>
      </c>
    </row>
    <row r="163" customFormat="false" ht="180.55" hidden="false" customHeight="false" outlineLevel="0" collapsed="false">
      <c r="A163" s="5" t="n">
        <v>158</v>
      </c>
      <c r="B163" s="6" t="s">
        <v>13</v>
      </c>
      <c r="C163" s="7" t="s">
        <v>116</v>
      </c>
      <c r="D163" s="8" t="s">
        <v>15</v>
      </c>
      <c r="E163" s="8" t="s">
        <v>178</v>
      </c>
      <c r="F163" s="8" t="s">
        <v>124</v>
      </c>
      <c r="G163" s="8" t="s">
        <v>1534</v>
      </c>
      <c r="H163" s="5" t="s">
        <v>22</v>
      </c>
      <c r="I163" s="17" t="s">
        <v>1480</v>
      </c>
      <c r="J163" s="18" t="n">
        <v>23.76</v>
      </c>
      <c r="K163" s="9" t="s">
        <v>1643</v>
      </c>
    </row>
    <row r="164" customFormat="false" ht="180.55" hidden="false" customHeight="false" outlineLevel="0" collapsed="false">
      <c r="A164" s="5" t="n">
        <v>159</v>
      </c>
      <c r="B164" s="6" t="s">
        <v>13</v>
      </c>
      <c r="C164" s="7" t="s">
        <v>116</v>
      </c>
      <c r="D164" s="8" t="s">
        <v>15</v>
      </c>
      <c r="E164" s="8" t="s">
        <v>178</v>
      </c>
      <c r="F164" s="8" t="s">
        <v>127</v>
      </c>
      <c r="G164" s="8" t="s">
        <v>128</v>
      </c>
      <c r="H164" s="5" t="s">
        <v>22</v>
      </c>
      <c r="I164" s="17" t="s">
        <v>1480</v>
      </c>
      <c r="J164" s="18" t="n">
        <v>92.4</v>
      </c>
      <c r="K164" s="9" t="s">
        <v>1644</v>
      </c>
    </row>
    <row r="165" customFormat="false" ht="216.4" hidden="false" customHeight="false" outlineLevel="0" collapsed="false">
      <c r="A165" s="5" t="n">
        <v>160</v>
      </c>
      <c r="B165" s="6" t="s">
        <v>13</v>
      </c>
      <c r="C165" s="7" t="s">
        <v>116</v>
      </c>
      <c r="D165" s="8" t="s">
        <v>15</v>
      </c>
      <c r="E165" s="8" t="s">
        <v>178</v>
      </c>
      <c r="F165" s="8" t="s">
        <v>69</v>
      </c>
      <c r="G165" s="8" t="s">
        <v>70</v>
      </c>
      <c r="H165" s="5" t="s">
        <v>22</v>
      </c>
      <c r="I165" s="17" t="s">
        <v>1480</v>
      </c>
      <c r="J165" s="18" t="n">
        <v>121.76</v>
      </c>
      <c r="K165" s="9" t="s">
        <v>1645</v>
      </c>
    </row>
    <row r="166" customFormat="false" ht="216.4" hidden="false" customHeight="false" outlineLevel="0" collapsed="false">
      <c r="A166" s="5" t="n">
        <v>161</v>
      </c>
      <c r="B166" s="6" t="s">
        <v>13</v>
      </c>
      <c r="C166" s="7" t="s">
        <v>116</v>
      </c>
      <c r="D166" s="8" t="s">
        <v>15</v>
      </c>
      <c r="E166" s="8" t="s">
        <v>178</v>
      </c>
      <c r="F166" s="8" t="s">
        <v>69</v>
      </c>
      <c r="G166" s="8" t="s">
        <v>1482</v>
      </c>
      <c r="H166" s="5" t="s">
        <v>22</v>
      </c>
      <c r="I166" s="17" t="s">
        <v>1480</v>
      </c>
      <c r="J166" s="18" t="n">
        <v>119.36</v>
      </c>
      <c r="K166" s="9" t="s">
        <v>1646</v>
      </c>
    </row>
    <row r="167" customFormat="false" ht="216.4" hidden="false" customHeight="false" outlineLevel="0" collapsed="false">
      <c r="A167" s="5" t="n">
        <v>162</v>
      </c>
      <c r="B167" s="6" t="s">
        <v>13</v>
      </c>
      <c r="C167" s="7" t="s">
        <v>116</v>
      </c>
      <c r="D167" s="8" t="s">
        <v>15</v>
      </c>
      <c r="E167" s="8" t="s">
        <v>178</v>
      </c>
      <c r="F167" s="8" t="s">
        <v>69</v>
      </c>
      <c r="G167" s="8" t="s">
        <v>1484</v>
      </c>
      <c r="H167" s="5" t="s">
        <v>22</v>
      </c>
      <c r="I167" s="16" t="s">
        <v>1463</v>
      </c>
      <c r="J167" s="8"/>
      <c r="K167" s="9" t="s">
        <v>1647</v>
      </c>
    </row>
    <row r="168" customFormat="false" ht="216.4" hidden="false" customHeight="false" outlineLevel="0" collapsed="false">
      <c r="A168" s="5" t="n">
        <v>163</v>
      </c>
      <c r="B168" s="6" t="s">
        <v>13</v>
      </c>
      <c r="C168" s="7" t="s">
        <v>116</v>
      </c>
      <c r="D168" s="8" t="s">
        <v>15</v>
      </c>
      <c r="E168" s="8" t="s">
        <v>178</v>
      </c>
      <c r="F168" s="8" t="s">
        <v>69</v>
      </c>
      <c r="G168" s="8" t="s">
        <v>1486</v>
      </c>
      <c r="H168" s="5" t="s">
        <v>22</v>
      </c>
      <c r="I168" s="16" t="s">
        <v>1463</v>
      </c>
      <c r="J168" s="8"/>
      <c r="K168" s="9" t="s">
        <v>1648</v>
      </c>
    </row>
    <row r="169" customFormat="false" ht="225.35" hidden="false" customHeight="false" outlineLevel="0" collapsed="false">
      <c r="A169" s="5" t="n">
        <v>164</v>
      </c>
      <c r="B169" s="6" t="s">
        <v>13</v>
      </c>
      <c r="C169" s="7" t="s">
        <v>116</v>
      </c>
      <c r="D169" s="8" t="s">
        <v>15</v>
      </c>
      <c r="E169" s="8" t="s">
        <v>178</v>
      </c>
      <c r="F169" s="8" t="s">
        <v>131</v>
      </c>
      <c r="G169" s="8" t="s">
        <v>150</v>
      </c>
      <c r="H169" s="5" t="s">
        <v>18</v>
      </c>
      <c r="I169" s="16" t="s">
        <v>1463</v>
      </c>
      <c r="J169" s="8"/>
      <c r="K169" s="9" t="s">
        <v>1649</v>
      </c>
    </row>
    <row r="170" customFormat="false" ht="252.95" hidden="false" customHeight="false" outlineLevel="0" collapsed="false">
      <c r="A170" s="5" t="n">
        <v>165</v>
      </c>
      <c r="B170" s="6" t="s">
        <v>13</v>
      </c>
      <c r="C170" s="7" t="s">
        <v>116</v>
      </c>
      <c r="D170" s="8" t="s">
        <v>15</v>
      </c>
      <c r="E170" s="8" t="s">
        <v>178</v>
      </c>
      <c r="F170" s="8" t="s">
        <v>131</v>
      </c>
      <c r="G170" s="8" t="s">
        <v>1543</v>
      </c>
      <c r="H170" s="5" t="s">
        <v>18</v>
      </c>
      <c r="I170" s="16" t="s">
        <v>1463</v>
      </c>
      <c r="J170" s="8"/>
      <c r="K170" s="9" t="s">
        <v>1650</v>
      </c>
    </row>
    <row r="171" customFormat="false" ht="153.7" hidden="false" customHeight="false" outlineLevel="0" collapsed="false">
      <c r="A171" s="5" t="n">
        <v>166</v>
      </c>
      <c r="B171" s="6" t="s">
        <v>13</v>
      </c>
      <c r="C171" s="7" t="s">
        <v>116</v>
      </c>
      <c r="D171" s="8" t="s">
        <v>15</v>
      </c>
      <c r="E171" s="8" t="s">
        <v>178</v>
      </c>
      <c r="F171" s="8" t="s">
        <v>72</v>
      </c>
      <c r="G171" s="8" t="s">
        <v>73</v>
      </c>
      <c r="H171" s="5" t="s">
        <v>53</v>
      </c>
      <c r="I171" s="17" t="s">
        <v>1480</v>
      </c>
      <c r="J171" s="18" t="n">
        <v>1.0176</v>
      </c>
      <c r="K171" s="9" t="s">
        <v>1651</v>
      </c>
    </row>
    <row r="172" customFormat="false" ht="153.7" hidden="false" customHeight="false" outlineLevel="0" collapsed="false">
      <c r="A172" s="5" t="n">
        <v>167</v>
      </c>
      <c r="B172" s="6" t="s">
        <v>13</v>
      </c>
      <c r="C172" s="7" t="s">
        <v>116</v>
      </c>
      <c r="D172" s="8" t="s">
        <v>15</v>
      </c>
      <c r="E172" s="8" t="s">
        <v>178</v>
      </c>
      <c r="F172" s="8" t="s">
        <v>72</v>
      </c>
      <c r="G172" s="8" t="s">
        <v>1489</v>
      </c>
      <c r="H172" s="5" t="s">
        <v>53</v>
      </c>
      <c r="I172" s="17" t="s">
        <v>1480</v>
      </c>
      <c r="J172" s="18" t="n">
        <v>0.9832</v>
      </c>
      <c r="K172" s="9" t="s">
        <v>1652</v>
      </c>
    </row>
    <row r="173" customFormat="false" ht="153.7" hidden="false" customHeight="false" outlineLevel="0" collapsed="false">
      <c r="A173" s="5" t="n">
        <v>168</v>
      </c>
      <c r="B173" s="6" t="s">
        <v>13</v>
      </c>
      <c r="C173" s="7" t="s">
        <v>116</v>
      </c>
      <c r="D173" s="8" t="s">
        <v>15</v>
      </c>
      <c r="E173" s="8" t="s">
        <v>178</v>
      </c>
      <c r="F173" s="8" t="s">
        <v>72</v>
      </c>
      <c r="G173" s="8" t="s">
        <v>1491</v>
      </c>
      <c r="H173" s="5" t="s">
        <v>53</v>
      </c>
      <c r="I173" s="17" t="s">
        <v>1480</v>
      </c>
      <c r="J173" s="18" t="n">
        <v>0.96</v>
      </c>
      <c r="K173" s="9" t="s">
        <v>1653</v>
      </c>
    </row>
    <row r="174" customFormat="false" ht="153.7" hidden="false" customHeight="false" outlineLevel="0" collapsed="false">
      <c r="A174" s="5" t="n">
        <v>169</v>
      </c>
      <c r="B174" s="6" t="s">
        <v>13</v>
      </c>
      <c r="C174" s="7" t="s">
        <v>116</v>
      </c>
      <c r="D174" s="8" t="s">
        <v>15</v>
      </c>
      <c r="E174" s="8" t="s">
        <v>178</v>
      </c>
      <c r="F174" s="8" t="s">
        <v>72</v>
      </c>
      <c r="G174" s="8" t="s">
        <v>1493</v>
      </c>
      <c r="H174" s="5" t="s">
        <v>53</v>
      </c>
      <c r="I174" s="17" t="s">
        <v>1480</v>
      </c>
      <c r="J174" s="18" t="n">
        <v>0.9488</v>
      </c>
      <c r="K174" s="9" t="s">
        <v>1654</v>
      </c>
    </row>
    <row r="175" customFormat="false" ht="153.7" hidden="false" customHeight="false" outlineLevel="0" collapsed="false">
      <c r="A175" s="5" t="n">
        <v>170</v>
      </c>
      <c r="B175" s="6" t="s">
        <v>13</v>
      </c>
      <c r="C175" s="7" t="s">
        <v>116</v>
      </c>
      <c r="D175" s="8" t="s">
        <v>15</v>
      </c>
      <c r="E175" s="8" t="s">
        <v>178</v>
      </c>
      <c r="F175" s="8" t="s">
        <v>72</v>
      </c>
      <c r="G175" s="8" t="s">
        <v>1495</v>
      </c>
      <c r="H175" s="5" t="s">
        <v>53</v>
      </c>
      <c r="I175" s="17" t="s">
        <v>1480</v>
      </c>
      <c r="J175" s="18" t="n">
        <v>0.9256</v>
      </c>
      <c r="K175" s="9" t="s">
        <v>1655</v>
      </c>
    </row>
    <row r="176" customFormat="false" ht="153.7" hidden="false" customHeight="false" outlineLevel="0" collapsed="false">
      <c r="A176" s="5" t="n">
        <v>171</v>
      </c>
      <c r="B176" s="6" t="s">
        <v>13</v>
      </c>
      <c r="C176" s="7" t="s">
        <v>116</v>
      </c>
      <c r="D176" s="8" t="s">
        <v>15</v>
      </c>
      <c r="E176" s="8" t="s">
        <v>178</v>
      </c>
      <c r="F176" s="8" t="s">
        <v>72</v>
      </c>
      <c r="G176" s="8" t="s">
        <v>1497</v>
      </c>
      <c r="H176" s="5" t="s">
        <v>53</v>
      </c>
      <c r="I176" s="17" t="s">
        <v>1480</v>
      </c>
      <c r="J176" s="18" t="n">
        <v>0.9024</v>
      </c>
      <c r="K176" s="9" t="s">
        <v>1656</v>
      </c>
    </row>
    <row r="177" customFormat="false" ht="153.7" hidden="false" customHeight="false" outlineLevel="0" collapsed="false">
      <c r="A177" s="5" t="n">
        <v>172</v>
      </c>
      <c r="B177" s="6" t="s">
        <v>13</v>
      </c>
      <c r="C177" s="7" t="s">
        <v>116</v>
      </c>
      <c r="D177" s="8" t="s">
        <v>15</v>
      </c>
      <c r="E177" s="8" t="s">
        <v>178</v>
      </c>
      <c r="F177" s="8" t="s">
        <v>72</v>
      </c>
      <c r="G177" s="8" t="s">
        <v>1499</v>
      </c>
      <c r="H177" s="5" t="s">
        <v>53</v>
      </c>
      <c r="I177" s="17" t="s">
        <v>1480</v>
      </c>
      <c r="J177" s="18" t="n">
        <v>0.8912</v>
      </c>
      <c r="K177" s="9" t="s">
        <v>1657</v>
      </c>
    </row>
    <row r="178" customFormat="false" ht="153.7" hidden="false" customHeight="false" outlineLevel="0" collapsed="false">
      <c r="A178" s="5" t="n">
        <v>173</v>
      </c>
      <c r="B178" s="6" t="s">
        <v>13</v>
      </c>
      <c r="C178" s="7" t="s">
        <v>116</v>
      </c>
      <c r="D178" s="8" t="s">
        <v>15</v>
      </c>
      <c r="E178" s="8" t="s">
        <v>178</v>
      </c>
      <c r="F178" s="8" t="s">
        <v>72</v>
      </c>
      <c r="G178" s="8" t="s">
        <v>1501</v>
      </c>
      <c r="H178" s="5" t="s">
        <v>53</v>
      </c>
      <c r="I178" s="17" t="s">
        <v>1480</v>
      </c>
      <c r="J178" s="18" t="n">
        <v>1.0064</v>
      </c>
      <c r="K178" s="9" t="s">
        <v>1658</v>
      </c>
    </row>
    <row r="179" customFormat="false" ht="153.7" hidden="false" customHeight="false" outlineLevel="0" collapsed="false">
      <c r="A179" s="5" t="n">
        <v>174</v>
      </c>
      <c r="B179" s="6" t="s">
        <v>13</v>
      </c>
      <c r="C179" s="7" t="s">
        <v>116</v>
      </c>
      <c r="D179" s="8" t="s">
        <v>15</v>
      </c>
      <c r="E179" s="8" t="s">
        <v>178</v>
      </c>
      <c r="F179" s="8" t="s">
        <v>72</v>
      </c>
      <c r="G179" s="8" t="s">
        <v>1503</v>
      </c>
      <c r="H179" s="5" t="s">
        <v>53</v>
      </c>
      <c r="I179" s="16" t="s">
        <v>1463</v>
      </c>
      <c r="J179" s="8"/>
      <c r="K179" s="9" t="s">
        <v>1659</v>
      </c>
    </row>
    <row r="180" customFormat="false" ht="225.35" hidden="false" customHeight="false" outlineLevel="0" collapsed="false">
      <c r="A180" s="5" t="n">
        <v>175</v>
      </c>
      <c r="B180" s="6" t="s">
        <v>13</v>
      </c>
      <c r="C180" s="7" t="s">
        <v>116</v>
      </c>
      <c r="D180" s="8" t="s">
        <v>15</v>
      </c>
      <c r="E180" s="8" t="s">
        <v>178</v>
      </c>
      <c r="F180" s="8" t="s">
        <v>75</v>
      </c>
      <c r="G180" s="8" t="s">
        <v>76</v>
      </c>
      <c r="H180" s="5" t="s">
        <v>53</v>
      </c>
      <c r="I180" s="17" t="s">
        <v>1480</v>
      </c>
      <c r="J180" s="18" t="n">
        <v>1.404</v>
      </c>
      <c r="K180" s="9" t="s">
        <v>1660</v>
      </c>
    </row>
    <row r="181" customFormat="false" ht="189.55" hidden="false" customHeight="false" outlineLevel="0" collapsed="false">
      <c r="A181" s="5" t="n">
        <v>176</v>
      </c>
      <c r="B181" s="6" t="s">
        <v>13</v>
      </c>
      <c r="C181" s="7" t="s">
        <v>116</v>
      </c>
      <c r="D181" s="8" t="s">
        <v>15</v>
      </c>
      <c r="E181" s="8" t="s">
        <v>178</v>
      </c>
      <c r="F181" s="8" t="s">
        <v>135</v>
      </c>
      <c r="G181" s="8" t="s">
        <v>136</v>
      </c>
      <c r="H181" s="5" t="s">
        <v>61</v>
      </c>
      <c r="I181" s="17" t="s">
        <v>1480</v>
      </c>
      <c r="J181" s="18" t="n">
        <v>6.28</v>
      </c>
      <c r="K181" s="9" t="s">
        <v>1661</v>
      </c>
    </row>
    <row r="182" customFormat="false" ht="162.65" hidden="false" customHeight="false" outlineLevel="0" collapsed="false">
      <c r="A182" s="5" t="n">
        <v>177</v>
      </c>
      <c r="B182" s="6" t="s">
        <v>13</v>
      </c>
      <c r="C182" s="7" t="s">
        <v>116</v>
      </c>
      <c r="D182" s="8" t="s">
        <v>15</v>
      </c>
      <c r="E182" s="8" t="s">
        <v>178</v>
      </c>
      <c r="F182" s="8" t="s">
        <v>138</v>
      </c>
      <c r="G182" s="8" t="s">
        <v>139</v>
      </c>
      <c r="H182" s="5" t="s">
        <v>18</v>
      </c>
      <c r="I182" s="17" t="s">
        <v>1480</v>
      </c>
      <c r="J182" s="18" t="n">
        <v>9.68</v>
      </c>
      <c r="K182" s="9" t="s">
        <v>1662</v>
      </c>
    </row>
    <row r="183" customFormat="false" ht="144.75" hidden="false" customHeight="false" outlineLevel="0" collapsed="false">
      <c r="A183" s="5" t="n">
        <v>178</v>
      </c>
      <c r="B183" s="6" t="s">
        <v>13</v>
      </c>
      <c r="C183" s="7" t="s">
        <v>116</v>
      </c>
      <c r="D183" s="8" t="s">
        <v>15</v>
      </c>
      <c r="E183" s="8" t="s">
        <v>178</v>
      </c>
      <c r="F183" s="8" t="s">
        <v>138</v>
      </c>
      <c r="G183" s="8" t="s">
        <v>1557</v>
      </c>
      <c r="H183" s="5" t="s">
        <v>18</v>
      </c>
      <c r="I183" s="17" t="s">
        <v>1480</v>
      </c>
      <c r="J183" s="18" t="n">
        <v>9.12</v>
      </c>
      <c r="K183" s="9" t="s">
        <v>1663</v>
      </c>
    </row>
    <row r="184" customFormat="false" ht="244" hidden="false" customHeight="false" outlineLevel="0" collapsed="false">
      <c r="A184" s="5" t="n">
        <v>179</v>
      </c>
      <c r="B184" s="6" t="s">
        <v>13</v>
      </c>
      <c r="C184" s="7" t="s">
        <v>116</v>
      </c>
      <c r="D184" s="8" t="s">
        <v>15</v>
      </c>
      <c r="E184" s="8" t="s">
        <v>178</v>
      </c>
      <c r="F184" s="8" t="s">
        <v>138</v>
      </c>
      <c r="G184" s="8" t="s">
        <v>1559</v>
      </c>
      <c r="H184" s="5" t="s">
        <v>18</v>
      </c>
      <c r="I184" s="16" t="s">
        <v>1463</v>
      </c>
      <c r="J184" s="8"/>
      <c r="K184" s="9" t="s">
        <v>1664</v>
      </c>
    </row>
    <row r="185" customFormat="false" ht="171.6" hidden="false" customHeight="false" outlineLevel="0" collapsed="false">
      <c r="A185" s="5" t="n">
        <v>180</v>
      </c>
      <c r="B185" s="6" t="s">
        <v>13</v>
      </c>
      <c r="C185" s="7" t="s">
        <v>116</v>
      </c>
      <c r="D185" s="8" t="s">
        <v>15</v>
      </c>
      <c r="E185" s="8" t="s">
        <v>178</v>
      </c>
      <c r="F185" s="8" t="s">
        <v>141</v>
      </c>
      <c r="G185" s="8" t="s">
        <v>142</v>
      </c>
      <c r="H185" s="5" t="s">
        <v>18</v>
      </c>
      <c r="I185" s="17" t="s">
        <v>1480</v>
      </c>
      <c r="J185" s="18" t="n">
        <v>4</v>
      </c>
      <c r="K185" s="9" t="s">
        <v>1665</v>
      </c>
    </row>
    <row r="186" customFormat="false" ht="144.75" hidden="false" customHeight="false" outlineLevel="0" collapsed="false">
      <c r="A186" s="5" t="n">
        <v>181</v>
      </c>
      <c r="B186" s="6" t="s">
        <v>13</v>
      </c>
      <c r="C186" s="7" t="s">
        <v>116</v>
      </c>
      <c r="D186" s="8" t="s">
        <v>15</v>
      </c>
      <c r="E186" s="8" t="s">
        <v>190</v>
      </c>
      <c r="F186" s="8" t="s">
        <v>118</v>
      </c>
      <c r="G186" s="8" t="s">
        <v>119</v>
      </c>
      <c r="H186" s="5" t="s">
        <v>22</v>
      </c>
      <c r="I186" s="17" t="s">
        <v>1480</v>
      </c>
      <c r="J186" s="18" t="n">
        <v>4.8</v>
      </c>
      <c r="K186" s="9" t="s">
        <v>1666</v>
      </c>
    </row>
    <row r="187" customFormat="false" ht="144.75" hidden="false" customHeight="false" outlineLevel="0" collapsed="false">
      <c r="A187" s="5" t="n">
        <v>182</v>
      </c>
      <c r="B187" s="6" t="s">
        <v>13</v>
      </c>
      <c r="C187" s="7" t="s">
        <v>116</v>
      </c>
      <c r="D187" s="8" t="s">
        <v>15</v>
      </c>
      <c r="E187" s="8" t="s">
        <v>190</v>
      </c>
      <c r="F187" s="8" t="s">
        <v>118</v>
      </c>
      <c r="G187" s="8" t="s">
        <v>28</v>
      </c>
      <c r="H187" s="5" t="s">
        <v>22</v>
      </c>
      <c r="I187" s="17" t="s">
        <v>1480</v>
      </c>
      <c r="J187" s="18" t="n">
        <v>4.8</v>
      </c>
      <c r="K187" s="9" t="s">
        <v>1667</v>
      </c>
    </row>
    <row r="188" customFormat="false" ht="153.7" hidden="false" customHeight="false" outlineLevel="0" collapsed="false">
      <c r="A188" s="5" t="n">
        <v>183</v>
      </c>
      <c r="B188" s="6" t="s">
        <v>13</v>
      </c>
      <c r="C188" s="7" t="s">
        <v>116</v>
      </c>
      <c r="D188" s="8" t="s">
        <v>15</v>
      </c>
      <c r="E188" s="8" t="s">
        <v>190</v>
      </c>
      <c r="F188" s="8" t="s">
        <v>118</v>
      </c>
      <c r="G188" s="8" t="s">
        <v>1530</v>
      </c>
      <c r="H188" s="5" t="s">
        <v>22</v>
      </c>
      <c r="I188" s="17" t="s">
        <v>1480</v>
      </c>
      <c r="J188" s="18" t="n">
        <v>3.6</v>
      </c>
      <c r="K188" s="9" t="s">
        <v>1668</v>
      </c>
    </row>
    <row r="189" customFormat="false" ht="171.6" hidden="false" customHeight="false" outlineLevel="0" collapsed="false">
      <c r="A189" s="5" t="n">
        <v>184</v>
      </c>
      <c r="B189" s="6" t="s">
        <v>13</v>
      </c>
      <c r="C189" s="7" t="s">
        <v>116</v>
      </c>
      <c r="D189" s="8" t="s">
        <v>15</v>
      </c>
      <c r="E189" s="8" t="s">
        <v>190</v>
      </c>
      <c r="F189" s="8" t="s">
        <v>121</v>
      </c>
      <c r="G189" s="8" t="s">
        <v>122</v>
      </c>
      <c r="H189" s="5" t="s">
        <v>18</v>
      </c>
      <c r="I189" s="17" t="s">
        <v>1480</v>
      </c>
      <c r="J189" s="18" t="n">
        <v>2.4</v>
      </c>
      <c r="K189" s="9" t="s">
        <v>1669</v>
      </c>
    </row>
    <row r="190" customFormat="false" ht="207.45" hidden="false" customHeight="false" outlineLevel="0" collapsed="false">
      <c r="A190" s="5" t="n">
        <v>185</v>
      </c>
      <c r="B190" s="6" t="s">
        <v>13</v>
      </c>
      <c r="C190" s="7" t="s">
        <v>116</v>
      </c>
      <c r="D190" s="8" t="s">
        <v>15</v>
      </c>
      <c r="E190" s="8" t="s">
        <v>190</v>
      </c>
      <c r="F190" s="8" t="s">
        <v>124</v>
      </c>
      <c r="G190" s="8" t="s">
        <v>125</v>
      </c>
      <c r="H190" s="5" t="s">
        <v>22</v>
      </c>
      <c r="I190" s="17" t="s">
        <v>1480</v>
      </c>
      <c r="J190" s="18" t="n">
        <v>23.76</v>
      </c>
      <c r="K190" s="9" t="s">
        <v>1670</v>
      </c>
    </row>
    <row r="191" customFormat="false" ht="207.45" hidden="false" customHeight="false" outlineLevel="0" collapsed="false">
      <c r="A191" s="5" t="n">
        <v>186</v>
      </c>
      <c r="B191" s="6" t="s">
        <v>13</v>
      </c>
      <c r="C191" s="7" t="s">
        <v>116</v>
      </c>
      <c r="D191" s="8" t="s">
        <v>15</v>
      </c>
      <c r="E191" s="8" t="s">
        <v>190</v>
      </c>
      <c r="F191" s="8" t="s">
        <v>124</v>
      </c>
      <c r="G191" s="8" t="s">
        <v>1534</v>
      </c>
      <c r="H191" s="5" t="s">
        <v>22</v>
      </c>
      <c r="I191" s="17" t="s">
        <v>1480</v>
      </c>
      <c r="J191" s="18" t="n">
        <v>23.76</v>
      </c>
      <c r="K191" s="9" t="s">
        <v>1671</v>
      </c>
    </row>
    <row r="192" customFormat="false" ht="207.45" hidden="false" customHeight="false" outlineLevel="0" collapsed="false">
      <c r="A192" s="5" t="n">
        <v>187</v>
      </c>
      <c r="B192" s="6" t="s">
        <v>13</v>
      </c>
      <c r="C192" s="7" t="s">
        <v>116</v>
      </c>
      <c r="D192" s="8" t="s">
        <v>15</v>
      </c>
      <c r="E192" s="8" t="s">
        <v>190</v>
      </c>
      <c r="F192" s="8" t="s">
        <v>127</v>
      </c>
      <c r="G192" s="8" t="s">
        <v>128</v>
      </c>
      <c r="H192" s="5" t="s">
        <v>22</v>
      </c>
      <c r="I192" s="17" t="s">
        <v>1480</v>
      </c>
      <c r="J192" s="18" t="n">
        <v>92.4</v>
      </c>
      <c r="K192" s="9" t="s">
        <v>1672</v>
      </c>
    </row>
    <row r="193" customFormat="false" ht="244" hidden="false" customHeight="false" outlineLevel="0" collapsed="false">
      <c r="A193" s="5" t="n">
        <v>188</v>
      </c>
      <c r="B193" s="6" t="s">
        <v>13</v>
      </c>
      <c r="C193" s="7" t="s">
        <v>116</v>
      </c>
      <c r="D193" s="8" t="s">
        <v>15</v>
      </c>
      <c r="E193" s="8" t="s">
        <v>190</v>
      </c>
      <c r="F193" s="8" t="s">
        <v>69</v>
      </c>
      <c r="G193" s="8" t="s">
        <v>70</v>
      </c>
      <c r="H193" s="5" t="s">
        <v>22</v>
      </c>
      <c r="I193" s="17" t="s">
        <v>1480</v>
      </c>
      <c r="J193" s="18" t="n">
        <v>121.76</v>
      </c>
      <c r="K193" s="9" t="s">
        <v>1673</v>
      </c>
    </row>
    <row r="194" customFormat="false" ht="244" hidden="false" customHeight="false" outlineLevel="0" collapsed="false">
      <c r="A194" s="5" t="n">
        <v>189</v>
      </c>
      <c r="B194" s="6" t="s">
        <v>13</v>
      </c>
      <c r="C194" s="7" t="s">
        <v>116</v>
      </c>
      <c r="D194" s="8" t="s">
        <v>15</v>
      </c>
      <c r="E194" s="8" t="s">
        <v>190</v>
      </c>
      <c r="F194" s="8" t="s">
        <v>69</v>
      </c>
      <c r="G194" s="8" t="s">
        <v>1482</v>
      </c>
      <c r="H194" s="5" t="s">
        <v>22</v>
      </c>
      <c r="I194" s="17" t="s">
        <v>1480</v>
      </c>
      <c r="J194" s="18" t="n">
        <v>119.36</v>
      </c>
      <c r="K194" s="9" t="s">
        <v>1674</v>
      </c>
    </row>
    <row r="195" customFormat="false" ht="244" hidden="false" customHeight="false" outlineLevel="0" collapsed="false">
      <c r="A195" s="5" t="n">
        <v>190</v>
      </c>
      <c r="B195" s="6" t="s">
        <v>13</v>
      </c>
      <c r="C195" s="7" t="s">
        <v>116</v>
      </c>
      <c r="D195" s="8" t="s">
        <v>15</v>
      </c>
      <c r="E195" s="8" t="s">
        <v>190</v>
      </c>
      <c r="F195" s="8" t="s">
        <v>69</v>
      </c>
      <c r="G195" s="8" t="s">
        <v>1484</v>
      </c>
      <c r="H195" s="5" t="s">
        <v>22</v>
      </c>
      <c r="I195" s="16" t="s">
        <v>1463</v>
      </c>
      <c r="J195" s="8"/>
      <c r="K195" s="9" t="s">
        <v>1675</v>
      </c>
    </row>
    <row r="196" customFormat="false" ht="244" hidden="false" customHeight="false" outlineLevel="0" collapsed="false">
      <c r="A196" s="5" t="n">
        <v>191</v>
      </c>
      <c r="B196" s="6" t="s">
        <v>13</v>
      </c>
      <c r="C196" s="7" t="s">
        <v>116</v>
      </c>
      <c r="D196" s="8" t="s">
        <v>15</v>
      </c>
      <c r="E196" s="8" t="s">
        <v>190</v>
      </c>
      <c r="F196" s="8" t="s">
        <v>69</v>
      </c>
      <c r="G196" s="8" t="s">
        <v>1486</v>
      </c>
      <c r="H196" s="5" t="s">
        <v>22</v>
      </c>
      <c r="I196" s="16" t="s">
        <v>1463</v>
      </c>
      <c r="J196" s="8"/>
      <c r="K196" s="9" t="s">
        <v>1676</v>
      </c>
    </row>
    <row r="197" customFormat="false" ht="252.95" hidden="false" customHeight="false" outlineLevel="0" collapsed="false">
      <c r="A197" s="5" t="n">
        <v>192</v>
      </c>
      <c r="B197" s="6" t="s">
        <v>13</v>
      </c>
      <c r="C197" s="7" t="s">
        <v>116</v>
      </c>
      <c r="D197" s="8" t="s">
        <v>15</v>
      </c>
      <c r="E197" s="8" t="s">
        <v>190</v>
      </c>
      <c r="F197" s="8" t="s">
        <v>131</v>
      </c>
      <c r="G197" s="8" t="s">
        <v>150</v>
      </c>
      <c r="H197" s="5" t="s">
        <v>18</v>
      </c>
      <c r="I197" s="16" t="s">
        <v>1463</v>
      </c>
      <c r="J197" s="8"/>
      <c r="K197" s="9" t="s">
        <v>1677</v>
      </c>
    </row>
    <row r="198" customFormat="false" ht="279.85" hidden="false" customHeight="false" outlineLevel="0" collapsed="false">
      <c r="A198" s="5" t="n">
        <v>193</v>
      </c>
      <c r="B198" s="6" t="s">
        <v>13</v>
      </c>
      <c r="C198" s="7" t="s">
        <v>116</v>
      </c>
      <c r="D198" s="8" t="s">
        <v>15</v>
      </c>
      <c r="E198" s="8" t="s">
        <v>190</v>
      </c>
      <c r="F198" s="8" t="s">
        <v>131</v>
      </c>
      <c r="G198" s="8" t="s">
        <v>1543</v>
      </c>
      <c r="H198" s="5" t="s">
        <v>18</v>
      </c>
      <c r="I198" s="16" t="s">
        <v>1463</v>
      </c>
      <c r="J198" s="8"/>
      <c r="K198" s="9" t="s">
        <v>1678</v>
      </c>
    </row>
    <row r="199" customFormat="false" ht="180.55" hidden="false" customHeight="false" outlineLevel="0" collapsed="false">
      <c r="A199" s="5" t="n">
        <v>194</v>
      </c>
      <c r="B199" s="6" t="s">
        <v>13</v>
      </c>
      <c r="C199" s="7" t="s">
        <v>116</v>
      </c>
      <c r="D199" s="8" t="s">
        <v>15</v>
      </c>
      <c r="E199" s="8" t="s">
        <v>190</v>
      </c>
      <c r="F199" s="8" t="s">
        <v>72</v>
      </c>
      <c r="G199" s="8" t="s">
        <v>73</v>
      </c>
      <c r="H199" s="5" t="s">
        <v>53</v>
      </c>
      <c r="I199" s="17" t="s">
        <v>1480</v>
      </c>
      <c r="J199" s="18" t="n">
        <v>1.0176</v>
      </c>
      <c r="K199" s="9" t="s">
        <v>1679</v>
      </c>
    </row>
    <row r="200" customFormat="false" ht="180.55" hidden="false" customHeight="false" outlineLevel="0" collapsed="false">
      <c r="A200" s="5" t="n">
        <v>195</v>
      </c>
      <c r="B200" s="6" t="s">
        <v>13</v>
      </c>
      <c r="C200" s="7" t="s">
        <v>116</v>
      </c>
      <c r="D200" s="8" t="s">
        <v>15</v>
      </c>
      <c r="E200" s="8" t="s">
        <v>190</v>
      </c>
      <c r="F200" s="8" t="s">
        <v>72</v>
      </c>
      <c r="G200" s="8" t="s">
        <v>1489</v>
      </c>
      <c r="H200" s="5" t="s">
        <v>53</v>
      </c>
      <c r="I200" s="17" t="s">
        <v>1480</v>
      </c>
      <c r="J200" s="18" t="n">
        <v>0.9832</v>
      </c>
      <c r="K200" s="9" t="s">
        <v>1680</v>
      </c>
    </row>
    <row r="201" customFormat="false" ht="180.55" hidden="false" customHeight="false" outlineLevel="0" collapsed="false">
      <c r="A201" s="5" t="n">
        <v>196</v>
      </c>
      <c r="B201" s="6" t="s">
        <v>13</v>
      </c>
      <c r="C201" s="7" t="s">
        <v>116</v>
      </c>
      <c r="D201" s="8" t="s">
        <v>15</v>
      </c>
      <c r="E201" s="8" t="s">
        <v>190</v>
      </c>
      <c r="F201" s="8" t="s">
        <v>72</v>
      </c>
      <c r="G201" s="8" t="s">
        <v>1491</v>
      </c>
      <c r="H201" s="5" t="s">
        <v>53</v>
      </c>
      <c r="I201" s="17" t="s">
        <v>1480</v>
      </c>
      <c r="J201" s="18" t="n">
        <v>0.96</v>
      </c>
      <c r="K201" s="9" t="s">
        <v>1681</v>
      </c>
    </row>
    <row r="202" customFormat="false" ht="180.55" hidden="false" customHeight="false" outlineLevel="0" collapsed="false">
      <c r="A202" s="5" t="n">
        <v>197</v>
      </c>
      <c r="B202" s="6" t="s">
        <v>13</v>
      </c>
      <c r="C202" s="7" t="s">
        <v>116</v>
      </c>
      <c r="D202" s="8" t="s">
        <v>15</v>
      </c>
      <c r="E202" s="8" t="s">
        <v>190</v>
      </c>
      <c r="F202" s="8" t="s">
        <v>72</v>
      </c>
      <c r="G202" s="8" t="s">
        <v>1493</v>
      </c>
      <c r="H202" s="5" t="s">
        <v>53</v>
      </c>
      <c r="I202" s="17" t="s">
        <v>1480</v>
      </c>
      <c r="J202" s="18" t="n">
        <v>0.9488</v>
      </c>
      <c r="K202" s="9" t="s">
        <v>1682</v>
      </c>
    </row>
    <row r="203" customFormat="false" ht="180.55" hidden="false" customHeight="false" outlineLevel="0" collapsed="false">
      <c r="A203" s="5" t="n">
        <v>198</v>
      </c>
      <c r="B203" s="6" t="s">
        <v>13</v>
      </c>
      <c r="C203" s="7" t="s">
        <v>116</v>
      </c>
      <c r="D203" s="8" t="s">
        <v>15</v>
      </c>
      <c r="E203" s="8" t="s">
        <v>190</v>
      </c>
      <c r="F203" s="8" t="s">
        <v>72</v>
      </c>
      <c r="G203" s="8" t="s">
        <v>1495</v>
      </c>
      <c r="H203" s="5" t="s">
        <v>53</v>
      </c>
      <c r="I203" s="17" t="s">
        <v>1480</v>
      </c>
      <c r="J203" s="18" t="n">
        <v>0.9256</v>
      </c>
      <c r="K203" s="9" t="s">
        <v>1683</v>
      </c>
    </row>
    <row r="204" customFormat="false" ht="180.55" hidden="false" customHeight="false" outlineLevel="0" collapsed="false">
      <c r="A204" s="5" t="n">
        <v>199</v>
      </c>
      <c r="B204" s="6" t="s">
        <v>13</v>
      </c>
      <c r="C204" s="7" t="s">
        <v>116</v>
      </c>
      <c r="D204" s="8" t="s">
        <v>15</v>
      </c>
      <c r="E204" s="8" t="s">
        <v>190</v>
      </c>
      <c r="F204" s="8" t="s">
        <v>72</v>
      </c>
      <c r="G204" s="8" t="s">
        <v>1497</v>
      </c>
      <c r="H204" s="5" t="s">
        <v>53</v>
      </c>
      <c r="I204" s="17" t="s">
        <v>1480</v>
      </c>
      <c r="J204" s="18" t="n">
        <v>0.9024</v>
      </c>
      <c r="K204" s="9" t="s">
        <v>1684</v>
      </c>
    </row>
    <row r="205" customFormat="false" ht="180.55" hidden="false" customHeight="false" outlineLevel="0" collapsed="false">
      <c r="A205" s="5" t="n">
        <v>200</v>
      </c>
      <c r="B205" s="6" t="s">
        <v>13</v>
      </c>
      <c r="C205" s="7" t="s">
        <v>116</v>
      </c>
      <c r="D205" s="8" t="s">
        <v>15</v>
      </c>
      <c r="E205" s="8" t="s">
        <v>190</v>
      </c>
      <c r="F205" s="8" t="s">
        <v>72</v>
      </c>
      <c r="G205" s="8" t="s">
        <v>1499</v>
      </c>
      <c r="H205" s="5" t="s">
        <v>53</v>
      </c>
      <c r="I205" s="17" t="s">
        <v>1480</v>
      </c>
      <c r="J205" s="18" t="n">
        <v>0.8912</v>
      </c>
      <c r="K205" s="9" t="s">
        <v>1685</v>
      </c>
    </row>
    <row r="206" customFormat="false" ht="180.55" hidden="false" customHeight="false" outlineLevel="0" collapsed="false">
      <c r="A206" s="5" t="n">
        <v>201</v>
      </c>
      <c r="B206" s="6" t="s">
        <v>13</v>
      </c>
      <c r="C206" s="7" t="s">
        <v>116</v>
      </c>
      <c r="D206" s="8" t="s">
        <v>15</v>
      </c>
      <c r="E206" s="8" t="s">
        <v>190</v>
      </c>
      <c r="F206" s="8" t="s">
        <v>72</v>
      </c>
      <c r="G206" s="8" t="s">
        <v>1501</v>
      </c>
      <c r="H206" s="5" t="s">
        <v>53</v>
      </c>
      <c r="I206" s="17" t="s">
        <v>1480</v>
      </c>
      <c r="J206" s="18" t="n">
        <v>1.0064</v>
      </c>
      <c r="K206" s="9" t="s">
        <v>1686</v>
      </c>
    </row>
    <row r="207" customFormat="false" ht="180.55" hidden="false" customHeight="false" outlineLevel="0" collapsed="false">
      <c r="A207" s="5" t="n">
        <v>202</v>
      </c>
      <c r="B207" s="6" t="s">
        <v>13</v>
      </c>
      <c r="C207" s="7" t="s">
        <v>116</v>
      </c>
      <c r="D207" s="8" t="s">
        <v>15</v>
      </c>
      <c r="E207" s="8" t="s">
        <v>190</v>
      </c>
      <c r="F207" s="8" t="s">
        <v>72</v>
      </c>
      <c r="G207" s="8" t="s">
        <v>1503</v>
      </c>
      <c r="H207" s="5" t="s">
        <v>53</v>
      </c>
      <c r="I207" s="16" t="s">
        <v>1463</v>
      </c>
      <c r="J207" s="8"/>
      <c r="K207" s="9" t="s">
        <v>1687</v>
      </c>
    </row>
    <row r="208" customFormat="false" ht="252.95" hidden="false" customHeight="false" outlineLevel="0" collapsed="false">
      <c r="A208" s="5" t="n">
        <v>203</v>
      </c>
      <c r="B208" s="6" t="s">
        <v>13</v>
      </c>
      <c r="C208" s="7" t="s">
        <v>116</v>
      </c>
      <c r="D208" s="8" t="s">
        <v>15</v>
      </c>
      <c r="E208" s="8" t="s">
        <v>190</v>
      </c>
      <c r="F208" s="8" t="s">
        <v>75</v>
      </c>
      <c r="G208" s="8" t="s">
        <v>76</v>
      </c>
      <c r="H208" s="5" t="s">
        <v>53</v>
      </c>
      <c r="I208" s="17" t="s">
        <v>1480</v>
      </c>
      <c r="J208" s="18" t="n">
        <v>1.404</v>
      </c>
      <c r="K208" s="9" t="s">
        <v>1688</v>
      </c>
    </row>
    <row r="209" customFormat="false" ht="216.4" hidden="false" customHeight="false" outlineLevel="0" collapsed="false">
      <c r="A209" s="5" t="n">
        <v>204</v>
      </c>
      <c r="B209" s="6" t="s">
        <v>13</v>
      </c>
      <c r="C209" s="7" t="s">
        <v>116</v>
      </c>
      <c r="D209" s="8" t="s">
        <v>15</v>
      </c>
      <c r="E209" s="8" t="s">
        <v>190</v>
      </c>
      <c r="F209" s="8" t="s">
        <v>135</v>
      </c>
      <c r="G209" s="8" t="s">
        <v>136</v>
      </c>
      <c r="H209" s="5" t="s">
        <v>61</v>
      </c>
      <c r="I209" s="17" t="s">
        <v>1480</v>
      </c>
      <c r="J209" s="18" t="n">
        <v>6.28</v>
      </c>
      <c r="K209" s="9" t="s">
        <v>1689</v>
      </c>
    </row>
    <row r="210" customFormat="false" ht="189.55" hidden="false" customHeight="false" outlineLevel="0" collapsed="false">
      <c r="A210" s="5" t="n">
        <v>205</v>
      </c>
      <c r="B210" s="6" t="s">
        <v>13</v>
      </c>
      <c r="C210" s="7" t="s">
        <v>116</v>
      </c>
      <c r="D210" s="8" t="s">
        <v>15</v>
      </c>
      <c r="E210" s="8" t="s">
        <v>190</v>
      </c>
      <c r="F210" s="8" t="s">
        <v>138</v>
      </c>
      <c r="G210" s="8" t="s">
        <v>139</v>
      </c>
      <c r="H210" s="5" t="s">
        <v>18</v>
      </c>
      <c r="I210" s="17" t="s">
        <v>1480</v>
      </c>
      <c r="J210" s="18" t="n">
        <v>9.68</v>
      </c>
      <c r="K210" s="9" t="s">
        <v>1690</v>
      </c>
    </row>
    <row r="211" customFormat="false" ht="171.6" hidden="false" customHeight="false" outlineLevel="0" collapsed="false">
      <c r="A211" s="5" t="n">
        <v>206</v>
      </c>
      <c r="B211" s="6" t="s">
        <v>13</v>
      </c>
      <c r="C211" s="7" t="s">
        <v>116</v>
      </c>
      <c r="D211" s="8" t="s">
        <v>15</v>
      </c>
      <c r="E211" s="8" t="s">
        <v>190</v>
      </c>
      <c r="F211" s="8" t="s">
        <v>138</v>
      </c>
      <c r="G211" s="8" t="s">
        <v>1557</v>
      </c>
      <c r="H211" s="5" t="s">
        <v>18</v>
      </c>
      <c r="I211" s="17" t="s">
        <v>1480</v>
      </c>
      <c r="J211" s="18" t="n">
        <v>9.12</v>
      </c>
      <c r="K211" s="9" t="s">
        <v>1691</v>
      </c>
    </row>
    <row r="212" customFormat="false" ht="270.85" hidden="false" customHeight="false" outlineLevel="0" collapsed="false">
      <c r="A212" s="5" t="n">
        <v>207</v>
      </c>
      <c r="B212" s="6" t="s">
        <v>13</v>
      </c>
      <c r="C212" s="7" t="s">
        <v>116</v>
      </c>
      <c r="D212" s="8" t="s">
        <v>15</v>
      </c>
      <c r="E212" s="8" t="s">
        <v>190</v>
      </c>
      <c r="F212" s="8" t="s">
        <v>138</v>
      </c>
      <c r="G212" s="8" t="s">
        <v>1559</v>
      </c>
      <c r="H212" s="5" t="s">
        <v>18</v>
      </c>
      <c r="I212" s="16" t="s">
        <v>1463</v>
      </c>
      <c r="J212" s="8"/>
      <c r="K212" s="9" t="s">
        <v>1692</v>
      </c>
    </row>
    <row r="213" customFormat="false" ht="198.5" hidden="false" customHeight="false" outlineLevel="0" collapsed="false">
      <c r="A213" s="5" t="n">
        <v>208</v>
      </c>
      <c r="B213" s="6" t="s">
        <v>13</v>
      </c>
      <c r="C213" s="7" t="s">
        <v>116</v>
      </c>
      <c r="D213" s="8" t="s">
        <v>15</v>
      </c>
      <c r="E213" s="8" t="s">
        <v>190</v>
      </c>
      <c r="F213" s="8" t="s">
        <v>141</v>
      </c>
      <c r="G213" s="8" t="s">
        <v>142</v>
      </c>
      <c r="H213" s="5" t="s">
        <v>18</v>
      </c>
      <c r="I213" s="17" t="s">
        <v>1480</v>
      </c>
      <c r="J213" s="18" t="n">
        <v>4</v>
      </c>
      <c r="K213" s="9" t="s">
        <v>1693</v>
      </c>
    </row>
    <row r="214" customFormat="false" ht="99.95" hidden="false" customHeight="false" outlineLevel="0" collapsed="false">
      <c r="A214" s="5" t="n">
        <v>209</v>
      </c>
      <c r="B214" s="6" t="s">
        <v>13</v>
      </c>
      <c r="C214" s="7" t="s">
        <v>116</v>
      </c>
      <c r="D214" s="8" t="s">
        <v>15</v>
      </c>
      <c r="E214" s="8" t="s">
        <v>202</v>
      </c>
      <c r="F214" s="8" t="s">
        <v>118</v>
      </c>
      <c r="G214" s="8" t="s">
        <v>119</v>
      </c>
      <c r="H214" s="5" t="s">
        <v>22</v>
      </c>
      <c r="I214" s="17" t="s">
        <v>1480</v>
      </c>
      <c r="J214" s="18" t="n">
        <v>4.8</v>
      </c>
      <c r="K214" s="9" t="s">
        <v>1694</v>
      </c>
    </row>
    <row r="215" customFormat="false" ht="99.95" hidden="false" customHeight="false" outlineLevel="0" collapsed="false">
      <c r="A215" s="5" t="n">
        <v>210</v>
      </c>
      <c r="B215" s="6" t="s">
        <v>13</v>
      </c>
      <c r="C215" s="7" t="s">
        <v>116</v>
      </c>
      <c r="D215" s="8" t="s">
        <v>15</v>
      </c>
      <c r="E215" s="8" t="s">
        <v>202</v>
      </c>
      <c r="F215" s="8" t="s">
        <v>118</v>
      </c>
      <c r="G215" s="8" t="s">
        <v>28</v>
      </c>
      <c r="H215" s="5" t="s">
        <v>22</v>
      </c>
      <c r="I215" s="17" t="s">
        <v>1480</v>
      </c>
      <c r="J215" s="18" t="n">
        <v>4.8</v>
      </c>
      <c r="K215" s="9" t="s">
        <v>1695</v>
      </c>
    </row>
    <row r="216" customFormat="false" ht="108.95" hidden="false" customHeight="false" outlineLevel="0" collapsed="false">
      <c r="A216" s="5" t="n">
        <v>211</v>
      </c>
      <c r="B216" s="6" t="s">
        <v>13</v>
      </c>
      <c r="C216" s="7" t="s">
        <v>116</v>
      </c>
      <c r="D216" s="8" t="s">
        <v>15</v>
      </c>
      <c r="E216" s="8" t="s">
        <v>202</v>
      </c>
      <c r="F216" s="8" t="s">
        <v>118</v>
      </c>
      <c r="G216" s="8" t="s">
        <v>1530</v>
      </c>
      <c r="H216" s="5" t="s">
        <v>22</v>
      </c>
      <c r="I216" s="17" t="s">
        <v>1480</v>
      </c>
      <c r="J216" s="18" t="n">
        <v>3.6</v>
      </c>
      <c r="K216" s="9" t="s">
        <v>1696</v>
      </c>
    </row>
    <row r="217" customFormat="false" ht="162.65" hidden="false" customHeight="false" outlineLevel="0" collapsed="false">
      <c r="A217" s="5" t="n">
        <v>212</v>
      </c>
      <c r="B217" s="6" t="s">
        <v>13</v>
      </c>
      <c r="C217" s="7" t="s">
        <v>116</v>
      </c>
      <c r="D217" s="8" t="s">
        <v>15</v>
      </c>
      <c r="E217" s="8" t="s">
        <v>202</v>
      </c>
      <c r="F217" s="8" t="s">
        <v>127</v>
      </c>
      <c r="G217" s="8" t="s">
        <v>128</v>
      </c>
      <c r="H217" s="5" t="s">
        <v>22</v>
      </c>
      <c r="I217" s="17" t="s">
        <v>1480</v>
      </c>
      <c r="J217" s="18" t="n">
        <v>92.4</v>
      </c>
      <c r="K217" s="9" t="s">
        <v>1697</v>
      </c>
    </row>
    <row r="218" customFormat="false" ht="198.5" hidden="false" customHeight="false" outlineLevel="0" collapsed="false">
      <c r="A218" s="5" t="n">
        <v>213</v>
      </c>
      <c r="B218" s="6" t="s">
        <v>13</v>
      </c>
      <c r="C218" s="7" t="s">
        <v>116</v>
      </c>
      <c r="D218" s="8" t="s">
        <v>15</v>
      </c>
      <c r="E218" s="8" t="s">
        <v>202</v>
      </c>
      <c r="F218" s="8" t="s">
        <v>69</v>
      </c>
      <c r="G218" s="8" t="s">
        <v>70</v>
      </c>
      <c r="H218" s="5" t="s">
        <v>22</v>
      </c>
      <c r="I218" s="17" t="s">
        <v>1480</v>
      </c>
      <c r="J218" s="18" t="n">
        <v>121.76</v>
      </c>
      <c r="K218" s="9" t="s">
        <v>1698</v>
      </c>
    </row>
    <row r="219" customFormat="false" ht="198.5" hidden="false" customHeight="false" outlineLevel="0" collapsed="false">
      <c r="A219" s="5" t="n">
        <v>214</v>
      </c>
      <c r="B219" s="6" t="s">
        <v>13</v>
      </c>
      <c r="C219" s="7" t="s">
        <v>116</v>
      </c>
      <c r="D219" s="8" t="s">
        <v>15</v>
      </c>
      <c r="E219" s="8" t="s">
        <v>202</v>
      </c>
      <c r="F219" s="8" t="s">
        <v>69</v>
      </c>
      <c r="G219" s="8" t="s">
        <v>1482</v>
      </c>
      <c r="H219" s="5" t="s">
        <v>22</v>
      </c>
      <c r="I219" s="17" t="s">
        <v>1480</v>
      </c>
      <c r="J219" s="18" t="n">
        <v>119.36</v>
      </c>
      <c r="K219" s="9" t="s">
        <v>1699</v>
      </c>
    </row>
    <row r="220" customFormat="false" ht="198.5" hidden="false" customHeight="false" outlineLevel="0" collapsed="false">
      <c r="A220" s="5" t="n">
        <v>215</v>
      </c>
      <c r="B220" s="6" t="s">
        <v>13</v>
      </c>
      <c r="C220" s="7" t="s">
        <v>116</v>
      </c>
      <c r="D220" s="8" t="s">
        <v>15</v>
      </c>
      <c r="E220" s="8" t="s">
        <v>202</v>
      </c>
      <c r="F220" s="8" t="s">
        <v>69</v>
      </c>
      <c r="G220" s="8" t="s">
        <v>1484</v>
      </c>
      <c r="H220" s="5" t="s">
        <v>22</v>
      </c>
      <c r="I220" s="16" t="s">
        <v>1463</v>
      </c>
      <c r="J220" s="8"/>
      <c r="K220" s="9" t="s">
        <v>1700</v>
      </c>
    </row>
    <row r="221" customFormat="false" ht="198.5" hidden="false" customHeight="false" outlineLevel="0" collapsed="false">
      <c r="A221" s="5" t="n">
        <v>216</v>
      </c>
      <c r="B221" s="6" t="s">
        <v>13</v>
      </c>
      <c r="C221" s="7" t="s">
        <v>116</v>
      </c>
      <c r="D221" s="8" t="s">
        <v>15</v>
      </c>
      <c r="E221" s="8" t="s">
        <v>202</v>
      </c>
      <c r="F221" s="8" t="s">
        <v>69</v>
      </c>
      <c r="G221" s="8" t="s">
        <v>1486</v>
      </c>
      <c r="H221" s="5" t="s">
        <v>22</v>
      </c>
      <c r="I221" s="16" t="s">
        <v>1463</v>
      </c>
      <c r="J221" s="8"/>
      <c r="K221" s="9" t="s">
        <v>1701</v>
      </c>
    </row>
    <row r="222" customFormat="false" ht="207.45" hidden="false" customHeight="false" outlineLevel="0" collapsed="false">
      <c r="A222" s="5" t="n">
        <v>217</v>
      </c>
      <c r="B222" s="6" t="s">
        <v>13</v>
      </c>
      <c r="C222" s="7" t="s">
        <v>116</v>
      </c>
      <c r="D222" s="8" t="s">
        <v>15</v>
      </c>
      <c r="E222" s="8" t="s">
        <v>202</v>
      </c>
      <c r="F222" s="8" t="s">
        <v>131</v>
      </c>
      <c r="G222" s="8" t="s">
        <v>150</v>
      </c>
      <c r="H222" s="5" t="s">
        <v>18</v>
      </c>
      <c r="I222" s="16" t="s">
        <v>1463</v>
      </c>
      <c r="J222" s="8"/>
      <c r="K222" s="9" t="s">
        <v>1702</v>
      </c>
    </row>
    <row r="223" customFormat="false" ht="234.3" hidden="false" customHeight="false" outlineLevel="0" collapsed="false">
      <c r="A223" s="5" t="n">
        <v>218</v>
      </c>
      <c r="B223" s="6" t="s">
        <v>13</v>
      </c>
      <c r="C223" s="7" t="s">
        <v>116</v>
      </c>
      <c r="D223" s="8" t="s">
        <v>15</v>
      </c>
      <c r="E223" s="8" t="s">
        <v>202</v>
      </c>
      <c r="F223" s="8" t="s">
        <v>131</v>
      </c>
      <c r="G223" s="8" t="s">
        <v>1543</v>
      </c>
      <c r="H223" s="5" t="s">
        <v>18</v>
      </c>
      <c r="I223" s="16" t="s">
        <v>1463</v>
      </c>
      <c r="J223" s="8"/>
      <c r="K223" s="9" t="s">
        <v>1703</v>
      </c>
    </row>
    <row r="224" customFormat="false" ht="135.8" hidden="false" customHeight="false" outlineLevel="0" collapsed="false">
      <c r="A224" s="5" t="n">
        <v>219</v>
      </c>
      <c r="B224" s="6" t="s">
        <v>13</v>
      </c>
      <c r="C224" s="7" t="s">
        <v>116</v>
      </c>
      <c r="D224" s="8" t="s">
        <v>15</v>
      </c>
      <c r="E224" s="8" t="s">
        <v>202</v>
      </c>
      <c r="F224" s="8" t="s">
        <v>72</v>
      </c>
      <c r="G224" s="8" t="s">
        <v>73</v>
      </c>
      <c r="H224" s="5" t="s">
        <v>53</v>
      </c>
      <c r="I224" s="17" t="s">
        <v>1480</v>
      </c>
      <c r="J224" s="18" t="n">
        <v>1.0176</v>
      </c>
      <c r="K224" s="9" t="s">
        <v>1704</v>
      </c>
    </row>
    <row r="225" customFormat="false" ht="135.8" hidden="false" customHeight="false" outlineLevel="0" collapsed="false">
      <c r="A225" s="5" t="n">
        <v>220</v>
      </c>
      <c r="B225" s="6" t="s">
        <v>13</v>
      </c>
      <c r="C225" s="7" t="s">
        <v>116</v>
      </c>
      <c r="D225" s="8" t="s">
        <v>15</v>
      </c>
      <c r="E225" s="8" t="s">
        <v>202</v>
      </c>
      <c r="F225" s="8" t="s">
        <v>72</v>
      </c>
      <c r="G225" s="8" t="s">
        <v>1489</v>
      </c>
      <c r="H225" s="5" t="s">
        <v>53</v>
      </c>
      <c r="I225" s="17" t="s">
        <v>1480</v>
      </c>
      <c r="J225" s="18" t="n">
        <v>0.9832</v>
      </c>
      <c r="K225" s="9" t="s">
        <v>1705</v>
      </c>
    </row>
    <row r="226" customFormat="false" ht="135.8" hidden="false" customHeight="false" outlineLevel="0" collapsed="false">
      <c r="A226" s="5" t="n">
        <v>221</v>
      </c>
      <c r="B226" s="6" t="s">
        <v>13</v>
      </c>
      <c r="C226" s="7" t="s">
        <v>116</v>
      </c>
      <c r="D226" s="8" t="s">
        <v>15</v>
      </c>
      <c r="E226" s="8" t="s">
        <v>202</v>
      </c>
      <c r="F226" s="8" t="s">
        <v>72</v>
      </c>
      <c r="G226" s="8" t="s">
        <v>1491</v>
      </c>
      <c r="H226" s="5" t="s">
        <v>53</v>
      </c>
      <c r="I226" s="17" t="s">
        <v>1480</v>
      </c>
      <c r="J226" s="18" t="n">
        <v>0.96</v>
      </c>
      <c r="K226" s="9" t="s">
        <v>1706</v>
      </c>
    </row>
    <row r="227" customFormat="false" ht="135.8" hidden="false" customHeight="false" outlineLevel="0" collapsed="false">
      <c r="A227" s="5" t="n">
        <v>222</v>
      </c>
      <c r="B227" s="6" t="s">
        <v>13</v>
      </c>
      <c r="C227" s="7" t="s">
        <v>116</v>
      </c>
      <c r="D227" s="8" t="s">
        <v>15</v>
      </c>
      <c r="E227" s="8" t="s">
        <v>202</v>
      </c>
      <c r="F227" s="8" t="s">
        <v>72</v>
      </c>
      <c r="G227" s="8" t="s">
        <v>1493</v>
      </c>
      <c r="H227" s="5" t="s">
        <v>53</v>
      </c>
      <c r="I227" s="17" t="s">
        <v>1480</v>
      </c>
      <c r="J227" s="18" t="n">
        <v>0.9488</v>
      </c>
      <c r="K227" s="9" t="s">
        <v>1707</v>
      </c>
    </row>
    <row r="228" customFormat="false" ht="135.8" hidden="false" customHeight="false" outlineLevel="0" collapsed="false">
      <c r="A228" s="5" t="n">
        <v>223</v>
      </c>
      <c r="B228" s="6" t="s">
        <v>13</v>
      </c>
      <c r="C228" s="7" t="s">
        <v>116</v>
      </c>
      <c r="D228" s="8" t="s">
        <v>15</v>
      </c>
      <c r="E228" s="8" t="s">
        <v>202</v>
      </c>
      <c r="F228" s="8" t="s">
        <v>72</v>
      </c>
      <c r="G228" s="8" t="s">
        <v>1495</v>
      </c>
      <c r="H228" s="5" t="s">
        <v>53</v>
      </c>
      <c r="I228" s="17" t="s">
        <v>1480</v>
      </c>
      <c r="J228" s="18" t="n">
        <v>0.9256</v>
      </c>
      <c r="K228" s="9" t="s">
        <v>1708</v>
      </c>
    </row>
    <row r="229" customFormat="false" ht="135.8" hidden="false" customHeight="false" outlineLevel="0" collapsed="false">
      <c r="A229" s="5" t="n">
        <v>224</v>
      </c>
      <c r="B229" s="6" t="s">
        <v>13</v>
      </c>
      <c r="C229" s="7" t="s">
        <v>116</v>
      </c>
      <c r="D229" s="8" t="s">
        <v>15</v>
      </c>
      <c r="E229" s="8" t="s">
        <v>202</v>
      </c>
      <c r="F229" s="8" t="s">
        <v>72</v>
      </c>
      <c r="G229" s="8" t="s">
        <v>1497</v>
      </c>
      <c r="H229" s="5" t="s">
        <v>53</v>
      </c>
      <c r="I229" s="17" t="s">
        <v>1480</v>
      </c>
      <c r="J229" s="18" t="n">
        <v>0.9024</v>
      </c>
      <c r="K229" s="9" t="s">
        <v>1709</v>
      </c>
    </row>
    <row r="230" customFormat="false" ht="135.8" hidden="false" customHeight="false" outlineLevel="0" collapsed="false">
      <c r="A230" s="5" t="n">
        <v>225</v>
      </c>
      <c r="B230" s="6" t="s">
        <v>13</v>
      </c>
      <c r="C230" s="7" t="s">
        <v>116</v>
      </c>
      <c r="D230" s="8" t="s">
        <v>15</v>
      </c>
      <c r="E230" s="8" t="s">
        <v>202</v>
      </c>
      <c r="F230" s="8" t="s">
        <v>72</v>
      </c>
      <c r="G230" s="8" t="s">
        <v>1499</v>
      </c>
      <c r="H230" s="5" t="s">
        <v>53</v>
      </c>
      <c r="I230" s="17" t="s">
        <v>1480</v>
      </c>
      <c r="J230" s="18" t="n">
        <v>0.8912</v>
      </c>
      <c r="K230" s="9" t="s">
        <v>1710</v>
      </c>
    </row>
    <row r="231" customFormat="false" ht="135.8" hidden="false" customHeight="false" outlineLevel="0" collapsed="false">
      <c r="A231" s="5" t="n">
        <v>226</v>
      </c>
      <c r="B231" s="6" t="s">
        <v>13</v>
      </c>
      <c r="C231" s="7" t="s">
        <v>116</v>
      </c>
      <c r="D231" s="8" t="s">
        <v>15</v>
      </c>
      <c r="E231" s="8" t="s">
        <v>202</v>
      </c>
      <c r="F231" s="8" t="s">
        <v>72</v>
      </c>
      <c r="G231" s="8" t="s">
        <v>1501</v>
      </c>
      <c r="H231" s="5" t="s">
        <v>53</v>
      </c>
      <c r="I231" s="17" t="s">
        <v>1480</v>
      </c>
      <c r="J231" s="18" t="n">
        <v>1.0064</v>
      </c>
      <c r="K231" s="9" t="s">
        <v>1711</v>
      </c>
    </row>
    <row r="232" customFormat="false" ht="135.8" hidden="false" customHeight="false" outlineLevel="0" collapsed="false">
      <c r="A232" s="5" t="n">
        <v>227</v>
      </c>
      <c r="B232" s="6" t="s">
        <v>13</v>
      </c>
      <c r="C232" s="7" t="s">
        <v>116</v>
      </c>
      <c r="D232" s="8" t="s">
        <v>15</v>
      </c>
      <c r="E232" s="8" t="s">
        <v>202</v>
      </c>
      <c r="F232" s="8" t="s">
        <v>72</v>
      </c>
      <c r="G232" s="8" t="s">
        <v>1503</v>
      </c>
      <c r="H232" s="5" t="s">
        <v>53</v>
      </c>
      <c r="I232" s="16" t="s">
        <v>1463</v>
      </c>
      <c r="J232" s="8"/>
      <c r="K232" s="9" t="s">
        <v>1712</v>
      </c>
    </row>
    <row r="233" customFormat="false" ht="207.45" hidden="false" customHeight="false" outlineLevel="0" collapsed="false">
      <c r="A233" s="5" t="n">
        <v>228</v>
      </c>
      <c r="B233" s="6" t="s">
        <v>13</v>
      </c>
      <c r="C233" s="7" t="s">
        <v>116</v>
      </c>
      <c r="D233" s="8" t="s">
        <v>15</v>
      </c>
      <c r="E233" s="8" t="s">
        <v>202</v>
      </c>
      <c r="F233" s="8" t="s">
        <v>75</v>
      </c>
      <c r="G233" s="8" t="s">
        <v>76</v>
      </c>
      <c r="H233" s="5" t="s">
        <v>53</v>
      </c>
      <c r="I233" s="17" t="s">
        <v>1480</v>
      </c>
      <c r="J233" s="18" t="n">
        <v>1.404</v>
      </c>
      <c r="K233" s="9" t="s">
        <v>1713</v>
      </c>
    </row>
    <row r="234" customFormat="false" ht="171.6" hidden="false" customHeight="false" outlineLevel="0" collapsed="false">
      <c r="A234" s="5" t="n">
        <v>229</v>
      </c>
      <c r="B234" s="6" t="s">
        <v>13</v>
      </c>
      <c r="C234" s="7" t="s">
        <v>116</v>
      </c>
      <c r="D234" s="8" t="s">
        <v>15</v>
      </c>
      <c r="E234" s="8" t="s">
        <v>202</v>
      </c>
      <c r="F234" s="8" t="s">
        <v>135</v>
      </c>
      <c r="G234" s="8" t="s">
        <v>136</v>
      </c>
      <c r="H234" s="5" t="s">
        <v>61</v>
      </c>
      <c r="I234" s="17" t="s">
        <v>1480</v>
      </c>
      <c r="J234" s="18" t="n">
        <v>6.28</v>
      </c>
      <c r="K234" s="9" t="s">
        <v>1714</v>
      </c>
    </row>
    <row r="235" customFormat="false" ht="144.75" hidden="false" customHeight="false" outlineLevel="0" collapsed="false">
      <c r="A235" s="5" t="n">
        <v>230</v>
      </c>
      <c r="B235" s="6" t="s">
        <v>13</v>
      </c>
      <c r="C235" s="7" t="s">
        <v>116</v>
      </c>
      <c r="D235" s="8" t="s">
        <v>15</v>
      </c>
      <c r="E235" s="8" t="s">
        <v>202</v>
      </c>
      <c r="F235" s="8" t="s">
        <v>138</v>
      </c>
      <c r="G235" s="8" t="s">
        <v>139</v>
      </c>
      <c r="H235" s="5" t="s">
        <v>18</v>
      </c>
      <c r="I235" s="17" t="s">
        <v>1480</v>
      </c>
      <c r="J235" s="18" t="n">
        <v>9.68</v>
      </c>
      <c r="K235" s="9" t="s">
        <v>1715</v>
      </c>
    </row>
    <row r="236" customFormat="false" ht="126.85" hidden="false" customHeight="false" outlineLevel="0" collapsed="false">
      <c r="A236" s="5" t="n">
        <v>231</v>
      </c>
      <c r="B236" s="6" t="s">
        <v>13</v>
      </c>
      <c r="C236" s="7" t="s">
        <v>116</v>
      </c>
      <c r="D236" s="8" t="s">
        <v>15</v>
      </c>
      <c r="E236" s="8" t="s">
        <v>202</v>
      </c>
      <c r="F236" s="8" t="s">
        <v>138</v>
      </c>
      <c r="G236" s="8" t="s">
        <v>1557</v>
      </c>
      <c r="H236" s="5" t="s">
        <v>18</v>
      </c>
      <c r="I236" s="17" t="s">
        <v>1480</v>
      </c>
      <c r="J236" s="18" t="n">
        <v>9.12</v>
      </c>
      <c r="K236" s="9" t="s">
        <v>1716</v>
      </c>
    </row>
    <row r="237" customFormat="false" ht="225.35" hidden="false" customHeight="false" outlineLevel="0" collapsed="false">
      <c r="A237" s="5" t="n">
        <v>232</v>
      </c>
      <c r="B237" s="6" t="s">
        <v>13</v>
      </c>
      <c r="C237" s="7" t="s">
        <v>116</v>
      </c>
      <c r="D237" s="8" t="s">
        <v>15</v>
      </c>
      <c r="E237" s="8" t="s">
        <v>202</v>
      </c>
      <c r="F237" s="8" t="s">
        <v>138</v>
      </c>
      <c r="G237" s="8" t="s">
        <v>1559</v>
      </c>
      <c r="H237" s="5" t="s">
        <v>18</v>
      </c>
      <c r="I237" s="16" t="s">
        <v>1463</v>
      </c>
      <c r="J237" s="8"/>
      <c r="K237" s="9" t="s">
        <v>1717</v>
      </c>
    </row>
    <row r="238" customFormat="false" ht="144.75" hidden="false" customHeight="false" outlineLevel="0" collapsed="false">
      <c r="A238" s="5" t="n">
        <v>233</v>
      </c>
      <c r="B238" s="6" t="s">
        <v>13</v>
      </c>
      <c r="C238" s="7" t="s">
        <v>41</v>
      </c>
      <c r="D238" s="8" t="s">
        <v>15</v>
      </c>
      <c r="E238" s="8" t="s">
        <v>211</v>
      </c>
      <c r="F238" s="8" t="s">
        <v>118</v>
      </c>
      <c r="G238" s="8" t="s">
        <v>119</v>
      </c>
      <c r="H238" s="5" t="s">
        <v>22</v>
      </c>
      <c r="I238" s="17" t="s">
        <v>1480</v>
      </c>
      <c r="J238" s="18" t="n">
        <v>4.8</v>
      </c>
      <c r="K238" s="9" t="s">
        <v>1718</v>
      </c>
    </row>
    <row r="239" customFormat="false" ht="144.75" hidden="false" customHeight="false" outlineLevel="0" collapsed="false">
      <c r="A239" s="5" t="n">
        <v>234</v>
      </c>
      <c r="B239" s="6" t="s">
        <v>13</v>
      </c>
      <c r="C239" s="7" t="s">
        <v>41</v>
      </c>
      <c r="D239" s="8" t="s">
        <v>15</v>
      </c>
      <c r="E239" s="8" t="s">
        <v>211</v>
      </c>
      <c r="F239" s="8" t="s">
        <v>118</v>
      </c>
      <c r="G239" s="8" t="s">
        <v>28</v>
      </c>
      <c r="H239" s="5" t="s">
        <v>22</v>
      </c>
      <c r="I239" s="17" t="s">
        <v>1480</v>
      </c>
      <c r="J239" s="18" t="n">
        <v>4.8</v>
      </c>
      <c r="K239" s="9" t="s">
        <v>1719</v>
      </c>
    </row>
    <row r="240" customFormat="false" ht="153.7" hidden="false" customHeight="false" outlineLevel="0" collapsed="false">
      <c r="A240" s="5" t="n">
        <v>235</v>
      </c>
      <c r="B240" s="6" t="s">
        <v>13</v>
      </c>
      <c r="C240" s="7" t="s">
        <v>41</v>
      </c>
      <c r="D240" s="8" t="s">
        <v>15</v>
      </c>
      <c r="E240" s="8" t="s">
        <v>211</v>
      </c>
      <c r="F240" s="8" t="s">
        <v>118</v>
      </c>
      <c r="G240" s="8" t="s">
        <v>1530</v>
      </c>
      <c r="H240" s="5" t="s">
        <v>22</v>
      </c>
      <c r="I240" s="17" t="s">
        <v>1480</v>
      </c>
      <c r="J240" s="18" t="n">
        <v>3.6</v>
      </c>
      <c r="K240" s="9" t="s">
        <v>1720</v>
      </c>
    </row>
    <row r="241" customFormat="false" ht="244" hidden="false" customHeight="false" outlineLevel="0" collapsed="false">
      <c r="A241" s="5" t="n">
        <v>236</v>
      </c>
      <c r="B241" s="6" t="s">
        <v>13</v>
      </c>
      <c r="C241" s="7" t="s">
        <v>41</v>
      </c>
      <c r="D241" s="8" t="s">
        <v>15</v>
      </c>
      <c r="E241" s="8" t="s">
        <v>211</v>
      </c>
      <c r="F241" s="8" t="s">
        <v>69</v>
      </c>
      <c r="G241" s="8" t="s">
        <v>70</v>
      </c>
      <c r="H241" s="5" t="s">
        <v>22</v>
      </c>
      <c r="I241" s="17" t="s">
        <v>1480</v>
      </c>
      <c r="J241" s="18" t="n">
        <v>121.76</v>
      </c>
      <c r="K241" s="9" t="s">
        <v>1721</v>
      </c>
    </row>
    <row r="242" customFormat="false" ht="244" hidden="false" customHeight="false" outlineLevel="0" collapsed="false">
      <c r="A242" s="5" t="n">
        <v>237</v>
      </c>
      <c r="B242" s="6" t="s">
        <v>13</v>
      </c>
      <c r="C242" s="7" t="s">
        <v>41</v>
      </c>
      <c r="D242" s="8" t="s">
        <v>15</v>
      </c>
      <c r="E242" s="8" t="s">
        <v>211</v>
      </c>
      <c r="F242" s="8" t="s">
        <v>69</v>
      </c>
      <c r="G242" s="8" t="s">
        <v>1482</v>
      </c>
      <c r="H242" s="5" t="s">
        <v>22</v>
      </c>
      <c r="I242" s="17" t="s">
        <v>1480</v>
      </c>
      <c r="J242" s="18" t="n">
        <v>119.36</v>
      </c>
      <c r="K242" s="9" t="s">
        <v>1722</v>
      </c>
    </row>
    <row r="243" customFormat="false" ht="244" hidden="false" customHeight="false" outlineLevel="0" collapsed="false">
      <c r="A243" s="5" t="n">
        <v>238</v>
      </c>
      <c r="B243" s="6" t="s">
        <v>13</v>
      </c>
      <c r="C243" s="7" t="s">
        <v>41</v>
      </c>
      <c r="D243" s="8" t="s">
        <v>15</v>
      </c>
      <c r="E243" s="8" t="s">
        <v>211</v>
      </c>
      <c r="F243" s="8" t="s">
        <v>69</v>
      </c>
      <c r="G243" s="8" t="s">
        <v>1484</v>
      </c>
      <c r="H243" s="5" t="s">
        <v>22</v>
      </c>
      <c r="I243" s="16" t="s">
        <v>1463</v>
      </c>
      <c r="J243" s="8"/>
      <c r="K243" s="9" t="s">
        <v>1723</v>
      </c>
    </row>
    <row r="244" customFormat="false" ht="244" hidden="false" customHeight="false" outlineLevel="0" collapsed="false">
      <c r="A244" s="5" t="n">
        <v>239</v>
      </c>
      <c r="B244" s="6" t="s">
        <v>13</v>
      </c>
      <c r="C244" s="7" t="s">
        <v>41</v>
      </c>
      <c r="D244" s="8" t="s">
        <v>15</v>
      </c>
      <c r="E244" s="8" t="s">
        <v>211</v>
      </c>
      <c r="F244" s="8" t="s">
        <v>69</v>
      </c>
      <c r="G244" s="8" t="s">
        <v>1486</v>
      </c>
      <c r="H244" s="5" t="s">
        <v>22</v>
      </c>
      <c r="I244" s="16" t="s">
        <v>1463</v>
      </c>
      <c r="J244" s="8"/>
      <c r="K244" s="9" t="s">
        <v>1724</v>
      </c>
    </row>
    <row r="245" customFormat="false" ht="252.95" hidden="false" customHeight="false" outlineLevel="0" collapsed="false">
      <c r="A245" s="5" t="n">
        <v>240</v>
      </c>
      <c r="B245" s="6" t="s">
        <v>13</v>
      </c>
      <c r="C245" s="7" t="s">
        <v>41</v>
      </c>
      <c r="D245" s="8" t="s">
        <v>15</v>
      </c>
      <c r="E245" s="8" t="s">
        <v>211</v>
      </c>
      <c r="F245" s="8" t="s">
        <v>131</v>
      </c>
      <c r="G245" s="8" t="s">
        <v>150</v>
      </c>
      <c r="H245" s="5" t="s">
        <v>18</v>
      </c>
      <c r="I245" s="16" t="s">
        <v>1463</v>
      </c>
      <c r="J245" s="8"/>
      <c r="K245" s="9" t="s">
        <v>1725</v>
      </c>
    </row>
    <row r="246" customFormat="false" ht="279.85" hidden="false" customHeight="false" outlineLevel="0" collapsed="false">
      <c r="A246" s="5" t="n">
        <v>241</v>
      </c>
      <c r="B246" s="6" t="s">
        <v>13</v>
      </c>
      <c r="C246" s="7" t="s">
        <v>41</v>
      </c>
      <c r="D246" s="8" t="s">
        <v>15</v>
      </c>
      <c r="E246" s="8" t="s">
        <v>211</v>
      </c>
      <c r="F246" s="8" t="s">
        <v>131</v>
      </c>
      <c r="G246" s="8" t="s">
        <v>1543</v>
      </c>
      <c r="H246" s="5" t="s">
        <v>18</v>
      </c>
      <c r="I246" s="16" t="s">
        <v>1463</v>
      </c>
      <c r="J246" s="8"/>
      <c r="K246" s="9" t="s">
        <v>1726</v>
      </c>
    </row>
    <row r="247" customFormat="false" ht="180.55" hidden="false" customHeight="false" outlineLevel="0" collapsed="false">
      <c r="A247" s="5" t="n">
        <v>242</v>
      </c>
      <c r="B247" s="6" t="s">
        <v>13</v>
      </c>
      <c r="C247" s="7" t="s">
        <v>41</v>
      </c>
      <c r="D247" s="8" t="s">
        <v>15</v>
      </c>
      <c r="E247" s="8" t="s">
        <v>211</v>
      </c>
      <c r="F247" s="8" t="s">
        <v>72</v>
      </c>
      <c r="G247" s="8" t="s">
        <v>73</v>
      </c>
      <c r="H247" s="5" t="s">
        <v>53</v>
      </c>
      <c r="I247" s="17" t="s">
        <v>1480</v>
      </c>
      <c r="J247" s="18" t="n">
        <v>1.0176</v>
      </c>
      <c r="K247" s="9" t="s">
        <v>1727</v>
      </c>
    </row>
    <row r="248" customFormat="false" ht="180.55" hidden="false" customHeight="false" outlineLevel="0" collapsed="false">
      <c r="A248" s="5" t="n">
        <v>243</v>
      </c>
      <c r="B248" s="6" t="s">
        <v>13</v>
      </c>
      <c r="C248" s="7" t="s">
        <v>41</v>
      </c>
      <c r="D248" s="8" t="s">
        <v>15</v>
      </c>
      <c r="E248" s="8" t="s">
        <v>211</v>
      </c>
      <c r="F248" s="8" t="s">
        <v>72</v>
      </c>
      <c r="G248" s="8" t="s">
        <v>1489</v>
      </c>
      <c r="H248" s="5" t="s">
        <v>53</v>
      </c>
      <c r="I248" s="17" t="s">
        <v>1480</v>
      </c>
      <c r="J248" s="18" t="n">
        <v>0.9832</v>
      </c>
      <c r="K248" s="9" t="s">
        <v>1728</v>
      </c>
    </row>
    <row r="249" customFormat="false" ht="180.55" hidden="false" customHeight="false" outlineLevel="0" collapsed="false">
      <c r="A249" s="5" t="n">
        <v>244</v>
      </c>
      <c r="B249" s="6" t="s">
        <v>13</v>
      </c>
      <c r="C249" s="7" t="s">
        <v>41</v>
      </c>
      <c r="D249" s="8" t="s">
        <v>15</v>
      </c>
      <c r="E249" s="8" t="s">
        <v>211</v>
      </c>
      <c r="F249" s="8" t="s">
        <v>72</v>
      </c>
      <c r="G249" s="8" t="s">
        <v>1491</v>
      </c>
      <c r="H249" s="5" t="s">
        <v>53</v>
      </c>
      <c r="I249" s="17" t="s">
        <v>1480</v>
      </c>
      <c r="J249" s="18" t="n">
        <v>0.96</v>
      </c>
      <c r="K249" s="9" t="s">
        <v>1729</v>
      </c>
    </row>
    <row r="250" customFormat="false" ht="180.55" hidden="false" customHeight="false" outlineLevel="0" collapsed="false">
      <c r="A250" s="5" t="n">
        <v>245</v>
      </c>
      <c r="B250" s="6" t="s">
        <v>13</v>
      </c>
      <c r="C250" s="7" t="s">
        <v>41</v>
      </c>
      <c r="D250" s="8" t="s">
        <v>15</v>
      </c>
      <c r="E250" s="8" t="s">
        <v>211</v>
      </c>
      <c r="F250" s="8" t="s">
        <v>72</v>
      </c>
      <c r="G250" s="8" t="s">
        <v>1493</v>
      </c>
      <c r="H250" s="5" t="s">
        <v>53</v>
      </c>
      <c r="I250" s="17" t="s">
        <v>1480</v>
      </c>
      <c r="J250" s="18" t="n">
        <v>0.9488</v>
      </c>
      <c r="K250" s="9" t="s">
        <v>1730</v>
      </c>
    </row>
    <row r="251" customFormat="false" ht="180.55" hidden="false" customHeight="false" outlineLevel="0" collapsed="false">
      <c r="A251" s="5" t="n">
        <v>246</v>
      </c>
      <c r="B251" s="6" t="s">
        <v>13</v>
      </c>
      <c r="C251" s="7" t="s">
        <v>41</v>
      </c>
      <c r="D251" s="8" t="s">
        <v>15</v>
      </c>
      <c r="E251" s="8" t="s">
        <v>211</v>
      </c>
      <c r="F251" s="8" t="s">
        <v>72</v>
      </c>
      <c r="G251" s="8" t="s">
        <v>1495</v>
      </c>
      <c r="H251" s="5" t="s">
        <v>53</v>
      </c>
      <c r="I251" s="17" t="s">
        <v>1480</v>
      </c>
      <c r="J251" s="18" t="n">
        <v>0.9256</v>
      </c>
      <c r="K251" s="9" t="s">
        <v>1731</v>
      </c>
    </row>
    <row r="252" customFormat="false" ht="180.55" hidden="false" customHeight="false" outlineLevel="0" collapsed="false">
      <c r="A252" s="5" t="n">
        <v>247</v>
      </c>
      <c r="B252" s="6" t="s">
        <v>13</v>
      </c>
      <c r="C252" s="7" t="s">
        <v>41</v>
      </c>
      <c r="D252" s="8" t="s">
        <v>15</v>
      </c>
      <c r="E252" s="8" t="s">
        <v>211</v>
      </c>
      <c r="F252" s="8" t="s">
        <v>72</v>
      </c>
      <c r="G252" s="8" t="s">
        <v>1497</v>
      </c>
      <c r="H252" s="5" t="s">
        <v>53</v>
      </c>
      <c r="I252" s="17" t="s">
        <v>1480</v>
      </c>
      <c r="J252" s="18" t="n">
        <v>0.9024</v>
      </c>
      <c r="K252" s="9" t="s">
        <v>1732</v>
      </c>
    </row>
    <row r="253" customFormat="false" ht="180.55" hidden="false" customHeight="false" outlineLevel="0" collapsed="false">
      <c r="A253" s="5" t="n">
        <v>248</v>
      </c>
      <c r="B253" s="6" t="s">
        <v>13</v>
      </c>
      <c r="C253" s="7" t="s">
        <v>41</v>
      </c>
      <c r="D253" s="8" t="s">
        <v>15</v>
      </c>
      <c r="E253" s="8" t="s">
        <v>211</v>
      </c>
      <c r="F253" s="8" t="s">
        <v>72</v>
      </c>
      <c r="G253" s="8" t="s">
        <v>1499</v>
      </c>
      <c r="H253" s="5" t="s">
        <v>53</v>
      </c>
      <c r="I253" s="17" t="s">
        <v>1480</v>
      </c>
      <c r="J253" s="18" t="n">
        <v>0.8912</v>
      </c>
      <c r="K253" s="9" t="s">
        <v>1733</v>
      </c>
    </row>
    <row r="254" customFormat="false" ht="180.55" hidden="false" customHeight="false" outlineLevel="0" collapsed="false">
      <c r="A254" s="5" t="n">
        <v>249</v>
      </c>
      <c r="B254" s="6" t="s">
        <v>13</v>
      </c>
      <c r="C254" s="7" t="s">
        <v>41</v>
      </c>
      <c r="D254" s="8" t="s">
        <v>15</v>
      </c>
      <c r="E254" s="8" t="s">
        <v>211</v>
      </c>
      <c r="F254" s="8" t="s">
        <v>72</v>
      </c>
      <c r="G254" s="8" t="s">
        <v>1501</v>
      </c>
      <c r="H254" s="5" t="s">
        <v>53</v>
      </c>
      <c r="I254" s="17" t="s">
        <v>1480</v>
      </c>
      <c r="J254" s="18" t="n">
        <v>1.0064</v>
      </c>
      <c r="K254" s="9" t="s">
        <v>1734</v>
      </c>
    </row>
    <row r="255" customFormat="false" ht="180.55" hidden="false" customHeight="false" outlineLevel="0" collapsed="false">
      <c r="A255" s="5" t="n">
        <v>250</v>
      </c>
      <c r="B255" s="6" t="s">
        <v>13</v>
      </c>
      <c r="C255" s="7" t="s">
        <v>41</v>
      </c>
      <c r="D255" s="8" t="s">
        <v>15</v>
      </c>
      <c r="E255" s="8" t="s">
        <v>211</v>
      </c>
      <c r="F255" s="8" t="s">
        <v>72</v>
      </c>
      <c r="G255" s="8" t="s">
        <v>1503</v>
      </c>
      <c r="H255" s="5" t="s">
        <v>53</v>
      </c>
      <c r="I255" s="16" t="s">
        <v>1463</v>
      </c>
      <c r="J255" s="8"/>
      <c r="K255" s="9" t="s">
        <v>1735</v>
      </c>
    </row>
    <row r="256" customFormat="false" ht="252.95" hidden="false" customHeight="false" outlineLevel="0" collapsed="false">
      <c r="A256" s="5" t="n">
        <v>251</v>
      </c>
      <c r="B256" s="6" t="s">
        <v>13</v>
      </c>
      <c r="C256" s="7" t="s">
        <v>41</v>
      </c>
      <c r="D256" s="8" t="s">
        <v>15</v>
      </c>
      <c r="E256" s="8" t="s">
        <v>211</v>
      </c>
      <c r="F256" s="8" t="s">
        <v>75</v>
      </c>
      <c r="G256" s="8" t="s">
        <v>76</v>
      </c>
      <c r="H256" s="5" t="s">
        <v>53</v>
      </c>
      <c r="I256" s="17" t="s">
        <v>1480</v>
      </c>
      <c r="J256" s="18" t="n">
        <v>1.404</v>
      </c>
      <c r="K256" s="9" t="s">
        <v>1736</v>
      </c>
    </row>
    <row r="257" customFormat="false" ht="216.4" hidden="false" customHeight="false" outlineLevel="0" collapsed="false">
      <c r="A257" s="5" t="n">
        <v>252</v>
      </c>
      <c r="B257" s="6" t="s">
        <v>13</v>
      </c>
      <c r="C257" s="7" t="s">
        <v>41</v>
      </c>
      <c r="D257" s="8" t="s">
        <v>15</v>
      </c>
      <c r="E257" s="8" t="s">
        <v>211</v>
      </c>
      <c r="F257" s="8" t="s">
        <v>135</v>
      </c>
      <c r="G257" s="8" t="s">
        <v>136</v>
      </c>
      <c r="H257" s="5" t="s">
        <v>61</v>
      </c>
      <c r="I257" s="17" t="s">
        <v>1480</v>
      </c>
      <c r="J257" s="18" t="n">
        <v>6.28</v>
      </c>
      <c r="K257" s="9" t="s">
        <v>1737</v>
      </c>
    </row>
    <row r="258" customFormat="false" ht="189.55" hidden="false" customHeight="false" outlineLevel="0" collapsed="false">
      <c r="A258" s="5" t="n">
        <v>253</v>
      </c>
      <c r="B258" s="6" t="s">
        <v>13</v>
      </c>
      <c r="C258" s="7" t="s">
        <v>41</v>
      </c>
      <c r="D258" s="8" t="s">
        <v>15</v>
      </c>
      <c r="E258" s="8" t="s">
        <v>211</v>
      </c>
      <c r="F258" s="8" t="s">
        <v>138</v>
      </c>
      <c r="G258" s="8" t="s">
        <v>139</v>
      </c>
      <c r="H258" s="5" t="s">
        <v>18</v>
      </c>
      <c r="I258" s="17" t="s">
        <v>1480</v>
      </c>
      <c r="J258" s="18" t="n">
        <v>9.68</v>
      </c>
      <c r="K258" s="9" t="s">
        <v>1738</v>
      </c>
    </row>
    <row r="259" customFormat="false" ht="171.6" hidden="false" customHeight="false" outlineLevel="0" collapsed="false">
      <c r="A259" s="5" t="n">
        <v>254</v>
      </c>
      <c r="B259" s="6" t="s">
        <v>13</v>
      </c>
      <c r="C259" s="7" t="s">
        <v>41</v>
      </c>
      <c r="D259" s="8" t="s">
        <v>15</v>
      </c>
      <c r="E259" s="8" t="s">
        <v>211</v>
      </c>
      <c r="F259" s="8" t="s">
        <v>138</v>
      </c>
      <c r="G259" s="8" t="s">
        <v>1557</v>
      </c>
      <c r="H259" s="5" t="s">
        <v>18</v>
      </c>
      <c r="I259" s="17" t="s">
        <v>1480</v>
      </c>
      <c r="J259" s="18" t="n">
        <v>9.12</v>
      </c>
      <c r="K259" s="9" t="s">
        <v>1739</v>
      </c>
    </row>
    <row r="260" customFormat="false" ht="270.85" hidden="false" customHeight="false" outlineLevel="0" collapsed="false">
      <c r="A260" s="5" t="n">
        <v>255</v>
      </c>
      <c r="B260" s="6" t="s">
        <v>13</v>
      </c>
      <c r="C260" s="7" t="s">
        <v>41</v>
      </c>
      <c r="D260" s="8" t="s">
        <v>15</v>
      </c>
      <c r="E260" s="8" t="s">
        <v>211</v>
      </c>
      <c r="F260" s="8" t="s">
        <v>138</v>
      </c>
      <c r="G260" s="8" t="s">
        <v>1559</v>
      </c>
      <c r="H260" s="5" t="s">
        <v>18</v>
      </c>
      <c r="I260" s="16" t="s">
        <v>1463</v>
      </c>
      <c r="J260" s="8"/>
      <c r="K260" s="9" t="s">
        <v>1740</v>
      </c>
    </row>
    <row r="261" customFormat="false" ht="261.9" hidden="false" customHeight="false" outlineLevel="0" collapsed="false">
      <c r="A261" s="5" t="n">
        <v>256</v>
      </c>
      <c r="B261" s="6" t="s">
        <v>13</v>
      </c>
      <c r="C261" s="7" t="s">
        <v>41</v>
      </c>
      <c r="D261" s="8" t="s">
        <v>15</v>
      </c>
      <c r="E261" s="8" t="s">
        <v>211</v>
      </c>
      <c r="F261" s="8" t="s">
        <v>219</v>
      </c>
      <c r="G261" s="8" t="s">
        <v>220</v>
      </c>
      <c r="H261" s="5" t="s">
        <v>18</v>
      </c>
      <c r="I261" s="16" t="s">
        <v>1463</v>
      </c>
      <c r="J261" s="8"/>
      <c r="K261" s="9" t="s">
        <v>1741</v>
      </c>
    </row>
    <row r="262" customFormat="false" ht="234.3" hidden="false" customHeight="false" outlineLevel="0" collapsed="false">
      <c r="A262" s="5" t="n">
        <v>257</v>
      </c>
      <c r="B262" s="6" t="s">
        <v>13</v>
      </c>
      <c r="C262" s="7" t="s">
        <v>41</v>
      </c>
      <c r="D262" s="8" t="s">
        <v>15</v>
      </c>
      <c r="E262" s="8" t="s">
        <v>211</v>
      </c>
      <c r="F262" s="8" t="s">
        <v>222</v>
      </c>
      <c r="G262" s="8" t="s">
        <v>223</v>
      </c>
      <c r="H262" s="5" t="s">
        <v>18</v>
      </c>
      <c r="I262" s="16" t="s">
        <v>1463</v>
      </c>
      <c r="J262" s="8"/>
      <c r="K262" s="9" t="s">
        <v>1742</v>
      </c>
    </row>
    <row r="263" customFormat="false" ht="244" hidden="false" customHeight="false" outlineLevel="0" collapsed="false">
      <c r="A263" s="5" t="n">
        <v>258</v>
      </c>
      <c r="B263" s="6" t="s">
        <v>13</v>
      </c>
      <c r="C263" s="7" t="s">
        <v>225</v>
      </c>
      <c r="D263" s="8" t="s">
        <v>226</v>
      </c>
      <c r="E263" s="8" t="s">
        <v>227</v>
      </c>
      <c r="F263" s="8" t="s">
        <v>69</v>
      </c>
      <c r="G263" s="8" t="s">
        <v>70</v>
      </c>
      <c r="H263" s="5" t="s">
        <v>22</v>
      </c>
      <c r="I263" s="17" t="s">
        <v>1480</v>
      </c>
      <c r="J263" s="18" t="n">
        <v>121.76</v>
      </c>
      <c r="K263" s="9" t="s">
        <v>1743</v>
      </c>
    </row>
    <row r="264" customFormat="false" ht="244" hidden="false" customHeight="false" outlineLevel="0" collapsed="false">
      <c r="A264" s="5" t="n">
        <v>259</v>
      </c>
      <c r="B264" s="6" t="s">
        <v>13</v>
      </c>
      <c r="C264" s="7" t="s">
        <v>225</v>
      </c>
      <c r="D264" s="8" t="s">
        <v>226</v>
      </c>
      <c r="E264" s="8" t="s">
        <v>227</v>
      </c>
      <c r="F264" s="8" t="s">
        <v>69</v>
      </c>
      <c r="G264" s="8" t="s">
        <v>1482</v>
      </c>
      <c r="H264" s="5" t="s">
        <v>22</v>
      </c>
      <c r="I264" s="17" t="s">
        <v>1480</v>
      </c>
      <c r="J264" s="18" t="n">
        <v>119.36</v>
      </c>
      <c r="K264" s="9" t="s">
        <v>1744</v>
      </c>
    </row>
    <row r="265" customFormat="false" ht="244" hidden="false" customHeight="false" outlineLevel="0" collapsed="false">
      <c r="A265" s="5" t="n">
        <v>260</v>
      </c>
      <c r="B265" s="6" t="s">
        <v>13</v>
      </c>
      <c r="C265" s="7" t="s">
        <v>225</v>
      </c>
      <c r="D265" s="8" t="s">
        <v>226</v>
      </c>
      <c r="E265" s="8" t="s">
        <v>227</v>
      </c>
      <c r="F265" s="8" t="s">
        <v>69</v>
      </c>
      <c r="G265" s="8" t="s">
        <v>1484</v>
      </c>
      <c r="H265" s="5" t="s">
        <v>22</v>
      </c>
      <c r="I265" s="16" t="s">
        <v>1463</v>
      </c>
      <c r="J265" s="8"/>
      <c r="K265" s="9" t="s">
        <v>1745</v>
      </c>
    </row>
    <row r="266" customFormat="false" ht="244" hidden="false" customHeight="false" outlineLevel="0" collapsed="false">
      <c r="A266" s="5" t="n">
        <v>261</v>
      </c>
      <c r="B266" s="6" t="s">
        <v>13</v>
      </c>
      <c r="C266" s="7" t="s">
        <v>225</v>
      </c>
      <c r="D266" s="8" t="s">
        <v>226</v>
      </c>
      <c r="E266" s="8" t="s">
        <v>227</v>
      </c>
      <c r="F266" s="8" t="s">
        <v>69</v>
      </c>
      <c r="G266" s="8" t="s">
        <v>1486</v>
      </c>
      <c r="H266" s="5" t="s">
        <v>22</v>
      </c>
      <c r="I266" s="16" t="s">
        <v>1463</v>
      </c>
      <c r="J266" s="8"/>
      <c r="K266" s="9" t="s">
        <v>1746</v>
      </c>
    </row>
    <row r="267" customFormat="false" ht="252.95" hidden="false" customHeight="false" outlineLevel="0" collapsed="false">
      <c r="A267" s="5" t="n">
        <v>262</v>
      </c>
      <c r="B267" s="6" t="s">
        <v>13</v>
      </c>
      <c r="C267" s="7" t="s">
        <v>225</v>
      </c>
      <c r="D267" s="8" t="s">
        <v>226</v>
      </c>
      <c r="E267" s="8" t="s">
        <v>227</v>
      </c>
      <c r="F267" s="8" t="s">
        <v>131</v>
      </c>
      <c r="G267" s="8" t="s">
        <v>150</v>
      </c>
      <c r="H267" s="5" t="s">
        <v>18</v>
      </c>
      <c r="I267" s="16" t="s">
        <v>1463</v>
      </c>
      <c r="J267" s="8"/>
      <c r="K267" s="9" t="s">
        <v>1747</v>
      </c>
    </row>
    <row r="268" customFormat="false" ht="279.85" hidden="false" customHeight="false" outlineLevel="0" collapsed="false">
      <c r="A268" s="5" t="n">
        <v>263</v>
      </c>
      <c r="B268" s="6" t="s">
        <v>13</v>
      </c>
      <c r="C268" s="7" t="s">
        <v>225</v>
      </c>
      <c r="D268" s="8" t="s">
        <v>226</v>
      </c>
      <c r="E268" s="8" t="s">
        <v>227</v>
      </c>
      <c r="F268" s="8" t="s">
        <v>131</v>
      </c>
      <c r="G268" s="8" t="s">
        <v>1543</v>
      </c>
      <c r="H268" s="5" t="s">
        <v>18</v>
      </c>
      <c r="I268" s="16" t="s">
        <v>1463</v>
      </c>
      <c r="J268" s="8"/>
      <c r="K268" s="9" t="s">
        <v>1748</v>
      </c>
    </row>
    <row r="269" customFormat="false" ht="180.55" hidden="false" customHeight="false" outlineLevel="0" collapsed="false">
      <c r="A269" s="5" t="n">
        <v>264</v>
      </c>
      <c r="B269" s="6" t="s">
        <v>13</v>
      </c>
      <c r="C269" s="7" t="s">
        <v>225</v>
      </c>
      <c r="D269" s="8" t="s">
        <v>226</v>
      </c>
      <c r="E269" s="8" t="s">
        <v>227</v>
      </c>
      <c r="F269" s="8" t="s">
        <v>72</v>
      </c>
      <c r="G269" s="8" t="s">
        <v>73</v>
      </c>
      <c r="H269" s="5" t="s">
        <v>53</v>
      </c>
      <c r="I269" s="17" t="s">
        <v>1480</v>
      </c>
      <c r="J269" s="18" t="n">
        <v>1.0176</v>
      </c>
      <c r="K269" s="9" t="s">
        <v>1749</v>
      </c>
    </row>
    <row r="270" customFormat="false" ht="180.55" hidden="false" customHeight="false" outlineLevel="0" collapsed="false">
      <c r="A270" s="5" t="n">
        <v>265</v>
      </c>
      <c r="B270" s="6" t="s">
        <v>13</v>
      </c>
      <c r="C270" s="7" t="s">
        <v>225</v>
      </c>
      <c r="D270" s="8" t="s">
        <v>226</v>
      </c>
      <c r="E270" s="8" t="s">
        <v>227</v>
      </c>
      <c r="F270" s="8" t="s">
        <v>72</v>
      </c>
      <c r="G270" s="8" t="s">
        <v>1489</v>
      </c>
      <c r="H270" s="5" t="s">
        <v>53</v>
      </c>
      <c r="I270" s="17" t="s">
        <v>1480</v>
      </c>
      <c r="J270" s="18" t="n">
        <v>0.9832</v>
      </c>
      <c r="K270" s="9" t="s">
        <v>1750</v>
      </c>
    </row>
    <row r="271" customFormat="false" ht="180.55" hidden="false" customHeight="false" outlineLevel="0" collapsed="false">
      <c r="A271" s="5" t="n">
        <v>266</v>
      </c>
      <c r="B271" s="6" t="s">
        <v>13</v>
      </c>
      <c r="C271" s="7" t="s">
        <v>225</v>
      </c>
      <c r="D271" s="8" t="s">
        <v>226</v>
      </c>
      <c r="E271" s="8" t="s">
        <v>227</v>
      </c>
      <c r="F271" s="8" t="s">
        <v>72</v>
      </c>
      <c r="G271" s="8" t="s">
        <v>1491</v>
      </c>
      <c r="H271" s="5" t="s">
        <v>53</v>
      </c>
      <c r="I271" s="17" t="s">
        <v>1480</v>
      </c>
      <c r="J271" s="18" t="n">
        <v>0.96</v>
      </c>
      <c r="K271" s="9" t="s">
        <v>1751</v>
      </c>
    </row>
    <row r="272" customFormat="false" ht="180.55" hidden="false" customHeight="false" outlineLevel="0" collapsed="false">
      <c r="A272" s="5" t="n">
        <v>267</v>
      </c>
      <c r="B272" s="6" t="s">
        <v>13</v>
      </c>
      <c r="C272" s="7" t="s">
        <v>225</v>
      </c>
      <c r="D272" s="8" t="s">
        <v>226</v>
      </c>
      <c r="E272" s="8" t="s">
        <v>227</v>
      </c>
      <c r="F272" s="8" t="s">
        <v>72</v>
      </c>
      <c r="G272" s="8" t="s">
        <v>1493</v>
      </c>
      <c r="H272" s="5" t="s">
        <v>53</v>
      </c>
      <c r="I272" s="17" t="s">
        <v>1480</v>
      </c>
      <c r="J272" s="18" t="n">
        <v>0.9488</v>
      </c>
      <c r="K272" s="9" t="s">
        <v>1752</v>
      </c>
    </row>
    <row r="273" customFormat="false" ht="180.55" hidden="false" customHeight="false" outlineLevel="0" collapsed="false">
      <c r="A273" s="5" t="n">
        <v>268</v>
      </c>
      <c r="B273" s="6" t="s">
        <v>13</v>
      </c>
      <c r="C273" s="7" t="s">
        <v>225</v>
      </c>
      <c r="D273" s="8" t="s">
        <v>226</v>
      </c>
      <c r="E273" s="8" t="s">
        <v>227</v>
      </c>
      <c r="F273" s="8" t="s">
        <v>72</v>
      </c>
      <c r="G273" s="8" t="s">
        <v>1495</v>
      </c>
      <c r="H273" s="5" t="s">
        <v>53</v>
      </c>
      <c r="I273" s="17" t="s">
        <v>1480</v>
      </c>
      <c r="J273" s="18" t="n">
        <v>0.9256</v>
      </c>
      <c r="K273" s="9" t="s">
        <v>1753</v>
      </c>
    </row>
    <row r="274" customFormat="false" ht="180.55" hidden="false" customHeight="false" outlineLevel="0" collapsed="false">
      <c r="A274" s="5" t="n">
        <v>269</v>
      </c>
      <c r="B274" s="6" t="s">
        <v>13</v>
      </c>
      <c r="C274" s="7" t="s">
        <v>225</v>
      </c>
      <c r="D274" s="8" t="s">
        <v>226</v>
      </c>
      <c r="E274" s="8" t="s">
        <v>227</v>
      </c>
      <c r="F274" s="8" t="s">
        <v>72</v>
      </c>
      <c r="G274" s="8" t="s">
        <v>1497</v>
      </c>
      <c r="H274" s="5" t="s">
        <v>53</v>
      </c>
      <c r="I274" s="17" t="s">
        <v>1480</v>
      </c>
      <c r="J274" s="18" t="n">
        <v>0.9024</v>
      </c>
      <c r="K274" s="9" t="s">
        <v>1754</v>
      </c>
    </row>
    <row r="275" customFormat="false" ht="180.55" hidden="false" customHeight="false" outlineLevel="0" collapsed="false">
      <c r="A275" s="5" t="n">
        <v>270</v>
      </c>
      <c r="B275" s="6" t="s">
        <v>13</v>
      </c>
      <c r="C275" s="7" t="s">
        <v>225</v>
      </c>
      <c r="D275" s="8" t="s">
        <v>226</v>
      </c>
      <c r="E275" s="8" t="s">
        <v>227</v>
      </c>
      <c r="F275" s="8" t="s">
        <v>72</v>
      </c>
      <c r="G275" s="8" t="s">
        <v>1499</v>
      </c>
      <c r="H275" s="5" t="s">
        <v>53</v>
      </c>
      <c r="I275" s="17" t="s">
        <v>1480</v>
      </c>
      <c r="J275" s="18" t="n">
        <v>0.8912</v>
      </c>
      <c r="K275" s="9" t="s">
        <v>1755</v>
      </c>
    </row>
    <row r="276" customFormat="false" ht="180.55" hidden="false" customHeight="false" outlineLevel="0" collapsed="false">
      <c r="A276" s="5" t="n">
        <v>271</v>
      </c>
      <c r="B276" s="6" t="s">
        <v>13</v>
      </c>
      <c r="C276" s="7" t="s">
        <v>225</v>
      </c>
      <c r="D276" s="8" t="s">
        <v>226</v>
      </c>
      <c r="E276" s="8" t="s">
        <v>227</v>
      </c>
      <c r="F276" s="8" t="s">
        <v>72</v>
      </c>
      <c r="G276" s="8" t="s">
        <v>1501</v>
      </c>
      <c r="H276" s="5" t="s">
        <v>53</v>
      </c>
      <c r="I276" s="17" t="s">
        <v>1480</v>
      </c>
      <c r="J276" s="18" t="n">
        <v>1.0064</v>
      </c>
      <c r="K276" s="9" t="s">
        <v>1756</v>
      </c>
    </row>
    <row r="277" customFormat="false" ht="180.55" hidden="false" customHeight="false" outlineLevel="0" collapsed="false">
      <c r="A277" s="5" t="n">
        <v>272</v>
      </c>
      <c r="B277" s="6" t="s">
        <v>13</v>
      </c>
      <c r="C277" s="7" t="s">
        <v>225</v>
      </c>
      <c r="D277" s="8" t="s">
        <v>226</v>
      </c>
      <c r="E277" s="8" t="s">
        <v>227</v>
      </c>
      <c r="F277" s="8" t="s">
        <v>72</v>
      </c>
      <c r="G277" s="8" t="s">
        <v>1503</v>
      </c>
      <c r="H277" s="5" t="s">
        <v>53</v>
      </c>
      <c r="I277" s="16" t="s">
        <v>1463</v>
      </c>
      <c r="J277" s="8"/>
      <c r="K277" s="9" t="s">
        <v>1757</v>
      </c>
    </row>
    <row r="278" customFormat="false" ht="252.95" hidden="false" customHeight="false" outlineLevel="0" collapsed="false">
      <c r="A278" s="5" t="n">
        <v>273</v>
      </c>
      <c r="B278" s="6" t="s">
        <v>13</v>
      </c>
      <c r="C278" s="7" t="s">
        <v>225</v>
      </c>
      <c r="D278" s="8" t="s">
        <v>226</v>
      </c>
      <c r="E278" s="8" t="s">
        <v>227</v>
      </c>
      <c r="F278" s="8" t="s">
        <v>75</v>
      </c>
      <c r="G278" s="8" t="s">
        <v>76</v>
      </c>
      <c r="H278" s="5" t="s">
        <v>53</v>
      </c>
      <c r="I278" s="17" t="s">
        <v>1480</v>
      </c>
      <c r="J278" s="18" t="n">
        <v>1.404</v>
      </c>
      <c r="K278" s="9" t="s">
        <v>1758</v>
      </c>
    </row>
    <row r="279" customFormat="false" ht="244" hidden="false" customHeight="false" outlineLevel="0" collapsed="false">
      <c r="A279" s="5" t="n">
        <v>274</v>
      </c>
      <c r="B279" s="6" t="s">
        <v>13</v>
      </c>
      <c r="C279" s="7" t="s">
        <v>225</v>
      </c>
      <c r="D279" s="8" t="s">
        <v>226</v>
      </c>
      <c r="E279" s="8" t="s">
        <v>227</v>
      </c>
      <c r="F279" s="8" t="s">
        <v>232</v>
      </c>
      <c r="G279" s="8" t="s">
        <v>233</v>
      </c>
      <c r="H279" s="5" t="s">
        <v>53</v>
      </c>
      <c r="I279" s="16" t="s">
        <v>1463</v>
      </c>
      <c r="J279" s="8"/>
      <c r="K279" s="9" t="s">
        <v>1759</v>
      </c>
    </row>
    <row r="280" customFormat="false" ht="207.45" hidden="false" customHeight="false" outlineLevel="0" collapsed="false">
      <c r="A280" s="5" t="n">
        <v>275</v>
      </c>
      <c r="B280" s="6" t="s">
        <v>13</v>
      </c>
      <c r="C280" s="7" t="s">
        <v>225</v>
      </c>
      <c r="D280" s="8" t="s">
        <v>226</v>
      </c>
      <c r="E280" s="8" t="s">
        <v>227</v>
      </c>
      <c r="F280" s="8" t="s">
        <v>235</v>
      </c>
      <c r="G280" s="8" t="s">
        <v>236</v>
      </c>
      <c r="H280" s="5" t="s">
        <v>57</v>
      </c>
      <c r="I280" s="16" t="s">
        <v>1463</v>
      </c>
      <c r="J280" s="8"/>
      <c r="K280" s="9" t="s">
        <v>1760</v>
      </c>
    </row>
    <row r="281" customFormat="false" ht="244" hidden="false" customHeight="false" outlineLevel="0" collapsed="false">
      <c r="A281" s="5" t="n">
        <v>276</v>
      </c>
      <c r="B281" s="6" t="s">
        <v>13</v>
      </c>
      <c r="C281" s="7" t="s">
        <v>225</v>
      </c>
      <c r="D281" s="8" t="s">
        <v>226</v>
      </c>
      <c r="E281" s="8" t="s">
        <v>238</v>
      </c>
      <c r="F281" s="8" t="s">
        <v>69</v>
      </c>
      <c r="G281" s="8" t="s">
        <v>70</v>
      </c>
      <c r="H281" s="5" t="s">
        <v>22</v>
      </c>
      <c r="I281" s="17" t="s">
        <v>1480</v>
      </c>
      <c r="J281" s="18" t="n">
        <v>121.76</v>
      </c>
      <c r="K281" s="9" t="s">
        <v>1761</v>
      </c>
    </row>
    <row r="282" customFormat="false" ht="244" hidden="false" customHeight="false" outlineLevel="0" collapsed="false">
      <c r="A282" s="5" t="n">
        <v>277</v>
      </c>
      <c r="B282" s="6" t="s">
        <v>13</v>
      </c>
      <c r="C282" s="7" t="s">
        <v>225</v>
      </c>
      <c r="D282" s="8" t="s">
        <v>226</v>
      </c>
      <c r="E282" s="8" t="s">
        <v>238</v>
      </c>
      <c r="F282" s="8" t="s">
        <v>69</v>
      </c>
      <c r="G282" s="8" t="s">
        <v>1482</v>
      </c>
      <c r="H282" s="5" t="s">
        <v>22</v>
      </c>
      <c r="I282" s="17" t="s">
        <v>1480</v>
      </c>
      <c r="J282" s="18" t="n">
        <v>119.36</v>
      </c>
      <c r="K282" s="9" t="s">
        <v>1762</v>
      </c>
    </row>
    <row r="283" customFormat="false" ht="244" hidden="false" customHeight="false" outlineLevel="0" collapsed="false">
      <c r="A283" s="5" t="n">
        <v>278</v>
      </c>
      <c r="B283" s="6" t="s">
        <v>13</v>
      </c>
      <c r="C283" s="7" t="s">
        <v>225</v>
      </c>
      <c r="D283" s="8" t="s">
        <v>226</v>
      </c>
      <c r="E283" s="8" t="s">
        <v>238</v>
      </c>
      <c r="F283" s="8" t="s">
        <v>69</v>
      </c>
      <c r="G283" s="8" t="s">
        <v>1484</v>
      </c>
      <c r="H283" s="5" t="s">
        <v>22</v>
      </c>
      <c r="I283" s="16" t="s">
        <v>1463</v>
      </c>
      <c r="J283" s="8"/>
      <c r="K283" s="9" t="s">
        <v>1763</v>
      </c>
    </row>
    <row r="284" customFormat="false" ht="244" hidden="false" customHeight="false" outlineLevel="0" collapsed="false">
      <c r="A284" s="5" t="n">
        <v>279</v>
      </c>
      <c r="B284" s="6" t="s">
        <v>13</v>
      </c>
      <c r="C284" s="7" t="s">
        <v>225</v>
      </c>
      <c r="D284" s="8" t="s">
        <v>226</v>
      </c>
      <c r="E284" s="8" t="s">
        <v>238</v>
      </c>
      <c r="F284" s="8" t="s">
        <v>69</v>
      </c>
      <c r="G284" s="8" t="s">
        <v>1486</v>
      </c>
      <c r="H284" s="5" t="s">
        <v>22</v>
      </c>
      <c r="I284" s="16" t="s">
        <v>1463</v>
      </c>
      <c r="J284" s="8"/>
      <c r="K284" s="9" t="s">
        <v>1764</v>
      </c>
    </row>
    <row r="285" customFormat="false" ht="252.95" hidden="false" customHeight="false" outlineLevel="0" collapsed="false">
      <c r="A285" s="5" t="n">
        <v>280</v>
      </c>
      <c r="B285" s="6" t="s">
        <v>13</v>
      </c>
      <c r="C285" s="7" t="s">
        <v>225</v>
      </c>
      <c r="D285" s="8" t="s">
        <v>226</v>
      </c>
      <c r="E285" s="8" t="s">
        <v>238</v>
      </c>
      <c r="F285" s="8" t="s">
        <v>131</v>
      </c>
      <c r="G285" s="8" t="s">
        <v>150</v>
      </c>
      <c r="H285" s="5" t="s">
        <v>18</v>
      </c>
      <c r="I285" s="16" t="s">
        <v>1463</v>
      </c>
      <c r="J285" s="8"/>
      <c r="K285" s="9" t="s">
        <v>1765</v>
      </c>
    </row>
    <row r="286" customFormat="false" ht="279.85" hidden="false" customHeight="false" outlineLevel="0" collapsed="false">
      <c r="A286" s="5" t="n">
        <v>281</v>
      </c>
      <c r="B286" s="6" t="s">
        <v>13</v>
      </c>
      <c r="C286" s="7" t="s">
        <v>225</v>
      </c>
      <c r="D286" s="8" t="s">
        <v>226</v>
      </c>
      <c r="E286" s="8" t="s">
        <v>238</v>
      </c>
      <c r="F286" s="8" t="s">
        <v>131</v>
      </c>
      <c r="G286" s="8" t="s">
        <v>1543</v>
      </c>
      <c r="H286" s="5" t="s">
        <v>18</v>
      </c>
      <c r="I286" s="16" t="s">
        <v>1463</v>
      </c>
      <c r="J286" s="8"/>
      <c r="K286" s="9" t="s">
        <v>1766</v>
      </c>
    </row>
    <row r="287" customFormat="false" ht="180.55" hidden="false" customHeight="false" outlineLevel="0" collapsed="false">
      <c r="A287" s="5" t="n">
        <v>282</v>
      </c>
      <c r="B287" s="6" t="s">
        <v>13</v>
      </c>
      <c r="C287" s="7" t="s">
        <v>225</v>
      </c>
      <c r="D287" s="8" t="s">
        <v>226</v>
      </c>
      <c r="E287" s="8" t="s">
        <v>238</v>
      </c>
      <c r="F287" s="8" t="s">
        <v>72</v>
      </c>
      <c r="G287" s="8" t="s">
        <v>73</v>
      </c>
      <c r="H287" s="5" t="s">
        <v>53</v>
      </c>
      <c r="I287" s="17" t="s">
        <v>1480</v>
      </c>
      <c r="J287" s="18" t="n">
        <v>1.0176</v>
      </c>
      <c r="K287" s="9" t="s">
        <v>1767</v>
      </c>
    </row>
    <row r="288" customFormat="false" ht="180.55" hidden="false" customHeight="false" outlineLevel="0" collapsed="false">
      <c r="A288" s="5" t="n">
        <v>283</v>
      </c>
      <c r="B288" s="6" t="s">
        <v>13</v>
      </c>
      <c r="C288" s="7" t="s">
        <v>225</v>
      </c>
      <c r="D288" s="8" t="s">
        <v>226</v>
      </c>
      <c r="E288" s="8" t="s">
        <v>238</v>
      </c>
      <c r="F288" s="8" t="s">
        <v>72</v>
      </c>
      <c r="G288" s="8" t="s">
        <v>1489</v>
      </c>
      <c r="H288" s="5" t="s">
        <v>53</v>
      </c>
      <c r="I288" s="17" t="s">
        <v>1480</v>
      </c>
      <c r="J288" s="18" t="n">
        <v>0.9832</v>
      </c>
      <c r="K288" s="9" t="s">
        <v>1768</v>
      </c>
    </row>
    <row r="289" customFormat="false" ht="180.55" hidden="false" customHeight="false" outlineLevel="0" collapsed="false">
      <c r="A289" s="5" t="n">
        <v>284</v>
      </c>
      <c r="B289" s="6" t="s">
        <v>13</v>
      </c>
      <c r="C289" s="7" t="s">
        <v>225</v>
      </c>
      <c r="D289" s="8" t="s">
        <v>226</v>
      </c>
      <c r="E289" s="8" t="s">
        <v>238</v>
      </c>
      <c r="F289" s="8" t="s">
        <v>72</v>
      </c>
      <c r="G289" s="8" t="s">
        <v>1491</v>
      </c>
      <c r="H289" s="5" t="s">
        <v>53</v>
      </c>
      <c r="I289" s="17" t="s">
        <v>1480</v>
      </c>
      <c r="J289" s="18" t="n">
        <v>0.96</v>
      </c>
      <c r="K289" s="9" t="s">
        <v>1769</v>
      </c>
    </row>
    <row r="290" customFormat="false" ht="180.55" hidden="false" customHeight="false" outlineLevel="0" collapsed="false">
      <c r="A290" s="5" t="n">
        <v>285</v>
      </c>
      <c r="B290" s="6" t="s">
        <v>13</v>
      </c>
      <c r="C290" s="7" t="s">
        <v>225</v>
      </c>
      <c r="D290" s="8" t="s">
        <v>226</v>
      </c>
      <c r="E290" s="8" t="s">
        <v>238</v>
      </c>
      <c r="F290" s="8" t="s">
        <v>72</v>
      </c>
      <c r="G290" s="8" t="s">
        <v>1493</v>
      </c>
      <c r="H290" s="5" t="s">
        <v>53</v>
      </c>
      <c r="I290" s="17" t="s">
        <v>1480</v>
      </c>
      <c r="J290" s="18" t="n">
        <v>0.9488</v>
      </c>
      <c r="K290" s="9" t="s">
        <v>1770</v>
      </c>
    </row>
    <row r="291" customFormat="false" ht="180.55" hidden="false" customHeight="false" outlineLevel="0" collapsed="false">
      <c r="A291" s="5" t="n">
        <v>286</v>
      </c>
      <c r="B291" s="6" t="s">
        <v>13</v>
      </c>
      <c r="C291" s="7" t="s">
        <v>225</v>
      </c>
      <c r="D291" s="8" t="s">
        <v>226</v>
      </c>
      <c r="E291" s="8" t="s">
        <v>238</v>
      </c>
      <c r="F291" s="8" t="s">
        <v>72</v>
      </c>
      <c r="G291" s="8" t="s">
        <v>1495</v>
      </c>
      <c r="H291" s="5" t="s">
        <v>53</v>
      </c>
      <c r="I291" s="17" t="s">
        <v>1480</v>
      </c>
      <c r="J291" s="18" t="n">
        <v>0.9256</v>
      </c>
      <c r="K291" s="9" t="s">
        <v>1771</v>
      </c>
    </row>
    <row r="292" customFormat="false" ht="180.55" hidden="false" customHeight="false" outlineLevel="0" collapsed="false">
      <c r="A292" s="5" t="n">
        <v>287</v>
      </c>
      <c r="B292" s="6" t="s">
        <v>13</v>
      </c>
      <c r="C292" s="7" t="s">
        <v>225</v>
      </c>
      <c r="D292" s="8" t="s">
        <v>226</v>
      </c>
      <c r="E292" s="8" t="s">
        <v>238</v>
      </c>
      <c r="F292" s="8" t="s">
        <v>72</v>
      </c>
      <c r="G292" s="8" t="s">
        <v>1497</v>
      </c>
      <c r="H292" s="5" t="s">
        <v>53</v>
      </c>
      <c r="I292" s="17" t="s">
        <v>1480</v>
      </c>
      <c r="J292" s="18" t="n">
        <v>0.9024</v>
      </c>
      <c r="K292" s="9" t="s">
        <v>1772</v>
      </c>
    </row>
    <row r="293" customFormat="false" ht="180.55" hidden="false" customHeight="false" outlineLevel="0" collapsed="false">
      <c r="A293" s="5" t="n">
        <v>288</v>
      </c>
      <c r="B293" s="6" t="s">
        <v>13</v>
      </c>
      <c r="C293" s="7" t="s">
        <v>225</v>
      </c>
      <c r="D293" s="8" t="s">
        <v>226</v>
      </c>
      <c r="E293" s="8" t="s">
        <v>238</v>
      </c>
      <c r="F293" s="8" t="s">
        <v>72</v>
      </c>
      <c r="G293" s="8" t="s">
        <v>1499</v>
      </c>
      <c r="H293" s="5" t="s">
        <v>53</v>
      </c>
      <c r="I293" s="17" t="s">
        <v>1480</v>
      </c>
      <c r="J293" s="18" t="n">
        <v>0.8912</v>
      </c>
      <c r="K293" s="9" t="s">
        <v>1773</v>
      </c>
    </row>
    <row r="294" customFormat="false" ht="180.55" hidden="false" customHeight="false" outlineLevel="0" collapsed="false">
      <c r="A294" s="5" t="n">
        <v>289</v>
      </c>
      <c r="B294" s="6" t="s">
        <v>13</v>
      </c>
      <c r="C294" s="7" t="s">
        <v>225</v>
      </c>
      <c r="D294" s="8" t="s">
        <v>226</v>
      </c>
      <c r="E294" s="8" t="s">
        <v>238</v>
      </c>
      <c r="F294" s="8" t="s">
        <v>72</v>
      </c>
      <c r="G294" s="8" t="s">
        <v>1501</v>
      </c>
      <c r="H294" s="5" t="s">
        <v>53</v>
      </c>
      <c r="I294" s="17" t="s">
        <v>1480</v>
      </c>
      <c r="J294" s="18" t="n">
        <v>1.0064</v>
      </c>
      <c r="K294" s="9" t="s">
        <v>1774</v>
      </c>
    </row>
    <row r="295" customFormat="false" ht="180.55" hidden="false" customHeight="false" outlineLevel="0" collapsed="false">
      <c r="A295" s="5" t="n">
        <v>290</v>
      </c>
      <c r="B295" s="6" t="s">
        <v>13</v>
      </c>
      <c r="C295" s="7" t="s">
        <v>225</v>
      </c>
      <c r="D295" s="8" t="s">
        <v>226</v>
      </c>
      <c r="E295" s="8" t="s">
        <v>238</v>
      </c>
      <c r="F295" s="8" t="s">
        <v>72</v>
      </c>
      <c r="G295" s="8" t="s">
        <v>1503</v>
      </c>
      <c r="H295" s="5" t="s">
        <v>53</v>
      </c>
      <c r="I295" s="16" t="s">
        <v>1463</v>
      </c>
      <c r="J295" s="8"/>
      <c r="K295" s="9" t="s">
        <v>1775</v>
      </c>
    </row>
    <row r="296" customFormat="false" ht="252.95" hidden="false" customHeight="false" outlineLevel="0" collapsed="false">
      <c r="A296" s="5" t="n">
        <v>291</v>
      </c>
      <c r="B296" s="6" t="s">
        <v>13</v>
      </c>
      <c r="C296" s="7" t="s">
        <v>225</v>
      </c>
      <c r="D296" s="8" t="s">
        <v>226</v>
      </c>
      <c r="E296" s="8" t="s">
        <v>238</v>
      </c>
      <c r="F296" s="8" t="s">
        <v>75</v>
      </c>
      <c r="G296" s="8" t="s">
        <v>76</v>
      </c>
      <c r="H296" s="5" t="s">
        <v>53</v>
      </c>
      <c r="I296" s="17" t="s">
        <v>1480</v>
      </c>
      <c r="J296" s="18" t="n">
        <v>1.404</v>
      </c>
      <c r="K296" s="9" t="s">
        <v>1776</v>
      </c>
    </row>
    <row r="297" customFormat="false" ht="234.3" hidden="false" customHeight="false" outlineLevel="0" collapsed="false">
      <c r="A297" s="5" t="n">
        <v>292</v>
      </c>
      <c r="B297" s="6" t="s">
        <v>13</v>
      </c>
      <c r="C297" s="7" t="s">
        <v>225</v>
      </c>
      <c r="D297" s="8" t="s">
        <v>226</v>
      </c>
      <c r="E297" s="8" t="s">
        <v>243</v>
      </c>
      <c r="F297" s="8" t="s">
        <v>69</v>
      </c>
      <c r="G297" s="8" t="s">
        <v>70</v>
      </c>
      <c r="H297" s="5" t="s">
        <v>22</v>
      </c>
      <c r="I297" s="17" t="s">
        <v>1480</v>
      </c>
      <c r="J297" s="18" t="n">
        <v>121.76</v>
      </c>
      <c r="K297" s="9" t="s">
        <v>1777</v>
      </c>
    </row>
    <row r="298" customFormat="false" ht="234.3" hidden="false" customHeight="false" outlineLevel="0" collapsed="false">
      <c r="A298" s="5" t="n">
        <v>293</v>
      </c>
      <c r="B298" s="6" t="s">
        <v>13</v>
      </c>
      <c r="C298" s="7" t="s">
        <v>225</v>
      </c>
      <c r="D298" s="8" t="s">
        <v>226</v>
      </c>
      <c r="E298" s="8" t="s">
        <v>243</v>
      </c>
      <c r="F298" s="8" t="s">
        <v>69</v>
      </c>
      <c r="G298" s="8" t="s">
        <v>1482</v>
      </c>
      <c r="H298" s="5" t="s">
        <v>22</v>
      </c>
      <c r="I298" s="17" t="s">
        <v>1480</v>
      </c>
      <c r="J298" s="18" t="n">
        <v>119.36</v>
      </c>
      <c r="K298" s="9" t="s">
        <v>1778</v>
      </c>
    </row>
    <row r="299" customFormat="false" ht="234.3" hidden="false" customHeight="false" outlineLevel="0" collapsed="false">
      <c r="A299" s="5" t="n">
        <v>294</v>
      </c>
      <c r="B299" s="6" t="s">
        <v>13</v>
      </c>
      <c r="C299" s="7" t="s">
        <v>225</v>
      </c>
      <c r="D299" s="8" t="s">
        <v>226</v>
      </c>
      <c r="E299" s="8" t="s">
        <v>243</v>
      </c>
      <c r="F299" s="8" t="s">
        <v>69</v>
      </c>
      <c r="G299" s="8" t="s">
        <v>1484</v>
      </c>
      <c r="H299" s="5" t="s">
        <v>22</v>
      </c>
      <c r="I299" s="16" t="s">
        <v>1463</v>
      </c>
      <c r="J299" s="8"/>
      <c r="K299" s="9" t="s">
        <v>1779</v>
      </c>
    </row>
    <row r="300" customFormat="false" ht="234.3" hidden="false" customHeight="false" outlineLevel="0" collapsed="false">
      <c r="A300" s="5" t="n">
        <v>295</v>
      </c>
      <c r="B300" s="6" t="s">
        <v>13</v>
      </c>
      <c r="C300" s="7" t="s">
        <v>225</v>
      </c>
      <c r="D300" s="8" t="s">
        <v>226</v>
      </c>
      <c r="E300" s="8" t="s">
        <v>243</v>
      </c>
      <c r="F300" s="8" t="s">
        <v>69</v>
      </c>
      <c r="G300" s="8" t="s">
        <v>1486</v>
      </c>
      <c r="H300" s="5" t="s">
        <v>22</v>
      </c>
      <c r="I300" s="16" t="s">
        <v>1463</v>
      </c>
      <c r="J300" s="8"/>
      <c r="K300" s="9" t="s">
        <v>1780</v>
      </c>
    </row>
    <row r="301" customFormat="false" ht="244" hidden="false" customHeight="false" outlineLevel="0" collapsed="false">
      <c r="A301" s="5" t="n">
        <v>296</v>
      </c>
      <c r="B301" s="6" t="s">
        <v>13</v>
      </c>
      <c r="C301" s="7" t="s">
        <v>225</v>
      </c>
      <c r="D301" s="8" t="s">
        <v>226</v>
      </c>
      <c r="E301" s="8" t="s">
        <v>243</v>
      </c>
      <c r="F301" s="8" t="s">
        <v>131</v>
      </c>
      <c r="G301" s="8" t="s">
        <v>150</v>
      </c>
      <c r="H301" s="5" t="s">
        <v>18</v>
      </c>
      <c r="I301" s="16" t="s">
        <v>1463</v>
      </c>
      <c r="J301" s="8"/>
      <c r="K301" s="9" t="s">
        <v>1781</v>
      </c>
    </row>
    <row r="302" customFormat="false" ht="270.85" hidden="false" customHeight="false" outlineLevel="0" collapsed="false">
      <c r="A302" s="5" t="n">
        <v>297</v>
      </c>
      <c r="B302" s="6" t="s">
        <v>13</v>
      </c>
      <c r="C302" s="7" t="s">
        <v>225</v>
      </c>
      <c r="D302" s="8" t="s">
        <v>226</v>
      </c>
      <c r="E302" s="8" t="s">
        <v>243</v>
      </c>
      <c r="F302" s="8" t="s">
        <v>131</v>
      </c>
      <c r="G302" s="8" t="s">
        <v>1543</v>
      </c>
      <c r="H302" s="5" t="s">
        <v>18</v>
      </c>
      <c r="I302" s="16" t="s">
        <v>1463</v>
      </c>
      <c r="J302" s="8"/>
      <c r="K302" s="9" t="s">
        <v>1782</v>
      </c>
    </row>
    <row r="303" customFormat="false" ht="171.6" hidden="false" customHeight="false" outlineLevel="0" collapsed="false">
      <c r="A303" s="5" t="n">
        <v>298</v>
      </c>
      <c r="B303" s="6" t="s">
        <v>13</v>
      </c>
      <c r="C303" s="7" t="s">
        <v>225</v>
      </c>
      <c r="D303" s="8" t="s">
        <v>226</v>
      </c>
      <c r="E303" s="8" t="s">
        <v>243</v>
      </c>
      <c r="F303" s="8" t="s">
        <v>72</v>
      </c>
      <c r="G303" s="8" t="s">
        <v>73</v>
      </c>
      <c r="H303" s="5" t="s">
        <v>53</v>
      </c>
      <c r="I303" s="17" t="s">
        <v>1480</v>
      </c>
      <c r="J303" s="18" t="n">
        <v>1.0176</v>
      </c>
      <c r="K303" s="9" t="s">
        <v>1783</v>
      </c>
    </row>
    <row r="304" customFormat="false" ht="171.6" hidden="false" customHeight="false" outlineLevel="0" collapsed="false">
      <c r="A304" s="5" t="n">
        <v>299</v>
      </c>
      <c r="B304" s="6" t="s">
        <v>13</v>
      </c>
      <c r="C304" s="7" t="s">
        <v>225</v>
      </c>
      <c r="D304" s="8" t="s">
        <v>226</v>
      </c>
      <c r="E304" s="8" t="s">
        <v>243</v>
      </c>
      <c r="F304" s="8" t="s">
        <v>72</v>
      </c>
      <c r="G304" s="8" t="s">
        <v>1489</v>
      </c>
      <c r="H304" s="5" t="s">
        <v>53</v>
      </c>
      <c r="I304" s="17" t="s">
        <v>1480</v>
      </c>
      <c r="J304" s="18" t="n">
        <v>0.9832</v>
      </c>
      <c r="K304" s="9" t="s">
        <v>1784</v>
      </c>
    </row>
    <row r="305" customFormat="false" ht="171.6" hidden="false" customHeight="false" outlineLevel="0" collapsed="false">
      <c r="A305" s="5" t="n">
        <v>300</v>
      </c>
      <c r="B305" s="6" t="s">
        <v>13</v>
      </c>
      <c r="C305" s="7" t="s">
        <v>225</v>
      </c>
      <c r="D305" s="8" t="s">
        <v>226</v>
      </c>
      <c r="E305" s="8" t="s">
        <v>243</v>
      </c>
      <c r="F305" s="8" t="s">
        <v>72</v>
      </c>
      <c r="G305" s="8" t="s">
        <v>1491</v>
      </c>
      <c r="H305" s="5" t="s">
        <v>53</v>
      </c>
      <c r="I305" s="17" t="s">
        <v>1480</v>
      </c>
      <c r="J305" s="18" t="n">
        <v>0.96</v>
      </c>
      <c r="K305" s="9" t="s">
        <v>1785</v>
      </c>
    </row>
    <row r="306" customFormat="false" ht="171.6" hidden="false" customHeight="false" outlineLevel="0" collapsed="false">
      <c r="A306" s="5" t="n">
        <v>301</v>
      </c>
      <c r="B306" s="6" t="s">
        <v>13</v>
      </c>
      <c r="C306" s="7" t="s">
        <v>225</v>
      </c>
      <c r="D306" s="8" t="s">
        <v>226</v>
      </c>
      <c r="E306" s="8" t="s">
        <v>243</v>
      </c>
      <c r="F306" s="8" t="s">
        <v>72</v>
      </c>
      <c r="G306" s="8" t="s">
        <v>1493</v>
      </c>
      <c r="H306" s="5" t="s">
        <v>53</v>
      </c>
      <c r="I306" s="17" t="s">
        <v>1480</v>
      </c>
      <c r="J306" s="18" t="n">
        <v>0.9488</v>
      </c>
      <c r="K306" s="9" t="s">
        <v>1786</v>
      </c>
    </row>
    <row r="307" customFormat="false" ht="171.6" hidden="false" customHeight="false" outlineLevel="0" collapsed="false">
      <c r="A307" s="5" t="n">
        <v>302</v>
      </c>
      <c r="B307" s="6" t="s">
        <v>13</v>
      </c>
      <c r="C307" s="7" t="s">
        <v>225</v>
      </c>
      <c r="D307" s="8" t="s">
        <v>226</v>
      </c>
      <c r="E307" s="8" t="s">
        <v>243</v>
      </c>
      <c r="F307" s="8" t="s">
        <v>72</v>
      </c>
      <c r="G307" s="8" t="s">
        <v>1495</v>
      </c>
      <c r="H307" s="5" t="s">
        <v>53</v>
      </c>
      <c r="I307" s="17" t="s">
        <v>1480</v>
      </c>
      <c r="J307" s="18" t="n">
        <v>0.9256</v>
      </c>
      <c r="K307" s="9" t="s">
        <v>1787</v>
      </c>
    </row>
    <row r="308" customFormat="false" ht="171.6" hidden="false" customHeight="false" outlineLevel="0" collapsed="false">
      <c r="A308" s="5" t="n">
        <v>303</v>
      </c>
      <c r="B308" s="6" t="s">
        <v>13</v>
      </c>
      <c r="C308" s="7" t="s">
        <v>225</v>
      </c>
      <c r="D308" s="8" t="s">
        <v>226</v>
      </c>
      <c r="E308" s="8" t="s">
        <v>243</v>
      </c>
      <c r="F308" s="8" t="s">
        <v>72</v>
      </c>
      <c r="G308" s="8" t="s">
        <v>1497</v>
      </c>
      <c r="H308" s="5" t="s">
        <v>53</v>
      </c>
      <c r="I308" s="17" t="s">
        <v>1480</v>
      </c>
      <c r="J308" s="18" t="n">
        <v>0.9024</v>
      </c>
      <c r="K308" s="9" t="s">
        <v>1788</v>
      </c>
    </row>
    <row r="309" customFormat="false" ht="171.6" hidden="false" customHeight="false" outlineLevel="0" collapsed="false">
      <c r="A309" s="5" t="n">
        <v>304</v>
      </c>
      <c r="B309" s="6" t="s">
        <v>13</v>
      </c>
      <c r="C309" s="7" t="s">
        <v>225</v>
      </c>
      <c r="D309" s="8" t="s">
        <v>226</v>
      </c>
      <c r="E309" s="8" t="s">
        <v>243</v>
      </c>
      <c r="F309" s="8" t="s">
        <v>72</v>
      </c>
      <c r="G309" s="8" t="s">
        <v>1499</v>
      </c>
      <c r="H309" s="5" t="s">
        <v>53</v>
      </c>
      <c r="I309" s="17" t="s">
        <v>1480</v>
      </c>
      <c r="J309" s="18" t="n">
        <v>0.8912</v>
      </c>
      <c r="K309" s="9" t="s">
        <v>1789</v>
      </c>
    </row>
    <row r="310" customFormat="false" ht="171.6" hidden="false" customHeight="false" outlineLevel="0" collapsed="false">
      <c r="A310" s="5" t="n">
        <v>305</v>
      </c>
      <c r="B310" s="6" t="s">
        <v>13</v>
      </c>
      <c r="C310" s="7" t="s">
        <v>225</v>
      </c>
      <c r="D310" s="8" t="s">
        <v>226</v>
      </c>
      <c r="E310" s="8" t="s">
        <v>243</v>
      </c>
      <c r="F310" s="8" t="s">
        <v>72</v>
      </c>
      <c r="G310" s="8" t="s">
        <v>1501</v>
      </c>
      <c r="H310" s="5" t="s">
        <v>53</v>
      </c>
      <c r="I310" s="17" t="s">
        <v>1480</v>
      </c>
      <c r="J310" s="18" t="n">
        <v>1.0064</v>
      </c>
      <c r="K310" s="9" t="s">
        <v>1790</v>
      </c>
    </row>
    <row r="311" customFormat="false" ht="171.6" hidden="false" customHeight="false" outlineLevel="0" collapsed="false">
      <c r="A311" s="5" t="n">
        <v>306</v>
      </c>
      <c r="B311" s="6" t="s">
        <v>13</v>
      </c>
      <c r="C311" s="7" t="s">
        <v>225</v>
      </c>
      <c r="D311" s="8" t="s">
        <v>226</v>
      </c>
      <c r="E311" s="8" t="s">
        <v>243</v>
      </c>
      <c r="F311" s="8" t="s">
        <v>72</v>
      </c>
      <c r="G311" s="8" t="s">
        <v>1503</v>
      </c>
      <c r="H311" s="5" t="s">
        <v>53</v>
      </c>
      <c r="I311" s="16" t="s">
        <v>1463</v>
      </c>
      <c r="J311" s="8"/>
      <c r="K311" s="9" t="s">
        <v>1791</v>
      </c>
    </row>
    <row r="312" customFormat="false" ht="244" hidden="false" customHeight="false" outlineLevel="0" collapsed="false">
      <c r="A312" s="5" t="n">
        <v>307</v>
      </c>
      <c r="B312" s="6" t="s">
        <v>13</v>
      </c>
      <c r="C312" s="7" t="s">
        <v>225</v>
      </c>
      <c r="D312" s="8" t="s">
        <v>226</v>
      </c>
      <c r="E312" s="8" t="s">
        <v>243</v>
      </c>
      <c r="F312" s="8" t="s">
        <v>75</v>
      </c>
      <c r="G312" s="8" t="s">
        <v>76</v>
      </c>
      <c r="H312" s="5" t="s">
        <v>53</v>
      </c>
      <c r="I312" s="17" t="s">
        <v>1480</v>
      </c>
      <c r="J312" s="18" t="n">
        <v>1.404</v>
      </c>
      <c r="K312" s="9" t="s">
        <v>1792</v>
      </c>
    </row>
    <row r="313" customFormat="false" ht="279.85" hidden="false" customHeight="false" outlineLevel="0" collapsed="false">
      <c r="A313" s="5" t="n">
        <v>308</v>
      </c>
      <c r="B313" s="6" t="s">
        <v>13</v>
      </c>
      <c r="C313" s="7" t="s">
        <v>225</v>
      </c>
      <c r="D313" s="8" t="s">
        <v>226</v>
      </c>
      <c r="E313" s="8" t="s">
        <v>243</v>
      </c>
      <c r="F313" s="8" t="s">
        <v>248</v>
      </c>
      <c r="G313" s="8" t="s">
        <v>249</v>
      </c>
      <c r="H313" s="5" t="s">
        <v>53</v>
      </c>
      <c r="I313" s="16" t="s">
        <v>1463</v>
      </c>
      <c r="J313" s="8"/>
      <c r="K313" s="9" t="s">
        <v>1793</v>
      </c>
    </row>
    <row r="314" customFormat="false" ht="261.9" hidden="false" customHeight="false" outlineLevel="0" collapsed="false">
      <c r="A314" s="5" t="n">
        <v>309</v>
      </c>
      <c r="B314" s="6" t="s">
        <v>13</v>
      </c>
      <c r="C314" s="7" t="s">
        <v>225</v>
      </c>
      <c r="D314" s="8" t="s">
        <v>226</v>
      </c>
      <c r="E314" s="8" t="s">
        <v>243</v>
      </c>
      <c r="F314" s="8" t="s">
        <v>251</v>
      </c>
      <c r="G314" s="8" t="s">
        <v>252</v>
      </c>
      <c r="H314" s="5" t="s">
        <v>18</v>
      </c>
      <c r="I314" s="16" t="s">
        <v>1463</v>
      </c>
      <c r="J314" s="8"/>
      <c r="K314" s="9" t="s">
        <v>1794</v>
      </c>
    </row>
    <row r="315" customFormat="false" ht="234.3" hidden="false" customHeight="false" outlineLevel="0" collapsed="false">
      <c r="A315" s="5" t="n">
        <v>310</v>
      </c>
      <c r="B315" s="6" t="s">
        <v>13</v>
      </c>
      <c r="C315" s="7" t="s">
        <v>225</v>
      </c>
      <c r="D315" s="8" t="s">
        <v>226</v>
      </c>
      <c r="E315" s="8" t="s">
        <v>254</v>
      </c>
      <c r="F315" s="8" t="s">
        <v>69</v>
      </c>
      <c r="G315" s="8" t="s">
        <v>70</v>
      </c>
      <c r="H315" s="5" t="s">
        <v>22</v>
      </c>
      <c r="I315" s="17" t="s">
        <v>1480</v>
      </c>
      <c r="J315" s="18" t="n">
        <v>121.76</v>
      </c>
      <c r="K315" s="9" t="s">
        <v>1795</v>
      </c>
    </row>
    <row r="316" customFormat="false" ht="234.3" hidden="false" customHeight="false" outlineLevel="0" collapsed="false">
      <c r="A316" s="5" t="n">
        <v>311</v>
      </c>
      <c r="B316" s="6" t="s">
        <v>13</v>
      </c>
      <c r="C316" s="7" t="s">
        <v>225</v>
      </c>
      <c r="D316" s="8" t="s">
        <v>226</v>
      </c>
      <c r="E316" s="8" t="s">
        <v>254</v>
      </c>
      <c r="F316" s="8" t="s">
        <v>69</v>
      </c>
      <c r="G316" s="8" t="s">
        <v>1482</v>
      </c>
      <c r="H316" s="5" t="s">
        <v>22</v>
      </c>
      <c r="I316" s="17" t="s">
        <v>1480</v>
      </c>
      <c r="J316" s="18" t="n">
        <v>119.36</v>
      </c>
      <c r="K316" s="9" t="s">
        <v>1796</v>
      </c>
    </row>
    <row r="317" customFormat="false" ht="234.3" hidden="false" customHeight="false" outlineLevel="0" collapsed="false">
      <c r="A317" s="5" t="n">
        <v>312</v>
      </c>
      <c r="B317" s="6" t="s">
        <v>13</v>
      </c>
      <c r="C317" s="7" t="s">
        <v>225</v>
      </c>
      <c r="D317" s="8" t="s">
        <v>226</v>
      </c>
      <c r="E317" s="8" t="s">
        <v>254</v>
      </c>
      <c r="F317" s="8" t="s">
        <v>69</v>
      </c>
      <c r="G317" s="8" t="s">
        <v>1484</v>
      </c>
      <c r="H317" s="5" t="s">
        <v>22</v>
      </c>
      <c r="I317" s="16" t="s">
        <v>1463</v>
      </c>
      <c r="J317" s="8"/>
      <c r="K317" s="9" t="s">
        <v>1797</v>
      </c>
    </row>
    <row r="318" customFormat="false" ht="234.3" hidden="false" customHeight="false" outlineLevel="0" collapsed="false">
      <c r="A318" s="5" t="n">
        <v>313</v>
      </c>
      <c r="B318" s="6" t="s">
        <v>13</v>
      </c>
      <c r="C318" s="7" t="s">
        <v>225</v>
      </c>
      <c r="D318" s="8" t="s">
        <v>226</v>
      </c>
      <c r="E318" s="8" t="s">
        <v>254</v>
      </c>
      <c r="F318" s="8" t="s">
        <v>69</v>
      </c>
      <c r="G318" s="8" t="s">
        <v>1486</v>
      </c>
      <c r="H318" s="5" t="s">
        <v>22</v>
      </c>
      <c r="I318" s="16" t="s">
        <v>1463</v>
      </c>
      <c r="J318" s="8"/>
      <c r="K318" s="9" t="s">
        <v>1798</v>
      </c>
    </row>
    <row r="319" customFormat="false" ht="244" hidden="false" customHeight="false" outlineLevel="0" collapsed="false">
      <c r="A319" s="5" t="n">
        <v>314</v>
      </c>
      <c r="B319" s="6" t="s">
        <v>13</v>
      </c>
      <c r="C319" s="7" t="s">
        <v>225</v>
      </c>
      <c r="D319" s="8" t="s">
        <v>226</v>
      </c>
      <c r="E319" s="8" t="s">
        <v>254</v>
      </c>
      <c r="F319" s="8" t="s">
        <v>131</v>
      </c>
      <c r="G319" s="8" t="s">
        <v>150</v>
      </c>
      <c r="H319" s="5" t="s">
        <v>18</v>
      </c>
      <c r="I319" s="16" t="s">
        <v>1463</v>
      </c>
      <c r="J319" s="8"/>
      <c r="K319" s="9" t="s">
        <v>1799</v>
      </c>
    </row>
    <row r="320" customFormat="false" ht="270.85" hidden="false" customHeight="false" outlineLevel="0" collapsed="false">
      <c r="A320" s="5" t="n">
        <v>315</v>
      </c>
      <c r="B320" s="6" t="s">
        <v>13</v>
      </c>
      <c r="C320" s="7" t="s">
        <v>225</v>
      </c>
      <c r="D320" s="8" t="s">
        <v>226</v>
      </c>
      <c r="E320" s="8" t="s">
        <v>254</v>
      </c>
      <c r="F320" s="8" t="s">
        <v>131</v>
      </c>
      <c r="G320" s="8" t="s">
        <v>1543</v>
      </c>
      <c r="H320" s="5" t="s">
        <v>18</v>
      </c>
      <c r="I320" s="16" t="s">
        <v>1463</v>
      </c>
      <c r="J320" s="8"/>
      <c r="K320" s="9" t="s">
        <v>1800</v>
      </c>
    </row>
    <row r="321" customFormat="false" ht="171.6" hidden="false" customHeight="false" outlineLevel="0" collapsed="false">
      <c r="A321" s="5" t="n">
        <v>316</v>
      </c>
      <c r="B321" s="6" t="s">
        <v>13</v>
      </c>
      <c r="C321" s="7" t="s">
        <v>225</v>
      </c>
      <c r="D321" s="8" t="s">
        <v>226</v>
      </c>
      <c r="E321" s="8" t="s">
        <v>254</v>
      </c>
      <c r="F321" s="8" t="s">
        <v>72</v>
      </c>
      <c r="G321" s="8" t="s">
        <v>73</v>
      </c>
      <c r="H321" s="5" t="s">
        <v>53</v>
      </c>
      <c r="I321" s="17" t="s">
        <v>1480</v>
      </c>
      <c r="J321" s="18" t="n">
        <v>1.0176</v>
      </c>
      <c r="K321" s="9" t="s">
        <v>1801</v>
      </c>
    </row>
    <row r="322" customFormat="false" ht="171.6" hidden="false" customHeight="false" outlineLevel="0" collapsed="false">
      <c r="A322" s="5" t="n">
        <v>317</v>
      </c>
      <c r="B322" s="6" t="s">
        <v>13</v>
      </c>
      <c r="C322" s="7" t="s">
        <v>225</v>
      </c>
      <c r="D322" s="8" t="s">
        <v>226</v>
      </c>
      <c r="E322" s="8" t="s">
        <v>254</v>
      </c>
      <c r="F322" s="8" t="s">
        <v>72</v>
      </c>
      <c r="G322" s="8" t="s">
        <v>1489</v>
      </c>
      <c r="H322" s="5" t="s">
        <v>53</v>
      </c>
      <c r="I322" s="17" t="s">
        <v>1480</v>
      </c>
      <c r="J322" s="18" t="n">
        <v>0.9832</v>
      </c>
      <c r="K322" s="9" t="s">
        <v>1802</v>
      </c>
    </row>
    <row r="323" customFormat="false" ht="171.6" hidden="false" customHeight="false" outlineLevel="0" collapsed="false">
      <c r="A323" s="5" t="n">
        <v>318</v>
      </c>
      <c r="B323" s="6" t="s">
        <v>13</v>
      </c>
      <c r="C323" s="7" t="s">
        <v>225</v>
      </c>
      <c r="D323" s="8" t="s">
        <v>226</v>
      </c>
      <c r="E323" s="8" t="s">
        <v>254</v>
      </c>
      <c r="F323" s="8" t="s">
        <v>72</v>
      </c>
      <c r="G323" s="8" t="s">
        <v>1491</v>
      </c>
      <c r="H323" s="5" t="s">
        <v>53</v>
      </c>
      <c r="I323" s="17" t="s">
        <v>1480</v>
      </c>
      <c r="J323" s="18" t="n">
        <v>0.96</v>
      </c>
      <c r="K323" s="9" t="s">
        <v>1803</v>
      </c>
    </row>
    <row r="324" customFormat="false" ht="171.6" hidden="false" customHeight="false" outlineLevel="0" collapsed="false">
      <c r="A324" s="5" t="n">
        <v>319</v>
      </c>
      <c r="B324" s="6" t="s">
        <v>13</v>
      </c>
      <c r="C324" s="7" t="s">
        <v>225</v>
      </c>
      <c r="D324" s="8" t="s">
        <v>226</v>
      </c>
      <c r="E324" s="8" t="s">
        <v>254</v>
      </c>
      <c r="F324" s="8" t="s">
        <v>72</v>
      </c>
      <c r="G324" s="8" t="s">
        <v>1493</v>
      </c>
      <c r="H324" s="5" t="s">
        <v>53</v>
      </c>
      <c r="I324" s="17" t="s">
        <v>1480</v>
      </c>
      <c r="J324" s="18" t="n">
        <v>0.9488</v>
      </c>
      <c r="K324" s="9" t="s">
        <v>1804</v>
      </c>
    </row>
    <row r="325" customFormat="false" ht="171.6" hidden="false" customHeight="false" outlineLevel="0" collapsed="false">
      <c r="A325" s="5" t="n">
        <v>320</v>
      </c>
      <c r="B325" s="6" t="s">
        <v>13</v>
      </c>
      <c r="C325" s="7" t="s">
        <v>225</v>
      </c>
      <c r="D325" s="8" t="s">
        <v>226</v>
      </c>
      <c r="E325" s="8" t="s">
        <v>254</v>
      </c>
      <c r="F325" s="8" t="s">
        <v>72</v>
      </c>
      <c r="G325" s="8" t="s">
        <v>1495</v>
      </c>
      <c r="H325" s="5" t="s">
        <v>53</v>
      </c>
      <c r="I325" s="17" t="s">
        <v>1480</v>
      </c>
      <c r="J325" s="18" t="n">
        <v>0.9256</v>
      </c>
      <c r="K325" s="9" t="s">
        <v>1805</v>
      </c>
    </row>
    <row r="326" customFormat="false" ht="171.6" hidden="false" customHeight="false" outlineLevel="0" collapsed="false">
      <c r="A326" s="5" t="n">
        <v>321</v>
      </c>
      <c r="B326" s="6" t="s">
        <v>13</v>
      </c>
      <c r="C326" s="7" t="s">
        <v>225</v>
      </c>
      <c r="D326" s="8" t="s">
        <v>226</v>
      </c>
      <c r="E326" s="8" t="s">
        <v>254</v>
      </c>
      <c r="F326" s="8" t="s">
        <v>72</v>
      </c>
      <c r="G326" s="8" t="s">
        <v>1497</v>
      </c>
      <c r="H326" s="5" t="s">
        <v>53</v>
      </c>
      <c r="I326" s="17" t="s">
        <v>1480</v>
      </c>
      <c r="J326" s="18" t="n">
        <v>0.9024</v>
      </c>
      <c r="K326" s="9" t="s">
        <v>1806</v>
      </c>
    </row>
    <row r="327" customFormat="false" ht="171.6" hidden="false" customHeight="false" outlineLevel="0" collapsed="false">
      <c r="A327" s="5" t="n">
        <v>322</v>
      </c>
      <c r="B327" s="6" t="s">
        <v>13</v>
      </c>
      <c r="C327" s="7" t="s">
        <v>225</v>
      </c>
      <c r="D327" s="8" t="s">
        <v>226</v>
      </c>
      <c r="E327" s="8" t="s">
        <v>254</v>
      </c>
      <c r="F327" s="8" t="s">
        <v>72</v>
      </c>
      <c r="G327" s="8" t="s">
        <v>1499</v>
      </c>
      <c r="H327" s="5" t="s">
        <v>53</v>
      </c>
      <c r="I327" s="17" t="s">
        <v>1480</v>
      </c>
      <c r="J327" s="18" t="n">
        <v>0.8912</v>
      </c>
      <c r="K327" s="9" t="s">
        <v>1807</v>
      </c>
    </row>
    <row r="328" customFormat="false" ht="171.6" hidden="false" customHeight="false" outlineLevel="0" collapsed="false">
      <c r="A328" s="5" t="n">
        <v>323</v>
      </c>
      <c r="B328" s="6" t="s">
        <v>13</v>
      </c>
      <c r="C328" s="7" t="s">
        <v>225</v>
      </c>
      <c r="D328" s="8" t="s">
        <v>226</v>
      </c>
      <c r="E328" s="8" t="s">
        <v>254</v>
      </c>
      <c r="F328" s="8" t="s">
        <v>72</v>
      </c>
      <c r="G328" s="8" t="s">
        <v>1501</v>
      </c>
      <c r="H328" s="5" t="s">
        <v>53</v>
      </c>
      <c r="I328" s="17" t="s">
        <v>1480</v>
      </c>
      <c r="J328" s="18" t="n">
        <v>1.0064</v>
      </c>
      <c r="K328" s="9" t="s">
        <v>1808</v>
      </c>
    </row>
    <row r="329" customFormat="false" ht="171.6" hidden="false" customHeight="false" outlineLevel="0" collapsed="false">
      <c r="A329" s="5" t="n">
        <v>324</v>
      </c>
      <c r="B329" s="6" t="s">
        <v>13</v>
      </c>
      <c r="C329" s="7" t="s">
        <v>225</v>
      </c>
      <c r="D329" s="8" t="s">
        <v>226</v>
      </c>
      <c r="E329" s="8" t="s">
        <v>254</v>
      </c>
      <c r="F329" s="8" t="s">
        <v>72</v>
      </c>
      <c r="G329" s="8" t="s">
        <v>1503</v>
      </c>
      <c r="H329" s="5" t="s">
        <v>53</v>
      </c>
      <c r="I329" s="16" t="s">
        <v>1463</v>
      </c>
      <c r="J329" s="8"/>
      <c r="K329" s="9" t="s">
        <v>1809</v>
      </c>
    </row>
    <row r="330" customFormat="false" ht="244" hidden="false" customHeight="false" outlineLevel="0" collapsed="false">
      <c r="A330" s="5" t="n">
        <v>325</v>
      </c>
      <c r="B330" s="6" t="s">
        <v>13</v>
      </c>
      <c r="C330" s="7" t="s">
        <v>225</v>
      </c>
      <c r="D330" s="8" t="s">
        <v>226</v>
      </c>
      <c r="E330" s="8" t="s">
        <v>254</v>
      </c>
      <c r="F330" s="8" t="s">
        <v>75</v>
      </c>
      <c r="G330" s="8" t="s">
        <v>76</v>
      </c>
      <c r="H330" s="5" t="s">
        <v>53</v>
      </c>
      <c r="I330" s="17" t="s">
        <v>1480</v>
      </c>
      <c r="J330" s="18" t="n">
        <v>1.404</v>
      </c>
      <c r="K330" s="9" t="s">
        <v>1810</v>
      </c>
    </row>
    <row r="331" customFormat="false" ht="207.45" hidden="false" customHeight="false" outlineLevel="0" collapsed="false">
      <c r="A331" s="5" t="n">
        <v>326</v>
      </c>
      <c r="B331" s="6" t="s">
        <v>13</v>
      </c>
      <c r="C331" s="7" t="s">
        <v>225</v>
      </c>
      <c r="D331" s="8" t="s">
        <v>226</v>
      </c>
      <c r="E331" s="8" t="s">
        <v>254</v>
      </c>
      <c r="F331" s="8" t="s">
        <v>135</v>
      </c>
      <c r="G331" s="8" t="s">
        <v>136</v>
      </c>
      <c r="H331" s="5" t="s">
        <v>61</v>
      </c>
      <c r="I331" s="17" t="s">
        <v>1480</v>
      </c>
      <c r="J331" s="18" t="n">
        <v>6.28</v>
      </c>
      <c r="K331" s="9" t="s">
        <v>1811</v>
      </c>
    </row>
    <row r="332" customFormat="false" ht="252.95" hidden="false" customHeight="false" outlineLevel="0" collapsed="false">
      <c r="A332" s="5" t="n">
        <v>327</v>
      </c>
      <c r="B332" s="6" t="s">
        <v>13</v>
      </c>
      <c r="C332" s="7" t="s">
        <v>225</v>
      </c>
      <c r="D332" s="8" t="s">
        <v>226</v>
      </c>
      <c r="E332" s="8" t="s">
        <v>260</v>
      </c>
      <c r="F332" s="8" t="s">
        <v>69</v>
      </c>
      <c r="G332" s="8" t="s">
        <v>70</v>
      </c>
      <c r="H332" s="5" t="s">
        <v>22</v>
      </c>
      <c r="I332" s="17" t="s">
        <v>1480</v>
      </c>
      <c r="J332" s="18" t="n">
        <v>121.76</v>
      </c>
      <c r="K332" s="9" t="s">
        <v>1812</v>
      </c>
    </row>
    <row r="333" customFormat="false" ht="252.95" hidden="false" customHeight="false" outlineLevel="0" collapsed="false">
      <c r="A333" s="5" t="n">
        <v>328</v>
      </c>
      <c r="B333" s="6" t="s">
        <v>13</v>
      </c>
      <c r="C333" s="7" t="s">
        <v>225</v>
      </c>
      <c r="D333" s="8" t="s">
        <v>226</v>
      </c>
      <c r="E333" s="8" t="s">
        <v>260</v>
      </c>
      <c r="F333" s="8" t="s">
        <v>69</v>
      </c>
      <c r="G333" s="8" t="s">
        <v>1482</v>
      </c>
      <c r="H333" s="5" t="s">
        <v>22</v>
      </c>
      <c r="I333" s="17" t="s">
        <v>1480</v>
      </c>
      <c r="J333" s="18" t="n">
        <v>119.36</v>
      </c>
      <c r="K333" s="9" t="s">
        <v>1813</v>
      </c>
    </row>
    <row r="334" customFormat="false" ht="252.95" hidden="false" customHeight="false" outlineLevel="0" collapsed="false">
      <c r="A334" s="5" t="n">
        <v>329</v>
      </c>
      <c r="B334" s="6" t="s">
        <v>13</v>
      </c>
      <c r="C334" s="7" t="s">
        <v>225</v>
      </c>
      <c r="D334" s="8" t="s">
        <v>226</v>
      </c>
      <c r="E334" s="8" t="s">
        <v>260</v>
      </c>
      <c r="F334" s="8" t="s">
        <v>69</v>
      </c>
      <c r="G334" s="8" t="s">
        <v>1484</v>
      </c>
      <c r="H334" s="5" t="s">
        <v>22</v>
      </c>
      <c r="I334" s="16" t="s">
        <v>1463</v>
      </c>
      <c r="J334" s="8"/>
      <c r="K334" s="9" t="s">
        <v>1814</v>
      </c>
    </row>
    <row r="335" customFormat="false" ht="252.95" hidden="false" customHeight="false" outlineLevel="0" collapsed="false">
      <c r="A335" s="5" t="n">
        <v>330</v>
      </c>
      <c r="B335" s="6" t="s">
        <v>13</v>
      </c>
      <c r="C335" s="7" t="s">
        <v>225</v>
      </c>
      <c r="D335" s="8" t="s">
        <v>226</v>
      </c>
      <c r="E335" s="8" t="s">
        <v>260</v>
      </c>
      <c r="F335" s="8" t="s">
        <v>69</v>
      </c>
      <c r="G335" s="8" t="s">
        <v>1486</v>
      </c>
      <c r="H335" s="5" t="s">
        <v>22</v>
      </c>
      <c r="I335" s="16" t="s">
        <v>1463</v>
      </c>
      <c r="J335" s="8"/>
      <c r="K335" s="9" t="s">
        <v>1815</v>
      </c>
    </row>
    <row r="336" customFormat="false" ht="261.9" hidden="false" customHeight="false" outlineLevel="0" collapsed="false">
      <c r="A336" s="5" t="n">
        <v>331</v>
      </c>
      <c r="B336" s="6" t="s">
        <v>13</v>
      </c>
      <c r="C336" s="7" t="s">
        <v>225</v>
      </c>
      <c r="D336" s="8" t="s">
        <v>226</v>
      </c>
      <c r="E336" s="8" t="s">
        <v>260</v>
      </c>
      <c r="F336" s="8" t="s">
        <v>131</v>
      </c>
      <c r="G336" s="8" t="s">
        <v>150</v>
      </c>
      <c r="H336" s="5" t="s">
        <v>18</v>
      </c>
      <c r="I336" s="16" t="s">
        <v>1463</v>
      </c>
      <c r="J336" s="8"/>
      <c r="K336" s="9" t="s">
        <v>1816</v>
      </c>
    </row>
    <row r="337" customFormat="false" ht="288.8" hidden="false" customHeight="false" outlineLevel="0" collapsed="false">
      <c r="A337" s="5" t="n">
        <v>332</v>
      </c>
      <c r="B337" s="6" t="s">
        <v>13</v>
      </c>
      <c r="C337" s="7" t="s">
        <v>225</v>
      </c>
      <c r="D337" s="8" t="s">
        <v>226</v>
      </c>
      <c r="E337" s="8" t="s">
        <v>260</v>
      </c>
      <c r="F337" s="8" t="s">
        <v>131</v>
      </c>
      <c r="G337" s="8" t="s">
        <v>1543</v>
      </c>
      <c r="H337" s="5" t="s">
        <v>18</v>
      </c>
      <c r="I337" s="16" t="s">
        <v>1463</v>
      </c>
      <c r="J337" s="8"/>
      <c r="K337" s="9" t="s">
        <v>1817</v>
      </c>
    </row>
    <row r="338" customFormat="false" ht="189.55" hidden="false" customHeight="false" outlineLevel="0" collapsed="false">
      <c r="A338" s="5" t="n">
        <v>333</v>
      </c>
      <c r="B338" s="6" t="s">
        <v>13</v>
      </c>
      <c r="C338" s="7" t="s">
        <v>225</v>
      </c>
      <c r="D338" s="8" t="s">
        <v>226</v>
      </c>
      <c r="E338" s="8" t="s">
        <v>260</v>
      </c>
      <c r="F338" s="8" t="s">
        <v>72</v>
      </c>
      <c r="G338" s="8" t="s">
        <v>73</v>
      </c>
      <c r="H338" s="5" t="s">
        <v>53</v>
      </c>
      <c r="I338" s="17" t="s">
        <v>1480</v>
      </c>
      <c r="J338" s="18" t="n">
        <v>1.0176</v>
      </c>
      <c r="K338" s="9" t="s">
        <v>1818</v>
      </c>
    </row>
    <row r="339" customFormat="false" ht="189.55" hidden="false" customHeight="false" outlineLevel="0" collapsed="false">
      <c r="A339" s="5" t="n">
        <v>334</v>
      </c>
      <c r="B339" s="6" t="s">
        <v>13</v>
      </c>
      <c r="C339" s="7" t="s">
        <v>225</v>
      </c>
      <c r="D339" s="8" t="s">
        <v>226</v>
      </c>
      <c r="E339" s="8" t="s">
        <v>260</v>
      </c>
      <c r="F339" s="8" t="s">
        <v>72</v>
      </c>
      <c r="G339" s="8" t="s">
        <v>1489</v>
      </c>
      <c r="H339" s="5" t="s">
        <v>53</v>
      </c>
      <c r="I339" s="17" t="s">
        <v>1480</v>
      </c>
      <c r="J339" s="18" t="n">
        <v>0.9832</v>
      </c>
      <c r="K339" s="9" t="s">
        <v>1819</v>
      </c>
    </row>
    <row r="340" customFormat="false" ht="189.55" hidden="false" customHeight="false" outlineLevel="0" collapsed="false">
      <c r="A340" s="5" t="n">
        <v>335</v>
      </c>
      <c r="B340" s="6" t="s">
        <v>13</v>
      </c>
      <c r="C340" s="7" t="s">
        <v>225</v>
      </c>
      <c r="D340" s="8" t="s">
        <v>226</v>
      </c>
      <c r="E340" s="8" t="s">
        <v>260</v>
      </c>
      <c r="F340" s="8" t="s">
        <v>72</v>
      </c>
      <c r="G340" s="8" t="s">
        <v>1491</v>
      </c>
      <c r="H340" s="5" t="s">
        <v>53</v>
      </c>
      <c r="I340" s="17" t="s">
        <v>1480</v>
      </c>
      <c r="J340" s="18" t="n">
        <v>0.96</v>
      </c>
      <c r="K340" s="9" t="s">
        <v>1820</v>
      </c>
    </row>
    <row r="341" customFormat="false" ht="189.55" hidden="false" customHeight="false" outlineLevel="0" collapsed="false">
      <c r="A341" s="5" t="n">
        <v>336</v>
      </c>
      <c r="B341" s="6" t="s">
        <v>13</v>
      </c>
      <c r="C341" s="7" t="s">
        <v>225</v>
      </c>
      <c r="D341" s="8" t="s">
        <v>226</v>
      </c>
      <c r="E341" s="8" t="s">
        <v>260</v>
      </c>
      <c r="F341" s="8" t="s">
        <v>72</v>
      </c>
      <c r="G341" s="8" t="s">
        <v>1493</v>
      </c>
      <c r="H341" s="5" t="s">
        <v>53</v>
      </c>
      <c r="I341" s="17" t="s">
        <v>1480</v>
      </c>
      <c r="J341" s="18" t="n">
        <v>0.9488</v>
      </c>
      <c r="K341" s="9" t="s">
        <v>1821</v>
      </c>
    </row>
    <row r="342" customFormat="false" ht="189.55" hidden="false" customHeight="false" outlineLevel="0" collapsed="false">
      <c r="A342" s="5" t="n">
        <v>337</v>
      </c>
      <c r="B342" s="6" t="s">
        <v>13</v>
      </c>
      <c r="C342" s="7" t="s">
        <v>225</v>
      </c>
      <c r="D342" s="8" t="s">
        <v>226</v>
      </c>
      <c r="E342" s="8" t="s">
        <v>260</v>
      </c>
      <c r="F342" s="8" t="s">
        <v>72</v>
      </c>
      <c r="G342" s="8" t="s">
        <v>1495</v>
      </c>
      <c r="H342" s="5" t="s">
        <v>53</v>
      </c>
      <c r="I342" s="17" t="s">
        <v>1480</v>
      </c>
      <c r="J342" s="18" t="n">
        <v>0.9256</v>
      </c>
      <c r="K342" s="9" t="s">
        <v>1822</v>
      </c>
    </row>
    <row r="343" customFormat="false" ht="189.55" hidden="false" customHeight="false" outlineLevel="0" collapsed="false">
      <c r="A343" s="5" t="n">
        <v>338</v>
      </c>
      <c r="B343" s="6" t="s">
        <v>13</v>
      </c>
      <c r="C343" s="7" t="s">
        <v>225</v>
      </c>
      <c r="D343" s="8" t="s">
        <v>226</v>
      </c>
      <c r="E343" s="8" t="s">
        <v>260</v>
      </c>
      <c r="F343" s="8" t="s">
        <v>72</v>
      </c>
      <c r="G343" s="8" t="s">
        <v>1497</v>
      </c>
      <c r="H343" s="5" t="s">
        <v>53</v>
      </c>
      <c r="I343" s="17" t="s">
        <v>1480</v>
      </c>
      <c r="J343" s="18" t="n">
        <v>0.9024</v>
      </c>
      <c r="K343" s="9" t="s">
        <v>1823</v>
      </c>
    </row>
    <row r="344" customFormat="false" ht="189.55" hidden="false" customHeight="false" outlineLevel="0" collapsed="false">
      <c r="A344" s="5" t="n">
        <v>339</v>
      </c>
      <c r="B344" s="6" t="s">
        <v>13</v>
      </c>
      <c r="C344" s="7" t="s">
        <v>225</v>
      </c>
      <c r="D344" s="8" t="s">
        <v>226</v>
      </c>
      <c r="E344" s="8" t="s">
        <v>260</v>
      </c>
      <c r="F344" s="8" t="s">
        <v>72</v>
      </c>
      <c r="G344" s="8" t="s">
        <v>1499</v>
      </c>
      <c r="H344" s="5" t="s">
        <v>53</v>
      </c>
      <c r="I344" s="17" t="s">
        <v>1480</v>
      </c>
      <c r="J344" s="18" t="n">
        <v>0.8912</v>
      </c>
      <c r="K344" s="9" t="s">
        <v>1824</v>
      </c>
    </row>
    <row r="345" customFormat="false" ht="189.55" hidden="false" customHeight="false" outlineLevel="0" collapsed="false">
      <c r="A345" s="5" t="n">
        <v>340</v>
      </c>
      <c r="B345" s="6" t="s">
        <v>13</v>
      </c>
      <c r="C345" s="7" t="s">
        <v>225</v>
      </c>
      <c r="D345" s="8" t="s">
        <v>226</v>
      </c>
      <c r="E345" s="8" t="s">
        <v>260</v>
      </c>
      <c r="F345" s="8" t="s">
        <v>72</v>
      </c>
      <c r="G345" s="8" t="s">
        <v>1501</v>
      </c>
      <c r="H345" s="5" t="s">
        <v>53</v>
      </c>
      <c r="I345" s="17" t="s">
        <v>1480</v>
      </c>
      <c r="J345" s="18" t="n">
        <v>1.0064</v>
      </c>
      <c r="K345" s="9" t="s">
        <v>1825</v>
      </c>
    </row>
    <row r="346" customFormat="false" ht="189.55" hidden="false" customHeight="false" outlineLevel="0" collapsed="false">
      <c r="A346" s="5" t="n">
        <v>341</v>
      </c>
      <c r="B346" s="6" t="s">
        <v>13</v>
      </c>
      <c r="C346" s="7" t="s">
        <v>225</v>
      </c>
      <c r="D346" s="8" t="s">
        <v>226</v>
      </c>
      <c r="E346" s="8" t="s">
        <v>260</v>
      </c>
      <c r="F346" s="8" t="s">
        <v>72</v>
      </c>
      <c r="G346" s="8" t="s">
        <v>1503</v>
      </c>
      <c r="H346" s="5" t="s">
        <v>53</v>
      </c>
      <c r="I346" s="16" t="s">
        <v>1463</v>
      </c>
      <c r="J346" s="8"/>
      <c r="K346" s="9" t="s">
        <v>1826</v>
      </c>
    </row>
    <row r="347" customFormat="false" ht="261.9" hidden="false" customHeight="false" outlineLevel="0" collapsed="false">
      <c r="A347" s="5" t="n">
        <v>342</v>
      </c>
      <c r="B347" s="6" t="s">
        <v>13</v>
      </c>
      <c r="C347" s="7" t="s">
        <v>225</v>
      </c>
      <c r="D347" s="8" t="s">
        <v>226</v>
      </c>
      <c r="E347" s="8" t="s">
        <v>260</v>
      </c>
      <c r="F347" s="8" t="s">
        <v>75</v>
      </c>
      <c r="G347" s="8" t="s">
        <v>76</v>
      </c>
      <c r="H347" s="5" t="s">
        <v>53</v>
      </c>
      <c r="I347" s="17" t="s">
        <v>1480</v>
      </c>
      <c r="J347" s="18" t="n">
        <v>1.404</v>
      </c>
      <c r="K347" s="9" t="s">
        <v>1827</v>
      </c>
    </row>
    <row r="348" customFormat="false" ht="270.85" hidden="false" customHeight="false" outlineLevel="0" collapsed="false">
      <c r="A348" s="5" t="n">
        <v>343</v>
      </c>
      <c r="B348" s="6" t="s">
        <v>13</v>
      </c>
      <c r="C348" s="7" t="s">
        <v>225</v>
      </c>
      <c r="D348" s="8" t="s">
        <v>226</v>
      </c>
      <c r="E348" s="8" t="s">
        <v>265</v>
      </c>
      <c r="F348" s="8" t="s">
        <v>69</v>
      </c>
      <c r="G348" s="8" t="s">
        <v>70</v>
      </c>
      <c r="H348" s="5" t="s">
        <v>22</v>
      </c>
      <c r="I348" s="17" t="s">
        <v>1480</v>
      </c>
      <c r="J348" s="18" t="n">
        <v>121.76</v>
      </c>
      <c r="K348" s="9" t="s">
        <v>1828</v>
      </c>
    </row>
    <row r="349" customFormat="false" ht="270.85" hidden="false" customHeight="false" outlineLevel="0" collapsed="false">
      <c r="A349" s="5" t="n">
        <v>344</v>
      </c>
      <c r="B349" s="6" t="s">
        <v>13</v>
      </c>
      <c r="C349" s="7" t="s">
        <v>225</v>
      </c>
      <c r="D349" s="8" t="s">
        <v>226</v>
      </c>
      <c r="E349" s="8" t="s">
        <v>265</v>
      </c>
      <c r="F349" s="8" t="s">
        <v>69</v>
      </c>
      <c r="G349" s="8" t="s">
        <v>1482</v>
      </c>
      <c r="H349" s="5" t="s">
        <v>22</v>
      </c>
      <c r="I349" s="17" t="s">
        <v>1480</v>
      </c>
      <c r="J349" s="18" t="n">
        <v>119.36</v>
      </c>
      <c r="K349" s="9" t="s">
        <v>1829</v>
      </c>
    </row>
    <row r="350" customFormat="false" ht="270.85" hidden="false" customHeight="false" outlineLevel="0" collapsed="false">
      <c r="A350" s="5" t="n">
        <v>345</v>
      </c>
      <c r="B350" s="6" t="s">
        <v>13</v>
      </c>
      <c r="C350" s="7" t="s">
        <v>225</v>
      </c>
      <c r="D350" s="8" t="s">
        <v>226</v>
      </c>
      <c r="E350" s="8" t="s">
        <v>265</v>
      </c>
      <c r="F350" s="8" t="s">
        <v>69</v>
      </c>
      <c r="G350" s="8" t="s">
        <v>1484</v>
      </c>
      <c r="H350" s="5" t="s">
        <v>22</v>
      </c>
      <c r="I350" s="16" t="s">
        <v>1463</v>
      </c>
      <c r="J350" s="8"/>
      <c r="K350" s="9" t="s">
        <v>1830</v>
      </c>
    </row>
    <row r="351" customFormat="false" ht="270.85" hidden="false" customHeight="false" outlineLevel="0" collapsed="false">
      <c r="A351" s="5" t="n">
        <v>346</v>
      </c>
      <c r="B351" s="6" t="s">
        <v>13</v>
      </c>
      <c r="C351" s="7" t="s">
        <v>225</v>
      </c>
      <c r="D351" s="8" t="s">
        <v>226</v>
      </c>
      <c r="E351" s="8" t="s">
        <v>265</v>
      </c>
      <c r="F351" s="8" t="s">
        <v>69</v>
      </c>
      <c r="G351" s="8" t="s">
        <v>1486</v>
      </c>
      <c r="H351" s="5" t="s">
        <v>22</v>
      </c>
      <c r="I351" s="16" t="s">
        <v>1463</v>
      </c>
      <c r="J351" s="8"/>
      <c r="K351" s="9" t="s">
        <v>1831</v>
      </c>
    </row>
    <row r="352" customFormat="false" ht="279.85" hidden="false" customHeight="false" outlineLevel="0" collapsed="false">
      <c r="A352" s="5" t="n">
        <v>347</v>
      </c>
      <c r="B352" s="6" t="s">
        <v>13</v>
      </c>
      <c r="C352" s="7" t="s">
        <v>225</v>
      </c>
      <c r="D352" s="8" t="s">
        <v>226</v>
      </c>
      <c r="E352" s="8" t="s">
        <v>265</v>
      </c>
      <c r="F352" s="8" t="s">
        <v>131</v>
      </c>
      <c r="G352" s="8" t="s">
        <v>150</v>
      </c>
      <c r="H352" s="5" t="s">
        <v>18</v>
      </c>
      <c r="I352" s="16" t="s">
        <v>1463</v>
      </c>
      <c r="J352" s="8"/>
      <c r="K352" s="9" t="s">
        <v>1832</v>
      </c>
    </row>
    <row r="353" customFormat="false" ht="306.7" hidden="false" customHeight="false" outlineLevel="0" collapsed="false">
      <c r="A353" s="5" t="n">
        <v>348</v>
      </c>
      <c r="B353" s="6" t="s">
        <v>13</v>
      </c>
      <c r="C353" s="7" t="s">
        <v>225</v>
      </c>
      <c r="D353" s="8" t="s">
        <v>226</v>
      </c>
      <c r="E353" s="8" t="s">
        <v>265</v>
      </c>
      <c r="F353" s="8" t="s">
        <v>131</v>
      </c>
      <c r="G353" s="8" t="s">
        <v>1543</v>
      </c>
      <c r="H353" s="5" t="s">
        <v>18</v>
      </c>
      <c r="I353" s="16" t="s">
        <v>1463</v>
      </c>
      <c r="J353" s="8"/>
      <c r="K353" s="9" t="s">
        <v>1833</v>
      </c>
    </row>
    <row r="354" customFormat="false" ht="207.45" hidden="false" customHeight="false" outlineLevel="0" collapsed="false">
      <c r="A354" s="5" t="n">
        <v>349</v>
      </c>
      <c r="B354" s="6" t="s">
        <v>13</v>
      </c>
      <c r="C354" s="7" t="s">
        <v>225</v>
      </c>
      <c r="D354" s="8" t="s">
        <v>226</v>
      </c>
      <c r="E354" s="8" t="s">
        <v>265</v>
      </c>
      <c r="F354" s="8" t="s">
        <v>72</v>
      </c>
      <c r="G354" s="8" t="s">
        <v>73</v>
      </c>
      <c r="H354" s="5" t="s">
        <v>53</v>
      </c>
      <c r="I354" s="17" t="s">
        <v>1480</v>
      </c>
      <c r="J354" s="18" t="n">
        <v>1.0176</v>
      </c>
      <c r="K354" s="9" t="s">
        <v>1834</v>
      </c>
    </row>
    <row r="355" customFormat="false" ht="207.45" hidden="false" customHeight="false" outlineLevel="0" collapsed="false">
      <c r="A355" s="5" t="n">
        <v>350</v>
      </c>
      <c r="B355" s="6" t="s">
        <v>13</v>
      </c>
      <c r="C355" s="7" t="s">
        <v>225</v>
      </c>
      <c r="D355" s="8" t="s">
        <v>226</v>
      </c>
      <c r="E355" s="8" t="s">
        <v>265</v>
      </c>
      <c r="F355" s="8" t="s">
        <v>72</v>
      </c>
      <c r="G355" s="8" t="s">
        <v>1489</v>
      </c>
      <c r="H355" s="5" t="s">
        <v>53</v>
      </c>
      <c r="I355" s="17" t="s">
        <v>1480</v>
      </c>
      <c r="J355" s="18" t="n">
        <v>0.9832</v>
      </c>
      <c r="K355" s="9" t="s">
        <v>1835</v>
      </c>
    </row>
    <row r="356" customFormat="false" ht="207.45" hidden="false" customHeight="false" outlineLevel="0" collapsed="false">
      <c r="A356" s="5" t="n">
        <v>351</v>
      </c>
      <c r="B356" s="6" t="s">
        <v>13</v>
      </c>
      <c r="C356" s="7" t="s">
        <v>225</v>
      </c>
      <c r="D356" s="8" t="s">
        <v>226</v>
      </c>
      <c r="E356" s="8" t="s">
        <v>265</v>
      </c>
      <c r="F356" s="8" t="s">
        <v>72</v>
      </c>
      <c r="G356" s="8" t="s">
        <v>1491</v>
      </c>
      <c r="H356" s="5" t="s">
        <v>53</v>
      </c>
      <c r="I356" s="17" t="s">
        <v>1480</v>
      </c>
      <c r="J356" s="18" t="n">
        <v>0.96</v>
      </c>
      <c r="K356" s="9" t="s">
        <v>1836</v>
      </c>
    </row>
    <row r="357" customFormat="false" ht="207.45" hidden="false" customHeight="false" outlineLevel="0" collapsed="false">
      <c r="A357" s="5" t="n">
        <v>352</v>
      </c>
      <c r="B357" s="6" t="s">
        <v>13</v>
      </c>
      <c r="C357" s="7" t="s">
        <v>225</v>
      </c>
      <c r="D357" s="8" t="s">
        <v>226</v>
      </c>
      <c r="E357" s="8" t="s">
        <v>265</v>
      </c>
      <c r="F357" s="8" t="s">
        <v>72</v>
      </c>
      <c r="G357" s="8" t="s">
        <v>1493</v>
      </c>
      <c r="H357" s="5" t="s">
        <v>53</v>
      </c>
      <c r="I357" s="17" t="s">
        <v>1480</v>
      </c>
      <c r="J357" s="18" t="n">
        <v>0.9488</v>
      </c>
      <c r="K357" s="9" t="s">
        <v>1837</v>
      </c>
    </row>
    <row r="358" customFormat="false" ht="207.45" hidden="false" customHeight="false" outlineLevel="0" collapsed="false">
      <c r="A358" s="5" t="n">
        <v>353</v>
      </c>
      <c r="B358" s="6" t="s">
        <v>13</v>
      </c>
      <c r="C358" s="7" t="s">
        <v>225</v>
      </c>
      <c r="D358" s="8" t="s">
        <v>226</v>
      </c>
      <c r="E358" s="8" t="s">
        <v>265</v>
      </c>
      <c r="F358" s="8" t="s">
        <v>72</v>
      </c>
      <c r="G358" s="8" t="s">
        <v>1495</v>
      </c>
      <c r="H358" s="5" t="s">
        <v>53</v>
      </c>
      <c r="I358" s="17" t="s">
        <v>1480</v>
      </c>
      <c r="J358" s="18" t="n">
        <v>0.9256</v>
      </c>
      <c r="K358" s="9" t="s">
        <v>1838</v>
      </c>
    </row>
    <row r="359" customFormat="false" ht="207.45" hidden="false" customHeight="false" outlineLevel="0" collapsed="false">
      <c r="A359" s="5" t="n">
        <v>354</v>
      </c>
      <c r="B359" s="6" t="s">
        <v>13</v>
      </c>
      <c r="C359" s="7" t="s">
        <v>225</v>
      </c>
      <c r="D359" s="8" t="s">
        <v>226</v>
      </c>
      <c r="E359" s="8" t="s">
        <v>265</v>
      </c>
      <c r="F359" s="8" t="s">
        <v>72</v>
      </c>
      <c r="G359" s="8" t="s">
        <v>1497</v>
      </c>
      <c r="H359" s="5" t="s">
        <v>53</v>
      </c>
      <c r="I359" s="17" t="s">
        <v>1480</v>
      </c>
      <c r="J359" s="18" t="n">
        <v>0.9024</v>
      </c>
      <c r="K359" s="9" t="s">
        <v>1839</v>
      </c>
    </row>
    <row r="360" customFormat="false" ht="207.45" hidden="false" customHeight="false" outlineLevel="0" collapsed="false">
      <c r="A360" s="5" t="n">
        <v>355</v>
      </c>
      <c r="B360" s="6" t="s">
        <v>13</v>
      </c>
      <c r="C360" s="7" t="s">
        <v>225</v>
      </c>
      <c r="D360" s="8" t="s">
        <v>226</v>
      </c>
      <c r="E360" s="8" t="s">
        <v>265</v>
      </c>
      <c r="F360" s="8" t="s">
        <v>72</v>
      </c>
      <c r="G360" s="8" t="s">
        <v>1499</v>
      </c>
      <c r="H360" s="5" t="s">
        <v>53</v>
      </c>
      <c r="I360" s="17" t="s">
        <v>1480</v>
      </c>
      <c r="J360" s="18" t="n">
        <v>0.8912</v>
      </c>
      <c r="K360" s="9" t="s">
        <v>1840</v>
      </c>
    </row>
    <row r="361" customFormat="false" ht="207.45" hidden="false" customHeight="false" outlineLevel="0" collapsed="false">
      <c r="A361" s="5" t="n">
        <v>356</v>
      </c>
      <c r="B361" s="6" t="s">
        <v>13</v>
      </c>
      <c r="C361" s="7" t="s">
        <v>225</v>
      </c>
      <c r="D361" s="8" t="s">
        <v>226</v>
      </c>
      <c r="E361" s="8" t="s">
        <v>265</v>
      </c>
      <c r="F361" s="8" t="s">
        <v>72</v>
      </c>
      <c r="G361" s="8" t="s">
        <v>1501</v>
      </c>
      <c r="H361" s="5" t="s">
        <v>53</v>
      </c>
      <c r="I361" s="17" t="s">
        <v>1480</v>
      </c>
      <c r="J361" s="18" t="n">
        <v>1.0064</v>
      </c>
      <c r="K361" s="9" t="s">
        <v>1841</v>
      </c>
    </row>
    <row r="362" customFormat="false" ht="207.45" hidden="false" customHeight="false" outlineLevel="0" collapsed="false">
      <c r="A362" s="5" t="n">
        <v>357</v>
      </c>
      <c r="B362" s="6" t="s">
        <v>13</v>
      </c>
      <c r="C362" s="7" t="s">
        <v>225</v>
      </c>
      <c r="D362" s="8" t="s">
        <v>226</v>
      </c>
      <c r="E362" s="8" t="s">
        <v>265</v>
      </c>
      <c r="F362" s="8" t="s">
        <v>72</v>
      </c>
      <c r="G362" s="8" t="s">
        <v>1503</v>
      </c>
      <c r="H362" s="5" t="s">
        <v>53</v>
      </c>
      <c r="I362" s="16" t="s">
        <v>1463</v>
      </c>
      <c r="J362" s="8"/>
      <c r="K362" s="9" t="s">
        <v>1842</v>
      </c>
    </row>
    <row r="363" customFormat="false" ht="279.85" hidden="false" customHeight="false" outlineLevel="0" collapsed="false">
      <c r="A363" s="5" t="n">
        <v>358</v>
      </c>
      <c r="B363" s="6" t="s">
        <v>13</v>
      </c>
      <c r="C363" s="7" t="s">
        <v>225</v>
      </c>
      <c r="D363" s="8" t="s">
        <v>226</v>
      </c>
      <c r="E363" s="8" t="s">
        <v>265</v>
      </c>
      <c r="F363" s="8" t="s">
        <v>75</v>
      </c>
      <c r="G363" s="8" t="s">
        <v>76</v>
      </c>
      <c r="H363" s="5" t="s">
        <v>53</v>
      </c>
      <c r="I363" s="17" t="s">
        <v>1480</v>
      </c>
      <c r="J363" s="18" t="n">
        <v>1.404</v>
      </c>
      <c r="K363" s="9" t="s">
        <v>1843</v>
      </c>
    </row>
    <row r="364" customFormat="false" ht="252.95" hidden="false" customHeight="false" outlineLevel="0" collapsed="false">
      <c r="A364" s="5" t="n">
        <v>359</v>
      </c>
      <c r="B364" s="6" t="s">
        <v>13</v>
      </c>
      <c r="C364" s="7" t="s">
        <v>225</v>
      </c>
      <c r="D364" s="8" t="s">
        <v>226</v>
      </c>
      <c r="E364" s="8" t="s">
        <v>270</v>
      </c>
      <c r="F364" s="8" t="s">
        <v>69</v>
      </c>
      <c r="G364" s="8" t="s">
        <v>70</v>
      </c>
      <c r="H364" s="5" t="s">
        <v>22</v>
      </c>
      <c r="I364" s="17" t="s">
        <v>1480</v>
      </c>
      <c r="J364" s="18" t="n">
        <v>121.76</v>
      </c>
      <c r="K364" s="9" t="s">
        <v>1844</v>
      </c>
    </row>
    <row r="365" customFormat="false" ht="252.95" hidden="false" customHeight="false" outlineLevel="0" collapsed="false">
      <c r="A365" s="5" t="n">
        <v>360</v>
      </c>
      <c r="B365" s="6" t="s">
        <v>13</v>
      </c>
      <c r="C365" s="7" t="s">
        <v>225</v>
      </c>
      <c r="D365" s="8" t="s">
        <v>226</v>
      </c>
      <c r="E365" s="8" t="s">
        <v>270</v>
      </c>
      <c r="F365" s="8" t="s">
        <v>69</v>
      </c>
      <c r="G365" s="8" t="s">
        <v>1482</v>
      </c>
      <c r="H365" s="5" t="s">
        <v>22</v>
      </c>
      <c r="I365" s="17" t="s">
        <v>1480</v>
      </c>
      <c r="J365" s="18" t="n">
        <v>119.36</v>
      </c>
      <c r="K365" s="9" t="s">
        <v>1845</v>
      </c>
    </row>
    <row r="366" customFormat="false" ht="252.95" hidden="false" customHeight="false" outlineLevel="0" collapsed="false">
      <c r="A366" s="5" t="n">
        <v>361</v>
      </c>
      <c r="B366" s="6" t="s">
        <v>13</v>
      </c>
      <c r="C366" s="7" t="s">
        <v>225</v>
      </c>
      <c r="D366" s="8" t="s">
        <v>226</v>
      </c>
      <c r="E366" s="8" t="s">
        <v>270</v>
      </c>
      <c r="F366" s="8" t="s">
        <v>69</v>
      </c>
      <c r="G366" s="8" t="s">
        <v>1484</v>
      </c>
      <c r="H366" s="5" t="s">
        <v>22</v>
      </c>
      <c r="I366" s="16" t="s">
        <v>1463</v>
      </c>
      <c r="J366" s="8"/>
      <c r="K366" s="9" t="s">
        <v>1846</v>
      </c>
    </row>
    <row r="367" customFormat="false" ht="252.95" hidden="false" customHeight="false" outlineLevel="0" collapsed="false">
      <c r="A367" s="5" t="n">
        <v>362</v>
      </c>
      <c r="B367" s="6" t="s">
        <v>13</v>
      </c>
      <c r="C367" s="7" t="s">
        <v>225</v>
      </c>
      <c r="D367" s="8" t="s">
        <v>226</v>
      </c>
      <c r="E367" s="8" t="s">
        <v>270</v>
      </c>
      <c r="F367" s="8" t="s">
        <v>69</v>
      </c>
      <c r="G367" s="8" t="s">
        <v>1486</v>
      </c>
      <c r="H367" s="5" t="s">
        <v>22</v>
      </c>
      <c r="I367" s="16" t="s">
        <v>1463</v>
      </c>
      <c r="J367" s="8"/>
      <c r="K367" s="9" t="s">
        <v>1847</v>
      </c>
    </row>
    <row r="368" customFormat="false" ht="261.9" hidden="false" customHeight="false" outlineLevel="0" collapsed="false">
      <c r="A368" s="5" t="n">
        <v>363</v>
      </c>
      <c r="B368" s="6" t="s">
        <v>13</v>
      </c>
      <c r="C368" s="7" t="s">
        <v>225</v>
      </c>
      <c r="D368" s="8" t="s">
        <v>226</v>
      </c>
      <c r="E368" s="8" t="s">
        <v>270</v>
      </c>
      <c r="F368" s="8" t="s">
        <v>131</v>
      </c>
      <c r="G368" s="8" t="s">
        <v>150</v>
      </c>
      <c r="H368" s="5" t="s">
        <v>18</v>
      </c>
      <c r="I368" s="16" t="s">
        <v>1463</v>
      </c>
      <c r="J368" s="8"/>
      <c r="K368" s="9" t="s">
        <v>1848</v>
      </c>
    </row>
    <row r="369" customFormat="false" ht="288.8" hidden="false" customHeight="false" outlineLevel="0" collapsed="false">
      <c r="A369" s="5" t="n">
        <v>364</v>
      </c>
      <c r="B369" s="6" t="s">
        <v>13</v>
      </c>
      <c r="C369" s="7" t="s">
        <v>225</v>
      </c>
      <c r="D369" s="8" t="s">
        <v>226</v>
      </c>
      <c r="E369" s="8" t="s">
        <v>270</v>
      </c>
      <c r="F369" s="8" t="s">
        <v>131</v>
      </c>
      <c r="G369" s="8" t="s">
        <v>1543</v>
      </c>
      <c r="H369" s="5" t="s">
        <v>18</v>
      </c>
      <c r="I369" s="16" t="s">
        <v>1463</v>
      </c>
      <c r="J369" s="8"/>
      <c r="K369" s="9" t="s">
        <v>1849</v>
      </c>
    </row>
    <row r="370" customFormat="false" ht="189.55" hidden="false" customHeight="false" outlineLevel="0" collapsed="false">
      <c r="A370" s="5" t="n">
        <v>365</v>
      </c>
      <c r="B370" s="6" t="s">
        <v>13</v>
      </c>
      <c r="C370" s="7" t="s">
        <v>225</v>
      </c>
      <c r="D370" s="8" t="s">
        <v>226</v>
      </c>
      <c r="E370" s="8" t="s">
        <v>270</v>
      </c>
      <c r="F370" s="8" t="s">
        <v>72</v>
      </c>
      <c r="G370" s="8" t="s">
        <v>73</v>
      </c>
      <c r="H370" s="5" t="s">
        <v>53</v>
      </c>
      <c r="I370" s="17" t="s">
        <v>1480</v>
      </c>
      <c r="J370" s="18" t="n">
        <v>1.0176</v>
      </c>
      <c r="K370" s="9" t="s">
        <v>1850</v>
      </c>
    </row>
    <row r="371" customFormat="false" ht="189.55" hidden="false" customHeight="false" outlineLevel="0" collapsed="false">
      <c r="A371" s="5" t="n">
        <v>366</v>
      </c>
      <c r="B371" s="6" t="s">
        <v>13</v>
      </c>
      <c r="C371" s="7" t="s">
        <v>225</v>
      </c>
      <c r="D371" s="8" t="s">
        <v>226</v>
      </c>
      <c r="E371" s="8" t="s">
        <v>270</v>
      </c>
      <c r="F371" s="8" t="s">
        <v>72</v>
      </c>
      <c r="G371" s="8" t="s">
        <v>1489</v>
      </c>
      <c r="H371" s="5" t="s">
        <v>53</v>
      </c>
      <c r="I371" s="17" t="s">
        <v>1480</v>
      </c>
      <c r="J371" s="18" t="n">
        <v>0.9832</v>
      </c>
      <c r="K371" s="9" t="s">
        <v>1851</v>
      </c>
    </row>
    <row r="372" customFormat="false" ht="189.55" hidden="false" customHeight="false" outlineLevel="0" collapsed="false">
      <c r="A372" s="5" t="n">
        <v>367</v>
      </c>
      <c r="B372" s="6" t="s">
        <v>13</v>
      </c>
      <c r="C372" s="7" t="s">
        <v>225</v>
      </c>
      <c r="D372" s="8" t="s">
        <v>226</v>
      </c>
      <c r="E372" s="8" t="s">
        <v>270</v>
      </c>
      <c r="F372" s="8" t="s">
        <v>72</v>
      </c>
      <c r="G372" s="8" t="s">
        <v>1491</v>
      </c>
      <c r="H372" s="5" t="s">
        <v>53</v>
      </c>
      <c r="I372" s="17" t="s">
        <v>1480</v>
      </c>
      <c r="J372" s="18" t="n">
        <v>0.96</v>
      </c>
      <c r="K372" s="9" t="s">
        <v>1852</v>
      </c>
    </row>
    <row r="373" customFormat="false" ht="189.55" hidden="false" customHeight="false" outlineLevel="0" collapsed="false">
      <c r="A373" s="5" t="n">
        <v>368</v>
      </c>
      <c r="B373" s="6" t="s">
        <v>13</v>
      </c>
      <c r="C373" s="7" t="s">
        <v>225</v>
      </c>
      <c r="D373" s="8" t="s">
        <v>226</v>
      </c>
      <c r="E373" s="8" t="s">
        <v>270</v>
      </c>
      <c r="F373" s="8" t="s">
        <v>72</v>
      </c>
      <c r="G373" s="8" t="s">
        <v>1493</v>
      </c>
      <c r="H373" s="5" t="s">
        <v>53</v>
      </c>
      <c r="I373" s="17" t="s">
        <v>1480</v>
      </c>
      <c r="J373" s="18" t="n">
        <v>0.9488</v>
      </c>
      <c r="K373" s="9" t="s">
        <v>1853</v>
      </c>
    </row>
    <row r="374" customFormat="false" ht="189.55" hidden="false" customHeight="false" outlineLevel="0" collapsed="false">
      <c r="A374" s="5" t="n">
        <v>369</v>
      </c>
      <c r="B374" s="6" t="s">
        <v>13</v>
      </c>
      <c r="C374" s="7" t="s">
        <v>225</v>
      </c>
      <c r="D374" s="8" t="s">
        <v>226</v>
      </c>
      <c r="E374" s="8" t="s">
        <v>270</v>
      </c>
      <c r="F374" s="8" t="s">
        <v>72</v>
      </c>
      <c r="G374" s="8" t="s">
        <v>1495</v>
      </c>
      <c r="H374" s="5" t="s">
        <v>53</v>
      </c>
      <c r="I374" s="17" t="s">
        <v>1480</v>
      </c>
      <c r="J374" s="18" t="n">
        <v>0.9256</v>
      </c>
      <c r="K374" s="9" t="s">
        <v>1854</v>
      </c>
    </row>
    <row r="375" customFormat="false" ht="189.55" hidden="false" customHeight="false" outlineLevel="0" collapsed="false">
      <c r="A375" s="5" t="n">
        <v>370</v>
      </c>
      <c r="B375" s="6" t="s">
        <v>13</v>
      </c>
      <c r="C375" s="7" t="s">
        <v>225</v>
      </c>
      <c r="D375" s="8" t="s">
        <v>226</v>
      </c>
      <c r="E375" s="8" t="s">
        <v>270</v>
      </c>
      <c r="F375" s="8" t="s">
        <v>72</v>
      </c>
      <c r="G375" s="8" t="s">
        <v>1497</v>
      </c>
      <c r="H375" s="5" t="s">
        <v>53</v>
      </c>
      <c r="I375" s="17" t="s">
        <v>1480</v>
      </c>
      <c r="J375" s="18" t="n">
        <v>0.9024</v>
      </c>
      <c r="K375" s="9" t="s">
        <v>1855</v>
      </c>
    </row>
    <row r="376" customFormat="false" ht="189.55" hidden="false" customHeight="false" outlineLevel="0" collapsed="false">
      <c r="A376" s="5" t="n">
        <v>371</v>
      </c>
      <c r="B376" s="6" t="s">
        <v>13</v>
      </c>
      <c r="C376" s="7" t="s">
        <v>225</v>
      </c>
      <c r="D376" s="8" t="s">
        <v>226</v>
      </c>
      <c r="E376" s="8" t="s">
        <v>270</v>
      </c>
      <c r="F376" s="8" t="s">
        <v>72</v>
      </c>
      <c r="G376" s="8" t="s">
        <v>1499</v>
      </c>
      <c r="H376" s="5" t="s">
        <v>53</v>
      </c>
      <c r="I376" s="17" t="s">
        <v>1480</v>
      </c>
      <c r="J376" s="18" t="n">
        <v>0.8912</v>
      </c>
      <c r="K376" s="9" t="s">
        <v>1856</v>
      </c>
    </row>
    <row r="377" customFormat="false" ht="189.55" hidden="false" customHeight="false" outlineLevel="0" collapsed="false">
      <c r="A377" s="5" t="n">
        <v>372</v>
      </c>
      <c r="B377" s="6" t="s">
        <v>13</v>
      </c>
      <c r="C377" s="7" t="s">
        <v>225</v>
      </c>
      <c r="D377" s="8" t="s">
        <v>226</v>
      </c>
      <c r="E377" s="8" t="s">
        <v>270</v>
      </c>
      <c r="F377" s="8" t="s">
        <v>72</v>
      </c>
      <c r="G377" s="8" t="s">
        <v>1501</v>
      </c>
      <c r="H377" s="5" t="s">
        <v>53</v>
      </c>
      <c r="I377" s="17" t="s">
        <v>1480</v>
      </c>
      <c r="J377" s="18" t="n">
        <v>1.0064</v>
      </c>
      <c r="K377" s="9" t="s">
        <v>1857</v>
      </c>
    </row>
    <row r="378" customFormat="false" ht="189.55" hidden="false" customHeight="false" outlineLevel="0" collapsed="false">
      <c r="A378" s="5" t="n">
        <v>373</v>
      </c>
      <c r="B378" s="6" t="s">
        <v>13</v>
      </c>
      <c r="C378" s="7" t="s">
        <v>225</v>
      </c>
      <c r="D378" s="8" t="s">
        <v>226</v>
      </c>
      <c r="E378" s="8" t="s">
        <v>270</v>
      </c>
      <c r="F378" s="8" t="s">
        <v>72</v>
      </c>
      <c r="G378" s="8" t="s">
        <v>1503</v>
      </c>
      <c r="H378" s="5" t="s">
        <v>53</v>
      </c>
      <c r="I378" s="16" t="s">
        <v>1463</v>
      </c>
      <c r="J378" s="8"/>
      <c r="K378" s="9" t="s">
        <v>1858</v>
      </c>
    </row>
    <row r="379" customFormat="false" ht="261.9" hidden="false" customHeight="false" outlineLevel="0" collapsed="false">
      <c r="A379" s="5" t="n">
        <v>374</v>
      </c>
      <c r="B379" s="6" t="s">
        <v>13</v>
      </c>
      <c r="C379" s="7" t="s">
        <v>225</v>
      </c>
      <c r="D379" s="8" t="s">
        <v>226</v>
      </c>
      <c r="E379" s="8" t="s">
        <v>270</v>
      </c>
      <c r="F379" s="8" t="s">
        <v>75</v>
      </c>
      <c r="G379" s="8" t="s">
        <v>76</v>
      </c>
      <c r="H379" s="5" t="s">
        <v>53</v>
      </c>
      <c r="I379" s="17" t="s">
        <v>1480</v>
      </c>
      <c r="J379" s="18" t="n">
        <v>1.404</v>
      </c>
      <c r="K379" s="9" t="s">
        <v>1859</v>
      </c>
    </row>
    <row r="380" customFormat="false" ht="225.35" hidden="false" customHeight="false" outlineLevel="0" collapsed="false">
      <c r="A380" s="5" t="n">
        <v>375</v>
      </c>
      <c r="B380" s="6" t="s">
        <v>13</v>
      </c>
      <c r="C380" s="7" t="s">
        <v>225</v>
      </c>
      <c r="D380" s="8" t="s">
        <v>226</v>
      </c>
      <c r="E380" s="8" t="s">
        <v>270</v>
      </c>
      <c r="F380" s="8" t="s">
        <v>135</v>
      </c>
      <c r="G380" s="8" t="s">
        <v>136</v>
      </c>
      <c r="H380" s="5" t="s">
        <v>61</v>
      </c>
      <c r="I380" s="17" t="s">
        <v>1480</v>
      </c>
      <c r="J380" s="18" t="n">
        <v>6.28</v>
      </c>
      <c r="K380" s="9" t="s">
        <v>1860</v>
      </c>
    </row>
    <row r="381" customFormat="false" ht="216.4" hidden="false" customHeight="false" outlineLevel="0" collapsed="false">
      <c r="A381" s="5" t="n">
        <v>376</v>
      </c>
      <c r="B381" s="6" t="s">
        <v>13</v>
      </c>
      <c r="C381" s="7" t="s">
        <v>225</v>
      </c>
      <c r="D381" s="8" t="s">
        <v>226</v>
      </c>
      <c r="E381" s="8" t="s">
        <v>276</v>
      </c>
      <c r="F381" s="8" t="s">
        <v>69</v>
      </c>
      <c r="G381" s="8" t="s">
        <v>70</v>
      </c>
      <c r="H381" s="5" t="s">
        <v>22</v>
      </c>
      <c r="I381" s="17" t="s">
        <v>1480</v>
      </c>
      <c r="J381" s="18" t="n">
        <v>121.76</v>
      </c>
      <c r="K381" s="9" t="s">
        <v>1861</v>
      </c>
    </row>
    <row r="382" customFormat="false" ht="216.4" hidden="false" customHeight="false" outlineLevel="0" collapsed="false">
      <c r="A382" s="5" t="n">
        <v>377</v>
      </c>
      <c r="B382" s="6" t="s">
        <v>13</v>
      </c>
      <c r="C382" s="7" t="s">
        <v>225</v>
      </c>
      <c r="D382" s="8" t="s">
        <v>226</v>
      </c>
      <c r="E382" s="8" t="s">
        <v>276</v>
      </c>
      <c r="F382" s="8" t="s">
        <v>69</v>
      </c>
      <c r="G382" s="8" t="s">
        <v>1482</v>
      </c>
      <c r="H382" s="5" t="s">
        <v>22</v>
      </c>
      <c r="I382" s="17" t="s">
        <v>1480</v>
      </c>
      <c r="J382" s="18" t="n">
        <v>119.36</v>
      </c>
      <c r="K382" s="9" t="s">
        <v>1862</v>
      </c>
    </row>
    <row r="383" customFormat="false" ht="216.4" hidden="false" customHeight="false" outlineLevel="0" collapsed="false">
      <c r="A383" s="5" t="n">
        <v>378</v>
      </c>
      <c r="B383" s="6" t="s">
        <v>13</v>
      </c>
      <c r="C383" s="7" t="s">
        <v>225</v>
      </c>
      <c r="D383" s="8" t="s">
        <v>226</v>
      </c>
      <c r="E383" s="8" t="s">
        <v>276</v>
      </c>
      <c r="F383" s="8" t="s">
        <v>69</v>
      </c>
      <c r="G383" s="8" t="s">
        <v>1484</v>
      </c>
      <c r="H383" s="5" t="s">
        <v>22</v>
      </c>
      <c r="I383" s="16" t="s">
        <v>1463</v>
      </c>
      <c r="J383" s="8"/>
      <c r="K383" s="9" t="s">
        <v>1863</v>
      </c>
    </row>
    <row r="384" customFormat="false" ht="216.4" hidden="false" customHeight="false" outlineLevel="0" collapsed="false">
      <c r="A384" s="5" t="n">
        <v>379</v>
      </c>
      <c r="B384" s="6" t="s">
        <v>13</v>
      </c>
      <c r="C384" s="7" t="s">
        <v>225</v>
      </c>
      <c r="D384" s="8" t="s">
        <v>226</v>
      </c>
      <c r="E384" s="8" t="s">
        <v>276</v>
      </c>
      <c r="F384" s="8" t="s">
        <v>69</v>
      </c>
      <c r="G384" s="8" t="s">
        <v>1486</v>
      </c>
      <c r="H384" s="5" t="s">
        <v>22</v>
      </c>
      <c r="I384" s="16" t="s">
        <v>1463</v>
      </c>
      <c r="J384" s="8"/>
      <c r="K384" s="9" t="s">
        <v>1864</v>
      </c>
    </row>
    <row r="385" customFormat="false" ht="225.35" hidden="false" customHeight="false" outlineLevel="0" collapsed="false">
      <c r="A385" s="5" t="n">
        <v>380</v>
      </c>
      <c r="B385" s="6" t="s">
        <v>13</v>
      </c>
      <c r="C385" s="7" t="s">
        <v>225</v>
      </c>
      <c r="D385" s="8" t="s">
        <v>226</v>
      </c>
      <c r="E385" s="8" t="s">
        <v>276</v>
      </c>
      <c r="F385" s="8" t="s">
        <v>131</v>
      </c>
      <c r="G385" s="8" t="s">
        <v>150</v>
      </c>
      <c r="H385" s="5" t="s">
        <v>18</v>
      </c>
      <c r="I385" s="16" t="s">
        <v>1463</v>
      </c>
      <c r="J385" s="8"/>
      <c r="K385" s="9" t="s">
        <v>1865</v>
      </c>
    </row>
    <row r="386" customFormat="false" ht="252.95" hidden="false" customHeight="false" outlineLevel="0" collapsed="false">
      <c r="A386" s="5" t="n">
        <v>381</v>
      </c>
      <c r="B386" s="6" t="s">
        <v>13</v>
      </c>
      <c r="C386" s="7" t="s">
        <v>225</v>
      </c>
      <c r="D386" s="8" t="s">
        <v>226</v>
      </c>
      <c r="E386" s="8" t="s">
        <v>276</v>
      </c>
      <c r="F386" s="8" t="s">
        <v>131</v>
      </c>
      <c r="G386" s="8" t="s">
        <v>1543</v>
      </c>
      <c r="H386" s="5" t="s">
        <v>18</v>
      </c>
      <c r="I386" s="16" t="s">
        <v>1463</v>
      </c>
      <c r="J386" s="8"/>
      <c r="K386" s="9" t="s">
        <v>1866</v>
      </c>
    </row>
    <row r="387" customFormat="false" ht="153.7" hidden="false" customHeight="false" outlineLevel="0" collapsed="false">
      <c r="A387" s="5" t="n">
        <v>382</v>
      </c>
      <c r="B387" s="6" t="s">
        <v>13</v>
      </c>
      <c r="C387" s="7" t="s">
        <v>225</v>
      </c>
      <c r="D387" s="8" t="s">
        <v>226</v>
      </c>
      <c r="E387" s="8" t="s">
        <v>276</v>
      </c>
      <c r="F387" s="8" t="s">
        <v>72</v>
      </c>
      <c r="G387" s="8" t="s">
        <v>73</v>
      </c>
      <c r="H387" s="5" t="s">
        <v>53</v>
      </c>
      <c r="I387" s="17" t="s">
        <v>1480</v>
      </c>
      <c r="J387" s="18" t="n">
        <v>1.0176</v>
      </c>
      <c r="K387" s="9" t="s">
        <v>1867</v>
      </c>
    </row>
    <row r="388" customFormat="false" ht="153.7" hidden="false" customHeight="false" outlineLevel="0" collapsed="false">
      <c r="A388" s="5" t="n">
        <v>383</v>
      </c>
      <c r="B388" s="6" t="s">
        <v>13</v>
      </c>
      <c r="C388" s="7" t="s">
        <v>225</v>
      </c>
      <c r="D388" s="8" t="s">
        <v>226</v>
      </c>
      <c r="E388" s="8" t="s">
        <v>276</v>
      </c>
      <c r="F388" s="8" t="s">
        <v>72</v>
      </c>
      <c r="G388" s="8" t="s">
        <v>1489</v>
      </c>
      <c r="H388" s="5" t="s">
        <v>53</v>
      </c>
      <c r="I388" s="17" t="s">
        <v>1480</v>
      </c>
      <c r="J388" s="18" t="n">
        <v>0.9832</v>
      </c>
      <c r="K388" s="9" t="s">
        <v>1868</v>
      </c>
    </row>
    <row r="389" customFormat="false" ht="153.7" hidden="false" customHeight="false" outlineLevel="0" collapsed="false">
      <c r="A389" s="5" t="n">
        <v>384</v>
      </c>
      <c r="B389" s="6" t="s">
        <v>13</v>
      </c>
      <c r="C389" s="7" t="s">
        <v>225</v>
      </c>
      <c r="D389" s="8" t="s">
        <v>226</v>
      </c>
      <c r="E389" s="8" t="s">
        <v>276</v>
      </c>
      <c r="F389" s="8" t="s">
        <v>72</v>
      </c>
      <c r="G389" s="8" t="s">
        <v>1491</v>
      </c>
      <c r="H389" s="5" t="s">
        <v>53</v>
      </c>
      <c r="I389" s="17" t="s">
        <v>1480</v>
      </c>
      <c r="J389" s="18" t="n">
        <v>0.96</v>
      </c>
      <c r="K389" s="9" t="s">
        <v>1869</v>
      </c>
    </row>
    <row r="390" customFormat="false" ht="153.7" hidden="false" customHeight="false" outlineLevel="0" collapsed="false">
      <c r="A390" s="5" t="n">
        <v>385</v>
      </c>
      <c r="B390" s="6" t="s">
        <v>13</v>
      </c>
      <c r="C390" s="7" t="s">
        <v>225</v>
      </c>
      <c r="D390" s="8" t="s">
        <v>226</v>
      </c>
      <c r="E390" s="8" t="s">
        <v>276</v>
      </c>
      <c r="F390" s="8" t="s">
        <v>72</v>
      </c>
      <c r="G390" s="8" t="s">
        <v>1493</v>
      </c>
      <c r="H390" s="5" t="s">
        <v>53</v>
      </c>
      <c r="I390" s="17" t="s">
        <v>1480</v>
      </c>
      <c r="J390" s="18" t="n">
        <v>0.9488</v>
      </c>
      <c r="K390" s="9" t="s">
        <v>1870</v>
      </c>
    </row>
    <row r="391" customFormat="false" ht="153.7" hidden="false" customHeight="false" outlineLevel="0" collapsed="false">
      <c r="A391" s="5" t="n">
        <v>386</v>
      </c>
      <c r="B391" s="6" t="s">
        <v>13</v>
      </c>
      <c r="C391" s="7" t="s">
        <v>225</v>
      </c>
      <c r="D391" s="8" t="s">
        <v>226</v>
      </c>
      <c r="E391" s="8" t="s">
        <v>276</v>
      </c>
      <c r="F391" s="8" t="s">
        <v>72</v>
      </c>
      <c r="G391" s="8" t="s">
        <v>1495</v>
      </c>
      <c r="H391" s="5" t="s">
        <v>53</v>
      </c>
      <c r="I391" s="17" t="s">
        <v>1480</v>
      </c>
      <c r="J391" s="18" t="n">
        <v>0.9256</v>
      </c>
      <c r="K391" s="9" t="s">
        <v>1871</v>
      </c>
    </row>
    <row r="392" customFormat="false" ht="153.7" hidden="false" customHeight="false" outlineLevel="0" collapsed="false">
      <c r="A392" s="5" t="n">
        <v>387</v>
      </c>
      <c r="B392" s="6" t="s">
        <v>13</v>
      </c>
      <c r="C392" s="7" t="s">
        <v>225</v>
      </c>
      <c r="D392" s="8" t="s">
        <v>226</v>
      </c>
      <c r="E392" s="8" t="s">
        <v>276</v>
      </c>
      <c r="F392" s="8" t="s">
        <v>72</v>
      </c>
      <c r="G392" s="8" t="s">
        <v>1497</v>
      </c>
      <c r="H392" s="5" t="s">
        <v>53</v>
      </c>
      <c r="I392" s="17" t="s">
        <v>1480</v>
      </c>
      <c r="J392" s="18" t="n">
        <v>0.9024</v>
      </c>
      <c r="K392" s="9" t="s">
        <v>1872</v>
      </c>
    </row>
    <row r="393" customFormat="false" ht="153.7" hidden="false" customHeight="false" outlineLevel="0" collapsed="false">
      <c r="A393" s="5" t="n">
        <v>388</v>
      </c>
      <c r="B393" s="6" t="s">
        <v>13</v>
      </c>
      <c r="C393" s="7" t="s">
        <v>225</v>
      </c>
      <c r="D393" s="8" t="s">
        <v>226</v>
      </c>
      <c r="E393" s="8" t="s">
        <v>276</v>
      </c>
      <c r="F393" s="8" t="s">
        <v>72</v>
      </c>
      <c r="G393" s="8" t="s">
        <v>1499</v>
      </c>
      <c r="H393" s="5" t="s">
        <v>53</v>
      </c>
      <c r="I393" s="17" t="s">
        <v>1480</v>
      </c>
      <c r="J393" s="18" t="n">
        <v>0.8912</v>
      </c>
      <c r="K393" s="9" t="s">
        <v>1873</v>
      </c>
    </row>
    <row r="394" customFormat="false" ht="153.7" hidden="false" customHeight="false" outlineLevel="0" collapsed="false">
      <c r="A394" s="5" t="n">
        <v>389</v>
      </c>
      <c r="B394" s="6" t="s">
        <v>13</v>
      </c>
      <c r="C394" s="7" t="s">
        <v>225</v>
      </c>
      <c r="D394" s="8" t="s">
        <v>226</v>
      </c>
      <c r="E394" s="8" t="s">
        <v>276</v>
      </c>
      <c r="F394" s="8" t="s">
        <v>72</v>
      </c>
      <c r="G394" s="8" t="s">
        <v>1501</v>
      </c>
      <c r="H394" s="5" t="s">
        <v>53</v>
      </c>
      <c r="I394" s="17" t="s">
        <v>1480</v>
      </c>
      <c r="J394" s="18" t="n">
        <v>1.0064</v>
      </c>
      <c r="K394" s="9" t="s">
        <v>1874</v>
      </c>
    </row>
    <row r="395" customFormat="false" ht="153.7" hidden="false" customHeight="false" outlineLevel="0" collapsed="false">
      <c r="A395" s="5" t="n">
        <v>390</v>
      </c>
      <c r="B395" s="6" t="s">
        <v>13</v>
      </c>
      <c r="C395" s="7" t="s">
        <v>225</v>
      </c>
      <c r="D395" s="8" t="s">
        <v>226</v>
      </c>
      <c r="E395" s="8" t="s">
        <v>276</v>
      </c>
      <c r="F395" s="8" t="s">
        <v>72</v>
      </c>
      <c r="G395" s="8" t="s">
        <v>1503</v>
      </c>
      <c r="H395" s="5" t="s">
        <v>53</v>
      </c>
      <c r="I395" s="16" t="s">
        <v>1463</v>
      </c>
      <c r="J395" s="8"/>
      <c r="K395" s="9" t="s">
        <v>1875</v>
      </c>
    </row>
    <row r="396" customFormat="false" ht="225.35" hidden="false" customHeight="false" outlineLevel="0" collapsed="false">
      <c r="A396" s="5" t="n">
        <v>391</v>
      </c>
      <c r="B396" s="6" t="s">
        <v>13</v>
      </c>
      <c r="C396" s="7" t="s">
        <v>225</v>
      </c>
      <c r="D396" s="8" t="s">
        <v>226</v>
      </c>
      <c r="E396" s="8" t="s">
        <v>276</v>
      </c>
      <c r="F396" s="8" t="s">
        <v>75</v>
      </c>
      <c r="G396" s="8" t="s">
        <v>76</v>
      </c>
      <c r="H396" s="5" t="s">
        <v>53</v>
      </c>
      <c r="I396" s="17" t="s">
        <v>1480</v>
      </c>
      <c r="J396" s="18" t="n">
        <v>1.404</v>
      </c>
      <c r="K396" s="9" t="s">
        <v>1876</v>
      </c>
    </row>
    <row r="397" customFormat="false" ht="306.7" hidden="false" customHeight="false" outlineLevel="0" collapsed="false">
      <c r="A397" s="5" t="n">
        <v>392</v>
      </c>
      <c r="B397" s="6" t="s">
        <v>13</v>
      </c>
      <c r="C397" s="7" t="s">
        <v>225</v>
      </c>
      <c r="D397" s="8" t="s">
        <v>226</v>
      </c>
      <c r="E397" s="8" t="s">
        <v>281</v>
      </c>
      <c r="F397" s="8" t="s">
        <v>282</v>
      </c>
      <c r="G397" s="8" t="s">
        <v>283</v>
      </c>
      <c r="H397" s="5" t="s">
        <v>53</v>
      </c>
      <c r="I397" s="16" t="s">
        <v>1463</v>
      </c>
      <c r="J397" s="8"/>
      <c r="K397" s="9" t="s">
        <v>1877</v>
      </c>
    </row>
    <row r="398" customFormat="false" ht="135.8" hidden="false" customHeight="false" outlineLevel="0" collapsed="false">
      <c r="A398" s="5" t="n">
        <v>393</v>
      </c>
      <c r="B398" s="6" t="s">
        <v>13</v>
      </c>
      <c r="C398" s="7" t="s">
        <v>225</v>
      </c>
      <c r="D398" s="8" t="s">
        <v>226</v>
      </c>
      <c r="E398" s="8" t="s">
        <v>281</v>
      </c>
      <c r="F398" s="8" t="s">
        <v>285</v>
      </c>
      <c r="G398" s="8" t="s">
        <v>286</v>
      </c>
      <c r="H398" s="5" t="s">
        <v>53</v>
      </c>
      <c r="I398" s="17" t="s">
        <v>1480</v>
      </c>
      <c r="J398" s="18" t="n">
        <v>13.12</v>
      </c>
      <c r="K398" s="9" t="s">
        <v>1878</v>
      </c>
    </row>
    <row r="399" customFormat="false" ht="162.65" hidden="false" customHeight="false" outlineLevel="0" collapsed="false">
      <c r="A399" s="5" t="n">
        <v>394</v>
      </c>
      <c r="B399" s="6" t="s">
        <v>13</v>
      </c>
      <c r="C399" s="7" t="s">
        <v>225</v>
      </c>
      <c r="D399" s="8" t="s">
        <v>226</v>
      </c>
      <c r="E399" s="8" t="s">
        <v>281</v>
      </c>
      <c r="F399" s="8" t="s">
        <v>288</v>
      </c>
      <c r="G399" s="8" t="s">
        <v>289</v>
      </c>
      <c r="H399" s="5" t="s">
        <v>53</v>
      </c>
      <c r="I399" s="17" t="s">
        <v>1480</v>
      </c>
      <c r="J399" s="18" t="n">
        <v>9.16</v>
      </c>
      <c r="K399" s="9" t="s">
        <v>1879</v>
      </c>
    </row>
    <row r="400" customFormat="false" ht="244" hidden="false" customHeight="false" outlineLevel="0" collapsed="false">
      <c r="A400" s="5" t="n">
        <v>395</v>
      </c>
      <c r="B400" s="6" t="s">
        <v>13</v>
      </c>
      <c r="C400" s="7" t="s">
        <v>225</v>
      </c>
      <c r="D400" s="8" t="s">
        <v>226</v>
      </c>
      <c r="E400" s="8" t="s">
        <v>281</v>
      </c>
      <c r="F400" s="8" t="s">
        <v>291</v>
      </c>
      <c r="G400" s="8" t="s">
        <v>292</v>
      </c>
      <c r="H400" s="5" t="s">
        <v>53</v>
      </c>
      <c r="I400" s="16" t="s">
        <v>1463</v>
      </c>
      <c r="J400" s="8"/>
      <c r="K400" s="9" t="s">
        <v>1880</v>
      </c>
    </row>
    <row r="401" customFormat="false" ht="135.8" hidden="false" customHeight="false" outlineLevel="0" collapsed="false">
      <c r="A401" s="5" t="n">
        <v>396</v>
      </c>
      <c r="B401" s="6" t="s">
        <v>13</v>
      </c>
      <c r="C401" s="7" t="s">
        <v>225</v>
      </c>
      <c r="D401" s="8" t="s">
        <v>226</v>
      </c>
      <c r="E401" s="8" t="s">
        <v>281</v>
      </c>
      <c r="F401" s="8" t="s">
        <v>294</v>
      </c>
      <c r="G401" s="8" t="s">
        <v>295</v>
      </c>
      <c r="H401" s="5" t="s">
        <v>53</v>
      </c>
      <c r="I401" s="17" t="s">
        <v>1480</v>
      </c>
      <c r="J401" s="18" t="n">
        <v>1.944</v>
      </c>
      <c r="K401" s="9" t="s">
        <v>1881</v>
      </c>
    </row>
    <row r="402" customFormat="false" ht="252.95" hidden="false" customHeight="false" outlineLevel="0" collapsed="false">
      <c r="A402" s="5" t="n">
        <v>397</v>
      </c>
      <c r="B402" s="6" t="s">
        <v>13</v>
      </c>
      <c r="C402" s="7" t="s">
        <v>225</v>
      </c>
      <c r="D402" s="8" t="s">
        <v>226</v>
      </c>
      <c r="E402" s="8" t="s">
        <v>281</v>
      </c>
      <c r="F402" s="8" t="s">
        <v>297</v>
      </c>
      <c r="G402" s="8" t="s">
        <v>298</v>
      </c>
      <c r="H402" s="5" t="s">
        <v>53</v>
      </c>
      <c r="I402" s="16" t="s">
        <v>1463</v>
      </c>
      <c r="J402" s="8"/>
      <c r="K402" s="9" t="s">
        <v>1882</v>
      </c>
    </row>
    <row r="403" customFormat="false" ht="234.3" hidden="false" customHeight="false" outlineLevel="0" collapsed="false">
      <c r="A403" s="5" t="n">
        <v>398</v>
      </c>
      <c r="B403" s="6" t="s">
        <v>13</v>
      </c>
      <c r="C403" s="7" t="s">
        <v>225</v>
      </c>
      <c r="D403" s="8" t="s">
        <v>226</v>
      </c>
      <c r="E403" s="8" t="s">
        <v>281</v>
      </c>
      <c r="F403" s="8" t="s">
        <v>300</v>
      </c>
      <c r="G403" s="8" t="s">
        <v>301</v>
      </c>
      <c r="H403" s="5" t="s">
        <v>53</v>
      </c>
      <c r="I403" s="16" t="s">
        <v>1463</v>
      </c>
      <c r="J403" s="8"/>
      <c r="K403" s="9" t="s">
        <v>1883</v>
      </c>
    </row>
    <row r="404" customFormat="false" ht="189.55" hidden="false" customHeight="false" outlineLevel="0" collapsed="false">
      <c r="A404" s="5" t="n">
        <v>399</v>
      </c>
      <c r="B404" s="6" t="s">
        <v>13</v>
      </c>
      <c r="C404" s="7" t="s">
        <v>225</v>
      </c>
      <c r="D404" s="8" t="s">
        <v>226</v>
      </c>
      <c r="E404" s="8" t="s">
        <v>281</v>
      </c>
      <c r="F404" s="8" t="s">
        <v>303</v>
      </c>
      <c r="G404" s="8" t="s">
        <v>304</v>
      </c>
      <c r="H404" s="5" t="s">
        <v>53</v>
      </c>
      <c r="I404" s="17" t="s">
        <v>1480</v>
      </c>
      <c r="J404" s="18" t="n">
        <v>8.56</v>
      </c>
      <c r="K404" s="9" t="s">
        <v>1884</v>
      </c>
    </row>
    <row r="405" customFormat="false" ht="171.6" hidden="false" customHeight="false" outlineLevel="0" collapsed="false">
      <c r="A405" s="5" t="n">
        <v>400</v>
      </c>
      <c r="B405" s="6" t="s">
        <v>13</v>
      </c>
      <c r="C405" s="7" t="s">
        <v>225</v>
      </c>
      <c r="D405" s="8" t="s">
        <v>226</v>
      </c>
      <c r="E405" s="8" t="s">
        <v>281</v>
      </c>
      <c r="F405" s="8" t="s">
        <v>306</v>
      </c>
      <c r="G405" s="8" t="s">
        <v>307</v>
      </c>
      <c r="H405" s="5" t="s">
        <v>57</v>
      </c>
      <c r="I405" s="17" t="s">
        <v>1480</v>
      </c>
      <c r="J405" s="18" t="n">
        <v>2.84</v>
      </c>
      <c r="K405" s="9" t="s">
        <v>1885</v>
      </c>
    </row>
    <row r="406" customFormat="false" ht="216.4" hidden="false" customHeight="false" outlineLevel="0" collapsed="false">
      <c r="A406" s="5" t="n">
        <v>401</v>
      </c>
      <c r="B406" s="6" t="s">
        <v>13</v>
      </c>
      <c r="C406" s="7" t="s">
        <v>225</v>
      </c>
      <c r="D406" s="8" t="s">
        <v>226</v>
      </c>
      <c r="E406" s="8" t="s">
        <v>281</v>
      </c>
      <c r="F406" s="8" t="s">
        <v>309</v>
      </c>
      <c r="G406" s="8" t="s">
        <v>310</v>
      </c>
      <c r="H406" s="5" t="s">
        <v>57</v>
      </c>
      <c r="I406" s="16" t="s">
        <v>1463</v>
      </c>
      <c r="J406" s="8"/>
      <c r="K406" s="9" t="s">
        <v>1886</v>
      </c>
    </row>
    <row r="407" customFormat="false" ht="198.5" hidden="false" customHeight="false" outlineLevel="0" collapsed="false">
      <c r="A407" s="5" t="n">
        <v>402</v>
      </c>
      <c r="B407" s="6" t="s">
        <v>13</v>
      </c>
      <c r="C407" s="7" t="s">
        <v>225</v>
      </c>
      <c r="D407" s="8" t="s">
        <v>226</v>
      </c>
      <c r="E407" s="8" t="s">
        <v>281</v>
      </c>
      <c r="F407" s="8" t="s">
        <v>312</v>
      </c>
      <c r="G407" s="8" t="s">
        <v>313</v>
      </c>
      <c r="H407" s="5" t="s">
        <v>57</v>
      </c>
      <c r="I407" s="16" t="s">
        <v>1463</v>
      </c>
      <c r="J407" s="8"/>
      <c r="K407" s="9" t="s">
        <v>1887</v>
      </c>
    </row>
    <row r="408" customFormat="false" ht="225.35" hidden="false" customHeight="false" outlineLevel="0" collapsed="false">
      <c r="A408" s="5" t="n">
        <v>403</v>
      </c>
      <c r="B408" s="6" t="s">
        <v>13</v>
      </c>
      <c r="C408" s="7" t="s">
        <v>225</v>
      </c>
      <c r="D408" s="8" t="s">
        <v>226</v>
      </c>
      <c r="E408" s="8" t="s">
        <v>281</v>
      </c>
      <c r="F408" s="8" t="s">
        <v>315</v>
      </c>
      <c r="G408" s="8" t="s">
        <v>316</v>
      </c>
      <c r="H408" s="5" t="s">
        <v>61</v>
      </c>
      <c r="I408" s="16" t="s">
        <v>1463</v>
      </c>
      <c r="J408" s="8"/>
      <c r="K408" s="9" t="s">
        <v>1888</v>
      </c>
    </row>
    <row r="409" customFormat="false" ht="279.85" hidden="false" customHeight="false" outlineLevel="0" collapsed="false">
      <c r="A409" s="5" t="n">
        <v>404</v>
      </c>
      <c r="B409" s="6" t="s">
        <v>13</v>
      </c>
      <c r="C409" s="7" t="s">
        <v>225</v>
      </c>
      <c r="D409" s="8" t="s">
        <v>226</v>
      </c>
      <c r="E409" s="8" t="s">
        <v>281</v>
      </c>
      <c r="F409" s="8" t="s">
        <v>318</v>
      </c>
      <c r="G409" s="8" t="s">
        <v>319</v>
      </c>
      <c r="H409" s="5" t="s">
        <v>18</v>
      </c>
      <c r="I409" s="16" t="s">
        <v>1463</v>
      </c>
      <c r="J409" s="8"/>
      <c r="K409" s="9" t="s">
        <v>1889</v>
      </c>
    </row>
    <row r="410" customFormat="false" ht="244" hidden="false" customHeight="false" outlineLevel="0" collapsed="false">
      <c r="A410" s="5" t="n">
        <v>405</v>
      </c>
      <c r="B410" s="6" t="s">
        <v>13</v>
      </c>
      <c r="C410" s="7" t="s">
        <v>225</v>
      </c>
      <c r="D410" s="8" t="s">
        <v>226</v>
      </c>
      <c r="E410" s="8" t="s">
        <v>281</v>
      </c>
      <c r="F410" s="8" t="s">
        <v>318</v>
      </c>
      <c r="G410" s="8" t="s">
        <v>1890</v>
      </c>
      <c r="H410" s="5" t="s">
        <v>18</v>
      </c>
      <c r="I410" s="16" t="s">
        <v>1463</v>
      </c>
      <c r="J410" s="8"/>
      <c r="K410" s="9" t="s">
        <v>1891</v>
      </c>
    </row>
    <row r="411" customFormat="false" ht="244" hidden="false" customHeight="false" outlineLevel="0" collapsed="false">
      <c r="A411" s="5" t="n">
        <v>406</v>
      </c>
      <c r="B411" s="6" t="s">
        <v>13</v>
      </c>
      <c r="C411" s="7" t="s">
        <v>225</v>
      </c>
      <c r="D411" s="8" t="s">
        <v>226</v>
      </c>
      <c r="E411" s="8" t="s">
        <v>281</v>
      </c>
      <c r="F411" s="8" t="s">
        <v>321</v>
      </c>
      <c r="G411" s="8" t="s">
        <v>322</v>
      </c>
      <c r="H411" s="5" t="s">
        <v>18</v>
      </c>
      <c r="I411" s="16" t="s">
        <v>1463</v>
      </c>
      <c r="J411" s="8"/>
      <c r="K411" s="9" t="s">
        <v>1892</v>
      </c>
    </row>
    <row r="412" customFormat="false" ht="234.3" hidden="false" customHeight="false" outlineLevel="0" collapsed="false">
      <c r="A412" s="5" t="n">
        <v>407</v>
      </c>
      <c r="B412" s="6" t="s">
        <v>13</v>
      </c>
      <c r="C412" s="7" t="s">
        <v>225</v>
      </c>
      <c r="D412" s="8" t="s">
        <v>226</v>
      </c>
      <c r="E412" s="8" t="s">
        <v>324</v>
      </c>
      <c r="F412" s="8" t="s">
        <v>325</v>
      </c>
      <c r="G412" s="8" t="s">
        <v>326</v>
      </c>
      <c r="H412" s="5" t="s">
        <v>53</v>
      </c>
      <c r="I412" s="16" t="s">
        <v>1463</v>
      </c>
      <c r="J412" s="8"/>
      <c r="K412" s="9" t="s">
        <v>1893</v>
      </c>
    </row>
    <row r="413" customFormat="false" ht="252.95" hidden="false" customHeight="false" outlineLevel="0" collapsed="false">
      <c r="A413" s="5" t="n">
        <v>408</v>
      </c>
      <c r="B413" s="6" t="s">
        <v>13</v>
      </c>
      <c r="C413" s="7" t="s">
        <v>225</v>
      </c>
      <c r="D413" s="8" t="s">
        <v>226</v>
      </c>
      <c r="E413" s="8" t="s">
        <v>324</v>
      </c>
      <c r="F413" s="8" t="s">
        <v>291</v>
      </c>
      <c r="G413" s="8" t="s">
        <v>292</v>
      </c>
      <c r="H413" s="5" t="s">
        <v>53</v>
      </c>
      <c r="I413" s="16" t="s">
        <v>1463</v>
      </c>
      <c r="J413" s="8"/>
      <c r="K413" s="9" t="s">
        <v>1894</v>
      </c>
    </row>
    <row r="414" customFormat="false" ht="153.7" hidden="false" customHeight="false" outlineLevel="0" collapsed="false">
      <c r="A414" s="5" t="n">
        <v>409</v>
      </c>
      <c r="B414" s="6" t="s">
        <v>13</v>
      </c>
      <c r="C414" s="7" t="s">
        <v>225</v>
      </c>
      <c r="D414" s="8" t="s">
        <v>226</v>
      </c>
      <c r="E414" s="8" t="s">
        <v>324</v>
      </c>
      <c r="F414" s="8" t="s">
        <v>294</v>
      </c>
      <c r="G414" s="8" t="s">
        <v>295</v>
      </c>
      <c r="H414" s="5" t="s">
        <v>53</v>
      </c>
      <c r="I414" s="17" t="s">
        <v>1480</v>
      </c>
      <c r="J414" s="18" t="n">
        <v>1.944</v>
      </c>
      <c r="K414" s="9" t="s">
        <v>1895</v>
      </c>
    </row>
    <row r="415" customFormat="false" ht="261.9" hidden="false" customHeight="false" outlineLevel="0" collapsed="false">
      <c r="A415" s="5" t="n">
        <v>410</v>
      </c>
      <c r="B415" s="6" t="s">
        <v>13</v>
      </c>
      <c r="C415" s="7" t="s">
        <v>225</v>
      </c>
      <c r="D415" s="8" t="s">
        <v>226</v>
      </c>
      <c r="E415" s="8" t="s">
        <v>324</v>
      </c>
      <c r="F415" s="8" t="s">
        <v>297</v>
      </c>
      <c r="G415" s="8" t="s">
        <v>298</v>
      </c>
      <c r="H415" s="5" t="s">
        <v>53</v>
      </c>
      <c r="I415" s="16" t="s">
        <v>1463</v>
      </c>
      <c r="J415" s="8"/>
      <c r="K415" s="9" t="s">
        <v>1896</v>
      </c>
    </row>
    <row r="416" customFormat="false" ht="171.6" hidden="false" customHeight="false" outlineLevel="0" collapsed="false">
      <c r="A416" s="5" t="n">
        <v>411</v>
      </c>
      <c r="B416" s="6" t="s">
        <v>13</v>
      </c>
      <c r="C416" s="7" t="s">
        <v>225</v>
      </c>
      <c r="D416" s="8" t="s">
        <v>226</v>
      </c>
      <c r="E416" s="8" t="s">
        <v>324</v>
      </c>
      <c r="F416" s="8" t="s">
        <v>331</v>
      </c>
      <c r="G416" s="8" t="s">
        <v>332</v>
      </c>
      <c r="H416" s="5" t="s">
        <v>18</v>
      </c>
      <c r="I416" s="17" t="s">
        <v>1480</v>
      </c>
      <c r="J416" s="18" t="n">
        <v>8.56</v>
      </c>
      <c r="K416" s="9" t="s">
        <v>1897</v>
      </c>
    </row>
    <row r="417" customFormat="false" ht="162.65" hidden="false" customHeight="false" outlineLevel="0" collapsed="false">
      <c r="A417" s="5" t="n">
        <v>412</v>
      </c>
      <c r="B417" s="6" t="s">
        <v>13</v>
      </c>
      <c r="C417" s="7" t="s">
        <v>225</v>
      </c>
      <c r="D417" s="8" t="s">
        <v>226</v>
      </c>
      <c r="E417" s="8" t="s">
        <v>324</v>
      </c>
      <c r="F417" s="8" t="s">
        <v>334</v>
      </c>
      <c r="G417" s="8" t="s">
        <v>335</v>
      </c>
      <c r="H417" s="5" t="s">
        <v>61</v>
      </c>
      <c r="I417" s="17" t="s">
        <v>1480</v>
      </c>
      <c r="J417" s="18" t="n">
        <v>4</v>
      </c>
      <c r="K417" s="9" t="s">
        <v>1898</v>
      </c>
    </row>
    <row r="418" customFormat="false" ht="225.35" hidden="false" customHeight="false" outlineLevel="0" collapsed="false">
      <c r="A418" s="5" t="n">
        <v>413</v>
      </c>
      <c r="B418" s="6" t="s">
        <v>13</v>
      </c>
      <c r="C418" s="7" t="s">
        <v>225</v>
      </c>
      <c r="D418" s="8" t="s">
        <v>226</v>
      </c>
      <c r="E418" s="8" t="s">
        <v>324</v>
      </c>
      <c r="F418" s="8" t="s">
        <v>309</v>
      </c>
      <c r="G418" s="8" t="s">
        <v>310</v>
      </c>
      <c r="H418" s="5" t="s">
        <v>57</v>
      </c>
      <c r="I418" s="16" t="s">
        <v>1463</v>
      </c>
      <c r="J418" s="8"/>
      <c r="K418" s="9" t="s">
        <v>1899</v>
      </c>
    </row>
    <row r="419" customFormat="false" ht="288.8" hidden="false" customHeight="false" outlineLevel="0" collapsed="false">
      <c r="A419" s="5" t="n">
        <v>414</v>
      </c>
      <c r="B419" s="6" t="s">
        <v>13</v>
      </c>
      <c r="C419" s="7" t="s">
        <v>225</v>
      </c>
      <c r="D419" s="8" t="s">
        <v>226</v>
      </c>
      <c r="E419" s="8" t="s">
        <v>324</v>
      </c>
      <c r="F419" s="8" t="s">
        <v>318</v>
      </c>
      <c r="G419" s="8" t="s">
        <v>319</v>
      </c>
      <c r="H419" s="5" t="s">
        <v>18</v>
      </c>
      <c r="I419" s="16" t="s">
        <v>1463</v>
      </c>
      <c r="J419" s="8"/>
      <c r="K419" s="9" t="s">
        <v>1900</v>
      </c>
    </row>
    <row r="420" customFormat="false" ht="252.95" hidden="false" customHeight="false" outlineLevel="0" collapsed="false">
      <c r="A420" s="5" t="n">
        <v>415</v>
      </c>
      <c r="B420" s="6" t="s">
        <v>13</v>
      </c>
      <c r="C420" s="7" t="s">
        <v>225</v>
      </c>
      <c r="D420" s="8" t="s">
        <v>226</v>
      </c>
      <c r="E420" s="8" t="s">
        <v>324</v>
      </c>
      <c r="F420" s="8" t="s">
        <v>318</v>
      </c>
      <c r="G420" s="8" t="s">
        <v>1890</v>
      </c>
      <c r="H420" s="5" t="s">
        <v>18</v>
      </c>
      <c r="I420" s="16" t="s">
        <v>1463</v>
      </c>
      <c r="J420" s="8"/>
      <c r="K420" s="9" t="s">
        <v>1901</v>
      </c>
    </row>
    <row r="421" customFormat="false" ht="244" hidden="false" customHeight="false" outlineLevel="0" collapsed="false">
      <c r="A421" s="5" t="n">
        <v>416</v>
      </c>
      <c r="B421" s="6" t="s">
        <v>13</v>
      </c>
      <c r="C421" s="7" t="s">
        <v>225</v>
      </c>
      <c r="D421" s="8" t="s">
        <v>226</v>
      </c>
      <c r="E421" s="8" t="s">
        <v>339</v>
      </c>
      <c r="F421" s="8" t="s">
        <v>99</v>
      </c>
      <c r="G421" s="8" t="s">
        <v>100</v>
      </c>
      <c r="H421" s="5" t="s">
        <v>57</v>
      </c>
      <c r="I421" s="16" t="s">
        <v>1463</v>
      </c>
      <c r="J421" s="8"/>
      <c r="K421" s="9" t="s">
        <v>1902</v>
      </c>
    </row>
    <row r="422" customFormat="false" ht="216.4" hidden="false" customHeight="false" outlineLevel="0" collapsed="false">
      <c r="A422" s="5" t="n">
        <v>417</v>
      </c>
      <c r="B422" s="6" t="s">
        <v>13</v>
      </c>
      <c r="C422" s="7" t="s">
        <v>225</v>
      </c>
      <c r="D422" s="8" t="s">
        <v>226</v>
      </c>
      <c r="E422" s="8" t="s">
        <v>339</v>
      </c>
      <c r="F422" s="8" t="s">
        <v>96</v>
      </c>
      <c r="G422" s="8" t="s">
        <v>97</v>
      </c>
      <c r="H422" s="5" t="s">
        <v>57</v>
      </c>
      <c r="I422" s="17" t="s">
        <v>1480</v>
      </c>
      <c r="J422" s="18" t="n">
        <v>220</v>
      </c>
      <c r="K422" s="9" t="s">
        <v>1903</v>
      </c>
    </row>
    <row r="423" customFormat="false" ht="297.75" hidden="false" customHeight="false" outlineLevel="0" collapsed="false">
      <c r="A423" s="5" t="n">
        <v>418</v>
      </c>
      <c r="B423" s="6" t="s">
        <v>13</v>
      </c>
      <c r="C423" s="7" t="s">
        <v>225</v>
      </c>
      <c r="D423" s="8" t="s">
        <v>226</v>
      </c>
      <c r="E423" s="8" t="s">
        <v>339</v>
      </c>
      <c r="F423" s="8" t="s">
        <v>342</v>
      </c>
      <c r="G423" s="8" t="s">
        <v>343</v>
      </c>
      <c r="H423" s="5" t="s">
        <v>57</v>
      </c>
      <c r="I423" s="16" t="s">
        <v>1463</v>
      </c>
      <c r="J423" s="8"/>
      <c r="K423" s="9" t="s">
        <v>1904</v>
      </c>
    </row>
    <row r="424" customFormat="false" ht="225.35" hidden="false" customHeight="false" outlineLevel="0" collapsed="false">
      <c r="A424" s="5" t="n">
        <v>419</v>
      </c>
      <c r="B424" s="6" t="s">
        <v>13</v>
      </c>
      <c r="C424" s="7" t="s">
        <v>225</v>
      </c>
      <c r="D424" s="8" t="s">
        <v>226</v>
      </c>
      <c r="E424" s="8" t="s">
        <v>339</v>
      </c>
      <c r="F424" s="8" t="s">
        <v>345</v>
      </c>
      <c r="G424" s="8" t="s">
        <v>346</v>
      </c>
      <c r="H424" s="5" t="s">
        <v>35</v>
      </c>
      <c r="I424" s="16" t="s">
        <v>1463</v>
      </c>
      <c r="J424" s="8"/>
      <c r="K424" s="9" t="s">
        <v>1905</v>
      </c>
    </row>
    <row r="425" customFormat="false" ht="315.65" hidden="false" customHeight="false" outlineLevel="0" collapsed="false">
      <c r="A425" s="5" t="n">
        <v>420</v>
      </c>
      <c r="B425" s="10" t="s">
        <v>348</v>
      </c>
      <c r="C425" s="11" t="s">
        <v>349</v>
      </c>
      <c r="D425" s="8" t="s">
        <v>350</v>
      </c>
      <c r="E425" s="8" t="s">
        <v>351</v>
      </c>
      <c r="F425" s="8" t="s">
        <v>352</v>
      </c>
      <c r="G425" s="8" t="s">
        <v>353</v>
      </c>
      <c r="H425" s="5" t="s">
        <v>18</v>
      </c>
      <c r="I425" s="16" t="s">
        <v>1463</v>
      </c>
      <c r="J425" s="8"/>
      <c r="K425" s="9" t="s">
        <v>1906</v>
      </c>
    </row>
    <row r="426" customFormat="false" ht="279.85" hidden="false" customHeight="false" outlineLevel="0" collapsed="false">
      <c r="A426" s="5" t="n">
        <v>421</v>
      </c>
      <c r="B426" s="10" t="s">
        <v>348</v>
      </c>
      <c r="C426" s="11" t="s">
        <v>349</v>
      </c>
      <c r="D426" s="8" t="s">
        <v>350</v>
      </c>
      <c r="E426" s="8" t="s">
        <v>351</v>
      </c>
      <c r="F426" s="8" t="s">
        <v>355</v>
      </c>
      <c r="G426" s="8" t="s">
        <v>356</v>
      </c>
      <c r="H426" s="5" t="s">
        <v>18</v>
      </c>
      <c r="I426" s="17" t="s">
        <v>1480</v>
      </c>
      <c r="J426" s="18" t="n">
        <v>17.72</v>
      </c>
      <c r="K426" s="9" t="s">
        <v>1907</v>
      </c>
    </row>
    <row r="427" customFormat="false" ht="279.85" hidden="false" customHeight="false" outlineLevel="0" collapsed="false">
      <c r="A427" s="5" t="n">
        <v>422</v>
      </c>
      <c r="B427" s="10" t="s">
        <v>348</v>
      </c>
      <c r="C427" s="11" t="s">
        <v>349</v>
      </c>
      <c r="D427" s="8" t="s">
        <v>350</v>
      </c>
      <c r="E427" s="8" t="s">
        <v>351</v>
      </c>
      <c r="F427" s="8" t="s">
        <v>358</v>
      </c>
      <c r="G427" s="8" t="s">
        <v>359</v>
      </c>
      <c r="H427" s="5" t="s">
        <v>18</v>
      </c>
      <c r="I427" s="17" t="s">
        <v>1480</v>
      </c>
      <c r="J427" s="18" t="n">
        <v>30.8</v>
      </c>
      <c r="K427" s="9" t="s">
        <v>1908</v>
      </c>
    </row>
    <row r="428" customFormat="false" ht="279.85" hidden="false" customHeight="false" outlineLevel="0" collapsed="false">
      <c r="A428" s="5" t="n">
        <v>423</v>
      </c>
      <c r="B428" s="10" t="s">
        <v>348</v>
      </c>
      <c r="C428" s="11" t="s">
        <v>349</v>
      </c>
      <c r="D428" s="8" t="s">
        <v>350</v>
      </c>
      <c r="E428" s="8" t="s">
        <v>351</v>
      </c>
      <c r="F428" s="8" t="s">
        <v>361</v>
      </c>
      <c r="G428" s="8" t="s">
        <v>362</v>
      </c>
      <c r="H428" s="5" t="s">
        <v>18</v>
      </c>
      <c r="I428" s="17" t="s">
        <v>1480</v>
      </c>
      <c r="J428" s="18" t="n">
        <v>38.2</v>
      </c>
      <c r="K428" s="9" t="s">
        <v>1909</v>
      </c>
    </row>
    <row r="429" customFormat="false" ht="279.85" hidden="false" customHeight="false" outlineLevel="0" collapsed="false">
      <c r="A429" s="5" t="n">
        <v>424</v>
      </c>
      <c r="B429" s="10" t="s">
        <v>348</v>
      </c>
      <c r="C429" s="11" t="s">
        <v>349</v>
      </c>
      <c r="D429" s="8" t="s">
        <v>350</v>
      </c>
      <c r="E429" s="8" t="s">
        <v>351</v>
      </c>
      <c r="F429" s="8" t="s">
        <v>364</v>
      </c>
      <c r="G429" s="8" t="s">
        <v>365</v>
      </c>
      <c r="H429" s="5" t="s">
        <v>18</v>
      </c>
      <c r="I429" s="17" t="s">
        <v>1480</v>
      </c>
      <c r="J429" s="18" t="n">
        <v>56.96</v>
      </c>
      <c r="K429" s="9" t="s">
        <v>1910</v>
      </c>
    </row>
    <row r="430" customFormat="false" ht="297.75" hidden="false" customHeight="false" outlineLevel="0" collapsed="false">
      <c r="A430" s="5" t="n">
        <v>425</v>
      </c>
      <c r="B430" s="10" t="s">
        <v>348</v>
      </c>
      <c r="C430" s="11" t="s">
        <v>349</v>
      </c>
      <c r="D430" s="8" t="s">
        <v>350</v>
      </c>
      <c r="E430" s="8" t="s">
        <v>367</v>
      </c>
      <c r="F430" s="8" t="s">
        <v>368</v>
      </c>
      <c r="G430" s="8" t="s">
        <v>369</v>
      </c>
      <c r="H430" s="5" t="s">
        <v>18</v>
      </c>
      <c r="I430" s="16" t="s">
        <v>1463</v>
      </c>
      <c r="J430" s="8"/>
      <c r="K430" s="9" t="s">
        <v>1911</v>
      </c>
    </row>
    <row r="431" customFormat="false" ht="297.75" hidden="false" customHeight="false" outlineLevel="0" collapsed="false">
      <c r="A431" s="5" t="n">
        <v>426</v>
      </c>
      <c r="B431" s="10" t="s">
        <v>348</v>
      </c>
      <c r="C431" s="11" t="s">
        <v>349</v>
      </c>
      <c r="D431" s="8" t="s">
        <v>350</v>
      </c>
      <c r="E431" s="8" t="s">
        <v>367</v>
      </c>
      <c r="F431" s="8" t="s">
        <v>371</v>
      </c>
      <c r="G431" s="8" t="s">
        <v>372</v>
      </c>
      <c r="H431" s="5" t="s">
        <v>18</v>
      </c>
      <c r="I431" s="16" t="s">
        <v>1463</v>
      </c>
      <c r="J431" s="8"/>
      <c r="K431" s="9" t="s">
        <v>1912</v>
      </c>
    </row>
    <row r="432" customFormat="false" ht="297.75" hidden="false" customHeight="false" outlineLevel="0" collapsed="false">
      <c r="A432" s="5" t="n">
        <v>427</v>
      </c>
      <c r="B432" s="10" t="s">
        <v>348</v>
      </c>
      <c r="C432" s="11" t="s">
        <v>349</v>
      </c>
      <c r="D432" s="8" t="s">
        <v>350</v>
      </c>
      <c r="E432" s="8" t="s">
        <v>367</v>
      </c>
      <c r="F432" s="8" t="s">
        <v>374</v>
      </c>
      <c r="G432" s="8" t="s">
        <v>375</v>
      </c>
      <c r="H432" s="5" t="s">
        <v>18</v>
      </c>
      <c r="I432" s="16" t="s">
        <v>1463</v>
      </c>
      <c r="J432" s="8"/>
      <c r="K432" s="9" t="s">
        <v>1913</v>
      </c>
    </row>
    <row r="433" customFormat="false" ht="288.8" hidden="false" customHeight="false" outlineLevel="0" collapsed="false">
      <c r="A433" s="5" t="n">
        <v>428</v>
      </c>
      <c r="B433" s="10" t="s">
        <v>348</v>
      </c>
      <c r="C433" s="11" t="s">
        <v>349</v>
      </c>
      <c r="D433" s="8" t="s">
        <v>350</v>
      </c>
      <c r="E433" s="8" t="s">
        <v>377</v>
      </c>
      <c r="F433" s="8" t="s">
        <v>378</v>
      </c>
      <c r="G433" s="8" t="s">
        <v>379</v>
      </c>
      <c r="H433" s="5" t="s">
        <v>18</v>
      </c>
      <c r="I433" s="16" t="s">
        <v>1463</v>
      </c>
      <c r="J433" s="8"/>
      <c r="K433" s="9" t="s">
        <v>1914</v>
      </c>
    </row>
    <row r="434" customFormat="false" ht="288.8" hidden="false" customHeight="false" outlineLevel="0" collapsed="false">
      <c r="A434" s="5" t="n">
        <v>429</v>
      </c>
      <c r="B434" s="10" t="s">
        <v>348</v>
      </c>
      <c r="C434" s="11" t="s">
        <v>349</v>
      </c>
      <c r="D434" s="8" t="s">
        <v>350</v>
      </c>
      <c r="E434" s="8" t="s">
        <v>377</v>
      </c>
      <c r="F434" s="8" t="s">
        <v>381</v>
      </c>
      <c r="G434" s="8" t="s">
        <v>382</v>
      </c>
      <c r="H434" s="5" t="s">
        <v>18</v>
      </c>
      <c r="I434" s="16" t="s">
        <v>1463</v>
      </c>
      <c r="J434" s="8"/>
      <c r="K434" s="9" t="s">
        <v>1915</v>
      </c>
    </row>
    <row r="435" customFormat="false" ht="288.8" hidden="false" customHeight="false" outlineLevel="0" collapsed="false">
      <c r="A435" s="5" t="n">
        <v>430</v>
      </c>
      <c r="B435" s="10" t="s">
        <v>348</v>
      </c>
      <c r="C435" s="11" t="s">
        <v>349</v>
      </c>
      <c r="D435" s="8" t="s">
        <v>350</v>
      </c>
      <c r="E435" s="8" t="s">
        <v>377</v>
      </c>
      <c r="F435" s="8" t="s">
        <v>384</v>
      </c>
      <c r="G435" s="8" t="s">
        <v>385</v>
      </c>
      <c r="H435" s="5" t="s">
        <v>18</v>
      </c>
      <c r="I435" s="16" t="s">
        <v>1463</v>
      </c>
      <c r="J435" s="8"/>
      <c r="K435" s="9" t="s">
        <v>1916</v>
      </c>
    </row>
    <row r="436" customFormat="false" ht="288.8" hidden="false" customHeight="false" outlineLevel="0" collapsed="false">
      <c r="A436" s="5" t="n">
        <v>431</v>
      </c>
      <c r="B436" s="10" t="s">
        <v>348</v>
      </c>
      <c r="C436" s="11" t="s">
        <v>349</v>
      </c>
      <c r="D436" s="8" t="s">
        <v>350</v>
      </c>
      <c r="E436" s="8" t="s">
        <v>387</v>
      </c>
      <c r="F436" s="8" t="s">
        <v>388</v>
      </c>
      <c r="G436" s="8" t="s">
        <v>389</v>
      </c>
      <c r="H436" s="5" t="s">
        <v>18</v>
      </c>
      <c r="I436" s="16" t="s">
        <v>1463</v>
      </c>
      <c r="J436" s="8"/>
      <c r="K436" s="9" t="s">
        <v>1917</v>
      </c>
    </row>
    <row r="437" customFormat="false" ht="288.8" hidden="false" customHeight="false" outlineLevel="0" collapsed="false">
      <c r="A437" s="5" t="n">
        <v>432</v>
      </c>
      <c r="B437" s="10" t="s">
        <v>348</v>
      </c>
      <c r="C437" s="11" t="s">
        <v>349</v>
      </c>
      <c r="D437" s="8" t="s">
        <v>350</v>
      </c>
      <c r="E437" s="8" t="s">
        <v>387</v>
      </c>
      <c r="F437" s="8" t="s">
        <v>391</v>
      </c>
      <c r="G437" s="8" t="s">
        <v>392</v>
      </c>
      <c r="H437" s="5" t="s">
        <v>61</v>
      </c>
      <c r="I437" s="16" t="s">
        <v>1463</v>
      </c>
      <c r="J437" s="8"/>
      <c r="K437" s="9" t="s">
        <v>1918</v>
      </c>
    </row>
    <row r="438" customFormat="false" ht="162.65" hidden="false" customHeight="false" outlineLevel="0" collapsed="false">
      <c r="A438" s="5" t="n">
        <v>433</v>
      </c>
      <c r="B438" s="10" t="s">
        <v>348</v>
      </c>
      <c r="C438" s="11" t="s">
        <v>349</v>
      </c>
      <c r="D438" s="8" t="s">
        <v>350</v>
      </c>
      <c r="E438" s="8" t="s">
        <v>394</v>
      </c>
      <c r="F438" s="8" t="s">
        <v>394</v>
      </c>
      <c r="G438" s="8" t="s">
        <v>395</v>
      </c>
      <c r="H438" s="5" t="s">
        <v>18</v>
      </c>
      <c r="I438" s="17" t="s">
        <v>1480</v>
      </c>
      <c r="J438" s="18" t="n">
        <v>14.88</v>
      </c>
      <c r="K438" s="9" t="s">
        <v>1919</v>
      </c>
    </row>
    <row r="439" customFormat="false" ht="162.65" hidden="false" customHeight="false" outlineLevel="0" collapsed="false">
      <c r="A439" s="5" t="n">
        <v>434</v>
      </c>
      <c r="B439" s="10" t="s">
        <v>348</v>
      </c>
      <c r="C439" s="11" t="s">
        <v>349</v>
      </c>
      <c r="D439" s="8" t="s">
        <v>350</v>
      </c>
      <c r="E439" s="8" t="s">
        <v>394</v>
      </c>
      <c r="F439" s="8" t="s">
        <v>394</v>
      </c>
      <c r="G439" s="8" t="s">
        <v>394</v>
      </c>
      <c r="H439" s="5" t="s">
        <v>18</v>
      </c>
      <c r="I439" s="16" t="s">
        <v>1463</v>
      </c>
      <c r="J439" s="8"/>
      <c r="K439" s="9" t="s">
        <v>1920</v>
      </c>
    </row>
    <row r="440" customFormat="false" ht="297.75" hidden="false" customHeight="false" outlineLevel="0" collapsed="false">
      <c r="A440" s="5" t="n">
        <v>435</v>
      </c>
      <c r="B440" s="10" t="s">
        <v>348</v>
      </c>
      <c r="C440" s="11" t="s">
        <v>349</v>
      </c>
      <c r="D440" s="8" t="s">
        <v>350</v>
      </c>
      <c r="E440" s="8" t="s">
        <v>394</v>
      </c>
      <c r="F440" s="8" t="s">
        <v>397</v>
      </c>
      <c r="G440" s="8" t="s">
        <v>398</v>
      </c>
      <c r="H440" s="5" t="s">
        <v>18</v>
      </c>
      <c r="I440" s="16" t="s">
        <v>1463</v>
      </c>
      <c r="J440" s="8"/>
      <c r="K440" s="9" t="s">
        <v>1921</v>
      </c>
    </row>
    <row r="441" customFormat="false" ht="351.45" hidden="false" customHeight="false" outlineLevel="0" collapsed="false">
      <c r="A441" s="5" t="n">
        <v>436</v>
      </c>
      <c r="B441" s="10" t="s">
        <v>348</v>
      </c>
      <c r="C441" s="11" t="s">
        <v>349</v>
      </c>
      <c r="D441" s="8" t="s">
        <v>350</v>
      </c>
      <c r="E441" s="8" t="s">
        <v>394</v>
      </c>
      <c r="F441" s="8" t="s">
        <v>400</v>
      </c>
      <c r="G441" s="8" t="s">
        <v>401</v>
      </c>
      <c r="H441" s="5" t="s">
        <v>18</v>
      </c>
      <c r="I441" s="16" t="s">
        <v>1463</v>
      </c>
      <c r="J441" s="8"/>
      <c r="K441" s="9" t="s">
        <v>1922</v>
      </c>
    </row>
    <row r="442" customFormat="false" ht="252.95" hidden="false" customHeight="false" outlineLevel="0" collapsed="false">
      <c r="A442" s="5" t="n">
        <v>437</v>
      </c>
      <c r="B442" s="10" t="s">
        <v>348</v>
      </c>
      <c r="C442" s="11" t="s">
        <v>349</v>
      </c>
      <c r="D442" s="8" t="s">
        <v>350</v>
      </c>
      <c r="E442" s="8" t="s">
        <v>394</v>
      </c>
      <c r="F442" s="8" t="s">
        <v>403</v>
      </c>
      <c r="G442" s="8" t="s">
        <v>404</v>
      </c>
      <c r="H442" s="5" t="s">
        <v>18</v>
      </c>
      <c r="I442" s="16" t="s">
        <v>1463</v>
      </c>
      <c r="J442" s="8"/>
      <c r="K442" s="9" t="s">
        <v>1923</v>
      </c>
    </row>
    <row r="443" customFormat="false" ht="153.7" hidden="false" customHeight="false" outlineLevel="0" collapsed="false">
      <c r="A443" s="5" t="n">
        <v>438</v>
      </c>
      <c r="B443" s="10" t="s">
        <v>348</v>
      </c>
      <c r="C443" s="11" t="s">
        <v>406</v>
      </c>
      <c r="D443" s="8" t="s">
        <v>407</v>
      </c>
      <c r="E443" s="8" t="s">
        <v>408</v>
      </c>
      <c r="F443" s="8" t="s">
        <v>408</v>
      </c>
      <c r="G443" s="8" t="s">
        <v>409</v>
      </c>
      <c r="H443" s="5" t="s">
        <v>18</v>
      </c>
      <c r="I443" s="17" t="s">
        <v>1480</v>
      </c>
      <c r="J443" s="18" t="n">
        <v>5.24</v>
      </c>
      <c r="K443" s="9" t="s">
        <v>1924</v>
      </c>
    </row>
    <row r="444" customFormat="false" ht="153.7" hidden="false" customHeight="false" outlineLevel="0" collapsed="false">
      <c r="A444" s="5" t="n">
        <v>439</v>
      </c>
      <c r="B444" s="10" t="s">
        <v>348</v>
      </c>
      <c r="C444" s="11" t="s">
        <v>406</v>
      </c>
      <c r="D444" s="8" t="s">
        <v>407</v>
      </c>
      <c r="E444" s="8" t="s">
        <v>408</v>
      </c>
      <c r="F444" s="8" t="s">
        <v>408</v>
      </c>
      <c r="G444" s="8" t="s">
        <v>1925</v>
      </c>
      <c r="H444" s="5" t="s">
        <v>18</v>
      </c>
      <c r="I444" s="16" t="s">
        <v>1463</v>
      </c>
      <c r="J444" s="8"/>
      <c r="K444" s="9" t="s">
        <v>1926</v>
      </c>
    </row>
    <row r="445" customFormat="false" ht="198.5" hidden="false" customHeight="false" outlineLevel="0" collapsed="false">
      <c r="A445" s="5" t="n">
        <v>440</v>
      </c>
      <c r="B445" s="10" t="s">
        <v>348</v>
      </c>
      <c r="C445" s="11" t="s">
        <v>406</v>
      </c>
      <c r="D445" s="8" t="s">
        <v>407</v>
      </c>
      <c r="E445" s="8" t="s">
        <v>408</v>
      </c>
      <c r="F445" s="8" t="s">
        <v>411</v>
      </c>
      <c r="G445" s="8" t="s">
        <v>412</v>
      </c>
      <c r="H445" s="5" t="s">
        <v>18</v>
      </c>
      <c r="I445" s="16" t="s">
        <v>1463</v>
      </c>
      <c r="J445" s="8"/>
      <c r="K445" s="9" t="s">
        <v>1927</v>
      </c>
    </row>
    <row r="446" customFormat="false" ht="216.4" hidden="false" customHeight="false" outlineLevel="0" collapsed="false">
      <c r="A446" s="5" t="n">
        <v>441</v>
      </c>
      <c r="B446" s="10" t="s">
        <v>348</v>
      </c>
      <c r="C446" s="11" t="s">
        <v>406</v>
      </c>
      <c r="D446" s="8" t="s">
        <v>407</v>
      </c>
      <c r="E446" s="8" t="s">
        <v>408</v>
      </c>
      <c r="F446" s="8" t="s">
        <v>414</v>
      </c>
      <c r="G446" s="8" t="s">
        <v>415</v>
      </c>
      <c r="H446" s="5" t="s">
        <v>61</v>
      </c>
      <c r="I446" s="16" t="s">
        <v>1463</v>
      </c>
      <c r="J446" s="8"/>
      <c r="K446" s="9" t="s">
        <v>1928</v>
      </c>
    </row>
    <row r="447" customFormat="false" ht="99.95" hidden="false" customHeight="false" outlineLevel="0" collapsed="false">
      <c r="A447" s="5" t="n">
        <v>442</v>
      </c>
      <c r="B447" s="10" t="s">
        <v>348</v>
      </c>
      <c r="C447" s="11" t="s">
        <v>406</v>
      </c>
      <c r="D447" s="8" t="s">
        <v>407</v>
      </c>
      <c r="E447" s="8" t="s">
        <v>417</v>
      </c>
      <c r="F447" s="8" t="s">
        <v>417</v>
      </c>
      <c r="G447" s="8" t="s">
        <v>417</v>
      </c>
      <c r="H447" s="5" t="s">
        <v>18</v>
      </c>
      <c r="I447" s="17" t="s">
        <v>1480</v>
      </c>
      <c r="J447" s="18" t="n">
        <v>4.6</v>
      </c>
      <c r="K447" s="9" t="s">
        <v>1929</v>
      </c>
    </row>
    <row r="448" customFormat="false" ht="180.55" hidden="false" customHeight="false" outlineLevel="0" collapsed="false">
      <c r="A448" s="5" t="n">
        <v>443</v>
      </c>
      <c r="B448" s="10" t="s">
        <v>348</v>
      </c>
      <c r="C448" s="11" t="s">
        <v>406</v>
      </c>
      <c r="D448" s="8" t="s">
        <v>407</v>
      </c>
      <c r="E448" s="8" t="s">
        <v>417</v>
      </c>
      <c r="F448" s="8" t="s">
        <v>417</v>
      </c>
      <c r="G448" s="8" t="s">
        <v>1930</v>
      </c>
      <c r="H448" s="5" t="s">
        <v>18</v>
      </c>
      <c r="I448" s="16" t="s">
        <v>1463</v>
      </c>
      <c r="J448" s="8"/>
      <c r="K448" s="9" t="s">
        <v>1931</v>
      </c>
    </row>
    <row r="449" customFormat="false" ht="198.5" hidden="false" customHeight="false" outlineLevel="0" collapsed="false">
      <c r="A449" s="5" t="n">
        <v>444</v>
      </c>
      <c r="B449" s="10" t="s">
        <v>348</v>
      </c>
      <c r="C449" s="11" t="s">
        <v>406</v>
      </c>
      <c r="D449" s="8" t="s">
        <v>407</v>
      </c>
      <c r="E449" s="8" t="s">
        <v>417</v>
      </c>
      <c r="F449" s="8" t="s">
        <v>417</v>
      </c>
      <c r="G449" s="8" t="s">
        <v>1932</v>
      </c>
      <c r="H449" s="5" t="s">
        <v>18</v>
      </c>
      <c r="I449" s="16" t="s">
        <v>1463</v>
      </c>
      <c r="J449" s="8"/>
      <c r="K449" s="9" t="s">
        <v>1933</v>
      </c>
    </row>
    <row r="450" customFormat="false" ht="153.7" hidden="false" customHeight="false" outlineLevel="0" collapsed="false">
      <c r="A450" s="5" t="n">
        <v>445</v>
      </c>
      <c r="B450" s="10" t="s">
        <v>348</v>
      </c>
      <c r="C450" s="11" t="s">
        <v>406</v>
      </c>
      <c r="D450" s="8" t="s">
        <v>407</v>
      </c>
      <c r="E450" s="8" t="s">
        <v>417</v>
      </c>
      <c r="F450" s="8" t="s">
        <v>419</v>
      </c>
      <c r="G450" s="8" t="s">
        <v>420</v>
      </c>
      <c r="H450" s="5" t="s">
        <v>18</v>
      </c>
      <c r="I450" s="16" t="s">
        <v>1463</v>
      </c>
      <c r="J450" s="8"/>
      <c r="K450" s="9" t="s">
        <v>1934</v>
      </c>
    </row>
    <row r="451" customFormat="false" ht="234.3" hidden="false" customHeight="false" outlineLevel="0" collapsed="false">
      <c r="A451" s="5" t="n">
        <v>446</v>
      </c>
      <c r="B451" s="10" t="s">
        <v>348</v>
      </c>
      <c r="C451" s="11" t="s">
        <v>406</v>
      </c>
      <c r="D451" s="8" t="s">
        <v>407</v>
      </c>
      <c r="E451" s="8" t="s">
        <v>417</v>
      </c>
      <c r="F451" s="8" t="s">
        <v>422</v>
      </c>
      <c r="G451" s="8" t="s">
        <v>423</v>
      </c>
      <c r="H451" s="5" t="s">
        <v>18</v>
      </c>
      <c r="I451" s="16" t="s">
        <v>1463</v>
      </c>
      <c r="J451" s="8"/>
      <c r="K451" s="9" t="s">
        <v>1935</v>
      </c>
    </row>
    <row r="452" customFormat="false" ht="180.55" hidden="false" customHeight="false" outlineLevel="0" collapsed="false">
      <c r="A452" s="5" t="n">
        <v>447</v>
      </c>
      <c r="B452" s="10" t="s">
        <v>348</v>
      </c>
      <c r="C452" s="11" t="s">
        <v>406</v>
      </c>
      <c r="D452" s="8" t="s">
        <v>407</v>
      </c>
      <c r="E452" s="8" t="s">
        <v>425</v>
      </c>
      <c r="F452" s="8" t="s">
        <v>425</v>
      </c>
      <c r="G452" s="8" t="s">
        <v>426</v>
      </c>
      <c r="H452" s="5" t="s">
        <v>18</v>
      </c>
      <c r="I452" s="17" t="s">
        <v>1480</v>
      </c>
      <c r="J452" s="18" t="n">
        <v>20.64</v>
      </c>
      <c r="K452" s="9" t="s">
        <v>1936</v>
      </c>
    </row>
    <row r="453" customFormat="false" ht="234.3" hidden="false" customHeight="false" outlineLevel="0" collapsed="false">
      <c r="A453" s="5" t="n">
        <v>448</v>
      </c>
      <c r="B453" s="10" t="s">
        <v>348</v>
      </c>
      <c r="C453" s="11" t="s">
        <v>406</v>
      </c>
      <c r="D453" s="8" t="s">
        <v>407</v>
      </c>
      <c r="E453" s="8" t="s">
        <v>425</v>
      </c>
      <c r="F453" s="8" t="s">
        <v>428</v>
      </c>
      <c r="G453" s="8" t="s">
        <v>429</v>
      </c>
      <c r="H453" s="5" t="s">
        <v>18</v>
      </c>
      <c r="I453" s="16" t="s">
        <v>1463</v>
      </c>
      <c r="J453" s="8"/>
      <c r="K453" s="9" t="s">
        <v>1937</v>
      </c>
    </row>
    <row r="454" customFormat="false" ht="252.95" hidden="false" customHeight="false" outlineLevel="0" collapsed="false">
      <c r="A454" s="5" t="n">
        <v>449</v>
      </c>
      <c r="B454" s="10" t="s">
        <v>348</v>
      </c>
      <c r="C454" s="11" t="s">
        <v>406</v>
      </c>
      <c r="D454" s="8" t="s">
        <v>407</v>
      </c>
      <c r="E454" s="8" t="s">
        <v>431</v>
      </c>
      <c r="F454" s="8" t="s">
        <v>431</v>
      </c>
      <c r="G454" s="8" t="s">
        <v>432</v>
      </c>
      <c r="H454" s="5" t="s">
        <v>61</v>
      </c>
      <c r="I454" s="16" t="s">
        <v>1463</v>
      </c>
      <c r="J454" s="8"/>
      <c r="K454" s="9" t="s">
        <v>1938</v>
      </c>
    </row>
    <row r="455" customFormat="false" ht="207.45" hidden="false" customHeight="false" outlineLevel="0" collapsed="false">
      <c r="A455" s="5" t="n">
        <v>450</v>
      </c>
      <c r="B455" s="10" t="s">
        <v>348</v>
      </c>
      <c r="C455" s="11" t="s">
        <v>406</v>
      </c>
      <c r="D455" s="8" t="s">
        <v>407</v>
      </c>
      <c r="E455" s="8" t="s">
        <v>431</v>
      </c>
      <c r="F455" s="8" t="s">
        <v>434</v>
      </c>
      <c r="G455" s="8" t="s">
        <v>435</v>
      </c>
      <c r="H455" s="5" t="s">
        <v>61</v>
      </c>
      <c r="I455" s="16" t="s">
        <v>1463</v>
      </c>
      <c r="J455" s="8"/>
      <c r="K455" s="9" t="s">
        <v>1939</v>
      </c>
    </row>
    <row r="456" customFormat="false" ht="261.9" hidden="false" customHeight="false" outlineLevel="0" collapsed="false">
      <c r="A456" s="5" t="n">
        <v>451</v>
      </c>
      <c r="B456" s="10" t="s">
        <v>348</v>
      </c>
      <c r="C456" s="11" t="s">
        <v>437</v>
      </c>
      <c r="D456" s="8" t="s">
        <v>438</v>
      </c>
      <c r="E456" s="8" t="s">
        <v>439</v>
      </c>
      <c r="F456" s="8" t="s">
        <v>439</v>
      </c>
      <c r="G456" s="8" t="s">
        <v>440</v>
      </c>
      <c r="H456" s="5" t="s">
        <v>57</v>
      </c>
      <c r="I456" s="16" t="s">
        <v>1463</v>
      </c>
      <c r="J456" s="8"/>
      <c r="K456" s="9" t="s">
        <v>1940</v>
      </c>
    </row>
    <row r="457" customFormat="false" ht="244" hidden="false" customHeight="false" outlineLevel="0" collapsed="false">
      <c r="A457" s="5" t="n">
        <v>452</v>
      </c>
      <c r="B457" s="10" t="s">
        <v>348</v>
      </c>
      <c r="C457" s="11" t="s">
        <v>437</v>
      </c>
      <c r="D457" s="8" t="s">
        <v>438</v>
      </c>
      <c r="E457" s="8" t="s">
        <v>439</v>
      </c>
      <c r="F457" s="8" t="s">
        <v>442</v>
      </c>
      <c r="G457" s="8" t="s">
        <v>443</v>
      </c>
      <c r="H457" s="5" t="s">
        <v>57</v>
      </c>
      <c r="I457" s="16" t="s">
        <v>1463</v>
      </c>
      <c r="J457" s="8"/>
      <c r="K457" s="9" t="s">
        <v>1941</v>
      </c>
    </row>
    <row r="458" customFormat="false" ht="252.95" hidden="false" customHeight="false" outlineLevel="0" collapsed="false">
      <c r="A458" s="5" t="n">
        <v>453</v>
      </c>
      <c r="B458" s="10" t="s">
        <v>348</v>
      </c>
      <c r="C458" s="11" t="s">
        <v>437</v>
      </c>
      <c r="D458" s="8" t="s">
        <v>438</v>
      </c>
      <c r="E458" s="8" t="s">
        <v>445</v>
      </c>
      <c r="F458" s="8" t="s">
        <v>445</v>
      </c>
      <c r="G458" s="8" t="s">
        <v>446</v>
      </c>
      <c r="H458" s="5" t="s">
        <v>57</v>
      </c>
      <c r="I458" s="16" t="s">
        <v>1463</v>
      </c>
      <c r="J458" s="8"/>
      <c r="K458" s="9" t="s">
        <v>1942</v>
      </c>
    </row>
    <row r="459" customFormat="false" ht="288.8" hidden="false" customHeight="false" outlineLevel="0" collapsed="false">
      <c r="A459" s="5" t="n">
        <v>454</v>
      </c>
      <c r="B459" s="10" t="s">
        <v>348</v>
      </c>
      <c r="C459" s="11" t="s">
        <v>437</v>
      </c>
      <c r="D459" s="8" t="s">
        <v>438</v>
      </c>
      <c r="E459" s="8" t="s">
        <v>445</v>
      </c>
      <c r="F459" s="8" t="s">
        <v>448</v>
      </c>
      <c r="G459" s="8" t="s">
        <v>449</v>
      </c>
      <c r="H459" s="5" t="s">
        <v>57</v>
      </c>
      <c r="I459" s="16" t="s">
        <v>1463</v>
      </c>
      <c r="J459" s="8"/>
      <c r="K459" s="9" t="s">
        <v>1943</v>
      </c>
    </row>
    <row r="460" customFormat="false" ht="288.8" hidden="false" customHeight="false" outlineLevel="0" collapsed="false">
      <c r="A460" s="5" t="n">
        <v>455</v>
      </c>
      <c r="B460" s="10" t="s">
        <v>348</v>
      </c>
      <c r="C460" s="11" t="s">
        <v>437</v>
      </c>
      <c r="D460" s="8" t="s">
        <v>438</v>
      </c>
      <c r="E460" s="8" t="s">
        <v>451</v>
      </c>
      <c r="F460" s="8" t="s">
        <v>452</v>
      </c>
      <c r="G460" s="8" t="s">
        <v>453</v>
      </c>
      <c r="H460" s="5" t="s">
        <v>57</v>
      </c>
      <c r="I460" s="16" t="s">
        <v>1463</v>
      </c>
      <c r="J460" s="8"/>
      <c r="K460" s="9" t="s">
        <v>1944</v>
      </c>
    </row>
    <row r="461" customFormat="false" ht="216.4" hidden="false" customHeight="false" outlineLevel="0" collapsed="false">
      <c r="A461" s="5" t="n">
        <v>456</v>
      </c>
      <c r="B461" s="10" t="s">
        <v>348</v>
      </c>
      <c r="C461" s="11" t="s">
        <v>437</v>
      </c>
      <c r="D461" s="8" t="s">
        <v>438</v>
      </c>
      <c r="E461" s="8" t="s">
        <v>451</v>
      </c>
      <c r="F461" s="8" t="s">
        <v>455</v>
      </c>
      <c r="G461" s="8" t="s">
        <v>456</v>
      </c>
      <c r="H461" s="5" t="s">
        <v>57</v>
      </c>
      <c r="I461" s="16" t="s">
        <v>1463</v>
      </c>
      <c r="J461" s="8"/>
      <c r="K461" s="9" t="s">
        <v>1945</v>
      </c>
    </row>
    <row r="462" customFormat="false" ht="225.35" hidden="false" customHeight="false" outlineLevel="0" collapsed="false">
      <c r="A462" s="5" t="n">
        <v>457</v>
      </c>
      <c r="B462" s="10" t="s">
        <v>348</v>
      </c>
      <c r="C462" s="11" t="s">
        <v>437</v>
      </c>
      <c r="D462" s="8" t="s">
        <v>438</v>
      </c>
      <c r="E462" s="8" t="s">
        <v>458</v>
      </c>
      <c r="F462" s="8" t="s">
        <v>458</v>
      </c>
      <c r="G462" s="8" t="s">
        <v>459</v>
      </c>
      <c r="H462" s="5" t="s">
        <v>18</v>
      </c>
      <c r="I462" s="16" t="s">
        <v>1463</v>
      </c>
      <c r="J462" s="8"/>
      <c r="K462" s="9" t="s">
        <v>1946</v>
      </c>
    </row>
    <row r="463" customFormat="false" ht="234.3" hidden="false" customHeight="false" outlineLevel="0" collapsed="false">
      <c r="A463" s="5" t="n">
        <v>458</v>
      </c>
      <c r="B463" s="10" t="s">
        <v>348</v>
      </c>
      <c r="C463" s="11" t="s">
        <v>437</v>
      </c>
      <c r="D463" s="8" t="s">
        <v>438</v>
      </c>
      <c r="E463" s="8" t="s">
        <v>458</v>
      </c>
      <c r="F463" s="8" t="s">
        <v>461</v>
      </c>
      <c r="G463" s="8" t="s">
        <v>462</v>
      </c>
      <c r="H463" s="5" t="s">
        <v>57</v>
      </c>
      <c r="I463" s="16" t="s">
        <v>1463</v>
      </c>
      <c r="J463" s="8"/>
      <c r="K463" s="9" t="s">
        <v>1947</v>
      </c>
    </row>
    <row r="464" customFormat="false" ht="180.55" hidden="false" customHeight="false" outlineLevel="0" collapsed="false">
      <c r="A464" s="5" t="n">
        <v>459</v>
      </c>
      <c r="B464" s="10" t="s">
        <v>348</v>
      </c>
      <c r="C464" s="11" t="s">
        <v>437</v>
      </c>
      <c r="D464" s="8" t="s">
        <v>438</v>
      </c>
      <c r="E464" s="8" t="s">
        <v>464</v>
      </c>
      <c r="F464" s="8" t="s">
        <v>465</v>
      </c>
      <c r="G464" s="8" t="s">
        <v>466</v>
      </c>
      <c r="H464" s="5" t="s">
        <v>57</v>
      </c>
      <c r="I464" s="16" t="s">
        <v>1463</v>
      </c>
      <c r="J464" s="8"/>
      <c r="K464" s="9" t="s">
        <v>1948</v>
      </c>
    </row>
    <row r="465" customFormat="false" ht="171.6" hidden="false" customHeight="false" outlineLevel="0" collapsed="false">
      <c r="A465" s="5" t="n">
        <v>460</v>
      </c>
      <c r="B465" s="10" t="s">
        <v>348</v>
      </c>
      <c r="C465" s="11" t="s">
        <v>437</v>
      </c>
      <c r="D465" s="8" t="s">
        <v>438</v>
      </c>
      <c r="E465" s="8" t="s">
        <v>464</v>
      </c>
      <c r="F465" s="8" t="s">
        <v>468</v>
      </c>
      <c r="G465" s="8" t="s">
        <v>469</v>
      </c>
      <c r="H465" s="5" t="s">
        <v>57</v>
      </c>
      <c r="I465" s="16" t="s">
        <v>1463</v>
      </c>
      <c r="J465" s="8"/>
      <c r="K465" s="9" t="s">
        <v>1949</v>
      </c>
    </row>
    <row r="466" customFormat="false" ht="171.6" hidden="false" customHeight="false" outlineLevel="0" collapsed="false">
      <c r="A466" s="5" t="n">
        <v>461</v>
      </c>
      <c r="B466" s="10" t="s">
        <v>348</v>
      </c>
      <c r="C466" s="11" t="s">
        <v>437</v>
      </c>
      <c r="D466" s="8" t="s">
        <v>438</v>
      </c>
      <c r="E466" s="8" t="s">
        <v>464</v>
      </c>
      <c r="F466" s="8" t="s">
        <v>471</v>
      </c>
      <c r="G466" s="8" t="s">
        <v>472</v>
      </c>
      <c r="H466" s="5" t="s">
        <v>57</v>
      </c>
      <c r="I466" s="16" t="s">
        <v>1463</v>
      </c>
      <c r="J466" s="8"/>
      <c r="K466" s="9" t="s">
        <v>1950</v>
      </c>
    </row>
    <row r="467" customFormat="false" ht="171.6" hidden="false" customHeight="false" outlineLevel="0" collapsed="false">
      <c r="A467" s="5" t="n">
        <v>462</v>
      </c>
      <c r="B467" s="10" t="s">
        <v>348</v>
      </c>
      <c r="C467" s="11" t="s">
        <v>437</v>
      </c>
      <c r="D467" s="8" t="s">
        <v>438</v>
      </c>
      <c r="E467" s="8" t="s">
        <v>464</v>
      </c>
      <c r="F467" s="8" t="s">
        <v>474</v>
      </c>
      <c r="G467" s="8" t="s">
        <v>475</v>
      </c>
      <c r="H467" s="5" t="s">
        <v>57</v>
      </c>
      <c r="I467" s="16" t="s">
        <v>1463</v>
      </c>
      <c r="J467" s="8"/>
      <c r="K467" s="9" t="s">
        <v>1951</v>
      </c>
    </row>
    <row r="468" customFormat="false" ht="297.75" hidden="false" customHeight="false" outlineLevel="0" collapsed="false">
      <c r="A468" s="5" t="n">
        <v>463</v>
      </c>
      <c r="B468" s="10" t="s">
        <v>348</v>
      </c>
      <c r="C468" s="11" t="s">
        <v>477</v>
      </c>
      <c r="D468" s="8" t="s">
        <v>478</v>
      </c>
      <c r="E468" s="8" t="s">
        <v>479</v>
      </c>
      <c r="F468" s="8" t="s">
        <v>479</v>
      </c>
      <c r="G468" s="8" t="s">
        <v>480</v>
      </c>
      <c r="H468" s="5" t="s">
        <v>1952</v>
      </c>
      <c r="I468" s="17" t="s">
        <v>1480</v>
      </c>
      <c r="J468" s="18" t="n">
        <v>131.04</v>
      </c>
      <c r="K468" s="9" t="s">
        <v>1953</v>
      </c>
    </row>
    <row r="469" customFormat="false" ht="225.35" hidden="false" customHeight="false" outlineLevel="0" collapsed="false">
      <c r="A469" s="5" t="n">
        <v>464</v>
      </c>
      <c r="B469" s="10" t="s">
        <v>348</v>
      </c>
      <c r="C469" s="11" t="s">
        <v>477</v>
      </c>
      <c r="D469" s="8" t="s">
        <v>478</v>
      </c>
      <c r="E469" s="8" t="s">
        <v>479</v>
      </c>
      <c r="F469" s="8" t="s">
        <v>479</v>
      </c>
      <c r="G469" s="8" t="s">
        <v>1954</v>
      </c>
      <c r="H469" s="5" t="s">
        <v>1952</v>
      </c>
      <c r="I469" s="17" t="s">
        <v>1480</v>
      </c>
      <c r="J469" s="18" t="n">
        <v>55.44</v>
      </c>
      <c r="K469" s="9" t="s">
        <v>1955</v>
      </c>
    </row>
    <row r="470" customFormat="false" ht="297.75" hidden="false" customHeight="false" outlineLevel="0" collapsed="false">
      <c r="A470" s="5" t="n">
        <v>465</v>
      </c>
      <c r="B470" s="10" t="s">
        <v>348</v>
      </c>
      <c r="C470" s="11" t="s">
        <v>477</v>
      </c>
      <c r="D470" s="8" t="s">
        <v>478</v>
      </c>
      <c r="E470" s="8" t="s">
        <v>479</v>
      </c>
      <c r="F470" s="8" t="s">
        <v>479</v>
      </c>
      <c r="G470" s="8" t="s">
        <v>1956</v>
      </c>
      <c r="H470" s="5" t="s">
        <v>1952</v>
      </c>
      <c r="I470" s="17" t="s">
        <v>1480</v>
      </c>
      <c r="J470" s="18" t="n">
        <v>218.4</v>
      </c>
      <c r="K470" s="9" t="s">
        <v>1957</v>
      </c>
    </row>
    <row r="471" customFormat="false" ht="297.75" hidden="false" customHeight="false" outlineLevel="0" collapsed="false">
      <c r="A471" s="5" t="n">
        <v>466</v>
      </c>
      <c r="B471" s="10" t="s">
        <v>348</v>
      </c>
      <c r="C471" s="11" t="s">
        <v>477</v>
      </c>
      <c r="D471" s="8" t="s">
        <v>478</v>
      </c>
      <c r="E471" s="8" t="s">
        <v>479</v>
      </c>
      <c r="F471" s="8" t="s">
        <v>479</v>
      </c>
      <c r="G471" s="8" t="s">
        <v>1958</v>
      </c>
      <c r="H471" s="5" t="s">
        <v>1952</v>
      </c>
      <c r="I471" s="17" t="s">
        <v>1480</v>
      </c>
      <c r="J471" s="18" t="n">
        <v>223.104</v>
      </c>
      <c r="K471" s="9" t="s">
        <v>1959</v>
      </c>
    </row>
    <row r="472" customFormat="false" ht="225.35" hidden="false" customHeight="false" outlineLevel="0" collapsed="false">
      <c r="A472" s="5" t="n">
        <v>467</v>
      </c>
      <c r="B472" s="10" t="s">
        <v>348</v>
      </c>
      <c r="C472" s="11" t="s">
        <v>477</v>
      </c>
      <c r="D472" s="8" t="s">
        <v>478</v>
      </c>
      <c r="E472" s="8" t="s">
        <v>479</v>
      </c>
      <c r="F472" s="8" t="s">
        <v>479</v>
      </c>
      <c r="G472" s="8" t="s">
        <v>1960</v>
      </c>
      <c r="H472" s="5" t="s">
        <v>1952</v>
      </c>
      <c r="I472" s="17" t="s">
        <v>1480</v>
      </c>
      <c r="J472" s="18" t="n">
        <v>92.4</v>
      </c>
      <c r="K472" s="9" t="s">
        <v>1961</v>
      </c>
    </row>
    <row r="473" customFormat="false" ht="297.75" hidden="false" customHeight="false" outlineLevel="0" collapsed="false">
      <c r="A473" s="5" t="n">
        <v>468</v>
      </c>
      <c r="B473" s="10" t="s">
        <v>348</v>
      </c>
      <c r="C473" s="11" t="s">
        <v>477</v>
      </c>
      <c r="D473" s="8" t="s">
        <v>478</v>
      </c>
      <c r="E473" s="8" t="s">
        <v>479</v>
      </c>
      <c r="F473" s="8" t="s">
        <v>479</v>
      </c>
      <c r="G473" s="8" t="s">
        <v>1962</v>
      </c>
      <c r="H473" s="5" t="s">
        <v>1952</v>
      </c>
      <c r="I473" s="17" t="s">
        <v>1480</v>
      </c>
      <c r="J473" s="18" t="n">
        <v>327.6</v>
      </c>
      <c r="K473" s="9" t="s">
        <v>1963</v>
      </c>
    </row>
    <row r="474" customFormat="false" ht="297.75" hidden="false" customHeight="false" outlineLevel="0" collapsed="false">
      <c r="A474" s="5" t="n">
        <v>469</v>
      </c>
      <c r="B474" s="10" t="s">
        <v>348</v>
      </c>
      <c r="C474" s="11" t="s">
        <v>477</v>
      </c>
      <c r="D474" s="8" t="s">
        <v>478</v>
      </c>
      <c r="E474" s="8" t="s">
        <v>479</v>
      </c>
      <c r="F474" s="8" t="s">
        <v>479</v>
      </c>
      <c r="G474" s="8" t="s">
        <v>1964</v>
      </c>
      <c r="H474" s="5" t="s">
        <v>1952</v>
      </c>
      <c r="I474" s="17" t="s">
        <v>1480</v>
      </c>
      <c r="J474" s="18" t="n">
        <v>656.32</v>
      </c>
      <c r="K474" s="9" t="s">
        <v>1965</v>
      </c>
    </row>
    <row r="475" customFormat="false" ht="225.35" hidden="false" customHeight="false" outlineLevel="0" collapsed="false">
      <c r="A475" s="5" t="n">
        <v>470</v>
      </c>
      <c r="B475" s="10" t="s">
        <v>348</v>
      </c>
      <c r="C475" s="11" t="s">
        <v>477</v>
      </c>
      <c r="D475" s="8" t="s">
        <v>478</v>
      </c>
      <c r="E475" s="8" t="s">
        <v>479</v>
      </c>
      <c r="F475" s="8" t="s">
        <v>479</v>
      </c>
      <c r="G475" s="8" t="s">
        <v>1966</v>
      </c>
      <c r="H475" s="5" t="s">
        <v>1952</v>
      </c>
      <c r="I475" s="17" t="s">
        <v>1480</v>
      </c>
      <c r="J475" s="18" t="n">
        <v>55.44</v>
      </c>
      <c r="K475" s="9" t="s">
        <v>1967</v>
      </c>
    </row>
    <row r="476" customFormat="false" ht="288.8" hidden="false" customHeight="false" outlineLevel="0" collapsed="false">
      <c r="A476" s="5" t="n">
        <v>471</v>
      </c>
      <c r="B476" s="10" t="s">
        <v>348</v>
      </c>
      <c r="C476" s="11" t="s">
        <v>477</v>
      </c>
      <c r="D476" s="8" t="s">
        <v>478</v>
      </c>
      <c r="E476" s="8" t="s">
        <v>479</v>
      </c>
      <c r="F476" s="8" t="s">
        <v>479</v>
      </c>
      <c r="G476" s="8" t="s">
        <v>1968</v>
      </c>
      <c r="H476" s="5" t="s">
        <v>57</v>
      </c>
      <c r="I476" s="16" t="s">
        <v>1463</v>
      </c>
      <c r="J476" s="8"/>
      <c r="K476" s="9" t="s">
        <v>1969</v>
      </c>
    </row>
    <row r="477" customFormat="false" ht="270.85" hidden="false" customHeight="false" outlineLevel="0" collapsed="false">
      <c r="A477" s="5" t="n">
        <v>472</v>
      </c>
      <c r="B477" s="10" t="s">
        <v>348</v>
      </c>
      <c r="C477" s="11" t="s">
        <v>477</v>
      </c>
      <c r="D477" s="8" t="s">
        <v>478</v>
      </c>
      <c r="E477" s="8" t="s">
        <v>479</v>
      </c>
      <c r="F477" s="8" t="s">
        <v>479</v>
      </c>
      <c r="G477" s="8" t="s">
        <v>1970</v>
      </c>
      <c r="H477" s="5" t="s">
        <v>57</v>
      </c>
      <c r="I477" s="16" t="s">
        <v>1463</v>
      </c>
      <c r="J477" s="8"/>
      <c r="K477" s="9" t="s">
        <v>1971</v>
      </c>
    </row>
    <row r="478" customFormat="false" ht="297.75" hidden="false" customHeight="false" outlineLevel="0" collapsed="false">
      <c r="A478" s="5" t="n">
        <v>473</v>
      </c>
      <c r="B478" s="10" t="s">
        <v>348</v>
      </c>
      <c r="C478" s="11" t="s">
        <v>477</v>
      </c>
      <c r="D478" s="8" t="s">
        <v>478</v>
      </c>
      <c r="E478" s="8" t="s">
        <v>479</v>
      </c>
      <c r="F478" s="8" t="s">
        <v>482</v>
      </c>
      <c r="G478" s="8" t="s">
        <v>483</v>
      </c>
      <c r="H478" s="5" t="s">
        <v>18</v>
      </c>
      <c r="I478" s="16" t="s">
        <v>1463</v>
      </c>
      <c r="J478" s="8"/>
      <c r="K478" s="9" t="s">
        <v>1972</v>
      </c>
    </row>
    <row r="479" customFormat="false" ht="306.7" hidden="false" customHeight="false" outlineLevel="0" collapsed="false">
      <c r="A479" s="5" t="n">
        <v>474</v>
      </c>
      <c r="B479" s="10" t="s">
        <v>348</v>
      </c>
      <c r="C479" s="11" t="s">
        <v>477</v>
      </c>
      <c r="D479" s="8" t="s">
        <v>478</v>
      </c>
      <c r="E479" s="8" t="s">
        <v>479</v>
      </c>
      <c r="F479" s="8" t="s">
        <v>485</v>
      </c>
      <c r="G479" s="8" t="s">
        <v>486</v>
      </c>
      <c r="H479" s="5" t="s">
        <v>18</v>
      </c>
      <c r="I479" s="16" t="s">
        <v>1463</v>
      </c>
      <c r="J479" s="8"/>
      <c r="K479" s="9" t="s">
        <v>1973</v>
      </c>
    </row>
    <row r="480" customFormat="false" ht="288.8" hidden="false" customHeight="false" outlineLevel="0" collapsed="false">
      <c r="A480" s="5" t="n">
        <v>475</v>
      </c>
      <c r="B480" s="10" t="s">
        <v>348</v>
      </c>
      <c r="C480" s="11" t="s">
        <v>477</v>
      </c>
      <c r="D480" s="8" t="s">
        <v>478</v>
      </c>
      <c r="E480" s="8" t="s">
        <v>479</v>
      </c>
      <c r="F480" s="8" t="s">
        <v>488</v>
      </c>
      <c r="G480" s="8" t="s">
        <v>489</v>
      </c>
      <c r="H480" s="5" t="s">
        <v>18</v>
      </c>
      <c r="I480" s="16" t="s">
        <v>1463</v>
      </c>
      <c r="J480" s="8"/>
      <c r="K480" s="9" t="s">
        <v>1974</v>
      </c>
    </row>
    <row r="481" customFormat="false" ht="252.95" hidden="false" customHeight="false" outlineLevel="0" collapsed="false">
      <c r="A481" s="5" t="n">
        <v>476</v>
      </c>
      <c r="B481" s="10" t="s">
        <v>348</v>
      </c>
      <c r="C481" s="11" t="s">
        <v>477</v>
      </c>
      <c r="D481" s="8" t="s">
        <v>478</v>
      </c>
      <c r="E481" s="8" t="s">
        <v>491</v>
      </c>
      <c r="F481" s="8" t="s">
        <v>491</v>
      </c>
      <c r="G481" s="8" t="s">
        <v>492</v>
      </c>
      <c r="H481" s="5" t="s">
        <v>18</v>
      </c>
      <c r="I481" s="16" t="s">
        <v>1463</v>
      </c>
      <c r="J481" s="8"/>
      <c r="K481" s="9" t="s">
        <v>1975</v>
      </c>
    </row>
    <row r="482" customFormat="false" ht="252.95" hidden="false" customHeight="false" outlineLevel="0" collapsed="false">
      <c r="A482" s="5" t="n">
        <v>477</v>
      </c>
      <c r="B482" s="10" t="s">
        <v>348</v>
      </c>
      <c r="C482" s="11" t="s">
        <v>477</v>
      </c>
      <c r="D482" s="8" t="s">
        <v>478</v>
      </c>
      <c r="E482" s="8" t="s">
        <v>491</v>
      </c>
      <c r="F482" s="8" t="s">
        <v>494</v>
      </c>
      <c r="G482" s="8" t="s">
        <v>495</v>
      </c>
      <c r="H482" s="5" t="s">
        <v>18</v>
      </c>
      <c r="I482" s="16" t="s">
        <v>1463</v>
      </c>
      <c r="J482" s="8"/>
      <c r="K482" s="9" t="s">
        <v>1976</v>
      </c>
    </row>
    <row r="483" customFormat="false" ht="261.9" hidden="false" customHeight="false" outlineLevel="0" collapsed="false">
      <c r="A483" s="5" t="n">
        <v>478</v>
      </c>
      <c r="B483" s="10" t="s">
        <v>348</v>
      </c>
      <c r="C483" s="11" t="s">
        <v>477</v>
      </c>
      <c r="D483" s="8" t="s">
        <v>478</v>
      </c>
      <c r="E483" s="8" t="s">
        <v>497</v>
      </c>
      <c r="F483" s="8" t="s">
        <v>498</v>
      </c>
      <c r="G483" s="8" t="s">
        <v>499</v>
      </c>
      <c r="H483" s="5" t="s">
        <v>18</v>
      </c>
      <c r="I483" s="16" t="s">
        <v>1463</v>
      </c>
      <c r="J483" s="8"/>
      <c r="K483" s="9" t="s">
        <v>1977</v>
      </c>
    </row>
    <row r="484" customFormat="false" ht="252.95" hidden="false" customHeight="false" outlineLevel="0" collapsed="false">
      <c r="A484" s="5" t="n">
        <v>479</v>
      </c>
      <c r="B484" s="10" t="s">
        <v>348</v>
      </c>
      <c r="C484" s="11" t="s">
        <v>477</v>
      </c>
      <c r="D484" s="8" t="s">
        <v>478</v>
      </c>
      <c r="E484" s="8" t="s">
        <v>497</v>
      </c>
      <c r="F484" s="8" t="s">
        <v>501</v>
      </c>
      <c r="G484" s="8" t="s">
        <v>502</v>
      </c>
      <c r="H484" s="5" t="s">
        <v>18</v>
      </c>
      <c r="I484" s="16" t="s">
        <v>1463</v>
      </c>
      <c r="J484" s="8"/>
      <c r="K484" s="9" t="s">
        <v>1978</v>
      </c>
    </row>
    <row r="485" customFormat="false" ht="234.3" hidden="false" customHeight="false" outlineLevel="0" collapsed="false">
      <c r="A485" s="5" t="n">
        <v>480</v>
      </c>
      <c r="B485" s="10" t="s">
        <v>348</v>
      </c>
      <c r="C485" s="11" t="s">
        <v>477</v>
      </c>
      <c r="D485" s="8" t="s">
        <v>478</v>
      </c>
      <c r="E485" s="8" t="s">
        <v>497</v>
      </c>
      <c r="F485" s="8" t="s">
        <v>434</v>
      </c>
      <c r="G485" s="8" t="s">
        <v>435</v>
      </c>
      <c r="H485" s="5" t="s">
        <v>61</v>
      </c>
      <c r="I485" s="16" t="s">
        <v>1463</v>
      </c>
      <c r="J485" s="8"/>
      <c r="K485" s="9" t="s">
        <v>1979</v>
      </c>
    </row>
    <row r="486" customFormat="false" ht="252.95" hidden="false" customHeight="false" outlineLevel="0" collapsed="false">
      <c r="A486" s="5" t="n">
        <v>481</v>
      </c>
      <c r="B486" s="10" t="s">
        <v>348</v>
      </c>
      <c r="C486" s="11" t="s">
        <v>477</v>
      </c>
      <c r="D486" s="8" t="s">
        <v>478</v>
      </c>
      <c r="E486" s="8" t="s">
        <v>497</v>
      </c>
      <c r="F486" s="8" t="s">
        <v>505</v>
      </c>
      <c r="G486" s="8" t="s">
        <v>506</v>
      </c>
      <c r="H486" s="5" t="s">
        <v>61</v>
      </c>
      <c r="I486" s="16" t="s">
        <v>1463</v>
      </c>
      <c r="J486" s="8"/>
      <c r="K486" s="9" t="s">
        <v>1980</v>
      </c>
    </row>
    <row r="487" customFormat="false" ht="207.45" hidden="false" customHeight="false" outlineLevel="0" collapsed="false">
      <c r="A487" s="5" t="n">
        <v>482</v>
      </c>
      <c r="B487" s="10" t="s">
        <v>348</v>
      </c>
      <c r="C487" s="11" t="s">
        <v>508</v>
      </c>
      <c r="D487" s="8" t="s">
        <v>509</v>
      </c>
      <c r="E487" s="8" t="s">
        <v>510</v>
      </c>
      <c r="F487" s="8" t="s">
        <v>510</v>
      </c>
      <c r="G487" s="8" t="s">
        <v>511</v>
      </c>
      <c r="H487" s="5" t="s">
        <v>18</v>
      </c>
      <c r="I487" s="16" t="s">
        <v>1463</v>
      </c>
      <c r="J487" s="8"/>
      <c r="K487" s="9" t="s">
        <v>1981</v>
      </c>
    </row>
    <row r="488" customFormat="false" ht="225.35" hidden="false" customHeight="false" outlineLevel="0" collapsed="false">
      <c r="A488" s="5" t="n">
        <v>483</v>
      </c>
      <c r="B488" s="10" t="s">
        <v>348</v>
      </c>
      <c r="C488" s="11" t="s">
        <v>508</v>
      </c>
      <c r="D488" s="8" t="s">
        <v>509</v>
      </c>
      <c r="E488" s="8" t="s">
        <v>510</v>
      </c>
      <c r="F488" s="8" t="s">
        <v>513</v>
      </c>
      <c r="G488" s="8" t="s">
        <v>514</v>
      </c>
      <c r="H488" s="5" t="s">
        <v>18</v>
      </c>
      <c r="I488" s="16" t="s">
        <v>1463</v>
      </c>
      <c r="J488" s="8"/>
      <c r="K488" s="9" t="s">
        <v>1982</v>
      </c>
    </row>
    <row r="489" customFormat="false" ht="198.5" hidden="false" customHeight="false" outlineLevel="0" collapsed="false">
      <c r="A489" s="5" t="n">
        <v>484</v>
      </c>
      <c r="B489" s="10" t="s">
        <v>348</v>
      </c>
      <c r="C489" s="11" t="s">
        <v>508</v>
      </c>
      <c r="D489" s="8" t="s">
        <v>509</v>
      </c>
      <c r="E489" s="8" t="s">
        <v>516</v>
      </c>
      <c r="F489" s="8" t="s">
        <v>516</v>
      </c>
      <c r="G489" s="8" t="s">
        <v>517</v>
      </c>
      <c r="H489" s="5" t="s">
        <v>18</v>
      </c>
      <c r="I489" s="16" t="s">
        <v>1463</v>
      </c>
      <c r="J489" s="8"/>
      <c r="K489" s="9" t="s">
        <v>1983</v>
      </c>
    </row>
    <row r="490" customFormat="false" ht="198.5" hidden="false" customHeight="false" outlineLevel="0" collapsed="false">
      <c r="A490" s="5" t="n">
        <v>485</v>
      </c>
      <c r="B490" s="10" t="s">
        <v>348</v>
      </c>
      <c r="C490" s="11" t="s">
        <v>508</v>
      </c>
      <c r="D490" s="8" t="s">
        <v>509</v>
      </c>
      <c r="E490" s="8" t="s">
        <v>516</v>
      </c>
      <c r="F490" s="8" t="s">
        <v>516</v>
      </c>
      <c r="G490" s="8" t="s">
        <v>1984</v>
      </c>
      <c r="H490" s="5" t="s">
        <v>18</v>
      </c>
      <c r="I490" s="16" t="s">
        <v>1463</v>
      </c>
      <c r="J490" s="8"/>
      <c r="K490" s="9" t="s">
        <v>1985</v>
      </c>
    </row>
    <row r="491" customFormat="false" ht="189.55" hidden="false" customHeight="false" outlineLevel="0" collapsed="false">
      <c r="A491" s="5" t="n">
        <v>486</v>
      </c>
      <c r="B491" s="10" t="s">
        <v>348</v>
      </c>
      <c r="C491" s="11" t="s">
        <v>508</v>
      </c>
      <c r="D491" s="8" t="s">
        <v>509</v>
      </c>
      <c r="E491" s="8" t="s">
        <v>516</v>
      </c>
      <c r="F491" s="8" t="s">
        <v>519</v>
      </c>
      <c r="G491" s="8" t="s">
        <v>520</v>
      </c>
      <c r="H491" s="5" t="s">
        <v>18</v>
      </c>
      <c r="I491" s="16" t="s">
        <v>1463</v>
      </c>
      <c r="J491" s="8"/>
      <c r="K491" s="9" t="s">
        <v>1986</v>
      </c>
    </row>
    <row r="492" customFormat="false" ht="162.65" hidden="false" customHeight="false" outlineLevel="0" collapsed="false">
      <c r="A492" s="5" t="n">
        <v>487</v>
      </c>
      <c r="B492" s="10" t="s">
        <v>348</v>
      </c>
      <c r="C492" s="11" t="s">
        <v>508</v>
      </c>
      <c r="D492" s="8" t="s">
        <v>509</v>
      </c>
      <c r="E492" s="8" t="s">
        <v>138</v>
      </c>
      <c r="F492" s="8" t="s">
        <v>138</v>
      </c>
      <c r="G492" s="8" t="s">
        <v>139</v>
      </c>
      <c r="H492" s="5" t="s">
        <v>18</v>
      </c>
      <c r="I492" s="17" t="s">
        <v>1480</v>
      </c>
      <c r="J492" s="18" t="n">
        <v>9.68</v>
      </c>
      <c r="K492" s="9" t="s">
        <v>1987</v>
      </c>
    </row>
    <row r="493" customFormat="false" ht="144.75" hidden="false" customHeight="false" outlineLevel="0" collapsed="false">
      <c r="A493" s="5" t="n">
        <v>488</v>
      </c>
      <c r="B493" s="10" t="s">
        <v>348</v>
      </c>
      <c r="C493" s="11" t="s">
        <v>508</v>
      </c>
      <c r="D493" s="8" t="s">
        <v>509</v>
      </c>
      <c r="E493" s="8" t="s">
        <v>138</v>
      </c>
      <c r="F493" s="8" t="s">
        <v>138</v>
      </c>
      <c r="G493" s="8" t="s">
        <v>1557</v>
      </c>
      <c r="H493" s="5" t="s">
        <v>18</v>
      </c>
      <c r="I493" s="17" t="s">
        <v>1480</v>
      </c>
      <c r="J493" s="18" t="n">
        <v>9.12</v>
      </c>
      <c r="K493" s="9" t="s">
        <v>1988</v>
      </c>
    </row>
    <row r="494" customFormat="false" ht="244" hidden="false" customHeight="false" outlineLevel="0" collapsed="false">
      <c r="A494" s="5" t="n">
        <v>489</v>
      </c>
      <c r="B494" s="10" t="s">
        <v>348</v>
      </c>
      <c r="C494" s="11" t="s">
        <v>508</v>
      </c>
      <c r="D494" s="8" t="s">
        <v>509</v>
      </c>
      <c r="E494" s="8" t="s">
        <v>138</v>
      </c>
      <c r="F494" s="8" t="s">
        <v>138</v>
      </c>
      <c r="G494" s="8" t="s">
        <v>1559</v>
      </c>
      <c r="H494" s="5" t="s">
        <v>18</v>
      </c>
      <c r="I494" s="16" t="s">
        <v>1463</v>
      </c>
      <c r="J494" s="8"/>
      <c r="K494" s="9" t="s">
        <v>1989</v>
      </c>
    </row>
    <row r="495" customFormat="false" ht="244" hidden="false" customHeight="false" outlineLevel="0" collapsed="false">
      <c r="A495" s="5" t="n">
        <v>490</v>
      </c>
      <c r="B495" s="10" t="s">
        <v>348</v>
      </c>
      <c r="C495" s="11" t="s">
        <v>508</v>
      </c>
      <c r="D495" s="8" t="s">
        <v>509</v>
      </c>
      <c r="E495" s="8" t="s">
        <v>138</v>
      </c>
      <c r="F495" s="8" t="s">
        <v>523</v>
      </c>
      <c r="G495" s="8" t="s">
        <v>524</v>
      </c>
      <c r="H495" s="5" t="s">
        <v>18</v>
      </c>
      <c r="I495" s="16" t="s">
        <v>1463</v>
      </c>
      <c r="J495" s="8"/>
      <c r="K495" s="9" t="s">
        <v>1990</v>
      </c>
    </row>
    <row r="496" customFormat="false" ht="153.7" hidden="false" customHeight="false" outlineLevel="0" collapsed="false">
      <c r="A496" s="5" t="n">
        <v>491</v>
      </c>
      <c r="B496" s="10" t="s">
        <v>348</v>
      </c>
      <c r="C496" s="11" t="s">
        <v>526</v>
      </c>
      <c r="D496" s="8" t="s">
        <v>527</v>
      </c>
      <c r="E496" s="8" t="s">
        <v>528</v>
      </c>
      <c r="F496" s="8" t="s">
        <v>408</v>
      </c>
      <c r="G496" s="8" t="s">
        <v>409</v>
      </c>
      <c r="H496" s="5" t="s">
        <v>18</v>
      </c>
      <c r="I496" s="17" t="s">
        <v>1480</v>
      </c>
      <c r="J496" s="18" t="n">
        <v>5.24</v>
      </c>
      <c r="K496" s="9" t="s">
        <v>1991</v>
      </c>
    </row>
    <row r="497" customFormat="false" ht="153.7" hidden="false" customHeight="false" outlineLevel="0" collapsed="false">
      <c r="A497" s="5" t="n">
        <v>492</v>
      </c>
      <c r="B497" s="10" t="s">
        <v>348</v>
      </c>
      <c r="C497" s="11" t="s">
        <v>526</v>
      </c>
      <c r="D497" s="8" t="s">
        <v>527</v>
      </c>
      <c r="E497" s="8" t="s">
        <v>528</v>
      </c>
      <c r="F497" s="8" t="s">
        <v>408</v>
      </c>
      <c r="G497" s="8" t="s">
        <v>1925</v>
      </c>
      <c r="H497" s="5" t="s">
        <v>18</v>
      </c>
      <c r="I497" s="16" t="s">
        <v>1463</v>
      </c>
      <c r="J497" s="8"/>
      <c r="K497" s="9" t="s">
        <v>1992</v>
      </c>
    </row>
    <row r="498" customFormat="false" ht="108.95" hidden="false" customHeight="false" outlineLevel="0" collapsed="false">
      <c r="A498" s="5" t="n">
        <v>493</v>
      </c>
      <c r="B498" s="10" t="s">
        <v>348</v>
      </c>
      <c r="C498" s="11" t="s">
        <v>526</v>
      </c>
      <c r="D498" s="8" t="s">
        <v>527</v>
      </c>
      <c r="E498" s="8" t="s">
        <v>528</v>
      </c>
      <c r="F498" s="8" t="s">
        <v>417</v>
      </c>
      <c r="G498" s="8" t="s">
        <v>417</v>
      </c>
      <c r="H498" s="5" t="s">
        <v>18</v>
      </c>
      <c r="I498" s="17" t="s">
        <v>1480</v>
      </c>
      <c r="J498" s="18" t="n">
        <v>4.6</v>
      </c>
      <c r="K498" s="9" t="s">
        <v>1993</v>
      </c>
    </row>
    <row r="499" customFormat="false" ht="189.55" hidden="false" customHeight="false" outlineLevel="0" collapsed="false">
      <c r="A499" s="5" t="n">
        <v>494</v>
      </c>
      <c r="B499" s="10" t="s">
        <v>348</v>
      </c>
      <c r="C499" s="11" t="s">
        <v>526</v>
      </c>
      <c r="D499" s="8" t="s">
        <v>527</v>
      </c>
      <c r="E499" s="8" t="s">
        <v>528</v>
      </c>
      <c r="F499" s="8" t="s">
        <v>417</v>
      </c>
      <c r="G499" s="8" t="s">
        <v>1930</v>
      </c>
      <c r="H499" s="5" t="s">
        <v>18</v>
      </c>
      <c r="I499" s="16" t="s">
        <v>1463</v>
      </c>
      <c r="J499" s="8"/>
      <c r="K499" s="9" t="s">
        <v>1994</v>
      </c>
    </row>
    <row r="500" customFormat="false" ht="207.45" hidden="false" customHeight="false" outlineLevel="0" collapsed="false">
      <c r="A500" s="5" t="n">
        <v>495</v>
      </c>
      <c r="B500" s="10" t="s">
        <v>348</v>
      </c>
      <c r="C500" s="11" t="s">
        <v>526</v>
      </c>
      <c r="D500" s="8" t="s">
        <v>527</v>
      </c>
      <c r="E500" s="8" t="s">
        <v>528</v>
      </c>
      <c r="F500" s="8" t="s">
        <v>417</v>
      </c>
      <c r="G500" s="8" t="s">
        <v>1932</v>
      </c>
      <c r="H500" s="5" t="s">
        <v>18</v>
      </c>
      <c r="I500" s="16" t="s">
        <v>1463</v>
      </c>
      <c r="J500" s="8"/>
      <c r="K500" s="9" t="s">
        <v>1995</v>
      </c>
    </row>
    <row r="501" customFormat="false" ht="225.35" hidden="false" customHeight="false" outlineLevel="0" collapsed="false">
      <c r="A501" s="5" t="n">
        <v>496</v>
      </c>
      <c r="B501" s="10" t="s">
        <v>348</v>
      </c>
      <c r="C501" s="11" t="s">
        <v>526</v>
      </c>
      <c r="D501" s="8" t="s">
        <v>527</v>
      </c>
      <c r="E501" s="8" t="s">
        <v>528</v>
      </c>
      <c r="F501" s="8" t="s">
        <v>531</v>
      </c>
      <c r="G501" s="8" t="s">
        <v>532</v>
      </c>
      <c r="H501" s="5" t="s">
        <v>18</v>
      </c>
      <c r="I501" s="16" t="s">
        <v>1463</v>
      </c>
      <c r="J501" s="8"/>
      <c r="K501" s="9" t="s">
        <v>1996</v>
      </c>
    </row>
    <row r="502" customFormat="false" ht="270.85" hidden="false" customHeight="false" outlineLevel="0" collapsed="false">
      <c r="A502" s="5" t="n">
        <v>497</v>
      </c>
      <c r="B502" s="10" t="s">
        <v>348</v>
      </c>
      <c r="C502" s="11" t="s">
        <v>534</v>
      </c>
      <c r="D502" s="8" t="s">
        <v>535</v>
      </c>
      <c r="E502" s="8" t="s">
        <v>536</v>
      </c>
      <c r="F502" s="8" t="s">
        <v>537</v>
      </c>
      <c r="G502" s="8" t="s">
        <v>538</v>
      </c>
      <c r="H502" s="5" t="s">
        <v>18</v>
      </c>
      <c r="I502" s="16" t="s">
        <v>1463</v>
      </c>
      <c r="J502" s="8"/>
      <c r="K502" s="9" t="s">
        <v>1997</v>
      </c>
    </row>
    <row r="503" customFormat="false" ht="252.95" hidden="false" customHeight="false" outlineLevel="0" collapsed="false">
      <c r="A503" s="5" t="n">
        <v>498</v>
      </c>
      <c r="B503" s="10" t="s">
        <v>348</v>
      </c>
      <c r="C503" s="11" t="s">
        <v>534</v>
      </c>
      <c r="D503" s="8" t="s">
        <v>535</v>
      </c>
      <c r="E503" s="8" t="s">
        <v>536</v>
      </c>
      <c r="F503" s="8" t="s">
        <v>540</v>
      </c>
      <c r="G503" s="8" t="s">
        <v>541</v>
      </c>
      <c r="H503" s="5" t="s">
        <v>18</v>
      </c>
      <c r="I503" s="16" t="s">
        <v>1463</v>
      </c>
      <c r="J503" s="8"/>
      <c r="K503" s="9" t="s">
        <v>1998</v>
      </c>
    </row>
    <row r="504" customFormat="false" ht="225.35" hidden="false" customHeight="false" outlineLevel="0" collapsed="false">
      <c r="A504" s="5" t="n">
        <v>499</v>
      </c>
      <c r="B504" s="10" t="s">
        <v>348</v>
      </c>
      <c r="C504" s="11" t="s">
        <v>534</v>
      </c>
      <c r="D504" s="8" t="s">
        <v>535</v>
      </c>
      <c r="E504" s="8" t="s">
        <v>536</v>
      </c>
      <c r="F504" s="8" t="s">
        <v>543</v>
      </c>
      <c r="G504" s="8" t="s">
        <v>544</v>
      </c>
      <c r="H504" s="5" t="s">
        <v>61</v>
      </c>
      <c r="I504" s="16" t="s">
        <v>1463</v>
      </c>
      <c r="J504" s="8"/>
      <c r="K504" s="9" t="s">
        <v>1999</v>
      </c>
    </row>
    <row r="505" customFormat="false" ht="252.95" hidden="false" customHeight="false" outlineLevel="0" collapsed="false">
      <c r="A505" s="5" t="n">
        <v>500</v>
      </c>
      <c r="B505" s="10" t="s">
        <v>348</v>
      </c>
      <c r="C505" s="11" t="s">
        <v>534</v>
      </c>
      <c r="D505" s="8" t="s">
        <v>535</v>
      </c>
      <c r="E505" s="8" t="s">
        <v>536</v>
      </c>
      <c r="F505" s="8" t="s">
        <v>546</v>
      </c>
      <c r="G505" s="8" t="s">
        <v>547</v>
      </c>
      <c r="H505" s="5" t="s">
        <v>18</v>
      </c>
      <c r="I505" s="16" t="s">
        <v>1463</v>
      </c>
      <c r="J505" s="8"/>
      <c r="K505" s="9" t="s">
        <v>2000</v>
      </c>
    </row>
    <row r="506" customFormat="false" ht="198.5" hidden="false" customHeight="false" outlineLevel="0" collapsed="false">
      <c r="A506" s="5" t="n">
        <v>501</v>
      </c>
      <c r="B506" s="10" t="s">
        <v>348</v>
      </c>
      <c r="C506" s="11" t="s">
        <v>534</v>
      </c>
      <c r="D506" s="8" t="s">
        <v>535</v>
      </c>
      <c r="E506" s="8" t="s">
        <v>549</v>
      </c>
      <c r="F506" s="8" t="s">
        <v>550</v>
      </c>
      <c r="G506" s="8" t="s">
        <v>551</v>
      </c>
      <c r="H506" s="5" t="s">
        <v>61</v>
      </c>
      <c r="I506" s="17" t="s">
        <v>1480</v>
      </c>
      <c r="J506" s="18" t="n">
        <v>34.24</v>
      </c>
      <c r="K506" s="9" t="s">
        <v>2001</v>
      </c>
    </row>
    <row r="507" customFormat="false" ht="261.9" hidden="false" customHeight="false" outlineLevel="0" collapsed="false">
      <c r="A507" s="5" t="n">
        <v>502</v>
      </c>
      <c r="B507" s="10" t="s">
        <v>348</v>
      </c>
      <c r="C507" s="11" t="s">
        <v>534</v>
      </c>
      <c r="D507" s="8" t="s">
        <v>535</v>
      </c>
      <c r="E507" s="8" t="s">
        <v>549</v>
      </c>
      <c r="F507" s="8" t="s">
        <v>553</v>
      </c>
      <c r="G507" s="8" t="s">
        <v>554</v>
      </c>
      <c r="H507" s="5" t="s">
        <v>61</v>
      </c>
      <c r="I507" s="16" t="s">
        <v>1463</v>
      </c>
      <c r="J507" s="8"/>
      <c r="K507" s="9" t="s">
        <v>2002</v>
      </c>
    </row>
    <row r="508" customFormat="false" ht="244" hidden="false" customHeight="false" outlineLevel="0" collapsed="false">
      <c r="A508" s="5" t="n">
        <v>503</v>
      </c>
      <c r="B508" s="10" t="s">
        <v>348</v>
      </c>
      <c r="C508" s="11" t="s">
        <v>534</v>
      </c>
      <c r="D508" s="8" t="s">
        <v>535</v>
      </c>
      <c r="E508" s="8" t="s">
        <v>549</v>
      </c>
      <c r="F508" s="8" t="s">
        <v>556</v>
      </c>
      <c r="G508" s="8" t="s">
        <v>557</v>
      </c>
      <c r="H508" s="5" t="s">
        <v>61</v>
      </c>
      <c r="I508" s="16" t="s">
        <v>1463</v>
      </c>
      <c r="J508" s="8"/>
      <c r="K508" s="9" t="s">
        <v>2003</v>
      </c>
    </row>
    <row r="509" customFormat="false" ht="234.3" hidden="false" customHeight="false" outlineLevel="0" collapsed="false">
      <c r="A509" s="5" t="n">
        <v>504</v>
      </c>
      <c r="B509" s="10" t="s">
        <v>348</v>
      </c>
      <c r="C509" s="11" t="s">
        <v>559</v>
      </c>
      <c r="D509" s="8" t="s">
        <v>560</v>
      </c>
      <c r="E509" s="8" t="s">
        <v>561</v>
      </c>
      <c r="F509" s="8" t="s">
        <v>562</v>
      </c>
      <c r="G509" s="8" t="s">
        <v>563</v>
      </c>
      <c r="H509" s="5" t="s">
        <v>18</v>
      </c>
      <c r="I509" s="16" t="s">
        <v>1463</v>
      </c>
      <c r="J509" s="8"/>
      <c r="K509" s="9" t="s">
        <v>2004</v>
      </c>
    </row>
    <row r="510" customFormat="false" ht="180.55" hidden="false" customHeight="false" outlineLevel="0" collapsed="false">
      <c r="A510" s="5" t="n">
        <v>505</v>
      </c>
      <c r="B510" s="10" t="s">
        <v>348</v>
      </c>
      <c r="C510" s="11" t="s">
        <v>559</v>
      </c>
      <c r="D510" s="8" t="s">
        <v>560</v>
      </c>
      <c r="E510" s="8" t="s">
        <v>561</v>
      </c>
      <c r="F510" s="8" t="s">
        <v>565</v>
      </c>
      <c r="G510" s="8" t="s">
        <v>566</v>
      </c>
      <c r="H510" s="5" t="s">
        <v>18</v>
      </c>
      <c r="I510" s="16" t="s">
        <v>1463</v>
      </c>
      <c r="J510" s="8"/>
      <c r="K510" s="9" t="s">
        <v>2005</v>
      </c>
    </row>
    <row r="511" customFormat="false" ht="207.45" hidden="false" customHeight="false" outlineLevel="0" collapsed="false">
      <c r="A511" s="5" t="n">
        <v>506</v>
      </c>
      <c r="B511" s="10" t="s">
        <v>348</v>
      </c>
      <c r="C511" s="11" t="s">
        <v>559</v>
      </c>
      <c r="D511" s="8" t="s">
        <v>560</v>
      </c>
      <c r="E511" s="8" t="s">
        <v>561</v>
      </c>
      <c r="F511" s="8" t="s">
        <v>568</v>
      </c>
      <c r="G511" s="8" t="s">
        <v>569</v>
      </c>
      <c r="H511" s="5" t="s">
        <v>18</v>
      </c>
      <c r="I511" s="16" t="s">
        <v>1463</v>
      </c>
      <c r="J511" s="8"/>
      <c r="K511" s="9" t="s">
        <v>2006</v>
      </c>
    </row>
    <row r="512" customFormat="false" ht="180.55" hidden="false" customHeight="false" outlineLevel="0" collapsed="false">
      <c r="A512" s="5" t="n">
        <v>507</v>
      </c>
      <c r="B512" s="10" t="s">
        <v>348</v>
      </c>
      <c r="C512" s="11" t="s">
        <v>559</v>
      </c>
      <c r="D512" s="8" t="s">
        <v>560</v>
      </c>
      <c r="E512" s="8" t="s">
        <v>561</v>
      </c>
      <c r="F512" s="8" t="s">
        <v>571</v>
      </c>
      <c r="G512" s="8" t="s">
        <v>572</v>
      </c>
      <c r="H512" s="5" t="s">
        <v>61</v>
      </c>
      <c r="I512" s="16" t="s">
        <v>1463</v>
      </c>
      <c r="J512" s="8"/>
      <c r="K512" s="9" t="s">
        <v>2007</v>
      </c>
    </row>
    <row r="513" customFormat="false" ht="315.65" hidden="false" customHeight="false" outlineLevel="0" collapsed="false">
      <c r="A513" s="5" t="n">
        <v>508</v>
      </c>
      <c r="B513" s="10" t="s">
        <v>348</v>
      </c>
      <c r="C513" s="11" t="s">
        <v>559</v>
      </c>
      <c r="D513" s="8" t="s">
        <v>560</v>
      </c>
      <c r="E513" s="8" t="s">
        <v>574</v>
      </c>
      <c r="F513" s="8" t="s">
        <v>575</v>
      </c>
      <c r="G513" s="8" t="s">
        <v>576</v>
      </c>
      <c r="H513" s="5" t="s">
        <v>18</v>
      </c>
      <c r="I513" s="16" t="s">
        <v>1463</v>
      </c>
      <c r="J513" s="8"/>
      <c r="K513" s="9" t="s">
        <v>2008</v>
      </c>
    </row>
    <row r="514" customFormat="false" ht="270.85" hidden="false" customHeight="false" outlineLevel="0" collapsed="false">
      <c r="A514" s="5" t="n">
        <v>509</v>
      </c>
      <c r="B514" s="10" t="s">
        <v>348</v>
      </c>
      <c r="C514" s="11" t="s">
        <v>559</v>
      </c>
      <c r="D514" s="8" t="s">
        <v>560</v>
      </c>
      <c r="E514" s="8" t="s">
        <v>574</v>
      </c>
      <c r="F514" s="8" t="s">
        <v>578</v>
      </c>
      <c r="G514" s="8" t="s">
        <v>579</v>
      </c>
      <c r="H514" s="5" t="s">
        <v>18</v>
      </c>
      <c r="I514" s="16" t="s">
        <v>1463</v>
      </c>
      <c r="J514" s="8"/>
      <c r="K514" s="9" t="s">
        <v>2009</v>
      </c>
    </row>
    <row r="515" customFormat="false" ht="333.55" hidden="false" customHeight="false" outlineLevel="0" collapsed="false">
      <c r="A515" s="5" t="n">
        <v>510</v>
      </c>
      <c r="B515" s="10" t="s">
        <v>348</v>
      </c>
      <c r="C515" s="11" t="s">
        <v>559</v>
      </c>
      <c r="D515" s="8" t="s">
        <v>560</v>
      </c>
      <c r="E515" s="8" t="s">
        <v>574</v>
      </c>
      <c r="F515" s="8" t="s">
        <v>581</v>
      </c>
      <c r="G515" s="8" t="s">
        <v>582</v>
      </c>
      <c r="H515" s="5" t="s">
        <v>18</v>
      </c>
      <c r="I515" s="16" t="s">
        <v>1463</v>
      </c>
      <c r="J515" s="8"/>
      <c r="K515" s="9" t="s">
        <v>2010</v>
      </c>
    </row>
    <row r="516" customFormat="false" ht="270.85" hidden="false" customHeight="false" outlineLevel="0" collapsed="false">
      <c r="A516" s="5" t="n">
        <v>511</v>
      </c>
      <c r="B516" s="10" t="s">
        <v>348</v>
      </c>
      <c r="C516" s="11" t="s">
        <v>559</v>
      </c>
      <c r="D516" s="8" t="s">
        <v>560</v>
      </c>
      <c r="E516" s="8" t="s">
        <v>574</v>
      </c>
      <c r="F516" s="8" t="s">
        <v>523</v>
      </c>
      <c r="G516" s="8" t="s">
        <v>524</v>
      </c>
      <c r="H516" s="5" t="s">
        <v>18</v>
      </c>
      <c r="I516" s="16" t="s">
        <v>1463</v>
      </c>
      <c r="J516" s="8"/>
      <c r="K516" s="9" t="s">
        <v>2011</v>
      </c>
    </row>
    <row r="517" customFormat="false" ht="189.55" hidden="false" customHeight="false" outlineLevel="0" collapsed="false">
      <c r="A517" s="5" t="n">
        <v>512</v>
      </c>
      <c r="B517" s="10" t="s">
        <v>348</v>
      </c>
      <c r="C517" s="11" t="s">
        <v>559</v>
      </c>
      <c r="D517" s="8" t="s">
        <v>560</v>
      </c>
      <c r="E517" s="8" t="s">
        <v>585</v>
      </c>
      <c r="F517" s="8" t="s">
        <v>586</v>
      </c>
      <c r="G517" s="8" t="s">
        <v>587</v>
      </c>
      <c r="H517" s="5" t="s">
        <v>61</v>
      </c>
      <c r="I517" s="16" t="s">
        <v>1463</v>
      </c>
      <c r="J517" s="8"/>
      <c r="K517" s="9" t="s">
        <v>2012</v>
      </c>
    </row>
    <row r="518" customFormat="false" ht="171.6" hidden="false" customHeight="false" outlineLevel="0" collapsed="false">
      <c r="A518" s="5" t="n">
        <v>513</v>
      </c>
      <c r="B518" s="10" t="s">
        <v>348</v>
      </c>
      <c r="C518" s="11" t="s">
        <v>559</v>
      </c>
      <c r="D518" s="8" t="s">
        <v>560</v>
      </c>
      <c r="E518" s="8" t="s">
        <v>585</v>
      </c>
      <c r="F518" s="8" t="s">
        <v>589</v>
      </c>
      <c r="G518" s="8" t="s">
        <v>590</v>
      </c>
      <c r="H518" s="5" t="s">
        <v>61</v>
      </c>
      <c r="I518" s="16" t="s">
        <v>1463</v>
      </c>
      <c r="J518" s="8"/>
      <c r="K518" s="9" t="s">
        <v>2013</v>
      </c>
    </row>
    <row r="519" customFormat="false" ht="171.6" hidden="false" customHeight="false" outlineLevel="0" collapsed="false">
      <c r="A519" s="5" t="n">
        <v>514</v>
      </c>
      <c r="B519" s="10" t="s">
        <v>348</v>
      </c>
      <c r="C519" s="11" t="s">
        <v>559</v>
      </c>
      <c r="D519" s="8" t="s">
        <v>560</v>
      </c>
      <c r="E519" s="8" t="s">
        <v>585</v>
      </c>
      <c r="F519" s="8" t="s">
        <v>592</v>
      </c>
      <c r="G519" s="8" t="s">
        <v>593</v>
      </c>
      <c r="H519" s="5" t="s">
        <v>57</v>
      </c>
      <c r="I519" s="16" t="s">
        <v>1463</v>
      </c>
      <c r="J519" s="8"/>
      <c r="K519" s="9" t="s">
        <v>2014</v>
      </c>
    </row>
    <row r="520" customFormat="false" ht="108.95" hidden="false" customHeight="false" outlineLevel="0" collapsed="false">
      <c r="A520" s="5" t="n">
        <v>515</v>
      </c>
      <c r="B520" s="10" t="s">
        <v>348</v>
      </c>
      <c r="C520" s="11" t="s">
        <v>559</v>
      </c>
      <c r="D520" s="8" t="s">
        <v>560</v>
      </c>
      <c r="E520" s="8" t="s">
        <v>585</v>
      </c>
      <c r="F520" s="8" t="s">
        <v>334</v>
      </c>
      <c r="G520" s="8" t="s">
        <v>335</v>
      </c>
      <c r="H520" s="5" t="s">
        <v>61</v>
      </c>
      <c r="I520" s="17" t="s">
        <v>1480</v>
      </c>
      <c r="J520" s="18" t="n">
        <v>4</v>
      </c>
      <c r="K520" s="9" t="s">
        <v>2015</v>
      </c>
    </row>
    <row r="521" customFormat="false" ht="225.35" hidden="false" customHeight="false" outlineLevel="0" collapsed="false">
      <c r="A521" s="5" t="n">
        <v>516</v>
      </c>
      <c r="B521" s="10" t="s">
        <v>348</v>
      </c>
      <c r="C521" s="11" t="s">
        <v>559</v>
      </c>
      <c r="D521" s="8" t="s">
        <v>560</v>
      </c>
      <c r="E521" s="8" t="s">
        <v>596</v>
      </c>
      <c r="F521" s="8" t="s">
        <v>597</v>
      </c>
      <c r="G521" s="8" t="s">
        <v>598</v>
      </c>
      <c r="H521" s="5" t="s">
        <v>18</v>
      </c>
      <c r="I521" s="16" t="s">
        <v>1463</v>
      </c>
      <c r="J521" s="8"/>
      <c r="K521" s="9" t="s">
        <v>2016</v>
      </c>
    </row>
    <row r="522" customFormat="false" ht="207.45" hidden="false" customHeight="false" outlineLevel="0" collapsed="false">
      <c r="A522" s="5" t="n">
        <v>517</v>
      </c>
      <c r="B522" s="10" t="s">
        <v>348</v>
      </c>
      <c r="C522" s="11" t="s">
        <v>559</v>
      </c>
      <c r="D522" s="8" t="s">
        <v>560</v>
      </c>
      <c r="E522" s="8" t="s">
        <v>596</v>
      </c>
      <c r="F522" s="8" t="s">
        <v>600</v>
      </c>
      <c r="G522" s="8" t="s">
        <v>601</v>
      </c>
      <c r="H522" s="5" t="s">
        <v>57</v>
      </c>
      <c r="I522" s="16" t="s">
        <v>1463</v>
      </c>
      <c r="J522" s="8"/>
      <c r="K522" s="9" t="s">
        <v>2017</v>
      </c>
    </row>
    <row r="523" customFormat="false" ht="180.55" hidden="false" customHeight="false" outlineLevel="0" collapsed="false">
      <c r="A523" s="5" t="n">
        <v>518</v>
      </c>
      <c r="B523" s="10" t="s">
        <v>348</v>
      </c>
      <c r="C523" s="11" t="s">
        <v>559</v>
      </c>
      <c r="D523" s="8" t="s">
        <v>560</v>
      </c>
      <c r="E523" s="8" t="s">
        <v>596</v>
      </c>
      <c r="F523" s="8" t="s">
        <v>603</v>
      </c>
      <c r="G523" s="8" t="s">
        <v>604</v>
      </c>
      <c r="H523" s="5" t="s">
        <v>57</v>
      </c>
      <c r="I523" s="16" t="s">
        <v>1463</v>
      </c>
      <c r="J523" s="8"/>
      <c r="K523" s="9" t="s">
        <v>2018</v>
      </c>
    </row>
    <row r="524" customFormat="false" ht="216.4" hidden="false" customHeight="false" outlineLevel="0" collapsed="false">
      <c r="A524" s="5" t="n">
        <v>519</v>
      </c>
      <c r="B524" s="10" t="s">
        <v>348</v>
      </c>
      <c r="C524" s="11" t="s">
        <v>559</v>
      </c>
      <c r="D524" s="8" t="s">
        <v>560</v>
      </c>
      <c r="E524" s="8" t="s">
        <v>596</v>
      </c>
      <c r="F524" s="8" t="s">
        <v>606</v>
      </c>
      <c r="G524" s="8" t="s">
        <v>607</v>
      </c>
      <c r="H524" s="5" t="s">
        <v>57</v>
      </c>
      <c r="I524" s="16" t="s">
        <v>1463</v>
      </c>
      <c r="J524" s="8"/>
      <c r="K524" s="9" t="s">
        <v>2019</v>
      </c>
    </row>
    <row r="525" customFormat="false" ht="279.85" hidden="false" customHeight="false" outlineLevel="0" collapsed="false">
      <c r="A525" s="5" t="n">
        <v>520</v>
      </c>
      <c r="B525" s="10" t="s">
        <v>348</v>
      </c>
      <c r="C525" s="11" t="s">
        <v>609</v>
      </c>
      <c r="D525" s="8" t="s">
        <v>610</v>
      </c>
      <c r="E525" s="8" t="s">
        <v>351</v>
      </c>
      <c r="F525" s="8" t="s">
        <v>352</v>
      </c>
      <c r="G525" s="8" t="s">
        <v>611</v>
      </c>
      <c r="H525" s="5" t="s">
        <v>18</v>
      </c>
      <c r="I525" s="17" t="s">
        <v>1480</v>
      </c>
      <c r="J525" s="18" t="n">
        <v>10.32</v>
      </c>
      <c r="K525" s="9" t="s">
        <v>2020</v>
      </c>
    </row>
    <row r="526" customFormat="false" ht="315.65" hidden="false" customHeight="false" outlineLevel="0" collapsed="false">
      <c r="A526" s="5" t="n">
        <v>521</v>
      </c>
      <c r="B526" s="10" t="s">
        <v>348</v>
      </c>
      <c r="C526" s="11" t="s">
        <v>609</v>
      </c>
      <c r="D526" s="8" t="s">
        <v>610</v>
      </c>
      <c r="E526" s="8" t="s">
        <v>351</v>
      </c>
      <c r="F526" s="8" t="s">
        <v>355</v>
      </c>
      <c r="G526" s="8" t="s">
        <v>613</v>
      </c>
      <c r="H526" s="5" t="s">
        <v>18</v>
      </c>
      <c r="I526" s="16" t="s">
        <v>1463</v>
      </c>
      <c r="J526" s="8"/>
      <c r="K526" s="9" t="s">
        <v>2021</v>
      </c>
    </row>
    <row r="527" customFormat="false" ht="315.65" hidden="false" customHeight="false" outlineLevel="0" collapsed="false">
      <c r="A527" s="5" t="n">
        <v>522</v>
      </c>
      <c r="B527" s="10" t="s">
        <v>348</v>
      </c>
      <c r="C527" s="11" t="s">
        <v>609</v>
      </c>
      <c r="D527" s="8" t="s">
        <v>610</v>
      </c>
      <c r="E527" s="8" t="s">
        <v>615</v>
      </c>
      <c r="F527" s="8" t="s">
        <v>616</v>
      </c>
      <c r="G527" s="8" t="s">
        <v>617</v>
      </c>
      <c r="H527" s="5" t="s">
        <v>18</v>
      </c>
      <c r="I527" s="16" t="s">
        <v>1463</v>
      </c>
      <c r="J527" s="8"/>
      <c r="K527" s="9" t="s">
        <v>2022</v>
      </c>
    </row>
    <row r="528" customFormat="false" ht="315.65" hidden="false" customHeight="false" outlineLevel="0" collapsed="false">
      <c r="A528" s="5" t="n">
        <v>523</v>
      </c>
      <c r="B528" s="10" t="s">
        <v>348</v>
      </c>
      <c r="C528" s="11" t="s">
        <v>609</v>
      </c>
      <c r="D528" s="8" t="s">
        <v>610</v>
      </c>
      <c r="E528" s="8" t="s">
        <v>615</v>
      </c>
      <c r="F528" s="8" t="s">
        <v>619</v>
      </c>
      <c r="G528" s="8" t="s">
        <v>620</v>
      </c>
      <c r="H528" s="5" t="s">
        <v>18</v>
      </c>
      <c r="I528" s="16" t="s">
        <v>1463</v>
      </c>
      <c r="J528" s="8"/>
      <c r="K528" s="9" t="s">
        <v>2023</v>
      </c>
    </row>
    <row r="529" customFormat="false" ht="252.95" hidden="false" customHeight="false" outlineLevel="0" collapsed="false">
      <c r="A529" s="5" t="n">
        <v>524</v>
      </c>
      <c r="B529" s="10" t="s">
        <v>348</v>
      </c>
      <c r="C529" s="11" t="s">
        <v>609</v>
      </c>
      <c r="D529" s="8" t="s">
        <v>610</v>
      </c>
      <c r="E529" s="8" t="s">
        <v>615</v>
      </c>
      <c r="F529" s="8" t="s">
        <v>622</v>
      </c>
      <c r="G529" s="8" t="s">
        <v>623</v>
      </c>
      <c r="H529" s="5" t="s">
        <v>18</v>
      </c>
      <c r="I529" s="16" t="s">
        <v>1463</v>
      </c>
      <c r="J529" s="8"/>
      <c r="K529" s="9" t="s">
        <v>2024</v>
      </c>
    </row>
    <row r="530" customFormat="false" ht="279.85" hidden="false" customHeight="false" outlineLevel="0" collapsed="false">
      <c r="A530" s="5" t="n">
        <v>525</v>
      </c>
      <c r="B530" s="10" t="s">
        <v>348</v>
      </c>
      <c r="C530" s="11" t="s">
        <v>609</v>
      </c>
      <c r="D530" s="8" t="s">
        <v>610</v>
      </c>
      <c r="E530" s="8" t="s">
        <v>615</v>
      </c>
      <c r="F530" s="8" t="s">
        <v>625</v>
      </c>
      <c r="G530" s="8" t="s">
        <v>626</v>
      </c>
      <c r="H530" s="5" t="s">
        <v>18</v>
      </c>
      <c r="I530" s="16" t="s">
        <v>1463</v>
      </c>
      <c r="J530" s="8"/>
      <c r="K530" s="9" t="s">
        <v>2025</v>
      </c>
    </row>
    <row r="531" customFormat="false" ht="333.55" hidden="false" customHeight="false" outlineLevel="0" collapsed="false">
      <c r="A531" s="5" t="n">
        <v>526</v>
      </c>
      <c r="B531" s="10" t="s">
        <v>348</v>
      </c>
      <c r="C531" s="11" t="s">
        <v>609</v>
      </c>
      <c r="D531" s="8" t="s">
        <v>610</v>
      </c>
      <c r="E531" s="8" t="s">
        <v>628</v>
      </c>
      <c r="F531" s="8" t="s">
        <v>629</v>
      </c>
      <c r="G531" s="8" t="s">
        <v>630</v>
      </c>
      <c r="H531" s="5" t="s">
        <v>18</v>
      </c>
      <c r="I531" s="16" t="s">
        <v>1463</v>
      </c>
      <c r="J531" s="8"/>
      <c r="K531" s="9" t="s">
        <v>2026</v>
      </c>
    </row>
    <row r="532" customFormat="false" ht="279.85" hidden="false" customHeight="false" outlineLevel="0" collapsed="false">
      <c r="A532" s="5" t="n">
        <v>527</v>
      </c>
      <c r="B532" s="10" t="s">
        <v>348</v>
      </c>
      <c r="C532" s="11" t="s">
        <v>609</v>
      </c>
      <c r="D532" s="8" t="s">
        <v>610</v>
      </c>
      <c r="E532" s="8" t="s">
        <v>628</v>
      </c>
      <c r="F532" s="8" t="s">
        <v>632</v>
      </c>
      <c r="G532" s="8" t="s">
        <v>633</v>
      </c>
      <c r="H532" s="5" t="s">
        <v>18</v>
      </c>
      <c r="I532" s="16" t="s">
        <v>1463</v>
      </c>
      <c r="J532" s="8"/>
      <c r="K532" s="9" t="s">
        <v>2027</v>
      </c>
    </row>
    <row r="533" customFormat="false" ht="297.75" hidden="false" customHeight="false" outlineLevel="0" collapsed="false">
      <c r="A533" s="5" t="n">
        <v>528</v>
      </c>
      <c r="B533" s="10" t="s">
        <v>348</v>
      </c>
      <c r="C533" s="11" t="s">
        <v>609</v>
      </c>
      <c r="D533" s="8" t="s">
        <v>610</v>
      </c>
      <c r="E533" s="8" t="s">
        <v>635</v>
      </c>
      <c r="F533" s="8" t="s">
        <v>635</v>
      </c>
      <c r="G533" s="8" t="s">
        <v>636</v>
      </c>
      <c r="H533" s="5" t="s">
        <v>57</v>
      </c>
      <c r="I533" s="16" t="s">
        <v>1463</v>
      </c>
      <c r="J533" s="8"/>
      <c r="K533" s="9" t="s">
        <v>2028</v>
      </c>
    </row>
    <row r="534" customFormat="false" ht="252.95" hidden="false" customHeight="false" outlineLevel="0" collapsed="false">
      <c r="A534" s="5" t="n">
        <v>529</v>
      </c>
      <c r="B534" s="10" t="s">
        <v>348</v>
      </c>
      <c r="C534" s="11" t="s">
        <v>609</v>
      </c>
      <c r="D534" s="8" t="s">
        <v>610</v>
      </c>
      <c r="E534" s="8" t="s">
        <v>635</v>
      </c>
      <c r="F534" s="8" t="s">
        <v>638</v>
      </c>
      <c r="G534" s="8" t="s">
        <v>639</v>
      </c>
      <c r="H534" s="5" t="s">
        <v>57</v>
      </c>
      <c r="I534" s="16" t="s">
        <v>1463</v>
      </c>
      <c r="J534" s="8"/>
      <c r="K534" s="9" t="s">
        <v>2029</v>
      </c>
    </row>
    <row r="535" customFormat="false" ht="171.6" hidden="false" customHeight="false" outlineLevel="0" collapsed="false">
      <c r="A535" s="5" t="n">
        <v>530</v>
      </c>
      <c r="B535" s="10" t="s">
        <v>348</v>
      </c>
      <c r="C535" s="11" t="s">
        <v>609</v>
      </c>
      <c r="D535" s="8" t="s">
        <v>610</v>
      </c>
      <c r="E535" s="8" t="s">
        <v>550</v>
      </c>
      <c r="F535" s="8" t="s">
        <v>550</v>
      </c>
      <c r="G535" s="8" t="s">
        <v>551</v>
      </c>
      <c r="H535" s="5" t="s">
        <v>61</v>
      </c>
      <c r="I535" s="17" t="s">
        <v>1480</v>
      </c>
      <c r="J535" s="18" t="n">
        <v>34.24</v>
      </c>
      <c r="K535" s="9" t="s">
        <v>2030</v>
      </c>
    </row>
    <row r="536" customFormat="false" ht="261.9" hidden="false" customHeight="false" outlineLevel="0" collapsed="false">
      <c r="A536" s="5" t="n">
        <v>531</v>
      </c>
      <c r="B536" s="10" t="s">
        <v>348</v>
      </c>
      <c r="C536" s="11" t="s">
        <v>609</v>
      </c>
      <c r="D536" s="8" t="s">
        <v>610</v>
      </c>
      <c r="E536" s="8" t="s">
        <v>550</v>
      </c>
      <c r="F536" s="8" t="s">
        <v>642</v>
      </c>
      <c r="G536" s="8" t="s">
        <v>643</v>
      </c>
      <c r="H536" s="5" t="s">
        <v>61</v>
      </c>
      <c r="I536" s="17" t="s">
        <v>1480</v>
      </c>
      <c r="J536" s="18" t="n">
        <v>35.44</v>
      </c>
      <c r="K536" s="9" t="s">
        <v>2031</v>
      </c>
    </row>
    <row r="537" customFormat="false" ht="234.3" hidden="false" customHeight="false" outlineLevel="0" collapsed="false">
      <c r="A537" s="5" t="n">
        <v>532</v>
      </c>
      <c r="B537" s="10" t="s">
        <v>348</v>
      </c>
      <c r="C537" s="11" t="s">
        <v>609</v>
      </c>
      <c r="D537" s="8" t="s">
        <v>610</v>
      </c>
      <c r="E537" s="8" t="s">
        <v>550</v>
      </c>
      <c r="F537" s="8" t="s">
        <v>645</v>
      </c>
      <c r="G537" s="8" t="s">
        <v>646</v>
      </c>
      <c r="H537" s="5" t="s">
        <v>61</v>
      </c>
      <c r="I537" s="16" t="s">
        <v>1463</v>
      </c>
      <c r="J537" s="8"/>
      <c r="K537" s="9" t="s">
        <v>2032</v>
      </c>
    </row>
    <row r="538" customFormat="false" ht="189.55" hidden="false" customHeight="false" outlineLevel="0" collapsed="false">
      <c r="A538" s="5" t="n">
        <v>533</v>
      </c>
      <c r="B538" s="10" t="s">
        <v>348</v>
      </c>
      <c r="C538" s="11" t="s">
        <v>648</v>
      </c>
      <c r="D538" s="8" t="s">
        <v>649</v>
      </c>
      <c r="E538" s="8" t="s">
        <v>650</v>
      </c>
      <c r="F538" s="8" t="s">
        <v>650</v>
      </c>
      <c r="G538" s="8" t="s">
        <v>651</v>
      </c>
      <c r="H538" s="5" t="s">
        <v>1952</v>
      </c>
      <c r="I538" s="17" t="s">
        <v>1480</v>
      </c>
      <c r="J538" s="18" t="n">
        <v>235.2</v>
      </c>
      <c r="K538" s="9" t="s">
        <v>2033</v>
      </c>
    </row>
    <row r="539" customFormat="false" ht="180.55" hidden="false" customHeight="false" outlineLevel="0" collapsed="false">
      <c r="A539" s="5" t="n">
        <v>534</v>
      </c>
      <c r="B539" s="10" t="s">
        <v>348</v>
      </c>
      <c r="C539" s="11" t="s">
        <v>648</v>
      </c>
      <c r="D539" s="8" t="s">
        <v>649</v>
      </c>
      <c r="E539" s="8" t="s">
        <v>650</v>
      </c>
      <c r="F539" s="8" t="s">
        <v>650</v>
      </c>
      <c r="G539" s="8" t="s">
        <v>2034</v>
      </c>
      <c r="H539" s="5" t="s">
        <v>1952</v>
      </c>
      <c r="I539" s="17" t="s">
        <v>1480</v>
      </c>
      <c r="J539" s="18" t="n">
        <v>123.2</v>
      </c>
      <c r="K539" s="9" t="s">
        <v>2035</v>
      </c>
    </row>
    <row r="540" customFormat="false" ht="180.55" hidden="false" customHeight="false" outlineLevel="0" collapsed="false">
      <c r="A540" s="5" t="n">
        <v>535</v>
      </c>
      <c r="B540" s="10" t="s">
        <v>348</v>
      </c>
      <c r="C540" s="11" t="s">
        <v>648</v>
      </c>
      <c r="D540" s="8" t="s">
        <v>649</v>
      </c>
      <c r="E540" s="8" t="s">
        <v>650</v>
      </c>
      <c r="F540" s="8" t="s">
        <v>650</v>
      </c>
      <c r="G540" s="8" t="s">
        <v>2036</v>
      </c>
      <c r="H540" s="5" t="s">
        <v>1952</v>
      </c>
      <c r="I540" s="17" t="s">
        <v>1480</v>
      </c>
      <c r="J540" s="18" t="n">
        <v>134.4</v>
      </c>
      <c r="K540" s="9" t="s">
        <v>2037</v>
      </c>
    </row>
    <row r="541" customFormat="false" ht="261.9" hidden="false" customHeight="false" outlineLevel="0" collapsed="false">
      <c r="A541" s="5" t="n">
        <v>536</v>
      </c>
      <c r="B541" s="10" t="s">
        <v>348</v>
      </c>
      <c r="C541" s="11" t="s">
        <v>648</v>
      </c>
      <c r="D541" s="8" t="s">
        <v>649</v>
      </c>
      <c r="E541" s="8" t="s">
        <v>650</v>
      </c>
      <c r="F541" s="8" t="s">
        <v>650</v>
      </c>
      <c r="G541" s="8" t="s">
        <v>2038</v>
      </c>
      <c r="H541" s="5" t="s">
        <v>57</v>
      </c>
      <c r="I541" s="16" t="s">
        <v>1463</v>
      </c>
      <c r="J541" s="8"/>
      <c r="K541" s="9" t="s">
        <v>2039</v>
      </c>
    </row>
    <row r="542" customFormat="false" ht="244" hidden="false" customHeight="false" outlineLevel="0" collapsed="false">
      <c r="A542" s="5" t="n">
        <v>537</v>
      </c>
      <c r="B542" s="10" t="s">
        <v>348</v>
      </c>
      <c r="C542" s="11" t="s">
        <v>648</v>
      </c>
      <c r="D542" s="8" t="s">
        <v>649</v>
      </c>
      <c r="E542" s="8" t="s">
        <v>650</v>
      </c>
      <c r="F542" s="8" t="s">
        <v>650</v>
      </c>
      <c r="G542" s="8" t="s">
        <v>2040</v>
      </c>
      <c r="H542" s="5" t="s">
        <v>57</v>
      </c>
      <c r="I542" s="16" t="s">
        <v>1463</v>
      </c>
      <c r="J542" s="8"/>
      <c r="K542" s="9" t="s">
        <v>2041</v>
      </c>
    </row>
    <row r="543" customFormat="false" ht="244" hidden="false" customHeight="false" outlineLevel="0" collapsed="false">
      <c r="A543" s="5" t="n">
        <v>538</v>
      </c>
      <c r="B543" s="10" t="s">
        <v>348</v>
      </c>
      <c r="C543" s="11" t="s">
        <v>648</v>
      </c>
      <c r="D543" s="8" t="s">
        <v>649</v>
      </c>
      <c r="E543" s="8" t="s">
        <v>650</v>
      </c>
      <c r="F543" s="8" t="s">
        <v>650</v>
      </c>
      <c r="G543" s="8" t="s">
        <v>2042</v>
      </c>
      <c r="H543" s="5" t="s">
        <v>57</v>
      </c>
      <c r="I543" s="16" t="s">
        <v>1463</v>
      </c>
      <c r="J543" s="8"/>
      <c r="K543" s="9" t="s">
        <v>2043</v>
      </c>
    </row>
    <row r="544" customFormat="false" ht="261.9" hidden="false" customHeight="false" outlineLevel="0" collapsed="false">
      <c r="A544" s="5" t="n">
        <v>539</v>
      </c>
      <c r="B544" s="10" t="s">
        <v>348</v>
      </c>
      <c r="C544" s="11" t="s">
        <v>648</v>
      </c>
      <c r="D544" s="8" t="s">
        <v>649</v>
      </c>
      <c r="E544" s="8" t="s">
        <v>650</v>
      </c>
      <c r="F544" s="8" t="s">
        <v>653</v>
      </c>
      <c r="G544" s="8" t="s">
        <v>654</v>
      </c>
      <c r="H544" s="5" t="s">
        <v>57</v>
      </c>
      <c r="I544" s="16" t="s">
        <v>1463</v>
      </c>
      <c r="J544" s="8"/>
      <c r="K544" s="9" t="s">
        <v>2044</v>
      </c>
    </row>
    <row r="545" customFormat="false" ht="153.7" hidden="false" customHeight="false" outlineLevel="0" collapsed="false">
      <c r="A545" s="5" t="n">
        <v>540</v>
      </c>
      <c r="B545" s="10" t="s">
        <v>348</v>
      </c>
      <c r="C545" s="11" t="s">
        <v>648</v>
      </c>
      <c r="D545" s="8" t="s">
        <v>649</v>
      </c>
      <c r="E545" s="8" t="s">
        <v>656</v>
      </c>
      <c r="F545" s="8" t="s">
        <v>656</v>
      </c>
      <c r="G545" s="8" t="s">
        <v>657</v>
      </c>
      <c r="H545" s="5" t="s">
        <v>1952</v>
      </c>
      <c r="I545" s="17" t="s">
        <v>1480</v>
      </c>
      <c r="J545" s="18" t="n">
        <v>44.8</v>
      </c>
      <c r="K545" s="9" t="s">
        <v>2045</v>
      </c>
    </row>
    <row r="546" customFormat="false" ht="153.7" hidden="false" customHeight="false" outlineLevel="0" collapsed="false">
      <c r="A546" s="5" t="n">
        <v>541</v>
      </c>
      <c r="B546" s="10" t="s">
        <v>348</v>
      </c>
      <c r="C546" s="11" t="s">
        <v>648</v>
      </c>
      <c r="D546" s="8" t="s">
        <v>649</v>
      </c>
      <c r="E546" s="8" t="s">
        <v>656</v>
      </c>
      <c r="F546" s="8" t="s">
        <v>656</v>
      </c>
      <c r="G546" s="8" t="s">
        <v>2046</v>
      </c>
      <c r="H546" s="5" t="s">
        <v>1952</v>
      </c>
      <c r="I546" s="17" t="s">
        <v>1480</v>
      </c>
      <c r="J546" s="18" t="n">
        <v>50.4</v>
      </c>
      <c r="K546" s="9" t="s">
        <v>2047</v>
      </c>
    </row>
    <row r="547" customFormat="false" ht="153.7" hidden="false" customHeight="false" outlineLevel="0" collapsed="false">
      <c r="A547" s="5" t="n">
        <v>542</v>
      </c>
      <c r="B547" s="10" t="s">
        <v>348</v>
      </c>
      <c r="C547" s="11" t="s">
        <v>648</v>
      </c>
      <c r="D547" s="8" t="s">
        <v>649</v>
      </c>
      <c r="E547" s="8" t="s">
        <v>656</v>
      </c>
      <c r="F547" s="8" t="s">
        <v>656</v>
      </c>
      <c r="G547" s="8" t="s">
        <v>2048</v>
      </c>
      <c r="H547" s="5" t="s">
        <v>1952</v>
      </c>
      <c r="I547" s="17" t="s">
        <v>1480</v>
      </c>
      <c r="J547" s="18" t="n">
        <v>56</v>
      </c>
      <c r="K547" s="9" t="s">
        <v>2049</v>
      </c>
    </row>
    <row r="548" customFormat="false" ht="198.5" hidden="false" customHeight="false" outlineLevel="0" collapsed="false">
      <c r="A548" s="5" t="n">
        <v>543</v>
      </c>
      <c r="B548" s="10" t="s">
        <v>348</v>
      </c>
      <c r="C548" s="11" t="s">
        <v>648</v>
      </c>
      <c r="D548" s="8" t="s">
        <v>649</v>
      </c>
      <c r="E548" s="8" t="s">
        <v>656</v>
      </c>
      <c r="F548" s="8" t="s">
        <v>656</v>
      </c>
      <c r="G548" s="8" t="s">
        <v>2050</v>
      </c>
      <c r="H548" s="5" t="s">
        <v>57</v>
      </c>
      <c r="I548" s="16" t="s">
        <v>1463</v>
      </c>
      <c r="J548" s="8"/>
      <c r="K548" s="9" t="s">
        <v>2051</v>
      </c>
    </row>
    <row r="549" customFormat="false" ht="198.5" hidden="false" customHeight="false" outlineLevel="0" collapsed="false">
      <c r="A549" s="5" t="n">
        <v>544</v>
      </c>
      <c r="B549" s="10" t="s">
        <v>348</v>
      </c>
      <c r="C549" s="11" t="s">
        <v>648</v>
      </c>
      <c r="D549" s="8" t="s">
        <v>649</v>
      </c>
      <c r="E549" s="8" t="s">
        <v>656</v>
      </c>
      <c r="F549" s="8" t="s">
        <v>656</v>
      </c>
      <c r="G549" s="8" t="s">
        <v>2052</v>
      </c>
      <c r="H549" s="5" t="s">
        <v>57</v>
      </c>
      <c r="I549" s="16" t="s">
        <v>1463</v>
      </c>
      <c r="J549" s="8"/>
      <c r="K549" s="9" t="s">
        <v>2053</v>
      </c>
    </row>
    <row r="550" customFormat="false" ht="198.5" hidden="false" customHeight="false" outlineLevel="0" collapsed="false">
      <c r="A550" s="5" t="n">
        <v>545</v>
      </c>
      <c r="B550" s="10" t="s">
        <v>348</v>
      </c>
      <c r="C550" s="11" t="s">
        <v>648</v>
      </c>
      <c r="D550" s="8" t="s">
        <v>649</v>
      </c>
      <c r="E550" s="8" t="s">
        <v>656</v>
      </c>
      <c r="F550" s="8" t="s">
        <v>656</v>
      </c>
      <c r="G550" s="8" t="s">
        <v>2054</v>
      </c>
      <c r="H550" s="5" t="s">
        <v>57</v>
      </c>
      <c r="I550" s="16" t="s">
        <v>1463</v>
      </c>
      <c r="J550" s="8"/>
      <c r="K550" s="9" t="s">
        <v>2055</v>
      </c>
    </row>
    <row r="551" customFormat="false" ht="198.5" hidden="false" customHeight="false" outlineLevel="0" collapsed="false">
      <c r="A551" s="5" t="n">
        <v>546</v>
      </c>
      <c r="B551" s="10" t="s">
        <v>348</v>
      </c>
      <c r="C551" s="11" t="s">
        <v>648</v>
      </c>
      <c r="D551" s="8" t="s">
        <v>649</v>
      </c>
      <c r="E551" s="8" t="s">
        <v>439</v>
      </c>
      <c r="F551" s="8" t="s">
        <v>439</v>
      </c>
      <c r="G551" s="8" t="s">
        <v>659</v>
      </c>
      <c r="H551" s="5" t="s">
        <v>1952</v>
      </c>
      <c r="I551" s="17" t="s">
        <v>1480</v>
      </c>
      <c r="J551" s="18" t="n">
        <v>151.2</v>
      </c>
      <c r="K551" s="9" t="s">
        <v>2056</v>
      </c>
    </row>
    <row r="552" customFormat="false" ht="261.9" hidden="false" customHeight="false" outlineLevel="0" collapsed="false">
      <c r="A552" s="5" t="n">
        <v>547</v>
      </c>
      <c r="B552" s="10" t="s">
        <v>348</v>
      </c>
      <c r="C552" s="11" t="s">
        <v>648</v>
      </c>
      <c r="D552" s="8" t="s">
        <v>649</v>
      </c>
      <c r="E552" s="8" t="s">
        <v>439</v>
      </c>
      <c r="F552" s="8" t="s">
        <v>439</v>
      </c>
      <c r="G552" s="8" t="s">
        <v>440</v>
      </c>
      <c r="H552" s="5" t="s">
        <v>57</v>
      </c>
      <c r="I552" s="16" t="s">
        <v>1463</v>
      </c>
      <c r="J552" s="8"/>
      <c r="K552" s="9" t="s">
        <v>2057</v>
      </c>
    </row>
    <row r="553" customFormat="false" ht="261.9" hidden="false" customHeight="false" outlineLevel="0" collapsed="false">
      <c r="A553" s="5" t="n">
        <v>548</v>
      </c>
      <c r="B553" s="10" t="s">
        <v>348</v>
      </c>
      <c r="C553" s="11" t="s">
        <v>648</v>
      </c>
      <c r="D553" s="8" t="s">
        <v>649</v>
      </c>
      <c r="E553" s="8" t="s">
        <v>439</v>
      </c>
      <c r="F553" s="8" t="s">
        <v>661</v>
      </c>
      <c r="G553" s="8" t="s">
        <v>662</v>
      </c>
      <c r="H553" s="5" t="s">
        <v>57</v>
      </c>
      <c r="I553" s="16" t="s">
        <v>1463</v>
      </c>
      <c r="J553" s="8"/>
      <c r="K553" s="9" t="s">
        <v>2058</v>
      </c>
    </row>
    <row r="554" customFormat="false" ht="270.85" hidden="false" customHeight="false" outlineLevel="0" collapsed="false">
      <c r="A554" s="5" t="n">
        <v>549</v>
      </c>
      <c r="B554" s="10" t="s">
        <v>348</v>
      </c>
      <c r="C554" s="11" t="s">
        <v>648</v>
      </c>
      <c r="D554" s="8" t="s">
        <v>649</v>
      </c>
      <c r="E554" s="8" t="s">
        <v>664</v>
      </c>
      <c r="F554" s="8" t="s">
        <v>445</v>
      </c>
      <c r="G554" s="8" t="s">
        <v>446</v>
      </c>
      <c r="H554" s="5" t="s">
        <v>57</v>
      </c>
      <c r="I554" s="16" t="s">
        <v>1463</v>
      </c>
      <c r="J554" s="8"/>
      <c r="K554" s="9" t="s">
        <v>2059</v>
      </c>
    </row>
    <row r="555" customFormat="false" ht="279.85" hidden="false" customHeight="false" outlineLevel="0" collapsed="false">
      <c r="A555" s="5" t="n">
        <v>550</v>
      </c>
      <c r="B555" s="10" t="s">
        <v>348</v>
      </c>
      <c r="C555" s="11" t="s">
        <v>648</v>
      </c>
      <c r="D555" s="8" t="s">
        <v>649</v>
      </c>
      <c r="E555" s="8" t="s">
        <v>664</v>
      </c>
      <c r="F555" s="8" t="s">
        <v>451</v>
      </c>
      <c r="G555" s="8" t="s">
        <v>666</v>
      </c>
      <c r="H555" s="5" t="s">
        <v>57</v>
      </c>
      <c r="I555" s="16" t="s">
        <v>1463</v>
      </c>
      <c r="J555" s="8"/>
      <c r="K555" s="9" t="s">
        <v>2060</v>
      </c>
    </row>
    <row r="556" customFormat="false" ht="180.55" hidden="false" customHeight="false" outlineLevel="0" collapsed="false">
      <c r="A556" s="5" t="n">
        <v>551</v>
      </c>
      <c r="B556" s="10" t="s">
        <v>348</v>
      </c>
      <c r="C556" s="11" t="s">
        <v>648</v>
      </c>
      <c r="D556" s="8" t="s">
        <v>649</v>
      </c>
      <c r="E556" s="8" t="s">
        <v>464</v>
      </c>
      <c r="F556" s="8" t="s">
        <v>465</v>
      </c>
      <c r="G556" s="8" t="s">
        <v>466</v>
      </c>
      <c r="H556" s="5" t="s">
        <v>57</v>
      </c>
      <c r="I556" s="16" t="s">
        <v>1463</v>
      </c>
      <c r="J556" s="8"/>
      <c r="K556" s="9" t="s">
        <v>2061</v>
      </c>
    </row>
    <row r="557" customFormat="false" ht="171.6" hidden="false" customHeight="false" outlineLevel="0" collapsed="false">
      <c r="A557" s="5" t="n">
        <v>552</v>
      </c>
      <c r="B557" s="10" t="s">
        <v>348</v>
      </c>
      <c r="C557" s="11" t="s">
        <v>648</v>
      </c>
      <c r="D557" s="8" t="s">
        <v>649</v>
      </c>
      <c r="E557" s="8" t="s">
        <v>464</v>
      </c>
      <c r="F557" s="8" t="s">
        <v>468</v>
      </c>
      <c r="G557" s="8" t="s">
        <v>469</v>
      </c>
      <c r="H557" s="5" t="s">
        <v>57</v>
      </c>
      <c r="I557" s="16" t="s">
        <v>1463</v>
      </c>
      <c r="J557" s="8"/>
      <c r="K557" s="9" t="s">
        <v>2062</v>
      </c>
    </row>
    <row r="558" customFormat="false" ht="171.6" hidden="false" customHeight="false" outlineLevel="0" collapsed="false">
      <c r="A558" s="5" t="n">
        <v>553</v>
      </c>
      <c r="B558" s="10" t="s">
        <v>348</v>
      </c>
      <c r="C558" s="11" t="s">
        <v>648</v>
      </c>
      <c r="D558" s="8" t="s">
        <v>649</v>
      </c>
      <c r="E558" s="8" t="s">
        <v>464</v>
      </c>
      <c r="F558" s="8" t="s">
        <v>471</v>
      </c>
      <c r="G558" s="8" t="s">
        <v>472</v>
      </c>
      <c r="H558" s="5" t="s">
        <v>57</v>
      </c>
      <c r="I558" s="16" t="s">
        <v>1463</v>
      </c>
      <c r="J558" s="8"/>
      <c r="K558" s="9" t="s">
        <v>2063</v>
      </c>
    </row>
    <row r="559" customFormat="false" ht="171.6" hidden="false" customHeight="false" outlineLevel="0" collapsed="false">
      <c r="A559" s="5" t="n">
        <v>554</v>
      </c>
      <c r="B559" s="10" t="s">
        <v>348</v>
      </c>
      <c r="C559" s="11" t="s">
        <v>648</v>
      </c>
      <c r="D559" s="8" t="s">
        <v>649</v>
      </c>
      <c r="E559" s="8" t="s">
        <v>464</v>
      </c>
      <c r="F559" s="8" t="s">
        <v>474</v>
      </c>
      <c r="G559" s="8" t="s">
        <v>475</v>
      </c>
      <c r="H559" s="5" t="s">
        <v>57</v>
      </c>
      <c r="I559" s="16" t="s">
        <v>1463</v>
      </c>
      <c r="J559" s="8"/>
      <c r="K559" s="9" t="s">
        <v>2064</v>
      </c>
    </row>
    <row r="560" customFormat="false" ht="207.45" hidden="false" customHeight="false" outlineLevel="0" collapsed="false">
      <c r="A560" s="5" t="n">
        <v>555</v>
      </c>
      <c r="B560" s="10" t="s">
        <v>348</v>
      </c>
      <c r="C560" s="11" t="s">
        <v>648</v>
      </c>
      <c r="D560" s="8" t="s">
        <v>649</v>
      </c>
      <c r="E560" s="8" t="s">
        <v>464</v>
      </c>
      <c r="F560" s="8" t="s">
        <v>672</v>
      </c>
      <c r="G560" s="8" t="s">
        <v>673</v>
      </c>
      <c r="H560" s="5" t="s">
        <v>57</v>
      </c>
      <c r="I560" s="16" t="s">
        <v>1463</v>
      </c>
      <c r="J560" s="8"/>
      <c r="K560" s="9" t="s">
        <v>2065</v>
      </c>
    </row>
    <row r="561" customFormat="false" ht="279.85" hidden="false" customHeight="false" outlineLevel="0" collapsed="false">
      <c r="A561" s="5" t="n">
        <v>556</v>
      </c>
      <c r="B561" s="10" t="s">
        <v>348</v>
      </c>
      <c r="C561" s="11" t="s">
        <v>648</v>
      </c>
      <c r="D561" s="8" t="s">
        <v>649</v>
      </c>
      <c r="E561" s="8" t="s">
        <v>675</v>
      </c>
      <c r="F561" s="8" t="s">
        <v>676</v>
      </c>
      <c r="G561" s="8" t="s">
        <v>677</v>
      </c>
      <c r="H561" s="5" t="s">
        <v>57</v>
      </c>
      <c r="I561" s="16" t="s">
        <v>1463</v>
      </c>
      <c r="J561" s="8"/>
      <c r="K561" s="9" t="s">
        <v>2066</v>
      </c>
    </row>
    <row r="562" customFormat="false" ht="216.4" hidden="false" customHeight="false" outlineLevel="0" collapsed="false">
      <c r="A562" s="5" t="n">
        <v>557</v>
      </c>
      <c r="B562" s="10" t="s">
        <v>348</v>
      </c>
      <c r="C562" s="11" t="s">
        <v>648</v>
      </c>
      <c r="D562" s="8" t="s">
        <v>649</v>
      </c>
      <c r="E562" s="8" t="s">
        <v>675</v>
      </c>
      <c r="F562" s="8" t="s">
        <v>679</v>
      </c>
      <c r="G562" s="8" t="s">
        <v>680</v>
      </c>
      <c r="H562" s="5" t="s">
        <v>18</v>
      </c>
      <c r="I562" s="16" t="s">
        <v>1463</v>
      </c>
      <c r="J562" s="8"/>
      <c r="K562" s="9" t="s">
        <v>2067</v>
      </c>
    </row>
    <row r="563" customFormat="false" ht="244" hidden="false" customHeight="false" outlineLevel="0" collapsed="false">
      <c r="A563" s="5" t="n">
        <v>558</v>
      </c>
      <c r="B563" s="10" t="s">
        <v>348</v>
      </c>
      <c r="C563" s="11" t="s">
        <v>682</v>
      </c>
      <c r="D563" s="8" t="s">
        <v>683</v>
      </c>
      <c r="E563" s="8" t="s">
        <v>684</v>
      </c>
      <c r="F563" s="8" t="s">
        <v>685</v>
      </c>
      <c r="G563" s="8" t="s">
        <v>686</v>
      </c>
      <c r="H563" s="5" t="s">
        <v>35</v>
      </c>
      <c r="I563" s="16" t="s">
        <v>1463</v>
      </c>
      <c r="J563" s="8"/>
      <c r="K563" s="9" t="s">
        <v>2068</v>
      </c>
    </row>
    <row r="564" customFormat="false" ht="270.85" hidden="false" customHeight="false" outlineLevel="0" collapsed="false">
      <c r="A564" s="5" t="n">
        <v>559</v>
      </c>
      <c r="B564" s="10" t="s">
        <v>348</v>
      </c>
      <c r="C564" s="11" t="s">
        <v>682</v>
      </c>
      <c r="D564" s="8" t="s">
        <v>683</v>
      </c>
      <c r="E564" s="8" t="s">
        <v>684</v>
      </c>
      <c r="F564" s="8" t="s">
        <v>688</v>
      </c>
      <c r="G564" s="8" t="s">
        <v>689</v>
      </c>
      <c r="H564" s="5" t="s">
        <v>57</v>
      </c>
      <c r="I564" s="16" t="s">
        <v>1463</v>
      </c>
      <c r="J564" s="8"/>
      <c r="K564" s="9" t="s">
        <v>2069</v>
      </c>
    </row>
    <row r="565" customFormat="false" ht="153.7" hidden="false" customHeight="false" outlineLevel="0" collapsed="false">
      <c r="A565" s="5" t="n">
        <v>560</v>
      </c>
      <c r="B565" s="10" t="s">
        <v>348</v>
      </c>
      <c r="C565" s="11" t="s">
        <v>691</v>
      </c>
      <c r="D565" s="8" t="s">
        <v>692</v>
      </c>
      <c r="E565" s="8" t="s">
        <v>408</v>
      </c>
      <c r="F565" s="8" t="s">
        <v>408</v>
      </c>
      <c r="G565" s="8" t="s">
        <v>409</v>
      </c>
      <c r="H565" s="5" t="s">
        <v>18</v>
      </c>
      <c r="I565" s="17" t="s">
        <v>1480</v>
      </c>
      <c r="J565" s="18" t="n">
        <v>5.24</v>
      </c>
      <c r="K565" s="9" t="s">
        <v>2070</v>
      </c>
    </row>
    <row r="566" customFormat="false" ht="153.7" hidden="false" customHeight="false" outlineLevel="0" collapsed="false">
      <c r="A566" s="5" t="n">
        <v>561</v>
      </c>
      <c r="B566" s="10" t="s">
        <v>348</v>
      </c>
      <c r="C566" s="11" t="s">
        <v>691</v>
      </c>
      <c r="D566" s="8" t="s">
        <v>692</v>
      </c>
      <c r="E566" s="8" t="s">
        <v>408</v>
      </c>
      <c r="F566" s="8" t="s">
        <v>408</v>
      </c>
      <c r="G566" s="8" t="s">
        <v>1925</v>
      </c>
      <c r="H566" s="5" t="s">
        <v>18</v>
      </c>
      <c r="I566" s="16" t="s">
        <v>1463</v>
      </c>
      <c r="J566" s="8"/>
      <c r="K566" s="9" t="s">
        <v>2071</v>
      </c>
    </row>
    <row r="567" customFormat="false" ht="198.5" hidden="false" customHeight="false" outlineLevel="0" collapsed="false">
      <c r="A567" s="5" t="n">
        <v>562</v>
      </c>
      <c r="B567" s="10" t="s">
        <v>348</v>
      </c>
      <c r="C567" s="11" t="s">
        <v>691</v>
      </c>
      <c r="D567" s="8" t="s">
        <v>692</v>
      </c>
      <c r="E567" s="8" t="s">
        <v>408</v>
      </c>
      <c r="F567" s="8" t="s">
        <v>411</v>
      </c>
      <c r="G567" s="8" t="s">
        <v>412</v>
      </c>
      <c r="H567" s="5" t="s">
        <v>18</v>
      </c>
      <c r="I567" s="16" t="s">
        <v>1463</v>
      </c>
      <c r="J567" s="8"/>
      <c r="K567" s="9" t="s">
        <v>2072</v>
      </c>
    </row>
    <row r="568" customFormat="false" ht="99.95" hidden="false" customHeight="false" outlineLevel="0" collapsed="false">
      <c r="A568" s="5" t="n">
        <v>563</v>
      </c>
      <c r="B568" s="10" t="s">
        <v>348</v>
      </c>
      <c r="C568" s="11" t="s">
        <v>691</v>
      </c>
      <c r="D568" s="8" t="s">
        <v>692</v>
      </c>
      <c r="E568" s="8" t="s">
        <v>417</v>
      </c>
      <c r="F568" s="8" t="s">
        <v>417</v>
      </c>
      <c r="G568" s="8" t="s">
        <v>417</v>
      </c>
      <c r="H568" s="5" t="s">
        <v>18</v>
      </c>
      <c r="I568" s="17" t="s">
        <v>1480</v>
      </c>
      <c r="J568" s="18" t="n">
        <v>4.6</v>
      </c>
      <c r="K568" s="9" t="s">
        <v>2073</v>
      </c>
    </row>
    <row r="569" customFormat="false" ht="180.55" hidden="false" customHeight="false" outlineLevel="0" collapsed="false">
      <c r="A569" s="5" t="n">
        <v>564</v>
      </c>
      <c r="B569" s="10" t="s">
        <v>348</v>
      </c>
      <c r="C569" s="11" t="s">
        <v>691</v>
      </c>
      <c r="D569" s="8" t="s">
        <v>692</v>
      </c>
      <c r="E569" s="8" t="s">
        <v>417</v>
      </c>
      <c r="F569" s="8" t="s">
        <v>417</v>
      </c>
      <c r="G569" s="8" t="s">
        <v>1930</v>
      </c>
      <c r="H569" s="5" t="s">
        <v>18</v>
      </c>
      <c r="I569" s="16" t="s">
        <v>1463</v>
      </c>
      <c r="J569" s="8"/>
      <c r="K569" s="9" t="s">
        <v>2074</v>
      </c>
    </row>
    <row r="570" customFormat="false" ht="198.5" hidden="false" customHeight="false" outlineLevel="0" collapsed="false">
      <c r="A570" s="5" t="n">
        <v>565</v>
      </c>
      <c r="B570" s="10" t="s">
        <v>348</v>
      </c>
      <c r="C570" s="11" t="s">
        <v>691</v>
      </c>
      <c r="D570" s="8" t="s">
        <v>692</v>
      </c>
      <c r="E570" s="8" t="s">
        <v>417</v>
      </c>
      <c r="F570" s="8" t="s">
        <v>417</v>
      </c>
      <c r="G570" s="8" t="s">
        <v>1932</v>
      </c>
      <c r="H570" s="5" t="s">
        <v>18</v>
      </c>
      <c r="I570" s="16" t="s">
        <v>1463</v>
      </c>
      <c r="J570" s="8"/>
      <c r="K570" s="9" t="s">
        <v>2075</v>
      </c>
    </row>
    <row r="571" customFormat="false" ht="153.7" hidden="false" customHeight="false" outlineLevel="0" collapsed="false">
      <c r="A571" s="5" t="n">
        <v>566</v>
      </c>
      <c r="B571" s="10" t="s">
        <v>348</v>
      </c>
      <c r="C571" s="11" t="s">
        <v>691</v>
      </c>
      <c r="D571" s="8" t="s">
        <v>692</v>
      </c>
      <c r="E571" s="8" t="s">
        <v>417</v>
      </c>
      <c r="F571" s="8" t="s">
        <v>419</v>
      </c>
      <c r="G571" s="8" t="s">
        <v>420</v>
      </c>
      <c r="H571" s="5" t="s">
        <v>18</v>
      </c>
      <c r="I571" s="16" t="s">
        <v>1463</v>
      </c>
      <c r="J571" s="8"/>
      <c r="K571" s="9" t="s">
        <v>2076</v>
      </c>
    </row>
    <row r="572" customFormat="false" ht="180.55" hidden="false" customHeight="false" outlineLevel="0" collapsed="false">
      <c r="A572" s="5" t="n">
        <v>567</v>
      </c>
      <c r="B572" s="10" t="s">
        <v>348</v>
      </c>
      <c r="C572" s="11" t="s">
        <v>691</v>
      </c>
      <c r="D572" s="8" t="s">
        <v>692</v>
      </c>
      <c r="E572" s="8" t="s">
        <v>425</v>
      </c>
      <c r="F572" s="8" t="s">
        <v>425</v>
      </c>
      <c r="G572" s="8" t="s">
        <v>426</v>
      </c>
      <c r="H572" s="5" t="s">
        <v>18</v>
      </c>
      <c r="I572" s="17" t="s">
        <v>1480</v>
      </c>
      <c r="J572" s="18" t="n">
        <v>20.64</v>
      </c>
      <c r="K572" s="9" t="s">
        <v>2077</v>
      </c>
    </row>
    <row r="573" customFormat="false" ht="225.35" hidden="false" customHeight="false" outlineLevel="0" collapsed="false">
      <c r="A573" s="5" t="n">
        <v>568</v>
      </c>
      <c r="B573" s="10" t="s">
        <v>348</v>
      </c>
      <c r="C573" s="11" t="s">
        <v>691</v>
      </c>
      <c r="D573" s="8" t="s">
        <v>692</v>
      </c>
      <c r="E573" s="8" t="s">
        <v>425</v>
      </c>
      <c r="F573" s="8" t="s">
        <v>698</v>
      </c>
      <c r="G573" s="8" t="s">
        <v>699</v>
      </c>
      <c r="H573" s="5" t="s">
        <v>18</v>
      </c>
      <c r="I573" s="16" t="s">
        <v>1463</v>
      </c>
      <c r="J573" s="8"/>
      <c r="K573" s="9" t="s">
        <v>2078</v>
      </c>
    </row>
    <row r="574" customFormat="false" ht="234.3" hidden="false" customHeight="false" outlineLevel="0" collapsed="false">
      <c r="A574" s="5" t="n">
        <v>569</v>
      </c>
      <c r="B574" s="10" t="s">
        <v>348</v>
      </c>
      <c r="C574" s="11" t="s">
        <v>691</v>
      </c>
      <c r="D574" s="8" t="s">
        <v>692</v>
      </c>
      <c r="E574" s="8" t="s">
        <v>701</v>
      </c>
      <c r="F574" s="8" t="s">
        <v>701</v>
      </c>
      <c r="G574" s="8" t="s">
        <v>702</v>
      </c>
      <c r="H574" s="5" t="s">
        <v>18</v>
      </c>
      <c r="I574" s="16" t="s">
        <v>1463</v>
      </c>
      <c r="J574" s="8"/>
      <c r="K574" s="9" t="s">
        <v>2079</v>
      </c>
    </row>
    <row r="575" customFormat="false" ht="216.4" hidden="false" customHeight="false" outlineLevel="0" collapsed="false">
      <c r="A575" s="5" t="n">
        <v>570</v>
      </c>
      <c r="B575" s="10" t="s">
        <v>348</v>
      </c>
      <c r="C575" s="11" t="s">
        <v>691</v>
      </c>
      <c r="D575" s="8" t="s">
        <v>692</v>
      </c>
      <c r="E575" s="8" t="s">
        <v>701</v>
      </c>
      <c r="F575" s="8" t="s">
        <v>704</v>
      </c>
      <c r="G575" s="8" t="s">
        <v>705</v>
      </c>
      <c r="H575" s="5" t="s">
        <v>18</v>
      </c>
      <c r="I575" s="16" t="s">
        <v>1463</v>
      </c>
      <c r="J575" s="8"/>
      <c r="K575" s="9" t="s">
        <v>2080</v>
      </c>
    </row>
    <row r="576" customFormat="false" ht="216.4" hidden="false" customHeight="false" outlineLevel="0" collapsed="false">
      <c r="A576" s="5" t="n">
        <v>571</v>
      </c>
      <c r="B576" s="10" t="s">
        <v>348</v>
      </c>
      <c r="C576" s="11" t="s">
        <v>691</v>
      </c>
      <c r="D576" s="8" t="s">
        <v>692</v>
      </c>
      <c r="E576" s="8" t="s">
        <v>701</v>
      </c>
      <c r="F576" s="8" t="s">
        <v>707</v>
      </c>
      <c r="G576" s="8" t="s">
        <v>708</v>
      </c>
      <c r="H576" s="5" t="s">
        <v>18</v>
      </c>
      <c r="I576" s="16" t="s">
        <v>1463</v>
      </c>
      <c r="J576" s="8"/>
      <c r="K576" s="9" t="s">
        <v>2081</v>
      </c>
    </row>
    <row r="577" customFormat="false" ht="198.5" hidden="false" customHeight="false" outlineLevel="0" collapsed="false">
      <c r="A577" s="5" t="n">
        <v>572</v>
      </c>
      <c r="B577" s="10" t="s">
        <v>348</v>
      </c>
      <c r="C577" s="11" t="s">
        <v>691</v>
      </c>
      <c r="D577" s="8" t="s">
        <v>692</v>
      </c>
      <c r="E577" s="8" t="s">
        <v>701</v>
      </c>
      <c r="F577" s="8" t="s">
        <v>710</v>
      </c>
      <c r="G577" s="8" t="s">
        <v>711</v>
      </c>
      <c r="H577" s="5" t="s">
        <v>18</v>
      </c>
      <c r="I577" s="16" t="s">
        <v>1463</v>
      </c>
      <c r="J577" s="8"/>
      <c r="K577" s="9" t="s">
        <v>2082</v>
      </c>
    </row>
    <row r="578" customFormat="false" ht="207.45" hidden="false" customHeight="false" outlineLevel="0" collapsed="false">
      <c r="A578" s="5" t="n">
        <v>573</v>
      </c>
      <c r="B578" s="10" t="s">
        <v>348</v>
      </c>
      <c r="C578" s="11" t="s">
        <v>691</v>
      </c>
      <c r="D578" s="8" t="s">
        <v>692</v>
      </c>
      <c r="E578" s="8" t="s">
        <v>713</v>
      </c>
      <c r="F578" s="8" t="s">
        <v>713</v>
      </c>
      <c r="G578" s="8" t="s">
        <v>714</v>
      </c>
      <c r="H578" s="5" t="s">
        <v>61</v>
      </c>
      <c r="I578" s="16" t="s">
        <v>1463</v>
      </c>
      <c r="J578" s="8"/>
      <c r="K578" s="9" t="s">
        <v>2083</v>
      </c>
    </row>
    <row r="579" customFormat="false" ht="234.3" hidden="false" customHeight="false" outlineLevel="0" collapsed="false">
      <c r="A579" s="5" t="n">
        <v>574</v>
      </c>
      <c r="B579" s="10" t="s">
        <v>348</v>
      </c>
      <c r="C579" s="11" t="s">
        <v>716</v>
      </c>
      <c r="D579" s="8" t="s">
        <v>717</v>
      </c>
      <c r="E579" s="8" t="s">
        <v>510</v>
      </c>
      <c r="F579" s="8" t="s">
        <v>510</v>
      </c>
      <c r="G579" s="8" t="s">
        <v>511</v>
      </c>
      <c r="H579" s="5" t="s">
        <v>18</v>
      </c>
      <c r="I579" s="16" t="s">
        <v>1463</v>
      </c>
      <c r="J579" s="8"/>
      <c r="K579" s="9" t="s">
        <v>2084</v>
      </c>
    </row>
    <row r="580" customFormat="false" ht="244" hidden="false" customHeight="false" outlineLevel="0" collapsed="false">
      <c r="A580" s="5" t="n">
        <v>575</v>
      </c>
      <c r="B580" s="10" t="s">
        <v>348</v>
      </c>
      <c r="C580" s="11" t="s">
        <v>716</v>
      </c>
      <c r="D580" s="8" t="s">
        <v>717</v>
      </c>
      <c r="E580" s="8" t="s">
        <v>510</v>
      </c>
      <c r="F580" s="8" t="s">
        <v>719</v>
      </c>
      <c r="G580" s="8" t="s">
        <v>720</v>
      </c>
      <c r="H580" s="5" t="s">
        <v>18</v>
      </c>
      <c r="I580" s="16" t="s">
        <v>1463</v>
      </c>
      <c r="J580" s="8"/>
      <c r="K580" s="9" t="s">
        <v>2085</v>
      </c>
    </row>
    <row r="581" customFormat="false" ht="225.35" hidden="false" customHeight="false" outlineLevel="0" collapsed="false">
      <c r="A581" s="5" t="n">
        <v>576</v>
      </c>
      <c r="B581" s="10" t="s">
        <v>348</v>
      </c>
      <c r="C581" s="11" t="s">
        <v>716</v>
      </c>
      <c r="D581" s="8" t="s">
        <v>717</v>
      </c>
      <c r="E581" s="8" t="s">
        <v>516</v>
      </c>
      <c r="F581" s="8" t="s">
        <v>516</v>
      </c>
      <c r="G581" s="8" t="s">
        <v>517</v>
      </c>
      <c r="H581" s="5" t="s">
        <v>18</v>
      </c>
      <c r="I581" s="16" t="s">
        <v>1463</v>
      </c>
      <c r="J581" s="8"/>
      <c r="K581" s="9" t="s">
        <v>2086</v>
      </c>
    </row>
    <row r="582" customFormat="false" ht="225.35" hidden="false" customHeight="false" outlineLevel="0" collapsed="false">
      <c r="A582" s="5" t="n">
        <v>577</v>
      </c>
      <c r="B582" s="10" t="s">
        <v>348</v>
      </c>
      <c r="C582" s="11" t="s">
        <v>716</v>
      </c>
      <c r="D582" s="8" t="s">
        <v>717</v>
      </c>
      <c r="E582" s="8" t="s">
        <v>516</v>
      </c>
      <c r="F582" s="8" t="s">
        <v>516</v>
      </c>
      <c r="G582" s="8" t="s">
        <v>1984</v>
      </c>
      <c r="H582" s="5" t="s">
        <v>18</v>
      </c>
      <c r="I582" s="16" t="s">
        <v>1463</v>
      </c>
      <c r="J582" s="8"/>
      <c r="K582" s="9" t="s">
        <v>2087</v>
      </c>
    </row>
    <row r="583" customFormat="false" ht="270.85" hidden="false" customHeight="false" outlineLevel="0" collapsed="false">
      <c r="A583" s="5" t="n">
        <v>578</v>
      </c>
      <c r="B583" s="10" t="s">
        <v>348</v>
      </c>
      <c r="C583" s="11" t="s">
        <v>716</v>
      </c>
      <c r="D583" s="8" t="s">
        <v>717</v>
      </c>
      <c r="E583" s="8" t="s">
        <v>516</v>
      </c>
      <c r="F583" s="8" t="s">
        <v>723</v>
      </c>
      <c r="G583" s="8" t="s">
        <v>724</v>
      </c>
      <c r="H583" s="5" t="s">
        <v>18</v>
      </c>
      <c r="I583" s="16" t="s">
        <v>1463</v>
      </c>
      <c r="J583" s="8"/>
      <c r="K583" s="9" t="s">
        <v>2088</v>
      </c>
    </row>
    <row r="584" customFormat="false" ht="244" hidden="false" customHeight="false" outlineLevel="0" collapsed="false">
      <c r="A584" s="5" t="n">
        <v>579</v>
      </c>
      <c r="B584" s="10" t="s">
        <v>348</v>
      </c>
      <c r="C584" s="11" t="s">
        <v>716</v>
      </c>
      <c r="D584" s="8" t="s">
        <v>717</v>
      </c>
      <c r="E584" s="8" t="s">
        <v>516</v>
      </c>
      <c r="F584" s="8" t="s">
        <v>726</v>
      </c>
      <c r="G584" s="8" t="s">
        <v>727</v>
      </c>
      <c r="H584" s="5" t="s">
        <v>18</v>
      </c>
      <c r="I584" s="16" t="s">
        <v>1463</v>
      </c>
      <c r="J584" s="8"/>
      <c r="K584" s="9" t="s">
        <v>2089</v>
      </c>
    </row>
    <row r="585" customFormat="false" ht="189.55" hidden="false" customHeight="false" outlineLevel="0" collapsed="false">
      <c r="A585" s="5" t="n">
        <v>580</v>
      </c>
      <c r="B585" s="10" t="s">
        <v>348</v>
      </c>
      <c r="C585" s="11" t="s">
        <v>716</v>
      </c>
      <c r="D585" s="8" t="s">
        <v>717</v>
      </c>
      <c r="E585" s="8" t="s">
        <v>729</v>
      </c>
      <c r="F585" s="8" t="s">
        <v>730</v>
      </c>
      <c r="G585" s="8" t="s">
        <v>730</v>
      </c>
      <c r="H585" s="5" t="s">
        <v>18</v>
      </c>
      <c r="I585" s="17" t="s">
        <v>1480</v>
      </c>
      <c r="J585" s="18" t="n">
        <v>71.2</v>
      </c>
      <c r="K585" s="9" t="s">
        <v>2090</v>
      </c>
    </row>
    <row r="586" customFormat="false" ht="270.85" hidden="false" customHeight="false" outlineLevel="0" collapsed="false">
      <c r="A586" s="5" t="n">
        <v>581</v>
      </c>
      <c r="B586" s="10" t="s">
        <v>348</v>
      </c>
      <c r="C586" s="11" t="s">
        <v>716</v>
      </c>
      <c r="D586" s="8" t="s">
        <v>717</v>
      </c>
      <c r="E586" s="8" t="s">
        <v>729</v>
      </c>
      <c r="F586" s="8" t="s">
        <v>732</v>
      </c>
      <c r="G586" s="8" t="s">
        <v>733</v>
      </c>
      <c r="H586" s="5" t="s">
        <v>18</v>
      </c>
      <c r="I586" s="16" t="s">
        <v>1463</v>
      </c>
      <c r="J586" s="8"/>
      <c r="K586" s="9" t="s">
        <v>2091</v>
      </c>
    </row>
    <row r="587" customFormat="false" ht="252.95" hidden="false" customHeight="false" outlineLevel="0" collapsed="false">
      <c r="A587" s="5" t="n">
        <v>582</v>
      </c>
      <c r="B587" s="10" t="s">
        <v>348</v>
      </c>
      <c r="C587" s="11" t="s">
        <v>716</v>
      </c>
      <c r="D587" s="8" t="s">
        <v>717</v>
      </c>
      <c r="E587" s="8" t="s">
        <v>729</v>
      </c>
      <c r="F587" s="8" t="s">
        <v>735</v>
      </c>
      <c r="G587" s="8" t="s">
        <v>736</v>
      </c>
      <c r="H587" s="5" t="s">
        <v>18</v>
      </c>
      <c r="I587" s="16" t="s">
        <v>1463</v>
      </c>
      <c r="J587" s="8"/>
      <c r="K587" s="9" t="s">
        <v>2092</v>
      </c>
    </row>
    <row r="588" customFormat="false" ht="270.85" hidden="false" customHeight="false" outlineLevel="0" collapsed="false">
      <c r="A588" s="5" t="n">
        <v>583</v>
      </c>
      <c r="B588" s="10" t="s">
        <v>348</v>
      </c>
      <c r="C588" s="11" t="s">
        <v>716</v>
      </c>
      <c r="D588" s="8" t="s">
        <v>717</v>
      </c>
      <c r="E588" s="8" t="s">
        <v>738</v>
      </c>
      <c r="F588" s="8" t="s">
        <v>739</v>
      </c>
      <c r="G588" s="8" t="s">
        <v>740</v>
      </c>
      <c r="H588" s="5" t="s">
        <v>18</v>
      </c>
      <c r="I588" s="16" t="s">
        <v>1463</v>
      </c>
      <c r="J588" s="8"/>
      <c r="K588" s="9" t="s">
        <v>2093</v>
      </c>
    </row>
    <row r="589" customFormat="false" ht="244" hidden="false" customHeight="false" outlineLevel="0" collapsed="false">
      <c r="A589" s="5" t="n">
        <v>584</v>
      </c>
      <c r="B589" s="10" t="s">
        <v>348</v>
      </c>
      <c r="C589" s="11" t="s">
        <v>716</v>
      </c>
      <c r="D589" s="8" t="s">
        <v>717</v>
      </c>
      <c r="E589" s="8" t="s">
        <v>738</v>
      </c>
      <c r="F589" s="8" t="s">
        <v>742</v>
      </c>
      <c r="G589" s="8" t="s">
        <v>743</v>
      </c>
      <c r="H589" s="5" t="s">
        <v>18</v>
      </c>
      <c r="I589" s="16" t="s">
        <v>1463</v>
      </c>
      <c r="J589" s="8"/>
      <c r="K589" s="9" t="s">
        <v>2094</v>
      </c>
    </row>
    <row r="590" customFormat="false" ht="244" hidden="false" customHeight="false" outlineLevel="0" collapsed="false">
      <c r="A590" s="5" t="n">
        <v>585</v>
      </c>
      <c r="B590" s="10" t="s">
        <v>348</v>
      </c>
      <c r="C590" s="11" t="s">
        <v>716</v>
      </c>
      <c r="D590" s="8" t="s">
        <v>717</v>
      </c>
      <c r="E590" s="8" t="s">
        <v>738</v>
      </c>
      <c r="F590" s="8" t="s">
        <v>745</v>
      </c>
      <c r="G590" s="8" t="s">
        <v>746</v>
      </c>
      <c r="H590" s="5" t="s">
        <v>18</v>
      </c>
      <c r="I590" s="16" t="s">
        <v>1463</v>
      </c>
      <c r="J590" s="8"/>
      <c r="K590" s="9" t="s">
        <v>2095</v>
      </c>
    </row>
    <row r="591" customFormat="false" ht="189.55" hidden="false" customHeight="false" outlineLevel="0" collapsed="false">
      <c r="A591" s="5" t="n">
        <v>586</v>
      </c>
      <c r="B591" s="10" t="s">
        <v>348</v>
      </c>
      <c r="C591" s="11" t="s">
        <v>716</v>
      </c>
      <c r="D591" s="8" t="s">
        <v>717</v>
      </c>
      <c r="E591" s="8" t="s">
        <v>738</v>
      </c>
      <c r="F591" s="8" t="s">
        <v>748</v>
      </c>
      <c r="G591" s="8" t="s">
        <v>749</v>
      </c>
      <c r="H591" s="5" t="s">
        <v>18</v>
      </c>
      <c r="I591" s="16" t="s">
        <v>1463</v>
      </c>
      <c r="J591" s="8"/>
      <c r="K591" s="9" t="s">
        <v>2096</v>
      </c>
    </row>
    <row r="592" customFormat="false" ht="234.3" hidden="false" customHeight="false" outlineLevel="0" collapsed="false">
      <c r="A592" s="5" t="n">
        <v>587</v>
      </c>
      <c r="B592" s="10" t="s">
        <v>348</v>
      </c>
      <c r="C592" s="11" t="s">
        <v>716</v>
      </c>
      <c r="D592" s="8" t="s">
        <v>717</v>
      </c>
      <c r="E592" s="8" t="s">
        <v>738</v>
      </c>
      <c r="F592" s="8" t="s">
        <v>751</v>
      </c>
      <c r="G592" s="8" t="s">
        <v>752</v>
      </c>
      <c r="H592" s="5" t="s">
        <v>18</v>
      </c>
      <c r="I592" s="16" t="s">
        <v>1463</v>
      </c>
      <c r="J592" s="8"/>
      <c r="K592" s="9" t="s">
        <v>2097</v>
      </c>
    </row>
    <row r="593" customFormat="false" ht="189.55" hidden="false" customHeight="false" outlineLevel="0" collapsed="false">
      <c r="A593" s="5" t="n">
        <v>588</v>
      </c>
      <c r="B593" s="10" t="s">
        <v>348</v>
      </c>
      <c r="C593" s="11" t="s">
        <v>716</v>
      </c>
      <c r="D593" s="8" t="s">
        <v>717</v>
      </c>
      <c r="E593" s="8" t="s">
        <v>138</v>
      </c>
      <c r="F593" s="8" t="s">
        <v>138</v>
      </c>
      <c r="G593" s="8" t="s">
        <v>139</v>
      </c>
      <c r="H593" s="5" t="s">
        <v>18</v>
      </c>
      <c r="I593" s="17" t="s">
        <v>1480</v>
      </c>
      <c r="J593" s="18" t="n">
        <v>9.68</v>
      </c>
      <c r="K593" s="9" t="s">
        <v>2098</v>
      </c>
    </row>
    <row r="594" customFormat="false" ht="171.6" hidden="false" customHeight="false" outlineLevel="0" collapsed="false">
      <c r="A594" s="5" t="n">
        <v>589</v>
      </c>
      <c r="B594" s="10" t="s">
        <v>348</v>
      </c>
      <c r="C594" s="11" t="s">
        <v>716</v>
      </c>
      <c r="D594" s="8" t="s">
        <v>717</v>
      </c>
      <c r="E594" s="8" t="s">
        <v>138</v>
      </c>
      <c r="F594" s="8" t="s">
        <v>138</v>
      </c>
      <c r="G594" s="8" t="s">
        <v>1557</v>
      </c>
      <c r="H594" s="5" t="s">
        <v>18</v>
      </c>
      <c r="I594" s="17" t="s">
        <v>1480</v>
      </c>
      <c r="J594" s="18" t="n">
        <v>9.12</v>
      </c>
      <c r="K594" s="9" t="s">
        <v>2099</v>
      </c>
    </row>
    <row r="595" customFormat="false" ht="270.85" hidden="false" customHeight="false" outlineLevel="0" collapsed="false">
      <c r="A595" s="5" t="n">
        <v>590</v>
      </c>
      <c r="B595" s="10" t="s">
        <v>348</v>
      </c>
      <c r="C595" s="11" t="s">
        <v>716</v>
      </c>
      <c r="D595" s="8" t="s">
        <v>717</v>
      </c>
      <c r="E595" s="8" t="s">
        <v>138</v>
      </c>
      <c r="F595" s="8" t="s">
        <v>138</v>
      </c>
      <c r="G595" s="8" t="s">
        <v>1559</v>
      </c>
      <c r="H595" s="5" t="s">
        <v>18</v>
      </c>
      <c r="I595" s="16" t="s">
        <v>1463</v>
      </c>
      <c r="J595" s="8"/>
      <c r="K595" s="9" t="s">
        <v>2100</v>
      </c>
    </row>
    <row r="596" customFormat="false" ht="144.75" hidden="false" customHeight="false" outlineLevel="0" collapsed="false">
      <c r="A596" s="5" t="n">
        <v>591</v>
      </c>
      <c r="B596" s="10" t="s">
        <v>348</v>
      </c>
      <c r="C596" s="11" t="s">
        <v>716</v>
      </c>
      <c r="D596" s="8" t="s">
        <v>717</v>
      </c>
      <c r="E596" s="8" t="s">
        <v>138</v>
      </c>
      <c r="F596" s="8" t="s">
        <v>755</v>
      </c>
      <c r="G596" s="8" t="s">
        <v>755</v>
      </c>
      <c r="H596" s="5" t="s">
        <v>18</v>
      </c>
      <c r="I596" s="17" t="s">
        <v>1480</v>
      </c>
      <c r="J596" s="18" t="n">
        <v>4</v>
      </c>
      <c r="K596" s="9" t="s">
        <v>2101</v>
      </c>
    </row>
    <row r="597" customFormat="false" ht="244" hidden="false" customHeight="false" outlineLevel="0" collapsed="false">
      <c r="A597" s="5" t="n">
        <v>592</v>
      </c>
      <c r="B597" s="10" t="s">
        <v>348</v>
      </c>
      <c r="C597" s="11" t="s">
        <v>716</v>
      </c>
      <c r="D597" s="8" t="s">
        <v>717</v>
      </c>
      <c r="E597" s="8" t="s">
        <v>757</v>
      </c>
      <c r="F597" s="8" t="s">
        <v>713</v>
      </c>
      <c r="G597" s="8" t="s">
        <v>714</v>
      </c>
      <c r="H597" s="5" t="s">
        <v>61</v>
      </c>
      <c r="I597" s="16" t="s">
        <v>1463</v>
      </c>
      <c r="J597" s="8"/>
      <c r="K597" s="9" t="s">
        <v>2102</v>
      </c>
    </row>
    <row r="598" customFormat="false" ht="225.35" hidden="false" customHeight="false" outlineLevel="0" collapsed="false">
      <c r="A598" s="5" t="n">
        <v>593</v>
      </c>
      <c r="B598" s="10" t="s">
        <v>348</v>
      </c>
      <c r="C598" s="11" t="s">
        <v>716</v>
      </c>
      <c r="D598" s="8" t="s">
        <v>717</v>
      </c>
      <c r="E598" s="8" t="s">
        <v>757</v>
      </c>
      <c r="F598" s="8" t="s">
        <v>543</v>
      </c>
      <c r="G598" s="8" t="s">
        <v>544</v>
      </c>
      <c r="H598" s="5" t="s">
        <v>61</v>
      </c>
      <c r="I598" s="16" t="s">
        <v>1463</v>
      </c>
      <c r="J598" s="8"/>
      <c r="K598" s="9" t="s">
        <v>2103</v>
      </c>
    </row>
    <row r="599" customFormat="false" ht="216.4" hidden="false" customHeight="false" outlineLevel="0" collapsed="false">
      <c r="A599" s="5" t="n">
        <v>594</v>
      </c>
      <c r="B599" s="10" t="s">
        <v>348</v>
      </c>
      <c r="C599" s="11" t="s">
        <v>716</v>
      </c>
      <c r="D599" s="8" t="s">
        <v>717</v>
      </c>
      <c r="E599" s="8" t="s">
        <v>757</v>
      </c>
      <c r="F599" s="8" t="s">
        <v>760</v>
      </c>
      <c r="G599" s="8" t="s">
        <v>761</v>
      </c>
      <c r="H599" s="5" t="s">
        <v>61</v>
      </c>
      <c r="I599" s="16" t="s">
        <v>1463</v>
      </c>
      <c r="J599" s="8"/>
      <c r="K599" s="9" t="s">
        <v>2104</v>
      </c>
    </row>
    <row r="600" customFormat="false" ht="252.95" hidden="false" customHeight="false" outlineLevel="0" collapsed="false">
      <c r="A600" s="5" t="n">
        <v>595</v>
      </c>
      <c r="B600" s="10" t="s">
        <v>348</v>
      </c>
      <c r="C600" s="11" t="s">
        <v>763</v>
      </c>
      <c r="D600" s="8" t="s">
        <v>764</v>
      </c>
      <c r="E600" s="8" t="s">
        <v>765</v>
      </c>
      <c r="F600" s="8" t="s">
        <v>765</v>
      </c>
      <c r="G600" s="8" t="s">
        <v>766</v>
      </c>
      <c r="H600" s="5" t="s">
        <v>18</v>
      </c>
      <c r="I600" s="17" t="s">
        <v>1480</v>
      </c>
      <c r="J600" s="18" t="n">
        <v>11.44</v>
      </c>
      <c r="K600" s="9" t="s">
        <v>2105</v>
      </c>
    </row>
    <row r="601" customFormat="false" ht="279.85" hidden="false" customHeight="false" outlineLevel="0" collapsed="false">
      <c r="A601" s="5" t="n">
        <v>596</v>
      </c>
      <c r="B601" s="10" t="s">
        <v>348</v>
      </c>
      <c r="C601" s="11" t="s">
        <v>763</v>
      </c>
      <c r="D601" s="8" t="s">
        <v>764</v>
      </c>
      <c r="E601" s="8" t="s">
        <v>765</v>
      </c>
      <c r="F601" s="8" t="s">
        <v>768</v>
      </c>
      <c r="G601" s="8" t="s">
        <v>769</v>
      </c>
      <c r="H601" s="5" t="s">
        <v>18</v>
      </c>
      <c r="I601" s="16" t="s">
        <v>1463</v>
      </c>
      <c r="J601" s="8"/>
      <c r="K601" s="9" t="s">
        <v>2106</v>
      </c>
    </row>
    <row r="602" customFormat="false" ht="279.85" hidden="false" customHeight="false" outlineLevel="0" collapsed="false">
      <c r="A602" s="5" t="n">
        <v>597</v>
      </c>
      <c r="B602" s="10" t="s">
        <v>348</v>
      </c>
      <c r="C602" s="11" t="s">
        <v>763</v>
      </c>
      <c r="D602" s="8" t="s">
        <v>764</v>
      </c>
      <c r="E602" s="8" t="s">
        <v>765</v>
      </c>
      <c r="F602" s="8" t="s">
        <v>771</v>
      </c>
      <c r="G602" s="8" t="s">
        <v>772</v>
      </c>
      <c r="H602" s="5" t="s">
        <v>18</v>
      </c>
      <c r="I602" s="16" t="s">
        <v>1463</v>
      </c>
      <c r="J602" s="8"/>
      <c r="K602" s="9" t="s">
        <v>2107</v>
      </c>
    </row>
    <row r="603" customFormat="false" ht="234.3" hidden="false" customHeight="false" outlineLevel="0" collapsed="false">
      <c r="A603" s="5" t="n">
        <v>598</v>
      </c>
      <c r="B603" s="10" t="s">
        <v>348</v>
      </c>
      <c r="C603" s="11" t="s">
        <v>763</v>
      </c>
      <c r="D603" s="8" t="s">
        <v>764</v>
      </c>
      <c r="E603" s="8" t="s">
        <v>774</v>
      </c>
      <c r="F603" s="8" t="s">
        <v>775</v>
      </c>
      <c r="G603" s="8" t="s">
        <v>776</v>
      </c>
      <c r="H603" s="5" t="s">
        <v>18</v>
      </c>
      <c r="I603" s="16" t="s">
        <v>1463</v>
      </c>
      <c r="J603" s="8"/>
      <c r="K603" s="9" t="s">
        <v>2108</v>
      </c>
    </row>
    <row r="604" customFormat="false" ht="252.95" hidden="false" customHeight="false" outlineLevel="0" collapsed="false">
      <c r="A604" s="5" t="n">
        <v>599</v>
      </c>
      <c r="B604" s="10" t="s">
        <v>348</v>
      </c>
      <c r="C604" s="11" t="s">
        <v>763</v>
      </c>
      <c r="D604" s="8" t="s">
        <v>764</v>
      </c>
      <c r="E604" s="8" t="s">
        <v>774</v>
      </c>
      <c r="F604" s="8" t="s">
        <v>778</v>
      </c>
      <c r="G604" s="8" t="s">
        <v>779</v>
      </c>
      <c r="H604" s="5" t="s">
        <v>18</v>
      </c>
      <c r="I604" s="16" t="s">
        <v>1463</v>
      </c>
      <c r="J604" s="8"/>
      <c r="K604" s="9" t="s">
        <v>2109</v>
      </c>
    </row>
    <row r="605" customFormat="false" ht="225.35" hidden="false" customHeight="false" outlineLevel="0" collapsed="false">
      <c r="A605" s="5" t="n">
        <v>600</v>
      </c>
      <c r="B605" s="10" t="s">
        <v>348</v>
      </c>
      <c r="C605" s="11" t="s">
        <v>763</v>
      </c>
      <c r="D605" s="8" t="s">
        <v>764</v>
      </c>
      <c r="E605" s="8" t="s">
        <v>781</v>
      </c>
      <c r="F605" s="8" t="s">
        <v>782</v>
      </c>
      <c r="G605" s="8" t="s">
        <v>783</v>
      </c>
      <c r="H605" s="5" t="s">
        <v>18</v>
      </c>
      <c r="I605" s="16" t="s">
        <v>1463</v>
      </c>
      <c r="J605" s="8"/>
      <c r="K605" s="9" t="s">
        <v>2110</v>
      </c>
    </row>
    <row r="606" customFormat="false" ht="216.4" hidden="false" customHeight="false" outlineLevel="0" collapsed="false">
      <c r="A606" s="5" t="n">
        <v>601</v>
      </c>
      <c r="B606" s="10" t="s">
        <v>348</v>
      </c>
      <c r="C606" s="11" t="s">
        <v>763</v>
      </c>
      <c r="D606" s="8" t="s">
        <v>764</v>
      </c>
      <c r="E606" s="8" t="s">
        <v>781</v>
      </c>
      <c r="F606" s="8" t="s">
        <v>785</v>
      </c>
      <c r="G606" s="8" t="s">
        <v>786</v>
      </c>
      <c r="H606" s="5" t="s">
        <v>18</v>
      </c>
      <c r="I606" s="16" t="s">
        <v>1463</v>
      </c>
      <c r="J606" s="8"/>
      <c r="K606" s="9" t="s">
        <v>2111</v>
      </c>
    </row>
    <row r="607" customFormat="false" ht="261.9" hidden="false" customHeight="false" outlineLevel="0" collapsed="false">
      <c r="A607" s="5" t="n">
        <v>602</v>
      </c>
      <c r="B607" s="10" t="s">
        <v>348</v>
      </c>
      <c r="C607" s="11" t="s">
        <v>763</v>
      </c>
      <c r="D607" s="8" t="s">
        <v>764</v>
      </c>
      <c r="E607" s="8" t="s">
        <v>788</v>
      </c>
      <c r="F607" s="8" t="s">
        <v>789</v>
      </c>
      <c r="G607" s="8" t="s">
        <v>790</v>
      </c>
      <c r="H607" s="5" t="s">
        <v>57</v>
      </c>
      <c r="I607" s="16" t="s">
        <v>1463</v>
      </c>
      <c r="J607" s="8"/>
      <c r="K607" s="9" t="s">
        <v>2112</v>
      </c>
    </row>
    <row r="608" customFormat="false" ht="189.55" hidden="false" customHeight="false" outlineLevel="0" collapsed="false">
      <c r="A608" s="5" t="n">
        <v>603</v>
      </c>
      <c r="B608" s="10" t="s">
        <v>348</v>
      </c>
      <c r="C608" s="11" t="s">
        <v>763</v>
      </c>
      <c r="D608" s="8" t="s">
        <v>764</v>
      </c>
      <c r="E608" s="8" t="s">
        <v>788</v>
      </c>
      <c r="F608" s="8" t="s">
        <v>792</v>
      </c>
      <c r="G608" s="8" t="s">
        <v>793</v>
      </c>
      <c r="H608" s="5" t="s">
        <v>61</v>
      </c>
      <c r="I608" s="16" t="s">
        <v>1463</v>
      </c>
      <c r="J608" s="8"/>
      <c r="K608" s="9" t="s">
        <v>2113</v>
      </c>
    </row>
    <row r="609" customFormat="false" ht="216.4" hidden="false" customHeight="false" outlineLevel="0" collapsed="false">
      <c r="A609" s="5" t="n">
        <v>604</v>
      </c>
      <c r="B609" s="10" t="s">
        <v>348</v>
      </c>
      <c r="C609" s="11" t="s">
        <v>763</v>
      </c>
      <c r="D609" s="8" t="s">
        <v>764</v>
      </c>
      <c r="E609" s="8" t="s">
        <v>788</v>
      </c>
      <c r="F609" s="8" t="s">
        <v>795</v>
      </c>
      <c r="G609" s="8" t="s">
        <v>796</v>
      </c>
      <c r="H609" s="5" t="s">
        <v>61</v>
      </c>
      <c r="I609" s="16" t="s">
        <v>1463</v>
      </c>
      <c r="J609" s="8"/>
      <c r="K609" s="9" t="s">
        <v>2114</v>
      </c>
    </row>
    <row r="610" customFormat="false" ht="216.4" hidden="false" customHeight="false" outlineLevel="0" collapsed="false">
      <c r="A610" s="5" t="n">
        <v>605</v>
      </c>
      <c r="B610" s="10" t="s">
        <v>348</v>
      </c>
      <c r="C610" s="11" t="s">
        <v>763</v>
      </c>
      <c r="D610" s="8" t="s">
        <v>764</v>
      </c>
      <c r="E610" s="8" t="s">
        <v>788</v>
      </c>
      <c r="F610" s="8" t="s">
        <v>798</v>
      </c>
      <c r="G610" s="8" t="s">
        <v>799</v>
      </c>
      <c r="H610" s="5" t="s">
        <v>18</v>
      </c>
      <c r="I610" s="16" t="s">
        <v>1463</v>
      </c>
      <c r="J610" s="8"/>
      <c r="K610" s="9" t="s">
        <v>2115</v>
      </c>
    </row>
    <row r="611" customFormat="false" ht="207.45" hidden="false" customHeight="false" outlineLevel="0" collapsed="false">
      <c r="A611" s="5" t="n">
        <v>606</v>
      </c>
      <c r="B611" s="10" t="s">
        <v>348</v>
      </c>
      <c r="C611" s="11" t="s">
        <v>763</v>
      </c>
      <c r="D611" s="8" t="s">
        <v>764</v>
      </c>
      <c r="E611" s="8" t="s">
        <v>788</v>
      </c>
      <c r="F611" s="8" t="s">
        <v>801</v>
      </c>
      <c r="G611" s="8" t="s">
        <v>802</v>
      </c>
      <c r="H611" s="5" t="s">
        <v>61</v>
      </c>
      <c r="I611" s="16" t="s">
        <v>1463</v>
      </c>
      <c r="J611" s="8"/>
      <c r="K611" s="9" t="s">
        <v>2116</v>
      </c>
    </row>
    <row r="612" customFormat="false" ht="333.55" hidden="false" customHeight="false" outlineLevel="0" collapsed="false">
      <c r="A612" s="5" t="n">
        <v>607</v>
      </c>
      <c r="B612" s="10" t="s">
        <v>348</v>
      </c>
      <c r="C612" s="11" t="s">
        <v>804</v>
      </c>
      <c r="D612" s="8" t="s">
        <v>805</v>
      </c>
      <c r="E612" s="8" t="s">
        <v>806</v>
      </c>
      <c r="F612" s="8" t="s">
        <v>807</v>
      </c>
      <c r="G612" s="8" t="s">
        <v>809</v>
      </c>
      <c r="H612" s="5" t="s">
        <v>808</v>
      </c>
      <c r="I612" s="16" t="s">
        <v>1463</v>
      </c>
      <c r="J612" s="8"/>
      <c r="K612" s="9" t="s">
        <v>2117</v>
      </c>
    </row>
    <row r="613" customFormat="false" ht="244" hidden="false" customHeight="false" outlineLevel="0" collapsed="false">
      <c r="A613" s="5" t="n">
        <v>608</v>
      </c>
      <c r="B613" s="10" t="s">
        <v>348</v>
      </c>
      <c r="C613" s="11" t="s">
        <v>804</v>
      </c>
      <c r="D613" s="8" t="s">
        <v>805</v>
      </c>
      <c r="E613" s="8" t="s">
        <v>806</v>
      </c>
      <c r="F613" s="8" t="s">
        <v>710</v>
      </c>
      <c r="G613" s="8" t="s">
        <v>711</v>
      </c>
      <c r="H613" s="5" t="s">
        <v>57</v>
      </c>
      <c r="I613" s="16" t="s">
        <v>1463</v>
      </c>
      <c r="J613" s="8"/>
      <c r="K613" s="9" t="s">
        <v>2118</v>
      </c>
    </row>
    <row r="614" customFormat="false" ht="279.85" hidden="false" customHeight="false" outlineLevel="0" collapsed="false">
      <c r="A614" s="5" t="n">
        <v>609</v>
      </c>
      <c r="B614" s="10" t="s">
        <v>348</v>
      </c>
      <c r="C614" s="11" t="s">
        <v>804</v>
      </c>
      <c r="D614" s="8" t="s">
        <v>805</v>
      </c>
      <c r="E614" s="8" t="s">
        <v>806</v>
      </c>
      <c r="F614" s="8" t="s">
        <v>812</v>
      </c>
      <c r="G614" s="8" t="s">
        <v>813</v>
      </c>
      <c r="H614" s="5" t="s">
        <v>61</v>
      </c>
      <c r="I614" s="16" t="s">
        <v>1463</v>
      </c>
      <c r="J614" s="8"/>
      <c r="K614" s="9" t="s">
        <v>2119</v>
      </c>
    </row>
    <row r="615" customFormat="false" ht="225.35" hidden="false" customHeight="false" outlineLevel="0" collapsed="false">
      <c r="A615" s="5" t="n">
        <v>610</v>
      </c>
      <c r="B615" s="10" t="s">
        <v>348</v>
      </c>
      <c r="C615" s="11" t="s">
        <v>804</v>
      </c>
      <c r="D615" s="8" t="s">
        <v>805</v>
      </c>
      <c r="E615" s="8" t="s">
        <v>806</v>
      </c>
      <c r="F615" s="8" t="s">
        <v>815</v>
      </c>
      <c r="G615" s="8" t="s">
        <v>816</v>
      </c>
      <c r="H615" s="5" t="s">
        <v>57</v>
      </c>
      <c r="I615" s="16" t="s">
        <v>1463</v>
      </c>
      <c r="J615" s="8"/>
      <c r="K615" s="9" t="s">
        <v>2120</v>
      </c>
    </row>
    <row r="616" customFormat="false" ht="244" hidden="false" customHeight="false" outlineLevel="0" collapsed="false">
      <c r="A616" s="5" t="n">
        <v>611</v>
      </c>
      <c r="B616" s="10" t="s">
        <v>348</v>
      </c>
      <c r="C616" s="11" t="s">
        <v>804</v>
      </c>
      <c r="D616" s="8" t="s">
        <v>805</v>
      </c>
      <c r="E616" s="8" t="s">
        <v>806</v>
      </c>
      <c r="F616" s="8" t="s">
        <v>818</v>
      </c>
      <c r="G616" s="8" t="s">
        <v>819</v>
      </c>
      <c r="H616" s="5" t="s">
        <v>61</v>
      </c>
      <c r="I616" s="16" t="s">
        <v>1463</v>
      </c>
      <c r="J616" s="8"/>
      <c r="K616" s="9" t="s">
        <v>2121</v>
      </c>
    </row>
    <row r="617" customFormat="false" ht="252.95" hidden="false" customHeight="false" outlineLevel="0" collapsed="false">
      <c r="A617" s="5" t="n">
        <v>612</v>
      </c>
      <c r="B617" s="10" t="s">
        <v>348</v>
      </c>
      <c r="C617" s="11" t="s">
        <v>804</v>
      </c>
      <c r="D617" s="8" t="s">
        <v>805</v>
      </c>
      <c r="E617" s="8" t="s">
        <v>806</v>
      </c>
      <c r="F617" s="8" t="s">
        <v>821</v>
      </c>
      <c r="G617" s="8" t="s">
        <v>822</v>
      </c>
      <c r="H617" s="5" t="s">
        <v>18</v>
      </c>
      <c r="I617" s="16" t="s">
        <v>1463</v>
      </c>
      <c r="J617" s="8"/>
      <c r="K617" s="9" t="s">
        <v>2122</v>
      </c>
    </row>
    <row r="618" customFormat="false" ht="261.9" hidden="false" customHeight="false" outlineLevel="0" collapsed="false">
      <c r="A618" s="5" t="n">
        <v>613</v>
      </c>
      <c r="B618" s="10" t="s">
        <v>348</v>
      </c>
      <c r="C618" s="11" t="s">
        <v>804</v>
      </c>
      <c r="D618" s="8" t="s">
        <v>805</v>
      </c>
      <c r="E618" s="8" t="s">
        <v>806</v>
      </c>
      <c r="F618" s="8" t="s">
        <v>824</v>
      </c>
      <c r="G618" s="8" t="s">
        <v>825</v>
      </c>
      <c r="H618" s="5" t="s">
        <v>57</v>
      </c>
      <c r="I618" s="16" t="s">
        <v>1463</v>
      </c>
      <c r="J618" s="8"/>
      <c r="K618" s="9" t="s">
        <v>2123</v>
      </c>
    </row>
    <row r="619" customFormat="false" ht="270.85" hidden="false" customHeight="false" outlineLevel="0" collapsed="false">
      <c r="A619" s="5" t="n">
        <v>614</v>
      </c>
      <c r="B619" s="10" t="s">
        <v>348</v>
      </c>
      <c r="C619" s="11" t="s">
        <v>827</v>
      </c>
      <c r="D619" s="8" t="s">
        <v>805</v>
      </c>
      <c r="E619" s="8" t="s">
        <v>828</v>
      </c>
      <c r="F619" s="8" t="s">
        <v>829</v>
      </c>
      <c r="G619" s="8" t="s">
        <v>830</v>
      </c>
      <c r="H619" s="5" t="s">
        <v>61</v>
      </c>
      <c r="I619" s="16" t="s">
        <v>1463</v>
      </c>
      <c r="J619" s="8"/>
      <c r="K619" s="9" t="s">
        <v>2124</v>
      </c>
    </row>
    <row r="620" customFormat="false" ht="279.85" hidden="false" customHeight="false" outlineLevel="0" collapsed="false">
      <c r="A620" s="5" t="n">
        <v>615</v>
      </c>
      <c r="B620" s="10" t="s">
        <v>348</v>
      </c>
      <c r="C620" s="11" t="s">
        <v>827</v>
      </c>
      <c r="D620" s="8" t="s">
        <v>805</v>
      </c>
      <c r="E620" s="8" t="s">
        <v>828</v>
      </c>
      <c r="F620" s="8" t="s">
        <v>812</v>
      </c>
      <c r="G620" s="8" t="s">
        <v>813</v>
      </c>
      <c r="H620" s="5" t="s">
        <v>61</v>
      </c>
      <c r="I620" s="16" t="s">
        <v>1463</v>
      </c>
      <c r="J620" s="8"/>
      <c r="K620" s="9" t="s">
        <v>2125</v>
      </c>
    </row>
    <row r="621" customFormat="false" ht="234.3" hidden="false" customHeight="false" outlineLevel="0" collapsed="false">
      <c r="A621" s="5" t="n">
        <v>616</v>
      </c>
      <c r="B621" s="10" t="s">
        <v>348</v>
      </c>
      <c r="C621" s="11" t="s">
        <v>827</v>
      </c>
      <c r="D621" s="8" t="s">
        <v>805</v>
      </c>
      <c r="E621" s="8" t="s">
        <v>828</v>
      </c>
      <c r="F621" s="8" t="s">
        <v>833</v>
      </c>
      <c r="G621" s="8" t="s">
        <v>834</v>
      </c>
      <c r="H621" s="5" t="s">
        <v>57</v>
      </c>
      <c r="I621" s="16" t="s">
        <v>1463</v>
      </c>
      <c r="J621" s="8"/>
      <c r="K621" s="9" t="s">
        <v>2126</v>
      </c>
    </row>
    <row r="622" customFormat="false" ht="324.6" hidden="false" customHeight="false" outlineLevel="0" collapsed="false">
      <c r="A622" s="5" t="n">
        <v>617</v>
      </c>
      <c r="B622" s="10" t="s">
        <v>348</v>
      </c>
      <c r="C622" s="11" t="s">
        <v>836</v>
      </c>
      <c r="D622" s="8" t="s">
        <v>805</v>
      </c>
      <c r="E622" s="8" t="s">
        <v>837</v>
      </c>
      <c r="F622" s="8" t="s">
        <v>838</v>
      </c>
      <c r="G622" s="8" t="s">
        <v>839</v>
      </c>
      <c r="H622" s="5" t="s">
        <v>61</v>
      </c>
      <c r="I622" s="16" t="s">
        <v>1463</v>
      </c>
      <c r="J622" s="8"/>
      <c r="K622" s="9" t="s">
        <v>2127</v>
      </c>
    </row>
    <row r="623" customFormat="false" ht="244" hidden="false" customHeight="false" outlineLevel="0" collapsed="false">
      <c r="A623" s="5" t="n">
        <v>618</v>
      </c>
      <c r="B623" s="10" t="s">
        <v>348</v>
      </c>
      <c r="C623" s="11" t="s">
        <v>836</v>
      </c>
      <c r="D623" s="8" t="s">
        <v>805</v>
      </c>
      <c r="E623" s="8" t="s">
        <v>837</v>
      </c>
      <c r="F623" s="8" t="s">
        <v>841</v>
      </c>
      <c r="G623" s="8" t="s">
        <v>842</v>
      </c>
      <c r="H623" s="5" t="s">
        <v>61</v>
      </c>
      <c r="I623" s="16" t="s">
        <v>1463</v>
      </c>
      <c r="J623" s="8"/>
      <c r="K623" s="9" t="s">
        <v>2128</v>
      </c>
    </row>
    <row r="624" customFormat="false" ht="288.8" hidden="false" customHeight="false" outlineLevel="0" collapsed="false">
      <c r="A624" s="5" t="n">
        <v>619</v>
      </c>
      <c r="B624" s="10" t="s">
        <v>348</v>
      </c>
      <c r="C624" s="11" t="s">
        <v>836</v>
      </c>
      <c r="D624" s="8" t="s">
        <v>805</v>
      </c>
      <c r="E624" s="8" t="s">
        <v>837</v>
      </c>
      <c r="F624" s="8" t="s">
        <v>844</v>
      </c>
      <c r="G624" s="8" t="s">
        <v>845</v>
      </c>
      <c r="H624" s="5" t="s">
        <v>35</v>
      </c>
      <c r="I624" s="16" t="s">
        <v>1463</v>
      </c>
      <c r="J624" s="8"/>
      <c r="K624" s="9" t="s">
        <v>2129</v>
      </c>
    </row>
    <row r="625" customFormat="false" ht="135.8" hidden="false" customHeight="false" outlineLevel="0" collapsed="false">
      <c r="A625" s="5" t="n">
        <v>620</v>
      </c>
      <c r="B625" s="10" t="s">
        <v>348</v>
      </c>
      <c r="C625" s="11" t="s">
        <v>847</v>
      </c>
      <c r="D625" s="8" t="s">
        <v>805</v>
      </c>
      <c r="E625" s="8" t="s">
        <v>848</v>
      </c>
      <c r="F625" s="8" t="s">
        <v>848</v>
      </c>
      <c r="G625" s="8" t="s">
        <v>848</v>
      </c>
      <c r="H625" s="5" t="s">
        <v>57</v>
      </c>
      <c r="I625" s="16" t="s">
        <v>1463</v>
      </c>
      <c r="J625" s="8"/>
      <c r="K625" s="9" t="s">
        <v>2130</v>
      </c>
    </row>
    <row r="626" customFormat="false" ht="225.35" hidden="false" customHeight="false" outlineLevel="0" collapsed="false">
      <c r="A626" s="5" t="n">
        <v>621</v>
      </c>
      <c r="B626" s="10" t="s">
        <v>348</v>
      </c>
      <c r="C626" s="11" t="s">
        <v>847</v>
      </c>
      <c r="D626" s="8" t="s">
        <v>805</v>
      </c>
      <c r="E626" s="8" t="s">
        <v>848</v>
      </c>
      <c r="F626" s="8" t="s">
        <v>850</v>
      </c>
      <c r="G626" s="8" t="s">
        <v>851</v>
      </c>
      <c r="H626" s="5" t="s">
        <v>18</v>
      </c>
      <c r="I626" s="17" t="s">
        <v>1480</v>
      </c>
      <c r="J626" s="18" t="n">
        <v>165</v>
      </c>
      <c r="K626" s="9" t="s">
        <v>2131</v>
      </c>
    </row>
    <row r="627" customFormat="false" ht="207.45" hidden="false" customHeight="false" outlineLevel="0" collapsed="false">
      <c r="A627" s="5" t="n">
        <v>622</v>
      </c>
      <c r="B627" s="10" t="s">
        <v>348</v>
      </c>
      <c r="C627" s="11" t="s">
        <v>847</v>
      </c>
      <c r="D627" s="8" t="s">
        <v>805</v>
      </c>
      <c r="E627" s="8" t="s">
        <v>848</v>
      </c>
      <c r="F627" s="8" t="s">
        <v>853</v>
      </c>
      <c r="G627" s="8" t="s">
        <v>854</v>
      </c>
      <c r="H627" s="5" t="s">
        <v>35</v>
      </c>
      <c r="I627" s="17" t="s">
        <v>1480</v>
      </c>
      <c r="J627" s="18" t="n">
        <v>3300</v>
      </c>
      <c r="K627" s="9" t="s">
        <v>2132</v>
      </c>
    </row>
    <row r="628" customFormat="false" ht="252.95" hidden="false" customHeight="false" outlineLevel="0" collapsed="false">
      <c r="A628" s="5" t="n">
        <v>623</v>
      </c>
      <c r="B628" s="10" t="s">
        <v>348</v>
      </c>
      <c r="C628" s="11" t="s">
        <v>847</v>
      </c>
      <c r="D628" s="8" t="s">
        <v>805</v>
      </c>
      <c r="E628" s="8" t="s">
        <v>848</v>
      </c>
      <c r="F628" s="8" t="s">
        <v>856</v>
      </c>
      <c r="G628" s="8" t="s">
        <v>857</v>
      </c>
      <c r="H628" s="5" t="s">
        <v>57</v>
      </c>
      <c r="I628" s="16" t="s">
        <v>1463</v>
      </c>
      <c r="J628" s="8"/>
      <c r="K628" s="9" t="s">
        <v>2133</v>
      </c>
    </row>
    <row r="629" customFormat="false" ht="207.45" hidden="false" customHeight="false" outlineLevel="0" collapsed="false">
      <c r="A629" s="5" t="n">
        <v>624</v>
      </c>
      <c r="B629" s="10" t="s">
        <v>348</v>
      </c>
      <c r="C629" s="11" t="s">
        <v>847</v>
      </c>
      <c r="D629" s="8" t="s">
        <v>805</v>
      </c>
      <c r="E629" s="8" t="s">
        <v>848</v>
      </c>
      <c r="F629" s="8" t="s">
        <v>859</v>
      </c>
      <c r="G629" s="8" t="s">
        <v>860</v>
      </c>
      <c r="H629" s="5" t="s">
        <v>57</v>
      </c>
      <c r="I629" s="16" t="s">
        <v>1463</v>
      </c>
      <c r="J629" s="8"/>
      <c r="K629" s="9" t="s">
        <v>2134</v>
      </c>
    </row>
    <row r="630" customFormat="false" ht="244" hidden="false" customHeight="false" outlineLevel="0" collapsed="false">
      <c r="A630" s="5" t="n">
        <v>625</v>
      </c>
      <c r="B630" s="10" t="s">
        <v>348</v>
      </c>
      <c r="C630" s="11" t="s">
        <v>847</v>
      </c>
      <c r="D630" s="8" t="s">
        <v>805</v>
      </c>
      <c r="E630" s="8" t="s">
        <v>848</v>
      </c>
      <c r="F630" s="8" t="s">
        <v>862</v>
      </c>
      <c r="G630" s="8" t="s">
        <v>863</v>
      </c>
      <c r="H630" s="5" t="s">
        <v>57</v>
      </c>
      <c r="I630" s="16" t="s">
        <v>1463</v>
      </c>
      <c r="J630" s="8"/>
      <c r="K630" s="9" t="s">
        <v>2135</v>
      </c>
    </row>
    <row r="631" customFormat="false" ht="306.7" hidden="false" customHeight="false" outlineLevel="0" collapsed="false">
      <c r="A631" s="5" t="n">
        <v>626</v>
      </c>
      <c r="B631" s="12" t="s">
        <v>865</v>
      </c>
      <c r="C631" s="13" t="s">
        <v>866</v>
      </c>
      <c r="D631" s="8" t="s">
        <v>867</v>
      </c>
      <c r="E631" s="8" t="s">
        <v>868</v>
      </c>
      <c r="F631" s="8" t="s">
        <v>869</v>
      </c>
      <c r="G631" s="8" t="s">
        <v>870</v>
      </c>
      <c r="H631" s="5" t="s">
        <v>57</v>
      </c>
      <c r="I631" s="16" t="s">
        <v>1463</v>
      </c>
      <c r="J631" s="8"/>
      <c r="K631" s="9" t="s">
        <v>2136</v>
      </c>
    </row>
    <row r="632" customFormat="false" ht="279.85" hidden="false" customHeight="false" outlineLevel="0" collapsed="false">
      <c r="A632" s="5" t="n">
        <v>627</v>
      </c>
      <c r="B632" s="12" t="s">
        <v>865</v>
      </c>
      <c r="C632" s="13" t="s">
        <v>866</v>
      </c>
      <c r="D632" s="8" t="s">
        <v>867</v>
      </c>
      <c r="E632" s="8" t="s">
        <v>868</v>
      </c>
      <c r="F632" s="8" t="s">
        <v>872</v>
      </c>
      <c r="G632" s="8" t="s">
        <v>873</v>
      </c>
      <c r="H632" s="5" t="s">
        <v>57</v>
      </c>
      <c r="I632" s="16" t="s">
        <v>1463</v>
      </c>
      <c r="J632" s="8"/>
      <c r="K632" s="9" t="s">
        <v>2137</v>
      </c>
    </row>
    <row r="633" customFormat="false" ht="234.3" hidden="false" customHeight="false" outlineLevel="0" collapsed="false">
      <c r="A633" s="5" t="n">
        <v>628</v>
      </c>
      <c r="B633" s="12" t="s">
        <v>865</v>
      </c>
      <c r="C633" s="13" t="s">
        <v>866</v>
      </c>
      <c r="D633" s="8" t="s">
        <v>867</v>
      </c>
      <c r="E633" s="8" t="s">
        <v>868</v>
      </c>
      <c r="F633" s="8" t="s">
        <v>875</v>
      </c>
      <c r="G633" s="8" t="s">
        <v>876</v>
      </c>
      <c r="H633" s="5" t="s">
        <v>57</v>
      </c>
      <c r="I633" s="16" t="s">
        <v>1463</v>
      </c>
      <c r="J633" s="8"/>
      <c r="K633" s="9" t="s">
        <v>2138</v>
      </c>
    </row>
    <row r="634" customFormat="false" ht="225.35" hidden="false" customHeight="false" outlineLevel="0" collapsed="false">
      <c r="A634" s="5" t="n">
        <v>629</v>
      </c>
      <c r="B634" s="12" t="s">
        <v>865</v>
      </c>
      <c r="C634" s="13" t="s">
        <v>866</v>
      </c>
      <c r="D634" s="8" t="s">
        <v>867</v>
      </c>
      <c r="E634" s="8" t="s">
        <v>868</v>
      </c>
      <c r="F634" s="8" t="s">
        <v>878</v>
      </c>
      <c r="G634" s="8" t="s">
        <v>879</v>
      </c>
      <c r="H634" s="5" t="s">
        <v>57</v>
      </c>
      <c r="I634" s="16" t="s">
        <v>1463</v>
      </c>
      <c r="J634" s="8"/>
      <c r="K634" s="9" t="s">
        <v>2139</v>
      </c>
    </row>
    <row r="635" customFormat="false" ht="216.4" hidden="false" customHeight="false" outlineLevel="0" collapsed="false">
      <c r="A635" s="5" t="n">
        <v>630</v>
      </c>
      <c r="B635" s="12" t="s">
        <v>865</v>
      </c>
      <c r="C635" s="13" t="s">
        <v>866</v>
      </c>
      <c r="D635" s="8" t="s">
        <v>867</v>
      </c>
      <c r="E635" s="8" t="s">
        <v>868</v>
      </c>
      <c r="F635" s="8" t="s">
        <v>881</v>
      </c>
      <c r="G635" s="8" t="s">
        <v>882</v>
      </c>
      <c r="H635" s="5" t="s">
        <v>57</v>
      </c>
      <c r="I635" s="16" t="s">
        <v>1463</v>
      </c>
      <c r="J635" s="8"/>
      <c r="K635" s="9" t="s">
        <v>2140</v>
      </c>
    </row>
    <row r="636" customFormat="false" ht="198.5" hidden="false" customHeight="false" outlineLevel="0" collapsed="false">
      <c r="A636" s="5" t="n">
        <v>631</v>
      </c>
      <c r="B636" s="12" t="s">
        <v>865</v>
      </c>
      <c r="C636" s="13" t="s">
        <v>866</v>
      </c>
      <c r="D636" s="8" t="s">
        <v>867</v>
      </c>
      <c r="E636" s="8" t="s">
        <v>868</v>
      </c>
      <c r="F636" s="8" t="s">
        <v>833</v>
      </c>
      <c r="G636" s="8" t="s">
        <v>834</v>
      </c>
      <c r="H636" s="5" t="s">
        <v>57</v>
      </c>
      <c r="I636" s="16" t="s">
        <v>1463</v>
      </c>
      <c r="J636" s="8"/>
      <c r="K636" s="9" t="s">
        <v>2141</v>
      </c>
    </row>
    <row r="637" customFormat="false" ht="207.45" hidden="false" customHeight="false" outlineLevel="0" collapsed="false">
      <c r="A637" s="5" t="n">
        <v>632</v>
      </c>
      <c r="B637" s="12" t="s">
        <v>865</v>
      </c>
      <c r="C637" s="13" t="s">
        <v>866</v>
      </c>
      <c r="D637" s="8" t="s">
        <v>867</v>
      </c>
      <c r="E637" s="8" t="s">
        <v>885</v>
      </c>
      <c r="F637" s="8" t="s">
        <v>886</v>
      </c>
      <c r="G637" s="8" t="s">
        <v>887</v>
      </c>
      <c r="H637" s="5" t="s">
        <v>57</v>
      </c>
      <c r="I637" s="16" t="s">
        <v>1463</v>
      </c>
      <c r="J637" s="8"/>
      <c r="K637" s="9" t="s">
        <v>2142</v>
      </c>
    </row>
    <row r="638" customFormat="false" ht="207.45" hidden="false" customHeight="false" outlineLevel="0" collapsed="false">
      <c r="A638" s="5" t="n">
        <v>633</v>
      </c>
      <c r="B638" s="12" t="s">
        <v>865</v>
      </c>
      <c r="C638" s="13" t="s">
        <v>866</v>
      </c>
      <c r="D638" s="8" t="s">
        <v>867</v>
      </c>
      <c r="E638" s="8" t="s">
        <v>885</v>
      </c>
      <c r="F638" s="8" t="s">
        <v>889</v>
      </c>
      <c r="G638" s="8" t="s">
        <v>890</v>
      </c>
      <c r="H638" s="5" t="s">
        <v>57</v>
      </c>
      <c r="I638" s="16" t="s">
        <v>1463</v>
      </c>
      <c r="J638" s="8"/>
      <c r="K638" s="9" t="s">
        <v>2143</v>
      </c>
    </row>
    <row r="639" customFormat="false" ht="234.3" hidden="false" customHeight="false" outlineLevel="0" collapsed="false">
      <c r="A639" s="5" t="n">
        <v>634</v>
      </c>
      <c r="B639" s="12" t="s">
        <v>865</v>
      </c>
      <c r="C639" s="13" t="s">
        <v>866</v>
      </c>
      <c r="D639" s="8" t="s">
        <v>867</v>
      </c>
      <c r="E639" s="8" t="s">
        <v>885</v>
      </c>
      <c r="F639" s="8" t="s">
        <v>892</v>
      </c>
      <c r="G639" s="8" t="s">
        <v>893</v>
      </c>
      <c r="H639" s="5" t="s">
        <v>57</v>
      </c>
      <c r="I639" s="16" t="s">
        <v>1463</v>
      </c>
      <c r="J639" s="8"/>
      <c r="K639" s="9" t="s">
        <v>2144</v>
      </c>
    </row>
    <row r="640" customFormat="false" ht="225.35" hidden="false" customHeight="false" outlineLevel="0" collapsed="false">
      <c r="A640" s="5" t="n">
        <v>635</v>
      </c>
      <c r="B640" s="12" t="s">
        <v>865</v>
      </c>
      <c r="C640" s="13" t="s">
        <v>866</v>
      </c>
      <c r="D640" s="8" t="s">
        <v>867</v>
      </c>
      <c r="E640" s="8" t="s">
        <v>885</v>
      </c>
      <c r="F640" s="8" t="s">
        <v>895</v>
      </c>
      <c r="G640" s="8" t="s">
        <v>896</v>
      </c>
      <c r="H640" s="5" t="s">
        <v>57</v>
      </c>
      <c r="I640" s="16" t="s">
        <v>1463</v>
      </c>
      <c r="J640" s="8"/>
      <c r="K640" s="9" t="s">
        <v>2145</v>
      </c>
    </row>
    <row r="641" customFormat="false" ht="198.5" hidden="false" customHeight="false" outlineLevel="0" collapsed="false">
      <c r="A641" s="5" t="n">
        <v>636</v>
      </c>
      <c r="B641" s="12" t="s">
        <v>865</v>
      </c>
      <c r="C641" s="13" t="s">
        <v>866</v>
      </c>
      <c r="D641" s="8" t="s">
        <v>867</v>
      </c>
      <c r="E641" s="8" t="s">
        <v>885</v>
      </c>
      <c r="F641" s="8" t="s">
        <v>898</v>
      </c>
      <c r="G641" s="8" t="s">
        <v>899</v>
      </c>
      <c r="H641" s="5" t="s">
        <v>57</v>
      </c>
      <c r="I641" s="16" t="s">
        <v>1463</v>
      </c>
      <c r="J641" s="8"/>
      <c r="K641" s="9" t="s">
        <v>2146</v>
      </c>
    </row>
    <row r="642" customFormat="false" ht="189.55" hidden="false" customHeight="false" outlineLevel="0" collapsed="false">
      <c r="A642" s="5" t="n">
        <v>637</v>
      </c>
      <c r="B642" s="12" t="s">
        <v>865</v>
      </c>
      <c r="C642" s="13" t="s">
        <v>866</v>
      </c>
      <c r="D642" s="8" t="s">
        <v>867</v>
      </c>
      <c r="E642" s="8" t="s">
        <v>885</v>
      </c>
      <c r="F642" s="8" t="s">
        <v>901</v>
      </c>
      <c r="G642" s="8" t="s">
        <v>902</v>
      </c>
      <c r="H642" s="5" t="s">
        <v>57</v>
      </c>
      <c r="I642" s="16" t="s">
        <v>1463</v>
      </c>
      <c r="J642" s="8"/>
      <c r="K642" s="9" t="s">
        <v>2147</v>
      </c>
    </row>
    <row r="643" customFormat="false" ht="252.95" hidden="false" customHeight="false" outlineLevel="0" collapsed="false">
      <c r="A643" s="5" t="n">
        <v>638</v>
      </c>
      <c r="B643" s="12" t="s">
        <v>865</v>
      </c>
      <c r="C643" s="13" t="s">
        <v>866</v>
      </c>
      <c r="D643" s="8" t="s">
        <v>867</v>
      </c>
      <c r="E643" s="8" t="s">
        <v>904</v>
      </c>
      <c r="F643" s="8" t="s">
        <v>905</v>
      </c>
      <c r="G643" s="8" t="s">
        <v>906</v>
      </c>
      <c r="H643" s="5" t="s">
        <v>57</v>
      </c>
      <c r="I643" s="16" t="s">
        <v>1463</v>
      </c>
      <c r="J643" s="8"/>
      <c r="K643" s="9" t="s">
        <v>2148</v>
      </c>
    </row>
    <row r="644" customFormat="false" ht="225.35" hidden="false" customHeight="false" outlineLevel="0" collapsed="false">
      <c r="A644" s="5" t="n">
        <v>639</v>
      </c>
      <c r="B644" s="12" t="s">
        <v>865</v>
      </c>
      <c r="C644" s="13" t="s">
        <v>866</v>
      </c>
      <c r="D644" s="8" t="s">
        <v>867</v>
      </c>
      <c r="E644" s="8" t="s">
        <v>904</v>
      </c>
      <c r="F644" s="8" t="s">
        <v>908</v>
      </c>
      <c r="G644" s="8" t="s">
        <v>909</v>
      </c>
      <c r="H644" s="5" t="s">
        <v>57</v>
      </c>
      <c r="I644" s="16" t="s">
        <v>1463</v>
      </c>
      <c r="J644" s="8"/>
      <c r="K644" s="9" t="s">
        <v>2149</v>
      </c>
    </row>
    <row r="645" customFormat="false" ht="234.3" hidden="false" customHeight="false" outlineLevel="0" collapsed="false">
      <c r="A645" s="5" t="n">
        <v>640</v>
      </c>
      <c r="B645" s="12" t="s">
        <v>865</v>
      </c>
      <c r="C645" s="13" t="s">
        <v>866</v>
      </c>
      <c r="D645" s="8" t="s">
        <v>867</v>
      </c>
      <c r="E645" s="8" t="s">
        <v>904</v>
      </c>
      <c r="F645" s="8" t="s">
        <v>911</v>
      </c>
      <c r="G645" s="8" t="s">
        <v>912</v>
      </c>
      <c r="H645" s="5" t="s">
        <v>57</v>
      </c>
      <c r="I645" s="16" t="s">
        <v>1463</v>
      </c>
      <c r="J645" s="8"/>
      <c r="K645" s="9" t="s">
        <v>2150</v>
      </c>
    </row>
    <row r="646" customFormat="false" ht="225.35" hidden="false" customHeight="false" outlineLevel="0" collapsed="false">
      <c r="A646" s="5" t="n">
        <v>641</v>
      </c>
      <c r="B646" s="12" t="s">
        <v>865</v>
      </c>
      <c r="C646" s="13" t="s">
        <v>866</v>
      </c>
      <c r="D646" s="8" t="s">
        <v>867</v>
      </c>
      <c r="E646" s="8" t="s">
        <v>904</v>
      </c>
      <c r="F646" s="8" t="s">
        <v>914</v>
      </c>
      <c r="G646" s="8" t="s">
        <v>915</v>
      </c>
      <c r="H646" s="5" t="s">
        <v>57</v>
      </c>
      <c r="I646" s="16" t="s">
        <v>1463</v>
      </c>
      <c r="J646" s="8"/>
      <c r="K646" s="9" t="s">
        <v>2151</v>
      </c>
    </row>
    <row r="647" customFormat="false" ht="306.7" hidden="false" customHeight="false" outlineLevel="0" collapsed="false">
      <c r="A647" s="5" t="n">
        <v>642</v>
      </c>
      <c r="B647" s="12" t="s">
        <v>865</v>
      </c>
      <c r="C647" s="13" t="s">
        <v>917</v>
      </c>
      <c r="D647" s="8" t="s">
        <v>918</v>
      </c>
      <c r="E647" s="8" t="s">
        <v>919</v>
      </c>
      <c r="F647" s="8" t="s">
        <v>920</v>
      </c>
      <c r="G647" s="8" t="s">
        <v>921</v>
      </c>
      <c r="H647" s="5" t="s">
        <v>57</v>
      </c>
      <c r="I647" s="16" t="s">
        <v>1463</v>
      </c>
      <c r="J647" s="8"/>
      <c r="K647" s="9" t="s">
        <v>2152</v>
      </c>
    </row>
    <row r="648" customFormat="false" ht="261.9" hidden="false" customHeight="false" outlineLevel="0" collapsed="false">
      <c r="A648" s="5" t="n">
        <v>643</v>
      </c>
      <c r="B648" s="12" t="s">
        <v>865</v>
      </c>
      <c r="C648" s="13" t="s">
        <v>917</v>
      </c>
      <c r="D648" s="8" t="s">
        <v>918</v>
      </c>
      <c r="E648" s="8" t="s">
        <v>919</v>
      </c>
      <c r="F648" s="8" t="s">
        <v>923</v>
      </c>
      <c r="G648" s="8" t="s">
        <v>924</v>
      </c>
      <c r="H648" s="5" t="s">
        <v>57</v>
      </c>
      <c r="I648" s="16" t="s">
        <v>1463</v>
      </c>
      <c r="J648" s="8"/>
      <c r="K648" s="9" t="s">
        <v>2153</v>
      </c>
    </row>
    <row r="649" customFormat="false" ht="306.7" hidden="false" customHeight="false" outlineLevel="0" collapsed="false">
      <c r="A649" s="5" t="n">
        <v>644</v>
      </c>
      <c r="B649" s="12" t="s">
        <v>865</v>
      </c>
      <c r="C649" s="13" t="s">
        <v>917</v>
      </c>
      <c r="D649" s="8" t="s">
        <v>918</v>
      </c>
      <c r="E649" s="8" t="s">
        <v>919</v>
      </c>
      <c r="F649" s="8" t="s">
        <v>926</v>
      </c>
      <c r="G649" s="8" t="s">
        <v>927</v>
      </c>
      <c r="H649" s="5" t="s">
        <v>57</v>
      </c>
      <c r="I649" s="16" t="s">
        <v>1463</v>
      </c>
      <c r="J649" s="8"/>
      <c r="K649" s="9" t="s">
        <v>2154</v>
      </c>
    </row>
    <row r="650" customFormat="false" ht="279.85" hidden="false" customHeight="false" outlineLevel="0" collapsed="false">
      <c r="A650" s="5" t="n">
        <v>645</v>
      </c>
      <c r="B650" s="12" t="s">
        <v>865</v>
      </c>
      <c r="C650" s="13" t="s">
        <v>917</v>
      </c>
      <c r="D650" s="8" t="s">
        <v>918</v>
      </c>
      <c r="E650" s="8" t="s">
        <v>929</v>
      </c>
      <c r="F650" s="8" t="s">
        <v>930</v>
      </c>
      <c r="G650" s="8" t="s">
        <v>931</v>
      </c>
      <c r="H650" s="5" t="s">
        <v>57</v>
      </c>
      <c r="I650" s="16" t="s">
        <v>1463</v>
      </c>
      <c r="J650" s="8"/>
      <c r="K650" s="9" t="s">
        <v>2155</v>
      </c>
    </row>
    <row r="651" customFormat="false" ht="279.85" hidden="false" customHeight="false" outlineLevel="0" collapsed="false">
      <c r="A651" s="5" t="n">
        <v>646</v>
      </c>
      <c r="B651" s="12" t="s">
        <v>865</v>
      </c>
      <c r="C651" s="13" t="s">
        <v>917</v>
      </c>
      <c r="D651" s="8" t="s">
        <v>918</v>
      </c>
      <c r="E651" s="8" t="s">
        <v>929</v>
      </c>
      <c r="F651" s="8" t="s">
        <v>933</v>
      </c>
      <c r="G651" s="8" t="s">
        <v>934</v>
      </c>
      <c r="H651" s="5" t="s">
        <v>57</v>
      </c>
      <c r="I651" s="16" t="s">
        <v>1463</v>
      </c>
      <c r="J651" s="8"/>
      <c r="K651" s="9" t="s">
        <v>2156</v>
      </c>
    </row>
    <row r="652" customFormat="false" ht="225.35" hidden="false" customHeight="false" outlineLevel="0" collapsed="false">
      <c r="A652" s="5" t="n">
        <v>647</v>
      </c>
      <c r="B652" s="12" t="s">
        <v>865</v>
      </c>
      <c r="C652" s="13" t="s">
        <v>917</v>
      </c>
      <c r="D652" s="8" t="s">
        <v>918</v>
      </c>
      <c r="E652" s="8" t="s">
        <v>929</v>
      </c>
      <c r="F652" s="8" t="s">
        <v>936</v>
      </c>
      <c r="G652" s="8" t="s">
        <v>937</v>
      </c>
      <c r="H652" s="5" t="s">
        <v>57</v>
      </c>
      <c r="I652" s="16" t="s">
        <v>1463</v>
      </c>
      <c r="J652" s="8"/>
      <c r="K652" s="9" t="s">
        <v>2157</v>
      </c>
    </row>
    <row r="653" customFormat="false" ht="324.6" hidden="false" customHeight="false" outlineLevel="0" collapsed="false">
      <c r="A653" s="5" t="n">
        <v>648</v>
      </c>
      <c r="B653" s="12" t="s">
        <v>865</v>
      </c>
      <c r="C653" s="13" t="s">
        <v>917</v>
      </c>
      <c r="D653" s="8" t="s">
        <v>918</v>
      </c>
      <c r="E653" s="8" t="s">
        <v>939</v>
      </c>
      <c r="F653" s="8" t="s">
        <v>940</v>
      </c>
      <c r="G653" s="8" t="s">
        <v>941</v>
      </c>
      <c r="H653" s="5" t="s">
        <v>57</v>
      </c>
      <c r="I653" s="16" t="s">
        <v>1463</v>
      </c>
      <c r="J653" s="8"/>
      <c r="K653" s="9" t="s">
        <v>2158</v>
      </c>
    </row>
    <row r="654" customFormat="false" ht="297.75" hidden="false" customHeight="false" outlineLevel="0" collapsed="false">
      <c r="A654" s="5" t="n">
        <v>649</v>
      </c>
      <c r="B654" s="12" t="s">
        <v>865</v>
      </c>
      <c r="C654" s="13" t="s">
        <v>917</v>
      </c>
      <c r="D654" s="8" t="s">
        <v>918</v>
      </c>
      <c r="E654" s="8" t="s">
        <v>939</v>
      </c>
      <c r="F654" s="8" t="s">
        <v>943</v>
      </c>
      <c r="G654" s="8" t="s">
        <v>944</v>
      </c>
      <c r="H654" s="5" t="s">
        <v>57</v>
      </c>
      <c r="I654" s="16" t="s">
        <v>1463</v>
      </c>
      <c r="J654" s="8"/>
      <c r="K654" s="9" t="s">
        <v>2159</v>
      </c>
    </row>
    <row r="655" customFormat="false" ht="279.85" hidden="false" customHeight="false" outlineLevel="0" collapsed="false">
      <c r="A655" s="5" t="n">
        <v>650</v>
      </c>
      <c r="B655" s="12" t="s">
        <v>865</v>
      </c>
      <c r="C655" s="13" t="s">
        <v>917</v>
      </c>
      <c r="D655" s="8" t="s">
        <v>918</v>
      </c>
      <c r="E655" s="8" t="s">
        <v>939</v>
      </c>
      <c r="F655" s="8" t="s">
        <v>946</v>
      </c>
      <c r="G655" s="8" t="s">
        <v>947</v>
      </c>
      <c r="H655" s="5" t="s">
        <v>57</v>
      </c>
      <c r="I655" s="16" t="s">
        <v>1463</v>
      </c>
      <c r="J655" s="8"/>
      <c r="K655" s="9" t="s">
        <v>2160</v>
      </c>
    </row>
    <row r="656" customFormat="false" ht="324.6" hidden="false" customHeight="false" outlineLevel="0" collapsed="false">
      <c r="A656" s="5" t="n">
        <v>651</v>
      </c>
      <c r="B656" s="12" t="s">
        <v>865</v>
      </c>
      <c r="C656" s="13" t="s">
        <v>917</v>
      </c>
      <c r="D656" s="8" t="s">
        <v>918</v>
      </c>
      <c r="E656" s="8" t="s">
        <v>939</v>
      </c>
      <c r="F656" s="8" t="s">
        <v>949</v>
      </c>
      <c r="G656" s="8" t="s">
        <v>950</v>
      </c>
      <c r="H656" s="5" t="s">
        <v>57</v>
      </c>
      <c r="I656" s="16" t="s">
        <v>1463</v>
      </c>
      <c r="J656" s="8"/>
      <c r="K656" s="9" t="s">
        <v>2161</v>
      </c>
    </row>
    <row r="657" customFormat="false" ht="288.8" hidden="false" customHeight="false" outlineLevel="0" collapsed="false">
      <c r="A657" s="5" t="n">
        <v>652</v>
      </c>
      <c r="B657" s="12" t="s">
        <v>865</v>
      </c>
      <c r="C657" s="13" t="s">
        <v>917</v>
      </c>
      <c r="D657" s="8" t="s">
        <v>918</v>
      </c>
      <c r="E657" s="8" t="s">
        <v>939</v>
      </c>
      <c r="F657" s="8" t="s">
        <v>952</v>
      </c>
      <c r="G657" s="8" t="s">
        <v>953</v>
      </c>
      <c r="H657" s="5" t="s">
        <v>57</v>
      </c>
      <c r="I657" s="16" t="s">
        <v>1463</v>
      </c>
      <c r="J657" s="8"/>
      <c r="K657" s="9" t="s">
        <v>2162</v>
      </c>
    </row>
    <row r="658" customFormat="false" ht="315.65" hidden="false" customHeight="false" outlineLevel="0" collapsed="false">
      <c r="A658" s="5" t="n">
        <v>653</v>
      </c>
      <c r="B658" s="12" t="s">
        <v>865</v>
      </c>
      <c r="C658" s="13" t="s">
        <v>917</v>
      </c>
      <c r="D658" s="8" t="s">
        <v>918</v>
      </c>
      <c r="E658" s="8" t="s">
        <v>955</v>
      </c>
      <c r="F658" s="8" t="s">
        <v>956</v>
      </c>
      <c r="G658" s="8" t="s">
        <v>957</v>
      </c>
      <c r="H658" s="5" t="s">
        <v>61</v>
      </c>
      <c r="I658" s="16" t="s">
        <v>1463</v>
      </c>
      <c r="J658" s="8"/>
      <c r="K658" s="9" t="s">
        <v>2163</v>
      </c>
    </row>
    <row r="659" customFormat="false" ht="315.65" hidden="false" customHeight="false" outlineLevel="0" collapsed="false">
      <c r="A659" s="5" t="n">
        <v>654</v>
      </c>
      <c r="B659" s="12" t="s">
        <v>865</v>
      </c>
      <c r="C659" s="13" t="s">
        <v>917</v>
      </c>
      <c r="D659" s="8" t="s">
        <v>918</v>
      </c>
      <c r="E659" s="8" t="s">
        <v>955</v>
      </c>
      <c r="F659" s="8" t="s">
        <v>959</v>
      </c>
      <c r="G659" s="8" t="s">
        <v>960</v>
      </c>
      <c r="H659" s="5" t="s">
        <v>61</v>
      </c>
      <c r="I659" s="16" t="s">
        <v>1463</v>
      </c>
      <c r="J659" s="8"/>
      <c r="K659" s="9" t="s">
        <v>2164</v>
      </c>
    </row>
    <row r="660" customFormat="false" ht="324.6" hidden="false" customHeight="false" outlineLevel="0" collapsed="false">
      <c r="A660" s="5" t="n">
        <v>655</v>
      </c>
      <c r="B660" s="12" t="s">
        <v>865</v>
      </c>
      <c r="C660" s="13" t="s">
        <v>917</v>
      </c>
      <c r="D660" s="8" t="s">
        <v>918</v>
      </c>
      <c r="E660" s="8" t="s">
        <v>955</v>
      </c>
      <c r="F660" s="8" t="s">
        <v>962</v>
      </c>
      <c r="G660" s="8" t="s">
        <v>963</v>
      </c>
      <c r="H660" s="5" t="s">
        <v>61</v>
      </c>
      <c r="I660" s="16" t="s">
        <v>1463</v>
      </c>
      <c r="J660" s="8"/>
      <c r="K660" s="9" t="s">
        <v>2165</v>
      </c>
    </row>
    <row r="661" customFormat="false" ht="297.75" hidden="false" customHeight="false" outlineLevel="0" collapsed="false">
      <c r="A661" s="5" t="n">
        <v>656</v>
      </c>
      <c r="B661" s="12" t="s">
        <v>865</v>
      </c>
      <c r="C661" s="13" t="s">
        <v>917</v>
      </c>
      <c r="D661" s="8" t="s">
        <v>918</v>
      </c>
      <c r="E661" s="8" t="s">
        <v>955</v>
      </c>
      <c r="F661" s="8" t="s">
        <v>965</v>
      </c>
      <c r="G661" s="8" t="s">
        <v>966</v>
      </c>
      <c r="H661" s="5" t="s">
        <v>61</v>
      </c>
      <c r="I661" s="16" t="s">
        <v>1463</v>
      </c>
      <c r="J661" s="8"/>
      <c r="K661" s="9" t="s">
        <v>2166</v>
      </c>
    </row>
    <row r="662" customFormat="false" ht="270.85" hidden="false" customHeight="false" outlineLevel="0" collapsed="false">
      <c r="A662" s="5" t="n">
        <v>657</v>
      </c>
      <c r="B662" s="12" t="s">
        <v>865</v>
      </c>
      <c r="C662" s="13" t="s">
        <v>917</v>
      </c>
      <c r="D662" s="8" t="s">
        <v>918</v>
      </c>
      <c r="E662" s="8" t="s">
        <v>955</v>
      </c>
      <c r="F662" s="8" t="s">
        <v>968</v>
      </c>
      <c r="G662" s="8" t="s">
        <v>969</v>
      </c>
      <c r="H662" s="5" t="s">
        <v>57</v>
      </c>
      <c r="I662" s="16" t="s">
        <v>1463</v>
      </c>
      <c r="J662" s="8"/>
      <c r="K662" s="9" t="s">
        <v>2167</v>
      </c>
    </row>
    <row r="663" customFormat="false" ht="288.8" hidden="false" customHeight="false" outlineLevel="0" collapsed="false">
      <c r="A663" s="5" t="n">
        <v>658</v>
      </c>
      <c r="B663" s="12" t="s">
        <v>865</v>
      </c>
      <c r="C663" s="13" t="s">
        <v>971</v>
      </c>
      <c r="D663" s="8" t="s">
        <v>972</v>
      </c>
      <c r="E663" s="8" t="s">
        <v>973</v>
      </c>
      <c r="F663" s="8" t="s">
        <v>974</v>
      </c>
      <c r="G663" s="8" t="s">
        <v>975</v>
      </c>
      <c r="H663" s="5" t="s">
        <v>57</v>
      </c>
      <c r="I663" s="16" t="s">
        <v>1463</v>
      </c>
      <c r="J663" s="8"/>
      <c r="K663" s="9" t="s">
        <v>2168</v>
      </c>
    </row>
    <row r="664" customFormat="false" ht="288.8" hidden="false" customHeight="false" outlineLevel="0" collapsed="false">
      <c r="A664" s="5" t="n">
        <v>659</v>
      </c>
      <c r="B664" s="12" t="s">
        <v>865</v>
      </c>
      <c r="C664" s="13" t="s">
        <v>971</v>
      </c>
      <c r="D664" s="8" t="s">
        <v>972</v>
      </c>
      <c r="E664" s="8" t="s">
        <v>973</v>
      </c>
      <c r="F664" s="8" t="s">
        <v>977</v>
      </c>
      <c r="G664" s="8" t="s">
        <v>978</v>
      </c>
      <c r="H664" s="5" t="s">
        <v>57</v>
      </c>
      <c r="I664" s="16" t="s">
        <v>1463</v>
      </c>
      <c r="J664" s="8"/>
      <c r="K664" s="9" t="s">
        <v>2169</v>
      </c>
    </row>
    <row r="665" customFormat="false" ht="279.85" hidden="false" customHeight="false" outlineLevel="0" collapsed="false">
      <c r="A665" s="5" t="n">
        <v>660</v>
      </c>
      <c r="B665" s="12" t="s">
        <v>865</v>
      </c>
      <c r="C665" s="13" t="s">
        <v>971</v>
      </c>
      <c r="D665" s="8" t="s">
        <v>972</v>
      </c>
      <c r="E665" s="8" t="s">
        <v>973</v>
      </c>
      <c r="F665" s="8" t="s">
        <v>980</v>
      </c>
      <c r="G665" s="8" t="s">
        <v>981</v>
      </c>
      <c r="H665" s="5" t="s">
        <v>57</v>
      </c>
      <c r="I665" s="16" t="s">
        <v>1463</v>
      </c>
      <c r="J665" s="8"/>
      <c r="K665" s="9" t="s">
        <v>2170</v>
      </c>
    </row>
    <row r="666" customFormat="false" ht="261.9" hidden="false" customHeight="false" outlineLevel="0" collapsed="false">
      <c r="A666" s="5" t="n">
        <v>661</v>
      </c>
      <c r="B666" s="12" t="s">
        <v>865</v>
      </c>
      <c r="C666" s="13" t="s">
        <v>971</v>
      </c>
      <c r="D666" s="8" t="s">
        <v>972</v>
      </c>
      <c r="E666" s="8" t="s">
        <v>973</v>
      </c>
      <c r="F666" s="8" t="s">
        <v>983</v>
      </c>
      <c r="G666" s="8" t="s">
        <v>984</v>
      </c>
      <c r="H666" s="5" t="s">
        <v>57</v>
      </c>
      <c r="I666" s="16" t="s">
        <v>1463</v>
      </c>
      <c r="J666" s="8"/>
      <c r="K666" s="9" t="s">
        <v>2171</v>
      </c>
    </row>
    <row r="667" customFormat="false" ht="297.75" hidden="false" customHeight="false" outlineLevel="0" collapsed="false">
      <c r="A667" s="5" t="n">
        <v>662</v>
      </c>
      <c r="B667" s="12" t="s">
        <v>865</v>
      </c>
      <c r="C667" s="13" t="s">
        <v>971</v>
      </c>
      <c r="D667" s="8" t="s">
        <v>972</v>
      </c>
      <c r="E667" s="8" t="s">
        <v>973</v>
      </c>
      <c r="F667" s="8" t="s">
        <v>986</v>
      </c>
      <c r="G667" s="8" t="s">
        <v>987</v>
      </c>
      <c r="H667" s="5" t="s">
        <v>57</v>
      </c>
      <c r="I667" s="16" t="s">
        <v>1463</v>
      </c>
      <c r="J667" s="8"/>
      <c r="K667" s="9" t="s">
        <v>2172</v>
      </c>
    </row>
    <row r="668" customFormat="false" ht="297.75" hidden="false" customHeight="false" outlineLevel="0" collapsed="false">
      <c r="A668" s="5" t="n">
        <v>663</v>
      </c>
      <c r="B668" s="12" t="s">
        <v>865</v>
      </c>
      <c r="C668" s="13" t="s">
        <v>971</v>
      </c>
      <c r="D668" s="8" t="s">
        <v>972</v>
      </c>
      <c r="E668" s="8" t="s">
        <v>989</v>
      </c>
      <c r="F668" s="8" t="s">
        <v>990</v>
      </c>
      <c r="G668" s="8" t="s">
        <v>991</v>
      </c>
      <c r="H668" s="5" t="s">
        <v>57</v>
      </c>
      <c r="I668" s="16" t="s">
        <v>1463</v>
      </c>
      <c r="J668" s="8"/>
      <c r="K668" s="9" t="s">
        <v>2173</v>
      </c>
    </row>
    <row r="669" customFormat="false" ht="306.7" hidden="false" customHeight="false" outlineLevel="0" collapsed="false">
      <c r="A669" s="5" t="n">
        <v>664</v>
      </c>
      <c r="B669" s="12" t="s">
        <v>865</v>
      </c>
      <c r="C669" s="13" t="s">
        <v>971</v>
      </c>
      <c r="D669" s="8" t="s">
        <v>972</v>
      </c>
      <c r="E669" s="8" t="s">
        <v>989</v>
      </c>
      <c r="F669" s="8" t="s">
        <v>993</v>
      </c>
      <c r="G669" s="8" t="s">
        <v>994</v>
      </c>
      <c r="H669" s="5" t="s">
        <v>57</v>
      </c>
      <c r="I669" s="16" t="s">
        <v>1463</v>
      </c>
      <c r="J669" s="8"/>
      <c r="K669" s="9" t="s">
        <v>2174</v>
      </c>
    </row>
    <row r="670" customFormat="false" ht="315.65" hidden="false" customHeight="false" outlineLevel="0" collapsed="false">
      <c r="A670" s="5" t="n">
        <v>665</v>
      </c>
      <c r="B670" s="12" t="s">
        <v>865</v>
      </c>
      <c r="C670" s="13" t="s">
        <v>971</v>
      </c>
      <c r="D670" s="8" t="s">
        <v>972</v>
      </c>
      <c r="E670" s="8" t="s">
        <v>989</v>
      </c>
      <c r="F670" s="8" t="s">
        <v>996</v>
      </c>
      <c r="G670" s="8" t="s">
        <v>997</v>
      </c>
      <c r="H670" s="5" t="s">
        <v>57</v>
      </c>
      <c r="I670" s="16" t="s">
        <v>1463</v>
      </c>
      <c r="J670" s="8"/>
      <c r="K670" s="9" t="s">
        <v>2175</v>
      </c>
    </row>
    <row r="671" customFormat="false" ht="270.85" hidden="false" customHeight="false" outlineLevel="0" collapsed="false">
      <c r="A671" s="5" t="n">
        <v>666</v>
      </c>
      <c r="B671" s="12" t="s">
        <v>865</v>
      </c>
      <c r="C671" s="13" t="s">
        <v>999</v>
      </c>
      <c r="D671" s="8" t="s">
        <v>1000</v>
      </c>
      <c r="E671" s="8" t="s">
        <v>1001</v>
      </c>
      <c r="F671" s="8" t="s">
        <v>1002</v>
      </c>
      <c r="G671" s="8" t="s">
        <v>1003</v>
      </c>
      <c r="H671" s="5" t="s">
        <v>53</v>
      </c>
      <c r="I671" s="16" t="s">
        <v>1463</v>
      </c>
      <c r="J671" s="8"/>
      <c r="K671" s="9" t="s">
        <v>2176</v>
      </c>
    </row>
    <row r="672" customFormat="false" ht="234.3" hidden="false" customHeight="false" outlineLevel="0" collapsed="false">
      <c r="A672" s="5" t="n">
        <v>667</v>
      </c>
      <c r="B672" s="12" t="s">
        <v>865</v>
      </c>
      <c r="C672" s="13" t="s">
        <v>999</v>
      </c>
      <c r="D672" s="8" t="s">
        <v>1000</v>
      </c>
      <c r="E672" s="8" t="s">
        <v>1001</v>
      </c>
      <c r="F672" s="8" t="s">
        <v>1005</v>
      </c>
      <c r="G672" s="8" t="s">
        <v>1006</v>
      </c>
      <c r="H672" s="5" t="s">
        <v>61</v>
      </c>
      <c r="I672" s="16" t="s">
        <v>1463</v>
      </c>
      <c r="J672" s="8"/>
      <c r="K672" s="9" t="s">
        <v>2177</v>
      </c>
    </row>
    <row r="673" customFormat="false" ht="252.95" hidden="false" customHeight="false" outlineLevel="0" collapsed="false">
      <c r="A673" s="5" t="n">
        <v>668</v>
      </c>
      <c r="B673" s="12" t="s">
        <v>865</v>
      </c>
      <c r="C673" s="13" t="s">
        <v>999</v>
      </c>
      <c r="D673" s="8" t="s">
        <v>1000</v>
      </c>
      <c r="E673" s="8" t="s">
        <v>1001</v>
      </c>
      <c r="F673" s="8" t="s">
        <v>1008</v>
      </c>
      <c r="G673" s="8" t="s">
        <v>1009</v>
      </c>
      <c r="H673" s="5" t="s">
        <v>18</v>
      </c>
      <c r="I673" s="16" t="s">
        <v>1463</v>
      </c>
      <c r="J673" s="8"/>
      <c r="K673" s="9" t="s">
        <v>2178</v>
      </c>
    </row>
    <row r="674" customFormat="false" ht="225.35" hidden="false" customHeight="false" outlineLevel="0" collapsed="false">
      <c r="A674" s="5" t="n">
        <v>669</v>
      </c>
      <c r="B674" s="12" t="s">
        <v>865</v>
      </c>
      <c r="C674" s="13" t="s">
        <v>999</v>
      </c>
      <c r="D674" s="8" t="s">
        <v>1000</v>
      </c>
      <c r="E674" s="8" t="s">
        <v>1001</v>
      </c>
      <c r="F674" s="8" t="s">
        <v>1011</v>
      </c>
      <c r="G674" s="8" t="s">
        <v>1012</v>
      </c>
      <c r="H674" s="5" t="s">
        <v>35</v>
      </c>
      <c r="I674" s="16" t="s">
        <v>1463</v>
      </c>
      <c r="J674" s="8"/>
      <c r="K674" s="9" t="s">
        <v>2179</v>
      </c>
    </row>
    <row r="675" customFormat="false" ht="244" hidden="false" customHeight="false" outlineLevel="0" collapsed="false">
      <c r="A675" s="5" t="n">
        <v>670</v>
      </c>
      <c r="B675" s="12" t="s">
        <v>865</v>
      </c>
      <c r="C675" s="13" t="s">
        <v>999</v>
      </c>
      <c r="D675" s="8" t="s">
        <v>1000</v>
      </c>
      <c r="E675" s="8" t="s">
        <v>1014</v>
      </c>
      <c r="F675" s="8" t="s">
        <v>1015</v>
      </c>
      <c r="G675" s="8" t="s">
        <v>1016</v>
      </c>
      <c r="H675" s="5" t="s">
        <v>57</v>
      </c>
      <c r="I675" s="16" t="s">
        <v>1463</v>
      </c>
      <c r="J675" s="8"/>
      <c r="K675" s="9" t="s">
        <v>2180</v>
      </c>
    </row>
    <row r="676" customFormat="false" ht="216.4" hidden="false" customHeight="false" outlineLevel="0" collapsed="false">
      <c r="A676" s="5" t="n">
        <v>671</v>
      </c>
      <c r="B676" s="12" t="s">
        <v>865</v>
      </c>
      <c r="C676" s="13" t="s">
        <v>999</v>
      </c>
      <c r="D676" s="8" t="s">
        <v>1000</v>
      </c>
      <c r="E676" s="8" t="s">
        <v>1014</v>
      </c>
      <c r="F676" s="8" t="s">
        <v>1018</v>
      </c>
      <c r="G676" s="8" t="s">
        <v>1019</v>
      </c>
      <c r="H676" s="5" t="s">
        <v>57</v>
      </c>
      <c r="I676" s="16" t="s">
        <v>1463</v>
      </c>
      <c r="J676" s="8"/>
      <c r="K676" s="9" t="s">
        <v>2181</v>
      </c>
    </row>
    <row r="677" customFormat="false" ht="216.4" hidden="false" customHeight="false" outlineLevel="0" collapsed="false">
      <c r="A677" s="5" t="n">
        <v>672</v>
      </c>
      <c r="B677" s="12" t="s">
        <v>865</v>
      </c>
      <c r="C677" s="13" t="s">
        <v>999</v>
      </c>
      <c r="D677" s="8" t="s">
        <v>1000</v>
      </c>
      <c r="E677" s="8" t="s">
        <v>1014</v>
      </c>
      <c r="F677" s="8" t="s">
        <v>1021</v>
      </c>
      <c r="G677" s="8" t="s">
        <v>1022</v>
      </c>
      <c r="H677" s="5" t="s">
        <v>57</v>
      </c>
      <c r="I677" s="16" t="s">
        <v>1463</v>
      </c>
      <c r="J677" s="8"/>
      <c r="K677" s="9" t="s">
        <v>2182</v>
      </c>
    </row>
    <row r="678" customFormat="false" ht="207.45" hidden="false" customHeight="false" outlineLevel="0" collapsed="false">
      <c r="A678" s="5" t="n">
        <v>673</v>
      </c>
      <c r="B678" s="12" t="s">
        <v>865</v>
      </c>
      <c r="C678" s="13" t="s">
        <v>999</v>
      </c>
      <c r="D678" s="8" t="s">
        <v>1000</v>
      </c>
      <c r="E678" s="8" t="s">
        <v>1014</v>
      </c>
      <c r="F678" s="8" t="s">
        <v>1024</v>
      </c>
      <c r="G678" s="8" t="s">
        <v>1025</v>
      </c>
      <c r="H678" s="5" t="s">
        <v>57</v>
      </c>
      <c r="I678" s="16" t="s">
        <v>1463</v>
      </c>
      <c r="J678" s="8"/>
      <c r="K678" s="9" t="s">
        <v>2183</v>
      </c>
    </row>
    <row r="679" customFormat="false" ht="270.85" hidden="false" customHeight="false" outlineLevel="0" collapsed="false">
      <c r="A679" s="5" t="n">
        <v>674</v>
      </c>
      <c r="B679" s="12" t="s">
        <v>865</v>
      </c>
      <c r="C679" s="13" t="s">
        <v>999</v>
      </c>
      <c r="D679" s="8" t="s">
        <v>1000</v>
      </c>
      <c r="E679" s="8" t="s">
        <v>1027</v>
      </c>
      <c r="F679" s="8" t="s">
        <v>1028</v>
      </c>
      <c r="G679" s="8" t="s">
        <v>1029</v>
      </c>
      <c r="H679" s="5" t="s">
        <v>57</v>
      </c>
      <c r="I679" s="16" t="s">
        <v>1463</v>
      </c>
      <c r="J679" s="8"/>
      <c r="K679" s="9" t="s">
        <v>2184</v>
      </c>
    </row>
    <row r="680" customFormat="false" ht="288.8" hidden="false" customHeight="false" outlineLevel="0" collapsed="false">
      <c r="A680" s="5" t="n">
        <v>675</v>
      </c>
      <c r="B680" s="12" t="s">
        <v>865</v>
      </c>
      <c r="C680" s="13" t="s">
        <v>999</v>
      </c>
      <c r="D680" s="8" t="s">
        <v>1000</v>
      </c>
      <c r="E680" s="8" t="s">
        <v>1027</v>
      </c>
      <c r="F680" s="8" t="s">
        <v>1031</v>
      </c>
      <c r="G680" s="8" t="s">
        <v>1032</v>
      </c>
      <c r="H680" s="5" t="s">
        <v>57</v>
      </c>
      <c r="I680" s="16" t="s">
        <v>1463</v>
      </c>
      <c r="J680" s="8"/>
      <c r="K680" s="9" t="s">
        <v>2185</v>
      </c>
    </row>
    <row r="681" customFormat="false" ht="244" hidden="false" customHeight="false" outlineLevel="0" collapsed="false">
      <c r="A681" s="5" t="n">
        <v>676</v>
      </c>
      <c r="B681" s="12" t="s">
        <v>865</v>
      </c>
      <c r="C681" s="13" t="s">
        <v>999</v>
      </c>
      <c r="D681" s="8" t="s">
        <v>1000</v>
      </c>
      <c r="E681" s="8" t="s">
        <v>1027</v>
      </c>
      <c r="F681" s="8" t="s">
        <v>1034</v>
      </c>
      <c r="G681" s="8" t="s">
        <v>1035</v>
      </c>
      <c r="H681" s="5" t="s">
        <v>57</v>
      </c>
      <c r="I681" s="16" t="s">
        <v>1463</v>
      </c>
      <c r="J681" s="8"/>
      <c r="K681" s="9" t="s">
        <v>2186</v>
      </c>
    </row>
    <row r="682" customFormat="false" ht="288.8" hidden="false" customHeight="false" outlineLevel="0" collapsed="false">
      <c r="A682" s="5" t="n">
        <v>677</v>
      </c>
      <c r="B682" s="12" t="s">
        <v>865</v>
      </c>
      <c r="C682" s="13" t="s">
        <v>999</v>
      </c>
      <c r="D682" s="8" t="s">
        <v>1000</v>
      </c>
      <c r="E682" s="8" t="s">
        <v>1027</v>
      </c>
      <c r="F682" s="8" t="s">
        <v>1037</v>
      </c>
      <c r="G682" s="8" t="s">
        <v>1038</v>
      </c>
      <c r="H682" s="5" t="s">
        <v>35</v>
      </c>
      <c r="I682" s="16" t="s">
        <v>1463</v>
      </c>
      <c r="J682" s="8"/>
      <c r="K682" s="9" t="s">
        <v>2187</v>
      </c>
    </row>
    <row r="683" customFormat="false" ht="279.85" hidden="false" customHeight="false" outlineLevel="0" collapsed="false">
      <c r="A683" s="5" t="n">
        <v>678</v>
      </c>
      <c r="B683" s="12" t="s">
        <v>865</v>
      </c>
      <c r="C683" s="13" t="s">
        <v>1040</v>
      </c>
      <c r="D683" s="8" t="s">
        <v>1041</v>
      </c>
      <c r="E683" s="8" t="s">
        <v>1042</v>
      </c>
      <c r="F683" s="8" t="s">
        <v>1043</v>
      </c>
      <c r="G683" s="8" t="s">
        <v>1044</v>
      </c>
      <c r="H683" s="5" t="s">
        <v>57</v>
      </c>
      <c r="I683" s="16" t="s">
        <v>1463</v>
      </c>
      <c r="J683" s="8"/>
      <c r="K683" s="9" t="s">
        <v>2188</v>
      </c>
    </row>
    <row r="684" customFormat="false" ht="297.75" hidden="false" customHeight="false" outlineLevel="0" collapsed="false">
      <c r="A684" s="5" t="n">
        <v>679</v>
      </c>
      <c r="B684" s="12" t="s">
        <v>865</v>
      </c>
      <c r="C684" s="13" t="s">
        <v>1040</v>
      </c>
      <c r="D684" s="8" t="s">
        <v>1041</v>
      </c>
      <c r="E684" s="8" t="s">
        <v>1042</v>
      </c>
      <c r="F684" s="8" t="s">
        <v>1046</v>
      </c>
      <c r="G684" s="8" t="s">
        <v>1047</v>
      </c>
      <c r="H684" s="5" t="s">
        <v>57</v>
      </c>
      <c r="I684" s="16" t="s">
        <v>1463</v>
      </c>
      <c r="J684" s="8"/>
      <c r="K684" s="9" t="s">
        <v>2189</v>
      </c>
    </row>
    <row r="685" customFormat="false" ht="252.95" hidden="false" customHeight="false" outlineLevel="0" collapsed="false">
      <c r="A685" s="5" t="n">
        <v>680</v>
      </c>
      <c r="B685" s="12" t="s">
        <v>865</v>
      </c>
      <c r="C685" s="13" t="s">
        <v>1040</v>
      </c>
      <c r="D685" s="8" t="s">
        <v>1041</v>
      </c>
      <c r="E685" s="8" t="s">
        <v>1042</v>
      </c>
      <c r="F685" s="8" t="s">
        <v>1049</v>
      </c>
      <c r="G685" s="8" t="s">
        <v>1050</v>
      </c>
      <c r="H685" s="5" t="s">
        <v>61</v>
      </c>
      <c r="I685" s="16" t="s">
        <v>1463</v>
      </c>
      <c r="J685" s="8"/>
      <c r="K685" s="9" t="s">
        <v>2190</v>
      </c>
    </row>
    <row r="686" customFormat="false" ht="252.95" hidden="false" customHeight="false" outlineLevel="0" collapsed="false">
      <c r="A686" s="5" t="n">
        <v>681</v>
      </c>
      <c r="B686" s="12" t="s">
        <v>865</v>
      </c>
      <c r="C686" s="13" t="s">
        <v>1040</v>
      </c>
      <c r="D686" s="8" t="s">
        <v>1041</v>
      </c>
      <c r="E686" s="8" t="s">
        <v>1042</v>
      </c>
      <c r="F686" s="8" t="s">
        <v>1052</v>
      </c>
      <c r="G686" s="8" t="s">
        <v>1053</v>
      </c>
      <c r="H686" s="5" t="s">
        <v>57</v>
      </c>
      <c r="I686" s="16" t="s">
        <v>1463</v>
      </c>
      <c r="J686" s="8"/>
      <c r="K686" s="9" t="s">
        <v>2191</v>
      </c>
    </row>
    <row r="687" customFormat="false" ht="279.85" hidden="false" customHeight="false" outlineLevel="0" collapsed="false">
      <c r="A687" s="5" t="n">
        <v>682</v>
      </c>
      <c r="B687" s="12" t="s">
        <v>865</v>
      </c>
      <c r="C687" s="13" t="s">
        <v>1040</v>
      </c>
      <c r="D687" s="8" t="s">
        <v>1041</v>
      </c>
      <c r="E687" s="8" t="s">
        <v>1042</v>
      </c>
      <c r="F687" s="8" t="s">
        <v>1055</v>
      </c>
      <c r="G687" s="8" t="s">
        <v>1056</v>
      </c>
      <c r="H687" s="5" t="s">
        <v>57</v>
      </c>
      <c r="I687" s="16" t="s">
        <v>1463</v>
      </c>
      <c r="J687" s="8"/>
      <c r="K687" s="9" t="s">
        <v>2192</v>
      </c>
    </row>
    <row r="688" customFormat="false" ht="225.35" hidden="false" customHeight="false" outlineLevel="0" collapsed="false">
      <c r="A688" s="5" t="n">
        <v>683</v>
      </c>
      <c r="B688" s="12" t="s">
        <v>865</v>
      </c>
      <c r="C688" s="13" t="s">
        <v>1040</v>
      </c>
      <c r="D688" s="8" t="s">
        <v>1041</v>
      </c>
      <c r="E688" s="8" t="s">
        <v>1042</v>
      </c>
      <c r="F688" s="8" t="s">
        <v>1058</v>
      </c>
      <c r="G688" s="8" t="s">
        <v>1059</v>
      </c>
      <c r="H688" s="5" t="s">
        <v>57</v>
      </c>
      <c r="I688" s="16" t="s">
        <v>1463</v>
      </c>
      <c r="J688" s="8"/>
      <c r="K688" s="9" t="s">
        <v>2193</v>
      </c>
    </row>
    <row r="689" customFormat="false" ht="270.85" hidden="false" customHeight="false" outlineLevel="0" collapsed="false">
      <c r="A689" s="5" t="n">
        <v>684</v>
      </c>
      <c r="B689" s="12" t="s">
        <v>865</v>
      </c>
      <c r="C689" s="13" t="s">
        <v>1040</v>
      </c>
      <c r="D689" s="8" t="s">
        <v>1041</v>
      </c>
      <c r="E689" s="8" t="s">
        <v>1061</v>
      </c>
      <c r="F689" s="8" t="s">
        <v>1062</v>
      </c>
      <c r="G689" s="8" t="s">
        <v>1063</v>
      </c>
      <c r="H689" s="5" t="s">
        <v>61</v>
      </c>
      <c r="I689" s="16" t="s">
        <v>1463</v>
      </c>
      <c r="J689" s="8"/>
      <c r="K689" s="9" t="s">
        <v>2194</v>
      </c>
    </row>
    <row r="690" customFormat="false" ht="234.3" hidden="false" customHeight="false" outlineLevel="0" collapsed="false">
      <c r="A690" s="5" t="n">
        <v>685</v>
      </c>
      <c r="B690" s="12" t="s">
        <v>865</v>
      </c>
      <c r="C690" s="13" t="s">
        <v>1040</v>
      </c>
      <c r="D690" s="8" t="s">
        <v>1041</v>
      </c>
      <c r="E690" s="8" t="s">
        <v>1061</v>
      </c>
      <c r="F690" s="8" t="s">
        <v>1065</v>
      </c>
      <c r="G690" s="8" t="s">
        <v>1066</v>
      </c>
      <c r="H690" s="5" t="s">
        <v>61</v>
      </c>
      <c r="I690" s="16" t="s">
        <v>1463</v>
      </c>
      <c r="J690" s="8"/>
      <c r="K690" s="9" t="s">
        <v>2195</v>
      </c>
    </row>
    <row r="691" customFormat="false" ht="270.85" hidden="false" customHeight="false" outlineLevel="0" collapsed="false">
      <c r="A691" s="5" t="n">
        <v>686</v>
      </c>
      <c r="B691" s="12" t="s">
        <v>865</v>
      </c>
      <c r="C691" s="13" t="s">
        <v>1040</v>
      </c>
      <c r="D691" s="8" t="s">
        <v>1041</v>
      </c>
      <c r="E691" s="8" t="s">
        <v>1061</v>
      </c>
      <c r="F691" s="8" t="s">
        <v>1068</v>
      </c>
      <c r="G691" s="8" t="s">
        <v>1069</v>
      </c>
      <c r="H691" s="5" t="s">
        <v>61</v>
      </c>
      <c r="I691" s="16" t="s">
        <v>1463</v>
      </c>
      <c r="J691" s="8"/>
      <c r="K691" s="9" t="s">
        <v>2196</v>
      </c>
    </row>
    <row r="692" customFormat="false" ht="270.85" hidden="false" customHeight="false" outlineLevel="0" collapsed="false">
      <c r="A692" s="5" t="n">
        <v>687</v>
      </c>
      <c r="B692" s="12" t="s">
        <v>865</v>
      </c>
      <c r="C692" s="13" t="s">
        <v>1040</v>
      </c>
      <c r="D692" s="8" t="s">
        <v>1041</v>
      </c>
      <c r="E692" s="8" t="s">
        <v>1061</v>
      </c>
      <c r="F692" s="8" t="s">
        <v>1071</v>
      </c>
      <c r="G692" s="8" t="s">
        <v>1072</v>
      </c>
      <c r="H692" s="5" t="s">
        <v>61</v>
      </c>
      <c r="I692" s="16" t="s">
        <v>1463</v>
      </c>
      <c r="J692" s="8"/>
      <c r="K692" s="9" t="s">
        <v>2197</v>
      </c>
    </row>
    <row r="693" customFormat="false" ht="244" hidden="false" customHeight="false" outlineLevel="0" collapsed="false">
      <c r="A693" s="5" t="n">
        <v>688</v>
      </c>
      <c r="B693" s="12" t="s">
        <v>865</v>
      </c>
      <c r="C693" s="13" t="s">
        <v>1040</v>
      </c>
      <c r="D693" s="8" t="s">
        <v>1041</v>
      </c>
      <c r="E693" s="8" t="s">
        <v>1061</v>
      </c>
      <c r="F693" s="8" t="s">
        <v>1074</v>
      </c>
      <c r="G693" s="8" t="s">
        <v>1075</v>
      </c>
      <c r="H693" s="5" t="s">
        <v>61</v>
      </c>
      <c r="I693" s="16" t="s">
        <v>1463</v>
      </c>
      <c r="J693" s="8"/>
      <c r="K693" s="9" t="s">
        <v>2198</v>
      </c>
    </row>
    <row r="694" customFormat="false" ht="244" hidden="false" customHeight="false" outlineLevel="0" collapsed="false">
      <c r="A694" s="5" t="n">
        <v>689</v>
      </c>
      <c r="B694" s="12" t="s">
        <v>865</v>
      </c>
      <c r="C694" s="13" t="s">
        <v>1040</v>
      </c>
      <c r="D694" s="8" t="s">
        <v>1041</v>
      </c>
      <c r="E694" s="8" t="s">
        <v>1061</v>
      </c>
      <c r="F694" s="8" t="s">
        <v>1077</v>
      </c>
      <c r="G694" s="8" t="s">
        <v>1078</v>
      </c>
      <c r="H694" s="5" t="s">
        <v>61</v>
      </c>
      <c r="I694" s="16" t="s">
        <v>1463</v>
      </c>
      <c r="J694" s="8"/>
      <c r="K694" s="9" t="s">
        <v>2199</v>
      </c>
    </row>
    <row r="695" customFormat="false" ht="306.7" hidden="false" customHeight="false" outlineLevel="0" collapsed="false">
      <c r="A695" s="5" t="n">
        <v>690</v>
      </c>
      <c r="B695" s="12" t="s">
        <v>865</v>
      </c>
      <c r="C695" s="13" t="s">
        <v>1040</v>
      </c>
      <c r="D695" s="8" t="s">
        <v>1041</v>
      </c>
      <c r="E695" s="8" t="s">
        <v>1080</v>
      </c>
      <c r="F695" s="8" t="s">
        <v>1081</v>
      </c>
      <c r="G695" s="8" t="s">
        <v>1083</v>
      </c>
      <c r="H695" s="5" t="s">
        <v>1082</v>
      </c>
      <c r="I695" s="16" t="s">
        <v>1463</v>
      </c>
      <c r="J695" s="8"/>
      <c r="K695" s="9" t="s">
        <v>2200</v>
      </c>
    </row>
    <row r="696" customFormat="false" ht="261.9" hidden="false" customHeight="false" outlineLevel="0" collapsed="false">
      <c r="A696" s="5" t="n">
        <v>691</v>
      </c>
      <c r="B696" s="12" t="s">
        <v>865</v>
      </c>
      <c r="C696" s="13" t="s">
        <v>1040</v>
      </c>
      <c r="D696" s="8" t="s">
        <v>1041</v>
      </c>
      <c r="E696" s="8" t="s">
        <v>1080</v>
      </c>
      <c r="F696" s="8" t="s">
        <v>1085</v>
      </c>
      <c r="G696" s="8" t="s">
        <v>1086</v>
      </c>
      <c r="H696" s="5" t="s">
        <v>1082</v>
      </c>
      <c r="I696" s="16" t="s">
        <v>1463</v>
      </c>
      <c r="J696" s="8"/>
      <c r="K696" s="9" t="s">
        <v>2201</v>
      </c>
    </row>
    <row r="697" customFormat="false" ht="244" hidden="false" customHeight="false" outlineLevel="0" collapsed="false">
      <c r="A697" s="5" t="n">
        <v>692</v>
      </c>
      <c r="B697" s="12" t="s">
        <v>865</v>
      </c>
      <c r="C697" s="13" t="s">
        <v>1040</v>
      </c>
      <c r="D697" s="8" t="s">
        <v>1041</v>
      </c>
      <c r="E697" s="8" t="s">
        <v>1080</v>
      </c>
      <c r="F697" s="8" t="s">
        <v>1088</v>
      </c>
      <c r="G697" s="8" t="s">
        <v>1089</v>
      </c>
      <c r="H697" s="5" t="s">
        <v>57</v>
      </c>
      <c r="I697" s="16" t="s">
        <v>1463</v>
      </c>
      <c r="J697" s="8"/>
      <c r="K697" s="9" t="s">
        <v>2202</v>
      </c>
    </row>
    <row r="698" customFormat="false" ht="261.9" hidden="false" customHeight="false" outlineLevel="0" collapsed="false">
      <c r="A698" s="5" t="n">
        <v>693</v>
      </c>
      <c r="B698" s="12" t="s">
        <v>865</v>
      </c>
      <c r="C698" s="13" t="s">
        <v>1040</v>
      </c>
      <c r="D698" s="8" t="s">
        <v>1041</v>
      </c>
      <c r="E698" s="8" t="s">
        <v>1080</v>
      </c>
      <c r="F698" s="8" t="s">
        <v>1091</v>
      </c>
      <c r="G698" s="8" t="s">
        <v>1092</v>
      </c>
      <c r="H698" s="5" t="s">
        <v>1082</v>
      </c>
      <c r="I698" s="16" t="s">
        <v>1463</v>
      </c>
      <c r="J698" s="8"/>
      <c r="K698" s="9" t="s">
        <v>2203</v>
      </c>
    </row>
    <row r="699" customFormat="false" ht="244" hidden="false" customHeight="false" outlineLevel="0" collapsed="false">
      <c r="A699" s="5" t="n">
        <v>694</v>
      </c>
      <c r="B699" s="12" t="s">
        <v>865</v>
      </c>
      <c r="C699" s="13" t="s">
        <v>1040</v>
      </c>
      <c r="D699" s="8" t="s">
        <v>1041</v>
      </c>
      <c r="E699" s="8" t="s">
        <v>1094</v>
      </c>
      <c r="F699" s="8" t="s">
        <v>1095</v>
      </c>
      <c r="G699" s="8" t="s">
        <v>1096</v>
      </c>
      <c r="H699" s="5" t="s">
        <v>57</v>
      </c>
      <c r="I699" s="16" t="s">
        <v>1463</v>
      </c>
      <c r="J699" s="8"/>
      <c r="K699" s="9" t="s">
        <v>2204</v>
      </c>
    </row>
    <row r="700" customFormat="false" ht="234.3" hidden="false" customHeight="false" outlineLevel="0" collapsed="false">
      <c r="A700" s="5" t="n">
        <v>695</v>
      </c>
      <c r="B700" s="12" t="s">
        <v>865</v>
      </c>
      <c r="C700" s="13" t="s">
        <v>1040</v>
      </c>
      <c r="D700" s="8" t="s">
        <v>1041</v>
      </c>
      <c r="E700" s="8" t="s">
        <v>1094</v>
      </c>
      <c r="F700" s="8" t="s">
        <v>1098</v>
      </c>
      <c r="G700" s="8" t="s">
        <v>1099</v>
      </c>
      <c r="H700" s="5" t="s">
        <v>57</v>
      </c>
      <c r="I700" s="16" t="s">
        <v>1463</v>
      </c>
      <c r="J700" s="8"/>
      <c r="K700" s="9" t="s">
        <v>2205</v>
      </c>
    </row>
    <row r="701" customFormat="false" ht="244" hidden="false" customHeight="false" outlineLevel="0" collapsed="false">
      <c r="A701" s="5" t="n">
        <v>696</v>
      </c>
      <c r="B701" s="12" t="s">
        <v>865</v>
      </c>
      <c r="C701" s="13" t="s">
        <v>1040</v>
      </c>
      <c r="D701" s="8" t="s">
        <v>1041</v>
      </c>
      <c r="E701" s="8" t="s">
        <v>1094</v>
      </c>
      <c r="F701" s="8" t="s">
        <v>1101</v>
      </c>
      <c r="G701" s="8" t="s">
        <v>1102</v>
      </c>
      <c r="H701" s="5" t="s">
        <v>57</v>
      </c>
      <c r="I701" s="16" t="s">
        <v>1463</v>
      </c>
      <c r="J701" s="8"/>
      <c r="K701" s="9" t="s">
        <v>2206</v>
      </c>
    </row>
    <row r="702" customFormat="false" ht="216.4" hidden="false" customHeight="false" outlineLevel="0" collapsed="false">
      <c r="A702" s="5" t="n">
        <v>697</v>
      </c>
      <c r="B702" s="12" t="s">
        <v>865</v>
      </c>
      <c r="C702" s="13" t="s">
        <v>1040</v>
      </c>
      <c r="D702" s="8" t="s">
        <v>1041</v>
      </c>
      <c r="E702" s="8" t="s">
        <v>1094</v>
      </c>
      <c r="F702" s="8" t="s">
        <v>1104</v>
      </c>
      <c r="G702" s="8" t="s">
        <v>1105</v>
      </c>
      <c r="H702" s="5" t="s">
        <v>57</v>
      </c>
      <c r="I702" s="16" t="s">
        <v>1463</v>
      </c>
      <c r="J702" s="8"/>
      <c r="K702" s="9" t="s">
        <v>2207</v>
      </c>
    </row>
    <row r="703" customFormat="false" ht="261.9" hidden="false" customHeight="false" outlineLevel="0" collapsed="false">
      <c r="A703" s="5" t="n">
        <v>698</v>
      </c>
      <c r="B703" s="12" t="s">
        <v>865</v>
      </c>
      <c r="C703" s="13" t="s">
        <v>1040</v>
      </c>
      <c r="D703" s="8" t="s">
        <v>1041</v>
      </c>
      <c r="E703" s="8" t="s">
        <v>1094</v>
      </c>
      <c r="F703" s="8" t="s">
        <v>1107</v>
      </c>
      <c r="G703" s="8" t="s">
        <v>1108</v>
      </c>
      <c r="H703" s="5" t="s">
        <v>57</v>
      </c>
      <c r="I703" s="16" t="s">
        <v>1463</v>
      </c>
      <c r="J703" s="8"/>
      <c r="K703" s="9" t="s">
        <v>2208</v>
      </c>
    </row>
    <row r="704" customFormat="false" ht="279.85" hidden="false" customHeight="false" outlineLevel="0" collapsed="false">
      <c r="A704" s="5" t="n">
        <v>699</v>
      </c>
      <c r="B704" s="12" t="s">
        <v>865</v>
      </c>
      <c r="C704" s="13" t="s">
        <v>1040</v>
      </c>
      <c r="D704" s="8" t="s">
        <v>1041</v>
      </c>
      <c r="E704" s="8" t="s">
        <v>1110</v>
      </c>
      <c r="F704" s="8" t="s">
        <v>1111</v>
      </c>
      <c r="G704" s="8" t="s">
        <v>1112</v>
      </c>
      <c r="H704" s="5" t="s">
        <v>35</v>
      </c>
      <c r="I704" s="16" t="s">
        <v>1463</v>
      </c>
      <c r="J704" s="8"/>
      <c r="K704" s="9" t="s">
        <v>2209</v>
      </c>
    </row>
    <row r="705" customFormat="false" ht="297.75" hidden="false" customHeight="false" outlineLevel="0" collapsed="false">
      <c r="A705" s="5" t="n">
        <v>700</v>
      </c>
      <c r="B705" s="12" t="s">
        <v>865</v>
      </c>
      <c r="C705" s="13" t="s">
        <v>1040</v>
      </c>
      <c r="D705" s="8" t="s">
        <v>1041</v>
      </c>
      <c r="E705" s="8" t="s">
        <v>1110</v>
      </c>
      <c r="F705" s="8" t="s">
        <v>1114</v>
      </c>
      <c r="G705" s="8" t="s">
        <v>1115</v>
      </c>
      <c r="H705" s="5" t="s">
        <v>57</v>
      </c>
      <c r="I705" s="16" t="s">
        <v>1463</v>
      </c>
      <c r="J705" s="8"/>
      <c r="K705" s="9" t="s">
        <v>2210</v>
      </c>
    </row>
    <row r="706" customFormat="false" ht="288.8" hidden="false" customHeight="false" outlineLevel="0" collapsed="false">
      <c r="A706" s="5" t="n">
        <v>701</v>
      </c>
      <c r="B706" s="12" t="s">
        <v>865</v>
      </c>
      <c r="C706" s="13" t="s">
        <v>1040</v>
      </c>
      <c r="D706" s="8" t="s">
        <v>1041</v>
      </c>
      <c r="E706" s="8" t="s">
        <v>1110</v>
      </c>
      <c r="F706" s="8" t="s">
        <v>1117</v>
      </c>
      <c r="G706" s="8" t="s">
        <v>1118</v>
      </c>
      <c r="H706" s="5" t="s">
        <v>57</v>
      </c>
      <c r="I706" s="16" t="s">
        <v>1463</v>
      </c>
      <c r="J706" s="8"/>
      <c r="K706" s="9" t="s">
        <v>2211</v>
      </c>
    </row>
    <row r="707" customFormat="false" ht="288.8" hidden="false" customHeight="false" outlineLevel="0" collapsed="false">
      <c r="A707" s="5" t="n">
        <v>702</v>
      </c>
      <c r="B707" s="12" t="s">
        <v>865</v>
      </c>
      <c r="C707" s="13" t="s">
        <v>1040</v>
      </c>
      <c r="D707" s="8" t="s">
        <v>1041</v>
      </c>
      <c r="E707" s="8" t="s">
        <v>1110</v>
      </c>
      <c r="F707" s="8" t="s">
        <v>1120</v>
      </c>
      <c r="G707" s="8" t="s">
        <v>1121</v>
      </c>
      <c r="H707" s="5" t="s">
        <v>61</v>
      </c>
      <c r="I707" s="16" t="s">
        <v>1463</v>
      </c>
      <c r="J707" s="8"/>
      <c r="K707" s="9" t="s">
        <v>2212</v>
      </c>
    </row>
    <row r="708" customFormat="false" ht="279.85" hidden="false" customHeight="false" outlineLevel="0" collapsed="false">
      <c r="A708" s="5" t="n">
        <v>703</v>
      </c>
      <c r="B708" s="12" t="s">
        <v>865</v>
      </c>
      <c r="C708" s="13" t="s">
        <v>1040</v>
      </c>
      <c r="D708" s="8" t="s">
        <v>1041</v>
      </c>
      <c r="E708" s="8" t="s">
        <v>1123</v>
      </c>
      <c r="F708" s="8" t="s">
        <v>1124</v>
      </c>
      <c r="G708" s="8" t="s">
        <v>1125</v>
      </c>
      <c r="H708" s="5" t="s">
        <v>57</v>
      </c>
      <c r="I708" s="16" t="s">
        <v>1463</v>
      </c>
      <c r="J708" s="8"/>
      <c r="K708" s="9" t="s">
        <v>2213</v>
      </c>
    </row>
    <row r="709" customFormat="false" ht="288.8" hidden="false" customHeight="false" outlineLevel="0" collapsed="false">
      <c r="A709" s="5" t="n">
        <v>704</v>
      </c>
      <c r="B709" s="12" t="s">
        <v>865</v>
      </c>
      <c r="C709" s="13" t="s">
        <v>1040</v>
      </c>
      <c r="D709" s="8" t="s">
        <v>1041</v>
      </c>
      <c r="E709" s="8" t="s">
        <v>1123</v>
      </c>
      <c r="F709" s="8" t="s">
        <v>1127</v>
      </c>
      <c r="G709" s="8" t="s">
        <v>1128</v>
      </c>
      <c r="H709" s="5" t="s">
        <v>57</v>
      </c>
      <c r="I709" s="16" t="s">
        <v>1463</v>
      </c>
      <c r="J709" s="8"/>
      <c r="K709" s="9" t="s">
        <v>2214</v>
      </c>
    </row>
    <row r="710" customFormat="false" ht="270.85" hidden="false" customHeight="false" outlineLevel="0" collapsed="false">
      <c r="A710" s="5" t="n">
        <v>705</v>
      </c>
      <c r="B710" s="12" t="s">
        <v>865</v>
      </c>
      <c r="C710" s="13" t="s">
        <v>1040</v>
      </c>
      <c r="D710" s="8" t="s">
        <v>1041</v>
      </c>
      <c r="E710" s="8" t="s">
        <v>1123</v>
      </c>
      <c r="F710" s="8" t="s">
        <v>1130</v>
      </c>
      <c r="G710" s="8" t="s">
        <v>1131</v>
      </c>
      <c r="H710" s="5" t="s">
        <v>57</v>
      </c>
      <c r="I710" s="16" t="s">
        <v>1463</v>
      </c>
      <c r="J710" s="8"/>
      <c r="K710" s="9" t="s">
        <v>2215</v>
      </c>
    </row>
    <row r="711" customFormat="false" ht="261.9" hidden="false" customHeight="false" outlineLevel="0" collapsed="false">
      <c r="A711" s="5" t="n">
        <v>706</v>
      </c>
      <c r="B711" s="12" t="s">
        <v>865</v>
      </c>
      <c r="C711" s="13" t="s">
        <v>1040</v>
      </c>
      <c r="D711" s="8" t="s">
        <v>1041</v>
      </c>
      <c r="E711" s="8" t="s">
        <v>1123</v>
      </c>
      <c r="F711" s="8" t="s">
        <v>1133</v>
      </c>
      <c r="G711" s="8" t="s">
        <v>1134</v>
      </c>
      <c r="H711" s="5" t="s">
        <v>35</v>
      </c>
      <c r="I711" s="16" t="s">
        <v>1463</v>
      </c>
      <c r="J711" s="8"/>
      <c r="K711" s="9" t="s">
        <v>2216</v>
      </c>
    </row>
    <row r="712" customFormat="false" ht="306.7" hidden="false" customHeight="false" outlineLevel="0" collapsed="false">
      <c r="A712" s="5" t="n">
        <v>707</v>
      </c>
      <c r="B712" s="12" t="s">
        <v>865</v>
      </c>
      <c r="C712" s="13" t="s">
        <v>1136</v>
      </c>
      <c r="D712" s="8" t="s">
        <v>1137</v>
      </c>
      <c r="E712" s="8" t="s">
        <v>1138</v>
      </c>
      <c r="F712" s="8" t="s">
        <v>1139</v>
      </c>
      <c r="G712" s="8" t="s">
        <v>1140</v>
      </c>
      <c r="H712" s="5" t="s">
        <v>57</v>
      </c>
      <c r="I712" s="16" t="s">
        <v>1463</v>
      </c>
      <c r="J712" s="8"/>
      <c r="K712" s="9" t="s">
        <v>2217</v>
      </c>
    </row>
    <row r="713" customFormat="false" ht="252.95" hidden="false" customHeight="false" outlineLevel="0" collapsed="false">
      <c r="A713" s="5" t="n">
        <v>708</v>
      </c>
      <c r="B713" s="12" t="s">
        <v>865</v>
      </c>
      <c r="C713" s="13" t="s">
        <v>1136</v>
      </c>
      <c r="D713" s="8" t="s">
        <v>1137</v>
      </c>
      <c r="E713" s="8" t="s">
        <v>1138</v>
      </c>
      <c r="F713" s="8" t="s">
        <v>1142</v>
      </c>
      <c r="G713" s="8" t="s">
        <v>1143</v>
      </c>
      <c r="H713" s="5" t="s">
        <v>57</v>
      </c>
      <c r="I713" s="16" t="s">
        <v>1463</v>
      </c>
      <c r="J713" s="8"/>
      <c r="K713" s="9" t="s">
        <v>2218</v>
      </c>
    </row>
    <row r="714" customFormat="false" ht="225.35" hidden="false" customHeight="false" outlineLevel="0" collapsed="false">
      <c r="A714" s="5" t="n">
        <v>709</v>
      </c>
      <c r="B714" s="12" t="s">
        <v>865</v>
      </c>
      <c r="C714" s="13" t="s">
        <v>1136</v>
      </c>
      <c r="D714" s="8" t="s">
        <v>1137</v>
      </c>
      <c r="E714" s="8" t="s">
        <v>1138</v>
      </c>
      <c r="F714" s="8" t="s">
        <v>1145</v>
      </c>
      <c r="G714" s="8" t="s">
        <v>1146</v>
      </c>
      <c r="H714" s="5" t="s">
        <v>57</v>
      </c>
      <c r="I714" s="16" t="s">
        <v>1463</v>
      </c>
      <c r="J714" s="8"/>
      <c r="K714" s="9" t="s">
        <v>2219</v>
      </c>
    </row>
    <row r="715" customFormat="false" ht="234.3" hidden="false" customHeight="false" outlineLevel="0" collapsed="false">
      <c r="A715" s="5" t="n">
        <v>710</v>
      </c>
      <c r="B715" s="12" t="s">
        <v>865</v>
      </c>
      <c r="C715" s="13" t="s">
        <v>1136</v>
      </c>
      <c r="D715" s="8" t="s">
        <v>1137</v>
      </c>
      <c r="E715" s="8" t="s">
        <v>1138</v>
      </c>
      <c r="F715" s="8" t="s">
        <v>1148</v>
      </c>
      <c r="G715" s="8" t="s">
        <v>1149</v>
      </c>
      <c r="H715" s="5" t="s">
        <v>57</v>
      </c>
      <c r="I715" s="16" t="s">
        <v>1463</v>
      </c>
      <c r="J715" s="8"/>
      <c r="K715" s="9" t="s">
        <v>2220</v>
      </c>
    </row>
    <row r="716" customFormat="false" ht="244" hidden="false" customHeight="false" outlineLevel="0" collapsed="false">
      <c r="A716" s="5" t="n">
        <v>711</v>
      </c>
      <c r="B716" s="12" t="s">
        <v>865</v>
      </c>
      <c r="C716" s="13" t="s">
        <v>1136</v>
      </c>
      <c r="D716" s="8" t="s">
        <v>1137</v>
      </c>
      <c r="E716" s="8" t="s">
        <v>1151</v>
      </c>
      <c r="F716" s="8" t="s">
        <v>1152</v>
      </c>
      <c r="G716" s="8" t="s">
        <v>1153</v>
      </c>
      <c r="H716" s="5" t="s">
        <v>57</v>
      </c>
      <c r="I716" s="16" t="s">
        <v>1463</v>
      </c>
      <c r="J716" s="8"/>
      <c r="K716" s="9" t="s">
        <v>2221</v>
      </c>
    </row>
    <row r="717" customFormat="false" ht="244" hidden="false" customHeight="false" outlineLevel="0" collapsed="false">
      <c r="A717" s="5" t="n">
        <v>712</v>
      </c>
      <c r="B717" s="12" t="s">
        <v>865</v>
      </c>
      <c r="C717" s="13" t="s">
        <v>1136</v>
      </c>
      <c r="D717" s="8" t="s">
        <v>1137</v>
      </c>
      <c r="E717" s="8" t="s">
        <v>1151</v>
      </c>
      <c r="F717" s="8" t="s">
        <v>1155</v>
      </c>
      <c r="G717" s="8" t="s">
        <v>1156</v>
      </c>
      <c r="H717" s="5" t="s">
        <v>57</v>
      </c>
      <c r="I717" s="16" t="s">
        <v>1463</v>
      </c>
      <c r="J717" s="8"/>
      <c r="K717" s="9" t="s">
        <v>2222</v>
      </c>
    </row>
    <row r="718" customFormat="false" ht="270.85" hidden="false" customHeight="false" outlineLevel="0" collapsed="false">
      <c r="A718" s="5" t="n">
        <v>713</v>
      </c>
      <c r="B718" s="12" t="s">
        <v>865</v>
      </c>
      <c r="C718" s="13" t="s">
        <v>1136</v>
      </c>
      <c r="D718" s="8" t="s">
        <v>1137</v>
      </c>
      <c r="E718" s="8" t="s">
        <v>1151</v>
      </c>
      <c r="F718" s="8" t="s">
        <v>1158</v>
      </c>
      <c r="G718" s="8" t="s">
        <v>1159</v>
      </c>
      <c r="H718" s="5" t="s">
        <v>57</v>
      </c>
      <c r="I718" s="16" t="s">
        <v>1463</v>
      </c>
      <c r="J718" s="8"/>
      <c r="K718" s="9" t="s">
        <v>2223</v>
      </c>
    </row>
    <row r="719" customFormat="false" ht="225.35" hidden="false" customHeight="false" outlineLevel="0" collapsed="false">
      <c r="A719" s="5" t="n">
        <v>714</v>
      </c>
      <c r="B719" s="12" t="s">
        <v>865</v>
      </c>
      <c r="C719" s="13" t="s">
        <v>1136</v>
      </c>
      <c r="D719" s="8" t="s">
        <v>1137</v>
      </c>
      <c r="E719" s="8" t="s">
        <v>1151</v>
      </c>
      <c r="F719" s="8" t="s">
        <v>1161</v>
      </c>
      <c r="G719" s="8" t="s">
        <v>1162</v>
      </c>
      <c r="H719" s="5" t="s">
        <v>57</v>
      </c>
      <c r="I719" s="16" t="s">
        <v>1463</v>
      </c>
      <c r="J719" s="8"/>
      <c r="K719" s="9" t="s">
        <v>2224</v>
      </c>
    </row>
    <row r="720" customFormat="false" ht="315.65" hidden="false" customHeight="false" outlineLevel="0" collapsed="false">
      <c r="A720" s="5" t="n">
        <v>715</v>
      </c>
      <c r="B720" s="12" t="s">
        <v>865</v>
      </c>
      <c r="C720" s="13" t="s">
        <v>1136</v>
      </c>
      <c r="D720" s="8" t="s">
        <v>1137</v>
      </c>
      <c r="E720" s="8" t="s">
        <v>1164</v>
      </c>
      <c r="F720" s="8" t="s">
        <v>1165</v>
      </c>
      <c r="G720" s="8" t="s">
        <v>1166</v>
      </c>
      <c r="H720" s="5" t="s">
        <v>1082</v>
      </c>
      <c r="I720" s="16" t="s">
        <v>1463</v>
      </c>
      <c r="J720" s="8"/>
      <c r="K720" s="9" t="s">
        <v>2225</v>
      </c>
    </row>
    <row r="721" customFormat="false" ht="297.75" hidden="false" customHeight="false" outlineLevel="0" collapsed="false">
      <c r="A721" s="5" t="n">
        <v>716</v>
      </c>
      <c r="B721" s="12" t="s">
        <v>865</v>
      </c>
      <c r="C721" s="13" t="s">
        <v>1136</v>
      </c>
      <c r="D721" s="8" t="s">
        <v>1137</v>
      </c>
      <c r="E721" s="8" t="s">
        <v>1164</v>
      </c>
      <c r="F721" s="8" t="s">
        <v>1168</v>
      </c>
      <c r="G721" s="8" t="s">
        <v>1169</v>
      </c>
      <c r="H721" s="5" t="s">
        <v>57</v>
      </c>
      <c r="I721" s="16" t="s">
        <v>1463</v>
      </c>
      <c r="J721" s="8"/>
      <c r="K721" s="9" t="s">
        <v>2226</v>
      </c>
    </row>
    <row r="722" customFormat="false" ht="270.85" hidden="false" customHeight="false" outlineLevel="0" collapsed="false">
      <c r="A722" s="5" t="n">
        <v>717</v>
      </c>
      <c r="B722" s="12" t="s">
        <v>865</v>
      </c>
      <c r="C722" s="13" t="s">
        <v>1136</v>
      </c>
      <c r="D722" s="8" t="s">
        <v>1137</v>
      </c>
      <c r="E722" s="8" t="s">
        <v>1164</v>
      </c>
      <c r="F722" s="8" t="s">
        <v>1171</v>
      </c>
      <c r="G722" s="8" t="s">
        <v>1172</v>
      </c>
      <c r="H722" s="5" t="s">
        <v>57</v>
      </c>
      <c r="I722" s="16" t="s">
        <v>1463</v>
      </c>
      <c r="J722" s="8"/>
      <c r="K722" s="9" t="s">
        <v>2227</v>
      </c>
    </row>
    <row r="723" customFormat="false" ht="288.8" hidden="false" customHeight="false" outlineLevel="0" collapsed="false">
      <c r="A723" s="5" t="n">
        <v>718</v>
      </c>
      <c r="B723" s="12" t="s">
        <v>865</v>
      </c>
      <c r="C723" s="13" t="s">
        <v>1136</v>
      </c>
      <c r="D723" s="8" t="s">
        <v>1137</v>
      </c>
      <c r="E723" s="8" t="s">
        <v>1164</v>
      </c>
      <c r="F723" s="8" t="s">
        <v>1174</v>
      </c>
      <c r="G723" s="8" t="s">
        <v>1175</v>
      </c>
      <c r="H723" s="5" t="s">
        <v>1082</v>
      </c>
      <c r="I723" s="16" t="s">
        <v>1463</v>
      </c>
      <c r="J723" s="8"/>
      <c r="K723" s="9" t="s">
        <v>2228</v>
      </c>
    </row>
    <row r="724" customFormat="false" ht="261.9" hidden="false" customHeight="false" outlineLevel="0" collapsed="false">
      <c r="A724" s="5" t="n">
        <v>719</v>
      </c>
      <c r="B724" s="12" t="s">
        <v>865</v>
      </c>
      <c r="C724" s="13" t="s">
        <v>1136</v>
      </c>
      <c r="D724" s="8" t="s">
        <v>1137</v>
      </c>
      <c r="E724" s="8" t="s">
        <v>1164</v>
      </c>
      <c r="F724" s="8" t="s">
        <v>1177</v>
      </c>
      <c r="G724" s="8" t="s">
        <v>1178</v>
      </c>
      <c r="H724" s="5" t="s">
        <v>57</v>
      </c>
      <c r="I724" s="16" t="s">
        <v>1463</v>
      </c>
      <c r="J724" s="8"/>
      <c r="K724" s="9" t="s">
        <v>2229</v>
      </c>
    </row>
    <row r="725" customFormat="false" ht="333.55" hidden="false" customHeight="false" outlineLevel="0" collapsed="false">
      <c r="A725" s="5" t="n">
        <v>720</v>
      </c>
      <c r="B725" s="12" t="s">
        <v>865</v>
      </c>
      <c r="C725" s="13" t="s">
        <v>1136</v>
      </c>
      <c r="D725" s="8" t="s">
        <v>1137</v>
      </c>
      <c r="E725" s="8" t="s">
        <v>1180</v>
      </c>
      <c r="F725" s="8" t="s">
        <v>1181</v>
      </c>
      <c r="G725" s="8" t="s">
        <v>1182</v>
      </c>
      <c r="H725" s="5" t="s">
        <v>35</v>
      </c>
      <c r="I725" s="16" t="s">
        <v>1463</v>
      </c>
      <c r="J725" s="8"/>
      <c r="K725" s="9" t="s">
        <v>2230</v>
      </c>
    </row>
    <row r="726" customFormat="false" ht="244" hidden="false" customHeight="false" outlineLevel="0" collapsed="false">
      <c r="A726" s="5" t="n">
        <v>721</v>
      </c>
      <c r="B726" s="12" t="s">
        <v>865</v>
      </c>
      <c r="C726" s="13" t="s">
        <v>1136</v>
      </c>
      <c r="D726" s="8" t="s">
        <v>1137</v>
      </c>
      <c r="E726" s="8" t="s">
        <v>1180</v>
      </c>
      <c r="F726" s="8" t="s">
        <v>1184</v>
      </c>
      <c r="G726" s="8" t="s">
        <v>1185</v>
      </c>
      <c r="H726" s="5" t="s">
        <v>57</v>
      </c>
      <c r="I726" s="16" t="s">
        <v>1463</v>
      </c>
      <c r="J726" s="8"/>
      <c r="K726" s="9" t="s">
        <v>2231</v>
      </c>
    </row>
    <row r="727" customFormat="false" ht="288.8" hidden="false" customHeight="false" outlineLevel="0" collapsed="false">
      <c r="A727" s="5" t="n">
        <v>722</v>
      </c>
      <c r="B727" s="12" t="s">
        <v>865</v>
      </c>
      <c r="C727" s="13" t="s">
        <v>1136</v>
      </c>
      <c r="D727" s="8" t="s">
        <v>1137</v>
      </c>
      <c r="E727" s="8" t="s">
        <v>1180</v>
      </c>
      <c r="F727" s="8" t="s">
        <v>1187</v>
      </c>
      <c r="G727" s="8" t="s">
        <v>1188</v>
      </c>
      <c r="H727" s="5" t="s">
        <v>35</v>
      </c>
      <c r="I727" s="16" t="s">
        <v>1463</v>
      </c>
      <c r="J727" s="8"/>
      <c r="K727" s="9" t="s">
        <v>2232</v>
      </c>
    </row>
    <row r="728" customFormat="false" ht="315.65" hidden="false" customHeight="false" outlineLevel="0" collapsed="false">
      <c r="A728" s="5" t="n">
        <v>723</v>
      </c>
      <c r="B728" s="12" t="s">
        <v>865</v>
      </c>
      <c r="C728" s="13" t="s">
        <v>1136</v>
      </c>
      <c r="D728" s="8" t="s">
        <v>1137</v>
      </c>
      <c r="E728" s="8" t="s">
        <v>1180</v>
      </c>
      <c r="F728" s="8" t="s">
        <v>1190</v>
      </c>
      <c r="G728" s="8" t="s">
        <v>1191</v>
      </c>
      <c r="H728" s="5" t="s">
        <v>57</v>
      </c>
      <c r="I728" s="16" t="s">
        <v>1463</v>
      </c>
      <c r="J728" s="8"/>
      <c r="K728" s="9" t="s">
        <v>2233</v>
      </c>
    </row>
    <row r="729" customFormat="false" ht="324.6" hidden="false" customHeight="false" outlineLevel="0" collapsed="false">
      <c r="A729" s="5" t="n">
        <v>724</v>
      </c>
      <c r="B729" s="12" t="s">
        <v>865</v>
      </c>
      <c r="C729" s="13" t="s">
        <v>1136</v>
      </c>
      <c r="D729" s="8" t="s">
        <v>1137</v>
      </c>
      <c r="E729" s="8" t="s">
        <v>1180</v>
      </c>
      <c r="F729" s="8" t="s">
        <v>1193</v>
      </c>
      <c r="G729" s="8" t="s">
        <v>1194</v>
      </c>
      <c r="H729" s="5" t="s">
        <v>35</v>
      </c>
      <c r="I729" s="16" t="s">
        <v>1463</v>
      </c>
      <c r="J729" s="8"/>
      <c r="K729" s="9" t="s">
        <v>2234</v>
      </c>
    </row>
    <row r="730" customFormat="false" ht="279.85" hidden="false" customHeight="false" outlineLevel="0" collapsed="false">
      <c r="A730" s="5" t="n">
        <v>725</v>
      </c>
      <c r="B730" s="12" t="s">
        <v>865</v>
      </c>
      <c r="C730" s="13" t="s">
        <v>1136</v>
      </c>
      <c r="D730" s="8" t="s">
        <v>1137</v>
      </c>
      <c r="E730" s="8" t="s">
        <v>1196</v>
      </c>
      <c r="F730" s="8" t="s">
        <v>1197</v>
      </c>
      <c r="G730" s="8" t="s">
        <v>1198</v>
      </c>
      <c r="H730" s="5" t="s">
        <v>57</v>
      </c>
      <c r="I730" s="16" t="s">
        <v>1463</v>
      </c>
      <c r="J730" s="8"/>
      <c r="K730" s="9" t="s">
        <v>2235</v>
      </c>
    </row>
    <row r="731" customFormat="false" ht="261.9" hidden="false" customHeight="false" outlineLevel="0" collapsed="false">
      <c r="A731" s="5" t="n">
        <v>726</v>
      </c>
      <c r="B731" s="12" t="s">
        <v>865</v>
      </c>
      <c r="C731" s="13" t="s">
        <v>1136</v>
      </c>
      <c r="D731" s="8" t="s">
        <v>1137</v>
      </c>
      <c r="E731" s="8" t="s">
        <v>1196</v>
      </c>
      <c r="F731" s="8" t="s">
        <v>1200</v>
      </c>
      <c r="G731" s="8" t="s">
        <v>1201</v>
      </c>
      <c r="H731" s="5" t="s">
        <v>57</v>
      </c>
      <c r="I731" s="16" t="s">
        <v>1463</v>
      </c>
      <c r="J731" s="8"/>
      <c r="K731" s="9" t="s">
        <v>2236</v>
      </c>
    </row>
    <row r="732" customFormat="false" ht="306.7" hidden="false" customHeight="false" outlineLevel="0" collapsed="false">
      <c r="A732" s="5" t="n">
        <v>727</v>
      </c>
      <c r="B732" s="12" t="s">
        <v>865</v>
      </c>
      <c r="C732" s="13" t="s">
        <v>1203</v>
      </c>
      <c r="D732" s="8" t="s">
        <v>1204</v>
      </c>
      <c r="E732" s="8" t="s">
        <v>1205</v>
      </c>
      <c r="F732" s="8" t="s">
        <v>1206</v>
      </c>
      <c r="G732" s="8" t="s">
        <v>1207</v>
      </c>
      <c r="H732" s="5" t="s">
        <v>61</v>
      </c>
      <c r="I732" s="16" t="s">
        <v>1463</v>
      </c>
      <c r="J732" s="8"/>
      <c r="K732" s="9" t="s">
        <v>2237</v>
      </c>
    </row>
    <row r="733" customFormat="false" ht="270.85" hidden="false" customHeight="false" outlineLevel="0" collapsed="false">
      <c r="A733" s="5" t="n">
        <v>728</v>
      </c>
      <c r="B733" s="12" t="s">
        <v>865</v>
      </c>
      <c r="C733" s="13" t="s">
        <v>1203</v>
      </c>
      <c r="D733" s="8" t="s">
        <v>1204</v>
      </c>
      <c r="E733" s="8" t="s">
        <v>1205</v>
      </c>
      <c r="F733" s="8" t="s">
        <v>1209</v>
      </c>
      <c r="G733" s="8" t="s">
        <v>1210</v>
      </c>
      <c r="H733" s="5" t="s">
        <v>61</v>
      </c>
      <c r="I733" s="16" t="s">
        <v>1463</v>
      </c>
      <c r="J733" s="8"/>
      <c r="K733" s="9" t="s">
        <v>2238</v>
      </c>
    </row>
    <row r="734" customFormat="false" ht="270.85" hidden="false" customHeight="false" outlineLevel="0" collapsed="false">
      <c r="A734" s="5" t="n">
        <v>729</v>
      </c>
      <c r="B734" s="12" t="s">
        <v>865</v>
      </c>
      <c r="C734" s="13" t="s">
        <v>1203</v>
      </c>
      <c r="D734" s="8" t="s">
        <v>1204</v>
      </c>
      <c r="E734" s="8" t="s">
        <v>1205</v>
      </c>
      <c r="F734" s="8" t="s">
        <v>965</v>
      </c>
      <c r="G734" s="8" t="s">
        <v>966</v>
      </c>
      <c r="H734" s="5" t="s">
        <v>61</v>
      </c>
      <c r="I734" s="16" t="s">
        <v>1463</v>
      </c>
      <c r="J734" s="8"/>
      <c r="K734" s="9" t="s">
        <v>2239</v>
      </c>
    </row>
    <row r="735" customFormat="false" ht="252.95" hidden="false" customHeight="false" outlineLevel="0" collapsed="false">
      <c r="A735" s="5" t="n">
        <v>730</v>
      </c>
      <c r="B735" s="12" t="s">
        <v>865</v>
      </c>
      <c r="C735" s="13" t="s">
        <v>1203</v>
      </c>
      <c r="D735" s="8" t="s">
        <v>1204</v>
      </c>
      <c r="E735" s="8" t="s">
        <v>1205</v>
      </c>
      <c r="F735" s="8" t="s">
        <v>1213</v>
      </c>
      <c r="G735" s="8" t="s">
        <v>1214</v>
      </c>
      <c r="H735" s="5" t="s">
        <v>57</v>
      </c>
      <c r="I735" s="16" t="s">
        <v>1463</v>
      </c>
      <c r="J735" s="8"/>
      <c r="K735" s="9" t="s">
        <v>2240</v>
      </c>
    </row>
    <row r="736" customFormat="false" ht="244" hidden="false" customHeight="false" outlineLevel="0" collapsed="false">
      <c r="A736" s="5" t="n">
        <v>731</v>
      </c>
      <c r="B736" s="12" t="s">
        <v>865</v>
      </c>
      <c r="C736" s="13" t="s">
        <v>1203</v>
      </c>
      <c r="D736" s="8" t="s">
        <v>1204</v>
      </c>
      <c r="E736" s="8" t="s">
        <v>1205</v>
      </c>
      <c r="F736" s="8" t="s">
        <v>1216</v>
      </c>
      <c r="G736" s="8" t="s">
        <v>1217</v>
      </c>
      <c r="H736" s="5" t="s">
        <v>57</v>
      </c>
      <c r="I736" s="16" t="s">
        <v>1463</v>
      </c>
      <c r="J736" s="8"/>
      <c r="K736" s="9" t="s">
        <v>2241</v>
      </c>
    </row>
    <row r="737" customFormat="false" ht="279.85" hidden="false" customHeight="false" outlineLevel="0" collapsed="false">
      <c r="A737" s="5" t="n">
        <v>732</v>
      </c>
      <c r="B737" s="12" t="s">
        <v>865</v>
      </c>
      <c r="C737" s="13" t="s">
        <v>1203</v>
      </c>
      <c r="D737" s="8" t="s">
        <v>1204</v>
      </c>
      <c r="E737" s="8" t="s">
        <v>1219</v>
      </c>
      <c r="F737" s="8" t="s">
        <v>1220</v>
      </c>
      <c r="G737" s="8" t="s">
        <v>1221</v>
      </c>
      <c r="H737" s="5" t="s">
        <v>57</v>
      </c>
      <c r="I737" s="16" t="s">
        <v>1463</v>
      </c>
      <c r="J737" s="8"/>
      <c r="K737" s="9" t="s">
        <v>2242</v>
      </c>
    </row>
    <row r="738" customFormat="false" ht="297.75" hidden="false" customHeight="false" outlineLevel="0" collapsed="false">
      <c r="A738" s="5" t="n">
        <v>733</v>
      </c>
      <c r="B738" s="12" t="s">
        <v>865</v>
      </c>
      <c r="C738" s="13" t="s">
        <v>1203</v>
      </c>
      <c r="D738" s="8" t="s">
        <v>1204</v>
      </c>
      <c r="E738" s="8" t="s">
        <v>1219</v>
      </c>
      <c r="F738" s="8" t="s">
        <v>1223</v>
      </c>
      <c r="G738" s="8" t="s">
        <v>1224</v>
      </c>
      <c r="H738" s="5" t="s">
        <v>57</v>
      </c>
      <c r="I738" s="16" t="s">
        <v>1463</v>
      </c>
      <c r="J738" s="8"/>
      <c r="K738" s="9" t="s">
        <v>2243</v>
      </c>
    </row>
    <row r="739" customFormat="false" ht="270.85" hidden="false" customHeight="false" outlineLevel="0" collapsed="false">
      <c r="A739" s="5" t="n">
        <v>734</v>
      </c>
      <c r="B739" s="12" t="s">
        <v>865</v>
      </c>
      <c r="C739" s="13" t="s">
        <v>1203</v>
      </c>
      <c r="D739" s="8" t="s">
        <v>1204</v>
      </c>
      <c r="E739" s="8" t="s">
        <v>1219</v>
      </c>
      <c r="F739" s="8" t="s">
        <v>1226</v>
      </c>
      <c r="G739" s="8" t="s">
        <v>1227</v>
      </c>
      <c r="H739" s="5" t="s">
        <v>57</v>
      </c>
      <c r="I739" s="16" t="s">
        <v>1463</v>
      </c>
      <c r="J739" s="8"/>
      <c r="K739" s="9" t="s">
        <v>2244</v>
      </c>
    </row>
    <row r="740" customFormat="false" ht="288.8" hidden="false" customHeight="false" outlineLevel="0" collapsed="false">
      <c r="A740" s="5" t="n">
        <v>735</v>
      </c>
      <c r="B740" s="12" t="s">
        <v>865</v>
      </c>
      <c r="C740" s="13" t="s">
        <v>1203</v>
      </c>
      <c r="D740" s="8" t="s">
        <v>1204</v>
      </c>
      <c r="E740" s="8" t="s">
        <v>1219</v>
      </c>
      <c r="F740" s="8" t="s">
        <v>1229</v>
      </c>
      <c r="G740" s="8" t="s">
        <v>1230</v>
      </c>
      <c r="H740" s="5" t="s">
        <v>57</v>
      </c>
      <c r="I740" s="16" t="s">
        <v>1463</v>
      </c>
      <c r="J740" s="8"/>
      <c r="K740" s="9" t="s">
        <v>2245</v>
      </c>
    </row>
    <row r="741" customFormat="false" ht="279.85" hidden="false" customHeight="false" outlineLevel="0" collapsed="false">
      <c r="A741" s="5" t="n">
        <v>736</v>
      </c>
      <c r="B741" s="12" t="s">
        <v>865</v>
      </c>
      <c r="C741" s="13" t="s">
        <v>1203</v>
      </c>
      <c r="D741" s="8" t="s">
        <v>1204</v>
      </c>
      <c r="E741" s="8" t="s">
        <v>1219</v>
      </c>
      <c r="F741" s="8" t="s">
        <v>1232</v>
      </c>
      <c r="G741" s="8" t="s">
        <v>1233</v>
      </c>
      <c r="H741" s="5" t="s">
        <v>35</v>
      </c>
      <c r="I741" s="16" t="s">
        <v>1463</v>
      </c>
      <c r="J741" s="8"/>
      <c r="K741" s="9" t="s">
        <v>2246</v>
      </c>
    </row>
    <row r="742" customFormat="false" ht="216.4" hidden="false" customHeight="false" outlineLevel="0" collapsed="false">
      <c r="A742" s="5" t="n">
        <v>737</v>
      </c>
      <c r="B742" s="12" t="s">
        <v>865</v>
      </c>
      <c r="C742" s="13" t="s">
        <v>1203</v>
      </c>
      <c r="D742" s="8" t="s">
        <v>1204</v>
      </c>
      <c r="E742" s="8" t="s">
        <v>1235</v>
      </c>
      <c r="F742" s="8" t="s">
        <v>1236</v>
      </c>
      <c r="G742" s="8" t="s">
        <v>1237</v>
      </c>
      <c r="H742" s="5" t="s">
        <v>61</v>
      </c>
      <c r="I742" s="16" t="s">
        <v>1463</v>
      </c>
      <c r="J742" s="8"/>
      <c r="K742" s="9" t="s">
        <v>2247</v>
      </c>
    </row>
    <row r="743" customFormat="false" ht="234.3" hidden="false" customHeight="false" outlineLevel="0" collapsed="false">
      <c r="A743" s="5" t="n">
        <v>738</v>
      </c>
      <c r="B743" s="12" t="s">
        <v>865</v>
      </c>
      <c r="C743" s="13" t="s">
        <v>1203</v>
      </c>
      <c r="D743" s="8" t="s">
        <v>1204</v>
      </c>
      <c r="E743" s="8" t="s">
        <v>1235</v>
      </c>
      <c r="F743" s="8" t="s">
        <v>1239</v>
      </c>
      <c r="G743" s="8" t="s">
        <v>1240</v>
      </c>
      <c r="H743" s="5" t="s">
        <v>61</v>
      </c>
      <c r="I743" s="16" t="s">
        <v>1463</v>
      </c>
      <c r="J743" s="8"/>
      <c r="K743" s="9" t="s">
        <v>2248</v>
      </c>
    </row>
    <row r="744" customFormat="false" ht="198.5" hidden="false" customHeight="false" outlineLevel="0" collapsed="false">
      <c r="A744" s="5" t="n">
        <v>739</v>
      </c>
      <c r="B744" s="12" t="s">
        <v>865</v>
      </c>
      <c r="C744" s="13" t="s">
        <v>1203</v>
      </c>
      <c r="D744" s="8" t="s">
        <v>1204</v>
      </c>
      <c r="E744" s="8" t="s">
        <v>1235</v>
      </c>
      <c r="F744" s="8" t="s">
        <v>1242</v>
      </c>
      <c r="G744" s="8" t="s">
        <v>1243</v>
      </c>
      <c r="H744" s="5" t="s">
        <v>61</v>
      </c>
      <c r="I744" s="16" t="s">
        <v>1463</v>
      </c>
      <c r="J744" s="8"/>
      <c r="K744" s="9" t="s">
        <v>2249</v>
      </c>
    </row>
    <row r="745" customFormat="false" ht="270.85" hidden="false" customHeight="false" outlineLevel="0" collapsed="false">
      <c r="A745" s="5" t="n">
        <v>740</v>
      </c>
      <c r="B745" s="12" t="s">
        <v>865</v>
      </c>
      <c r="C745" s="13" t="s">
        <v>1203</v>
      </c>
      <c r="D745" s="8" t="s">
        <v>1204</v>
      </c>
      <c r="E745" s="8" t="s">
        <v>1235</v>
      </c>
      <c r="F745" s="8" t="s">
        <v>1245</v>
      </c>
      <c r="G745" s="8" t="s">
        <v>1246</v>
      </c>
      <c r="H745" s="5" t="s">
        <v>61</v>
      </c>
      <c r="I745" s="16" t="s">
        <v>1463</v>
      </c>
      <c r="J745" s="8"/>
      <c r="K745" s="9" t="s">
        <v>2250</v>
      </c>
    </row>
    <row r="746" customFormat="false" ht="342.5" hidden="false" customHeight="false" outlineLevel="0" collapsed="false">
      <c r="A746" s="5" t="n">
        <v>741</v>
      </c>
      <c r="B746" s="12" t="s">
        <v>865</v>
      </c>
      <c r="C746" s="13" t="s">
        <v>1203</v>
      </c>
      <c r="D746" s="8" t="s">
        <v>1204</v>
      </c>
      <c r="E746" s="8" t="s">
        <v>1235</v>
      </c>
      <c r="F746" s="8" t="s">
        <v>1248</v>
      </c>
      <c r="G746" s="8" t="s">
        <v>1249</v>
      </c>
      <c r="H746" s="5" t="s">
        <v>57</v>
      </c>
      <c r="I746" s="16" t="s">
        <v>1463</v>
      </c>
      <c r="J746" s="8"/>
      <c r="K746" s="9" t="s">
        <v>2251</v>
      </c>
    </row>
    <row r="747" customFormat="false" ht="252.95" hidden="false" customHeight="false" outlineLevel="0" collapsed="false">
      <c r="A747" s="5" t="n">
        <v>742</v>
      </c>
      <c r="B747" s="12" t="s">
        <v>865</v>
      </c>
      <c r="C747" s="13" t="s">
        <v>1203</v>
      </c>
      <c r="D747" s="8" t="s">
        <v>1204</v>
      </c>
      <c r="E747" s="8" t="s">
        <v>1235</v>
      </c>
      <c r="F747" s="8" t="s">
        <v>1251</v>
      </c>
      <c r="G747" s="8" t="s">
        <v>1252</v>
      </c>
      <c r="H747" s="5" t="s">
        <v>57</v>
      </c>
      <c r="I747" s="16" t="s">
        <v>1463</v>
      </c>
      <c r="J747" s="8"/>
      <c r="K747" s="9" t="s">
        <v>2252</v>
      </c>
    </row>
    <row r="748" customFormat="false" ht="306.7" hidden="false" customHeight="false" outlineLevel="0" collapsed="false">
      <c r="A748" s="5" t="n">
        <v>743</v>
      </c>
      <c r="B748" s="12" t="s">
        <v>865</v>
      </c>
      <c r="C748" s="13" t="s">
        <v>1203</v>
      </c>
      <c r="D748" s="8" t="s">
        <v>1204</v>
      </c>
      <c r="E748" s="8" t="s">
        <v>1254</v>
      </c>
      <c r="F748" s="8" t="s">
        <v>1255</v>
      </c>
      <c r="G748" s="8" t="s">
        <v>1256</v>
      </c>
      <c r="H748" s="5" t="s">
        <v>57</v>
      </c>
      <c r="I748" s="16" t="s">
        <v>1463</v>
      </c>
      <c r="J748" s="8"/>
      <c r="K748" s="9" t="s">
        <v>2253</v>
      </c>
    </row>
    <row r="749" customFormat="false" ht="315.65" hidden="false" customHeight="false" outlineLevel="0" collapsed="false">
      <c r="A749" s="5" t="n">
        <v>744</v>
      </c>
      <c r="B749" s="12" t="s">
        <v>865</v>
      </c>
      <c r="C749" s="13" t="s">
        <v>1203</v>
      </c>
      <c r="D749" s="8" t="s">
        <v>1204</v>
      </c>
      <c r="E749" s="8" t="s">
        <v>1254</v>
      </c>
      <c r="F749" s="8" t="s">
        <v>1258</v>
      </c>
      <c r="G749" s="8" t="s">
        <v>1259</v>
      </c>
      <c r="H749" s="5" t="s">
        <v>35</v>
      </c>
      <c r="I749" s="16" t="s">
        <v>1463</v>
      </c>
      <c r="J749" s="8"/>
      <c r="K749" s="9" t="s">
        <v>2254</v>
      </c>
    </row>
    <row r="750" customFormat="false" ht="315.65" hidden="false" customHeight="false" outlineLevel="0" collapsed="false">
      <c r="A750" s="5" t="n">
        <v>745</v>
      </c>
      <c r="B750" s="12" t="s">
        <v>865</v>
      </c>
      <c r="C750" s="13" t="s">
        <v>1203</v>
      </c>
      <c r="D750" s="8" t="s">
        <v>1204</v>
      </c>
      <c r="E750" s="8" t="s">
        <v>1254</v>
      </c>
      <c r="F750" s="8" t="s">
        <v>1261</v>
      </c>
      <c r="G750" s="8" t="s">
        <v>1262</v>
      </c>
      <c r="H750" s="5" t="s">
        <v>35</v>
      </c>
      <c r="I750" s="16" t="s">
        <v>1463</v>
      </c>
      <c r="J750" s="8"/>
      <c r="K750" s="9" t="s">
        <v>2255</v>
      </c>
    </row>
    <row r="751" customFormat="false" ht="279.85" hidden="false" customHeight="false" outlineLevel="0" collapsed="false">
      <c r="A751" s="5" t="n">
        <v>746</v>
      </c>
      <c r="B751" s="12" t="s">
        <v>865</v>
      </c>
      <c r="C751" s="13" t="s">
        <v>1264</v>
      </c>
      <c r="D751" s="8" t="s">
        <v>1265</v>
      </c>
      <c r="E751" s="8" t="s">
        <v>1266</v>
      </c>
      <c r="F751" s="8" t="s">
        <v>1267</v>
      </c>
      <c r="G751" s="8" t="s">
        <v>1268</v>
      </c>
      <c r="H751" s="5" t="s">
        <v>57</v>
      </c>
      <c r="I751" s="16" t="s">
        <v>1463</v>
      </c>
      <c r="J751" s="8"/>
      <c r="K751" s="9" t="s">
        <v>2256</v>
      </c>
    </row>
    <row r="752" customFormat="false" ht="252.95" hidden="false" customHeight="false" outlineLevel="0" collapsed="false">
      <c r="A752" s="5" t="n">
        <v>747</v>
      </c>
      <c r="B752" s="12" t="s">
        <v>865</v>
      </c>
      <c r="C752" s="13" t="s">
        <v>1264</v>
      </c>
      <c r="D752" s="8" t="s">
        <v>1265</v>
      </c>
      <c r="E752" s="8" t="s">
        <v>1266</v>
      </c>
      <c r="F752" s="8" t="s">
        <v>1270</v>
      </c>
      <c r="G752" s="8" t="s">
        <v>1271</v>
      </c>
      <c r="H752" s="5" t="s">
        <v>57</v>
      </c>
      <c r="I752" s="16" t="s">
        <v>1463</v>
      </c>
      <c r="J752" s="8"/>
      <c r="K752" s="9" t="s">
        <v>2257</v>
      </c>
    </row>
    <row r="753" customFormat="false" ht="252.95" hidden="false" customHeight="false" outlineLevel="0" collapsed="false">
      <c r="A753" s="5" t="n">
        <v>748</v>
      </c>
      <c r="B753" s="12" t="s">
        <v>865</v>
      </c>
      <c r="C753" s="13" t="s">
        <v>1264</v>
      </c>
      <c r="D753" s="8" t="s">
        <v>1265</v>
      </c>
      <c r="E753" s="8" t="s">
        <v>1266</v>
      </c>
      <c r="F753" s="8" t="s">
        <v>1273</v>
      </c>
      <c r="G753" s="8" t="s">
        <v>1274</v>
      </c>
      <c r="H753" s="5" t="s">
        <v>57</v>
      </c>
      <c r="I753" s="16" t="s">
        <v>1463</v>
      </c>
      <c r="J753" s="8"/>
      <c r="K753" s="9" t="s">
        <v>2258</v>
      </c>
    </row>
    <row r="754" customFormat="false" ht="306.7" hidden="false" customHeight="false" outlineLevel="0" collapsed="false">
      <c r="A754" s="5" t="n">
        <v>749</v>
      </c>
      <c r="B754" s="12" t="s">
        <v>865</v>
      </c>
      <c r="C754" s="13" t="s">
        <v>1264</v>
      </c>
      <c r="D754" s="8" t="s">
        <v>1265</v>
      </c>
      <c r="E754" s="8" t="s">
        <v>1266</v>
      </c>
      <c r="F754" s="8" t="s">
        <v>1276</v>
      </c>
      <c r="G754" s="8" t="s">
        <v>1277</v>
      </c>
      <c r="H754" s="5" t="s">
        <v>61</v>
      </c>
      <c r="I754" s="16" t="s">
        <v>1463</v>
      </c>
      <c r="J754" s="8"/>
      <c r="K754" s="9" t="s">
        <v>2259</v>
      </c>
    </row>
    <row r="755" customFormat="false" ht="279.85" hidden="false" customHeight="false" outlineLevel="0" collapsed="false">
      <c r="A755" s="5" t="n">
        <v>750</v>
      </c>
      <c r="B755" s="12" t="s">
        <v>865</v>
      </c>
      <c r="C755" s="13" t="s">
        <v>1264</v>
      </c>
      <c r="D755" s="8" t="s">
        <v>1265</v>
      </c>
      <c r="E755" s="8" t="s">
        <v>1279</v>
      </c>
      <c r="F755" s="8" t="s">
        <v>1280</v>
      </c>
      <c r="G755" s="8" t="s">
        <v>1281</v>
      </c>
      <c r="H755" s="5" t="s">
        <v>57</v>
      </c>
      <c r="I755" s="16" t="s">
        <v>1463</v>
      </c>
      <c r="J755" s="8"/>
      <c r="K755" s="9" t="s">
        <v>2260</v>
      </c>
    </row>
    <row r="756" customFormat="false" ht="297.75" hidden="false" customHeight="false" outlineLevel="0" collapsed="false">
      <c r="A756" s="5" t="n">
        <v>751</v>
      </c>
      <c r="B756" s="12" t="s">
        <v>865</v>
      </c>
      <c r="C756" s="13" t="s">
        <v>1264</v>
      </c>
      <c r="D756" s="8" t="s">
        <v>1265</v>
      </c>
      <c r="E756" s="8" t="s">
        <v>1279</v>
      </c>
      <c r="F756" s="8" t="s">
        <v>1283</v>
      </c>
      <c r="G756" s="8" t="s">
        <v>1284</v>
      </c>
      <c r="H756" s="5" t="s">
        <v>61</v>
      </c>
      <c r="I756" s="16" t="s">
        <v>1463</v>
      </c>
      <c r="J756" s="8"/>
      <c r="K756" s="9" t="s">
        <v>2261</v>
      </c>
    </row>
    <row r="757" customFormat="false" ht="261.9" hidden="false" customHeight="false" outlineLevel="0" collapsed="false">
      <c r="A757" s="5" t="n">
        <v>752</v>
      </c>
      <c r="B757" s="12" t="s">
        <v>865</v>
      </c>
      <c r="C757" s="13" t="s">
        <v>1264</v>
      </c>
      <c r="D757" s="8" t="s">
        <v>1265</v>
      </c>
      <c r="E757" s="8" t="s">
        <v>1279</v>
      </c>
      <c r="F757" s="8" t="s">
        <v>1286</v>
      </c>
      <c r="G757" s="8" t="s">
        <v>1287</v>
      </c>
      <c r="H757" s="5" t="s">
        <v>57</v>
      </c>
      <c r="I757" s="16" t="s">
        <v>1463</v>
      </c>
      <c r="J757" s="8"/>
      <c r="K757" s="9" t="s">
        <v>2262</v>
      </c>
    </row>
    <row r="758" customFormat="false" ht="270.85" hidden="false" customHeight="false" outlineLevel="0" collapsed="false">
      <c r="A758" s="5" t="n">
        <v>753</v>
      </c>
      <c r="B758" s="12" t="s">
        <v>865</v>
      </c>
      <c r="C758" s="13" t="s">
        <v>1264</v>
      </c>
      <c r="D758" s="8" t="s">
        <v>1265</v>
      </c>
      <c r="E758" s="8" t="s">
        <v>1279</v>
      </c>
      <c r="F758" s="8" t="s">
        <v>1289</v>
      </c>
      <c r="G758" s="8" t="s">
        <v>1290</v>
      </c>
      <c r="H758" s="5" t="s">
        <v>57</v>
      </c>
      <c r="I758" s="16" t="s">
        <v>1463</v>
      </c>
      <c r="J758" s="8"/>
      <c r="K758" s="9" t="s">
        <v>2263</v>
      </c>
    </row>
    <row r="759" customFormat="false" ht="288.8" hidden="false" customHeight="false" outlineLevel="0" collapsed="false">
      <c r="A759" s="5" t="n">
        <v>754</v>
      </c>
      <c r="B759" s="12" t="s">
        <v>865</v>
      </c>
      <c r="C759" s="13" t="s">
        <v>1264</v>
      </c>
      <c r="D759" s="8" t="s">
        <v>1265</v>
      </c>
      <c r="E759" s="8" t="s">
        <v>1292</v>
      </c>
      <c r="F759" s="8" t="s">
        <v>1293</v>
      </c>
      <c r="G759" s="8" t="s">
        <v>1294</v>
      </c>
      <c r="H759" s="5" t="s">
        <v>57</v>
      </c>
      <c r="I759" s="16" t="s">
        <v>1463</v>
      </c>
      <c r="J759" s="8"/>
      <c r="K759" s="9" t="s">
        <v>2264</v>
      </c>
    </row>
    <row r="760" customFormat="false" ht="244" hidden="false" customHeight="false" outlineLevel="0" collapsed="false">
      <c r="A760" s="5" t="n">
        <v>755</v>
      </c>
      <c r="B760" s="12" t="s">
        <v>865</v>
      </c>
      <c r="C760" s="13" t="s">
        <v>1264</v>
      </c>
      <c r="D760" s="8" t="s">
        <v>1265</v>
      </c>
      <c r="E760" s="8" t="s">
        <v>1292</v>
      </c>
      <c r="F760" s="8" t="s">
        <v>1296</v>
      </c>
      <c r="G760" s="8" t="s">
        <v>1297</v>
      </c>
      <c r="H760" s="5" t="s">
        <v>57</v>
      </c>
      <c r="I760" s="16" t="s">
        <v>1463</v>
      </c>
      <c r="J760" s="8"/>
      <c r="K760" s="9" t="s">
        <v>2265</v>
      </c>
    </row>
    <row r="761" customFormat="false" ht="279.85" hidden="false" customHeight="false" outlineLevel="0" collapsed="false">
      <c r="A761" s="5" t="n">
        <v>756</v>
      </c>
      <c r="B761" s="12" t="s">
        <v>865</v>
      </c>
      <c r="C761" s="13" t="s">
        <v>1264</v>
      </c>
      <c r="D761" s="8" t="s">
        <v>1265</v>
      </c>
      <c r="E761" s="8" t="s">
        <v>1292</v>
      </c>
      <c r="F761" s="8" t="s">
        <v>1299</v>
      </c>
      <c r="G761" s="8" t="s">
        <v>1300</v>
      </c>
      <c r="H761" s="5" t="s">
        <v>57</v>
      </c>
      <c r="I761" s="16" t="s">
        <v>1463</v>
      </c>
      <c r="J761" s="8"/>
      <c r="K761" s="9" t="s">
        <v>2266</v>
      </c>
    </row>
    <row r="762" customFormat="false" ht="297.75" hidden="false" customHeight="false" outlineLevel="0" collapsed="false">
      <c r="A762" s="5" t="n">
        <v>757</v>
      </c>
      <c r="B762" s="12" t="s">
        <v>865</v>
      </c>
      <c r="C762" s="13" t="s">
        <v>1264</v>
      </c>
      <c r="D762" s="8" t="s">
        <v>1265</v>
      </c>
      <c r="E762" s="8" t="s">
        <v>1302</v>
      </c>
      <c r="F762" s="8" t="s">
        <v>1303</v>
      </c>
      <c r="G762" s="8" t="s">
        <v>1304</v>
      </c>
      <c r="H762" s="5" t="s">
        <v>57</v>
      </c>
      <c r="I762" s="16" t="s">
        <v>1463</v>
      </c>
      <c r="J762" s="8"/>
      <c r="K762" s="9" t="s">
        <v>2267</v>
      </c>
    </row>
    <row r="763" customFormat="false" ht="252.95" hidden="false" customHeight="false" outlineLevel="0" collapsed="false">
      <c r="A763" s="5" t="n">
        <v>758</v>
      </c>
      <c r="B763" s="12" t="s">
        <v>865</v>
      </c>
      <c r="C763" s="13" t="s">
        <v>1264</v>
      </c>
      <c r="D763" s="8" t="s">
        <v>1265</v>
      </c>
      <c r="E763" s="8" t="s">
        <v>1302</v>
      </c>
      <c r="F763" s="8" t="s">
        <v>1306</v>
      </c>
      <c r="G763" s="8" t="s">
        <v>1307</v>
      </c>
      <c r="H763" s="5" t="s">
        <v>57</v>
      </c>
      <c r="I763" s="16" t="s">
        <v>1463</v>
      </c>
      <c r="J763" s="8"/>
      <c r="K763" s="9" t="s">
        <v>2268</v>
      </c>
    </row>
    <row r="764" customFormat="false" ht="369.4" hidden="false" customHeight="false" outlineLevel="0" collapsed="false">
      <c r="A764" s="5" t="n">
        <v>759</v>
      </c>
      <c r="B764" s="12" t="s">
        <v>865</v>
      </c>
      <c r="C764" s="13" t="s">
        <v>1264</v>
      </c>
      <c r="D764" s="8" t="s">
        <v>1265</v>
      </c>
      <c r="E764" s="8" t="s">
        <v>1302</v>
      </c>
      <c r="F764" s="8" t="s">
        <v>1309</v>
      </c>
      <c r="G764" s="8" t="s">
        <v>1310</v>
      </c>
      <c r="H764" s="5" t="s">
        <v>35</v>
      </c>
      <c r="I764" s="16" t="s">
        <v>1463</v>
      </c>
      <c r="J764" s="8"/>
      <c r="K764" s="9" t="s">
        <v>2269</v>
      </c>
    </row>
    <row r="765" customFormat="false" ht="369.4" hidden="false" customHeight="false" outlineLevel="0" collapsed="false">
      <c r="A765" s="5" t="n">
        <v>760</v>
      </c>
      <c r="B765" s="12" t="s">
        <v>865</v>
      </c>
      <c r="C765" s="13" t="s">
        <v>1264</v>
      </c>
      <c r="D765" s="8" t="s">
        <v>1265</v>
      </c>
      <c r="E765" s="8" t="s">
        <v>1302</v>
      </c>
      <c r="F765" s="8" t="s">
        <v>1312</v>
      </c>
      <c r="G765" s="8" t="s">
        <v>1313</v>
      </c>
      <c r="H765" s="5" t="s">
        <v>35</v>
      </c>
      <c r="I765" s="16" t="s">
        <v>1463</v>
      </c>
      <c r="J765" s="8"/>
      <c r="K765" s="9" t="s">
        <v>2270</v>
      </c>
    </row>
    <row r="766" customFormat="false" ht="315.65" hidden="false" customHeight="false" outlineLevel="0" collapsed="false">
      <c r="A766" s="5" t="n">
        <v>761</v>
      </c>
      <c r="B766" s="12" t="s">
        <v>865</v>
      </c>
      <c r="C766" s="13" t="s">
        <v>1315</v>
      </c>
      <c r="D766" s="8" t="s">
        <v>1316</v>
      </c>
      <c r="E766" s="8" t="s">
        <v>1317</v>
      </c>
      <c r="F766" s="8" t="s">
        <v>1318</v>
      </c>
      <c r="G766" s="8" t="s">
        <v>1319</v>
      </c>
      <c r="H766" s="5" t="s">
        <v>35</v>
      </c>
      <c r="I766" s="16" t="s">
        <v>1463</v>
      </c>
      <c r="J766" s="8"/>
      <c r="K766" s="9" t="s">
        <v>2271</v>
      </c>
    </row>
    <row r="767" customFormat="false" ht="306.7" hidden="false" customHeight="false" outlineLevel="0" collapsed="false">
      <c r="A767" s="5" t="n">
        <v>762</v>
      </c>
      <c r="B767" s="12" t="s">
        <v>865</v>
      </c>
      <c r="C767" s="13" t="s">
        <v>1315</v>
      </c>
      <c r="D767" s="8" t="s">
        <v>1316</v>
      </c>
      <c r="E767" s="8" t="s">
        <v>1317</v>
      </c>
      <c r="F767" s="8" t="s">
        <v>1321</v>
      </c>
      <c r="G767" s="8" t="s">
        <v>1322</v>
      </c>
      <c r="H767" s="5" t="s">
        <v>35</v>
      </c>
      <c r="I767" s="16" t="s">
        <v>1463</v>
      </c>
      <c r="J767" s="8"/>
      <c r="K767" s="9" t="s">
        <v>2272</v>
      </c>
    </row>
    <row r="768" customFormat="false" ht="315.65" hidden="false" customHeight="false" outlineLevel="0" collapsed="false">
      <c r="A768" s="5" t="n">
        <v>763</v>
      </c>
      <c r="B768" s="12" t="s">
        <v>865</v>
      </c>
      <c r="C768" s="13" t="s">
        <v>1315</v>
      </c>
      <c r="D768" s="8" t="s">
        <v>1316</v>
      </c>
      <c r="E768" s="8" t="s">
        <v>1317</v>
      </c>
      <c r="F768" s="8" t="s">
        <v>1324</v>
      </c>
      <c r="G768" s="8" t="s">
        <v>1325</v>
      </c>
      <c r="H768" s="5" t="s">
        <v>35</v>
      </c>
      <c r="I768" s="16" t="s">
        <v>1463</v>
      </c>
      <c r="J768" s="8"/>
      <c r="K768" s="9" t="s">
        <v>2273</v>
      </c>
    </row>
    <row r="769" customFormat="false" ht="306.7" hidden="false" customHeight="false" outlineLevel="0" collapsed="false">
      <c r="A769" s="5" t="n">
        <v>764</v>
      </c>
      <c r="B769" s="12" t="s">
        <v>865</v>
      </c>
      <c r="C769" s="13" t="s">
        <v>1315</v>
      </c>
      <c r="D769" s="8" t="s">
        <v>1316</v>
      </c>
      <c r="E769" s="8" t="s">
        <v>1317</v>
      </c>
      <c r="F769" s="8" t="s">
        <v>1327</v>
      </c>
      <c r="G769" s="8" t="s">
        <v>1328</v>
      </c>
      <c r="H769" s="5" t="s">
        <v>35</v>
      </c>
      <c r="I769" s="16" t="s">
        <v>1463</v>
      </c>
      <c r="J769" s="8"/>
      <c r="K769" s="9" t="s">
        <v>2274</v>
      </c>
    </row>
    <row r="770" customFormat="false" ht="297.75" hidden="false" customHeight="false" outlineLevel="0" collapsed="false">
      <c r="A770" s="5" t="n">
        <v>765</v>
      </c>
      <c r="B770" s="12" t="s">
        <v>865</v>
      </c>
      <c r="C770" s="13" t="s">
        <v>1330</v>
      </c>
      <c r="D770" s="8" t="s">
        <v>1331</v>
      </c>
      <c r="E770" s="8" t="s">
        <v>1332</v>
      </c>
      <c r="F770" s="8" t="s">
        <v>1333</v>
      </c>
      <c r="G770" s="8" t="s">
        <v>1334</v>
      </c>
      <c r="H770" s="5" t="s">
        <v>57</v>
      </c>
      <c r="I770" s="16" t="s">
        <v>1463</v>
      </c>
      <c r="J770" s="8"/>
      <c r="K770" s="9" t="s">
        <v>2275</v>
      </c>
    </row>
    <row r="771" customFormat="false" ht="270.85" hidden="false" customHeight="false" outlineLevel="0" collapsed="false">
      <c r="A771" s="5" t="n">
        <v>766</v>
      </c>
      <c r="B771" s="12" t="s">
        <v>865</v>
      </c>
      <c r="C771" s="13" t="s">
        <v>1330</v>
      </c>
      <c r="D771" s="8" t="s">
        <v>1331</v>
      </c>
      <c r="E771" s="8" t="s">
        <v>1332</v>
      </c>
      <c r="F771" s="8" t="s">
        <v>1336</v>
      </c>
      <c r="G771" s="8" t="s">
        <v>1337</v>
      </c>
      <c r="H771" s="5" t="s">
        <v>57</v>
      </c>
      <c r="I771" s="16" t="s">
        <v>1463</v>
      </c>
      <c r="J771" s="8"/>
      <c r="K771" s="9" t="s">
        <v>2276</v>
      </c>
    </row>
    <row r="772" customFormat="false" ht="261.9" hidden="false" customHeight="false" outlineLevel="0" collapsed="false">
      <c r="A772" s="5" t="n">
        <v>767</v>
      </c>
      <c r="B772" s="12" t="s">
        <v>865</v>
      </c>
      <c r="C772" s="13" t="s">
        <v>1330</v>
      </c>
      <c r="D772" s="8" t="s">
        <v>1331</v>
      </c>
      <c r="E772" s="8" t="s">
        <v>1332</v>
      </c>
      <c r="F772" s="8" t="s">
        <v>1339</v>
      </c>
      <c r="G772" s="8" t="s">
        <v>1340</v>
      </c>
      <c r="H772" s="5" t="s">
        <v>57</v>
      </c>
      <c r="I772" s="16" t="s">
        <v>1463</v>
      </c>
      <c r="J772" s="8"/>
      <c r="K772" s="9" t="s">
        <v>2277</v>
      </c>
    </row>
    <row r="773" customFormat="false" ht="297.75" hidden="false" customHeight="false" outlineLevel="0" collapsed="false">
      <c r="A773" s="5" t="n">
        <v>768</v>
      </c>
      <c r="B773" s="12" t="s">
        <v>865</v>
      </c>
      <c r="C773" s="13" t="s">
        <v>1330</v>
      </c>
      <c r="D773" s="8" t="s">
        <v>1331</v>
      </c>
      <c r="E773" s="8" t="s">
        <v>1332</v>
      </c>
      <c r="F773" s="8" t="s">
        <v>1342</v>
      </c>
      <c r="G773" s="8" t="s">
        <v>1343</v>
      </c>
      <c r="H773" s="5" t="s">
        <v>57</v>
      </c>
      <c r="I773" s="16" t="s">
        <v>1463</v>
      </c>
      <c r="J773" s="8"/>
      <c r="K773" s="9" t="s">
        <v>2278</v>
      </c>
    </row>
    <row r="774" customFormat="false" ht="270.85" hidden="false" customHeight="false" outlineLevel="0" collapsed="false">
      <c r="A774" s="5" t="n">
        <v>769</v>
      </c>
      <c r="B774" s="12" t="s">
        <v>865</v>
      </c>
      <c r="C774" s="13" t="s">
        <v>1330</v>
      </c>
      <c r="D774" s="8" t="s">
        <v>1331</v>
      </c>
      <c r="E774" s="8" t="s">
        <v>1345</v>
      </c>
      <c r="F774" s="8" t="s">
        <v>1345</v>
      </c>
      <c r="G774" s="8" t="s">
        <v>1346</v>
      </c>
      <c r="H774" s="5" t="s">
        <v>57</v>
      </c>
      <c r="I774" s="16" t="s">
        <v>1463</v>
      </c>
      <c r="J774" s="8"/>
      <c r="K774" s="9" t="s">
        <v>2279</v>
      </c>
    </row>
    <row r="775" customFormat="false" ht="252.95" hidden="false" customHeight="false" outlineLevel="0" collapsed="false">
      <c r="A775" s="5" t="n">
        <v>770</v>
      </c>
      <c r="B775" s="12" t="s">
        <v>865</v>
      </c>
      <c r="C775" s="13" t="s">
        <v>1330</v>
      </c>
      <c r="D775" s="8" t="s">
        <v>1331</v>
      </c>
      <c r="E775" s="8" t="s">
        <v>1348</v>
      </c>
      <c r="F775" s="8" t="s">
        <v>1349</v>
      </c>
      <c r="G775" s="8" t="s">
        <v>1350</v>
      </c>
      <c r="H775" s="5" t="s">
        <v>57</v>
      </c>
      <c r="I775" s="16" t="s">
        <v>1463</v>
      </c>
      <c r="J775" s="8"/>
      <c r="K775" s="9" t="s">
        <v>2280</v>
      </c>
    </row>
    <row r="776" customFormat="false" ht="306.7" hidden="false" customHeight="false" outlineLevel="0" collapsed="false">
      <c r="A776" s="5" t="n">
        <v>771</v>
      </c>
      <c r="B776" s="12" t="s">
        <v>865</v>
      </c>
      <c r="C776" s="13" t="s">
        <v>1330</v>
      </c>
      <c r="D776" s="8" t="s">
        <v>1331</v>
      </c>
      <c r="E776" s="8" t="s">
        <v>1348</v>
      </c>
      <c r="F776" s="8" t="s">
        <v>1352</v>
      </c>
      <c r="G776" s="8" t="s">
        <v>1353</v>
      </c>
      <c r="H776" s="5" t="s">
        <v>35</v>
      </c>
      <c r="I776" s="16" t="s">
        <v>1463</v>
      </c>
      <c r="J776" s="8"/>
      <c r="K776" s="9" t="s">
        <v>2281</v>
      </c>
    </row>
    <row r="777" customFormat="false" ht="369.4" hidden="false" customHeight="false" outlineLevel="0" collapsed="false">
      <c r="A777" s="5" t="n">
        <v>772</v>
      </c>
      <c r="B777" s="12" t="s">
        <v>865</v>
      </c>
      <c r="C777" s="13" t="s">
        <v>1330</v>
      </c>
      <c r="D777" s="8" t="s">
        <v>1331</v>
      </c>
      <c r="E777" s="8" t="s">
        <v>1348</v>
      </c>
      <c r="F777" s="8" t="s">
        <v>1355</v>
      </c>
      <c r="G777" s="8" t="s">
        <v>1356</v>
      </c>
      <c r="H777" s="5" t="s">
        <v>35</v>
      </c>
      <c r="I777" s="16" t="s">
        <v>1463</v>
      </c>
      <c r="J777" s="8"/>
      <c r="K777" s="9" t="s">
        <v>2282</v>
      </c>
    </row>
    <row r="778" customFormat="false" ht="279.85" hidden="false" customHeight="false" outlineLevel="0" collapsed="false">
      <c r="A778" s="5" t="n">
        <v>773</v>
      </c>
      <c r="B778" s="12" t="s">
        <v>865</v>
      </c>
      <c r="C778" s="13" t="s">
        <v>1358</v>
      </c>
      <c r="D778" s="8" t="s">
        <v>1359</v>
      </c>
      <c r="E778" s="8" t="s">
        <v>1360</v>
      </c>
      <c r="F778" s="8" t="s">
        <v>1361</v>
      </c>
      <c r="G778" s="8" t="s">
        <v>1362</v>
      </c>
      <c r="H778" s="5" t="s">
        <v>35</v>
      </c>
      <c r="I778" s="16" t="s">
        <v>1463</v>
      </c>
      <c r="J778" s="8"/>
      <c r="K778" s="9" t="s">
        <v>2283</v>
      </c>
    </row>
    <row r="779" customFormat="false" ht="225.35" hidden="false" customHeight="false" outlineLevel="0" collapsed="false">
      <c r="A779" s="5" t="n">
        <v>774</v>
      </c>
      <c r="B779" s="12" t="s">
        <v>865</v>
      </c>
      <c r="C779" s="13" t="s">
        <v>1358</v>
      </c>
      <c r="D779" s="8" t="s">
        <v>1359</v>
      </c>
      <c r="E779" s="8" t="s">
        <v>1360</v>
      </c>
      <c r="F779" s="8" t="s">
        <v>1364</v>
      </c>
      <c r="G779" s="8" t="s">
        <v>1365</v>
      </c>
      <c r="H779" s="5" t="s">
        <v>35</v>
      </c>
      <c r="I779" s="16" t="s">
        <v>1463</v>
      </c>
      <c r="J779" s="8"/>
      <c r="K779" s="9" t="s">
        <v>2284</v>
      </c>
    </row>
    <row r="780" customFormat="false" ht="234.3" hidden="false" customHeight="false" outlineLevel="0" collapsed="false">
      <c r="A780" s="5" t="n">
        <v>775</v>
      </c>
      <c r="B780" s="12" t="s">
        <v>865</v>
      </c>
      <c r="C780" s="13" t="s">
        <v>1358</v>
      </c>
      <c r="D780" s="8" t="s">
        <v>1359</v>
      </c>
      <c r="E780" s="8" t="s">
        <v>1360</v>
      </c>
      <c r="F780" s="8" t="s">
        <v>1367</v>
      </c>
      <c r="G780" s="8" t="s">
        <v>1368</v>
      </c>
      <c r="H780" s="5" t="s">
        <v>35</v>
      </c>
      <c r="I780" s="16" t="s">
        <v>1463</v>
      </c>
      <c r="J780" s="8"/>
      <c r="K780" s="9" t="s">
        <v>2285</v>
      </c>
    </row>
    <row r="781" customFormat="false" ht="180.55" hidden="false" customHeight="false" outlineLevel="0" collapsed="false">
      <c r="A781" s="5" t="n">
        <v>776</v>
      </c>
      <c r="B781" s="12" t="s">
        <v>865</v>
      </c>
      <c r="C781" s="13" t="s">
        <v>1358</v>
      </c>
      <c r="D781" s="8" t="s">
        <v>1359</v>
      </c>
      <c r="E781" s="8" t="s">
        <v>1360</v>
      </c>
      <c r="F781" s="8" t="s">
        <v>1370</v>
      </c>
      <c r="G781" s="8" t="s">
        <v>1371</v>
      </c>
      <c r="H781" s="5" t="s">
        <v>35</v>
      </c>
      <c r="I781" s="16" t="s">
        <v>1463</v>
      </c>
      <c r="J781" s="8"/>
      <c r="K781" s="9" t="s">
        <v>2286</v>
      </c>
    </row>
    <row r="782" customFormat="false" ht="216.4" hidden="false" customHeight="false" outlineLevel="0" collapsed="false">
      <c r="A782" s="5" t="n">
        <v>777</v>
      </c>
      <c r="B782" s="12" t="s">
        <v>865</v>
      </c>
      <c r="C782" s="13" t="s">
        <v>1358</v>
      </c>
      <c r="D782" s="8" t="s">
        <v>1359</v>
      </c>
      <c r="E782" s="8" t="s">
        <v>1360</v>
      </c>
      <c r="F782" s="8" t="s">
        <v>1373</v>
      </c>
      <c r="G782" s="8" t="s">
        <v>1374</v>
      </c>
      <c r="H782" s="5" t="s">
        <v>35</v>
      </c>
      <c r="I782" s="16" t="s">
        <v>1463</v>
      </c>
      <c r="J782" s="8"/>
      <c r="K782" s="9" t="s">
        <v>2287</v>
      </c>
    </row>
    <row r="783" customFormat="false" ht="252.95" hidden="false" customHeight="false" outlineLevel="0" collapsed="false">
      <c r="A783" s="5" t="n">
        <v>778</v>
      </c>
      <c r="B783" s="14" t="s">
        <v>1376</v>
      </c>
      <c r="C783" s="15" t="s">
        <v>1377</v>
      </c>
      <c r="D783" s="8" t="s">
        <v>1378</v>
      </c>
      <c r="E783" s="8" t="s">
        <v>1379</v>
      </c>
      <c r="F783" s="8" t="s">
        <v>1380</v>
      </c>
      <c r="G783" s="8" t="s">
        <v>1381</v>
      </c>
      <c r="H783" s="5" t="s">
        <v>18</v>
      </c>
      <c r="I783" s="16" t="s">
        <v>1463</v>
      </c>
      <c r="J783" s="8"/>
      <c r="K783" s="9" t="s">
        <v>2288</v>
      </c>
    </row>
    <row r="784" customFormat="false" ht="180.55" hidden="false" customHeight="false" outlineLevel="0" collapsed="false">
      <c r="A784" s="5" t="n">
        <v>779</v>
      </c>
      <c r="B784" s="14" t="s">
        <v>1376</v>
      </c>
      <c r="C784" s="15" t="s">
        <v>1377</v>
      </c>
      <c r="D784" s="8" t="s">
        <v>1378</v>
      </c>
      <c r="E784" s="8" t="s">
        <v>1379</v>
      </c>
      <c r="F784" s="8" t="s">
        <v>1383</v>
      </c>
      <c r="G784" s="8" t="s">
        <v>1384</v>
      </c>
      <c r="H784" s="5" t="s">
        <v>22</v>
      </c>
      <c r="I784" s="16" t="s">
        <v>1463</v>
      </c>
      <c r="J784" s="8"/>
      <c r="K784" s="9" t="s">
        <v>2289</v>
      </c>
    </row>
    <row r="785" customFormat="false" ht="234.3" hidden="false" customHeight="false" outlineLevel="0" collapsed="false">
      <c r="A785" s="5" t="n">
        <v>780</v>
      </c>
      <c r="B785" s="14" t="s">
        <v>1376</v>
      </c>
      <c r="C785" s="15" t="s">
        <v>1377</v>
      </c>
      <c r="D785" s="8" t="s">
        <v>1378</v>
      </c>
      <c r="E785" s="8" t="s">
        <v>1379</v>
      </c>
      <c r="F785" s="8" t="s">
        <v>31</v>
      </c>
      <c r="G785" s="8" t="s">
        <v>32</v>
      </c>
      <c r="H785" s="5" t="s">
        <v>18</v>
      </c>
      <c r="I785" s="16" t="s">
        <v>1463</v>
      </c>
      <c r="J785" s="8"/>
      <c r="K785" s="9" t="s">
        <v>2290</v>
      </c>
    </row>
    <row r="786" customFormat="false" ht="270.85" hidden="false" customHeight="false" outlineLevel="0" collapsed="false">
      <c r="A786" s="5" t="n">
        <v>781</v>
      </c>
      <c r="B786" s="14" t="s">
        <v>1376</v>
      </c>
      <c r="C786" s="15" t="s">
        <v>1387</v>
      </c>
      <c r="D786" s="8" t="s">
        <v>1378</v>
      </c>
      <c r="E786" s="8" t="s">
        <v>1388</v>
      </c>
      <c r="F786" s="8" t="s">
        <v>1389</v>
      </c>
      <c r="G786" s="8" t="s">
        <v>1390</v>
      </c>
      <c r="H786" s="5" t="s">
        <v>18</v>
      </c>
      <c r="I786" s="16" t="s">
        <v>1463</v>
      </c>
      <c r="J786" s="8"/>
      <c r="K786" s="9" t="s">
        <v>2291</v>
      </c>
    </row>
    <row r="787" customFormat="false" ht="270.85" hidden="false" customHeight="false" outlineLevel="0" collapsed="false">
      <c r="A787" s="5" t="n">
        <v>782</v>
      </c>
      <c r="B787" s="14" t="s">
        <v>1376</v>
      </c>
      <c r="C787" s="15" t="s">
        <v>1387</v>
      </c>
      <c r="D787" s="8" t="s">
        <v>1378</v>
      </c>
      <c r="E787" s="8" t="s">
        <v>1388</v>
      </c>
      <c r="F787" s="8" t="s">
        <v>1392</v>
      </c>
      <c r="G787" s="8" t="s">
        <v>1393</v>
      </c>
      <c r="H787" s="5" t="s">
        <v>18</v>
      </c>
      <c r="I787" s="16" t="s">
        <v>1463</v>
      </c>
      <c r="J787" s="8"/>
      <c r="K787" s="9" t="s">
        <v>2292</v>
      </c>
    </row>
    <row r="788" customFormat="false" ht="279.85" hidden="false" customHeight="false" outlineLevel="0" collapsed="false">
      <c r="A788" s="5" t="n">
        <v>783</v>
      </c>
      <c r="B788" s="14" t="s">
        <v>1376</v>
      </c>
      <c r="C788" s="15" t="s">
        <v>1387</v>
      </c>
      <c r="D788" s="8" t="s">
        <v>1378</v>
      </c>
      <c r="E788" s="8" t="s">
        <v>1388</v>
      </c>
      <c r="F788" s="8" t="s">
        <v>1395</v>
      </c>
      <c r="G788" s="8" t="s">
        <v>1396</v>
      </c>
      <c r="H788" s="5" t="s">
        <v>18</v>
      </c>
      <c r="I788" s="16" t="s">
        <v>1463</v>
      </c>
      <c r="J788" s="8"/>
      <c r="K788" s="9" t="s">
        <v>2293</v>
      </c>
    </row>
    <row r="789" customFormat="false" ht="225.35" hidden="false" customHeight="false" outlineLevel="0" collapsed="false">
      <c r="A789" s="5" t="n">
        <v>784</v>
      </c>
      <c r="B789" s="14" t="s">
        <v>1376</v>
      </c>
      <c r="C789" s="15" t="s">
        <v>1387</v>
      </c>
      <c r="D789" s="8" t="s">
        <v>1378</v>
      </c>
      <c r="E789" s="8" t="s">
        <v>1388</v>
      </c>
      <c r="F789" s="8" t="s">
        <v>1398</v>
      </c>
      <c r="G789" s="8" t="s">
        <v>1399</v>
      </c>
      <c r="H789" s="5" t="s">
        <v>61</v>
      </c>
      <c r="I789" s="16" t="s">
        <v>1463</v>
      </c>
      <c r="J789" s="8"/>
      <c r="K789" s="9" t="s">
        <v>2294</v>
      </c>
    </row>
    <row r="790" customFormat="false" ht="225.35" hidden="false" customHeight="false" outlineLevel="0" collapsed="false">
      <c r="A790" s="5" t="n">
        <v>785</v>
      </c>
      <c r="B790" s="14" t="s">
        <v>1376</v>
      </c>
      <c r="C790" s="15" t="s">
        <v>1387</v>
      </c>
      <c r="D790" s="8" t="s">
        <v>1378</v>
      </c>
      <c r="E790" s="8" t="s">
        <v>1388</v>
      </c>
      <c r="F790" s="8" t="s">
        <v>1401</v>
      </c>
      <c r="G790" s="8" t="s">
        <v>1402</v>
      </c>
      <c r="H790" s="5" t="s">
        <v>61</v>
      </c>
      <c r="I790" s="16" t="s">
        <v>1463</v>
      </c>
      <c r="J790" s="8"/>
      <c r="K790" s="9" t="s">
        <v>2295</v>
      </c>
    </row>
    <row r="791" customFormat="false" ht="216.4" hidden="false" customHeight="false" outlineLevel="0" collapsed="false">
      <c r="A791" s="5" t="n">
        <v>786</v>
      </c>
      <c r="B791" s="14" t="s">
        <v>1376</v>
      </c>
      <c r="C791" s="15" t="s">
        <v>1387</v>
      </c>
      <c r="D791" s="8" t="s">
        <v>1378</v>
      </c>
      <c r="E791" s="8" t="s">
        <v>1388</v>
      </c>
      <c r="F791" s="8" t="s">
        <v>1404</v>
      </c>
      <c r="G791" s="8" t="s">
        <v>1405</v>
      </c>
      <c r="H791" s="5" t="s">
        <v>18</v>
      </c>
      <c r="I791" s="16" t="s">
        <v>1463</v>
      </c>
      <c r="J791" s="8"/>
      <c r="K791" s="9" t="s">
        <v>2296</v>
      </c>
    </row>
    <row r="792" customFormat="false" ht="162.65" hidden="false" customHeight="false" outlineLevel="0" collapsed="false">
      <c r="A792" s="5" t="n">
        <v>787</v>
      </c>
      <c r="B792" s="14" t="s">
        <v>1376</v>
      </c>
      <c r="C792" s="15" t="s">
        <v>1407</v>
      </c>
      <c r="D792" s="8" t="s">
        <v>1378</v>
      </c>
      <c r="E792" s="8" t="s">
        <v>1408</v>
      </c>
      <c r="F792" s="8" t="s">
        <v>1409</v>
      </c>
      <c r="G792" s="8" t="s">
        <v>1410</v>
      </c>
      <c r="H792" s="5" t="s">
        <v>22</v>
      </c>
      <c r="I792" s="16" t="s">
        <v>1463</v>
      </c>
      <c r="J792" s="8"/>
      <c r="K792" s="9" t="s">
        <v>2297</v>
      </c>
    </row>
    <row r="793" customFormat="false" ht="207.45" hidden="false" customHeight="false" outlineLevel="0" collapsed="false">
      <c r="A793" s="5" t="n">
        <v>788</v>
      </c>
      <c r="B793" s="14" t="s">
        <v>1376</v>
      </c>
      <c r="C793" s="15" t="s">
        <v>1407</v>
      </c>
      <c r="D793" s="8" t="s">
        <v>1378</v>
      </c>
      <c r="E793" s="8" t="s">
        <v>1408</v>
      </c>
      <c r="F793" s="8" t="s">
        <v>1412</v>
      </c>
      <c r="G793" s="8" t="s">
        <v>1413</v>
      </c>
      <c r="H793" s="5" t="s">
        <v>18</v>
      </c>
      <c r="I793" s="16" t="s">
        <v>1463</v>
      </c>
      <c r="J793" s="8"/>
      <c r="K793" s="9" t="s">
        <v>2298</v>
      </c>
    </row>
    <row r="794" customFormat="false" ht="261.9" hidden="false" customHeight="false" outlineLevel="0" collapsed="false">
      <c r="A794" s="5" t="n">
        <v>789</v>
      </c>
      <c r="B794" s="14" t="s">
        <v>1376</v>
      </c>
      <c r="C794" s="15" t="s">
        <v>1407</v>
      </c>
      <c r="D794" s="8" t="s">
        <v>1378</v>
      </c>
      <c r="E794" s="8" t="s">
        <v>1408</v>
      </c>
      <c r="F794" s="8" t="s">
        <v>1415</v>
      </c>
      <c r="G794" s="8" t="s">
        <v>1416</v>
      </c>
      <c r="H794" s="5" t="s">
        <v>57</v>
      </c>
      <c r="I794" s="16" t="s">
        <v>1463</v>
      </c>
      <c r="J794" s="8"/>
      <c r="K794" s="9" t="s">
        <v>2299</v>
      </c>
    </row>
    <row r="795" customFormat="false" ht="198.5" hidden="false" customHeight="false" outlineLevel="0" collapsed="false">
      <c r="A795" s="5" t="n">
        <v>790</v>
      </c>
      <c r="B795" s="14" t="s">
        <v>1376</v>
      </c>
      <c r="C795" s="15" t="s">
        <v>1407</v>
      </c>
      <c r="D795" s="8" t="s">
        <v>1378</v>
      </c>
      <c r="E795" s="8" t="s">
        <v>1408</v>
      </c>
      <c r="F795" s="8" t="s">
        <v>1418</v>
      </c>
      <c r="G795" s="8" t="s">
        <v>1419</v>
      </c>
      <c r="H795" s="5" t="s">
        <v>57</v>
      </c>
      <c r="I795" s="16" t="s">
        <v>1463</v>
      </c>
      <c r="J795" s="8"/>
      <c r="K795" s="9" t="s">
        <v>2300</v>
      </c>
    </row>
    <row r="796" customFormat="false" ht="252.95" hidden="false" customHeight="false" outlineLevel="0" collapsed="false">
      <c r="A796" s="5" t="n">
        <v>791</v>
      </c>
      <c r="B796" s="14" t="s">
        <v>1376</v>
      </c>
      <c r="C796" s="15" t="s">
        <v>1407</v>
      </c>
      <c r="D796" s="8" t="s">
        <v>1378</v>
      </c>
      <c r="E796" s="8" t="s">
        <v>1408</v>
      </c>
      <c r="F796" s="8" t="s">
        <v>1421</v>
      </c>
      <c r="G796" s="8" t="s">
        <v>1422</v>
      </c>
      <c r="H796" s="5" t="s">
        <v>35</v>
      </c>
      <c r="I796" s="16" t="s">
        <v>1463</v>
      </c>
      <c r="J796" s="8"/>
      <c r="K796" s="9" t="s">
        <v>2301</v>
      </c>
    </row>
    <row r="797" customFormat="false" ht="270.85" hidden="false" customHeight="false" outlineLevel="0" collapsed="false">
      <c r="A797" s="5" t="n">
        <v>792</v>
      </c>
      <c r="B797" s="14" t="s">
        <v>1376</v>
      </c>
      <c r="C797" s="15" t="s">
        <v>1424</v>
      </c>
      <c r="D797" s="8" t="s">
        <v>1378</v>
      </c>
      <c r="E797" s="8" t="s">
        <v>1425</v>
      </c>
      <c r="F797" s="8" t="s">
        <v>1426</v>
      </c>
      <c r="G797" s="8" t="s">
        <v>1427</v>
      </c>
      <c r="H797" s="5" t="s">
        <v>61</v>
      </c>
      <c r="I797" s="16" t="s">
        <v>1463</v>
      </c>
      <c r="J797" s="8"/>
      <c r="K797" s="9" t="s">
        <v>2302</v>
      </c>
    </row>
    <row r="798" customFormat="false" ht="244" hidden="false" customHeight="false" outlineLevel="0" collapsed="false">
      <c r="A798" s="5" t="n">
        <v>793</v>
      </c>
      <c r="B798" s="14" t="s">
        <v>1376</v>
      </c>
      <c r="C798" s="15" t="s">
        <v>1424</v>
      </c>
      <c r="D798" s="8" t="s">
        <v>1378</v>
      </c>
      <c r="E798" s="8" t="s">
        <v>1425</v>
      </c>
      <c r="F798" s="8" t="s">
        <v>1429</v>
      </c>
      <c r="G798" s="8" t="s">
        <v>1430</v>
      </c>
      <c r="H798" s="5" t="s">
        <v>57</v>
      </c>
      <c r="I798" s="16" t="s">
        <v>1463</v>
      </c>
      <c r="J798" s="8"/>
      <c r="K798" s="9" t="s">
        <v>2303</v>
      </c>
    </row>
    <row r="799" customFormat="false" ht="225.35" hidden="false" customHeight="false" outlineLevel="0" collapsed="false">
      <c r="A799" s="5" t="n">
        <v>794</v>
      </c>
      <c r="B799" s="14" t="s">
        <v>1376</v>
      </c>
      <c r="C799" s="15" t="s">
        <v>1424</v>
      </c>
      <c r="D799" s="8" t="s">
        <v>1378</v>
      </c>
      <c r="E799" s="8" t="s">
        <v>1425</v>
      </c>
      <c r="F799" s="8" t="s">
        <v>556</v>
      </c>
      <c r="G799" s="8" t="s">
        <v>557</v>
      </c>
      <c r="H799" s="5" t="s">
        <v>61</v>
      </c>
      <c r="I799" s="16" t="s">
        <v>1463</v>
      </c>
      <c r="J799" s="8"/>
      <c r="K799" s="9" t="s">
        <v>2304</v>
      </c>
    </row>
    <row r="800" customFormat="false" ht="252.95" hidden="false" customHeight="false" outlineLevel="0" collapsed="false">
      <c r="A800" s="5" t="n">
        <v>795</v>
      </c>
      <c r="B800" s="14" t="s">
        <v>1376</v>
      </c>
      <c r="C800" s="15" t="s">
        <v>1424</v>
      </c>
      <c r="D800" s="8" t="s">
        <v>1378</v>
      </c>
      <c r="E800" s="8" t="s">
        <v>1425</v>
      </c>
      <c r="F800" s="8" t="s">
        <v>1433</v>
      </c>
      <c r="G800" s="8" t="s">
        <v>1434</v>
      </c>
      <c r="H800" s="5" t="s">
        <v>18</v>
      </c>
      <c r="I800" s="16" t="s">
        <v>1463</v>
      </c>
      <c r="J800" s="8"/>
      <c r="K800" s="9" t="s">
        <v>2305</v>
      </c>
    </row>
    <row r="801" customFormat="false" ht="189.55" hidden="false" customHeight="false" outlineLevel="0" collapsed="false">
      <c r="A801" s="5" t="n">
        <v>796</v>
      </c>
      <c r="B801" s="14" t="s">
        <v>1376</v>
      </c>
      <c r="C801" s="15" t="s">
        <v>1436</v>
      </c>
      <c r="D801" s="8" t="s">
        <v>1378</v>
      </c>
      <c r="E801" s="8" t="s">
        <v>1437</v>
      </c>
      <c r="F801" s="8" t="s">
        <v>1438</v>
      </c>
      <c r="G801" s="8" t="s">
        <v>1439</v>
      </c>
      <c r="H801" s="5" t="s">
        <v>57</v>
      </c>
      <c r="I801" s="16" t="s">
        <v>1463</v>
      </c>
      <c r="J801" s="8"/>
      <c r="K801" s="9" t="s">
        <v>2306</v>
      </c>
    </row>
    <row r="802" customFormat="false" ht="171.6" hidden="false" customHeight="false" outlineLevel="0" collapsed="false">
      <c r="A802" s="5" t="n">
        <v>797</v>
      </c>
      <c r="B802" s="14" t="s">
        <v>1376</v>
      </c>
      <c r="C802" s="15" t="s">
        <v>1436</v>
      </c>
      <c r="D802" s="8" t="s">
        <v>1378</v>
      </c>
      <c r="E802" s="8" t="s">
        <v>1437</v>
      </c>
      <c r="F802" s="8" t="s">
        <v>1441</v>
      </c>
      <c r="G802" s="8" t="s">
        <v>1442</v>
      </c>
      <c r="H802" s="5" t="s">
        <v>57</v>
      </c>
      <c r="I802" s="16" t="s">
        <v>1463</v>
      </c>
      <c r="J802" s="8"/>
      <c r="K802" s="9" t="s">
        <v>2307</v>
      </c>
    </row>
    <row r="803" customFormat="false" ht="162.65" hidden="false" customHeight="false" outlineLevel="0" collapsed="false">
      <c r="A803" s="5" t="n">
        <v>798</v>
      </c>
      <c r="B803" s="14" t="s">
        <v>1376</v>
      </c>
      <c r="C803" s="15" t="s">
        <v>1436</v>
      </c>
      <c r="D803" s="8" t="s">
        <v>1378</v>
      </c>
      <c r="E803" s="8" t="s">
        <v>1437</v>
      </c>
      <c r="F803" s="8" t="s">
        <v>1444</v>
      </c>
      <c r="G803" s="8" t="s">
        <v>1445</v>
      </c>
      <c r="H803" s="5" t="s">
        <v>57</v>
      </c>
      <c r="I803" s="16" t="s">
        <v>1463</v>
      </c>
      <c r="J803" s="8"/>
      <c r="K803" s="9" t="s">
        <v>2308</v>
      </c>
    </row>
    <row r="804" customFormat="false" ht="225.35" hidden="false" customHeight="false" outlineLevel="0" collapsed="false">
      <c r="A804" s="5" t="n">
        <v>799</v>
      </c>
      <c r="B804" s="14" t="s">
        <v>1376</v>
      </c>
      <c r="C804" s="15" t="s">
        <v>1436</v>
      </c>
      <c r="D804" s="8" t="s">
        <v>1378</v>
      </c>
      <c r="E804" s="8" t="s">
        <v>1437</v>
      </c>
      <c r="F804" s="8" t="s">
        <v>1447</v>
      </c>
      <c r="G804" s="8" t="s">
        <v>1448</v>
      </c>
      <c r="H804" s="5" t="s">
        <v>18</v>
      </c>
      <c r="I804" s="16" t="s">
        <v>1463</v>
      </c>
      <c r="J804" s="8"/>
      <c r="K804" s="9" t="s">
        <v>2309</v>
      </c>
    </row>
    <row r="805" customFormat="false" ht="216.4" hidden="false" customHeight="false" outlineLevel="0" collapsed="false">
      <c r="A805" s="5" t="n">
        <v>800</v>
      </c>
      <c r="B805" s="14" t="s">
        <v>1376</v>
      </c>
      <c r="C805" s="15" t="s">
        <v>1436</v>
      </c>
      <c r="D805" s="8" t="s">
        <v>1378</v>
      </c>
      <c r="E805" s="8" t="s">
        <v>1437</v>
      </c>
      <c r="F805" s="8" t="s">
        <v>1450</v>
      </c>
      <c r="G805" s="8" t="s">
        <v>1451</v>
      </c>
      <c r="H805" s="5" t="s">
        <v>57</v>
      </c>
      <c r="I805" s="16" t="s">
        <v>1463</v>
      </c>
      <c r="J805" s="8"/>
      <c r="K805" s="9" t="s">
        <v>2310</v>
      </c>
    </row>
    <row r="806" customFormat="false" ht="252.95" hidden="false" customHeight="false" outlineLevel="0" collapsed="false">
      <c r="A806" s="5" t="n">
        <v>801</v>
      </c>
      <c r="B806" s="14" t="s">
        <v>1376</v>
      </c>
      <c r="C806" s="15" t="s">
        <v>1436</v>
      </c>
      <c r="D806" s="8" t="s">
        <v>1378</v>
      </c>
      <c r="E806" s="8" t="s">
        <v>1437</v>
      </c>
      <c r="F806" s="8" t="s">
        <v>1453</v>
      </c>
      <c r="G806" s="8" t="s">
        <v>1454</v>
      </c>
      <c r="H806" s="5" t="s">
        <v>35</v>
      </c>
      <c r="I806" s="16" t="s">
        <v>1463</v>
      </c>
      <c r="J806" s="8"/>
      <c r="K806" s="9" t="s">
        <v>2311</v>
      </c>
    </row>
    <row r="807" customFormat="false" ht="171.6" hidden="false" customHeight="false" outlineLevel="0" collapsed="false">
      <c r="A807" s="5" t="n">
        <v>802</v>
      </c>
      <c r="B807" s="10" t="s">
        <v>348</v>
      </c>
      <c r="C807" s="11" t="s">
        <v>716</v>
      </c>
      <c r="D807" s="8" t="s">
        <v>717</v>
      </c>
      <c r="E807" s="8" t="s">
        <v>723</v>
      </c>
      <c r="F807" s="8" t="s">
        <v>723</v>
      </c>
      <c r="G807" s="8" t="s">
        <v>2312</v>
      </c>
      <c r="H807" s="5" t="s">
        <v>18</v>
      </c>
      <c r="I807" s="17" t="s">
        <v>1480</v>
      </c>
      <c r="J807" s="18" t="n">
        <v>14.96</v>
      </c>
      <c r="K807" s="9" t="s">
        <v>2313</v>
      </c>
    </row>
    <row r="808" customFormat="false" ht="162.65" hidden="false" customHeight="false" outlineLevel="0" collapsed="false">
      <c r="A808" s="5" t="n">
        <v>803</v>
      </c>
      <c r="B808" s="10" t="s">
        <v>348</v>
      </c>
      <c r="C808" s="11" t="s">
        <v>691</v>
      </c>
      <c r="D808" s="8" t="s">
        <v>692</v>
      </c>
      <c r="E808" s="8" t="s">
        <v>698</v>
      </c>
      <c r="F808" s="8" t="s">
        <v>698</v>
      </c>
      <c r="G808" s="8" t="s">
        <v>2314</v>
      </c>
      <c r="H808" s="5" t="s">
        <v>18</v>
      </c>
      <c r="I808" s="17" t="s">
        <v>1480</v>
      </c>
      <c r="J808" s="18" t="n">
        <v>18.4</v>
      </c>
      <c r="K808" s="9" t="s">
        <v>2315</v>
      </c>
    </row>
  </sheetData>
  <autoFilter ref="A5:J80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56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true" outlineLevel="0" max="15" min="13" style="0" width="3"/>
  </cols>
  <sheetData>
    <row r="1" customFormat="false" ht="17.35" hidden="false" customHeight="false" outlineLevel="0" collapsed="false">
      <c r="A1" s="19" t="s">
        <v>2316</v>
      </c>
    </row>
    <row r="2" customFormat="false" ht="15" hidden="false" customHeight="false" outlineLevel="0" collapsed="false">
      <c r="A2" s="2" t="s">
        <v>2317</v>
      </c>
    </row>
    <row r="4" customFormat="false" ht="23.85" hidden="false" customHeight="false" outlineLevel="0" collapsed="false">
      <c r="A4" s="4" t="s">
        <v>3</v>
      </c>
      <c r="B4" s="4" t="s">
        <v>4</v>
      </c>
      <c r="C4" s="4" t="s">
        <v>6</v>
      </c>
      <c r="D4" s="4" t="s">
        <v>7</v>
      </c>
      <c r="E4" s="4" t="s">
        <v>8</v>
      </c>
      <c r="F4" s="4" t="s">
        <v>2318</v>
      </c>
      <c r="G4" s="4" t="s">
        <v>5</v>
      </c>
      <c r="H4" s="4" t="s">
        <v>1460</v>
      </c>
      <c r="I4" s="4" t="s">
        <v>2319</v>
      </c>
      <c r="J4" s="4" t="s">
        <v>1461</v>
      </c>
      <c r="K4" s="4" t="s">
        <v>1462</v>
      </c>
      <c r="L4" s="4" t="s">
        <v>2320</v>
      </c>
      <c r="M4" s="4" t="s">
        <v>2321</v>
      </c>
      <c r="N4" s="4" t="s">
        <v>2322</v>
      </c>
      <c r="O4" s="4" t="s">
        <v>2323</v>
      </c>
    </row>
    <row r="5" customFormat="false" ht="15" hidden="false" customHeight="false" outlineLevel="0" collapsed="false">
      <c r="A5" s="5" t="str">
        <f aca="false">IF($C5="","",ROW()-4)</f>
        <v/>
      </c>
      <c r="B5" s="20"/>
      <c r="C5" s="20"/>
      <c r="D5" s="20"/>
      <c r="E5" s="20"/>
      <c r="F5" s="20"/>
      <c r="G5" s="21" t="str">
        <f aca="false">IFERROR(INDEX('Description Library'!$C$6:$C$808,MATCH($C5&amp;"|"&amp;$D5&amp;"|"&amp;$E5&amp;"|"&amp;$F5,'Description Library'!$K$6:$K$808,0)),"")</f>
        <v/>
      </c>
      <c r="H5" s="5" t="str">
        <f aca="false">IFERROR(INDEX('Description Library'!$H$6:$H$808,MATCH($C5&amp;"|"&amp;$D5&amp;"|"&amp;$E5&amp;"|"&amp;$F5,'Description Library'!$K$6:$K$808,0)),"")</f>
        <v/>
      </c>
      <c r="I5" s="22"/>
      <c r="J5" s="5" t="str">
        <f aca="false">IFERROR(INDEX('Description Library'!$I$6:$I$808,MATCH($C5&amp;"|"&amp;$D5&amp;"|"&amp;$E5&amp;"|"&amp;$F5,'Description Library'!$K$6:$K$808,0)),"")</f>
        <v/>
      </c>
      <c r="K5" s="18" t="str">
        <f aca="false">IFERROR(INDEX('Description Library'!$J$6:$J$808,MATCH($C5&amp;"|"&amp;$D5&amp;"|"&amp;$E5&amp;"|"&amp;$F5,'Description Library'!$K$6:$K$808,0)),"")</f>
        <v/>
      </c>
      <c r="L5" s="23" t="str">
        <f aca="false">IF(OR($I5="",$K5=""),"",$I5*$K5)</f>
        <v/>
      </c>
      <c r="M5" s="24" t="str">
        <f aca="false">IFERROR(VLOOKUP($C5,MAP_SEC,2,0),"L_SECTION")</f>
        <v>L_SECTION</v>
      </c>
      <c r="N5" s="24" t="str">
        <f aca="false">IFERROR(VLOOKUP($C5&amp;"|"&amp;$D5,MAP_SUB,2,0),"L_SECTION")</f>
        <v>L_SECTION</v>
      </c>
      <c r="O5" s="24" t="str">
        <f aca="false">IFERROR(VLOOKUP($C5&amp;"|"&amp;$D5&amp;"|"&amp;$E5,MAP_SE,2,0),"L_SECTION")</f>
        <v>L_SECTION</v>
      </c>
    </row>
    <row r="6" customFormat="false" ht="15" hidden="false" customHeight="false" outlineLevel="0" collapsed="false">
      <c r="A6" s="5" t="str">
        <f aca="false">IF($C6="","",ROW()-4)</f>
        <v/>
      </c>
      <c r="B6" s="20"/>
      <c r="C6" s="20"/>
      <c r="D6" s="20"/>
      <c r="E6" s="20"/>
      <c r="F6" s="20"/>
      <c r="G6" s="21" t="str">
        <f aca="false">IFERROR(INDEX('Description Library'!$C$6:$C$808,MATCH($C6&amp;"|"&amp;$D6&amp;"|"&amp;$E6&amp;"|"&amp;$F6,'Description Library'!$K$6:$K$808,0)),"")</f>
        <v/>
      </c>
      <c r="H6" s="5" t="str">
        <f aca="false">IFERROR(INDEX('Description Library'!$H$6:$H$808,MATCH($C6&amp;"|"&amp;$D6&amp;"|"&amp;$E6&amp;"|"&amp;$F6,'Description Library'!$K$6:$K$808,0)),"")</f>
        <v/>
      </c>
      <c r="I6" s="22"/>
      <c r="J6" s="5" t="str">
        <f aca="false">IFERROR(INDEX('Description Library'!$I$6:$I$808,MATCH($C6&amp;"|"&amp;$D6&amp;"|"&amp;$E6&amp;"|"&amp;$F6,'Description Library'!$K$6:$K$808,0)),"")</f>
        <v/>
      </c>
      <c r="K6" s="18" t="str">
        <f aca="false">IFERROR(INDEX('Description Library'!$J$6:$J$808,MATCH($C6&amp;"|"&amp;$D6&amp;"|"&amp;$E6&amp;"|"&amp;$F6,'Description Library'!$K$6:$K$808,0)),"")</f>
        <v/>
      </c>
      <c r="L6" s="23" t="str">
        <f aca="false">IF(OR($I6="",$K6=""),"",$I6*$K6)</f>
        <v/>
      </c>
      <c r="M6" s="24" t="str">
        <f aca="false">IFERROR(VLOOKUP($C6,MAP_SEC,2,0),"L_SECTION")</f>
        <v>L_SECTION</v>
      </c>
      <c r="N6" s="24" t="str">
        <f aca="false">IFERROR(VLOOKUP($C6&amp;"|"&amp;$D6,MAP_SUB,2,0),"L_SECTION")</f>
        <v>L_SECTION</v>
      </c>
      <c r="O6" s="24" t="str">
        <f aca="false">IFERROR(VLOOKUP($C6&amp;"|"&amp;$D6&amp;"|"&amp;$E6,MAP_SE,2,0),"L_SECTION")</f>
        <v>L_SECTION</v>
      </c>
    </row>
    <row r="7" customFormat="false" ht="15" hidden="false" customHeight="false" outlineLevel="0" collapsed="false">
      <c r="A7" s="5" t="str">
        <f aca="false">IF($C7="","",ROW()-4)</f>
        <v/>
      </c>
      <c r="B7" s="20"/>
      <c r="C7" s="20"/>
      <c r="D7" s="20"/>
      <c r="E7" s="20"/>
      <c r="F7" s="20"/>
      <c r="G7" s="21" t="str">
        <f aca="false">IFERROR(INDEX('Description Library'!$C$6:$C$808,MATCH($C7&amp;"|"&amp;$D7&amp;"|"&amp;$E7&amp;"|"&amp;$F7,'Description Library'!$K$6:$K$808,0)),"")</f>
        <v/>
      </c>
      <c r="H7" s="5" t="str">
        <f aca="false">IFERROR(INDEX('Description Library'!$H$6:$H$808,MATCH($C7&amp;"|"&amp;$D7&amp;"|"&amp;$E7&amp;"|"&amp;$F7,'Description Library'!$K$6:$K$808,0)),"")</f>
        <v/>
      </c>
      <c r="I7" s="22"/>
      <c r="J7" s="5" t="str">
        <f aca="false">IFERROR(INDEX('Description Library'!$I$6:$I$808,MATCH($C7&amp;"|"&amp;$D7&amp;"|"&amp;$E7&amp;"|"&amp;$F7,'Description Library'!$K$6:$K$808,0)),"")</f>
        <v/>
      </c>
      <c r="K7" s="18" t="str">
        <f aca="false">IFERROR(INDEX('Description Library'!$J$6:$J$808,MATCH($C7&amp;"|"&amp;$D7&amp;"|"&amp;$E7&amp;"|"&amp;$F7,'Description Library'!$K$6:$K$808,0)),"")</f>
        <v/>
      </c>
      <c r="L7" s="23" t="str">
        <f aca="false">IF(OR($I7="",$K7=""),"",$I7*$K7)</f>
        <v/>
      </c>
      <c r="M7" s="24" t="str">
        <f aca="false">IFERROR(VLOOKUP($C7,MAP_SEC,2,0),"L_SECTION")</f>
        <v>L_SECTION</v>
      </c>
      <c r="N7" s="24" t="str">
        <f aca="false">IFERROR(VLOOKUP($C7&amp;"|"&amp;$D7,MAP_SUB,2,0),"L_SECTION")</f>
        <v>L_SECTION</v>
      </c>
      <c r="O7" s="24" t="str">
        <f aca="false">IFERROR(VLOOKUP($C7&amp;"|"&amp;$D7&amp;"|"&amp;$E7,MAP_SE,2,0),"L_SECTION")</f>
        <v>L_SECTION</v>
      </c>
    </row>
    <row r="8" customFormat="false" ht="15" hidden="false" customHeight="false" outlineLevel="0" collapsed="false">
      <c r="A8" s="5" t="str">
        <f aca="false">IF($C8="","",ROW()-4)</f>
        <v/>
      </c>
      <c r="B8" s="20"/>
      <c r="C8" s="20"/>
      <c r="D8" s="20"/>
      <c r="E8" s="20"/>
      <c r="F8" s="20"/>
      <c r="G8" s="21" t="str">
        <f aca="false">IFERROR(INDEX('Description Library'!$C$6:$C$808,MATCH($C8&amp;"|"&amp;$D8&amp;"|"&amp;$E8&amp;"|"&amp;$F8,'Description Library'!$K$6:$K$808,0)),"")</f>
        <v/>
      </c>
      <c r="H8" s="5" t="str">
        <f aca="false">IFERROR(INDEX('Description Library'!$H$6:$H$808,MATCH($C8&amp;"|"&amp;$D8&amp;"|"&amp;$E8&amp;"|"&amp;$F8,'Description Library'!$K$6:$K$808,0)),"")</f>
        <v/>
      </c>
      <c r="I8" s="22"/>
      <c r="J8" s="5" t="str">
        <f aca="false">IFERROR(INDEX('Description Library'!$I$6:$I$808,MATCH($C8&amp;"|"&amp;$D8&amp;"|"&amp;$E8&amp;"|"&amp;$F8,'Description Library'!$K$6:$K$808,0)),"")</f>
        <v/>
      </c>
      <c r="K8" s="18" t="str">
        <f aca="false">IFERROR(INDEX('Description Library'!$J$6:$J$808,MATCH($C8&amp;"|"&amp;$D8&amp;"|"&amp;$E8&amp;"|"&amp;$F8,'Description Library'!$K$6:$K$808,0)),"")</f>
        <v/>
      </c>
      <c r="L8" s="23" t="str">
        <f aca="false">IF(OR($I8="",$K8=""),"",$I8*$K8)</f>
        <v/>
      </c>
      <c r="M8" s="24" t="str">
        <f aca="false">IFERROR(VLOOKUP($C8,MAP_SEC,2,0),"L_SECTION")</f>
        <v>L_SECTION</v>
      </c>
      <c r="N8" s="24" t="str">
        <f aca="false">IFERROR(VLOOKUP($C8&amp;"|"&amp;$D8,MAP_SUB,2,0),"L_SECTION")</f>
        <v>L_SECTION</v>
      </c>
      <c r="O8" s="24" t="str">
        <f aca="false">IFERROR(VLOOKUP($C8&amp;"|"&amp;$D8&amp;"|"&amp;$E8,MAP_SE,2,0),"L_SECTION")</f>
        <v>L_SECTION</v>
      </c>
    </row>
    <row r="9" customFormat="false" ht="15" hidden="false" customHeight="false" outlineLevel="0" collapsed="false">
      <c r="A9" s="5" t="str">
        <f aca="false">IF($C9="","",ROW()-4)</f>
        <v/>
      </c>
      <c r="B9" s="20"/>
      <c r="C9" s="20"/>
      <c r="D9" s="20"/>
      <c r="E9" s="20"/>
      <c r="F9" s="20"/>
      <c r="G9" s="21" t="str">
        <f aca="false">IFERROR(INDEX('Description Library'!$C$6:$C$808,MATCH($C9&amp;"|"&amp;$D9&amp;"|"&amp;$E9&amp;"|"&amp;$F9,'Description Library'!$K$6:$K$808,0)),"")</f>
        <v/>
      </c>
      <c r="H9" s="5" t="str">
        <f aca="false">IFERROR(INDEX('Description Library'!$H$6:$H$808,MATCH($C9&amp;"|"&amp;$D9&amp;"|"&amp;$E9&amp;"|"&amp;$F9,'Description Library'!$K$6:$K$808,0)),"")</f>
        <v/>
      </c>
      <c r="I9" s="22"/>
      <c r="J9" s="5" t="str">
        <f aca="false">IFERROR(INDEX('Description Library'!$I$6:$I$808,MATCH($C9&amp;"|"&amp;$D9&amp;"|"&amp;$E9&amp;"|"&amp;$F9,'Description Library'!$K$6:$K$808,0)),"")</f>
        <v/>
      </c>
      <c r="K9" s="18" t="str">
        <f aca="false">IFERROR(INDEX('Description Library'!$J$6:$J$808,MATCH($C9&amp;"|"&amp;$D9&amp;"|"&amp;$E9&amp;"|"&amp;$F9,'Description Library'!$K$6:$K$808,0)),"")</f>
        <v/>
      </c>
      <c r="L9" s="23" t="str">
        <f aca="false">IF(OR($I9="",$K9=""),"",$I9*$K9)</f>
        <v/>
      </c>
      <c r="M9" s="24" t="str">
        <f aca="false">IFERROR(VLOOKUP($C9,MAP_SEC,2,0),"L_SECTION")</f>
        <v>L_SECTION</v>
      </c>
      <c r="N9" s="24" t="str">
        <f aca="false">IFERROR(VLOOKUP($C9&amp;"|"&amp;$D9,MAP_SUB,2,0),"L_SECTION")</f>
        <v>L_SECTION</v>
      </c>
      <c r="O9" s="24" t="str">
        <f aca="false">IFERROR(VLOOKUP($C9&amp;"|"&amp;$D9&amp;"|"&amp;$E9,MAP_SE,2,0),"L_SECTION")</f>
        <v>L_SECTION</v>
      </c>
    </row>
    <row r="10" customFormat="false" ht="15" hidden="false" customHeight="false" outlineLevel="0" collapsed="false">
      <c r="A10" s="5" t="str">
        <f aca="false">IF($C10="","",ROW()-4)</f>
        <v/>
      </c>
      <c r="B10" s="20"/>
      <c r="C10" s="20"/>
      <c r="D10" s="20"/>
      <c r="E10" s="20"/>
      <c r="F10" s="20"/>
      <c r="G10" s="21" t="str">
        <f aca="false">IFERROR(INDEX('Description Library'!$C$6:$C$808,MATCH($C10&amp;"|"&amp;$D10&amp;"|"&amp;$E10&amp;"|"&amp;$F10,'Description Library'!$K$6:$K$808,0)),"")</f>
        <v/>
      </c>
      <c r="H10" s="5" t="str">
        <f aca="false">IFERROR(INDEX('Description Library'!$H$6:$H$808,MATCH($C10&amp;"|"&amp;$D10&amp;"|"&amp;$E10&amp;"|"&amp;$F10,'Description Library'!$K$6:$K$808,0)),"")</f>
        <v/>
      </c>
      <c r="I10" s="22"/>
      <c r="J10" s="5" t="str">
        <f aca="false">IFERROR(INDEX('Description Library'!$I$6:$I$808,MATCH($C10&amp;"|"&amp;$D10&amp;"|"&amp;$E10&amp;"|"&amp;$F10,'Description Library'!$K$6:$K$808,0)),"")</f>
        <v/>
      </c>
      <c r="K10" s="18" t="str">
        <f aca="false">IFERROR(INDEX('Description Library'!$J$6:$J$808,MATCH($C10&amp;"|"&amp;$D10&amp;"|"&amp;$E10&amp;"|"&amp;$F10,'Description Library'!$K$6:$K$808,0)),"")</f>
        <v/>
      </c>
      <c r="L10" s="23" t="str">
        <f aca="false">IF(OR($I10="",$K10=""),"",$I10*$K10)</f>
        <v/>
      </c>
      <c r="M10" s="24" t="str">
        <f aca="false">IFERROR(VLOOKUP($C10,MAP_SEC,2,0),"L_SECTION")</f>
        <v>L_SECTION</v>
      </c>
      <c r="N10" s="24" t="str">
        <f aca="false">IFERROR(VLOOKUP($C10&amp;"|"&amp;$D10,MAP_SUB,2,0),"L_SECTION")</f>
        <v>L_SECTION</v>
      </c>
      <c r="O10" s="24" t="str">
        <f aca="false">IFERROR(VLOOKUP($C10&amp;"|"&amp;$D10&amp;"|"&amp;$E10,MAP_SE,2,0),"L_SECTION")</f>
        <v>L_SECTION</v>
      </c>
    </row>
    <row r="11" customFormat="false" ht="15" hidden="false" customHeight="false" outlineLevel="0" collapsed="false">
      <c r="A11" s="5" t="str">
        <f aca="false">IF($C11="","",ROW()-4)</f>
        <v/>
      </c>
      <c r="B11" s="20"/>
      <c r="C11" s="20"/>
      <c r="D11" s="20"/>
      <c r="E11" s="20"/>
      <c r="F11" s="20"/>
      <c r="G11" s="21" t="str">
        <f aca="false">IFERROR(INDEX('Description Library'!$C$6:$C$808,MATCH($C11&amp;"|"&amp;$D11&amp;"|"&amp;$E11&amp;"|"&amp;$F11,'Description Library'!$K$6:$K$808,0)),"")</f>
        <v/>
      </c>
      <c r="H11" s="5" t="str">
        <f aca="false">IFERROR(INDEX('Description Library'!$H$6:$H$808,MATCH($C11&amp;"|"&amp;$D11&amp;"|"&amp;$E11&amp;"|"&amp;$F11,'Description Library'!$K$6:$K$808,0)),"")</f>
        <v/>
      </c>
      <c r="I11" s="22"/>
      <c r="J11" s="5" t="str">
        <f aca="false">IFERROR(INDEX('Description Library'!$I$6:$I$808,MATCH($C11&amp;"|"&amp;$D11&amp;"|"&amp;$E11&amp;"|"&amp;$F11,'Description Library'!$K$6:$K$808,0)),"")</f>
        <v/>
      </c>
      <c r="K11" s="18" t="str">
        <f aca="false">IFERROR(INDEX('Description Library'!$J$6:$J$808,MATCH($C11&amp;"|"&amp;$D11&amp;"|"&amp;$E11&amp;"|"&amp;$F11,'Description Library'!$K$6:$K$808,0)),"")</f>
        <v/>
      </c>
      <c r="L11" s="23" t="str">
        <f aca="false">IF(OR($I11="",$K11=""),"",$I11*$K11)</f>
        <v/>
      </c>
      <c r="M11" s="24" t="str">
        <f aca="false">IFERROR(VLOOKUP($C11,MAP_SEC,2,0),"L_SECTION")</f>
        <v>L_SECTION</v>
      </c>
      <c r="N11" s="24" t="str">
        <f aca="false">IFERROR(VLOOKUP($C11&amp;"|"&amp;$D11,MAP_SUB,2,0),"L_SECTION")</f>
        <v>L_SECTION</v>
      </c>
      <c r="O11" s="24" t="str">
        <f aca="false">IFERROR(VLOOKUP($C11&amp;"|"&amp;$D11&amp;"|"&amp;$E11,MAP_SE,2,0),"L_SECTION")</f>
        <v>L_SECTION</v>
      </c>
    </row>
    <row r="12" customFormat="false" ht="15" hidden="false" customHeight="false" outlineLevel="0" collapsed="false">
      <c r="A12" s="5" t="str">
        <f aca="false">IF($C12="","",ROW()-4)</f>
        <v/>
      </c>
      <c r="B12" s="20"/>
      <c r="C12" s="20"/>
      <c r="D12" s="20"/>
      <c r="E12" s="20"/>
      <c r="F12" s="20"/>
      <c r="G12" s="21" t="str">
        <f aca="false">IFERROR(INDEX('Description Library'!$C$6:$C$808,MATCH($C12&amp;"|"&amp;$D12&amp;"|"&amp;$E12&amp;"|"&amp;$F12,'Description Library'!$K$6:$K$808,0)),"")</f>
        <v/>
      </c>
      <c r="H12" s="5" t="str">
        <f aca="false">IFERROR(INDEX('Description Library'!$H$6:$H$808,MATCH($C12&amp;"|"&amp;$D12&amp;"|"&amp;$E12&amp;"|"&amp;$F12,'Description Library'!$K$6:$K$808,0)),"")</f>
        <v/>
      </c>
      <c r="I12" s="22"/>
      <c r="J12" s="5" t="str">
        <f aca="false">IFERROR(INDEX('Description Library'!$I$6:$I$808,MATCH($C12&amp;"|"&amp;$D12&amp;"|"&amp;$E12&amp;"|"&amp;$F12,'Description Library'!$K$6:$K$808,0)),"")</f>
        <v/>
      </c>
      <c r="K12" s="18" t="str">
        <f aca="false">IFERROR(INDEX('Description Library'!$J$6:$J$808,MATCH($C12&amp;"|"&amp;$D12&amp;"|"&amp;$E12&amp;"|"&amp;$F12,'Description Library'!$K$6:$K$808,0)),"")</f>
        <v/>
      </c>
      <c r="L12" s="23" t="str">
        <f aca="false">IF(OR($I12="",$K12=""),"",$I12*$K12)</f>
        <v/>
      </c>
      <c r="M12" s="24" t="str">
        <f aca="false">IFERROR(VLOOKUP($C12,MAP_SEC,2,0),"L_SECTION")</f>
        <v>L_SECTION</v>
      </c>
      <c r="N12" s="24" t="str">
        <f aca="false">IFERROR(VLOOKUP($C12&amp;"|"&amp;$D12,MAP_SUB,2,0),"L_SECTION")</f>
        <v>L_SECTION</v>
      </c>
      <c r="O12" s="24" t="str">
        <f aca="false">IFERROR(VLOOKUP($C12&amp;"|"&amp;$D12&amp;"|"&amp;$E12,MAP_SE,2,0),"L_SECTION")</f>
        <v>L_SECTION</v>
      </c>
    </row>
    <row r="13" customFormat="false" ht="15" hidden="false" customHeight="false" outlineLevel="0" collapsed="false">
      <c r="A13" s="5" t="str">
        <f aca="false">IF($C13="","",ROW()-4)</f>
        <v/>
      </c>
      <c r="B13" s="20"/>
      <c r="C13" s="20"/>
      <c r="D13" s="20"/>
      <c r="E13" s="20"/>
      <c r="F13" s="20"/>
      <c r="G13" s="21" t="str">
        <f aca="false">IFERROR(INDEX('Description Library'!$C$6:$C$808,MATCH($C13&amp;"|"&amp;$D13&amp;"|"&amp;$E13&amp;"|"&amp;$F13,'Description Library'!$K$6:$K$808,0)),"")</f>
        <v/>
      </c>
      <c r="H13" s="5" t="str">
        <f aca="false">IFERROR(INDEX('Description Library'!$H$6:$H$808,MATCH($C13&amp;"|"&amp;$D13&amp;"|"&amp;$E13&amp;"|"&amp;$F13,'Description Library'!$K$6:$K$808,0)),"")</f>
        <v/>
      </c>
      <c r="I13" s="22"/>
      <c r="J13" s="5" t="str">
        <f aca="false">IFERROR(INDEX('Description Library'!$I$6:$I$808,MATCH($C13&amp;"|"&amp;$D13&amp;"|"&amp;$E13&amp;"|"&amp;$F13,'Description Library'!$K$6:$K$808,0)),"")</f>
        <v/>
      </c>
      <c r="K13" s="18" t="str">
        <f aca="false">IFERROR(INDEX('Description Library'!$J$6:$J$808,MATCH($C13&amp;"|"&amp;$D13&amp;"|"&amp;$E13&amp;"|"&amp;$F13,'Description Library'!$K$6:$K$808,0)),"")</f>
        <v/>
      </c>
      <c r="L13" s="23" t="str">
        <f aca="false">IF(OR($I13="",$K13=""),"",$I13*$K13)</f>
        <v/>
      </c>
      <c r="M13" s="24" t="str">
        <f aca="false">IFERROR(VLOOKUP($C13,MAP_SEC,2,0),"L_SECTION")</f>
        <v>L_SECTION</v>
      </c>
      <c r="N13" s="24" t="str">
        <f aca="false">IFERROR(VLOOKUP($C13&amp;"|"&amp;$D13,MAP_SUB,2,0),"L_SECTION")</f>
        <v>L_SECTION</v>
      </c>
      <c r="O13" s="24" t="str">
        <f aca="false">IFERROR(VLOOKUP($C13&amp;"|"&amp;$D13&amp;"|"&amp;$E13,MAP_SE,2,0),"L_SECTION")</f>
        <v>L_SECTION</v>
      </c>
    </row>
    <row r="14" customFormat="false" ht="15" hidden="false" customHeight="false" outlineLevel="0" collapsed="false">
      <c r="A14" s="5" t="str">
        <f aca="false">IF($C14="","",ROW()-4)</f>
        <v/>
      </c>
      <c r="B14" s="20"/>
      <c r="C14" s="20"/>
      <c r="D14" s="20"/>
      <c r="E14" s="20"/>
      <c r="F14" s="20"/>
      <c r="G14" s="21" t="str">
        <f aca="false">IFERROR(INDEX('Description Library'!$C$6:$C$808,MATCH($C14&amp;"|"&amp;$D14&amp;"|"&amp;$E14&amp;"|"&amp;$F14,'Description Library'!$K$6:$K$808,0)),"")</f>
        <v/>
      </c>
      <c r="H14" s="5" t="str">
        <f aca="false">IFERROR(INDEX('Description Library'!$H$6:$H$808,MATCH($C14&amp;"|"&amp;$D14&amp;"|"&amp;$E14&amp;"|"&amp;$F14,'Description Library'!$K$6:$K$808,0)),"")</f>
        <v/>
      </c>
      <c r="I14" s="22"/>
      <c r="J14" s="5" t="str">
        <f aca="false">IFERROR(INDEX('Description Library'!$I$6:$I$808,MATCH($C14&amp;"|"&amp;$D14&amp;"|"&amp;$E14&amp;"|"&amp;$F14,'Description Library'!$K$6:$K$808,0)),"")</f>
        <v/>
      </c>
      <c r="K14" s="18" t="str">
        <f aca="false">IFERROR(INDEX('Description Library'!$J$6:$J$808,MATCH($C14&amp;"|"&amp;$D14&amp;"|"&amp;$E14&amp;"|"&amp;$F14,'Description Library'!$K$6:$K$808,0)),"")</f>
        <v/>
      </c>
      <c r="L14" s="23" t="str">
        <f aca="false">IF(OR($I14="",$K14=""),"",$I14*$K14)</f>
        <v/>
      </c>
      <c r="M14" s="24" t="str">
        <f aca="false">IFERROR(VLOOKUP($C14,MAP_SEC,2,0),"L_SECTION")</f>
        <v>L_SECTION</v>
      </c>
      <c r="N14" s="24" t="str">
        <f aca="false">IFERROR(VLOOKUP($C14&amp;"|"&amp;$D14,MAP_SUB,2,0),"L_SECTION")</f>
        <v>L_SECTION</v>
      </c>
      <c r="O14" s="24" t="str">
        <f aca="false">IFERROR(VLOOKUP($C14&amp;"|"&amp;$D14&amp;"|"&amp;$E14,MAP_SE,2,0),"L_SECTION")</f>
        <v>L_SECTION</v>
      </c>
    </row>
    <row r="15" customFormat="false" ht="15" hidden="false" customHeight="false" outlineLevel="0" collapsed="false">
      <c r="A15" s="5" t="str">
        <f aca="false">IF($C15="","",ROW()-4)</f>
        <v/>
      </c>
      <c r="B15" s="20"/>
      <c r="C15" s="20"/>
      <c r="D15" s="20"/>
      <c r="E15" s="20"/>
      <c r="F15" s="20"/>
      <c r="G15" s="21" t="str">
        <f aca="false">IFERROR(INDEX('Description Library'!$C$6:$C$808,MATCH($C15&amp;"|"&amp;$D15&amp;"|"&amp;$E15&amp;"|"&amp;$F15,'Description Library'!$K$6:$K$808,0)),"")</f>
        <v/>
      </c>
      <c r="H15" s="5" t="str">
        <f aca="false">IFERROR(INDEX('Description Library'!$H$6:$H$808,MATCH($C15&amp;"|"&amp;$D15&amp;"|"&amp;$E15&amp;"|"&amp;$F15,'Description Library'!$K$6:$K$808,0)),"")</f>
        <v/>
      </c>
      <c r="I15" s="22"/>
      <c r="J15" s="5" t="str">
        <f aca="false">IFERROR(INDEX('Description Library'!$I$6:$I$808,MATCH($C15&amp;"|"&amp;$D15&amp;"|"&amp;$E15&amp;"|"&amp;$F15,'Description Library'!$K$6:$K$808,0)),"")</f>
        <v/>
      </c>
      <c r="K15" s="18" t="str">
        <f aca="false">IFERROR(INDEX('Description Library'!$J$6:$J$808,MATCH($C15&amp;"|"&amp;$D15&amp;"|"&amp;$E15&amp;"|"&amp;$F15,'Description Library'!$K$6:$K$808,0)),"")</f>
        <v/>
      </c>
      <c r="L15" s="23" t="str">
        <f aca="false">IF(OR($I15="",$K15=""),"",$I15*$K15)</f>
        <v/>
      </c>
      <c r="M15" s="24" t="str">
        <f aca="false">IFERROR(VLOOKUP($C15,MAP_SEC,2,0),"L_SECTION")</f>
        <v>L_SECTION</v>
      </c>
      <c r="N15" s="24" t="str">
        <f aca="false">IFERROR(VLOOKUP($C15&amp;"|"&amp;$D15,MAP_SUB,2,0),"L_SECTION")</f>
        <v>L_SECTION</v>
      </c>
      <c r="O15" s="24" t="str">
        <f aca="false">IFERROR(VLOOKUP($C15&amp;"|"&amp;$D15&amp;"|"&amp;$E15,MAP_SE,2,0),"L_SECTION")</f>
        <v>L_SECTION</v>
      </c>
    </row>
    <row r="16" customFormat="false" ht="15" hidden="false" customHeight="false" outlineLevel="0" collapsed="false">
      <c r="A16" s="5" t="str">
        <f aca="false">IF($C16="","",ROW()-4)</f>
        <v/>
      </c>
      <c r="B16" s="20"/>
      <c r="C16" s="20"/>
      <c r="D16" s="20"/>
      <c r="E16" s="20"/>
      <c r="F16" s="20"/>
      <c r="G16" s="21" t="str">
        <f aca="false">IFERROR(INDEX('Description Library'!$C$6:$C$808,MATCH($C16&amp;"|"&amp;$D16&amp;"|"&amp;$E16&amp;"|"&amp;$F16,'Description Library'!$K$6:$K$808,0)),"")</f>
        <v/>
      </c>
      <c r="H16" s="5" t="str">
        <f aca="false">IFERROR(INDEX('Description Library'!$H$6:$H$808,MATCH($C16&amp;"|"&amp;$D16&amp;"|"&amp;$E16&amp;"|"&amp;$F16,'Description Library'!$K$6:$K$808,0)),"")</f>
        <v/>
      </c>
      <c r="I16" s="22"/>
      <c r="J16" s="5" t="str">
        <f aca="false">IFERROR(INDEX('Description Library'!$I$6:$I$808,MATCH($C16&amp;"|"&amp;$D16&amp;"|"&amp;$E16&amp;"|"&amp;$F16,'Description Library'!$K$6:$K$808,0)),"")</f>
        <v/>
      </c>
      <c r="K16" s="18" t="str">
        <f aca="false">IFERROR(INDEX('Description Library'!$J$6:$J$808,MATCH($C16&amp;"|"&amp;$D16&amp;"|"&amp;$E16&amp;"|"&amp;$F16,'Description Library'!$K$6:$K$808,0)),"")</f>
        <v/>
      </c>
      <c r="L16" s="23" t="str">
        <f aca="false">IF(OR($I16="",$K16=""),"",$I16*$K16)</f>
        <v/>
      </c>
      <c r="M16" s="24" t="str">
        <f aca="false">IFERROR(VLOOKUP($C16,MAP_SEC,2,0),"L_SECTION")</f>
        <v>L_SECTION</v>
      </c>
      <c r="N16" s="24" t="str">
        <f aca="false">IFERROR(VLOOKUP($C16&amp;"|"&amp;$D16,MAP_SUB,2,0),"L_SECTION")</f>
        <v>L_SECTION</v>
      </c>
      <c r="O16" s="24" t="str">
        <f aca="false">IFERROR(VLOOKUP($C16&amp;"|"&amp;$D16&amp;"|"&amp;$E16,MAP_SE,2,0),"L_SECTION")</f>
        <v>L_SECTION</v>
      </c>
    </row>
    <row r="17" customFormat="false" ht="15" hidden="false" customHeight="false" outlineLevel="0" collapsed="false">
      <c r="A17" s="5" t="str">
        <f aca="false">IF($C17="","",ROW()-4)</f>
        <v/>
      </c>
      <c r="B17" s="20"/>
      <c r="C17" s="20"/>
      <c r="D17" s="20"/>
      <c r="E17" s="20"/>
      <c r="F17" s="20"/>
      <c r="G17" s="21" t="str">
        <f aca="false">IFERROR(INDEX('Description Library'!$C$6:$C$808,MATCH($C17&amp;"|"&amp;$D17&amp;"|"&amp;$E17&amp;"|"&amp;$F17,'Description Library'!$K$6:$K$808,0)),"")</f>
        <v/>
      </c>
      <c r="H17" s="5" t="str">
        <f aca="false">IFERROR(INDEX('Description Library'!$H$6:$H$808,MATCH($C17&amp;"|"&amp;$D17&amp;"|"&amp;$E17&amp;"|"&amp;$F17,'Description Library'!$K$6:$K$808,0)),"")</f>
        <v/>
      </c>
      <c r="I17" s="22"/>
      <c r="J17" s="5" t="str">
        <f aca="false">IFERROR(INDEX('Description Library'!$I$6:$I$808,MATCH($C17&amp;"|"&amp;$D17&amp;"|"&amp;$E17&amp;"|"&amp;$F17,'Description Library'!$K$6:$K$808,0)),"")</f>
        <v/>
      </c>
      <c r="K17" s="18" t="str">
        <f aca="false">IFERROR(INDEX('Description Library'!$J$6:$J$808,MATCH($C17&amp;"|"&amp;$D17&amp;"|"&amp;$E17&amp;"|"&amp;$F17,'Description Library'!$K$6:$K$808,0)),"")</f>
        <v/>
      </c>
      <c r="L17" s="23" t="str">
        <f aca="false">IF(OR($I17="",$K17=""),"",$I17*$K17)</f>
        <v/>
      </c>
      <c r="M17" s="24" t="str">
        <f aca="false">IFERROR(VLOOKUP($C17,MAP_SEC,2,0),"L_SECTION")</f>
        <v>L_SECTION</v>
      </c>
      <c r="N17" s="24" t="str">
        <f aca="false">IFERROR(VLOOKUP($C17&amp;"|"&amp;$D17,MAP_SUB,2,0),"L_SECTION")</f>
        <v>L_SECTION</v>
      </c>
      <c r="O17" s="24" t="str">
        <f aca="false">IFERROR(VLOOKUP($C17&amp;"|"&amp;$D17&amp;"|"&amp;$E17,MAP_SE,2,0),"L_SECTION")</f>
        <v>L_SECTION</v>
      </c>
    </row>
    <row r="18" customFormat="false" ht="15" hidden="false" customHeight="false" outlineLevel="0" collapsed="false">
      <c r="A18" s="5" t="str">
        <f aca="false">IF($C18="","",ROW()-4)</f>
        <v/>
      </c>
      <c r="B18" s="20"/>
      <c r="C18" s="20"/>
      <c r="D18" s="20"/>
      <c r="E18" s="20"/>
      <c r="F18" s="20"/>
      <c r="G18" s="21" t="str">
        <f aca="false">IFERROR(INDEX('Description Library'!$C$6:$C$808,MATCH($C18&amp;"|"&amp;$D18&amp;"|"&amp;$E18&amp;"|"&amp;$F18,'Description Library'!$K$6:$K$808,0)),"")</f>
        <v/>
      </c>
      <c r="H18" s="5" t="str">
        <f aca="false">IFERROR(INDEX('Description Library'!$H$6:$H$808,MATCH($C18&amp;"|"&amp;$D18&amp;"|"&amp;$E18&amp;"|"&amp;$F18,'Description Library'!$K$6:$K$808,0)),"")</f>
        <v/>
      </c>
      <c r="I18" s="22"/>
      <c r="J18" s="5" t="str">
        <f aca="false">IFERROR(INDEX('Description Library'!$I$6:$I$808,MATCH($C18&amp;"|"&amp;$D18&amp;"|"&amp;$E18&amp;"|"&amp;$F18,'Description Library'!$K$6:$K$808,0)),"")</f>
        <v/>
      </c>
      <c r="K18" s="18" t="str">
        <f aca="false">IFERROR(INDEX('Description Library'!$J$6:$J$808,MATCH($C18&amp;"|"&amp;$D18&amp;"|"&amp;$E18&amp;"|"&amp;$F18,'Description Library'!$K$6:$K$808,0)),"")</f>
        <v/>
      </c>
      <c r="L18" s="23" t="str">
        <f aca="false">IF(OR($I18="",$K18=""),"",$I18*$K18)</f>
        <v/>
      </c>
      <c r="M18" s="24" t="str">
        <f aca="false">IFERROR(VLOOKUP($C18,MAP_SEC,2,0),"L_SECTION")</f>
        <v>L_SECTION</v>
      </c>
      <c r="N18" s="24" t="str">
        <f aca="false">IFERROR(VLOOKUP($C18&amp;"|"&amp;$D18,MAP_SUB,2,0),"L_SECTION")</f>
        <v>L_SECTION</v>
      </c>
      <c r="O18" s="24" t="str">
        <f aca="false">IFERROR(VLOOKUP($C18&amp;"|"&amp;$D18&amp;"|"&amp;$E18,MAP_SE,2,0),"L_SECTION")</f>
        <v>L_SECTION</v>
      </c>
    </row>
    <row r="19" customFormat="false" ht="15" hidden="false" customHeight="false" outlineLevel="0" collapsed="false">
      <c r="A19" s="5" t="str">
        <f aca="false">IF($C19="","",ROW()-4)</f>
        <v/>
      </c>
      <c r="B19" s="20"/>
      <c r="C19" s="20"/>
      <c r="D19" s="20"/>
      <c r="E19" s="20"/>
      <c r="F19" s="20"/>
      <c r="G19" s="21" t="str">
        <f aca="false">IFERROR(INDEX('Description Library'!$C$6:$C$808,MATCH($C19&amp;"|"&amp;$D19&amp;"|"&amp;$E19&amp;"|"&amp;$F19,'Description Library'!$K$6:$K$808,0)),"")</f>
        <v/>
      </c>
      <c r="H19" s="5" t="str">
        <f aca="false">IFERROR(INDEX('Description Library'!$H$6:$H$808,MATCH($C19&amp;"|"&amp;$D19&amp;"|"&amp;$E19&amp;"|"&amp;$F19,'Description Library'!$K$6:$K$808,0)),"")</f>
        <v/>
      </c>
      <c r="I19" s="22"/>
      <c r="J19" s="5" t="str">
        <f aca="false">IFERROR(INDEX('Description Library'!$I$6:$I$808,MATCH($C19&amp;"|"&amp;$D19&amp;"|"&amp;$E19&amp;"|"&amp;$F19,'Description Library'!$K$6:$K$808,0)),"")</f>
        <v/>
      </c>
      <c r="K19" s="18" t="str">
        <f aca="false">IFERROR(INDEX('Description Library'!$J$6:$J$808,MATCH($C19&amp;"|"&amp;$D19&amp;"|"&amp;$E19&amp;"|"&amp;$F19,'Description Library'!$K$6:$K$808,0)),"")</f>
        <v/>
      </c>
      <c r="L19" s="23" t="str">
        <f aca="false">IF(OR($I19="",$K19=""),"",$I19*$K19)</f>
        <v/>
      </c>
      <c r="M19" s="24" t="str">
        <f aca="false">IFERROR(VLOOKUP($C19,MAP_SEC,2,0),"L_SECTION")</f>
        <v>L_SECTION</v>
      </c>
      <c r="N19" s="24" t="str">
        <f aca="false">IFERROR(VLOOKUP($C19&amp;"|"&amp;$D19,MAP_SUB,2,0),"L_SECTION")</f>
        <v>L_SECTION</v>
      </c>
      <c r="O19" s="24" t="str">
        <f aca="false">IFERROR(VLOOKUP($C19&amp;"|"&amp;$D19&amp;"|"&amp;$E19,MAP_SE,2,0),"L_SECTION")</f>
        <v>L_SECTION</v>
      </c>
    </row>
    <row r="20" customFormat="false" ht="15" hidden="false" customHeight="false" outlineLevel="0" collapsed="false">
      <c r="A20" s="5" t="str">
        <f aca="false">IF($C20="","",ROW()-4)</f>
        <v/>
      </c>
      <c r="B20" s="20"/>
      <c r="C20" s="20"/>
      <c r="D20" s="20"/>
      <c r="E20" s="20"/>
      <c r="F20" s="20"/>
      <c r="G20" s="21" t="str">
        <f aca="false">IFERROR(INDEX('Description Library'!$C$6:$C$808,MATCH($C20&amp;"|"&amp;$D20&amp;"|"&amp;$E20&amp;"|"&amp;$F20,'Description Library'!$K$6:$K$808,0)),"")</f>
        <v/>
      </c>
      <c r="H20" s="5" t="str">
        <f aca="false">IFERROR(INDEX('Description Library'!$H$6:$H$808,MATCH($C20&amp;"|"&amp;$D20&amp;"|"&amp;$E20&amp;"|"&amp;$F20,'Description Library'!$K$6:$K$808,0)),"")</f>
        <v/>
      </c>
      <c r="I20" s="22"/>
      <c r="J20" s="5" t="str">
        <f aca="false">IFERROR(INDEX('Description Library'!$I$6:$I$808,MATCH($C20&amp;"|"&amp;$D20&amp;"|"&amp;$E20&amp;"|"&amp;$F20,'Description Library'!$K$6:$K$808,0)),"")</f>
        <v/>
      </c>
      <c r="K20" s="18" t="str">
        <f aca="false">IFERROR(INDEX('Description Library'!$J$6:$J$808,MATCH($C20&amp;"|"&amp;$D20&amp;"|"&amp;$E20&amp;"|"&amp;$F20,'Description Library'!$K$6:$K$808,0)),"")</f>
        <v/>
      </c>
      <c r="L20" s="23" t="str">
        <f aca="false">IF(OR($I20="",$K20=""),"",$I20*$K20)</f>
        <v/>
      </c>
      <c r="M20" s="24" t="str">
        <f aca="false">IFERROR(VLOOKUP($C20,MAP_SEC,2,0),"L_SECTION")</f>
        <v>L_SECTION</v>
      </c>
      <c r="N20" s="24" t="str">
        <f aca="false">IFERROR(VLOOKUP($C20&amp;"|"&amp;$D20,MAP_SUB,2,0),"L_SECTION")</f>
        <v>L_SECTION</v>
      </c>
      <c r="O20" s="24" t="str">
        <f aca="false">IFERROR(VLOOKUP($C20&amp;"|"&amp;$D20&amp;"|"&amp;$E20,MAP_SE,2,0),"L_SECTION")</f>
        <v>L_SECTION</v>
      </c>
    </row>
    <row r="21" customFormat="false" ht="15" hidden="false" customHeight="false" outlineLevel="0" collapsed="false">
      <c r="A21" s="5" t="str">
        <f aca="false">IF($C21="","",ROW()-4)</f>
        <v/>
      </c>
      <c r="B21" s="20"/>
      <c r="C21" s="20"/>
      <c r="D21" s="20"/>
      <c r="E21" s="20"/>
      <c r="F21" s="20"/>
      <c r="G21" s="21" t="str">
        <f aca="false">IFERROR(INDEX('Description Library'!$C$6:$C$808,MATCH($C21&amp;"|"&amp;$D21&amp;"|"&amp;$E21&amp;"|"&amp;$F21,'Description Library'!$K$6:$K$808,0)),"")</f>
        <v/>
      </c>
      <c r="H21" s="5" t="str">
        <f aca="false">IFERROR(INDEX('Description Library'!$H$6:$H$808,MATCH($C21&amp;"|"&amp;$D21&amp;"|"&amp;$E21&amp;"|"&amp;$F21,'Description Library'!$K$6:$K$808,0)),"")</f>
        <v/>
      </c>
      <c r="I21" s="22"/>
      <c r="J21" s="5" t="str">
        <f aca="false">IFERROR(INDEX('Description Library'!$I$6:$I$808,MATCH($C21&amp;"|"&amp;$D21&amp;"|"&amp;$E21&amp;"|"&amp;$F21,'Description Library'!$K$6:$K$808,0)),"")</f>
        <v/>
      </c>
      <c r="K21" s="18" t="str">
        <f aca="false">IFERROR(INDEX('Description Library'!$J$6:$J$808,MATCH($C21&amp;"|"&amp;$D21&amp;"|"&amp;$E21&amp;"|"&amp;$F21,'Description Library'!$K$6:$K$808,0)),"")</f>
        <v/>
      </c>
      <c r="L21" s="23" t="str">
        <f aca="false">IF(OR($I21="",$K21=""),"",$I21*$K21)</f>
        <v/>
      </c>
      <c r="M21" s="24" t="str">
        <f aca="false">IFERROR(VLOOKUP($C21,MAP_SEC,2,0),"L_SECTION")</f>
        <v>L_SECTION</v>
      </c>
      <c r="N21" s="24" t="str">
        <f aca="false">IFERROR(VLOOKUP($C21&amp;"|"&amp;$D21,MAP_SUB,2,0),"L_SECTION")</f>
        <v>L_SECTION</v>
      </c>
      <c r="O21" s="24" t="str">
        <f aca="false">IFERROR(VLOOKUP($C21&amp;"|"&amp;$D21&amp;"|"&amp;$E21,MAP_SE,2,0),"L_SECTION")</f>
        <v>L_SECTION</v>
      </c>
    </row>
    <row r="22" customFormat="false" ht="15" hidden="false" customHeight="false" outlineLevel="0" collapsed="false">
      <c r="A22" s="5" t="str">
        <f aca="false">IF($C22="","",ROW()-4)</f>
        <v/>
      </c>
      <c r="B22" s="20"/>
      <c r="C22" s="20"/>
      <c r="D22" s="20"/>
      <c r="E22" s="20"/>
      <c r="F22" s="20"/>
      <c r="G22" s="21" t="str">
        <f aca="false">IFERROR(INDEX('Description Library'!$C$6:$C$808,MATCH($C22&amp;"|"&amp;$D22&amp;"|"&amp;$E22&amp;"|"&amp;$F22,'Description Library'!$K$6:$K$808,0)),"")</f>
        <v/>
      </c>
      <c r="H22" s="5" t="str">
        <f aca="false">IFERROR(INDEX('Description Library'!$H$6:$H$808,MATCH($C22&amp;"|"&amp;$D22&amp;"|"&amp;$E22&amp;"|"&amp;$F22,'Description Library'!$K$6:$K$808,0)),"")</f>
        <v/>
      </c>
      <c r="I22" s="22"/>
      <c r="J22" s="5" t="str">
        <f aca="false">IFERROR(INDEX('Description Library'!$I$6:$I$808,MATCH($C22&amp;"|"&amp;$D22&amp;"|"&amp;$E22&amp;"|"&amp;$F22,'Description Library'!$K$6:$K$808,0)),"")</f>
        <v/>
      </c>
      <c r="K22" s="18" t="str">
        <f aca="false">IFERROR(INDEX('Description Library'!$J$6:$J$808,MATCH($C22&amp;"|"&amp;$D22&amp;"|"&amp;$E22&amp;"|"&amp;$F22,'Description Library'!$K$6:$K$808,0)),"")</f>
        <v/>
      </c>
      <c r="L22" s="23" t="str">
        <f aca="false">IF(OR($I22="",$K22=""),"",$I22*$K22)</f>
        <v/>
      </c>
      <c r="M22" s="24" t="str">
        <f aca="false">IFERROR(VLOOKUP($C22,MAP_SEC,2,0),"L_SECTION")</f>
        <v>L_SECTION</v>
      </c>
      <c r="N22" s="24" t="str">
        <f aca="false">IFERROR(VLOOKUP($C22&amp;"|"&amp;$D22,MAP_SUB,2,0),"L_SECTION")</f>
        <v>L_SECTION</v>
      </c>
      <c r="O22" s="24" t="str">
        <f aca="false">IFERROR(VLOOKUP($C22&amp;"|"&amp;$D22&amp;"|"&amp;$E22,MAP_SE,2,0),"L_SECTION")</f>
        <v>L_SECTION</v>
      </c>
    </row>
    <row r="23" customFormat="false" ht="15" hidden="false" customHeight="false" outlineLevel="0" collapsed="false">
      <c r="A23" s="5" t="str">
        <f aca="false">IF($C23="","",ROW()-4)</f>
        <v/>
      </c>
      <c r="B23" s="20"/>
      <c r="C23" s="20"/>
      <c r="D23" s="20"/>
      <c r="E23" s="20"/>
      <c r="F23" s="20"/>
      <c r="G23" s="21" t="str">
        <f aca="false">IFERROR(INDEX('Description Library'!$C$6:$C$808,MATCH($C23&amp;"|"&amp;$D23&amp;"|"&amp;$E23&amp;"|"&amp;$F23,'Description Library'!$K$6:$K$808,0)),"")</f>
        <v/>
      </c>
      <c r="H23" s="5" t="str">
        <f aca="false">IFERROR(INDEX('Description Library'!$H$6:$H$808,MATCH($C23&amp;"|"&amp;$D23&amp;"|"&amp;$E23&amp;"|"&amp;$F23,'Description Library'!$K$6:$K$808,0)),"")</f>
        <v/>
      </c>
      <c r="I23" s="22"/>
      <c r="J23" s="5" t="str">
        <f aca="false">IFERROR(INDEX('Description Library'!$I$6:$I$808,MATCH($C23&amp;"|"&amp;$D23&amp;"|"&amp;$E23&amp;"|"&amp;$F23,'Description Library'!$K$6:$K$808,0)),"")</f>
        <v/>
      </c>
      <c r="K23" s="18" t="str">
        <f aca="false">IFERROR(INDEX('Description Library'!$J$6:$J$808,MATCH($C23&amp;"|"&amp;$D23&amp;"|"&amp;$E23&amp;"|"&amp;$F23,'Description Library'!$K$6:$K$808,0)),"")</f>
        <v/>
      </c>
      <c r="L23" s="23" t="str">
        <f aca="false">IF(OR($I23="",$K23=""),"",$I23*$K23)</f>
        <v/>
      </c>
      <c r="M23" s="24" t="str">
        <f aca="false">IFERROR(VLOOKUP($C23,MAP_SEC,2,0),"L_SECTION")</f>
        <v>L_SECTION</v>
      </c>
      <c r="N23" s="24" t="str">
        <f aca="false">IFERROR(VLOOKUP($C23&amp;"|"&amp;$D23,MAP_SUB,2,0),"L_SECTION")</f>
        <v>L_SECTION</v>
      </c>
      <c r="O23" s="24" t="str">
        <f aca="false">IFERROR(VLOOKUP($C23&amp;"|"&amp;$D23&amp;"|"&amp;$E23,MAP_SE,2,0),"L_SECTION")</f>
        <v>L_SECTION</v>
      </c>
    </row>
    <row r="24" customFormat="false" ht="15" hidden="false" customHeight="false" outlineLevel="0" collapsed="false">
      <c r="A24" s="5" t="str">
        <f aca="false">IF($C24="","",ROW()-4)</f>
        <v/>
      </c>
      <c r="B24" s="20"/>
      <c r="C24" s="20"/>
      <c r="D24" s="20"/>
      <c r="E24" s="20"/>
      <c r="F24" s="20"/>
      <c r="G24" s="21" t="str">
        <f aca="false">IFERROR(INDEX('Description Library'!$C$6:$C$808,MATCH($C24&amp;"|"&amp;$D24&amp;"|"&amp;$E24&amp;"|"&amp;$F24,'Description Library'!$K$6:$K$808,0)),"")</f>
        <v/>
      </c>
      <c r="H24" s="5" t="str">
        <f aca="false">IFERROR(INDEX('Description Library'!$H$6:$H$808,MATCH($C24&amp;"|"&amp;$D24&amp;"|"&amp;$E24&amp;"|"&amp;$F24,'Description Library'!$K$6:$K$808,0)),"")</f>
        <v/>
      </c>
      <c r="I24" s="22"/>
      <c r="J24" s="5" t="str">
        <f aca="false">IFERROR(INDEX('Description Library'!$I$6:$I$808,MATCH($C24&amp;"|"&amp;$D24&amp;"|"&amp;$E24&amp;"|"&amp;$F24,'Description Library'!$K$6:$K$808,0)),"")</f>
        <v/>
      </c>
      <c r="K24" s="18" t="str">
        <f aca="false">IFERROR(INDEX('Description Library'!$J$6:$J$808,MATCH($C24&amp;"|"&amp;$D24&amp;"|"&amp;$E24&amp;"|"&amp;$F24,'Description Library'!$K$6:$K$808,0)),"")</f>
        <v/>
      </c>
      <c r="L24" s="23" t="str">
        <f aca="false">IF(OR($I24="",$K24=""),"",$I24*$K24)</f>
        <v/>
      </c>
      <c r="M24" s="24" t="str">
        <f aca="false">IFERROR(VLOOKUP($C24,MAP_SEC,2,0),"L_SECTION")</f>
        <v>L_SECTION</v>
      </c>
      <c r="N24" s="24" t="str">
        <f aca="false">IFERROR(VLOOKUP($C24&amp;"|"&amp;$D24,MAP_SUB,2,0),"L_SECTION")</f>
        <v>L_SECTION</v>
      </c>
      <c r="O24" s="24" t="str">
        <f aca="false">IFERROR(VLOOKUP($C24&amp;"|"&amp;$D24&amp;"|"&amp;$E24,MAP_SE,2,0),"L_SECTION")</f>
        <v>L_SECTION</v>
      </c>
    </row>
    <row r="25" customFormat="false" ht="15" hidden="false" customHeight="false" outlineLevel="0" collapsed="false">
      <c r="A25" s="5" t="str">
        <f aca="false">IF($C25="","",ROW()-4)</f>
        <v/>
      </c>
      <c r="B25" s="20"/>
      <c r="C25" s="20"/>
      <c r="D25" s="20"/>
      <c r="E25" s="20"/>
      <c r="F25" s="20"/>
      <c r="G25" s="21" t="str">
        <f aca="false">IFERROR(INDEX('Description Library'!$C$6:$C$808,MATCH($C25&amp;"|"&amp;$D25&amp;"|"&amp;$E25&amp;"|"&amp;$F25,'Description Library'!$K$6:$K$808,0)),"")</f>
        <v/>
      </c>
      <c r="H25" s="5" t="str">
        <f aca="false">IFERROR(INDEX('Description Library'!$H$6:$H$808,MATCH($C25&amp;"|"&amp;$D25&amp;"|"&amp;$E25&amp;"|"&amp;$F25,'Description Library'!$K$6:$K$808,0)),"")</f>
        <v/>
      </c>
      <c r="I25" s="22"/>
      <c r="J25" s="5" t="str">
        <f aca="false">IFERROR(INDEX('Description Library'!$I$6:$I$808,MATCH($C25&amp;"|"&amp;$D25&amp;"|"&amp;$E25&amp;"|"&amp;$F25,'Description Library'!$K$6:$K$808,0)),"")</f>
        <v/>
      </c>
      <c r="K25" s="18" t="str">
        <f aca="false">IFERROR(INDEX('Description Library'!$J$6:$J$808,MATCH($C25&amp;"|"&amp;$D25&amp;"|"&amp;$E25&amp;"|"&amp;$F25,'Description Library'!$K$6:$K$808,0)),"")</f>
        <v/>
      </c>
      <c r="L25" s="23" t="str">
        <f aca="false">IF(OR($I25="",$K25=""),"",$I25*$K25)</f>
        <v/>
      </c>
      <c r="M25" s="24" t="str">
        <f aca="false">IFERROR(VLOOKUP($C25,MAP_SEC,2,0),"L_SECTION")</f>
        <v>L_SECTION</v>
      </c>
      <c r="N25" s="24" t="str">
        <f aca="false">IFERROR(VLOOKUP($C25&amp;"|"&amp;$D25,MAP_SUB,2,0),"L_SECTION")</f>
        <v>L_SECTION</v>
      </c>
      <c r="O25" s="24" t="str">
        <f aca="false">IFERROR(VLOOKUP($C25&amp;"|"&amp;$D25&amp;"|"&amp;$E25,MAP_SE,2,0),"L_SECTION")</f>
        <v>L_SECTION</v>
      </c>
    </row>
    <row r="26" customFormat="false" ht="15" hidden="false" customHeight="false" outlineLevel="0" collapsed="false">
      <c r="A26" s="5" t="str">
        <f aca="false">IF($C26="","",ROW()-4)</f>
        <v/>
      </c>
      <c r="B26" s="20"/>
      <c r="C26" s="20"/>
      <c r="D26" s="20"/>
      <c r="E26" s="20"/>
      <c r="F26" s="20"/>
      <c r="G26" s="21" t="str">
        <f aca="false">IFERROR(INDEX('Description Library'!$C$6:$C$808,MATCH($C26&amp;"|"&amp;$D26&amp;"|"&amp;$E26&amp;"|"&amp;$F26,'Description Library'!$K$6:$K$808,0)),"")</f>
        <v/>
      </c>
      <c r="H26" s="5" t="str">
        <f aca="false">IFERROR(INDEX('Description Library'!$H$6:$H$808,MATCH($C26&amp;"|"&amp;$D26&amp;"|"&amp;$E26&amp;"|"&amp;$F26,'Description Library'!$K$6:$K$808,0)),"")</f>
        <v/>
      </c>
      <c r="I26" s="22"/>
      <c r="J26" s="5" t="str">
        <f aca="false">IFERROR(INDEX('Description Library'!$I$6:$I$808,MATCH($C26&amp;"|"&amp;$D26&amp;"|"&amp;$E26&amp;"|"&amp;$F26,'Description Library'!$K$6:$K$808,0)),"")</f>
        <v/>
      </c>
      <c r="K26" s="18" t="str">
        <f aca="false">IFERROR(INDEX('Description Library'!$J$6:$J$808,MATCH($C26&amp;"|"&amp;$D26&amp;"|"&amp;$E26&amp;"|"&amp;$F26,'Description Library'!$K$6:$K$808,0)),"")</f>
        <v/>
      </c>
      <c r="L26" s="23" t="str">
        <f aca="false">IF(OR($I26="",$K26=""),"",$I26*$K26)</f>
        <v/>
      </c>
      <c r="M26" s="24" t="str">
        <f aca="false">IFERROR(VLOOKUP($C26,MAP_SEC,2,0),"L_SECTION")</f>
        <v>L_SECTION</v>
      </c>
      <c r="N26" s="24" t="str">
        <f aca="false">IFERROR(VLOOKUP($C26&amp;"|"&amp;$D26,MAP_SUB,2,0),"L_SECTION")</f>
        <v>L_SECTION</v>
      </c>
      <c r="O26" s="24" t="str">
        <f aca="false">IFERROR(VLOOKUP($C26&amp;"|"&amp;$D26&amp;"|"&amp;$E26,MAP_SE,2,0),"L_SECTION")</f>
        <v>L_SECTION</v>
      </c>
    </row>
    <row r="27" customFormat="false" ht="15" hidden="false" customHeight="false" outlineLevel="0" collapsed="false">
      <c r="A27" s="5" t="str">
        <f aca="false">IF($C27="","",ROW()-4)</f>
        <v/>
      </c>
      <c r="B27" s="20"/>
      <c r="C27" s="20"/>
      <c r="D27" s="20"/>
      <c r="E27" s="20"/>
      <c r="F27" s="20"/>
      <c r="G27" s="21" t="str">
        <f aca="false">IFERROR(INDEX('Description Library'!$C$6:$C$808,MATCH($C27&amp;"|"&amp;$D27&amp;"|"&amp;$E27&amp;"|"&amp;$F27,'Description Library'!$K$6:$K$808,0)),"")</f>
        <v/>
      </c>
      <c r="H27" s="5" t="str">
        <f aca="false">IFERROR(INDEX('Description Library'!$H$6:$H$808,MATCH($C27&amp;"|"&amp;$D27&amp;"|"&amp;$E27&amp;"|"&amp;$F27,'Description Library'!$K$6:$K$808,0)),"")</f>
        <v/>
      </c>
      <c r="I27" s="22"/>
      <c r="J27" s="5" t="str">
        <f aca="false">IFERROR(INDEX('Description Library'!$I$6:$I$808,MATCH($C27&amp;"|"&amp;$D27&amp;"|"&amp;$E27&amp;"|"&amp;$F27,'Description Library'!$K$6:$K$808,0)),"")</f>
        <v/>
      </c>
      <c r="K27" s="18" t="str">
        <f aca="false">IFERROR(INDEX('Description Library'!$J$6:$J$808,MATCH($C27&amp;"|"&amp;$D27&amp;"|"&amp;$E27&amp;"|"&amp;$F27,'Description Library'!$K$6:$K$808,0)),"")</f>
        <v/>
      </c>
      <c r="L27" s="23" t="str">
        <f aca="false">IF(OR($I27="",$K27=""),"",$I27*$K27)</f>
        <v/>
      </c>
      <c r="M27" s="24" t="str">
        <f aca="false">IFERROR(VLOOKUP($C27,MAP_SEC,2,0),"L_SECTION")</f>
        <v>L_SECTION</v>
      </c>
      <c r="N27" s="24" t="str">
        <f aca="false">IFERROR(VLOOKUP($C27&amp;"|"&amp;$D27,MAP_SUB,2,0),"L_SECTION")</f>
        <v>L_SECTION</v>
      </c>
      <c r="O27" s="24" t="str">
        <f aca="false">IFERROR(VLOOKUP($C27&amp;"|"&amp;$D27&amp;"|"&amp;$E27,MAP_SE,2,0),"L_SECTION")</f>
        <v>L_SECTION</v>
      </c>
    </row>
    <row r="28" customFormat="false" ht="15" hidden="false" customHeight="false" outlineLevel="0" collapsed="false">
      <c r="A28" s="5" t="str">
        <f aca="false">IF($C28="","",ROW()-4)</f>
        <v/>
      </c>
      <c r="B28" s="20"/>
      <c r="C28" s="20"/>
      <c r="D28" s="20"/>
      <c r="E28" s="20"/>
      <c r="F28" s="20"/>
      <c r="G28" s="21" t="str">
        <f aca="false">IFERROR(INDEX('Description Library'!$C$6:$C$808,MATCH($C28&amp;"|"&amp;$D28&amp;"|"&amp;$E28&amp;"|"&amp;$F28,'Description Library'!$K$6:$K$808,0)),"")</f>
        <v/>
      </c>
      <c r="H28" s="5" t="str">
        <f aca="false">IFERROR(INDEX('Description Library'!$H$6:$H$808,MATCH($C28&amp;"|"&amp;$D28&amp;"|"&amp;$E28&amp;"|"&amp;$F28,'Description Library'!$K$6:$K$808,0)),"")</f>
        <v/>
      </c>
      <c r="I28" s="22"/>
      <c r="J28" s="5" t="str">
        <f aca="false">IFERROR(INDEX('Description Library'!$I$6:$I$808,MATCH($C28&amp;"|"&amp;$D28&amp;"|"&amp;$E28&amp;"|"&amp;$F28,'Description Library'!$K$6:$K$808,0)),"")</f>
        <v/>
      </c>
      <c r="K28" s="18" t="str">
        <f aca="false">IFERROR(INDEX('Description Library'!$J$6:$J$808,MATCH($C28&amp;"|"&amp;$D28&amp;"|"&amp;$E28&amp;"|"&amp;$F28,'Description Library'!$K$6:$K$808,0)),"")</f>
        <v/>
      </c>
      <c r="L28" s="23" t="str">
        <f aca="false">IF(OR($I28="",$K28=""),"",$I28*$K28)</f>
        <v/>
      </c>
      <c r="M28" s="24" t="str">
        <f aca="false">IFERROR(VLOOKUP($C28,MAP_SEC,2,0),"L_SECTION")</f>
        <v>L_SECTION</v>
      </c>
      <c r="N28" s="24" t="str">
        <f aca="false">IFERROR(VLOOKUP($C28&amp;"|"&amp;$D28,MAP_SUB,2,0),"L_SECTION")</f>
        <v>L_SECTION</v>
      </c>
      <c r="O28" s="24" t="str">
        <f aca="false">IFERROR(VLOOKUP($C28&amp;"|"&amp;$D28&amp;"|"&amp;$E28,MAP_SE,2,0),"L_SECTION")</f>
        <v>L_SECTION</v>
      </c>
    </row>
    <row r="29" customFormat="false" ht="15" hidden="false" customHeight="false" outlineLevel="0" collapsed="false">
      <c r="A29" s="5" t="str">
        <f aca="false">IF($C29="","",ROW()-4)</f>
        <v/>
      </c>
      <c r="B29" s="20"/>
      <c r="C29" s="20"/>
      <c r="D29" s="20"/>
      <c r="E29" s="20"/>
      <c r="F29" s="20"/>
      <c r="G29" s="21" t="str">
        <f aca="false">IFERROR(INDEX('Description Library'!$C$6:$C$808,MATCH($C29&amp;"|"&amp;$D29&amp;"|"&amp;$E29&amp;"|"&amp;$F29,'Description Library'!$K$6:$K$808,0)),"")</f>
        <v/>
      </c>
      <c r="H29" s="5" t="str">
        <f aca="false">IFERROR(INDEX('Description Library'!$H$6:$H$808,MATCH($C29&amp;"|"&amp;$D29&amp;"|"&amp;$E29&amp;"|"&amp;$F29,'Description Library'!$K$6:$K$808,0)),"")</f>
        <v/>
      </c>
      <c r="I29" s="22"/>
      <c r="J29" s="5" t="str">
        <f aca="false">IFERROR(INDEX('Description Library'!$I$6:$I$808,MATCH($C29&amp;"|"&amp;$D29&amp;"|"&amp;$E29&amp;"|"&amp;$F29,'Description Library'!$K$6:$K$808,0)),"")</f>
        <v/>
      </c>
      <c r="K29" s="18" t="str">
        <f aca="false">IFERROR(INDEX('Description Library'!$J$6:$J$808,MATCH($C29&amp;"|"&amp;$D29&amp;"|"&amp;$E29&amp;"|"&amp;$F29,'Description Library'!$K$6:$K$808,0)),"")</f>
        <v/>
      </c>
      <c r="L29" s="23" t="str">
        <f aca="false">IF(OR($I29="",$K29=""),"",$I29*$K29)</f>
        <v/>
      </c>
      <c r="M29" s="24" t="str">
        <f aca="false">IFERROR(VLOOKUP($C29,MAP_SEC,2,0),"L_SECTION")</f>
        <v>L_SECTION</v>
      </c>
      <c r="N29" s="24" t="str">
        <f aca="false">IFERROR(VLOOKUP($C29&amp;"|"&amp;$D29,MAP_SUB,2,0),"L_SECTION")</f>
        <v>L_SECTION</v>
      </c>
      <c r="O29" s="24" t="str">
        <f aca="false">IFERROR(VLOOKUP($C29&amp;"|"&amp;$D29&amp;"|"&amp;$E29,MAP_SE,2,0),"L_SECTION")</f>
        <v>L_SECTION</v>
      </c>
    </row>
    <row r="30" customFormat="false" ht="15" hidden="false" customHeight="false" outlineLevel="0" collapsed="false">
      <c r="A30" s="5" t="str">
        <f aca="false">IF($C30="","",ROW()-4)</f>
        <v/>
      </c>
      <c r="B30" s="20"/>
      <c r="C30" s="20"/>
      <c r="D30" s="20"/>
      <c r="E30" s="20"/>
      <c r="F30" s="20"/>
      <c r="G30" s="21" t="str">
        <f aca="false">IFERROR(INDEX('Description Library'!$C$6:$C$808,MATCH($C30&amp;"|"&amp;$D30&amp;"|"&amp;$E30&amp;"|"&amp;$F30,'Description Library'!$K$6:$K$808,0)),"")</f>
        <v/>
      </c>
      <c r="H30" s="5" t="str">
        <f aca="false">IFERROR(INDEX('Description Library'!$H$6:$H$808,MATCH($C30&amp;"|"&amp;$D30&amp;"|"&amp;$E30&amp;"|"&amp;$F30,'Description Library'!$K$6:$K$808,0)),"")</f>
        <v/>
      </c>
      <c r="I30" s="22"/>
      <c r="J30" s="5" t="str">
        <f aca="false">IFERROR(INDEX('Description Library'!$I$6:$I$808,MATCH($C30&amp;"|"&amp;$D30&amp;"|"&amp;$E30&amp;"|"&amp;$F30,'Description Library'!$K$6:$K$808,0)),"")</f>
        <v/>
      </c>
      <c r="K30" s="18" t="str">
        <f aca="false">IFERROR(INDEX('Description Library'!$J$6:$J$808,MATCH($C30&amp;"|"&amp;$D30&amp;"|"&amp;$E30&amp;"|"&amp;$F30,'Description Library'!$K$6:$K$808,0)),"")</f>
        <v/>
      </c>
      <c r="L30" s="23" t="str">
        <f aca="false">IF(OR($I30="",$K30=""),"",$I30*$K30)</f>
        <v/>
      </c>
      <c r="M30" s="24" t="str">
        <f aca="false">IFERROR(VLOOKUP($C30,MAP_SEC,2,0),"L_SECTION")</f>
        <v>L_SECTION</v>
      </c>
      <c r="N30" s="24" t="str">
        <f aca="false">IFERROR(VLOOKUP($C30&amp;"|"&amp;$D30,MAP_SUB,2,0),"L_SECTION")</f>
        <v>L_SECTION</v>
      </c>
      <c r="O30" s="24" t="str">
        <f aca="false">IFERROR(VLOOKUP($C30&amp;"|"&amp;$D30&amp;"|"&amp;$E30,MAP_SE,2,0),"L_SECTION")</f>
        <v>L_SECTION</v>
      </c>
    </row>
    <row r="31" customFormat="false" ht="15" hidden="false" customHeight="false" outlineLevel="0" collapsed="false">
      <c r="A31" s="5" t="str">
        <f aca="false">IF($C31="","",ROW()-4)</f>
        <v/>
      </c>
      <c r="B31" s="20"/>
      <c r="C31" s="20"/>
      <c r="D31" s="20"/>
      <c r="E31" s="20"/>
      <c r="F31" s="20"/>
      <c r="G31" s="21" t="str">
        <f aca="false">IFERROR(INDEX('Description Library'!$C$6:$C$808,MATCH($C31&amp;"|"&amp;$D31&amp;"|"&amp;$E31&amp;"|"&amp;$F31,'Description Library'!$K$6:$K$808,0)),"")</f>
        <v/>
      </c>
      <c r="H31" s="5" t="str">
        <f aca="false">IFERROR(INDEX('Description Library'!$H$6:$H$808,MATCH($C31&amp;"|"&amp;$D31&amp;"|"&amp;$E31&amp;"|"&amp;$F31,'Description Library'!$K$6:$K$808,0)),"")</f>
        <v/>
      </c>
      <c r="I31" s="22"/>
      <c r="J31" s="5" t="str">
        <f aca="false">IFERROR(INDEX('Description Library'!$I$6:$I$808,MATCH($C31&amp;"|"&amp;$D31&amp;"|"&amp;$E31&amp;"|"&amp;$F31,'Description Library'!$K$6:$K$808,0)),"")</f>
        <v/>
      </c>
      <c r="K31" s="18" t="str">
        <f aca="false">IFERROR(INDEX('Description Library'!$J$6:$J$808,MATCH($C31&amp;"|"&amp;$D31&amp;"|"&amp;$E31&amp;"|"&amp;$F31,'Description Library'!$K$6:$K$808,0)),"")</f>
        <v/>
      </c>
      <c r="L31" s="23" t="str">
        <f aca="false">IF(OR($I31="",$K31=""),"",$I31*$K31)</f>
        <v/>
      </c>
      <c r="M31" s="24" t="str">
        <f aca="false">IFERROR(VLOOKUP($C31,MAP_SEC,2,0),"L_SECTION")</f>
        <v>L_SECTION</v>
      </c>
      <c r="N31" s="24" t="str">
        <f aca="false">IFERROR(VLOOKUP($C31&amp;"|"&amp;$D31,MAP_SUB,2,0),"L_SECTION")</f>
        <v>L_SECTION</v>
      </c>
      <c r="O31" s="24" t="str">
        <f aca="false">IFERROR(VLOOKUP($C31&amp;"|"&amp;$D31&amp;"|"&amp;$E31,MAP_SE,2,0),"L_SECTION")</f>
        <v>L_SECTION</v>
      </c>
    </row>
    <row r="32" customFormat="false" ht="15" hidden="false" customHeight="false" outlineLevel="0" collapsed="false">
      <c r="A32" s="5" t="str">
        <f aca="false">IF($C32="","",ROW()-4)</f>
        <v/>
      </c>
      <c r="B32" s="20"/>
      <c r="C32" s="20"/>
      <c r="D32" s="20"/>
      <c r="E32" s="20"/>
      <c r="F32" s="20"/>
      <c r="G32" s="21" t="str">
        <f aca="false">IFERROR(INDEX('Description Library'!$C$6:$C$808,MATCH($C32&amp;"|"&amp;$D32&amp;"|"&amp;$E32&amp;"|"&amp;$F32,'Description Library'!$K$6:$K$808,0)),"")</f>
        <v/>
      </c>
      <c r="H32" s="5" t="str">
        <f aca="false">IFERROR(INDEX('Description Library'!$H$6:$H$808,MATCH($C32&amp;"|"&amp;$D32&amp;"|"&amp;$E32&amp;"|"&amp;$F32,'Description Library'!$K$6:$K$808,0)),"")</f>
        <v/>
      </c>
      <c r="I32" s="22"/>
      <c r="J32" s="5" t="str">
        <f aca="false">IFERROR(INDEX('Description Library'!$I$6:$I$808,MATCH($C32&amp;"|"&amp;$D32&amp;"|"&amp;$E32&amp;"|"&amp;$F32,'Description Library'!$K$6:$K$808,0)),"")</f>
        <v/>
      </c>
      <c r="K32" s="18" t="str">
        <f aca="false">IFERROR(INDEX('Description Library'!$J$6:$J$808,MATCH($C32&amp;"|"&amp;$D32&amp;"|"&amp;$E32&amp;"|"&amp;$F32,'Description Library'!$K$6:$K$808,0)),"")</f>
        <v/>
      </c>
      <c r="L32" s="23" t="str">
        <f aca="false">IF(OR($I32="",$K32=""),"",$I32*$K32)</f>
        <v/>
      </c>
      <c r="M32" s="24" t="str">
        <f aca="false">IFERROR(VLOOKUP($C32,MAP_SEC,2,0),"L_SECTION")</f>
        <v>L_SECTION</v>
      </c>
      <c r="N32" s="24" t="str">
        <f aca="false">IFERROR(VLOOKUP($C32&amp;"|"&amp;$D32,MAP_SUB,2,0),"L_SECTION")</f>
        <v>L_SECTION</v>
      </c>
      <c r="O32" s="24" t="str">
        <f aca="false">IFERROR(VLOOKUP($C32&amp;"|"&amp;$D32&amp;"|"&amp;$E32,MAP_SE,2,0),"L_SECTION")</f>
        <v>L_SECTION</v>
      </c>
    </row>
    <row r="33" customFormat="false" ht="15" hidden="false" customHeight="false" outlineLevel="0" collapsed="false">
      <c r="A33" s="5" t="str">
        <f aca="false">IF($C33="","",ROW()-4)</f>
        <v/>
      </c>
      <c r="B33" s="20"/>
      <c r="C33" s="20"/>
      <c r="D33" s="20"/>
      <c r="E33" s="20"/>
      <c r="F33" s="20"/>
      <c r="G33" s="21" t="str">
        <f aca="false">IFERROR(INDEX('Description Library'!$C$6:$C$808,MATCH($C33&amp;"|"&amp;$D33&amp;"|"&amp;$E33&amp;"|"&amp;$F33,'Description Library'!$K$6:$K$808,0)),"")</f>
        <v/>
      </c>
      <c r="H33" s="5" t="str">
        <f aca="false">IFERROR(INDEX('Description Library'!$H$6:$H$808,MATCH($C33&amp;"|"&amp;$D33&amp;"|"&amp;$E33&amp;"|"&amp;$F33,'Description Library'!$K$6:$K$808,0)),"")</f>
        <v/>
      </c>
      <c r="I33" s="22"/>
      <c r="J33" s="5" t="str">
        <f aca="false">IFERROR(INDEX('Description Library'!$I$6:$I$808,MATCH($C33&amp;"|"&amp;$D33&amp;"|"&amp;$E33&amp;"|"&amp;$F33,'Description Library'!$K$6:$K$808,0)),"")</f>
        <v/>
      </c>
      <c r="K33" s="18" t="str">
        <f aca="false">IFERROR(INDEX('Description Library'!$J$6:$J$808,MATCH($C33&amp;"|"&amp;$D33&amp;"|"&amp;$E33&amp;"|"&amp;$F33,'Description Library'!$K$6:$K$808,0)),"")</f>
        <v/>
      </c>
      <c r="L33" s="23" t="str">
        <f aca="false">IF(OR($I33="",$K33=""),"",$I33*$K33)</f>
        <v/>
      </c>
      <c r="M33" s="24" t="str">
        <f aca="false">IFERROR(VLOOKUP($C33,MAP_SEC,2,0),"L_SECTION")</f>
        <v>L_SECTION</v>
      </c>
      <c r="N33" s="24" t="str">
        <f aca="false">IFERROR(VLOOKUP($C33&amp;"|"&amp;$D33,MAP_SUB,2,0),"L_SECTION")</f>
        <v>L_SECTION</v>
      </c>
      <c r="O33" s="24" t="str">
        <f aca="false">IFERROR(VLOOKUP($C33&amp;"|"&amp;$D33&amp;"|"&amp;$E33,MAP_SE,2,0),"L_SECTION")</f>
        <v>L_SECTION</v>
      </c>
    </row>
    <row r="34" customFormat="false" ht="15" hidden="false" customHeight="false" outlineLevel="0" collapsed="false">
      <c r="A34" s="5" t="str">
        <f aca="false">IF($C34="","",ROW()-4)</f>
        <v/>
      </c>
      <c r="B34" s="20"/>
      <c r="C34" s="20"/>
      <c r="D34" s="20"/>
      <c r="E34" s="20"/>
      <c r="F34" s="20"/>
      <c r="G34" s="21" t="str">
        <f aca="false">IFERROR(INDEX('Description Library'!$C$6:$C$808,MATCH($C34&amp;"|"&amp;$D34&amp;"|"&amp;$E34&amp;"|"&amp;$F34,'Description Library'!$K$6:$K$808,0)),"")</f>
        <v/>
      </c>
      <c r="H34" s="5" t="str">
        <f aca="false">IFERROR(INDEX('Description Library'!$H$6:$H$808,MATCH($C34&amp;"|"&amp;$D34&amp;"|"&amp;$E34&amp;"|"&amp;$F34,'Description Library'!$K$6:$K$808,0)),"")</f>
        <v/>
      </c>
      <c r="I34" s="22"/>
      <c r="J34" s="5" t="str">
        <f aca="false">IFERROR(INDEX('Description Library'!$I$6:$I$808,MATCH($C34&amp;"|"&amp;$D34&amp;"|"&amp;$E34&amp;"|"&amp;$F34,'Description Library'!$K$6:$K$808,0)),"")</f>
        <v/>
      </c>
      <c r="K34" s="18" t="str">
        <f aca="false">IFERROR(INDEX('Description Library'!$J$6:$J$808,MATCH($C34&amp;"|"&amp;$D34&amp;"|"&amp;$E34&amp;"|"&amp;$F34,'Description Library'!$K$6:$K$808,0)),"")</f>
        <v/>
      </c>
      <c r="L34" s="23" t="str">
        <f aca="false">IF(OR($I34="",$K34=""),"",$I34*$K34)</f>
        <v/>
      </c>
      <c r="M34" s="24" t="str">
        <f aca="false">IFERROR(VLOOKUP($C34,MAP_SEC,2,0),"L_SECTION")</f>
        <v>L_SECTION</v>
      </c>
      <c r="N34" s="24" t="str">
        <f aca="false">IFERROR(VLOOKUP($C34&amp;"|"&amp;$D34,MAP_SUB,2,0),"L_SECTION")</f>
        <v>L_SECTION</v>
      </c>
      <c r="O34" s="24" t="str">
        <f aca="false">IFERROR(VLOOKUP($C34&amp;"|"&amp;$D34&amp;"|"&amp;$E34,MAP_SE,2,0),"L_SECTION")</f>
        <v>L_SECTION</v>
      </c>
    </row>
    <row r="35" customFormat="false" ht="15" hidden="false" customHeight="false" outlineLevel="0" collapsed="false">
      <c r="A35" s="5" t="str">
        <f aca="false">IF($C35="","",ROW()-4)</f>
        <v/>
      </c>
      <c r="B35" s="20"/>
      <c r="C35" s="20"/>
      <c r="D35" s="20"/>
      <c r="E35" s="20"/>
      <c r="F35" s="20"/>
      <c r="G35" s="21" t="str">
        <f aca="false">IFERROR(INDEX('Description Library'!$C$6:$C$808,MATCH($C35&amp;"|"&amp;$D35&amp;"|"&amp;$E35&amp;"|"&amp;$F35,'Description Library'!$K$6:$K$808,0)),"")</f>
        <v/>
      </c>
      <c r="H35" s="5" t="str">
        <f aca="false">IFERROR(INDEX('Description Library'!$H$6:$H$808,MATCH($C35&amp;"|"&amp;$D35&amp;"|"&amp;$E35&amp;"|"&amp;$F35,'Description Library'!$K$6:$K$808,0)),"")</f>
        <v/>
      </c>
      <c r="I35" s="22"/>
      <c r="J35" s="5" t="str">
        <f aca="false">IFERROR(INDEX('Description Library'!$I$6:$I$808,MATCH($C35&amp;"|"&amp;$D35&amp;"|"&amp;$E35&amp;"|"&amp;$F35,'Description Library'!$K$6:$K$808,0)),"")</f>
        <v/>
      </c>
      <c r="K35" s="18" t="str">
        <f aca="false">IFERROR(INDEX('Description Library'!$J$6:$J$808,MATCH($C35&amp;"|"&amp;$D35&amp;"|"&amp;$E35&amp;"|"&amp;$F35,'Description Library'!$K$6:$K$808,0)),"")</f>
        <v/>
      </c>
      <c r="L35" s="23" t="str">
        <f aca="false">IF(OR($I35="",$K35=""),"",$I35*$K35)</f>
        <v/>
      </c>
      <c r="M35" s="24" t="str">
        <f aca="false">IFERROR(VLOOKUP($C35,MAP_SEC,2,0),"L_SECTION")</f>
        <v>L_SECTION</v>
      </c>
      <c r="N35" s="24" t="str">
        <f aca="false">IFERROR(VLOOKUP($C35&amp;"|"&amp;$D35,MAP_SUB,2,0),"L_SECTION")</f>
        <v>L_SECTION</v>
      </c>
      <c r="O35" s="24" t="str">
        <f aca="false">IFERROR(VLOOKUP($C35&amp;"|"&amp;$D35&amp;"|"&amp;$E35,MAP_SE,2,0),"L_SECTION")</f>
        <v>L_SECTION</v>
      </c>
    </row>
    <row r="36" customFormat="false" ht="15" hidden="false" customHeight="false" outlineLevel="0" collapsed="false">
      <c r="A36" s="5" t="str">
        <f aca="false">IF($C36="","",ROW()-4)</f>
        <v/>
      </c>
      <c r="B36" s="20"/>
      <c r="C36" s="20"/>
      <c r="D36" s="20"/>
      <c r="E36" s="20"/>
      <c r="F36" s="20"/>
      <c r="G36" s="21" t="str">
        <f aca="false">IFERROR(INDEX('Description Library'!$C$6:$C$808,MATCH($C36&amp;"|"&amp;$D36&amp;"|"&amp;$E36&amp;"|"&amp;$F36,'Description Library'!$K$6:$K$808,0)),"")</f>
        <v/>
      </c>
      <c r="H36" s="5" t="str">
        <f aca="false">IFERROR(INDEX('Description Library'!$H$6:$H$808,MATCH($C36&amp;"|"&amp;$D36&amp;"|"&amp;$E36&amp;"|"&amp;$F36,'Description Library'!$K$6:$K$808,0)),"")</f>
        <v/>
      </c>
      <c r="I36" s="22"/>
      <c r="J36" s="5" t="str">
        <f aca="false">IFERROR(INDEX('Description Library'!$I$6:$I$808,MATCH($C36&amp;"|"&amp;$D36&amp;"|"&amp;$E36&amp;"|"&amp;$F36,'Description Library'!$K$6:$K$808,0)),"")</f>
        <v/>
      </c>
      <c r="K36" s="18" t="str">
        <f aca="false">IFERROR(INDEX('Description Library'!$J$6:$J$808,MATCH($C36&amp;"|"&amp;$D36&amp;"|"&amp;$E36&amp;"|"&amp;$F36,'Description Library'!$K$6:$K$808,0)),"")</f>
        <v/>
      </c>
      <c r="L36" s="23" t="str">
        <f aca="false">IF(OR($I36="",$K36=""),"",$I36*$K36)</f>
        <v/>
      </c>
      <c r="M36" s="24" t="str">
        <f aca="false">IFERROR(VLOOKUP($C36,MAP_SEC,2,0),"L_SECTION")</f>
        <v>L_SECTION</v>
      </c>
      <c r="N36" s="24" t="str">
        <f aca="false">IFERROR(VLOOKUP($C36&amp;"|"&amp;$D36,MAP_SUB,2,0),"L_SECTION")</f>
        <v>L_SECTION</v>
      </c>
      <c r="O36" s="24" t="str">
        <f aca="false">IFERROR(VLOOKUP($C36&amp;"|"&amp;$D36&amp;"|"&amp;$E36,MAP_SE,2,0),"L_SECTION")</f>
        <v>L_SECTION</v>
      </c>
    </row>
    <row r="37" customFormat="false" ht="15" hidden="false" customHeight="false" outlineLevel="0" collapsed="false">
      <c r="A37" s="5" t="str">
        <f aca="false">IF($C37="","",ROW()-4)</f>
        <v/>
      </c>
      <c r="B37" s="20"/>
      <c r="C37" s="20"/>
      <c r="D37" s="20"/>
      <c r="E37" s="20"/>
      <c r="F37" s="20"/>
      <c r="G37" s="21" t="str">
        <f aca="false">IFERROR(INDEX('Description Library'!$C$6:$C$808,MATCH($C37&amp;"|"&amp;$D37&amp;"|"&amp;$E37&amp;"|"&amp;$F37,'Description Library'!$K$6:$K$808,0)),"")</f>
        <v/>
      </c>
      <c r="H37" s="5" t="str">
        <f aca="false">IFERROR(INDEX('Description Library'!$H$6:$H$808,MATCH($C37&amp;"|"&amp;$D37&amp;"|"&amp;$E37&amp;"|"&amp;$F37,'Description Library'!$K$6:$K$808,0)),"")</f>
        <v/>
      </c>
      <c r="I37" s="22"/>
      <c r="J37" s="5" t="str">
        <f aca="false">IFERROR(INDEX('Description Library'!$I$6:$I$808,MATCH($C37&amp;"|"&amp;$D37&amp;"|"&amp;$E37&amp;"|"&amp;$F37,'Description Library'!$K$6:$K$808,0)),"")</f>
        <v/>
      </c>
      <c r="K37" s="18" t="str">
        <f aca="false">IFERROR(INDEX('Description Library'!$J$6:$J$808,MATCH($C37&amp;"|"&amp;$D37&amp;"|"&amp;$E37&amp;"|"&amp;$F37,'Description Library'!$K$6:$K$808,0)),"")</f>
        <v/>
      </c>
      <c r="L37" s="23" t="str">
        <f aca="false">IF(OR($I37="",$K37=""),"",$I37*$K37)</f>
        <v/>
      </c>
      <c r="M37" s="24" t="str">
        <f aca="false">IFERROR(VLOOKUP($C37,MAP_SEC,2,0),"L_SECTION")</f>
        <v>L_SECTION</v>
      </c>
      <c r="N37" s="24" t="str">
        <f aca="false">IFERROR(VLOOKUP($C37&amp;"|"&amp;$D37,MAP_SUB,2,0),"L_SECTION")</f>
        <v>L_SECTION</v>
      </c>
      <c r="O37" s="24" t="str">
        <f aca="false">IFERROR(VLOOKUP($C37&amp;"|"&amp;$D37&amp;"|"&amp;$E37,MAP_SE,2,0),"L_SECTION")</f>
        <v>L_SECTION</v>
      </c>
    </row>
    <row r="38" customFormat="false" ht="15" hidden="false" customHeight="false" outlineLevel="0" collapsed="false">
      <c r="A38" s="5" t="str">
        <f aca="false">IF($C38="","",ROW()-4)</f>
        <v/>
      </c>
      <c r="B38" s="20"/>
      <c r="C38" s="20"/>
      <c r="D38" s="20"/>
      <c r="E38" s="20"/>
      <c r="F38" s="20"/>
      <c r="G38" s="21" t="str">
        <f aca="false">IFERROR(INDEX('Description Library'!$C$6:$C$808,MATCH($C38&amp;"|"&amp;$D38&amp;"|"&amp;$E38&amp;"|"&amp;$F38,'Description Library'!$K$6:$K$808,0)),"")</f>
        <v/>
      </c>
      <c r="H38" s="5" t="str">
        <f aca="false">IFERROR(INDEX('Description Library'!$H$6:$H$808,MATCH($C38&amp;"|"&amp;$D38&amp;"|"&amp;$E38&amp;"|"&amp;$F38,'Description Library'!$K$6:$K$808,0)),"")</f>
        <v/>
      </c>
      <c r="I38" s="22"/>
      <c r="J38" s="5" t="str">
        <f aca="false">IFERROR(INDEX('Description Library'!$I$6:$I$808,MATCH($C38&amp;"|"&amp;$D38&amp;"|"&amp;$E38&amp;"|"&amp;$F38,'Description Library'!$K$6:$K$808,0)),"")</f>
        <v/>
      </c>
      <c r="K38" s="18" t="str">
        <f aca="false">IFERROR(INDEX('Description Library'!$J$6:$J$808,MATCH($C38&amp;"|"&amp;$D38&amp;"|"&amp;$E38&amp;"|"&amp;$F38,'Description Library'!$K$6:$K$808,0)),"")</f>
        <v/>
      </c>
      <c r="L38" s="23" t="str">
        <f aca="false">IF(OR($I38="",$K38=""),"",$I38*$K38)</f>
        <v/>
      </c>
      <c r="M38" s="24" t="str">
        <f aca="false">IFERROR(VLOOKUP($C38,MAP_SEC,2,0),"L_SECTION")</f>
        <v>L_SECTION</v>
      </c>
      <c r="N38" s="24" t="str">
        <f aca="false">IFERROR(VLOOKUP($C38&amp;"|"&amp;$D38,MAP_SUB,2,0),"L_SECTION")</f>
        <v>L_SECTION</v>
      </c>
      <c r="O38" s="24" t="str">
        <f aca="false">IFERROR(VLOOKUP($C38&amp;"|"&amp;$D38&amp;"|"&amp;$E38,MAP_SE,2,0),"L_SECTION")</f>
        <v>L_SECTION</v>
      </c>
    </row>
    <row r="39" customFormat="false" ht="15" hidden="false" customHeight="false" outlineLevel="0" collapsed="false">
      <c r="A39" s="5" t="str">
        <f aca="false">IF($C39="","",ROW()-4)</f>
        <v/>
      </c>
      <c r="B39" s="20"/>
      <c r="C39" s="20"/>
      <c r="D39" s="20"/>
      <c r="E39" s="20"/>
      <c r="F39" s="20"/>
      <c r="G39" s="21" t="str">
        <f aca="false">IFERROR(INDEX('Description Library'!$C$6:$C$808,MATCH($C39&amp;"|"&amp;$D39&amp;"|"&amp;$E39&amp;"|"&amp;$F39,'Description Library'!$K$6:$K$808,0)),"")</f>
        <v/>
      </c>
      <c r="H39" s="5" t="str">
        <f aca="false">IFERROR(INDEX('Description Library'!$H$6:$H$808,MATCH($C39&amp;"|"&amp;$D39&amp;"|"&amp;$E39&amp;"|"&amp;$F39,'Description Library'!$K$6:$K$808,0)),"")</f>
        <v/>
      </c>
      <c r="I39" s="22"/>
      <c r="J39" s="5" t="str">
        <f aca="false">IFERROR(INDEX('Description Library'!$I$6:$I$808,MATCH($C39&amp;"|"&amp;$D39&amp;"|"&amp;$E39&amp;"|"&amp;$F39,'Description Library'!$K$6:$K$808,0)),"")</f>
        <v/>
      </c>
      <c r="K39" s="18" t="str">
        <f aca="false">IFERROR(INDEX('Description Library'!$J$6:$J$808,MATCH($C39&amp;"|"&amp;$D39&amp;"|"&amp;$E39&amp;"|"&amp;$F39,'Description Library'!$K$6:$K$808,0)),"")</f>
        <v/>
      </c>
      <c r="L39" s="23" t="str">
        <f aca="false">IF(OR($I39="",$K39=""),"",$I39*$K39)</f>
        <v/>
      </c>
      <c r="M39" s="24" t="str">
        <f aca="false">IFERROR(VLOOKUP($C39,MAP_SEC,2,0),"L_SECTION")</f>
        <v>L_SECTION</v>
      </c>
      <c r="N39" s="24" t="str">
        <f aca="false">IFERROR(VLOOKUP($C39&amp;"|"&amp;$D39,MAP_SUB,2,0),"L_SECTION")</f>
        <v>L_SECTION</v>
      </c>
      <c r="O39" s="24" t="str">
        <f aca="false">IFERROR(VLOOKUP($C39&amp;"|"&amp;$D39&amp;"|"&amp;$E39,MAP_SE,2,0),"L_SECTION")</f>
        <v>L_SECTION</v>
      </c>
    </row>
    <row r="40" customFormat="false" ht="15" hidden="false" customHeight="false" outlineLevel="0" collapsed="false">
      <c r="A40" s="5" t="str">
        <f aca="false">IF($C40="","",ROW()-4)</f>
        <v/>
      </c>
      <c r="B40" s="20"/>
      <c r="C40" s="20"/>
      <c r="D40" s="20"/>
      <c r="E40" s="20"/>
      <c r="F40" s="20"/>
      <c r="G40" s="21" t="str">
        <f aca="false">IFERROR(INDEX('Description Library'!$C$6:$C$808,MATCH($C40&amp;"|"&amp;$D40&amp;"|"&amp;$E40&amp;"|"&amp;$F40,'Description Library'!$K$6:$K$808,0)),"")</f>
        <v/>
      </c>
      <c r="H40" s="5" t="str">
        <f aca="false">IFERROR(INDEX('Description Library'!$H$6:$H$808,MATCH($C40&amp;"|"&amp;$D40&amp;"|"&amp;$E40&amp;"|"&amp;$F40,'Description Library'!$K$6:$K$808,0)),"")</f>
        <v/>
      </c>
      <c r="I40" s="22"/>
      <c r="J40" s="5" t="str">
        <f aca="false">IFERROR(INDEX('Description Library'!$I$6:$I$808,MATCH($C40&amp;"|"&amp;$D40&amp;"|"&amp;$E40&amp;"|"&amp;$F40,'Description Library'!$K$6:$K$808,0)),"")</f>
        <v/>
      </c>
      <c r="K40" s="18" t="str">
        <f aca="false">IFERROR(INDEX('Description Library'!$J$6:$J$808,MATCH($C40&amp;"|"&amp;$D40&amp;"|"&amp;$E40&amp;"|"&amp;$F40,'Description Library'!$K$6:$K$808,0)),"")</f>
        <v/>
      </c>
      <c r="L40" s="23" t="str">
        <f aca="false">IF(OR($I40="",$K40=""),"",$I40*$K40)</f>
        <v/>
      </c>
      <c r="M40" s="24" t="str">
        <f aca="false">IFERROR(VLOOKUP($C40,MAP_SEC,2,0),"L_SECTION")</f>
        <v>L_SECTION</v>
      </c>
      <c r="N40" s="24" t="str">
        <f aca="false">IFERROR(VLOOKUP($C40&amp;"|"&amp;$D40,MAP_SUB,2,0),"L_SECTION")</f>
        <v>L_SECTION</v>
      </c>
      <c r="O40" s="24" t="str">
        <f aca="false">IFERROR(VLOOKUP($C40&amp;"|"&amp;$D40&amp;"|"&amp;$E40,MAP_SE,2,0),"L_SECTION")</f>
        <v>L_SECTION</v>
      </c>
    </row>
    <row r="41" customFormat="false" ht="15" hidden="false" customHeight="false" outlineLevel="0" collapsed="false">
      <c r="A41" s="5" t="str">
        <f aca="false">IF($C41="","",ROW()-4)</f>
        <v/>
      </c>
      <c r="B41" s="20"/>
      <c r="C41" s="20"/>
      <c r="D41" s="20"/>
      <c r="E41" s="20"/>
      <c r="F41" s="20"/>
      <c r="G41" s="21" t="str">
        <f aca="false">IFERROR(INDEX('Description Library'!$C$6:$C$808,MATCH($C41&amp;"|"&amp;$D41&amp;"|"&amp;$E41&amp;"|"&amp;$F41,'Description Library'!$K$6:$K$808,0)),"")</f>
        <v/>
      </c>
      <c r="H41" s="5" t="str">
        <f aca="false">IFERROR(INDEX('Description Library'!$H$6:$H$808,MATCH($C41&amp;"|"&amp;$D41&amp;"|"&amp;$E41&amp;"|"&amp;$F41,'Description Library'!$K$6:$K$808,0)),"")</f>
        <v/>
      </c>
      <c r="I41" s="22"/>
      <c r="J41" s="5" t="str">
        <f aca="false">IFERROR(INDEX('Description Library'!$I$6:$I$808,MATCH($C41&amp;"|"&amp;$D41&amp;"|"&amp;$E41&amp;"|"&amp;$F41,'Description Library'!$K$6:$K$808,0)),"")</f>
        <v/>
      </c>
      <c r="K41" s="18" t="str">
        <f aca="false">IFERROR(INDEX('Description Library'!$J$6:$J$808,MATCH($C41&amp;"|"&amp;$D41&amp;"|"&amp;$E41&amp;"|"&amp;$F41,'Description Library'!$K$6:$K$808,0)),"")</f>
        <v/>
      </c>
      <c r="L41" s="23" t="str">
        <f aca="false">IF(OR($I41="",$K41=""),"",$I41*$K41)</f>
        <v/>
      </c>
      <c r="M41" s="24" t="str">
        <f aca="false">IFERROR(VLOOKUP($C41,MAP_SEC,2,0),"L_SECTION")</f>
        <v>L_SECTION</v>
      </c>
      <c r="N41" s="24" t="str">
        <f aca="false">IFERROR(VLOOKUP($C41&amp;"|"&amp;$D41,MAP_SUB,2,0),"L_SECTION")</f>
        <v>L_SECTION</v>
      </c>
      <c r="O41" s="24" t="str">
        <f aca="false">IFERROR(VLOOKUP($C41&amp;"|"&amp;$D41&amp;"|"&amp;$E41,MAP_SE,2,0),"L_SECTION")</f>
        <v>L_SECTION</v>
      </c>
    </row>
    <row r="42" customFormat="false" ht="15" hidden="false" customHeight="false" outlineLevel="0" collapsed="false">
      <c r="A42" s="5" t="str">
        <f aca="false">IF($C42="","",ROW()-4)</f>
        <v/>
      </c>
      <c r="B42" s="20"/>
      <c r="C42" s="20"/>
      <c r="D42" s="20"/>
      <c r="E42" s="20"/>
      <c r="F42" s="20"/>
      <c r="G42" s="21" t="str">
        <f aca="false">IFERROR(INDEX('Description Library'!$C$6:$C$808,MATCH($C42&amp;"|"&amp;$D42&amp;"|"&amp;$E42&amp;"|"&amp;$F42,'Description Library'!$K$6:$K$808,0)),"")</f>
        <v/>
      </c>
      <c r="H42" s="5" t="str">
        <f aca="false">IFERROR(INDEX('Description Library'!$H$6:$H$808,MATCH($C42&amp;"|"&amp;$D42&amp;"|"&amp;$E42&amp;"|"&amp;$F42,'Description Library'!$K$6:$K$808,0)),"")</f>
        <v/>
      </c>
      <c r="I42" s="22"/>
      <c r="J42" s="5" t="str">
        <f aca="false">IFERROR(INDEX('Description Library'!$I$6:$I$808,MATCH($C42&amp;"|"&amp;$D42&amp;"|"&amp;$E42&amp;"|"&amp;$F42,'Description Library'!$K$6:$K$808,0)),"")</f>
        <v/>
      </c>
      <c r="K42" s="18" t="str">
        <f aca="false">IFERROR(INDEX('Description Library'!$J$6:$J$808,MATCH($C42&amp;"|"&amp;$D42&amp;"|"&amp;$E42&amp;"|"&amp;$F42,'Description Library'!$K$6:$K$808,0)),"")</f>
        <v/>
      </c>
      <c r="L42" s="23" t="str">
        <f aca="false">IF(OR($I42="",$K42=""),"",$I42*$K42)</f>
        <v/>
      </c>
      <c r="M42" s="24" t="str">
        <f aca="false">IFERROR(VLOOKUP($C42,MAP_SEC,2,0),"L_SECTION")</f>
        <v>L_SECTION</v>
      </c>
      <c r="N42" s="24" t="str">
        <f aca="false">IFERROR(VLOOKUP($C42&amp;"|"&amp;$D42,MAP_SUB,2,0),"L_SECTION")</f>
        <v>L_SECTION</v>
      </c>
      <c r="O42" s="24" t="str">
        <f aca="false">IFERROR(VLOOKUP($C42&amp;"|"&amp;$D42&amp;"|"&amp;$E42,MAP_SE,2,0),"L_SECTION")</f>
        <v>L_SECTION</v>
      </c>
    </row>
    <row r="43" customFormat="false" ht="15" hidden="false" customHeight="false" outlineLevel="0" collapsed="false">
      <c r="A43" s="5" t="str">
        <f aca="false">IF($C43="","",ROW()-4)</f>
        <v/>
      </c>
      <c r="B43" s="20"/>
      <c r="C43" s="20"/>
      <c r="D43" s="20"/>
      <c r="E43" s="20"/>
      <c r="F43" s="20"/>
      <c r="G43" s="21" t="str">
        <f aca="false">IFERROR(INDEX('Description Library'!$C$6:$C$808,MATCH($C43&amp;"|"&amp;$D43&amp;"|"&amp;$E43&amp;"|"&amp;$F43,'Description Library'!$K$6:$K$808,0)),"")</f>
        <v/>
      </c>
      <c r="H43" s="5" t="str">
        <f aca="false">IFERROR(INDEX('Description Library'!$H$6:$H$808,MATCH($C43&amp;"|"&amp;$D43&amp;"|"&amp;$E43&amp;"|"&amp;$F43,'Description Library'!$K$6:$K$808,0)),"")</f>
        <v/>
      </c>
      <c r="I43" s="22"/>
      <c r="J43" s="5" t="str">
        <f aca="false">IFERROR(INDEX('Description Library'!$I$6:$I$808,MATCH($C43&amp;"|"&amp;$D43&amp;"|"&amp;$E43&amp;"|"&amp;$F43,'Description Library'!$K$6:$K$808,0)),"")</f>
        <v/>
      </c>
      <c r="K43" s="18" t="str">
        <f aca="false">IFERROR(INDEX('Description Library'!$J$6:$J$808,MATCH($C43&amp;"|"&amp;$D43&amp;"|"&amp;$E43&amp;"|"&amp;$F43,'Description Library'!$K$6:$K$808,0)),"")</f>
        <v/>
      </c>
      <c r="L43" s="23" t="str">
        <f aca="false">IF(OR($I43="",$K43=""),"",$I43*$K43)</f>
        <v/>
      </c>
      <c r="M43" s="24" t="str">
        <f aca="false">IFERROR(VLOOKUP($C43,MAP_SEC,2,0),"L_SECTION")</f>
        <v>L_SECTION</v>
      </c>
      <c r="N43" s="24" t="str">
        <f aca="false">IFERROR(VLOOKUP($C43&amp;"|"&amp;$D43,MAP_SUB,2,0),"L_SECTION")</f>
        <v>L_SECTION</v>
      </c>
      <c r="O43" s="24" t="str">
        <f aca="false">IFERROR(VLOOKUP($C43&amp;"|"&amp;$D43&amp;"|"&amp;$E43,MAP_SE,2,0),"L_SECTION")</f>
        <v>L_SECTION</v>
      </c>
    </row>
    <row r="44" customFormat="false" ht="15" hidden="false" customHeight="false" outlineLevel="0" collapsed="false">
      <c r="A44" s="5" t="str">
        <f aca="false">IF($C44="","",ROW()-4)</f>
        <v/>
      </c>
      <c r="B44" s="20"/>
      <c r="C44" s="20"/>
      <c r="D44" s="20"/>
      <c r="E44" s="20"/>
      <c r="F44" s="20"/>
      <c r="G44" s="21" t="str">
        <f aca="false">IFERROR(INDEX('Description Library'!$C$6:$C$808,MATCH($C44&amp;"|"&amp;$D44&amp;"|"&amp;$E44&amp;"|"&amp;$F44,'Description Library'!$K$6:$K$808,0)),"")</f>
        <v/>
      </c>
      <c r="H44" s="5" t="str">
        <f aca="false">IFERROR(INDEX('Description Library'!$H$6:$H$808,MATCH($C44&amp;"|"&amp;$D44&amp;"|"&amp;$E44&amp;"|"&amp;$F44,'Description Library'!$K$6:$K$808,0)),"")</f>
        <v/>
      </c>
      <c r="I44" s="22"/>
      <c r="J44" s="5" t="str">
        <f aca="false">IFERROR(INDEX('Description Library'!$I$6:$I$808,MATCH($C44&amp;"|"&amp;$D44&amp;"|"&amp;$E44&amp;"|"&amp;$F44,'Description Library'!$K$6:$K$808,0)),"")</f>
        <v/>
      </c>
      <c r="K44" s="18" t="str">
        <f aca="false">IFERROR(INDEX('Description Library'!$J$6:$J$808,MATCH($C44&amp;"|"&amp;$D44&amp;"|"&amp;$E44&amp;"|"&amp;$F44,'Description Library'!$K$6:$K$808,0)),"")</f>
        <v/>
      </c>
      <c r="L44" s="23" t="str">
        <f aca="false">IF(OR($I44="",$K44=""),"",$I44*$K44)</f>
        <v/>
      </c>
      <c r="M44" s="24" t="str">
        <f aca="false">IFERROR(VLOOKUP($C44,MAP_SEC,2,0),"L_SECTION")</f>
        <v>L_SECTION</v>
      </c>
      <c r="N44" s="24" t="str">
        <f aca="false">IFERROR(VLOOKUP($C44&amp;"|"&amp;$D44,MAP_SUB,2,0),"L_SECTION")</f>
        <v>L_SECTION</v>
      </c>
      <c r="O44" s="24" t="str">
        <f aca="false">IFERROR(VLOOKUP($C44&amp;"|"&amp;$D44&amp;"|"&amp;$E44,MAP_SE,2,0),"L_SECTION")</f>
        <v>L_SECTION</v>
      </c>
    </row>
    <row r="45" customFormat="false" ht="15" hidden="false" customHeight="false" outlineLevel="0" collapsed="false">
      <c r="A45" s="5" t="str">
        <f aca="false">IF($C45="","",ROW()-4)</f>
        <v/>
      </c>
      <c r="B45" s="20"/>
      <c r="C45" s="20"/>
      <c r="D45" s="20"/>
      <c r="E45" s="20"/>
      <c r="F45" s="20"/>
      <c r="G45" s="21" t="str">
        <f aca="false">IFERROR(INDEX('Description Library'!$C$6:$C$808,MATCH($C45&amp;"|"&amp;$D45&amp;"|"&amp;$E45&amp;"|"&amp;$F45,'Description Library'!$K$6:$K$808,0)),"")</f>
        <v/>
      </c>
      <c r="H45" s="5" t="str">
        <f aca="false">IFERROR(INDEX('Description Library'!$H$6:$H$808,MATCH($C45&amp;"|"&amp;$D45&amp;"|"&amp;$E45&amp;"|"&amp;$F45,'Description Library'!$K$6:$K$808,0)),"")</f>
        <v/>
      </c>
      <c r="I45" s="22"/>
      <c r="J45" s="5" t="str">
        <f aca="false">IFERROR(INDEX('Description Library'!$I$6:$I$808,MATCH($C45&amp;"|"&amp;$D45&amp;"|"&amp;$E45&amp;"|"&amp;$F45,'Description Library'!$K$6:$K$808,0)),"")</f>
        <v/>
      </c>
      <c r="K45" s="18" t="str">
        <f aca="false">IFERROR(INDEX('Description Library'!$J$6:$J$808,MATCH($C45&amp;"|"&amp;$D45&amp;"|"&amp;$E45&amp;"|"&amp;$F45,'Description Library'!$K$6:$K$808,0)),"")</f>
        <v/>
      </c>
      <c r="L45" s="23" t="str">
        <f aca="false">IF(OR($I45="",$K45=""),"",$I45*$K45)</f>
        <v/>
      </c>
      <c r="M45" s="24" t="str">
        <f aca="false">IFERROR(VLOOKUP($C45,MAP_SEC,2,0),"L_SECTION")</f>
        <v>L_SECTION</v>
      </c>
      <c r="N45" s="24" t="str">
        <f aca="false">IFERROR(VLOOKUP($C45&amp;"|"&amp;$D45,MAP_SUB,2,0),"L_SECTION")</f>
        <v>L_SECTION</v>
      </c>
      <c r="O45" s="24" t="str">
        <f aca="false">IFERROR(VLOOKUP($C45&amp;"|"&amp;$D45&amp;"|"&amp;$E45,MAP_SE,2,0),"L_SECTION")</f>
        <v>L_SECTION</v>
      </c>
    </row>
    <row r="46" customFormat="false" ht="15" hidden="false" customHeight="false" outlineLevel="0" collapsed="false">
      <c r="A46" s="5" t="str">
        <f aca="false">IF($C46="","",ROW()-4)</f>
        <v/>
      </c>
      <c r="B46" s="20"/>
      <c r="C46" s="20"/>
      <c r="D46" s="20"/>
      <c r="E46" s="20"/>
      <c r="F46" s="20"/>
      <c r="G46" s="21" t="str">
        <f aca="false">IFERROR(INDEX('Description Library'!$C$6:$C$808,MATCH($C46&amp;"|"&amp;$D46&amp;"|"&amp;$E46&amp;"|"&amp;$F46,'Description Library'!$K$6:$K$808,0)),"")</f>
        <v/>
      </c>
      <c r="H46" s="5" t="str">
        <f aca="false">IFERROR(INDEX('Description Library'!$H$6:$H$808,MATCH($C46&amp;"|"&amp;$D46&amp;"|"&amp;$E46&amp;"|"&amp;$F46,'Description Library'!$K$6:$K$808,0)),"")</f>
        <v/>
      </c>
      <c r="I46" s="22"/>
      <c r="J46" s="5" t="str">
        <f aca="false">IFERROR(INDEX('Description Library'!$I$6:$I$808,MATCH($C46&amp;"|"&amp;$D46&amp;"|"&amp;$E46&amp;"|"&amp;$F46,'Description Library'!$K$6:$K$808,0)),"")</f>
        <v/>
      </c>
      <c r="K46" s="18" t="str">
        <f aca="false">IFERROR(INDEX('Description Library'!$J$6:$J$808,MATCH($C46&amp;"|"&amp;$D46&amp;"|"&amp;$E46&amp;"|"&amp;$F46,'Description Library'!$K$6:$K$808,0)),"")</f>
        <v/>
      </c>
      <c r="L46" s="23" t="str">
        <f aca="false">IF(OR($I46="",$K46=""),"",$I46*$K46)</f>
        <v/>
      </c>
      <c r="M46" s="24" t="str">
        <f aca="false">IFERROR(VLOOKUP($C46,MAP_SEC,2,0),"L_SECTION")</f>
        <v>L_SECTION</v>
      </c>
      <c r="N46" s="24" t="str">
        <f aca="false">IFERROR(VLOOKUP($C46&amp;"|"&amp;$D46,MAP_SUB,2,0),"L_SECTION")</f>
        <v>L_SECTION</v>
      </c>
      <c r="O46" s="24" t="str">
        <f aca="false">IFERROR(VLOOKUP($C46&amp;"|"&amp;$D46&amp;"|"&amp;$E46,MAP_SE,2,0),"L_SECTION")</f>
        <v>L_SECTION</v>
      </c>
    </row>
    <row r="47" customFormat="false" ht="15" hidden="false" customHeight="false" outlineLevel="0" collapsed="false">
      <c r="A47" s="5" t="str">
        <f aca="false">IF($C47="","",ROW()-4)</f>
        <v/>
      </c>
      <c r="B47" s="20"/>
      <c r="C47" s="20"/>
      <c r="D47" s="20"/>
      <c r="E47" s="20"/>
      <c r="F47" s="20"/>
      <c r="G47" s="21" t="str">
        <f aca="false">IFERROR(INDEX('Description Library'!$C$6:$C$808,MATCH($C47&amp;"|"&amp;$D47&amp;"|"&amp;$E47&amp;"|"&amp;$F47,'Description Library'!$K$6:$K$808,0)),"")</f>
        <v/>
      </c>
      <c r="H47" s="5" t="str">
        <f aca="false">IFERROR(INDEX('Description Library'!$H$6:$H$808,MATCH($C47&amp;"|"&amp;$D47&amp;"|"&amp;$E47&amp;"|"&amp;$F47,'Description Library'!$K$6:$K$808,0)),"")</f>
        <v/>
      </c>
      <c r="I47" s="22"/>
      <c r="J47" s="5" t="str">
        <f aca="false">IFERROR(INDEX('Description Library'!$I$6:$I$808,MATCH($C47&amp;"|"&amp;$D47&amp;"|"&amp;$E47&amp;"|"&amp;$F47,'Description Library'!$K$6:$K$808,0)),"")</f>
        <v/>
      </c>
      <c r="K47" s="18" t="str">
        <f aca="false">IFERROR(INDEX('Description Library'!$J$6:$J$808,MATCH($C47&amp;"|"&amp;$D47&amp;"|"&amp;$E47&amp;"|"&amp;$F47,'Description Library'!$K$6:$K$808,0)),"")</f>
        <v/>
      </c>
      <c r="L47" s="23" t="str">
        <f aca="false">IF(OR($I47="",$K47=""),"",$I47*$K47)</f>
        <v/>
      </c>
      <c r="M47" s="24" t="str">
        <f aca="false">IFERROR(VLOOKUP($C47,MAP_SEC,2,0),"L_SECTION")</f>
        <v>L_SECTION</v>
      </c>
      <c r="N47" s="24" t="str">
        <f aca="false">IFERROR(VLOOKUP($C47&amp;"|"&amp;$D47,MAP_SUB,2,0),"L_SECTION")</f>
        <v>L_SECTION</v>
      </c>
      <c r="O47" s="24" t="str">
        <f aca="false">IFERROR(VLOOKUP($C47&amp;"|"&amp;$D47&amp;"|"&amp;$E47,MAP_SE,2,0),"L_SECTION")</f>
        <v>L_SECTION</v>
      </c>
    </row>
    <row r="48" customFormat="false" ht="15" hidden="false" customHeight="false" outlineLevel="0" collapsed="false">
      <c r="A48" s="5" t="str">
        <f aca="false">IF($C48="","",ROW()-4)</f>
        <v/>
      </c>
      <c r="B48" s="20"/>
      <c r="C48" s="20"/>
      <c r="D48" s="20"/>
      <c r="E48" s="20"/>
      <c r="F48" s="20"/>
      <c r="G48" s="21" t="str">
        <f aca="false">IFERROR(INDEX('Description Library'!$C$6:$C$808,MATCH($C48&amp;"|"&amp;$D48&amp;"|"&amp;$E48&amp;"|"&amp;$F48,'Description Library'!$K$6:$K$808,0)),"")</f>
        <v/>
      </c>
      <c r="H48" s="5" t="str">
        <f aca="false">IFERROR(INDEX('Description Library'!$H$6:$H$808,MATCH($C48&amp;"|"&amp;$D48&amp;"|"&amp;$E48&amp;"|"&amp;$F48,'Description Library'!$K$6:$K$808,0)),"")</f>
        <v/>
      </c>
      <c r="I48" s="22"/>
      <c r="J48" s="5" t="str">
        <f aca="false">IFERROR(INDEX('Description Library'!$I$6:$I$808,MATCH($C48&amp;"|"&amp;$D48&amp;"|"&amp;$E48&amp;"|"&amp;$F48,'Description Library'!$K$6:$K$808,0)),"")</f>
        <v/>
      </c>
      <c r="K48" s="18" t="str">
        <f aca="false">IFERROR(INDEX('Description Library'!$J$6:$J$808,MATCH($C48&amp;"|"&amp;$D48&amp;"|"&amp;$E48&amp;"|"&amp;$F48,'Description Library'!$K$6:$K$808,0)),"")</f>
        <v/>
      </c>
      <c r="L48" s="23" t="str">
        <f aca="false">IF(OR($I48="",$K48=""),"",$I48*$K48)</f>
        <v/>
      </c>
      <c r="M48" s="24" t="str">
        <f aca="false">IFERROR(VLOOKUP($C48,MAP_SEC,2,0),"L_SECTION")</f>
        <v>L_SECTION</v>
      </c>
      <c r="N48" s="24" t="str">
        <f aca="false">IFERROR(VLOOKUP($C48&amp;"|"&amp;$D48,MAP_SUB,2,0),"L_SECTION")</f>
        <v>L_SECTION</v>
      </c>
      <c r="O48" s="24" t="str">
        <f aca="false">IFERROR(VLOOKUP($C48&amp;"|"&amp;$D48&amp;"|"&amp;$E48,MAP_SE,2,0),"L_SECTION")</f>
        <v>L_SECTION</v>
      </c>
    </row>
    <row r="49" customFormat="false" ht="15" hidden="false" customHeight="false" outlineLevel="0" collapsed="false">
      <c r="A49" s="5" t="str">
        <f aca="false">IF($C49="","",ROW()-4)</f>
        <v/>
      </c>
      <c r="B49" s="20"/>
      <c r="C49" s="20"/>
      <c r="D49" s="20"/>
      <c r="E49" s="20"/>
      <c r="F49" s="20"/>
      <c r="G49" s="21" t="str">
        <f aca="false">IFERROR(INDEX('Description Library'!$C$6:$C$808,MATCH($C49&amp;"|"&amp;$D49&amp;"|"&amp;$E49&amp;"|"&amp;$F49,'Description Library'!$K$6:$K$808,0)),"")</f>
        <v/>
      </c>
      <c r="H49" s="5" t="str">
        <f aca="false">IFERROR(INDEX('Description Library'!$H$6:$H$808,MATCH($C49&amp;"|"&amp;$D49&amp;"|"&amp;$E49&amp;"|"&amp;$F49,'Description Library'!$K$6:$K$808,0)),"")</f>
        <v/>
      </c>
      <c r="I49" s="22"/>
      <c r="J49" s="5" t="str">
        <f aca="false">IFERROR(INDEX('Description Library'!$I$6:$I$808,MATCH($C49&amp;"|"&amp;$D49&amp;"|"&amp;$E49&amp;"|"&amp;$F49,'Description Library'!$K$6:$K$808,0)),"")</f>
        <v/>
      </c>
      <c r="K49" s="18" t="str">
        <f aca="false">IFERROR(INDEX('Description Library'!$J$6:$J$808,MATCH($C49&amp;"|"&amp;$D49&amp;"|"&amp;$E49&amp;"|"&amp;$F49,'Description Library'!$K$6:$K$808,0)),"")</f>
        <v/>
      </c>
      <c r="L49" s="23" t="str">
        <f aca="false">IF(OR($I49="",$K49=""),"",$I49*$K49)</f>
        <v/>
      </c>
      <c r="M49" s="24" t="str">
        <f aca="false">IFERROR(VLOOKUP($C49,MAP_SEC,2,0),"L_SECTION")</f>
        <v>L_SECTION</v>
      </c>
      <c r="N49" s="24" t="str">
        <f aca="false">IFERROR(VLOOKUP($C49&amp;"|"&amp;$D49,MAP_SUB,2,0),"L_SECTION")</f>
        <v>L_SECTION</v>
      </c>
      <c r="O49" s="24" t="str">
        <f aca="false">IFERROR(VLOOKUP($C49&amp;"|"&amp;$D49&amp;"|"&amp;$E49,MAP_SE,2,0),"L_SECTION")</f>
        <v>L_SECTION</v>
      </c>
    </row>
    <row r="50" customFormat="false" ht="15" hidden="false" customHeight="false" outlineLevel="0" collapsed="false">
      <c r="A50" s="5" t="str">
        <f aca="false">IF($C50="","",ROW()-4)</f>
        <v/>
      </c>
      <c r="B50" s="20"/>
      <c r="C50" s="20"/>
      <c r="D50" s="20"/>
      <c r="E50" s="20"/>
      <c r="F50" s="20"/>
      <c r="G50" s="21" t="str">
        <f aca="false">IFERROR(INDEX('Description Library'!$C$6:$C$808,MATCH($C50&amp;"|"&amp;$D50&amp;"|"&amp;$E50&amp;"|"&amp;$F50,'Description Library'!$K$6:$K$808,0)),"")</f>
        <v/>
      </c>
      <c r="H50" s="5" t="str">
        <f aca="false">IFERROR(INDEX('Description Library'!$H$6:$H$808,MATCH($C50&amp;"|"&amp;$D50&amp;"|"&amp;$E50&amp;"|"&amp;$F50,'Description Library'!$K$6:$K$808,0)),"")</f>
        <v/>
      </c>
      <c r="I50" s="22"/>
      <c r="J50" s="5" t="str">
        <f aca="false">IFERROR(INDEX('Description Library'!$I$6:$I$808,MATCH($C50&amp;"|"&amp;$D50&amp;"|"&amp;$E50&amp;"|"&amp;$F50,'Description Library'!$K$6:$K$808,0)),"")</f>
        <v/>
      </c>
      <c r="K50" s="18" t="str">
        <f aca="false">IFERROR(INDEX('Description Library'!$J$6:$J$808,MATCH($C50&amp;"|"&amp;$D50&amp;"|"&amp;$E50&amp;"|"&amp;$F50,'Description Library'!$K$6:$K$808,0)),"")</f>
        <v/>
      </c>
      <c r="L50" s="23" t="str">
        <f aca="false">IF(OR($I50="",$K50=""),"",$I50*$K50)</f>
        <v/>
      </c>
      <c r="M50" s="24" t="str">
        <f aca="false">IFERROR(VLOOKUP($C50,MAP_SEC,2,0),"L_SECTION")</f>
        <v>L_SECTION</v>
      </c>
      <c r="N50" s="24" t="str">
        <f aca="false">IFERROR(VLOOKUP($C50&amp;"|"&amp;$D50,MAP_SUB,2,0),"L_SECTION")</f>
        <v>L_SECTION</v>
      </c>
      <c r="O50" s="24" t="str">
        <f aca="false">IFERROR(VLOOKUP($C50&amp;"|"&amp;$D50&amp;"|"&amp;$E50,MAP_SE,2,0),"L_SECTION")</f>
        <v>L_SECTION</v>
      </c>
    </row>
    <row r="51" customFormat="false" ht="15" hidden="false" customHeight="false" outlineLevel="0" collapsed="false">
      <c r="A51" s="5" t="str">
        <f aca="false">IF($C51="","",ROW()-4)</f>
        <v/>
      </c>
      <c r="B51" s="20"/>
      <c r="C51" s="20"/>
      <c r="D51" s="20"/>
      <c r="E51" s="20"/>
      <c r="F51" s="20"/>
      <c r="G51" s="21" t="str">
        <f aca="false">IFERROR(INDEX('Description Library'!$C$6:$C$808,MATCH($C51&amp;"|"&amp;$D51&amp;"|"&amp;$E51&amp;"|"&amp;$F51,'Description Library'!$K$6:$K$808,0)),"")</f>
        <v/>
      </c>
      <c r="H51" s="5" t="str">
        <f aca="false">IFERROR(INDEX('Description Library'!$H$6:$H$808,MATCH($C51&amp;"|"&amp;$D51&amp;"|"&amp;$E51&amp;"|"&amp;$F51,'Description Library'!$K$6:$K$808,0)),"")</f>
        <v/>
      </c>
      <c r="I51" s="22"/>
      <c r="J51" s="5" t="str">
        <f aca="false">IFERROR(INDEX('Description Library'!$I$6:$I$808,MATCH($C51&amp;"|"&amp;$D51&amp;"|"&amp;$E51&amp;"|"&amp;$F51,'Description Library'!$K$6:$K$808,0)),"")</f>
        <v/>
      </c>
      <c r="K51" s="18" t="str">
        <f aca="false">IFERROR(INDEX('Description Library'!$J$6:$J$808,MATCH($C51&amp;"|"&amp;$D51&amp;"|"&amp;$E51&amp;"|"&amp;$F51,'Description Library'!$K$6:$K$808,0)),"")</f>
        <v/>
      </c>
      <c r="L51" s="23" t="str">
        <f aca="false">IF(OR($I51="",$K51=""),"",$I51*$K51)</f>
        <v/>
      </c>
      <c r="M51" s="24" t="str">
        <f aca="false">IFERROR(VLOOKUP($C51,MAP_SEC,2,0),"L_SECTION")</f>
        <v>L_SECTION</v>
      </c>
      <c r="N51" s="24" t="str">
        <f aca="false">IFERROR(VLOOKUP($C51&amp;"|"&amp;$D51,MAP_SUB,2,0),"L_SECTION")</f>
        <v>L_SECTION</v>
      </c>
      <c r="O51" s="24" t="str">
        <f aca="false">IFERROR(VLOOKUP($C51&amp;"|"&amp;$D51&amp;"|"&amp;$E51,MAP_SE,2,0),"L_SECTION")</f>
        <v>L_SECTION</v>
      </c>
    </row>
    <row r="52" customFormat="false" ht="15" hidden="false" customHeight="false" outlineLevel="0" collapsed="false">
      <c r="A52" s="5" t="str">
        <f aca="false">IF($C52="","",ROW()-4)</f>
        <v/>
      </c>
      <c r="B52" s="20"/>
      <c r="C52" s="20"/>
      <c r="D52" s="20"/>
      <c r="E52" s="20"/>
      <c r="F52" s="20"/>
      <c r="G52" s="21" t="str">
        <f aca="false">IFERROR(INDEX('Description Library'!$C$6:$C$808,MATCH($C52&amp;"|"&amp;$D52&amp;"|"&amp;$E52&amp;"|"&amp;$F52,'Description Library'!$K$6:$K$808,0)),"")</f>
        <v/>
      </c>
      <c r="H52" s="5" t="str">
        <f aca="false">IFERROR(INDEX('Description Library'!$H$6:$H$808,MATCH($C52&amp;"|"&amp;$D52&amp;"|"&amp;$E52&amp;"|"&amp;$F52,'Description Library'!$K$6:$K$808,0)),"")</f>
        <v/>
      </c>
      <c r="I52" s="22"/>
      <c r="J52" s="5" t="str">
        <f aca="false">IFERROR(INDEX('Description Library'!$I$6:$I$808,MATCH($C52&amp;"|"&amp;$D52&amp;"|"&amp;$E52&amp;"|"&amp;$F52,'Description Library'!$K$6:$K$808,0)),"")</f>
        <v/>
      </c>
      <c r="K52" s="18" t="str">
        <f aca="false">IFERROR(INDEX('Description Library'!$J$6:$J$808,MATCH($C52&amp;"|"&amp;$D52&amp;"|"&amp;$E52&amp;"|"&amp;$F52,'Description Library'!$K$6:$K$808,0)),"")</f>
        <v/>
      </c>
      <c r="L52" s="23" t="str">
        <f aca="false">IF(OR($I52="",$K52=""),"",$I52*$K52)</f>
        <v/>
      </c>
      <c r="M52" s="24" t="str">
        <f aca="false">IFERROR(VLOOKUP($C52,MAP_SEC,2,0),"L_SECTION")</f>
        <v>L_SECTION</v>
      </c>
      <c r="N52" s="24" t="str">
        <f aca="false">IFERROR(VLOOKUP($C52&amp;"|"&amp;$D52,MAP_SUB,2,0),"L_SECTION")</f>
        <v>L_SECTION</v>
      </c>
      <c r="O52" s="24" t="str">
        <f aca="false">IFERROR(VLOOKUP($C52&amp;"|"&amp;$D52&amp;"|"&amp;$E52,MAP_SE,2,0),"L_SECTION")</f>
        <v>L_SECTION</v>
      </c>
    </row>
    <row r="53" customFormat="false" ht="15" hidden="false" customHeight="false" outlineLevel="0" collapsed="false">
      <c r="A53" s="5" t="str">
        <f aca="false">IF($C53="","",ROW()-4)</f>
        <v/>
      </c>
      <c r="B53" s="20"/>
      <c r="C53" s="20"/>
      <c r="D53" s="20"/>
      <c r="E53" s="20"/>
      <c r="F53" s="20"/>
      <c r="G53" s="21" t="str">
        <f aca="false">IFERROR(INDEX('Description Library'!$C$6:$C$808,MATCH($C53&amp;"|"&amp;$D53&amp;"|"&amp;$E53&amp;"|"&amp;$F53,'Description Library'!$K$6:$K$808,0)),"")</f>
        <v/>
      </c>
      <c r="H53" s="5" t="str">
        <f aca="false">IFERROR(INDEX('Description Library'!$H$6:$H$808,MATCH($C53&amp;"|"&amp;$D53&amp;"|"&amp;$E53&amp;"|"&amp;$F53,'Description Library'!$K$6:$K$808,0)),"")</f>
        <v/>
      </c>
      <c r="I53" s="22"/>
      <c r="J53" s="5" t="str">
        <f aca="false">IFERROR(INDEX('Description Library'!$I$6:$I$808,MATCH($C53&amp;"|"&amp;$D53&amp;"|"&amp;$E53&amp;"|"&amp;$F53,'Description Library'!$K$6:$K$808,0)),"")</f>
        <v/>
      </c>
      <c r="K53" s="18" t="str">
        <f aca="false">IFERROR(INDEX('Description Library'!$J$6:$J$808,MATCH($C53&amp;"|"&amp;$D53&amp;"|"&amp;$E53&amp;"|"&amp;$F53,'Description Library'!$K$6:$K$808,0)),"")</f>
        <v/>
      </c>
      <c r="L53" s="23" t="str">
        <f aca="false">IF(OR($I53="",$K53=""),"",$I53*$K53)</f>
        <v/>
      </c>
      <c r="M53" s="24" t="str">
        <f aca="false">IFERROR(VLOOKUP($C53,MAP_SEC,2,0),"L_SECTION")</f>
        <v>L_SECTION</v>
      </c>
      <c r="N53" s="24" t="str">
        <f aca="false">IFERROR(VLOOKUP($C53&amp;"|"&amp;$D53,MAP_SUB,2,0),"L_SECTION")</f>
        <v>L_SECTION</v>
      </c>
      <c r="O53" s="24" t="str">
        <f aca="false">IFERROR(VLOOKUP($C53&amp;"|"&amp;$D53&amp;"|"&amp;$E53,MAP_SE,2,0),"L_SECTION")</f>
        <v>L_SECTION</v>
      </c>
    </row>
    <row r="54" customFormat="false" ht="15" hidden="false" customHeight="false" outlineLevel="0" collapsed="false">
      <c r="A54" s="5" t="str">
        <f aca="false">IF($C54="","",ROW()-4)</f>
        <v/>
      </c>
      <c r="B54" s="20"/>
      <c r="C54" s="20"/>
      <c r="D54" s="20"/>
      <c r="E54" s="20"/>
      <c r="F54" s="20"/>
      <c r="G54" s="21" t="str">
        <f aca="false">IFERROR(INDEX('Description Library'!$C$6:$C$808,MATCH($C54&amp;"|"&amp;$D54&amp;"|"&amp;$E54&amp;"|"&amp;$F54,'Description Library'!$K$6:$K$808,0)),"")</f>
        <v/>
      </c>
      <c r="H54" s="5" t="str">
        <f aca="false">IFERROR(INDEX('Description Library'!$H$6:$H$808,MATCH($C54&amp;"|"&amp;$D54&amp;"|"&amp;$E54&amp;"|"&amp;$F54,'Description Library'!$K$6:$K$808,0)),"")</f>
        <v/>
      </c>
      <c r="I54" s="22"/>
      <c r="J54" s="5" t="str">
        <f aca="false">IFERROR(INDEX('Description Library'!$I$6:$I$808,MATCH($C54&amp;"|"&amp;$D54&amp;"|"&amp;$E54&amp;"|"&amp;$F54,'Description Library'!$K$6:$K$808,0)),"")</f>
        <v/>
      </c>
      <c r="K54" s="18" t="str">
        <f aca="false">IFERROR(INDEX('Description Library'!$J$6:$J$808,MATCH($C54&amp;"|"&amp;$D54&amp;"|"&amp;$E54&amp;"|"&amp;$F54,'Description Library'!$K$6:$K$808,0)),"")</f>
        <v/>
      </c>
      <c r="L54" s="23" t="str">
        <f aca="false">IF(OR($I54="",$K54=""),"",$I54*$K54)</f>
        <v/>
      </c>
      <c r="M54" s="24" t="str">
        <f aca="false">IFERROR(VLOOKUP($C54,MAP_SEC,2,0),"L_SECTION")</f>
        <v>L_SECTION</v>
      </c>
      <c r="N54" s="24" t="str">
        <f aca="false">IFERROR(VLOOKUP($C54&amp;"|"&amp;$D54,MAP_SUB,2,0),"L_SECTION")</f>
        <v>L_SECTION</v>
      </c>
      <c r="O54" s="24" t="str">
        <f aca="false">IFERROR(VLOOKUP($C54&amp;"|"&amp;$D54&amp;"|"&amp;$E54,MAP_SE,2,0),"L_SECTION")</f>
        <v>L_SECTION</v>
      </c>
    </row>
    <row r="55" customFormat="false" ht="15" hidden="false" customHeight="false" outlineLevel="0" collapsed="false">
      <c r="A55" s="5" t="str">
        <f aca="false">IF($C55="","",ROW()-4)</f>
        <v/>
      </c>
      <c r="B55" s="20"/>
      <c r="C55" s="20"/>
      <c r="D55" s="20"/>
      <c r="E55" s="20"/>
      <c r="F55" s="20"/>
      <c r="G55" s="21" t="str">
        <f aca="false">IFERROR(INDEX('Description Library'!$C$6:$C$808,MATCH($C55&amp;"|"&amp;$D55&amp;"|"&amp;$E55&amp;"|"&amp;$F55,'Description Library'!$K$6:$K$808,0)),"")</f>
        <v/>
      </c>
      <c r="H55" s="5" t="str">
        <f aca="false">IFERROR(INDEX('Description Library'!$H$6:$H$808,MATCH($C55&amp;"|"&amp;$D55&amp;"|"&amp;$E55&amp;"|"&amp;$F55,'Description Library'!$K$6:$K$808,0)),"")</f>
        <v/>
      </c>
      <c r="I55" s="22"/>
      <c r="J55" s="5" t="str">
        <f aca="false">IFERROR(INDEX('Description Library'!$I$6:$I$808,MATCH($C55&amp;"|"&amp;$D55&amp;"|"&amp;$E55&amp;"|"&amp;$F55,'Description Library'!$K$6:$K$808,0)),"")</f>
        <v/>
      </c>
      <c r="K55" s="18" t="str">
        <f aca="false">IFERROR(INDEX('Description Library'!$J$6:$J$808,MATCH($C55&amp;"|"&amp;$D55&amp;"|"&amp;$E55&amp;"|"&amp;$F55,'Description Library'!$K$6:$K$808,0)),"")</f>
        <v/>
      </c>
      <c r="L55" s="23" t="str">
        <f aca="false">IF(OR($I55="",$K55=""),"",$I55*$K55)</f>
        <v/>
      </c>
      <c r="M55" s="24" t="str">
        <f aca="false">IFERROR(VLOOKUP($C55,MAP_SEC,2,0),"L_SECTION")</f>
        <v>L_SECTION</v>
      </c>
      <c r="N55" s="24" t="str">
        <f aca="false">IFERROR(VLOOKUP($C55&amp;"|"&amp;$D55,MAP_SUB,2,0),"L_SECTION")</f>
        <v>L_SECTION</v>
      </c>
      <c r="O55" s="24" t="str">
        <f aca="false">IFERROR(VLOOKUP($C55&amp;"|"&amp;$D55&amp;"|"&amp;$E55,MAP_SE,2,0),"L_SECTION")</f>
        <v>L_SECTION</v>
      </c>
    </row>
    <row r="56" customFormat="false" ht="15" hidden="false" customHeight="false" outlineLevel="0" collapsed="false">
      <c r="A56" s="5" t="str">
        <f aca="false">IF($C56="","",ROW()-4)</f>
        <v/>
      </c>
      <c r="B56" s="20"/>
      <c r="C56" s="20"/>
      <c r="D56" s="20"/>
      <c r="E56" s="20"/>
      <c r="F56" s="20"/>
      <c r="G56" s="21" t="str">
        <f aca="false">IFERROR(INDEX('Description Library'!$C$6:$C$808,MATCH($C56&amp;"|"&amp;$D56&amp;"|"&amp;$E56&amp;"|"&amp;$F56,'Description Library'!$K$6:$K$808,0)),"")</f>
        <v/>
      </c>
      <c r="H56" s="5" t="str">
        <f aca="false">IFERROR(INDEX('Description Library'!$H$6:$H$808,MATCH($C56&amp;"|"&amp;$D56&amp;"|"&amp;$E56&amp;"|"&amp;$F56,'Description Library'!$K$6:$K$808,0)),"")</f>
        <v/>
      </c>
      <c r="I56" s="22"/>
      <c r="J56" s="5" t="str">
        <f aca="false">IFERROR(INDEX('Description Library'!$I$6:$I$808,MATCH($C56&amp;"|"&amp;$D56&amp;"|"&amp;$E56&amp;"|"&amp;$F56,'Description Library'!$K$6:$K$808,0)),"")</f>
        <v/>
      </c>
      <c r="K56" s="18" t="str">
        <f aca="false">IFERROR(INDEX('Description Library'!$J$6:$J$808,MATCH($C56&amp;"|"&amp;$D56&amp;"|"&amp;$E56&amp;"|"&amp;$F56,'Description Library'!$K$6:$K$808,0)),"")</f>
        <v/>
      </c>
      <c r="L56" s="23" t="str">
        <f aca="false">IF(OR($I56="",$K56=""),"",$I56*$K56)</f>
        <v/>
      </c>
      <c r="M56" s="24" t="str">
        <f aca="false">IFERROR(VLOOKUP($C56,MAP_SEC,2,0),"L_SECTION")</f>
        <v>L_SECTION</v>
      </c>
      <c r="N56" s="24" t="str">
        <f aca="false">IFERROR(VLOOKUP($C56&amp;"|"&amp;$D56,MAP_SUB,2,0),"L_SECTION")</f>
        <v>L_SECTION</v>
      </c>
      <c r="O56" s="24" t="str">
        <f aca="false">IFERROR(VLOOKUP($C56&amp;"|"&amp;$D56&amp;"|"&amp;$E56,MAP_SE,2,0),"L_SECTION")</f>
        <v>L_SECTION</v>
      </c>
    </row>
    <row r="57" customFormat="false" ht="15" hidden="false" customHeight="false" outlineLevel="0" collapsed="false">
      <c r="A57" s="5" t="str">
        <f aca="false">IF($C57="","",ROW()-4)</f>
        <v/>
      </c>
      <c r="B57" s="20"/>
      <c r="C57" s="20"/>
      <c r="D57" s="20"/>
      <c r="E57" s="20"/>
      <c r="F57" s="20"/>
      <c r="G57" s="21" t="str">
        <f aca="false">IFERROR(INDEX('Description Library'!$C$6:$C$808,MATCH($C57&amp;"|"&amp;$D57&amp;"|"&amp;$E57&amp;"|"&amp;$F57,'Description Library'!$K$6:$K$808,0)),"")</f>
        <v/>
      </c>
      <c r="H57" s="5" t="str">
        <f aca="false">IFERROR(INDEX('Description Library'!$H$6:$H$808,MATCH($C57&amp;"|"&amp;$D57&amp;"|"&amp;$E57&amp;"|"&amp;$F57,'Description Library'!$K$6:$K$808,0)),"")</f>
        <v/>
      </c>
      <c r="I57" s="22"/>
      <c r="J57" s="5" t="str">
        <f aca="false">IFERROR(INDEX('Description Library'!$I$6:$I$808,MATCH($C57&amp;"|"&amp;$D57&amp;"|"&amp;$E57&amp;"|"&amp;$F57,'Description Library'!$K$6:$K$808,0)),"")</f>
        <v/>
      </c>
      <c r="K57" s="18" t="str">
        <f aca="false">IFERROR(INDEX('Description Library'!$J$6:$J$808,MATCH($C57&amp;"|"&amp;$D57&amp;"|"&amp;$E57&amp;"|"&amp;$F57,'Description Library'!$K$6:$K$808,0)),"")</f>
        <v/>
      </c>
      <c r="L57" s="23" t="str">
        <f aca="false">IF(OR($I57="",$K57=""),"",$I57*$K57)</f>
        <v/>
      </c>
      <c r="M57" s="24" t="str">
        <f aca="false">IFERROR(VLOOKUP($C57,MAP_SEC,2,0),"L_SECTION")</f>
        <v>L_SECTION</v>
      </c>
      <c r="N57" s="24" t="str">
        <f aca="false">IFERROR(VLOOKUP($C57&amp;"|"&amp;$D57,MAP_SUB,2,0),"L_SECTION")</f>
        <v>L_SECTION</v>
      </c>
      <c r="O57" s="24" t="str">
        <f aca="false">IFERROR(VLOOKUP($C57&amp;"|"&amp;$D57&amp;"|"&amp;$E57,MAP_SE,2,0),"L_SECTION")</f>
        <v>L_SECTION</v>
      </c>
    </row>
    <row r="58" customFormat="false" ht="15" hidden="false" customHeight="false" outlineLevel="0" collapsed="false">
      <c r="A58" s="5" t="str">
        <f aca="false">IF($C58="","",ROW()-4)</f>
        <v/>
      </c>
      <c r="B58" s="20"/>
      <c r="C58" s="20"/>
      <c r="D58" s="20"/>
      <c r="E58" s="20"/>
      <c r="F58" s="20"/>
      <c r="G58" s="21" t="str">
        <f aca="false">IFERROR(INDEX('Description Library'!$C$6:$C$808,MATCH($C58&amp;"|"&amp;$D58&amp;"|"&amp;$E58&amp;"|"&amp;$F58,'Description Library'!$K$6:$K$808,0)),"")</f>
        <v/>
      </c>
      <c r="H58" s="5" t="str">
        <f aca="false">IFERROR(INDEX('Description Library'!$H$6:$H$808,MATCH($C58&amp;"|"&amp;$D58&amp;"|"&amp;$E58&amp;"|"&amp;$F58,'Description Library'!$K$6:$K$808,0)),"")</f>
        <v/>
      </c>
      <c r="I58" s="22"/>
      <c r="J58" s="5" t="str">
        <f aca="false">IFERROR(INDEX('Description Library'!$I$6:$I$808,MATCH($C58&amp;"|"&amp;$D58&amp;"|"&amp;$E58&amp;"|"&amp;$F58,'Description Library'!$K$6:$K$808,0)),"")</f>
        <v/>
      </c>
      <c r="K58" s="18" t="str">
        <f aca="false">IFERROR(INDEX('Description Library'!$J$6:$J$808,MATCH($C58&amp;"|"&amp;$D58&amp;"|"&amp;$E58&amp;"|"&amp;$F58,'Description Library'!$K$6:$K$808,0)),"")</f>
        <v/>
      </c>
      <c r="L58" s="23" t="str">
        <f aca="false">IF(OR($I58="",$K58=""),"",$I58*$K58)</f>
        <v/>
      </c>
      <c r="M58" s="24" t="str">
        <f aca="false">IFERROR(VLOOKUP($C58,MAP_SEC,2,0),"L_SECTION")</f>
        <v>L_SECTION</v>
      </c>
      <c r="N58" s="24" t="str">
        <f aca="false">IFERROR(VLOOKUP($C58&amp;"|"&amp;$D58,MAP_SUB,2,0),"L_SECTION")</f>
        <v>L_SECTION</v>
      </c>
      <c r="O58" s="24" t="str">
        <f aca="false">IFERROR(VLOOKUP($C58&amp;"|"&amp;$D58&amp;"|"&amp;$E58,MAP_SE,2,0),"L_SECTION")</f>
        <v>L_SECTION</v>
      </c>
    </row>
    <row r="59" customFormat="false" ht="15" hidden="false" customHeight="false" outlineLevel="0" collapsed="false">
      <c r="A59" s="5" t="str">
        <f aca="false">IF($C59="","",ROW()-4)</f>
        <v/>
      </c>
      <c r="B59" s="20"/>
      <c r="C59" s="20"/>
      <c r="D59" s="20"/>
      <c r="E59" s="20"/>
      <c r="F59" s="20"/>
      <c r="G59" s="21" t="str">
        <f aca="false">IFERROR(INDEX('Description Library'!$C$6:$C$808,MATCH($C59&amp;"|"&amp;$D59&amp;"|"&amp;$E59&amp;"|"&amp;$F59,'Description Library'!$K$6:$K$808,0)),"")</f>
        <v/>
      </c>
      <c r="H59" s="5" t="str">
        <f aca="false">IFERROR(INDEX('Description Library'!$H$6:$H$808,MATCH($C59&amp;"|"&amp;$D59&amp;"|"&amp;$E59&amp;"|"&amp;$F59,'Description Library'!$K$6:$K$808,0)),"")</f>
        <v/>
      </c>
      <c r="I59" s="22"/>
      <c r="J59" s="5" t="str">
        <f aca="false">IFERROR(INDEX('Description Library'!$I$6:$I$808,MATCH($C59&amp;"|"&amp;$D59&amp;"|"&amp;$E59&amp;"|"&amp;$F59,'Description Library'!$K$6:$K$808,0)),"")</f>
        <v/>
      </c>
      <c r="K59" s="18" t="str">
        <f aca="false">IFERROR(INDEX('Description Library'!$J$6:$J$808,MATCH($C59&amp;"|"&amp;$D59&amp;"|"&amp;$E59&amp;"|"&amp;$F59,'Description Library'!$K$6:$K$808,0)),"")</f>
        <v/>
      </c>
      <c r="L59" s="23" t="str">
        <f aca="false">IF(OR($I59="",$K59=""),"",$I59*$K59)</f>
        <v/>
      </c>
      <c r="M59" s="24" t="str">
        <f aca="false">IFERROR(VLOOKUP($C59,MAP_SEC,2,0),"L_SECTION")</f>
        <v>L_SECTION</v>
      </c>
      <c r="N59" s="24" t="str">
        <f aca="false">IFERROR(VLOOKUP($C59&amp;"|"&amp;$D59,MAP_SUB,2,0),"L_SECTION")</f>
        <v>L_SECTION</v>
      </c>
      <c r="O59" s="24" t="str">
        <f aca="false">IFERROR(VLOOKUP($C59&amp;"|"&amp;$D59&amp;"|"&amp;$E59,MAP_SE,2,0),"L_SECTION")</f>
        <v>L_SECTION</v>
      </c>
    </row>
    <row r="60" customFormat="false" ht="15" hidden="false" customHeight="false" outlineLevel="0" collapsed="false">
      <c r="A60" s="5" t="str">
        <f aca="false">IF($C60="","",ROW()-4)</f>
        <v/>
      </c>
      <c r="B60" s="20"/>
      <c r="C60" s="20"/>
      <c r="D60" s="20"/>
      <c r="E60" s="20"/>
      <c r="F60" s="20"/>
      <c r="G60" s="21" t="str">
        <f aca="false">IFERROR(INDEX('Description Library'!$C$6:$C$808,MATCH($C60&amp;"|"&amp;$D60&amp;"|"&amp;$E60&amp;"|"&amp;$F60,'Description Library'!$K$6:$K$808,0)),"")</f>
        <v/>
      </c>
      <c r="H60" s="5" t="str">
        <f aca="false">IFERROR(INDEX('Description Library'!$H$6:$H$808,MATCH($C60&amp;"|"&amp;$D60&amp;"|"&amp;$E60&amp;"|"&amp;$F60,'Description Library'!$K$6:$K$808,0)),"")</f>
        <v/>
      </c>
      <c r="I60" s="22"/>
      <c r="J60" s="5" t="str">
        <f aca="false">IFERROR(INDEX('Description Library'!$I$6:$I$808,MATCH($C60&amp;"|"&amp;$D60&amp;"|"&amp;$E60&amp;"|"&amp;$F60,'Description Library'!$K$6:$K$808,0)),"")</f>
        <v/>
      </c>
      <c r="K60" s="18" t="str">
        <f aca="false">IFERROR(INDEX('Description Library'!$J$6:$J$808,MATCH($C60&amp;"|"&amp;$D60&amp;"|"&amp;$E60&amp;"|"&amp;$F60,'Description Library'!$K$6:$K$808,0)),"")</f>
        <v/>
      </c>
      <c r="L60" s="23" t="str">
        <f aca="false">IF(OR($I60="",$K60=""),"",$I60*$K60)</f>
        <v/>
      </c>
      <c r="M60" s="24" t="str">
        <f aca="false">IFERROR(VLOOKUP($C60,MAP_SEC,2,0),"L_SECTION")</f>
        <v>L_SECTION</v>
      </c>
      <c r="N60" s="24" t="str">
        <f aca="false">IFERROR(VLOOKUP($C60&amp;"|"&amp;$D60,MAP_SUB,2,0),"L_SECTION")</f>
        <v>L_SECTION</v>
      </c>
      <c r="O60" s="24" t="str">
        <f aca="false">IFERROR(VLOOKUP($C60&amp;"|"&amp;$D60&amp;"|"&amp;$E60,MAP_SE,2,0),"L_SECTION")</f>
        <v>L_SECTION</v>
      </c>
    </row>
    <row r="61" customFormat="false" ht="15" hidden="false" customHeight="false" outlineLevel="0" collapsed="false">
      <c r="A61" s="5" t="str">
        <f aca="false">IF($C61="","",ROW()-4)</f>
        <v/>
      </c>
      <c r="B61" s="20"/>
      <c r="C61" s="20"/>
      <c r="D61" s="20"/>
      <c r="E61" s="20"/>
      <c r="F61" s="20"/>
      <c r="G61" s="21" t="str">
        <f aca="false">IFERROR(INDEX('Description Library'!$C$6:$C$808,MATCH($C61&amp;"|"&amp;$D61&amp;"|"&amp;$E61&amp;"|"&amp;$F61,'Description Library'!$K$6:$K$808,0)),"")</f>
        <v/>
      </c>
      <c r="H61" s="5" t="str">
        <f aca="false">IFERROR(INDEX('Description Library'!$H$6:$H$808,MATCH($C61&amp;"|"&amp;$D61&amp;"|"&amp;$E61&amp;"|"&amp;$F61,'Description Library'!$K$6:$K$808,0)),"")</f>
        <v/>
      </c>
      <c r="I61" s="22"/>
      <c r="J61" s="5" t="str">
        <f aca="false">IFERROR(INDEX('Description Library'!$I$6:$I$808,MATCH($C61&amp;"|"&amp;$D61&amp;"|"&amp;$E61&amp;"|"&amp;$F61,'Description Library'!$K$6:$K$808,0)),"")</f>
        <v/>
      </c>
      <c r="K61" s="18" t="str">
        <f aca="false">IFERROR(INDEX('Description Library'!$J$6:$J$808,MATCH($C61&amp;"|"&amp;$D61&amp;"|"&amp;$E61&amp;"|"&amp;$F61,'Description Library'!$K$6:$K$808,0)),"")</f>
        <v/>
      </c>
      <c r="L61" s="23" t="str">
        <f aca="false">IF(OR($I61="",$K61=""),"",$I61*$K61)</f>
        <v/>
      </c>
      <c r="M61" s="24" t="str">
        <f aca="false">IFERROR(VLOOKUP($C61,MAP_SEC,2,0),"L_SECTION")</f>
        <v>L_SECTION</v>
      </c>
      <c r="N61" s="24" t="str">
        <f aca="false">IFERROR(VLOOKUP($C61&amp;"|"&amp;$D61,MAP_SUB,2,0),"L_SECTION")</f>
        <v>L_SECTION</v>
      </c>
      <c r="O61" s="24" t="str">
        <f aca="false">IFERROR(VLOOKUP($C61&amp;"|"&amp;$D61&amp;"|"&amp;$E61,MAP_SE,2,0),"L_SECTION")</f>
        <v>L_SECTION</v>
      </c>
    </row>
    <row r="62" customFormat="false" ht="15" hidden="false" customHeight="false" outlineLevel="0" collapsed="false">
      <c r="A62" s="5" t="str">
        <f aca="false">IF($C62="","",ROW()-4)</f>
        <v/>
      </c>
      <c r="B62" s="20"/>
      <c r="C62" s="20"/>
      <c r="D62" s="20"/>
      <c r="E62" s="20"/>
      <c r="F62" s="20"/>
      <c r="G62" s="21" t="str">
        <f aca="false">IFERROR(INDEX('Description Library'!$C$6:$C$808,MATCH($C62&amp;"|"&amp;$D62&amp;"|"&amp;$E62&amp;"|"&amp;$F62,'Description Library'!$K$6:$K$808,0)),"")</f>
        <v/>
      </c>
      <c r="H62" s="5" t="str">
        <f aca="false">IFERROR(INDEX('Description Library'!$H$6:$H$808,MATCH($C62&amp;"|"&amp;$D62&amp;"|"&amp;$E62&amp;"|"&amp;$F62,'Description Library'!$K$6:$K$808,0)),"")</f>
        <v/>
      </c>
      <c r="I62" s="22"/>
      <c r="J62" s="5" t="str">
        <f aca="false">IFERROR(INDEX('Description Library'!$I$6:$I$808,MATCH($C62&amp;"|"&amp;$D62&amp;"|"&amp;$E62&amp;"|"&amp;$F62,'Description Library'!$K$6:$K$808,0)),"")</f>
        <v/>
      </c>
      <c r="K62" s="18" t="str">
        <f aca="false">IFERROR(INDEX('Description Library'!$J$6:$J$808,MATCH($C62&amp;"|"&amp;$D62&amp;"|"&amp;$E62&amp;"|"&amp;$F62,'Description Library'!$K$6:$K$808,0)),"")</f>
        <v/>
      </c>
      <c r="L62" s="23" t="str">
        <f aca="false">IF(OR($I62="",$K62=""),"",$I62*$K62)</f>
        <v/>
      </c>
      <c r="M62" s="24" t="str">
        <f aca="false">IFERROR(VLOOKUP($C62,MAP_SEC,2,0),"L_SECTION")</f>
        <v>L_SECTION</v>
      </c>
      <c r="N62" s="24" t="str">
        <f aca="false">IFERROR(VLOOKUP($C62&amp;"|"&amp;$D62,MAP_SUB,2,0),"L_SECTION")</f>
        <v>L_SECTION</v>
      </c>
      <c r="O62" s="24" t="str">
        <f aca="false">IFERROR(VLOOKUP($C62&amp;"|"&amp;$D62&amp;"|"&amp;$E62,MAP_SE,2,0),"L_SECTION")</f>
        <v>L_SECTION</v>
      </c>
    </row>
    <row r="63" customFormat="false" ht="15" hidden="false" customHeight="false" outlineLevel="0" collapsed="false">
      <c r="A63" s="5" t="str">
        <f aca="false">IF($C63="","",ROW()-4)</f>
        <v/>
      </c>
      <c r="B63" s="20"/>
      <c r="C63" s="20"/>
      <c r="D63" s="20"/>
      <c r="E63" s="20"/>
      <c r="F63" s="20"/>
      <c r="G63" s="21" t="str">
        <f aca="false">IFERROR(INDEX('Description Library'!$C$6:$C$808,MATCH($C63&amp;"|"&amp;$D63&amp;"|"&amp;$E63&amp;"|"&amp;$F63,'Description Library'!$K$6:$K$808,0)),"")</f>
        <v/>
      </c>
      <c r="H63" s="5" t="str">
        <f aca="false">IFERROR(INDEX('Description Library'!$H$6:$H$808,MATCH($C63&amp;"|"&amp;$D63&amp;"|"&amp;$E63&amp;"|"&amp;$F63,'Description Library'!$K$6:$K$808,0)),"")</f>
        <v/>
      </c>
      <c r="I63" s="22"/>
      <c r="J63" s="5" t="str">
        <f aca="false">IFERROR(INDEX('Description Library'!$I$6:$I$808,MATCH($C63&amp;"|"&amp;$D63&amp;"|"&amp;$E63&amp;"|"&amp;$F63,'Description Library'!$K$6:$K$808,0)),"")</f>
        <v/>
      </c>
      <c r="K63" s="18" t="str">
        <f aca="false">IFERROR(INDEX('Description Library'!$J$6:$J$808,MATCH($C63&amp;"|"&amp;$D63&amp;"|"&amp;$E63&amp;"|"&amp;$F63,'Description Library'!$K$6:$K$808,0)),"")</f>
        <v/>
      </c>
      <c r="L63" s="23" t="str">
        <f aca="false">IF(OR($I63="",$K63=""),"",$I63*$K63)</f>
        <v/>
      </c>
      <c r="M63" s="24" t="str">
        <f aca="false">IFERROR(VLOOKUP($C63,MAP_SEC,2,0),"L_SECTION")</f>
        <v>L_SECTION</v>
      </c>
      <c r="N63" s="24" t="str">
        <f aca="false">IFERROR(VLOOKUP($C63&amp;"|"&amp;$D63,MAP_SUB,2,0),"L_SECTION")</f>
        <v>L_SECTION</v>
      </c>
      <c r="O63" s="24" t="str">
        <f aca="false">IFERROR(VLOOKUP($C63&amp;"|"&amp;$D63&amp;"|"&amp;$E63,MAP_SE,2,0),"L_SECTION")</f>
        <v>L_SECTION</v>
      </c>
    </row>
    <row r="64" customFormat="false" ht="15" hidden="false" customHeight="false" outlineLevel="0" collapsed="false">
      <c r="A64" s="5" t="str">
        <f aca="false">IF($C64="","",ROW()-4)</f>
        <v/>
      </c>
      <c r="B64" s="20"/>
      <c r="C64" s="20"/>
      <c r="D64" s="20"/>
      <c r="E64" s="20"/>
      <c r="F64" s="20"/>
      <c r="G64" s="21" t="str">
        <f aca="false">IFERROR(INDEX('Description Library'!$C$6:$C$808,MATCH($C64&amp;"|"&amp;$D64&amp;"|"&amp;$E64&amp;"|"&amp;$F64,'Description Library'!$K$6:$K$808,0)),"")</f>
        <v/>
      </c>
      <c r="H64" s="5" t="str">
        <f aca="false">IFERROR(INDEX('Description Library'!$H$6:$H$808,MATCH($C64&amp;"|"&amp;$D64&amp;"|"&amp;$E64&amp;"|"&amp;$F64,'Description Library'!$K$6:$K$808,0)),"")</f>
        <v/>
      </c>
      <c r="I64" s="22"/>
      <c r="J64" s="5" t="str">
        <f aca="false">IFERROR(INDEX('Description Library'!$I$6:$I$808,MATCH($C64&amp;"|"&amp;$D64&amp;"|"&amp;$E64&amp;"|"&amp;$F64,'Description Library'!$K$6:$K$808,0)),"")</f>
        <v/>
      </c>
      <c r="K64" s="18" t="str">
        <f aca="false">IFERROR(INDEX('Description Library'!$J$6:$J$808,MATCH($C64&amp;"|"&amp;$D64&amp;"|"&amp;$E64&amp;"|"&amp;$F64,'Description Library'!$K$6:$K$808,0)),"")</f>
        <v/>
      </c>
      <c r="L64" s="23" t="str">
        <f aca="false">IF(OR($I64="",$K64=""),"",$I64*$K64)</f>
        <v/>
      </c>
      <c r="M64" s="24" t="str">
        <f aca="false">IFERROR(VLOOKUP($C64,MAP_SEC,2,0),"L_SECTION")</f>
        <v>L_SECTION</v>
      </c>
      <c r="N64" s="24" t="str">
        <f aca="false">IFERROR(VLOOKUP($C64&amp;"|"&amp;$D64,MAP_SUB,2,0),"L_SECTION")</f>
        <v>L_SECTION</v>
      </c>
      <c r="O64" s="24" t="str">
        <f aca="false">IFERROR(VLOOKUP($C64&amp;"|"&amp;$D64&amp;"|"&amp;$E64,MAP_SE,2,0),"L_SECTION")</f>
        <v>L_SECTION</v>
      </c>
    </row>
    <row r="65" customFormat="false" ht="15" hidden="false" customHeight="false" outlineLevel="0" collapsed="false">
      <c r="A65" s="5" t="str">
        <f aca="false">IF($C65="","",ROW()-4)</f>
        <v/>
      </c>
      <c r="B65" s="20"/>
      <c r="C65" s="20"/>
      <c r="D65" s="20"/>
      <c r="E65" s="20"/>
      <c r="F65" s="20"/>
      <c r="G65" s="21" t="str">
        <f aca="false">IFERROR(INDEX('Description Library'!$C$6:$C$808,MATCH($C65&amp;"|"&amp;$D65&amp;"|"&amp;$E65&amp;"|"&amp;$F65,'Description Library'!$K$6:$K$808,0)),"")</f>
        <v/>
      </c>
      <c r="H65" s="5" t="str">
        <f aca="false">IFERROR(INDEX('Description Library'!$H$6:$H$808,MATCH($C65&amp;"|"&amp;$D65&amp;"|"&amp;$E65&amp;"|"&amp;$F65,'Description Library'!$K$6:$K$808,0)),"")</f>
        <v/>
      </c>
      <c r="I65" s="22"/>
      <c r="J65" s="5" t="str">
        <f aca="false">IFERROR(INDEX('Description Library'!$I$6:$I$808,MATCH($C65&amp;"|"&amp;$D65&amp;"|"&amp;$E65&amp;"|"&amp;$F65,'Description Library'!$K$6:$K$808,0)),"")</f>
        <v/>
      </c>
      <c r="K65" s="18" t="str">
        <f aca="false">IFERROR(INDEX('Description Library'!$J$6:$J$808,MATCH($C65&amp;"|"&amp;$D65&amp;"|"&amp;$E65&amp;"|"&amp;$F65,'Description Library'!$K$6:$K$808,0)),"")</f>
        <v/>
      </c>
      <c r="L65" s="23" t="str">
        <f aca="false">IF(OR($I65="",$K65=""),"",$I65*$K65)</f>
        <v/>
      </c>
      <c r="M65" s="24" t="str">
        <f aca="false">IFERROR(VLOOKUP($C65,MAP_SEC,2,0),"L_SECTION")</f>
        <v>L_SECTION</v>
      </c>
      <c r="N65" s="24" t="str">
        <f aca="false">IFERROR(VLOOKUP($C65&amp;"|"&amp;$D65,MAP_SUB,2,0),"L_SECTION")</f>
        <v>L_SECTION</v>
      </c>
      <c r="O65" s="24" t="str">
        <f aca="false">IFERROR(VLOOKUP($C65&amp;"|"&amp;$D65&amp;"|"&amp;$E65,MAP_SE,2,0),"L_SECTION")</f>
        <v>L_SECTION</v>
      </c>
    </row>
    <row r="66" customFormat="false" ht="15" hidden="false" customHeight="false" outlineLevel="0" collapsed="false">
      <c r="A66" s="5" t="str">
        <f aca="false">IF($C66="","",ROW()-4)</f>
        <v/>
      </c>
      <c r="B66" s="20"/>
      <c r="C66" s="20"/>
      <c r="D66" s="20"/>
      <c r="E66" s="20"/>
      <c r="F66" s="20"/>
      <c r="G66" s="21" t="str">
        <f aca="false">IFERROR(INDEX('Description Library'!$C$6:$C$808,MATCH($C66&amp;"|"&amp;$D66&amp;"|"&amp;$E66&amp;"|"&amp;$F66,'Description Library'!$K$6:$K$808,0)),"")</f>
        <v/>
      </c>
      <c r="H66" s="5" t="str">
        <f aca="false">IFERROR(INDEX('Description Library'!$H$6:$H$808,MATCH($C66&amp;"|"&amp;$D66&amp;"|"&amp;$E66&amp;"|"&amp;$F66,'Description Library'!$K$6:$K$808,0)),"")</f>
        <v/>
      </c>
      <c r="I66" s="22"/>
      <c r="J66" s="5" t="str">
        <f aca="false">IFERROR(INDEX('Description Library'!$I$6:$I$808,MATCH($C66&amp;"|"&amp;$D66&amp;"|"&amp;$E66&amp;"|"&amp;$F66,'Description Library'!$K$6:$K$808,0)),"")</f>
        <v/>
      </c>
      <c r="K66" s="18" t="str">
        <f aca="false">IFERROR(INDEX('Description Library'!$J$6:$J$808,MATCH($C66&amp;"|"&amp;$D66&amp;"|"&amp;$E66&amp;"|"&amp;$F66,'Description Library'!$K$6:$K$808,0)),"")</f>
        <v/>
      </c>
      <c r="L66" s="23" t="str">
        <f aca="false">IF(OR($I66="",$K66=""),"",$I66*$K66)</f>
        <v/>
      </c>
      <c r="M66" s="24" t="str">
        <f aca="false">IFERROR(VLOOKUP($C66,MAP_SEC,2,0),"L_SECTION")</f>
        <v>L_SECTION</v>
      </c>
      <c r="N66" s="24" t="str">
        <f aca="false">IFERROR(VLOOKUP($C66&amp;"|"&amp;$D66,MAP_SUB,2,0),"L_SECTION")</f>
        <v>L_SECTION</v>
      </c>
      <c r="O66" s="24" t="str">
        <f aca="false">IFERROR(VLOOKUP($C66&amp;"|"&amp;$D66&amp;"|"&amp;$E66,MAP_SE,2,0),"L_SECTION")</f>
        <v>L_SECTION</v>
      </c>
    </row>
    <row r="67" customFormat="false" ht="15" hidden="false" customHeight="false" outlineLevel="0" collapsed="false">
      <c r="A67" s="5" t="str">
        <f aca="false">IF($C67="","",ROW()-4)</f>
        <v/>
      </c>
      <c r="B67" s="20"/>
      <c r="C67" s="20"/>
      <c r="D67" s="20"/>
      <c r="E67" s="20"/>
      <c r="F67" s="20"/>
      <c r="G67" s="21" t="str">
        <f aca="false">IFERROR(INDEX('Description Library'!$C$6:$C$808,MATCH($C67&amp;"|"&amp;$D67&amp;"|"&amp;$E67&amp;"|"&amp;$F67,'Description Library'!$K$6:$K$808,0)),"")</f>
        <v/>
      </c>
      <c r="H67" s="5" t="str">
        <f aca="false">IFERROR(INDEX('Description Library'!$H$6:$H$808,MATCH($C67&amp;"|"&amp;$D67&amp;"|"&amp;$E67&amp;"|"&amp;$F67,'Description Library'!$K$6:$K$808,0)),"")</f>
        <v/>
      </c>
      <c r="I67" s="22"/>
      <c r="J67" s="5" t="str">
        <f aca="false">IFERROR(INDEX('Description Library'!$I$6:$I$808,MATCH($C67&amp;"|"&amp;$D67&amp;"|"&amp;$E67&amp;"|"&amp;$F67,'Description Library'!$K$6:$K$808,0)),"")</f>
        <v/>
      </c>
      <c r="K67" s="18" t="str">
        <f aca="false">IFERROR(INDEX('Description Library'!$J$6:$J$808,MATCH($C67&amp;"|"&amp;$D67&amp;"|"&amp;$E67&amp;"|"&amp;$F67,'Description Library'!$K$6:$K$808,0)),"")</f>
        <v/>
      </c>
      <c r="L67" s="23" t="str">
        <f aca="false">IF(OR($I67="",$K67=""),"",$I67*$K67)</f>
        <v/>
      </c>
      <c r="M67" s="24" t="str">
        <f aca="false">IFERROR(VLOOKUP($C67,MAP_SEC,2,0),"L_SECTION")</f>
        <v>L_SECTION</v>
      </c>
      <c r="N67" s="24" t="str">
        <f aca="false">IFERROR(VLOOKUP($C67&amp;"|"&amp;$D67,MAP_SUB,2,0),"L_SECTION")</f>
        <v>L_SECTION</v>
      </c>
      <c r="O67" s="24" t="str">
        <f aca="false">IFERROR(VLOOKUP($C67&amp;"|"&amp;$D67&amp;"|"&amp;$E67,MAP_SE,2,0),"L_SECTION")</f>
        <v>L_SECTION</v>
      </c>
    </row>
    <row r="68" customFormat="false" ht="15" hidden="false" customHeight="false" outlineLevel="0" collapsed="false">
      <c r="A68" s="5" t="str">
        <f aca="false">IF($C68="","",ROW()-4)</f>
        <v/>
      </c>
      <c r="B68" s="20"/>
      <c r="C68" s="20"/>
      <c r="D68" s="20"/>
      <c r="E68" s="20"/>
      <c r="F68" s="20"/>
      <c r="G68" s="21" t="str">
        <f aca="false">IFERROR(INDEX('Description Library'!$C$6:$C$808,MATCH($C68&amp;"|"&amp;$D68&amp;"|"&amp;$E68&amp;"|"&amp;$F68,'Description Library'!$K$6:$K$808,0)),"")</f>
        <v/>
      </c>
      <c r="H68" s="5" t="str">
        <f aca="false">IFERROR(INDEX('Description Library'!$H$6:$H$808,MATCH($C68&amp;"|"&amp;$D68&amp;"|"&amp;$E68&amp;"|"&amp;$F68,'Description Library'!$K$6:$K$808,0)),"")</f>
        <v/>
      </c>
      <c r="I68" s="22"/>
      <c r="J68" s="5" t="str">
        <f aca="false">IFERROR(INDEX('Description Library'!$I$6:$I$808,MATCH($C68&amp;"|"&amp;$D68&amp;"|"&amp;$E68&amp;"|"&amp;$F68,'Description Library'!$K$6:$K$808,0)),"")</f>
        <v/>
      </c>
      <c r="K68" s="18" t="str">
        <f aca="false">IFERROR(INDEX('Description Library'!$J$6:$J$808,MATCH($C68&amp;"|"&amp;$D68&amp;"|"&amp;$E68&amp;"|"&amp;$F68,'Description Library'!$K$6:$K$808,0)),"")</f>
        <v/>
      </c>
      <c r="L68" s="23" t="str">
        <f aca="false">IF(OR($I68="",$K68=""),"",$I68*$K68)</f>
        <v/>
      </c>
      <c r="M68" s="24" t="str">
        <f aca="false">IFERROR(VLOOKUP($C68,MAP_SEC,2,0),"L_SECTION")</f>
        <v>L_SECTION</v>
      </c>
      <c r="N68" s="24" t="str">
        <f aca="false">IFERROR(VLOOKUP($C68&amp;"|"&amp;$D68,MAP_SUB,2,0),"L_SECTION")</f>
        <v>L_SECTION</v>
      </c>
      <c r="O68" s="24" t="str">
        <f aca="false">IFERROR(VLOOKUP($C68&amp;"|"&amp;$D68&amp;"|"&amp;$E68,MAP_SE,2,0),"L_SECTION")</f>
        <v>L_SECTION</v>
      </c>
    </row>
    <row r="69" customFormat="false" ht="15" hidden="false" customHeight="false" outlineLevel="0" collapsed="false">
      <c r="A69" s="5" t="str">
        <f aca="false">IF($C69="","",ROW()-4)</f>
        <v/>
      </c>
      <c r="B69" s="20"/>
      <c r="C69" s="20"/>
      <c r="D69" s="20"/>
      <c r="E69" s="20"/>
      <c r="F69" s="20"/>
      <c r="G69" s="21" t="str">
        <f aca="false">IFERROR(INDEX('Description Library'!$C$6:$C$808,MATCH($C69&amp;"|"&amp;$D69&amp;"|"&amp;$E69&amp;"|"&amp;$F69,'Description Library'!$K$6:$K$808,0)),"")</f>
        <v/>
      </c>
      <c r="H69" s="5" t="str">
        <f aca="false">IFERROR(INDEX('Description Library'!$H$6:$H$808,MATCH($C69&amp;"|"&amp;$D69&amp;"|"&amp;$E69&amp;"|"&amp;$F69,'Description Library'!$K$6:$K$808,0)),"")</f>
        <v/>
      </c>
      <c r="I69" s="22"/>
      <c r="J69" s="5" t="str">
        <f aca="false">IFERROR(INDEX('Description Library'!$I$6:$I$808,MATCH($C69&amp;"|"&amp;$D69&amp;"|"&amp;$E69&amp;"|"&amp;$F69,'Description Library'!$K$6:$K$808,0)),"")</f>
        <v/>
      </c>
      <c r="K69" s="18" t="str">
        <f aca="false">IFERROR(INDEX('Description Library'!$J$6:$J$808,MATCH($C69&amp;"|"&amp;$D69&amp;"|"&amp;$E69&amp;"|"&amp;$F69,'Description Library'!$K$6:$K$808,0)),"")</f>
        <v/>
      </c>
      <c r="L69" s="23" t="str">
        <f aca="false">IF(OR($I69="",$K69=""),"",$I69*$K69)</f>
        <v/>
      </c>
      <c r="M69" s="24" t="str">
        <f aca="false">IFERROR(VLOOKUP($C69,MAP_SEC,2,0),"L_SECTION")</f>
        <v>L_SECTION</v>
      </c>
      <c r="N69" s="24" t="str">
        <f aca="false">IFERROR(VLOOKUP($C69&amp;"|"&amp;$D69,MAP_SUB,2,0),"L_SECTION")</f>
        <v>L_SECTION</v>
      </c>
      <c r="O69" s="24" t="str">
        <f aca="false">IFERROR(VLOOKUP($C69&amp;"|"&amp;$D69&amp;"|"&amp;$E69,MAP_SE,2,0),"L_SECTION")</f>
        <v>L_SECTION</v>
      </c>
    </row>
    <row r="70" customFormat="false" ht="15" hidden="false" customHeight="false" outlineLevel="0" collapsed="false">
      <c r="A70" s="5" t="str">
        <f aca="false">IF($C70="","",ROW()-4)</f>
        <v/>
      </c>
      <c r="B70" s="20"/>
      <c r="C70" s="20"/>
      <c r="D70" s="20"/>
      <c r="E70" s="20"/>
      <c r="F70" s="20"/>
      <c r="G70" s="21" t="str">
        <f aca="false">IFERROR(INDEX('Description Library'!$C$6:$C$808,MATCH($C70&amp;"|"&amp;$D70&amp;"|"&amp;$E70&amp;"|"&amp;$F70,'Description Library'!$K$6:$K$808,0)),"")</f>
        <v/>
      </c>
      <c r="H70" s="5" t="str">
        <f aca="false">IFERROR(INDEX('Description Library'!$H$6:$H$808,MATCH($C70&amp;"|"&amp;$D70&amp;"|"&amp;$E70&amp;"|"&amp;$F70,'Description Library'!$K$6:$K$808,0)),"")</f>
        <v/>
      </c>
      <c r="I70" s="22"/>
      <c r="J70" s="5" t="str">
        <f aca="false">IFERROR(INDEX('Description Library'!$I$6:$I$808,MATCH($C70&amp;"|"&amp;$D70&amp;"|"&amp;$E70&amp;"|"&amp;$F70,'Description Library'!$K$6:$K$808,0)),"")</f>
        <v/>
      </c>
      <c r="K70" s="18" t="str">
        <f aca="false">IFERROR(INDEX('Description Library'!$J$6:$J$808,MATCH($C70&amp;"|"&amp;$D70&amp;"|"&amp;$E70&amp;"|"&amp;$F70,'Description Library'!$K$6:$K$808,0)),"")</f>
        <v/>
      </c>
      <c r="L70" s="23" t="str">
        <f aca="false">IF(OR($I70="",$K70=""),"",$I70*$K70)</f>
        <v/>
      </c>
      <c r="M70" s="24" t="str">
        <f aca="false">IFERROR(VLOOKUP($C70,MAP_SEC,2,0),"L_SECTION")</f>
        <v>L_SECTION</v>
      </c>
      <c r="N70" s="24" t="str">
        <f aca="false">IFERROR(VLOOKUP($C70&amp;"|"&amp;$D70,MAP_SUB,2,0),"L_SECTION")</f>
        <v>L_SECTION</v>
      </c>
      <c r="O70" s="24" t="str">
        <f aca="false">IFERROR(VLOOKUP($C70&amp;"|"&amp;$D70&amp;"|"&amp;$E70,MAP_SE,2,0),"L_SECTION")</f>
        <v>L_SECTION</v>
      </c>
    </row>
    <row r="71" customFormat="false" ht="15" hidden="false" customHeight="false" outlineLevel="0" collapsed="false">
      <c r="A71" s="5" t="str">
        <f aca="false">IF($C71="","",ROW()-4)</f>
        <v/>
      </c>
      <c r="B71" s="20"/>
      <c r="C71" s="20"/>
      <c r="D71" s="20"/>
      <c r="E71" s="20"/>
      <c r="F71" s="20"/>
      <c r="G71" s="21" t="str">
        <f aca="false">IFERROR(INDEX('Description Library'!$C$6:$C$808,MATCH($C71&amp;"|"&amp;$D71&amp;"|"&amp;$E71&amp;"|"&amp;$F71,'Description Library'!$K$6:$K$808,0)),"")</f>
        <v/>
      </c>
      <c r="H71" s="5" t="str">
        <f aca="false">IFERROR(INDEX('Description Library'!$H$6:$H$808,MATCH($C71&amp;"|"&amp;$D71&amp;"|"&amp;$E71&amp;"|"&amp;$F71,'Description Library'!$K$6:$K$808,0)),"")</f>
        <v/>
      </c>
      <c r="I71" s="22"/>
      <c r="J71" s="5" t="str">
        <f aca="false">IFERROR(INDEX('Description Library'!$I$6:$I$808,MATCH($C71&amp;"|"&amp;$D71&amp;"|"&amp;$E71&amp;"|"&amp;$F71,'Description Library'!$K$6:$K$808,0)),"")</f>
        <v/>
      </c>
      <c r="K71" s="18" t="str">
        <f aca="false">IFERROR(INDEX('Description Library'!$J$6:$J$808,MATCH($C71&amp;"|"&amp;$D71&amp;"|"&amp;$E71&amp;"|"&amp;$F71,'Description Library'!$K$6:$K$808,0)),"")</f>
        <v/>
      </c>
      <c r="L71" s="23" t="str">
        <f aca="false">IF(OR($I71="",$K71=""),"",$I71*$K71)</f>
        <v/>
      </c>
      <c r="M71" s="24" t="str">
        <f aca="false">IFERROR(VLOOKUP($C71,MAP_SEC,2,0),"L_SECTION")</f>
        <v>L_SECTION</v>
      </c>
      <c r="N71" s="24" t="str">
        <f aca="false">IFERROR(VLOOKUP($C71&amp;"|"&amp;$D71,MAP_SUB,2,0),"L_SECTION")</f>
        <v>L_SECTION</v>
      </c>
      <c r="O71" s="24" t="str">
        <f aca="false">IFERROR(VLOOKUP($C71&amp;"|"&amp;$D71&amp;"|"&amp;$E71,MAP_SE,2,0),"L_SECTION")</f>
        <v>L_SECTION</v>
      </c>
    </row>
    <row r="72" customFormat="false" ht="15" hidden="false" customHeight="false" outlineLevel="0" collapsed="false">
      <c r="A72" s="5" t="str">
        <f aca="false">IF($C72="","",ROW()-4)</f>
        <v/>
      </c>
      <c r="B72" s="20"/>
      <c r="C72" s="20"/>
      <c r="D72" s="20"/>
      <c r="E72" s="20"/>
      <c r="F72" s="20"/>
      <c r="G72" s="21" t="str">
        <f aca="false">IFERROR(INDEX('Description Library'!$C$6:$C$808,MATCH($C72&amp;"|"&amp;$D72&amp;"|"&amp;$E72&amp;"|"&amp;$F72,'Description Library'!$K$6:$K$808,0)),"")</f>
        <v/>
      </c>
      <c r="H72" s="5" t="str">
        <f aca="false">IFERROR(INDEX('Description Library'!$H$6:$H$808,MATCH($C72&amp;"|"&amp;$D72&amp;"|"&amp;$E72&amp;"|"&amp;$F72,'Description Library'!$K$6:$K$808,0)),"")</f>
        <v/>
      </c>
      <c r="I72" s="22"/>
      <c r="J72" s="5" t="str">
        <f aca="false">IFERROR(INDEX('Description Library'!$I$6:$I$808,MATCH($C72&amp;"|"&amp;$D72&amp;"|"&amp;$E72&amp;"|"&amp;$F72,'Description Library'!$K$6:$K$808,0)),"")</f>
        <v/>
      </c>
      <c r="K72" s="18" t="str">
        <f aca="false">IFERROR(INDEX('Description Library'!$J$6:$J$808,MATCH($C72&amp;"|"&amp;$D72&amp;"|"&amp;$E72&amp;"|"&amp;$F72,'Description Library'!$K$6:$K$808,0)),"")</f>
        <v/>
      </c>
      <c r="L72" s="23" t="str">
        <f aca="false">IF(OR($I72="",$K72=""),"",$I72*$K72)</f>
        <v/>
      </c>
      <c r="M72" s="24" t="str">
        <f aca="false">IFERROR(VLOOKUP($C72,MAP_SEC,2,0),"L_SECTION")</f>
        <v>L_SECTION</v>
      </c>
      <c r="N72" s="24" t="str">
        <f aca="false">IFERROR(VLOOKUP($C72&amp;"|"&amp;$D72,MAP_SUB,2,0),"L_SECTION")</f>
        <v>L_SECTION</v>
      </c>
      <c r="O72" s="24" t="str">
        <f aca="false">IFERROR(VLOOKUP($C72&amp;"|"&amp;$D72&amp;"|"&amp;$E72,MAP_SE,2,0),"L_SECTION")</f>
        <v>L_SECTION</v>
      </c>
    </row>
    <row r="73" customFormat="false" ht="15" hidden="false" customHeight="false" outlineLevel="0" collapsed="false">
      <c r="A73" s="5" t="str">
        <f aca="false">IF($C73="","",ROW()-4)</f>
        <v/>
      </c>
      <c r="B73" s="20"/>
      <c r="C73" s="20"/>
      <c r="D73" s="20"/>
      <c r="E73" s="20"/>
      <c r="F73" s="20"/>
      <c r="G73" s="21" t="str">
        <f aca="false">IFERROR(INDEX('Description Library'!$C$6:$C$808,MATCH($C73&amp;"|"&amp;$D73&amp;"|"&amp;$E73&amp;"|"&amp;$F73,'Description Library'!$K$6:$K$808,0)),"")</f>
        <v/>
      </c>
      <c r="H73" s="5" t="str">
        <f aca="false">IFERROR(INDEX('Description Library'!$H$6:$H$808,MATCH($C73&amp;"|"&amp;$D73&amp;"|"&amp;$E73&amp;"|"&amp;$F73,'Description Library'!$K$6:$K$808,0)),"")</f>
        <v/>
      </c>
      <c r="I73" s="22"/>
      <c r="J73" s="5" t="str">
        <f aca="false">IFERROR(INDEX('Description Library'!$I$6:$I$808,MATCH($C73&amp;"|"&amp;$D73&amp;"|"&amp;$E73&amp;"|"&amp;$F73,'Description Library'!$K$6:$K$808,0)),"")</f>
        <v/>
      </c>
      <c r="K73" s="18" t="str">
        <f aca="false">IFERROR(INDEX('Description Library'!$J$6:$J$808,MATCH($C73&amp;"|"&amp;$D73&amp;"|"&amp;$E73&amp;"|"&amp;$F73,'Description Library'!$K$6:$K$808,0)),"")</f>
        <v/>
      </c>
      <c r="L73" s="23" t="str">
        <f aca="false">IF(OR($I73="",$K73=""),"",$I73*$K73)</f>
        <v/>
      </c>
      <c r="M73" s="24" t="str">
        <f aca="false">IFERROR(VLOOKUP($C73,MAP_SEC,2,0),"L_SECTION")</f>
        <v>L_SECTION</v>
      </c>
      <c r="N73" s="24" t="str">
        <f aca="false">IFERROR(VLOOKUP($C73&amp;"|"&amp;$D73,MAP_SUB,2,0),"L_SECTION")</f>
        <v>L_SECTION</v>
      </c>
      <c r="O73" s="24" t="str">
        <f aca="false">IFERROR(VLOOKUP($C73&amp;"|"&amp;$D73&amp;"|"&amp;$E73,MAP_SE,2,0),"L_SECTION")</f>
        <v>L_SECTION</v>
      </c>
    </row>
    <row r="74" customFormat="false" ht="15" hidden="false" customHeight="false" outlineLevel="0" collapsed="false">
      <c r="A74" s="5" t="str">
        <f aca="false">IF($C74="","",ROW()-4)</f>
        <v/>
      </c>
      <c r="B74" s="20"/>
      <c r="C74" s="20"/>
      <c r="D74" s="20"/>
      <c r="E74" s="20"/>
      <c r="F74" s="20"/>
      <c r="G74" s="21" t="str">
        <f aca="false">IFERROR(INDEX('Description Library'!$C$6:$C$808,MATCH($C74&amp;"|"&amp;$D74&amp;"|"&amp;$E74&amp;"|"&amp;$F74,'Description Library'!$K$6:$K$808,0)),"")</f>
        <v/>
      </c>
      <c r="H74" s="5" t="str">
        <f aca="false">IFERROR(INDEX('Description Library'!$H$6:$H$808,MATCH($C74&amp;"|"&amp;$D74&amp;"|"&amp;$E74&amp;"|"&amp;$F74,'Description Library'!$K$6:$K$808,0)),"")</f>
        <v/>
      </c>
      <c r="I74" s="22"/>
      <c r="J74" s="5" t="str">
        <f aca="false">IFERROR(INDEX('Description Library'!$I$6:$I$808,MATCH($C74&amp;"|"&amp;$D74&amp;"|"&amp;$E74&amp;"|"&amp;$F74,'Description Library'!$K$6:$K$808,0)),"")</f>
        <v/>
      </c>
      <c r="K74" s="18" t="str">
        <f aca="false">IFERROR(INDEX('Description Library'!$J$6:$J$808,MATCH($C74&amp;"|"&amp;$D74&amp;"|"&amp;$E74&amp;"|"&amp;$F74,'Description Library'!$K$6:$K$808,0)),"")</f>
        <v/>
      </c>
      <c r="L74" s="23" t="str">
        <f aca="false">IF(OR($I74="",$K74=""),"",$I74*$K74)</f>
        <v/>
      </c>
      <c r="M74" s="24" t="str">
        <f aca="false">IFERROR(VLOOKUP($C74,MAP_SEC,2,0),"L_SECTION")</f>
        <v>L_SECTION</v>
      </c>
      <c r="N74" s="24" t="str">
        <f aca="false">IFERROR(VLOOKUP($C74&amp;"|"&amp;$D74,MAP_SUB,2,0),"L_SECTION")</f>
        <v>L_SECTION</v>
      </c>
      <c r="O74" s="24" t="str">
        <f aca="false">IFERROR(VLOOKUP($C74&amp;"|"&amp;$D74&amp;"|"&amp;$E74,MAP_SE,2,0),"L_SECTION")</f>
        <v>L_SECTION</v>
      </c>
    </row>
    <row r="75" customFormat="false" ht="15" hidden="false" customHeight="false" outlineLevel="0" collapsed="false">
      <c r="A75" s="5" t="str">
        <f aca="false">IF($C75="","",ROW()-4)</f>
        <v/>
      </c>
      <c r="B75" s="20"/>
      <c r="C75" s="20"/>
      <c r="D75" s="20"/>
      <c r="E75" s="20"/>
      <c r="F75" s="20"/>
      <c r="G75" s="21" t="str">
        <f aca="false">IFERROR(INDEX('Description Library'!$C$6:$C$808,MATCH($C75&amp;"|"&amp;$D75&amp;"|"&amp;$E75&amp;"|"&amp;$F75,'Description Library'!$K$6:$K$808,0)),"")</f>
        <v/>
      </c>
      <c r="H75" s="5" t="str">
        <f aca="false">IFERROR(INDEX('Description Library'!$H$6:$H$808,MATCH($C75&amp;"|"&amp;$D75&amp;"|"&amp;$E75&amp;"|"&amp;$F75,'Description Library'!$K$6:$K$808,0)),"")</f>
        <v/>
      </c>
      <c r="I75" s="22"/>
      <c r="J75" s="5" t="str">
        <f aca="false">IFERROR(INDEX('Description Library'!$I$6:$I$808,MATCH($C75&amp;"|"&amp;$D75&amp;"|"&amp;$E75&amp;"|"&amp;$F75,'Description Library'!$K$6:$K$808,0)),"")</f>
        <v/>
      </c>
      <c r="K75" s="18" t="str">
        <f aca="false">IFERROR(INDEX('Description Library'!$J$6:$J$808,MATCH($C75&amp;"|"&amp;$D75&amp;"|"&amp;$E75&amp;"|"&amp;$F75,'Description Library'!$K$6:$K$808,0)),"")</f>
        <v/>
      </c>
      <c r="L75" s="23" t="str">
        <f aca="false">IF(OR($I75="",$K75=""),"",$I75*$K75)</f>
        <v/>
      </c>
      <c r="M75" s="24" t="str">
        <f aca="false">IFERROR(VLOOKUP($C75,MAP_SEC,2,0),"L_SECTION")</f>
        <v>L_SECTION</v>
      </c>
      <c r="N75" s="24" t="str">
        <f aca="false">IFERROR(VLOOKUP($C75&amp;"|"&amp;$D75,MAP_SUB,2,0),"L_SECTION")</f>
        <v>L_SECTION</v>
      </c>
      <c r="O75" s="24" t="str">
        <f aca="false">IFERROR(VLOOKUP($C75&amp;"|"&amp;$D75&amp;"|"&amp;$E75,MAP_SE,2,0),"L_SECTION")</f>
        <v>L_SECTION</v>
      </c>
    </row>
    <row r="76" customFormat="false" ht="15" hidden="false" customHeight="false" outlineLevel="0" collapsed="false">
      <c r="A76" s="5" t="str">
        <f aca="false">IF($C76="","",ROW()-4)</f>
        <v/>
      </c>
      <c r="B76" s="20"/>
      <c r="C76" s="20"/>
      <c r="D76" s="20"/>
      <c r="E76" s="20"/>
      <c r="F76" s="20"/>
      <c r="G76" s="21" t="str">
        <f aca="false">IFERROR(INDEX('Description Library'!$C$6:$C$808,MATCH($C76&amp;"|"&amp;$D76&amp;"|"&amp;$E76&amp;"|"&amp;$F76,'Description Library'!$K$6:$K$808,0)),"")</f>
        <v/>
      </c>
      <c r="H76" s="5" t="str">
        <f aca="false">IFERROR(INDEX('Description Library'!$H$6:$H$808,MATCH($C76&amp;"|"&amp;$D76&amp;"|"&amp;$E76&amp;"|"&amp;$F76,'Description Library'!$K$6:$K$808,0)),"")</f>
        <v/>
      </c>
      <c r="I76" s="22"/>
      <c r="J76" s="5" t="str">
        <f aca="false">IFERROR(INDEX('Description Library'!$I$6:$I$808,MATCH($C76&amp;"|"&amp;$D76&amp;"|"&amp;$E76&amp;"|"&amp;$F76,'Description Library'!$K$6:$K$808,0)),"")</f>
        <v/>
      </c>
      <c r="K76" s="18" t="str">
        <f aca="false">IFERROR(INDEX('Description Library'!$J$6:$J$808,MATCH($C76&amp;"|"&amp;$D76&amp;"|"&amp;$E76&amp;"|"&amp;$F76,'Description Library'!$K$6:$K$808,0)),"")</f>
        <v/>
      </c>
      <c r="L76" s="23" t="str">
        <f aca="false">IF(OR($I76="",$K76=""),"",$I76*$K76)</f>
        <v/>
      </c>
      <c r="M76" s="24" t="str">
        <f aca="false">IFERROR(VLOOKUP($C76,MAP_SEC,2,0),"L_SECTION")</f>
        <v>L_SECTION</v>
      </c>
      <c r="N76" s="24" t="str">
        <f aca="false">IFERROR(VLOOKUP($C76&amp;"|"&amp;$D76,MAP_SUB,2,0),"L_SECTION")</f>
        <v>L_SECTION</v>
      </c>
      <c r="O76" s="24" t="str">
        <f aca="false">IFERROR(VLOOKUP($C76&amp;"|"&amp;$D76&amp;"|"&amp;$E76,MAP_SE,2,0),"L_SECTION")</f>
        <v>L_SECTION</v>
      </c>
    </row>
    <row r="77" customFormat="false" ht="15" hidden="false" customHeight="false" outlineLevel="0" collapsed="false">
      <c r="A77" s="5" t="str">
        <f aca="false">IF($C77="","",ROW()-4)</f>
        <v/>
      </c>
      <c r="B77" s="20"/>
      <c r="C77" s="20"/>
      <c r="D77" s="20"/>
      <c r="E77" s="20"/>
      <c r="F77" s="20"/>
      <c r="G77" s="21" t="str">
        <f aca="false">IFERROR(INDEX('Description Library'!$C$6:$C$808,MATCH($C77&amp;"|"&amp;$D77&amp;"|"&amp;$E77&amp;"|"&amp;$F77,'Description Library'!$K$6:$K$808,0)),"")</f>
        <v/>
      </c>
      <c r="H77" s="5" t="str">
        <f aca="false">IFERROR(INDEX('Description Library'!$H$6:$H$808,MATCH($C77&amp;"|"&amp;$D77&amp;"|"&amp;$E77&amp;"|"&amp;$F77,'Description Library'!$K$6:$K$808,0)),"")</f>
        <v/>
      </c>
      <c r="I77" s="22"/>
      <c r="J77" s="5" t="str">
        <f aca="false">IFERROR(INDEX('Description Library'!$I$6:$I$808,MATCH($C77&amp;"|"&amp;$D77&amp;"|"&amp;$E77&amp;"|"&amp;$F77,'Description Library'!$K$6:$K$808,0)),"")</f>
        <v/>
      </c>
      <c r="K77" s="18" t="str">
        <f aca="false">IFERROR(INDEX('Description Library'!$J$6:$J$808,MATCH($C77&amp;"|"&amp;$D77&amp;"|"&amp;$E77&amp;"|"&amp;$F77,'Description Library'!$K$6:$K$808,0)),"")</f>
        <v/>
      </c>
      <c r="L77" s="23" t="str">
        <f aca="false">IF(OR($I77="",$K77=""),"",$I77*$K77)</f>
        <v/>
      </c>
      <c r="M77" s="24" t="str">
        <f aca="false">IFERROR(VLOOKUP($C77,MAP_SEC,2,0),"L_SECTION")</f>
        <v>L_SECTION</v>
      </c>
      <c r="N77" s="24" t="str">
        <f aca="false">IFERROR(VLOOKUP($C77&amp;"|"&amp;$D77,MAP_SUB,2,0),"L_SECTION")</f>
        <v>L_SECTION</v>
      </c>
      <c r="O77" s="24" t="str">
        <f aca="false">IFERROR(VLOOKUP($C77&amp;"|"&amp;$D77&amp;"|"&amp;$E77,MAP_SE,2,0),"L_SECTION")</f>
        <v>L_SECTION</v>
      </c>
    </row>
    <row r="78" customFormat="false" ht="15" hidden="false" customHeight="false" outlineLevel="0" collapsed="false">
      <c r="A78" s="5" t="str">
        <f aca="false">IF($C78="","",ROW()-4)</f>
        <v/>
      </c>
      <c r="B78" s="20"/>
      <c r="C78" s="20"/>
      <c r="D78" s="20"/>
      <c r="E78" s="20"/>
      <c r="F78" s="20"/>
      <c r="G78" s="21" t="str">
        <f aca="false">IFERROR(INDEX('Description Library'!$C$6:$C$808,MATCH($C78&amp;"|"&amp;$D78&amp;"|"&amp;$E78&amp;"|"&amp;$F78,'Description Library'!$K$6:$K$808,0)),"")</f>
        <v/>
      </c>
      <c r="H78" s="5" t="str">
        <f aca="false">IFERROR(INDEX('Description Library'!$H$6:$H$808,MATCH($C78&amp;"|"&amp;$D78&amp;"|"&amp;$E78&amp;"|"&amp;$F78,'Description Library'!$K$6:$K$808,0)),"")</f>
        <v/>
      </c>
      <c r="I78" s="22"/>
      <c r="J78" s="5" t="str">
        <f aca="false">IFERROR(INDEX('Description Library'!$I$6:$I$808,MATCH($C78&amp;"|"&amp;$D78&amp;"|"&amp;$E78&amp;"|"&amp;$F78,'Description Library'!$K$6:$K$808,0)),"")</f>
        <v/>
      </c>
      <c r="K78" s="18" t="str">
        <f aca="false">IFERROR(INDEX('Description Library'!$J$6:$J$808,MATCH($C78&amp;"|"&amp;$D78&amp;"|"&amp;$E78&amp;"|"&amp;$F78,'Description Library'!$K$6:$K$808,0)),"")</f>
        <v/>
      </c>
      <c r="L78" s="23" t="str">
        <f aca="false">IF(OR($I78="",$K78=""),"",$I78*$K78)</f>
        <v/>
      </c>
      <c r="M78" s="24" t="str">
        <f aca="false">IFERROR(VLOOKUP($C78,MAP_SEC,2,0),"L_SECTION")</f>
        <v>L_SECTION</v>
      </c>
      <c r="N78" s="24" t="str">
        <f aca="false">IFERROR(VLOOKUP($C78&amp;"|"&amp;$D78,MAP_SUB,2,0),"L_SECTION")</f>
        <v>L_SECTION</v>
      </c>
      <c r="O78" s="24" t="str">
        <f aca="false">IFERROR(VLOOKUP($C78&amp;"|"&amp;$D78&amp;"|"&amp;$E78,MAP_SE,2,0),"L_SECTION")</f>
        <v>L_SECTION</v>
      </c>
    </row>
    <row r="79" customFormat="false" ht="15" hidden="false" customHeight="false" outlineLevel="0" collapsed="false">
      <c r="A79" s="5" t="str">
        <f aca="false">IF($C79="","",ROW()-4)</f>
        <v/>
      </c>
      <c r="B79" s="20"/>
      <c r="C79" s="20"/>
      <c r="D79" s="20"/>
      <c r="E79" s="20"/>
      <c r="F79" s="20"/>
      <c r="G79" s="21" t="str">
        <f aca="false">IFERROR(INDEX('Description Library'!$C$6:$C$808,MATCH($C79&amp;"|"&amp;$D79&amp;"|"&amp;$E79&amp;"|"&amp;$F79,'Description Library'!$K$6:$K$808,0)),"")</f>
        <v/>
      </c>
      <c r="H79" s="5" t="str">
        <f aca="false">IFERROR(INDEX('Description Library'!$H$6:$H$808,MATCH($C79&amp;"|"&amp;$D79&amp;"|"&amp;$E79&amp;"|"&amp;$F79,'Description Library'!$K$6:$K$808,0)),"")</f>
        <v/>
      </c>
      <c r="I79" s="22"/>
      <c r="J79" s="5" t="str">
        <f aca="false">IFERROR(INDEX('Description Library'!$I$6:$I$808,MATCH($C79&amp;"|"&amp;$D79&amp;"|"&amp;$E79&amp;"|"&amp;$F79,'Description Library'!$K$6:$K$808,0)),"")</f>
        <v/>
      </c>
      <c r="K79" s="18" t="str">
        <f aca="false">IFERROR(INDEX('Description Library'!$J$6:$J$808,MATCH($C79&amp;"|"&amp;$D79&amp;"|"&amp;$E79&amp;"|"&amp;$F79,'Description Library'!$K$6:$K$808,0)),"")</f>
        <v/>
      </c>
      <c r="L79" s="23" t="str">
        <f aca="false">IF(OR($I79="",$K79=""),"",$I79*$K79)</f>
        <v/>
      </c>
      <c r="M79" s="24" t="str">
        <f aca="false">IFERROR(VLOOKUP($C79,MAP_SEC,2,0),"L_SECTION")</f>
        <v>L_SECTION</v>
      </c>
      <c r="N79" s="24" t="str">
        <f aca="false">IFERROR(VLOOKUP($C79&amp;"|"&amp;$D79,MAP_SUB,2,0),"L_SECTION")</f>
        <v>L_SECTION</v>
      </c>
      <c r="O79" s="24" t="str">
        <f aca="false">IFERROR(VLOOKUP($C79&amp;"|"&amp;$D79&amp;"|"&amp;$E79,MAP_SE,2,0),"L_SECTION")</f>
        <v>L_SECTION</v>
      </c>
    </row>
    <row r="80" customFormat="false" ht="15" hidden="false" customHeight="false" outlineLevel="0" collapsed="false">
      <c r="A80" s="5" t="str">
        <f aca="false">IF($C80="","",ROW()-4)</f>
        <v/>
      </c>
      <c r="B80" s="20"/>
      <c r="C80" s="20"/>
      <c r="D80" s="20"/>
      <c r="E80" s="20"/>
      <c r="F80" s="20"/>
      <c r="G80" s="21" t="str">
        <f aca="false">IFERROR(INDEX('Description Library'!$C$6:$C$808,MATCH($C80&amp;"|"&amp;$D80&amp;"|"&amp;$E80&amp;"|"&amp;$F80,'Description Library'!$K$6:$K$808,0)),"")</f>
        <v/>
      </c>
      <c r="H80" s="5" t="str">
        <f aca="false">IFERROR(INDEX('Description Library'!$H$6:$H$808,MATCH($C80&amp;"|"&amp;$D80&amp;"|"&amp;$E80&amp;"|"&amp;$F80,'Description Library'!$K$6:$K$808,0)),"")</f>
        <v/>
      </c>
      <c r="I80" s="22"/>
      <c r="J80" s="5" t="str">
        <f aca="false">IFERROR(INDEX('Description Library'!$I$6:$I$808,MATCH($C80&amp;"|"&amp;$D80&amp;"|"&amp;$E80&amp;"|"&amp;$F80,'Description Library'!$K$6:$K$808,0)),"")</f>
        <v/>
      </c>
      <c r="K80" s="18" t="str">
        <f aca="false">IFERROR(INDEX('Description Library'!$J$6:$J$808,MATCH($C80&amp;"|"&amp;$D80&amp;"|"&amp;$E80&amp;"|"&amp;$F80,'Description Library'!$K$6:$K$808,0)),"")</f>
        <v/>
      </c>
      <c r="L80" s="23" t="str">
        <f aca="false">IF(OR($I80="",$K80=""),"",$I80*$K80)</f>
        <v/>
      </c>
      <c r="M80" s="24" t="str">
        <f aca="false">IFERROR(VLOOKUP($C80,MAP_SEC,2,0),"L_SECTION")</f>
        <v>L_SECTION</v>
      </c>
      <c r="N80" s="24" t="str">
        <f aca="false">IFERROR(VLOOKUP($C80&amp;"|"&amp;$D80,MAP_SUB,2,0),"L_SECTION")</f>
        <v>L_SECTION</v>
      </c>
      <c r="O80" s="24" t="str">
        <f aca="false">IFERROR(VLOOKUP($C80&amp;"|"&amp;$D80&amp;"|"&amp;$E80,MAP_SE,2,0),"L_SECTION")</f>
        <v>L_SECTION</v>
      </c>
    </row>
    <row r="81" customFormat="false" ht="15" hidden="false" customHeight="false" outlineLevel="0" collapsed="false">
      <c r="A81" s="5" t="str">
        <f aca="false">IF($C81="","",ROW()-4)</f>
        <v/>
      </c>
      <c r="B81" s="20"/>
      <c r="C81" s="20"/>
      <c r="D81" s="20"/>
      <c r="E81" s="20"/>
      <c r="F81" s="20"/>
      <c r="G81" s="21" t="str">
        <f aca="false">IFERROR(INDEX('Description Library'!$C$6:$C$808,MATCH($C81&amp;"|"&amp;$D81&amp;"|"&amp;$E81&amp;"|"&amp;$F81,'Description Library'!$K$6:$K$808,0)),"")</f>
        <v/>
      </c>
      <c r="H81" s="5" t="str">
        <f aca="false">IFERROR(INDEX('Description Library'!$H$6:$H$808,MATCH($C81&amp;"|"&amp;$D81&amp;"|"&amp;$E81&amp;"|"&amp;$F81,'Description Library'!$K$6:$K$808,0)),"")</f>
        <v/>
      </c>
      <c r="I81" s="22"/>
      <c r="J81" s="5" t="str">
        <f aca="false">IFERROR(INDEX('Description Library'!$I$6:$I$808,MATCH($C81&amp;"|"&amp;$D81&amp;"|"&amp;$E81&amp;"|"&amp;$F81,'Description Library'!$K$6:$K$808,0)),"")</f>
        <v/>
      </c>
      <c r="K81" s="18" t="str">
        <f aca="false">IFERROR(INDEX('Description Library'!$J$6:$J$808,MATCH($C81&amp;"|"&amp;$D81&amp;"|"&amp;$E81&amp;"|"&amp;$F81,'Description Library'!$K$6:$K$808,0)),"")</f>
        <v/>
      </c>
      <c r="L81" s="23" t="str">
        <f aca="false">IF(OR($I81="",$K81=""),"",$I81*$K81)</f>
        <v/>
      </c>
      <c r="M81" s="24" t="str">
        <f aca="false">IFERROR(VLOOKUP($C81,MAP_SEC,2,0),"L_SECTION")</f>
        <v>L_SECTION</v>
      </c>
      <c r="N81" s="24" t="str">
        <f aca="false">IFERROR(VLOOKUP($C81&amp;"|"&amp;$D81,MAP_SUB,2,0),"L_SECTION")</f>
        <v>L_SECTION</v>
      </c>
      <c r="O81" s="24" t="str">
        <f aca="false">IFERROR(VLOOKUP($C81&amp;"|"&amp;$D81&amp;"|"&amp;$E81,MAP_SE,2,0),"L_SECTION")</f>
        <v>L_SECTION</v>
      </c>
    </row>
    <row r="82" customFormat="false" ht="15" hidden="false" customHeight="false" outlineLevel="0" collapsed="false">
      <c r="A82" s="5" t="str">
        <f aca="false">IF($C82="","",ROW()-4)</f>
        <v/>
      </c>
      <c r="B82" s="20"/>
      <c r="C82" s="20"/>
      <c r="D82" s="20"/>
      <c r="E82" s="20"/>
      <c r="F82" s="20"/>
      <c r="G82" s="21" t="str">
        <f aca="false">IFERROR(INDEX('Description Library'!$C$6:$C$808,MATCH($C82&amp;"|"&amp;$D82&amp;"|"&amp;$E82&amp;"|"&amp;$F82,'Description Library'!$K$6:$K$808,0)),"")</f>
        <v/>
      </c>
      <c r="H82" s="5" t="str">
        <f aca="false">IFERROR(INDEX('Description Library'!$H$6:$H$808,MATCH($C82&amp;"|"&amp;$D82&amp;"|"&amp;$E82&amp;"|"&amp;$F82,'Description Library'!$K$6:$K$808,0)),"")</f>
        <v/>
      </c>
      <c r="I82" s="22"/>
      <c r="J82" s="5" t="str">
        <f aca="false">IFERROR(INDEX('Description Library'!$I$6:$I$808,MATCH($C82&amp;"|"&amp;$D82&amp;"|"&amp;$E82&amp;"|"&amp;$F82,'Description Library'!$K$6:$K$808,0)),"")</f>
        <v/>
      </c>
      <c r="K82" s="18" t="str">
        <f aca="false">IFERROR(INDEX('Description Library'!$J$6:$J$808,MATCH($C82&amp;"|"&amp;$D82&amp;"|"&amp;$E82&amp;"|"&amp;$F82,'Description Library'!$K$6:$K$808,0)),"")</f>
        <v/>
      </c>
      <c r="L82" s="23" t="str">
        <f aca="false">IF(OR($I82="",$K82=""),"",$I82*$K82)</f>
        <v/>
      </c>
      <c r="M82" s="24" t="str">
        <f aca="false">IFERROR(VLOOKUP($C82,MAP_SEC,2,0),"L_SECTION")</f>
        <v>L_SECTION</v>
      </c>
      <c r="N82" s="24" t="str">
        <f aca="false">IFERROR(VLOOKUP($C82&amp;"|"&amp;$D82,MAP_SUB,2,0),"L_SECTION")</f>
        <v>L_SECTION</v>
      </c>
      <c r="O82" s="24" t="str">
        <f aca="false">IFERROR(VLOOKUP($C82&amp;"|"&amp;$D82&amp;"|"&amp;$E82,MAP_SE,2,0),"L_SECTION")</f>
        <v>L_SECTION</v>
      </c>
    </row>
    <row r="83" customFormat="false" ht="15" hidden="false" customHeight="false" outlineLevel="0" collapsed="false">
      <c r="A83" s="5" t="str">
        <f aca="false">IF($C83="","",ROW()-4)</f>
        <v/>
      </c>
      <c r="B83" s="20"/>
      <c r="C83" s="20"/>
      <c r="D83" s="20"/>
      <c r="E83" s="20"/>
      <c r="F83" s="20"/>
      <c r="G83" s="21" t="str">
        <f aca="false">IFERROR(INDEX('Description Library'!$C$6:$C$808,MATCH($C83&amp;"|"&amp;$D83&amp;"|"&amp;$E83&amp;"|"&amp;$F83,'Description Library'!$K$6:$K$808,0)),"")</f>
        <v/>
      </c>
      <c r="H83" s="5" t="str">
        <f aca="false">IFERROR(INDEX('Description Library'!$H$6:$H$808,MATCH($C83&amp;"|"&amp;$D83&amp;"|"&amp;$E83&amp;"|"&amp;$F83,'Description Library'!$K$6:$K$808,0)),"")</f>
        <v/>
      </c>
      <c r="I83" s="22"/>
      <c r="J83" s="5" t="str">
        <f aca="false">IFERROR(INDEX('Description Library'!$I$6:$I$808,MATCH($C83&amp;"|"&amp;$D83&amp;"|"&amp;$E83&amp;"|"&amp;$F83,'Description Library'!$K$6:$K$808,0)),"")</f>
        <v/>
      </c>
      <c r="K83" s="18" t="str">
        <f aca="false">IFERROR(INDEX('Description Library'!$J$6:$J$808,MATCH($C83&amp;"|"&amp;$D83&amp;"|"&amp;$E83&amp;"|"&amp;$F83,'Description Library'!$K$6:$K$808,0)),"")</f>
        <v/>
      </c>
      <c r="L83" s="23" t="str">
        <f aca="false">IF(OR($I83="",$K83=""),"",$I83*$K83)</f>
        <v/>
      </c>
      <c r="M83" s="24" t="str">
        <f aca="false">IFERROR(VLOOKUP($C83,MAP_SEC,2,0),"L_SECTION")</f>
        <v>L_SECTION</v>
      </c>
      <c r="N83" s="24" t="str">
        <f aca="false">IFERROR(VLOOKUP($C83&amp;"|"&amp;$D83,MAP_SUB,2,0),"L_SECTION")</f>
        <v>L_SECTION</v>
      </c>
      <c r="O83" s="24" t="str">
        <f aca="false">IFERROR(VLOOKUP($C83&amp;"|"&amp;$D83&amp;"|"&amp;$E83,MAP_SE,2,0),"L_SECTION")</f>
        <v>L_SECTION</v>
      </c>
    </row>
    <row r="84" customFormat="false" ht="15" hidden="false" customHeight="false" outlineLevel="0" collapsed="false">
      <c r="A84" s="5" t="str">
        <f aca="false">IF($C84="","",ROW()-4)</f>
        <v/>
      </c>
      <c r="B84" s="20"/>
      <c r="C84" s="20"/>
      <c r="D84" s="20"/>
      <c r="E84" s="20"/>
      <c r="F84" s="20"/>
      <c r="G84" s="21" t="str">
        <f aca="false">IFERROR(INDEX('Description Library'!$C$6:$C$808,MATCH($C84&amp;"|"&amp;$D84&amp;"|"&amp;$E84&amp;"|"&amp;$F84,'Description Library'!$K$6:$K$808,0)),"")</f>
        <v/>
      </c>
      <c r="H84" s="5" t="str">
        <f aca="false">IFERROR(INDEX('Description Library'!$H$6:$H$808,MATCH($C84&amp;"|"&amp;$D84&amp;"|"&amp;$E84&amp;"|"&amp;$F84,'Description Library'!$K$6:$K$808,0)),"")</f>
        <v/>
      </c>
      <c r="I84" s="22"/>
      <c r="J84" s="5" t="str">
        <f aca="false">IFERROR(INDEX('Description Library'!$I$6:$I$808,MATCH($C84&amp;"|"&amp;$D84&amp;"|"&amp;$E84&amp;"|"&amp;$F84,'Description Library'!$K$6:$K$808,0)),"")</f>
        <v/>
      </c>
      <c r="K84" s="18" t="str">
        <f aca="false">IFERROR(INDEX('Description Library'!$J$6:$J$808,MATCH($C84&amp;"|"&amp;$D84&amp;"|"&amp;$E84&amp;"|"&amp;$F84,'Description Library'!$K$6:$K$808,0)),"")</f>
        <v/>
      </c>
      <c r="L84" s="23" t="str">
        <f aca="false">IF(OR($I84="",$K84=""),"",$I84*$K84)</f>
        <v/>
      </c>
      <c r="M84" s="24" t="str">
        <f aca="false">IFERROR(VLOOKUP($C84,MAP_SEC,2,0),"L_SECTION")</f>
        <v>L_SECTION</v>
      </c>
      <c r="N84" s="24" t="str">
        <f aca="false">IFERROR(VLOOKUP($C84&amp;"|"&amp;$D84,MAP_SUB,2,0),"L_SECTION")</f>
        <v>L_SECTION</v>
      </c>
      <c r="O84" s="24" t="str">
        <f aca="false">IFERROR(VLOOKUP($C84&amp;"|"&amp;$D84&amp;"|"&amp;$E84,MAP_SE,2,0),"L_SECTION")</f>
        <v>L_SECTION</v>
      </c>
    </row>
    <row r="85" customFormat="false" ht="15" hidden="false" customHeight="false" outlineLevel="0" collapsed="false">
      <c r="A85" s="5" t="str">
        <f aca="false">IF($C85="","",ROW()-4)</f>
        <v/>
      </c>
      <c r="B85" s="20"/>
      <c r="C85" s="20"/>
      <c r="D85" s="20"/>
      <c r="E85" s="20"/>
      <c r="F85" s="20"/>
      <c r="G85" s="21" t="str">
        <f aca="false">IFERROR(INDEX('Description Library'!$C$6:$C$808,MATCH($C85&amp;"|"&amp;$D85&amp;"|"&amp;$E85&amp;"|"&amp;$F85,'Description Library'!$K$6:$K$808,0)),"")</f>
        <v/>
      </c>
      <c r="H85" s="5" t="str">
        <f aca="false">IFERROR(INDEX('Description Library'!$H$6:$H$808,MATCH($C85&amp;"|"&amp;$D85&amp;"|"&amp;$E85&amp;"|"&amp;$F85,'Description Library'!$K$6:$K$808,0)),"")</f>
        <v/>
      </c>
      <c r="I85" s="22"/>
      <c r="J85" s="5" t="str">
        <f aca="false">IFERROR(INDEX('Description Library'!$I$6:$I$808,MATCH($C85&amp;"|"&amp;$D85&amp;"|"&amp;$E85&amp;"|"&amp;$F85,'Description Library'!$K$6:$K$808,0)),"")</f>
        <v/>
      </c>
      <c r="K85" s="18" t="str">
        <f aca="false">IFERROR(INDEX('Description Library'!$J$6:$J$808,MATCH($C85&amp;"|"&amp;$D85&amp;"|"&amp;$E85&amp;"|"&amp;$F85,'Description Library'!$K$6:$K$808,0)),"")</f>
        <v/>
      </c>
      <c r="L85" s="23" t="str">
        <f aca="false">IF(OR($I85="",$K85=""),"",$I85*$K85)</f>
        <v/>
      </c>
      <c r="M85" s="24" t="str">
        <f aca="false">IFERROR(VLOOKUP($C85,MAP_SEC,2,0),"L_SECTION")</f>
        <v>L_SECTION</v>
      </c>
      <c r="N85" s="24" t="str">
        <f aca="false">IFERROR(VLOOKUP($C85&amp;"|"&amp;$D85,MAP_SUB,2,0),"L_SECTION")</f>
        <v>L_SECTION</v>
      </c>
      <c r="O85" s="24" t="str">
        <f aca="false">IFERROR(VLOOKUP($C85&amp;"|"&amp;$D85&amp;"|"&amp;$E85,MAP_SE,2,0),"L_SECTION")</f>
        <v>L_SECTION</v>
      </c>
    </row>
    <row r="86" customFormat="false" ht="15" hidden="false" customHeight="false" outlineLevel="0" collapsed="false">
      <c r="A86" s="5" t="str">
        <f aca="false">IF($C86="","",ROW()-4)</f>
        <v/>
      </c>
      <c r="B86" s="20"/>
      <c r="C86" s="20"/>
      <c r="D86" s="20"/>
      <c r="E86" s="20"/>
      <c r="F86" s="20"/>
      <c r="G86" s="21" t="str">
        <f aca="false">IFERROR(INDEX('Description Library'!$C$6:$C$808,MATCH($C86&amp;"|"&amp;$D86&amp;"|"&amp;$E86&amp;"|"&amp;$F86,'Description Library'!$K$6:$K$808,0)),"")</f>
        <v/>
      </c>
      <c r="H86" s="5" t="str">
        <f aca="false">IFERROR(INDEX('Description Library'!$H$6:$H$808,MATCH($C86&amp;"|"&amp;$D86&amp;"|"&amp;$E86&amp;"|"&amp;$F86,'Description Library'!$K$6:$K$808,0)),"")</f>
        <v/>
      </c>
      <c r="I86" s="22"/>
      <c r="J86" s="5" t="str">
        <f aca="false">IFERROR(INDEX('Description Library'!$I$6:$I$808,MATCH($C86&amp;"|"&amp;$D86&amp;"|"&amp;$E86&amp;"|"&amp;$F86,'Description Library'!$K$6:$K$808,0)),"")</f>
        <v/>
      </c>
      <c r="K86" s="18" t="str">
        <f aca="false">IFERROR(INDEX('Description Library'!$J$6:$J$808,MATCH($C86&amp;"|"&amp;$D86&amp;"|"&amp;$E86&amp;"|"&amp;$F86,'Description Library'!$K$6:$K$808,0)),"")</f>
        <v/>
      </c>
      <c r="L86" s="23" t="str">
        <f aca="false">IF(OR($I86="",$K86=""),"",$I86*$K86)</f>
        <v/>
      </c>
      <c r="M86" s="24" t="str">
        <f aca="false">IFERROR(VLOOKUP($C86,MAP_SEC,2,0),"L_SECTION")</f>
        <v>L_SECTION</v>
      </c>
      <c r="N86" s="24" t="str">
        <f aca="false">IFERROR(VLOOKUP($C86&amp;"|"&amp;$D86,MAP_SUB,2,0),"L_SECTION")</f>
        <v>L_SECTION</v>
      </c>
      <c r="O86" s="24" t="str">
        <f aca="false">IFERROR(VLOOKUP($C86&amp;"|"&amp;$D86&amp;"|"&amp;$E86,MAP_SE,2,0),"L_SECTION")</f>
        <v>L_SECTION</v>
      </c>
    </row>
    <row r="87" customFormat="false" ht="15" hidden="false" customHeight="false" outlineLevel="0" collapsed="false">
      <c r="A87" s="5" t="str">
        <f aca="false">IF($C87="","",ROW()-4)</f>
        <v/>
      </c>
      <c r="B87" s="20"/>
      <c r="C87" s="20"/>
      <c r="D87" s="20"/>
      <c r="E87" s="20"/>
      <c r="F87" s="20"/>
      <c r="G87" s="21" t="str">
        <f aca="false">IFERROR(INDEX('Description Library'!$C$6:$C$808,MATCH($C87&amp;"|"&amp;$D87&amp;"|"&amp;$E87&amp;"|"&amp;$F87,'Description Library'!$K$6:$K$808,0)),"")</f>
        <v/>
      </c>
      <c r="H87" s="5" t="str">
        <f aca="false">IFERROR(INDEX('Description Library'!$H$6:$H$808,MATCH($C87&amp;"|"&amp;$D87&amp;"|"&amp;$E87&amp;"|"&amp;$F87,'Description Library'!$K$6:$K$808,0)),"")</f>
        <v/>
      </c>
      <c r="I87" s="22"/>
      <c r="J87" s="5" t="str">
        <f aca="false">IFERROR(INDEX('Description Library'!$I$6:$I$808,MATCH($C87&amp;"|"&amp;$D87&amp;"|"&amp;$E87&amp;"|"&amp;$F87,'Description Library'!$K$6:$K$808,0)),"")</f>
        <v/>
      </c>
      <c r="K87" s="18" t="str">
        <f aca="false">IFERROR(INDEX('Description Library'!$J$6:$J$808,MATCH($C87&amp;"|"&amp;$D87&amp;"|"&amp;$E87&amp;"|"&amp;$F87,'Description Library'!$K$6:$K$808,0)),"")</f>
        <v/>
      </c>
      <c r="L87" s="23" t="str">
        <f aca="false">IF(OR($I87="",$K87=""),"",$I87*$K87)</f>
        <v/>
      </c>
      <c r="M87" s="24" t="str">
        <f aca="false">IFERROR(VLOOKUP($C87,MAP_SEC,2,0),"L_SECTION")</f>
        <v>L_SECTION</v>
      </c>
      <c r="N87" s="24" t="str">
        <f aca="false">IFERROR(VLOOKUP($C87&amp;"|"&amp;$D87,MAP_SUB,2,0),"L_SECTION")</f>
        <v>L_SECTION</v>
      </c>
      <c r="O87" s="24" t="str">
        <f aca="false">IFERROR(VLOOKUP($C87&amp;"|"&amp;$D87&amp;"|"&amp;$E87,MAP_SE,2,0),"L_SECTION")</f>
        <v>L_SECTION</v>
      </c>
    </row>
    <row r="88" customFormat="false" ht="15" hidden="false" customHeight="false" outlineLevel="0" collapsed="false">
      <c r="A88" s="5" t="str">
        <f aca="false">IF($C88="","",ROW()-4)</f>
        <v/>
      </c>
      <c r="B88" s="20"/>
      <c r="C88" s="20"/>
      <c r="D88" s="20"/>
      <c r="E88" s="20"/>
      <c r="F88" s="20"/>
      <c r="G88" s="21" t="str">
        <f aca="false">IFERROR(INDEX('Description Library'!$C$6:$C$808,MATCH($C88&amp;"|"&amp;$D88&amp;"|"&amp;$E88&amp;"|"&amp;$F88,'Description Library'!$K$6:$K$808,0)),"")</f>
        <v/>
      </c>
      <c r="H88" s="5" t="str">
        <f aca="false">IFERROR(INDEX('Description Library'!$H$6:$H$808,MATCH($C88&amp;"|"&amp;$D88&amp;"|"&amp;$E88&amp;"|"&amp;$F88,'Description Library'!$K$6:$K$808,0)),"")</f>
        <v/>
      </c>
      <c r="I88" s="22"/>
      <c r="J88" s="5" t="str">
        <f aca="false">IFERROR(INDEX('Description Library'!$I$6:$I$808,MATCH($C88&amp;"|"&amp;$D88&amp;"|"&amp;$E88&amp;"|"&amp;$F88,'Description Library'!$K$6:$K$808,0)),"")</f>
        <v/>
      </c>
      <c r="K88" s="18" t="str">
        <f aca="false">IFERROR(INDEX('Description Library'!$J$6:$J$808,MATCH($C88&amp;"|"&amp;$D88&amp;"|"&amp;$E88&amp;"|"&amp;$F88,'Description Library'!$K$6:$K$808,0)),"")</f>
        <v/>
      </c>
      <c r="L88" s="23" t="str">
        <f aca="false">IF(OR($I88="",$K88=""),"",$I88*$K88)</f>
        <v/>
      </c>
      <c r="M88" s="24" t="str">
        <f aca="false">IFERROR(VLOOKUP($C88,MAP_SEC,2,0),"L_SECTION")</f>
        <v>L_SECTION</v>
      </c>
      <c r="N88" s="24" t="str">
        <f aca="false">IFERROR(VLOOKUP($C88&amp;"|"&amp;$D88,MAP_SUB,2,0),"L_SECTION")</f>
        <v>L_SECTION</v>
      </c>
      <c r="O88" s="24" t="str">
        <f aca="false">IFERROR(VLOOKUP($C88&amp;"|"&amp;$D88&amp;"|"&amp;$E88,MAP_SE,2,0),"L_SECTION")</f>
        <v>L_SECTION</v>
      </c>
    </row>
    <row r="89" customFormat="false" ht="15" hidden="false" customHeight="false" outlineLevel="0" collapsed="false">
      <c r="A89" s="5" t="str">
        <f aca="false">IF($C89="","",ROW()-4)</f>
        <v/>
      </c>
      <c r="B89" s="20"/>
      <c r="C89" s="20"/>
      <c r="D89" s="20"/>
      <c r="E89" s="20"/>
      <c r="F89" s="20"/>
      <c r="G89" s="21" t="str">
        <f aca="false">IFERROR(INDEX('Description Library'!$C$6:$C$808,MATCH($C89&amp;"|"&amp;$D89&amp;"|"&amp;$E89&amp;"|"&amp;$F89,'Description Library'!$K$6:$K$808,0)),"")</f>
        <v/>
      </c>
      <c r="H89" s="5" t="str">
        <f aca="false">IFERROR(INDEX('Description Library'!$H$6:$H$808,MATCH($C89&amp;"|"&amp;$D89&amp;"|"&amp;$E89&amp;"|"&amp;$F89,'Description Library'!$K$6:$K$808,0)),"")</f>
        <v/>
      </c>
      <c r="I89" s="22"/>
      <c r="J89" s="5" t="str">
        <f aca="false">IFERROR(INDEX('Description Library'!$I$6:$I$808,MATCH($C89&amp;"|"&amp;$D89&amp;"|"&amp;$E89&amp;"|"&amp;$F89,'Description Library'!$K$6:$K$808,0)),"")</f>
        <v/>
      </c>
      <c r="K89" s="18" t="str">
        <f aca="false">IFERROR(INDEX('Description Library'!$J$6:$J$808,MATCH($C89&amp;"|"&amp;$D89&amp;"|"&amp;$E89&amp;"|"&amp;$F89,'Description Library'!$K$6:$K$808,0)),"")</f>
        <v/>
      </c>
      <c r="L89" s="23" t="str">
        <f aca="false">IF(OR($I89="",$K89=""),"",$I89*$K89)</f>
        <v/>
      </c>
      <c r="M89" s="24" t="str">
        <f aca="false">IFERROR(VLOOKUP($C89,MAP_SEC,2,0),"L_SECTION")</f>
        <v>L_SECTION</v>
      </c>
      <c r="N89" s="24" t="str">
        <f aca="false">IFERROR(VLOOKUP($C89&amp;"|"&amp;$D89,MAP_SUB,2,0),"L_SECTION")</f>
        <v>L_SECTION</v>
      </c>
      <c r="O89" s="24" t="str">
        <f aca="false">IFERROR(VLOOKUP($C89&amp;"|"&amp;$D89&amp;"|"&amp;$E89,MAP_SE,2,0),"L_SECTION")</f>
        <v>L_SECTION</v>
      </c>
    </row>
    <row r="90" customFormat="false" ht="15" hidden="false" customHeight="false" outlineLevel="0" collapsed="false">
      <c r="A90" s="5" t="str">
        <f aca="false">IF($C90="","",ROW()-4)</f>
        <v/>
      </c>
      <c r="B90" s="20"/>
      <c r="C90" s="20"/>
      <c r="D90" s="20"/>
      <c r="E90" s="20"/>
      <c r="F90" s="20"/>
      <c r="G90" s="21" t="str">
        <f aca="false">IFERROR(INDEX('Description Library'!$C$6:$C$808,MATCH($C90&amp;"|"&amp;$D90&amp;"|"&amp;$E90&amp;"|"&amp;$F90,'Description Library'!$K$6:$K$808,0)),"")</f>
        <v/>
      </c>
      <c r="H90" s="5" t="str">
        <f aca="false">IFERROR(INDEX('Description Library'!$H$6:$H$808,MATCH($C90&amp;"|"&amp;$D90&amp;"|"&amp;$E90&amp;"|"&amp;$F90,'Description Library'!$K$6:$K$808,0)),"")</f>
        <v/>
      </c>
      <c r="I90" s="22"/>
      <c r="J90" s="5" t="str">
        <f aca="false">IFERROR(INDEX('Description Library'!$I$6:$I$808,MATCH($C90&amp;"|"&amp;$D90&amp;"|"&amp;$E90&amp;"|"&amp;$F90,'Description Library'!$K$6:$K$808,0)),"")</f>
        <v/>
      </c>
      <c r="K90" s="18" t="str">
        <f aca="false">IFERROR(INDEX('Description Library'!$J$6:$J$808,MATCH($C90&amp;"|"&amp;$D90&amp;"|"&amp;$E90&amp;"|"&amp;$F90,'Description Library'!$K$6:$K$808,0)),"")</f>
        <v/>
      </c>
      <c r="L90" s="23" t="str">
        <f aca="false">IF(OR($I90="",$K90=""),"",$I90*$K90)</f>
        <v/>
      </c>
      <c r="M90" s="24" t="str">
        <f aca="false">IFERROR(VLOOKUP($C90,MAP_SEC,2,0),"L_SECTION")</f>
        <v>L_SECTION</v>
      </c>
      <c r="N90" s="24" t="str">
        <f aca="false">IFERROR(VLOOKUP($C90&amp;"|"&amp;$D90,MAP_SUB,2,0),"L_SECTION")</f>
        <v>L_SECTION</v>
      </c>
      <c r="O90" s="24" t="str">
        <f aca="false">IFERROR(VLOOKUP($C90&amp;"|"&amp;$D90&amp;"|"&amp;$E90,MAP_SE,2,0),"L_SECTION")</f>
        <v>L_SECTION</v>
      </c>
    </row>
    <row r="91" customFormat="false" ht="15" hidden="false" customHeight="false" outlineLevel="0" collapsed="false">
      <c r="A91" s="5" t="str">
        <f aca="false">IF($C91="","",ROW()-4)</f>
        <v/>
      </c>
      <c r="B91" s="20"/>
      <c r="C91" s="20"/>
      <c r="D91" s="20"/>
      <c r="E91" s="20"/>
      <c r="F91" s="20"/>
      <c r="G91" s="21" t="str">
        <f aca="false">IFERROR(INDEX('Description Library'!$C$6:$C$808,MATCH($C91&amp;"|"&amp;$D91&amp;"|"&amp;$E91&amp;"|"&amp;$F91,'Description Library'!$K$6:$K$808,0)),"")</f>
        <v/>
      </c>
      <c r="H91" s="5" t="str">
        <f aca="false">IFERROR(INDEX('Description Library'!$H$6:$H$808,MATCH($C91&amp;"|"&amp;$D91&amp;"|"&amp;$E91&amp;"|"&amp;$F91,'Description Library'!$K$6:$K$808,0)),"")</f>
        <v/>
      </c>
      <c r="I91" s="22"/>
      <c r="J91" s="5" t="str">
        <f aca="false">IFERROR(INDEX('Description Library'!$I$6:$I$808,MATCH($C91&amp;"|"&amp;$D91&amp;"|"&amp;$E91&amp;"|"&amp;$F91,'Description Library'!$K$6:$K$808,0)),"")</f>
        <v/>
      </c>
      <c r="K91" s="18" t="str">
        <f aca="false">IFERROR(INDEX('Description Library'!$J$6:$J$808,MATCH($C91&amp;"|"&amp;$D91&amp;"|"&amp;$E91&amp;"|"&amp;$F91,'Description Library'!$K$6:$K$808,0)),"")</f>
        <v/>
      </c>
      <c r="L91" s="23" t="str">
        <f aca="false">IF(OR($I91="",$K91=""),"",$I91*$K91)</f>
        <v/>
      </c>
      <c r="M91" s="24" t="str">
        <f aca="false">IFERROR(VLOOKUP($C91,MAP_SEC,2,0),"L_SECTION")</f>
        <v>L_SECTION</v>
      </c>
      <c r="N91" s="24" t="str">
        <f aca="false">IFERROR(VLOOKUP($C91&amp;"|"&amp;$D91,MAP_SUB,2,0),"L_SECTION")</f>
        <v>L_SECTION</v>
      </c>
      <c r="O91" s="24" t="str">
        <f aca="false">IFERROR(VLOOKUP($C91&amp;"|"&amp;$D91&amp;"|"&amp;$E91,MAP_SE,2,0),"L_SECTION")</f>
        <v>L_SECTION</v>
      </c>
    </row>
    <row r="92" customFormat="false" ht="15" hidden="false" customHeight="false" outlineLevel="0" collapsed="false">
      <c r="A92" s="5" t="str">
        <f aca="false">IF($C92="","",ROW()-4)</f>
        <v/>
      </c>
      <c r="B92" s="20"/>
      <c r="C92" s="20"/>
      <c r="D92" s="20"/>
      <c r="E92" s="20"/>
      <c r="F92" s="20"/>
      <c r="G92" s="21" t="str">
        <f aca="false">IFERROR(INDEX('Description Library'!$C$6:$C$808,MATCH($C92&amp;"|"&amp;$D92&amp;"|"&amp;$E92&amp;"|"&amp;$F92,'Description Library'!$K$6:$K$808,0)),"")</f>
        <v/>
      </c>
      <c r="H92" s="5" t="str">
        <f aca="false">IFERROR(INDEX('Description Library'!$H$6:$H$808,MATCH($C92&amp;"|"&amp;$D92&amp;"|"&amp;$E92&amp;"|"&amp;$F92,'Description Library'!$K$6:$K$808,0)),"")</f>
        <v/>
      </c>
      <c r="I92" s="22"/>
      <c r="J92" s="5" t="str">
        <f aca="false">IFERROR(INDEX('Description Library'!$I$6:$I$808,MATCH($C92&amp;"|"&amp;$D92&amp;"|"&amp;$E92&amp;"|"&amp;$F92,'Description Library'!$K$6:$K$808,0)),"")</f>
        <v/>
      </c>
      <c r="K92" s="18" t="str">
        <f aca="false">IFERROR(INDEX('Description Library'!$J$6:$J$808,MATCH($C92&amp;"|"&amp;$D92&amp;"|"&amp;$E92&amp;"|"&amp;$F92,'Description Library'!$K$6:$K$808,0)),"")</f>
        <v/>
      </c>
      <c r="L92" s="23" t="str">
        <f aca="false">IF(OR($I92="",$K92=""),"",$I92*$K92)</f>
        <v/>
      </c>
      <c r="M92" s="24" t="str">
        <f aca="false">IFERROR(VLOOKUP($C92,MAP_SEC,2,0),"L_SECTION")</f>
        <v>L_SECTION</v>
      </c>
      <c r="N92" s="24" t="str">
        <f aca="false">IFERROR(VLOOKUP($C92&amp;"|"&amp;$D92,MAP_SUB,2,0),"L_SECTION")</f>
        <v>L_SECTION</v>
      </c>
      <c r="O92" s="24" t="str">
        <f aca="false">IFERROR(VLOOKUP($C92&amp;"|"&amp;$D92&amp;"|"&amp;$E92,MAP_SE,2,0),"L_SECTION")</f>
        <v>L_SECTION</v>
      </c>
    </row>
    <row r="93" customFormat="false" ht="15" hidden="false" customHeight="false" outlineLevel="0" collapsed="false">
      <c r="A93" s="5" t="str">
        <f aca="false">IF($C93="","",ROW()-4)</f>
        <v/>
      </c>
      <c r="B93" s="20"/>
      <c r="C93" s="20"/>
      <c r="D93" s="20"/>
      <c r="E93" s="20"/>
      <c r="F93" s="20"/>
      <c r="G93" s="21" t="str">
        <f aca="false">IFERROR(INDEX('Description Library'!$C$6:$C$808,MATCH($C93&amp;"|"&amp;$D93&amp;"|"&amp;$E93&amp;"|"&amp;$F93,'Description Library'!$K$6:$K$808,0)),"")</f>
        <v/>
      </c>
      <c r="H93" s="5" t="str">
        <f aca="false">IFERROR(INDEX('Description Library'!$H$6:$H$808,MATCH($C93&amp;"|"&amp;$D93&amp;"|"&amp;$E93&amp;"|"&amp;$F93,'Description Library'!$K$6:$K$808,0)),"")</f>
        <v/>
      </c>
      <c r="I93" s="22"/>
      <c r="J93" s="5" t="str">
        <f aca="false">IFERROR(INDEX('Description Library'!$I$6:$I$808,MATCH($C93&amp;"|"&amp;$D93&amp;"|"&amp;$E93&amp;"|"&amp;$F93,'Description Library'!$K$6:$K$808,0)),"")</f>
        <v/>
      </c>
      <c r="K93" s="18" t="str">
        <f aca="false">IFERROR(INDEX('Description Library'!$J$6:$J$808,MATCH($C93&amp;"|"&amp;$D93&amp;"|"&amp;$E93&amp;"|"&amp;$F93,'Description Library'!$K$6:$K$808,0)),"")</f>
        <v/>
      </c>
      <c r="L93" s="23" t="str">
        <f aca="false">IF(OR($I93="",$K93=""),"",$I93*$K93)</f>
        <v/>
      </c>
      <c r="M93" s="24" t="str">
        <f aca="false">IFERROR(VLOOKUP($C93,MAP_SEC,2,0),"L_SECTION")</f>
        <v>L_SECTION</v>
      </c>
      <c r="N93" s="24" t="str">
        <f aca="false">IFERROR(VLOOKUP($C93&amp;"|"&amp;$D93,MAP_SUB,2,0),"L_SECTION")</f>
        <v>L_SECTION</v>
      </c>
      <c r="O93" s="24" t="str">
        <f aca="false">IFERROR(VLOOKUP($C93&amp;"|"&amp;$D93&amp;"|"&amp;$E93,MAP_SE,2,0),"L_SECTION")</f>
        <v>L_SECTION</v>
      </c>
    </row>
    <row r="94" customFormat="false" ht="15" hidden="false" customHeight="false" outlineLevel="0" collapsed="false">
      <c r="A94" s="5" t="str">
        <f aca="false">IF($C94="","",ROW()-4)</f>
        <v/>
      </c>
      <c r="B94" s="20"/>
      <c r="C94" s="20"/>
      <c r="D94" s="20"/>
      <c r="E94" s="20"/>
      <c r="F94" s="20"/>
      <c r="G94" s="21" t="str">
        <f aca="false">IFERROR(INDEX('Description Library'!$C$6:$C$808,MATCH($C94&amp;"|"&amp;$D94&amp;"|"&amp;$E94&amp;"|"&amp;$F94,'Description Library'!$K$6:$K$808,0)),"")</f>
        <v/>
      </c>
      <c r="H94" s="5" t="str">
        <f aca="false">IFERROR(INDEX('Description Library'!$H$6:$H$808,MATCH($C94&amp;"|"&amp;$D94&amp;"|"&amp;$E94&amp;"|"&amp;$F94,'Description Library'!$K$6:$K$808,0)),"")</f>
        <v/>
      </c>
      <c r="I94" s="22"/>
      <c r="J94" s="5" t="str">
        <f aca="false">IFERROR(INDEX('Description Library'!$I$6:$I$808,MATCH($C94&amp;"|"&amp;$D94&amp;"|"&amp;$E94&amp;"|"&amp;$F94,'Description Library'!$K$6:$K$808,0)),"")</f>
        <v/>
      </c>
      <c r="K94" s="18" t="str">
        <f aca="false">IFERROR(INDEX('Description Library'!$J$6:$J$808,MATCH($C94&amp;"|"&amp;$D94&amp;"|"&amp;$E94&amp;"|"&amp;$F94,'Description Library'!$K$6:$K$808,0)),"")</f>
        <v/>
      </c>
      <c r="L94" s="23" t="str">
        <f aca="false">IF(OR($I94="",$K94=""),"",$I94*$K94)</f>
        <v/>
      </c>
      <c r="M94" s="24" t="str">
        <f aca="false">IFERROR(VLOOKUP($C94,MAP_SEC,2,0),"L_SECTION")</f>
        <v>L_SECTION</v>
      </c>
      <c r="N94" s="24" t="str">
        <f aca="false">IFERROR(VLOOKUP($C94&amp;"|"&amp;$D94,MAP_SUB,2,0),"L_SECTION")</f>
        <v>L_SECTION</v>
      </c>
      <c r="O94" s="24" t="str">
        <f aca="false">IFERROR(VLOOKUP($C94&amp;"|"&amp;$D94&amp;"|"&amp;$E94,MAP_SE,2,0),"L_SECTION")</f>
        <v>L_SECTION</v>
      </c>
    </row>
    <row r="95" customFormat="false" ht="15" hidden="false" customHeight="false" outlineLevel="0" collapsed="false">
      <c r="A95" s="5" t="str">
        <f aca="false">IF($C95="","",ROW()-4)</f>
        <v/>
      </c>
      <c r="B95" s="20"/>
      <c r="C95" s="20"/>
      <c r="D95" s="20"/>
      <c r="E95" s="20"/>
      <c r="F95" s="20"/>
      <c r="G95" s="21" t="str">
        <f aca="false">IFERROR(INDEX('Description Library'!$C$6:$C$808,MATCH($C95&amp;"|"&amp;$D95&amp;"|"&amp;$E95&amp;"|"&amp;$F95,'Description Library'!$K$6:$K$808,0)),"")</f>
        <v/>
      </c>
      <c r="H95" s="5" t="str">
        <f aca="false">IFERROR(INDEX('Description Library'!$H$6:$H$808,MATCH($C95&amp;"|"&amp;$D95&amp;"|"&amp;$E95&amp;"|"&amp;$F95,'Description Library'!$K$6:$K$808,0)),"")</f>
        <v/>
      </c>
      <c r="I95" s="22"/>
      <c r="J95" s="5" t="str">
        <f aca="false">IFERROR(INDEX('Description Library'!$I$6:$I$808,MATCH($C95&amp;"|"&amp;$D95&amp;"|"&amp;$E95&amp;"|"&amp;$F95,'Description Library'!$K$6:$K$808,0)),"")</f>
        <v/>
      </c>
      <c r="K95" s="18" t="str">
        <f aca="false">IFERROR(INDEX('Description Library'!$J$6:$J$808,MATCH($C95&amp;"|"&amp;$D95&amp;"|"&amp;$E95&amp;"|"&amp;$F95,'Description Library'!$K$6:$K$808,0)),"")</f>
        <v/>
      </c>
      <c r="L95" s="23" t="str">
        <f aca="false">IF(OR($I95="",$K95=""),"",$I95*$K95)</f>
        <v/>
      </c>
      <c r="M95" s="24" t="str">
        <f aca="false">IFERROR(VLOOKUP($C95,MAP_SEC,2,0),"L_SECTION")</f>
        <v>L_SECTION</v>
      </c>
      <c r="N95" s="24" t="str">
        <f aca="false">IFERROR(VLOOKUP($C95&amp;"|"&amp;$D95,MAP_SUB,2,0),"L_SECTION")</f>
        <v>L_SECTION</v>
      </c>
      <c r="O95" s="24" t="str">
        <f aca="false">IFERROR(VLOOKUP($C95&amp;"|"&amp;$D95&amp;"|"&amp;$E95,MAP_SE,2,0),"L_SECTION")</f>
        <v>L_SECTION</v>
      </c>
    </row>
    <row r="96" customFormat="false" ht="15" hidden="false" customHeight="false" outlineLevel="0" collapsed="false">
      <c r="A96" s="5" t="str">
        <f aca="false">IF($C96="","",ROW()-4)</f>
        <v/>
      </c>
      <c r="B96" s="20"/>
      <c r="C96" s="20"/>
      <c r="D96" s="20"/>
      <c r="E96" s="20"/>
      <c r="F96" s="20"/>
      <c r="G96" s="21" t="str">
        <f aca="false">IFERROR(INDEX('Description Library'!$C$6:$C$808,MATCH($C96&amp;"|"&amp;$D96&amp;"|"&amp;$E96&amp;"|"&amp;$F96,'Description Library'!$K$6:$K$808,0)),"")</f>
        <v/>
      </c>
      <c r="H96" s="5" t="str">
        <f aca="false">IFERROR(INDEX('Description Library'!$H$6:$H$808,MATCH($C96&amp;"|"&amp;$D96&amp;"|"&amp;$E96&amp;"|"&amp;$F96,'Description Library'!$K$6:$K$808,0)),"")</f>
        <v/>
      </c>
      <c r="I96" s="22"/>
      <c r="J96" s="5" t="str">
        <f aca="false">IFERROR(INDEX('Description Library'!$I$6:$I$808,MATCH($C96&amp;"|"&amp;$D96&amp;"|"&amp;$E96&amp;"|"&amp;$F96,'Description Library'!$K$6:$K$808,0)),"")</f>
        <v/>
      </c>
      <c r="K96" s="18" t="str">
        <f aca="false">IFERROR(INDEX('Description Library'!$J$6:$J$808,MATCH($C96&amp;"|"&amp;$D96&amp;"|"&amp;$E96&amp;"|"&amp;$F96,'Description Library'!$K$6:$K$808,0)),"")</f>
        <v/>
      </c>
      <c r="L96" s="23" t="str">
        <f aca="false">IF(OR($I96="",$K96=""),"",$I96*$K96)</f>
        <v/>
      </c>
      <c r="M96" s="24" t="str">
        <f aca="false">IFERROR(VLOOKUP($C96,MAP_SEC,2,0),"L_SECTION")</f>
        <v>L_SECTION</v>
      </c>
      <c r="N96" s="24" t="str">
        <f aca="false">IFERROR(VLOOKUP($C96&amp;"|"&amp;$D96,MAP_SUB,2,0),"L_SECTION")</f>
        <v>L_SECTION</v>
      </c>
      <c r="O96" s="24" t="str">
        <f aca="false">IFERROR(VLOOKUP($C96&amp;"|"&amp;$D96&amp;"|"&amp;$E96,MAP_SE,2,0),"L_SECTION")</f>
        <v>L_SECTION</v>
      </c>
    </row>
    <row r="97" customFormat="false" ht="15" hidden="false" customHeight="false" outlineLevel="0" collapsed="false">
      <c r="A97" s="5" t="str">
        <f aca="false">IF($C97="","",ROW()-4)</f>
        <v/>
      </c>
      <c r="B97" s="20"/>
      <c r="C97" s="20"/>
      <c r="D97" s="20"/>
      <c r="E97" s="20"/>
      <c r="F97" s="20"/>
      <c r="G97" s="21" t="str">
        <f aca="false">IFERROR(INDEX('Description Library'!$C$6:$C$808,MATCH($C97&amp;"|"&amp;$D97&amp;"|"&amp;$E97&amp;"|"&amp;$F97,'Description Library'!$K$6:$K$808,0)),"")</f>
        <v/>
      </c>
      <c r="H97" s="5" t="str">
        <f aca="false">IFERROR(INDEX('Description Library'!$H$6:$H$808,MATCH($C97&amp;"|"&amp;$D97&amp;"|"&amp;$E97&amp;"|"&amp;$F97,'Description Library'!$K$6:$K$808,0)),"")</f>
        <v/>
      </c>
      <c r="I97" s="22"/>
      <c r="J97" s="5" t="str">
        <f aca="false">IFERROR(INDEX('Description Library'!$I$6:$I$808,MATCH($C97&amp;"|"&amp;$D97&amp;"|"&amp;$E97&amp;"|"&amp;$F97,'Description Library'!$K$6:$K$808,0)),"")</f>
        <v/>
      </c>
      <c r="K97" s="18" t="str">
        <f aca="false">IFERROR(INDEX('Description Library'!$J$6:$J$808,MATCH($C97&amp;"|"&amp;$D97&amp;"|"&amp;$E97&amp;"|"&amp;$F97,'Description Library'!$K$6:$K$808,0)),"")</f>
        <v/>
      </c>
      <c r="L97" s="23" t="str">
        <f aca="false">IF(OR($I97="",$K97=""),"",$I97*$K97)</f>
        <v/>
      </c>
      <c r="M97" s="24" t="str">
        <f aca="false">IFERROR(VLOOKUP($C97,MAP_SEC,2,0),"L_SECTION")</f>
        <v>L_SECTION</v>
      </c>
      <c r="N97" s="24" t="str">
        <f aca="false">IFERROR(VLOOKUP($C97&amp;"|"&amp;$D97,MAP_SUB,2,0),"L_SECTION")</f>
        <v>L_SECTION</v>
      </c>
      <c r="O97" s="24" t="str">
        <f aca="false">IFERROR(VLOOKUP($C97&amp;"|"&amp;$D97&amp;"|"&amp;$E97,MAP_SE,2,0),"L_SECTION")</f>
        <v>L_SECTION</v>
      </c>
    </row>
    <row r="98" customFormat="false" ht="15" hidden="false" customHeight="false" outlineLevel="0" collapsed="false">
      <c r="A98" s="5" t="str">
        <f aca="false">IF($C98="","",ROW()-4)</f>
        <v/>
      </c>
      <c r="B98" s="20"/>
      <c r="C98" s="20"/>
      <c r="D98" s="20"/>
      <c r="E98" s="20"/>
      <c r="F98" s="20"/>
      <c r="G98" s="21" t="str">
        <f aca="false">IFERROR(INDEX('Description Library'!$C$6:$C$808,MATCH($C98&amp;"|"&amp;$D98&amp;"|"&amp;$E98&amp;"|"&amp;$F98,'Description Library'!$K$6:$K$808,0)),"")</f>
        <v/>
      </c>
      <c r="H98" s="5" t="str">
        <f aca="false">IFERROR(INDEX('Description Library'!$H$6:$H$808,MATCH($C98&amp;"|"&amp;$D98&amp;"|"&amp;$E98&amp;"|"&amp;$F98,'Description Library'!$K$6:$K$808,0)),"")</f>
        <v/>
      </c>
      <c r="I98" s="22"/>
      <c r="J98" s="5" t="str">
        <f aca="false">IFERROR(INDEX('Description Library'!$I$6:$I$808,MATCH($C98&amp;"|"&amp;$D98&amp;"|"&amp;$E98&amp;"|"&amp;$F98,'Description Library'!$K$6:$K$808,0)),"")</f>
        <v/>
      </c>
      <c r="K98" s="18" t="str">
        <f aca="false">IFERROR(INDEX('Description Library'!$J$6:$J$808,MATCH($C98&amp;"|"&amp;$D98&amp;"|"&amp;$E98&amp;"|"&amp;$F98,'Description Library'!$K$6:$K$808,0)),"")</f>
        <v/>
      </c>
      <c r="L98" s="23" t="str">
        <f aca="false">IF(OR($I98="",$K98=""),"",$I98*$K98)</f>
        <v/>
      </c>
      <c r="M98" s="24" t="str">
        <f aca="false">IFERROR(VLOOKUP($C98,MAP_SEC,2,0),"L_SECTION")</f>
        <v>L_SECTION</v>
      </c>
      <c r="N98" s="24" t="str">
        <f aca="false">IFERROR(VLOOKUP($C98&amp;"|"&amp;$D98,MAP_SUB,2,0),"L_SECTION")</f>
        <v>L_SECTION</v>
      </c>
      <c r="O98" s="24" t="str">
        <f aca="false">IFERROR(VLOOKUP($C98&amp;"|"&amp;$D98&amp;"|"&amp;$E98,MAP_SE,2,0),"L_SECTION")</f>
        <v>L_SECTION</v>
      </c>
    </row>
    <row r="99" customFormat="false" ht="15" hidden="false" customHeight="false" outlineLevel="0" collapsed="false">
      <c r="A99" s="5" t="str">
        <f aca="false">IF($C99="","",ROW()-4)</f>
        <v/>
      </c>
      <c r="B99" s="20"/>
      <c r="C99" s="20"/>
      <c r="D99" s="20"/>
      <c r="E99" s="20"/>
      <c r="F99" s="20"/>
      <c r="G99" s="21" t="str">
        <f aca="false">IFERROR(INDEX('Description Library'!$C$6:$C$808,MATCH($C99&amp;"|"&amp;$D99&amp;"|"&amp;$E99&amp;"|"&amp;$F99,'Description Library'!$K$6:$K$808,0)),"")</f>
        <v/>
      </c>
      <c r="H99" s="5" t="str">
        <f aca="false">IFERROR(INDEX('Description Library'!$H$6:$H$808,MATCH($C99&amp;"|"&amp;$D99&amp;"|"&amp;$E99&amp;"|"&amp;$F99,'Description Library'!$K$6:$K$808,0)),"")</f>
        <v/>
      </c>
      <c r="I99" s="22"/>
      <c r="J99" s="5" t="str">
        <f aca="false">IFERROR(INDEX('Description Library'!$I$6:$I$808,MATCH($C99&amp;"|"&amp;$D99&amp;"|"&amp;$E99&amp;"|"&amp;$F99,'Description Library'!$K$6:$K$808,0)),"")</f>
        <v/>
      </c>
      <c r="K99" s="18" t="str">
        <f aca="false">IFERROR(INDEX('Description Library'!$J$6:$J$808,MATCH($C99&amp;"|"&amp;$D99&amp;"|"&amp;$E99&amp;"|"&amp;$F99,'Description Library'!$K$6:$K$808,0)),"")</f>
        <v/>
      </c>
      <c r="L99" s="23" t="str">
        <f aca="false">IF(OR($I99="",$K99=""),"",$I99*$K99)</f>
        <v/>
      </c>
      <c r="M99" s="24" t="str">
        <f aca="false">IFERROR(VLOOKUP($C99,MAP_SEC,2,0),"L_SECTION")</f>
        <v>L_SECTION</v>
      </c>
      <c r="N99" s="24" t="str">
        <f aca="false">IFERROR(VLOOKUP($C99&amp;"|"&amp;$D99,MAP_SUB,2,0),"L_SECTION")</f>
        <v>L_SECTION</v>
      </c>
      <c r="O99" s="24" t="str">
        <f aca="false">IFERROR(VLOOKUP($C99&amp;"|"&amp;$D99&amp;"|"&amp;$E99,MAP_SE,2,0),"L_SECTION")</f>
        <v>L_SECTION</v>
      </c>
    </row>
    <row r="100" customFormat="false" ht="15" hidden="false" customHeight="false" outlineLevel="0" collapsed="false">
      <c r="A100" s="5" t="str">
        <f aca="false">IF($C100="","",ROW()-4)</f>
        <v/>
      </c>
      <c r="B100" s="20"/>
      <c r="C100" s="20"/>
      <c r="D100" s="20"/>
      <c r="E100" s="20"/>
      <c r="F100" s="20"/>
      <c r="G100" s="21" t="str">
        <f aca="false">IFERROR(INDEX('Description Library'!$C$6:$C$808,MATCH($C100&amp;"|"&amp;$D100&amp;"|"&amp;$E100&amp;"|"&amp;$F100,'Description Library'!$K$6:$K$808,0)),"")</f>
        <v/>
      </c>
      <c r="H100" s="5" t="str">
        <f aca="false">IFERROR(INDEX('Description Library'!$H$6:$H$808,MATCH($C100&amp;"|"&amp;$D100&amp;"|"&amp;$E100&amp;"|"&amp;$F100,'Description Library'!$K$6:$K$808,0)),"")</f>
        <v/>
      </c>
      <c r="I100" s="22"/>
      <c r="J100" s="5" t="str">
        <f aca="false">IFERROR(INDEX('Description Library'!$I$6:$I$808,MATCH($C100&amp;"|"&amp;$D100&amp;"|"&amp;$E100&amp;"|"&amp;$F100,'Description Library'!$K$6:$K$808,0)),"")</f>
        <v/>
      </c>
      <c r="K100" s="18" t="str">
        <f aca="false">IFERROR(INDEX('Description Library'!$J$6:$J$808,MATCH($C100&amp;"|"&amp;$D100&amp;"|"&amp;$E100&amp;"|"&amp;$F100,'Description Library'!$K$6:$K$808,0)),"")</f>
        <v/>
      </c>
      <c r="L100" s="23" t="str">
        <f aca="false">IF(OR($I100="",$K100=""),"",$I100*$K100)</f>
        <v/>
      </c>
      <c r="M100" s="24" t="str">
        <f aca="false">IFERROR(VLOOKUP($C100,MAP_SEC,2,0),"L_SECTION")</f>
        <v>L_SECTION</v>
      </c>
      <c r="N100" s="24" t="str">
        <f aca="false">IFERROR(VLOOKUP($C100&amp;"|"&amp;$D100,MAP_SUB,2,0),"L_SECTION")</f>
        <v>L_SECTION</v>
      </c>
      <c r="O100" s="24" t="str">
        <f aca="false">IFERROR(VLOOKUP($C100&amp;"|"&amp;$D100&amp;"|"&amp;$E100,MAP_SE,2,0),"L_SECTION")</f>
        <v>L_SECTION</v>
      </c>
    </row>
    <row r="101" customFormat="false" ht="15" hidden="false" customHeight="false" outlineLevel="0" collapsed="false">
      <c r="A101" s="5" t="str">
        <f aca="false">IF($C101="","",ROW()-4)</f>
        <v/>
      </c>
      <c r="B101" s="20"/>
      <c r="C101" s="20"/>
      <c r="D101" s="20"/>
      <c r="E101" s="20"/>
      <c r="F101" s="20"/>
      <c r="G101" s="21" t="str">
        <f aca="false">IFERROR(INDEX('Description Library'!$C$6:$C$808,MATCH($C101&amp;"|"&amp;$D101&amp;"|"&amp;$E101&amp;"|"&amp;$F101,'Description Library'!$K$6:$K$808,0)),"")</f>
        <v/>
      </c>
      <c r="H101" s="5" t="str">
        <f aca="false">IFERROR(INDEX('Description Library'!$H$6:$H$808,MATCH($C101&amp;"|"&amp;$D101&amp;"|"&amp;$E101&amp;"|"&amp;$F101,'Description Library'!$K$6:$K$808,0)),"")</f>
        <v/>
      </c>
      <c r="I101" s="22"/>
      <c r="J101" s="5" t="str">
        <f aca="false">IFERROR(INDEX('Description Library'!$I$6:$I$808,MATCH($C101&amp;"|"&amp;$D101&amp;"|"&amp;$E101&amp;"|"&amp;$F101,'Description Library'!$K$6:$K$808,0)),"")</f>
        <v/>
      </c>
      <c r="K101" s="18" t="str">
        <f aca="false">IFERROR(INDEX('Description Library'!$J$6:$J$808,MATCH($C101&amp;"|"&amp;$D101&amp;"|"&amp;$E101&amp;"|"&amp;$F101,'Description Library'!$K$6:$K$808,0)),"")</f>
        <v/>
      </c>
      <c r="L101" s="23" t="str">
        <f aca="false">IF(OR($I101="",$K101=""),"",$I101*$K101)</f>
        <v/>
      </c>
      <c r="M101" s="24" t="str">
        <f aca="false">IFERROR(VLOOKUP($C101,MAP_SEC,2,0),"L_SECTION")</f>
        <v>L_SECTION</v>
      </c>
      <c r="N101" s="24" t="str">
        <f aca="false">IFERROR(VLOOKUP($C101&amp;"|"&amp;$D101,MAP_SUB,2,0),"L_SECTION")</f>
        <v>L_SECTION</v>
      </c>
      <c r="O101" s="24" t="str">
        <f aca="false">IFERROR(VLOOKUP($C101&amp;"|"&amp;$D101&amp;"|"&amp;$E101,MAP_SE,2,0),"L_SECTION")</f>
        <v>L_SECTION</v>
      </c>
    </row>
    <row r="102" customFormat="false" ht="15" hidden="false" customHeight="false" outlineLevel="0" collapsed="false">
      <c r="A102" s="5" t="str">
        <f aca="false">IF($C102="","",ROW()-4)</f>
        <v/>
      </c>
      <c r="B102" s="20"/>
      <c r="C102" s="20"/>
      <c r="D102" s="20"/>
      <c r="E102" s="20"/>
      <c r="F102" s="20"/>
      <c r="G102" s="21" t="str">
        <f aca="false">IFERROR(INDEX('Description Library'!$C$6:$C$808,MATCH($C102&amp;"|"&amp;$D102&amp;"|"&amp;$E102&amp;"|"&amp;$F102,'Description Library'!$K$6:$K$808,0)),"")</f>
        <v/>
      </c>
      <c r="H102" s="5" t="str">
        <f aca="false">IFERROR(INDEX('Description Library'!$H$6:$H$808,MATCH($C102&amp;"|"&amp;$D102&amp;"|"&amp;$E102&amp;"|"&amp;$F102,'Description Library'!$K$6:$K$808,0)),"")</f>
        <v/>
      </c>
      <c r="I102" s="22"/>
      <c r="J102" s="5" t="str">
        <f aca="false">IFERROR(INDEX('Description Library'!$I$6:$I$808,MATCH($C102&amp;"|"&amp;$D102&amp;"|"&amp;$E102&amp;"|"&amp;$F102,'Description Library'!$K$6:$K$808,0)),"")</f>
        <v/>
      </c>
      <c r="K102" s="18" t="str">
        <f aca="false">IFERROR(INDEX('Description Library'!$J$6:$J$808,MATCH($C102&amp;"|"&amp;$D102&amp;"|"&amp;$E102&amp;"|"&amp;$F102,'Description Library'!$K$6:$K$808,0)),"")</f>
        <v/>
      </c>
      <c r="L102" s="23" t="str">
        <f aca="false">IF(OR($I102="",$K102=""),"",$I102*$K102)</f>
        <v/>
      </c>
      <c r="M102" s="24" t="str">
        <f aca="false">IFERROR(VLOOKUP($C102,MAP_SEC,2,0),"L_SECTION")</f>
        <v>L_SECTION</v>
      </c>
      <c r="N102" s="24" t="str">
        <f aca="false">IFERROR(VLOOKUP($C102&amp;"|"&amp;$D102,MAP_SUB,2,0),"L_SECTION")</f>
        <v>L_SECTION</v>
      </c>
      <c r="O102" s="24" t="str">
        <f aca="false">IFERROR(VLOOKUP($C102&amp;"|"&amp;$D102&amp;"|"&amp;$E102,MAP_SE,2,0),"L_SECTION")</f>
        <v>L_SECTION</v>
      </c>
    </row>
    <row r="103" customFormat="false" ht="15" hidden="false" customHeight="false" outlineLevel="0" collapsed="false">
      <c r="A103" s="5" t="str">
        <f aca="false">IF($C103="","",ROW()-4)</f>
        <v/>
      </c>
      <c r="B103" s="20"/>
      <c r="C103" s="20"/>
      <c r="D103" s="20"/>
      <c r="E103" s="20"/>
      <c r="F103" s="20"/>
      <c r="G103" s="21" t="str">
        <f aca="false">IFERROR(INDEX('Description Library'!$C$6:$C$808,MATCH($C103&amp;"|"&amp;$D103&amp;"|"&amp;$E103&amp;"|"&amp;$F103,'Description Library'!$K$6:$K$808,0)),"")</f>
        <v/>
      </c>
      <c r="H103" s="5" t="str">
        <f aca="false">IFERROR(INDEX('Description Library'!$H$6:$H$808,MATCH($C103&amp;"|"&amp;$D103&amp;"|"&amp;$E103&amp;"|"&amp;$F103,'Description Library'!$K$6:$K$808,0)),"")</f>
        <v/>
      </c>
      <c r="I103" s="22"/>
      <c r="J103" s="5" t="str">
        <f aca="false">IFERROR(INDEX('Description Library'!$I$6:$I$808,MATCH($C103&amp;"|"&amp;$D103&amp;"|"&amp;$E103&amp;"|"&amp;$F103,'Description Library'!$K$6:$K$808,0)),"")</f>
        <v/>
      </c>
      <c r="K103" s="18" t="str">
        <f aca="false">IFERROR(INDEX('Description Library'!$J$6:$J$808,MATCH($C103&amp;"|"&amp;$D103&amp;"|"&amp;$E103&amp;"|"&amp;$F103,'Description Library'!$K$6:$K$808,0)),"")</f>
        <v/>
      </c>
      <c r="L103" s="23" t="str">
        <f aca="false">IF(OR($I103="",$K103=""),"",$I103*$K103)</f>
        <v/>
      </c>
      <c r="M103" s="24" t="str">
        <f aca="false">IFERROR(VLOOKUP($C103,MAP_SEC,2,0),"L_SECTION")</f>
        <v>L_SECTION</v>
      </c>
      <c r="N103" s="24" t="str">
        <f aca="false">IFERROR(VLOOKUP($C103&amp;"|"&amp;$D103,MAP_SUB,2,0),"L_SECTION")</f>
        <v>L_SECTION</v>
      </c>
      <c r="O103" s="24" t="str">
        <f aca="false">IFERROR(VLOOKUP($C103&amp;"|"&amp;$D103&amp;"|"&amp;$E103,MAP_SE,2,0),"L_SECTION")</f>
        <v>L_SECTION</v>
      </c>
    </row>
    <row r="104" customFormat="false" ht="15" hidden="false" customHeight="false" outlineLevel="0" collapsed="false">
      <c r="A104" s="5" t="str">
        <f aca="false">IF($C104="","",ROW()-4)</f>
        <v/>
      </c>
      <c r="B104" s="20"/>
      <c r="C104" s="20"/>
      <c r="D104" s="20"/>
      <c r="E104" s="20"/>
      <c r="F104" s="20"/>
      <c r="G104" s="21" t="str">
        <f aca="false">IFERROR(INDEX('Description Library'!$C$6:$C$808,MATCH($C104&amp;"|"&amp;$D104&amp;"|"&amp;$E104&amp;"|"&amp;$F104,'Description Library'!$K$6:$K$808,0)),"")</f>
        <v/>
      </c>
      <c r="H104" s="5" t="str">
        <f aca="false">IFERROR(INDEX('Description Library'!$H$6:$H$808,MATCH($C104&amp;"|"&amp;$D104&amp;"|"&amp;$E104&amp;"|"&amp;$F104,'Description Library'!$K$6:$K$808,0)),"")</f>
        <v/>
      </c>
      <c r="I104" s="22"/>
      <c r="J104" s="5" t="str">
        <f aca="false">IFERROR(INDEX('Description Library'!$I$6:$I$808,MATCH($C104&amp;"|"&amp;$D104&amp;"|"&amp;$E104&amp;"|"&amp;$F104,'Description Library'!$K$6:$K$808,0)),"")</f>
        <v/>
      </c>
      <c r="K104" s="18" t="str">
        <f aca="false">IFERROR(INDEX('Description Library'!$J$6:$J$808,MATCH($C104&amp;"|"&amp;$D104&amp;"|"&amp;$E104&amp;"|"&amp;$F104,'Description Library'!$K$6:$K$808,0)),"")</f>
        <v/>
      </c>
      <c r="L104" s="23" t="str">
        <f aca="false">IF(OR($I104="",$K104=""),"",$I104*$K104)</f>
        <v/>
      </c>
      <c r="M104" s="24" t="str">
        <f aca="false">IFERROR(VLOOKUP($C104,MAP_SEC,2,0),"L_SECTION")</f>
        <v>L_SECTION</v>
      </c>
      <c r="N104" s="24" t="str">
        <f aca="false">IFERROR(VLOOKUP($C104&amp;"|"&amp;$D104,MAP_SUB,2,0),"L_SECTION")</f>
        <v>L_SECTION</v>
      </c>
      <c r="O104" s="24" t="str">
        <f aca="false">IFERROR(VLOOKUP($C104&amp;"|"&amp;$D104&amp;"|"&amp;$E104,MAP_SE,2,0),"L_SECTION")</f>
        <v>L_SECTION</v>
      </c>
    </row>
    <row r="105" customFormat="false" ht="15" hidden="false" customHeight="false" outlineLevel="0" collapsed="false">
      <c r="A105" s="5" t="str">
        <f aca="false">IF($C105="","",ROW()-4)</f>
        <v/>
      </c>
      <c r="B105" s="20"/>
      <c r="C105" s="20"/>
      <c r="D105" s="20"/>
      <c r="E105" s="20"/>
      <c r="F105" s="20"/>
      <c r="G105" s="21" t="str">
        <f aca="false">IFERROR(INDEX('Description Library'!$C$6:$C$808,MATCH($C105&amp;"|"&amp;$D105&amp;"|"&amp;$E105&amp;"|"&amp;$F105,'Description Library'!$K$6:$K$808,0)),"")</f>
        <v/>
      </c>
      <c r="H105" s="5" t="str">
        <f aca="false">IFERROR(INDEX('Description Library'!$H$6:$H$808,MATCH($C105&amp;"|"&amp;$D105&amp;"|"&amp;$E105&amp;"|"&amp;$F105,'Description Library'!$K$6:$K$808,0)),"")</f>
        <v/>
      </c>
      <c r="I105" s="22"/>
      <c r="J105" s="5" t="str">
        <f aca="false">IFERROR(INDEX('Description Library'!$I$6:$I$808,MATCH($C105&amp;"|"&amp;$D105&amp;"|"&amp;$E105&amp;"|"&amp;$F105,'Description Library'!$K$6:$K$808,0)),"")</f>
        <v/>
      </c>
      <c r="K105" s="18" t="str">
        <f aca="false">IFERROR(INDEX('Description Library'!$J$6:$J$808,MATCH($C105&amp;"|"&amp;$D105&amp;"|"&amp;$E105&amp;"|"&amp;$F105,'Description Library'!$K$6:$K$808,0)),"")</f>
        <v/>
      </c>
      <c r="L105" s="23" t="str">
        <f aca="false">IF(OR($I105="",$K105=""),"",$I105*$K105)</f>
        <v/>
      </c>
      <c r="M105" s="24" t="str">
        <f aca="false">IFERROR(VLOOKUP($C105,MAP_SEC,2,0),"L_SECTION")</f>
        <v>L_SECTION</v>
      </c>
      <c r="N105" s="24" t="str">
        <f aca="false">IFERROR(VLOOKUP($C105&amp;"|"&amp;$D105,MAP_SUB,2,0),"L_SECTION")</f>
        <v>L_SECTION</v>
      </c>
      <c r="O105" s="24" t="str">
        <f aca="false">IFERROR(VLOOKUP($C105&amp;"|"&amp;$D105&amp;"|"&amp;$E105,MAP_SE,2,0),"L_SECTION")</f>
        <v>L_SECTION</v>
      </c>
    </row>
    <row r="106" customFormat="false" ht="15" hidden="false" customHeight="false" outlineLevel="0" collapsed="false">
      <c r="A106" s="5" t="str">
        <f aca="false">IF($C106="","",ROW()-4)</f>
        <v/>
      </c>
      <c r="B106" s="20"/>
      <c r="C106" s="20"/>
      <c r="D106" s="20"/>
      <c r="E106" s="20"/>
      <c r="F106" s="20"/>
      <c r="G106" s="21" t="str">
        <f aca="false">IFERROR(INDEX('Description Library'!$C$6:$C$808,MATCH($C106&amp;"|"&amp;$D106&amp;"|"&amp;$E106&amp;"|"&amp;$F106,'Description Library'!$K$6:$K$808,0)),"")</f>
        <v/>
      </c>
      <c r="H106" s="5" t="str">
        <f aca="false">IFERROR(INDEX('Description Library'!$H$6:$H$808,MATCH($C106&amp;"|"&amp;$D106&amp;"|"&amp;$E106&amp;"|"&amp;$F106,'Description Library'!$K$6:$K$808,0)),"")</f>
        <v/>
      </c>
      <c r="I106" s="22"/>
      <c r="J106" s="5" t="str">
        <f aca="false">IFERROR(INDEX('Description Library'!$I$6:$I$808,MATCH($C106&amp;"|"&amp;$D106&amp;"|"&amp;$E106&amp;"|"&amp;$F106,'Description Library'!$K$6:$K$808,0)),"")</f>
        <v/>
      </c>
      <c r="K106" s="18" t="str">
        <f aca="false">IFERROR(INDEX('Description Library'!$J$6:$J$808,MATCH($C106&amp;"|"&amp;$D106&amp;"|"&amp;$E106&amp;"|"&amp;$F106,'Description Library'!$K$6:$K$808,0)),"")</f>
        <v/>
      </c>
      <c r="L106" s="23" t="str">
        <f aca="false">IF(OR($I106="",$K106=""),"",$I106*$K106)</f>
        <v/>
      </c>
      <c r="M106" s="24" t="str">
        <f aca="false">IFERROR(VLOOKUP($C106,MAP_SEC,2,0),"L_SECTION")</f>
        <v>L_SECTION</v>
      </c>
      <c r="N106" s="24" t="str">
        <f aca="false">IFERROR(VLOOKUP($C106&amp;"|"&amp;$D106,MAP_SUB,2,0),"L_SECTION")</f>
        <v>L_SECTION</v>
      </c>
      <c r="O106" s="24" t="str">
        <f aca="false">IFERROR(VLOOKUP($C106&amp;"|"&amp;$D106&amp;"|"&amp;$E106,MAP_SE,2,0),"L_SECTION")</f>
        <v>L_SECTION</v>
      </c>
    </row>
    <row r="107" customFormat="false" ht="15" hidden="false" customHeight="false" outlineLevel="0" collapsed="false">
      <c r="A107" s="5" t="str">
        <f aca="false">IF($C107="","",ROW()-4)</f>
        <v/>
      </c>
      <c r="B107" s="20"/>
      <c r="C107" s="20"/>
      <c r="D107" s="20"/>
      <c r="E107" s="20"/>
      <c r="F107" s="20"/>
      <c r="G107" s="21" t="str">
        <f aca="false">IFERROR(INDEX('Description Library'!$C$6:$C$808,MATCH($C107&amp;"|"&amp;$D107&amp;"|"&amp;$E107&amp;"|"&amp;$F107,'Description Library'!$K$6:$K$808,0)),"")</f>
        <v/>
      </c>
      <c r="H107" s="5" t="str">
        <f aca="false">IFERROR(INDEX('Description Library'!$H$6:$H$808,MATCH($C107&amp;"|"&amp;$D107&amp;"|"&amp;$E107&amp;"|"&amp;$F107,'Description Library'!$K$6:$K$808,0)),"")</f>
        <v/>
      </c>
      <c r="I107" s="22"/>
      <c r="J107" s="5" t="str">
        <f aca="false">IFERROR(INDEX('Description Library'!$I$6:$I$808,MATCH($C107&amp;"|"&amp;$D107&amp;"|"&amp;$E107&amp;"|"&amp;$F107,'Description Library'!$K$6:$K$808,0)),"")</f>
        <v/>
      </c>
      <c r="K107" s="18" t="str">
        <f aca="false">IFERROR(INDEX('Description Library'!$J$6:$J$808,MATCH($C107&amp;"|"&amp;$D107&amp;"|"&amp;$E107&amp;"|"&amp;$F107,'Description Library'!$K$6:$K$808,0)),"")</f>
        <v/>
      </c>
      <c r="L107" s="23" t="str">
        <f aca="false">IF(OR($I107="",$K107=""),"",$I107*$K107)</f>
        <v/>
      </c>
      <c r="M107" s="24" t="str">
        <f aca="false">IFERROR(VLOOKUP($C107,MAP_SEC,2,0),"L_SECTION")</f>
        <v>L_SECTION</v>
      </c>
      <c r="N107" s="24" t="str">
        <f aca="false">IFERROR(VLOOKUP($C107&amp;"|"&amp;$D107,MAP_SUB,2,0),"L_SECTION")</f>
        <v>L_SECTION</v>
      </c>
      <c r="O107" s="24" t="str">
        <f aca="false">IFERROR(VLOOKUP($C107&amp;"|"&amp;$D107&amp;"|"&amp;$E107,MAP_SE,2,0),"L_SECTION")</f>
        <v>L_SECTION</v>
      </c>
    </row>
    <row r="108" customFormat="false" ht="15" hidden="false" customHeight="false" outlineLevel="0" collapsed="false">
      <c r="A108" s="5" t="str">
        <f aca="false">IF($C108="","",ROW()-4)</f>
        <v/>
      </c>
      <c r="B108" s="20"/>
      <c r="C108" s="20"/>
      <c r="D108" s="20"/>
      <c r="E108" s="20"/>
      <c r="F108" s="20"/>
      <c r="G108" s="21" t="str">
        <f aca="false">IFERROR(INDEX('Description Library'!$C$6:$C$808,MATCH($C108&amp;"|"&amp;$D108&amp;"|"&amp;$E108&amp;"|"&amp;$F108,'Description Library'!$K$6:$K$808,0)),"")</f>
        <v/>
      </c>
      <c r="H108" s="5" t="str">
        <f aca="false">IFERROR(INDEX('Description Library'!$H$6:$H$808,MATCH($C108&amp;"|"&amp;$D108&amp;"|"&amp;$E108&amp;"|"&amp;$F108,'Description Library'!$K$6:$K$808,0)),"")</f>
        <v/>
      </c>
      <c r="I108" s="22"/>
      <c r="J108" s="5" t="str">
        <f aca="false">IFERROR(INDEX('Description Library'!$I$6:$I$808,MATCH($C108&amp;"|"&amp;$D108&amp;"|"&amp;$E108&amp;"|"&amp;$F108,'Description Library'!$K$6:$K$808,0)),"")</f>
        <v/>
      </c>
      <c r="K108" s="18" t="str">
        <f aca="false">IFERROR(INDEX('Description Library'!$J$6:$J$808,MATCH($C108&amp;"|"&amp;$D108&amp;"|"&amp;$E108&amp;"|"&amp;$F108,'Description Library'!$K$6:$K$808,0)),"")</f>
        <v/>
      </c>
      <c r="L108" s="23" t="str">
        <f aca="false">IF(OR($I108="",$K108=""),"",$I108*$K108)</f>
        <v/>
      </c>
      <c r="M108" s="24" t="str">
        <f aca="false">IFERROR(VLOOKUP($C108,MAP_SEC,2,0),"L_SECTION")</f>
        <v>L_SECTION</v>
      </c>
      <c r="N108" s="24" t="str">
        <f aca="false">IFERROR(VLOOKUP($C108&amp;"|"&amp;$D108,MAP_SUB,2,0),"L_SECTION")</f>
        <v>L_SECTION</v>
      </c>
      <c r="O108" s="24" t="str">
        <f aca="false">IFERROR(VLOOKUP($C108&amp;"|"&amp;$D108&amp;"|"&amp;$E108,MAP_SE,2,0),"L_SECTION")</f>
        <v>L_SECTION</v>
      </c>
    </row>
    <row r="109" customFormat="false" ht="15" hidden="false" customHeight="false" outlineLevel="0" collapsed="false">
      <c r="A109" s="5" t="str">
        <f aca="false">IF($C109="","",ROW()-4)</f>
        <v/>
      </c>
      <c r="B109" s="20"/>
      <c r="C109" s="20"/>
      <c r="D109" s="20"/>
      <c r="E109" s="20"/>
      <c r="F109" s="20"/>
      <c r="G109" s="21" t="str">
        <f aca="false">IFERROR(INDEX('Description Library'!$C$6:$C$808,MATCH($C109&amp;"|"&amp;$D109&amp;"|"&amp;$E109&amp;"|"&amp;$F109,'Description Library'!$K$6:$K$808,0)),"")</f>
        <v/>
      </c>
      <c r="H109" s="5" t="str">
        <f aca="false">IFERROR(INDEX('Description Library'!$H$6:$H$808,MATCH($C109&amp;"|"&amp;$D109&amp;"|"&amp;$E109&amp;"|"&amp;$F109,'Description Library'!$K$6:$K$808,0)),"")</f>
        <v/>
      </c>
      <c r="I109" s="22"/>
      <c r="J109" s="5" t="str">
        <f aca="false">IFERROR(INDEX('Description Library'!$I$6:$I$808,MATCH($C109&amp;"|"&amp;$D109&amp;"|"&amp;$E109&amp;"|"&amp;$F109,'Description Library'!$K$6:$K$808,0)),"")</f>
        <v/>
      </c>
      <c r="K109" s="18" t="str">
        <f aca="false">IFERROR(INDEX('Description Library'!$J$6:$J$808,MATCH($C109&amp;"|"&amp;$D109&amp;"|"&amp;$E109&amp;"|"&amp;$F109,'Description Library'!$K$6:$K$808,0)),"")</f>
        <v/>
      </c>
      <c r="L109" s="23" t="str">
        <f aca="false">IF(OR($I109="",$K109=""),"",$I109*$K109)</f>
        <v/>
      </c>
      <c r="M109" s="24" t="str">
        <f aca="false">IFERROR(VLOOKUP($C109,MAP_SEC,2,0),"L_SECTION")</f>
        <v>L_SECTION</v>
      </c>
      <c r="N109" s="24" t="str">
        <f aca="false">IFERROR(VLOOKUP($C109&amp;"|"&amp;$D109,MAP_SUB,2,0),"L_SECTION")</f>
        <v>L_SECTION</v>
      </c>
      <c r="O109" s="24" t="str">
        <f aca="false">IFERROR(VLOOKUP($C109&amp;"|"&amp;$D109&amp;"|"&amp;$E109,MAP_SE,2,0),"L_SECTION")</f>
        <v>L_SECTION</v>
      </c>
    </row>
    <row r="110" customFormat="false" ht="15" hidden="false" customHeight="false" outlineLevel="0" collapsed="false">
      <c r="A110" s="5" t="str">
        <f aca="false">IF($C110="","",ROW()-4)</f>
        <v/>
      </c>
      <c r="B110" s="20"/>
      <c r="C110" s="20"/>
      <c r="D110" s="20"/>
      <c r="E110" s="20"/>
      <c r="F110" s="20"/>
      <c r="G110" s="21" t="str">
        <f aca="false">IFERROR(INDEX('Description Library'!$C$6:$C$808,MATCH($C110&amp;"|"&amp;$D110&amp;"|"&amp;$E110&amp;"|"&amp;$F110,'Description Library'!$K$6:$K$808,0)),"")</f>
        <v/>
      </c>
      <c r="H110" s="5" t="str">
        <f aca="false">IFERROR(INDEX('Description Library'!$H$6:$H$808,MATCH($C110&amp;"|"&amp;$D110&amp;"|"&amp;$E110&amp;"|"&amp;$F110,'Description Library'!$K$6:$K$808,0)),"")</f>
        <v/>
      </c>
      <c r="I110" s="22"/>
      <c r="J110" s="5" t="str">
        <f aca="false">IFERROR(INDEX('Description Library'!$I$6:$I$808,MATCH($C110&amp;"|"&amp;$D110&amp;"|"&amp;$E110&amp;"|"&amp;$F110,'Description Library'!$K$6:$K$808,0)),"")</f>
        <v/>
      </c>
      <c r="K110" s="18" t="str">
        <f aca="false">IFERROR(INDEX('Description Library'!$J$6:$J$808,MATCH($C110&amp;"|"&amp;$D110&amp;"|"&amp;$E110&amp;"|"&amp;$F110,'Description Library'!$K$6:$K$808,0)),"")</f>
        <v/>
      </c>
      <c r="L110" s="23" t="str">
        <f aca="false">IF(OR($I110="",$K110=""),"",$I110*$K110)</f>
        <v/>
      </c>
      <c r="M110" s="24" t="str">
        <f aca="false">IFERROR(VLOOKUP($C110,MAP_SEC,2,0),"L_SECTION")</f>
        <v>L_SECTION</v>
      </c>
      <c r="N110" s="24" t="str">
        <f aca="false">IFERROR(VLOOKUP($C110&amp;"|"&amp;$D110,MAP_SUB,2,0),"L_SECTION")</f>
        <v>L_SECTION</v>
      </c>
      <c r="O110" s="24" t="str">
        <f aca="false">IFERROR(VLOOKUP($C110&amp;"|"&amp;$D110&amp;"|"&amp;$E110,MAP_SE,2,0),"L_SECTION")</f>
        <v>L_SECTION</v>
      </c>
    </row>
    <row r="111" customFormat="false" ht="15" hidden="false" customHeight="false" outlineLevel="0" collapsed="false">
      <c r="A111" s="5" t="str">
        <f aca="false">IF($C111="","",ROW()-4)</f>
        <v/>
      </c>
      <c r="B111" s="20"/>
      <c r="C111" s="20"/>
      <c r="D111" s="20"/>
      <c r="E111" s="20"/>
      <c r="F111" s="20"/>
      <c r="G111" s="21" t="str">
        <f aca="false">IFERROR(INDEX('Description Library'!$C$6:$C$808,MATCH($C111&amp;"|"&amp;$D111&amp;"|"&amp;$E111&amp;"|"&amp;$F111,'Description Library'!$K$6:$K$808,0)),"")</f>
        <v/>
      </c>
      <c r="H111" s="5" t="str">
        <f aca="false">IFERROR(INDEX('Description Library'!$H$6:$H$808,MATCH($C111&amp;"|"&amp;$D111&amp;"|"&amp;$E111&amp;"|"&amp;$F111,'Description Library'!$K$6:$K$808,0)),"")</f>
        <v/>
      </c>
      <c r="I111" s="22"/>
      <c r="J111" s="5" t="str">
        <f aca="false">IFERROR(INDEX('Description Library'!$I$6:$I$808,MATCH($C111&amp;"|"&amp;$D111&amp;"|"&amp;$E111&amp;"|"&amp;$F111,'Description Library'!$K$6:$K$808,0)),"")</f>
        <v/>
      </c>
      <c r="K111" s="18" t="str">
        <f aca="false">IFERROR(INDEX('Description Library'!$J$6:$J$808,MATCH($C111&amp;"|"&amp;$D111&amp;"|"&amp;$E111&amp;"|"&amp;$F111,'Description Library'!$K$6:$K$808,0)),"")</f>
        <v/>
      </c>
      <c r="L111" s="23" t="str">
        <f aca="false">IF(OR($I111="",$K111=""),"",$I111*$K111)</f>
        <v/>
      </c>
      <c r="M111" s="24" t="str">
        <f aca="false">IFERROR(VLOOKUP($C111,MAP_SEC,2,0),"L_SECTION")</f>
        <v>L_SECTION</v>
      </c>
      <c r="N111" s="24" t="str">
        <f aca="false">IFERROR(VLOOKUP($C111&amp;"|"&amp;$D111,MAP_SUB,2,0),"L_SECTION")</f>
        <v>L_SECTION</v>
      </c>
      <c r="O111" s="24" t="str">
        <f aca="false">IFERROR(VLOOKUP($C111&amp;"|"&amp;$D111&amp;"|"&amp;$E111,MAP_SE,2,0),"L_SECTION")</f>
        <v>L_SECTION</v>
      </c>
    </row>
    <row r="112" customFormat="false" ht="15" hidden="false" customHeight="false" outlineLevel="0" collapsed="false">
      <c r="A112" s="5" t="str">
        <f aca="false">IF($C112="","",ROW()-4)</f>
        <v/>
      </c>
      <c r="B112" s="20"/>
      <c r="C112" s="20"/>
      <c r="D112" s="20"/>
      <c r="E112" s="20"/>
      <c r="F112" s="20"/>
      <c r="G112" s="21" t="str">
        <f aca="false">IFERROR(INDEX('Description Library'!$C$6:$C$808,MATCH($C112&amp;"|"&amp;$D112&amp;"|"&amp;$E112&amp;"|"&amp;$F112,'Description Library'!$K$6:$K$808,0)),"")</f>
        <v/>
      </c>
      <c r="H112" s="5" t="str">
        <f aca="false">IFERROR(INDEX('Description Library'!$H$6:$H$808,MATCH($C112&amp;"|"&amp;$D112&amp;"|"&amp;$E112&amp;"|"&amp;$F112,'Description Library'!$K$6:$K$808,0)),"")</f>
        <v/>
      </c>
      <c r="I112" s="22"/>
      <c r="J112" s="5" t="str">
        <f aca="false">IFERROR(INDEX('Description Library'!$I$6:$I$808,MATCH($C112&amp;"|"&amp;$D112&amp;"|"&amp;$E112&amp;"|"&amp;$F112,'Description Library'!$K$6:$K$808,0)),"")</f>
        <v/>
      </c>
      <c r="K112" s="18" t="str">
        <f aca="false">IFERROR(INDEX('Description Library'!$J$6:$J$808,MATCH($C112&amp;"|"&amp;$D112&amp;"|"&amp;$E112&amp;"|"&amp;$F112,'Description Library'!$K$6:$K$808,0)),"")</f>
        <v/>
      </c>
      <c r="L112" s="23" t="str">
        <f aca="false">IF(OR($I112="",$K112=""),"",$I112*$K112)</f>
        <v/>
      </c>
      <c r="M112" s="24" t="str">
        <f aca="false">IFERROR(VLOOKUP($C112,MAP_SEC,2,0),"L_SECTION")</f>
        <v>L_SECTION</v>
      </c>
      <c r="N112" s="24" t="str">
        <f aca="false">IFERROR(VLOOKUP($C112&amp;"|"&amp;$D112,MAP_SUB,2,0),"L_SECTION")</f>
        <v>L_SECTION</v>
      </c>
      <c r="O112" s="24" t="str">
        <f aca="false">IFERROR(VLOOKUP($C112&amp;"|"&amp;$D112&amp;"|"&amp;$E112,MAP_SE,2,0),"L_SECTION")</f>
        <v>L_SECTION</v>
      </c>
    </row>
    <row r="113" customFormat="false" ht="15" hidden="false" customHeight="false" outlineLevel="0" collapsed="false">
      <c r="A113" s="5" t="str">
        <f aca="false">IF($C113="","",ROW()-4)</f>
        <v/>
      </c>
      <c r="B113" s="20"/>
      <c r="C113" s="20"/>
      <c r="D113" s="20"/>
      <c r="E113" s="20"/>
      <c r="F113" s="20"/>
      <c r="G113" s="21" t="str">
        <f aca="false">IFERROR(INDEX('Description Library'!$C$6:$C$808,MATCH($C113&amp;"|"&amp;$D113&amp;"|"&amp;$E113&amp;"|"&amp;$F113,'Description Library'!$K$6:$K$808,0)),"")</f>
        <v/>
      </c>
      <c r="H113" s="5" t="str">
        <f aca="false">IFERROR(INDEX('Description Library'!$H$6:$H$808,MATCH($C113&amp;"|"&amp;$D113&amp;"|"&amp;$E113&amp;"|"&amp;$F113,'Description Library'!$K$6:$K$808,0)),"")</f>
        <v/>
      </c>
      <c r="I113" s="22"/>
      <c r="J113" s="5" t="str">
        <f aca="false">IFERROR(INDEX('Description Library'!$I$6:$I$808,MATCH($C113&amp;"|"&amp;$D113&amp;"|"&amp;$E113&amp;"|"&amp;$F113,'Description Library'!$K$6:$K$808,0)),"")</f>
        <v/>
      </c>
      <c r="K113" s="18" t="str">
        <f aca="false">IFERROR(INDEX('Description Library'!$J$6:$J$808,MATCH($C113&amp;"|"&amp;$D113&amp;"|"&amp;$E113&amp;"|"&amp;$F113,'Description Library'!$K$6:$K$808,0)),"")</f>
        <v/>
      </c>
      <c r="L113" s="23" t="str">
        <f aca="false">IF(OR($I113="",$K113=""),"",$I113*$K113)</f>
        <v/>
      </c>
      <c r="M113" s="24" t="str">
        <f aca="false">IFERROR(VLOOKUP($C113,MAP_SEC,2,0),"L_SECTION")</f>
        <v>L_SECTION</v>
      </c>
      <c r="N113" s="24" t="str">
        <f aca="false">IFERROR(VLOOKUP($C113&amp;"|"&amp;$D113,MAP_SUB,2,0),"L_SECTION")</f>
        <v>L_SECTION</v>
      </c>
      <c r="O113" s="24" t="str">
        <f aca="false">IFERROR(VLOOKUP($C113&amp;"|"&amp;$D113&amp;"|"&amp;$E113,MAP_SE,2,0),"L_SECTION")</f>
        <v>L_SECTION</v>
      </c>
    </row>
    <row r="114" customFormat="false" ht="15" hidden="false" customHeight="false" outlineLevel="0" collapsed="false">
      <c r="A114" s="5" t="str">
        <f aca="false">IF($C114="","",ROW()-4)</f>
        <v/>
      </c>
      <c r="B114" s="20"/>
      <c r="C114" s="20"/>
      <c r="D114" s="20"/>
      <c r="E114" s="20"/>
      <c r="F114" s="20"/>
      <c r="G114" s="21" t="str">
        <f aca="false">IFERROR(INDEX('Description Library'!$C$6:$C$808,MATCH($C114&amp;"|"&amp;$D114&amp;"|"&amp;$E114&amp;"|"&amp;$F114,'Description Library'!$K$6:$K$808,0)),"")</f>
        <v/>
      </c>
      <c r="H114" s="5" t="str">
        <f aca="false">IFERROR(INDEX('Description Library'!$H$6:$H$808,MATCH($C114&amp;"|"&amp;$D114&amp;"|"&amp;$E114&amp;"|"&amp;$F114,'Description Library'!$K$6:$K$808,0)),"")</f>
        <v/>
      </c>
      <c r="I114" s="22"/>
      <c r="J114" s="5" t="str">
        <f aca="false">IFERROR(INDEX('Description Library'!$I$6:$I$808,MATCH($C114&amp;"|"&amp;$D114&amp;"|"&amp;$E114&amp;"|"&amp;$F114,'Description Library'!$K$6:$K$808,0)),"")</f>
        <v/>
      </c>
      <c r="K114" s="18" t="str">
        <f aca="false">IFERROR(INDEX('Description Library'!$J$6:$J$808,MATCH($C114&amp;"|"&amp;$D114&amp;"|"&amp;$E114&amp;"|"&amp;$F114,'Description Library'!$K$6:$K$808,0)),"")</f>
        <v/>
      </c>
      <c r="L114" s="23" t="str">
        <f aca="false">IF(OR($I114="",$K114=""),"",$I114*$K114)</f>
        <v/>
      </c>
      <c r="M114" s="24" t="str">
        <f aca="false">IFERROR(VLOOKUP($C114,MAP_SEC,2,0),"L_SECTION")</f>
        <v>L_SECTION</v>
      </c>
      <c r="N114" s="24" t="str">
        <f aca="false">IFERROR(VLOOKUP($C114&amp;"|"&amp;$D114,MAP_SUB,2,0),"L_SECTION")</f>
        <v>L_SECTION</v>
      </c>
      <c r="O114" s="24" t="str">
        <f aca="false">IFERROR(VLOOKUP($C114&amp;"|"&amp;$D114&amp;"|"&amp;$E114,MAP_SE,2,0),"L_SECTION")</f>
        <v>L_SECTION</v>
      </c>
    </row>
    <row r="115" customFormat="false" ht="15" hidden="false" customHeight="false" outlineLevel="0" collapsed="false">
      <c r="A115" s="5" t="str">
        <f aca="false">IF($C115="","",ROW()-4)</f>
        <v/>
      </c>
      <c r="B115" s="20"/>
      <c r="C115" s="20"/>
      <c r="D115" s="20"/>
      <c r="E115" s="20"/>
      <c r="F115" s="20"/>
      <c r="G115" s="21" t="str">
        <f aca="false">IFERROR(INDEX('Description Library'!$C$6:$C$808,MATCH($C115&amp;"|"&amp;$D115&amp;"|"&amp;$E115&amp;"|"&amp;$F115,'Description Library'!$K$6:$K$808,0)),"")</f>
        <v/>
      </c>
      <c r="H115" s="5" t="str">
        <f aca="false">IFERROR(INDEX('Description Library'!$H$6:$H$808,MATCH($C115&amp;"|"&amp;$D115&amp;"|"&amp;$E115&amp;"|"&amp;$F115,'Description Library'!$K$6:$K$808,0)),"")</f>
        <v/>
      </c>
      <c r="I115" s="22"/>
      <c r="J115" s="5" t="str">
        <f aca="false">IFERROR(INDEX('Description Library'!$I$6:$I$808,MATCH($C115&amp;"|"&amp;$D115&amp;"|"&amp;$E115&amp;"|"&amp;$F115,'Description Library'!$K$6:$K$808,0)),"")</f>
        <v/>
      </c>
      <c r="K115" s="18" t="str">
        <f aca="false">IFERROR(INDEX('Description Library'!$J$6:$J$808,MATCH($C115&amp;"|"&amp;$D115&amp;"|"&amp;$E115&amp;"|"&amp;$F115,'Description Library'!$K$6:$K$808,0)),"")</f>
        <v/>
      </c>
      <c r="L115" s="23" t="str">
        <f aca="false">IF(OR($I115="",$K115=""),"",$I115*$K115)</f>
        <v/>
      </c>
      <c r="M115" s="24" t="str">
        <f aca="false">IFERROR(VLOOKUP($C115,MAP_SEC,2,0),"L_SECTION")</f>
        <v>L_SECTION</v>
      </c>
      <c r="N115" s="24" t="str">
        <f aca="false">IFERROR(VLOOKUP($C115&amp;"|"&amp;$D115,MAP_SUB,2,0),"L_SECTION")</f>
        <v>L_SECTION</v>
      </c>
      <c r="O115" s="24" t="str">
        <f aca="false">IFERROR(VLOOKUP($C115&amp;"|"&amp;$D115&amp;"|"&amp;$E115,MAP_SE,2,0),"L_SECTION")</f>
        <v>L_SECTION</v>
      </c>
    </row>
    <row r="116" customFormat="false" ht="15" hidden="false" customHeight="false" outlineLevel="0" collapsed="false">
      <c r="A116" s="5" t="str">
        <f aca="false">IF($C116="","",ROW()-4)</f>
        <v/>
      </c>
      <c r="B116" s="20"/>
      <c r="C116" s="20"/>
      <c r="D116" s="20"/>
      <c r="E116" s="20"/>
      <c r="F116" s="20"/>
      <c r="G116" s="21" t="str">
        <f aca="false">IFERROR(INDEX('Description Library'!$C$6:$C$808,MATCH($C116&amp;"|"&amp;$D116&amp;"|"&amp;$E116&amp;"|"&amp;$F116,'Description Library'!$K$6:$K$808,0)),"")</f>
        <v/>
      </c>
      <c r="H116" s="5" t="str">
        <f aca="false">IFERROR(INDEX('Description Library'!$H$6:$H$808,MATCH($C116&amp;"|"&amp;$D116&amp;"|"&amp;$E116&amp;"|"&amp;$F116,'Description Library'!$K$6:$K$808,0)),"")</f>
        <v/>
      </c>
      <c r="I116" s="22"/>
      <c r="J116" s="5" t="str">
        <f aca="false">IFERROR(INDEX('Description Library'!$I$6:$I$808,MATCH($C116&amp;"|"&amp;$D116&amp;"|"&amp;$E116&amp;"|"&amp;$F116,'Description Library'!$K$6:$K$808,0)),"")</f>
        <v/>
      </c>
      <c r="K116" s="18" t="str">
        <f aca="false">IFERROR(INDEX('Description Library'!$J$6:$J$808,MATCH($C116&amp;"|"&amp;$D116&amp;"|"&amp;$E116&amp;"|"&amp;$F116,'Description Library'!$K$6:$K$808,0)),"")</f>
        <v/>
      </c>
      <c r="L116" s="23" t="str">
        <f aca="false">IF(OR($I116="",$K116=""),"",$I116*$K116)</f>
        <v/>
      </c>
      <c r="M116" s="24" t="str">
        <f aca="false">IFERROR(VLOOKUP($C116,MAP_SEC,2,0),"L_SECTION")</f>
        <v>L_SECTION</v>
      </c>
      <c r="N116" s="24" t="str">
        <f aca="false">IFERROR(VLOOKUP($C116&amp;"|"&amp;$D116,MAP_SUB,2,0),"L_SECTION")</f>
        <v>L_SECTION</v>
      </c>
      <c r="O116" s="24" t="str">
        <f aca="false">IFERROR(VLOOKUP($C116&amp;"|"&amp;$D116&amp;"|"&amp;$E116,MAP_SE,2,0),"L_SECTION")</f>
        <v>L_SECTION</v>
      </c>
    </row>
    <row r="117" customFormat="false" ht="15" hidden="false" customHeight="false" outlineLevel="0" collapsed="false">
      <c r="A117" s="5" t="str">
        <f aca="false">IF($C117="","",ROW()-4)</f>
        <v/>
      </c>
      <c r="B117" s="20"/>
      <c r="C117" s="20"/>
      <c r="D117" s="20"/>
      <c r="E117" s="20"/>
      <c r="F117" s="20"/>
      <c r="G117" s="21" t="str">
        <f aca="false">IFERROR(INDEX('Description Library'!$C$6:$C$808,MATCH($C117&amp;"|"&amp;$D117&amp;"|"&amp;$E117&amp;"|"&amp;$F117,'Description Library'!$K$6:$K$808,0)),"")</f>
        <v/>
      </c>
      <c r="H117" s="5" t="str">
        <f aca="false">IFERROR(INDEX('Description Library'!$H$6:$H$808,MATCH($C117&amp;"|"&amp;$D117&amp;"|"&amp;$E117&amp;"|"&amp;$F117,'Description Library'!$K$6:$K$808,0)),"")</f>
        <v/>
      </c>
      <c r="I117" s="22"/>
      <c r="J117" s="5" t="str">
        <f aca="false">IFERROR(INDEX('Description Library'!$I$6:$I$808,MATCH($C117&amp;"|"&amp;$D117&amp;"|"&amp;$E117&amp;"|"&amp;$F117,'Description Library'!$K$6:$K$808,0)),"")</f>
        <v/>
      </c>
      <c r="K117" s="18" t="str">
        <f aca="false">IFERROR(INDEX('Description Library'!$J$6:$J$808,MATCH($C117&amp;"|"&amp;$D117&amp;"|"&amp;$E117&amp;"|"&amp;$F117,'Description Library'!$K$6:$K$808,0)),"")</f>
        <v/>
      </c>
      <c r="L117" s="23" t="str">
        <f aca="false">IF(OR($I117="",$K117=""),"",$I117*$K117)</f>
        <v/>
      </c>
      <c r="M117" s="24" t="str">
        <f aca="false">IFERROR(VLOOKUP($C117,MAP_SEC,2,0),"L_SECTION")</f>
        <v>L_SECTION</v>
      </c>
      <c r="N117" s="24" t="str">
        <f aca="false">IFERROR(VLOOKUP($C117&amp;"|"&amp;$D117,MAP_SUB,2,0),"L_SECTION")</f>
        <v>L_SECTION</v>
      </c>
      <c r="O117" s="24" t="str">
        <f aca="false">IFERROR(VLOOKUP($C117&amp;"|"&amp;$D117&amp;"|"&amp;$E117,MAP_SE,2,0),"L_SECTION")</f>
        <v>L_SECTION</v>
      </c>
    </row>
    <row r="118" customFormat="false" ht="15" hidden="false" customHeight="false" outlineLevel="0" collapsed="false">
      <c r="A118" s="5" t="str">
        <f aca="false">IF($C118="","",ROW()-4)</f>
        <v/>
      </c>
      <c r="B118" s="20"/>
      <c r="C118" s="20"/>
      <c r="D118" s="20"/>
      <c r="E118" s="20"/>
      <c r="F118" s="20"/>
      <c r="G118" s="21" t="str">
        <f aca="false">IFERROR(INDEX('Description Library'!$C$6:$C$808,MATCH($C118&amp;"|"&amp;$D118&amp;"|"&amp;$E118&amp;"|"&amp;$F118,'Description Library'!$K$6:$K$808,0)),"")</f>
        <v/>
      </c>
      <c r="H118" s="5" t="str">
        <f aca="false">IFERROR(INDEX('Description Library'!$H$6:$H$808,MATCH($C118&amp;"|"&amp;$D118&amp;"|"&amp;$E118&amp;"|"&amp;$F118,'Description Library'!$K$6:$K$808,0)),"")</f>
        <v/>
      </c>
      <c r="I118" s="22"/>
      <c r="J118" s="5" t="str">
        <f aca="false">IFERROR(INDEX('Description Library'!$I$6:$I$808,MATCH($C118&amp;"|"&amp;$D118&amp;"|"&amp;$E118&amp;"|"&amp;$F118,'Description Library'!$K$6:$K$808,0)),"")</f>
        <v/>
      </c>
      <c r="K118" s="18" t="str">
        <f aca="false">IFERROR(INDEX('Description Library'!$J$6:$J$808,MATCH($C118&amp;"|"&amp;$D118&amp;"|"&amp;$E118&amp;"|"&amp;$F118,'Description Library'!$K$6:$K$808,0)),"")</f>
        <v/>
      </c>
      <c r="L118" s="23" t="str">
        <f aca="false">IF(OR($I118="",$K118=""),"",$I118*$K118)</f>
        <v/>
      </c>
      <c r="M118" s="24" t="str">
        <f aca="false">IFERROR(VLOOKUP($C118,MAP_SEC,2,0),"L_SECTION")</f>
        <v>L_SECTION</v>
      </c>
      <c r="N118" s="24" t="str">
        <f aca="false">IFERROR(VLOOKUP($C118&amp;"|"&amp;$D118,MAP_SUB,2,0),"L_SECTION")</f>
        <v>L_SECTION</v>
      </c>
      <c r="O118" s="24" t="str">
        <f aca="false">IFERROR(VLOOKUP($C118&amp;"|"&amp;$D118&amp;"|"&amp;$E118,MAP_SE,2,0),"L_SECTION")</f>
        <v>L_SECTION</v>
      </c>
    </row>
    <row r="119" customFormat="false" ht="15" hidden="false" customHeight="false" outlineLevel="0" collapsed="false">
      <c r="A119" s="5" t="str">
        <f aca="false">IF($C119="","",ROW()-4)</f>
        <v/>
      </c>
      <c r="B119" s="20"/>
      <c r="C119" s="20"/>
      <c r="D119" s="20"/>
      <c r="E119" s="20"/>
      <c r="F119" s="20"/>
      <c r="G119" s="21" t="str">
        <f aca="false">IFERROR(INDEX('Description Library'!$C$6:$C$808,MATCH($C119&amp;"|"&amp;$D119&amp;"|"&amp;$E119&amp;"|"&amp;$F119,'Description Library'!$K$6:$K$808,0)),"")</f>
        <v/>
      </c>
      <c r="H119" s="5" t="str">
        <f aca="false">IFERROR(INDEX('Description Library'!$H$6:$H$808,MATCH($C119&amp;"|"&amp;$D119&amp;"|"&amp;$E119&amp;"|"&amp;$F119,'Description Library'!$K$6:$K$808,0)),"")</f>
        <v/>
      </c>
      <c r="I119" s="22"/>
      <c r="J119" s="5" t="str">
        <f aca="false">IFERROR(INDEX('Description Library'!$I$6:$I$808,MATCH($C119&amp;"|"&amp;$D119&amp;"|"&amp;$E119&amp;"|"&amp;$F119,'Description Library'!$K$6:$K$808,0)),"")</f>
        <v/>
      </c>
      <c r="K119" s="18" t="str">
        <f aca="false">IFERROR(INDEX('Description Library'!$J$6:$J$808,MATCH($C119&amp;"|"&amp;$D119&amp;"|"&amp;$E119&amp;"|"&amp;$F119,'Description Library'!$K$6:$K$808,0)),"")</f>
        <v/>
      </c>
      <c r="L119" s="23" t="str">
        <f aca="false">IF(OR($I119="",$K119=""),"",$I119*$K119)</f>
        <v/>
      </c>
      <c r="M119" s="24" t="str">
        <f aca="false">IFERROR(VLOOKUP($C119,MAP_SEC,2,0),"L_SECTION")</f>
        <v>L_SECTION</v>
      </c>
      <c r="N119" s="24" t="str">
        <f aca="false">IFERROR(VLOOKUP($C119&amp;"|"&amp;$D119,MAP_SUB,2,0),"L_SECTION")</f>
        <v>L_SECTION</v>
      </c>
      <c r="O119" s="24" t="str">
        <f aca="false">IFERROR(VLOOKUP($C119&amp;"|"&amp;$D119&amp;"|"&amp;$E119,MAP_SE,2,0),"L_SECTION")</f>
        <v>L_SECTION</v>
      </c>
    </row>
    <row r="120" customFormat="false" ht="15" hidden="false" customHeight="false" outlineLevel="0" collapsed="false">
      <c r="A120" s="5" t="str">
        <f aca="false">IF($C120="","",ROW()-4)</f>
        <v/>
      </c>
      <c r="B120" s="20"/>
      <c r="C120" s="20"/>
      <c r="D120" s="20"/>
      <c r="E120" s="20"/>
      <c r="F120" s="20"/>
      <c r="G120" s="21" t="str">
        <f aca="false">IFERROR(INDEX('Description Library'!$C$6:$C$808,MATCH($C120&amp;"|"&amp;$D120&amp;"|"&amp;$E120&amp;"|"&amp;$F120,'Description Library'!$K$6:$K$808,0)),"")</f>
        <v/>
      </c>
      <c r="H120" s="5" t="str">
        <f aca="false">IFERROR(INDEX('Description Library'!$H$6:$H$808,MATCH($C120&amp;"|"&amp;$D120&amp;"|"&amp;$E120&amp;"|"&amp;$F120,'Description Library'!$K$6:$K$808,0)),"")</f>
        <v/>
      </c>
      <c r="I120" s="22"/>
      <c r="J120" s="5" t="str">
        <f aca="false">IFERROR(INDEX('Description Library'!$I$6:$I$808,MATCH($C120&amp;"|"&amp;$D120&amp;"|"&amp;$E120&amp;"|"&amp;$F120,'Description Library'!$K$6:$K$808,0)),"")</f>
        <v/>
      </c>
      <c r="K120" s="18" t="str">
        <f aca="false">IFERROR(INDEX('Description Library'!$J$6:$J$808,MATCH($C120&amp;"|"&amp;$D120&amp;"|"&amp;$E120&amp;"|"&amp;$F120,'Description Library'!$K$6:$K$808,0)),"")</f>
        <v/>
      </c>
      <c r="L120" s="23" t="str">
        <f aca="false">IF(OR($I120="",$K120=""),"",$I120*$K120)</f>
        <v/>
      </c>
      <c r="M120" s="24" t="str">
        <f aca="false">IFERROR(VLOOKUP($C120,MAP_SEC,2,0),"L_SECTION")</f>
        <v>L_SECTION</v>
      </c>
      <c r="N120" s="24" t="str">
        <f aca="false">IFERROR(VLOOKUP($C120&amp;"|"&amp;$D120,MAP_SUB,2,0),"L_SECTION")</f>
        <v>L_SECTION</v>
      </c>
      <c r="O120" s="24" t="str">
        <f aca="false">IFERROR(VLOOKUP($C120&amp;"|"&amp;$D120&amp;"|"&amp;$E120,MAP_SE,2,0),"L_SECTION")</f>
        <v>L_SECTION</v>
      </c>
    </row>
    <row r="121" customFormat="false" ht="15" hidden="false" customHeight="false" outlineLevel="0" collapsed="false">
      <c r="A121" s="5" t="str">
        <f aca="false">IF($C121="","",ROW()-4)</f>
        <v/>
      </c>
      <c r="B121" s="20"/>
      <c r="C121" s="20"/>
      <c r="D121" s="20"/>
      <c r="E121" s="20"/>
      <c r="F121" s="20"/>
      <c r="G121" s="21" t="str">
        <f aca="false">IFERROR(INDEX('Description Library'!$C$6:$C$808,MATCH($C121&amp;"|"&amp;$D121&amp;"|"&amp;$E121&amp;"|"&amp;$F121,'Description Library'!$K$6:$K$808,0)),"")</f>
        <v/>
      </c>
      <c r="H121" s="5" t="str">
        <f aca="false">IFERROR(INDEX('Description Library'!$H$6:$H$808,MATCH($C121&amp;"|"&amp;$D121&amp;"|"&amp;$E121&amp;"|"&amp;$F121,'Description Library'!$K$6:$K$808,0)),"")</f>
        <v/>
      </c>
      <c r="I121" s="22"/>
      <c r="J121" s="5" t="str">
        <f aca="false">IFERROR(INDEX('Description Library'!$I$6:$I$808,MATCH($C121&amp;"|"&amp;$D121&amp;"|"&amp;$E121&amp;"|"&amp;$F121,'Description Library'!$K$6:$K$808,0)),"")</f>
        <v/>
      </c>
      <c r="K121" s="18" t="str">
        <f aca="false">IFERROR(INDEX('Description Library'!$J$6:$J$808,MATCH($C121&amp;"|"&amp;$D121&amp;"|"&amp;$E121&amp;"|"&amp;$F121,'Description Library'!$K$6:$K$808,0)),"")</f>
        <v/>
      </c>
      <c r="L121" s="23" t="str">
        <f aca="false">IF(OR($I121="",$K121=""),"",$I121*$K121)</f>
        <v/>
      </c>
      <c r="M121" s="24" t="str">
        <f aca="false">IFERROR(VLOOKUP($C121,MAP_SEC,2,0),"L_SECTION")</f>
        <v>L_SECTION</v>
      </c>
      <c r="N121" s="24" t="str">
        <f aca="false">IFERROR(VLOOKUP($C121&amp;"|"&amp;$D121,MAP_SUB,2,0),"L_SECTION")</f>
        <v>L_SECTION</v>
      </c>
      <c r="O121" s="24" t="str">
        <f aca="false">IFERROR(VLOOKUP($C121&amp;"|"&amp;$D121&amp;"|"&amp;$E121,MAP_SE,2,0),"L_SECTION")</f>
        <v>L_SECTION</v>
      </c>
    </row>
    <row r="122" customFormat="false" ht="15" hidden="false" customHeight="false" outlineLevel="0" collapsed="false">
      <c r="A122" s="5" t="str">
        <f aca="false">IF($C122="","",ROW()-4)</f>
        <v/>
      </c>
      <c r="B122" s="20"/>
      <c r="C122" s="20"/>
      <c r="D122" s="20"/>
      <c r="E122" s="20"/>
      <c r="F122" s="20"/>
      <c r="G122" s="21" t="str">
        <f aca="false">IFERROR(INDEX('Description Library'!$C$6:$C$808,MATCH($C122&amp;"|"&amp;$D122&amp;"|"&amp;$E122&amp;"|"&amp;$F122,'Description Library'!$K$6:$K$808,0)),"")</f>
        <v/>
      </c>
      <c r="H122" s="5" t="str">
        <f aca="false">IFERROR(INDEX('Description Library'!$H$6:$H$808,MATCH($C122&amp;"|"&amp;$D122&amp;"|"&amp;$E122&amp;"|"&amp;$F122,'Description Library'!$K$6:$K$808,0)),"")</f>
        <v/>
      </c>
      <c r="I122" s="22"/>
      <c r="J122" s="5" t="str">
        <f aca="false">IFERROR(INDEX('Description Library'!$I$6:$I$808,MATCH($C122&amp;"|"&amp;$D122&amp;"|"&amp;$E122&amp;"|"&amp;$F122,'Description Library'!$K$6:$K$808,0)),"")</f>
        <v/>
      </c>
      <c r="K122" s="18" t="str">
        <f aca="false">IFERROR(INDEX('Description Library'!$J$6:$J$808,MATCH($C122&amp;"|"&amp;$D122&amp;"|"&amp;$E122&amp;"|"&amp;$F122,'Description Library'!$K$6:$K$808,0)),"")</f>
        <v/>
      </c>
      <c r="L122" s="23" t="str">
        <f aca="false">IF(OR($I122="",$K122=""),"",$I122*$K122)</f>
        <v/>
      </c>
      <c r="M122" s="24" t="str">
        <f aca="false">IFERROR(VLOOKUP($C122,MAP_SEC,2,0),"L_SECTION")</f>
        <v>L_SECTION</v>
      </c>
      <c r="N122" s="24" t="str">
        <f aca="false">IFERROR(VLOOKUP($C122&amp;"|"&amp;$D122,MAP_SUB,2,0),"L_SECTION")</f>
        <v>L_SECTION</v>
      </c>
      <c r="O122" s="24" t="str">
        <f aca="false">IFERROR(VLOOKUP($C122&amp;"|"&amp;$D122&amp;"|"&amp;$E122,MAP_SE,2,0),"L_SECTION")</f>
        <v>L_SECTION</v>
      </c>
    </row>
    <row r="123" customFormat="false" ht="15" hidden="false" customHeight="false" outlineLevel="0" collapsed="false">
      <c r="A123" s="5" t="str">
        <f aca="false">IF($C123="","",ROW()-4)</f>
        <v/>
      </c>
      <c r="B123" s="20"/>
      <c r="C123" s="20"/>
      <c r="D123" s="20"/>
      <c r="E123" s="20"/>
      <c r="F123" s="20"/>
      <c r="G123" s="21" t="str">
        <f aca="false">IFERROR(INDEX('Description Library'!$C$6:$C$808,MATCH($C123&amp;"|"&amp;$D123&amp;"|"&amp;$E123&amp;"|"&amp;$F123,'Description Library'!$K$6:$K$808,0)),"")</f>
        <v/>
      </c>
      <c r="H123" s="5" t="str">
        <f aca="false">IFERROR(INDEX('Description Library'!$H$6:$H$808,MATCH($C123&amp;"|"&amp;$D123&amp;"|"&amp;$E123&amp;"|"&amp;$F123,'Description Library'!$K$6:$K$808,0)),"")</f>
        <v/>
      </c>
      <c r="I123" s="22"/>
      <c r="J123" s="5" t="str">
        <f aca="false">IFERROR(INDEX('Description Library'!$I$6:$I$808,MATCH($C123&amp;"|"&amp;$D123&amp;"|"&amp;$E123&amp;"|"&amp;$F123,'Description Library'!$K$6:$K$808,0)),"")</f>
        <v/>
      </c>
      <c r="K123" s="18" t="str">
        <f aca="false">IFERROR(INDEX('Description Library'!$J$6:$J$808,MATCH($C123&amp;"|"&amp;$D123&amp;"|"&amp;$E123&amp;"|"&amp;$F123,'Description Library'!$K$6:$K$808,0)),"")</f>
        <v/>
      </c>
      <c r="L123" s="23" t="str">
        <f aca="false">IF(OR($I123="",$K123=""),"",$I123*$K123)</f>
        <v/>
      </c>
      <c r="M123" s="24" t="str">
        <f aca="false">IFERROR(VLOOKUP($C123,MAP_SEC,2,0),"L_SECTION")</f>
        <v>L_SECTION</v>
      </c>
      <c r="N123" s="24" t="str">
        <f aca="false">IFERROR(VLOOKUP($C123&amp;"|"&amp;$D123,MAP_SUB,2,0),"L_SECTION")</f>
        <v>L_SECTION</v>
      </c>
      <c r="O123" s="24" t="str">
        <f aca="false">IFERROR(VLOOKUP($C123&amp;"|"&amp;$D123&amp;"|"&amp;$E123,MAP_SE,2,0),"L_SECTION")</f>
        <v>L_SECTION</v>
      </c>
    </row>
    <row r="124" customFormat="false" ht="15" hidden="false" customHeight="false" outlineLevel="0" collapsed="false">
      <c r="A124" s="5" t="str">
        <f aca="false">IF($C124="","",ROW()-4)</f>
        <v/>
      </c>
      <c r="B124" s="20"/>
      <c r="C124" s="20"/>
      <c r="D124" s="20"/>
      <c r="E124" s="20"/>
      <c r="F124" s="20"/>
      <c r="G124" s="21" t="str">
        <f aca="false">IFERROR(INDEX('Description Library'!$C$6:$C$808,MATCH($C124&amp;"|"&amp;$D124&amp;"|"&amp;$E124&amp;"|"&amp;$F124,'Description Library'!$K$6:$K$808,0)),"")</f>
        <v/>
      </c>
      <c r="H124" s="5" t="str">
        <f aca="false">IFERROR(INDEX('Description Library'!$H$6:$H$808,MATCH($C124&amp;"|"&amp;$D124&amp;"|"&amp;$E124&amp;"|"&amp;$F124,'Description Library'!$K$6:$K$808,0)),"")</f>
        <v/>
      </c>
      <c r="I124" s="22"/>
      <c r="J124" s="5" t="str">
        <f aca="false">IFERROR(INDEX('Description Library'!$I$6:$I$808,MATCH($C124&amp;"|"&amp;$D124&amp;"|"&amp;$E124&amp;"|"&amp;$F124,'Description Library'!$K$6:$K$808,0)),"")</f>
        <v/>
      </c>
      <c r="K124" s="18" t="str">
        <f aca="false">IFERROR(INDEX('Description Library'!$J$6:$J$808,MATCH($C124&amp;"|"&amp;$D124&amp;"|"&amp;$E124&amp;"|"&amp;$F124,'Description Library'!$K$6:$K$808,0)),"")</f>
        <v/>
      </c>
      <c r="L124" s="23" t="str">
        <f aca="false">IF(OR($I124="",$K124=""),"",$I124*$K124)</f>
        <v/>
      </c>
      <c r="M124" s="24" t="str">
        <f aca="false">IFERROR(VLOOKUP($C124,MAP_SEC,2,0),"L_SECTION")</f>
        <v>L_SECTION</v>
      </c>
      <c r="N124" s="24" t="str">
        <f aca="false">IFERROR(VLOOKUP($C124&amp;"|"&amp;$D124,MAP_SUB,2,0),"L_SECTION")</f>
        <v>L_SECTION</v>
      </c>
      <c r="O124" s="24" t="str">
        <f aca="false">IFERROR(VLOOKUP($C124&amp;"|"&amp;$D124&amp;"|"&amp;$E124,MAP_SE,2,0),"L_SECTION")</f>
        <v>L_SECTION</v>
      </c>
    </row>
    <row r="125" customFormat="false" ht="15" hidden="false" customHeight="false" outlineLevel="0" collapsed="false">
      <c r="A125" s="5" t="str">
        <f aca="false">IF($C125="","",ROW()-4)</f>
        <v/>
      </c>
      <c r="B125" s="20"/>
      <c r="C125" s="20"/>
      <c r="D125" s="20"/>
      <c r="E125" s="20"/>
      <c r="F125" s="20"/>
      <c r="G125" s="21" t="str">
        <f aca="false">IFERROR(INDEX('Description Library'!$C$6:$C$808,MATCH($C125&amp;"|"&amp;$D125&amp;"|"&amp;$E125&amp;"|"&amp;$F125,'Description Library'!$K$6:$K$808,0)),"")</f>
        <v/>
      </c>
      <c r="H125" s="5" t="str">
        <f aca="false">IFERROR(INDEX('Description Library'!$H$6:$H$808,MATCH($C125&amp;"|"&amp;$D125&amp;"|"&amp;$E125&amp;"|"&amp;$F125,'Description Library'!$K$6:$K$808,0)),"")</f>
        <v/>
      </c>
      <c r="I125" s="22"/>
      <c r="J125" s="5" t="str">
        <f aca="false">IFERROR(INDEX('Description Library'!$I$6:$I$808,MATCH($C125&amp;"|"&amp;$D125&amp;"|"&amp;$E125&amp;"|"&amp;$F125,'Description Library'!$K$6:$K$808,0)),"")</f>
        <v/>
      </c>
      <c r="K125" s="18" t="str">
        <f aca="false">IFERROR(INDEX('Description Library'!$J$6:$J$808,MATCH($C125&amp;"|"&amp;$D125&amp;"|"&amp;$E125&amp;"|"&amp;$F125,'Description Library'!$K$6:$K$808,0)),"")</f>
        <v/>
      </c>
      <c r="L125" s="23" t="str">
        <f aca="false">IF(OR($I125="",$K125=""),"",$I125*$K125)</f>
        <v/>
      </c>
      <c r="M125" s="24" t="str">
        <f aca="false">IFERROR(VLOOKUP($C125,MAP_SEC,2,0),"L_SECTION")</f>
        <v>L_SECTION</v>
      </c>
      <c r="N125" s="24" t="str">
        <f aca="false">IFERROR(VLOOKUP($C125&amp;"|"&amp;$D125,MAP_SUB,2,0),"L_SECTION")</f>
        <v>L_SECTION</v>
      </c>
      <c r="O125" s="24" t="str">
        <f aca="false">IFERROR(VLOOKUP($C125&amp;"|"&amp;$D125&amp;"|"&amp;$E125,MAP_SE,2,0),"L_SECTION")</f>
        <v>L_SECTION</v>
      </c>
    </row>
    <row r="126" customFormat="false" ht="15" hidden="false" customHeight="false" outlineLevel="0" collapsed="false">
      <c r="A126" s="5" t="str">
        <f aca="false">IF($C126="","",ROW()-4)</f>
        <v/>
      </c>
      <c r="B126" s="20"/>
      <c r="C126" s="20"/>
      <c r="D126" s="20"/>
      <c r="E126" s="20"/>
      <c r="F126" s="20"/>
      <c r="G126" s="21" t="str">
        <f aca="false">IFERROR(INDEX('Description Library'!$C$6:$C$808,MATCH($C126&amp;"|"&amp;$D126&amp;"|"&amp;$E126&amp;"|"&amp;$F126,'Description Library'!$K$6:$K$808,0)),"")</f>
        <v/>
      </c>
      <c r="H126" s="5" t="str">
        <f aca="false">IFERROR(INDEX('Description Library'!$H$6:$H$808,MATCH($C126&amp;"|"&amp;$D126&amp;"|"&amp;$E126&amp;"|"&amp;$F126,'Description Library'!$K$6:$K$808,0)),"")</f>
        <v/>
      </c>
      <c r="I126" s="22"/>
      <c r="J126" s="5" t="str">
        <f aca="false">IFERROR(INDEX('Description Library'!$I$6:$I$808,MATCH($C126&amp;"|"&amp;$D126&amp;"|"&amp;$E126&amp;"|"&amp;$F126,'Description Library'!$K$6:$K$808,0)),"")</f>
        <v/>
      </c>
      <c r="K126" s="18" t="str">
        <f aca="false">IFERROR(INDEX('Description Library'!$J$6:$J$808,MATCH($C126&amp;"|"&amp;$D126&amp;"|"&amp;$E126&amp;"|"&amp;$F126,'Description Library'!$K$6:$K$808,0)),"")</f>
        <v/>
      </c>
      <c r="L126" s="23" t="str">
        <f aca="false">IF(OR($I126="",$K126=""),"",$I126*$K126)</f>
        <v/>
      </c>
      <c r="M126" s="24" t="str">
        <f aca="false">IFERROR(VLOOKUP($C126,MAP_SEC,2,0),"L_SECTION")</f>
        <v>L_SECTION</v>
      </c>
      <c r="N126" s="24" t="str">
        <f aca="false">IFERROR(VLOOKUP($C126&amp;"|"&amp;$D126,MAP_SUB,2,0),"L_SECTION")</f>
        <v>L_SECTION</v>
      </c>
      <c r="O126" s="24" t="str">
        <f aca="false">IFERROR(VLOOKUP($C126&amp;"|"&amp;$D126&amp;"|"&amp;$E126,MAP_SE,2,0),"L_SECTION")</f>
        <v>L_SECTION</v>
      </c>
    </row>
    <row r="127" customFormat="false" ht="15" hidden="false" customHeight="false" outlineLevel="0" collapsed="false">
      <c r="A127" s="5" t="str">
        <f aca="false">IF($C127="","",ROW()-4)</f>
        <v/>
      </c>
      <c r="B127" s="20"/>
      <c r="C127" s="20"/>
      <c r="D127" s="20"/>
      <c r="E127" s="20"/>
      <c r="F127" s="20"/>
      <c r="G127" s="21" t="str">
        <f aca="false">IFERROR(INDEX('Description Library'!$C$6:$C$808,MATCH($C127&amp;"|"&amp;$D127&amp;"|"&amp;$E127&amp;"|"&amp;$F127,'Description Library'!$K$6:$K$808,0)),"")</f>
        <v/>
      </c>
      <c r="H127" s="5" t="str">
        <f aca="false">IFERROR(INDEX('Description Library'!$H$6:$H$808,MATCH($C127&amp;"|"&amp;$D127&amp;"|"&amp;$E127&amp;"|"&amp;$F127,'Description Library'!$K$6:$K$808,0)),"")</f>
        <v/>
      </c>
      <c r="I127" s="22"/>
      <c r="J127" s="5" t="str">
        <f aca="false">IFERROR(INDEX('Description Library'!$I$6:$I$808,MATCH($C127&amp;"|"&amp;$D127&amp;"|"&amp;$E127&amp;"|"&amp;$F127,'Description Library'!$K$6:$K$808,0)),"")</f>
        <v/>
      </c>
      <c r="K127" s="18" t="str">
        <f aca="false">IFERROR(INDEX('Description Library'!$J$6:$J$808,MATCH($C127&amp;"|"&amp;$D127&amp;"|"&amp;$E127&amp;"|"&amp;$F127,'Description Library'!$K$6:$K$808,0)),"")</f>
        <v/>
      </c>
      <c r="L127" s="23" t="str">
        <f aca="false">IF(OR($I127="",$K127=""),"",$I127*$K127)</f>
        <v/>
      </c>
      <c r="M127" s="24" t="str">
        <f aca="false">IFERROR(VLOOKUP($C127,MAP_SEC,2,0),"L_SECTION")</f>
        <v>L_SECTION</v>
      </c>
      <c r="N127" s="24" t="str">
        <f aca="false">IFERROR(VLOOKUP($C127&amp;"|"&amp;$D127,MAP_SUB,2,0),"L_SECTION")</f>
        <v>L_SECTION</v>
      </c>
      <c r="O127" s="24" t="str">
        <f aca="false">IFERROR(VLOOKUP($C127&amp;"|"&amp;$D127&amp;"|"&amp;$E127,MAP_SE,2,0),"L_SECTION")</f>
        <v>L_SECTION</v>
      </c>
    </row>
    <row r="128" customFormat="false" ht="15" hidden="false" customHeight="false" outlineLevel="0" collapsed="false">
      <c r="A128" s="5" t="str">
        <f aca="false">IF($C128="","",ROW()-4)</f>
        <v/>
      </c>
      <c r="B128" s="20"/>
      <c r="C128" s="20"/>
      <c r="D128" s="20"/>
      <c r="E128" s="20"/>
      <c r="F128" s="20"/>
      <c r="G128" s="21" t="str">
        <f aca="false">IFERROR(INDEX('Description Library'!$C$6:$C$808,MATCH($C128&amp;"|"&amp;$D128&amp;"|"&amp;$E128&amp;"|"&amp;$F128,'Description Library'!$K$6:$K$808,0)),"")</f>
        <v/>
      </c>
      <c r="H128" s="5" t="str">
        <f aca="false">IFERROR(INDEX('Description Library'!$H$6:$H$808,MATCH($C128&amp;"|"&amp;$D128&amp;"|"&amp;$E128&amp;"|"&amp;$F128,'Description Library'!$K$6:$K$808,0)),"")</f>
        <v/>
      </c>
      <c r="I128" s="22"/>
      <c r="J128" s="5" t="str">
        <f aca="false">IFERROR(INDEX('Description Library'!$I$6:$I$808,MATCH($C128&amp;"|"&amp;$D128&amp;"|"&amp;$E128&amp;"|"&amp;$F128,'Description Library'!$K$6:$K$808,0)),"")</f>
        <v/>
      </c>
      <c r="K128" s="18" t="str">
        <f aca="false">IFERROR(INDEX('Description Library'!$J$6:$J$808,MATCH($C128&amp;"|"&amp;$D128&amp;"|"&amp;$E128&amp;"|"&amp;$F128,'Description Library'!$K$6:$K$808,0)),"")</f>
        <v/>
      </c>
      <c r="L128" s="23" t="str">
        <f aca="false">IF(OR($I128="",$K128=""),"",$I128*$K128)</f>
        <v/>
      </c>
      <c r="M128" s="24" t="str">
        <f aca="false">IFERROR(VLOOKUP($C128,MAP_SEC,2,0),"L_SECTION")</f>
        <v>L_SECTION</v>
      </c>
      <c r="N128" s="24" t="str">
        <f aca="false">IFERROR(VLOOKUP($C128&amp;"|"&amp;$D128,MAP_SUB,2,0),"L_SECTION")</f>
        <v>L_SECTION</v>
      </c>
      <c r="O128" s="24" t="str">
        <f aca="false">IFERROR(VLOOKUP($C128&amp;"|"&amp;$D128&amp;"|"&amp;$E128,MAP_SE,2,0),"L_SECTION")</f>
        <v>L_SECTION</v>
      </c>
    </row>
    <row r="129" customFormat="false" ht="15" hidden="false" customHeight="false" outlineLevel="0" collapsed="false">
      <c r="A129" s="5" t="str">
        <f aca="false">IF($C129="","",ROW()-4)</f>
        <v/>
      </c>
      <c r="B129" s="20"/>
      <c r="C129" s="20"/>
      <c r="D129" s="20"/>
      <c r="E129" s="20"/>
      <c r="F129" s="20"/>
      <c r="G129" s="21" t="str">
        <f aca="false">IFERROR(INDEX('Description Library'!$C$6:$C$808,MATCH($C129&amp;"|"&amp;$D129&amp;"|"&amp;$E129&amp;"|"&amp;$F129,'Description Library'!$K$6:$K$808,0)),"")</f>
        <v/>
      </c>
      <c r="H129" s="5" t="str">
        <f aca="false">IFERROR(INDEX('Description Library'!$H$6:$H$808,MATCH($C129&amp;"|"&amp;$D129&amp;"|"&amp;$E129&amp;"|"&amp;$F129,'Description Library'!$K$6:$K$808,0)),"")</f>
        <v/>
      </c>
      <c r="I129" s="22"/>
      <c r="J129" s="5" t="str">
        <f aca="false">IFERROR(INDEX('Description Library'!$I$6:$I$808,MATCH($C129&amp;"|"&amp;$D129&amp;"|"&amp;$E129&amp;"|"&amp;$F129,'Description Library'!$K$6:$K$808,0)),"")</f>
        <v/>
      </c>
      <c r="K129" s="18" t="str">
        <f aca="false">IFERROR(INDEX('Description Library'!$J$6:$J$808,MATCH($C129&amp;"|"&amp;$D129&amp;"|"&amp;$E129&amp;"|"&amp;$F129,'Description Library'!$K$6:$K$808,0)),"")</f>
        <v/>
      </c>
      <c r="L129" s="23" t="str">
        <f aca="false">IF(OR($I129="",$K129=""),"",$I129*$K129)</f>
        <v/>
      </c>
      <c r="M129" s="24" t="str">
        <f aca="false">IFERROR(VLOOKUP($C129,MAP_SEC,2,0),"L_SECTION")</f>
        <v>L_SECTION</v>
      </c>
      <c r="N129" s="24" t="str">
        <f aca="false">IFERROR(VLOOKUP($C129&amp;"|"&amp;$D129,MAP_SUB,2,0),"L_SECTION")</f>
        <v>L_SECTION</v>
      </c>
      <c r="O129" s="24" t="str">
        <f aca="false">IFERROR(VLOOKUP($C129&amp;"|"&amp;$D129&amp;"|"&amp;$E129,MAP_SE,2,0),"L_SECTION")</f>
        <v>L_SECTION</v>
      </c>
    </row>
    <row r="130" customFormat="false" ht="15" hidden="false" customHeight="false" outlineLevel="0" collapsed="false">
      <c r="A130" s="5" t="str">
        <f aca="false">IF($C130="","",ROW()-4)</f>
        <v/>
      </c>
      <c r="B130" s="20"/>
      <c r="C130" s="20"/>
      <c r="D130" s="20"/>
      <c r="E130" s="20"/>
      <c r="F130" s="20"/>
      <c r="G130" s="21" t="str">
        <f aca="false">IFERROR(INDEX('Description Library'!$C$6:$C$808,MATCH($C130&amp;"|"&amp;$D130&amp;"|"&amp;$E130&amp;"|"&amp;$F130,'Description Library'!$K$6:$K$808,0)),"")</f>
        <v/>
      </c>
      <c r="H130" s="5" t="str">
        <f aca="false">IFERROR(INDEX('Description Library'!$H$6:$H$808,MATCH($C130&amp;"|"&amp;$D130&amp;"|"&amp;$E130&amp;"|"&amp;$F130,'Description Library'!$K$6:$K$808,0)),"")</f>
        <v/>
      </c>
      <c r="I130" s="22"/>
      <c r="J130" s="5" t="str">
        <f aca="false">IFERROR(INDEX('Description Library'!$I$6:$I$808,MATCH($C130&amp;"|"&amp;$D130&amp;"|"&amp;$E130&amp;"|"&amp;$F130,'Description Library'!$K$6:$K$808,0)),"")</f>
        <v/>
      </c>
      <c r="K130" s="18" t="str">
        <f aca="false">IFERROR(INDEX('Description Library'!$J$6:$J$808,MATCH($C130&amp;"|"&amp;$D130&amp;"|"&amp;$E130&amp;"|"&amp;$F130,'Description Library'!$K$6:$K$808,0)),"")</f>
        <v/>
      </c>
      <c r="L130" s="23" t="str">
        <f aca="false">IF(OR($I130="",$K130=""),"",$I130*$K130)</f>
        <v/>
      </c>
      <c r="M130" s="24" t="str">
        <f aca="false">IFERROR(VLOOKUP($C130,MAP_SEC,2,0),"L_SECTION")</f>
        <v>L_SECTION</v>
      </c>
      <c r="N130" s="24" t="str">
        <f aca="false">IFERROR(VLOOKUP($C130&amp;"|"&amp;$D130,MAP_SUB,2,0),"L_SECTION")</f>
        <v>L_SECTION</v>
      </c>
      <c r="O130" s="24" t="str">
        <f aca="false">IFERROR(VLOOKUP($C130&amp;"|"&amp;$D130&amp;"|"&amp;$E130,MAP_SE,2,0),"L_SECTION")</f>
        <v>L_SECTION</v>
      </c>
    </row>
    <row r="131" customFormat="false" ht="15" hidden="false" customHeight="false" outlineLevel="0" collapsed="false">
      <c r="A131" s="5" t="str">
        <f aca="false">IF($C131="","",ROW()-4)</f>
        <v/>
      </c>
      <c r="B131" s="20"/>
      <c r="C131" s="20"/>
      <c r="D131" s="20"/>
      <c r="E131" s="20"/>
      <c r="F131" s="20"/>
      <c r="G131" s="21" t="str">
        <f aca="false">IFERROR(INDEX('Description Library'!$C$6:$C$808,MATCH($C131&amp;"|"&amp;$D131&amp;"|"&amp;$E131&amp;"|"&amp;$F131,'Description Library'!$K$6:$K$808,0)),"")</f>
        <v/>
      </c>
      <c r="H131" s="5" t="str">
        <f aca="false">IFERROR(INDEX('Description Library'!$H$6:$H$808,MATCH($C131&amp;"|"&amp;$D131&amp;"|"&amp;$E131&amp;"|"&amp;$F131,'Description Library'!$K$6:$K$808,0)),"")</f>
        <v/>
      </c>
      <c r="I131" s="22"/>
      <c r="J131" s="5" t="str">
        <f aca="false">IFERROR(INDEX('Description Library'!$I$6:$I$808,MATCH($C131&amp;"|"&amp;$D131&amp;"|"&amp;$E131&amp;"|"&amp;$F131,'Description Library'!$K$6:$K$808,0)),"")</f>
        <v/>
      </c>
      <c r="K131" s="18" t="str">
        <f aca="false">IFERROR(INDEX('Description Library'!$J$6:$J$808,MATCH($C131&amp;"|"&amp;$D131&amp;"|"&amp;$E131&amp;"|"&amp;$F131,'Description Library'!$K$6:$K$808,0)),"")</f>
        <v/>
      </c>
      <c r="L131" s="23" t="str">
        <f aca="false">IF(OR($I131="",$K131=""),"",$I131*$K131)</f>
        <v/>
      </c>
      <c r="M131" s="24" t="str">
        <f aca="false">IFERROR(VLOOKUP($C131,MAP_SEC,2,0),"L_SECTION")</f>
        <v>L_SECTION</v>
      </c>
      <c r="N131" s="24" t="str">
        <f aca="false">IFERROR(VLOOKUP($C131&amp;"|"&amp;$D131,MAP_SUB,2,0),"L_SECTION")</f>
        <v>L_SECTION</v>
      </c>
      <c r="O131" s="24" t="str">
        <f aca="false">IFERROR(VLOOKUP($C131&amp;"|"&amp;$D131&amp;"|"&amp;$E131,MAP_SE,2,0),"L_SECTION")</f>
        <v>L_SECTION</v>
      </c>
    </row>
    <row r="132" customFormat="false" ht="15" hidden="false" customHeight="false" outlineLevel="0" collapsed="false">
      <c r="A132" s="5" t="str">
        <f aca="false">IF($C132="","",ROW()-4)</f>
        <v/>
      </c>
      <c r="B132" s="20"/>
      <c r="C132" s="20"/>
      <c r="D132" s="20"/>
      <c r="E132" s="20"/>
      <c r="F132" s="20"/>
      <c r="G132" s="21" t="str">
        <f aca="false">IFERROR(INDEX('Description Library'!$C$6:$C$808,MATCH($C132&amp;"|"&amp;$D132&amp;"|"&amp;$E132&amp;"|"&amp;$F132,'Description Library'!$K$6:$K$808,0)),"")</f>
        <v/>
      </c>
      <c r="H132" s="5" t="str">
        <f aca="false">IFERROR(INDEX('Description Library'!$H$6:$H$808,MATCH($C132&amp;"|"&amp;$D132&amp;"|"&amp;$E132&amp;"|"&amp;$F132,'Description Library'!$K$6:$K$808,0)),"")</f>
        <v/>
      </c>
      <c r="I132" s="22"/>
      <c r="J132" s="5" t="str">
        <f aca="false">IFERROR(INDEX('Description Library'!$I$6:$I$808,MATCH($C132&amp;"|"&amp;$D132&amp;"|"&amp;$E132&amp;"|"&amp;$F132,'Description Library'!$K$6:$K$808,0)),"")</f>
        <v/>
      </c>
      <c r="K132" s="18" t="str">
        <f aca="false">IFERROR(INDEX('Description Library'!$J$6:$J$808,MATCH($C132&amp;"|"&amp;$D132&amp;"|"&amp;$E132&amp;"|"&amp;$F132,'Description Library'!$K$6:$K$808,0)),"")</f>
        <v/>
      </c>
      <c r="L132" s="23" t="str">
        <f aca="false">IF(OR($I132="",$K132=""),"",$I132*$K132)</f>
        <v/>
      </c>
      <c r="M132" s="24" t="str">
        <f aca="false">IFERROR(VLOOKUP($C132,MAP_SEC,2,0),"L_SECTION")</f>
        <v>L_SECTION</v>
      </c>
      <c r="N132" s="24" t="str">
        <f aca="false">IFERROR(VLOOKUP($C132&amp;"|"&amp;$D132,MAP_SUB,2,0),"L_SECTION")</f>
        <v>L_SECTION</v>
      </c>
      <c r="O132" s="24" t="str">
        <f aca="false">IFERROR(VLOOKUP($C132&amp;"|"&amp;$D132&amp;"|"&amp;$E132,MAP_SE,2,0),"L_SECTION")</f>
        <v>L_SECTION</v>
      </c>
    </row>
    <row r="133" customFormat="false" ht="15" hidden="false" customHeight="false" outlineLevel="0" collapsed="false">
      <c r="A133" s="5" t="str">
        <f aca="false">IF($C133="","",ROW()-4)</f>
        <v/>
      </c>
      <c r="B133" s="20"/>
      <c r="C133" s="20"/>
      <c r="D133" s="20"/>
      <c r="E133" s="20"/>
      <c r="F133" s="20"/>
      <c r="G133" s="21" t="str">
        <f aca="false">IFERROR(INDEX('Description Library'!$C$6:$C$808,MATCH($C133&amp;"|"&amp;$D133&amp;"|"&amp;$E133&amp;"|"&amp;$F133,'Description Library'!$K$6:$K$808,0)),"")</f>
        <v/>
      </c>
      <c r="H133" s="5" t="str">
        <f aca="false">IFERROR(INDEX('Description Library'!$H$6:$H$808,MATCH($C133&amp;"|"&amp;$D133&amp;"|"&amp;$E133&amp;"|"&amp;$F133,'Description Library'!$K$6:$K$808,0)),"")</f>
        <v/>
      </c>
      <c r="I133" s="22"/>
      <c r="J133" s="5" t="str">
        <f aca="false">IFERROR(INDEX('Description Library'!$I$6:$I$808,MATCH($C133&amp;"|"&amp;$D133&amp;"|"&amp;$E133&amp;"|"&amp;$F133,'Description Library'!$K$6:$K$808,0)),"")</f>
        <v/>
      </c>
      <c r="K133" s="18" t="str">
        <f aca="false">IFERROR(INDEX('Description Library'!$J$6:$J$808,MATCH($C133&amp;"|"&amp;$D133&amp;"|"&amp;$E133&amp;"|"&amp;$F133,'Description Library'!$K$6:$K$808,0)),"")</f>
        <v/>
      </c>
      <c r="L133" s="23" t="str">
        <f aca="false">IF(OR($I133="",$K133=""),"",$I133*$K133)</f>
        <v/>
      </c>
      <c r="M133" s="24" t="str">
        <f aca="false">IFERROR(VLOOKUP($C133,MAP_SEC,2,0),"L_SECTION")</f>
        <v>L_SECTION</v>
      </c>
      <c r="N133" s="24" t="str">
        <f aca="false">IFERROR(VLOOKUP($C133&amp;"|"&amp;$D133,MAP_SUB,2,0),"L_SECTION")</f>
        <v>L_SECTION</v>
      </c>
      <c r="O133" s="24" t="str">
        <f aca="false">IFERROR(VLOOKUP($C133&amp;"|"&amp;$D133&amp;"|"&amp;$E133,MAP_SE,2,0),"L_SECTION")</f>
        <v>L_SECTION</v>
      </c>
    </row>
    <row r="134" customFormat="false" ht="15" hidden="false" customHeight="false" outlineLevel="0" collapsed="false">
      <c r="A134" s="5" t="str">
        <f aca="false">IF($C134="","",ROW()-4)</f>
        <v/>
      </c>
      <c r="B134" s="20"/>
      <c r="C134" s="20"/>
      <c r="D134" s="20"/>
      <c r="E134" s="20"/>
      <c r="F134" s="20"/>
      <c r="G134" s="21" t="str">
        <f aca="false">IFERROR(INDEX('Description Library'!$C$6:$C$808,MATCH($C134&amp;"|"&amp;$D134&amp;"|"&amp;$E134&amp;"|"&amp;$F134,'Description Library'!$K$6:$K$808,0)),"")</f>
        <v/>
      </c>
      <c r="H134" s="5" t="str">
        <f aca="false">IFERROR(INDEX('Description Library'!$H$6:$H$808,MATCH($C134&amp;"|"&amp;$D134&amp;"|"&amp;$E134&amp;"|"&amp;$F134,'Description Library'!$K$6:$K$808,0)),"")</f>
        <v/>
      </c>
      <c r="I134" s="22"/>
      <c r="J134" s="5" t="str">
        <f aca="false">IFERROR(INDEX('Description Library'!$I$6:$I$808,MATCH($C134&amp;"|"&amp;$D134&amp;"|"&amp;$E134&amp;"|"&amp;$F134,'Description Library'!$K$6:$K$808,0)),"")</f>
        <v/>
      </c>
      <c r="K134" s="18" t="str">
        <f aca="false">IFERROR(INDEX('Description Library'!$J$6:$J$808,MATCH($C134&amp;"|"&amp;$D134&amp;"|"&amp;$E134&amp;"|"&amp;$F134,'Description Library'!$K$6:$K$808,0)),"")</f>
        <v/>
      </c>
      <c r="L134" s="23" t="str">
        <f aca="false">IF(OR($I134="",$K134=""),"",$I134*$K134)</f>
        <v/>
      </c>
      <c r="M134" s="24" t="str">
        <f aca="false">IFERROR(VLOOKUP($C134,MAP_SEC,2,0),"L_SECTION")</f>
        <v>L_SECTION</v>
      </c>
      <c r="N134" s="24" t="str">
        <f aca="false">IFERROR(VLOOKUP($C134&amp;"|"&amp;$D134,MAP_SUB,2,0),"L_SECTION")</f>
        <v>L_SECTION</v>
      </c>
      <c r="O134" s="24" t="str">
        <f aca="false">IFERROR(VLOOKUP($C134&amp;"|"&amp;$D134&amp;"|"&amp;$E134,MAP_SE,2,0),"L_SECTION")</f>
        <v>L_SECTION</v>
      </c>
    </row>
    <row r="135" customFormat="false" ht="15" hidden="false" customHeight="false" outlineLevel="0" collapsed="false">
      <c r="A135" s="5" t="str">
        <f aca="false">IF($C135="","",ROW()-4)</f>
        <v/>
      </c>
      <c r="B135" s="20"/>
      <c r="C135" s="20"/>
      <c r="D135" s="20"/>
      <c r="E135" s="20"/>
      <c r="F135" s="20"/>
      <c r="G135" s="21" t="str">
        <f aca="false">IFERROR(INDEX('Description Library'!$C$6:$C$808,MATCH($C135&amp;"|"&amp;$D135&amp;"|"&amp;$E135&amp;"|"&amp;$F135,'Description Library'!$K$6:$K$808,0)),"")</f>
        <v/>
      </c>
      <c r="H135" s="5" t="str">
        <f aca="false">IFERROR(INDEX('Description Library'!$H$6:$H$808,MATCH($C135&amp;"|"&amp;$D135&amp;"|"&amp;$E135&amp;"|"&amp;$F135,'Description Library'!$K$6:$K$808,0)),"")</f>
        <v/>
      </c>
      <c r="I135" s="22"/>
      <c r="J135" s="5" t="str">
        <f aca="false">IFERROR(INDEX('Description Library'!$I$6:$I$808,MATCH($C135&amp;"|"&amp;$D135&amp;"|"&amp;$E135&amp;"|"&amp;$F135,'Description Library'!$K$6:$K$808,0)),"")</f>
        <v/>
      </c>
      <c r="K135" s="18" t="str">
        <f aca="false">IFERROR(INDEX('Description Library'!$J$6:$J$808,MATCH($C135&amp;"|"&amp;$D135&amp;"|"&amp;$E135&amp;"|"&amp;$F135,'Description Library'!$K$6:$K$808,0)),"")</f>
        <v/>
      </c>
      <c r="L135" s="23" t="str">
        <f aca="false">IF(OR($I135="",$K135=""),"",$I135*$K135)</f>
        <v/>
      </c>
      <c r="M135" s="24" t="str">
        <f aca="false">IFERROR(VLOOKUP($C135,MAP_SEC,2,0),"L_SECTION")</f>
        <v>L_SECTION</v>
      </c>
      <c r="N135" s="24" t="str">
        <f aca="false">IFERROR(VLOOKUP($C135&amp;"|"&amp;$D135,MAP_SUB,2,0),"L_SECTION")</f>
        <v>L_SECTION</v>
      </c>
      <c r="O135" s="24" t="str">
        <f aca="false">IFERROR(VLOOKUP($C135&amp;"|"&amp;$D135&amp;"|"&amp;$E135,MAP_SE,2,0),"L_SECTION")</f>
        <v>L_SECTION</v>
      </c>
    </row>
    <row r="136" customFormat="false" ht="15" hidden="false" customHeight="false" outlineLevel="0" collapsed="false">
      <c r="A136" s="5" t="str">
        <f aca="false">IF($C136="","",ROW()-4)</f>
        <v/>
      </c>
      <c r="B136" s="20"/>
      <c r="C136" s="20"/>
      <c r="D136" s="20"/>
      <c r="E136" s="20"/>
      <c r="F136" s="20"/>
      <c r="G136" s="21" t="str">
        <f aca="false">IFERROR(INDEX('Description Library'!$C$6:$C$808,MATCH($C136&amp;"|"&amp;$D136&amp;"|"&amp;$E136&amp;"|"&amp;$F136,'Description Library'!$K$6:$K$808,0)),"")</f>
        <v/>
      </c>
      <c r="H136" s="5" t="str">
        <f aca="false">IFERROR(INDEX('Description Library'!$H$6:$H$808,MATCH($C136&amp;"|"&amp;$D136&amp;"|"&amp;$E136&amp;"|"&amp;$F136,'Description Library'!$K$6:$K$808,0)),"")</f>
        <v/>
      </c>
      <c r="I136" s="22"/>
      <c r="J136" s="5" t="str">
        <f aca="false">IFERROR(INDEX('Description Library'!$I$6:$I$808,MATCH($C136&amp;"|"&amp;$D136&amp;"|"&amp;$E136&amp;"|"&amp;$F136,'Description Library'!$K$6:$K$808,0)),"")</f>
        <v/>
      </c>
      <c r="K136" s="18" t="str">
        <f aca="false">IFERROR(INDEX('Description Library'!$J$6:$J$808,MATCH($C136&amp;"|"&amp;$D136&amp;"|"&amp;$E136&amp;"|"&amp;$F136,'Description Library'!$K$6:$K$808,0)),"")</f>
        <v/>
      </c>
      <c r="L136" s="23" t="str">
        <f aca="false">IF(OR($I136="",$K136=""),"",$I136*$K136)</f>
        <v/>
      </c>
      <c r="M136" s="24" t="str">
        <f aca="false">IFERROR(VLOOKUP($C136,MAP_SEC,2,0),"L_SECTION")</f>
        <v>L_SECTION</v>
      </c>
      <c r="N136" s="24" t="str">
        <f aca="false">IFERROR(VLOOKUP($C136&amp;"|"&amp;$D136,MAP_SUB,2,0),"L_SECTION")</f>
        <v>L_SECTION</v>
      </c>
      <c r="O136" s="24" t="str">
        <f aca="false">IFERROR(VLOOKUP($C136&amp;"|"&amp;$D136&amp;"|"&amp;$E136,MAP_SE,2,0),"L_SECTION")</f>
        <v>L_SECTION</v>
      </c>
    </row>
    <row r="137" customFormat="false" ht="15" hidden="false" customHeight="false" outlineLevel="0" collapsed="false">
      <c r="A137" s="5" t="str">
        <f aca="false">IF($C137="","",ROW()-4)</f>
        <v/>
      </c>
      <c r="B137" s="20"/>
      <c r="C137" s="20"/>
      <c r="D137" s="20"/>
      <c r="E137" s="20"/>
      <c r="F137" s="20"/>
      <c r="G137" s="21" t="str">
        <f aca="false">IFERROR(INDEX('Description Library'!$C$6:$C$808,MATCH($C137&amp;"|"&amp;$D137&amp;"|"&amp;$E137&amp;"|"&amp;$F137,'Description Library'!$K$6:$K$808,0)),"")</f>
        <v/>
      </c>
      <c r="H137" s="5" t="str">
        <f aca="false">IFERROR(INDEX('Description Library'!$H$6:$H$808,MATCH($C137&amp;"|"&amp;$D137&amp;"|"&amp;$E137&amp;"|"&amp;$F137,'Description Library'!$K$6:$K$808,0)),"")</f>
        <v/>
      </c>
      <c r="I137" s="22"/>
      <c r="J137" s="5" t="str">
        <f aca="false">IFERROR(INDEX('Description Library'!$I$6:$I$808,MATCH($C137&amp;"|"&amp;$D137&amp;"|"&amp;$E137&amp;"|"&amp;$F137,'Description Library'!$K$6:$K$808,0)),"")</f>
        <v/>
      </c>
      <c r="K137" s="18" t="str">
        <f aca="false">IFERROR(INDEX('Description Library'!$J$6:$J$808,MATCH($C137&amp;"|"&amp;$D137&amp;"|"&amp;$E137&amp;"|"&amp;$F137,'Description Library'!$K$6:$K$808,0)),"")</f>
        <v/>
      </c>
      <c r="L137" s="23" t="str">
        <f aca="false">IF(OR($I137="",$K137=""),"",$I137*$K137)</f>
        <v/>
      </c>
      <c r="M137" s="24" t="str">
        <f aca="false">IFERROR(VLOOKUP($C137,MAP_SEC,2,0),"L_SECTION")</f>
        <v>L_SECTION</v>
      </c>
      <c r="N137" s="24" t="str">
        <f aca="false">IFERROR(VLOOKUP($C137&amp;"|"&amp;$D137,MAP_SUB,2,0),"L_SECTION")</f>
        <v>L_SECTION</v>
      </c>
      <c r="O137" s="24" t="str">
        <f aca="false">IFERROR(VLOOKUP($C137&amp;"|"&amp;$D137&amp;"|"&amp;$E137,MAP_SE,2,0),"L_SECTION")</f>
        <v>L_SECTION</v>
      </c>
    </row>
    <row r="138" customFormat="false" ht="15" hidden="false" customHeight="false" outlineLevel="0" collapsed="false">
      <c r="A138" s="5" t="str">
        <f aca="false">IF($C138="","",ROW()-4)</f>
        <v/>
      </c>
      <c r="B138" s="20"/>
      <c r="C138" s="20"/>
      <c r="D138" s="20"/>
      <c r="E138" s="20"/>
      <c r="F138" s="20"/>
      <c r="G138" s="21" t="str">
        <f aca="false">IFERROR(INDEX('Description Library'!$C$6:$C$808,MATCH($C138&amp;"|"&amp;$D138&amp;"|"&amp;$E138&amp;"|"&amp;$F138,'Description Library'!$K$6:$K$808,0)),"")</f>
        <v/>
      </c>
      <c r="H138" s="5" t="str">
        <f aca="false">IFERROR(INDEX('Description Library'!$H$6:$H$808,MATCH($C138&amp;"|"&amp;$D138&amp;"|"&amp;$E138&amp;"|"&amp;$F138,'Description Library'!$K$6:$K$808,0)),"")</f>
        <v/>
      </c>
      <c r="I138" s="22"/>
      <c r="J138" s="5" t="str">
        <f aca="false">IFERROR(INDEX('Description Library'!$I$6:$I$808,MATCH($C138&amp;"|"&amp;$D138&amp;"|"&amp;$E138&amp;"|"&amp;$F138,'Description Library'!$K$6:$K$808,0)),"")</f>
        <v/>
      </c>
      <c r="K138" s="18" t="str">
        <f aca="false">IFERROR(INDEX('Description Library'!$J$6:$J$808,MATCH($C138&amp;"|"&amp;$D138&amp;"|"&amp;$E138&amp;"|"&amp;$F138,'Description Library'!$K$6:$K$808,0)),"")</f>
        <v/>
      </c>
      <c r="L138" s="23" t="str">
        <f aca="false">IF(OR($I138="",$K138=""),"",$I138*$K138)</f>
        <v/>
      </c>
      <c r="M138" s="24" t="str">
        <f aca="false">IFERROR(VLOOKUP($C138,MAP_SEC,2,0),"L_SECTION")</f>
        <v>L_SECTION</v>
      </c>
      <c r="N138" s="24" t="str">
        <f aca="false">IFERROR(VLOOKUP($C138&amp;"|"&amp;$D138,MAP_SUB,2,0),"L_SECTION")</f>
        <v>L_SECTION</v>
      </c>
      <c r="O138" s="24" t="str">
        <f aca="false">IFERROR(VLOOKUP($C138&amp;"|"&amp;$D138&amp;"|"&amp;$E138,MAP_SE,2,0),"L_SECTION")</f>
        <v>L_SECTION</v>
      </c>
    </row>
    <row r="139" customFormat="false" ht="15" hidden="false" customHeight="false" outlineLevel="0" collapsed="false">
      <c r="A139" s="5" t="str">
        <f aca="false">IF($C139="","",ROW()-4)</f>
        <v/>
      </c>
      <c r="B139" s="20"/>
      <c r="C139" s="20"/>
      <c r="D139" s="20"/>
      <c r="E139" s="20"/>
      <c r="F139" s="20"/>
      <c r="G139" s="21" t="str">
        <f aca="false">IFERROR(INDEX('Description Library'!$C$6:$C$808,MATCH($C139&amp;"|"&amp;$D139&amp;"|"&amp;$E139&amp;"|"&amp;$F139,'Description Library'!$K$6:$K$808,0)),"")</f>
        <v/>
      </c>
      <c r="H139" s="5" t="str">
        <f aca="false">IFERROR(INDEX('Description Library'!$H$6:$H$808,MATCH($C139&amp;"|"&amp;$D139&amp;"|"&amp;$E139&amp;"|"&amp;$F139,'Description Library'!$K$6:$K$808,0)),"")</f>
        <v/>
      </c>
      <c r="I139" s="22"/>
      <c r="J139" s="5" t="str">
        <f aca="false">IFERROR(INDEX('Description Library'!$I$6:$I$808,MATCH($C139&amp;"|"&amp;$D139&amp;"|"&amp;$E139&amp;"|"&amp;$F139,'Description Library'!$K$6:$K$808,0)),"")</f>
        <v/>
      </c>
      <c r="K139" s="18" t="str">
        <f aca="false">IFERROR(INDEX('Description Library'!$J$6:$J$808,MATCH($C139&amp;"|"&amp;$D139&amp;"|"&amp;$E139&amp;"|"&amp;$F139,'Description Library'!$K$6:$K$808,0)),"")</f>
        <v/>
      </c>
      <c r="L139" s="23" t="str">
        <f aca="false">IF(OR($I139="",$K139=""),"",$I139*$K139)</f>
        <v/>
      </c>
      <c r="M139" s="24" t="str">
        <f aca="false">IFERROR(VLOOKUP($C139,MAP_SEC,2,0),"L_SECTION")</f>
        <v>L_SECTION</v>
      </c>
      <c r="N139" s="24" t="str">
        <f aca="false">IFERROR(VLOOKUP($C139&amp;"|"&amp;$D139,MAP_SUB,2,0),"L_SECTION")</f>
        <v>L_SECTION</v>
      </c>
      <c r="O139" s="24" t="str">
        <f aca="false">IFERROR(VLOOKUP($C139&amp;"|"&amp;$D139&amp;"|"&amp;$E139,MAP_SE,2,0),"L_SECTION")</f>
        <v>L_SECTION</v>
      </c>
    </row>
    <row r="140" customFormat="false" ht="15" hidden="false" customHeight="false" outlineLevel="0" collapsed="false">
      <c r="A140" s="5" t="str">
        <f aca="false">IF($C140="","",ROW()-4)</f>
        <v/>
      </c>
      <c r="B140" s="20"/>
      <c r="C140" s="20"/>
      <c r="D140" s="20"/>
      <c r="E140" s="20"/>
      <c r="F140" s="20"/>
      <c r="G140" s="21" t="str">
        <f aca="false">IFERROR(INDEX('Description Library'!$C$6:$C$808,MATCH($C140&amp;"|"&amp;$D140&amp;"|"&amp;$E140&amp;"|"&amp;$F140,'Description Library'!$K$6:$K$808,0)),"")</f>
        <v/>
      </c>
      <c r="H140" s="5" t="str">
        <f aca="false">IFERROR(INDEX('Description Library'!$H$6:$H$808,MATCH($C140&amp;"|"&amp;$D140&amp;"|"&amp;$E140&amp;"|"&amp;$F140,'Description Library'!$K$6:$K$808,0)),"")</f>
        <v/>
      </c>
      <c r="I140" s="22"/>
      <c r="J140" s="5" t="str">
        <f aca="false">IFERROR(INDEX('Description Library'!$I$6:$I$808,MATCH($C140&amp;"|"&amp;$D140&amp;"|"&amp;$E140&amp;"|"&amp;$F140,'Description Library'!$K$6:$K$808,0)),"")</f>
        <v/>
      </c>
      <c r="K140" s="18" t="str">
        <f aca="false">IFERROR(INDEX('Description Library'!$J$6:$J$808,MATCH($C140&amp;"|"&amp;$D140&amp;"|"&amp;$E140&amp;"|"&amp;$F140,'Description Library'!$K$6:$K$808,0)),"")</f>
        <v/>
      </c>
      <c r="L140" s="23" t="str">
        <f aca="false">IF(OR($I140="",$K140=""),"",$I140*$K140)</f>
        <v/>
      </c>
      <c r="M140" s="24" t="str">
        <f aca="false">IFERROR(VLOOKUP($C140,MAP_SEC,2,0),"L_SECTION")</f>
        <v>L_SECTION</v>
      </c>
      <c r="N140" s="24" t="str">
        <f aca="false">IFERROR(VLOOKUP($C140&amp;"|"&amp;$D140,MAP_SUB,2,0),"L_SECTION")</f>
        <v>L_SECTION</v>
      </c>
      <c r="O140" s="24" t="str">
        <f aca="false">IFERROR(VLOOKUP($C140&amp;"|"&amp;$D140&amp;"|"&amp;$E140,MAP_SE,2,0),"L_SECTION")</f>
        <v>L_SECTION</v>
      </c>
    </row>
    <row r="141" customFormat="false" ht="15" hidden="false" customHeight="false" outlineLevel="0" collapsed="false">
      <c r="A141" s="5" t="str">
        <f aca="false">IF($C141="","",ROW()-4)</f>
        <v/>
      </c>
      <c r="B141" s="20"/>
      <c r="C141" s="20"/>
      <c r="D141" s="20"/>
      <c r="E141" s="20"/>
      <c r="F141" s="20"/>
      <c r="G141" s="21" t="str">
        <f aca="false">IFERROR(INDEX('Description Library'!$C$6:$C$808,MATCH($C141&amp;"|"&amp;$D141&amp;"|"&amp;$E141&amp;"|"&amp;$F141,'Description Library'!$K$6:$K$808,0)),"")</f>
        <v/>
      </c>
      <c r="H141" s="5" t="str">
        <f aca="false">IFERROR(INDEX('Description Library'!$H$6:$H$808,MATCH($C141&amp;"|"&amp;$D141&amp;"|"&amp;$E141&amp;"|"&amp;$F141,'Description Library'!$K$6:$K$808,0)),"")</f>
        <v/>
      </c>
      <c r="I141" s="22"/>
      <c r="J141" s="5" t="str">
        <f aca="false">IFERROR(INDEX('Description Library'!$I$6:$I$808,MATCH($C141&amp;"|"&amp;$D141&amp;"|"&amp;$E141&amp;"|"&amp;$F141,'Description Library'!$K$6:$K$808,0)),"")</f>
        <v/>
      </c>
      <c r="K141" s="18" t="str">
        <f aca="false">IFERROR(INDEX('Description Library'!$J$6:$J$808,MATCH($C141&amp;"|"&amp;$D141&amp;"|"&amp;$E141&amp;"|"&amp;$F141,'Description Library'!$K$6:$K$808,0)),"")</f>
        <v/>
      </c>
      <c r="L141" s="23" t="str">
        <f aca="false">IF(OR($I141="",$K141=""),"",$I141*$K141)</f>
        <v/>
      </c>
      <c r="M141" s="24" t="str">
        <f aca="false">IFERROR(VLOOKUP($C141,MAP_SEC,2,0),"L_SECTION")</f>
        <v>L_SECTION</v>
      </c>
      <c r="N141" s="24" t="str">
        <f aca="false">IFERROR(VLOOKUP($C141&amp;"|"&amp;$D141,MAP_SUB,2,0),"L_SECTION")</f>
        <v>L_SECTION</v>
      </c>
      <c r="O141" s="24" t="str">
        <f aca="false">IFERROR(VLOOKUP($C141&amp;"|"&amp;$D141&amp;"|"&amp;$E141,MAP_SE,2,0),"L_SECTION")</f>
        <v>L_SECTION</v>
      </c>
    </row>
    <row r="142" customFormat="false" ht="15" hidden="false" customHeight="false" outlineLevel="0" collapsed="false">
      <c r="A142" s="5" t="str">
        <f aca="false">IF($C142="","",ROW()-4)</f>
        <v/>
      </c>
      <c r="B142" s="20"/>
      <c r="C142" s="20"/>
      <c r="D142" s="20"/>
      <c r="E142" s="20"/>
      <c r="F142" s="20"/>
      <c r="G142" s="21" t="str">
        <f aca="false">IFERROR(INDEX('Description Library'!$C$6:$C$808,MATCH($C142&amp;"|"&amp;$D142&amp;"|"&amp;$E142&amp;"|"&amp;$F142,'Description Library'!$K$6:$K$808,0)),"")</f>
        <v/>
      </c>
      <c r="H142" s="5" t="str">
        <f aca="false">IFERROR(INDEX('Description Library'!$H$6:$H$808,MATCH($C142&amp;"|"&amp;$D142&amp;"|"&amp;$E142&amp;"|"&amp;$F142,'Description Library'!$K$6:$K$808,0)),"")</f>
        <v/>
      </c>
      <c r="I142" s="22"/>
      <c r="J142" s="5" t="str">
        <f aca="false">IFERROR(INDEX('Description Library'!$I$6:$I$808,MATCH($C142&amp;"|"&amp;$D142&amp;"|"&amp;$E142&amp;"|"&amp;$F142,'Description Library'!$K$6:$K$808,0)),"")</f>
        <v/>
      </c>
      <c r="K142" s="18" t="str">
        <f aca="false">IFERROR(INDEX('Description Library'!$J$6:$J$808,MATCH($C142&amp;"|"&amp;$D142&amp;"|"&amp;$E142&amp;"|"&amp;$F142,'Description Library'!$K$6:$K$808,0)),"")</f>
        <v/>
      </c>
      <c r="L142" s="23" t="str">
        <f aca="false">IF(OR($I142="",$K142=""),"",$I142*$K142)</f>
        <v/>
      </c>
      <c r="M142" s="24" t="str">
        <f aca="false">IFERROR(VLOOKUP($C142,MAP_SEC,2,0),"L_SECTION")</f>
        <v>L_SECTION</v>
      </c>
      <c r="N142" s="24" t="str">
        <f aca="false">IFERROR(VLOOKUP($C142&amp;"|"&amp;$D142,MAP_SUB,2,0),"L_SECTION")</f>
        <v>L_SECTION</v>
      </c>
      <c r="O142" s="24" t="str">
        <f aca="false">IFERROR(VLOOKUP($C142&amp;"|"&amp;$D142&amp;"|"&amp;$E142,MAP_SE,2,0),"L_SECTION")</f>
        <v>L_SECTION</v>
      </c>
    </row>
    <row r="143" customFormat="false" ht="15" hidden="false" customHeight="false" outlineLevel="0" collapsed="false">
      <c r="A143" s="5" t="str">
        <f aca="false">IF($C143="","",ROW()-4)</f>
        <v/>
      </c>
      <c r="B143" s="20"/>
      <c r="C143" s="20"/>
      <c r="D143" s="20"/>
      <c r="E143" s="20"/>
      <c r="F143" s="20"/>
      <c r="G143" s="21" t="str">
        <f aca="false">IFERROR(INDEX('Description Library'!$C$6:$C$808,MATCH($C143&amp;"|"&amp;$D143&amp;"|"&amp;$E143&amp;"|"&amp;$F143,'Description Library'!$K$6:$K$808,0)),"")</f>
        <v/>
      </c>
      <c r="H143" s="5" t="str">
        <f aca="false">IFERROR(INDEX('Description Library'!$H$6:$H$808,MATCH($C143&amp;"|"&amp;$D143&amp;"|"&amp;$E143&amp;"|"&amp;$F143,'Description Library'!$K$6:$K$808,0)),"")</f>
        <v/>
      </c>
      <c r="I143" s="22"/>
      <c r="J143" s="5" t="str">
        <f aca="false">IFERROR(INDEX('Description Library'!$I$6:$I$808,MATCH($C143&amp;"|"&amp;$D143&amp;"|"&amp;$E143&amp;"|"&amp;$F143,'Description Library'!$K$6:$K$808,0)),"")</f>
        <v/>
      </c>
      <c r="K143" s="18" t="str">
        <f aca="false">IFERROR(INDEX('Description Library'!$J$6:$J$808,MATCH($C143&amp;"|"&amp;$D143&amp;"|"&amp;$E143&amp;"|"&amp;$F143,'Description Library'!$K$6:$K$808,0)),"")</f>
        <v/>
      </c>
      <c r="L143" s="23" t="str">
        <f aca="false">IF(OR($I143="",$K143=""),"",$I143*$K143)</f>
        <v/>
      </c>
      <c r="M143" s="24" t="str">
        <f aca="false">IFERROR(VLOOKUP($C143,MAP_SEC,2,0),"L_SECTION")</f>
        <v>L_SECTION</v>
      </c>
      <c r="N143" s="24" t="str">
        <f aca="false">IFERROR(VLOOKUP($C143&amp;"|"&amp;$D143,MAP_SUB,2,0),"L_SECTION")</f>
        <v>L_SECTION</v>
      </c>
      <c r="O143" s="24" t="str">
        <f aca="false">IFERROR(VLOOKUP($C143&amp;"|"&amp;$D143&amp;"|"&amp;$E143,MAP_SE,2,0),"L_SECTION")</f>
        <v>L_SECTION</v>
      </c>
    </row>
    <row r="144" customFormat="false" ht="15" hidden="false" customHeight="false" outlineLevel="0" collapsed="false">
      <c r="A144" s="5" t="str">
        <f aca="false">IF($C144="","",ROW()-4)</f>
        <v/>
      </c>
      <c r="B144" s="20"/>
      <c r="C144" s="20"/>
      <c r="D144" s="20"/>
      <c r="E144" s="20"/>
      <c r="F144" s="20"/>
      <c r="G144" s="21" t="str">
        <f aca="false">IFERROR(INDEX('Description Library'!$C$6:$C$808,MATCH($C144&amp;"|"&amp;$D144&amp;"|"&amp;$E144&amp;"|"&amp;$F144,'Description Library'!$K$6:$K$808,0)),"")</f>
        <v/>
      </c>
      <c r="H144" s="5" t="str">
        <f aca="false">IFERROR(INDEX('Description Library'!$H$6:$H$808,MATCH($C144&amp;"|"&amp;$D144&amp;"|"&amp;$E144&amp;"|"&amp;$F144,'Description Library'!$K$6:$K$808,0)),"")</f>
        <v/>
      </c>
      <c r="I144" s="22"/>
      <c r="J144" s="5" t="str">
        <f aca="false">IFERROR(INDEX('Description Library'!$I$6:$I$808,MATCH($C144&amp;"|"&amp;$D144&amp;"|"&amp;$E144&amp;"|"&amp;$F144,'Description Library'!$K$6:$K$808,0)),"")</f>
        <v/>
      </c>
      <c r="K144" s="18" t="str">
        <f aca="false">IFERROR(INDEX('Description Library'!$J$6:$J$808,MATCH($C144&amp;"|"&amp;$D144&amp;"|"&amp;$E144&amp;"|"&amp;$F144,'Description Library'!$K$6:$K$808,0)),"")</f>
        <v/>
      </c>
      <c r="L144" s="23" t="str">
        <f aca="false">IF(OR($I144="",$K144=""),"",$I144*$K144)</f>
        <v/>
      </c>
      <c r="M144" s="24" t="str">
        <f aca="false">IFERROR(VLOOKUP($C144,MAP_SEC,2,0),"L_SECTION")</f>
        <v>L_SECTION</v>
      </c>
      <c r="N144" s="24" t="str">
        <f aca="false">IFERROR(VLOOKUP($C144&amp;"|"&amp;$D144,MAP_SUB,2,0),"L_SECTION")</f>
        <v>L_SECTION</v>
      </c>
      <c r="O144" s="24" t="str">
        <f aca="false">IFERROR(VLOOKUP($C144&amp;"|"&amp;$D144&amp;"|"&amp;$E144,MAP_SE,2,0),"L_SECTION")</f>
        <v>L_SECTION</v>
      </c>
    </row>
    <row r="145" customFormat="false" ht="15" hidden="false" customHeight="false" outlineLevel="0" collapsed="false">
      <c r="A145" s="5" t="str">
        <f aca="false">IF($C145="","",ROW()-4)</f>
        <v/>
      </c>
      <c r="B145" s="20"/>
      <c r="C145" s="20"/>
      <c r="D145" s="20"/>
      <c r="E145" s="20"/>
      <c r="F145" s="20"/>
      <c r="G145" s="21" t="str">
        <f aca="false">IFERROR(INDEX('Description Library'!$C$6:$C$808,MATCH($C145&amp;"|"&amp;$D145&amp;"|"&amp;$E145&amp;"|"&amp;$F145,'Description Library'!$K$6:$K$808,0)),"")</f>
        <v/>
      </c>
      <c r="H145" s="5" t="str">
        <f aca="false">IFERROR(INDEX('Description Library'!$H$6:$H$808,MATCH($C145&amp;"|"&amp;$D145&amp;"|"&amp;$E145&amp;"|"&amp;$F145,'Description Library'!$K$6:$K$808,0)),"")</f>
        <v/>
      </c>
      <c r="I145" s="22"/>
      <c r="J145" s="5" t="str">
        <f aca="false">IFERROR(INDEX('Description Library'!$I$6:$I$808,MATCH($C145&amp;"|"&amp;$D145&amp;"|"&amp;$E145&amp;"|"&amp;$F145,'Description Library'!$K$6:$K$808,0)),"")</f>
        <v/>
      </c>
      <c r="K145" s="18" t="str">
        <f aca="false">IFERROR(INDEX('Description Library'!$J$6:$J$808,MATCH($C145&amp;"|"&amp;$D145&amp;"|"&amp;$E145&amp;"|"&amp;$F145,'Description Library'!$K$6:$K$808,0)),"")</f>
        <v/>
      </c>
      <c r="L145" s="23" t="str">
        <f aca="false">IF(OR($I145="",$K145=""),"",$I145*$K145)</f>
        <v/>
      </c>
      <c r="M145" s="24" t="str">
        <f aca="false">IFERROR(VLOOKUP($C145,MAP_SEC,2,0),"L_SECTION")</f>
        <v>L_SECTION</v>
      </c>
      <c r="N145" s="24" t="str">
        <f aca="false">IFERROR(VLOOKUP($C145&amp;"|"&amp;$D145,MAP_SUB,2,0),"L_SECTION")</f>
        <v>L_SECTION</v>
      </c>
      <c r="O145" s="24" t="str">
        <f aca="false">IFERROR(VLOOKUP($C145&amp;"|"&amp;$D145&amp;"|"&amp;$E145,MAP_SE,2,0),"L_SECTION")</f>
        <v>L_SECTION</v>
      </c>
    </row>
    <row r="146" customFormat="false" ht="15" hidden="false" customHeight="false" outlineLevel="0" collapsed="false">
      <c r="A146" s="5" t="str">
        <f aca="false">IF($C146="","",ROW()-4)</f>
        <v/>
      </c>
      <c r="B146" s="20"/>
      <c r="C146" s="20"/>
      <c r="D146" s="20"/>
      <c r="E146" s="20"/>
      <c r="F146" s="20"/>
      <c r="G146" s="21" t="str">
        <f aca="false">IFERROR(INDEX('Description Library'!$C$6:$C$808,MATCH($C146&amp;"|"&amp;$D146&amp;"|"&amp;$E146&amp;"|"&amp;$F146,'Description Library'!$K$6:$K$808,0)),"")</f>
        <v/>
      </c>
      <c r="H146" s="5" t="str">
        <f aca="false">IFERROR(INDEX('Description Library'!$H$6:$H$808,MATCH($C146&amp;"|"&amp;$D146&amp;"|"&amp;$E146&amp;"|"&amp;$F146,'Description Library'!$K$6:$K$808,0)),"")</f>
        <v/>
      </c>
      <c r="I146" s="22"/>
      <c r="J146" s="5" t="str">
        <f aca="false">IFERROR(INDEX('Description Library'!$I$6:$I$808,MATCH($C146&amp;"|"&amp;$D146&amp;"|"&amp;$E146&amp;"|"&amp;$F146,'Description Library'!$K$6:$K$808,0)),"")</f>
        <v/>
      </c>
      <c r="K146" s="18" t="str">
        <f aca="false">IFERROR(INDEX('Description Library'!$J$6:$J$808,MATCH($C146&amp;"|"&amp;$D146&amp;"|"&amp;$E146&amp;"|"&amp;$F146,'Description Library'!$K$6:$K$808,0)),"")</f>
        <v/>
      </c>
      <c r="L146" s="23" t="str">
        <f aca="false">IF(OR($I146="",$K146=""),"",$I146*$K146)</f>
        <v/>
      </c>
      <c r="M146" s="24" t="str">
        <f aca="false">IFERROR(VLOOKUP($C146,MAP_SEC,2,0),"L_SECTION")</f>
        <v>L_SECTION</v>
      </c>
      <c r="N146" s="24" t="str">
        <f aca="false">IFERROR(VLOOKUP($C146&amp;"|"&amp;$D146,MAP_SUB,2,0),"L_SECTION")</f>
        <v>L_SECTION</v>
      </c>
      <c r="O146" s="24" t="str">
        <f aca="false">IFERROR(VLOOKUP($C146&amp;"|"&amp;$D146&amp;"|"&amp;$E146,MAP_SE,2,0),"L_SECTION")</f>
        <v>L_SECTION</v>
      </c>
    </row>
    <row r="147" customFormat="false" ht="15" hidden="false" customHeight="false" outlineLevel="0" collapsed="false">
      <c r="A147" s="5" t="str">
        <f aca="false">IF($C147="","",ROW()-4)</f>
        <v/>
      </c>
      <c r="B147" s="20"/>
      <c r="C147" s="20"/>
      <c r="D147" s="20"/>
      <c r="E147" s="20"/>
      <c r="F147" s="20"/>
      <c r="G147" s="21" t="str">
        <f aca="false">IFERROR(INDEX('Description Library'!$C$6:$C$808,MATCH($C147&amp;"|"&amp;$D147&amp;"|"&amp;$E147&amp;"|"&amp;$F147,'Description Library'!$K$6:$K$808,0)),"")</f>
        <v/>
      </c>
      <c r="H147" s="5" t="str">
        <f aca="false">IFERROR(INDEX('Description Library'!$H$6:$H$808,MATCH($C147&amp;"|"&amp;$D147&amp;"|"&amp;$E147&amp;"|"&amp;$F147,'Description Library'!$K$6:$K$808,0)),"")</f>
        <v/>
      </c>
      <c r="I147" s="22"/>
      <c r="J147" s="5" t="str">
        <f aca="false">IFERROR(INDEX('Description Library'!$I$6:$I$808,MATCH($C147&amp;"|"&amp;$D147&amp;"|"&amp;$E147&amp;"|"&amp;$F147,'Description Library'!$K$6:$K$808,0)),"")</f>
        <v/>
      </c>
      <c r="K147" s="18" t="str">
        <f aca="false">IFERROR(INDEX('Description Library'!$J$6:$J$808,MATCH($C147&amp;"|"&amp;$D147&amp;"|"&amp;$E147&amp;"|"&amp;$F147,'Description Library'!$K$6:$K$808,0)),"")</f>
        <v/>
      </c>
      <c r="L147" s="23" t="str">
        <f aca="false">IF(OR($I147="",$K147=""),"",$I147*$K147)</f>
        <v/>
      </c>
      <c r="M147" s="24" t="str">
        <f aca="false">IFERROR(VLOOKUP($C147,MAP_SEC,2,0),"L_SECTION")</f>
        <v>L_SECTION</v>
      </c>
      <c r="N147" s="24" t="str">
        <f aca="false">IFERROR(VLOOKUP($C147&amp;"|"&amp;$D147,MAP_SUB,2,0),"L_SECTION")</f>
        <v>L_SECTION</v>
      </c>
      <c r="O147" s="24" t="str">
        <f aca="false">IFERROR(VLOOKUP($C147&amp;"|"&amp;$D147&amp;"|"&amp;$E147,MAP_SE,2,0),"L_SECTION")</f>
        <v>L_SECTION</v>
      </c>
    </row>
    <row r="148" customFormat="false" ht="15" hidden="false" customHeight="false" outlineLevel="0" collapsed="false">
      <c r="A148" s="5" t="str">
        <f aca="false">IF($C148="","",ROW()-4)</f>
        <v/>
      </c>
      <c r="B148" s="20"/>
      <c r="C148" s="20"/>
      <c r="D148" s="20"/>
      <c r="E148" s="20"/>
      <c r="F148" s="20"/>
      <c r="G148" s="21" t="str">
        <f aca="false">IFERROR(INDEX('Description Library'!$C$6:$C$808,MATCH($C148&amp;"|"&amp;$D148&amp;"|"&amp;$E148&amp;"|"&amp;$F148,'Description Library'!$K$6:$K$808,0)),"")</f>
        <v/>
      </c>
      <c r="H148" s="5" t="str">
        <f aca="false">IFERROR(INDEX('Description Library'!$H$6:$H$808,MATCH($C148&amp;"|"&amp;$D148&amp;"|"&amp;$E148&amp;"|"&amp;$F148,'Description Library'!$K$6:$K$808,0)),"")</f>
        <v/>
      </c>
      <c r="I148" s="22"/>
      <c r="J148" s="5" t="str">
        <f aca="false">IFERROR(INDEX('Description Library'!$I$6:$I$808,MATCH($C148&amp;"|"&amp;$D148&amp;"|"&amp;$E148&amp;"|"&amp;$F148,'Description Library'!$K$6:$K$808,0)),"")</f>
        <v/>
      </c>
      <c r="K148" s="18" t="str">
        <f aca="false">IFERROR(INDEX('Description Library'!$J$6:$J$808,MATCH($C148&amp;"|"&amp;$D148&amp;"|"&amp;$E148&amp;"|"&amp;$F148,'Description Library'!$K$6:$K$808,0)),"")</f>
        <v/>
      </c>
      <c r="L148" s="23" t="str">
        <f aca="false">IF(OR($I148="",$K148=""),"",$I148*$K148)</f>
        <v/>
      </c>
      <c r="M148" s="24" t="str">
        <f aca="false">IFERROR(VLOOKUP($C148,MAP_SEC,2,0),"L_SECTION")</f>
        <v>L_SECTION</v>
      </c>
      <c r="N148" s="24" t="str">
        <f aca="false">IFERROR(VLOOKUP($C148&amp;"|"&amp;$D148,MAP_SUB,2,0),"L_SECTION")</f>
        <v>L_SECTION</v>
      </c>
      <c r="O148" s="24" t="str">
        <f aca="false">IFERROR(VLOOKUP($C148&amp;"|"&amp;$D148&amp;"|"&amp;$E148,MAP_SE,2,0),"L_SECTION")</f>
        <v>L_SECTION</v>
      </c>
    </row>
    <row r="149" customFormat="false" ht="15" hidden="false" customHeight="false" outlineLevel="0" collapsed="false">
      <c r="A149" s="5" t="str">
        <f aca="false">IF($C149="","",ROW()-4)</f>
        <v/>
      </c>
      <c r="B149" s="20"/>
      <c r="C149" s="20"/>
      <c r="D149" s="20"/>
      <c r="E149" s="20"/>
      <c r="F149" s="20"/>
      <c r="G149" s="21" t="str">
        <f aca="false">IFERROR(INDEX('Description Library'!$C$6:$C$808,MATCH($C149&amp;"|"&amp;$D149&amp;"|"&amp;$E149&amp;"|"&amp;$F149,'Description Library'!$K$6:$K$808,0)),"")</f>
        <v/>
      </c>
      <c r="H149" s="5" t="str">
        <f aca="false">IFERROR(INDEX('Description Library'!$H$6:$H$808,MATCH($C149&amp;"|"&amp;$D149&amp;"|"&amp;$E149&amp;"|"&amp;$F149,'Description Library'!$K$6:$K$808,0)),"")</f>
        <v/>
      </c>
      <c r="I149" s="22"/>
      <c r="J149" s="5" t="str">
        <f aca="false">IFERROR(INDEX('Description Library'!$I$6:$I$808,MATCH($C149&amp;"|"&amp;$D149&amp;"|"&amp;$E149&amp;"|"&amp;$F149,'Description Library'!$K$6:$K$808,0)),"")</f>
        <v/>
      </c>
      <c r="K149" s="18" t="str">
        <f aca="false">IFERROR(INDEX('Description Library'!$J$6:$J$808,MATCH($C149&amp;"|"&amp;$D149&amp;"|"&amp;$E149&amp;"|"&amp;$F149,'Description Library'!$K$6:$K$808,0)),"")</f>
        <v/>
      </c>
      <c r="L149" s="23" t="str">
        <f aca="false">IF(OR($I149="",$K149=""),"",$I149*$K149)</f>
        <v/>
      </c>
      <c r="M149" s="24" t="str">
        <f aca="false">IFERROR(VLOOKUP($C149,MAP_SEC,2,0),"L_SECTION")</f>
        <v>L_SECTION</v>
      </c>
      <c r="N149" s="24" t="str">
        <f aca="false">IFERROR(VLOOKUP($C149&amp;"|"&amp;$D149,MAP_SUB,2,0),"L_SECTION")</f>
        <v>L_SECTION</v>
      </c>
      <c r="O149" s="24" t="str">
        <f aca="false">IFERROR(VLOOKUP($C149&amp;"|"&amp;$D149&amp;"|"&amp;$E149,MAP_SE,2,0),"L_SECTION")</f>
        <v>L_SECTION</v>
      </c>
    </row>
    <row r="150" customFormat="false" ht="15" hidden="false" customHeight="false" outlineLevel="0" collapsed="false">
      <c r="A150" s="5" t="str">
        <f aca="false">IF($C150="","",ROW()-4)</f>
        <v/>
      </c>
      <c r="B150" s="20"/>
      <c r="C150" s="20"/>
      <c r="D150" s="20"/>
      <c r="E150" s="20"/>
      <c r="F150" s="20"/>
      <c r="G150" s="21" t="str">
        <f aca="false">IFERROR(INDEX('Description Library'!$C$6:$C$808,MATCH($C150&amp;"|"&amp;$D150&amp;"|"&amp;$E150&amp;"|"&amp;$F150,'Description Library'!$K$6:$K$808,0)),"")</f>
        <v/>
      </c>
      <c r="H150" s="5" t="str">
        <f aca="false">IFERROR(INDEX('Description Library'!$H$6:$H$808,MATCH($C150&amp;"|"&amp;$D150&amp;"|"&amp;$E150&amp;"|"&amp;$F150,'Description Library'!$K$6:$K$808,0)),"")</f>
        <v/>
      </c>
      <c r="I150" s="22"/>
      <c r="J150" s="5" t="str">
        <f aca="false">IFERROR(INDEX('Description Library'!$I$6:$I$808,MATCH($C150&amp;"|"&amp;$D150&amp;"|"&amp;$E150&amp;"|"&amp;$F150,'Description Library'!$K$6:$K$808,0)),"")</f>
        <v/>
      </c>
      <c r="K150" s="18" t="str">
        <f aca="false">IFERROR(INDEX('Description Library'!$J$6:$J$808,MATCH($C150&amp;"|"&amp;$D150&amp;"|"&amp;$E150&amp;"|"&amp;$F150,'Description Library'!$K$6:$K$808,0)),"")</f>
        <v/>
      </c>
      <c r="L150" s="23" t="str">
        <f aca="false">IF(OR($I150="",$K150=""),"",$I150*$K150)</f>
        <v/>
      </c>
      <c r="M150" s="24" t="str">
        <f aca="false">IFERROR(VLOOKUP($C150,MAP_SEC,2,0),"L_SECTION")</f>
        <v>L_SECTION</v>
      </c>
      <c r="N150" s="24" t="str">
        <f aca="false">IFERROR(VLOOKUP($C150&amp;"|"&amp;$D150,MAP_SUB,2,0),"L_SECTION")</f>
        <v>L_SECTION</v>
      </c>
      <c r="O150" s="24" t="str">
        <f aca="false">IFERROR(VLOOKUP($C150&amp;"|"&amp;$D150&amp;"|"&amp;$E150,MAP_SE,2,0),"L_SECTION")</f>
        <v>L_SECTION</v>
      </c>
    </row>
    <row r="151" customFormat="false" ht="15" hidden="false" customHeight="false" outlineLevel="0" collapsed="false">
      <c r="A151" s="5" t="str">
        <f aca="false">IF($C151="","",ROW()-4)</f>
        <v/>
      </c>
      <c r="B151" s="20"/>
      <c r="C151" s="20"/>
      <c r="D151" s="20"/>
      <c r="E151" s="20"/>
      <c r="F151" s="20"/>
      <c r="G151" s="21" t="str">
        <f aca="false">IFERROR(INDEX('Description Library'!$C$6:$C$808,MATCH($C151&amp;"|"&amp;$D151&amp;"|"&amp;$E151&amp;"|"&amp;$F151,'Description Library'!$K$6:$K$808,0)),"")</f>
        <v/>
      </c>
      <c r="H151" s="5" t="str">
        <f aca="false">IFERROR(INDEX('Description Library'!$H$6:$H$808,MATCH($C151&amp;"|"&amp;$D151&amp;"|"&amp;$E151&amp;"|"&amp;$F151,'Description Library'!$K$6:$K$808,0)),"")</f>
        <v/>
      </c>
      <c r="I151" s="22"/>
      <c r="J151" s="5" t="str">
        <f aca="false">IFERROR(INDEX('Description Library'!$I$6:$I$808,MATCH($C151&amp;"|"&amp;$D151&amp;"|"&amp;$E151&amp;"|"&amp;$F151,'Description Library'!$K$6:$K$808,0)),"")</f>
        <v/>
      </c>
      <c r="K151" s="18" t="str">
        <f aca="false">IFERROR(INDEX('Description Library'!$J$6:$J$808,MATCH($C151&amp;"|"&amp;$D151&amp;"|"&amp;$E151&amp;"|"&amp;$F151,'Description Library'!$K$6:$K$808,0)),"")</f>
        <v/>
      </c>
      <c r="L151" s="23" t="str">
        <f aca="false">IF(OR($I151="",$K151=""),"",$I151*$K151)</f>
        <v/>
      </c>
      <c r="M151" s="24" t="str">
        <f aca="false">IFERROR(VLOOKUP($C151,MAP_SEC,2,0),"L_SECTION")</f>
        <v>L_SECTION</v>
      </c>
      <c r="N151" s="24" t="str">
        <f aca="false">IFERROR(VLOOKUP($C151&amp;"|"&amp;$D151,MAP_SUB,2,0),"L_SECTION")</f>
        <v>L_SECTION</v>
      </c>
      <c r="O151" s="24" t="str">
        <f aca="false">IFERROR(VLOOKUP($C151&amp;"|"&amp;$D151&amp;"|"&amp;$E151,MAP_SE,2,0),"L_SECTION")</f>
        <v>L_SECTION</v>
      </c>
    </row>
    <row r="152" customFormat="false" ht="15" hidden="false" customHeight="false" outlineLevel="0" collapsed="false">
      <c r="A152" s="5" t="str">
        <f aca="false">IF($C152="","",ROW()-4)</f>
        <v/>
      </c>
      <c r="B152" s="20"/>
      <c r="C152" s="20"/>
      <c r="D152" s="20"/>
      <c r="E152" s="20"/>
      <c r="F152" s="20"/>
      <c r="G152" s="21" t="str">
        <f aca="false">IFERROR(INDEX('Description Library'!$C$6:$C$808,MATCH($C152&amp;"|"&amp;$D152&amp;"|"&amp;$E152&amp;"|"&amp;$F152,'Description Library'!$K$6:$K$808,0)),"")</f>
        <v/>
      </c>
      <c r="H152" s="5" t="str">
        <f aca="false">IFERROR(INDEX('Description Library'!$H$6:$H$808,MATCH($C152&amp;"|"&amp;$D152&amp;"|"&amp;$E152&amp;"|"&amp;$F152,'Description Library'!$K$6:$K$808,0)),"")</f>
        <v/>
      </c>
      <c r="I152" s="22"/>
      <c r="J152" s="5" t="str">
        <f aca="false">IFERROR(INDEX('Description Library'!$I$6:$I$808,MATCH($C152&amp;"|"&amp;$D152&amp;"|"&amp;$E152&amp;"|"&amp;$F152,'Description Library'!$K$6:$K$808,0)),"")</f>
        <v/>
      </c>
      <c r="K152" s="18" t="str">
        <f aca="false">IFERROR(INDEX('Description Library'!$J$6:$J$808,MATCH($C152&amp;"|"&amp;$D152&amp;"|"&amp;$E152&amp;"|"&amp;$F152,'Description Library'!$K$6:$K$808,0)),"")</f>
        <v/>
      </c>
      <c r="L152" s="23" t="str">
        <f aca="false">IF(OR($I152="",$K152=""),"",$I152*$K152)</f>
        <v/>
      </c>
      <c r="M152" s="24" t="str">
        <f aca="false">IFERROR(VLOOKUP($C152,MAP_SEC,2,0),"L_SECTION")</f>
        <v>L_SECTION</v>
      </c>
      <c r="N152" s="24" t="str">
        <f aca="false">IFERROR(VLOOKUP($C152&amp;"|"&amp;$D152,MAP_SUB,2,0),"L_SECTION")</f>
        <v>L_SECTION</v>
      </c>
      <c r="O152" s="24" t="str">
        <f aca="false">IFERROR(VLOOKUP($C152&amp;"|"&amp;$D152&amp;"|"&amp;$E152,MAP_SE,2,0),"L_SECTION")</f>
        <v>L_SECTION</v>
      </c>
    </row>
    <row r="153" customFormat="false" ht="15" hidden="false" customHeight="false" outlineLevel="0" collapsed="false">
      <c r="A153" s="5" t="str">
        <f aca="false">IF($C153="","",ROW()-4)</f>
        <v/>
      </c>
      <c r="B153" s="20"/>
      <c r="C153" s="20"/>
      <c r="D153" s="20"/>
      <c r="E153" s="20"/>
      <c r="F153" s="20"/>
      <c r="G153" s="21" t="str">
        <f aca="false">IFERROR(INDEX('Description Library'!$C$6:$C$808,MATCH($C153&amp;"|"&amp;$D153&amp;"|"&amp;$E153&amp;"|"&amp;$F153,'Description Library'!$K$6:$K$808,0)),"")</f>
        <v/>
      </c>
      <c r="H153" s="5" t="str">
        <f aca="false">IFERROR(INDEX('Description Library'!$H$6:$H$808,MATCH($C153&amp;"|"&amp;$D153&amp;"|"&amp;$E153&amp;"|"&amp;$F153,'Description Library'!$K$6:$K$808,0)),"")</f>
        <v/>
      </c>
      <c r="I153" s="22"/>
      <c r="J153" s="5" t="str">
        <f aca="false">IFERROR(INDEX('Description Library'!$I$6:$I$808,MATCH($C153&amp;"|"&amp;$D153&amp;"|"&amp;$E153&amp;"|"&amp;$F153,'Description Library'!$K$6:$K$808,0)),"")</f>
        <v/>
      </c>
      <c r="K153" s="18" t="str">
        <f aca="false">IFERROR(INDEX('Description Library'!$J$6:$J$808,MATCH($C153&amp;"|"&amp;$D153&amp;"|"&amp;$E153&amp;"|"&amp;$F153,'Description Library'!$K$6:$K$808,0)),"")</f>
        <v/>
      </c>
      <c r="L153" s="23" t="str">
        <f aca="false">IF(OR($I153="",$K153=""),"",$I153*$K153)</f>
        <v/>
      </c>
      <c r="M153" s="24" t="str">
        <f aca="false">IFERROR(VLOOKUP($C153,MAP_SEC,2,0),"L_SECTION")</f>
        <v>L_SECTION</v>
      </c>
      <c r="N153" s="24" t="str">
        <f aca="false">IFERROR(VLOOKUP($C153&amp;"|"&amp;$D153,MAP_SUB,2,0),"L_SECTION")</f>
        <v>L_SECTION</v>
      </c>
      <c r="O153" s="24" t="str">
        <f aca="false">IFERROR(VLOOKUP($C153&amp;"|"&amp;$D153&amp;"|"&amp;$E153,MAP_SE,2,0),"L_SECTION")</f>
        <v>L_SECTION</v>
      </c>
    </row>
    <row r="154" customFormat="false" ht="15" hidden="false" customHeight="false" outlineLevel="0" collapsed="false">
      <c r="A154" s="5" t="str">
        <f aca="false">IF($C154="","",ROW()-4)</f>
        <v/>
      </c>
      <c r="B154" s="20"/>
      <c r="C154" s="20"/>
      <c r="D154" s="20"/>
      <c r="E154" s="20"/>
      <c r="F154" s="20"/>
      <c r="G154" s="21" t="str">
        <f aca="false">IFERROR(INDEX('Description Library'!$C$6:$C$808,MATCH($C154&amp;"|"&amp;$D154&amp;"|"&amp;$E154&amp;"|"&amp;$F154,'Description Library'!$K$6:$K$808,0)),"")</f>
        <v/>
      </c>
      <c r="H154" s="5" t="str">
        <f aca="false">IFERROR(INDEX('Description Library'!$H$6:$H$808,MATCH($C154&amp;"|"&amp;$D154&amp;"|"&amp;$E154&amp;"|"&amp;$F154,'Description Library'!$K$6:$K$808,0)),"")</f>
        <v/>
      </c>
      <c r="I154" s="22"/>
      <c r="J154" s="5" t="str">
        <f aca="false">IFERROR(INDEX('Description Library'!$I$6:$I$808,MATCH($C154&amp;"|"&amp;$D154&amp;"|"&amp;$E154&amp;"|"&amp;$F154,'Description Library'!$K$6:$K$808,0)),"")</f>
        <v/>
      </c>
      <c r="K154" s="18" t="str">
        <f aca="false">IFERROR(INDEX('Description Library'!$J$6:$J$808,MATCH($C154&amp;"|"&amp;$D154&amp;"|"&amp;$E154&amp;"|"&amp;$F154,'Description Library'!$K$6:$K$808,0)),"")</f>
        <v/>
      </c>
      <c r="L154" s="23" t="str">
        <f aca="false">IF(OR($I154="",$K154=""),"",$I154*$K154)</f>
        <v/>
      </c>
      <c r="M154" s="24" t="str">
        <f aca="false">IFERROR(VLOOKUP($C154,MAP_SEC,2,0),"L_SECTION")</f>
        <v>L_SECTION</v>
      </c>
      <c r="N154" s="24" t="str">
        <f aca="false">IFERROR(VLOOKUP($C154&amp;"|"&amp;$D154,MAP_SUB,2,0),"L_SECTION")</f>
        <v>L_SECTION</v>
      </c>
      <c r="O154" s="24" t="str">
        <f aca="false">IFERROR(VLOOKUP($C154&amp;"|"&amp;$D154&amp;"|"&amp;$E154,MAP_SE,2,0),"L_SECTION")</f>
        <v>L_SECTION</v>
      </c>
    </row>
    <row r="155" customFormat="false" ht="15" hidden="false" customHeight="false" outlineLevel="0" collapsed="false">
      <c r="A155" s="5" t="str">
        <f aca="false">IF($C155="","",ROW()-4)</f>
        <v/>
      </c>
      <c r="B155" s="20"/>
      <c r="C155" s="20"/>
      <c r="D155" s="20"/>
      <c r="E155" s="20"/>
      <c r="F155" s="20"/>
      <c r="G155" s="21" t="str">
        <f aca="false">IFERROR(INDEX('Description Library'!$C$6:$C$808,MATCH($C155&amp;"|"&amp;$D155&amp;"|"&amp;$E155&amp;"|"&amp;$F155,'Description Library'!$K$6:$K$808,0)),"")</f>
        <v/>
      </c>
      <c r="H155" s="5" t="str">
        <f aca="false">IFERROR(INDEX('Description Library'!$H$6:$H$808,MATCH($C155&amp;"|"&amp;$D155&amp;"|"&amp;$E155&amp;"|"&amp;$F155,'Description Library'!$K$6:$K$808,0)),"")</f>
        <v/>
      </c>
      <c r="I155" s="22"/>
      <c r="J155" s="5" t="str">
        <f aca="false">IFERROR(INDEX('Description Library'!$I$6:$I$808,MATCH($C155&amp;"|"&amp;$D155&amp;"|"&amp;$E155&amp;"|"&amp;$F155,'Description Library'!$K$6:$K$808,0)),"")</f>
        <v/>
      </c>
      <c r="K155" s="18" t="str">
        <f aca="false">IFERROR(INDEX('Description Library'!$J$6:$J$808,MATCH($C155&amp;"|"&amp;$D155&amp;"|"&amp;$E155&amp;"|"&amp;$F155,'Description Library'!$K$6:$K$808,0)),"")</f>
        <v/>
      </c>
      <c r="L155" s="23" t="str">
        <f aca="false">IF(OR($I155="",$K155=""),"",$I155*$K155)</f>
        <v/>
      </c>
      <c r="M155" s="24" t="str">
        <f aca="false">IFERROR(VLOOKUP($C155,MAP_SEC,2,0),"L_SECTION")</f>
        <v>L_SECTION</v>
      </c>
      <c r="N155" s="24" t="str">
        <f aca="false">IFERROR(VLOOKUP($C155&amp;"|"&amp;$D155,MAP_SUB,2,0),"L_SECTION")</f>
        <v>L_SECTION</v>
      </c>
      <c r="O155" s="24" t="str">
        <f aca="false">IFERROR(VLOOKUP($C155&amp;"|"&amp;$D155&amp;"|"&amp;$E155,MAP_SE,2,0),"L_SECTION")</f>
        <v>L_SECTION</v>
      </c>
    </row>
    <row r="156" customFormat="false" ht="15" hidden="false" customHeight="false" outlineLevel="0" collapsed="false">
      <c r="A156" s="5" t="str">
        <f aca="false">IF($C156="","",ROW()-4)</f>
        <v/>
      </c>
      <c r="B156" s="20"/>
      <c r="C156" s="20"/>
      <c r="D156" s="20"/>
      <c r="E156" s="20"/>
      <c r="F156" s="20"/>
      <c r="G156" s="21" t="str">
        <f aca="false">IFERROR(INDEX('Description Library'!$C$6:$C$808,MATCH($C156&amp;"|"&amp;$D156&amp;"|"&amp;$E156&amp;"|"&amp;$F156,'Description Library'!$K$6:$K$808,0)),"")</f>
        <v/>
      </c>
      <c r="H156" s="5" t="str">
        <f aca="false">IFERROR(INDEX('Description Library'!$H$6:$H$808,MATCH($C156&amp;"|"&amp;$D156&amp;"|"&amp;$E156&amp;"|"&amp;$F156,'Description Library'!$K$6:$K$808,0)),"")</f>
        <v/>
      </c>
      <c r="I156" s="22"/>
      <c r="J156" s="5" t="str">
        <f aca="false">IFERROR(INDEX('Description Library'!$I$6:$I$808,MATCH($C156&amp;"|"&amp;$D156&amp;"|"&amp;$E156&amp;"|"&amp;$F156,'Description Library'!$K$6:$K$808,0)),"")</f>
        <v/>
      </c>
      <c r="K156" s="18" t="str">
        <f aca="false">IFERROR(INDEX('Description Library'!$J$6:$J$808,MATCH($C156&amp;"|"&amp;$D156&amp;"|"&amp;$E156&amp;"|"&amp;$F156,'Description Library'!$K$6:$K$808,0)),"")</f>
        <v/>
      </c>
      <c r="L156" s="23" t="str">
        <f aca="false">IF(OR($I156="",$K156=""),"",$I156*$K156)</f>
        <v/>
      </c>
      <c r="M156" s="24" t="str">
        <f aca="false">IFERROR(VLOOKUP($C156,MAP_SEC,2,0),"L_SECTION")</f>
        <v>L_SECTION</v>
      </c>
      <c r="N156" s="24" t="str">
        <f aca="false">IFERROR(VLOOKUP($C156&amp;"|"&amp;$D156,MAP_SUB,2,0),"L_SECTION")</f>
        <v>L_SECTION</v>
      </c>
      <c r="O156" s="24" t="str">
        <f aca="false">IFERROR(VLOOKUP($C156&amp;"|"&amp;$D156&amp;"|"&amp;$E156,MAP_SE,2,0),"L_SECTION")</f>
        <v>L_SECTION</v>
      </c>
    </row>
    <row r="157" customFormat="false" ht="15" hidden="false" customHeight="false" outlineLevel="0" collapsed="false">
      <c r="A157" s="5" t="str">
        <f aca="false">IF($C157="","",ROW()-4)</f>
        <v/>
      </c>
      <c r="B157" s="20"/>
      <c r="C157" s="20"/>
      <c r="D157" s="20"/>
      <c r="E157" s="20"/>
      <c r="F157" s="20"/>
      <c r="G157" s="21" t="str">
        <f aca="false">IFERROR(INDEX('Description Library'!$C$6:$C$808,MATCH($C157&amp;"|"&amp;$D157&amp;"|"&amp;$E157&amp;"|"&amp;$F157,'Description Library'!$K$6:$K$808,0)),"")</f>
        <v/>
      </c>
      <c r="H157" s="5" t="str">
        <f aca="false">IFERROR(INDEX('Description Library'!$H$6:$H$808,MATCH($C157&amp;"|"&amp;$D157&amp;"|"&amp;$E157&amp;"|"&amp;$F157,'Description Library'!$K$6:$K$808,0)),"")</f>
        <v/>
      </c>
      <c r="I157" s="22"/>
      <c r="J157" s="5" t="str">
        <f aca="false">IFERROR(INDEX('Description Library'!$I$6:$I$808,MATCH($C157&amp;"|"&amp;$D157&amp;"|"&amp;$E157&amp;"|"&amp;$F157,'Description Library'!$K$6:$K$808,0)),"")</f>
        <v/>
      </c>
      <c r="K157" s="18" t="str">
        <f aca="false">IFERROR(INDEX('Description Library'!$J$6:$J$808,MATCH($C157&amp;"|"&amp;$D157&amp;"|"&amp;$E157&amp;"|"&amp;$F157,'Description Library'!$K$6:$K$808,0)),"")</f>
        <v/>
      </c>
      <c r="L157" s="23" t="str">
        <f aca="false">IF(OR($I157="",$K157=""),"",$I157*$K157)</f>
        <v/>
      </c>
      <c r="M157" s="24" t="str">
        <f aca="false">IFERROR(VLOOKUP($C157,MAP_SEC,2,0),"L_SECTION")</f>
        <v>L_SECTION</v>
      </c>
      <c r="N157" s="24" t="str">
        <f aca="false">IFERROR(VLOOKUP($C157&amp;"|"&amp;$D157,MAP_SUB,2,0),"L_SECTION")</f>
        <v>L_SECTION</v>
      </c>
      <c r="O157" s="24" t="str">
        <f aca="false">IFERROR(VLOOKUP($C157&amp;"|"&amp;$D157&amp;"|"&amp;$E157,MAP_SE,2,0),"L_SECTION")</f>
        <v>L_SECTION</v>
      </c>
    </row>
    <row r="158" customFormat="false" ht="15" hidden="false" customHeight="false" outlineLevel="0" collapsed="false">
      <c r="A158" s="5" t="str">
        <f aca="false">IF($C158="","",ROW()-4)</f>
        <v/>
      </c>
      <c r="B158" s="20"/>
      <c r="C158" s="20"/>
      <c r="D158" s="20"/>
      <c r="E158" s="20"/>
      <c r="F158" s="20"/>
      <c r="G158" s="21" t="str">
        <f aca="false">IFERROR(INDEX('Description Library'!$C$6:$C$808,MATCH($C158&amp;"|"&amp;$D158&amp;"|"&amp;$E158&amp;"|"&amp;$F158,'Description Library'!$K$6:$K$808,0)),"")</f>
        <v/>
      </c>
      <c r="H158" s="5" t="str">
        <f aca="false">IFERROR(INDEX('Description Library'!$H$6:$H$808,MATCH($C158&amp;"|"&amp;$D158&amp;"|"&amp;$E158&amp;"|"&amp;$F158,'Description Library'!$K$6:$K$808,0)),"")</f>
        <v/>
      </c>
      <c r="I158" s="22"/>
      <c r="J158" s="5" t="str">
        <f aca="false">IFERROR(INDEX('Description Library'!$I$6:$I$808,MATCH($C158&amp;"|"&amp;$D158&amp;"|"&amp;$E158&amp;"|"&amp;$F158,'Description Library'!$K$6:$K$808,0)),"")</f>
        <v/>
      </c>
      <c r="K158" s="18" t="str">
        <f aca="false">IFERROR(INDEX('Description Library'!$J$6:$J$808,MATCH($C158&amp;"|"&amp;$D158&amp;"|"&amp;$E158&amp;"|"&amp;$F158,'Description Library'!$K$6:$K$808,0)),"")</f>
        <v/>
      </c>
      <c r="L158" s="23" t="str">
        <f aca="false">IF(OR($I158="",$K158=""),"",$I158*$K158)</f>
        <v/>
      </c>
      <c r="M158" s="24" t="str">
        <f aca="false">IFERROR(VLOOKUP($C158,MAP_SEC,2,0),"L_SECTION")</f>
        <v>L_SECTION</v>
      </c>
      <c r="N158" s="24" t="str">
        <f aca="false">IFERROR(VLOOKUP($C158&amp;"|"&amp;$D158,MAP_SUB,2,0),"L_SECTION")</f>
        <v>L_SECTION</v>
      </c>
      <c r="O158" s="24" t="str">
        <f aca="false">IFERROR(VLOOKUP($C158&amp;"|"&amp;$D158&amp;"|"&amp;$E158,MAP_SE,2,0),"L_SECTION")</f>
        <v>L_SECTION</v>
      </c>
    </row>
    <row r="159" customFormat="false" ht="15" hidden="false" customHeight="false" outlineLevel="0" collapsed="false">
      <c r="A159" s="5" t="str">
        <f aca="false">IF($C159="","",ROW()-4)</f>
        <v/>
      </c>
      <c r="B159" s="20"/>
      <c r="C159" s="20"/>
      <c r="D159" s="20"/>
      <c r="E159" s="20"/>
      <c r="F159" s="20"/>
      <c r="G159" s="21" t="str">
        <f aca="false">IFERROR(INDEX('Description Library'!$C$6:$C$808,MATCH($C159&amp;"|"&amp;$D159&amp;"|"&amp;$E159&amp;"|"&amp;$F159,'Description Library'!$K$6:$K$808,0)),"")</f>
        <v/>
      </c>
      <c r="H159" s="5" t="str">
        <f aca="false">IFERROR(INDEX('Description Library'!$H$6:$H$808,MATCH($C159&amp;"|"&amp;$D159&amp;"|"&amp;$E159&amp;"|"&amp;$F159,'Description Library'!$K$6:$K$808,0)),"")</f>
        <v/>
      </c>
      <c r="I159" s="22"/>
      <c r="J159" s="5" t="str">
        <f aca="false">IFERROR(INDEX('Description Library'!$I$6:$I$808,MATCH($C159&amp;"|"&amp;$D159&amp;"|"&amp;$E159&amp;"|"&amp;$F159,'Description Library'!$K$6:$K$808,0)),"")</f>
        <v/>
      </c>
      <c r="K159" s="18" t="str">
        <f aca="false">IFERROR(INDEX('Description Library'!$J$6:$J$808,MATCH($C159&amp;"|"&amp;$D159&amp;"|"&amp;$E159&amp;"|"&amp;$F159,'Description Library'!$K$6:$K$808,0)),"")</f>
        <v/>
      </c>
      <c r="L159" s="23" t="str">
        <f aca="false">IF(OR($I159="",$K159=""),"",$I159*$K159)</f>
        <v/>
      </c>
      <c r="M159" s="24" t="str">
        <f aca="false">IFERROR(VLOOKUP($C159,MAP_SEC,2,0),"L_SECTION")</f>
        <v>L_SECTION</v>
      </c>
      <c r="N159" s="24" t="str">
        <f aca="false">IFERROR(VLOOKUP($C159&amp;"|"&amp;$D159,MAP_SUB,2,0),"L_SECTION")</f>
        <v>L_SECTION</v>
      </c>
      <c r="O159" s="24" t="str">
        <f aca="false">IFERROR(VLOOKUP($C159&amp;"|"&amp;$D159&amp;"|"&amp;$E159,MAP_SE,2,0),"L_SECTION")</f>
        <v>L_SECTION</v>
      </c>
    </row>
    <row r="160" customFormat="false" ht="15" hidden="false" customHeight="false" outlineLevel="0" collapsed="false">
      <c r="A160" s="5" t="str">
        <f aca="false">IF($C160="","",ROW()-4)</f>
        <v/>
      </c>
      <c r="B160" s="20"/>
      <c r="C160" s="20"/>
      <c r="D160" s="20"/>
      <c r="E160" s="20"/>
      <c r="F160" s="20"/>
      <c r="G160" s="21" t="str">
        <f aca="false">IFERROR(INDEX('Description Library'!$C$6:$C$808,MATCH($C160&amp;"|"&amp;$D160&amp;"|"&amp;$E160&amp;"|"&amp;$F160,'Description Library'!$K$6:$K$808,0)),"")</f>
        <v/>
      </c>
      <c r="H160" s="5" t="str">
        <f aca="false">IFERROR(INDEX('Description Library'!$H$6:$H$808,MATCH($C160&amp;"|"&amp;$D160&amp;"|"&amp;$E160&amp;"|"&amp;$F160,'Description Library'!$K$6:$K$808,0)),"")</f>
        <v/>
      </c>
      <c r="I160" s="22"/>
      <c r="J160" s="5" t="str">
        <f aca="false">IFERROR(INDEX('Description Library'!$I$6:$I$808,MATCH($C160&amp;"|"&amp;$D160&amp;"|"&amp;$E160&amp;"|"&amp;$F160,'Description Library'!$K$6:$K$808,0)),"")</f>
        <v/>
      </c>
      <c r="K160" s="18" t="str">
        <f aca="false">IFERROR(INDEX('Description Library'!$J$6:$J$808,MATCH($C160&amp;"|"&amp;$D160&amp;"|"&amp;$E160&amp;"|"&amp;$F160,'Description Library'!$K$6:$K$808,0)),"")</f>
        <v/>
      </c>
      <c r="L160" s="23" t="str">
        <f aca="false">IF(OR($I160="",$K160=""),"",$I160*$K160)</f>
        <v/>
      </c>
      <c r="M160" s="24" t="str">
        <f aca="false">IFERROR(VLOOKUP($C160,MAP_SEC,2,0),"L_SECTION")</f>
        <v>L_SECTION</v>
      </c>
      <c r="N160" s="24" t="str">
        <f aca="false">IFERROR(VLOOKUP($C160&amp;"|"&amp;$D160,MAP_SUB,2,0),"L_SECTION")</f>
        <v>L_SECTION</v>
      </c>
      <c r="O160" s="24" t="str">
        <f aca="false">IFERROR(VLOOKUP($C160&amp;"|"&amp;$D160&amp;"|"&amp;$E160,MAP_SE,2,0),"L_SECTION")</f>
        <v>L_SECTION</v>
      </c>
    </row>
    <row r="161" customFormat="false" ht="15" hidden="false" customHeight="false" outlineLevel="0" collapsed="false">
      <c r="A161" s="5" t="str">
        <f aca="false">IF($C161="","",ROW()-4)</f>
        <v/>
      </c>
      <c r="B161" s="20"/>
      <c r="C161" s="20"/>
      <c r="D161" s="20"/>
      <c r="E161" s="20"/>
      <c r="F161" s="20"/>
      <c r="G161" s="21" t="str">
        <f aca="false">IFERROR(INDEX('Description Library'!$C$6:$C$808,MATCH($C161&amp;"|"&amp;$D161&amp;"|"&amp;$E161&amp;"|"&amp;$F161,'Description Library'!$K$6:$K$808,0)),"")</f>
        <v/>
      </c>
      <c r="H161" s="5" t="str">
        <f aca="false">IFERROR(INDEX('Description Library'!$H$6:$H$808,MATCH($C161&amp;"|"&amp;$D161&amp;"|"&amp;$E161&amp;"|"&amp;$F161,'Description Library'!$K$6:$K$808,0)),"")</f>
        <v/>
      </c>
      <c r="I161" s="22"/>
      <c r="J161" s="5" t="str">
        <f aca="false">IFERROR(INDEX('Description Library'!$I$6:$I$808,MATCH($C161&amp;"|"&amp;$D161&amp;"|"&amp;$E161&amp;"|"&amp;$F161,'Description Library'!$K$6:$K$808,0)),"")</f>
        <v/>
      </c>
      <c r="K161" s="18" t="str">
        <f aca="false">IFERROR(INDEX('Description Library'!$J$6:$J$808,MATCH($C161&amp;"|"&amp;$D161&amp;"|"&amp;$E161&amp;"|"&amp;$F161,'Description Library'!$K$6:$K$808,0)),"")</f>
        <v/>
      </c>
      <c r="L161" s="23" t="str">
        <f aca="false">IF(OR($I161="",$K161=""),"",$I161*$K161)</f>
        <v/>
      </c>
      <c r="M161" s="24" t="str">
        <f aca="false">IFERROR(VLOOKUP($C161,MAP_SEC,2,0),"L_SECTION")</f>
        <v>L_SECTION</v>
      </c>
      <c r="N161" s="24" t="str">
        <f aca="false">IFERROR(VLOOKUP($C161&amp;"|"&amp;$D161,MAP_SUB,2,0),"L_SECTION")</f>
        <v>L_SECTION</v>
      </c>
      <c r="O161" s="24" t="str">
        <f aca="false">IFERROR(VLOOKUP($C161&amp;"|"&amp;$D161&amp;"|"&amp;$E161,MAP_SE,2,0),"L_SECTION")</f>
        <v>L_SECTION</v>
      </c>
    </row>
    <row r="162" customFormat="false" ht="15" hidden="false" customHeight="false" outlineLevel="0" collapsed="false">
      <c r="A162" s="5" t="str">
        <f aca="false">IF($C162="","",ROW()-4)</f>
        <v/>
      </c>
      <c r="B162" s="20"/>
      <c r="C162" s="20"/>
      <c r="D162" s="20"/>
      <c r="E162" s="20"/>
      <c r="F162" s="20"/>
      <c r="G162" s="21" t="str">
        <f aca="false">IFERROR(INDEX('Description Library'!$C$6:$C$808,MATCH($C162&amp;"|"&amp;$D162&amp;"|"&amp;$E162&amp;"|"&amp;$F162,'Description Library'!$K$6:$K$808,0)),"")</f>
        <v/>
      </c>
      <c r="H162" s="5" t="str">
        <f aca="false">IFERROR(INDEX('Description Library'!$H$6:$H$808,MATCH($C162&amp;"|"&amp;$D162&amp;"|"&amp;$E162&amp;"|"&amp;$F162,'Description Library'!$K$6:$K$808,0)),"")</f>
        <v/>
      </c>
      <c r="I162" s="22"/>
      <c r="J162" s="5" t="str">
        <f aca="false">IFERROR(INDEX('Description Library'!$I$6:$I$808,MATCH($C162&amp;"|"&amp;$D162&amp;"|"&amp;$E162&amp;"|"&amp;$F162,'Description Library'!$K$6:$K$808,0)),"")</f>
        <v/>
      </c>
      <c r="K162" s="18" t="str">
        <f aca="false">IFERROR(INDEX('Description Library'!$J$6:$J$808,MATCH($C162&amp;"|"&amp;$D162&amp;"|"&amp;$E162&amp;"|"&amp;$F162,'Description Library'!$K$6:$K$808,0)),"")</f>
        <v/>
      </c>
      <c r="L162" s="23" t="str">
        <f aca="false">IF(OR($I162="",$K162=""),"",$I162*$K162)</f>
        <v/>
      </c>
      <c r="M162" s="24" t="str">
        <f aca="false">IFERROR(VLOOKUP($C162,MAP_SEC,2,0),"L_SECTION")</f>
        <v>L_SECTION</v>
      </c>
      <c r="N162" s="24" t="str">
        <f aca="false">IFERROR(VLOOKUP($C162&amp;"|"&amp;$D162,MAP_SUB,2,0),"L_SECTION")</f>
        <v>L_SECTION</v>
      </c>
      <c r="O162" s="24" t="str">
        <f aca="false">IFERROR(VLOOKUP($C162&amp;"|"&amp;$D162&amp;"|"&amp;$E162,MAP_SE,2,0),"L_SECTION")</f>
        <v>L_SECTION</v>
      </c>
    </row>
    <row r="163" customFormat="false" ht="15" hidden="false" customHeight="false" outlineLevel="0" collapsed="false">
      <c r="A163" s="5" t="str">
        <f aca="false">IF($C163="","",ROW()-4)</f>
        <v/>
      </c>
      <c r="B163" s="20"/>
      <c r="C163" s="20"/>
      <c r="D163" s="20"/>
      <c r="E163" s="20"/>
      <c r="F163" s="20"/>
      <c r="G163" s="21" t="str">
        <f aca="false">IFERROR(INDEX('Description Library'!$C$6:$C$808,MATCH($C163&amp;"|"&amp;$D163&amp;"|"&amp;$E163&amp;"|"&amp;$F163,'Description Library'!$K$6:$K$808,0)),"")</f>
        <v/>
      </c>
      <c r="H163" s="5" t="str">
        <f aca="false">IFERROR(INDEX('Description Library'!$H$6:$H$808,MATCH($C163&amp;"|"&amp;$D163&amp;"|"&amp;$E163&amp;"|"&amp;$F163,'Description Library'!$K$6:$K$808,0)),"")</f>
        <v/>
      </c>
      <c r="I163" s="22"/>
      <c r="J163" s="5" t="str">
        <f aca="false">IFERROR(INDEX('Description Library'!$I$6:$I$808,MATCH($C163&amp;"|"&amp;$D163&amp;"|"&amp;$E163&amp;"|"&amp;$F163,'Description Library'!$K$6:$K$808,0)),"")</f>
        <v/>
      </c>
      <c r="K163" s="18" t="str">
        <f aca="false">IFERROR(INDEX('Description Library'!$J$6:$J$808,MATCH($C163&amp;"|"&amp;$D163&amp;"|"&amp;$E163&amp;"|"&amp;$F163,'Description Library'!$K$6:$K$808,0)),"")</f>
        <v/>
      </c>
      <c r="L163" s="23" t="str">
        <f aca="false">IF(OR($I163="",$K163=""),"",$I163*$K163)</f>
        <v/>
      </c>
      <c r="M163" s="24" t="str">
        <f aca="false">IFERROR(VLOOKUP($C163,MAP_SEC,2,0),"L_SECTION")</f>
        <v>L_SECTION</v>
      </c>
      <c r="N163" s="24" t="str">
        <f aca="false">IFERROR(VLOOKUP($C163&amp;"|"&amp;$D163,MAP_SUB,2,0),"L_SECTION")</f>
        <v>L_SECTION</v>
      </c>
      <c r="O163" s="24" t="str">
        <f aca="false">IFERROR(VLOOKUP($C163&amp;"|"&amp;$D163&amp;"|"&amp;$E163,MAP_SE,2,0),"L_SECTION")</f>
        <v>L_SECTION</v>
      </c>
    </row>
    <row r="164" customFormat="false" ht="15" hidden="false" customHeight="false" outlineLevel="0" collapsed="false">
      <c r="A164" s="5" t="str">
        <f aca="false">IF($C164="","",ROW()-4)</f>
        <v/>
      </c>
      <c r="B164" s="20"/>
      <c r="C164" s="20"/>
      <c r="D164" s="20"/>
      <c r="E164" s="20"/>
      <c r="F164" s="20"/>
      <c r="G164" s="21" t="str">
        <f aca="false">IFERROR(INDEX('Description Library'!$C$6:$C$808,MATCH($C164&amp;"|"&amp;$D164&amp;"|"&amp;$E164&amp;"|"&amp;$F164,'Description Library'!$K$6:$K$808,0)),"")</f>
        <v/>
      </c>
      <c r="H164" s="5" t="str">
        <f aca="false">IFERROR(INDEX('Description Library'!$H$6:$H$808,MATCH($C164&amp;"|"&amp;$D164&amp;"|"&amp;$E164&amp;"|"&amp;$F164,'Description Library'!$K$6:$K$808,0)),"")</f>
        <v/>
      </c>
      <c r="I164" s="22"/>
      <c r="J164" s="5" t="str">
        <f aca="false">IFERROR(INDEX('Description Library'!$I$6:$I$808,MATCH($C164&amp;"|"&amp;$D164&amp;"|"&amp;$E164&amp;"|"&amp;$F164,'Description Library'!$K$6:$K$808,0)),"")</f>
        <v/>
      </c>
      <c r="K164" s="18" t="str">
        <f aca="false">IFERROR(INDEX('Description Library'!$J$6:$J$808,MATCH($C164&amp;"|"&amp;$D164&amp;"|"&amp;$E164&amp;"|"&amp;$F164,'Description Library'!$K$6:$K$808,0)),"")</f>
        <v/>
      </c>
      <c r="L164" s="23" t="str">
        <f aca="false">IF(OR($I164="",$K164=""),"",$I164*$K164)</f>
        <v/>
      </c>
      <c r="M164" s="24" t="str">
        <f aca="false">IFERROR(VLOOKUP($C164,MAP_SEC,2,0),"L_SECTION")</f>
        <v>L_SECTION</v>
      </c>
      <c r="N164" s="24" t="str">
        <f aca="false">IFERROR(VLOOKUP($C164&amp;"|"&amp;$D164,MAP_SUB,2,0),"L_SECTION")</f>
        <v>L_SECTION</v>
      </c>
      <c r="O164" s="24" t="str">
        <f aca="false">IFERROR(VLOOKUP($C164&amp;"|"&amp;$D164&amp;"|"&amp;$E164,MAP_SE,2,0),"L_SECTION")</f>
        <v>L_SECTION</v>
      </c>
    </row>
    <row r="165" customFormat="false" ht="15" hidden="false" customHeight="false" outlineLevel="0" collapsed="false">
      <c r="A165" s="5" t="str">
        <f aca="false">IF($C165="","",ROW()-4)</f>
        <v/>
      </c>
      <c r="B165" s="20"/>
      <c r="C165" s="20"/>
      <c r="D165" s="20"/>
      <c r="E165" s="20"/>
      <c r="F165" s="20"/>
      <c r="G165" s="21" t="str">
        <f aca="false">IFERROR(INDEX('Description Library'!$C$6:$C$808,MATCH($C165&amp;"|"&amp;$D165&amp;"|"&amp;$E165&amp;"|"&amp;$F165,'Description Library'!$K$6:$K$808,0)),"")</f>
        <v/>
      </c>
      <c r="H165" s="5" t="str">
        <f aca="false">IFERROR(INDEX('Description Library'!$H$6:$H$808,MATCH($C165&amp;"|"&amp;$D165&amp;"|"&amp;$E165&amp;"|"&amp;$F165,'Description Library'!$K$6:$K$808,0)),"")</f>
        <v/>
      </c>
      <c r="I165" s="22"/>
      <c r="J165" s="5" t="str">
        <f aca="false">IFERROR(INDEX('Description Library'!$I$6:$I$808,MATCH($C165&amp;"|"&amp;$D165&amp;"|"&amp;$E165&amp;"|"&amp;$F165,'Description Library'!$K$6:$K$808,0)),"")</f>
        <v/>
      </c>
      <c r="K165" s="18" t="str">
        <f aca="false">IFERROR(INDEX('Description Library'!$J$6:$J$808,MATCH($C165&amp;"|"&amp;$D165&amp;"|"&amp;$E165&amp;"|"&amp;$F165,'Description Library'!$K$6:$K$808,0)),"")</f>
        <v/>
      </c>
      <c r="L165" s="23" t="str">
        <f aca="false">IF(OR($I165="",$K165=""),"",$I165*$K165)</f>
        <v/>
      </c>
      <c r="M165" s="24" t="str">
        <f aca="false">IFERROR(VLOOKUP($C165,MAP_SEC,2,0),"L_SECTION")</f>
        <v>L_SECTION</v>
      </c>
      <c r="N165" s="24" t="str">
        <f aca="false">IFERROR(VLOOKUP($C165&amp;"|"&amp;$D165,MAP_SUB,2,0),"L_SECTION")</f>
        <v>L_SECTION</v>
      </c>
      <c r="O165" s="24" t="str">
        <f aca="false">IFERROR(VLOOKUP($C165&amp;"|"&amp;$D165&amp;"|"&amp;$E165,MAP_SE,2,0),"L_SECTION")</f>
        <v>L_SECTION</v>
      </c>
    </row>
    <row r="166" customFormat="false" ht="15" hidden="false" customHeight="false" outlineLevel="0" collapsed="false">
      <c r="A166" s="5" t="str">
        <f aca="false">IF($C166="","",ROW()-4)</f>
        <v/>
      </c>
      <c r="B166" s="20"/>
      <c r="C166" s="20"/>
      <c r="D166" s="20"/>
      <c r="E166" s="20"/>
      <c r="F166" s="20"/>
      <c r="G166" s="21" t="str">
        <f aca="false">IFERROR(INDEX('Description Library'!$C$6:$C$808,MATCH($C166&amp;"|"&amp;$D166&amp;"|"&amp;$E166&amp;"|"&amp;$F166,'Description Library'!$K$6:$K$808,0)),"")</f>
        <v/>
      </c>
      <c r="H166" s="5" t="str">
        <f aca="false">IFERROR(INDEX('Description Library'!$H$6:$H$808,MATCH($C166&amp;"|"&amp;$D166&amp;"|"&amp;$E166&amp;"|"&amp;$F166,'Description Library'!$K$6:$K$808,0)),"")</f>
        <v/>
      </c>
      <c r="I166" s="22"/>
      <c r="J166" s="5" t="str">
        <f aca="false">IFERROR(INDEX('Description Library'!$I$6:$I$808,MATCH($C166&amp;"|"&amp;$D166&amp;"|"&amp;$E166&amp;"|"&amp;$F166,'Description Library'!$K$6:$K$808,0)),"")</f>
        <v/>
      </c>
      <c r="K166" s="18" t="str">
        <f aca="false">IFERROR(INDEX('Description Library'!$J$6:$J$808,MATCH($C166&amp;"|"&amp;$D166&amp;"|"&amp;$E166&amp;"|"&amp;$F166,'Description Library'!$K$6:$K$808,0)),"")</f>
        <v/>
      </c>
      <c r="L166" s="23" t="str">
        <f aca="false">IF(OR($I166="",$K166=""),"",$I166*$K166)</f>
        <v/>
      </c>
      <c r="M166" s="24" t="str">
        <f aca="false">IFERROR(VLOOKUP($C166,MAP_SEC,2,0),"L_SECTION")</f>
        <v>L_SECTION</v>
      </c>
      <c r="N166" s="24" t="str">
        <f aca="false">IFERROR(VLOOKUP($C166&amp;"|"&amp;$D166,MAP_SUB,2,0),"L_SECTION")</f>
        <v>L_SECTION</v>
      </c>
      <c r="O166" s="24" t="str">
        <f aca="false">IFERROR(VLOOKUP($C166&amp;"|"&amp;$D166&amp;"|"&amp;$E166,MAP_SE,2,0),"L_SECTION")</f>
        <v>L_SECTION</v>
      </c>
    </row>
    <row r="167" customFormat="false" ht="15" hidden="false" customHeight="false" outlineLevel="0" collapsed="false">
      <c r="A167" s="5" t="str">
        <f aca="false">IF($C167="","",ROW()-4)</f>
        <v/>
      </c>
      <c r="B167" s="20"/>
      <c r="C167" s="20"/>
      <c r="D167" s="20"/>
      <c r="E167" s="20"/>
      <c r="F167" s="20"/>
      <c r="G167" s="21" t="str">
        <f aca="false">IFERROR(INDEX('Description Library'!$C$6:$C$808,MATCH($C167&amp;"|"&amp;$D167&amp;"|"&amp;$E167&amp;"|"&amp;$F167,'Description Library'!$K$6:$K$808,0)),"")</f>
        <v/>
      </c>
      <c r="H167" s="5" t="str">
        <f aca="false">IFERROR(INDEX('Description Library'!$H$6:$H$808,MATCH($C167&amp;"|"&amp;$D167&amp;"|"&amp;$E167&amp;"|"&amp;$F167,'Description Library'!$K$6:$K$808,0)),"")</f>
        <v/>
      </c>
      <c r="I167" s="22"/>
      <c r="J167" s="5" t="str">
        <f aca="false">IFERROR(INDEX('Description Library'!$I$6:$I$808,MATCH($C167&amp;"|"&amp;$D167&amp;"|"&amp;$E167&amp;"|"&amp;$F167,'Description Library'!$K$6:$K$808,0)),"")</f>
        <v/>
      </c>
      <c r="K167" s="18" t="str">
        <f aca="false">IFERROR(INDEX('Description Library'!$J$6:$J$808,MATCH($C167&amp;"|"&amp;$D167&amp;"|"&amp;$E167&amp;"|"&amp;$F167,'Description Library'!$K$6:$K$808,0)),"")</f>
        <v/>
      </c>
      <c r="L167" s="23" t="str">
        <f aca="false">IF(OR($I167="",$K167=""),"",$I167*$K167)</f>
        <v/>
      </c>
      <c r="M167" s="24" t="str">
        <f aca="false">IFERROR(VLOOKUP($C167,MAP_SEC,2,0),"L_SECTION")</f>
        <v>L_SECTION</v>
      </c>
      <c r="N167" s="24" t="str">
        <f aca="false">IFERROR(VLOOKUP($C167&amp;"|"&amp;$D167,MAP_SUB,2,0),"L_SECTION")</f>
        <v>L_SECTION</v>
      </c>
      <c r="O167" s="24" t="str">
        <f aca="false">IFERROR(VLOOKUP($C167&amp;"|"&amp;$D167&amp;"|"&amp;$E167,MAP_SE,2,0),"L_SECTION")</f>
        <v>L_SECTION</v>
      </c>
    </row>
    <row r="168" customFormat="false" ht="15" hidden="false" customHeight="false" outlineLevel="0" collapsed="false">
      <c r="A168" s="5" t="str">
        <f aca="false">IF($C168="","",ROW()-4)</f>
        <v/>
      </c>
      <c r="B168" s="20"/>
      <c r="C168" s="20"/>
      <c r="D168" s="20"/>
      <c r="E168" s="20"/>
      <c r="F168" s="20"/>
      <c r="G168" s="21" t="str">
        <f aca="false">IFERROR(INDEX('Description Library'!$C$6:$C$808,MATCH($C168&amp;"|"&amp;$D168&amp;"|"&amp;$E168&amp;"|"&amp;$F168,'Description Library'!$K$6:$K$808,0)),"")</f>
        <v/>
      </c>
      <c r="H168" s="5" t="str">
        <f aca="false">IFERROR(INDEX('Description Library'!$H$6:$H$808,MATCH($C168&amp;"|"&amp;$D168&amp;"|"&amp;$E168&amp;"|"&amp;$F168,'Description Library'!$K$6:$K$808,0)),"")</f>
        <v/>
      </c>
      <c r="I168" s="22"/>
      <c r="J168" s="5" t="str">
        <f aca="false">IFERROR(INDEX('Description Library'!$I$6:$I$808,MATCH($C168&amp;"|"&amp;$D168&amp;"|"&amp;$E168&amp;"|"&amp;$F168,'Description Library'!$K$6:$K$808,0)),"")</f>
        <v/>
      </c>
      <c r="K168" s="18" t="str">
        <f aca="false">IFERROR(INDEX('Description Library'!$J$6:$J$808,MATCH($C168&amp;"|"&amp;$D168&amp;"|"&amp;$E168&amp;"|"&amp;$F168,'Description Library'!$K$6:$K$808,0)),"")</f>
        <v/>
      </c>
      <c r="L168" s="23" t="str">
        <f aca="false">IF(OR($I168="",$K168=""),"",$I168*$K168)</f>
        <v/>
      </c>
      <c r="M168" s="24" t="str">
        <f aca="false">IFERROR(VLOOKUP($C168,MAP_SEC,2,0),"L_SECTION")</f>
        <v>L_SECTION</v>
      </c>
      <c r="N168" s="24" t="str">
        <f aca="false">IFERROR(VLOOKUP($C168&amp;"|"&amp;$D168,MAP_SUB,2,0),"L_SECTION")</f>
        <v>L_SECTION</v>
      </c>
      <c r="O168" s="24" t="str">
        <f aca="false">IFERROR(VLOOKUP($C168&amp;"|"&amp;$D168&amp;"|"&amp;$E168,MAP_SE,2,0),"L_SECTION")</f>
        <v>L_SECTION</v>
      </c>
    </row>
    <row r="169" customFormat="false" ht="15" hidden="false" customHeight="false" outlineLevel="0" collapsed="false">
      <c r="A169" s="5" t="str">
        <f aca="false">IF($C169="","",ROW()-4)</f>
        <v/>
      </c>
      <c r="B169" s="20"/>
      <c r="C169" s="20"/>
      <c r="D169" s="20"/>
      <c r="E169" s="20"/>
      <c r="F169" s="20"/>
      <c r="G169" s="21" t="str">
        <f aca="false">IFERROR(INDEX('Description Library'!$C$6:$C$808,MATCH($C169&amp;"|"&amp;$D169&amp;"|"&amp;$E169&amp;"|"&amp;$F169,'Description Library'!$K$6:$K$808,0)),"")</f>
        <v/>
      </c>
      <c r="H169" s="5" t="str">
        <f aca="false">IFERROR(INDEX('Description Library'!$H$6:$H$808,MATCH($C169&amp;"|"&amp;$D169&amp;"|"&amp;$E169&amp;"|"&amp;$F169,'Description Library'!$K$6:$K$808,0)),"")</f>
        <v/>
      </c>
      <c r="I169" s="22"/>
      <c r="J169" s="5" t="str">
        <f aca="false">IFERROR(INDEX('Description Library'!$I$6:$I$808,MATCH($C169&amp;"|"&amp;$D169&amp;"|"&amp;$E169&amp;"|"&amp;$F169,'Description Library'!$K$6:$K$808,0)),"")</f>
        <v/>
      </c>
      <c r="K169" s="18" t="str">
        <f aca="false">IFERROR(INDEX('Description Library'!$J$6:$J$808,MATCH($C169&amp;"|"&amp;$D169&amp;"|"&amp;$E169&amp;"|"&amp;$F169,'Description Library'!$K$6:$K$808,0)),"")</f>
        <v/>
      </c>
      <c r="L169" s="23" t="str">
        <f aca="false">IF(OR($I169="",$K169=""),"",$I169*$K169)</f>
        <v/>
      </c>
      <c r="M169" s="24" t="str">
        <f aca="false">IFERROR(VLOOKUP($C169,MAP_SEC,2,0),"L_SECTION")</f>
        <v>L_SECTION</v>
      </c>
      <c r="N169" s="24" t="str">
        <f aca="false">IFERROR(VLOOKUP($C169&amp;"|"&amp;$D169,MAP_SUB,2,0),"L_SECTION")</f>
        <v>L_SECTION</v>
      </c>
      <c r="O169" s="24" t="str">
        <f aca="false">IFERROR(VLOOKUP($C169&amp;"|"&amp;$D169&amp;"|"&amp;$E169,MAP_SE,2,0),"L_SECTION")</f>
        <v>L_SECTION</v>
      </c>
    </row>
    <row r="170" customFormat="false" ht="15" hidden="false" customHeight="false" outlineLevel="0" collapsed="false">
      <c r="A170" s="5" t="str">
        <f aca="false">IF($C170="","",ROW()-4)</f>
        <v/>
      </c>
      <c r="B170" s="20"/>
      <c r="C170" s="20"/>
      <c r="D170" s="20"/>
      <c r="E170" s="20"/>
      <c r="F170" s="20"/>
      <c r="G170" s="21" t="str">
        <f aca="false">IFERROR(INDEX('Description Library'!$C$6:$C$808,MATCH($C170&amp;"|"&amp;$D170&amp;"|"&amp;$E170&amp;"|"&amp;$F170,'Description Library'!$K$6:$K$808,0)),"")</f>
        <v/>
      </c>
      <c r="H170" s="5" t="str">
        <f aca="false">IFERROR(INDEX('Description Library'!$H$6:$H$808,MATCH($C170&amp;"|"&amp;$D170&amp;"|"&amp;$E170&amp;"|"&amp;$F170,'Description Library'!$K$6:$K$808,0)),"")</f>
        <v/>
      </c>
      <c r="I170" s="22"/>
      <c r="J170" s="5" t="str">
        <f aca="false">IFERROR(INDEX('Description Library'!$I$6:$I$808,MATCH($C170&amp;"|"&amp;$D170&amp;"|"&amp;$E170&amp;"|"&amp;$F170,'Description Library'!$K$6:$K$808,0)),"")</f>
        <v/>
      </c>
      <c r="K170" s="18" t="str">
        <f aca="false">IFERROR(INDEX('Description Library'!$J$6:$J$808,MATCH($C170&amp;"|"&amp;$D170&amp;"|"&amp;$E170&amp;"|"&amp;$F170,'Description Library'!$K$6:$K$808,0)),"")</f>
        <v/>
      </c>
      <c r="L170" s="23" t="str">
        <f aca="false">IF(OR($I170="",$K170=""),"",$I170*$K170)</f>
        <v/>
      </c>
      <c r="M170" s="24" t="str">
        <f aca="false">IFERROR(VLOOKUP($C170,MAP_SEC,2,0),"L_SECTION")</f>
        <v>L_SECTION</v>
      </c>
      <c r="N170" s="24" t="str">
        <f aca="false">IFERROR(VLOOKUP($C170&amp;"|"&amp;$D170,MAP_SUB,2,0),"L_SECTION")</f>
        <v>L_SECTION</v>
      </c>
      <c r="O170" s="24" t="str">
        <f aca="false">IFERROR(VLOOKUP($C170&amp;"|"&amp;$D170&amp;"|"&amp;$E170,MAP_SE,2,0),"L_SECTION")</f>
        <v>L_SECTION</v>
      </c>
    </row>
    <row r="171" customFormat="false" ht="15" hidden="false" customHeight="false" outlineLevel="0" collapsed="false">
      <c r="A171" s="5" t="str">
        <f aca="false">IF($C171="","",ROW()-4)</f>
        <v/>
      </c>
      <c r="B171" s="20"/>
      <c r="C171" s="20"/>
      <c r="D171" s="20"/>
      <c r="E171" s="20"/>
      <c r="F171" s="20"/>
      <c r="G171" s="21" t="str">
        <f aca="false">IFERROR(INDEX('Description Library'!$C$6:$C$808,MATCH($C171&amp;"|"&amp;$D171&amp;"|"&amp;$E171&amp;"|"&amp;$F171,'Description Library'!$K$6:$K$808,0)),"")</f>
        <v/>
      </c>
      <c r="H171" s="5" t="str">
        <f aca="false">IFERROR(INDEX('Description Library'!$H$6:$H$808,MATCH($C171&amp;"|"&amp;$D171&amp;"|"&amp;$E171&amp;"|"&amp;$F171,'Description Library'!$K$6:$K$808,0)),"")</f>
        <v/>
      </c>
      <c r="I171" s="22"/>
      <c r="J171" s="5" t="str">
        <f aca="false">IFERROR(INDEX('Description Library'!$I$6:$I$808,MATCH($C171&amp;"|"&amp;$D171&amp;"|"&amp;$E171&amp;"|"&amp;$F171,'Description Library'!$K$6:$K$808,0)),"")</f>
        <v/>
      </c>
      <c r="K171" s="18" t="str">
        <f aca="false">IFERROR(INDEX('Description Library'!$J$6:$J$808,MATCH($C171&amp;"|"&amp;$D171&amp;"|"&amp;$E171&amp;"|"&amp;$F171,'Description Library'!$K$6:$K$808,0)),"")</f>
        <v/>
      </c>
      <c r="L171" s="23" t="str">
        <f aca="false">IF(OR($I171="",$K171=""),"",$I171*$K171)</f>
        <v/>
      </c>
      <c r="M171" s="24" t="str">
        <f aca="false">IFERROR(VLOOKUP($C171,MAP_SEC,2,0),"L_SECTION")</f>
        <v>L_SECTION</v>
      </c>
      <c r="N171" s="24" t="str">
        <f aca="false">IFERROR(VLOOKUP($C171&amp;"|"&amp;$D171,MAP_SUB,2,0),"L_SECTION")</f>
        <v>L_SECTION</v>
      </c>
      <c r="O171" s="24" t="str">
        <f aca="false">IFERROR(VLOOKUP($C171&amp;"|"&amp;$D171&amp;"|"&amp;$E171,MAP_SE,2,0),"L_SECTION")</f>
        <v>L_SECTION</v>
      </c>
    </row>
    <row r="172" customFormat="false" ht="15" hidden="false" customHeight="false" outlineLevel="0" collapsed="false">
      <c r="A172" s="5" t="str">
        <f aca="false">IF($C172="","",ROW()-4)</f>
        <v/>
      </c>
      <c r="B172" s="20"/>
      <c r="C172" s="20"/>
      <c r="D172" s="20"/>
      <c r="E172" s="20"/>
      <c r="F172" s="20"/>
      <c r="G172" s="21" t="str">
        <f aca="false">IFERROR(INDEX('Description Library'!$C$6:$C$808,MATCH($C172&amp;"|"&amp;$D172&amp;"|"&amp;$E172&amp;"|"&amp;$F172,'Description Library'!$K$6:$K$808,0)),"")</f>
        <v/>
      </c>
      <c r="H172" s="5" t="str">
        <f aca="false">IFERROR(INDEX('Description Library'!$H$6:$H$808,MATCH($C172&amp;"|"&amp;$D172&amp;"|"&amp;$E172&amp;"|"&amp;$F172,'Description Library'!$K$6:$K$808,0)),"")</f>
        <v/>
      </c>
      <c r="I172" s="22"/>
      <c r="J172" s="5" t="str">
        <f aca="false">IFERROR(INDEX('Description Library'!$I$6:$I$808,MATCH($C172&amp;"|"&amp;$D172&amp;"|"&amp;$E172&amp;"|"&amp;$F172,'Description Library'!$K$6:$K$808,0)),"")</f>
        <v/>
      </c>
      <c r="K172" s="18" t="str">
        <f aca="false">IFERROR(INDEX('Description Library'!$J$6:$J$808,MATCH($C172&amp;"|"&amp;$D172&amp;"|"&amp;$E172&amp;"|"&amp;$F172,'Description Library'!$K$6:$K$808,0)),"")</f>
        <v/>
      </c>
      <c r="L172" s="23" t="str">
        <f aca="false">IF(OR($I172="",$K172=""),"",$I172*$K172)</f>
        <v/>
      </c>
      <c r="M172" s="24" t="str">
        <f aca="false">IFERROR(VLOOKUP($C172,MAP_SEC,2,0),"L_SECTION")</f>
        <v>L_SECTION</v>
      </c>
      <c r="N172" s="24" t="str">
        <f aca="false">IFERROR(VLOOKUP($C172&amp;"|"&amp;$D172,MAP_SUB,2,0),"L_SECTION")</f>
        <v>L_SECTION</v>
      </c>
      <c r="O172" s="24" t="str">
        <f aca="false">IFERROR(VLOOKUP($C172&amp;"|"&amp;$D172&amp;"|"&amp;$E172,MAP_SE,2,0),"L_SECTION")</f>
        <v>L_SECTION</v>
      </c>
    </row>
    <row r="173" customFormat="false" ht="15" hidden="false" customHeight="false" outlineLevel="0" collapsed="false">
      <c r="A173" s="5" t="str">
        <f aca="false">IF($C173="","",ROW()-4)</f>
        <v/>
      </c>
      <c r="B173" s="20"/>
      <c r="C173" s="20"/>
      <c r="D173" s="20"/>
      <c r="E173" s="20"/>
      <c r="F173" s="20"/>
      <c r="G173" s="21" t="str">
        <f aca="false">IFERROR(INDEX('Description Library'!$C$6:$C$808,MATCH($C173&amp;"|"&amp;$D173&amp;"|"&amp;$E173&amp;"|"&amp;$F173,'Description Library'!$K$6:$K$808,0)),"")</f>
        <v/>
      </c>
      <c r="H173" s="5" t="str">
        <f aca="false">IFERROR(INDEX('Description Library'!$H$6:$H$808,MATCH($C173&amp;"|"&amp;$D173&amp;"|"&amp;$E173&amp;"|"&amp;$F173,'Description Library'!$K$6:$K$808,0)),"")</f>
        <v/>
      </c>
      <c r="I173" s="22"/>
      <c r="J173" s="5" t="str">
        <f aca="false">IFERROR(INDEX('Description Library'!$I$6:$I$808,MATCH($C173&amp;"|"&amp;$D173&amp;"|"&amp;$E173&amp;"|"&amp;$F173,'Description Library'!$K$6:$K$808,0)),"")</f>
        <v/>
      </c>
      <c r="K173" s="18" t="str">
        <f aca="false">IFERROR(INDEX('Description Library'!$J$6:$J$808,MATCH($C173&amp;"|"&amp;$D173&amp;"|"&amp;$E173&amp;"|"&amp;$F173,'Description Library'!$K$6:$K$808,0)),"")</f>
        <v/>
      </c>
      <c r="L173" s="23" t="str">
        <f aca="false">IF(OR($I173="",$K173=""),"",$I173*$K173)</f>
        <v/>
      </c>
      <c r="M173" s="24" t="str">
        <f aca="false">IFERROR(VLOOKUP($C173,MAP_SEC,2,0),"L_SECTION")</f>
        <v>L_SECTION</v>
      </c>
      <c r="N173" s="24" t="str">
        <f aca="false">IFERROR(VLOOKUP($C173&amp;"|"&amp;$D173,MAP_SUB,2,0),"L_SECTION")</f>
        <v>L_SECTION</v>
      </c>
      <c r="O173" s="24" t="str">
        <f aca="false">IFERROR(VLOOKUP($C173&amp;"|"&amp;$D173&amp;"|"&amp;$E173,MAP_SE,2,0),"L_SECTION")</f>
        <v>L_SECTION</v>
      </c>
    </row>
    <row r="174" customFormat="false" ht="15" hidden="false" customHeight="false" outlineLevel="0" collapsed="false">
      <c r="A174" s="5" t="str">
        <f aca="false">IF($C174="","",ROW()-4)</f>
        <v/>
      </c>
      <c r="B174" s="20"/>
      <c r="C174" s="20"/>
      <c r="D174" s="20"/>
      <c r="E174" s="20"/>
      <c r="F174" s="20"/>
      <c r="G174" s="21" t="str">
        <f aca="false">IFERROR(INDEX('Description Library'!$C$6:$C$808,MATCH($C174&amp;"|"&amp;$D174&amp;"|"&amp;$E174&amp;"|"&amp;$F174,'Description Library'!$K$6:$K$808,0)),"")</f>
        <v/>
      </c>
      <c r="H174" s="5" t="str">
        <f aca="false">IFERROR(INDEX('Description Library'!$H$6:$H$808,MATCH($C174&amp;"|"&amp;$D174&amp;"|"&amp;$E174&amp;"|"&amp;$F174,'Description Library'!$K$6:$K$808,0)),"")</f>
        <v/>
      </c>
      <c r="I174" s="22"/>
      <c r="J174" s="5" t="str">
        <f aca="false">IFERROR(INDEX('Description Library'!$I$6:$I$808,MATCH($C174&amp;"|"&amp;$D174&amp;"|"&amp;$E174&amp;"|"&amp;$F174,'Description Library'!$K$6:$K$808,0)),"")</f>
        <v/>
      </c>
      <c r="K174" s="18" t="str">
        <f aca="false">IFERROR(INDEX('Description Library'!$J$6:$J$808,MATCH($C174&amp;"|"&amp;$D174&amp;"|"&amp;$E174&amp;"|"&amp;$F174,'Description Library'!$K$6:$K$808,0)),"")</f>
        <v/>
      </c>
      <c r="L174" s="23" t="str">
        <f aca="false">IF(OR($I174="",$K174=""),"",$I174*$K174)</f>
        <v/>
      </c>
      <c r="M174" s="24" t="str">
        <f aca="false">IFERROR(VLOOKUP($C174,MAP_SEC,2,0),"L_SECTION")</f>
        <v>L_SECTION</v>
      </c>
      <c r="N174" s="24" t="str">
        <f aca="false">IFERROR(VLOOKUP($C174&amp;"|"&amp;$D174,MAP_SUB,2,0),"L_SECTION")</f>
        <v>L_SECTION</v>
      </c>
      <c r="O174" s="24" t="str">
        <f aca="false">IFERROR(VLOOKUP($C174&amp;"|"&amp;$D174&amp;"|"&amp;$E174,MAP_SE,2,0),"L_SECTION")</f>
        <v>L_SECTION</v>
      </c>
    </row>
    <row r="175" customFormat="false" ht="15" hidden="false" customHeight="false" outlineLevel="0" collapsed="false">
      <c r="A175" s="5" t="str">
        <f aca="false">IF($C175="","",ROW()-4)</f>
        <v/>
      </c>
      <c r="B175" s="20"/>
      <c r="C175" s="20"/>
      <c r="D175" s="20"/>
      <c r="E175" s="20"/>
      <c r="F175" s="20"/>
      <c r="G175" s="21" t="str">
        <f aca="false">IFERROR(INDEX('Description Library'!$C$6:$C$808,MATCH($C175&amp;"|"&amp;$D175&amp;"|"&amp;$E175&amp;"|"&amp;$F175,'Description Library'!$K$6:$K$808,0)),"")</f>
        <v/>
      </c>
      <c r="H175" s="5" t="str">
        <f aca="false">IFERROR(INDEX('Description Library'!$H$6:$H$808,MATCH($C175&amp;"|"&amp;$D175&amp;"|"&amp;$E175&amp;"|"&amp;$F175,'Description Library'!$K$6:$K$808,0)),"")</f>
        <v/>
      </c>
      <c r="I175" s="22"/>
      <c r="J175" s="5" t="str">
        <f aca="false">IFERROR(INDEX('Description Library'!$I$6:$I$808,MATCH($C175&amp;"|"&amp;$D175&amp;"|"&amp;$E175&amp;"|"&amp;$F175,'Description Library'!$K$6:$K$808,0)),"")</f>
        <v/>
      </c>
      <c r="K175" s="18" t="str">
        <f aca="false">IFERROR(INDEX('Description Library'!$J$6:$J$808,MATCH($C175&amp;"|"&amp;$D175&amp;"|"&amp;$E175&amp;"|"&amp;$F175,'Description Library'!$K$6:$K$808,0)),"")</f>
        <v/>
      </c>
      <c r="L175" s="23" t="str">
        <f aca="false">IF(OR($I175="",$K175=""),"",$I175*$K175)</f>
        <v/>
      </c>
      <c r="M175" s="24" t="str">
        <f aca="false">IFERROR(VLOOKUP($C175,MAP_SEC,2,0),"L_SECTION")</f>
        <v>L_SECTION</v>
      </c>
      <c r="N175" s="24" t="str">
        <f aca="false">IFERROR(VLOOKUP($C175&amp;"|"&amp;$D175,MAP_SUB,2,0),"L_SECTION")</f>
        <v>L_SECTION</v>
      </c>
      <c r="O175" s="24" t="str">
        <f aca="false">IFERROR(VLOOKUP($C175&amp;"|"&amp;$D175&amp;"|"&amp;$E175,MAP_SE,2,0),"L_SECTION")</f>
        <v>L_SECTION</v>
      </c>
    </row>
    <row r="176" customFormat="false" ht="15" hidden="false" customHeight="false" outlineLevel="0" collapsed="false">
      <c r="A176" s="5" t="str">
        <f aca="false">IF($C176="","",ROW()-4)</f>
        <v/>
      </c>
      <c r="B176" s="20"/>
      <c r="C176" s="20"/>
      <c r="D176" s="20"/>
      <c r="E176" s="20"/>
      <c r="F176" s="20"/>
      <c r="G176" s="21" t="str">
        <f aca="false">IFERROR(INDEX('Description Library'!$C$6:$C$808,MATCH($C176&amp;"|"&amp;$D176&amp;"|"&amp;$E176&amp;"|"&amp;$F176,'Description Library'!$K$6:$K$808,0)),"")</f>
        <v/>
      </c>
      <c r="H176" s="5" t="str">
        <f aca="false">IFERROR(INDEX('Description Library'!$H$6:$H$808,MATCH($C176&amp;"|"&amp;$D176&amp;"|"&amp;$E176&amp;"|"&amp;$F176,'Description Library'!$K$6:$K$808,0)),"")</f>
        <v/>
      </c>
      <c r="I176" s="22"/>
      <c r="J176" s="5" t="str">
        <f aca="false">IFERROR(INDEX('Description Library'!$I$6:$I$808,MATCH($C176&amp;"|"&amp;$D176&amp;"|"&amp;$E176&amp;"|"&amp;$F176,'Description Library'!$K$6:$K$808,0)),"")</f>
        <v/>
      </c>
      <c r="K176" s="18" t="str">
        <f aca="false">IFERROR(INDEX('Description Library'!$J$6:$J$808,MATCH($C176&amp;"|"&amp;$D176&amp;"|"&amp;$E176&amp;"|"&amp;$F176,'Description Library'!$K$6:$K$808,0)),"")</f>
        <v/>
      </c>
      <c r="L176" s="23" t="str">
        <f aca="false">IF(OR($I176="",$K176=""),"",$I176*$K176)</f>
        <v/>
      </c>
      <c r="M176" s="24" t="str">
        <f aca="false">IFERROR(VLOOKUP($C176,MAP_SEC,2,0),"L_SECTION")</f>
        <v>L_SECTION</v>
      </c>
      <c r="N176" s="24" t="str">
        <f aca="false">IFERROR(VLOOKUP($C176&amp;"|"&amp;$D176,MAP_SUB,2,0),"L_SECTION")</f>
        <v>L_SECTION</v>
      </c>
      <c r="O176" s="24" t="str">
        <f aca="false">IFERROR(VLOOKUP($C176&amp;"|"&amp;$D176&amp;"|"&amp;$E176,MAP_SE,2,0),"L_SECTION")</f>
        <v>L_SECTION</v>
      </c>
    </row>
    <row r="177" customFormat="false" ht="15" hidden="false" customHeight="false" outlineLevel="0" collapsed="false">
      <c r="A177" s="5" t="str">
        <f aca="false">IF($C177="","",ROW()-4)</f>
        <v/>
      </c>
      <c r="B177" s="20"/>
      <c r="C177" s="20"/>
      <c r="D177" s="20"/>
      <c r="E177" s="20"/>
      <c r="F177" s="20"/>
      <c r="G177" s="21" t="str">
        <f aca="false">IFERROR(INDEX('Description Library'!$C$6:$C$808,MATCH($C177&amp;"|"&amp;$D177&amp;"|"&amp;$E177&amp;"|"&amp;$F177,'Description Library'!$K$6:$K$808,0)),"")</f>
        <v/>
      </c>
      <c r="H177" s="5" t="str">
        <f aca="false">IFERROR(INDEX('Description Library'!$H$6:$H$808,MATCH($C177&amp;"|"&amp;$D177&amp;"|"&amp;$E177&amp;"|"&amp;$F177,'Description Library'!$K$6:$K$808,0)),"")</f>
        <v/>
      </c>
      <c r="I177" s="22"/>
      <c r="J177" s="5" t="str">
        <f aca="false">IFERROR(INDEX('Description Library'!$I$6:$I$808,MATCH($C177&amp;"|"&amp;$D177&amp;"|"&amp;$E177&amp;"|"&amp;$F177,'Description Library'!$K$6:$K$808,0)),"")</f>
        <v/>
      </c>
      <c r="K177" s="18" t="str">
        <f aca="false">IFERROR(INDEX('Description Library'!$J$6:$J$808,MATCH($C177&amp;"|"&amp;$D177&amp;"|"&amp;$E177&amp;"|"&amp;$F177,'Description Library'!$K$6:$K$808,0)),"")</f>
        <v/>
      </c>
      <c r="L177" s="23" t="str">
        <f aca="false">IF(OR($I177="",$K177=""),"",$I177*$K177)</f>
        <v/>
      </c>
      <c r="M177" s="24" t="str">
        <f aca="false">IFERROR(VLOOKUP($C177,MAP_SEC,2,0),"L_SECTION")</f>
        <v>L_SECTION</v>
      </c>
      <c r="N177" s="24" t="str">
        <f aca="false">IFERROR(VLOOKUP($C177&amp;"|"&amp;$D177,MAP_SUB,2,0),"L_SECTION")</f>
        <v>L_SECTION</v>
      </c>
      <c r="O177" s="24" t="str">
        <f aca="false">IFERROR(VLOOKUP($C177&amp;"|"&amp;$D177&amp;"|"&amp;$E177,MAP_SE,2,0),"L_SECTION")</f>
        <v>L_SECTION</v>
      </c>
    </row>
    <row r="178" customFormat="false" ht="15" hidden="false" customHeight="false" outlineLevel="0" collapsed="false">
      <c r="A178" s="5" t="str">
        <f aca="false">IF($C178="","",ROW()-4)</f>
        <v/>
      </c>
      <c r="B178" s="20"/>
      <c r="C178" s="20"/>
      <c r="D178" s="20"/>
      <c r="E178" s="20"/>
      <c r="F178" s="20"/>
      <c r="G178" s="21" t="str">
        <f aca="false">IFERROR(INDEX('Description Library'!$C$6:$C$808,MATCH($C178&amp;"|"&amp;$D178&amp;"|"&amp;$E178&amp;"|"&amp;$F178,'Description Library'!$K$6:$K$808,0)),"")</f>
        <v/>
      </c>
      <c r="H178" s="5" t="str">
        <f aca="false">IFERROR(INDEX('Description Library'!$H$6:$H$808,MATCH($C178&amp;"|"&amp;$D178&amp;"|"&amp;$E178&amp;"|"&amp;$F178,'Description Library'!$K$6:$K$808,0)),"")</f>
        <v/>
      </c>
      <c r="I178" s="22"/>
      <c r="J178" s="5" t="str">
        <f aca="false">IFERROR(INDEX('Description Library'!$I$6:$I$808,MATCH($C178&amp;"|"&amp;$D178&amp;"|"&amp;$E178&amp;"|"&amp;$F178,'Description Library'!$K$6:$K$808,0)),"")</f>
        <v/>
      </c>
      <c r="K178" s="18" t="str">
        <f aca="false">IFERROR(INDEX('Description Library'!$J$6:$J$808,MATCH($C178&amp;"|"&amp;$D178&amp;"|"&amp;$E178&amp;"|"&amp;$F178,'Description Library'!$K$6:$K$808,0)),"")</f>
        <v/>
      </c>
      <c r="L178" s="23" t="str">
        <f aca="false">IF(OR($I178="",$K178=""),"",$I178*$K178)</f>
        <v/>
      </c>
      <c r="M178" s="24" t="str">
        <f aca="false">IFERROR(VLOOKUP($C178,MAP_SEC,2,0),"L_SECTION")</f>
        <v>L_SECTION</v>
      </c>
      <c r="N178" s="24" t="str">
        <f aca="false">IFERROR(VLOOKUP($C178&amp;"|"&amp;$D178,MAP_SUB,2,0),"L_SECTION")</f>
        <v>L_SECTION</v>
      </c>
      <c r="O178" s="24" t="str">
        <f aca="false">IFERROR(VLOOKUP($C178&amp;"|"&amp;$D178&amp;"|"&amp;$E178,MAP_SE,2,0),"L_SECTION")</f>
        <v>L_SECTION</v>
      </c>
    </row>
    <row r="179" customFormat="false" ht="15" hidden="false" customHeight="false" outlineLevel="0" collapsed="false">
      <c r="A179" s="5" t="str">
        <f aca="false">IF($C179="","",ROW()-4)</f>
        <v/>
      </c>
      <c r="B179" s="20"/>
      <c r="C179" s="20"/>
      <c r="D179" s="20"/>
      <c r="E179" s="20"/>
      <c r="F179" s="20"/>
      <c r="G179" s="21" t="str">
        <f aca="false">IFERROR(INDEX('Description Library'!$C$6:$C$808,MATCH($C179&amp;"|"&amp;$D179&amp;"|"&amp;$E179&amp;"|"&amp;$F179,'Description Library'!$K$6:$K$808,0)),"")</f>
        <v/>
      </c>
      <c r="H179" s="5" t="str">
        <f aca="false">IFERROR(INDEX('Description Library'!$H$6:$H$808,MATCH($C179&amp;"|"&amp;$D179&amp;"|"&amp;$E179&amp;"|"&amp;$F179,'Description Library'!$K$6:$K$808,0)),"")</f>
        <v/>
      </c>
      <c r="I179" s="22"/>
      <c r="J179" s="5" t="str">
        <f aca="false">IFERROR(INDEX('Description Library'!$I$6:$I$808,MATCH($C179&amp;"|"&amp;$D179&amp;"|"&amp;$E179&amp;"|"&amp;$F179,'Description Library'!$K$6:$K$808,0)),"")</f>
        <v/>
      </c>
      <c r="K179" s="18" t="str">
        <f aca="false">IFERROR(INDEX('Description Library'!$J$6:$J$808,MATCH($C179&amp;"|"&amp;$D179&amp;"|"&amp;$E179&amp;"|"&amp;$F179,'Description Library'!$K$6:$K$808,0)),"")</f>
        <v/>
      </c>
      <c r="L179" s="23" t="str">
        <f aca="false">IF(OR($I179="",$K179=""),"",$I179*$K179)</f>
        <v/>
      </c>
      <c r="M179" s="24" t="str">
        <f aca="false">IFERROR(VLOOKUP($C179,MAP_SEC,2,0),"L_SECTION")</f>
        <v>L_SECTION</v>
      </c>
      <c r="N179" s="24" t="str">
        <f aca="false">IFERROR(VLOOKUP($C179&amp;"|"&amp;$D179,MAP_SUB,2,0),"L_SECTION")</f>
        <v>L_SECTION</v>
      </c>
      <c r="O179" s="24" t="str">
        <f aca="false">IFERROR(VLOOKUP($C179&amp;"|"&amp;$D179&amp;"|"&amp;$E179,MAP_SE,2,0),"L_SECTION")</f>
        <v>L_SECTION</v>
      </c>
    </row>
    <row r="180" customFormat="false" ht="15" hidden="false" customHeight="false" outlineLevel="0" collapsed="false">
      <c r="A180" s="5" t="str">
        <f aca="false">IF($C180="","",ROW()-4)</f>
        <v/>
      </c>
      <c r="B180" s="20"/>
      <c r="C180" s="20"/>
      <c r="D180" s="20"/>
      <c r="E180" s="20"/>
      <c r="F180" s="20"/>
      <c r="G180" s="21" t="str">
        <f aca="false">IFERROR(INDEX('Description Library'!$C$6:$C$808,MATCH($C180&amp;"|"&amp;$D180&amp;"|"&amp;$E180&amp;"|"&amp;$F180,'Description Library'!$K$6:$K$808,0)),"")</f>
        <v/>
      </c>
      <c r="H180" s="5" t="str">
        <f aca="false">IFERROR(INDEX('Description Library'!$H$6:$H$808,MATCH($C180&amp;"|"&amp;$D180&amp;"|"&amp;$E180&amp;"|"&amp;$F180,'Description Library'!$K$6:$K$808,0)),"")</f>
        <v/>
      </c>
      <c r="I180" s="22"/>
      <c r="J180" s="5" t="str">
        <f aca="false">IFERROR(INDEX('Description Library'!$I$6:$I$808,MATCH($C180&amp;"|"&amp;$D180&amp;"|"&amp;$E180&amp;"|"&amp;$F180,'Description Library'!$K$6:$K$808,0)),"")</f>
        <v/>
      </c>
      <c r="K180" s="18" t="str">
        <f aca="false">IFERROR(INDEX('Description Library'!$J$6:$J$808,MATCH($C180&amp;"|"&amp;$D180&amp;"|"&amp;$E180&amp;"|"&amp;$F180,'Description Library'!$K$6:$K$808,0)),"")</f>
        <v/>
      </c>
      <c r="L180" s="23" t="str">
        <f aca="false">IF(OR($I180="",$K180=""),"",$I180*$K180)</f>
        <v/>
      </c>
      <c r="M180" s="24" t="str">
        <f aca="false">IFERROR(VLOOKUP($C180,MAP_SEC,2,0),"L_SECTION")</f>
        <v>L_SECTION</v>
      </c>
      <c r="N180" s="24" t="str">
        <f aca="false">IFERROR(VLOOKUP($C180&amp;"|"&amp;$D180,MAP_SUB,2,0),"L_SECTION")</f>
        <v>L_SECTION</v>
      </c>
      <c r="O180" s="24" t="str">
        <f aca="false">IFERROR(VLOOKUP($C180&amp;"|"&amp;$D180&amp;"|"&amp;$E180,MAP_SE,2,0),"L_SECTION")</f>
        <v>L_SECTION</v>
      </c>
    </row>
    <row r="181" customFormat="false" ht="15" hidden="false" customHeight="false" outlineLevel="0" collapsed="false">
      <c r="A181" s="5" t="str">
        <f aca="false">IF($C181="","",ROW()-4)</f>
        <v/>
      </c>
      <c r="B181" s="20"/>
      <c r="C181" s="20"/>
      <c r="D181" s="20"/>
      <c r="E181" s="20"/>
      <c r="F181" s="20"/>
      <c r="G181" s="21" t="str">
        <f aca="false">IFERROR(INDEX('Description Library'!$C$6:$C$808,MATCH($C181&amp;"|"&amp;$D181&amp;"|"&amp;$E181&amp;"|"&amp;$F181,'Description Library'!$K$6:$K$808,0)),"")</f>
        <v/>
      </c>
      <c r="H181" s="5" t="str">
        <f aca="false">IFERROR(INDEX('Description Library'!$H$6:$H$808,MATCH($C181&amp;"|"&amp;$D181&amp;"|"&amp;$E181&amp;"|"&amp;$F181,'Description Library'!$K$6:$K$808,0)),"")</f>
        <v/>
      </c>
      <c r="I181" s="22"/>
      <c r="J181" s="5" t="str">
        <f aca="false">IFERROR(INDEX('Description Library'!$I$6:$I$808,MATCH($C181&amp;"|"&amp;$D181&amp;"|"&amp;$E181&amp;"|"&amp;$F181,'Description Library'!$K$6:$K$808,0)),"")</f>
        <v/>
      </c>
      <c r="K181" s="18" t="str">
        <f aca="false">IFERROR(INDEX('Description Library'!$J$6:$J$808,MATCH($C181&amp;"|"&amp;$D181&amp;"|"&amp;$E181&amp;"|"&amp;$F181,'Description Library'!$K$6:$K$808,0)),"")</f>
        <v/>
      </c>
      <c r="L181" s="23" t="str">
        <f aca="false">IF(OR($I181="",$K181=""),"",$I181*$K181)</f>
        <v/>
      </c>
      <c r="M181" s="24" t="str">
        <f aca="false">IFERROR(VLOOKUP($C181,MAP_SEC,2,0),"L_SECTION")</f>
        <v>L_SECTION</v>
      </c>
      <c r="N181" s="24" t="str">
        <f aca="false">IFERROR(VLOOKUP($C181&amp;"|"&amp;$D181,MAP_SUB,2,0),"L_SECTION")</f>
        <v>L_SECTION</v>
      </c>
      <c r="O181" s="24" t="str">
        <f aca="false">IFERROR(VLOOKUP($C181&amp;"|"&amp;$D181&amp;"|"&amp;$E181,MAP_SE,2,0),"L_SECTION")</f>
        <v>L_SECTION</v>
      </c>
    </row>
    <row r="182" customFormat="false" ht="15" hidden="false" customHeight="false" outlineLevel="0" collapsed="false">
      <c r="A182" s="5" t="str">
        <f aca="false">IF($C182="","",ROW()-4)</f>
        <v/>
      </c>
      <c r="B182" s="20"/>
      <c r="C182" s="20"/>
      <c r="D182" s="20"/>
      <c r="E182" s="20"/>
      <c r="F182" s="20"/>
      <c r="G182" s="21" t="str">
        <f aca="false">IFERROR(INDEX('Description Library'!$C$6:$C$808,MATCH($C182&amp;"|"&amp;$D182&amp;"|"&amp;$E182&amp;"|"&amp;$F182,'Description Library'!$K$6:$K$808,0)),"")</f>
        <v/>
      </c>
      <c r="H182" s="5" t="str">
        <f aca="false">IFERROR(INDEX('Description Library'!$H$6:$H$808,MATCH($C182&amp;"|"&amp;$D182&amp;"|"&amp;$E182&amp;"|"&amp;$F182,'Description Library'!$K$6:$K$808,0)),"")</f>
        <v/>
      </c>
      <c r="I182" s="22"/>
      <c r="J182" s="5" t="str">
        <f aca="false">IFERROR(INDEX('Description Library'!$I$6:$I$808,MATCH($C182&amp;"|"&amp;$D182&amp;"|"&amp;$E182&amp;"|"&amp;$F182,'Description Library'!$K$6:$K$808,0)),"")</f>
        <v/>
      </c>
      <c r="K182" s="18" t="str">
        <f aca="false">IFERROR(INDEX('Description Library'!$J$6:$J$808,MATCH($C182&amp;"|"&amp;$D182&amp;"|"&amp;$E182&amp;"|"&amp;$F182,'Description Library'!$K$6:$K$808,0)),"")</f>
        <v/>
      </c>
      <c r="L182" s="23" t="str">
        <f aca="false">IF(OR($I182="",$K182=""),"",$I182*$K182)</f>
        <v/>
      </c>
      <c r="M182" s="24" t="str">
        <f aca="false">IFERROR(VLOOKUP($C182,MAP_SEC,2,0),"L_SECTION")</f>
        <v>L_SECTION</v>
      </c>
      <c r="N182" s="24" t="str">
        <f aca="false">IFERROR(VLOOKUP($C182&amp;"|"&amp;$D182,MAP_SUB,2,0),"L_SECTION")</f>
        <v>L_SECTION</v>
      </c>
      <c r="O182" s="24" t="str">
        <f aca="false">IFERROR(VLOOKUP($C182&amp;"|"&amp;$D182&amp;"|"&amp;$E182,MAP_SE,2,0),"L_SECTION")</f>
        <v>L_SECTION</v>
      </c>
    </row>
    <row r="183" customFormat="false" ht="15" hidden="false" customHeight="false" outlineLevel="0" collapsed="false">
      <c r="A183" s="5" t="str">
        <f aca="false">IF($C183="","",ROW()-4)</f>
        <v/>
      </c>
      <c r="B183" s="20"/>
      <c r="C183" s="20"/>
      <c r="D183" s="20"/>
      <c r="E183" s="20"/>
      <c r="F183" s="20"/>
      <c r="G183" s="21" t="str">
        <f aca="false">IFERROR(INDEX('Description Library'!$C$6:$C$808,MATCH($C183&amp;"|"&amp;$D183&amp;"|"&amp;$E183&amp;"|"&amp;$F183,'Description Library'!$K$6:$K$808,0)),"")</f>
        <v/>
      </c>
      <c r="H183" s="5" t="str">
        <f aca="false">IFERROR(INDEX('Description Library'!$H$6:$H$808,MATCH($C183&amp;"|"&amp;$D183&amp;"|"&amp;$E183&amp;"|"&amp;$F183,'Description Library'!$K$6:$K$808,0)),"")</f>
        <v/>
      </c>
      <c r="I183" s="22"/>
      <c r="J183" s="5" t="str">
        <f aca="false">IFERROR(INDEX('Description Library'!$I$6:$I$808,MATCH($C183&amp;"|"&amp;$D183&amp;"|"&amp;$E183&amp;"|"&amp;$F183,'Description Library'!$K$6:$K$808,0)),"")</f>
        <v/>
      </c>
      <c r="K183" s="18" t="str">
        <f aca="false">IFERROR(INDEX('Description Library'!$J$6:$J$808,MATCH($C183&amp;"|"&amp;$D183&amp;"|"&amp;$E183&amp;"|"&amp;$F183,'Description Library'!$K$6:$K$808,0)),"")</f>
        <v/>
      </c>
      <c r="L183" s="23" t="str">
        <f aca="false">IF(OR($I183="",$K183=""),"",$I183*$K183)</f>
        <v/>
      </c>
      <c r="M183" s="24" t="str">
        <f aca="false">IFERROR(VLOOKUP($C183,MAP_SEC,2,0),"L_SECTION")</f>
        <v>L_SECTION</v>
      </c>
      <c r="N183" s="24" t="str">
        <f aca="false">IFERROR(VLOOKUP($C183&amp;"|"&amp;$D183,MAP_SUB,2,0),"L_SECTION")</f>
        <v>L_SECTION</v>
      </c>
      <c r="O183" s="24" t="str">
        <f aca="false">IFERROR(VLOOKUP($C183&amp;"|"&amp;$D183&amp;"|"&amp;$E183,MAP_SE,2,0),"L_SECTION")</f>
        <v>L_SECTION</v>
      </c>
    </row>
    <row r="184" customFormat="false" ht="15" hidden="false" customHeight="false" outlineLevel="0" collapsed="false">
      <c r="A184" s="5" t="str">
        <f aca="false">IF($C184="","",ROW()-4)</f>
        <v/>
      </c>
      <c r="B184" s="20"/>
      <c r="C184" s="20"/>
      <c r="D184" s="20"/>
      <c r="E184" s="20"/>
      <c r="F184" s="20"/>
      <c r="G184" s="21" t="str">
        <f aca="false">IFERROR(INDEX('Description Library'!$C$6:$C$808,MATCH($C184&amp;"|"&amp;$D184&amp;"|"&amp;$E184&amp;"|"&amp;$F184,'Description Library'!$K$6:$K$808,0)),"")</f>
        <v/>
      </c>
      <c r="H184" s="5" t="str">
        <f aca="false">IFERROR(INDEX('Description Library'!$H$6:$H$808,MATCH($C184&amp;"|"&amp;$D184&amp;"|"&amp;$E184&amp;"|"&amp;$F184,'Description Library'!$K$6:$K$808,0)),"")</f>
        <v/>
      </c>
      <c r="I184" s="22"/>
      <c r="J184" s="5" t="str">
        <f aca="false">IFERROR(INDEX('Description Library'!$I$6:$I$808,MATCH($C184&amp;"|"&amp;$D184&amp;"|"&amp;$E184&amp;"|"&amp;$F184,'Description Library'!$K$6:$K$808,0)),"")</f>
        <v/>
      </c>
      <c r="K184" s="18" t="str">
        <f aca="false">IFERROR(INDEX('Description Library'!$J$6:$J$808,MATCH($C184&amp;"|"&amp;$D184&amp;"|"&amp;$E184&amp;"|"&amp;$F184,'Description Library'!$K$6:$K$808,0)),"")</f>
        <v/>
      </c>
      <c r="L184" s="23" t="str">
        <f aca="false">IF(OR($I184="",$K184=""),"",$I184*$K184)</f>
        <v/>
      </c>
      <c r="M184" s="24" t="str">
        <f aca="false">IFERROR(VLOOKUP($C184,MAP_SEC,2,0),"L_SECTION")</f>
        <v>L_SECTION</v>
      </c>
      <c r="N184" s="24" t="str">
        <f aca="false">IFERROR(VLOOKUP($C184&amp;"|"&amp;$D184,MAP_SUB,2,0),"L_SECTION")</f>
        <v>L_SECTION</v>
      </c>
      <c r="O184" s="24" t="str">
        <f aca="false">IFERROR(VLOOKUP($C184&amp;"|"&amp;$D184&amp;"|"&amp;$E184,MAP_SE,2,0),"L_SECTION")</f>
        <v>L_SECTION</v>
      </c>
    </row>
    <row r="185" customFormat="false" ht="15" hidden="false" customHeight="false" outlineLevel="0" collapsed="false">
      <c r="A185" s="5" t="str">
        <f aca="false">IF($C185="","",ROW()-4)</f>
        <v/>
      </c>
      <c r="B185" s="20"/>
      <c r="C185" s="20"/>
      <c r="D185" s="20"/>
      <c r="E185" s="20"/>
      <c r="F185" s="20"/>
      <c r="G185" s="21" t="str">
        <f aca="false">IFERROR(INDEX('Description Library'!$C$6:$C$808,MATCH($C185&amp;"|"&amp;$D185&amp;"|"&amp;$E185&amp;"|"&amp;$F185,'Description Library'!$K$6:$K$808,0)),"")</f>
        <v/>
      </c>
      <c r="H185" s="5" t="str">
        <f aca="false">IFERROR(INDEX('Description Library'!$H$6:$H$808,MATCH($C185&amp;"|"&amp;$D185&amp;"|"&amp;$E185&amp;"|"&amp;$F185,'Description Library'!$K$6:$K$808,0)),"")</f>
        <v/>
      </c>
      <c r="I185" s="22"/>
      <c r="J185" s="5" t="str">
        <f aca="false">IFERROR(INDEX('Description Library'!$I$6:$I$808,MATCH($C185&amp;"|"&amp;$D185&amp;"|"&amp;$E185&amp;"|"&amp;$F185,'Description Library'!$K$6:$K$808,0)),"")</f>
        <v/>
      </c>
      <c r="K185" s="18" t="str">
        <f aca="false">IFERROR(INDEX('Description Library'!$J$6:$J$808,MATCH($C185&amp;"|"&amp;$D185&amp;"|"&amp;$E185&amp;"|"&amp;$F185,'Description Library'!$K$6:$K$808,0)),"")</f>
        <v/>
      </c>
      <c r="L185" s="23" t="str">
        <f aca="false">IF(OR($I185="",$K185=""),"",$I185*$K185)</f>
        <v/>
      </c>
      <c r="M185" s="24" t="str">
        <f aca="false">IFERROR(VLOOKUP($C185,MAP_SEC,2,0),"L_SECTION")</f>
        <v>L_SECTION</v>
      </c>
      <c r="N185" s="24" t="str">
        <f aca="false">IFERROR(VLOOKUP($C185&amp;"|"&amp;$D185,MAP_SUB,2,0),"L_SECTION")</f>
        <v>L_SECTION</v>
      </c>
      <c r="O185" s="24" t="str">
        <f aca="false">IFERROR(VLOOKUP($C185&amp;"|"&amp;$D185&amp;"|"&amp;$E185,MAP_SE,2,0),"L_SECTION")</f>
        <v>L_SECTION</v>
      </c>
    </row>
    <row r="186" customFormat="false" ht="15" hidden="false" customHeight="false" outlineLevel="0" collapsed="false">
      <c r="A186" s="5" t="str">
        <f aca="false">IF($C186="","",ROW()-4)</f>
        <v/>
      </c>
      <c r="B186" s="20"/>
      <c r="C186" s="20"/>
      <c r="D186" s="20"/>
      <c r="E186" s="20"/>
      <c r="F186" s="20"/>
      <c r="G186" s="21" t="str">
        <f aca="false">IFERROR(INDEX('Description Library'!$C$6:$C$808,MATCH($C186&amp;"|"&amp;$D186&amp;"|"&amp;$E186&amp;"|"&amp;$F186,'Description Library'!$K$6:$K$808,0)),"")</f>
        <v/>
      </c>
      <c r="H186" s="5" t="str">
        <f aca="false">IFERROR(INDEX('Description Library'!$H$6:$H$808,MATCH($C186&amp;"|"&amp;$D186&amp;"|"&amp;$E186&amp;"|"&amp;$F186,'Description Library'!$K$6:$K$808,0)),"")</f>
        <v/>
      </c>
      <c r="I186" s="22"/>
      <c r="J186" s="5" t="str">
        <f aca="false">IFERROR(INDEX('Description Library'!$I$6:$I$808,MATCH($C186&amp;"|"&amp;$D186&amp;"|"&amp;$E186&amp;"|"&amp;$F186,'Description Library'!$K$6:$K$808,0)),"")</f>
        <v/>
      </c>
      <c r="K186" s="18" t="str">
        <f aca="false">IFERROR(INDEX('Description Library'!$J$6:$J$808,MATCH($C186&amp;"|"&amp;$D186&amp;"|"&amp;$E186&amp;"|"&amp;$F186,'Description Library'!$K$6:$K$808,0)),"")</f>
        <v/>
      </c>
      <c r="L186" s="23" t="str">
        <f aca="false">IF(OR($I186="",$K186=""),"",$I186*$K186)</f>
        <v/>
      </c>
      <c r="M186" s="24" t="str">
        <f aca="false">IFERROR(VLOOKUP($C186,MAP_SEC,2,0),"L_SECTION")</f>
        <v>L_SECTION</v>
      </c>
      <c r="N186" s="24" t="str">
        <f aca="false">IFERROR(VLOOKUP($C186&amp;"|"&amp;$D186,MAP_SUB,2,0),"L_SECTION")</f>
        <v>L_SECTION</v>
      </c>
      <c r="O186" s="24" t="str">
        <f aca="false">IFERROR(VLOOKUP($C186&amp;"|"&amp;$D186&amp;"|"&amp;$E186,MAP_SE,2,0),"L_SECTION")</f>
        <v>L_SECTION</v>
      </c>
    </row>
    <row r="187" customFormat="false" ht="15" hidden="false" customHeight="false" outlineLevel="0" collapsed="false">
      <c r="A187" s="5" t="str">
        <f aca="false">IF($C187="","",ROW()-4)</f>
        <v/>
      </c>
      <c r="B187" s="20"/>
      <c r="C187" s="20"/>
      <c r="D187" s="20"/>
      <c r="E187" s="20"/>
      <c r="F187" s="20"/>
      <c r="G187" s="21" t="str">
        <f aca="false">IFERROR(INDEX('Description Library'!$C$6:$C$808,MATCH($C187&amp;"|"&amp;$D187&amp;"|"&amp;$E187&amp;"|"&amp;$F187,'Description Library'!$K$6:$K$808,0)),"")</f>
        <v/>
      </c>
      <c r="H187" s="5" t="str">
        <f aca="false">IFERROR(INDEX('Description Library'!$H$6:$H$808,MATCH($C187&amp;"|"&amp;$D187&amp;"|"&amp;$E187&amp;"|"&amp;$F187,'Description Library'!$K$6:$K$808,0)),"")</f>
        <v/>
      </c>
      <c r="I187" s="22"/>
      <c r="J187" s="5" t="str">
        <f aca="false">IFERROR(INDEX('Description Library'!$I$6:$I$808,MATCH($C187&amp;"|"&amp;$D187&amp;"|"&amp;$E187&amp;"|"&amp;$F187,'Description Library'!$K$6:$K$808,0)),"")</f>
        <v/>
      </c>
      <c r="K187" s="18" t="str">
        <f aca="false">IFERROR(INDEX('Description Library'!$J$6:$J$808,MATCH($C187&amp;"|"&amp;$D187&amp;"|"&amp;$E187&amp;"|"&amp;$F187,'Description Library'!$K$6:$K$808,0)),"")</f>
        <v/>
      </c>
      <c r="L187" s="23" t="str">
        <f aca="false">IF(OR($I187="",$K187=""),"",$I187*$K187)</f>
        <v/>
      </c>
      <c r="M187" s="24" t="str">
        <f aca="false">IFERROR(VLOOKUP($C187,MAP_SEC,2,0),"L_SECTION")</f>
        <v>L_SECTION</v>
      </c>
      <c r="N187" s="24" t="str">
        <f aca="false">IFERROR(VLOOKUP($C187&amp;"|"&amp;$D187,MAP_SUB,2,0),"L_SECTION")</f>
        <v>L_SECTION</v>
      </c>
      <c r="O187" s="24" t="str">
        <f aca="false">IFERROR(VLOOKUP($C187&amp;"|"&amp;$D187&amp;"|"&amp;$E187,MAP_SE,2,0),"L_SECTION")</f>
        <v>L_SECTION</v>
      </c>
    </row>
    <row r="188" customFormat="false" ht="15" hidden="false" customHeight="false" outlineLevel="0" collapsed="false">
      <c r="A188" s="5" t="str">
        <f aca="false">IF($C188="","",ROW()-4)</f>
        <v/>
      </c>
      <c r="B188" s="20"/>
      <c r="C188" s="20"/>
      <c r="D188" s="20"/>
      <c r="E188" s="20"/>
      <c r="F188" s="20"/>
      <c r="G188" s="21" t="str">
        <f aca="false">IFERROR(INDEX('Description Library'!$C$6:$C$808,MATCH($C188&amp;"|"&amp;$D188&amp;"|"&amp;$E188&amp;"|"&amp;$F188,'Description Library'!$K$6:$K$808,0)),"")</f>
        <v/>
      </c>
      <c r="H188" s="5" t="str">
        <f aca="false">IFERROR(INDEX('Description Library'!$H$6:$H$808,MATCH($C188&amp;"|"&amp;$D188&amp;"|"&amp;$E188&amp;"|"&amp;$F188,'Description Library'!$K$6:$K$808,0)),"")</f>
        <v/>
      </c>
      <c r="I188" s="22"/>
      <c r="J188" s="5" t="str">
        <f aca="false">IFERROR(INDEX('Description Library'!$I$6:$I$808,MATCH($C188&amp;"|"&amp;$D188&amp;"|"&amp;$E188&amp;"|"&amp;$F188,'Description Library'!$K$6:$K$808,0)),"")</f>
        <v/>
      </c>
      <c r="K188" s="18" t="str">
        <f aca="false">IFERROR(INDEX('Description Library'!$J$6:$J$808,MATCH($C188&amp;"|"&amp;$D188&amp;"|"&amp;$E188&amp;"|"&amp;$F188,'Description Library'!$K$6:$K$808,0)),"")</f>
        <v/>
      </c>
      <c r="L188" s="23" t="str">
        <f aca="false">IF(OR($I188="",$K188=""),"",$I188*$K188)</f>
        <v/>
      </c>
      <c r="M188" s="24" t="str">
        <f aca="false">IFERROR(VLOOKUP($C188,MAP_SEC,2,0),"L_SECTION")</f>
        <v>L_SECTION</v>
      </c>
      <c r="N188" s="24" t="str">
        <f aca="false">IFERROR(VLOOKUP($C188&amp;"|"&amp;$D188,MAP_SUB,2,0),"L_SECTION")</f>
        <v>L_SECTION</v>
      </c>
      <c r="O188" s="24" t="str">
        <f aca="false">IFERROR(VLOOKUP($C188&amp;"|"&amp;$D188&amp;"|"&amp;$E188,MAP_SE,2,0),"L_SECTION")</f>
        <v>L_SECTION</v>
      </c>
    </row>
    <row r="189" customFormat="false" ht="15" hidden="false" customHeight="false" outlineLevel="0" collapsed="false">
      <c r="A189" s="5" t="str">
        <f aca="false">IF($C189="","",ROW()-4)</f>
        <v/>
      </c>
      <c r="B189" s="20"/>
      <c r="C189" s="20"/>
      <c r="D189" s="20"/>
      <c r="E189" s="20"/>
      <c r="F189" s="20"/>
      <c r="G189" s="21" t="str">
        <f aca="false">IFERROR(INDEX('Description Library'!$C$6:$C$808,MATCH($C189&amp;"|"&amp;$D189&amp;"|"&amp;$E189&amp;"|"&amp;$F189,'Description Library'!$K$6:$K$808,0)),"")</f>
        <v/>
      </c>
      <c r="H189" s="5" t="str">
        <f aca="false">IFERROR(INDEX('Description Library'!$H$6:$H$808,MATCH($C189&amp;"|"&amp;$D189&amp;"|"&amp;$E189&amp;"|"&amp;$F189,'Description Library'!$K$6:$K$808,0)),"")</f>
        <v/>
      </c>
      <c r="I189" s="22"/>
      <c r="J189" s="5" t="str">
        <f aca="false">IFERROR(INDEX('Description Library'!$I$6:$I$808,MATCH($C189&amp;"|"&amp;$D189&amp;"|"&amp;$E189&amp;"|"&amp;$F189,'Description Library'!$K$6:$K$808,0)),"")</f>
        <v/>
      </c>
      <c r="K189" s="18" t="str">
        <f aca="false">IFERROR(INDEX('Description Library'!$J$6:$J$808,MATCH($C189&amp;"|"&amp;$D189&amp;"|"&amp;$E189&amp;"|"&amp;$F189,'Description Library'!$K$6:$K$808,0)),"")</f>
        <v/>
      </c>
      <c r="L189" s="23" t="str">
        <f aca="false">IF(OR($I189="",$K189=""),"",$I189*$K189)</f>
        <v/>
      </c>
      <c r="M189" s="24" t="str">
        <f aca="false">IFERROR(VLOOKUP($C189,MAP_SEC,2,0),"L_SECTION")</f>
        <v>L_SECTION</v>
      </c>
      <c r="N189" s="24" t="str">
        <f aca="false">IFERROR(VLOOKUP($C189&amp;"|"&amp;$D189,MAP_SUB,2,0),"L_SECTION")</f>
        <v>L_SECTION</v>
      </c>
      <c r="O189" s="24" t="str">
        <f aca="false">IFERROR(VLOOKUP($C189&amp;"|"&amp;$D189&amp;"|"&amp;$E189,MAP_SE,2,0),"L_SECTION")</f>
        <v>L_SECTION</v>
      </c>
    </row>
    <row r="190" customFormat="false" ht="15" hidden="false" customHeight="false" outlineLevel="0" collapsed="false">
      <c r="A190" s="5" t="str">
        <f aca="false">IF($C190="","",ROW()-4)</f>
        <v/>
      </c>
      <c r="B190" s="20"/>
      <c r="C190" s="20"/>
      <c r="D190" s="20"/>
      <c r="E190" s="20"/>
      <c r="F190" s="20"/>
      <c r="G190" s="21" t="str">
        <f aca="false">IFERROR(INDEX('Description Library'!$C$6:$C$808,MATCH($C190&amp;"|"&amp;$D190&amp;"|"&amp;$E190&amp;"|"&amp;$F190,'Description Library'!$K$6:$K$808,0)),"")</f>
        <v/>
      </c>
      <c r="H190" s="5" t="str">
        <f aca="false">IFERROR(INDEX('Description Library'!$H$6:$H$808,MATCH($C190&amp;"|"&amp;$D190&amp;"|"&amp;$E190&amp;"|"&amp;$F190,'Description Library'!$K$6:$K$808,0)),"")</f>
        <v/>
      </c>
      <c r="I190" s="22"/>
      <c r="J190" s="5" t="str">
        <f aca="false">IFERROR(INDEX('Description Library'!$I$6:$I$808,MATCH($C190&amp;"|"&amp;$D190&amp;"|"&amp;$E190&amp;"|"&amp;$F190,'Description Library'!$K$6:$K$808,0)),"")</f>
        <v/>
      </c>
      <c r="K190" s="18" t="str">
        <f aca="false">IFERROR(INDEX('Description Library'!$J$6:$J$808,MATCH($C190&amp;"|"&amp;$D190&amp;"|"&amp;$E190&amp;"|"&amp;$F190,'Description Library'!$K$6:$K$808,0)),"")</f>
        <v/>
      </c>
      <c r="L190" s="23" t="str">
        <f aca="false">IF(OR($I190="",$K190=""),"",$I190*$K190)</f>
        <v/>
      </c>
      <c r="M190" s="24" t="str">
        <f aca="false">IFERROR(VLOOKUP($C190,MAP_SEC,2,0),"L_SECTION")</f>
        <v>L_SECTION</v>
      </c>
      <c r="N190" s="24" t="str">
        <f aca="false">IFERROR(VLOOKUP($C190&amp;"|"&amp;$D190,MAP_SUB,2,0),"L_SECTION")</f>
        <v>L_SECTION</v>
      </c>
      <c r="O190" s="24" t="str">
        <f aca="false">IFERROR(VLOOKUP($C190&amp;"|"&amp;$D190&amp;"|"&amp;$E190,MAP_SE,2,0),"L_SECTION")</f>
        <v>L_SECTION</v>
      </c>
    </row>
    <row r="191" customFormat="false" ht="15" hidden="false" customHeight="false" outlineLevel="0" collapsed="false">
      <c r="A191" s="5" t="str">
        <f aca="false">IF($C191="","",ROW()-4)</f>
        <v/>
      </c>
      <c r="B191" s="20"/>
      <c r="C191" s="20"/>
      <c r="D191" s="20"/>
      <c r="E191" s="20"/>
      <c r="F191" s="20"/>
      <c r="G191" s="21" t="str">
        <f aca="false">IFERROR(INDEX('Description Library'!$C$6:$C$808,MATCH($C191&amp;"|"&amp;$D191&amp;"|"&amp;$E191&amp;"|"&amp;$F191,'Description Library'!$K$6:$K$808,0)),"")</f>
        <v/>
      </c>
      <c r="H191" s="5" t="str">
        <f aca="false">IFERROR(INDEX('Description Library'!$H$6:$H$808,MATCH($C191&amp;"|"&amp;$D191&amp;"|"&amp;$E191&amp;"|"&amp;$F191,'Description Library'!$K$6:$K$808,0)),"")</f>
        <v/>
      </c>
      <c r="I191" s="22"/>
      <c r="J191" s="5" t="str">
        <f aca="false">IFERROR(INDEX('Description Library'!$I$6:$I$808,MATCH($C191&amp;"|"&amp;$D191&amp;"|"&amp;$E191&amp;"|"&amp;$F191,'Description Library'!$K$6:$K$808,0)),"")</f>
        <v/>
      </c>
      <c r="K191" s="18" t="str">
        <f aca="false">IFERROR(INDEX('Description Library'!$J$6:$J$808,MATCH($C191&amp;"|"&amp;$D191&amp;"|"&amp;$E191&amp;"|"&amp;$F191,'Description Library'!$K$6:$K$808,0)),"")</f>
        <v/>
      </c>
      <c r="L191" s="23" t="str">
        <f aca="false">IF(OR($I191="",$K191=""),"",$I191*$K191)</f>
        <v/>
      </c>
      <c r="M191" s="24" t="str">
        <f aca="false">IFERROR(VLOOKUP($C191,MAP_SEC,2,0),"L_SECTION")</f>
        <v>L_SECTION</v>
      </c>
      <c r="N191" s="24" t="str">
        <f aca="false">IFERROR(VLOOKUP($C191&amp;"|"&amp;$D191,MAP_SUB,2,0),"L_SECTION")</f>
        <v>L_SECTION</v>
      </c>
      <c r="O191" s="24" t="str">
        <f aca="false">IFERROR(VLOOKUP($C191&amp;"|"&amp;$D191&amp;"|"&amp;$E191,MAP_SE,2,0),"L_SECTION")</f>
        <v>L_SECTION</v>
      </c>
    </row>
    <row r="192" customFormat="false" ht="15" hidden="false" customHeight="false" outlineLevel="0" collapsed="false">
      <c r="A192" s="5" t="str">
        <f aca="false">IF($C192="","",ROW()-4)</f>
        <v/>
      </c>
      <c r="B192" s="20"/>
      <c r="C192" s="20"/>
      <c r="D192" s="20"/>
      <c r="E192" s="20"/>
      <c r="F192" s="20"/>
      <c r="G192" s="21" t="str">
        <f aca="false">IFERROR(INDEX('Description Library'!$C$6:$C$808,MATCH($C192&amp;"|"&amp;$D192&amp;"|"&amp;$E192&amp;"|"&amp;$F192,'Description Library'!$K$6:$K$808,0)),"")</f>
        <v/>
      </c>
      <c r="H192" s="5" t="str">
        <f aca="false">IFERROR(INDEX('Description Library'!$H$6:$H$808,MATCH($C192&amp;"|"&amp;$D192&amp;"|"&amp;$E192&amp;"|"&amp;$F192,'Description Library'!$K$6:$K$808,0)),"")</f>
        <v/>
      </c>
      <c r="I192" s="22"/>
      <c r="J192" s="5" t="str">
        <f aca="false">IFERROR(INDEX('Description Library'!$I$6:$I$808,MATCH($C192&amp;"|"&amp;$D192&amp;"|"&amp;$E192&amp;"|"&amp;$F192,'Description Library'!$K$6:$K$808,0)),"")</f>
        <v/>
      </c>
      <c r="K192" s="18" t="str">
        <f aca="false">IFERROR(INDEX('Description Library'!$J$6:$J$808,MATCH($C192&amp;"|"&amp;$D192&amp;"|"&amp;$E192&amp;"|"&amp;$F192,'Description Library'!$K$6:$K$808,0)),"")</f>
        <v/>
      </c>
      <c r="L192" s="23" t="str">
        <f aca="false">IF(OR($I192="",$K192=""),"",$I192*$K192)</f>
        <v/>
      </c>
      <c r="M192" s="24" t="str">
        <f aca="false">IFERROR(VLOOKUP($C192,MAP_SEC,2,0),"L_SECTION")</f>
        <v>L_SECTION</v>
      </c>
      <c r="N192" s="24" t="str">
        <f aca="false">IFERROR(VLOOKUP($C192&amp;"|"&amp;$D192,MAP_SUB,2,0),"L_SECTION")</f>
        <v>L_SECTION</v>
      </c>
      <c r="O192" s="24" t="str">
        <f aca="false">IFERROR(VLOOKUP($C192&amp;"|"&amp;$D192&amp;"|"&amp;$E192,MAP_SE,2,0),"L_SECTION")</f>
        <v>L_SECTION</v>
      </c>
    </row>
    <row r="193" customFormat="false" ht="15" hidden="false" customHeight="false" outlineLevel="0" collapsed="false">
      <c r="A193" s="5" t="str">
        <f aca="false">IF($C193="","",ROW()-4)</f>
        <v/>
      </c>
      <c r="B193" s="20"/>
      <c r="C193" s="20"/>
      <c r="D193" s="20"/>
      <c r="E193" s="20"/>
      <c r="F193" s="20"/>
      <c r="G193" s="21" t="str">
        <f aca="false">IFERROR(INDEX('Description Library'!$C$6:$C$808,MATCH($C193&amp;"|"&amp;$D193&amp;"|"&amp;$E193&amp;"|"&amp;$F193,'Description Library'!$K$6:$K$808,0)),"")</f>
        <v/>
      </c>
      <c r="H193" s="5" t="str">
        <f aca="false">IFERROR(INDEX('Description Library'!$H$6:$H$808,MATCH($C193&amp;"|"&amp;$D193&amp;"|"&amp;$E193&amp;"|"&amp;$F193,'Description Library'!$K$6:$K$808,0)),"")</f>
        <v/>
      </c>
      <c r="I193" s="22"/>
      <c r="J193" s="5" t="str">
        <f aca="false">IFERROR(INDEX('Description Library'!$I$6:$I$808,MATCH($C193&amp;"|"&amp;$D193&amp;"|"&amp;$E193&amp;"|"&amp;$F193,'Description Library'!$K$6:$K$808,0)),"")</f>
        <v/>
      </c>
      <c r="K193" s="18" t="str">
        <f aca="false">IFERROR(INDEX('Description Library'!$J$6:$J$808,MATCH($C193&amp;"|"&amp;$D193&amp;"|"&amp;$E193&amp;"|"&amp;$F193,'Description Library'!$K$6:$K$808,0)),"")</f>
        <v/>
      </c>
      <c r="L193" s="23" t="str">
        <f aca="false">IF(OR($I193="",$K193=""),"",$I193*$K193)</f>
        <v/>
      </c>
      <c r="M193" s="24" t="str">
        <f aca="false">IFERROR(VLOOKUP($C193,MAP_SEC,2,0),"L_SECTION")</f>
        <v>L_SECTION</v>
      </c>
      <c r="N193" s="24" t="str">
        <f aca="false">IFERROR(VLOOKUP($C193&amp;"|"&amp;$D193,MAP_SUB,2,0),"L_SECTION")</f>
        <v>L_SECTION</v>
      </c>
      <c r="O193" s="24" t="str">
        <f aca="false">IFERROR(VLOOKUP($C193&amp;"|"&amp;$D193&amp;"|"&amp;$E193,MAP_SE,2,0),"L_SECTION")</f>
        <v>L_SECTION</v>
      </c>
    </row>
    <row r="194" customFormat="false" ht="15" hidden="false" customHeight="false" outlineLevel="0" collapsed="false">
      <c r="A194" s="5" t="str">
        <f aca="false">IF($C194="","",ROW()-4)</f>
        <v/>
      </c>
      <c r="B194" s="20"/>
      <c r="C194" s="20"/>
      <c r="D194" s="20"/>
      <c r="E194" s="20"/>
      <c r="F194" s="20"/>
      <c r="G194" s="21" t="str">
        <f aca="false">IFERROR(INDEX('Description Library'!$C$6:$C$808,MATCH($C194&amp;"|"&amp;$D194&amp;"|"&amp;$E194&amp;"|"&amp;$F194,'Description Library'!$K$6:$K$808,0)),"")</f>
        <v/>
      </c>
      <c r="H194" s="5" t="str">
        <f aca="false">IFERROR(INDEX('Description Library'!$H$6:$H$808,MATCH($C194&amp;"|"&amp;$D194&amp;"|"&amp;$E194&amp;"|"&amp;$F194,'Description Library'!$K$6:$K$808,0)),"")</f>
        <v/>
      </c>
      <c r="I194" s="22"/>
      <c r="J194" s="5" t="str">
        <f aca="false">IFERROR(INDEX('Description Library'!$I$6:$I$808,MATCH($C194&amp;"|"&amp;$D194&amp;"|"&amp;$E194&amp;"|"&amp;$F194,'Description Library'!$K$6:$K$808,0)),"")</f>
        <v/>
      </c>
      <c r="K194" s="18" t="str">
        <f aca="false">IFERROR(INDEX('Description Library'!$J$6:$J$808,MATCH($C194&amp;"|"&amp;$D194&amp;"|"&amp;$E194&amp;"|"&amp;$F194,'Description Library'!$K$6:$K$808,0)),"")</f>
        <v/>
      </c>
      <c r="L194" s="23" t="str">
        <f aca="false">IF(OR($I194="",$K194=""),"",$I194*$K194)</f>
        <v/>
      </c>
      <c r="M194" s="24" t="str">
        <f aca="false">IFERROR(VLOOKUP($C194,MAP_SEC,2,0),"L_SECTION")</f>
        <v>L_SECTION</v>
      </c>
      <c r="N194" s="24" t="str">
        <f aca="false">IFERROR(VLOOKUP($C194&amp;"|"&amp;$D194,MAP_SUB,2,0),"L_SECTION")</f>
        <v>L_SECTION</v>
      </c>
      <c r="O194" s="24" t="str">
        <f aca="false">IFERROR(VLOOKUP($C194&amp;"|"&amp;$D194&amp;"|"&amp;$E194,MAP_SE,2,0),"L_SECTION")</f>
        <v>L_SECTION</v>
      </c>
    </row>
    <row r="195" customFormat="false" ht="15" hidden="false" customHeight="false" outlineLevel="0" collapsed="false">
      <c r="A195" s="5" t="str">
        <f aca="false">IF($C195="","",ROW()-4)</f>
        <v/>
      </c>
      <c r="B195" s="20"/>
      <c r="C195" s="20"/>
      <c r="D195" s="20"/>
      <c r="E195" s="20"/>
      <c r="F195" s="20"/>
      <c r="G195" s="21" t="str">
        <f aca="false">IFERROR(INDEX('Description Library'!$C$6:$C$808,MATCH($C195&amp;"|"&amp;$D195&amp;"|"&amp;$E195&amp;"|"&amp;$F195,'Description Library'!$K$6:$K$808,0)),"")</f>
        <v/>
      </c>
      <c r="H195" s="5" t="str">
        <f aca="false">IFERROR(INDEX('Description Library'!$H$6:$H$808,MATCH($C195&amp;"|"&amp;$D195&amp;"|"&amp;$E195&amp;"|"&amp;$F195,'Description Library'!$K$6:$K$808,0)),"")</f>
        <v/>
      </c>
      <c r="I195" s="22"/>
      <c r="J195" s="5" t="str">
        <f aca="false">IFERROR(INDEX('Description Library'!$I$6:$I$808,MATCH($C195&amp;"|"&amp;$D195&amp;"|"&amp;$E195&amp;"|"&amp;$F195,'Description Library'!$K$6:$K$808,0)),"")</f>
        <v/>
      </c>
      <c r="K195" s="18" t="str">
        <f aca="false">IFERROR(INDEX('Description Library'!$J$6:$J$808,MATCH($C195&amp;"|"&amp;$D195&amp;"|"&amp;$E195&amp;"|"&amp;$F195,'Description Library'!$K$6:$K$808,0)),"")</f>
        <v/>
      </c>
      <c r="L195" s="23" t="str">
        <f aca="false">IF(OR($I195="",$K195=""),"",$I195*$K195)</f>
        <v/>
      </c>
      <c r="M195" s="24" t="str">
        <f aca="false">IFERROR(VLOOKUP($C195,MAP_SEC,2,0),"L_SECTION")</f>
        <v>L_SECTION</v>
      </c>
      <c r="N195" s="24" t="str">
        <f aca="false">IFERROR(VLOOKUP($C195&amp;"|"&amp;$D195,MAP_SUB,2,0),"L_SECTION")</f>
        <v>L_SECTION</v>
      </c>
      <c r="O195" s="24" t="str">
        <f aca="false">IFERROR(VLOOKUP($C195&amp;"|"&amp;$D195&amp;"|"&amp;$E195,MAP_SE,2,0),"L_SECTION")</f>
        <v>L_SECTION</v>
      </c>
    </row>
    <row r="196" customFormat="false" ht="15" hidden="false" customHeight="false" outlineLevel="0" collapsed="false">
      <c r="A196" s="5" t="str">
        <f aca="false">IF($C196="","",ROW()-4)</f>
        <v/>
      </c>
      <c r="B196" s="20"/>
      <c r="C196" s="20"/>
      <c r="D196" s="20"/>
      <c r="E196" s="20"/>
      <c r="F196" s="20"/>
      <c r="G196" s="21" t="str">
        <f aca="false">IFERROR(INDEX('Description Library'!$C$6:$C$808,MATCH($C196&amp;"|"&amp;$D196&amp;"|"&amp;$E196&amp;"|"&amp;$F196,'Description Library'!$K$6:$K$808,0)),"")</f>
        <v/>
      </c>
      <c r="H196" s="5" t="str">
        <f aca="false">IFERROR(INDEX('Description Library'!$H$6:$H$808,MATCH($C196&amp;"|"&amp;$D196&amp;"|"&amp;$E196&amp;"|"&amp;$F196,'Description Library'!$K$6:$K$808,0)),"")</f>
        <v/>
      </c>
      <c r="I196" s="22"/>
      <c r="J196" s="5" t="str">
        <f aca="false">IFERROR(INDEX('Description Library'!$I$6:$I$808,MATCH($C196&amp;"|"&amp;$D196&amp;"|"&amp;$E196&amp;"|"&amp;$F196,'Description Library'!$K$6:$K$808,0)),"")</f>
        <v/>
      </c>
      <c r="K196" s="18" t="str">
        <f aca="false">IFERROR(INDEX('Description Library'!$J$6:$J$808,MATCH($C196&amp;"|"&amp;$D196&amp;"|"&amp;$E196&amp;"|"&amp;$F196,'Description Library'!$K$6:$K$808,0)),"")</f>
        <v/>
      </c>
      <c r="L196" s="23" t="str">
        <f aca="false">IF(OR($I196="",$K196=""),"",$I196*$K196)</f>
        <v/>
      </c>
      <c r="M196" s="24" t="str">
        <f aca="false">IFERROR(VLOOKUP($C196,MAP_SEC,2,0),"L_SECTION")</f>
        <v>L_SECTION</v>
      </c>
      <c r="N196" s="24" t="str">
        <f aca="false">IFERROR(VLOOKUP($C196&amp;"|"&amp;$D196,MAP_SUB,2,0),"L_SECTION")</f>
        <v>L_SECTION</v>
      </c>
      <c r="O196" s="24" t="str">
        <f aca="false">IFERROR(VLOOKUP($C196&amp;"|"&amp;$D196&amp;"|"&amp;$E196,MAP_SE,2,0),"L_SECTION")</f>
        <v>L_SECTION</v>
      </c>
    </row>
    <row r="197" customFormat="false" ht="15" hidden="false" customHeight="false" outlineLevel="0" collapsed="false">
      <c r="A197" s="5" t="str">
        <f aca="false">IF($C197="","",ROW()-4)</f>
        <v/>
      </c>
      <c r="B197" s="20"/>
      <c r="C197" s="20"/>
      <c r="D197" s="20"/>
      <c r="E197" s="20"/>
      <c r="F197" s="20"/>
      <c r="G197" s="21" t="str">
        <f aca="false">IFERROR(INDEX('Description Library'!$C$6:$C$808,MATCH($C197&amp;"|"&amp;$D197&amp;"|"&amp;$E197&amp;"|"&amp;$F197,'Description Library'!$K$6:$K$808,0)),"")</f>
        <v/>
      </c>
      <c r="H197" s="5" t="str">
        <f aca="false">IFERROR(INDEX('Description Library'!$H$6:$H$808,MATCH($C197&amp;"|"&amp;$D197&amp;"|"&amp;$E197&amp;"|"&amp;$F197,'Description Library'!$K$6:$K$808,0)),"")</f>
        <v/>
      </c>
      <c r="I197" s="22"/>
      <c r="J197" s="5" t="str">
        <f aca="false">IFERROR(INDEX('Description Library'!$I$6:$I$808,MATCH($C197&amp;"|"&amp;$D197&amp;"|"&amp;$E197&amp;"|"&amp;$F197,'Description Library'!$K$6:$K$808,0)),"")</f>
        <v/>
      </c>
      <c r="K197" s="18" t="str">
        <f aca="false">IFERROR(INDEX('Description Library'!$J$6:$J$808,MATCH($C197&amp;"|"&amp;$D197&amp;"|"&amp;$E197&amp;"|"&amp;$F197,'Description Library'!$K$6:$K$808,0)),"")</f>
        <v/>
      </c>
      <c r="L197" s="23" t="str">
        <f aca="false">IF(OR($I197="",$K197=""),"",$I197*$K197)</f>
        <v/>
      </c>
      <c r="M197" s="24" t="str">
        <f aca="false">IFERROR(VLOOKUP($C197,MAP_SEC,2,0),"L_SECTION")</f>
        <v>L_SECTION</v>
      </c>
      <c r="N197" s="24" t="str">
        <f aca="false">IFERROR(VLOOKUP($C197&amp;"|"&amp;$D197,MAP_SUB,2,0),"L_SECTION")</f>
        <v>L_SECTION</v>
      </c>
      <c r="O197" s="24" t="str">
        <f aca="false">IFERROR(VLOOKUP($C197&amp;"|"&amp;$D197&amp;"|"&amp;$E197,MAP_SE,2,0),"L_SECTION")</f>
        <v>L_SECTION</v>
      </c>
    </row>
    <row r="198" customFormat="false" ht="15" hidden="false" customHeight="false" outlineLevel="0" collapsed="false">
      <c r="A198" s="5" t="str">
        <f aca="false">IF($C198="","",ROW()-4)</f>
        <v/>
      </c>
      <c r="B198" s="20"/>
      <c r="C198" s="20"/>
      <c r="D198" s="20"/>
      <c r="E198" s="20"/>
      <c r="F198" s="20"/>
      <c r="G198" s="21" t="str">
        <f aca="false">IFERROR(INDEX('Description Library'!$C$6:$C$808,MATCH($C198&amp;"|"&amp;$D198&amp;"|"&amp;$E198&amp;"|"&amp;$F198,'Description Library'!$K$6:$K$808,0)),"")</f>
        <v/>
      </c>
      <c r="H198" s="5" t="str">
        <f aca="false">IFERROR(INDEX('Description Library'!$H$6:$H$808,MATCH($C198&amp;"|"&amp;$D198&amp;"|"&amp;$E198&amp;"|"&amp;$F198,'Description Library'!$K$6:$K$808,0)),"")</f>
        <v/>
      </c>
      <c r="I198" s="22"/>
      <c r="J198" s="5" t="str">
        <f aca="false">IFERROR(INDEX('Description Library'!$I$6:$I$808,MATCH($C198&amp;"|"&amp;$D198&amp;"|"&amp;$E198&amp;"|"&amp;$F198,'Description Library'!$K$6:$K$808,0)),"")</f>
        <v/>
      </c>
      <c r="K198" s="18" t="str">
        <f aca="false">IFERROR(INDEX('Description Library'!$J$6:$J$808,MATCH($C198&amp;"|"&amp;$D198&amp;"|"&amp;$E198&amp;"|"&amp;$F198,'Description Library'!$K$6:$K$808,0)),"")</f>
        <v/>
      </c>
      <c r="L198" s="23" t="str">
        <f aca="false">IF(OR($I198="",$K198=""),"",$I198*$K198)</f>
        <v/>
      </c>
      <c r="M198" s="24" t="str">
        <f aca="false">IFERROR(VLOOKUP($C198,MAP_SEC,2,0),"L_SECTION")</f>
        <v>L_SECTION</v>
      </c>
      <c r="N198" s="24" t="str">
        <f aca="false">IFERROR(VLOOKUP($C198&amp;"|"&amp;$D198,MAP_SUB,2,0),"L_SECTION")</f>
        <v>L_SECTION</v>
      </c>
      <c r="O198" s="24" t="str">
        <f aca="false">IFERROR(VLOOKUP($C198&amp;"|"&amp;$D198&amp;"|"&amp;$E198,MAP_SE,2,0),"L_SECTION")</f>
        <v>L_SECTION</v>
      </c>
    </row>
    <row r="199" customFormat="false" ht="15" hidden="false" customHeight="false" outlineLevel="0" collapsed="false">
      <c r="A199" s="5" t="str">
        <f aca="false">IF($C199="","",ROW()-4)</f>
        <v/>
      </c>
      <c r="B199" s="20"/>
      <c r="C199" s="20"/>
      <c r="D199" s="20"/>
      <c r="E199" s="20"/>
      <c r="F199" s="20"/>
      <c r="G199" s="21" t="str">
        <f aca="false">IFERROR(INDEX('Description Library'!$C$6:$C$808,MATCH($C199&amp;"|"&amp;$D199&amp;"|"&amp;$E199&amp;"|"&amp;$F199,'Description Library'!$K$6:$K$808,0)),"")</f>
        <v/>
      </c>
      <c r="H199" s="5" t="str">
        <f aca="false">IFERROR(INDEX('Description Library'!$H$6:$H$808,MATCH($C199&amp;"|"&amp;$D199&amp;"|"&amp;$E199&amp;"|"&amp;$F199,'Description Library'!$K$6:$K$808,0)),"")</f>
        <v/>
      </c>
      <c r="I199" s="22"/>
      <c r="J199" s="5" t="str">
        <f aca="false">IFERROR(INDEX('Description Library'!$I$6:$I$808,MATCH($C199&amp;"|"&amp;$D199&amp;"|"&amp;$E199&amp;"|"&amp;$F199,'Description Library'!$K$6:$K$808,0)),"")</f>
        <v/>
      </c>
      <c r="K199" s="18" t="str">
        <f aca="false">IFERROR(INDEX('Description Library'!$J$6:$J$808,MATCH($C199&amp;"|"&amp;$D199&amp;"|"&amp;$E199&amp;"|"&amp;$F199,'Description Library'!$K$6:$K$808,0)),"")</f>
        <v/>
      </c>
      <c r="L199" s="23" t="str">
        <f aca="false">IF(OR($I199="",$K199=""),"",$I199*$K199)</f>
        <v/>
      </c>
      <c r="M199" s="24" t="str">
        <f aca="false">IFERROR(VLOOKUP($C199,MAP_SEC,2,0),"L_SECTION")</f>
        <v>L_SECTION</v>
      </c>
      <c r="N199" s="24" t="str">
        <f aca="false">IFERROR(VLOOKUP($C199&amp;"|"&amp;$D199,MAP_SUB,2,0),"L_SECTION")</f>
        <v>L_SECTION</v>
      </c>
      <c r="O199" s="24" t="str">
        <f aca="false">IFERROR(VLOOKUP($C199&amp;"|"&amp;$D199&amp;"|"&amp;$E199,MAP_SE,2,0),"L_SECTION")</f>
        <v>L_SECTION</v>
      </c>
    </row>
    <row r="200" customFormat="false" ht="15" hidden="false" customHeight="false" outlineLevel="0" collapsed="false">
      <c r="A200" s="5" t="str">
        <f aca="false">IF($C200="","",ROW()-4)</f>
        <v/>
      </c>
      <c r="B200" s="20"/>
      <c r="C200" s="20"/>
      <c r="D200" s="20"/>
      <c r="E200" s="20"/>
      <c r="F200" s="20"/>
      <c r="G200" s="21" t="str">
        <f aca="false">IFERROR(INDEX('Description Library'!$C$6:$C$808,MATCH($C200&amp;"|"&amp;$D200&amp;"|"&amp;$E200&amp;"|"&amp;$F200,'Description Library'!$K$6:$K$808,0)),"")</f>
        <v/>
      </c>
      <c r="H200" s="5" t="str">
        <f aca="false">IFERROR(INDEX('Description Library'!$H$6:$H$808,MATCH($C200&amp;"|"&amp;$D200&amp;"|"&amp;$E200&amp;"|"&amp;$F200,'Description Library'!$K$6:$K$808,0)),"")</f>
        <v/>
      </c>
      <c r="I200" s="22"/>
      <c r="J200" s="5" t="str">
        <f aca="false">IFERROR(INDEX('Description Library'!$I$6:$I$808,MATCH($C200&amp;"|"&amp;$D200&amp;"|"&amp;$E200&amp;"|"&amp;$F200,'Description Library'!$K$6:$K$808,0)),"")</f>
        <v/>
      </c>
      <c r="K200" s="18" t="str">
        <f aca="false">IFERROR(INDEX('Description Library'!$J$6:$J$808,MATCH($C200&amp;"|"&amp;$D200&amp;"|"&amp;$E200&amp;"|"&amp;$F200,'Description Library'!$K$6:$K$808,0)),"")</f>
        <v/>
      </c>
      <c r="L200" s="23" t="str">
        <f aca="false">IF(OR($I200="",$K200=""),"",$I200*$K200)</f>
        <v/>
      </c>
      <c r="M200" s="24" t="str">
        <f aca="false">IFERROR(VLOOKUP($C200,MAP_SEC,2,0),"L_SECTION")</f>
        <v>L_SECTION</v>
      </c>
      <c r="N200" s="24" t="str">
        <f aca="false">IFERROR(VLOOKUP($C200&amp;"|"&amp;$D200,MAP_SUB,2,0),"L_SECTION")</f>
        <v>L_SECTION</v>
      </c>
      <c r="O200" s="24" t="str">
        <f aca="false">IFERROR(VLOOKUP($C200&amp;"|"&amp;$D200&amp;"|"&amp;$E200,MAP_SE,2,0),"L_SECTION")</f>
        <v>L_SECTION</v>
      </c>
    </row>
    <row r="201" customFormat="false" ht="15" hidden="false" customHeight="false" outlineLevel="0" collapsed="false">
      <c r="A201" s="5" t="str">
        <f aca="false">IF($C201="","",ROW()-4)</f>
        <v/>
      </c>
      <c r="B201" s="20"/>
      <c r="C201" s="20"/>
      <c r="D201" s="20"/>
      <c r="E201" s="20"/>
      <c r="F201" s="20"/>
      <c r="G201" s="21" t="str">
        <f aca="false">IFERROR(INDEX('Description Library'!$C$6:$C$808,MATCH($C201&amp;"|"&amp;$D201&amp;"|"&amp;$E201&amp;"|"&amp;$F201,'Description Library'!$K$6:$K$808,0)),"")</f>
        <v/>
      </c>
      <c r="H201" s="5" t="str">
        <f aca="false">IFERROR(INDEX('Description Library'!$H$6:$H$808,MATCH($C201&amp;"|"&amp;$D201&amp;"|"&amp;$E201&amp;"|"&amp;$F201,'Description Library'!$K$6:$K$808,0)),"")</f>
        <v/>
      </c>
      <c r="I201" s="22"/>
      <c r="J201" s="5" t="str">
        <f aca="false">IFERROR(INDEX('Description Library'!$I$6:$I$808,MATCH($C201&amp;"|"&amp;$D201&amp;"|"&amp;$E201&amp;"|"&amp;$F201,'Description Library'!$K$6:$K$808,0)),"")</f>
        <v/>
      </c>
      <c r="K201" s="18" t="str">
        <f aca="false">IFERROR(INDEX('Description Library'!$J$6:$J$808,MATCH($C201&amp;"|"&amp;$D201&amp;"|"&amp;$E201&amp;"|"&amp;$F201,'Description Library'!$K$6:$K$808,0)),"")</f>
        <v/>
      </c>
      <c r="L201" s="23" t="str">
        <f aca="false">IF(OR($I201="",$K201=""),"",$I201*$K201)</f>
        <v/>
      </c>
      <c r="M201" s="24" t="str">
        <f aca="false">IFERROR(VLOOKUP($C201,MAP_SEC,2,0),"L_SECTION")</f>
        <v>L_SECTION</v>
      </c>
      <c r="N201" s="24" t="str">
        <f aca="false">IFERROR(VLOOKUP($C201&amp;"|"&amp;$D201,MAP_SUB,2,0),"L_SECTION")</f>
        <v>L_SECTION</v>
      </c>
      <c r="O201" s="24" t="str">
        <f aca="false">IFERROR(VLOOKUP($C201&amp;"|"&amp;$D201&amp;"|"&amp;$E201,MAP_SE,2,0),"L_SECTION")</f>
        <v>L_SECTION</v>
      </c>
    </row>
    <row r="202" customFormat="false" ht="15" hidden="false" customHeight="false" outlineLevel="0" collapsed="false">
      <c r="A202" s="5" t="str">
        <f aca="false">IF($C202="","",ROW()-4)</f>
        <v/>
      </c>
      <c r="B202" s="20"/>
      <c r="C202" s="20"/>
      <c r="D202" s="20"/>
      <c r="E202" s="20"/>
      <c r="F202" s="20"/>
      <c r="G202" s="21" t="str">
        <f aca="false">IFERROR(INDEX('Description Library'!$C$6:$C$808,MATCH($C202&amp;"|"&amp;$D202&amp;"|"&amp;$E202&amp;"|"&amp;$F202,'Description Library'!$K$6:$K$808,0)),"")</f>
        <v/>
      </c>
      <c r="H202" s="5" t="str">
        <f aca="false">IFERROR(INDEX('Description Library'!$H$6:$H$808,MATCH($C202&amp;"|"&amp;$D202&amp;"|"&amp;$E202&amp;"|"&amp;$F202,'Description Library'!$K$6:$K$808,0)),"")</f>
        <v/>
      </c>
      <c r="I202" s="22"/>
      <c r="J202" s="5" t="str">
        <f aca="false">IFERROR(INDEX('Description Library'!$I$6:$I$808,MATCH($C202&amp;"|"&amp;$D202&amp;"|"&amp;$E202&amp;"|"&amp;$F202,'Description Library'!$K$6:$K$808,0)),"")</f>
        <v/>
      </c>
      <c r="K202" s="18" t="str">
        <f aca="false">IFERROR(INDEX('Description Library'!$J$6:$J$808,MATCH($C202&amp;"|"&amp;$D202&amp;"|"&amp;$E202&amp;"|"&amp;$F202,'Description Library'!$K$6:$K$808,0)),"")</f>
        <v/>
      </c>
      <c r="L202" s="23" t="str">
        <f aca="false">IF(OR($I202="",$K202=""),"",$I202*$K202)</f>
        <v/>
      </c>
      <c r="M202" s="24" t="str">
        <f aca="false">IFERROR(VLOOKUP($C202,MAP_SEC,2,0),"L_SECTION")</f>
        <v>L_SECTION</v>
      </c>
      <c r="N202" s="24" t="str">
        <f aca="false">IFERROR(VLOOKUP($C202&amp;"|"&amp;$D202,MAP_SUB,2,0),"L_SECTION")</f>
        <v>L_SECTION</v>
      </c>
      <c r="O202" s="24" t="str">
        <f aca="false">IFERROR(VLOOKUP($C202&amp;"|"&amp;$D202&amp;"|"&amp;$E202,MAP_SE,2,0),"L_SECTION")</f>
        <v>L_SECTION</v>
      </c>
    </row>
    <row r="203" customFormat="false" ht="15" hidden="false" customHeight="false" outlineLevel="0" collapsed="false">
      <c r="A203" s="5" t="str">
        <f aca="false">IF($C203="","",ROW()-4)</f>
        <v/>
      </c>
      <c r="B203" s="20"/>
      <c r="C203" s="20"/>
      <c r="D203" s="20"/>
      <c r="E203" s="20"/>
      <c r="F203" s="20"/>
      <c r="G203" s="21" t="str">
        <f aca="false">IFERROR(INDEX('Description Library'!$C$6:$C$808,MATCH($C203&amp;"|"&amp;$D203&amp;"|"&amp;$E203&amp;"|"&amp;$F203,'Description Library'!$K$6:$K$808,0)),"")</f>
        <v/>
      </c>
      <c r="H203" s="5" t="str">
        <f aca="false">IFERROR(INDEX('Description Library'!$H$6:$H$808,MATCH($C203&amp;"|"&amp;$D203&amp;"|"&amp;$E203&amp;"|"&amp;$F203,'Description Library'!$K$6:$K$808,0)),"")</f>
        <v/>
      </c>
      <c r="I203" s="22"/>
      <c r="J203" s="5" t="str">
        <f aca="false">IFERROR(INDEX('Description Library'!$I$6:$I$808,MATCH($C203&amp;"|"&amp;$D203&amp;"|"&amp;$E203&amp;"|"&amp;$F203,'Description Library'!$K$6:$K$808,0)),"")</f>
        <v/>
      </c>
      <c r="K203" s="18" t="str">
        <f aca="false">IFERROR(INDEX('Description Library'!$J$6:$J$808,MATCH($C203&amp;"|"&amp;$D203&amp;"|"&amp;$E203&amp;"|"&amp;$F203,'Description Library'!$K$6:$K$808,0)),"")</f>
        <v/>
      </c>
      <c r="L203" s="23" t="str">
        <f aca="false">IF(OR($I203="",$K203=""),"",$I203*$K203)</f>
        <v/>
      </c>
      <c r="M203" s="24" t="str">
        <f aca="false">IFERROR(VLOOKUP($C203,MAP_SEC,2,0),"L_SECTION")</f>
        <v>L_SECTION</v>
      </c>
      <c r="N203" s="24" t="str">
        <f aca="false">IFERROR(VLOOKUP($C203&amp;"|"&amp;$D203,MAP_SUB,2,0),"L_SECTION")</f>
        <v>L_SECTION</v>
      </c>
      <c r="O203" s="24" t="str">
        <f aca="false">IFERROR(VLOOKUP($C203&amp;"|"&amp;$D203&amp;"|"&amp;$E203,MAP_SE,2,0),"L_SECTION")</f>
        <v>L_SECTION</v>
      </c>
    </row>
    <row r="204" customFormat="false" ht="15" hidden="false" customHeight="false" outlineLevel="0" collapsed="false">
      <c r="A204" s="5" t="str">
        <f aca="false">IF($C204="","",ROW()-4)</f>
        <v/>
      </c>
      <c r="B204" s="20"/>
      <c r="C204" s="20"/>
      <c r="D204" s="20"/>
      <c r="E204" s="20"/>
      <c r="F204" s="20"/>
      <c r="G204" s="21" t="str">
        <f aca="false">IFERROR(INDEX('Description Library'!$C$6:$C$808,MATCH($C204&amp;"|"&amp;$D204&amp;"|"&amp;$E204&amp;"|"&amp;$F204,'Description Library'!$K$6:$K$808,0)),"")</f>
        <v/>
      </c>
      <c r="H204" s="5" t="str">
        <f aca="false">IFERROR(INDEX('Description Library'!$H$6:$H$808,MATCH($C204&amp;"|"&amp;$D204&amp;"|"&amp;$E204&amp;"|"&amp;$F204,'Description Library'!$K$6:$K$808,0)),"")</f>
        <v/>
      </c>
      <c r="I204" s="22"/>
      <c r="J204" s="5" t="str">
        <f aca="false">IFERROR(INDEX('Description Library'!$I$6:$I$808,MATCH($C204&amp;"|"&amp;$D204&amp;"|"&amp;$E204&amp;"|"&amp;$F204,'Description Library'!$K$6:$K$808,0)),"")</f>
        <v/>
      </c>
      <c r="K204" s="18" t="str">
        <f aca="false">IFERROR(INDEX('Description Library'!$J$6:$J$808,MATCH($C204&amp;"|"&amp;$D204&amp;"|"&amp;$E204&amp;"|"&amp;$F204,'Description Library'!$K$6:$K$808,0)),"")</f>
        <v/>
      </c>
      <c r="L204" s="23" t="str">
        <f aca="false">IF(OR($I204="",$K204=""),"",$I204*$K204)</f>
        <v/>
      </c>
      <c r="M204" s="24" t="str">
        <f aca="false">IFERROR(VLOOKUP($C204,MAP_SEC,2,0),"L_SECTION")</f>
        <v>L_SECTION</v>
      </c>
      <c r="N204" s="24" t="str">
        <f aca="false">IFERROR(VLOOKUP($C204&amp;"|"&amp;$D204,MAP_SUB,2,0),"L_SECTION")</f>
        <v>L_SECTION</v>
      </c>
      <c r="O204" s="24" t="str">
        <f aca="false">IFERROR(VLOOKUP($C204&amp;"|"&amp;$D204&amp;"|"&amp;$E204,MAP_SE,2,0),"L_SECTION")</f>
        <v>L_SECTION</v>
      </c>
    </row>
  </sheetData>
  <dataValidations count="5">
    <dataValidation allowBlank="true" errorStyle="stop" operator="between" showDropDown="false" showErrorMessage="false" showInputMessage="false" sqref="B5:B204" type="list">
      <formula1>"Civil and Structure,Architecture,MEP,External Works"</formula1>
      <formula2>0</formula2>
    </dataValidation>
    <dataValidation allowBlank="true" errorStyle="stop" operator="between" showDropDown="false" showErrorMessage="false" showInputMessage="false" sqref="C5:C204" type="list">
      <formula1>L_SECTION</formula1>
      <formula2>0</formula2>
    </dataValidation>
    <dataValidation allowBlank="true" errorStyle="stop" operator="between" showDropDown="false" showErrorMessage="false" showInputMessage="false" sqref="D5:D204" type="list">
      <formula1>INDIRECT($M5)</formula1>
      <formula2>0</formula2>
    </dataValidation>
    <dataValidation allowBlank="true" errorStyle="stop" operator="between" showDropDown="false" showErrorMessage="false" showInputMessage="false" sqref="E5:E204" type="list">
      <formula1>INDIRECT($N5)</formula1>
      <formula2>0</formula2>
    </dataValidation>
    <dataValidation allowBlank="true" errorStyle="stop" operator="between" showDropDown="false" showErrorMessage="false" showInputMessage="false" sqref="F5:F204" type="list">
      <formula1>INDIRECT($O5)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I5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6" min="6" style="0" width="50"/>
    <col collapsed="false" customWidth="true" hidden="false" outlineLevel="0" max="7" min="7" style="0" width="9"/>
    <col collapsed="false" customWidth="true" hidden="false" outlineLevel="0" max="9" min="9" style="0" width="70"/>
    <col collapsed="false" customWidth="true" hidden="false" outlineLevel="0" max="10" min="10" style="0" width="9"/>
  </cols>
  <sheetData>
    <row r="1" customFormat="false" ht="15" hidden="false" customHeight="false" outlineLevel="0" collapsed="false">
      <c r="A1" s="25" t="s">
        <v>2324</v>
      </c>
    </row>
    <row r="2" customFormat="false" ht="15" hidden="false" customHeight="false" outlineLevel="0" collapsed="false">
      <c r="A2" s="26" t="s">
        <v>2325</v>
      </c>
    </row>
    <row r="4" customFormat="false" ht="15" hidden="false" customHeight="false" outlineLevel="0" collapsed="false">
      <c r="A4" s="27" t="s">
        <v>6</v>
      </c>
      <c r="C4" s="28" t="s">
        <v>6</v>
      </c>
      <c r="D4" s="28" t="s">
        <v>2326</v>
      </c>
      <c r="F4" s="28" t="s">
        <v>2327</v>
      </c>
      <c r="G4" s="28" t="s">
        <v>2326</v>
      </c>
      <c r="I4" s="28" t="s">
        <v>2328</v>
      </c>
      <c r="J4" s="28" t="s">
        <v>2326</v>
      </c>
      <c r="M4" s="29" t="s">
        <v>2329</v>
      </c>
      <c r="N4" s="29" t="s">
        <v>2330</v>
      </c>
      <c r="O4" s="29" t="s">
        <v>2331</v>
      </c>
      <c r="P4" s="29" t="s">
        <v>2332</v>
      </c>
      <c r="Q4" s="29" t="s">
        <v>2333</v>
      </c>
      <c r="R4" s="29" t="s">
        <v>2334</v>
      </c>
      <c r="S4" s="29" t="s">
        <v>2335</v>
      </c>
      <c r="T4" s="29" t="s">
        <v>2336</v>
      </c>
      <c r="U4" s="29" t="s">
        <v>2337</v>
      </c>
      <c r="V4" s="29" t="s">
        <v>2338</v>
      </c>
      <c r="W4" s="29" t="s">
        <v>2339</v>
      </c>
      <c r="X4" s="29" t="s">
        <v>2340</v>
      </c>
      <c r="Y4" s="29" t="s">
        <v>2341</v>
      </c>
      <c r="Z4" s="29" t="s">
        <v>2342</v>
      </c>
      <c r="AA4" s="29" t="s">
        <v>2343</v>
      </c>
      <c r="AB4" s="29" t="s">
        <v>2344</v>
      </c>
      <c r="AC4" s="29" t="s">
        <v>2345</v>
      </c>
      <c r="AD4" s="29" t="s">
        <v>2346</v>
      </c>
      <c r="AE4" s="29" t="s">
        <v>2347</v>
      </c>
      <c r="AF4" s="29" t="s">
        <v>2348</v>
      </c>
      <c r="AG4" s="29" t="s">
        <v>2349</v>
      </c>
      <c r="AH4" s="29" t="s">
        <v>2350</v>
      </c>
      <c r="AI4" s="29" t="s">
        <v>2351</v>
      </c>
      <c r="AJ4" s="29" t="s">
        <v>2352</v>
      </c>
      <c r="AK4" s="29" t="s">
        <v>2353</v>
      </c>
      <c r="AL4" s="29" t="s">
        <v>2354</v>
      </c>
      <c r="AM4" s="29" t="s">
        <v>2355</v>
      </c>
      <c r="AN4" s="29" t="s">
        <v>2356</v>
      </c>
      <c r="AO4" s="29" t="s">
        <v>2357</v>
      </c>
      <c r="AP4" s="29" t="s">
        <v>2358</v>
      </c>
      <c r="AQ4" s="29" t="s">
        <v>2359</v>
      </c>
      <c r="AR4" s="29" t="s">
        <v>2360</v>
      </c>
      <c r="AS4" s="29" t="s">
        <v>2361</v>
      </c>
      <c r="AT4" s="29" t="s">
        <v>2362</v>
      </c>
      <c r="AU4" s="29" t="s">
        <v>2363</v>
      </c>
      <c r="AV4" s="29" t="s">
        <v>2364</v>
      </c>
      <c r="AW4" s="29" t="s">
        <v>2365</v>
      </c>
      <c r="AX4" s="29" t="s">
        <v>2366</v>
      </c>
      <c r="AY4" s="29" t="s">
        <v>2367</v>
      </c>
      <c r="AZ4" s="29" t="s">
        <v>2368</v>
      </c>
      <c r="BA4" s="29" t="s">
        <v>2369</v>
      </c>
      <c r="BB4" s="29" t="s">
        <v>2370</v>
      </c>
      <c r="BC4" s="29" t="s">
        <v>2371</v>
      </c>
      <c r="BD4" s="29" t="s">
        <v>2372</v>
      </c>
      <c r="BE4" s="29" t="s">
        <v>2373</v>
      </c>
      <c r="BF4" s="29" t="s">
        <v>2374</v>
      </c>
      <c r="BG4" s="29" t="s">
        <v>2375</v>
      </c>
      <c r="BH4" s="29" t="s">
        <v>2376</v>
      </c>
      <c r="BI4" s="29" t="s">
        <v>2377</v>
      </c>
      <c r="BJ4" s="29" t="s">
        <v>2378</v>
      </c>
      <c r="BK4" s="29" t="s">
        <v>2379</v>
      </c>
      <c r="BL4" s="29" t="s">
        <v>2380</v>
      </c>
      <c r="BM4" s="29" t="s">
        <v>2381</v>
      </c>
      <c r="BN4" s="29" t="s">
        <v>2382</v>
      </c>
      <c r="BO4" s="29" t="s">
        <v>2383</v>
      </c>
      <c r="BP4" s="29" t="s">
        <v>2384</v>
      </c>
      <c r="BQ4" s="29" t="s">
        <v>2385</v>
      </c>
      <c r="BR4" s="29" t="s">
        <v>2386</v>
      </c>
      <c r="BS4" s="29" t="s">
        <v>2387</v>
      </c>
      <c r="BT4" s="29" t="s">
        <v>2388</v>
      </c>
      <c r="BU4" s="29" t="s">
        <v>2389</v>
      </c>
      <c r="BV4" s="29" t="s">
        <v>2390</v>
      </c>
      <c r="BW4" s="29" t="s">
        <v>2391</v>
      </c>
      <c r="BX4" s="29" t="s">
        <v>2392</v>
      </c>
      <c r="BY4" s="29" t="s">
        <v>2393</v>
      </c>
      <c r="BZ4" s="29" t="s">
        <v>2394</v>
      </c>
      <c r="CA4" s="29" t="s">
        <v>2395</v>
      </c>
      <c r="CB4" s="29" t="s">
        <v>2396</v>
      </c>
      <c r="CC4" s="29" t="s">
        <v>2397</v>
      </c>
      <c r="CD4" s="29" t="s">
        <v>2398</v>
      </c>
      <c r="CE4" s="29" t="s">
        <v>2399</v>
      </c>
      <c r="CF4" s="29" t="s">
        <v>2400</v>
      </c>
      <c r="CG4" s="29" t="s">
        <v>2401</v>
      </c>
      <c r="CH4" s="29" t="s">
        <v>2402</v>
      </c>
      <c r="CI4" s="29" t="s">
        <v>2403</v>
      </c>
      <c r="CJ4" s="29" t="s">
        <v>2404</v>
      </c>
      <c r="CK4" s="29" t="s">
        <v>2405</v>
      </c>
      <c r="CL4" s="29" t="s">
        <v>2406</v>
      </c>
      <c r="CM4" s="29" t="s">
        <v>2407</v>
      </c>
      <c r="CN4" s="29" t="s">
        <v>2408</v>
      </c>
      <c r="CO4" s="29" t="s">
        <v>2409</v>
      </c>
      <c r="CP4" s="29" t="s">
        <v>2410</v>
      </c>
      <c r="CQ4" s="29" t="s">
        <v>2411</v>
      </c>
      <c r="CR4" s="29" t="s">
        <v>2412</v>
      </c>
      <c r="CS4" s="29" t="s">
        <v>2413</v>
      </c>
      <c r="CT4" s="29" t="s">
        <v>2414</v>
      </c>
      <c r="CU4" s="29" t="s">
        <v>2415</v>
      </c>
      <c r="CV4" s="29" t="s">
        <v>2416</v>
      </c>
      <c r="CW4" s="29" t="s">
        <v>2417</v>
      </c>
      <c r="CX4" s="29" t="s">
        <v>2418</v>
      </c>
      <c r="CY4" s="29" t="s">
        <v>2419</v>
      </c>
      <c r="CZ4" s="29" t="s">
        <v>2420</v>
      </c>
      <c r="DA4" s="29" t="s">
        <v>2421</v>
      </c>
      <c r="DB4" s="29" t="s">
        <v>2422</v>
      </c>
      <c r="DC4" s="29" t="s">
        <v>2423</v>
      </c>
      <c r="DD4" s="29" t="s">
        <v>2424</v>
      </c>
      <c r="DE4" s="29" t="s">
        <v>2425</v>
      </c>
      <c r="DF4" s="29" t="s">
        <v>2426</v>
      </c>
      <c r="DG4" s="29" t="s">
        <v>2427</v>
      </c>
      <c r="DH4" s="29" t="s">
        <v>2428</v>
      </c>
      <c r="DI4" s="29" t="s">
        <v>2429</v>
      </c>
      <c r="DJ4" s="29" t="s">
        <v>2430</v>
      </c>
      <c r="DK4" s="29" t="s">
        <v>2431</v>
      </c>
      <c r="DL4" s="29" t="s">
        <v>2432</v>
      </c>
      <c r="DM4" s="29" t="s">
        <v>2433</v>
      </c>
      <c r="DN4" s="29" t="s">
        <v>2434</v>
      </c>
      <c r="DO4" s="29" t="s">
        <v>2435</v>
      </c>
      <c r="DP4" s="29" t="s">
        <v>2436</v>
      </c>
      <c r="DQ4" s="29" t="s">
        <v>2437</v>
      </c>
      <c r="DR4" s="29" t="s">
        <v>2438</v>
      </c>
      <c r="DS4" s="29" t="s">
        <v>2439</v>
      </c>
      <c r="DT4" s="29" t="s">
        <v>2440</v>
      </c>
      <c r="DU4" s="29" t="s">
        <v>2441</v>
      </c>
      <c r="DV4" s="29" t="s">
        <v>2442</v>
      </c>
      <c r="DW4" s="29" t="s">
        <v>2443</v>
      </c>
      <c r="DX4" s="29" t="s">
        <v>2444</v>
      </c>
      <c r="DY4" s="29" t="s">
        <v>2445</v>
      </c>
      <c r="DZ4" s="29" t="s">
        <v>2446</v>
      </c>
      <c r="EA4" s="29" t="s">
        <v>2447</v>
      </c>
      <c r="EB4" s="29" t="s">
        <v>2448</v>
      </c>
      <c r="EC4" s="29" t="s">
        <v>2449</v>
      </c>
      <c r="ED4" s="29" t="s">
        <v>2450</v>
      </c>
      <c r="EE4" s="29" t="s">
        <v>2451</v>
      </c>
      <c r="EF4" s="29" t="s">
        <v>2452</v>
      </c>
      <c r="EG4" s="29" t="s">
        <v>2453</v>
      </c>
      <c r="EH4" s="29" t="s">
        <v>2454</v>
      </c>
      <c r="EI4" s="29" t="s">
        <v>2455</v>
      </c>
      <c r="EJ4" s="29" t="s">
        <v>2456</v>
      </c>
      <c r="EK4" s="29" t="s">
        <v>2457</v>
      </c>
      <c r="EL4" s="29" t="s">
        <v>2458</v>
      </c>
      <c r="EM4" s="29" t="s">
        <v>2459</v>
      </c>
      <c r="EN4" s="29" t="s">
        <v>2460</v>
      </c>
      <c r="EO4" s="29" t="s">
        <v>2461</v>
      </c>
      <c r="EP4" s="29" t="s">
        <v>2462</v>
      </c>
      <c r="EQ4" s="29" t="s">
        <v>2463</v>
      </c>
      <c r="ER4" s="29" t="s">
        <v>2464</v>
      </c>
      <c r="ES4" s="29" t="s">
        <v>2465</v>
      </c>
      <c r="ET4" s="29" t="s">
        <v>2466</v>
      </c>
      <c r="EU4" s="29" t="s">
        <v>2467</v>
      </c>
      <c r="EV4" s="29" t="s">
        <v>2468</v>
      </c>
      <c r="EW4" s="29" t="s">
        <v>2469</v>
      </c>
      <c r="EX4" s="29" t="s">
        <v>2470</v>
      </c>
      <c r="EY4" s="29" t="s">
        <v>2471</v>
      </c>
      <c r="EZ4" s="29" t="s">
        <v>2472</v>
      </c>
      <c r="FA4" s="29" t="s">
        <v>2473</v>
      </c>
      <c r="FB4" s="29" t="s">
        <v>2474</v>
      </c>
      <c r="FC4" s="29" t="s">
        <v>2475</v>
      </c>
      <c r="FD4" s="29" t="s">
        <v>2476</v>
      </c>
      <c r="FE4" s="29" t="s">
        <v>2477</v>
      </c>
      <c r="FF4" s="29" t="s">
        <v>2478</v>
      </c>
      <c r="FG4" s="29" t="s">
        <v>2479</v>
      </c>
      <c r="FH4" s="29" t="s">
        <v>2480</v>
      </c>
      <c r="FI4" s="29" t="s">
        <v>2481</v>
      </c>
      <c r="FJ4" s="29" t="s">
        <v>2482</v>
      </c>
      <c r="FK4" s="29" t="s">
        <v>2483</v>
      </c>
      <c r="FL4" s="29" t="s">
        <v>2484</v>
      </c>
      <c r="FM4" s="29" t="s">
        <v>2485</v>
      </c>
      <c r="FN4" s="29" t="s">
        <v>2486</v>
      </c>
      <c r="FO4" s="29" t="s">
        <v>2487</v>
      </c>
      <c r="FP4" s="29" t="s">
        <v>2488</v>
      </c>
      <c r="FQ4" s="29" t="s">
        <v>2489</v>
      </c>
      <c r="FR4" s="29" t="s">
        <v>2490</v>
      </c>
      <c r="FS4" s="29" t="s">
        <v>2491</v>
      </c>
      <c r="FT4" s="29" t="s">
        <v>2492</v>
      </c>
      <c r="FU4" s="29" t="s">
        <v>2493</v>
      </c>
      <c r="FV4" s="29" t="s">
        <v>2494</v>
      </c>
      <c r="FW4" s="29" t="s">
        <v>2495</v>
      </c>
      <c r="FX4" s="29" t="s">
        <v>2496</v>
      </c>
      <c r="FY4" s="29" t="s">
        <v>2497</v>
      </c>
      <c r="FZ4" s="29" t="s">
        <v>2498</v>
      </c>
      <c r="GA4" s="29" t="s">
        <v>2499</v>
      </c>
      <c r="GB4" s="29" t="s">
        <v>2500</v>
      </c>
      <c r="GC4" s="29" t="s">
        <v>2501</v>
      </c>
      <c r="GD4" s="29" t="s">
        <v>2502</v>
      </c>
      <c r="GE4" s="29" t="s">
        <v>2503</v>
      </c>
      <c r="GF4" s="29" t="s">
        <v>2504</v>
      </c>
      <c r="GG4" s="29" t="s">
        <v>2505</v>
      </c>
      <c r="GH4" s="29" t="s">
        <v>2506</v>
      </c>
      <c r="GI4" s="29" t="s">
        <v>2507</v>
      </c>
      <c r="GJ4" s="29" t="s">
        <v>2508</v>
      </c>
      <c r="GK4" s="29" t="s">
        <v>2509</v>
      </c>
      <c r="GL4" s="29" t="s">
        <v>2510</v>
      </c>
      <c r="GM4" s="29" t="s">
        <v>2511</v>
      </c>
      <c r="GN4" s="29" t="s">
        <v>2512</v>
      </c>
      <c r="GO4" s="29" t="s">
        <v>2513</v>
      </c>
      <c r="GP4" s="29" t="s">
        <v>2514</v>
      </c>
      <c r="GQ4" s="29" t="s">
        <v>2515</v>
      </c>
      <c r="GR4" s="29" t="s">
        <v>2516</v>
      </c>
      <c r="GS4" s="29" t="s">
        <v>2517</v>
      </c>
      <c r="GT4" s="29" t="s">
        <v>2518</v>
      </c>
      <c r="GU4" s="29" t="s">
        <v>2519</v>
      </c>
      <c r="GV4" s="29" t="s">
        <v>2520</v>
      </c>
      <c r="GW4" s="29" t="s">
        <v>2521</v>
      </c>
      <c r="GX4" s="29" t="s">
        <v>2522</v>
      </c>
      <c r="GY4" s="29" t="s">
        <v>2523</v>
      </c>
      <c r="GZ4" s="29" t="s">
        <v>2524</v>
      </c>
      <c r="HA4" s="29" t="s">
        <v>2525</v>
      </c>
      <c r="HB4" s="29" t="s">
        <v>2526</v>
      </c>
      <c r="HC4" s="29" t="s">
        <v>2527</v>
      </c>
      <c r="HD4" s="29" t="s">
        <v>2528</v>
      </c>
      <c r="HE4" s="29" t="s">
        <v>2529</v>
      </c>
      <c r="HF4" s="29" t="s">
        <v>2530</v>
      </c>
      <c r="HG4" s="29" t="s">
        <v>2531</v>
      </c>
      <c r="HH4" s="29" t="s">
        <v>2532</v>
      </c>
      <c r="HI4" s="29" t="s">
        <v>2533</v>
      </c>
      <c r="HJ4" s="29" t="s">
        <v>2534</v>
      </c>
      <c r="HK4" s="29" t="s">
        <v>2535</v>
      </c>
      <c r="HL4" s="29" t="s">
        <v>2536</v>
      </c>
      <c r="HM4" s="29" t="s">
        <v>2537</v>
      </c>
      <c r="HN4" s="29" t="s">
        <v>2538</v>
      </c>
      <c r="HO4" s="29" t="s">
        <v>2539</v>
      </c>
      <c r="HP4" s="29" t="s">
        <v>2540</v>
      </c>
      <c r="HQ4" s="29" t="s">
        <v>2541</v>
      </c>
      <c r="HR4" s="29" t="s">
        <v>2542</v>
      </c>
      <c r="HS4" s="29" t="s">
        <v>2543</v>
      </c>
      <c r="HT4" s="29" t="s">
        <v>2544</v>
      </c>
      <c r="HU4" s="29" t="s">
        <v>2545</v>
      </c>
      <c r="HV4" s="29" t="s">
        <v>2546</v>
      </c>
      <c r="HW4" s="29" t="s">
        <v>2547</v>
      </c>
      <c r="HX4" s="29" t="s">
        <v>2548</v>
      </c>
      <c r="HY4" s="29" t="s">
        <v>2549</v>
      </c>
      <c r="HZ4" s="29" t="s">
        <v>2550</v>
      </c>
      <c r="IA4" s="29" t="s">
        <v>2551</v>
      </c>
      <c r="IB4" s="29" t="s">
        <v>2552</v>
      </c>
      <c r="IC4" s="29" t="s">
        <v>2553</v>
      </c>
      <c r="ID4" s="29" t="s">
        <v>2554</v>
      </c>
      <c r="IE4" s="29" t="s">
        <v>2555</v>
      </c>
      <c r="IF4" s="29" t="s">
        <v>2556</v>
      </c>
      <c r="IG4" s="29" t="s">
        <v>2557</v>
      </c>
      <c r="IH4" s="29" t="s">
        <v>2558</v>
      </c>
      <c r="II4" s="29" t="s">
        <v>2559</v>
      </c>
      <c r="IJ4" s="29" t="s">
        <v>2560</v>
      </c>
      <c r="IK4" s="29" t="s">
        <v>2561</v>
      </c>
      <c r="IL4" s="29" t="s">
        <v>2562</v>
      </c>
      <c r="IM4" s="29" t="s">
        <v>2563</v>
      </c>
      <c r="IN4" s="29" t="s">
        <v>2564</v>
      </c>
      <c r="IO4" s="29" t="s">
        <v>2565</v>
      </c>
      <c r="IP4" s="29" t="s">
        <v>2566</v>
      </c>
      <c r="IQ4" s="29" t="s">
        <v>2567</v>
      </c>
      <c r="IR4" s="29" t="s">
        <v>2568</v>
      </c>
      <c r="IS4" s="29" t="s">
        <v>2569</v>
      </c>
      <c r="IT4" s="29" t="s">
        <v>2570</v>
      </c>
      <c r="IU4" s="29" t="s">
        <v>2571</v>
      </c>
      <c r="IV4" s="29" t="s">
        <v>2572</v>
      </c>
      <c r="IW4" s="29" t="s">
        <v>2573</v>
      </c>
      <c r="IX4" s="29" t="s">
        <v>2574</v>
      </c>
      <c r="IY4" s="29" t="s">
        <v>2575</v>
      </c>
      <c r="IZ4" s="29" t="s">
        <v>2576</v>
      </c>
      <c r="JA4" s="29" t="s">
        <v>2577</v>
      </c>
      <c r="JB4" s="29" t="s">
        <v>2578</v>
      </c>
      <c r="JC4" s="29" t="s">
        <v>2579</v>
      </c>
      <c r="JD4" s="29" t="s">
        <v>2580</v>
      </c>
      <c r="JE4" s="29" t="s">
        <v>2581</v>
      </c>
      <c r="JF4" s="29" t="s">
        <v>2582</v>
      </c>
      <c r="JG4" s="29" t="s">
        <v>2583</v>
      </c>
      <c r="JH4" s="29" t="s">
        <v>2584</v>
      </c>
      <c r="JI4" s="29" t="s">
        <v>2585</v>
      </c>
      <c r="JJ4" s="29" t="s">
        <v>2586</v>
      </c>
      <c r="JK4" s="29" t="s">
        <v>2587</v>
      </c>
      <c r="JL4" s="29" t="s">
        <v>2588</v>
      </c>
      <c r="JM4" s="29" t="s">
        <v>2589</v>
      </c>
      <c r="JN4" s="29" t="s">
        <v>2590</v>
      </c>
      <c r="JO4" s="29" t="s">
        <v>2591</v>
      </c>
      <c r="JP4" s="29" t="s">
        <v>2592</v>
      </c>
      <c r="JQ4" s="29" t="s">
        <v>2593</v>
      </c>
      <c r="JR4" s="29" t="s">
        <v>2594</v>
      </c>
      <c r="JS4" s="29" t="s">
        <v>2595</v>
      </c>
      <c r="JT4" s="29" t="s">
        <v>2596</v>
      </c>
      <c r="JU4" s="29" t="s">
        <v>2597</v>
      </c>
      <c r="JV4" s="29" t="s">
        <v>2598</v>
      </c>
      <c r="JW4" s="29" t="s">
        <v>2599</v>
      </c>
      <c r="JX4" s="29" t="s">
        <v>2600</v>
      </c>
      <c r="JY4" s="29" t="s">
        <v>2601</v>
      </c>
      <c r="JZ4" s="29" t="s">
        <v>2602</v>
      </c>
      <c r="KA4" s="29" t="s">
        <v>2603</v>
      </c>
      <c r="KB4" s="29" t="s">
        <v>2604</v>
      </c>
      <c r="KC4" s="29" t="s">
        <v>2605</v>
      </c>
      <c r="KD4" s="29" t="s">
        <v>2606</v>
      </c>
      <c r="KE4" s="29" t="s">
        <v>2607</v>
      </c>
      <c r="KF4" s="29" t="s">
        <v>2608</v>
      </c>
      <c r="KG4" s="29" t="s">
        <v>2609</v>
      </c>
      <c r="KH4" s="29" t="s">
        <v>2610</v>
      </c>
      <c r="KI4" s="29" t="s">
        <v>2611</v>
      </c>
      <c r="KJ4" s="29" t="s">
        <v>2612</v>
      </c>
      <c r="KK4" s="29" t="s">
        <v>2613</v>
      </c>
      <c r="KL4" s="29" t="s">
        <v>2614</v>
      </c>
      <c r="KM4" s="29" t="s">
        <v>2615</v>
      </c>
      <c r="KN4" s="29" t="s">
        <v>2616</v>
      </c>
      <c r="KO4" s="29" t="s">
        <v>2617</v>
      </c>
      <c r="KP4" s="29" t="s">
        <v>2618</v>
      </c>
      <c r="KQ4" s="29" t="s">
        <v>2619</v>
      </c>
      <c r="KR4" s="29" t="s">
        <v>2620</v>
      </c>
      <c r="KS4" s="29" t="s">
        <v>2621</v>
      </c>
      <c r="KT4" s="29" t="s">
        <v>2622</v>
      </c>
      <c r="KU4" s="29" t="s">
        <v>2623</v>
      </c>
      <c r="KV4" s="29" t="s">
        <v>2624</v>
      </c>
      <c r="KW4" s="29" t="s">
        <v>2625</v>
      </c>
      <c r="KX4" s="29" t="s">
        <v>2626</v>
      </c>
      <c r="KY4" s="29" t="s">
        <v>2627</v>
      </c>
      <c r="KZ4" s="29" t="s">
        <v>2628</v>
      </c>
      <c r="LA4" s="29" t="s">
        <v>2629</v>
      </c>
      <c r="LB4" s="29" t="s">
        <v>2630</v>
      </c>
      <c r="LC4" s="29" t="s">
        <v>2631</v>
      </c>
      <c r="LD4" s="29" t="s">
        <v>2632</v>
      </c>
      <c r="LE4" s="29" t="s">
        <v>2633</v>
      </c>
      <c r="LF4" s="29" t="s">
        <v>2634</v>
      </c>
      <c r="LG4" s="29" t="s">
        <v>2635</v>
      </c>
      <c r="LH4" s="29" t="s">
        <v>2636</v>
      </c>
      <c r="LI4" s="29" t="s">
        <v>2637</v>
      </c>
      <c r="LJ4" s="29" t="s">
        <v>2638</v>
      </c>
      <c r="LK4" s="29" t="s">
        <v>2639</v>
      </c>
      <c r="LL4" s="29" t="s">
        <v>2640</v>
      </c>
      <c r="LM4" s="29" t="s">
        <v>2641</v>
      </c>
      <c r="LN4" s="29" t="s">
        <v>2642</v>
      </c>
      <c r="LO4" s="29" t="s">
        <v>2643</v>
      </c>
      <c r="LP4" s="29" t="s">
        <v>2644</v>
      </c>
      <c r="LQ4" s="29" t="s">
        <v>2645</v>
      </c>
      <c r="LR4" s="29" t="s">
        <v>2646</v>
      </c>
      <c r="LS4" s="29" t="s">
        <v>2647</v>
      </c>
      <c r="LT4" s="29" t="s">
        <v>2648</v>
      </c>
      <c r="LU4" s="29" t="s">
        <v>2649</v>
      </c>
      <c r="LV4" s="29" t="s">
        <v>2650</v>
      </c>
      <c r="LW4" s="29" t="s">
        <v>2651</v>
      </c>
      <c r="LX4" s="29" t="s">
        <v>2652</v>
      </c>
      <c r="LY4" s="29" t="s">
        <v>2653</v>
      </c>
      <c r="LZ4" s="29" t="s">
        <v>2654</v>
      </c>
      <c r="MA4" s="29" t="s">
        <v>2655</v>
      </c>
      <c r="MB4" s="29" t="s">
        <v>2656</v>
      </c>
      <c r="MC4" s="29" t="s">
        <v>2657</v>
      </c>
      <c r="MD4" s="29" t="s">
        <v>2658</v>
      </c>
      <c r="ME4" s="29" t="s">
        <v>2659</v>
      </c>
      <c r="MF4" s="29" t="s">
        <v>2660</v>
      </c>
      <c r="MG4" s="29" t="s">
        <v>2661</v>
      </c>
      <c r="MH4" s="29" t="s">
        <v>2662</v>
      </c>
      <c r="MI4" s="29" t="s">
        <v>2663</v>
      </c>
      <c r="MJ4" s="29" t="s">
        <v>2664</v>
      </c>
      <c r="MK4" s="29" t="s">
        <v>2665</v>
      </c>
      <c r="ML4" s="29" t="s">
        <v>2666</v>
      </c>
      <c r="MM4" s="29" t="s">
        <v>2667</v>
      </c>
      <c r="MN4" s="29" t="s">
        <v>2668</v>
      </c>
      <c r="MO4" s="29" t="s">
        <v>2669</v>
      </c>
      <c r="MP4" s="29" t="s">
        <v>2670</v>
      </c>
      <c r="MQ4" s="29" t="s">
        <v>2671</v>
      </c>
      <c r="MR4" s="29" t="s">
        <v>2672</v>
      </c>
      <c r="MS4" s="29" t="s">
        <v>2673</v>
      </c>
      <c r="MT4" s="29" t="s">
        <v>2674</v>
      </c>
      <c r="MU4" s="29" t="s">
        <v>2675</v>
      </c>
      <c r="MV4" s="29" t="s">
        <v>2676</v>
      </c>
      <c r="MW4" s="29" t="s">
        <v>2677</v>
      </c>
      <c r="MX4" s="29" t="s">
        <v>2678</v>
      </c>
      <c r="MY4" s="29" t="s">
        <v>2679</v>
      </c>
      <c r="MZ4" s="29" t="s">
        <v>2680</v>
      </c>
      <c r="NA4" s="29" t="s">
        <v>2681</v>
      </c>
      <c r="NB4" s="29" t="s">
        <v>2682</v>
      </c>
      <c r="NC4" s="29" t="s">
        <v>2683</v>
      </c>
      <c r="ND4" s="29" t="s">
        <v>2684</v>
      </c>
      <c r="NE4" s="29" t="s">
        <v>2685</v>
      </c>
      <c r="NF4" s="29" t="s">
        <v>2686</v>
      </c>
      <c r="NG4" s="29" t="s">
        <v>2687</v>
      </c>
      <c r="NH4" s="29" t="s">
        <v>2688</v>
      </c>
      <c r="NI4" s="29" t="s">
        <v>2689</v>
      </c>
      <c r="NJ4" s="29" t="s">
        <v>2690</v>
      </c>
      <c r="NK4" s="29" t="s">
        <v>2691</v>
      </c>
      <c r="NL4" s="29" t="s">
        <v>2692</v>
      </c>
      <c r="NM4" s="29" t="s">
        <v>2693</v>
      </c>
      <c r="NN4" s="29" t="s">
        <v>2694</v>
      </c>
      <c r="NO4" s="29" t="s">
        <v>2695</v>
      </c>
      <c r="NP4" s="29" t="s">
        <v>2696</v>
      </c>
      <c r="NQ4" s="29" t="s">
        <v>2697</v>
      </c>
      <c r="NR4" s="29" t="s">
        <v>2698</v>
      </c>
      <c r="NS4" s="29" t="s">
        <v>2699</v>
      </c>
      <c r="NT4" s="29" t="s">
        <v>2700</v>
      </c>
      <c r="NU4" s="29" t="s">
        <v>2701</v>
      </c>
      <c r="NV4" s="29" t="s">
        <v>2702</v>
      </c>
      <c r="NW4" s="29" t="s">
        <v>2703</v>
      </c>
      <c r="NX4" s="29" t="s">
        <v>2704</v>
      </c>
      <c r="NY4" s="29" t="s">
        <v>2705</v>
      </c>
      <c r="NZ4" s="29" t="s">
        <v>2706</v>
      </c>
      <c r="OA4" s="29" t="s">
        <v>2707</v>
      </c>
      <c r="OB4" s="29" t="s">
        <v>2708</v>
      </c>
      <c r="OC4" s="29" t="s">
        <v>2709</v>
      </c>
      <c r="OD4" s="29" t="s">
        <v>2710</v>
      </c>
      <c r="OE4" s="29" t="s">
        <v>2711</v>
      </c>
      <c r="OF4" s="29" t="s">
        <v>2712</v>
      </c>
      <c r="OG4" s="29" t="s">
        <v>2713</v>
      </c>
      <c r="OH4" s="29" t="s">
        <v>2714</v>
      </c>
      <c r="OI4" s="29" t="s">
        <v>2715</v>
      </c>
      <c r="OJ4" s="29" t="s">
        <v>2716</v>
      </c>
      <c r="OK4" s="29" t="s">
        <v>2717</v>
      </c>
      <c r="OL4" s="29" t="s">
        <v>2718</v>
      </c>
      <c r="OM4" s="29" t="s">
        <v>2719</v>
      </c>
      <c r="ON4" s="29" t="s">
        <v>2720</v>
      </c>
      <c r="OO4" s="29" t="s">
        <v>2721</v>
      </c>
      <c r="OP4" s="29" t="s">
        <v>2722</v>
      </c>
      <c r="OQ4" s="29" t="s">
        <v>2723</v>
      </c>
      <c r="OR4" s="29" t="s">
        <v>2724</v>
      </c>
      <c r="OS4" s="29" t="s">
        <v>2725</v>
      </c>
      <c r="OT4" s="29" t="s">
        <v>2726</v>
      </c>
      <c r="OU4" s="29" t="s">
        <v>2727</v>
      </c>
      <c r="OV4" s="29" t="s">
        <v>2728</v>
      </c>
      <c r="OW4" s="29" t="s">
        <v>2729</v>
      </c>
      <c r="OX4" s="29" t="s">
        <v>2730</v>
      </c>
      <c r="OY4" s="29" t="s">
        <v>2731</v>
      </c>
      <c r="OZ4" s="29" t="s">
        <v>2732</v>
      </c>
      <c r="PA4" s="29" t="s">
        <v>2733</v>
      </c>
      <c r="PB4" s="29" t="s">
        <v>2734</v>
      </c>
      <c r="PC4" s="29" t="s">
        <v>2735</v>
      </c>
      <c r="PD4" s="29" t="s">
        <v>2736</v>
      </c>
      <c r="PE4" s="29" t="s">
        <v>2737</v>
      </c>
      <c r="PF4" s="29" t="s">
        <v>2738</v>
      </c>
      <c r="PG4" s="29" t="s">
        <v>2739</v>
      </c>
      <c r="PH4" s="29" t="s">
        <v>2740</v>
      </c>
      <c r="PI4" s="29" t="s">
        <v>2741</v>
      </c>
      <c r="PJ4" s="29" t="s">
        <v>2742</v>
      </c>
      <c r="PK4" s="29" t="s">
        <v>2743</v>
      </c>
      <c r="PL4" s="29" t="s">
        <v>2744</v>
      </c>
      <c r="PM4" s="29" t="s">
        <v>2745</v>
      </c>
      <c r="PN4" s="29" t="s">
        <v>2746</v>
      </c>
      <c r="PO4" s="29" t="s">
        <v>2747</v>
      </c>
      <c r="PP4" s="29" t="s">
        <v>2748</v>
      </c>
      <c r="PQ4" s="29" t="s">
        <v>2749</v>
      </c>
      <c r="PR4" s="29" t="s">
        <v>2750</v>
      </c>
      <c r="PS4" s="29" t="s">
        <v>2751</v>
      </c>
      <c r="PT4" s="29" t="s">
        <v>2752</v>
      </c>
      <c r="PU4" s="29" t="s">
        <v>2753</v>
      </c>
      <c r="PV4" s="29" t="s">
        <v>2754</v>
      </c>
      <c r="PW4" s="29" t="s">
        <v>2755</v>
      </c>
      <c r="PX4" s="29" t="s">
        <v>2756</v>
      </c>
      <c r="PY4" s="29" t="s">
        <v>2757</v>
      </c>
      <c r="PZ4" s="29" t="s">
        <v>2758</v>
      </c>
      <c r="QA4" s="29" t="s">
        <v>2759</v>
      </c>
      <c r="QB4" s="29" t="s">
        <v>2760</v>
      </c>
      <c r="QC4" s="29" t="s">
        <v>2761</v>
      </c>
      <c r="QD4" s="29" t="s">
        <v>2762</v>
      </c>
      <c r="QE4" s="29" t="s">
        <v>2763</v>
      </c>
      <c r="QF4" s="29" t="s">
        <v>2764</v>
      </c>
      <c r="QG4" s="29" t="s">
        <v>2765</v>
      </c>
      <c r="QH4" s="29" t="s">
        <v>2766</v>
      </c>
      <c r="QI4" s="29" t="s">
        <v>2767</v>
      </c>
      <c r="QJ4" s="29" t="s">
        <v>2768</v>
      </c>
      <c r="QK4" s="29" t="s">
        <v>2769</v>
      </c>
      <c r="QL4" s="29" t="s">
        <v>2770</v>
      </c>
      <c r="QM4" s="29" t="s">
        <v>2771</v>
      </c>
      <c r="QN4" s="29" t="s">
        <v>2772</v>
      </c>
      <c r="QO4" s="29" t="s">
        <v>2773</v>
      </c>
      <c r="QP4" s="29" t="s">
        <v>2774</v>
      </c>
      <c r="QQ4" s="29" t="s">
        <v>2775</v>
      </c>
      <c r="QR4" s="29" t="s">
        <v>2776</v>
      </c>
      <c r="QS4" s="29" t="s">
        <v>2777</v>
      </c>
      <c r="QT4" s="29" t="s">
        <v>2778</v>
      </c>
      <c r="QU4" s="29" t="s">
        <v>2779</v>
      </c>
      <c r="QV4" s="29" t="s">
        <v>2780</v>
      </c>
      <c r="QW4" s="29" t="s">
        <v>2781</v>
      </c>
      <c r="QX4" s="29" t="s">
        <v>2782</v>
      </c>
      <c r="QY4" s="29" t="s">
        <v>2783</v>
      </c>
      <c r="QZ4" s="29" t="s">
        <v>2784</v>
      </c>
      <c r="RA4" s="29" t="s">
        <v>2785</v>
      </c>
      <c r="RB4" s="29" t="s">
        <v>2786</v>
      </c>
      <c r="RC4" s="29" t="s">
        <v>2787</v>
      </c>
      <c r="RD4" s="29" t="s">
        <v>2788</v>
      </c>
      <c r="RE4" s="29" t="s">
        <v>2789</v>
      </c>
      <c r="RF4" s="29" t="s">
        <v>2790</v>
      </c>
      <c r="RG4" s="29" t="s">
        <v>2791</v>
      </c>
      <c r="RH4" s="29" t="s">
        <v>2792</v>
      </c>
      <c r="RI4" s="29" t="s">
        <v>2793</v>
      </c>
      <c r="RJ4" s="29" t="s">
        <v>2794</v>
      </c>
      <c r="RK4" s="29" t="s">
        <v>2795</v>
      </c>
      <c r="RL4" s="29" t="s">
        <v>2796</v>
      </c>
      <c r="RM4" s="29" t="s">
        <v>2797</v>
      </c>
      <c r="RN4" s="29" t="s">
        <v>2798</v>
      </c>
      <c r="RO4" s="29" t="s">
        <v>2799</v>
      </c>
      <c r="RP4" s="29" t="s">
        <v>2800</v>
      </c>
      <c r="RQ4" s="29" t="s">
        <v>2801</v>
      </c>
      <c r="RR4" s="29" t="s">
        <v>2802</v>
      </c>
      <c r="RS4" s="29" t="s">
        <v>2803</v>
      </c>
      <c r="RT4" s="29" t="s">
        <v>2804</v>
      </c>
      <c r="RU4" s="29" t="s">
        <v>2805</v>
      </c>
      <c r="RV4" s="29" t="s">
        <v>2806</v>
      </c>
      <c r="RW4" s="29" t="s">
        <v>2807</v>
      </c>
      <c r="RX4" s="29" t="s">
        <v>2808</v>
      </c>
      <c r="RY4" s="29" t="s">
        <v>2809</v>
      </c>
      <c r="RZ4" s="29" t="s">
        <v>2810</v>
      </c>
      <c r="SA4" s="29" t="s">
        <v>2811</v>
      </c>
      <c r="SB4" s="29" t="s">
        <v>2812</v>
      </c>
      <c r="SC4" s="29" t="s">
        <v>2813</v>
      </c>
      <c r="SD4" s="29" t="s">
        <v>2814</v>
      </c>
      <c r="SE4" s="29" t="s">
        <v>2815</v>
      </c>
      <c r="SF4" s="29" t="s">
        <v>2816</v>
      </c>
      <c r="SG4" s="29" t="s">
        <v>2817</v>
      </c>
      <c r="SH4" s="29" t="s">
        <v>2818</v>
      </c>
      <c r="SI4" s="29" t="s">
        <v>2819</v>
      </c>
      <c r="SJ4" s="29" t="s">
        <v>2820</v>
      </c>
      <c r="SK4" s="29" t="s">
        <v>2821</v>
      </c>
      <c r="SL4" s="29" t="s">
        <v>2822</v>
      </c>
      <c r="SM4" s="29" t="s">
        <v>2823</v>
      </c>
      <c r="SN4" s="29" t="s">
        <v>2824</v>
      </c>
      <c r="SO4" s="29" t="s">
        <v>2825</v>
      </c>
      <c r="SP4" s="29" t="s">
        <v>2826</v>
      </c>
      <c r="SQ4" s="29" t="s">
        <v>2827</v>
      </c>
      <c r="SR4" s="29" t="s">
        <v>2828</v>
      </c>
      <c r="SS4" s="29" t="s">
        <v>2829</v>
      </c>
      <c r="ST4" s="29" t="s">
        <v>2830</v>
      </c>
      <c r="SU4" s="29" t="s">
        <v>2831</v>
      </c>
      <c r="SV4" s="29" t="s">
        <v>2832</v>
      </c>
      <c r="SW4" s="29" t="s">
        <v>2833</v>
      </c>
      <c r="SX4" s="29" t="s">
        <v>2834</v>
      </c>
      <c r="SY4" s="29" t="s">
        <v>2835</v>
      </c>
      <c r="SZ4" s="29" t="s">
        <v>2836</v>
      </c>
      <c r="TA4" s="29" t="s">
        <v>2837</v>
      </c>
      <c r="TB4" s="29" t="s">
        <v>2838</v>
      </c>
      <c r="TC4" s="29" t="s">
        <v>2839</v>
      </c>
      <c r="TD4" s="29" t="s">
        <v>2840</v>
      </c>
      <c r="TE4" s="29" t="s">
        <v>2841</v>
      </c>
      <c r="TF4" s="29" t="s">
        <v>2842</v>
      </c>
      <c r="TG4" s="29" t="s">
        <v>2843</v>
      </c>
      <c r="TH4" s="29" t="s">
        <v>2844</v>
      </c>
      <c r="TI4" s="29" t="s">
        <v>2845</v>
      </c>
      <c r="TJ4" s="29" t="s">
        <v>2846</v>
      </c>
      <c r="TK4" s="29" t="s">
        <v>2847</v>
      </c>
      <c r="TL4" s="29" t="s">
        <v>2848</v>
      </c>
      <c r="TM4" s="29" t="s">
        <v>2849</v>
      </c>
      <c r="TN4" s="29" t="s">
        <v>2850</v>
      </c>
      <c r="TO4" s="29" t="s">
        <v>2851</v>
      </c>
      <c r="TP4" s="29" t="s">
        <v>2852</v>
      </c>
      <c r="TQ4" s="29" t="s">
        <v>2853</v>
      </c>
      <c r="TR4" s="29" t="s">
        <v>2854</v>
      </c>
      <c r="TS4" s="29" t="s">
        <v>2855</v>
      </c>
      <c r="TT4" s="29" t="s">
        <v>2856</v>
      </c>
      <c r="TU4" s="29" t="s">
        <v>2857</v>
      </c>
      <c r="TV4" s="29" t="s">
        <v>2858</v>
      </c>
      <c r="TW4" s="29" t="s">
        <v>2859</v>
      </c>
      <c r="TX4" s="29" t="s">
        <v>2860</v>
      </c>
      <c r="TY4" s="29" t="s">
        <v>2861</v>
      </c>
      <c r="TZ4" s="29" t="s">
        <v>2862</v>
      </c>
      <c r="UA4" s="29" t="s">
        <v>2863</v>
      </c>
      <c r="UB4" s="29" t="s">
        <v>2864</v>
      </c>
      <c r="UC4" s="29" t="s">
        <v>2865</v>
      </c>
      <c r="UD4" s="29" t="s">
        <v>2866</v>
      </c>
      <c r="UE4" s="29" t="s">
        <v>2867</v>
      </c>
      <c r="UF4" s="29" t="s">
        <v>2868</v>
      </c>
      <c r="UG4" s="29" t="s">
        <v>2869</v>
      </c>
      <c r="UH4" s="29" t="s">
        <v>2870</v>
      </c>
      <c r="UI4" s="29" t="s">
        <v>2871</v>
      </c>
      <c r="UJ4" s="29" t="s">
        <v>2872</v>
      </c>
      <c r="UK4" s="29" t="s">
        <v>2873</v>
      </c>
      <c r="UL4" s="29" t="s">
        <v>2874</v>
      </c>
      <c r="UM4" s="29" t="s">
        <v>2875</v>
      </c>
      <c r="UN4" s="29" t="s">
        <v>2876</v>
      </c>
      <c r="UO4" s="29" t="s">
        <v>2877</v>
      </c>
      <c r="UP4" s="29" t="s">
        <v>2878</v>
      </c>
      <c r="UQ4" s="29" t="s">
        <v>2879</v>
      </c>
      <c r="UR4" s="29" t="s">
        <v>2880</v>
      </c>
      <c r="US4" s="29" t="s">
        <v>2881</v>
      </c>
      <c r="UT4" s="29" t="s">
        <v>2882</v>
      </c>
      <c r="UU4" s="29" t="s">
        <v>2883</v>
      </c>
      <c r="UV4" s="29" t="s">
        <v>2884</v>
      </c>
      <c r="UW4" s="29" t="s">
        <v>2885</v>
      </c>
      <c r="UX4" s="29" t="s">
        <v>2886</v>
      </c>
      <c r="UY4" s="29" t="s">
        <v>2887</v>
      </c>
      <c r="UZ4" s="29" t="s">
        <v>2888</v>
      </c>
      <c r="VA4" s="29" t="s">
        <v>2889</v>
      </c>
      <c r="VB4" s="29" t="s">
        <v>2890</v>
      </c>
      <c r="VC4" s="29" t="s">
        <v>2891</v>
      </c>
      <c r="VD4" s="29" t="s">
        <v>2892</v>
      </c>
      <c r="VE4" s="29" t="s">
        <v>2893</v>
      </c>
      <c r="VF4" s="29" t="s">
        <v>2894</v>
      </c>
      <c r="VG4" s="29" t="s">
        <v>2895</v>
      </c>
      <c r="VH4" s="29" t="s">
        <v>2896</v>
      </c>
      <c r="VI4" s="29" t="s">
        <v>2897</v>
      </c>
      <c r="VJ4" s="29" t="s">
        <v>2898</v>
      </c>
      <c r="VK4" s="29" t="s">
        <v>2899</v>
      </c>
      <c r="VL4" s="29" t="s">
        <v>2900</v>
      </c>
      <c r="VM4" s="29" t="s">
        <v>2901</v>
      </c>
      <c r="VN4" s="29" t="s">
        <v>2902</v>
      </c>
      <c r="VO4" s="29" t="s">
        <v>2903</v>
      </c>
      <c r="VP4" s="29" t="s">
        <v>2904</v>
      </c>
      <c r="VQ4" s="29" t="s">
        <v>2905</v>
      </c>
      <c r="VR4" s="29" t="s">
        <v>2906</v>
      </c>
      <c r="VS4" s="29" t="s">
        <v>2907</v>
      </c>
      <c r="VT4" s="29" t="s">
        <v>2908</v>
      </c>
      <c r="VU4" s="29" t="s">
        <v>2909</v>
      </c>
      <c r="VV4" s="29" t="s">
        <v>2910</v>
      </c>
      <c r="VW4" s="29" t="s">
        <v>2911</v>
      </c>
      <c r="VX4" s="29" t="s">
        <v>2912</v>
      </c>
      <c r="VY4" s="29" t="s">
        <v>2913</v>
      </c>
      <c r="VZ4" s="29" t="s">
        <v>2914</v>
      </c>
      <c r="WA4" s="29" t="s">
        <v>2915</v>
      </c>
      <c r="WB4" s="29" t="s">
        <v>2916</v>
      </c>
      <c r="WC4" s="29" t="s">
        <v>2917</v>
      </c>
      <c r="WD4" s="29" t="s">
        <v>2918</v>
      </c>
      <c r="WE4" s="29" t="s">
        <v>2919</v>
      </c>
      <c r="WF4" s="29" t="s">
        <v>2920</v>
      </c>
      <c r="WG4" s="29" t="s">
        <v>2921</v>
      </c>
      <c r="WH4" s="29" t="s">
        <v>2922</v>
      </c>
      <c r="WI4" s="29" t="s">
        <v>2923</v>
      </c>
      <c r="WJ4" s="29" t="s">
        <v>2924</v>
      </c>
      <c r="WK4" s="29" t="s">
        <v>2925</v>
      </c>
      <c r="WL4" s="29" t="s">
        <v>2926</v>
      </c>
      <c r="WM4" s="29" t="s">
        <v>2927</v>
      </c>
      <c r="WN4" s="29" t="s">
        <v>2928</v>
      </c>
      <c r="WO4" s="29" t="s">
        <v>2929</v>
      </c>
      <c r="WP4" s="29" t="s">
        <v>2930</v>
      </c>
      <c r="WQ4" s="29" t="s">
        <v>2931</v>
      </c>
      <c r="WR4" s="29" t="s">
        <v>2932</v>
      </c>
      <c r="WS4" s="29" t="s">
        <v>2933</v>
      </c>
      <c r="WT4" s="29" t="s">
        <v>2934</v>
      </c>
      <c r="WU4" s="29" t="s">
        <v>2935</v>
      </c>
      <c r="WV4" s="29" t="s">
        <v>2936</v>
      </c>
      <c r="WW4" s="29" t="s">
        <v>2937</v>
      </c>
      <c r="WX4" s="29" t="s">
        <v>2938</v>
      </c>
      <c r="WY4" s="29" t="s">
        <v>2939</v>
      </c>
      <c r="WZ4" s="29" t="s">
        <v>2940</v>
      </c>
      <c r="XA4" s="29" t="s">
        <v>2941</v>
      </c>
      <c r="XB4" s="29" t="s">
        <v>2942</v>
      </c>
      <c r="XC4" s="29" t="s">
        <v>2943</v>
      </c>
      <c r="XD4" s="29" t="s">
        <v>2944</v>
      </c>
      <c r="XE4" s="29" t="s">
        <v>2945</v>
      </c>
      <c r="XF4" s="29" t="s">
        <v>2946</v>
      </c>
      <c r="XG4" s="29" t="s">
        <v>2947</v>
      </c>
      <c r="XH4" s="29" t="s">
        <v>2948</v>
      </c>
      <c r="XI4" s="29" t="s">
        <v>2949</v>
      </c>
      <c r="XJ4" s="29" t="s">
        <v>2950</v>
      </c>
      <c r="XK4" s="29" t="s">
        <v>2951</v>
      </c>
      <c r="XL4" s="29" t="s">
        <v>2952</v>
      </c>
      <c r="XM4" s="29" t="s">
        <v>2953</v>
      </c>
      <c r="XN4" s="29" t="s">
        <v>2954</v>
      </c>
      <c r="XO4" s="29" t="s">
        <v>2955</v>
      </c>
      <c r="XP4" s="29" t="s">
        <v>2956</v>
      </c>
      <c r="XQ4" s="29" t="s">
        <v>2957</v>
      </c>
      <c r="XR4" s="29" t="s">
        <v>2958</v>
      </c>
      <c r="XS4" s="29" t="s">
        <v>2959</v>
      </c>
      <c r="XT4" s="29" t="s">
        <v>2960</v>
      </c>
      <c r="XU4" s="29" t="s">
        <v>2961</v>
      </c>
      <c r="XV4" s="29" t="s">
        <v>2962</v>
      </c>
      <c r="XW4" s="29" t="s">
        <v>2963</v>
      </c>
      <c r="XX4" s="29" t="s">
        <v>2964</v>
      </c>
      <c r="XY4" s="29" t="s">
        <v>2965</v>
      </c>
      <c r="XZ4" s="29" t="s">
        <v>2966</v>
      </c>
      <c r="YA4" s="29" t="s">
        <v>2967</v>
      </c>
      <c r="YB4" s="29" t="s">
        <v>2968</v>
      </c>
      <c r="YC4" s="29" t="s">
        <v>2969</v>
      </c>
      <c r="YD4" s="29" t="s">
        <v>2970</v>
      </c>
      <c r="YE4" s="29" t="s">
        <v>2971</v>
      </c>
      <c r="YF4" s="29" t="s">
        <v>2972</v>
      </c>
      <c r="YG4" s="29" t="s">
        <v>2973</v>
      </c>
      <c r="YH4" s="29" t="s">
        <v>2974</v>
      </c>
      <c r="YI4" s="29" t="s">
        <v>2975</v>
      </c>
      <c r="YJ4" s="29" t="s">
        <v>2976</v>
      </c>
      <c r="YK4" s="29" t="s">
        <v>2977</v>
      </c>
      <c r="YL4" s="29" t="s">
        <v>2978</v>
      </c>
      <c r="YM4" s="29" t="s">
        <v>2979</v>
      </c>
      <c r="YN4" s="29" t="s">
        <v>2980</v>
      </c>
      <c r="YO4" s="29" t="s">
        <v>2981</v>
      </c>
      <c r="YP4" s="29" t="s">
        <v>2982</v>
      </c>
      <c r="YQ4" s="29" t="s">
        <v>2983</v>
      </c>
      <c r="YR4" s="29" t="s">
        <v>2984</v>
      </c>
      <c r="YS4" s="29" t="s">
        <v>2985</v>
      </c>
      <c r="YT4" s="29" t="s">
        <v>2986</v>
      </c>
      <c r="YU4" s="29" t="s">
        <v>2987</v>
      </c>
      <c r="YV4" s="29" t="s">
        <v>2988</v>
      </c>
      <c r="YW4" s="29" t="s">
        <v>2989</v>
      </c>
      <c r="YX4" s="29" t="s">
        <v>2990</v>
      </c>
      <c r="YY4" s="29" t="s">
        <v>2991</v>
      </c>
      <c r="YZ4" s="29" t="s">
        <v>2992</v>
      </c>
      <c r="ZA4" s="29" t="s">
        <v>2993</v>
      </c>
      <c r="ZB4" s="29" t="s">
        <v>2994</v>
      </c>
      <c r="ZC4" s="29" t="s">
        <v>2995</v>
      </c>
      <c r="ZD4" s="29" t="s">
        <v>2996</v>
      </c>
      <c r="ZE4" s="29" t="s">
        <v>2997</v>
      </c>
      <c r="ZF4" s="29" t="s">
        <v>2998</v>
      </c>
      <c r="ZG4" s="29" t="s">
        <v>2999</v>
      </c>
      <c r="ZH4" s="29" t="s">
        <v>3000</v>
      </c>
      <c r="ZI4" s="29" t="s">
        <v>3001</v>
      </c>
    </row>
    <row r="5" customFormat="false" ht="15" hidden="false" customHeight="false" outlineLevel="0" collapsed="false">
      <c r="A5" s="30" t="s">
        <v>15</v>
      </c>
      <c r="C5" s="30" t="s">
        <v>15</v>
      </c>
      <c r="D5" s="30" t="s">
        <v>2329</v>
      </c>
      <c r="F5" s="31" t="s">
        <v>3002</v>
      </c>
      <c r="G5" s="31" t="s">
        <v>2358</v>
      </c>
      <c r="I5" s="31" t="s">
        <v>20</v>
      </c>
      <c r="J5" s="31" t="s">
        <v>2482</v>
      </c>
      <c r="M5" s="30" t="s">
        <v>16</v>
      </c>
      <c r="N5" s="30" t="s">
        <v>227</v>
      </c>
      <c r="O5" s="30" t="s">
        <v>351</v>
      </c>
      <c r="P5" s="30" t="s">
        <v>408</v>
      </c>
      <c r="Q5" s="30" t="s">
        <v>439</v>
      </c>
      <c r="R5" s="30" t="s">
        <v>479</v>
      </c>
      <c r="S5" s="30" t="s">
        <v>510</v>
      </c>
      <c r="T5" s="30" t="s">
        <v>528</v>
      </c>
      <c r="U5" s="30" t="s">
        <v>536</v>
      </c>
      <c r="V5" s="30" t="s">
        <v>561</v>
      </c>
      <c r="W5" s="30" t="s">
        <v>351</v>
      </c>
      <c r="X5" s="30" t="s">
        <v>650</v>
      </c>
      <c r="Y5" s="30" t="s">
        <v>684</v>
      </c>
      <c r="Z5" s="30" t="s">
        <v>408</v>
      </c>
      <c r="AA5" s="30" t="s">
        <v>510</v>
      </c>
      <c r="AB5" s="30" t="s">
        <v>765</v>
      </c>
      <c r="AC5" s="30" t="s">
        <v>806</v>
      </c>
      <c r="AD5" s="30" t="s">
        <v>868</v>
      </c>
      <c r="AE5" s="30" t="s">
        <v>919</v>
      </c>
      <c r="AF5" s="30" t="s">
        <v>973</v>
      </c>
      <c r="AG5" s="30" t="s">
        <v>1001</v>
      </c>
      <c r="AH5" s="30" t="s">
        <v>1042</v>
      </c>
      <c r="AI5" s="30" t="s">
        <v>1138</v>
      </c>
      <c r="AJ5" s="30" t="s">
        <v>1205</v>
      </c>
      <c r="AK5" s="30" t="s">
        <v>1266</v>
      </c>
      <c r="AL5" s="30" t="s">
        <v>1317</v>
      </c>
      <c r="AM5" s="30" t="s">
        <v>1332</v>
      </c>
      <c r="AN5" s="30" t="s">
        <v>1360</v>
      </c>
      <c r="AO5" s="30" t="s">
        <v>1379</v>
      </c>
      <c r="AP5" s="30" t="s">
        <v>17</v>
      </c>
      <c r="AQ5" s="30" t="s">
        <v>43</v>
      </c>
      <c r="AR5" s="30" t="s">
        <v>66</v>
      </c>
      <c r="AS5" s="30" t="s">
        <v>103</v>
      </c>
      <c r="AT5" s="30" t="s">
        <v>118</v>
      </c>
      <c r="AU5" s="30" t="s">
        <v>118</v>
      </c>
      <c r="AV5" s="30" t="s">
        <v>118</v>
      </c>
      <c r="AW5" s="30" t="s">
        <v>121</v>
      </c>
      <c r="AX5" s="30" t="s">
        <v>118</v>
      </c>
      <c r="AY5" s="30" t="s">
        <v>118</v>
      </c>
      <c r="AZ5" s="30" t="s">
        <v>118</v>
      </c>
      <c r="BA5" s="30" t="s">
        <v>118</v>
      </c>
      <c r="BB5" s="30" t="s">
        <v>69</v>
      </c>
      <c r="BC5" s="30" t="s">
        <v>69</v>
      </c>
      <c r="BD5" s="30" t="s">
        <v>69</v>
      </c>
      <c r="BE5" s="30" t="s">
        <v>69</v>
      </c>
      <c r="BF5" s="30" t="s">
        <v>69</v>
      </c>
      <c r="BG5" s="30" t="s">
        <v>69</v>
      </c>
      <c r="BH5" s="30" t="s">
        <v>69</v>
      </c>
      <c r="BI5" s="30" t="s">
        <v>69</v>
      </c>
      <c r="BJ5" s="30" t="s">
        <v>282</v>
      </c>
      <c r="BK5" s="30" t="s">
        <v>325</v>
      </c>
      <c r="BL5" s="30" t="s">
        <v>99</v>
      </c>
      <c r="BM5" s="30" t="s">
        <v>352</v>
      </c>
      <c r="BN5" s="30" t="s">
        <v>368</v>
      </c>
      <c r="BO5" s="30" t="s">
        <v>378</v>
      </c>
      <c r="BP5" s="30" t="s">
        <v>388</v>
      </c>
      <c r="BQ5" s="30" t="s">
        <v>394</v>
      </c>
      <c r="BR5" s="30" t="s">
        <v>408</v>
      </c>
      <c r="BS5" s="30" t="s">
        <v>417</v>
      </c>
      <c r="BT5" s="30" t="s">
        <v>425</v>
      </c>
      <c r="BU5" s="30" t="s">
        <v>431</v>
      </c>
      <c r="BV5" s="30" t="s">
        <v>439</v>
      </c>
      <c r="BW5" s="30" t="s">
        <v>445</v>
      </c>
      <c r="BX5" s="30" t="s">
        <v>452</v>
      </c>
      <c r="BY5" s="30" t="s">
        <v>458</v>
      </c>
      <c r="BZ5" s="30" t="s">
        <v>465</v>
      </c>
      <c r="CA5" s="30" t="s">
        <v>479</v>
      </c>
      <c r="CB5" s="30" t="s">
        <v>491</v>
      </c>
      <c r="CC5" s="30" t="s">
        <v>498</v>
      </c>
      <c r="CD5" s="30" t="s">
        <v>510</v>
      </c>
      <c r="CE5" s="30" t="s">
        <v>516</v>
      </c>
      <c r="CF5" s="30" t="s">
        <v>138</v>
      </c>
      <c r="CG5" s="30" t="s">
        <v>408</v>
      </c>
      <c r="CH5" s="30" t="s">
        <v>537</v>
      </c>
      <c r="CI5" s="30" t="s">
        <v>550</v>
      </c>
      <c r="CJ5" s="30" t="s">
        <v>562</v>
      </c>
      <c r="CK5" s="30" t="s">
        <v>575</v>
      </c>
      <c r="CL5" s="30" t="s">
        <v>586</v>
      </c>
      <c r="CM5" s="30" t="s">
        <v>597</v>
      </c>
      <c r="CN5" s="30" t="s">
        <v>352</v>
      </c>
      <c r="CO5" s="30" t="s">
        <v>616</v>
      </c>
      <c r="CP5" s="30" t="s">
        <v>629</v>
      </c>
      <c r="CQ5" s="30" t="s">
        <v>635</v>
      </c>
      <c r="CR5" s="30" t="s">
        <v>550</v>
      </c>
      <c r="CS5" s="30" t="s">
        <v>650</v>
      </c>
      <c r="CT5" s="30" t="s">
        <v>656</v>
      </c>
      <c r="CU5" s="30" t="s">
        <v>439</v>
      </c>
      <c r="CV5" s="30" t="s">
        <v>445</v>
      </c>
      <c r="CW5" s="30" t="s">
        <v>465</v>
      </c>
      <c r="CX5" s="30" t="s">
        <v>676</v>
      </c>
      <c r="CY5" s="30" t="s">
        <v>685</v>
      </c>
      <c r="CZ5" s="30" t="s">
        <v>408</v>
      </c>
      <c r="DA5" s="30" t="s">
        <v>417</v>
      </c>
      <c r="DB5" s="30" t="s">
        <v>425</v>
      </c>
      <c r="DC5" s="30" t="s">
        <v>701</v>
      </c>
      <c r="DD5" s="30" t="s">
        <v>713</v>
      </c>
      <c r="DE5" s="30" t="s">
        <v>510</v>
      </c>
      <c r="DF5" s="30" t="s">
        <v>516</v>
      </c>
      <c r="DG5" s="30" t="s">
        <v>730</v>
      </c>
      <c r="DH5" s="30" t="s">
        <v>739</v>
      </c>
      <c r="DI5" s="30" t="s">
        <v>138</v>
      </c>
      <c r="DJ5" s="30" t="s">
        <v>713</v>
      </c>
      <c r="DK5" s="30" t="s">
        <v>765</v>
      </c>
      <c r="DL5" s="30" t="s">
        <v>775</v>
      </c>
      <c r="DM5" s="30" t="s">
        <v>782</v>
      </c>
      <c r="DN5" s="30" t="s">
        <v>789</v>
      </c>
      <c r="DO5" s="30" t="s">
        <v>807</v>
      </c>
      <c r="DP5" s="30" t="s">
        <v>829</v>
      </c>
      <c r="DQ5" s="30" t="s">
        <v>838</v>
      </c>
      <c r="DR5" s="30" t="s">
        <v>848</v>
      </c>
      <c r="DS5" s="30" t="s">
        <v>869</v>
      </c>
      <c r="DT5" s="30" t="s">
        <v>886</v>
      </c>
      <c r="DU5" s="30" t="s">
        <v>905</v>
      </c>
      <c r="DV5" s="30" t="s">
        <v>920</v>
      </c>
      <c r="DW5" s="30" t="s">
        <v>930</v>
      </c>
      <c r="DX5" s="30" t="s">
        <v>940</v>
      </c>
      <c r="DY5" s="30" t="s">
        <v>956</v>
      </c>
      <c r="DZ5" s="30" t="s">
        <v>974</v>
      </c>
      <c r="EA5" s="30" t="s">
        <v>990</v>
      </c>
      <c r="EB5" s="30" t="s">
        <v>1002</v>
      </c>
      <c r="EC5" s="30" t="s">
        <v>1015</v>
      </c>
      <c r="ED5" s="30" t="s">
        <v>1028</v>
      </c>
      <c r="EE5" s="30" t="s">
        <v>1043</v>
      </c>
      <c r="EF5" s="30" t="s">
        <v>1062</v>
      </c>
      <c r="EG5" s="30" t="s">
        <v>1081</v>
      </c>
      <c r="EH5" s="30" t="s">
        <v>1095</v>
      </c>
      <c r="EI5" s="30" t="s">
        <v>1111</v>
      </c>
      <c r="EJ5" s="30" t="s">
        <v>1124</v>
      </c>
      <c r="EK5" s="30" t="s">
        <v>1139</v>
      </c>
      <c r="EL5" s="30" t="s">
        <v>1152</v>
      </c>
      <c r="EM5" s="30" t="s">
        <v>1165</v>
      </c>
      <c r="EN5" s="30" t="s">
        <v>1181</v>
      </c>
      <c r="EO5" s="30" t="s">
        <v>1197</v>
      </c>
      <c r="EP5" s="30" t="s">
        <v>1206</v>
      </c>
      <c r="EQ5" s="30" t="s">
        <v>1220</v>
      </c>
      <c r="ER5" s="30" t="s">
        <v>1236</v>
      </c>
      <c r="ES5" s="30" t="s">
        <v>1255</v>
      </c>
      <c r="ET5" s="30" t="s">
        <v>1267</v>
      </c>
      <c r="EU5" s="30" t="s">
        <v>1280</v>
      </c>
      <c r="EV5" s="30" t="s">
        <v>1293</v>
      </c>
      <c r="EW5" s="30" t="s">
        <v>1303</v>
      </c>
      <c r="EX5" s="30" t="s">
        <v>1318</v>
      </c>
      <c r="EY5" s="30" t="s">
        <v>1333</v>
      </c>
      <c r="EZ5" s="30" t="s">
        <v>1345</v>
      </c>
      <c r="FA5" s="30" t="s">
        <v>1349</v>
      </c>
      <c r="FB5" s="30" t="s">
        <v>1361</v>
      </c>
      <c r="FC5" s="30" t="s">
        <v>1380</v>
      </c>
      <c r="FD5" s="30" t="s">
        <v>1389</v>
      </c>
      <c r="FE5" s="30" t="s">
        <v>1409</v>
      </c>
      <c r="FF5" s="30" t="s">
        <v>1426</v>
      </c>
      <c r="FG5" s="30" t="s">
        <v>1438</v>
      </c>
      <c r="FH5" s="30" t="s">
        <v>723</v>
      </c>
      <c r="FI5" s="30" t="s">
        <v>698</v>
      </c>
      <c r="FJ5" s="30" t="s">
        <v>19</v>
      </c>
      <c r="FK5" s="30" t="s">
        <v>23</v>
      </c>
      <c r="FL5" s="30" t="s">
        <v>26</v>
      </c>
      <c r="FM5" s="30" t="s">
        <v>29</v>
      </c>
      <c r="FN5" s="30" t="s">
        <v>32</v>
      </c>
      <c r="FO5" s="30" t="s">
        <v>36</v>
      </c>
      <c r="FP5" s="30" t="s">
        <v>39</v>
      </c>
      <c r="FQ5" s="30" t="s">
        <v>44</v>
      </c>
      <c r="FR5" s="30" t="s">
        <v>47</v>
      </c>
      <c r="FS5" s="30" t="s">
        <v>50</v>
      </c>
      <c r="FT5" s="30" t="s">
        <v>54</v>
      </c>
      <c r="FU5" s="30" t="s">
        <v>58</v>
      </c>
      <c r="FV5" s="30" t="s">
        <v>62</v>
      </c>
      <c r="FW5" s="30" t="s">
        <v>67</v>
      </c>
      <c r="FX5" s="30" t="s">
        <v>70</v>
      </c>
      <c r="FY5" s="30" t="s">
        <v>73</v>
      </c>
      <c r="FZ5" s="30" t="s">
        <v>76</v>
      </c>
      <c r="GA5" s="30" t="s">
        <v>79</v>
      </c>
      <c r="GB5" s="30" t="s">
        <v>82</v>
      </c>
      <c r="GC5" s="30" t="s">
        <v>85</v>
      </c>
      <c r="GD5" s="30" t="s">
        <v>88</v>
      </c>
      <c r="GE5" s="30" t="s">
        <v>91</v>
      </c>
      <c r="GF5" s="30" t="s">
        <v>94</v>
      </c>
      <c r="GG5" s="30" t="s">
        <v>97</v>
      </c>
      <c r="GH5" s="30" t="s">
        <v>100</v>
      </c>
      <c r="GI5" s="30" t="s">
        <v>104</v>
      </c>
      <c r="GJ5" s="30" t="s">
        <v>107</v>
      </c>
      <c r="GK5" s="30" t="s">
        <v>110</v>
      </c>
      <c r="GL5" s="30" t="s">
        <v>113</v>
      </c>
      <c r="GM5" s="30" t="s">
        <v>94</v>
      </c>
      <c r="GN5" s="30" t="s">
        <v>119</v>
      </c>
      <c r="GO5" s="30" t="s">
        <v>122</v>
      </c>
      <c r="GP5" s="30" t="s">
        <v>125</v>
      </c>
      <c r="GQ5" s="30" t="s">
        <v>128</v>
      </c>
      <c r="GR5" s="30" t="s">
        <v>70</v>
      </c>
      <c r="GS5" s="30" t="s">
        <v>131</v>
      </c>
      <c r="GT5" s="30" t="s">
        <v>73</v>
      </c>
      <c r="GU5" s="30" t="s">
        <v>76</v>
      </c>
      <c r="GV5" s="30" t="s">
        <v>136</v>
      </c>
      <c r="GW5" s="30" t="s">
        <v>139</v>
      </c>
      <c r="GX5" s="30" t="s">
        <v>142</v>
      </c>
      <c r="GY5" s="30" t="s">
        <v>119</v>
      </c>
      <c r="GZ5" s="30" t="s">
        <v>122</v>
      </c>
      <c r="HA5" s="30" t="s">
        <v>125</v>
      </c>
      <c r="HB5" s="30" t="s">
        <v>128</v>
      </c>
      <c r="HC5" s="30" t="s">
        <v>70</v>
      </c>
      <c r="HD5" s="30" t="s">
        <v>150</v>
      </c>
      <c r="HE5" s="30" t="s">
        <v>73</v>
      </c>
      <c r="HF5" s="30" t="s">
        <v>76</v>
      </c>
      <c r="HG5" s="30" t="s">
        <v>136</v>
      </c>
      <c r="HH5" s="30" t="s">
        <v>139</v>
      </c>
      <c r="HI5" s="30" t="s">
        <v>142</v>
      </c>
      <c r="HJ5" s="30" t="s">
        <v>119</v>
      </c>
      <c r="HK5" s="30" t="s">
        <v>128</v>
      </c>
      <c r="HL5" s="30" t="s">
        <v>70</v>
      </c>
      <c r="HM5" s="30" t="s">
        <v>150</v>
      </c>
      <c r="HN5" s="30" t="s">
        <v>73</v>
      </c>
      <c r="HO5" s="30" t="s">
        <v>76</v>
      </c>
      <c r="HP5" s="30" t="s">
        <v>139</v>
      </c>
      <c r="HQ5" s="30" t="s">
        <v>122</v>
      </c>
      <c r="HR5" s="30" t="s">
        <v>125</v>
      </c>
      <c r="HS5" s="30" t="s">
        <v>142</v>
      </c>
      <c r="HT5" s="30" t="s">
        <v>170</v>
      </c>
      <c r="HU5" s="30" t="s">
        <v>128</v>
      </c>
      <c r="HV5" s="30" t="s">
        <v>70</v>
      </c>
      <c r="HW5" s="30" t="s">
        <v>150</v>
      </c>
      <c r="HX5" s="30" t="s">
        <v>73</v>
      </c>
      <c r="HY5" s="30" t="s">
        <v>76</v>
      </c>
      <c r="HZ5" s="30" t="s">
        <v>139</v>
      </c>
      <c r="IA5" s="30" t="s">
        <v>119</v>
      </c>
      <c r="IB5" s="30" t="s">
        <v>122</v>
      </c>
      <c r="IC5" s="30" t="s">
        <v>125</v>
      </c>
      <c r="ID5" s="30" t="s">
        <v>128</v>
      </c>
      <c r="IE5" s="30" t="s">
        <v>70</v>
      </c>
      <c r="IF5" s="30" t="s">
        <v>150</v>
      </c>
      <c r="IG5" s="30" t="s">
        <v>73</v>
      </c>
      <c r="IH5" s="30" t="s">
        <v>76</v>
      </c>
      <c r="II5" s="30" t="s">
        <v>136</v>
      </c>
      <c r="IJ5" s="30" t="s">
        <v>139</v>
      </c>
      <c r="IK5" s="30" t="s">
        <v>142</v>
      </c>
      <c r="IL5" s="30" t="s">
        <v>119</v>
      </c>
      <c r="IM5" s="30" t="s">
        <v>122</v>
      </c>
      <c r="IN5" s="30" t="s">
        <v>125</v>
      </c>
      <c r="IO5" s="30" t="s">
        <v>128</v>
      </c>
      <c r="IP5" s="30" t="s">
        <v>70</v>
      </c>
      <c r="IQ5" s="30" t="s">
        <v>150</v>
      </c>
      <c r="IR5" s="30" t="s">
        <v>73</v>
      </c>
      <c r="IS5" s="30" t="s">
        <v>76</v>
      </c>
      <c r="IT5" s="30" t="s">
        <v>136</v>
      </c>
      <c r="IU5" s="30" t="s">
        <v>139</v>
      </c>
      <c r="IV5" s="30" t="s">
        <v>142</v>
      </c>
      <c r="IW5" s="30" t="s">
        <v>119</v>
      </c>
      <c r="IX5" s="30" t="s">
        <v>128</v>
      </c>
      <c r="IY5" s="30" t="s">
        <v>70</v>
      </c>
      <c r="IZ5" s="30" t="s">
        <v>150</v>
      </c>
      <c r="JA5" s="30" t="s">
        <v>73</v>
      </c>
      <c r="JB5" s="30" t="s">
        <v>76</v>
      </c>
      <c r="JC5" s="30" t="s">
        <v>136</v>
      </c>
      <c r="JD5" s="30" t="s">
        <v>139</v>
      </c>
      <c r="JE5" s="30" t="s">
        <v>119</v>
      </c>
      <c r="JF5" s="30" t="s">
        <v>70</v>
      </c>
      <c r="JG5" s="30" t="s">
        <v>150</v>
      </c>
      <c r="JH5" s="30" t="s">
        <v>73</v>
      </c>
      <c r="JI5" s="30" t="s">
        <v>76</v>
      </c>
      <c r="JJ5" s="30" t="s">
        <v>136</v>
      </c>
      <c r="JK5" s="30" t="s">
        <v>139</v>
      </c>
      <c r="JL5" s="30" t="s">
        <v>220</v>
      </c>
      <c r="JM5" s="30" t="s">
        <v>223</v>
      </c>
      <c r="JN5" s="30" t="s">
        <v>70</v>
      </c>
      <c r="JO5" s="30" t="s">
        <v>150</v>
      </c>
      <c r="JP5" s="30" t="s">
        <v>73</v>
      </c>
      <c r="JQ5" s="30" t="s">
        <v>76</v>
      </c>
      <c r="JR5" s="30" t="s">
        <v>233</v>
      </c>
      <c r="JS5" s="30" t="s">
        <v>236</v>
      </c>
      <c r="JT5" s="30" t="s">
        <v>70</v>
      </c>
      <c r="JU5" s="30" t="s">
        <v>150</v>
      </c>
      <c r="JV5" s="30" t="s">
        <v>73</v>
      </c>
      <c r="JW5" s="30" t="s">
        <v>76</v>
      </c>
      <c r="JX5" s="30" t="s">
        <v>70</v>
      </c>
      <c r="JY5" s="30" t="s">
        <v>150</v>
      </c>
      <c r="JZ5" s="30" t="s">
        <v>73</v>
      </c>
      <c r="KA5" s="30" t="s">
        <v>76</v>
      </c>
      <c r="KB5" s="30" t="s">
        <v>249</v>
      </c>
      <c r="KC5" s="30" t="s">
        <v>252</v>
      </c>
      <c r="KD5" s="30" t="s">
        <v>70</v>
      </c>
      <c r="KE5" s="30" t="s">
        <v>150</v>
      </c>
      <c r="KF5" s="30" t="s">
        <v>73</v>
      </c>
      <c r="KG5" s="30" t="s">
        <v>76</v>
      </c>
      <c r="KH5" s="30" t="s">
        <v>136</v>
      </c>
      <c r="KI5" s="30" t="s">
        <v>70</v>
      </c>
      <c r="KJ5" s="30" t="s">
        <v>150</v>
      </c>
      <c r="KK5" s="30" t="s">
        <v>73</v>
      </c>
      <c r="KL5" s="30" t="s">
        <v>76</v>
      </c>
      <c r="KM5" s="30" t="s">
        <v>70</v>
      </c>
      <c r="KN5" s="30" t="s">
        <v>150</v>
      </c>
      <c r="KO5" s="30" t="s">
        <v>73</v>
      </c>
      <c r="KP5" s="30" t="s">
        <v>76</v>
      </c>
      <c r="KQ5" s="30" t="s">
        <v>70</v>
      </c>
      <c r="KR5" s="30" t="s">
        <v>150</v>
      </c>
      <c r="KS5" s="30" t="s">
        <v>73</v>
      </c>
      <c r="KT5" s="30" t="s">
        <v>76</v>
      </c>
      <c r="KU5" s="30" t="s">
        <v>136</v>
      </c>
      <c r="KV5" s="30" t="s">
        <v>70</v>
      </c>
      <c r="KW5" s="30" t="s">
        <v>150</v>
      </c>
      <c r="KX5" s="30" t="s">
        <v>73</v>
      </c>
      <c r="KY5" s="30" t="s">
        <v>76</v>
      </c>
      <c r="KZ5" s="30" t="s">
        <v>283</v>
      </c>
      <c r="LA5" s="30" t="s">
        <v>286</v>
      </c>
      <c r="LB5" s="30" t="s">
        <v>289</v>
      </c>
      <c r="LC5" s="30" t="s">
        <v>292</v>
      </c>
      <c r="LD5" s="30" t="s">
        <v>295</v>
      </c>
      <c r="LE5" s="30" t="s">
        <v>298</v>
      </c>
      <c r="LF5" s="30" t="s">
        <v>301</v>
      </c>
      <c r="LG5" s="30" t="s">
        <v>304</v>
      </c>
      <c r="LH5" s="30" t="s">
        <v>307</v>
      </c>
      <c r="LI5" s="30" t="s">
        <v>310</v>
      </c>
      <c r="LJ5" s="30" t="s">
        <v>313</v>
      </c>
      <c r="LK5" s="30" t="s">
        <v>316</v>
      </c>
      <c r="LL5" s="30" t="s">
        <v>319</v>
      </c>
      <c r="LM5" s="30" t="s">
        <v>322</v>
      </c>
      <c r="LN5" s="30" t="s">
        <v>326</v>
      </c>
      <c r="LO5" s="30" t="s">
        <v>292</v>
      </c>
      <c r="LP5" s="30" t="s">
        <v>295</v>
      </c>
      <c r="LQ5" s="30" t="s">
        <v>298</v>
      </c>
      <c r="LR5" s="30" t="s">
        <v>332</v>
      </c>
      <c r="LS5" s="30" t="s">
        <v>335</v>
      </c>
      <c r="LT5" s="30" t="s">
        <v>310</v>
      </c>
      <c r="LU5" s="30" t="s">
        <v>319</v>
      </c>
      <c r="LV5" s="30" t="s">
        <v>100</v>
      </c>
      <c r="LW5" s="30" t="s">
        <v>97</v>
      </c>
      <c r="LX5" s="30" t="s">
        <v>343</v>
      </c>
      <c r="LY5" s="30" t="s">
        <v>346</v>
      </c>
      <c r="LZ5" s="30" t="s">
        <v>353</v>
      </c>
      <c r="MA5" s="30" t="s">
        <v>356</v>
      </c>
      <c r="MB5" s="30" t="s">
        <v>359</v>
      </c>
      <c r="MC5" s="30" t="s">
        <v>362</v>
      </c>
      <c r="MD5" s="30" t="s">
        <v>365</v>
      </c>
      <c r="ME5" s="30" t="s">
        <v>369</v>
      </c>
      <c r="MF5" s="30" t="s">
        <v>372</v>
      </c>
      <c r="MG5" s="30" t="s">
        <v>375</v>
      </c>
      <c r="MH5" s="30" t="s">
        <v>379</v>
      </c>
      <c r="MI5" s="30" t="s">
        <v>382</v>
      </c>
      <c r="MJ5" s="30" t="s">
        <v>385</v>
      </c>
      <c r="MK5" s="30" t="s">
        <v>389</v>
      </c>
      <c r="ML5" s="30" t="s">
        <v>392</v>
      </c>
      <c r="MM5" s="30" t="s">
        <v>395</v>
      </c>
      <c r="MN5" s="30" t="s">
        <v>398</v>
      </c>
      <c r="MO5" s="30" t="s">
        <v>401</v>
      </c>
      <c r="MP5" s="30" t="s">
        <v>404</v>
      </c>
      <c r="MQ5" s="30" t="s">
        <v>409</v>
      </c>
      <c r="MR5" s="30" t="s">
        <v>412</v>
      </c>
      <c r="MS5" s="30" t="s">
        <v>415</v>
      </c>
      <c r="MT5" s="30" t="s">
        <v>417</v>
      </c>
      <c r="MU5" s="30" t="s">
        <v>420</v>
      </c>
      <c r="MV5" s="30" t="s">
        <v>423</v>
      </c>
      <c r="MW5" s="30" t="s">
        <v>426</v>
      </c>
      <c r="MX5" s="30" t="s">
        <v>429</v>
      </c>
      <c r="MY5" s="30" t="s">
        <v>432</v>
      </c>
      <c r="MZ5" s="30" t="s">
        <v>435</v>
      </c>
      <c r="NA5" s="30" t="s">
        <v>440</v>
      </c>
      <c r="NB5" s="30" t="s">
        <v>443</v>
      </c>
      <c r="NC5" s="30" t="s">
        <v>446</v>
      </c>
      <c r="ND5" s="30" t="s">
        <v>449</v>
      </c>
      <c r="NE5" s="30" t="s">
        <v>453</v>
      </c>
      <c r="NF5" s="30" t="s">
        <v>456</v>
      </c>
      <c r="NG5" s="30" t="s">
        <v>459</v>
      </c>
      <c r="NH5" s="30" t="s">
        <v>462</v>
      </c>
      <c r="NI5" s="30" t="s">
        <v>466</v>
      </c>
      <c r="NJ5" s="30" t="s">
        <v>469</v>
      </c>
      <c r="NK5" s="30" t="s">
        <v>472</v>
      </c>
      <c r="NL5" s="30" t="s">
        <v>475</v>
      </c>
      <c r="NM5" s="30" t="s">
        <v>480</v>
      </c>
      <c r="NN5" s="30" t="s">
        <v>483</v>
      </c>
      <c r="NO5" s="30" t="s">
        <v>486</v>
      </c>
      <c r="NP5" s="30" t="s">
        <v>489</v>
      </c>
      <c r="NQ5" s="30" t="s">
        <v>492</v>
      </c>
      <c r="NR5" s="30" t="s">
        <v>495</v>
      </c>
      <c r="NS5" s="30" t="s">
        <v>499</v>
      </c>
      <c r="NT5" s="30" t="s">
        <v>502</v>
      </c>
      <c r="NU5" s="30" t="s">
        <v>435</v>
      </c>
      <c r="NV5" s="30" t="s">
        <v>506</v>
      </c>
      <c r="NW5" s="30" t="s">
        <v>511</v>
      </c>
      <c r="NX5" s="30" t="s">
        <v>514</v>
      </c>
      <c r="NY5" s="30" t="s">
        <v>517</v>
      </c>
      <c r="NZ5" s="30" t="s">
        <v>520</v>
      </c>
      <c r="OA5" s="30" t="s">
        <v>139</v>
      </c>
      <c r="OB5" s="30" t="s">
        <v>524</v>
      </c>
      <c r="OC5" s="30" t="s">
        <v>409</v>
      </c>
      <c r="OD5" s="30" t="s">
        <v>417</v>
      </c>
      <c r="OE5" s="30" t="s">
        <v>532</v>
      </c>
      <c r="OF5" s="30" t="s">
        <v>538</v>
      </c>
      <c r="OG5" s="30" t="s">
        <v>541</v>
      </c>
      <c r="OH5" s="30" t="s">
        <v>544</v>
      </c>
      <c r="OI5" s="30" t="s">
        <v>547</v>
      </c>
      <c r="OJ5" s="30" t="s">
        <v>551</v>
      </c>
      <c r="OK5" s="30" t="s">
        <v>554</v>
      </c>
      <c r="OL5" s="30" t="s">
        <v>557</v>
      </c>
      <c r="OM5" s="30" t="s">
        <v>563</v>
      </c>
      <c r="ON5" s="30" t="s">
        <v>566</v>
      </c>
      <c r="OO5" s="30" t="s">
        <v>569</v>
      </c>
      <c r="OP5" s="30" t="s">
        <v>572</v>
      </c>
      <c r="OQ5" s="30" t="s">
        <v>576</v>
      </c>
      <c r="OR5" s="30" t="s">
        <v>579</v>
      </c>
      <c r="OS5" s="30" t="s">
        <v>582</v>
      </c>
      <c r="OT5" s="30" t="s">
        <v>524</v>
      </c>
      <c r="OU5" s="30" t="s">
        <v>587</v>
      </c>
      <c r="OV5" s="30" t="s">
        <v>590</v>
      </c>
      <c r="OW5" s="30" t="s">
        <v>593</v>
      </c>
      <c r="OX5" s="30" t="s">
        <v>335</v>
      </c>
      <c r="OY5" s="30" t="s">
        <v>598</v>
      </c>
      <c r="OZ5" s="30" t="s">
        <v>601</v>
      </c>
      <c r="PA5" s="30" t="s">
        <v>604</v>
      </c>
      <c r="PB5" s="30" t="s">
        <v>607</v>
      </c>
      <c r="PC5" s="30" t="s">
        <v>611</v>
      </c>
      <c r="PD5" s="30" t="s">
        <v>613</v>
      </c>
      <c r="PE5" s="30" t="s">
        <v>617</v>
      </c>
      <c r="PF5" s="30" t="s">
        <v>620</v>
      </c>
      <c r="PG5" s="30" t="s">
        <v>623</v>
      </c>
      <c r="PH5" s="30" t="s">
        <v>626</v>
      </c>
      <c r="PI5" s="30" t="s">
        <v>630</v>
      </c>
      <c r="PJ5" s="30" t="s">
        <v>633</v>
      </c>
      <c r="PK5" s="30" t="s">
        <v>636</v>
      </c>
      <c r="PL5" s="30" t="s">
        <v>639</v>
      </c>
      <c r="PM5" s="30" t="s">
        <v>551</v>
      </c>
      <c r="PN5" s="30" t="s">
        <v>643</v>
      </c>
      <c r="PO5" s="30" t="s">
        <v>646</v>
      </c>
      <c r="PP5" s="30" t="s">
        <v>651</v>
      </c>
      <c r="PQ5" s="30" t="s">
        <v>654</v>
      </c>
      <c r="PR5" s="30" t="s">
        <v>657</v>
      </c>
      <c r="PS5" s="30" t="s">
        <v>659</v>
      </c>
      <c r="PT5" s="30" t="s">
        <v>662</v>
      </c>
      <c r="PU5" s="30" t="s">
        <v>446</v>
      </c>
      <c r="PV5" s="30" t="s">
        <v>666</v>
      </c>
      <c r="PW5" s="30" t="s">
        <v>466</v>
      </c>
      <c r="PX5" s="30" t="s">
        <v>469</v>
      </c>
      <c r="PY5" s="30" t="s">
        <v>472</v>
      </c>
      <c r="PZ5" s="30" t="s">
        <v>475</v>
      </c>
      <c r="QA5" s="30" t="s">
        <v>673</v>
      </c>
      <c r="QB5" s="30" t="s">
        <v>677</v>
      </c>
      <c r="QC5" s="30" t="s">
        <v>680</v>
      </c>
      <c r="QD5" s="30" t="s">
        <v>686</v>
      </c>
      <c r="QE5" s="30" t="s">
        <v>689</v>
      </c>
      <c r="QF5" s="30" t="s">
        <v>409</v>
      </c>
      <c r="QG5" s="30" t="s">
        <v>412</v>
      </c>
      <c r="QH5" s="30" t="s">
        <v>417</v>
      </c>
      <c r="QI5" s="30" t="s">
        <v>420</v>
      </c>
      <c r="QJ5" s="30" t="s">
        <v>426</v>
      </c>
      <c r="QK5" s="30" t="s">
        <v>699</v>
      </c>
      <c r="QL5" s="30" t="s">
        <v>702</v>
      </c>
      <c r="QM5" s="30" t="s">
        <v>705</v>
      </c>
      <c r="QN5" s="30" t="s">
        <v>708</v>
      </c>
      <c r="QO5" s="30" t="s">
        <v>711</v>
      </c>
      <c r="QP5" s="30" t="s">
        <v>714</v>
      </c>
      <c r="QQ5" s="30" t="s">
        <v>511</v>
      </c>
      <c r="QR5" s="30" t="s">
        <v>720</v>
      </c>
      <c r="QS5" s="30" t="s">
        <v>517</v>
      </c>
      <c r="QT5" s="30" t="s">
        <v>724</v>
      </c>
      <c r="QU5" s="30" t="s">
        <v>727</v>
      </c>
      <c r="QV5" s="30" t="s">
        <v>730</v>
      </c>
      <c r="QW5" s="30" t="s">
        <v>733</v>
      </c>
      <c r="QX5" s="30" t="s">
        <v>736</v>
      </c>
      <c r="QY5" s="30" t="s">
        <v>740</v>
      </c>
      <c r="QZ5" s="30" t="s">
        <v>743</v>
      </c>
      <c r="RA5" s="30" t="s">
        <v>746</v>
      </c>
      <c r="RB5" s="30" t="s">
        <v>749</v>
      </c>
      <c r="RC5" s="30" t="s">
        <v>752</v>
      </c>
      <c r="RD5" s="30" t="s">
        <v>139</v>
      </c>
      <c r="RE5" s="30" t="s">
        <v>755</v>
      </c>
      <c r="RF5" s="30" t="s">
        <v>714</v>
      </c>
      <c r="RG5" s="30" t="s">
        <v>544</v>
      </c>
      <c r="RH5" s="30" t="s">
        <v>761</v>
      </c>
      <c r="RI5" s="30" t="s">
        <v>766</v>
      </c>
      <c r="RJ5" s="30" t="s">
        <v>769</v>
      </c>
      <c r="RK5" s="30" t="s">
        <v>772</v>
      </c>
      <c r="RL5" s="30" t="s">
        <v>776</v>
      </c>
      <c r="RM5" s="30" t="s">
        <v>779</v>
      </c>
      <c r="RN5" s="30" t="s">
        <v>783</v>
      </c>
      <c r="RO5" s="30" t="s">
        <v>786</v>
      </c>
      <c r="RP5" s="30" t="s">
        <v>790</v>
      </c>
      <c r="RQ5" s="30" t="s">
        <v>793</v>
      </c>
      <c r="RR5" s="30" t="s">
        <v>796</v>
      </c>
      <c r="RS5" s="30" t="s">
        <v>799</v>
      </c>
      <c r="RT5" s="30" t="s">
        <v>802</v>
      </c>
      <c r="RU5" s="30" t="s">
        <v>809</v>
      </c>
      <c r="RV5" s="30" t="s">
        <v>711</v>
      </c>
      <c r="RW5" s="30" t="s">
        <v>813</v>
      </c>
      <c r="RX5" s="30" t="s">
        <v>816</v>
      </c>
      <c r="RY5" s="30" t="s">
        <v>819</v>
      </c>
      <c r="RZ5" s="30" t="s">
        <v>822</v>
      </c>
      <c r="SA5" s="30" t="s">
        <v>825</v>
      </c>
      <c r="SB5" s="30" t="s">
        <v>830</v>
      </c>
      <c r="SC5" s="30" t="s">
        <v>813</v>
      </c>
      <c r="SD5" s="30" t="s">
        <v>834</v>
      </c>
      <c r="SE5" s="30" t="s">
        <v>839</v>
      </c>
      <c r="SF5" s="30" t="s">
        <v>842</v>
      </c>
      <c r="SG5" s="30" t="s">
        <v>845</v>
      </c>
      <c r="SH5" s="30" t="s">
        <v>848</v>
      </c>
      <c r="SI5" s="30" t="s">
        <v>851</v>
      </c>
      <c r="SJ5" s="30" t="s">
        <v>854</v>
      </c>
      <c r="SK5" s="30" t="s">
        <v>857</v>
      </c>
      <c r="SL5" s="30" t="s">
        <v>860</v>
      </c>
      <c r="SM5" s="30" t="s">
        <v>863</v>
      </c>
      <c r="SN5" s="30" t="s">
        <v>870</v>
      </c>
      <c r="SO5" s="30" t="s">
        <v>873</v>
      </c>
      <c r="SP5" s="30" t="s">
        <v>876</v>
      </c>
      <c r="SQ5" s="30" t="s">
        <v>879</v>
      </c>
      <c r="SR5" s="30" t="s">
        <v>882</v>
      </c>
      <c r="SS5" s="30" t="s">
        <v>834</v>
      </c>
      <c r="ST5" s="30" t="s">
        <v>887</v>
      </c>
      <c r="SU5" s="30" t="s">
        <v>890</v>
      </c>
      <c r="SV5" s="30" t="s">
        <v>893</v>
      </c>
      <c r="SW5" s="30" t="s">
        <v>896</v>
      </c>
      <c r="SX5" s="30" t="s">
        <v>899</v>
      </c>
      <c r="SY5" s="30" t="s">
        <v>902</v>
      </c>
      <c r="SZ5" s="30" t="s">
        <v>906</v>
      </c>
      <c r="TA5" s="30" t="s">
        <v>909</v>
      </c>
      <c r="TB5" s="30" t="s">
        <v>912</v>
      </c>
      <c r="TC5" s="30" t="s">
        <v>915</v>
      </c>
      <c r="TD5" s="30" t="s">
        <v>921</v>
      </c>
      <c r="TE5" s="30" t="s">
        <v>924</v>
      </c>
      <c r="TF5" s="30" t="s">
        <v>927</v>
      </c>
      <c r="TG5" s="30" t="s">
        <v>931</v>
      </c>
      <c r="TH5" s="30" t="s">
        <v>934</v>
      </c>
      <c r="TI5" s="30" t="s">
        <v>937</v>
      </c>
      <c r="TJ5" s="30" t="s">
        <v>941</v>
      </c>
      <c r="TK5" s="30" t="s">
        <v>944</v>
      </c>
      <c r="TL5" s="30" t="s">
        <v>947</v>
      </c>
      <c r="TM5" s="30" t="s">
        <v>950</v>
      </c>
      <c r="TN5" s="30" t="s">
        <v>953</v>
      </c>
      <c r="TO5" s="30" t="s">
        <v>957</v>
      </c>
      <c r="TP5" s="30" t="s">
        <v>960</v>
      </c>
      <c r="TQ5" s="30" t="s">
        <v>963</v>
      </c>
      <c r="TR5" s="30" t="s">
        <v>966</v>
      </c>
      <c r="TS5" s="30" t="s">
        <v>969</v>
      </c>
      <c r="TT5" s="30" t="s">
        <v>975</v>
      </c>
      <c r="TU5" s="30" t="s">
        <v>978</v>
      </c>
      <c r="TV5" s="30" t="s">
        <v>981</v>
      </c>
      <c r="TW5" s="30" t="s">
        <v>984</v>
      </c>
      <c r="TX5" s="30" t="s">
        <v>987</v>
      </c>
      <c r="TY5" s="30" t="s">
        <v>991</v>
      </c>
      <c r="TZ5" s="30" t="s">
        <v>994</v>
      </c>
      <c r="UA5" s="30" t="s">
        <v>997</v>
      </c>
      <c r="UB5" s="30" t="s">
        <v>1003</v>
      </c>
      <c r="UC5" s="30" t="s">
        <v>1006</v>
      </c>
      <c r="UD5" s="30" t="s">
        <v>1009</v>
      </c>
      <c r="UE5" s="30" t="s">
        <v>1012</v>
      </c>
      <c r="UF5" s="30" t="s">
        <v>1016</v>
      </c>
      <c r="UG5" s="30" t="s">
        <v>1019</v>
      </c>
      <c r="UH5" s="30" t="s">
        <v>1022</v>
      </c>
      <c r="UI5" s="30" t="s">
        <v>1025</v>
      </c>
      <c r="UJ5" s="30" t="s">
        <v>1029</v>
      </c>
      <c r="UK5" s="30" t="s">
        <v>1032</v>
      </c>
      <c r="UL5" s="30" t="s">
        <v>1035</v>
      </c>
      <c r="UM5" s="30" t="s">
        <v>1038</v>
      </c>
      <c r="UN5" s="30" t="s">
        <v>1044</v>
      </c>
      <c r="UO5" s="30" t="s">
        <v>1047</v>
      </c>
      <c r="UP5" s="30" t="s">
        <v>1050</v>
      </c>
      <c r="UQ5" s="30" t="s">
        <v>1053</v>
      </c>
      <c r="UR5" s="30" t="s">
        <v>1056</v>
      </c>
      <c r="US5" s="30" t="s">
        <v>1059</v>
      </c>
      <c r="UT5" s="30" t="s">
        <v>1063</v>
      </c>
      <c r="UU5" s="30" t="s">
        <v>1066</v>
      </c>
      <c r="UV5" s="30" t="s">
        <v>1069</v>
      </c>
      <c r="UW5" s="30" t="s">
        <v>1072</v>
      </c>
      <c r="UX5" s="30" t="s">
        <v>1075</v>
      </c>
      <c r="UY5" s="30" t="s">
        <v>1078</v>
      </c>
      <c r="UZ5" s="30" t="s">
        <v>1083</v>
      </c>
      <c r="VA5" s="30" t="s">
        <v>1086</v>
      </c>
      <c r="VB5" s="30" t="s">
        <v>1089</v>
      </c>
      <c r="VC5" s="30" t="s">
        <v>1092</v>
      </c>
      <c r="VD5" s="30" t="s">
        <v>1096</v>
      </c>
      <c r="VE5" s="30" t="s">
        <v>1099</v>
      </c>
      <c r="VF5" s="30" t="s">
        <v>1102</v>
      </c>
      <c r="VG5" s="30" t="s">
        <v>1105</v>
      </c>
      <c r="VH5" s="30" t="s">
        <v>1108</v>
      </c>
      <c r="VI5" s="30" t="s">
        <v>1112</v>
      </c>
      <c r="VJ5" s="30" t="s">
        <v>1115</v>
      </c>
      <c r="VK5" s="30" t="s">
        <v>1118</v>
      </c>
      <c r="VL5" s="30" t="s">
        <v>1121</v>
      </c>
      <c r="VM5" s="30" t="s">
        <v>1125</v>
      </c>
      <c r="VN5" s="30" t="s">
        <v>1128</v>
      </c>
      <c r="VO5" s="30" t="s">
        <v>1131</v>
      </c>
      <c r="VP5" s="30" t="s">
        <v>1134</v>
      </c>
      <c r="VQ5" s="30" t="s">
        <v>1140</v>
      </c>
      <c r="VR5" s="30" t="s">
        <v>1143</v>
      </c>
      <c r="VS5" s="30" t="s">
        <v>1146</v>
      </c>
      <c r="VT5" s="30" t="s">
        <v>1149</v>
      </c>
      <c r="VU5" s="30" t="s">
        <v>1153</v>
      </c>
      <c r="VV5" s="30" t="s">
        <v>1156</v>
      </c>
      <c r="VW5" s="30" t="s">
        <v>1159</v>
      </c>
      <c r="VX5" s="30" t="s">
        <v>1162</v>
      </c>
      <c r="VY5" s="30" t="s">
        <v>1166</v>
      </c>
      <c r="VZ5" s="30" t="s">
        <v>1169</v>
      </c>
      <c r="WA5" s="30" t="s">
        <v>1172</v>
      </c>
      <c r="WB5" s="30" t="s">
        <v>1175</v>
      </c>
      <c r="WC5" s="30" t="s">
        <v>1178</v>
      </c>
      <c r="WD5" s="30" t="s">
        <v>1182</v>
      </c>
      <c r="WE5" s="30" t="s">
        <v>1185</v>
      </c>
      <c r="WF5" s="30" t="s">
        <v>1188</v>
      </c>
      <c r="WG5" s="30" t="s">
        <v>1191</v>
      </c>
      <c r="WH5" s="30" t="s">
        <v>1194</v>
      </c>
      <c r="WI5" s="30" t="s">
        <v>1198</v>
      </c>
      <c r="WJ5" s="30" t="s">
        <v>1201</v>
      </c>
      <c r="WK5" s="30" t="s">
        <v>1207</v>
      </c>
      <c r="WL5" s="30" t="s">
        <v>1210</v>
      </c>
      <c r="WM5" s="30" t="s">
        <v>966</v>
      </c>
      <c r="WN5" s="30" t="s">
        <v>1214</v>
      </c>
      <c r="WO5" s="30" t="s">
        <v>1217</v>
      </c>
      <c r="WP5" s="30" t="s">
        <v>1221</v>
      </c>
      <c r="WQ5" s="30" t="s">
        <v>1224</v>
      </c>
      <c r="WR5" s="30" t="s">
        <v>1227</v>
      </c>
      <c r="WS5" s="30" t="s">
        <v>1230</v>
      </c>
      <c r="WT5" s="30" t="s">
        <v>1233</v>
      </c>
      <c r="WU5" s="30" t="s">
        <v>1237</v>
      </c>
      <c r="WV5" s="30" t="s">
        <v>1240</v>
      </c>
      <c r="WW5" s="30" t="s">
        <v>1243</v>
      </c>
      <c r="WX5" s="30" t="s">
        <v>1246</v>
      </c>
      <c r="WY5" s="30" t="s">
        <v>1249</v>
      </c>
      <c r="WZ5" s="30" t="s">
        <v>1252</v>
      </c>
      <c r="XA5" s="30" t="s">
        <v>1256</v>
      </c>
      <c r="XB5" s="30" t="s">
        <v>1259</v>
      </c>
      <c r="XC5" s="30" t="s">
        <v>1262</v>
      </c>
      <c r="XD5" s="30" t="s">
        <v>1268</v>
      </c>
      <c r="XE5" s="30" t="s">
        <v>1271</v>
      </c>
      <c r="XF5" s="30" t="s">
        <v>1274</v>
      </c>
      <c r="XG5" s="30" t="s">
        <v>1277</v>
      </c>
      <c r="XH5" s="30" t="s">
        <v>1281</v>
      </c>
      <c r="XI5" s="30" t="s">
        <v>1284</v>
      </c>
      <c r="XJ5" s="30" t="s">
        <v>1287</v>
      </c>
      <c r="XK5" s="30" t="s">
        <v>1290</v>
      </c>
      <c r="XL5" s="30" t="s">
        <v>1294</v>
      </c>
      <c r="XM5" s="30" t="s">
        <v>1297</v>
      </c>
      <c r="XN5" s="30" t="s">
        <v>1300</v>
      </c>
      <c r="XO5" s="30" t="s">
        <v>1304</v>
      </c>
      <c r="XP5" s="30" t="s">
        <v>1307</v>
      </c>
      <c r="XQ5" s="30" t="s">
        <v>1310</v>
      </c>
      <c r="XR5" s="30" t="s">
        <v>1313</v>
      </c>
      <c r="XS5" s="30" t="s">
        <v>1319</v>
      </c>
      <c r="XT5" s="30" t="s">
        <v>1322</v>
      </c>
      <c r="XU5" s="30" t="s">
        <v>1325</v>
      </c>
      <c r="XV5" s="30" t="s">
        <v>1328</v>
      </c>
      <c r="XW5" s="30" t="s">
        <v>1334</v>
      </c>
      <c r="XX5" s="30" t="s">
        <v>1337</v>
      </c>
      <c r="XY5" s="30" t="s">
        <v>1340</v>
      </c>
      <c r="XZ5" s="30" t="s">
        <v>1343</v>
      </c>
      <c r="YA5" s="30" t="s">
        <v>1346</v>
      </c>
      <c r="YB5" s="30" t="s">
        <v>1350</v>
      </c>
      <c r="YC5" s="30" t="s">
        <v>1353</v>
      </c>
      <c r="YD5" s="30" t="s">
        <v>1356</v>
      </c>
      <c r="YE5" s="30" t="s">
        <v>1362</v>
      </c>
      <c r="YF5" s="30" t="s">
        <v>1365</v>
      </c>
      <c r="YG5" s="30" t="s">
        <v>1368</v>
      </c>
      <c r="YH5" s="30" t="s">
        <v>1371</v>
      </c>
      <c r="YI5" s="30" t="s">
        <v>1374</v>
      </c>
      <c r="YJ5" s="30" t="s">
        <v>1381</v>
      </c>
      <c r="YK5" s="30" t="s">
        <v>1384</v>
      </c>
      <c r="YL5" s="30" t="s">
        <v>32</v>
      </c>
      <c r="YM5" s="30" t="s">
        <v>1390</v>
      </c>
      <c r="YN5" s="30" t="s">
        <v>1393</v>
      </c>
      <c r="YO5" s="30" t="s">
        <v>1396</v>
      </c>
      <c r="YP5" s="30" t="s">
        <v>1399</v>
      </c>
      <c r="YQ5" s="30" t="s">
        <v>1402</v>
      </c>
      <c r="YR5" s="30" t="s">
        <v>1405</v>
      </c>
      <c r="YS5" s="30" t="s">
        <v>1410</v>
      </c>
      <c r="YT5" s="30" t="s">
        <v>1413</v>
      </c>
      <c r="YU5" s="30" t="s">
        <v>1416</v>
      </c>
      <c r="YV5" s="30" t="s">
        <v>1419</v>
      </c>
      <c r="YW5" s="30" t="s">
        <v>1422</v>
      </c>
      <c r="YX5" s="30" t="s">
        <v>1427</v>
      </c>
      <c r="YY5" s="30" t="s">
        <v>1430</v>
      </c>
      <c r="YZ5" s="30" t="s">
        <v>557</v>
      </c>
      <c r="ZA5" s="30" t="s">
        <v>1434</v>
      </c>
      <c r="ZB5" s="30" t="s">
        <v>1439</v>
      </c>
      <c r="ZC5" s="30" t="s">
        <v>1442</v>
      </c>
      <c r="ZD5" s="30" t="s">
        <v>1445</v>
      </c>
      <c r="ZE5" s="30" t="s">
        <v>1448</v>
      </c>
      <c r="ZF5" s="30" t="s">
        <v>1451</v>
      </c>
      <c r="ZG5" s="30" t="s">
        <v>1454</v>
      </c>
      <c r="ZH5" s="30" t="s">
        <v>2312</v>
      </c>
      <c r="ZI5" s="30" t="s">
        <v>2314</v>
      </c>
    </row>
    <row r="6" customFormat="false" ht="15" hidden="false" customHeight="false" outlineLevel="0" collapsed="false">
      <c r="A6" s="30" t="s">
        <v>226</v>
      </c>
      <c r="C6" s="30" t="s">
        <v>226</v>
      </c>
      <c r="D6" s="30" t="s">
        <v>2330</v>
      </c>
      <c r="F6" s="31" t="s">
        <v>3003</v>
      </c>
      <c r="G6" s="31" t="s">
        <v>2359</v>
      </c>
      <c r="I6" s="31" t="s">
        <v>24</v>
      </c>
      <c r="J6" s="31" t="s">
        <v>2483</v>
      </c>
      <c r="M6" s="30" t="s">
        <v>42</v>
      </c>
      <c r="N6" s="30" t="s">
        <v>238</v>
      </c>
      <c r="O6" s="30" t="s">
        <v>367</v>
      </c>
      <c r="P6" s="30" t="s">
        <v>417</v>
      </c>
      <c r="Q6" s="30" t="s">
        <v>445</v>
      </c>
      <c r="R6" s="30" t="s">
        <v>491</v>
      </c>
      <c r="S6" s="30" t="s">
        <v>516</v>
      </c>
      <c r="U6" s="30" t="s">
        <v>549</v>
      </c>
      <c r="V6" s="30" t="s">
        <v>574</v>
      </c>
      <c r="W6" s="30" t="s">
        <v>615</v>
      </c>
      <c r="X6" s="30" t="s">
        <v>656</v>
      </c>
      <c r="Z6" s="30" t="s">
        <v>417</v>
      </c>
      <c r="AA6" s="30" t="s">
        <v>516</v>
      </c>
      <c r="AB6" s="30" t="s">
        <v>774</v>
      </c>
      <c r="AC6" s="30" t="s">
        <v>828</v>
      </c>
      <c r="AD6" s="30" t="s">
        <v>885</v>
      </c>
      <c r="AE6" s="30" t="s">
        <v>929</v>
      </c>
      <c r="AF6" s="30" t="s">
        <v>989</v>
      </c>
      <c r="AG6" s="30" t="s">
        <v>1014</v>
      </c>
      <c r="AH6" s="30" t="s">
        <v>1061</v>
      </c>
      <c r="AI6" s="30" t="s">
        <v>1151</v>
      </c>
      <c r="AJ6" s="30" t="s">
        <v>1219</v>
      </c>
      <c r="AK6" s="30" t="s">
        <v>1279</v>
      </c>
      <c r="AM6" s="30" t="s">
        <v>1345</v>
      </c>
      <c r="AO6" s="30" t="s">
        <v>1388</v>
      </c>
      <c r="AP6" s="30" t="s">
        <v>21</v>
      </c>
      <c r="AQ6" s="30" t="s">
        <v>46</v>
      </c>
      <c r="AR6" s="30" t="s">
        <v>69</v>
      </c>
      <c r="AS6" s="30" t="s">
        <v>106</v>
      </c>
      <c r="AT6" s="30" t="s">
        <v>121</v>
      </c>
      <c r="AU6" s="30" t="s">
        <v>121</v>
      </c>
      <c r="AV6" s="30" t="s">
        <v>127</v>
      </c>
      <c r="AW6" s="30" t="s">
        <v>124</v>
      </c>
      <c r="AX6" s="30" t="s">
        <v>121</v>
      </c>
      <c r="AY6" s="30" t="s">
        <v>121</v>
      </c>
      <c r="AZ6" s="30" t="s">
        <v>127</v>
      </c>
      <c r="BA6" s="30" t="s">
        <v>69</v>
      </c>
      <c r="BB6" s="30" t="s">
        <v>131</v>
      </c>
      <c r="BC6" s="30" t="s">
        <v>131</v>
      </c>
      <c r="BD6" s="30" t="s">
        <v>131</v>
      </c>
      <c r="BE6" s="30" t="s">
        <v>131</v>
      </c>
      <c r="BF6" s="30" t="s">
        <v>131</v>
      </c>
      <c r="BG6" s="30" t="s">
        <v>131</v>
      </c>
      <c r="BH6" s="30" t="s">
        <v>131</v>
      </c>
      <c r="BI6" s="30" t="s">
        <v>131</v>
      </c>
      <c r="BJ6" s="30" t="s">
        <v>285</v>
      </c>
      <c r="BK6" s="30" t="s">
        <v>291</v>
      </c>
      <c r="BL6" s="30" t="s">
        <v>96</v>
      </c>
      <c r="BM6" s="30" t="s">
        <v>355</v>
      </c>
      <c r="BN6" s="30" t="s">
        <v>371</v>
      </c>
      <c r="BO6" s="30" t="s">
        <v>381</v>
      </c>
      <c r="BP6" s="30" t="s">
        <v>391</v>
      </c>
      <c r="BQ6" s="30" t="s">
        <v>397</v>
      </c>
      <c r="BR6" s="30" t="s">
        <v>411</v>
      </c>
      <c r="BS6" s="30" t="s">
        <v>419</v>
      </c>
      <c r="BT6" s="30" t="s">
        <v>428</v>
      </c>
      <c r="BU6" s="30" t="s">
        <v>434</v>
      </c>
      <c r="BV6" s="30" t="s">
        <v>442</v>
      </c>
      <c r="BW6" s="30" t="s">
        <v>448</v>
      </c>
      <c r="BX6" s="30" t="s">
        <v>455</v>
      </c>
      <c r="BY6" s="30" t="s">
        <v>461</v>
      </c>
      <c r="BZ6" s="30" t="s">
        <v>468</v>
      </c>
      <c r="CA6" s="30" t="s">
        <v>482</v>
      </c>
      <c r="CB6" s="30" t="s">
        <v>494</v>
      </c>
      <c r="CC6" s="30" t="s">
        <v>501</v>
      </c>
      <c r="CD6" s="30" t="s">
        <v>513</v>
      </c>
      <c r="CE6" s="30" t="s">
        <v>519</v>
      </c>
      <c r="CF6" s="30" t="s">
        <v>523</v>
      </c>
      <c r="CG6" s="30" t="s">
        <v>417</v>
      </c>
      <c r="CH6" s="30" t="s">
        <v>540</v>
      </c>
      <c r="CI6" s="30" t="s">
        <v>553</v>
      </c>
      <c r="CJ6" s="30" t="s">
        <v>565</v>
      </c>
      <c r="CK6" s="30" t="s">
        <v>578</v>
      </c>
      <c r="CL6" s="30" t="s">
        <v>589</v>
      </c>
      <c r="CM6" s="30" t="s">
        <v>600</v>
      </c>
      <c r="CN6" s="30" t="s">
        <v>355</v>
      </c>
      <c r="CO6" s="30" t="s">
        <v>619</v>
      </c>
      <c r="CP6" s="30" t="s">
        <v>632</v>
      </c>
      <c r="CQ6" s="30" t="s">
        <v>638</v>
      </c>
      <c r="CR6" s="30" t="s">
        <v>642</v>
      </c>
      <c r="CS6" s="30" t="s">
        <v>653</v>
      </c>
      <c r="CU6" s="30" t="s">
        <v>661</v>
      </c>
      <c r="CV6" s="30" t="s">
        <v>451</v>
      </c>
      <c r="CW6" s="30" t="s">
        <v>468</v>
      </c>
      <c r="CX6" s="30" t="s">
        <v>679</v>
      </c>
      <c r="CY6" s="30" t="s">
        <v>688</v>
      </c>
      <c r="CZ6" s="30" t="s">
        <v>411</v>
      </c>
      <c r="DA6" s="30" t="s">
        <v>419</v>
      </c>
      <c r="DB6" s="30" t="s">
        <v>698</v>
      </c>
      <c r="DC6" s="30" t="s">
        <v>704</v>
      </c>
      <c r="DE6" s="30" t="s">
        <v>719</v>
      </c>
      <c r="DF6" s="30" t="s">
        <v>723</v>
      </c>
      <c r="DG6" s="30" t="s">
        <v>732</v>
      </c>
      <c r="DH6" s="30" t="s">
        <v>742</v>
      </c>
      <c r="DI6" s="30" t="s">
        <v>755</v>
      </c>
      <c r="DJ6" s="30" t="s">
        <v>543</v>
      </c>
      <c r="DK6" s="30" t="s">
        <v>768</v>
      </c>
      <c r="DL6" s="30" t="s">
        <v>778</v>
      </c>
      <c r="DM6" s="30" t="s">
        <v>785</v>
      </c>
      <c r="DN6" s="30" t="s">
        <v>792</v>
      </c>
      <c r="DO6" s="30" t="s">
        <v>710</v>
      </c>
      <c r="DP6" s="30" t="s">
        <v>812</v>
      </c>
      <c r="DQ6" s="30" t="s">
        <v>841</v>
      </c>
      <c r="DR6" s="30" t="s">
        <v>850</v>
      </c>
      <c r="DS6" s="30" t="s">
        <v>872</v>
      </c>
      <c r="DT6" s="30" t="s">
        <v>889</v>
      </c>
      <c r="DU6" s="30" t="s">
        <v>908</v>
      </c>
      <c r="DV6" s="30" t="s">
        <v>923</v>
      </c>
      <c r="DW6" s="30" t="s">
        <v>933</v>
      </c>
      <c r="DX6" s="30" t="s">
        <v>943</v>
      </c>
      <c r="DY6" s="30" t="s">
        <v>959</v>
      </c>
      <c r="DZ6" s="30" t="s">
        <v>977</v>
      </c>
      <c r="EA6" s="30" t="s">
        <v>993</v>
      </c>
      <c r="EB6" s="30" t="s">
        <v>1005</v>
      </c>
      <c r="EC6" s="30" t="s">
        <v>1018</v>
      </c>
      <c r="ED6" s="30" t="s">
        <v>1031</v>
      </c>
      <c r="EE6" s="30" t="s">
        <v>1046</v>
      </c>
      <c r="EF6" s="30" t="s">
        <v>1065</v>
      </c>
      <c r="EG6" s="30" t="s">
        <v>1085</v>
      </c>
      <c r="EH6" s="30" t="s">
        <v>1098</v>
      </c>
      <c r="EI6" s="30" t="s">
        <v>1114</v>
      </c>
      <c r="EJ6" s="30" t="s">
        <v>1127</v>
      </c>
      <c r="EK6" s="30" t="s">
        <v>1142</v>
      </c>
      <c r="EL6" s="30" t="s">
        <v>1155</v>
      </c>
      <c r="EM6" s="30" t="s">
        <v>1168</v>
      </c>
      <c r="EN6" s="30" t="s">
        <v>1184</v>
      </c>
      <c r="EO6" s="30" t="s">
        <v>1200</v>
      </c>
      <c r="EP6" s="30" t="s">
        <v>1209</v>
      </c>
      <c r="EQ6" s="30" t="s">
        <v>1223</v>
      </c>
      <c r="ER6" s="30" t="s">
        <v>1239</v>
      </c>
      <c r="ES6" s="30" t="s">
        <v>1258</v>
      </c>
      <c r="ET6" s="30" t="s">
        <v>1270</v>
      </c>
      <c r="EU6" s="30" t="s">
        <v>1283</v>
      </c>
      <c r="EV6" s="30" t="s">
        <v>1296</v>
      </c>
      <c r="EW6" s="30" t="s">
        <v>1306</v>
      </c>
      <c r="EX6" s="30" t="s">
        <v>1321</v>
      </c>
      <c r="EY6" s="30" t="s">
        <v>1336</v>
      </c>
      <c r="FA6" s="30" t="s">
        <v>1352</v>
      </c>
      <c r="FB6" s="30" t="s">
        <v>1364</v>
      </c>
      <c r="FC6" s="30" t="s">
        <v>1383</v>
      </c>
      <c r="FD6" s="30" t="s">
        <v>1392</v>
      </c>
      <c r="FE6" s="30" t="s">
        <v>1412</v>
      </c>
      <c r="FF6" s="30" t="s">
        <v>1429</v>
      </c>
      <c r="FG6" s="30" t="s">
        <v>1441</v>
      </c>
      <c r="FW6" s="30" t="s">
        <v>1478</v>
      </c>
      <c r="FX6" s="30" t="s">
        <v>1482</v>
      </c>
      <c r="FY6" s="30" t="s">
        <v>1489</v>
      </c>
      <c r="GC6" s="30" t="s">
        <v>1509</v>
      </c>
      <c r="GD6" s="30" t="s">
        <v>1512</v>
      </c>
      <c r="GE6" s="30" t="s">
        <v>1515</v>
      </c>
      <c r="GF6" s="30" t="s">
        <v>1518</v>
      </c>
      <c r="GM6" s="30" t="s">
        <v>1518</v>
      </c>
      <c r="GN6" s="30" t="s">
        <v>28</v>
      </c>
      <c r="GP6" s="30" t="s">
        <v>1534</v>
      </c>
      <c r="GR6" s="30" t="s">
        <v>1482</v>
      </c>
      <c r="GS6" s="30" t="s">
        <v>150</v>
      </c>
      <c r="GT6" s="30" t="s">
        <v>1489</v>
      </c>
      <c r="GW6" s="30" t="s">
        <v>1557</v>
      </c>
      <c r="GY6" s="30" t="s">
        <v>28</v>
      </c>
      <c r="HA6" s="30" t="s">
        <v>1534</v>
      </c>
      <c r="HC6" s="30" t="s">
        <v>1482</v>
      </c>
      <c r="HD6" s="30" t="s">
        <v>1543</v>
      </c>
      <c r="HE6" s="30" t="s">
        <v>1489</v>
      </c>
      <c r="HH6" s="30" t="s">
        <v>1557</v>
      </c>
      <c r="HJ6" s="30" t="s">
        <v>28</v>
      </c>
      <c r="HL6" s="30" t="s">
        <v>1482</v>
      </c>
      <c r="HM6" s="30" t="s">
        <v>1543</v>
      </c>
      <c r="HN6" s="30" t="s">
        <v>1489</v>
      </c>
      <c r="HP6" s="30" t="s">
        <v>1557</v>
      </c>
      <c r="HR6" s="30" t="s">
        <v>1534</v>
      </c>
      <c r="HV6" s="30" t="s">
        <v>1482</v>
      </c>
      <c r="HW6" s="30" t="s">
        <v>1543</v>
      </c>
      <c r="HX6" s="30" t="s">
        <v>1489</v>
      </c>
      <c r="HZ6" s="30" t="s">
        <v>1557</v>
      </c>
      <c r="IA6" s="30" t="s">
        <v>28</v>
      </c>
      <c r="IC6" s="30" t="s">
        <v>1534</v>
      </c>
      <c r="IE6" s="30" t="s">
        <v>1482</v>
      </c>
      <c r="IF6" s="30" t="s">
        <v>1543</v>
      </c>
      <c r="IG6" s="30" t="s">
        <v>1489</v>
      </c>
      <c r="IJ6" s="30" t="s">
        <v>1557</v>
      </c>
      <c r="IL6" s="30" t="s">
        <v>28</v>
      </c>
      <c r="IN6" s="30" t="s">
        <v>1534</v>
      </c>
      <c r="IP6" s="30" t="s">
        <v>1482</v>
      </c>
      <c r="IQ6" s="30" t="s">
        <v>1543</v>
      </c>
      <c r="IR6" s="30" t="s">
        <v>1489</v>
      </c>
      <c r="IU6" s="30" t="s">
        <v>1557</v>
      </c>
      <c r="IW6" s="30" t="s">
        <v>28</v>
      </c>
      <c r="IY6" s="30" t="s">
        <v>1482</v>
      </c>
      <c r="IZ6" s="30" t="s">
        <v>1543</v>
      </c>
      <c r="JA6" s="30" t="s">
        <v>1489</v>
      </c>
      <c r="JD6" s="30" t="s">
        <v>1557</v>
      </c>
      <c r="JE6" s="30" t="s">
        <v>28</v>
      </c>
      <c r="JF6" s="30" t="s">
        <v>1482</v>
      </c>
      <c r="JG6" s="30" t="s">
        <v>1543</v>
      </c>
      <c r="JH6" s="30" t="s">
        <v>1489</v>
      </c>
      <c r="JK6" s="30" t="s">
        <v>1557</v>
      </c>
      <c r="JN6" s="30" t="s">
        <v>1482</v>
      </c>
      <c r="JO6" s="30" t="s">
        <v>1543</v>
      </c>
      <c r="JP6" s="30" t="s">
        <v>1489</v>
      </c>
      <c r="JT6" s="30" t="s">
        <v>1482</v>
      </c>
      <c r="JU6" s="30" t="s">
        <v>1543</v>
      </c>
      <c r="JV6" s="30" t="s">
        <v>1489</v>
      </c>
      <c r="JX6" s="30" t="s">
        <v>1482</v>
      </c>
      <c r="JY6" s="30" t="s">
        <v>1543</v>
      </c>
      <c r="JZ6" s="30" t="s">
        <v>1489</v>
      </c>
      <c r="KD6" s="30" t="s">
        <v>1482</v>
      </c>
      <c r="KE6" s="30" t="s">
        <v>1543</v>
      </c>
      <c r="KF6" s="30" t="s">
        <v>1489</v>
      </c>
      <c r="KI6" s="30" t="s">
        <v>1482</v>
      </c>
      <c r="KJ6" s="30" t="s">
        <v>1543</v>
      </c>
      <c r="KK6" s="30" t="s">
        <v>1489</v>
      </c>
      <c r="KM6" s="30" t="s">
        <v>1482</v>
      </c>
      <c r="KN6" s="30" t="s">
        <v>1543</v>
      </c>
      <c r="KO6" s="30" t="s">
        <v>1489</v>
      </c>
      <c r="KQ6" s="30" t="s">
        <v>1482</v>
      </c>
      <c r="KR6" s="30" t="s">
        <v>1543</v>
      </c>
      <c r="KS6" s="30" t="s">
        <v>1489</v>
      </c>
      <c r="KV6" s="30" t="s">
        <v>1482</v>
      </c>
      <c r="KW6" s="30" t="s">
        <v>1543</v>
      </c>
      <c r="KX6" s="30" t="s">
        <v>1489</v>
      </c>
      <c r="LL6" s="30" t="s">
        <v>1890</v>
      </c>
      <c r="LU6" s="30" t="s">
        <v>1890</v>
      </c>
      <c r="MM6" s="30" t="s">
        <v>394</v>
      </c>
      <c r="MQ6" s="30" t="s">
        <v>1925</v>
      </c>
      <c r="MT6" s="30" t="s">
        <v>1930</v>
      </c>
      <c r="NM6" s="30" t="s">
        <v>1954</v>
      </c>
      <c r="NY6" s="30" t="s">
        <v>1984</v>
      </c>
      <c r="OA6" s="30" t="s">
        <v>1557</v>
      </c>
      <c r="OC6" s="30" t="s">
        <v>1925</v>
      </c>
      <c r="OD6" s="30" t="s">
        <v>1930</v>
      </c>
      <c r="PP6" s="30" t="s">
        <v>2034</v>
      </c>
      <c r="PR6" s="30" t="s">
        <v>2046</v>
      </c>
      <c r="PS6" s="30" t="s">
        <v>440</v>
      </c>
      <c r="QF6" s="30" t="s">
        <v>1925</v>
      </c>
      <c r="QH6" s="30" t="s">
        <v>1930</v>
      </c>
      <c r="QS6" s="30" t="s">
        <v>1984</v>
      </c>
      <c r="RD6" s="30" t="s">
        <v>1557</v>
      </c>
    </row>
    <row r="7" customFormat="false" ht="15" hidden="false" customHeight="false" outlineLevel="0" collapsed="false">
      <c r="A7" s="30" t="s">
        <v>350</v>
      </c>
      <c r="C7" s="30" t="s">
        <v>350</v>
      </c>
      <c r="D7" s="30" t="s">
        <v>2331</v>
      </c>
      <c r="F7" s="31" t="s">
        <v>3004</v>
      </c>
      <c r="G7" s="31" t="s">
        <v>2360</v>
      </c>
      <c r="I7" s="31" t="s">
        <v>27</v>
      </c>
      <c r="J7" s="31" t="s">
        <v>2484</v>
      </c>
      <c r="M7" s="30" t="s">
        <v>65</v>
      </c>
      <c r="N7" s="30" t="s">
        <v>243</v>
      </c>
      <c r="O7" s="30" t="s">
        <v>377</v>
      </c>
      <c r="P7" s="30" t="s">
        <v>425</v>
      </c>
      <c r="Q7" s="30" t="s">
        <v>451</v>
      </c>
      <c r="R7" s="30" t="s">
        <v>497</v>
      </c>
      <c r="S7" s="30" t="s">
        <v>138</v>
      </c>
      <c r="V7" s="30" t="s">
        <v>585</v>
      </c>
      <c r="W7" s="30" t="s">
        <v>628</v>
      </c>
      <c r="X7" s="30" t="s">
        <v>439</v>
      </c>
      <c r="Z7" s="30" t="s">
        <v>425</v>
      </c>
      <c r="AA7" s="30" t="s">
        <v>729</v>
      </c>
      <c r="AB7" s="30" t="s">
        <v>781</v>
      </c>
      <c r="AC7" s="30" t="s">
        <v>837</v>
      </c>
      <c r="AD7" s="30" t="s">
        <v>904</v>
      </c>
      <c r="AE7" s="30" t="s">
        <v>939</v>
      </c>
      <c r="AG7" s="30" t="s">
        <v>1027</v>
      </c>
      <c r="AH7" s="30" t="s">
        <v>1080</v>
      </c>
      <c r="AI7" s="30" t="s">
        <v>1164</v>
      </c>
      <c r="AJ7" s="30" t="s">
        <v>1235</v>
      </c>
      <c r="AK7" s="30" t="s">
        <v>1292</v>
      </c>
      <c r="AM7" s="30" t="s">
        <v>1348</v>
      </c>
      <c r="AO7" s="30" t="s">
        <v>1408</v>
      </c>
      <c r="AP7" s="30" t="s">
        <v>25</v>
      </c>
      <c r="AQ7" s="30" t="s">
        <v>49</v>
      </c>
      <c r="AR7" s="30" t="s">
        <v>72</v>
      </c>
      <c r="AS7" s="30" t="s">
        <v>109</v>
      </c>
      <c r="AT7" s="30" t="s">
        <v>124</v>
      </c>
      <c r="AU7" s="30" t="s">
        <v>124</v>
      </c>
      <c r="AV7" s="30" t="s">
        <v>69</v>
      </c>
      <c r="AW7" s="30" t="s">
        <v>141</v>
      </c>
      <c r="AX7" s="30" t="s">
        <v>124</v>
      </c>
      <c r="AY7" s="30" t="s">
        <v>124</v>
      </c>
      <c r="AZ7" s="30" t="s">
        <v>69</v>
      </c>
      <c r="BA7" s="30" t="s">
        <v>131</v>
      </c>
      <c r="BB7" s="30" t="s">
        <v>72</v>
      </c>
      <c r="BC7" s="30" t="s">
        <v>72</v>
      </c>
      <c r="BD7" s="30" t="s">
        <v>72</v>
      </c>
      <c r="BE7" s="30" t="s">
        <v>72</v>
      </c>
      <c r="BF7" s="30" t="s">
        <v>72</v>
      </c>
      <c r="BG7" s="30" t="s">
        <v>72</v>
      </c>
      <c r="BH7" s="30" t="s">
        <v>72</v>
      </c>
      <c r="BI7" s="30" t="s">
        <v>72</v>
      </c>
      <c r="BJ7" s="30" t="s">
        <v>288</v>
      </c>
      <c r="BK7" s="30" t="s">
        <v>294</v>
      </c>
      <c r="BL7" s="30" t="s">
        <v>342</v>
      </c>
      <c r="BM7" s="30" t="s">
        <v>358</v>
      </c>
      <c r="BN7" s="30" t="s">
        <v>374</v>
      </c>
      <c r="BO7" s="30" t="s">
        <v>384</v>
      </c>
      <c r="BQ7" s="30" t="s">
        <v>400</v>
      </c>
      <c r="BR7" s="30" t="s">
        <v>414</v>
      </c>
      <c r="BS7" s="30" t="s">
        <v>422</v>
      </c>
      <c r="BZ7" s="30" t="s">
        <v>471</v>
      </c>
      <c r="CA7" s="30" t="s">
        <v>485</v>
      </c>
      <c r="CC7" s="30" t="s">
        <v>434</v>
      </c>
      <c r="CG7" s="30" t="s">
        <v>531</v>
      </c>
      <c r="CH7" s="30" t="s">
        <v>543</v>
      </c>
      <c r="CI7" s="30" t="s">
        <v>556</v>
      </c>
      <c r="CJ7" s="30" t="s">
        <v>568</v>
      </c>
      <c r="CK7" s="30" t="s">
        <v>581</v>
      </c>
      <c r="CL7" s="30" t="s">
        <v>592</v>
      </c>
      <c r="CM7" s="30" t="s">
        <v>603</v>
      </c>
      <c r="CO7" s="30" t="s">
        <v>622</v>
      </c>
      <c r="CR7" s="30" t="s">
        <v>645</v>
      </c>
      <c r="CW7" s="30" t="s">
        <v>471</v>
      </c>
      <c r="DC7" s="30" t="s">
        <v>707</v>
      </c>
      <c r="DF7" s="30" t="s">
        <v>726</v>
      </c>
      <c r="DG7" s="30" t="s">
        <v>735</v>
      </c>
      <c r="DH7" s="30" t="s">
        <v>745</v>
      </c>
      <c r="DJ7" s="30" t="s">
        <v>760</v>
      </c>
      <c r="DK7" s="30" t="s">
        <v>771</v>
      </c>
      <c r="DN7" s="30" t="s">
        <v>795</v>
      </c>
      <c r="DO7" s="30" t="s">
        <v>812</v>
      </c>
      <c r="DP7" s="30" t="s">
        <v>833</v>
      </c>
      <c r="DQ7" s="30" t="s">
        <v>844</v>
      </c>
      <c r="DR7" s="30" t="s">
        <v>853</v>
      </c>
      <c r="DS7" s="30" t="s">
        <v>875</v>
      </c>
      <c r="DT7" s="30" t="s">
        <v>892</v>
      </c>
      <c r="DU7" s="30" t="s">
        <v>911</v>
      </c>
      <c r="DV7" s="30" t="s">
        <v>926</v>
      </c>
      <c r="DW7" s="30" t="s">
        <v>936</v>
      </c>
      <c r="DX7" s="30" t="s">
        <v>946</v>
      </c>
      <c r="DY7" s="30" t="s">
        <v>962</v>
      </c>
      <c r="DZ7" s="30" t="s">
        <v>980</v>
      </c>
      <c r="EA7" s="30" t="s">
        <v>996</v>
      </c>
      <c r="EB7" s="30" t="s">
        <v>1008</v>
      </c>
      <c r="EC7" s="30" t="s">
        <v>1021</v>
      </c>
      <c r="ED7" s="30" t="s">
        <v>1034</v>
      </c>
      <c r="EE7" s="30" t="s">
        <v>1049</v>
      </c>
      <c r="EF7" s="30" t="s">
        <v>1068</v>
      </c>
      <c r="EG7" s="30" t="s">
        <v>1088</v>
      </c>
      <c r="EH7" s="30" t="s">
        <v>1101</v>
      </c>
      <c r="EI7" s="30" t="s">
        <v>1117</v>
      </c>
      <c r="EJ7" s="30" t="s">
        <v>1130</v>
      </c>
      <c r="EK7" s="30" t="s">
        <v>1145</v>
      </c>
      <c r="EL7" s="30" t="s">
        <v>1158</v>
      </c>
      <c r="EM7" s="30" t="s">
        <v>1171</v>
      </c>
      <c r="EN7" s="30" t="s">
        <v>1187</v>
      </c>
      <c r="EP7" s="30" t="s">
        <v>965</v>
      </c>
      <c r="EQ7" s="30" t="s">
        <v>1226</v>
      </c>
      <c r="ER7" s="30" t="s">
        <v>1242</v>
      </c>
      <c r="ES7" s="30" t="s">
        <v>1261</v>
      </c>
      <c r="ET7" s="30" t="s">
        <v>1273</v>
      </c>
      <c r="EU7" s="30" t="s">
        <v>1286</v>
      </c>
      <c r="EV7" s="30" t="s">
        <v>1299</v>
      </c>
      <c r="EW7" s="30" t="s">
        <v>1309</v>
      </c>
      <c r="EX7" s="30" t="s">
        <v>1324</v>
      </c>
      <c r="EY7" s="30" t="s">
        <v>1339</v>
      </c>
      <c r="FA7" s="30" t="s">
        <v>1355</v>
      </c>
      <c r="FB7" s="30" t="s">
        <v>1367</v>
      </c>
      <c r="FC7" s="30" t="s">
        <v>31</v>
      </c>
      <c r="FD7" s="30" t="s">
        <v>1395</v>
      </c>
      <c r="FE7" s="30" t="s">
        <v>1415</v>
      </c>
      <c r="FF7" s="30" t="s">
        <v>556</v>
      </c>
      <c r="FG7" s="30" t="s">
        <v>1444</v>
      </c>
      <c r="FX7" s="30" t="s">
        <v>1484</v>
      </c>
      <c r="FY7" s="30" t="s">
        <v>1491</v>
      </c>
      <c r="GN7" s="30" t="s">
        <v>1530</v>
      </c>
      <c r="GR7" s="30" t="s">
        <v>1484</v>
      </c>
      <c r="GS7" s="30" t="s">
        <v>1543</v>
      </c>
      <c r="GT7" s="30" t="s">
        <v>1491</v>
      </c>
      <c r="GW7" s="30" t="s">
        <v>1559</v>
      </c>
      <c r="GY7" s="30" t="s">
        <v>1530</v>
      </c>
      <c r="HC7" s="30" t="s">
        <v>1484</v>
      </c>
      <c r="HE7" s="30" t="s">
        <v>1491</v>
      </c>
      <c r="HH7" s="30" t="s">
        <v>1559</v>
      </c>
      <c r="HJ7" s="30" t="s">
        <v>1530</v>
      </c>
      <c r="HL7" s="30" t="s">
        <v>1484</v>
      </c>
      <c r="HN7" s="30" t="s">
        <v>1491</v>
      </c>
      <c r="HP7" s="30" t="s">
        <v>1559</v>
      </c>
      <c r="HV7" s="30" t="s">
        <v>1484</v>
      </c>
      <c r="HX7" s="30" t="s">
        <v>1491</v>
      </c>
      <c r="HZ7" s="30" t="s">
        <v>1559</v>
      </c>
      <c r="IA7" s="30" t="s">
        <v>1530</v>
      </c>
      <c r="IE7" s="30" t="s">
        <v>1484</v>
      </c>
      <c r="IG7" s="30" t="s">
        <v>1491</v>
      </c>
      <c r="IJ7" s="30" t="s">
        <v>1559</v>
      </c>
      <c r="IL7" s="30" t="s">
        <v>1530</v>
      </c>
      <c r="IP7" s="30" t="s">
        <v>1484</v>
      </c>
      <c r="IR7" s="30" t="s">
        <v>1491</v>
      </c>
      <c r="IU7" s="30" t="s">
        <v>1559</v>
      </c>
      <c r="IW7" s="30" t="s">
        <v>1530</v>
      </c>
      <c r="IY7" s="30" t="s">
        <v>1484</v>
      </c>
      <c r="JA7" s="30" t="s">
        <v>1491</v>
      </c>
      <c r="JD7" s="30" t="s">
        <v>1559</v>
      </c>
      <c r="JE7" s="30" t="s">
        <v>1530</v>
      </c>
      <c r="JF7" s="30" t="s">
        <v>1484</v>
      </c>
      <c r="JH7" s="30" t="s">
        <v>1491</v>
      </c>
      <c r="JK7" s="30" t="s">
        <v>1559</v>
      </c>
      <c r="JN7" s="30" t="s">
        <v>1484</v>
      </c>
      <c r="JP7" s="30" t="s">
        <v>1491</v>
      </c>
      <c r="JT7" s="30" t="s">
        <v>1484</v>
      </c>
      <c r="JV7" s="30" t="s">
        <v>1491</v>
      </c>
      <c r="JX7" s="30" t="s">
        <v>1484</v>
      </c>
      <c r="JZ7" s="30" t="s">
        <v>1491</v>
      </c>
      <c r="KD7" s="30" t="s">
        <v>1484</v>
      </c>
      <c r="KF7" s="30" t="s">
        <v>1491</v>
      </c>
      <c r="KI7" s="30" t="s">
        <v>1484</v>
      </c>
      <c r="KK7" s="30" t="s">
        <v>1491</v>
      </c>
      <c r="KM7" s="30" t="s">
        <v>1484</v>
      </c>
      <c r="KO7" s="30" t="s">
        <v>1491</v>
      </c>
      <c r="KQ7" s="30" t="s">
        <v>1484</v>
      </c>
      <c r="KS7" s="30" t="s">
        <v>1491</v>
      </c>
      <c r="KV7" s="30" t="s">
        <v>1484</v>
      </c>
      <c r="KX7" s="30" t="s">
        <v>1491</v>
      </c>
      <c r="MT7" s="30" t="s">
        <v>1932</v>
      </c>
      <c r="NM7" s="30" t="s">
        <v>1956</v>
      </c>
      <c r="OA7" s="30" t="s">
        <v>1559</v>
      </c>
      <c r="OD7" s="30" t="s">
        <v>1932</v>
      </c>
      <c r="PP7" s="30" t="s">
        <v>2036</v>
      </c>
      <c r="PR7" s="30" t="s">
        <v>2048</v>
      </c>
      <c r="QH7" s="30" t="s">
        <v>1932</v>
      </c>
      <c r="RD7" s="30" t="s">
        <v>1559</v>
      </c>
    </row>
    <row r="8" customFormat="false" ht="15" hidden="false" customHeight="false" outlineLevel="0" collapsed="false">
      <c r="A8" s="30" t="s">
        <v>407</v>
      </c>
      <c r="C8" s="30" t="s">
        <v>407</v>
      </c>
      <c r="D8" s="30" t="s">
        <v>2332</v>
      </c>
      <c r="F8" s="31" t="s">
        <v>3005</v>
      </c>
      <c r="G8" s="31" t="s">
        <v>2361</v>
      </c>
      <c r="I8" s="31" t="s">
        <v>30</v>
      </c>
      <c r="J8" s="31" t="s">
        <v>2485</v>
      </c>
      <c r="M8" s="30" t="s">
        <v>102</v>
      </c>
      <c r="N8" s="30" t="s">
        <v>254</v>
      </c>
      <c r="O8" s="30" t="s">
        <v>387</v>
      </c>
      <c r="P8" s="30" t="s">
        <v>431</v>
      </c>
      <c r="Q8" s="30" t="s">
        <v>458</v>
      </c>
      <c r="V8" s="30" t="s">
        <v>596</v>
      </c>
      <c r="W8" s="30" t="s">
        <v>635</v>
      </c>
      <c r="X8" s="30" t="s">
        <v>664</v>
      </c>
      <c r="Z8" s="30" t="s">
        <v>701</v>
      </c>
      <c r="AA8" s="30" t="s">
        <v>738</v>
      </c>
      <c r="AB8" s="30" t="s">
        <v>788</v>
      </c>
      <c r="AC8" s="30" t="s">
        <v>848</v>
      </c>
      <c r="AE8" s="30" t="s">
        <v>955</v>
      </c>
      <c r="AH8" s="30" t="s">
        <v>1094</v>
      </c>
      <c r="AI8" s="30" t="s">
        <v>1180</v>
      </c>
      <c r="AJ8" s="30" t="s">
        <v>1254</v>
      </c>
      <c r="AK8" s="30" t="s">
        <v>1302</v>
      </c>
      <c r="AO8" s="30" t="s">
        <v>1425</v>
      </c>
      <c r="AP8" s="30" t="s">
        <v>28</v>
      </c>
      <c r="AQ8" s="30" t="s">
        <v>52</v>
      </c>
      <c r="AR8" s="30" t="s">
        <v>75</v>
      </c>
      <c r="AS8" s="30" t="s">
        <v>112</v>
      </c>
      <c r="AT8" s="30" t="s">
        <v>127</v>
      </c>
      <c r="AU8" s="30" t="s">
        <v>127</v>
      </c>
      <c r="AV8" s="30" t="s">
        <v>131</v>
      </c>
      <c r="AW8" s="30" t="s">
        <v>169</v>
      </c>
      <c r="AX8" s="30" t="s">
        <v>127</v>
      </c>
      <c r="AY8" s="30" t="s">
        <v>127</v>
      </c>
      <c r="AZ8" s="30" t="s">
        <v>131</v>
      </c>
      <c r="BA8" s="30" t="s">
        <v>72</v>
      </c>
      <c r="BB8" s="30" t="s">
        <v>75</v>
      </c>
      <c r="BC8" s="30" t="s">
        <v>75</v>
      </c>
      <c r="BD8" s="30" t="s">
        <v>75</v>
      </c>
      <c r="BE8" s="30" t="s">
        <v>75</v>
      </c>
      <c r="BF8" s="30" t="s">
        <v>75</v>
      </c>
      <c r="BG8" s="30" t="s">
        <v>75</v>
      </c>
      <c r="BH8" s="30" t="s">
        <v>75</v>
      </c>
      <c r="BI8" s="30" t="s">
        <v>75</v>
      </c>
      <c r="BJ8" s="30" t="s">
        <v>291</v>
      </c>
      <c r="BK8" s="30" t="s">
        <v>297</v>
      </c>
      <c r="BL8" s="30" t="s">
        <v>345</v>
      </c>
      <c r="BM8" s="30" t="s">
        <v>361</v>
      </c>
      <c r="BQ8" s="30" t="s">
        <v>403</v>
      </c>
      <c r="BZ8" s="30" t="s">
        <v>474</v>
      </c>
      <c r="CA8" s="30" t="s">
        <v>488</v>
      </c>
      <c r="CC8" s="30" t="s">
        <v>505</v>
      </c>
      <c r="CH8" s="30" t="s">
        <v>546</v>
      </c>
      <c r="CJ8" s="30" t="s">
        <v>571</v>
      </c>
      <c r="CK8" s="30" t="s">
        <v>523</v>
      </c>
      <c r="CL8" s="30" t="s">
        <v>334</v>
      </c>
      <c r="CM8" s="30" t="s">
        <v>606</v>
      </c>
      <c r="CO8" s="30" t="s">
        <v>625</v>
      </c>
      <c r="CW8" s="30" t="s">
        <v>474</v>
      </c>
      <c r="DC8" s="30" t="s">
        <v>710</v>
      </c>
      <c r="DH8" s="30" t="s">
        <v>748</v>
      </c>
      <c r="DN8" s="30" t="s">
        <v>798</v>
      </c>
      <c r="DO8" s="30" t="s">
        <v>815</v>
      </c>
      <c r="DR8" s="30" t="s">
        <v>856</v>
      </c>
      <c r="DS8" s="30" t="s">
        <v>878</v>
      </c>
      <c r="DT8" s="30" t="s">
        <v>895</v>
      </c>
      <c r="DU8" s="30" t="s">
        <v>914</v>
      </c>
      <c r="DX8" s="30" t="s">
        <v>949</v>
      </c>
      <c r="DY8" s="30" t="s">
        <v>965</v>
      </c>
      <c r="DZ8" s="30" t="s">
        <v>983</v>
      </c>
      <c r="EB8" s="30" t="s">
        <v>1011</v>
      </c>
      <c r="EC8" s="30" t="s">
        <v>1024</v>
      </c>
      <c r="ED8" s="30" t="s">
        <v>1037</v>
      </c>
      <c r="EE8" s="30" t="s">
        <v>1052</v>
      </c>
      <c r="EF8" s="30" t="s">
        <v>1071</v>
      </c>
      <c r="EG8" s="30" t="s">
        <v>1091</v>
      </c>
      <c r="EH8" s="30" t="s">
        <v>1104</v>
      </c>
      <c r="EI8" s="30" t="s">
        <v>1120</v>
      </c>
      <c r="EJ8" s="30" t="s">
        <v>1133</v>
      </c>
      <c r="EK8" s="30" t="s">
        <v>1148</v>
      </c>
      <c r="EL8" s="30" t="s">
        <v>1161</v>
      </c>
      <c r="EM8" s="30" t="s">
        <v>1174</v>
      </c>
      <c r="EN8" s="30" t="s">
        <v>1190</v>
      </c>
      <c r="EP8" s="30" t="s">
        <v>1213</v>
      </c>
      <c r="EQ8" s="30" t="s">
        <v>1229</v>
      </c>
      <c r="ER8" s="30" t="s">
        <v>1245</v>
      </c>
      <c r="ET8" s="30" t="s">
        <v>1276</v>
      </c>
      <c r="EU8" s="30" t="s">
        <v>1289</v>
      </c>
      <c r="EW8" s="30" t="s">
        <v>1312</v>
      </c>
      <c r="EX8" s="30" t="s">
        <v>1327</v>
      </c>
      <c r="EY8" s="30" t="s">
        <v>1342</v>
      </c>
      <c r="FB8" s="30" t="s">
        <v>1370</v>
      </c>
      <c r="FD8" s="30" t="s">
        <v>1398</v>
      </c>
      <c r="FE8" s="30" t="s">
        <v>1418</v>
      </c>
      <c r="FF8" s="30" t="s">
        <v>1433</v>
      </c>
      <c r="FG8" s="30" t="s">
        <v>1447</v>
      </c>
      <c r="FX8" s="30" t="s">
        <v>1486</v>
      </c>
      <c r="FY8" s="30" t="s">
        <v>1493</v>
      </c>
      <c r="GR8" s="30" t="s">
        <v>1486</v>
      </c>
      <c r="GT8" s="30" t="s">
        <v>1493</v>
      </c>
      <c r="HC8" s="30" t="s">
        <v>1486</v>
      </c>
      <c r="HE8" s="30" t="s">
        <v>1493</v>
      </c>
      <c r="HL8" s="30" t="s">
        <v>1486</v>
      </c>
      <c r="HN8" s="30" t="s">
        <v>1493</v>
      </c>
      <c r="HV8" s="30" t="s">
        <v>1486</v>
      </c>
      <c r="HX8" s="30" t="s">
        <v>1493</v>
      </c>
      <c r="IE8" s="30" t="s">
        <v>1486</v>
      </c>
      <c r="IG8" s="30" t="s">
        <v>1493</v>
      </c>
      <c r="IP8" s="30" t="s">
        <v>1486</v>
      </c>
      <c r="IR8" s="30" t="s">
        <v>1493</v>
      </c>
      <c r="IY8" s="30" t="s">
        <v>1486</v>
      </c>
      <c r="JA8" s="30" t="s">
        <v>1493</v>
      </c>
      <c r="JF8" s="30" t="s">
        <v>1486</v>
      </c>
      <c r="JH8" s="30" t="s">
        <v>1493</v>
      </c>
      <c r="JN8" s="30" t="s">
        <v>1486</v>
      </c>
      <c r="JP8" s="30" t="s">
        <v>1493</v>
      </c>
      <c r="JT8" s="30" t="s">
        <v>1486</v>
      </c>
      <c r="JV8" s="30" t="s">
        <v>1493</v>
      </c>
      <c r="JX8" s="30" t="s">
        <v>1486</v>
      </c>
      <c r="JZ8" s="30" t="s">
        <v>1493</v>
      </c>
      <c r="KD8" s="30" t="s">
        <v>1486</v>
      </c>
      <c r="KF8" s="30" t="s">
        <v>1493</v>
      </c>
      <c r="KI8" s="30" t="s">
        <v>1486</v>
      </c>
      <c r="KK8" s="30" t="s">
        <v>1493</v>
      </c>
      <c r="KM8" s="30" t="s">
        <v>1486</v>
      </c>
      <c r="KO8" s="30" t="s">
        <v>1493</v>
      </c>
      <c r="KQ8" s="30" t="s">
        <v>1486</v>
      </c>
      <c r="KS8" s="30" t="s">
        <v>1493</v>
      </c>
      <c r="KV8" s="30" t="s">
        <v>1486</v>
      </c>
      <c r="KX8" s="30" t="s">
        <v>1493</v>
      </c>
      <c r="NM8" s="30" t="s">
        <v>1958</v>
      </c>
      <c r="PP8" s="30" t="s">
        <v>2038</v>
      </c>
      <c r="PR8" s="30" t="s">
        <v>2050</v>
      </c>
    </row>
    <row r="9" customFormat="false" ht="15" hidden="false" customHeight="false" outlineLevel="0" collapsed="false">
      <c r="A9" s="30" t="s">
        <v>438</v>
      </c>
      <c r="C9" s="30" t="s">
        <v>438</v>
      </c>
      <c r="D9" s="30" t="s">
        <v>2333</v>
      </c>
      <c r="F9" s="31" t="s">
        <v>3006</v>
      </c>
      <c r="G9" s="31" t="s">
        <v>2362</v>
      </c>
      <c r="I9" s="31" t="s">
        <v>33</v>
      </c>
      <c r="J9" s="31" t="s">
        <v>2486</v>
      </c>
      <c r="M9" s="30" t="s">
        <v>117</v>
      </c>
      <c r="N9" s="30" t="s">
        <v>260</v>
      </c>
      <c r="O9" s="30" t="s">
        <v>394</v>
      </c>
      <c r="Q9" s="30" t="s">
        <v>464</v>
      </c>
      <c r="W9" s="30" t="s">
        <v>550</v>
      </c>
      <c r="X9" s="30" t="s">
        <v>464</v>
      </c>
      <c r="Z9" s="30" t="s">
        <v>713</v>
      </c>
      <c r="AA9" s="30" t="s">
        <v>138</v>
      </c>
      <c r="AH9" s="30" t="s">
        <v>1110</v>
      </c>
      <c r="AI9" s="30" t="s">
        <v>1196</v>
      </c>
      <c r="AO9" s="30" t="s">
        <v>1437</v>
      </c>
      <c r="AP9" s="30" t="s">
        <v>31</v>
      </c>
      <c r="AQ9" s="30" t="s">
        <v>56</v>
      </c>
      <c r="AR9" s="30" t="s">
        <v>78</v>
      </c>
      <c r="AS9" s="30" t="s">
        <v>93</v>
      </c>
      <c r="AT9" s="30" t="s">
        <v>69</v>
      </c>
      <c r="AU9" s="30" t="s">
        <v>69</v>
      </c>
      <c r="AV9" s="30" t="s">
        <v>72</v>
      </c>
      <c r="AW9" s="30" t="s">
        <v>127</v>
      </c>
      <c r="AX9" s="30" t="s">
        <v>69</v>
      </c>
      <c r="AY9" s="30" t="s">
        <v>69</v>
      </c>
      <c r="AZ9" s="30" t="s">
        <v>72</v>
      </c>
      <c r="BA9" s="30" t="s">
        <v>75</v>
      </c>
      <c r="BB9" s="30" t="s">
        <v>232</v>
      </c>
      <c r="BD9" s="30" t="s">
        <v>248</v>
      </c>
      <c r="BE9" s="30" t="s">
        <v>135</v>
      </c>
      <c r="BH9" s="30" t="s">
        <v>135</v>
      </c>
      <c r="BJ9" s="30" t="s">
        <v>294</v>
      </c>
      <c r="BK9" s="30" t="s">
        <v>331</v>
      </c>
      <c r="BM9" s="30" t="s">
        <v>364</v>
      </c>
      <c r="CW9" s="30" t="s">
        <v>672</v>
      </c>
      <c r="DH9" s="30" t="s">
        <v>751</v>
      </c>
      <c r="DN9" s="30" t="s">
        <v>801</v>
      </c>
      <c r="DO9" s="30" t="s">
        <v>818</v>
      </c>
      <c r="DR9" s="30" t="s">
        <v>859</v>
      </c>
      <c r="DS9" s="30" t="s">
        <v>881</v>
      </c>
      <c r="DT9" s="30" t="s">
        <v>898</v>
      </c>
      <c r="DX9" s="30" t="s">
        <v>952</v>
      </c>
      <c r="DY9" s="30" t="s">
        <v>968</v>
      </c>
      <c r="DZ9" s="30" t="s">
        <v>986</v>
      </c>
      <c r="EE9" s="30" t="s">
        <v>1055</v>
      </c>
      <c r="EF9" s="30" t="s">
        <v>1074</v>
      </c>
      <c r="EH9" s="30" t="s">
        <v>1107</v>
      </c>
      <c r="EM9" s="30" t="s">
        <v>1177</v>
      </c>
      <c r="EN9" s="30" t="s">
        <v>1193</v>
      </c>
      <c r="EP9" s="30" t="s">
        <v>1216</v>
      </c>
      <c r="EQ9" s="30" t="s">
        <v>1232</v>
      </c>
      <c r="ER9" s="30" t="s">
        <v>1248</v>
      </c>
      <c r="FB9" s="30" t="s">
        <v>1373</v>
      </c>
      <c r="FD9" s="30" t="s">
        <v>1401</v>
      </c>
      <c r="FE9" s="30" t="s">
        <v>1421</v>
      </c>
      <c r="FG9" s="30" t="s">
        <v>1450</v>
      </c>
      <c r="FY9" s="30" t="s">
        <v>1495</v>
      </c>
      <c r="GT9" s="30" t="s">
        <v>1495</v>
      </c>
      <c r="HE9" s="30" t="s">
        <v>1495</v>
      </c>
      <c r="HN9" s="30" t="s">
        <v>1495</v>
      </c>
      <c r="HX9" s="30" t="s">
        <v>1495</v>
      </c>
      <c r="IG9" s="30" t="s">
        <v>1495</v>
      </c>
      <c r="IR9" s="30" t="s">
        <v>1495</v>
      </c>
      <c r="JA9" s="30" t="s">
        <v>1495</v>
      </c>
      <c r="JH9" s="30" t="s">
        <v>1495</v>
      </c>
      <c r="JP9" s="30" t="s">
        <v>1495</v>
      </c>
      <c r="JV9" s="30" t="s">
        <v>1495</v>
      </c>
      <c r="JZ9" s="30" t="s">
        <v>1495</v>
      </c>
      <c r="KF9" s="30" t="s">
        <v>1495</v>
      </c>
      <c r="KK9" s="30" t="s">
        <v>1495</v>
      </c>
      <c r="KO9" s="30" t="s">
        <v>1495</v>
      </c>
      <c r="KS9" s="30" t="s">
        <v>1495</v>
      </c>
      <c r="KX9" s="30" t="s">
        <v>1495</v>
      </c>
      <c r="NM9" s="30" t="s">
        <v>1960</v>
      </c>
      <c r="PP9" s="30" t="s">
        <v>2040</v>
      </c>
      <c r="PR9" s="30" t="s">
        <v>2052</v>
      </c>
    </row>
    <row r="10" customFormat="false" ht="15" hidden="false" customHeight="false" outlineLevel="0" collapsed="false">
      <c r="A10" s="30" t="s">
        <v>478</v>
      </c>
      <c r="C10" s="30" t="s">
        <v>478</v>
      </c>
      <c r="D10" s="30" t="s">
        <v>2334</v>
      </c>
      <c r="F10" s="31" t="s">
        <v>3007</v>
      </c>
      <c r="G10" s="31" t="s">
        <v>2363</v>
      </c>
      <c r="I10" s="31" t="s">
        <v>37</v>
      </c>
      <c r="J10" s="31" t="s">
        <v>2487</v>
      </c>
      <c r="M10" s="30" t="s">
        <v>144</v>
      </c>
      <c r="N10" s="30" t="s">
        <v>265</v>
      </c>
      <c r="X10" s="30" t="s">
        <v>675</v>
      </c>
      <c r="Z10" s="30" t="s">
        <v>698</v>
      </c>
      <c r="AA10" s="30" t="s">
        <v>757</v>
      </c>
      <c r="AH10" s="30" t="s">
        <v>1123</v>
      </c>
      <c r="AP10" s="30" t="s">
        <v>34</v>
      </c>
      <c r="AQ10" s="30" t="s">
        <v>60</v>
      </c>
      <c r="AR10" s="30" t="s">
        <v>81</v>
      </c>
      <c r="AT10" s="30" t="s">
        <v>131</v>
      </c>
      <c r="AU10" s="30" t="s">
        <v>131</v>
      </c>
      <c r="AV10" s="30" t="s">
        <v>75</v>
      </c>
      <c r="AW10" s="30" t="s">
        <v>69</v>
      </c>
      <c r="AX10" s="30" t="s">
        <v>131</v>
      </c>
      <c r="AY10" s="30" t="s">
        <v>131</v>
      </c>
      <c r="AZ10" s="30" t="s">
        <v>75</v>
      </c>
      <c r="BA10" s="30" t="s">
        <v>135</v>
      </c>
      <c r="BB10" s="30" t="s">
        <v>235</v>
      </c>
      <c r="BD10" s="30" t="s">
        <v>251</v>
      </c>
      <c r="BJ10" s="30" t="s">
        <v>297</v>
      </c>
      <c r="BK10" s="30" t="s">
        <v>334</v>
      </c>
      <c r="DO10" s="30" t="s">
        <v>821</v>
      </c>
      <c r="DR10" s="30" t="s">
        <v>862</v>
      </c>
      <c r="DS10" s="30" t="s">
        <v>833</v>
      </c>
      <c r="DT10" s="30" t="s">
        <v>901</v>
      </c>
      <c r="EE10" s="30" t="s">
        <v>1058</v>
      </c>
      <c r="EF10" s="30" t="s">
        <v>1077</v>
      </c>
      <c r="ER10" s="30" t="s">
        <v>1251</v>
      </c>
      <c r="FD10" s="30" t="s">
        <v>1404</v>
      </c>
      <c r="FG10" s="30" t="s">
        <v>1453</v>
      </c>
      <c r="FY10" s="30" t="s">
        <v>1497</v>
      </c>
      <c r="GT10" s="30" t="s">
        <v>1497</v>
      </c>
      <c r="HE10" s="30" t="s">
        <v>1497</v>
      </c>
      <c r="HN10" s="30" t="s">
        <v>1497</v>
      </c>
      <c r="HX10" s="30" t="s">
        <v>1497</v>
      </c>
      <c r="IG10" s="30" t="s">
        <v>1497</v>
      </c>
      <c r="IR10" s="30" t="s">
        <v>1497</v>
      </c>
      <c r="JA10" s="30" t="s">
        <v>1497</v>
      </c>
      <c r="JH10" s="30" t="s">
        <v>1497</v>
      </c>
      <c r="JP10" s="30" t="s">
        <v>1497</v>
      </c>
      <c r="JV10" s="30" t="s">
        <v>1497</v>
      </c>
      <c r="JZ10" s="30" t="s">
        <v>1497</v>
      </c>
      <c r="KF10" s="30" t="s">
        <v>1497</v>
      </c>
      <c r="KK10" s="30" t="s">
        <v>1497</v>
      </c>
      <c r="KO10" s="30" t="s">
        <v>1497</v>
      </c>
      <c r="KS10" s="30" t="s">
        <v>1497</v>
      </c>
      <c r="KX10" s="30" t="s">
        <v>1497</v>
      </c>
      <c r="NM10" s="30" t="s">
        <v>1962</v>
      </c>
      <c r="PP10" s="30" t="s">
        <v>2042</v>
      </c>
      <c r="PR10" s="30" t="s">
        <v>2054</v>
      </c>
    </row>
    <row r="11" customFormat="false" ht="15" hidden="false" customHeight="false" outlineLevel="0" collapsed="false">
      <c r="A11" s="30" t="s">
        <v>509</v>
      </c>
      <c r="C11" s="30" t="s">
        <v>509</v>
      </c>
      <c r="D11" s="30" t="s">
        <v>2335</v>
      </c>
      <c r="F11" s="31" t="s">
        <v>3008</v>
      </c>
      <c r="G11" s="31" t="s">
        <v>2364</v>
      </c>
      <c r="I11" s="31" t="s">
        <v>40</v>
      </c>
      <c r="J11" s="31" t="s">
        <v>2488</v>
      </c>
      <c r="M11" s="30" t="s">
        <v>157</v>
      </c>
      <c r="N11" s="30" t="s">
        <v>270</v>
      </c>
      <c r="AA11" s="30" t="s">
        <v>723</v>
      </c>
      <c r="AP11" s="30" t="s">
        <v>38</v>
      </c>
      <c r="AR11" s="30" t="s">
        <v>84</v>
      </c>
      <c r="AT11" s="30" t="s">
        <v>72</v>
      </c>
      <c r="AU11" s="30" t="s">
        <v>72</v>
      </c>
      <c r="AV11" s="30" t="s">
        <v>138</v>
      </c>
      <c r="AW11" s="30" t="s">
        <v>131</v>
      </c>
      <c r="AX11" s="30" t="s">
        <v>72</v>
      </c>
      <c r="AY11" s="30" t="s">
        <v>72</v>
      </c>
      <c r="AZ11" s="30" t="s">
        <v>135</v>
      </c>
      <c r="BA11" s="30" t="s">
        <v>138</v>
      </c>
      <c r="BJ11" s="30" t="s">
        <v>300</v>
      </c>
      <c r="BK11" s="30" t="s">
        <v>309</v>
      </c>
      <c r="DO11" s="30" t="s">
        <v>824</v>
      </c>
      <c r="FY11" s="30" t="s">
        <v>1499</v>
      </c>
      <c r="GT11" s="30" t="s">
        <v>1499</v>
      </c>
      <c r="HE11" s="30" t="s">
        <v>1499</v>
      </c>
      <c r="HN11" s="30" t="s">
        <v>1499</v>
      </c>
      <c r="HX11" s="30" t="s">
        <v>1499</v>
      </c>
      <c r="IG11" s="30" t="s">
        <v>1499</v>
      </c>
      <c r="IR11" s="30" t="s">
        <v>1499</v>
      </c>
      <c r="JA11" s="30" t="s">
        <v>1499</v>
      </c>
      <c r="JH11" s="30" t="s">
        <v>1499</v>
      </c>
      <c r="JP11" s="30" t="s">
        <v>1499</v>
      </c>
      <c r="JV11" s="30" t="s">
        <v>1499</v>
      </c>
      <c r="JZ11" s="30" t="s">
        <v>1499</v>
      </c>
      <c r="KF11" s="30" t="s">
        <v>1499</v>
      </c>
      <c r="KK11" s="30" t="s">
        <v>1499</v>
      </c>
      <c r="KO11" s="30" t="s">
        <v>1499</v>
      </c>
      <c r="KS11" s="30" t="s">
        <v>1499</v>
      </c>
      <c r="KX11" s="30" t="s">
        <v>1499</v>
      </c>
      <c r="NM11" s="30" t="s">
        <v>1964</v>
      </c>
    </row>
    <row r="12" customFormat="false" ht="15" hidden="false" customHeight="false" outlineLevel="0" collapsed="false">
      <c r="A12" s="30" t="s">
        <v>527</v>
      </c>
      <c r="C12" s="30" t="s">
        <v>527</v>
      </c>
      <c r="D12" s="30" t="s">
        <v>2336</v>
      </c>
      <c r="F12" s="31" t="s">
        <v>3009</v>
      </c>
      <c r="G12" s="31" t="s">
        <v>2365</v>
      </c>
      <c r="I12" s="31" t="s">
        <v>45</v>
      </c>
      <c r="J12" s="31" t="s">
        <v>2489</v>
      </c>
      <c r="M12" s="30" t="s">
        <v>165</v>
      </c>
      <c r="N12" s="30" t="s">
        <v>276</v>
      </c>
      <c r="AR12" s="30" t="s">
        <v>87</v>
      </c>
      <c r="AT12" s="30" t="s">
        <v>75</v>
      </c>
      <c r="AU12" s="30" t="s">
        <v>75</v>
      </c>
      <c r="AW12" s="30" t="s">
        <v>72</v>
      </c>
      <c r="AX12" s="30" t="s">
        <v>75</v>
      </c>
      <c r="AY12" s="30" t="s">
        <v>75</v>
      </c>
      <c r="AZ12" s="30" t="s">
        <v>138</v>
      </c>
      <c r="BA12" s="30" t="s">
        <v>219</v>
      </c>
      <c r="BJ12" s="30" t="s">
        <v>303</v>
      </c>
      <c r="BK12" s="30" t="s">
        <v>318</v>
      </c>
      <c r="FY12" s="30" t="s">
        <v>1501</v>
      </c>
      <c r="GT12" s="30" t="s">
        <v>1501</v>
      </c>
      <c r="HE12" s="30" t="s">
        <v>1501</v>
      </c>
      <c r="HN12" s="30" t="s">
        <v>1501</v>
      </c>
      <c r="HX12" s="30" t="s">
        <v>1501</v>
      </c>
      <c r="IG12" s="30" t="s">
        <v>1501</v>
      </c>
      <c r="IR12" s="30" t="s">
        <v>1501</v>
      </c>
      <c r="JA12" s="30" t="s">
        <v>1501</v>
      </c>
      <c r="JH12" s="30" t="s">
        <v>1501</v>
      </c>
      <c r="JP12" s="30" t="s">
        <v>1501</v>
      </c>
      <c r="JV12" s="30" t="s">
        <v>1501</v>
      </c>
      <c r="JZ12" s="30" t="s">
        <v>1501</v>
      </c>
      <c r="KF12" s="30" t="s">
        <v>1501</v>
      </c>
      <c r="KK12" s="30" t="s">
        <v>1501</v>
      </c>
      <c r="KO12" s="30" t="s">
        <v>1501</v>
      </c>
      <c r="KS12" s="30" t="s">
        <v>1501</v>
      </c>
      <c r="KX12" s="30" t="s">
        <v>1501</v>
      </c>
      <c r="NM12" s="30" t="s">
        <v>1966</v>
      </c>
    </row>
    <row r="13" customFormat="false" ht="15" hidden="false" customHeight="false" outlineLevel="0" collapsed="false">
      <c r="A13" s="30" t="s">
        <v>535</v>
      </c>
      <c r="C13" s="30" t="s">
        <v>535</v>
      </c>
      <c r="D13" s="30" t="s">
        <v>2337</v>
      </c>
      <c r="F13" s="31" t="s">
        <v>3010</v>
      </c>
      <c r="G13" s="31" t="s">
        <v>2366</v>
      </c>
      <c r="I13" s="31" t="s">
        <v>48</v>
      </c>
      <c r="J13" s="31" t="s">
        <v>2490</v>
      </c>
      <c r="M13" s="30" t="s">
        <v>178</v>
      </c>
      <c r="N13" s="30" t="s">
        <v>281</v>
      </c>
      <c r="AR13" s="30" t="s">
        <v>90</v>
      </c>
      <c r="AT13" s="30" t="s">
        <v>135</v>
      </c>
      <c r="AU13" s="30" t="s">
        <v>135</v>
      </c>
      <c r="AW13" s="30" t="s">
        <v>75</v>
      </c>
      <c r="AX13" s="30" t="s">
        <v>135</v>
      </c>
      <c r="AY13" s="30" t="s">
        <v>135</v>
      </c>
      <c r="BA13" s="30" t="s">
        <v>222</v>
      </c>
      <c r="BJ13" s="30" t="s">
        <v>306</v>
      </c>
      <c r="FY13" s="30" t="s">
        <v>1503</v>
      </c>
      <c r="GT13" s="30" t="s">
        <v>1503</v>
      </c>
      <c r="HE13" s="30" t="s">
        <v>1503</v>
      </c>
      <c r="HN13" s="30" t="s">
        <v>1503</v>
      </c>
      <c r="HX13" s="30" t="s">
        <v>1503</v>
      </c>
      <c r="IG13" s="30" t="s">
        <v>1503</v>
      </c>
      <c r="IR13" s="30" t="s">
        <v>1503</v>
      </c>
      <c r="JA13" s="30" t="s">
        <v>1503</v>
      </c>
      <c r="JH13" s="30" t="s">
        <v>1503</v>
      </c>
      <c r="JP13" s="30" t="s">
        <v>1503</v>
      </c>
      <c r="JV13" s="30" t="s">
        <v>1503</v>
      </c>
      <c r="JZ13" s="30" t="s">
        <v>1503</v>
      </c>
      <c r="KF13" s="30" t="s">
        <v>1503</v>
      </c>
      <c r="KK13" s="30" t="s">
        <v>1503</v>
      </c>
      <c r="KO13" s="30" t="s">
        <v>1503</v>
      </c>
      <c r="KS13" s="30" t="s">
        <v>1503</v>
      </c>
      <c r="KX13" s="30" t="s">
        <v>1503</v>
      </c>
      <c r="NM13" s="30" t="s">
        <v>1968</v>
      </c>
    </row>
    <row r="14" customFormat="false" ht="15" hidden="false" customHeight="false" outlineLevel="0" collapsed="false">
      <c r="A14" s="30" t="s">
        <v>560</v>
      </c>
      <c r="C14" s="30" t="s">
        <v>560</v>
      </c>
      <c r="D14" s="30" t="s">
        <v>2338</v>
      </c>
      <c r="F14" s="31" t="s">
        <v>3011</v>
      </c>
      <c r="G14" s="31" t="s">
        <v>2367</v>
      </c>
      <c r="I14" s="31" t="s">
        <v>51</v>
      </c>
      <c r="J14" s="31" t="s">
        <v>2491</v>
      </c>
      <c r="M14" s="30" t="s">
        <v>190</v>
      </c>
      <c r="N14" s="30" t="s">
        <v>324</v>
      </c>
      <c r="AR14" s="30" t="s">
        <v>93</v>
      </c>
      <c r="AT14" s="30" t="s">
        <v>138</v>
      </c>
      <c r="AU14" s="30" t="s">
        <v>138</v>
      </c>
      <c r="AW14" s="30" t="s">
        <v>138</v>
      </c>
      <c r="AX14" s="30" t="s">
        <v>138</v>
      </c>
      <c r="AY14" s="30" t="s">
        <v>138</v>
      </c>
      <c r="BJ14" s="30" t="s">
        <v>309</v>
      </c>
      <c r="NM14" s="30" t="s">
        <v>1970</v>
      </c>
    </row>
    <row r="15" customFormat="false" ht="15" hidden="false" customHeight="false" outlineLevel="0" collapsed="false">
      <c r="A15" s="30" t="s">
        <v>610</v>
      </c>
      <c r="C15" s="30" t="s">
        <v>610</v>
      </c>
      <c r="D15" s="30" t="s">
        <v>2339</v>
      </c>
      <c r="F15" s="31" t="s">
        <v>3012</v>
      </c>
      <c r="G15" s="31" t="s">
        <v>2368</v>
      </c>
      <c r="I15" s="31" t="s">
        <v>55</v>
      </c>
      <c r="J15" s="31" t="s">
        <v>2492</v>
      </c>
      <c r="M15" s="30" t="s">
        <v>202</v>
      </c>
      <c r="N15" s="30" t="s">
        <v>339</v>
      </c>
      <c r="AR15" s="30" t="s">
        <v>96</v>
      </c>
      <c r="AT15" s="30" t="s">
        <v>141</v>
      </c>
      <c r="AU15" s="30" t="s">
        <v>141</v>
      </c>
      <c r="AX15" s="30" t="s">
        <v>141</v>
      </c>
      <c r="AY15" s="30" t="s">
        <v>141</v>
      </c>
      <c r="BJ15" s="30" t="s">
        <v>312</v>
      </c>
    </row>
    <row r="16" customFormat="false" ht="15" hidden="false" customHeight="false" outlineLevel="0" collapsed="false">
      <c r="A16" s="30" t="s">
        <v>649</v>
      </c>
      <c r="C16" s="30" t="s">
        <v>649</v>
      </c>
      <c r="D16" s="30" t="s">
        <v>2340</v>
      </c>
      <c r="F16" s="31" t="s">
        <v>3013</v>
      </c>
      <c r="G16" s="31" t="s">
        <v>2369</v>
      </c>
      <c r="I16" s="31" t="s">
        <v>59</v>
      </c>
      <c r="J16" s="31" t="s">
        <v>2493</v>
      </c>
      <c r="M16" s="30" t="s">
        <v>211</v>
      </c>
      <c r="AR16" s="30" t="s">
        <v>99</v>
      </c>
      <c r="BJ16" s="30" t="s">
        <v>315</v>
      </c>
    </row>
    <row r="17" customFormat="false" ht="15" hidden="false" customHeight="false" outlineLevel="0" collapsed="false">
      <c r="A17" s="30" t="s">
        <v>683</v>
      </c>
      <c r="C17" s="30" t="s">
        <v>683</v>
      </c>
      <c r="D17" s="30" t="s">
        <v>2341</v>
      </c>
      <c r="F17" s="31" t="s">
        <v>3014</v>
      </c>
      <c r="G17" s="31" t="s">
        <v>2370</v>
      </c>
      <c r="I17" s="31" t="s">
        <v>63</v>
      </c>
      <c r="J17" s="31" t="s">
        <v>2494</v>
      </c>
      <c r="BJ17" s="30" t="s">
        <v>318</v>
      </c>
    </row>
    <row r="18" customFormat="false" ht="15" hidden="false" customHeight="false" outlineLevel="0" collapsed="false">
      <c r="A18" s="30" t="s">
        <v>692</v>
      </c>
      <c r="C18" s="30" t="s">
        <v>692</v>
      </c>
      <c r="D18" s="30" t="s">
        <v>2342</v>
      </c>
      <c r="F18" s="31" t="s">
        <v>3015</v>
      </c>
      <c r="G18" s="31" t="s">
        <v>2371</v>
      </c>
      <c r="I18" s="31" t="s">
        <v>68</v>
      </c>
      <c r="J18" s="31" t="s">
        <v>2495</v>
      </c>
      <c r="BJ18" s="30" t="s">
        <v>321</v>
      </c>
    </row>
    <row r="19" customFormat="false" ht="15" hidden="false" customHeight="false" outlineLevel="0" collapsed="false">
      <c r="A19" s="30" t="s">
        <v>717</v>
      </c>
      <c r="C19" s="30" t="s">
        <v>717</v>
      </c>
      <c r="D19" s="30" t="s">
        <v>2343</v>
      </c>
      <c r="F19" s="31" t="s">
        <v>3016</v>
      </c>
      <c r="G19" s="31" t="s">
        <v>2372</v>
      </c>
      <c r="I19" s="31" t="s">
        <v>71</v>
      </c>
      <c r="J19" s="31" t="s">
        <v>2496</v>
      </c>
    </row>
    <row r="20" customFormat="false" ht="15" hidden="false" customHeight="false" outlineLevel="0" collapsed="false">
      <c r="A20" s="30" t="s">
        <v>764</v>
      </c>
      <c r="C20" s="30" t="s">
        <v>764</v>
      </c>
      <c r="D20" s="30" t="s">
        <v>2344</v>
      </c>
      <c r="F20" s="31" t="s">
        <v>3017</v>
      </c>
      <c r="G20" s="31" t="s">
        <v>2373</v>
      </c>
      <c r="I20" s="31" t="s">
        <v>74</v>
      </c>
      <c r="J20" s="31" t="s">
        <v>2497</v>
      </c>
    </row>
    <row r="21" customFormat="false" ht="15" hidden="false" customHeight="false" outlineLevel="0" collapsed="false">
      <c r="A21" s="30" t="s">
        <v>805</v>
      </c>
      <c r="C21" s="30" t="s">
        <v>805</v>
      </c>
      <c r="D21" s="30" t="s">
        <v>2345</v>
      </c>
      <c r="F21" s="31" t="s">
        <v>3018</v>
      </c>
      <c r="G21" s="31" t="s">
        <v>2374</v>
      </c>
      <c r="I21" s="31" t="s">
        <v>77</v>
      </c>
      <c r="J21" s="31" t="s">
        <v>2498</v>
      </c>
    </row>
    <row r="22" customFormat="false" ht="15" hidden="false" customHeight="false" outlineLevel="0" collapsed="false">
      <c r="A22" s="30" t="s">
        <v>867</v>
      </c>
      <c r="C22" s="30" t="s">
        <v>867</v>
      </c>
      <c r="D22" s="30" t="s">
        <v>2346</v>
      </c>
      <c r="F22" s="31" t="s">
        <v>3019</v>
      </c>
      <c r="G22" s="31" t="s">
        <v>2375</v>
      </c>
      <c r="I22" s="31" t="s">
        <v>80</v>
      </c>
      <c r="J22" s="31" t="s">
        <v>2499</v>
      </c>
    </row>
    <row r="23" customFormat="false" ht="15" hidden="false" customHeight="false" outlineLevel="0" collapsed="false">
      <c r="A23" s="30" t="s">
        <v>918</v>
      </c>
      <c r="C23" s="30" t="s">
        <v>918</v>
      </c>
      <c r="D23" s="30" t="s">
        <v>2347</v>
      </c>
      <c r="F23" s="31" t="s">
        <v>3020</v>
      </c>
      <c r="G23" s="31" t="s">
        <v>2376</v>
      </c>
      <c r="I23" s="31" t="s">
        <v>83</v>
      </c>
      <c r="J23" s="31" t="s">
        <v>2500</v>
      </c>
    </row>
    <row r="24" customFormat="false" ht="15" hidden="false" customHeight="false" outlineLevel="0" collapsed="false">
      <c r="A24" s="30" t="s">
        <v>972</v>
      </c>
      <c r="C24" s="30" t="s">
        <v>972</v>
      </c>
      <c r="D24" s="30" t="s">
        <v>2348</v>
      </c>
      <c r="F24" s="31" t="s">
        <v>3021</v>
      </c>
      <c r="G24" s="31" t="s">
        <v>2377</v>
      </c>
      <c r="I24" s="31" t="s">
        <v>86</v>
      </c>
      <c r="J24" s="31" t="s">
        <v>2501</v>
      </c>
    </row>
    <row r="25" customFormat="false" ht="15" hidden="false" customHeight="false" outlineLevel="0" collapsed="false">
      <c r="A25" s="30" t="s">
        <v>1000</v>
      </c>
      <c r="C25" s="30" t="s">
        <v>1000</v>
      </c>
      <c r="D25" s="30" t="s">
        <v>2349</v>
      </c>
      <c r="F25" s="31" t="s">
        <v>3022</v>
      </c>
      <c r="G25" s="31" t="s">
        <v>2378</v>
      </c>
      <c r="I25" s="31" t="s">
        <v>89</v>
      </c>
      <c r="J25" s="31" t="s">
        <v>2502</v>
      </c>
    </row>
    <row r="26" customFormat="false" ht="15" hidden="false" customHeight="false" outlineLevel="0" collapsed="false">
      <c r="A26" s="30" t="s">
        <v>1041</v>
      </c>
      <c r="C26" s="30" t="s">
        <v>1041</v>
      </c>
      <c r="D26" s="30" t="s">
        <v>2350</v>
      </c>
      <c r="F26" s="31" t="s">
        <v>3023</v>
      </c>
      <c r="G26" s="31" t="s">
        <v>2379</v>
      </c>
      <c r="I26" s="31" t="s">
        <v>92</v>
      </c>
      <c r="J26" s="31" t="s">
        <v>2503</v>
      </c>
    </row>
    <row r="27" customFormat="false" ht="15" hidden="false" customHeight="false" outlineLevel="0" collapsed="false">
      <c r="A27" s="30" t="s">
        <v>1137</v>
      </c>
      <c r="C27" s="30" t="s">
        <v>1137</v>
      </c>
      <c r="D27" s="30" t="s">
        <v>2351</v>
      </c>
      <c r="F27" s="31" t="s">
        <v>3024</v>
      </c>
      <c r="G27" s="31" t="s">
        <v>2380</v>
      </c>
      <c r="I27" s="31" t="s">
        <v>95</v>
      </c>
      <c r="J27" s="31" t="s">
        <v>2504</v>
      </c>
    </row>
    <row r="28" customFormat="false" ht="15" hidden="false" customHeight="false" outlineLevel="0" collapsed="false">
      <c r="A28" s="30" t="s">
        <v>1204</v>
      </c>
      <c r="C28" s="30" t="s">
        <v>1204</v>
      </c>
      <c r="D28" s="30" t="s">
        <v>2352</v>
      </c>
      <c r="F28" s="31" t="s">
        <v>3025</v>
      </c>
      <c r="G28" s="31" t="s">
        <v>2381</v>
      </c>
      <c r="I28" s="31" t="s">
        <v>98</v>
      </c>
      <c r="J28" s="31" t="s">
        <v>2505</v>
      </c>
    </row>
    <row r="29" customFormat="false" ht="15" hidden="false" customHeight="false" outlineLevel="0" collapsed="false">
      <c r="A29" s="30" t="s">
        <v>1265</v>
      </c>
      <c r="C29" s="30" t="s">
        <v>1265</v>
      </c>
      <c r="D29" s="30" t="s">
        <v>2353</v>
      </c>
      <c r="F29" s="31" t="s">
        <v>3026</v>
      </c>
      <c r="G29" s="31" t="s">
        <v>2382</v>
      </c>
      <c r="I29" s="31" t="s">
        <v>101</v>
      </c>
      <c r="J29" s="31" t="s">
        <v>2506</v>
      </c>
    </row>
    <row r="30" customFormat="false" ht="15" hidden="false" customHeight="false" outlineLevel="0" collapsed="false">
      <c r="A30" s="30" t="s">
        <v>1316</v>
      </c>
      <c r="C30" s="30" t="s">
        <v>1316</v>
      </c>
      <c r="D30" s="30" t="s">
        <v>2354</v>
      </c>
      <c r="F30" s="31" t="s">
        <v>3027</v>
      </c>
      <c r="G30" s="31" t="s">
        <v>2383</v>
      </c>
      <c r="I30" s="31" t="s">
        <v>105</v>
      </c>
      <c r="J30" s="31" t="s">
        <v>2507</v>
      </c>
    </row>
    <row r="31" customFormat="false" ht="15" hidden="false" customHeight="false" outlineLevel="0" collapsed="false">
      <c r="A31" s="30" t="s">
        <v>1331</v>
      </c>
      <c r="C31" s="30" t="s">
        <v>1331</v>
      </c>
      <c r="D31" s="30" t="s">
        <v>2355</v>
      </c>
      <c r="F31" s="31" t="s">
        <v>3028</v>
      </c>
      <c r="G31" s="31" t="s">
        <v>2384</v>
      </c>
      <c r="I31" s="31" t="s">
        <v>108</v>
      </c>
      <c r="J31" s="31" t="s">
        <v>2508</v>
      </c>
    </row>
    <row r="32" customFormat="false" ht="15" hidden="false" customHeight="false" outlineLevel="0" collapsed="false">
      <c r="A32" s="30" t="s">
        <v>1359</v>
      </c>
      <c r="C32" s="30" t="s">
        <v>1359</v>
      </c>
      <c r="D32" s="30" t="s">
        <v>2356</v>
      </c>
      <c r="F32" s="31" t="s">
        <v>3029</v>
      </c>
      <c r="G32" s="31" t="s">
        <v>2385</v>
      </c>
      <c r="I32" s="31" t="s">
        <v>111</v>
      </c>
      <c r="J32" s="31" t="s">
        <v>2509</v>
      </c>
    </row>
    <row r="33" customFormat="false" ht="15" hidden="false" customHeight="false" outlineLevel="0" collapsed="false">
      <c r="A33" s="30" t="s">
        <v>1378</v>
      </c>
      <c r="C33" s="30" t="s">
        <v>1378</v>
      </c>
      <c r="D33" s="30" t="s">
        <v>2357</v>
      </c>
      <c r="F33" s="31" t="s">
        <v>3030</v>
      </c>
      <c r="G33" s="31" t="s">
        <v>2386</v>
      </c>
      <c r="I33" s="31" t="s">
        <v>114</v>
      </c>
      <c r="J33" s="31" t="s">
        <v>2510</v>
      </c>
    </row>
    <row r="34" customFormat="false" ht="15" hidden="false" customHeight="false" outlineLevel="0" collapsed="false">
      <c r="F34" s="31" t="s">
        <v>3031</v>
      </c>
      <c r="G34" s="31" t="s">
        <v>2387</v>
      </c>
      <c r="I34" s="31" t="s">
        <v>115</v>
      </c>
      <c r="J34" s="31" t="s">
        <v>2511</v>
      </c>
    </row>
    <row r="35" customFormat="false" ht="15" hidden="false" customHeight="false" outlineLevel="0" collapsed="false">
      <c r="F35" s="31" t="s">
        <v>3032</v>
      </c>
      <c r="G35" s="31" t="s">
        <v>2388</v>
      </c>
      <c r="I35" s="31" t="s">
        <v>120</v>
      </c>
      <c r="J35" s="31" t="s">
        <v>2512</v>
      </c>
    </row>
    <row r="36" customFormat="false" ht="15" hidden="false" customHeight="false" outlineLevel="0" collapsed="false">
      <c r="F36" s="31" t="s">
        <v>3033</v>
      </c>
      <c r="G36" s="31" t="s">
        <v>2389</v>
      </c>
      <c r="I36" s="31" t="s">
        <v>123</v>
      </c>
      <c r="J36" s="31" t="s">
        <v>2513</v>
      </c>
    </row>
    <row r="37" customFormat="false" ht="15" hidden="false" customHeight="false" outlineLevel="0" collapsed="false">
      <c r="F37" s="31" t="s">
        <v>3034</v>
      </c>
      <c r="G37" s="31" t="s">
        <v>2390</v>
      </c>
      <c r="I37" s="31" t="s">
        <v>126</v>
      </c>
      <c r="J37" s="31" t="s">
        <v>2514</v>
      </c>
    </row>
    <row r="38" customFormat="false" ht="15" hidden="false" customHeight="false" outlineLevel="0" collapsed="false">
      <c r="F38" s="31" t="s">
        <v>3035</v>
      </c>
      <c r="G38" s="31" t="s">
        <v>2391</v>
      </c>
      <c r="I38" s="31" t="s">
        <v>129</v>
      </c>
      <c r="J38" s="31" t="s">
        <v>2515</v>
      </c>
    </row>
    <row r="39" customFormat="false" ht="15" hidden="false" customHeight="false" outlineLevel="0" collapsed="false">
      <c r="F39" s="31" t="s">
        <v>3036</v>
      </c>
      <c r="G39" s="31" t="s">
        <v>2392</v>
      </c>
      <c r="I39" s="31" t="s">
        <v>130</v>
      </c>
      <c r="J39" s="31" t="s">
        <v>2516</v>
      </c>
    </row>
    <row r="40" customFormat="false" ht="15" hidden="false" customHeight="false" outlineLevel="0" collapsed="false">
      <c r="F40" s="31" t="s">
        <v>3037</v>
      </c>
      <c r="G40" s="31" t="s">
        <v>2393</v>
      </c>
      <c r="I40" s="31" t="s">
        <v>132</v>
      </c>
      <c r="J40" s="31" t="s">
        <v>2517</v>
      </c>
    </row>
    <row r="41" customFormat="false" ht="15" hidden="false" customHeight="false" outlineLevel="0" collapsed="false">
      <c r="F41" s="31" t="s">
        <v>3038</v>
      </c>
      <c r="G41" s="31" t="s">
        <v>2394</v>
      </c>
      <c r="I41" s="31" t="s">
        <v>133</v>
      </c>
      <c r="J41" s="31" t="s">
        <v>2518</v>
      </c>
    </row>
    <row r="42" customFormat="false" ht="15" hidden="false" customHeight="false" outlineLevel="0" collapsed="false">
      <c r="F42" s="31" t="s">
        <v>3039</v>
      </c>
      <c r="G42" s="31" t="s">
        <v>2395</v>
      </c>
      <c r="I42" s="31" t="s">
        <v>134</v>
      </c>
      <c r="J42" s="31" t="s">
        <v>2519</v>
      </c>
    </row>
    <row r="43" customFormat="false" ht="15" hidden="false" customHeight="false" outlineLevel="0" collapsed="false">
      <c r="F43" s="31" t="s">
        <v>3040</v>
      </c>
      <c r="G43" s="31" t="s">
        <v>2396</v>
      </c>
      <c r="I43" s="31" t="s">
        <v>137</v>
      </c>
      <c r="J43" s="31" t="s">
        <v>2520</v>
      </c>
    </row>
    <row r="44" customFormat="false" ht="15" hidden="false" customHeight="false" outlineLevel="0" collapsed="false">
      <c r="F44" s="31" t="s">
        <v>3041</v>
      </c>
      <c r="G44" s="31" t="s">
        <v>2397</v>
      </c>
      <c r="I44" s="31" t="s">
        <v>140</v>
      </c>
      <c r="J44" s="31" t="s">
        <v>2521</v>
      </c>
    </row>
    <row r="45" customFormat="false" ht="15" hidden="false" customHeight="false" outlineLevel="0" collapsed="false">
      <c r="F45" s="31" t="s">
        <v>3042</v>
      </c>
      <c r="G45" s="31" t="s">
        <v>2398</v>
      </c>
      <c r="I45" s="31" t="s">
        <v>143</v>
      </c>
      <c r="J45" s="31" t="s">
        <v>2522</v>
      </c>
    </row>
    <row r="46" customFormat="false" ht="15" hidden="false" customHeight="false" outlineLevel="0" collapsed="false">
      <c r="F46" s="31" t="s">
        <v>3043</v>
      </c>
      <c r="G46" s="31" t="s">
        <v>2399</v>
      </c>
      <c r="I46" s="31" t="s">
        <v>145</v>
      </c>
      <c r="J46" s="31" t="s">
        <v>2523</v>
      </c>
    </row>
    <row r="47" customFormat="false" ht="15" hidden="false" customHeight="false" outlineLevel="0" collapsed="false">
      <c r="F47" s="31" t="s">
        <v>3044</v>
      </c>
      <c r="G47" s="31" t="s">
        <v>2400</v>
      </c>
      <c r="I47" s="31" t="s">
        <v>146</v>
      </c>
      <c r="J47" s="31" t="s">
        <v>2524</v>
      </c>
    </row>
    <row r="48" customFormat="false" ht="15" hidden="false" customHeight="false" outlineLevel="0" collapsed="false">
      <c r="F48" s="31" t="s">
        <v>3045</v>
      </c>
      <c r="G48" s="31" t="s">
        <v>2401</v>
      </c>
      <c r="I48" s="31" t="s">
        <v>147</v>
      </c>
      <c r="J48" s="31" t="s">
        <v>2525</v>
      </c>
    </row>
    <row r="49" customFormat="false" ht="15" hidden="false" customHeight="false" outlineLevel="0" collapsed="false">
      <c r="F49" s="31" t="s">
        <v>3046</v>
      </c>
      <c r="G49" s="31" t="s">
        <v>2402</v>
      </c>
      <c r="I49" s="31" t="s">
        <v>148</v>
      </c>
      <c r="J49" s="31" t="s">
        <v>2526</v>
      </c>
    </row>
    <row r="50" customFormat="false" ht="15" hidden="false" customHeight="false" outlineLevel="0" collapsed="false">
      <c r="F50" s="31" t="s">
        <v>3047</v>
      </c>
      <c r="G50" s="31" t="s">
        <v>2403</v>
      </c>
      <c r="I50" s="31" t="s">
        <v>149</v>
      </c>
      <c r="J50" s="31" t="s">
        <v>2527</v>
      </c>
    </row>
    <row r="51" customFormat="false" ht="15" hidden="false" customHeight="false" outlineLevel="0" collapsed="false">
      <c r="F51" s="31" t="s">
        <v>3048</v>
      </c>
      <c r="G51" s="31" t="s">
        <v>2404</v>
      </c>
      <c r="I51" s="31" t="s">
        <v>151</v>
      </c>
      <c r="J51" s="31" t="s">
        <v>2528</v>
      </c>
    </row>
    <row r="52" customFormat="false" ht="15" hidden="false" customHeight="false" outlineLevel="0" collapsed="false">
      <c r="F52" s="31" t="s">
        <v>3049</v>
      </c>
      <c r="G52" s="31" t="s">
        <v>2405</v>
      </c>
      <c r="I52" s="31" t="s">
        <v>152</v>
      </c>
      <c r="J52" s="31" t="s">
        <v>2529</v>
      </c>
    </row>
    <row r="53" customFormat="false" ht="15" hidden="false" customHeight="false" outlineLevel="0" collapsed="false">
      <c r="F53" s="31" t="s">
        <v>3050</v>
      </c>
      <c r="G53" s="31" t="s">
        <v>2406</v>
      </c>
      <c r="I53" s="31" t="s">
        <v>153</v>
      </c>
      <c r="J53" s="31" t="s">
        <v>2530</v>
      </c>
    </row>
    <row r="54" customFormat="false" ht="15" hidden="false" customHeight="false" outlineLevel="0" collapsed="false">
      <c r="F54" s="31" t="s">
        <v>3051</v>
      </c>
      <c r="G54" s="31" t="s">
        <v>2407</v>
      </c>
      <c r="I54" s="31" t="s">
        <v>154</v>
      </c>
      <c r="J54" s="31" t="s">
        <v>2531</v>
      </c>
    </row>
    <row r="55" customFormat="false" ht="15" hidden="false" customHeight="false" outlineLevel="0" collapsed="false">
      <c r="F55" s="31" t="s">
        <v>3052</v>
      </c>
      <c r="G55" s="31" t="s">
        <v>2408</v>
      </c>
      <c r="I55" s="31" t="s">
        <v>155</v>
      </c>
      <c r="J55" s="31" t="s">
        <v>2532</v>
      </c>
    </row>
    <row r="56" customFormat="false" ht="15" hidden="false" customHeight="false" outlineLevel="0" collapsed="false">
      <c r="F56" s="31" t="s">
        <v>3053</v>
      </c>
      <c r="G56" s="31" t="s">
        <v>2409</v>
      </c>
      <c r="I56" s="31" t="s">
        <v>156</v>
      </c>
      <c r="J56" s="31" t="s">
        <v>2533</v>
      </c>
    </row>
    <row r="57" customFormat="false" ht="15" hidden="false" customHeight="false" outlineLevel="0" collapsed="false">
      <c r="F57" s="31" t="s">
        <v>3054</v>
      </c>
      <c r="G57" s="31" t="s">
        <v>2410</v>
      </c>
      <c r="I57" s="31" t="s">
        <v>158</v>
      </c>
      <c r="J57" s="31" t="s">
        <v>2534</v>
      </c>
    </row>
    <row r="58" customFormat="false" ht="15" hidden="false" customHeight="false" outlineLevel="0" collapsed="false">
      <c r="F58" s="31" t="s">
        <v>3055</v>
      </c>
      <c r="G58" s="31" t="s">
        <v>2411</v>
      </c>
      <c r="I58" s="31" t="s">
        <v>159</v>
      </c>
      <c r="J58" s="31" t="s">
        <v>2535</v>
      </c>
    </row>
    <row r="59" customFormat="false" ht="15" hidden="false" customHeight="false" outlineLevel="0" collapsed="false">
      <c r="F59" s="31" t="s">
        <v>3056</v>
      </c>
      <c r="G59" s="31" t="s">
        <v>2412</v>
      </c>
      <c r="I59" s="31" t="s">
        <v>160</v>
      </c>
      <c r="J59" s="31" t="s">
        <v>2536</v>
      </c>
    </row>
    <row r="60" customFormat="false" ht="15" hidden="false" customHeight="false" outlineLevel="0" collapsed="false">
      <c r="F60" s="31" t="s">
        <v>3057</v>
      </c>
      <c r="G60" s="31" t="s">
        <v>2413</v>
      </c>
      <c r="I60" s="31" t="s">
        <v>161</v>
      </c>
      <c r="J60" s="31" t="s">
        <v>2537</v>
      </c>
    </row>
    <row r="61" customFormat="false" ht="15" hidden="false" customHeight="false" outlineLevel="0" collapsed="false">
      <c r="F61" s="31" t="s">
        <v>3058</v>
      </c>
      <c r="G61" s="31" t="s">
        <v>2414</v>
      </c>
      <c r="I61" s="31" t="s">
        <v>162</v>
      </c>
      <c r="J61" s="31" t="s">
        <v>2538</v>
      </c>
    </row>
    <row r="62" customFormat="false" ht="15" hidden="false" customHeight="false" outlineLevel="0" collapsed="false">
      <c r="F62" s="31" t="s">
        <v>3059</v>
      </c>
      <c r="G62" s="31" t="s">
        <v>2415</v>
      </c>
      <c r="I62" s="31" t="s">
        <v>163</v>
      </c>
      <c r="J62" s="31" t="s">
        <v>2539</v>
      </c>
    </row>
    <row r="63" customFormat="false" ht="15" hidden="false" customHeight="false" outlineLevel="0" collapsed="false">
      <c r="F63" s="31" t="s">
        <v>3060</v>
      </c>
      <c r="G63" s="31" t="s">
        <v>2416</v>
      </c>
      <c r="I63" s="31" t="s">
        <v>164</v>
      </c>
      <c r="J63" s="31" t="s">
        <v>2540</v>
      </c>
    </row>
    <row r="64" customFormat="false" ht="15" hidden="false" customHeight="false" outlineLevel="0" collapsed="false">
      <c r="F64" s="31" t="s">
        <v>3061</v>
      </c>
      <c r="G64" s="31" t="s">
        <v>2417</v>
      </c>
      <c r="I64" s="31" t="s">
        <v>166</v>
      </c>
      <c r="J64" s="31" t="s">
        <v>2541</v>
      </c>
    </row>
    <row r="65" customFormat="false" ht="15" hidden="false" customHeight="false" outlineLevel="0" collapsed="false">
      <c r="F65" s="31" t="s">
        <v>3062</v>
      </c>
      <c r="G65" s="31" t="s">
        <v>2418</v>
      </c>
      <c r="I65" s="31" t="s">
        <v>167</v>
      </c>
      <c r="J65" s="31" t="s">
        <v>2542</v>
      </c>
    </row>
    <row r="66" customFormat="false" ht="15" hidden="false" customHeight="false" outlineLevel="0" collapsed="false">
      <c r="F66" s="31" t="s">
        <v>3063</v>
      </c>
      <c r="G66" s="31" t="s">
        <v>2419</v>
      </c>
      <c r="I66" s="31" t="s">
        <v>168</v>
      </c>
      <c r="J66" s="31" t="s">
        <v>2543</v>
      </c>
    </row>
    <row r="67" customFormat="false" ht="15" hidden="false" customHeight="false" outlineLevel="0" collapsed="false">
      <c r="F67" s="31" t="s">
        <v>3064</v>
      </c>
      <c r="G67" s="31" t="s">
        <v>2420</v>
      </c>
      <c r="I67" s="31" t="s">
        <v>171</v>
      </c>
      <c r="J67" s="31" t="s">
        <v>2544</v>
      </c>
    </row>
    <row r="68" customFormat="false" ht="15" hidden="false" customHeight="false" outlineLevel="0" collapsed="false">
      <c r="F68" s="31" t="s">
        <v>3065</v>
      </c>
      <c r="G68" s="31" t="s">
        <v>2421</v>
      </c>
      <c r="I68" s="31" t="s">
        <v>172</v>
      </c>
      <c r="J68" s="31" t="s">
        <v>2545</v>
      </c>
    </row>
    <row r="69" customFormat="false" ht="15" hidden="false" customHeight="false" outlineLevel="0" collapsed="false">
      <c r="F69" s="31" t="s">
        <v>3066</v>
      </c>
      <c r="G69" s="31" t="s">
        <v>2422</v>
      </c>
      <c r="I69" s="31" t="s">
        <v>173</v>
      </c>
      <c r="J69" s="31" t="s">
        <v>2546</v>
      </c>
    </row>
    <row r="70" customFormat="false" ht="15" hidden="false" customHeight="false" outlineLevel="0" collapsed="false">
      <c r="F70" s="31" t="s">
        <v>3067</v>
      </c>
      <c r="G70" s="31" t="s">
        <v>2423</v>
      </c>
      <c r="I70" s="31" t="s">
        <v>174</v>
      </c>
      <c r="J70" s="31" t="s">
        <v>2547</v>
      </c>
    </row>
    <row r="71" customFormat="false" ht="15" hidden="false" customHeight="false" outlineLevel="0" collapsed="false">
      <c r="F71" s="31" t="s">
        <v>3068</v>
      </c>
      <c r="G71" s="31" t="s">
        <v>2424</v>
      </c>
      <c r="I71" s="31" t="s">
        <v>175</v>
      </c>
      <c r="J71" s="31" t="s">
        <v>2548</v>
      </c>
    </row>
    <row r="72" customFormat="false" ht="15" hidden="false" customHeight="false" outlineLevel="0" collapsed="false">
      <c r="F72" s="31" t="s">
        <v>3069</v>
      </c>
      <c r="G72" s="31" t="s">
        <v>2425</v>
      </c>
      <c r="I72" s="31" t="s">
        <v>176</v>
      </c>
      <c r="J72" s="31" t="s">
        <v>2549</v>
      </c>
    </row>
    <row r="73" customFormat="false" ht="15" hidden="false" customHeight="false" outlineLevel="0" collapsed="false">
      <c r="F73" s="31" t="s">
        <v>3070</v>
      </c>
      <c r="G73" s="31" t="s">
        <v>2426</v>
      </c>
      <c r="I73" s="31" t="s">
        <v>177</v>
      </c>
      <c r="J73" s="31" t="s">
        <v>2550</v>
      </c>
    </row>
    <row r="74" customFormat="false" ht="15" hidden="false" customHeight="false" outlineLevel="0" collapsed="false">
      <c r="F74" s="31" t="s">
        <v>3071</v>
      </c>
      <c r="G74" s="31" t="s">
        <v>2427</v>
      </c>
      <c r="I74" s="31" t="s">
        <v>179</v>
      </c>
      <c r="J74" s="31" t="s">
        <v>2551</v>
      </c>
    </row>
    <row r="75" customFormat="false" ht="15" hidden="false" customHeight="false" outlineLevel="0" collapsed="false">
      <c r="F75" s="31" t="s">
        <v>3072</v>
      </c>
      <c r="G75" s="31" t="s">
        <v>2428</v>
      </c>
      <c r="I75" s="31" t="s">
        <v>180</v>
      </c>
      <c r="J75" s="31" t="s">
        <v>2552</v>
      </c>
    </row>
    <row r="76" customFormat="false" ht="15" hidden="false" customHeight="false" outlineLevel="0" collapsed="false">
      <c r="F76" s="31" t="s">
        <v>3073</v>
      </c>
      <c r="G76" s="31" t="s">
        <v>2429</v>
      </c>
      <c r="I76" s="31" t="s">
        <v>181</v>
      </c>
      <c r="J76" s="31" t="s">
        <v>2553</v>
      </c>
    </row>
    <row r="77" customFormat="false" ht="15" hidden="false" customHeight="false" outlineLevel="0" collapsed="false">
      <c r="F77" s="31" t="s">
        <v>3074</v>
      </c>
      <c r="G77" s="31" t="s">
        <v>2430</v>
      </c>
      <c r="I77" s="31" t="s">
        <v>182</v>
      </c>
      <c r="J77" s="31" t="s">
        <v>2554</v>
      </c>
    </row>
    <row r="78" customFormat="false" ht="15" hidden="false" customHeight="false" outlineLevel="0" collapsed="false">
      <c r="F78" s="31" t="s">
        <v>3075</v>
      </c>
      <c r="G78" s="31" t="s">
        <v>2431</v>
      </c>
      <c r="I78" s="31" t="s">
        <v>183</v>
      </c>
      <c r="J78" s="31" t="s">
        <v>2555</v>
      </c>
    </row>
    <row r="79" customFormat="false" ht="15" hidden="false" customHeight="false" outlineLevel="0" collapsed="false">
      <c r="F79" s="31" t="s">
        <v>3076</v>
      </c>
      <c r="G79" s="31" t="s">
        <v>2432</v>
      </c>
      <c r="I79" s="31" t="s">
        <v>184</v>
      </c>
      <c r="J79" s="31" t="s">
        <v>2556</v>
      </c>
    </row>
    <row r="80" customFormat="false" ht="15" hidden="false" customHeight="false" outlineLevel="0" collapsed="false">
      <c r="F80" s="31" t="s">
        <v>3077</v>
      </c>
      <c r="G80" s="31" t="s">
        <v>2433</v>
      </c>
      <c r="I80" s="31" t="s">
        <v>185</v>
      </c>
      <c r="J80" s="31" t="s">
        <v>2557</v>
      </c>
    </row>
    <row r="81" customFormat="false" ht="15" hidden="false" customHeight="false" outlineLevel="0" collapsed="false">
      <c r="F81" s="31" t="s">
        <v>3078</v>
      </c>
      <c r="G81" s="31" t="s">
        <v>2434</v>
      </c>
      <c r="I81" s="31" t="s">
        <v>186</v>
      </c>
      <c r="J81" s="31" t="s">
        <v>2558</v>
      </c>
    </row>
    <row r="82" customFormat="false" ht="15" hidden="false" customHeight="false" outlineLevel="0" collapsed="false">
      <c r="F82" s="31" t="s">
        <v>3079</v>
      </c>
      <c r="G82" s="31" t="s">
        <v>2435</v>
      </c>
      <c r="I82" s="31" t="s">
        <v>187</v>
      </c>
      <c r="J82" s="31" t="s">
        <v>2559</v>
      </c>
    </row>
    <row r="83" customFormat="false" ht="15" hidden="false" customHeight="false" outlineLevel="0" collapsed="false">
      <c r="F83" s="31" t="s">
        <v>3080</v>
      </c>
      <c r="G83" s="31" t="s">
        <v>2436</v>
      </c>
      <c r="I83" s="31" t="s">
        <v>188</v>
      </c>
      <c r="J83" s="31" t="s">
        <v>2560</v>
      </c>
    </row>
    <row r="84" customFormat="false" ht="15" hidden="false" customHeight="false" outlineLevel="0" collapsed="false">
      <c r="F84" s="31" t="s">
        <v>3081</v>
      </c>
      <c r="G84" s="31" t="s">
        <v>2437</v>
      </c>
      <c r="I84" s="31" t="s">
        <v>189</v>
      </c>
      <c r="J84" s="31" t="s">
        <v>2561</v>
      </c>
    </row>
    <row r="85" customFormat="false" ht="15" hidden="false" customHeight="false" outlineLevel="0" collapsed="false">
      <c r="F85" s="31" t="s">
        <v>3082</v>
      </c>
      <c r="G85" s="31" t="s">
        <v>2438</v>
      </c>
      <c r="I85" s="31" t="s">
        <v>191</v>
      </c>
      <c r="J85" s="31" t="s">
        <v>2562</v>
      </c>
    </row>
    <row r="86" customFormat="false" ht="15" hidden="false" customHeight="false" outlineLevel="0" collapsed="false">
      <c r="F86" s="31" t="s">
        <v>3083</v>
      </c>
      <c r="G86" s="31" t="s">
        <v>2439</v>
      </c>
      <c r="I86" s="31" t="s">
        <v>192</v>
      </c>
      <c r="J86" s="31" t="s">
        <v>2563</v>
      </c>
    </row>
    <row r="87" customFormat="false" ht="15" hidden="false" customHeight="false" outlineLevel="0" collapsed="false">
      <c r="F87" s="31" t="s">
        <v>3084</v>
      </c>
      <c r="G87" s="31" t="s">
        <v>2440</v>
      </c>
      <c r="I87" s="31" t="s">
        <v>193</v>
      </c>
      <c r="J87" s="31" t="s">
        <v>2564</v>
      </c>
    </row>
    <row r="88" customFormat="false" ht="15" hidden="false" customHeight="false" outlineLevel="0" collapsed="false">
      <c r="F88" s="31" t="s">
        <v>3085</v>
      </c>
      <c r="G88" s="31" t="s">
        <v>2441</v>
      </c>
      <c r="I88" s="31" t="s">
        <v>194</v>
      </c>
      <c r="J88" s="31" t="s">
        <v>2565</v>
      </c>
    </row>
    <row r="89" customFormat="false" ht="15" hidden="false" customHeight="false" outlineLevel="0" collapsed="false">
      <c r="F89" s="31" t="s">
        <v>3086</v>
      </c>
      <c r="G89" s="31" t="s">
        <v>2442</v>
      </c>
      <c r="I89" s="31" t="s">
        <v>195</v>
      </c>
      <c r="J89" s="31" t="s">
        <v>2566</v>
      </c>
    </row>
    <row r="90" customFormat="false" ht="15" hidden="false" customHeight="false" outlineLevel="0" collapsed="false">
      <c r="F90" s="31" t="s">
        <v>3087</v>
      </c>
      <c r="G90" s="31" t="s">
        <v>2443</v>
      </c>
      <c r="I90" s="31" t="s">
        <v>196</v>
      </c>
      <c r="J90" s="31" t="s">
        <v>2567</v>
      </c>
    </row>
    <row r="91" customFormat="false" ht="15" hidden="false" customHeight="false" outlineLevel="0" collapsed="false">
      <c r="F91" s="31" t="s">
        <v>3088</v>
      </c>
      <c r="G91" s="31" t="s">
        <v>2444</v>
      </c>
      <c r="I91" s="31" t="s">
        <v>197</v>
      </c>
      <c r="J91" s="31" t="s">
        <v>2568</v>
      </c>
    </row>
    <row r="92" customFormat="false" ht="15" hidden="false" customHeight="false" outlineLevel="0" collapsed="false">
      <c r="F92" s="31" t="s">
        <v>3089</v>
      </c>
      <c r="G92" s="31" t="s">
        <v>2445</v>
      </c>
      <c r="I92" s="31" t="s">
        <v>198</v>
      </c>
      <c r="J92" s="31" t="s">
        <v>2569</v>
      </c>
    </row>
    <row r="93" customFormat="false" ht="15" hidden="false" customHeight="false" outlineLevel="0" collapsed="false">
      <c r="F93" s="31" t="s">
        <v>3090</v>
      </c>
      <c r="G93" s="31" t="s">
        <v>2446</v>
      </c>
      <c r="I93" s="31" t="s">
        <v>199</v>
      </c>
      <c r="J93" s="31" t="s">
        <v>2570</v>
      </c>
    </row>
    <row r="94" customFormat="false" ht="15" hidden="false" customHeight="false" outlineLevel="0" collapsed="false">
      <c r="F94" s="31" t="s">
        <v>3091</v>
      </c>
      <c r="G94" s="31" t="s">
        <v>2447</v>
      </c>
      <c r="I94" s="31" t="s">
        <v>200</v>
      </c>
      <c r="J94" s="31" t="s">
        <v>2571</v>
      </c>
    </row>
    <row r="95" customFormat="false" ht="15" hidden="false" customHeight="false" outlineLevel="0" collapsed="false">
      <c r="F95" s="31" t="s">
        <v>3092</v>
      </c>
      <c r="G95" s="31" t="s">
        <v>2448</v>
      </c>
      <c r="I95" s="31" t="s">
        <v>201</v>
      </c>
      <c r="J95" s="31" t="s">
        <v>2572</v>
      </c>
    </row>
    <row r="96" customFormat="false" ht="15" hidden="false" customHeight="false" outlineLevel="0" collapsed="false">
      <c r="F96" s="31" t="s">
        <v>3093</v>
      </c>
      <c r="G96" s="31" t="s">
        <v>2449</v>
      </c>
      <c r="I96" s="31" t="s">
        <v>203</v>
      </c>
      <c r="J96" s="31" t="s">
        <v>2573</v>
      </c>
    </row>
    <row r="97" customFormat="false" ht="15" hidden="false" customHeight="false" outlineLevel="0" collapsed="false">
      <c r="F97" s="31" t="s">
        <v>3094</v>
      </c>
      <c r="G97" s="31" t="s">
        <v>2450</v>
      </c>
      <c r="I97" s="31" t="s">
        <v>204</v>
      </c>
      <c r="J97" s="31" t="s">
        <v>2574</v>
      </c>
    </row>
    <row r="98" customFormat="false" ht="15" hidden="false" customHeight="false" outlineLevel="0" collapsed="false">
      <c r="F98" s="31" t="s">
        <v>3095</v>
      </c>
      <c r="G98" s="31" t="s">
        <v>2451</v>
      </c>
      <c r="I98" s="31" t="s">
        <v>205</v>
      </c>
      <c r="J98" s="31" t="s">
        <v>2575</v>
      </c>
    </row>
    <row r="99" customFormat="false" ht="15" hidden="false" customHeight="false" outlineLevel="0" collapsed="false">
      <c r="F99" s="31" t="s">
        <v>3096</v>
      </c>
      <c r="G99" s="31" t="s">
        <v>2452</v>
      </c>
      <c r="I99" s="31" t="s">
        <v>206</v>
      </c>
      <c r="J99" s="31" t="s">
        <v>2576</v>
      </c>
    </row>
    <row r="100" customFormat="false" ht="15" hidden="false" customHeight="false" outlineLevel="0" collapsed="false">
      <c r="F100" s="31" t="s">
        <v>3097</v>
      </c>
      <c r="G100" s="31" t="s">
        <v>2453</v>
      </c>
      <c r="I100" s="31" t="s">
        <v>207</v>
      </c>
      <c r="J100" s="31" t="s">
        <v>2577</v>
      </c>
    </row>
    <row r="101" customFormat="false" ht="15" hidden="false" customHeight="false" outlineLevel="0" collapsed="false">
      <c r="F101" s="31" t="s">
        <v>3098</v>
      </c>
      <c r="G101" s="31" t="s">
        <v>2454</v>
      </c>
      <c r="I101" s="31" t="s">
        <v>208</v>
      </c>
      <c r="J101" s="31" t="s">
        <v>2578</v>
      </c>
    </row>
    <row r="102" customFormat="false" ht="15" hidden="false" customHeight="false" outlineLevel="0" collapsed="false">
      <c r="F102" s="31" t="s">
        <v>3099</v>
      </c>
      <c r="G102" s="31" t="s">
        <v>2455</v>
      </c>
      <c r="I102" s="31" t="s">
        <v>209</v>
      </c>
      <c r="J102" s="31" t="s">
        <v>2579</v>
      </c>
    </row>
    <row r="103" customFormat="false" ht="15" hidden="false" customHeight="false" outlineLevel="0" collapsed="false">
      <c r="F103" s="31" t="s">
        <v>3100</v>
      </c>
      <c r="G103" s="31" t="s">
        <v>2456</v>
      </c>
      <c r="I103" s="31" t="s">
        <v>210</v>
      </c>
      <c r="J103" s="31" t="s">
        <v>2580</v>
      </c>
    </row>
    <row r="104" customFormat="false" ht="15" hidden="false" customHeight="false" outlineLevel="0" collapsed="false">
      <c r="F104" s="31" t="s">
        <v>3101</v>
      </c>
      <c r="G104" s="31" t="s">
        <v>2457</v>
      </c>
      <c r="I104" s="31" t="s">
        <v>212</v>
      </c>
      <c r="J104" s="31" t="s">
        <v>2581</v>
      </c>
    </row>
    <row r="105" customFormat="false" ht="15" hidden="false" customHeight="false" outlineLevel="0" collapsed="false">
      <c r="F105" s="31" t="s">
        <v>3102</v>
      </c>
      <c r="G105" s="31" t="s">
        <v>2458</v>
      </c>
      <c r="I105" s="31" t="s">
        <v>213</v>
      </c>
      <c r="J105" s="31" t="s">
        <v>2582</v>
      </c>
    </row>
    <row r="106" customFormat="false" ht="15" hidden="false" customHeight="false" outlineLevel="0" collapsed="false">
      <c r="F106" s="31" t="s">
        <v>3103</v>
      </c>
      <c r="G106" s="31" t="s">
        <v>2459</v>
      </c>
      <c r="I106" s="31" t="s">
        <v>214</v>
      </c>
      <c r="J106" s="31" t="s">
        <v>2583</v>
      </c>
    </row>
    <row r="107" customFormat="false" ht="15" hidden="false" customHeight="false" outlineLevel="0" collapsed="false">
      <c r="F107" s="31" t="s">
        <v>3104</v>
      </c>
      <c r="G107" s="31" t="s">
        <v>2460</v>
      </c>
      <c r="I107" s="31" t="s">
        <v>215</v>
      </c>
      <c r="J107" s="31" t="s">
        <v>2584</v>
      </c>
    </row>
    <row r="108" customFormat="false" ht="15" hidden="false" customHeight="false" outlineLevel="0" collapsed="false">
      <c r="F108" s="31" t="s">
        <v>3105</v>
      </c>
      <c r="G108" s="31" t="s">
        <v>2461</v>
      </c>
      <c r="I108" s="31" t="s">
        <v>216</v>
      </c>
      <c r="J108" s="31" t="s">
        <v>2585</v>
      </c>
    </row>
    <row r="109" customFormat="false" ht="15" hidden="false" customHeight="false" outlineLevel="0" collapsed="false">
      <c r="F109" s="31" t="s">
        <v>3106</v>
      </c>
      <c r="G109" s="31" t="s">
        <v>2462</v>
      </c>
      <c r="I109" s="31" t="s">
        <v>217</v>
      </c>
      <c r="J109" s="31" t="s">
        <v>2586</v>
      </c>
    </row>
    <row r="110" customFormat="false" ht="15" hidden="false" customHeight="false" outlineLevel="0" collapsed="false">
      <c r="F110" s="31" t="s">
        <v>3107</v>
      </c>
      <c r="G110" s="31" t="s">
        <v>2463</v>
      </c>
      <c r="I110" s="31" t="s">
        <v>218</v>
      </c>
      <c r="J110" s="31" t="s">
        <v>2587</v>
      </c>
    </row>
    <row r="111" customFormat="false" ht="15" hidden="false" customHeight="false" outlineLevel="0" collapsed="false">
      <c r="F111" s="31" t="s">
        <v>3108</v>
      </c>
      <c r="G111" s="31" t="s">
        <v>2464</v>
      </c>
      <c r="I111" s="31" t="s">
        <v>221</v>
      </c>
      <c r="J111" s="31" t="s">
        <v>2588</v>
      </c>
    </row>
    <row r="112" customFormat="false" ht="15" hidden="false" customHeight="false" outlineLevel="0" collapsed="false">
      <c r="F112" s="31" t="s">
        <v>3109</v>
      </c>
      <c r="G112" s="31" t="s">
        <v>2465</v>
      </c>
      <c r="I112" s="31" t="s">
        <v>224</v>
      </c>
      <c r="J112" s="31" t="s">
        <v>2589</v>
      </c>
    </row>
    <row r="113" customFormat="false" ht="15" hidden="false" customHeight="false" outlineLevel="0" collapsed="false">
      <c r="F113" s="31" t="s">
        <v>3110</v>
      </c>
      <c r="G113" s="31" t="s">
        <v>2466</v>
      </c>
      <c r="I113" s="31" t="s">
        <v>228</v>
      </c>
      <c r="J113" s="31" t="s">
        <v>2590</v>
      </c>
    </row>
    <row r="114" customFormat="false" ht="15" hidden="false" customHeight="false" outlineLevel="0" collapsed="false">
      <c r="F114" s="31" t="s">
        <v>3111</v>
      </c>
      <c r="G114" s="31" t="s">
        <v>2467</v>
      </c>
      <c r="I114" s="31" t="s">
        <v>229</v>
      </c>
      <c r="J114" s="31" t="s">
        <v>2591</v>
      </c>
    </row>
    <row r="115" customFormat="false" ht="15" hidden="false" customHeight="false" outlineLevel="0" collapsed="false">
      <c r="F115" s="31" t="s">
        <v>3112</v>
      </c>
      <c r="G115" s="31" t="s">
        <v>2468</v>
      </c>
      <c r="I115" s="31" t="s">
        <v>230</v>
      </c>
      <c r="J115" s="31" t="s">
        <v>2592</v>
      </c>
    </row>
    <row r="116" customFormat="false" ht="15" hidden="false" customHeight="false" outlineLevel="0" collapsed="false">
      <c r="F116" s="31" t="s">
        <v>3113</v>
      </c>
      <c r="G116" s="31" t="s">
        <v>2469</v>
      </c>
      <c r="I116" s="31" t="s">
        <v>231</v>
      </c>
      <c r="J116" s="31" t="s">
        <v>2593</v>
      </c>
    </row>
    <row r="117" customFormat="false" ht="15" hidden="false" customHeight="false" outlineLevel="0" collapsed="false">
      <c r="F117" s="31" t="s">
        <v>3114</v>
      </c>
      <c r="G117" s="31" t="s">
        <v>2470</v>
      </c>
      <c r="I117" s="31" t="s">
        <v>234</v>
      </c>
      <c r="J117" s="31" t="s">
        <v>2594</v>
      </c>
    </row>
    <row r="118" customFormat="false" ht="15" hidden="false" customHeight="false" outlineLevel="0" collapsed="false">
      <c r="F118" s="31" t="s">
        <v>3115</v>
      </c>
      <c r="G118" s="31" t="s">
        <v>2471</v>
      </c>
      <c r="I118" s="31" t="s">
        <v>237</v>
      </c>
      <c r="J118" s="31" t="s">
        <v>2595</v>
      </c>
    </row>
    <row r="119" customFormat="false" ht="15" hidden="false" customHeight="false" outlineLevel="0" collapsed="false">
      <c r="F119" s="31" t="s">
        <v>3116</v>
      </c>
      <c r="G119" s="31" t="s">
        <v>2472</v>
      </c>
      <c r="I119" s="31" t="s">
        <v>239</v>
      </c>
      <c r="J119" s="31" t="s">
        <v>2596</v>
      </c>
    </row>
    <row r="120" customFormat="false" ht="15" hidden="false" customHeight="false" outlineLevel="0" collapsed="false">
      <c r="F120" s="31" t="s">
        <v>3117</v>
      </c>
      <c r="G120" s="31" t="s">
        <v>2473</v>
      </c>
      <c r="I120" s="31" t="s">
        <v>240</v>
      </c>
      <c r="J120" s="31" t="s">
        <v>2597</v>
      </c>
    </row>
    <row r="121" customFormat="false" ht="15" hidden="false" customHeight="false" outlineLevel="0" collapsed="false">
      <c r="F121" s="31" t="s">
        <v>3118</v>
      </c>
      <c r="G121" s="31" t="s">
        <v>2474</v>
      </c>
      <c r="I121" s="31" t="s">
        <v>241</v>
      </c>
      <c r="J121" s="31" t="s">
        <v>2598</v>
      </c>
    </row>
    <row r="122" customFormat="false" ht="15" hidden="false" customHeight="false" outlineLevel="0" collapsed="false">
      <c r="F122" s="31" t="s">
        <v>3119</v>
      </c>
      <c r="G122" s="31" t="s">
        <v>2475</v>
      </c>
      <c r="I122" s="31" t="s">
        <v>242</v>
      </c>
      <c r="J122" s="31" t="s">
        <v>2599</v>
      </c>
    </row>
    <row r="123" customFormat="false" ht="15" hidden="false" customHeight="false" outlineLevel="0" collapsed="false">
      <c r="F123" s="31" t="s">
        <v>3120</v>
      </c>
      <c r="G123" s="31" t="s">
        <v>2476</v>
      </c>
      <c r="I123" s="31" t="s">
        <v>244</v>
      </c>
      <c r="J123" s="31" t="s">
        <v>2600</v>
      </c>
    </row>
    <row r="124" customFormat="false" ht="15" hidden="false" customHeight="false" outlineLevel="0" collapsed="false">
      <c r="F124" s="31" t="s">
        <v>3121</v>
      </c>
      <c r="G124" s="31" t="s">
        <v>2477</v>
      </c>
      <c r="I124" s="31" t="s">
        <v>245</v>
      </c>
      <c r="J124" s="31" t="s">
        <v>2601</v>
      </c>
    </row>
    <row r="125" customFormat="false" ht="15" hidden="false" customHeight="false" outlineLevel="0" collapsed="false">
      <c r="F125" s="31" t="s">
        <v>3122</v>
      </c>
      <c r="G125" s="31" t="s">
        <v>2478</v>
      </c>
      <c r="I125" s="31" t="s">
        <v>246</v>
      </c>
      <c r="J125" s="31" t="s">
        <v>2602</v>
      </c>
    </row>
    <row r="126" customFormat="false" ht="15" hidden="false" customHeight="false" outlineLevel="0" collapsed="false">
      <c r="F126" s="31" t="s">
        <v>3123</v>
      </c>
      <c r="G126" s="31" t="s">
        <v>2479</v>
      </c>
      <c r="I126" s="31" t="s">
        <v>247</v>
      </c>
      <c r="J126" s="31" t="s">
        <v>2603</v>
      </c>
    </row>
    <row r="127" customFormat="false" ht="15" hidden="false" customHeight="false" outlineLevel="0" collapsed="false">
      <c r="F127" s="31" t="s">
        <v>3124</v>
      </c>
      <c r="G127" s="31" t="s">
        <v>2480</v>
      </c>
      <c r="I127" s="31" t="s">
        <v>250</v>
      </c>
      <c r="J127" s="31" t="s">
        <v>2604</v>
      </c>
    </row>
    <row r="128" customFormat="false" ht="15" hidden="false" customHeight="false" outlineLevel="0" collapsed="false">
      <c r="F128" s="31" t="s">
        <v>3125</v>
      </c>
      <c r="G128" s="31" t="s">
        <v>2481</v>
      </c>
      <c r="I128" s="31" t="s">
        <v>253</v>
      </c>
      <c r="J128" s="31" t="s">
        <v>2605</v>
      </c>
    </row>
    <row r="129" customFormat="false" ht="15" hidden="false" customHeight="false" outlineLevel="0" collapsed="false">
      <c r="I129" s="31" t="s">
        <v>255</v>
      </c>
      <c r="J129" s="31" t="s">
        <v>2606</v>
      </c>
    </row>
    <row r="130" customFormat="false" ht="15" hidden="false" customHeight="false" outlineLevel="0" collapsed="false">
      <c r="I130" s="31" t="s">
        <v>256</v>
      </c>
      <c r="J130" s="31" t="s">
        <v>2607</v>
      </c>
    </row>
    <row r="131" customFormat="false" ht="15" hidden="false" customHeight="false" outlineLevel="0" collapsed="false">
      <c r="I131" s="31" t="s">
        <v>257</v>
      </c>
      <c r="J131" s="31" t="s">
        <v>2608</v>
      </c>
    </row>
    <row r="132" customFormat="false" ht="15" hidden="false" customHeight="false" outlineLevel="0" collapsed="false">
      <c r="I132" s="31" t="s">
        <v>258</v>
      </c>
      <c r="J132" s="31" t="s">
        <v>2609</v>
      </c>
    </row>
    <row r="133" customFormat="false" ht="15" hidden="false" customHeight="false" outlineLevel="0" collapsed="false">
      <c r="I133" s="31" t="s">
        <v>259</v>
      </c>
      <c r="J133" s="31" t="s">
        <v>2610</v>
      </c>
    </row>
    <row r="134" customFormat="false" ht="15" hidden="false" customHeight="false" outlineLevel="0" collapsed="false">
      <c r="I134" s="31" t="s">
        <v>261</v>
      </c>
      <c r="J134" s="31" t="s">
        <v>2611</v>
      </c>
    </row>
    <row r="135" customFormat="false" ht="15" hidden="false" customHeight="false" outlineLevel="0" collapsed="false">
      <c r="I135" s="31" t="s">
        <v>262</v>
      </c>
      <c r="J135" s="31" t="s">
        <v>2612</v>
      </c>
    </row>
    <row r="136" customFormat="false" ht="15" hidden="false" customHeight="false" outlineLevel="0" collapsed="false">
      <c r="I136" s="31" t="s">
        <v>263</v>
      </c>
      <c r="J136" s="31" t="s">
        <v>2613</v>
      </c>
    </row>
    <row r="137" customFormat="false" ht="15" hidden="false" customHeight="false" outlineLevel="0" collapsed="false">
      <c r="I137" s="31" t="s">
        <v>264</v>
      </c>
      <c r="J137" s="31" t="s">
        <v>2614</v>
      </c>
    </row>
    <row r="138" customFormat="false" ht="15" hidden="false" customHeight="false" outlineLevel="0" collapsed="false">
      <c r="I138" s="31" t="s">
        <v>266</v>
      </c>
      <c r="J138" s="31" t="s">
        <v>2615</v>
      </c>
    </row>
    <row r="139" customFormat="false" ht="15" hidden="false" customHeight="false" outlineLevel="0" collapsed="false">
      <c r="I139" s="31" t="s">
        <v>267</v>
      </c>
      <c r="J139" s="31" t="s">
        <v>2616</v>
      </c>
    </row>
    <row r="140" customFormat="false" ht="15" hidden="false" customHeight="false" outlineLevel="0" collapsed="false">
      <c r="I140" s="31" t="s">
        <v>268</v>
      </c>
      <c r="J140" s="31" t="s">
        <v>2617</v>
      </c>
    </row>
    <row r="141" customFormat="false" ht="15" hidden="false" customHeight="false" outlineLevel="0" collapsed="false">
      <c r="I141" s="31" t="s">
        <v>269</v>
      </c>
      <c r="J141" s="31" t="s">
        <v>2618</v>
      </c>
    </row>
    <row r="142" customFormat="false" ht="15" hidden="false" customHeight="false" outlineLevel="0" collapsed="false">
      <c r="I142" s="31" t="s">
        <v>271</v>
      </c>
      <c r="J142" s="31" t="s">
        <v>2619</v>
      </c>
    </row>
    <row r="143" customFormat="false" ht="15" hidden="false" customHeight="false" outlineLevel="0" collapsed="false">
      <c r="I143" s="31" t="s">
        <v>272</v>
      </c>
      <c r="J143" s="31" t="s">
        <v>2620</v>
      </c>
    </row>
    <row r="144" customFormat="false" ht="15" hidden="false" customHeight="false" outlineLevel="0" collapsed="false">
      <c r="I144" s="31" t="s">
        <v>273</v>
      </c>
      <c r="J144" s="31" t="s">
        <v>2621</v>
      </c>
    </row>
    <row r="145" customFormat="false" ht="15" hidden="false" customHeight="false" outlineLevel="0" collapsed="false">
      <c r="I145" s="31" t="s">
        <v>274</v>
      </c>
      <c r="J145" s="31" t="s">
        <v>2622</v>
      </c>
    </row>
    <row r="146" customFormat="false" ht="15" hidden="false" customHeight="false" outlineLevel="0" collapsed="false">
      <c r="I146" s="31" t="s">
        <v>275</v>
      </c>
      <c r="J146" s="31" t="s">
        <v>2623</v>
      </c>
    </row>
    <row r="147" customFormat="false" ht="15" hidden="false" customHeight="false" outlineLevel="0" collapsed="false">
      <c r="I147" s="31" t="s">
        <v>277</v>
      </c>
      <c r="J147" s="31" t="s">
        <v>2624</v>
      </c>
    </row>
    <row r="148" customFormat="false" ht="15" hidden="false" customHeight="false" outlineLevel="0" collapsed="false">
      <c r="I148" s="31" t="s">
        <v>278</v>
      </c>
      <c r="J148" s="31" t="s">
        <v>2625</v>
      </c>
    </row>
    <row r="149" customFormat="false" ht="15" hidden="false" customHeight="false" outlineLevel="0" collapsed="false">
      <c r="I149" s="31" t="s">
        <v>279</v>
      </c>
      <c r="J149" s="31" t="s">
        <v>2626</v>
      </c>
    </row>
    <row r="150" customFormat="false" ht="15" hidden="false" customHeight="false" outlineLevel="0" collapsed="false">
      <c r="I150" s="31" t="s">
        <v>280</v>
      </c>
      <c r="J150" s="31" t="s">
        <v>2627</v>
      </c>
    </row>
    <row r="151" customFormat="false" ht="15" hidden="false" customHeight="false" outlineLevel="0" collapsed="false">
      <c r="I151" s="31" t="s">
        <v>284</v>
      </c>
      <c r="J151" s="31" t="s">
        <v>2628</v>
      </c>
    </row>
    <row r="152" customFormat="false" ht="15" hidden="false" customHeight="false" outlineLevel="0" collapsed="false">
      <c r="I152" s="31" t="s">
        <v>287</v>
      </c>
      <c r="J152" s="31" t="s">
        <v>2629</v>
      </c>
    </row>
    <row r="153" customFormat="false" ht="15" hidden="false" customHeight="false" outlineLevel="0" collapsed="false">
      <c r="I153" s="31" t="s">
        <v>290</v>
      </c>
      <c r="J153" s="31" t="s">
        <v>2630</v>
      </c>
    </row>
    <row r="154" customFormat="false" ht="15" hidden="false" customHeight="false" outlineLevel="0" collapsed="false">
      <c r="I154" s="31" t="s">
        <v>293</v>
      </c>
      <c r="J154" s="31" t="s">
        <v>2631</v>
      </c>
    </row>
    <row r="155" customFormat="false" ht="15" hidden="false" customHeight="false" outlineLevel="0" collapsed="false">
      <c r="I155" s="31" t="s">
        <v>296</v>
      </c>
      <c r="J155" s="31" t="s">
        <v>2632</v>
      </c>
    </row>
    <row r="156" customFormat="false" ht="15" hidden="false" customHeight="false" outlineLevel="0" collapsed="false">
      <c r="I156" s="31" t="s">
        <v>299</v>
      </c>
      <c r="J156" s="31" t="s">
        <v>2633</v>
      </c>
    </row>
    <row r="157" customFormat="false" ht="15" hidden="false" customHeight="false" outlineLevel="0" collapsed="false">
      <c r="I157" s="31" t="s">
        <v>302</v>
      </c>
      <c r="J157" s="31" t="s">
        <v>2634</v>
      </c>
    </row>
    <row r="158" customFormat="false" ht="15" hidden="false" customHeight="false" outlineLevel="0" collapsed="false">
      <c r="I158" s="31" t="s">
        <v>305</v>
      </c>
      <c r="J158" s="31" t="s">
        <v>2635</v>
      </c>
    </row>
    <row r="159" customFormat="false" ht="15" hidden="false" customHeight="false" outlineLevel="0" collapsed="false">
      <c r="I159" s="31" t="s">
        <v>308</v>
      </c>
      <c r="J159" s="31" t="s">
        <v>2636</v>
      </c>
    </row>
    <row r="160" customFormat="false" ht="15" hidden="false" customHeight="false" outlineLevel="0" collapsed="false">
      <c r="I160" s="31" t="s">
        <v>311</v>
      </c>
      <c r="J160" s="31" t="s">
        <v>2637</v>
      </c>
    </row>
    <row r="161" customFormat="false" ht="15" hidden="false" customHeight="false" outlineLevel="0" collapsed="false">
      <c r="I161" s="31" t="s">
        <v>314</v>
      </c>
      <c r="J161" s="31" t="s">
        <v>2638</v>
      </c>
    </row>
    <row r="162" customFormat="false" ht="15" hidden="false" customHeight="false" outlineLevel="0" collapsed="false">
      <c r="I162" s="31" t="s">
        <v>317</v>
      </c>
      <c r="J162" s="31" t="s">
        <v>2639</v>
      </c>
    </row>
    <row r="163" customFormat="false" ht="15" hidden="false" customHeight="false" outlineLevel="0" collapsed="false">
      <c r="I163" s="31" t="s">
        <v>320</v>
      </c>
      <c r="J163" s="31" t="s">
        <v>2640</v>
      </c>
    </row>
    <row r="164" customFormat="false" ht="15" hidden="false" customHeight="false" outlineLevel="0" collapsed="false">
      <c r="I164" s="31" t="s">
        <v>323</v>
      </c>
      <c r="J164" s="31" t="s">
        <v>2641</v>
      </c>
    </row>
    <row r="165" customFormat="false" ht="15" hidden="false" customHeight="false" outlineLevel="0" collapsed="false">
      <c r="I165" s="31" t="s">
        <v>327</v>
      </c>
      <c r="J165" s="31" t="s">
        <v>2642</v>
      </c>
    </row>
    <row r="166" customFormat="false" ht="15" hidden="false" customHeight="false" outlineLevel="0" collapsed="false">
      <c r="I166" s="31" t="s">
        <v>328</v>
      </c>
      <c r="J166" s="31" t="s">
        <v>2643</v>
      </c>
    </row>
    <row r="167" customFormat="false" ht="15" hidden="false" customHeight="false" outlineLevel="0" collapsed="false">
      <c r="I167" s="31" t="s">
        <v>329</v>
      </c>
      <c r="J167" s="31" t="s">
        <v>2644</v>
      </c>
    </row>
    <row r="168" customFormat="false" ht="15" hidden="false" customHeight="false" outlineLevel="0" collapsed="false">
      <c r="I168" s="31" t="s">
        <v>330</v>
      </c>
      <c r="J168" s="31" t="s">
        <v>2645</v>
      </c>
    </row>
    <row r="169" customFormat="false" ht="15" hidden="false" customHeight="false" outlineLevel="0" collapsed="false">
      <c r="I169" s="31" t="s">
        <v>333</v>
      </c>
      <c r="J169" s="31" t="s">
        <v>2646</v>
      </c>
    </row>
    <row r="170" customFormat="false" ht="15" hidden="false" customHeight="false" outlineLevel="0" collapsed="false">
      <c r="I170" s="31" t="s">
        <v>336</v>
      </c>
      <c r="J170" s="31" t="s">
        <v>2647</v>
      </c>
    </row>
    <row r="171" customFormat="false" ht="15" hidden="false" customHeight="false" outlineLevel="0" collapsed="false">
      <c r="I171" s="31" t="s">
        <v>337</v>
      </c>
      <c r="J171" s="31" t="s">
        <v>2648</v>
      </c>
    </row>
    <row r="172" customFormat="false" ht="15" hidden="false" customHeight="false" outlineLevel="0" collapsed="false">
      <c r="I172" s="31" t="s">
        <v>338</v>
      </c>
      <c r="J172" s="31" t="s">
        <v>2649</v>
      </c>
    </row>
    <row r="173" customFormat="false" ht="15" hidden="false" customHeight="false" outlineLevel="0" collapsed="false">
      <c r="I173" s="31" t="s">
        <v>340</v>
      </c>
      <c r="J173" s="31" t="s">
        <v>2650</v>
      </c>
    </row>
    <row r="174" customFormat="false" ht="15" hidden="false" customHeight="false" outlineLevel="0" collapsed="false">
      <c r="I174" s="31" t="s">
        <v>341</v>
      </c>
      <c r="J174" s="31" t="s">
        <v>2651</v>
      </c>
    </row>
    <row r="175" customFormat="false" ht="15" hidden="false" customHeight="false" outlineLevel="0" collapsed="false">
      <c r="I175" s="31" t="s">
        <v>344</v>
      </c>
      <c r="J175" s="31" t="s">
        <v>2652</v>
      </c>
    </row>
    <row r="176" customFormat="false" ht="15" hidden="false" customHeight="false" outlineLevel="0" collapsed="false">
      <c r="I176" s="31" t="s">
        <v>347</v>
      </c>
      <c r="J176" s="31" t="s">
        <v>2653</v>
      </c>
    </row>
    <row r="177" customFormat="false" ht="15" hidden="false" customHeight="false" outlineLevel="0" collapsed="false">
      <c r="I177" s="31" t="s">
        <v>354</v>
      </c>
      <c r="J177" s="31" t="s">
        <v>2654</v>
      </c>
    </row>
    <row r="178" customFormat="false" ht="15" hidden="false" customHeight="false" outlineLevel="0" collapsed="false">
      <c r="I178" s="31" t="s">
        <v>357</v>
      </c>
      <c r="J178" s="31" t="s">
        <v>2655</v>
      </c>
    </row>
    <row r="179" customFormat="false" ht="15" hidden="false" customHeight="false" outlineLevel="0" collapsed="false">
      <c r="I179" s="31" t="s">
        <v>360</v>
      </c>
      <c r="J179" s="31" t="s">
        <v>2656</v>
      </c>
    </row>
    <row r="180" customFormat="false" ht="15" hidden="false" customHeight="false" outlineLevel="0" collapsed="false">
      <c r="I180" s="31" t="s">
        <v>363</v>
      </c>
      <c r="J180" s="31" t="s">
        <v>2657</v>
      </c>
    </row>
    <row r="181" customFormat="false" ht="15" hidden="false" customHeight="false" outlineLevel="0" collapsed="false">
      <c r="I181" s="31" t="s">
        <v>366</v>
      </c>
      <c r="J181" s="31" t="s">
        <v>2658</v>
      </c>
    </row>
    <row r="182" customFormat="false" ht="15" hidden="false" customHeight="false" outlineLevel="0" collapsed="false">
      <c r="I182" s="31" t="s">
        <v>370</v>
      </c>
      <c r="J182" s="31" t="s">
        <v>2659</v>
      </c>
    </row>
    <row r="183" customFormat="false" ht="15" hidden="false" customHeight="false" outlineLevel="0" collapsed="false">
      <c r="I183" s="31" t="s">
        <v>373</v>
      </c>
      <c r="J183" s="31" t="s">
        <v>2660</v>
      </c>
    </row>
    <row r="184" customFormat="false" ht="15" hidden="false" customHeight="false" outlineLevel="0" collapsed="false">
      <c r="I184" s="31" t="s">
        <v>376</v>
      </c>
      <c r="J184" s="31" t="s">
        <v>2661</v>
      </c>
    </row>
    <row r="185" customFormat="false" ht="15" hidden="false" customHeight="false" outlineLevel="0" collapsed="false">
      <c r="I185" s="31" t="s">
        <v>380</v>
      </c>
      <c r="J185" s="31" t="s">
        <v>2662</v>
      </c>
    </row>
    <row r="186" customFormat="false" ht="15" hidden="false" customHeight="false" outlineLevel="0" collapsed="false">
      <c r="I186" s="31" t="s">
        <v>383</v>
      </c>
      <c r="J186" s="31" t="s">
        <v>2663</v>
      </c>
    </row>
    <row r="187" customFormat="false" ht="15" hidden="false" customHeight="false" outlineLevel="0" collapsed="false">
      <c r="I187" s="31" t="s">
        <v>386</v>
      </c>
      <c r="J187" s="31" t="s">
        <v>2664</v>
      </c>
    </row>
    <row r="188" customFormat="false" ht="15" hidden="false" customHeight="false" outlineLevel="0" collapsed="false">
      <c r="I188" s="31" t="s">
        <v>390</v>
      </c>
      <c r="J188" s="31" t="s">
        <v>2665</v>
      </c>
    </row>
    <row r="189" customFormat="false" ht="15" hidden="false" customHeight="false" outlineLevel="0" collapsed="false">
      <c r="I189" s="31" t="s">
        <v>393</v>
      </c>
      <c r="J189" s="31" t="s">
        <v>2666</v>
      </c>
    </row>
    <row r="190" customFormat="false" ht="15" hidden="false" customHeight="false" outlineLevel="0" collapsed="false">
      <c r="I190" s="31" t="s">
        <v>396</v>
      </c>
      <c r="J190" s="31" t="s">
        <v>2667</v>
      </c>
    </row>
    <row r="191" customFormat="false" ht="15" hidden="false" customHeight="false" outlineLevel="0" collapsed="false">
      <c r="I191" s="31" t="s">
        <v>399</v>
      </c>
      <c r="J191" s="31" t="s">
        <v>2668</v>
      </c>
    </row>
    <row r="192" customFormat="false" ht="15" hidden="false" customHeight="false" outlineLevel="0" collapsed="false">
      <c r="I192" s="31" t="s">
        <v>402</v>
      </c>
      <c r="J192" s="31" t="s">
        <v>2669</v>
      </c>
    </row>
    <row r="193" customFormat="false" ht="15" hidden="false" customHeight="false" outlineLevel="0" collapsed="false">
      <c r="I193" s="31" t="s">
        <v>405</v>
      </c>
      <c r="J193" s="31" t="s">
        <v>2670</v>
      </c>
    </row>
    <row r="194" customFormat="false" ht="15" hidden="false" customHeight="false" outlineLevel="0" collapsed="false">
      <c r="I194" s="31" t="s">
        <v>410</v>
      </c>
      <c r="J194" s="31" t="s">
        <v>2671</v>
      </c>
    </row>
    <row r="195" customFormat="false" ht="15" hidden="false" customHeight="false" outlineLevel="0" collapsed="false">
      <c r="I195" s="31" t="s">
        <v>413</v>
      </c>
      <c r="J195" s="31" t="s">
        <v>2672</v>
      </c>
    </row>
    <row r="196" customFormat="false" ht="15" hidden="false" customHeight="false" outlineLevel="0" collapsed="false">
      <c r="I196" s="31" t="s">
        <v>416</v>
      </c>
      <c r="J196" s="31" t="s">
        <v>2673</v>
      </c>
    </row>
    <row r="197" customFormat="false" ht="15" hidden="false" customHeight="false" outlineLevel="0" collapsed="false">
      <c r="I197" s="31" t="s">
        <v>418</v>
      </c>
      <c r="J197" s="31" t="s">
        <v>2674</v>
      </c>
    </row>
    <row r="198" customFormat="false" ht="15" hidden="false" customHeight="false" outlineLevel="0" collapsed="false">
      <c r="I198" s="31" t="s">
        <v>421</v>
      </c>
      <c r="J198" s="31" t="s">
        <v>2675</v>
      </c>
    </row>
    <row r="199" customFormat="false" ht="15" hidden="false" customHeight="false" outlineLevel="0" collapsed="false">
      <c r="I199" s="31" t="s">
        <v>424</v>
      </c>
      <c r="J199" s="31" t="s">
        <v>2676</v>
      </c>
    </row>
    <row r="200" customFormat="false" ht="15" hidden="false" customHeight="false" outlineLevel="0" collapsed="false">
      <c r="I200" s="31" t="s">
        <v>427</v>
      </c>
      <c r="J200" s="31" t="s">
        <v>2677</v>
      </c>
    </row>
    <row r="201" customFormat="false" ht="15" hidden="false" customHeight="false" outlineLevel="0" collapsed="false">
      <c r="I201" s="31" t="s">
        <v>430</v>
      </c>
      <c r="J201" s="31" t="s">
        <v>2678</v>
      </c>
    </row>
    <row r="202" customFormat="false" ht="15" hidden="false" customHeight="false" outlineLevel="0" collapsed="false">
      <c r="I202" s="31" t="s">
        <v>433</v>
      </c>
      <c r="J202" s="31" t="s">
        <v>2679</v>
      </c>
    </row>
    <row r="203" customFormat="false" ht="15" hidden="false" customHeight="false" outlineLevel="0" collapsed="false">
      <c r="I203" s="31" t="s">
        <v>436</v>
      </c>
      <c r="J203" s="31" t="s">
        <v>2680</v>
      </c>
    </row>
    <row r="204" customFormat="false" ht="15" hidden="false" customHeight="false" outlineLevel="0" collapsed="false">
      <c r="I204" s="31" t="s">
        <v>441</v>
      </c>
      <c r="J204" s="31" t="s">
        <v>2681</v>
      </c>
    </row>
    <row r="205" customFormat="false" ht="15" hidden="false" customHeight="false" outlineLevel="0" collapsed="false">
      <c r="I205" s="31" t="s">
        <v>444</v>
      </c>
      <c r="J205" s="31" t="s">
        <v>2682</v>
      </c>
    </row>
    <row r="206" customFormat="false" ht="15" hidden="false" customHeight="false" outlineLevel="0" collapsed="false">
      <c r="I206" s="31" t="s">
        <v>447</v>
      </c>
      <c r="J206" s="31" t="s">
        <v>2683</v>
      </c>
    </row>
    <row r="207" customFormat="false" ht="15" hidden="false" customHeight="false" outlineLevel="0" collapsed="false">
      <c r="I207" s="31" t="s">
        <v>450</v>
      </c>
      <c r="J207" s="31" t="s">
        <v>2684</v>
      </c>
    </row>
    <row r="208" customFormat="false" ht="15" hidden="false" customHeight="false" outlineLevel="0" collapsed="false">
      <c r="I208" s="31" t="s">
        <v>454</v>
      </c>
      <c r="J208" s="31" t="s">
        <v>2685</v>
      </c>
    </row>
    <row r="209" customFormat="false" ht="15" hidden="false" customHeight="false" outlineLevel="0" collapsed="false">
      <c r="I209" s="31" t="s">
        <v>457</v>
      </c>
      <c r="J209" s="31" t="s">
        <v>2686</v>
      </c>
    </row>
    <row r="210" customFormat="false" ht="15" hidden="false" customHeight="false" outlineLevel="0" collapsed="false">
      <c r="I210" s="31" t="s">
        <v>460</v>
      </c>
      <c r="J210" s="31" t="s">
        <v>2687</v>
      </c>
    </row>
    <row r="211" customFormat="false" ht="15" hidden="false" customHeight="false" outlineLevel="0" collapsed="false">
      <c r="I211" s="31" t="s">
        <v>463</v>
      </c>
      <c r="J211" s="31" t="s">
        <v>2688</v>
      </c>
    </row>
    <row r="212" customFormat="false" ht="15" hidden="false" customHeight="false" outlineLevel="0" collapsed="false">
      <c r="I212" s="31" t="s">
        <v>467</v>
      </c>
      <c r="J212" s="31" t="s">
        <v>2689</v>
      </c>
    </row>
    <row r="213" customFormat="false" ht="15" hidden="false" customHeight="false" outlineLevel="0" collapsed="false">
      <c r="I213" s="31" t="s">
        <v>470</v>
      </c>
      <c r="J213" s="31" t="s">
        <v>2690</v>
      </c>
    </row>
    <row r="214" customFormat="false" ht="15" hidden="false" customHeight="false" outlineLevel="0" collapsed="false">
      <c r="I214" s="31" t="s">
        <v>473</v>
      </c>
      <c r="J214" s="31" t="s">
        <v>2691</v>
      </c>
    </row>
    <row r="215" customFormat="false" ht="15" hidden="false" customHeight="false" outlineLevel="0" collapsed="false">
      <c r="I215" s="31" t="s">
        <v>476</v>
      </c>
      <c r="J215" s="31" t="s">
        <v>2692</v>
      </c>
    </row>
    <row r="216" customFormat="false" ht="15" hidden="false" customHeight="false" outlineLevel="0" collapsed="false">
      <c r="I216" s="31" t="s">
        <v>481</v>
      </c>
      <c r="J216" s="31" t="s">
        <v>2693</v>
      </c>
    </row>
    <row r="217" customFormat="false" ht="15" hidden="false" customHeight="false" outlineLevel="0" collapsed="false">
      <c r="I217" s="31" t="s">
        <v>484</v>
      </c>
      <c r="J217" s="31" t="s">
        <v>2694</v>
      </c>
    </row>
    <row r="218" customFormat="false" ht="15" hidden="false" customHeight="false" outlineLevel="0" collapsed="false">
      <c r="I218" s="31" t="s">
        <v>487</v>
      </c>
      <c r="J218" s="31" t="s">
        <v>2695</v>
      </c>
    </row>
    <row r="219" customFormat="false" ht="15" hidden="false" customHeight="false" outlineLevel="0" collapsed="false">
      <c r="I219" s="31" t="s">
        <v>490</v>
      </c>
      <c r="J219" s="31" t="s">
        <v>2696</v>
      </c>
    </row>
    <row r="220" customFormat="false" ht="15" hidden="false" customHeight="false" outlineLevel="0" collapsed="false">
      <c r="I220" s="31" t="s">
        <v>493</v>
      </c>
      <c r="J220" s="31" t="s">
        <v>2697</v>
      </c>
    </row>
    <row r="221" customFormat="false" ht="15" hidden="false" customHeight="false" outlineLevel="0" collapsed="false">
      <c r="I221" s="31" t="s">
        <v>496</v>
      </c>
      <c r="J221" s="31" t="s">
        <v>2698</v>
      </c>
    </row>
    <row r="222" customFormat="false" ht="15" hidden="false" customHeight="false" outlineLevel="0" collapsed="false">
      <c r="I222" s="31" t="s">
        <v>500</v>
      </c>
      <c r="J222" s="31" t="s">
        <v>2699</v>
      </c>
    </row>
    <row r="223" customFormat="false" ht="15" hidden="false" customHeight="false" outlineLevel="0" collapsed="false">
      <c r="I223" s="31" t="s">
        <v>503</v>
      </c>
      <c r="J223" s="31" t="s">
        <v>2700</v>
      </c>
    </row>
    <row r="224" customFormat="false" ht="15" hidden="false" customHeight="false" outlineLevel="0" collapsed="false">
      <c r="I224" s="31" t="s">
        <v>504</v>
      </c>
      <c r="J224" s="31" t="s">
        <v>2701</v>
      </c>
    </row>
    <row r="225" customFormat="false" ht="15" hidden="false" customHeight="false" outlineLevel="0" collapsed="false">
      <c r="I225" s="31" t="s">
        <v>507</v>
      </c>
      <c r="J225" s="31" t="s">
        <v>2702</v>
      </c>
    </row>
    <row r="226" customFormat="false" ht="15" hidden="false" customHeight="false" outlineLevel="0" collapsed="false">
      <c r="I226" s="31" t="s">
        <v>512</v>
      </c>
      <c r="J226" s="31" t="s">
        <v>2703</v>
      </c>
    </row>
    <row r="227" customFormat="false" ht="15" hidden="false" customHeight="false" outlineLevel="0" collapsed="false">
      <c r="I227" s="31" t="s">
        <v>515</v>
      </c>
      <c r="J227" s="31" t="s">
        <v>2704</v>
      </c>
    </row>
    <row r="228" customFormat="false" ht="15" hidden="false" customHeight="false" outlineLevel="0" collapsed="false">
      <c r="I228" s="31" t="s">
        <v>518</v>
      </c>
      <c r="J228" s="31" t="s">
        <v>2705</v>
      </c>
    </row>
    <row r="229" customFormat="false" ht="15" hidden="false" customHeight="false" outlineLevel="0" collapsed="false">
      <c r="I229" s="31" t="s">
        <v>521</v>
      </c>
      <c r="J229" s="31" t="s">
        <v>2706</v>
      </c>
    </row>
    <row r="230" customFormat="false" ht="15" hidden="false" customHeight="false" outlineLevel="0" collapsed="false">
      <c r="I230" s="31" t="s">
        <v>522</v>
      </c>
      <c r="J230" s="31" t="s">
        <v>2707</v>
      </c>
    </row>
    <row r="231" customFormat="false" ht="15" hidden="false" customHeight="false" outlineLevel="0" collapsed="false">
      <c r="I231" s="31" t="s">
        <v>525</v>
      </c>
      <c r="J231" s="31" t="s">
        <v>2708</v>
      </c>
    </row>
    <row r="232" customFormat="false" ht="15" hidden="false" customHeight="false" outlineLevel="0" collapsed="false">
      <c r="I232" s="31" t="s">
        <v>529</v>
      </c>
      <c r="J232" s="31" t="s">
        <v>2709</v>
      </c>
    </row>
    <row r="233" customFormat="false" ht="15" hidden="false" customHeight="false" outlineLevel="0" collapsed="false">
      <c r="I233" s="31" t="s">
        <v>530</v>
      </c>
      <c r="J233" s="31" t="s">
        <v>2710</v>
      </c>
    </row>
    <row r="234" customFormat="false" ht="15" hidden="false" customHeight="false" outlineLevel="0" collapsed="false">
      <c r="I234" s="31" t="s">
        <v>533</v>
      </c>
      <c r="J234" s="31" t="s">
        <v>2711</v>
      </c>
    </row>
    <row r="235" customFormat="false" ht="15" hidden="false" customHeight="false" outlineLevel="0" collapsed="false">
      <c r="I235" s="31" t="s">
        <v>539</v>
      </c>
      <c r="J235" s="31" t="s">
        <v>2712</v>
      </c>
    </row>
    <row r="236" customFormat="false" ht="15" hidden="false" customHeight="false" outlineLevel="0" collapsed="false">
      <c r="I236" s="31" t="s">
        <v>542</v>
      </c>
      <c r="J236" s="31" t="s">
        <v>2713</v>
      </c>
    </row>
    <row r="237" customFormat="false" ht="15" hidden="false" customHeight="false" outlineLevel="0" collapsed="false">
      <c r="I237" s="31" t="s">
        <v>545</v>
      </c>
      <c r="J237" s="31" t="s">
        <v>2714</v>
      </c>
    </row>
    <row r="238" customFormat="false" ht="15" hidden="false" customHeight="false" outlineLevel="0" collapsed="false">
      <c r="I238" s="31" t="s">
        <v>548</v>
      </c>
      <c r="J238" s="31" t="s">
        <v>2715</v>
      </c>
    </row>
    <row r="239" customFormat="false" ht="15" hidden="false" customHeight="false" outlineLevel="0" collapsed="false">
      <c r="I239" s="31" t="s">
        <v>552</v>
      </c>
      <c r="J239" s="31" t="s">
        <v>2716</v>
      </c>
    </row>
    <row r="240" customFormat="false" ht="15" hidden="false" customHeight="false" outlineLevel="0" collapsed="false">
      <c r="I240" s="31" t="s">
        <v>555</v>
      </c>
      <c r="J240" s="31" t="s">
        <v>2717</v>
      </c>
    </row>
    <row r="241" customFormat="false" ht="15" hidden="false" customHeight="false" outlineLevel="0" collapsed="false">
      <c r="I241" s="31" t="s">
        <v>558</v>
      </c>
      <c r="J241" s="31" t="s">
        <v>2718</v>
      </c>
    </row>
    <row r="242" customFormat="false" ht="15" hidden="false" customHeight="false" outlineLevel="0" collapsed="false">
      <c r="I242" s="31" t="s">
        <v>564</v>
      </c>
      <c r="J242" s="31" t="s">
        <v>2719</v>
      </c>
    </row>
    <row r="243" customFormat="false" ht="15" hidden="false" customHeight="false" outlineLevel="0" collapsed="false">
      <c r="I243" s="31" t="s">
        <v>567</v>
      </c>
      <c r="J243" s="31" t="s">
        <v>2720</v>
      </c>
    </row>
    <row r="244" customFormat="false" ht="15" hidden="false" customHeight="false" outlineLevel="0" collapsed="false">
      <c r="I244" s="31" t="s">
        <v>570</v>
      </c>
      <c r="J244" s="31" t="s">
        <v>2721</v>
      </c>
    </row>
    <row r="245" customFormat="false" ht="15" hidden="false" customHeight="false" outlineLevel="0" collapsed="false">
      <c r="I245" s="31" t="s">
        <v>573</v>
      </c>
      <c r="J245" s="31" t="s">
        <v>2722</v>
      </c>
    </row>
    <row r="246" customFormat="false" ht="15" hidden="false" customHeight="false" outlineLevel="0" collapsed="false">
      <c r="I246" s="31" t="s">
        <v>577</v>
      </c>
      <c r="J246" s="31" t="s">
        <v>2723</v>
      </c>
    </row>
    <row r="247" customFormat="false" ht="15" hidden="false" customHeight="false" outlineLevel="0" collapsed="false">
      <c r="I247" s="31" t="s">
        <v>580</v>
      </c>
      <c r="J247" s="31" t="s">
        <v>2724</v>
      </c>
    </row>
    <row r="248" customFormat="false" ht="15" hidden="false" customHeight="false" outlineLevel="0" collapsed="false">
      <c r="I248" s="31" t="s">
        <v>583</v>
      </c>
      <c r="J248" s="31" t="s">
        <v>2725</v>
      </c>
    </row>
    <row r="249" customFormat="false" ht="15" hidden="false" customHeight="false" outlineLevel="0" collapsed="false">
      <c r="I249" s="31" t="s">
        <v>584</v>
      </c>
      <c r="J249" s="31" t="s">
        <v>2726</v>
      </c>
    </row>
    <row r="250" customFormat="false" ht="15" hidden="false" customHeight="false" outlineLevel="0" collapsed="false">
      <c r="I250" s="31" t="s">
        <v>588</v>
      </c>
      <c r="J250" s="31" t="s">
        <v>2727</v>
      </c>
    </row>
    <row r="251" customFormat="false" ht="15" hidden="false" customHeight="false" outlineLevel="0" collapsed="false">
      <c r="I251" s="31" t="s">
        <v>591</v>
      </c>
      <c r="J251" s="31" t="s">
        <v>2728</v>
      </c>
    </row>
    <row r="252" customFormat="false" ht="15" hidden="false" customHeight="false" outlineLevel="0" collapsed="false">
      <c r="I252" s="31" t="s">
        <v>594</v>
      </c>
      <c r="J252" s="31" t="s">
        <v>2729</v>
      </c>
    </row>
    <row r="253" customFormat="false" ht="15" hidden="false" customHeight="false" outlineLevel="0" collapsed="false">
      <c r="I253" s="31" t="s">
        <v>595</v>
      </c>
      <c r="J253" s="31" t="s">
        <v>2730</v>
      </c>
    </row>
    <row r="254" customFormat="false" ht="15" hidden="false" customHeight="false" outlineLevel="0" collapsed="false">
      <c r="I254" s="31" t="s">
        <v>599</v>
      </c>
      <c r="J254" s="31" t="s">
        <v>2731</v>
      </c>
    </row>
    <row r="255" customFormat="false" ht="15" hidden="false" customHeight="false" outlineLevel="0" collapsed="false">
      <c r="I255" s="31" t="s">
        <v>602</v>
      </c>
      <c r="J255" s="31" t="s">
        <v>2732</v>
      </c>
    </row>
    <row r="256" customFormat="false" ht="15" hidden="false" customHeight="false" outlineLevel="0" collapsed="false">
      <c r="I256" s="31" t="s">
        <v>605</v>
      </c>
      <c r="J256" s="31" t="s">
        <v>2733</v>
      </c>
    </row>
    <row r="257" customFormat="false" ht="15" hidden="false" customHeight="false" outlineLevel="0" collapsed="false">
      <c r="I257" s="31" t="s">
        <v>608</v>
      </c>
      <c r="J257" s="31" t="s">
        <v>2734</v>
      </c>
    </row>
    <row r="258" customFormat="false" ht="15" hidden="false" customHeight="false" outlineLevel="0" collapsed="false">
      <c r="I258" s="31" t="s">
        <v>612</v>
      </c>
      <c r="J258" s="31" t="s">
        <v>2735</v>
      </c>
    </row>
    <row r="259" customFormat="false" ht="15" hidden="false" customHeight="false" outlineLevel="0" collapsed="false">
      <c r="I259" s="31" t="s">
        <v>614</v>
      </c>
      <c r="J259" s="31" t="s">
        <v>2736</v>
      </c>
    </row>
    <row r="260" customFormat="false" ht="15" hidden="false" customHeight="false" outlineLevel="0" collapsed="false">
      <c r="I260" s="31" t="s">
        <v>618</v>
      </c>
      <c r="J260" s="31" t="s">
        <v>2737</v>
      </c>
    </row>
    <row r="261" customFormat="false" ht="15" hidden="false" customHeight="false" outlineLevel="0" collapsed="false">
      <c r="I261" s="31" t="s">
        <v>621</v>
      </c>
      <c r="J261" s="31" t="s">
        <v>2738</v>
      </c>
    </row>
    <row r="262" customFormat="false" ht="15" hidden="false" customHeight="false" outlineLevel="0" collapsed="false">
      <c r="I262" s="31" t="s">
        <v>624</v>
      </c>
      <c r="J262" s="31" t="s">
        <v>2739</v>
      </c>
    </row>
    <row r="263" customFormat="false" ht="15" hidden="false" customHeight="false" outlineLevel="0" collapsed="false">
      <c r="I263" s="31" t="s">
        <v>627</v>
      </c>
      <c r="J263" s="31" t="s">
        <v>2740</v>
      </c>
    </row>
    <row r="264" customFormat="false" ht="15" hidden="false" customHeight="false" outlineLevel="0" collapsed="false">
      <c r="I264" s="31" t="s">
        <v>631</v>
      </c>
      <c r="J264" s="31" t="s">
        <v>2741</v>
      </c>
    </row>
    <row r="265" customFormat="false" ht="15" hidden="false" customHeight="false" outlineLevel="0" collapsed="false">
      <c r="I265" s="31" t="s">
        <v>634</v>
      </c>
      <c r="J265" s="31" t="s">
        <v>2742</v>
      </c>
    </row>
    <row r="266" customFormat="false" ht="15" hidden="false" customHeight="false" outlineLevel="0" collapsed="false">
      <c r="I266" s="31" t="s">
        <v>637</v>
      </c>
      <c r="J266" s="31" t="s">
        <v>2743</v>
      </c>
    </row>
    <row r="267" customFormat="false" ht="15" hidden="false" customHeight="false" outlineLevel="0" collapsed="false">
      <c r="I267" s="31" t="s">
        <v>640</v>
      </c>
      <c r="J267" s="31" t="s">
        <v>2744</v>
      </c>
    </row>
    <row r="268" customFormat="false" ht="15" hidden="false" customHeight="false" outlineLevel="0" collapsed="false">
      <c r="I268" s="31" t="s">
        <v>641</v>
      </c>
      <c r="J268" s="31" t="s">
        <v>2745</v>
      </c>
    </row>
    <row r="269" customFormat="false" ht="15" hidden="false" customHeight="false" outlineLevel="0" collapsed="false">
      <c r="I269" s="31" t="s">
        <v>644</v>
      </c>
      <c r="J269" s="31" t="s">
        <v>2746</v>
      </c>
    </row>
    <row r="270" customFormat="false" ht="15" hidden="false" customHeight="false" outlineLevel="0" collapsed="false">
      <c r="I270" s="31" t="s">
        <v>647</v>
      </c>
      <c r="J270" s="31" t="s">
        <v>2747</v>
      </c>
    </row>
    <row r="271" customFormat="false" ht="15" hidden="false" customHeight="false" outlineLevel="0" collapsed="false">
      <c r="I271" s="31" t="s">
        <v>652</v>
      </c>
      <c r="J271" s="31" t="s">
        <v>2748</v>
      </c>
    </row>
    <row r="272" customFormat="false" ht="15" hidden="false" customHeight="false" outlineLevel="0" collapsed="false">
      <c r="I272" s="31" t="s">
        <v>655</v>
      </c>
      <c r="J272" s="31" t="s">
        <v>2749</v>
      </c>
    </row>
    <row r="273" customFormat="false" ht="15" hidden="false" customHeight="false" outlineLevel="0" collapsed="false">
      <c r="I273" s="31" t="s">
        <v>658</v>
      </c>
      <c r="J273" s="31" t="s">
        <v>2750</v>
      </c>
    </row>
    <row r="274" customFormat="false" ht="15" hidden="false" customHeight="false" outlineLevel="0" collapsed="false">
      <c r="I274" s="31" t="s">
        <v>660</v>
      </c>
      <c r="J274" s="31" t="s">
        <v>2751</v>
      </c>
    </row>
    <row r="275" customFormat="false" ht="15" hidden="false" customHeight="false" outlineLevel="0" collapsed="false">
      <c r="I275" s="31" t="s">
        <v>663</v>
      </c>
      <c r="J275" s="31" t="s">
        <v>2752</v>
      </c>
    </row>
    <row r="276" customFormat="false" ht="15" hidden="false" customHeight="false" outlineLevel="0" collapsed="false">
      <c r="I276" s="31" t="s">
        <v>665</v>
      </c>
      <c r="J276" s="31" t="s">
        <v>2753</v>
      </c>
    </row>
    <row r="277" customFormat="false" ht="15" hidden="false" customHeight="false" outlineLevel="0" collapsed="false">
      <c r="I277" s="31" t="s">
        <v>667</v>
      </c>
      <c r="J277" s="31" t="s">
        <v>2754</v>
      </c>
    </row>
    <row r="278" customFormat="false" ht="15" hidden="false" customHeight="false" outlineLevel="0" collapsed="false">
      <c r="I278" s="31" t="s">
        <v>668</v>
      </c>
      <c r="J278" s="31" t="s">
        <v>2755</v>
      </c>
    </row>
    <row r="279" customFormat="false" ht="15" hidden="false" customHeight="false" outlineLevel="0" collapsed="false">
      <c r="I279" s="31" t="s">
        <v>669</v>
      </c>
      <c r="J279" s="31" t="s">
        <v>2756</v>
      </c>
    </row>
    <row r="280" customFormat="false" ht="15" hidden="false" customHeight="false" outlineLevel="0" collapsed="false">
      <c r="I280" s="31" t="s">
        <v>670</v>
      </c>
      <c r="J280" s="31" t="s">
        <v>2757</v>
      </c>
    </row>
    <row r="281" customFormat="false" ht="15" hidden="false" customHeight="false" outlineLevel="0" collapsed="false">
      <c r="I281" s="31" t="s">
        <v>671</v>
      </c>
      <c r="J281" s="31" t="s">
        <v>2758</v>
      </c>
    </row>
    <row r="282" customFormat="false" ht="15" hidden="false" customHeight="false" outlineLevel="0" collapsed="false">
      <c r="I282" s="31" t="s">
        <v>674</v>
      </c>
      <c r="J282" s="31" t="s">
        <v>2759</v>
      </c>
    </row>
    <row r="283" customFormat="false" ht="15" hidden="false" customHeight="false" outlineLevel="0" collapsed="false">
      <c r="I283" s="31" t="s">
        <v>678</v>
      </c>
      <c r="J283" s="31" t="s">
        <v>2760</v>
      </c>
    </row>
    <row r="284" customFormat="false" ht="15" hidden="false" customHeight="false" outlineLevel="0" collapsed="false">
      <c r="I284" s="31" t="s">
        <v>681</v>
      </c>
      <c r="J284" s="31" t="s">
        <v>2761</v>
      </c>
    </row>
    <row r="285" customFormat="false" ht="15" hidden="false" customHeight="false" outlineLevel="0" collapsed="false">
      <c r="I285" s="31" t="s">
        <v>687</v>
      </c>
      <c r="J285" s="31" t="s">
        <v>2762</v>
      </c>
    </row>
    <row r="286" customFormat="false" ht="15" hidden="false" customHeight="false" outlineLevel="0" collapsed="false">
      <c r="I286" s="31" t="s">
        <v>690</v>
      </c>
      <c r="J286" s="31" t="s">
        <v>2763</v>
      </c>
    </row>
    <row r="287" customFormat="false" ht="15" hidden="false" customHeight="false" outlineLevel="0" collapsed="false">
      <c r="I287" s="31" t="s">
        <v>693</v>
      </c>
      <c r="J287" s="31" t="s">
        <v>2764</v>
      </c>
    </row>
    <row r="288" customFormat="false" ht="15" hidden="false" customHeight="false" outlineLevel="0" collapsed="false">
      <c r="I288" s="31" t="s">
        <v>694</v>
      </c>
      <c r="J288" s="31" t="s">
        <v>2765</v>
      </c>
    </row>
    <row r="289" customFormat="false" ht="15" hidden="false" customHeight="false" outlineLevel="0" collapsed="false">
      <c r="I289" s="31" t="s">
        <v>695</v>
      </c>
      <c r="J289" s="31" t="s">
        <v>2766</v>
      </c>
    </row>
    <row r="290" customFormat="false" ht="15" hidden="false" customHeight="false" outlineLevel="0" collapsed="false">
      <c r="I290" s="31" t="s">
        <v>696</v>
      </c>
      <c r="J290" s="31" t="s">
        <v>2767</v>
      </c>
    </row>
    <row r="291" customFormat="false" ht="15" hidden="false" customHeight="false" outlineLevel="0" collapsed="false">
      <c r="I291" s="31" t="s">
        <v>697</v>
      </c>
      <c r="J291" s="31" t="s">
        <v>2768</v>
      </c>
    </row>
    <row r="292" customFormat="false" ht="15" hidden="false" customHeight="false" outlineLevel="0" collapsed="false">
      <c r="I292" s="31" t="s">
        <v>700</v>
      </c>
      <c r="J292" s="31" t="s">
        <v>2769</v>
      </c>
    </row>
    <row r="293" customFormat="false" ht="15" hidden="false" customHeight="false" outlineLevel="0" collapsed="false">
      <c r="I293" s="31" t="s">
        <v>703</v>
      </c>
      <c r="J293" s="31" t="s">
        <v>2770</v>
      </c>
    </row>
    <row r="294" customFormat="false" ht="15" hidden="false" customHeight="false" outlineLevel="0" collapsed="false">
      <c r="I294" s="31" t="s">
        <v>706</v>
      </c>
      <c r="J294" s="31" t="s">
        <v>2771</v>
      </c>
    </row>
    <row r="295" customFormat="false" ht="15" hidden="false" customHeight="false" outlineLevel="0" collapsed="false">
      <c r="I295" s="31" t="s">
        <v>709</v>
      </c>
      <c r="J295" s="31" t="s">
        <v>2772</v>
      </c>
    </row>
    <row r="296" customFormat="false" ht="15" hidden="false" customHeight="false" outlineLevel="0" collapsed="false">
      <c r="I296" s="31" t="s">
        <v>712</v>
      </c>
      <c r="J296" s="31" t="s">
        <v>2773</v>
      </c>
    </row>
    <row r="297" customFormat="false" ht="15" hidden="false" customHeight="false" outlineLevel="0" collapsed="false">
      <c r="I297" s="31" t="s">
        <v>715</v>
      </c>
      <c r="J297" s="31" t="s">
        <v>2774</v>
      </c>
    </row>
    <row r="298" customFormat="false" ht="15" hidden="false" customHeight="false" outlineLevel="0" collapsed="false">
      <c r="I298" s="31" t="s">
        <v>718</v>
      </c>
      <c r="J298" s="31" t="s">
        <v>2775</v>
      </c>
    </row>
    <row r="299" customFormat="false" ht="15" hidden="false" customHeight="false" outlineLevel="0" collapsed="false">
      <c r="I299" s="31" t="s">
        <v>721</v>
      </c>
      <c r="J299" s="31" t="s">
        <v>2776</v>
      </c>
    </row>
    <row r="300" customFormat="false" ht="15" hidden="false" customHeight="false" outlineLevel="0" collapsed="false">
      <c r="I300" s="31" t="s">
        <v>722</v>
      </c>
      <c r="J300" s="31" t="s">
        <v>2777</v>
      </c>
    </row>
    <row r="301" customFormat="false" ht="15" hidden="false" customHeight="false" outlineLevel="0" collapsed="false">
      <c r="I301" s="31" t="s">
        <v>725</v>
      </c>
      <c r="J301" s="31" t="s">
        <v>2778</v>
      </c>
    </row>
    <row r="302" customFormat="false" ht="15" hidden="false" customHeight="false" outlineLevel="0" collapsed="false">
      <c r="I302" s="31" t="s">
        <v>728</v>
      </c>
      <c r="J302" s="31" t="s">
        <v>2779</v>
      </c>
    </row>
    <row r="303" customFormat="false" ht="15" hidden="false" customHeight="false" outlineLevel="0" collapsed="false">
      <c r="I303" s="31" t="s">
        <v>731</v>
      </c>
      <c r="J303" s="31" t="s">
        <v>2780</v>
      </c>
    </row>
    <row r="304" customFormat="false" ht="15" hidden="false" customHeight="false" outlineLevel="0" collapsed="false">
      <c r="I304" s="31" t="s">
        <v>734</v>
      </c>
      <c r="J304" s="31" t="s">
        <v>2781</v>
      </c>
    </row>
    <row r="305" customFormat="false" ht="15" hidden="false" customHeight="false" outlineLevel="0" collapsed="false">
      <c r="I305" s="31" t="s">
        <v>737</v>
      </c>
      <c r="J305" s="31" t="s">
        <v>2782</v>
      </c>
    </row>
    <row r="306" customFormat="false" ht="15" hidden="false" customHeight="false" outlineLevel="0" collapsed="false">
      <c r="I306" s="31" t="s">
        <v>741</v>
      </c>
      <c r="J306" s="31" t="s">
        <v>2783</v>
      </c>
    </row>
    <row r="307" customFormat="false" ht="15" hidden="false" customHeight="false" outlineLevel="0" collapsed="false">
      <c r="I307" s="31" t="s">
        <v>744</v>
      </c>
      <c r="J307" s="31" t="s">
        <v>2784</v>
      </c>
    </row>
    <row r="308" customFormat="false" ht="15" hidden="false" customHeight="false" outlineLevel="0" collapsed="false">
      <c r="I308" s="31" t="s">
        <v>747</v>
      </c>
      <c r="J308" s="31" t="s">
        <v>2785</v>
      </c>
    </row>
    <row r="309" customFormat="false" ht="15" hidden="false" customHeight="false" outlineLevel="0" collapsed="false">
      <c r="I309" s="31" t="s">
        <v>750</v>
      </c>
      <c r="J309" s="31" t="s">
        <v>2786</v>
      </c>
    </row>
    <row r="310" customFormat="false" ht="15" hidden="false" customHeight="false" outlineLevel="0" collapsed="false">
      <c r="I310" s="31" t="s">
        <v>753</v>
      </c>
      <c r="J310" s="31" t="s">
        <v>2787</v>
      </c>
    </row>
    <row r="311" customFormat="false" ht="15" hidden="false" customHeight="false" outlineLevel="0" collapsed="false">
      <c r="I311" s="31" t="s">
        <v>754</v>
      </c>
      <c r="J311" s="31" t="s">
        <v>2788</v>
      </c>
    </row>
    <row r="312" customFormat="false" ht="15" hidden="false" customHeight="false" outlineLevel="0" collapsed="false">
      <c r="I312" s="31" t="s">
        <v>756</v>
      </c>
      <c r="J312" s="31" t="s">
        <v>2789</v>
      </c>
    </row>
    <row r="313" customFormat="false" ht="15" hidden="false" customHeight="false" outlineLevel="0" collapsed="false">
      <c r="I313" s="31" t="s">
        <v>758</v>
      </c>
      <c r="J313" s="31" t="s">
        <v>2790</v>
      </c>
    </row>
    <row r="314" customFormat="false" ht="15" hidden="false" customHeight="false" outlineLevel="0" collapsed="false">
      <c r="I314" s="31" t="s">
        <v>759</v>
      </c>
      <c r="J314" s="31" t="s">
        <v>2791</v>
      </c>
    </row>
    <row r="315" customFormat="false" ht="15" hidden="false" customHeight="false" outlineLevel="0" collapsed="false">
      <c r="I315" s="31" t="s">
        <v>762</v>
      </c>
      <c r="J315" s="31" t="s">
        <v>2792</v>
      </c>
    </row>
    <row r="316" customFormat="false" ht="15" hidden="false" customHeight="false" outlineLevel="0" collapsed="false">
      <c r="I316" s="31" t="s">
        <v>767</v>
      </c>
      <c r="J316" s="31" t="s">
        <v>2793</v>
      </c>
    </row>
    <row r="317" customFormat="false" ht="15" hidden="false" customHeight="false" outlineLevel="0" collapsed="false">
      <c r="I317" s="31" t="s">
        <v>770</v>
      </c>
      <c r="J317" s="31" t="s">
        <v>2794</v>
      </c>
    </row>
    <row r="318" customFormat="false" ht="15" hidden="false" customHeight="false" outlineLevel="0" collapsed="false">
      <c r="I318" s="31" t="s">
        <v>773</v>
      </c>
      <c r="J318" s="31" t="s">
        <v>2795</v>
      </c>
    </row>
    <row r="319" customFormat="false" ht="15" hidden="false" customHeight="false" outlineLevel="0" collapsed="false">
      <c r="I319" s="31" t="s">
        <v>777</v>
      </c>
      <c r="J319" s="31" t="s">
        <v>2796</v>
      </c>
    </row>
    <row r="320" customFormat="false" ht="15" hidden="false" customHeight="false" outlineLevel="0" collapsed="false">
      <c r="I320" s="31" t="s">
        <v>780</v>
      </c>
      <c r="J320" s="31" t="s">
        <v>2797</v>
      </c>
    </row>
    <row r="321" customFormat="false" ht="15" hidden="false" customHeight="false" outlineLevel="0" collapsed="false">
      <c r="I321" s="31" t="s">
        <v>784</v>
      </c>
      <c r="J321" s="31" t="s">
        <v>2798</v>
      </c>
    </row>
    <row r="322" customFormat="false" ht="15" hidden="false" customHeight="false" outlineLevel="0" collapsed="false">
      <c r="I322" s="31" t="s">
        <v>787</v>
      </c>
      <c r="J322" s="31" t="s">
        <v>2799</v>
      </c>
    </row>
    <row r="323" customFormat="false" ht="15" hidden="false" customHeight="false" outlineLevel="0" collapsed="false">
      <c r="I323" s="31" t="s">
        <v>791</v>
      </c>
      <c r="J323" s="31" t="s">
        <v>2800</v>
      </c>
    </row>
    <row r="324" customFormat="false" ht="15" hidden="false" customHeight="false" outlineLevel="0" collapsed="false">
      <c r="I324" s="31" t="s">
        <v>794</v>
      </c>
      <c r="J324" s="31" t="s">
        <v>2801</v>
      </c>
    </row>
    <row r="325" customFormat="false" ht="15" hidden="false" customHeight="false" outlineLevel="0" collapsed="false">
      <c r="I325" s="31" t="s">
        <v>797</v>
      </c>
      <c r="J325" s="31" t="s">
        <v>2802</v>
      </c>
    </row>
    <row r="326" customFormat="false" ht="15" hidden="false" customHeight="false" outlineLevel="0" collapsed="false">
      <c r="I326" s="31" t="s">
        <v>800</v>
      </c>
      <c r="J326" s="31" t="s">
        <v>2803</v>
      </c>
    </row>
    <row r="327" customFormat="false" ht="15" hidden="false" customHeight="false" outlineLevel="0" collapsed="false">
      <c r="I327" s="31" t="s">
        <v>803</v>
      </c>
      <c r="J327" s="31" t="s">
        <v>2804</v>
      </c>
    </row>
    <row r="328" customFormat="false" ht="15" hidden="false" customHeight="false" outlineLevel="0" collapsed="false">
      <c r="I328" s="31" t="s">
        <v>810</v>
      </c>
      <c r="J328" s="31" t="s">
        <v>2805</v>
      </c>
    </row>
    <row r="329" customFormat="false" ht="15" hidden="false" customHeight="false" outlineLevel="0" collapsed="false">
      <c r="I329" s="31" t="s">
        <v>811</v>
      </c>
      <c r="J329" s="31" t="s">
        <v>2806</v>
      </c>
    </row>
    <row r="330" customFormat="false" ht="15" hidden="false" customHeight="false" outlineLevel="0" collapsed="false">
      <c r="I330" s="31" t="s">
        <v>814</v>
      </c>
      <c r="J330" s="31" t="s">
        <v>2807</v>
      </c>
    </row>
    <row r="331" customFormat="false" ht="15" hidden="false" customHeight="false" outlineLevel="0" collapsed="false">
      <c r="I331" s="31" t="s">
        <v>817</v>
      </c>
      <c r="J331" s="31" t="s">
        <v>2808</v>
      </c>
    </row>
    <row r="332" customFormat="false" ht="15" hidden="false" customHeight="false" outlineLevel="0" collapsed="false">
      <c r="I332" s="31" t="s">
        <v>820</v>
      </c>
      <c r="J332" s="31" t="s">
        <v>2809</v>
      </c>
    </row>
    <row r="333" customFormat="false" ht="15" hidden="false" customHeight="false" outlineLevel="0" collapsed="false">
      <c r="I333" s="31" t="s">
        <v>823</v>
      </c>
      <c r="J333" s="31" t="s">
        <v>2810</v>
      </c>
    </row>
    <row r="334" customFormat="false" ht="15" hidden="false" customHeight="false" outlineLevel="0" collapsed="false">
      <c r="I334" s="31" t="s">
        <v>826</v>
      </c>
      <c r="J334" s="31" t="s">
        <v>2811</v>
      </c>
    </row>
    <row r="335" customFormat="false" ht="15" hidden="false" customHeight="false" outlineLevel="0" collapsed="false">
      <c r="I335" s="31" t="s">
        <v>831</v>
      </c>
      <c r="J335" s="31" t="s">
        <v>2812</v>
      </c>
    </row>
    <row r="336" customFormat="false" ht="15" hidden="false" customHeight="false" outlineLevel="0" collapsed="false">
      <c r="I336" s="31" t="s">
        <v>832</v>
      </c>
      <c r="J336" s="31" t="s">
        <v>2813</v>
      </c>
    </row>
    <row r="337" customFormat="false" ht="15" hidden="false" customHeight="false" outlineLevel="0" collapsed="false">
      <c r="I337" s="31" t="s">
        <v>835</v>
      </c>
      <c r="J337" s="31" t="s">
        <v>2814</v>
      </c>
    </row>
    <row r="338" customFormat="false" ht="15" hidden="false" customHeight="false" outlineLevel="0" collapsed="false">
      <c r="I338" s="31" t="s">
        <v>840</v>
      </c>
      <c r="J338" s="31" t="s">
        <v>2815</v>
      </c>
    </row>
    <row r="339" customFormat="false" ht="15" hidden="false" customHeight="false" outlineLevel="0" collapsed="false">
      <c r="I339" s="31" t="s">
        <v>843</v>
      </c>
      <c r="J339" s="31" t="s">
        <v>2816</v>
      </c>
    </row>
    <row r="340" customFormat="false" ht="15" hidden="false" customHeight="false" outlineLevel="0" collapsed="false">
      <c r="I340" s="31" t="s">
        <v>846</v>
      </c>
      <c r="J340" s="31" t="s">
        <v>2817</v>
      </c>
    </row>
    <row r="341" customFormat="false" ht="15" hidden="false" customHeight="false" outlineLevel="0" collapsed="false">
      <c r="I341" s="31" t="s">
        <v>849</v>
      </c>
      <c r="J341" s="31" t="s">
        <v>2818</v>
      </c>
    </row>
    <row r="342" customFormat="false" ht="15" hidden="false" customHeight="false" outlineLevel="0" collapsed="false">
      <c r="I342" s="31" t="s">
        <v>852</v>
      </c>
      <c r="J342" s="31" t="s">
        <v>2819</v>
      </c>
    </row>
    <row r="343" customFormat="false" ht="15" hidden="false" customHeight="false" outlineLevel="0" collapsed="false">
      <c r="I343" s="31" t="s">
        <v>855</v>
      </c>
      <c r="J343" s="31" t="s">
        <v>2820</v>
      </c>
    </row>
    <row r="344" customFormat="false" ht="15" hidden="false" customHeight="false" outlineLevel="0" collapsed="false">
      <c r="I344" s="31" t="s">
        <v>858</v>
      </c>
      <c r="J344" s="31" t="s">
        <v>2821</v>
      </c>
    </row>
    <row r="345" customFormat="false" ht="15" hidden="false" customHeight="false" outlineLevel="0" collapsed="false">
      <c r="I345" s="31" t="s">
        <v>861</v>
      </c>
      <c r="J345" s="31" t="s">
        <v>2822</v>
      </c>
    </row>
    <row r="346" customFormat="false" ht="15" hidden="false" customHeight="false" outlineLevel="0" collapsed="false">
      <c r="I346" s="31" t="s">
        <v>864</v>
      </c>
      <c r="J346" s="31" t="s">
        <v>2823</v>
      </c>
    </row>
    <row r="347" customFormat="false" ht="15" hidden="false" customHeight="false" outlineLevel="0" collapsed="false">
      <c r="I347" s="31" t="s">
        <v>871</v>
      </c>
      <c r="J347" s="31" t="s">
        <v>2824</v>
      </c>
    </row>
    <row r="348" customFormat="false" ht="15" hidden="false" customHeight="false" outlineLevel="0" collapsed="false">
      <c r="I348" s="31" t="s">
        <v>874</v>
      </c>
      <c r="J348" s="31" t="s">
        <v>2825</v>
      </c>
    </row>
    <row r="349" customFormat="false" ht="15" hidden="false" customHeight="false" outlineLevel="0" collapsed="false">
      <c r="I349" s="31" t="s">
        <v>877</v>
      </c>
      <c r="J349" s="31" t="s">
        <v>2826</v>
      </c>
    </row>
    <row r="350" customFormat="false" ht="15" hidden="false" customHeight="false" outlineLevel="0" collapsed="false">
      <c r="I350" s="31" t="s">
        <v>880</v>
      </c>
      <c r="J350" s="31" t="s">
        <v>2827</v>
      </c>
    </row>
    <row r="351" customFormat="false" ht="15" hidden="false" customHeight="false" outlineLevel="0" collapsed="false">
      <c r="I351" s="31" t="s">
        <v>883</v>
      </c>
      <c r="J351" s="31" t="s">
        <v>2828</v>
      </c>
    </row>
    <row r="352" customFormat="false" ht="15" hidden="false" customHeight="false" outlineLevel="0" collapsed="false">
      <c r="I352" s="31" t="s">
        <v>884</v>
      </c>
      <c r="J352" s="31" t="s">
        <v>2829</v>
      </c>
    </row>
    <row r="353" customFormat="false" ht="15" hidden="false" customHeight="false" outlineLevel="0" collapsed="false">
      <c r="I353" s="31" t="s">
        <v>888</v>
      </c>
      <c r="J353" s="31" t="s">
        <v>2830</v>
      </c>
    </row>
    <row r="354" customFormat="false" ht="15" hidden="false" customHeight="false" outlineLevel="0" collapsed="false">
      <c r="I354" s="31" t="s">
        <v>891</v>
      </c>
      <c r="J354" s="31" t="s">
        <v>2831</v>
      </c>
    </row>
    <row r="355" customFormat="false" ht="15" hidden="false" customHeight="false" outlineLevel="0" collapsed="false">
      <c r="I355" s="31" t="s">
        <v>894</v>
      </c>
      <c r="J355" s="31" t="s">
        <v>2832</v>
      </c>
    </row>
    <row r="356" customFormat="false" ht="15" hidden="false" customHeight="false" outlineLevel="0" collapsed="false">
      <c r="I356" s="31" t="s">
        <v>897</v>
      </c>
      <c r="J356" s="31" t="s">
        <v>2833</v>
      </c>
    </row>
    <row r="357" customFormat="false" ht="15" hidden="false" customHeight="false" outlineLevel="0" collapsed="false">
      <c r="I357" s="31" t="s">
        <v>900</v>
      </c>
      <c r="J357" s="31" t="s">
        <v>2834</v>
      </c>
    </row>
    <row r="358" customFormat="false" ht="15" hidden="false" customHeight="false" outlineLevel="0" collapsed="false">
      <c r="I358" s="31" t="s">
        <v>903</v>
      </c>
      <c r="J358" s="31" t="s">
        <v>2835</v>
      </c>
    </row>
    <row r="359" customFormat="false" ht="15" hidden="false" customHeight="false" outlineLevel="0" collapsed="false">
      <c r="I359" s="31" t="s">
        <v>907</v>
      </c>
      <c r="J359" s="31" t="s">
        <v>2836</v>
      </c>
    </row>
    <row r="360" customFormat="false" ht="15" hidden="false" customHeight="false" outlineLevel="0" collapsed="false">
      <c r="I360" s="31" t="s">
        <v>910</v>
      </c>
      <c r="J360" s="31" t="s">
        <v>2837</v>
      </c>
    </row>
    <row r="361" customFormat="false" ht="15" hidden="false" customHeight="false" outlineLevel="0" collapsed="false">
      <c r="I361" s="31" t="s">
        <v>913</v>
      </c>
      <c r="J361" s="31" t="s">
        <v>2838</v>
      </c>
    </row>
    <row r="362" customFormat="false" ht="15" hidden="false" customHeight="false" outlineLevel="0" collapsed="false">
      <c r="I362" s="31" t="s">
        <v>916</v>
      </c>
      <c r="J362" s="31" t="s">
        <v>2839</v>
      </c>
    </row>
    <row r="363" customFormat="false" ht="15" hidden="false" customHeight="false" outlineLevel="0" collapsed="false">
      <c r="I363" s="31" t="s">
        <v>922</v>
      </c>
      <c r="J363" s="31" t="s">
        <v>2840</v>
      </c>
    </row>
    <row r="364" customFormat="false" ht="15" hidden="false" customHeight="false" outlineLevel="0" collapsed="false">
      <c r="I364" s="31" t="s">
        <v>925</v>
      </c>
      <c r="J364" s="31" t="s">
        <v>2841</v>
      </c>
    </row>
    <row r="365" customFormat="false" ht="15" hidden="false" customHeight="false" outlineLevel="0" collapsed="false">
      <c r="I365" s="31" t="s">
        <v>928</v>
      </c>
      <c r="J365" s="31" t="s">
        <v>2842</v>
      </c>
    </row>
    <row r="366" customFormat="false" ht="15" hidden="false" customHeight="false" outlineLevel="0" collapsed="false">
      <c r="I366" s="31" t="s">
        <v>932</v>
      </c>
      <c r="J366" s="31" t="s">
        <v>2843</v>
      </c>
    </row>
    <row r="367" customFormat="false" ht="15" hidden="false" customHeight="false" outlineLevel="0" collapsed="false">
      <c r="I367" s="31" t="s">
        <v>935</v>
      </c>
      <c r="J367" s="31" t="s">
        <v>2844</v>
      </c>
    </row>
    <row r="368" customFormat="false" ht="15" hidden="false" customHeight="false" outlineLevel="0" collapsed="false">
      <c r="I368" s="31" t="s">
        <v>938</v>
      </c>
      <c r="J368" s="31" t="s">
        <v>2845</v>
      </c>
    </row>
    <row r="369" customFormat="false" ht="15" hidden="false" customHeight="false" outlineLevel="0" collapsed="false">
      <c r="I369" s="31" t="s">
        <v>942</v>
      </c>
      <c r="J369" s="31" t="s">
        <v>2846</v>
      </c>
    </row>
    <row r="370" customFormat="false" ht="15" hidden="false" customHeight="false" outlineLevel="0" collapsed="false">
      <c r="I370" s="31" t="s">
        <v>945</v>
      </c>
      <c r="J370" s="31" t="s">
        <v>2847</v>
      </c>
    </row>
    <row r="371" customFormat="false" ht="15" hidden="false" customHeight="false" outlineLevel="0" collapsed="false">
      <c r="I371" s="31" t="s">
        <v>948</v>
      </c>
      <c r="J371" s="31" t="s">
        <v>2848</v>
      </c>
    </row>
    <row r="372" customFormat="false" ht="15" hidden="false" customHeight="false" outlineLevel="0" collapsed="false">
      <c r="I372" s="31" t="s">
        <v>951</v>
      </c>
      <c r="J372" s="31" t="s">
        <v>2849</v>
      </c>
    </row>
    <row r="373" customFormat="false" ht="15" hidden="false" customHeight="false" outlineLevel="0" collapsed="false">
      <c r="I373" s="31" t="s">
        <v>954</v>
      </c>
      <c r="J373" s="31" t="s">
        <v>2850</v>
      </c>
    </row>
    <row r="374" customFormat="false" ht="15" hidden="false" customHeight="false" outlineLevel="0" collapsed="false">
      <c r="I374" s="31" t="s">
        <v>958</v>
      </c>
      <c r="J374" s="31" t="s">
        <v>2851</v>
      </c>
    </row>
    <row r="375" customFormat="false" ht="15" hidden="false" customHeight="false" outlineLevel="0" collapsed="false">
      <c r="I375" s="31" t="s">
        <v>961</v>
      </c>
      <c r="J375" s="31" t="s">
        <v>2852</v>
      </c>
    </row>
    <row r="376" customFormat="false" ht="15" hidden="false" customHeight="false" outlineLevel="0" collapsed="false">
      <c r="I376" s="31" t="s">
        <v>964</v>
      </c>
      <c r="J376" s="31" t="s">
        <v>2853</v>
      </c>
    </row>
    <row r="377" customFormat="false" ht="15" hidden="false" customHeight="false" outlineLevel="0" collapsed="false">
      <c r="I377" s="31" t="s">
        <v>967</v>
      </c>
      <c r="J377" s="31" t="s">
        <v>2854</v>
      </c>
    </row>
    <row r="378" customFormat="false" ht="15" hidden="false" customHeight="false" outlineLevel="0" collapsed="false">
      <c r="I378" s="31" t="s">
        <v>970</v>
      </c>
      <c r="J378" s="31" t="s">
        <v>2855</v>
      </c>
    </row>
    <row r="379" customFormat="false" ht="15" hidden="false" customHeight="false" outlineLevel="0" collapsed="false">
      <c r="I379" s="31" t="s">
        <v>976</v>
      </c>
      <c r="J379" s="31" t="s">
        <v>2856</v>
      </c>
    </row>
    <row r="380" customFormat="false" ht="15" hidden="false" customHeight="false" outlineLevel="0" collapsed="false">
      <c r="I380" s="31" t="s">
        <v>979</v>
      </c>
      <c r="J380" s="31" t="s">
        <v>2857</v>
      </c>
    </row>
    <row r="381" customFormat="false" ht="15" hidden="false" customHeight="false" outlineLevel="0" collapsed="false">
      <c r="I381" s="31" t="s">
        <v>982</v>
      </c>
      <c r="J381" s="31" t="s">
        <v>2858</v>
      </c>
    </row>
    <row r="382" customFormat="false" ht="15" hidden="false" customHeight="false" outlineLevel="0" collapsed="false">
      <c r="I382" s="31" t="s">
        <v>985</v>
      </c>
      <c r="J382" s="31" t="s">
        <v>2859</v>
      </c>
    </row>
    <row r="383" customFormat="false" ht="15" hidden="false" customHeight="false" outlineLevel="0" collapsed="false">
      <c r="I383" s="31" t="s">
        <v>988</v>
      </c>
      <c r="J383" s="31" t="s">
        <v>2860</v>
      </c>
    </row>
    <row r="384" customFormat="false" ht="15" hidden="false" customHeight="false" outlineLevel="0" collapsed="false">
      <c r="I384" s="31" t="s">
        <v>992</v>
      </c>
      <c r="J384" s="31" t="s">
        <v>2861</v>
      </c>
    </row>
    <row r="385" customFormat="false" ht="15" hidden="false" customHeight="false" outlineLevel="0" collapsed="false">
      <c r="I385" s="31" t="s">
        <v>995</v>
      </c>
      <c r="J385" s="31" t="s">
        <v>2862</v>
      </c>
    </row>
    <row r="386" customFormat="false" ht="15" hidden="false" customHeight="false" outlineLevel="0" collapsed="false">
      <c r="I386" s="31" t="s">
        <v>998</v>
      </c>
      <c r="J386" s="31" t="s">
        <v>2863</v>
      </c>
    </row>
    <row r="387" customFormat="false" ht="15" hidden="false" customHeight="false" outlineLevel="0" collapsed="false">
      <c r="I387" s="31" t="s">
        <v>1004</v>
      </c>
      <c r="J387" s="31" t="s">
        <v>2864</v>
      </c>
    </row>
    <row r="388" customFormat="false" ht="15" hidden="false" customHeight="false" outlineLevel="0" collapsed="false">
      <c r="I388" s="31" t="s">
        <v>1007</v>
      </c>
      <c r="J388" s="31" t="s">
        <v>2865</v>
      </c>
    </row>
    <row r="389" customFormat="false" ht="15" hidden="false" customHeight="false" outlineLevel="0" collapsed="false">
      <c r="I389" s="31" t="s">
        <v>1010</v>
      </c>
      <c r="J389" s="31" t="s">
        <v>2866</v>
      </c>
    </row>
    <row r="390" customFormat="false" ht="15" hidden="false" customHeight="false" outlineLevel="0" collapsed="false">
      <c r="I390" s="31" t="s">
        <v>1013</v>
      </c>
      <c r="J390" s="31" t="s">
        <v>2867</v>
      </c>
    </row>
    <row r="391" customFormat="false" ht="15" hidden="false" customHeight="false" outlineLevel="0" collapsed="false">
      <c r="I391" s="31" t="s">
        <v>1017</v>
      </c>
      <c r="J391" s="31" t="s">
        <v>2868</v>
      </c>
    </row>
    <row r="392" customFormat="false" ht="15" hidden="false" customHeight="false" outlineLevel="0" collapsed="false">
      <c r="I392" s="31" t="s">
        <v>1020</v>
      </c>
      <c r="J392" s="31" t="s">
        <v>2869</v>
      </c>
    </row>
    <row r="393" customFormat="false" ht="15" hidden="false" customHeight="false" outlineLevel="0" collapsed="false">
      <c r="I393" s="31" t="s">
        <v>1023</v>
      </c>
      <c r="J393" s="31" t="s">
        <v>2870</v>
      </c>
    </row>
    <row r="394" customFormat="false" ht="15" hidden="false" customHeight="false" outlineLevel="0" collapsed="false">
      <c r="I394" s="31" t="s">
        <v>1026</v>
      </c>
      <c r="J394" s="31" t="s">
        <v>2871</v>
      </c>
    </row>
    <row r="395" customFormat="false" ht="15" hidden="false" customHeight="false" outlineLevel="0" collapsed="false">
      <c r="I395" s="31" t="s">
        <v>1030</v>
      </c>
      <c r="J395" s="31" t="s">
        <v>2872</v>
      </c>
    </row>
    <row r="396" customFormat="false" ht="15" hidden="false" customHeight="false" outlineLevel="0" collapsed="false">
      <c r="I396" s="31" t="s">
        <v>1033</v>
      </c>
      <c r="J396" s="31" t="s">
        <v>2873</v>
      </c>
    </row>
    <row r="397" customFormat="false" ht="15" hidden="false" customHeight="false" outlineLevel="0" collapsed="false">
      <c r="I397" s="31" t="s">
        <v>1036</v>
      </c>
      <c r="J397" s="31" t="s">
        <v>2874</v>
      </c>
    </row>
    <row r="398" customFormat="false" ht="15" hidden="false" customHeight="false" outlineLevel="0" collapsed="false">
      <c r="I398" s="31" t="s">
        <v>1039</v>
      </c>
      <c r="J398" s="31" t="s">
        <v>2875</v>
      </c>
    </row>
    <row r="399" customFormat="false" ht="15" hidden="false" customHeight="false" outlineLevel="0" collapsed="false">
      <c r="I399" s="31" t="s">
        <v>1045</v>
      </c>
      <c r="J399" s="31" t="s">
        <v>2876</v>
      </c>
    </row>
    <row r="400" customFormat="false" ht="15" hidden="false" customHeight="false" outlineLevel="0" collapsed="false">
      <c r="I400" s="31" t="s">
        <v>1048</v>
      </c>
      <c r="J400" s="31" t="s">
        <v>2877</v>
      </c>
    </row>
    <row r="401" customFormat="false" ht="15" hidden="false" customHeight="false" outlineLevel="0" collapsed="false">
      <c r="I401" s="31" t="s">
        <v>1051</v>
      </c>
      <c r="J401" s="31" t="s">
        <v>2878</v>
      </c>
    </row>
    <row r="402" customFormat="false" ht="15" hidden="false" customHeight="false" outlineLevel="0" collapsed="false">
      <c r="I402" s="31" t="s">
        <v>1054</v>
      </c>
      <c r="J402" s="31" t="s">
        <v>2879</v>
      </c>
    </row>
    <row r="403" customFormat="false" ht="15" hidden="false" customHeight="false" outlineLevel="0" collapsed="false">
      <c r="I403" s="31" t="s">
        <v>1057</v>
      </c>
      <c r="J403" s="31" t="s">
        <v>2880</v>
      </c>
    </row>
    <row r="404" customFormat="false" ht="15" hidden="false" customHeight="false" outlineLevel="0" collapsed="false">
      <c r="I404" s="31" t="s">
        <v>1060</v>
      </c>
      <c r="J404" s="31" t="s">
        <v>2881</v>
      </c>
    </row>
    <row r="405" customFormat="false" ht="15" hidden="false" customHeight="false" outlineLevel="0" collapsed="false">
      <c r="I405" s="31" t="s">
        <v>1064</v>
      </c>
      <c r="J405" s="31" t="s">
        <v>2882</v>
      </c>
    </row>
    <row r="406" customFormat="false" ht="15" hidden="false" customHeight="false" outlineLevel="0" collapsed="false">
      <c r="I406" s="31" t="s">
        <v>1067</v>
      </c>
      <c r="J406" s="31" t="s">
        <v>2883</v>
      </c>
    </row>
    <row r="407" customFormat="false" ht="15" hidden="false" customHeight="false" outlineLevel="0" collapsed="false">
      <c r="I407" s="31" t="s">
        <v>1070</v>
      </c>
      <c r="J407" s="31" t="s">
        <v>2884</v>
      </c>
    </row>
    <row r="408" customFormat="false" ht="15" hidden="false" customHeight="false" outlineLevel="0" collapsed="false">
      <c r="I408" s="31" t="s">
        <v>1073</v>
      </c>
      <c r="J408" s="31" t="s">
        <v>2885</v>
      </c>
    </row>
    <row r="409" customFormat="false" ht="15" hidden="false" customHeight="false" outlineLevel="0" collapsed="false">
      <c r="I409" s="31" t="s">
        <v>1076</v>
      </c>
      <c r="J409" s="31" t="s">
        <v>2886</v>
      </c>
    </row>
    <row r="410" customFormat="false" ht="15" hidden="false" customHeight="false" outlineLevel="0" collapsed="false">
      <c r="I410" s="31" t="s">
        <v>1079</v>
      </c>
      <c r="J410" s="31" t="s">
        <v>2887</v>
      </c>
    </row>
    <row r="411" customFormat="false" ht="15" hidden="false" customHeight="false" outlineLevel="0" collapsed="false">
      <c r="I411" s="31" t="s">
        <v>1084</v>
      </c>
      <c r="J411" s="31" t="s">
        <v>2888</v>
      </c>
    </row>
    <row r="412" customFormat="false" ht="15" hidden="false" customHeight="false" outlineLevel="0" collapsed="false">
      <c r="I412" s="31" t="s">
        <v>1087</v>
      </c>
      <c r="J412" s="31" t="s">
        <v>2889</v>
      </c>
    </row>
    <row r="413" customFormat="false" ht="15" hidden="false" customHeight="false" outlineLevel="0" collapsed="false">
      <c r="I413" s="31" t="s">
        <v>1090</v>
      </c>
      <c r="J413" s="31" t="s">
        <v>2890</v>
      </c>
    </row>
    <row r="414" customFormat="false" ht="15" hidden="false" customHeight="false" outlineLevel="0" collapsed="false">
      <c r="I414" s="31" t="s">
        <v>1093</v>
      </c>
      <c r="J414" s="31" t="s">
        <v>2891</v>
      </c>
    </row>
    <row r="415" customFormat="false" ht="15" hidden="false" customHeight="false" outlineLevel="0" collapsed="false">
      <c r="I415" s="31" t="s">
        <v>1097</v>
      </c>
      <c r="J415" s="31" t="s">
        <v>2892</v>
      </c>
    </row>
    <row r="416" customFormat="false" ht="15" hidden="false" customHeight="false" outlineLevel="0" collapsed="false">
      <c r="I416" s="31" t="s">
        <v>1100</v>
      </c>
      <c r="J416" s="31" t="s">
        <v>2893</v>
      </c>
    </row>
    <row r="417" customFormat="false" ht="15" hidden="false" customHeight="false" outlineLevel="0" collapsed="false">
      <c r="I417" s="31" t="s">
        <v>1103</v>
      </c>
      <c r="J417" s="31" t="s">
        <v>2894</v>
      </c>
    </row>
    <row r="418" customFormat="false" ht="15" hidden="false" customHeight="false" outlineLevel="0" collapsed="false">
      <c r="I418" s="31" t="s">
        <v>1106</v>
      </c>
      <c r="J418" s="31" t="s">
        <v>2895</v>
      </c>
    </row>
    <row r="419" customFormat="false" ht="15" hidden="false" customHeight="false" outlineLevel="0" collapsed="false">
      <c r="I419" s="31" t="s">
        <v>1109</v>
      </c>
      <c r="J419" s="31" t="s">
        <v>2896</v>
      </c>
    </row>
    <row r="420" customFormat="false" ht="15" hidden="false" customHeight="false" outlineLevel="0" collapsed="false">
      <c r="I420" s="31" t="s">
        <v>1113</v>
      </c>
      <c r="J420" s="31" t="s">
        <v>2897</v>
      </c>
    </row>
    <row r="421" customFormat="false" ht="15" hidden="false" customHeight="false" outlineLevel="0" collapsed="false">
      <c r="I421" s="31" t="s">
        <v>1116</v>
      </c>
      <c r="J421" s="31" t="s">
        <v>2898</v>
      </c>
    </row>
    <row r="422" customFormat="false" ht="15" hidden="false" customHeight="false" outlineLevel="0" collapsed="false">
      <c r="I422" s="31" t="s">
        <v>1119</v>
      </c>
      <c r="J422" s="31" t="s">
        <v>2899</v>
      </c>
    </row>
    <row r="423" customFormat="false" ht="15" hidden="false" customHeight="false" outlineLevel="0" collapsed="false">
      <c r="I423" s="31" t="s">
        <v>1122</v>
      </c>
      <c r="J423" s="31" t="s">
        <v>2900</v>
      </c>
    </row>
    <row r="424" customFormat="false" ht="15" hidden="false" customHeight="false" outlineLevel="0" collapsed="false">
      <c r="I424" s="31" t="s">
        <v>1126</v>
      </c>
      <c r="J424" s="31" t="s">
        <v>2901</v>
      </c>
    </row>
    <row r="425" customFormat="false" ht="15" hidden="false" customHeight="false" outlineLevel="0" collapsed="false">
      <c r="I425" s="31" t="s">
        <v>1129</v>
      </c>
      <c r="J425" s="31" t="s">
        <v>2902</v>
      </c>
    </row>
    <row r="426" customFormat="false" ht="15" hidden="false" customHeight="false" outlineLevel="0" collapsed="false">
      <c r="I426" s="31" t="s">
        <v>1132</v>
      </c>
      <c r="J426" s="31" t="s">
        <v>2903</v>
      </c>
    </row>
    <row r="427" customFormat="false" ht="15" hidden="false" customHeight="false" outlineLevel="0" collapsed="false">
      <c r="I427" s="31" t="s">
        <v>1135</v>
      </c>
      <c r="J427" s="31" t="s">
        <v>2904</v>
      </c>
    </row>
    <row r="428" customFormat="false" ht="15" hidden="false" customHeight="false" outlineLevel="0" collapsed="false">
      <c r="I428" s="31" t="s">
        <v>1141</v>
      </c>
      <c r="J428" s="31" t="s">
        <v>2905</v>
      </c>
    </row>
    <row r="429" customFormat="false" ht="15" hidden="false" customHeight="false" outlineLevel="0" collapsed="false">
      <c r="I429" s="31" t="s">
        <v>1144</v>
      </c>
      <c r="J429" s="31" t="s">
        <v>2906</v>
      </c>
    </row>
    <row r="430" customFormat="false" ht="15" hidden="false" customHeight="false" outlineLevel="0" collapsed="false">
      <c r="I430" s="31" t="s">
        <v>1147</v>
      </c>
      <c r="J430" s="31" t="s">
        <v>2907</v>
      </c>
    </row>
    <row r="431" customFormat="false" ht="15" hidden="false" customHeight="false" outlineLevel="0" collapsed="false">
      <c r="I431" s="31" t="s">
        <v>1150</v>
      </c>
      <c r="J431" s="31" t="s">
        <v>2908</v>
      </c>
    </row>
    <row r="432" customFormat="false" ht="15" hidden="false" customHeight="false" outlineLevel="0" collapsed="false">
      <c r="I432" s="31" t="s">
        <v>1154</v>
      </c>
      <c r="J432" s="31" t="s">
        <v>2909</v>
      </c>
    </row>
    <row r="433" customFormat="false" ht="15" hidden="false" customHeight="false" outlineLevel="0" collapsed="false">
      <c r="I433" s="31" t="s">
        <v>1157</v>
      </c>
      <c r="J433" s="31" t="s">
        <v>2910</v>
      </c>
    </row>
    <row r="434" customFormat="false" ht="15" hidden="false" customHeight="false" outlineLevel="0" collapsed="false">
      <c r="I434" s="31" t="s">
        <v>1160</v>
      </c>
      <c r="J434" s="31" t="s">
        <v>2911</v>
      </c>
    </row>
    <row r="435" customFormat="false" ht="15" hidden="false" customHeight="false" outlineLevel="0" collapsed="false">
      <c r="I435" s="31" t="s">
        <v>1163</v>
      </c>
      <c r="J435" s="31" t="s">
        <v>2912</v>
      </c>
    </row>
    <row r="436" customFormat="false" ht="15" hidden="false" customHeight="false" outlineLevel="0" collapsed="false">
      <c r="I436" s="31" t="s">
        <v>1167</v>
      </c>
      <c r="J436" s="31" t="s">
        <v>2913</v>
      </c>
    </row>
    <row r="437" customFormat="false" ht="15" hidden="false" customHeight="false" outlineLevel="0" collapsed="false">
      <c r="I437" s="31" t="s">
        <v>1170</v>
      </c>
      <c r="J437" s="31" t="s">
        <v>2914</v>
      </c>
    </row>
    <row r="438" customFormat="false" ht="15" hidden="false" customHeight="false" outlineLevel="0" collapsed="false">
      <c r="I438" s="31" t="s">
        <v>1173</v>
      </c>
      <c r="J438" s="31" t="s">
        <v>2915</v>
      </c>
    </row>
    <row r="439" customFormat="false" ht="15" hidden="false" customHeight="false" outlineLevel="0" collapsed="false">
      <c r="I439" s="31" t="s">
        <v>1176</v>
      </c>
      <c r="J439" s="31" t="s">
        <v>2916</v>
      </c>
    </row>
    <row r="440" customFormat="false" ht="15" hidden="false" customHeight="false" outlineLevel="0" collapsed="false">
      <c r="I440" s="31" t="s">
        <v>1179</v>
      </c>
      <c r="J440" s="31" t="s">
        <v>2917</v>
      </c>
    </row>
    <row r="441" customFormat="false" ht="15" hidden="false" customHeight="false" outlineLevel="0" collapsed="false">
      <c r="I441" s="31" t="s">
        <v>1183</v>
      </c>
      <c r="J441" s="31" t="s">
        <v>2918</v>
      </c>
    </row>
    <row r="442" customFormat="false" ht="15" hidden="false" customHeight="false" outlineLevel="0" collapsed="false">
      <c r="I442" s="31" t="s">
        <v>1186</v>
      </c>
      <c r="J442" s="31" t="s">
        <v>2919</v>
      </c>
    </row>
    <row r="443" customFormat="false" ht="15" hidden="false" customHeight="false" outlineLevel="0" collapsed="false">
      <c r="I443" s="31" t="s">
        <v>1189</v>
      </c>
      <c r="J443" s="31" t="s">
        <v>2920</v>
      </c>
    </row>
    <row r="444" customFormat="false" ht="15" hidden="false" customHeight="false" outlineLevel="0" collapsed="false">
      <c r="I444" s="31" t="s">
        <v>1192</v>
      </c>
      <c r="J444" s="31" t="s">
        <v>2921</v>
      </c>
    </row>
    <row r="445" customFormat="false" ht="15" hidden="false" customHeight="false" outlineLevel="0" collapsed="false">
      <c r="I445" s="31" t="s">
        <v>1195</v>
      </c>
      <c r="J445" s="31" t="s">
        <v>2922</v>
      </c>
    </row>
    <row r="446" customFormat="false" ht="15" hidden="false" customHeight="false" outlineLevel="0" collapsed="false">
      <c r="I446" s="31" t="s">
        <v>1199</v>
      </c>
      <c r="J446" s="31" t="s">
        <v>2923</v>
      </c>
    </row>
    <row r="447" customFormat="false" ht="15" hidden="false" customHeight="false" outlineLevel="0" collapsed="false">
      <c r="I447" s="31" t="s">
        <v>1202</v>
      </c>
      <c r="J447" s="31" t="s">
        <v>2924</v>
      </c>
    </row>
    <row r="448" customFormat="false" ht="15" hidden="false" customHeight="false" outlineLevel="0" collapsed="false">
      <c r="I448" s="31" t="s">
        <v>1208</v>
      </c>
      <c r="J448" s="31" t="s">
        <v>2925</v>
      </c>
    </row>
    <row r="449" customFormat="false" ht="15" hidden="false" customHeight="false" outlineLevel="0" collapsed="false">
      <c r="I449" s="31" t="s">
        <v>1211</v>
      </c>
      <c r="J449" s="31" t="s">
        <v>2926</v>
      </c>
    </row>
    <row r="450" customFormat="false" ht="15" hidden="false" customHeight="false" outlineLevel="0" collapsed="false">
      <c r="I450" s="31" t="s">
        <v>1212</v>
      </c>
      <c r="J450" s="31" t="s">
        <v>2927</v>
      </c>
    </row>
    <row r="451" customFormat="false" ht="15" hidden="false" customHeight="false" outlineLevel="0" collapsed="false">
      <c r="I451" s="31" t="s">
        <v>1215</v>
      </c>
      <c r="J451" s="31" t="s">
        <v>2928</v>
      </c>
    </row>
    <row r="452" customFormat="false" ht="15" hidden="false" customHeight="false" outlineLevel="0" collapsed="false">
      <c r="I452" s="31" t="s">
        <v>1218</v>
      </c>
      <c r="J452" s="31" t="s">
        <v>2929</v>
      </c>
    </row>
    <row r="453" customFormat="false" ht="15" hidden="false" customHeight="false" outlineLevel="0" collapsed="false">
      <c r="I453" s="31" t="s">
        <v>1222</v>
      </c>
      <c r="J453" s="31" t="s">
        <v>2930</v>
      </c>
    </row>
    <row r="454" customFormat="false" ht="15" hidden="false" customHeight="false" outlineLevel="0" collapsed="false">
      <c r="I454" s="31" t="s">
        <v>1225</v>
      </c>
      <c r="J454" s="31" t="s">
        <v>2931</v>
      </c>
    </row>
    <row r="455" customFormat="false" ht="15" hidden="false" customHeight="false" outlineLevel="0" collapsed="false">
      <c r="I455" s="31" t="s">
        <v>1228</v>
      </c>
      <c r="J455" s="31" t="s">
        <v>2932</v>
      </c>
    </row>
    <row r="456" customFormat="false" ht="15" hidden="false" customHeight="false" outlineLevel="0" collapsed="false">
      <c r="I456" s="31" t="s">
        <v>1231</v>
      </c>
      <c r="J456" s="31" t="s">
        <v>2933</v>
      </c>
    </row>
    <row r="457" customFormat="false" ht="15" hidden="false" customHeight="false" outlineLevel="0" collapsed="false">
      <c r="I457" s="31" t="s">
        <v>1234</v>
      </c>
      <c r="J457" s="31" t="s">
        <v>2934</v>
      </c>
    </row>
    <row r="458" customFormat="false" ht="15" hidden="false" customHeight="false" outlineLevel="0" collapsed="false">
      <c r="I458" s="31" t="s">
        <v>1238</v>
      </c>
      <c r="J458" s="31" t="s">
        <v>2935</v>
      </c>
    </row>
    <row r="459" customFormat="false" ht="15" hidden="false" customHeight="false" outlineLevel="0" collapsed="false">
      <c r="I459" s="31" t="s">
        <v>1241</v>
      </c>
      <c r="J459" s="31" t="s">
        <v>2936</v>
      </c>
    </row>
    <row r="460" customFormat="false" ht="15" hidden="false" customHeight="false" outlineLevel="0" collapsed="false">
      <c r="I460" s="31" t="s">
        <v>1244</v>
      </c>
      <c r="J460" s="31" t="s">
        <v>2937</v>
      </c>
    </row>
    <row r="461" customFormat="false" ht="15" hidden="false" customHeight="false" outlineLevel="0" collapsed="false">
      <c r="I461" s="31" t="s">
        <v>1247</v>
      </c>
      <c r="J461" s="31" t="s">
        <v>2938</v>
      </c>
    </row>
    <row r="462" customFormat="false" ht="15" hidden="false" customHeight="false" outlineLevel="0" collapsed="false">
      <c r="I462" s="31" t="s">
        <v>1250</v>
      </c>
      <c r="J462" s="31" t="s">
        <v>2939</v>
      </c>
    </row>
    <row r="463" customFormat="false" ht="15" hidden="false" customHeight="false" outlineLevel="0" collapsed="false">
      <c r="I463" s="31" t="s">
        <v>1253</v>
      </c>
      <c r="J463" s="31" t="s">
        <v>2940</v>
      </c>
    </row>
    <row r="464" customFormat="false" ht="15" hidden="false" customHeight="false" outlineLevel="0" collapsed="false">
      <c r="I464" s="31" t="s">
        <v>1257</v>
      </c>
      <c r="J464" s="31" t="s">
        <v>2941</v>
      </c>
    </row>
    <row r="465" customFormat="false" ht="15" hidden="false" customHeight="false" outlineLevel="0" collapsed="false">
      <c r="I465" s="31" t="s">
        <v>1260</v>
      </c>
      <c r="J465" s="31" t="s">
        <v>2942</v>
      </c>
    </row>
    <row r="466" customFormat="false" ht="15" hidden="false" customHeight="false" outlineLevel="0" collapsed="false">
      <c r="I466" s="31" t="s">
        <v>1263</v>
      </c>
      <c r="J466" s="31" t="s">
        <v>2943</v>
      </c>
    </row>
    <row r="467" customFormat="false" ht="15" hidden="false" customHeight="false" outlineLevel="0" collapsed="false">
      <c r="I467" s="31" t="s">
        <v>1269</v>
      </c>
      <c r="J467" s="31" t="s">
        <v>2944</v>
      </c>
    </row>
    <row r="468" customFormat="false" ht="15" hidden="false" customHeight="false" outlineLevel="0" collapsed="false">
      <c r="I468" s="31" t="s">
        <v>1272</v>
      </c>
      <c r="J468" s="31" t="s">
        <v>2945</v>
      </c>
    </row>
    <row r="469" customFormat="false" ht="15" hidden="false" customHeight="false" outlineLevel="0" collapsed="false">
      <c r="I469" s="31" t="s">
        <v>1275</v>
      </c>
      <c r="J469" s="31" t="s">
        <v>2946</v>
      </c>
    </row>
    <row r="470" customFormat="false" ht="15" hidden="false" customHeight="false" outlineLevel="0" collapsed="false">
      <c r="I470" s="31" t="s">
        <v>1278</v>
      </c>
      <c r="J470" s="31" t="s">
        <v>2947</v>
      </c>
    </row>
    <row r="471" customFormat="false" ht="15" hidden="false" customHeight="false" outlineLevel="0" collapsed="false">
      <c r="I471" s="31" t="s">
        <v>1282</v>
      </c>
      <c r="J471" s="31" t="s">
        <v>2948</v>
      </c>
    </row>
    <row r="472" customFormat="false" ht="15" hidden="false" customHeight="false" outlineLevel="0" collapsed="false">
      <c r="I472" s="31" t="s">
        <v>1285</v>
      </c>
      <c r="J472" s="31" t="s">
        <v>2949</v>
      </c>
    </row>
    <row r="473" customFormat="false" ht="15" hidden="false" customHeight="false" outlineLevel="0" collapsed="false">
      <c r="I473" s="31" t="s">
        <v>1288</v>
      </c>
      <c r="J473" s="31" t="s">
        <v>2950</v>
      </c>
    </row>
    <row r="474" customFormat="false" ht="15" hidden="false" customHeight="false" outlineLevel="0" collapsed="false">
      <c r="I474" s="31" t="s">
        <v>1291</v>
      </c>
      <c r="J474" s="31" t="s">
        <v>2951</v>
      </c>
    </row>
    <row r="475" customFormat="false" ht="15" hidden="false" customHeight="false" outlineLevel="0" collapsed="false">
      <c r="I475" s="31" t="s">
        <v>1295</v>
      </c>
      <c r="J475" s="31" t="s">
        <v>2952</v>
      </c>
    </row>
    <row r="476" customFormat="false" ht="15" hidden="false" customHeight="false" outlineLevel="0" collapsed="false">
      <c r="I476" s="31" t="s">
        <v>1298</v>
      </c>
      <c r="J476" s="31" t="s">
        <v>2953</v>
      </c>
    </row>
    <row r="477" customFormat="false" ht="15" hidden="false" customHeight="false" outlineLevel="0" collapsed="false">
      <c r="I477" s="31" t="s">
        <v>1301</v>
      </c>
      <c r="J477" s="31" t="s">
        <v>2954</v>
      </c>
    </row>
    <row r="478" customFormat="false" ht="15" hidden="false" customHeight="false" outlineLevel="0" collapsed="false">
      <c r="I478" s="31" t="s">
        <v>1305</v>
      </c>
      <c r="J478" s="31" t="s">
        <v>2955</v>
      </c>
    </row>
    <row r="479" customFormat="false" ht="15" hidden="false" customHeight="false" outlineLevel="0" collapsed="false">
      <c r="I479" s="31" t="s">
        <v>1308</v>
      </c>
      <c r="J479" s="31" t="s">
        <v>2956</v>
      </c>
    </row>
    <row r="480" customFormat="false" ht="15" hidden="false" customHeight="false" outlineLevel="0" collapsed="false">
      <c r="I480" s="31" t="s">
        <v>1311</v>
      </c>
      <c r="J480" s="31" t="s">
        <v>2957</v>
      </c>
    </row>
    <row r="481" customFormat="false" ht="15" hidden="false" customHeight="false" outlineLevel="0" collapsed="false">
      <c r="I481" s="31" t="s">
        <v>1314</v>
      </c>
      <c r="J481" s="31" t="s">
        <v>2958</v>
      </c>
    </row>
    <row r="482" customFormat="false" ht="15" hidden="false" customHeight="false" outlineLevel="0" collapsed="false">
      <c r="I482" s="31" t="s">
        <v>1320</v>
      </c>
      <c r="J482" s="31" t="s">
        <v>2959</v>
      </c>
    </row>
    <row r="483" customFormat="false" ht="15" hidden="false" customHeight="false" outlineLevel="0" collapsed="false">
      <c r="I483" s="31" t="s">
        <v>1323</v>
      </c>
      <c r="J483" s="31" t="s">
        <v>2960</v>
      </c>
    </row>
    <row r="484" customFormat="false" ht="15" hidden="false" customHeight="false" outlineLevel="0" collapsed="false">
      <c r="I484" s="31" t="s">
        <v>1326</v>
      </c>
      <c r="J484" s="31" t="s">
        <v>2961</v>
      </c>
    </row>
    <row r="485" customFormat="false" ht="15" hidden="false" customHeight="false" outlineLevel="0" collapsed="false">
      <c r="I485" s="31" t="s">
        <v>1329</v>
      </c>
      <c r="J485" s="31" t="s">
        <v>2962</v>
      </c>
    </row>
    <row r="486" customFormat="false" ht="15" hidden="false" customHeight="false" outlineLevel="0" collapsed="false">
      <c r="I486" s="31" t="s">
        <v>1335</v>
      </c>
      <c r="J486" s="31" t="s">
        <v>2963</v>
      </c>
    </row>
    <row r="487" customFormat="false" ht="15" hidden="false" customHeight="false" outlineLevel="0" collapsed="false">
      <c r="I487" s="31" t="s">
        <v>1338</v>
      </c>
      <c r="J487" s="31" t="s">
        <v>2964</v>
      </c>
    </row>
    <row r="488" customFormat="false" ht="15" hidden="false" customHeight="false" outlineLevel="0" collapsed="false">
      <c r="I488" s="31" t="s">
        <v>1341</v>
      </c>
      <c r="J488" s="31" t="s">
        <v>2965</v>
      </c>
    </row>
    <row r="489" customFormat="false" ht="15" hidden="false" customHeight="false" outlineLevel="0" collapsed="false">
      <c r="I489" s="31" t="s">
        <v>1344</v>
      </c>
      <c r="J489" s="31" t="s">
        <v>2966</v>
      </c>
    </row>
    <row r="490" customFormat="false" ht="15" hidden="false" customHeight="false" outlineLevel="0" collapsed="false">
      <c r="I490" s="31" t="s">
        <v>1347</v>
      </c>
      <c r="J490" s="31" t="s">
        <v>2967</v>
      </c>
    </row>
    <row r="491" customFormat="false" ht="15" hidden="false" customHeight="false" outlineLevel="0" collapsed="false">
      <c r="I491" s="31" t="s">
        <v>1351</v>
      </c>
      <c r="J491" s="31" t="s">
        <v>2968</v>
      </c>
    </row>
    <row r="492" customFormat="false" ht="15" hidden="false" customHeight="false" outlineLevel="0" collapsed="false">
      <c r="I492" s="31" t="s">
        <v>1354</v>
      </c>
      <c r="J492" s="31" t="s">
        <v>2969</v>
      </c>
    </row>
    <row r="493" customFormat="false" ht="15" hidden="false" customHeight="false" outlineLevel="0" collapsed="false">
      <c r="I493" s="31" t="s">
        <v>1357</v>
      </c>
      <c r="J493" s="31" t="s">
        <v>2970</v>
      </c>
    </row>
    <row r="494" customFormat="false" ht="15" hidden="false" customHeight="false" outlineLevel="0" collapsed="false">
      <c r="I494" s="31" t="s">
        <v>1363</v>
      </c>
      <c r="J494" s="31" t="s">
        <v>2971</v>
      </c>
    </row>
    <row r="495" customFormat="false" ht="15" hidden="false" customHeight="false" outlineLevel="0" collapsed="false">
      <c r="I495" s="31" t="s">
        <v>1366</v>
      </c>
      <c r="J495" s="31" t="s">
        <v>2972</v>
      </c>
    </row>
    <row r="496" customFormat="false" ht="15" hidden="false" customHeight="false" outlineLevel="0" collapsed="false">
      <c r="I496" s="31" t="s">
        <v>1369</v>
      </c>
      <c r="J496" s="31" t="s">
        <v>2973</v>
      </c>
    </row>
    <row r="497" customFormat="false" ht="15" hidden="false" customHeight="false" outlineLevel="0" collapsed="false">
      <c r="I497" s="31" t="s">
        <v>1372</v>
      </c>
      <c r="J497" s="31" t="s">
        <v>2974</v>
      </c>
    </row>
    <row r="498" customFormat="false" ht="15" hidden="false" customHeight="false" outlineLevel="0" collapsed="false">
      <c r="I498" s="31" t="s">
        <v>1375</v>
      </c>
      <c r="J498" s="31" t="s">
        <v>2975</v>
      </c>
    </row>
    <row r="499" customFormat="false" ht="15" hidden="false" customHeight="false" outlineLevel="0" collapsed="false">
      <c r="I499" s="31" t="s">
        <v>1382</v>
      </c>
      <c r="J499" s="31" t="s">
        <v>2976</v>
      </c>
    </row>
    <row r="500" customFormat="false" ht="15" hidden="false" customHeight="false" outlineLevel="0" collapsed="false">
      <c r="I500" s="31" t="s">
        <v>1385</v>
      </c>
      <c r="J500" s="31" t="s">
        <v>2977</v>
      </c>
    </row>
    <row r="501" customFormat="false" ht="15" hidden="false" customHeight="false" outlineLevel="0" collapsed="false">
      <c r="I501" s="31" t="s">
        <v>1386</v>
      </c>
      <c r="J501" s="31" t="s">
        <v>2978</v>
      </c>
    </row>
    <row r="502" customFormat="false" ht="15" hidden="false" customHeight="false" outlineLevel="0" collapsed="false">
      <c r="I502" s="31" t="s">
        <v>1391</v>
      </c>
      <c r="J502" s="31" t="s">
        <v>2979</v>
      </c>
    </row>
    <row r="503" customFormat="false" ht="15" hidden="false" customHeight="false" outlineLevel="0" collapsed="false">
      <c r="I503" s="31" t="s">
        <v>1394</v>
      </c>
      <c r="J503" s="31" t="s">
        <v>2980</v>
      </c>
    </row>
    <row r="504" customFormat="false" ht="15" hidden="false" customHeight="false" outlineLevel="0" collapsed="false">
      <c r="I504" s="31" t="s">
        <v>1397</v>
      </c>
      <c r="J504" s="31" t="s">
        <v>2981</v>
      </c>
    </row>
    <row r="505" customFormat="false" ht="15" hidden="false" customHeight="false" outlineLevel="0" collapsed="false">
      <c r="I505" s="31" t="s">
        <v>1400</v>
      </c>
      <c r="J505" s="31" t="s">
        <v>2982</v>
      </c>
    </row>
    <row r="506" customFormat="false" ht="15" hidden="false" customHeight="false" outlineLevel="0" collapsed="false">
      <c r="I506" s="31" t="s">
        <v>1403</v>
      </c>
      <c r="J506" s="31" t="s">
        <v>2983</v>
      </c>
    </row>
    <row r="507" customFormat="false" ht="15" hidden="false" customHeight="false" outlineLevel="0" collapsed="false">
      <c r="I507" s="31" t="s">
        <v>1406</v>
      </c>
      <c r="J507" s="31" t="s">
        <v>2984</v>
      </c>
    </row>
    <row r="508" customFormat="false" ht="15" hidden="false" customHeight="false" outlineLevel="0" collapsed="false">
      <c r="I508" s="31" t="s">
        <v>1411</v>
      </c>
      <c r="J508" s="31" t="s">
        <v>2985</v>
      </c>
    </row>
    <row r="509" customFormat="false" ht="15" hidden="false" customHeight="false" outlineLevel="0" collapsed="false">
      <c r="I509" s="31" t="s">
        <v>1414</v>
      </c>
      <c r="J509" s="31" t="s">
        <v>2986</v>
      </c>
    </row>
    <row r="510" customFormat="false" ht="15" hidden="false" customHeight="false" outlineLevel="0" collapsed="false">
      <c r="I510" s="31" t="s">
        <v>1417</v>
      </c>
      <c r="J510" s="31" t="s">
        <v>2987</v>
      </c>
    </row>
    <row r="511" customFormat="false" ht="15" hidden="false" customHeight="false" outlineLevel="0" collapsed="false">
      <c r="I511" s="31" t="s">
        <v>1420</v>
      </c>
      <c r="J511" s="31" t="s">
        <v>2988</v>
      </c>
    </row>
    <row r="512" customFormat="false" ht="15" hidden="false" customHeight="false" outlineLevel="0" collapsed="false">
      <c r="I512" s="31" t="s">
        <v>1423</v>
      </c>
      <c r="J512" s="31" t="s">
        <v>2989</v>
      </c>
    </row>
    <row r="513" customFormat="false" ht="15" hidden="false" customHeight="false" outlineLevel="0" collapsed="false">
      <c r="I513" s="31" t="s">
        <v>1428</v>
      </c>
      <c r="J513" s="31" t="s">
        <v>2990</v>
      </c>
    </row>
    <row r="514" customFormat="false" ht="15" hidden="false" customHeight="false" outlineLevel="0" collapsed="false">
      <c r="I514" s="31" t="s">
        <v>1431</v>
      </c>
      <c r="J514" s="31" t="s">
        <v>2991</v>
      </c>
    </row>
    <row r="515" customFormat="false" ht="15" hidden="false" customHeight="false" outlineLevel="0" collapsed="false">
      <c r="I515" s="31" t="s">
        <v>1432</v>
      </c>
      <c r="J515" s="31" t="s">
        <v>2992</v>
      </c>
    </row>
    <row r="516" customFormat="false" ht="15" hidden="false" customHeight="false" outlineLevel="0" collapsed="false">
      <c r="I516" s="31" t="s">
        <v>1435</v>
      </c>
      <c r="J516" s="31" t="s">
        <v>2993</v>
      </c>
    </row>
    <row r="517" customFormat="false" ht="15" hidden="false" customHeight="false" outlineLevel="0" collapsed="false">
      <c r="I517" s="31" t="s">
        <v>1440</v>
      </c>
      <c r="J517" s="31" t="s">
        <v>2994</v>
      </c>
    </row>
    <row r="518" customFormat="false" ht="15" hidden="false" customHeight="false" outlineLevel="0" collapsed="false">
      <c r="I518" s="31" t="s">
        <v>1443</v>
      </c>
      <c r="J518" s="31" t="s">
        <v>2995</v>
      </c>
    </row>
    <row r="519" customFormat="false" ht="15" hidden="false" customHeight="false" outlineLevel="0" collapsed="false">
      <c r="I519" s="31" t="s">
        <v>1446</v>
      </c>
      <c r="J519" s="31" t="s">
        <v>2996</v>
      </c>
    </row>
    <row r="520" customFormat="false" ht="15" hidden="false" customHeight="false" outlineLevel="0" collapsed="false">
      <c r="I520" s="31" t="s">
        <v>1449</v>
      </c>
      <c r="J520" s="31" t="s">
        <v>2997</v>
      </c>
    </row>
    <row r="521" customFormat="false" ht="15" hidden="false" customHeight="false" outlineLevel="0" collapsed="false">
      <c r="I521" s="31" t="s">
        <v>1452</v>
      </c>
      <c r="J521" s="31" t="s">
        <v>2998</v>
      </c>
    </row>
    <row r="522" customFormat="false" ht="15" hidden="false" customHeight="false" outlineLevel="0" collapsed="false">
      <c r="I522" s="31" t="s">
        <v>1455</v>
      </c>
      <c r="J522" s="31" t="s">
        <v>2999</v>
      </c>
    </row>
    <row r="523" customFormat="false" ht="15" hidden="false" customHeight="false" outlineLevel="0" collapsed="false">
      <c r="I523" s="31" t="s">
        <v>3126</v>
      </c>
      <c r="J523" s="31" t="s">
        <v>3000</v>
      </c>
    </row>
    <row r="524" customFormat="false" ht="15" hidden="false" customHeight="false" outlineLevel="0" collapsed="false">
      <c r="I524" s="31" t="s">
        <v>3127</v>
      </c>
      <c r="J524" s="31" t="s">
        <v>3001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32" t="s">
        <v>3128</v>
      </c>
    </row>
    <row r="2" customFormat="false" ht="15" hidden="false" customHeight="false" outlineLevel="0" collapsed="false">
      <c r="A2" s="2" t="s">
        <v>3129</v>
      </c>
    </row>
    <row r="4" customFormat="false" ht="15" hidden="false" customHeight="false" outlineLevel="0" collapsed="false">
      <c r="A4" s="4" t="s">
        <v>3130</v>
      </c>
      <c r="B4" s="4" t="s">
        <v>3131</v>
      </c>
      <c r="C4" s="4" t="s">
        <v>3132</v>
      </c>
    </row>
    <row r="5" customFormat="false" ht="15" hidden="false" customHeight="false" outlineLevel="0" collapsed="false">
      <c r="A5" s="33" t="s">
        <v>692</v>
      </c>
      <c r="B5" s="34" t="s">
        <v>3133</v>
      </c>
      <c r="C5" s="8" t="s">
        <v>3134</v>
      </c>
    </row>
    <row r="6" customFormat="false" ht="15" hidden="false" customHeight="false" outlineLevel="0" collapsed="false">
      <c r="A6" s="33" t="s">
        <v>717</v>
      </c>
      <c r="B6" s="34" t="s">
        <v>3135</v>
      </c>
      <c r="C6" s="8" t="s">
        <v>3136</v>
      </c>
    </row>
    <row r="7" customFormat="false" ht="15" hidden="false" customHeight="false" outlineLevel="0" collapsed="false">
      <c r="A7" s="33" t="s">
        <v>764</v>
      </c>
      <c r="B7" s="34" t="s">
        <v>3137</v>
      </c>
      <c r="C7" s="8" t="s">
        <v>3138</v>
      </c>
    </row>
    <row r="8" customFormat="false" ht="15" hidden="false" customHeight="false" outlineLevel="0" collapsed="false">
      <c r="A8" s="33" t="s">
        <v>350</v>
      </c>
      <c r="B8" s="34" t="s">
        <v>3139</v>
      </c>
      <c r="C8" s="8" t="s">
        <v>3140</v>
      </c>
    </row>
    <row r="9" customFormat="false" ht="15" hidden="false" customHeight="false" outlineLevel="0" collapsed="false">
      <c r="A9" s="33" t="s">
        <v>478</v>
      </c>
      <c r="B9" s="34" t="s">
        <v>3141</v>
      </c>
      <c r="C9" s="8" t="s">
        <v>3142</v>
      </c>
    </row>
    <row r="10" customFormat="false" ht="15" hidden="false" customHeight="false" outlineLevel="0" collapsed="false">
      <c r="A10" s="33" t="s">
        <v>649</v>
      </c>
      <c r="B10" s="34" t="s">
        <v>3143</v>
      </c>
      <c r="C10" s="8" t="s">
        <v>3144</v>
      </c>
    </row>
    <row r="11" customFormat="false" ht="15" hidden="false" customHeight="false" outlineLevel="0" collapsed="false">
      <c r="A11" s="33" t="s">
        <v>550</v>
      </c>
      <c r="B11" s="34" t="s">
        <v>642</v>
      </c>
      <c r="C11" s="8" t="s">
        <v>3145</v>
      </c>
    </row>
    <row r="12" customFormat="false" ht="15" hidden="false" customHeight="false" outlineLevel="0" collapsed="false">
      <c r="A12" s="33" t="s">
        <v>3146</v>
      </c>
      <c r="B12" s="34" t="s">
        <v>3147</v>
      </c>
      <c r="C12" s="8" t="s">
        <v>3148</v>
      </c>
    </row>
    <row r="14" customFormat="false" ht="15" hidden="false" customHeight="false" outlineLevel="0" collapsed="false">
      <c r="A14" s="35" t="s">
        <v>3149</v>
      </c>
    </row>
    <row r="15" customFormat="false" ht="19.5" hidden="false" customHeight="true" outlineLevel="0" collapsed="false">
      <c r="A15" s="36" t="s">
        <v>3150</v>
      </c>
      <c r="B15" s="36"/>
      <c r="C15" s="36"/>
    </row>
    <row r="16" customFormat="false" ht="19.5" hidden="false" customHeight="true" outlineLevel="0" collapsed="false">
      <c r="A16" s="36" t="s">
        <v>3151</v>
      </c>
      <c r="B16" s="36"/>
      <c r="C16" s="36"/>
    </row>
    <row r="17" customFormat="false" ht="19.5" hidden="false" customHeight="true" outlineLevel="0" collapsed="false">
      <c r="A17" s="36" t="s">
        <v>3152</v>
      </c>
      <c r="B17" s="36"/>
      <c r="C17" s="36"/>
    </row>
    <row r="18" customFormat="false" ht="19.5" hidden="false" customHeight="true" outlineLevel="0" collapsed="false">
      <c r="A18" s="36" t="s">
        <v>3153</v>
      </c>
      <c r="B18" s="36"/>
      <c r="C18" s="36"/>
    </row>
    <row r="19" customFormat="false" ht="19.5" hidden="false" customHeight="true" outlineLevel="0" collapsed="false">
      <c r="A19" s="36" t="s">
        <v>3154</v>
      </c>
      <c r="B19" s="36"/>
      <c r="C19" s="36"/>
    </row>
    <row r="20" customFormat="false" ht="19.5" hidden="false" customHeight="true" outlineLevel="0" collapsed="false">
      <c r="A20" s="36" t="s">
        <v>3155</v>
      </c>
      <c r="B20" s="36"/>
      <c r="C20" s="36"/>
    </row>
    <row r="21" customFormat="false" ht="19.5" hidden="false" customHeight="true" outlineLevel="0" collapsed="false">
      <c r="A21" s="36" t="s">
        <v>3156</v>
      </c>
      <c r="B21" s="36"/>
      <c r="C21" s="36"/>
    </row>
    <row r="22" customFormat="false" ht="19.5" hidden="false" customHeight="true" outlineLevel="0" collapsed="false">
      <c r="A22" s="36" t="s">
        <v>3157</v>
      </c>
      <c r="B22" s="36"/>
      <c r="C22" s="36"/>
    </row>
  </sheetData>
  <mergeCells count="8"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2026-07-22T02:17:55Z</dcterms:created>
  <dc:creator>openpyxl</dc:creator>
  <dc:description/>
  <dc:language>en-US</dc:language>
  <cp:lastModifiedBy/>
  <dcterms:modified xsi:type="dcterms:W3CDTF">2026-07-22T02:18:47Z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