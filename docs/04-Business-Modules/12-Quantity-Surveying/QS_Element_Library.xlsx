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ment Library" sheetId="1" state="visible" r:id="rId3"/>
    <sheet name="Validation Lists" sheetId="2" state="visible" r:id="rId4"/>
    <sheet name="Entry Template" sheetId="3" state="visible" r:id="rId5"/>
    <sheet name="Naming Standard" sheetId="4" state="visible" r:id="rId6"/>
  </sheets>
  <definedNames>
    <definedName function="false" hidden="false" localSheetId="0" name="_xlnm.Print_Titles" vbProcedure="false">'Element Library'!$5:$5</definedName>
    <definedName function="false" hidden="true" localSheetId="0" name="_xlnm._FilterDatabase" vbProcedure="false">'Element Library'!$A$5:$G$523</definedName>
    <definedName function="false" hidden="false" name="L_SECTION" vbProcedure="false">'Validation Lists'!$A$5:$A$33</definedName>
    <definedName function="false" hidden="false" name="MAP_SEC" vbProcedure="false">'Validation Lists'!$C$5:$D$33</definedName>
    <definedName function="false" hidden="false" name="MAP_SUB" vbProcedure="false">'Validation Lists'!$F$5:$G$126</definedName>
    <definedName function="false" hidden="false" name="SEC01" vbProcedure="false">'Validation Lists'!$J$5:$J$16</definedName>
    <definedName function="false" hidden="false" name="SEC02" vbProcedure="false">'Validation Lists'!$K$5:$K$15</definedName>
    <definedName function="false" hidden="false" name="SEC03" vbProcedure="false">'Validation Lists'!$L$5:$L$9</definedName>
    <definedName function="false" hidden="false" name="SEC04" vbProcedure="false">'Validation Lists'!$M$5:$M$8</definedName>
    <definedName function="false" hidden="false" name="SEC05" vbProcedure="false">'Validation Lists'!$N$5:$N$9</definedName>
    <definedName function="false" hidden="false" name="SEC06" vbProcedure="false">'Validation Lists'!$O$5:$O$7</definedName>
    <definedName function="false" hidden="false" name="SEC07" vbProcedure="false">'Validation Lists'!$P$5:$P$7</definedName>
    <definedName function="false" hidden="false" name="SEC08" vbProcedure="false">'Validation Lists'!$Q$5:$Q$5</definedName>
    <definedName function="false" hidden="false" name="SEC09" vbProcedure="false">'Validation Lists'!$R$5:$R$6</definedName>
    <definedName function="false" hidden="false" name="SEC10" vbProcedure="false">'Validation Lists'!$S$5:$S$8</definedName>
    <definedName function="false" hidden="false" name="SEC11" vbProcedure="false">'Validation Lists'!$T$5:$T$9</definedName>
    <definedName function="false" hidden="false" name="SEC12" vbProcedure="false">'Validation Lists'!$U$5:$U$10</definedName>
    <definedName function="false" hidden="false" name="SEC13" vbProcedure="false">'Validation Lists'!$V$5:$V$5</definedName>
    <definedName function="false" hidden="false" name="SEC14" vbProcedure="false">'Validation Lists'!$W$5:$W$9</definedName>
    <definedName function="false" hidden="false" name="SEC15" vbProcedure="false">'Validation Lists'!$X$5:$X$10</definedName>
    <definedName function="false" hidden="false" name="SEC16" vbProcedure="false">'Validation Lists'!$Y$5:$Y$8</definedName>
    <definedName function="false" hidden="false" name="SEC17" vbProcedure="false">'Validation Lists'!$Z$5:$Z$8</definedName>
    <definedName function="false" hidden="false" name="SEC18" vbProcedure="false">'Validation Lists'!$AA$5:$AA$7</definedName>
    <definedName function="false" hidden="false" name="SEC19" vbProcedure="false">'Validation Lists'!$AB$5:$AB$8</definedName>
    <definedName function="false" hidden="false" name="SEC20" vbProcedure="false">'Validation Lists'!$AC$5:$AC$6</definedName>
    <definedName function="false" hidden="false" name="SEC21" vbProcedure="false">'Validation Lists'!$AD$5:$AD$7</definedName>
    <definedName function="false" hidden="false" name="SEC22" vbProcedure="false">'Validation Lists'!$AE$5:$AE$10</definedName>
    <definedName function="false" hidden="false" name="SEC23" vbProcedure="false">'Validation Lists'!$AF$5:$AF$9</definedName>
    <definedName function="false" hidden="false" name="SEC24" vbProcedure="false">'Validation Lists'!$AG$5:$AG$8</definedName>
    <definedName function="false" hidden="false" name="SEC25" vbProcedure="false">'Validation Lists'!$AH$5:$AH$8</definedName>
    <definedName function="false" hidden="false" name="SEC26" vbProcedure="false">'Validation Lists'!$AI$5:$AI$5</definedName>
    <definedName function="false" hidden="false" name="SEC27" vbProcedure="false">'Validation Lists'!$AJ$5:$AJ$7</definedName>
    <definedName function="false" hidden="false" name="SEC28" vbProcedure="false">'Validation Lists'!$AK$5:$AK$5</definedName>
    <definedName function="false" hidden="false" name="SEC29" vbProcedure="false">'Validation Lists'!$AL$5:$AL$9</definedName>
    <definedName function="false" hidden="false" name="SUB001" vbProcedure="false">'Validation Lists'!$AM$5:$AM$11</definedName>
    <definedName function="false" hidden="false" name="SUB002" vbProcedure="false">'Validation Lists'!$AN$5:$AN$10</definedName>
    <definedName function="false" hidden="false" name="SUB003" vbProcedure="false">'Validation Lists'!$AO$5:$AO$16</definedName>
    <definedName function="false" hidden="false" name="SUB004" vbProcedure="false">'Validation Lists'!$AP$5:$AP$9</definedName>
    <definedName function="false" hidden="false" name="SUB005" vbProcedure="false">'Validation Lists'!$AQ$5:$AQ$15</definedName>
    <definedName function="false" hidden="false" name="SUB006" vbProcedure="false">'Validation Lists'!$AR$5:$AR$15</definedName>
    <definedName function="false" hidden="false" name="SUB007" vbProcedure="false">'Validation Lists'!$AS$5:$AS$11</definedName>
    <definedName function="false" hidden="false" name="SUB008" vbProcedure="false">'Validation Lists'!$AT$5:$AT$14</definedName>
    <definedName function="false" hidden="false" name="SUB009" vbProcedure="false">'Validation Lists'!$AU$5:$AU$15</definedName>
    <definedName function="false" hidden="false" name="SUB010" vbProcedure="false">'Validation Lists'!$AV$5:$AV$15</definedName>
    <definedName function="false" hidden="false" name="SUB011" vbProcedure="false">'Validation Lists'!$AW$5:$AW$12</definedName>
    <definedName function="false" hidden="false" name="SUB012" vbProcedure="false">'Validation Lists'!$AX$5:$AX$13</definedName>
    <definedName function="false" hidden="false" name="SUB013" vbProcedure="false">'Validation Lists'!$AY$5:$AY$10</definedName>
    <definedName function="false" hidden="false" name="SUB014" vbProcedure="false">'Validation Lists'!$AZ$5:$AZ$8</definedName>
    <definedName function="false" hidden="false" name="SUB015" vbProcedure="false">'Validation Lists'!$BA$5:$BA$10</definedName>
    <definedName function="false" hidden="false" name="SUB016" vbProcedure="false">'Validation Lists'!$BB$5:$BB$9</definedName>
    <definedName function="false" hidden="false" name="SUB017" vbProcedure="false">'Validation Lists'!$BC$5:$BC$8</definedName>
    <definedName function="false" hidden="false" name="SUB018" vbProcedure="false">'Validation Lists'!$BD$5:$BD$8</definedName>
    <definedName function="false" hidden="false" name="SUB019" vbProcedure="false">'Validation Lists'!$BE$5:$BE$9</definedName>
    <definedName function="false" hidden="false" name="SUB020" vbProcedure="false">'Validation Lists'!$BF$5:$BF$8</definedName>
    <definedName function="false" hidden="false" name="SUB021" vbProcedure="false">'Validation Lists'!$BG$5:$BG$18</definedName>
    <definedName function="false" hidden="false" name="SUB022" vbProcedure="false">'Validation Lists'!$BH$5:$BH$12</definedName>
    <definedName function="false" hidden="false" name="SUB023" vbProcedure="false">'Validation Lists'!$BI$5:$BI$8</definedName>
    <definedName function="false" hidden="false" name="SUB024" vbProcedure="false">'Validation Lists'!$BJ$5:$BJ$9</definedName>
    <definedName function="false" hidden="false" name="SUB025" vbProcedure="false">'Validation Lists'!$BK$5:$BK$7</definedName>
    <definedName function="false" hidden="false" name="SUB026" vbProcedure="false">'Validation Lists'!$BL$5:$BL$7</definedName>
    <definedName function="false" hidden="false" name="SUB027" vbProcedure="false">'Validation Lists'!$BM$5:$BM$6</definedName>
    <definedName function="false" hidden="false" name="SUB028" vbProcedure="false">'Validation Lists'!$BN$5:$BN$8</definedName>
    <definedName function="false" hidden="false" name="SUB029" vbProcedure="false">'Validation Lists'!$BO$5:$BO$7</definedName>
    <definedName function="false" hidden="false" name="SUB030" vbProcedure="false">'Validation Lists'!$BP$5:$BP$7</definedName>
    <definedName function="false" hidden="false" name="SUB031" vbProcedure="false">'Validation Lists'!$BQ$5:$BQ$6</definedName>
    <definedName function="false" hidden="false" name="SUB032" vbProcedure="false">'Validation Lists'!$BR$5:$BR$6</definedName>
    <definedName function="false" hidden="false" name="SUB033" vbProcedure="false">'Validation Lists'!$BS$5:$BS$6</definedName>
    <definedName function="false" hidden="false" name="SUB034" vbProcedure="false">'Validation Lists'!$BT$5:$BT$6</definedName>
    <definedName function="false" hidden="false" name="SUB035" vbProcedure="false">'Validation Lists'!$BU$5:$BU$6</definedName>
    <definedName function="false" hidden="false" name="SUB036" vbProcedure="false">'Validation Lists'!$BV$5:$BV$6</definedName>
    <definedName function="false" hidden="false" name="SUB037" vbProcedure="false">'Validation Lists'!$BW$5:$BW$8</definedName>
    <definedName function="false" hidden="false" name="SUB038" vbProcedure="false">'Validation Lists'!$BX$5:$BX$8</definedName>
    <definedName function="false" hidden="false" name="SUB039" vbProcedure="false">'Validation Lists'!$BY$5:$BY$6</definedName>
    <definedName function="false" hidden="false" name="SUB040" vbProcedure="false">'Validation Lists'!$BZ$5:$BZ$8</definedName>
    <definedName function="false" hidden="false" name="SUB041" vbProcedure="false">'Validation Lists'!$CA$5:$CA$6</definedName>
    <definedName function="false" hidden="false" name="SUB042" vbProcedure="false">'Validation Lists'!$CB$5:$CB$6</definedName>
    <definedName function="false" hidden="false" name="SUB043" vbProcedure="false">'Validation Lists'!$CC$5:$CC$6</definedName>
    <definedName function="false" hidden="false" name="SUB044" vbProcedure="false">'Validation Lists'!$CD$5:$CD$7</definedName>
    <definedName function="false" hidden="false" name="SUB045" vbProcedure="false">'Validation Lists'!$CE$5:$CE$8</definedName>
    <definedName function="false" hidden="false" name="SUB046" vbProcedure="false">'Validation Lists'!$CF$5:$CF$7</definedName>
    <definedName function="false" hidden="false" name="SUB047" vbProcedure="false">'Validation Lists'!$CG$5:$CG$8</definedName>
    <definedName function="false" hidden="false" name="SUB048" vbProcedure="false">'Validation Lists'!$CH$5:$CH$8</definedName>
    <definedName function="false" hidden="false" name="SUB049" vbProcedure="false">'Validation Lists'!$CI$5:$CI$8</definedName>
    <definedName function="false" hidden="false" name="SUB050" vbProcedure="false">'Validation Lists'!$CJ$5:$CJ$8</definedName>
    <definedName function="false" hidden="false" name="SUB051" vbProcedure="false">'Validation Lists'!$CK$5:$CK$6</definedName>
    <definedName function="false" hidden="false" name="SUB052" vbProcedure="false">'Validation Lists'!$CL$5:$CL$8</definedName>
    <definedName function="false" hidden="false" name="SUB053" vbProcedure="false">'Validation Lists'!$CM$5:$CM$6</definedName>
    <definedName function="false" hidden="false" name="SUB054" vbProcedure="false">'Validation Lists'!$CN$5:$CN$6</definedName>
    <definedName function="false" hidden="false" name="SUB055" vbProcedure="false">'Validation Lists'!$CO$5:$CO$7</definedName>
    <definedName function="false" hidden="false" name="SUB056" vbProcedure="false">'Validation Lists'!$CP$5:$CP$6</definedName>
    <definedName function="false" hidden="false" name="SUB057" vbProcedure="false">'Validation Lists'!$CQ$5:$CQ$5</definedName>
    <definedName function="false" hidden="false" name="SUB058" vbProcedure="false">'Validation Lists'!$CR$5:$CR$6</definedName>
    <definedName function="false" hidden="false" name="SUB059" vbProcedure="false">'Validation Lists'!$CS$5:$CS$6</definedName>
    <definedName function="false" hidden="false" name="SUB060" vbProcedure="false">'Validation Lists'!$CT$5:$CT$9</definedName>
    <definedName function="false" hidden="false" name="SUB061" vbProcedure="false">'Validation Lists'!$CU$5:$CU$6</definedName>
    <definedName function="false" hidden="false" name="SUB062" vbProcedure="false">'Validation Lists'!$CV$5:$CV$6</definedName>
    <definedName function="false" hidden="false" name="SUB063" vbProcedure="false">'Validation Lists'!$CW$5:$CW$6</definedName>
    <definedName function="false" hidden="false" name="SUB064" vbProcedure="false">'Validation Lists'!$CX$5:$CX$6</definedName>
    <definedName function="false" hidden="false" name="SUB065" vbProcedure="false">'Validation Lists'!$CY$5:$CY$6</definedName>
    <definedName function="false" hidden="false" name="SUB066" vbProcedure="false">'Validation Lists'!$CZ$5:$CZ$8</definedName>
    <definedName function="false" hidden="false" name="SUB067" vbProcedure="false">'Validation Lists'!$DA$5:$DA$5</definedName>
    <definedName function="false" hidden="false" name="SUB068" vbProcedure="false">'Validation Lists'!$DB$5:$DB$6</definedName>
    <definedName function="false" hidden="false" name="SUB069" vbProcedure="false">'Validation Lists'!$DC$5:$DC$7</definedName>
    <definedName function="false" hidden="false" name="SUB070" vbProcedure="false">'Validation Lists'!$DD$5:$DD$7</definedName>
    <definedName function="false" hidden="false" name="SUB071" vbProcedure="false">'Validation Lists'!$DE$5:$DE$9</definedName>
    <definedName function="false" hidden="false" name="SUB072" vbProcedure="false">'Validation Lists'!$DF$5:$DF$6</definedName>
    <definedName function="false" hidden="false" name="SUB073" vbProcedure="false">'Validation Lists'!$DG$5:$DG$7</definedName>
    <definedName function="false" hidden="false" name="SUB074" vbProcedure="false">'Validation Lists'!$DH$5:$DH$7</definedName>
    <definedName function="false" hidden="false" name="SUB075" vbProcedure="false">'Validation Lists'!$DI$5:$DI$6</definedName>
    <definedName function="false" hidden="false" name="SUB076" vbProcedure="false">'Validation Lists'!$DJ$5:$DJ$6</definedName>
    <definedName function="false" hidden="false" name="SUB077" vbProcedure="false">'Validation Lists'!$DK$5:$DK$9</definedName>
    <definedName function="false" hidden="false" name="SUB078" vbProcedure="false">'Validation Lists'!$DL$5:$DL$11</definedName>
    <definedName function="false" hidden="false" name="SUB079" vbProcedure="false">'Validation Lists'!$DM$5:$DM$7</definedName>
    <definedName function="false" hidden="false" name="SUB080" vbProcedure="false">'Validation Lists'!$DN$5:$DN$7</definedName>
    <definedName function="false" hidden="false" name="SUB081" vbProcedure="false">'Validation Lists'!$DO$5:$DO$10</definedName>
    <definedName function="false" hidden="false" name="SUB082" vbProcedure="false">'Validation Lists'!$DP$5:$DP$10</definedName>
    <definedName function="false" hidden="false" name="SUB083" vbProcedure="false">'Validation Lists'!$DQ$5:$DQ$10</definedName>
    <definedName function="false" hidden="false" name="SUB084" vbProcedure="false">'Validation Lists'!$DR$5:$DR$8</definedName>
    <definedName function="false" hidden="false" name="SUB085" vbProcedure="false">'Validation Lists'!$DS$5:$DS$7</definedName>
    <definedName function="false" hidden="false" name="SUB086" vbProcedure="false">'Validation Lists'!$DT$5:$DT$7</definedName>
    <definedName function="false" hidden="false" name="SUB087" vbProcedure="false">'Validation Lists'!$DU$5:$DU$9</definedName>
    <definedName function="false" hidden="false" name="SUB088" vbProcedure="false">'Validation Lists'!$DV$5:$DV$9</definedName>
    <definedName function="false" hidden="false" name="SUB089" vbProcedure="false">'Validation Lists'!$DW$5:$DW$9</definedName>
    <definedName function="false" hidden="false" name="SUB090" vbProcedure="false">'Validation Lists'!$DX$5:$DX$7</definedName>
    <definedName function="false" hidden="false" name="SUB091" vbProcedure="false">'Validation Lists'!$DY$5:$DY$8</definedName>
    <definedName function="false" hidden="false" name="SUB092" vbProcedure="false">'Validation Lists'!$DZ$5:$DZ$8</definedName>
    <definedName function="false" hidden="false" name="SUB093" vbProcedure="false">'Validation Lists'!$EA$5:$EA$8</definedName>
    <definedName function="false" hidden="false" name="SUB094" vbProcedure="false">'Validation Lists'!$EB$5:$EB$10</definedName>
    <definedName function="false" hidden="false" name="SUB095" vbProcedure="false">'Validation Lists'!$EC$5:$EC$10</definedName>
    <definedName function="false" hidden="false" name="SUB096" vbProcedure="false">'Validation Lists'!$ED$5:$ED$8</definedName>
    <definedName function="false" hidden="false" name="SUB097" vbProcedure="false">'Validation Lists'!$EE$5:$EE$9</definedName>
    <definedName function="false" hidden="false" name="SUB098" vbProcedure="false">'Validation Lists'!$EF$5:$EF$8</definedName>
    <definedName function="false" hidden="false" name="SUB099" vbProcedure="false">'Validation Lists'!$EG$5:$EG$8</definedName>
    <definedName function="false" hidden="false" name="SUB100" vbProcedure="false">'Validation Lists'!$EH$5:$EH$8</definedName>
    <definedName function="false" hidden="false" name="SUB101" vbProcedure="false">'Validation Lists'!$EI$5:$EI$8</definedName>
    <definedName function="false" hidden="false" name="SUB102" vbProcedure="false">'Validation Lists'!$EJ$5:$EJ$9</definedName>
    <definedName function="false" hidden="false" name="SUB103" vbProcedure="false">'Validation Lists'!$EK$5:$EK$9</definedName>
    <definedName function="false" hidden="false" name="SUB104" vbProcedure="false">'Validation Lists'!$EL$5:$EL$6</definedName>
    <definedName function="false" hidden="false" name="SUB105" vbProcedure="false">'Validation Lists'!$EM$5:$EM$9</definedName>
    <definedName function="false" hidden="false" name="SUB106" vbProcedure="false">'Validation Lists'!$EN$5:$EN$9</definedName>
    <definedName function="false" hidden="false" name="SUB107" vbProcedure="false">'Validation Lists'!$EO$5:$EO$10</definedName>
    <definedName function="false" hidden="false" name="SUB108" vbProcedure="false">'Validation Lists'!$EP$5:$EP$7</definedName>
    <definedName function="false" hidden="false" name="SUB109" vbProcedure="false">'Validation Lists'!$EQ$5:$EQ$8</definedName>
    <definedName function="false" hidden="false" name="SUB110" vbProcedure="false">'Validation Lists'!$ER$5:$ER$8</definedName>
    <definedName function="false" hidden="false" name="SUB111" vbProcedure="false">'Validation Lists'!$ES$5:$ES$7</definedName>
    <definedName function="false" hidden="false" name="SUB112" vbProcedure="false">'Validation Lists'!$ET$5:$ET$8</definedName>
    <definedName function="false" hidden="false" name="SUB113" vbProcedure="false">'Validation Lists'!$EU$5:$EU$8</definedName>
    <definedName function="false" hidden="false" name="SUB114" vbProcedure="false">'Validation Lists'!$EV$5:$EV$8</definedName>
    <definedName function="false" hidden="false" name="SUB115" vbProcedure="false">'Validation Lists'!$EW$5:$EW$5</definedName>
    <definedName function="false" hidden="false" name="SUB116" vbProcedure="false">'Validation Lists'!$EX$5:$EX$7</definedName>
    <definedName function="false" hidden="false" name="SUB117" vbProcedure="false">'Validation Lists'!$EY$5:$EY$9</definedName>
    <definedName function="false" hidden="false" name="SUB118" vbProcedure="false">'Validation Lists'!$EZ$5:$EZ$7</definedName>
    <definedName function="false" hidden="false" name="SUB119" vbProcedure="false">'Validation Lists'!$FA$5:$FA$10</definedName>
    <definedName function="false" hidden="false" name="SUB120" vbProcedure="false">'Validation Lists'!$FB$5:$FB$9</definedName>
    <definedName function="false" hidden="false" name="SUB121" vbProcedure="false">'Validation Lists'!$FC$5:$FC$8</definedName>
    <definedName function="false" hidden="false" name="SUB122" vbProcedure="false">'Validation Lists'!$FD$5:$FD$10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<sst xmlns="http://schemas.openxmlformats.org/spreadsheetml/2006/main" count="4817" uniqueCount="1391">
  <si>
    <t xml:space="preserve">QS ELEMENT LIBRARY — SECTION / SUB SECTION / SUB ELEMENT</t>
  </si>
  <si>
    <t xml:space="preserve">Standard coding list for BoQ takeoff — Structure, Architecture, MEP &amp; External Works. Aligned to the project Budget Code framework.</t>
  </si>
  <si>
    <t xml:space="preserve">Use with the Entry Template sheet (dependent drop-downs). Typical Unit is a guide — confirm against drawings and specification.</t>
  </si>
  <si>
    <t xml:space="preserve">No.</t>
  </si>
  <si>
    <t xml:space="preserve">Discipline</t>
  </si>
  <si>
    <t xml:space="preserve">Budget Code</t>
  </si>
  <si>
    <t xml:space="preserve">Section</t>
  </si>
  <si>
    <t xml:space="preserve">Sub Section</t>
  </si>
  <si>
    <t xml:space="preserve">Sub Element</t>
  </si>
  <si>
    <t xml:space="preserve">Typical Unit</t>
  </si>
  <si>
    <t xml:space="preserve">Key</t>
  </si>
  <si>
    <t xml:space="preserve">Civil and Structure</t>
  </si>
  <si>
    <t xml:space="preserve">A.04</t>
  </si>
  <si>
    <t xml:space="preserve">Sub Structure</t>
  </si>
  <si>
    <t xml:space="preserve">Site Preparation &amp; Earthwork</t>
  </si>
  <si>
    <t xml:space="preserve">Site Clearing</t>
  </si>
  <si>
    <t xml:space="preserve">m2</t>
  </si>
  <si>
    <t xml:space="preserve">Sub Structure|Site Preparation &amp; Earthwork|Site Clearing</t>
  </si>
  <si>
    <t xml:space="preserve">Excavation</t>
  </si>
  <si>
    <t xml:space="preserve">m3</t>
  </si>
  <si>
    <t xml:space="preserve">Sub Structure|Site Preparation &amp; Earthwork|Excavation</t>
  </si>
  <si>
    <t xml:space="preserve">Backfill</t>
  </si>
  <si>
    <t xml:space="preserve">Sub Structure|Site Preparation &amp; Earthwork|Backfill</t>
  </si>
  <si>
    <t xml:space="preserve">Soil Disposal</t>
  </si>
  <si>
    <t xml:space="preserve">Sub Structure|Site Preparation &amp; Earthwork|Soil Disposal</t>
  </si>
  <si>
    <t xml:space="preserve">Compaction</t>
  </si>
  <si>
    <t xml:space="preserve">Sub Structure|Site Preparation &amp; Earthwork|Compaction</t>
  </si>
  <si>
    <t xml:space="preserve">Dewatering</t>
  </si>
  <si>
    <t xml:space="preserve">Lot</t>
  </si>
  <si>
    <t xml:space="preserve">Sub Structure|Site Preparation &amp; Earthwork|Dewatering</t>
  </si>
  <si>
    <t xml:space="preserve">Levelling &amp; Setting Out</t>
  </si>
  <si>
    <t xml:space="preserve">Sub Structure|Site Preparation &amp; Earthwork|Levelling &amp; Setting Out</t>
  </si>
  <si>
    <t xml:space="preserve">B.02</t>
  </si>
  <si>
    <t xml:space="preserve">Shoring &amp; Sheet Pile</t>
  </si>
  <si>
    <t xml:space="preserve">Sheet Pile Supply</t>
  </si>
  <si>
    <t xml:space="preserve">Sub Structure|Shoring &amp; Sheet Pile|Sheet Pile Supply</t>
  </si>
  <si>
    <t xml:space="preserve">Sheet Pile Driving</t>
  </si>
  <si>
    <t xml:space="preserve">Sub Structure|Shoring &amp; Sheet Pile|Sheet Pile Driving</t>
  </si>
  <si>
    <t xml:space="preserve">Sheet Pile Extraction</t>
  </si>
  <si>
    <t xml:space="preserve">Sub Structure|Shoring &amp; Sheet Pile|Sheet Pile Extraction</t>
  </si>
  <si>
    <t xml:space="preserve">Strut &amp; Waler</t>
  </si>
  <si>
    <t xml:space="preserve">kg</t>
  </si>
  <si>
    <t xml:space="preserve">Sub Structure|Shoring &amp; Sheet Pile|Strut &amp; Waler</t>
  </si>
  <si>
    <t xml:space="preserve">Ground Anchor</t>
  </si>
  <si>
    <t xml:space="preserve">Nos</t>
  </si>
  <si>
    <t xml:space="preserve">Sub Structure|Shoring &amp; Sheet Pile|Ground Anchor</t>
  </si>
  <si>
    <t xml:space="preserve">Guide Wall</t>
  </si>
  <si>
    <t xml:space="preserve">m</t>
  </si>
  <si>
    <t xml:space="preserve">Sub Structure|Shoring &amp; Sheet Pile|Guide Wall</t>
  </si>
  <si>
    <t xml:space="preserve">B.01</t>
  </si>
  <si>
    <t xml:space="preserve">Bored Pile</t>
  </si>
  <si>
    <t xml:space="preserve">Bored Pile Boring</t>
  </si>
  <si>
    <t xml:space="preserve">Sub Structure|Bored Pile|Bored Pile Boring</t>
  </si>
  <si>
    <t xml:space="preserve">Concrete</t>
  </si>
  <si>
    <t xml:space="preserve">Sub Structure|Bored Pile|Concrete</t>
  </si>
  <si>
    <t xml:space="preserve">Rebar</t>
  </si>
  <si>
    <t xml:space="preserve">Sub Structure|Bored Pile|Rebar</t>
  </si>
  <si>
    <t xml:space="preserve">Steel Tie Wire</t>
  </si>
  <si>
    <t xml:space="preserve">Sub Structure|Bored Pile|Steel Tie Wire</t>
  </si>
  <si>
    <t xml:space="preserve">Steel Round Pipe</t>
  </si>
  <si>
    <t xml:space="preserve">Sub Structure|Bored Pile|Steel Round Pipe</t>
  </si>
  <si>
    <t xml:space="preserve">Bentonite / Slurry</t>
  </si>
  <si>
    <t xml:space="preserve">Sub Structure|Bored Pile|Bentonite / Slurry</t>
  </si>
  <si>
    <t xml:space="preserve">Bored Pile Head Cutting</t>
  </si>
  <si>
    <t xml:space="preserve">Sub Structure|Bored Pile|Bored Pile Head Cutting</t>
  </si>
  <si>
    <t xml:space="preserve">Bored Pile Testing</t>
  </si>
  <si>
    <t xml:space="preserve">Sub Structure|Bored Pile|Bored Pile Testing</t>
  </si>
  <si>
    <t xml:space="preserve">Bored Pile Coring</t>
  </si>
  <si>
    <t xml:space="preserve">Sub Structure|Bored Pile|Bored Pile Coring</t>
  </si>
  <si>
    <t xml:space="preserve">Pile Load Test</t>
  </si>
  <si>
    <t xml:space="preserve">Sub Structure|Bored Pile|Pile Load Test</t>
  </si>
  <si>
    <t xml:space="preserve">Rebar Testing</t>
  </si>
  <si>
    <t xml:space="preserve">Sub Structure|Bored Pile|Rebar Testing</t>
  </si>
  <si>
    <t xml:space="preserve">Concrete Testing</t>
  </si>
  <si>
    <t xml:space="preserve">Sub Structure|Bored Pile|Concrete Testing</t>
  </si>
  <si>
    <t xml:space="preserve">Driven Pile / Micro Pile</t>
  </si>
  <si>
    <t xml:space="preserve">Pile Supply</t>
  </si>
  <si>
    <t xml:space="preserve">Sub Structure|Driven Pile / Micro Pile|Pile Supply</t>
  </si>
  <si>
    <t xml:space="preserve">Pile Driving</t>
  </si>
  <si>
    <t xml:space="preserve">Sub Structure|Driven Pile / Micro Pile|Pile Driving</t>
  </si>
  <si>
    <t xml:space="preserve">Pile Splicing</t>
  </si>
  <si>
    <t xml:space="preserve">Sub Structure|Driven Pile / Micro Pile|Pile Splicing</t>
  </si>
  <si>
    <t xml:space="preserve">Pile Head Cutting</t>
  </si>
  <si>
    <t xml:space="preserve">Sub Structure|Driven Pile / Micro Pile|Pile Head Cutting</t>
  </si>
  <si>
    <t xml:space="preserve">Sub Structure|Driven Pile / Micro Pile|Pile Load Test</t>
  </si>
  <si>
    <t xml:space="preserve">B.03</t>
  </si>
  <si>
    <t xml:space="preserve">Pile Cap &amp; Stump</t>
  </si>
  <si>
    <t xml:space="preserve">Earthwork</t>
  </si>
  <si>
    <t xml:space="preserve">Sub Structure|Pile Cap &amp; Stump|Earthwork</t>
  </si>
  <si>
    <t xml:space="preserve">Base Preparation</t>
  </si>
  <si>
    <t xml:space="preserve">Sub Structure|Pile Cap &amp; Stump|Base Preparation</t>
  </si>
  <si>
    <t xml:space="preserve">Crush Stone</t>
  </si>
  <si>
    <t xml:space="preserve">Sub Structure|Pile Cap &amp; Stump|Crush Stone</t>
  </si>
  <si>
    <t xml:space="preserve">Lean Concrete</t>
  </si>
  <si>
    <t xml:space="preserve">Sub Structure|Pile Cap &amp; Stump|Lean Concrete</t>
  </si>
  <si>
    <t xml:space="preserve">Sub Structure|Pile Cap &amp; Stump|Concrete</t>
  </si>
  <si>
    <t xml:space="preserve">Formwork</t>
  </si>
  <si>
    <t xml:space="preserve">Sub Structure|Pile Cap &amp; Stump|Formwork</t>
  </si>
  <si>
    <t xml:space="preserve">Sub Structure|Pile Cap &amp; Stump|Rebar</t>
  </si>
  <si>
    <t xml:space="preserve">Sub Structure|Pile Cap &amp; Stump|Steel Tie Wire</t>
  </si>
  <si>
    <t xml:space="preserve">Water Stop</t>
  </si>
  <si>
    <t xml:space="preserve">Sub Structure|Pile Cap &amp; Stump|Water Stop</t>
  </si>
  <si>
    <t xml:space="preserve">Waterproofing</t>
  </si>
  <si>
    <t xml:space="preserve">Sub Structure|Pile Cap &amp; Stump|Waterproofing</t>
  </si>
  <si>
    <t xml:space="preserve">Anti-Termite</t>
  </si>
  <si>
    <t xml:space="preserve">Sub Structure|Pile Cap &amp; Stump|Anti-Termite</t>
  </si>
  <si>
    <t xml:space="preserve">Footing / Raft Foundation</t>
  </si>
  <si>
    <t xml:space="preserve">Sub Structure|Footing / Raft Foundation|Earthwork</t>
  </si>
  <si>
    <t xml:space="preserve">Sub Structure|Footing / Raft Foundation|Base Preparation</t>
  </si>
  <si>
    <t xml:space="preserve">Sub Structure|Footing / Raft Foundation|Crush Stone</t>
  </si>
  <si>
    <t xml:space="preserve">Sub Structure|Footing / Raft Foundation|Lean Concrete</t>
  </si>
  <si>
    <t xml:space="preserve">Sub Structure|Footing / Raft Foundation|Concrete</t>
  </si>
  <si>
    <t xml:space="preserve">Sub Structure|Footing / Raft Foundation|Formwork</t>
  </si>
  <si>
    <t xml:space="preserve">Sub Structure|Footing / Raft Foundation|Rebar</t>
  </si>
  <si>
    <t xml:space="preserve">Sub Structure|Footing / Raft Foundation|Steel Tie Wire</t>
  </si>
  <si>
    <t xml:space="preserve">Sub Structure|Footing / Raft Foundation|Water Stop</t>
  </si>
  <si>
    <t xml:space="preserve">Sub Structure|Footing / Raft Foundation|Waterproofing</t>
  </si>
  <si>
    <t xml:space="preserve">Sub Structure|Footing / Raft Foundation|Anti-Termite</t>
  </si>
  <si>
    <t xml:space="preserve">Ground Beam / Tie Beam</t>
  </si>
  <si>
    <t xml:space="preserve">Sub Structure|Ground Beam / Tie Beam|Earthwork</t>
  </si>
  <si>
    <t xml:space="preserve">Sub Structure|Ground Beam / Tie Beam|Lean Concrete</t>
  </si>
  <si>
    <t xml:space="preserve">Sub Structure|Ground Beam / Tie Beam|Concrete</t>
  </si>
  <si>
    <t xml:space="preserve">Sub Structure|Ground Beam / Tie Beam|Formwork</t>
  </si>
  <si>
    <t xml:space="preserve">Sub Structure|Ground Beam / Tie Beam|Rebar</t>
  </si>
  <si>
    <t xml:space="preserve">Sub Structure|Ground Beam / Tie Beam|Steel Tie Wire</t>
  </si>
  <si>
    <t xml:space="preserve">Sub Structure|Ground Beam / Tie Beam|Waterproofing</t>
  </si>
  <si>
    <t xml:space="preserve">Slab on Grade / Ground Slab</t>
  </si>
  <si>
    <t xml:space="preserve">Sub Structure|Slab on Grade / Ground Slab|Base Preparation</t>
  </si>
  <si>
    <t xml:space="preserve">Sub Structure|Slab on Grade / Ground Slab|Crush Stone</t>
  </si>
  <si>
    <t xml:space="preserve">Sub Structure|Slab on Grade / Ground Slab|Anti-Termite</t>
  </si>
  <si>
    <t xml:space="preserve">Vapour Barrier</t>
  </si>
  <si>
    <t xml:space="preserve">Sub Structure|Slab on Grade / Ground Slab|Vapour Barrier</t>
  </si>
  <si>
    <t xml:space="preserve">Sub Structure|Slab on Grade / Ground Slab|Lean Concrete</t>
  </si>
  <si>
    <t xml:space="preserve">Sub Structure|Slab on Grade / Ground Slab|Concrete</t>
  </si>
  <si>
    <t xml:space="preserve">Sub Structure|Slab on Grade / Ground Slab|Formwork</t>
  </si>
  <si>
    <t xml:space="preserve">Sub Structure|Slab on Grade / Ground Slab|Rebar</t>
  </si>
  <si>
    <t xml:space="preserve">Sub Structure|Slab on Grade / Ground Slab|Steel Tie Wire</t>
  </si>
  <si>
    <t xml:space="preserve">Sub Structure|Slab on Grade / Ground Slab|Waterproofing</t>
  </si>
  <si>
    <t xml:space="preserve">Septic tank</t>
  </si>
  <si>
    <t xml:space="preserve">Sub Structure|Septic tank|Earthwork</t>
  </si>
  <si>
    <t xml:space="preserve">Sub Structure|Septic tank|Base Preparation</t>
  </si>
  <si>
    <t xml:space="preserve">Sub Structure|Septic tank|Crush Stone</t>
  </si>
  <si>
    <t xml:space="preserve">Sub Structure|Septic tank|Lean Concrete</t>
  </si>
  <si>
    <t xml:space="preserve">Sub Structure|Septic tank|Concrete</t>
  </si>
  <si>
    <t xml:space="preserve">Sub Structure|Septic tank|Formwork</t>
  </si>
  <si>
    <t xml:space="preserve">Sub Structure|Septic tank|Rebar</t>
  </si>
  <si>
    <t xml:space="preserve">Sub Structure|Septic tank|Steel Tie Wire</t>
  </si>
  <si>
    <t xml:space="preserve">Sub Structure|Septic tank|Water Stop</t>
  </si>
  <si>
    <t xml:space="preserve">Sub Structure|Septic tank|Waterproofing</t>
  </si>
  <si>
    <t xml:space="preserve">Sub Structure|Septic tank|Anti-Termite</t>
  </si>
  <si>
    <t xml:space="preserve">Water Tank / Sump Pit</t>
  </si>
  <si>
    <t xml:space="preserve">Sub Structure|Water Tank / Sump Pit|Earthwork</t>
  </si>
  <si>
    <t xml:space="preserve">Sub Structure|Water Tank / Sump Pit|Base Preparation</t>
  </si>
  <si>
    <t xml:space="preserve">Sub Structure|Water Tank / Sump Pit|Crush Stone</t>
  </si>
  <si>
    <t xml:space="preserve">Sub Structure|Water Tank / Sump Pit|Lean Concrete</t>
  </si>
  <si>
    <t xml:space="preserve">Sub Structure|Water Tank / Sump Pit|Concrete</t>
  </si>
  <si>
    <t xml:space="preserve">Sub Structure|Water Tank / Sump Pit|Formwork</t>
  </si>
  <si>
    <t xml:space="preserve">Sub Structure|Water Tank / Sump Pit|Rebar</t>
  </si>
  <si>
    <t xml:space="preserve">Sub Structure|Water Tank / Sump Pit|Steel Tie Wire</t>
  </si>
  <si>
    <t xml:space="preserve">Sub Structure|Water Tank / Sump Pit|Water Stop</t>
  </si>
  <si>
    <t xml:space="preserve">Sub Structure|Water Tank / Sump Pit|Waterproofing</t>
  </si>
  <si>
    <t xml:space="preserve">Sub Structure|Water Tank / Sump Pit|Anti-Termite</t>
  </si>
  <si>
    <t xml:space="preserve">Lift Pit</t>
  </si>
  <si>
    <t xml:space="preserve">Sub Structure|Lift Pit|Earthwork</t>
  </si>
  <si>
    <t xml:space="preserve">Sub Structure|Lift Pit|Lean Concrete</t>
  </si>
  <si>
    <t xml:space="preserve">Sub Structure|Lift Pit|Concrete</t>
  </si>
  <si>
    <t xml:space="preserve">Sub Structure|Lift Pit|Formwork</t>
  </si>
  <si>
    <t xml:space="preserve">Sub Structure|Lift Pit|Rebar</t>
  </si>
  <si>
    <t xml:space="preserve">Sub Structure|Lift Pit|Steel Tie Wire</t>
  </si>
  <si>
    <t xml:space="preserve">Sub Structure|Lift Pit|Water Stop</t>
  </si>
  <si>
    <t xml:space="preserve">Sub Structure|Lift Pit|Waterproofing</t>
  </si>
  <si>
    <t xml:space="preserve">Basement / Retaining Wall</t>
  </si>
  <si>
    <t xml:space="preserve">Sub Structure|Basement / Retaining Wall|Earthwork</t>
  </si>
  <si>
    <t xml:space="preserve">Sub Structure|Basement / Retaining Wall|Concrete</t>
  </si>
  <si>
    <t xml:space="preserve">Sub Structure|Basement / Retaining Wall|Formwork</t>
  </si>
  <si>
    <t xml:space="preserve">Sub Structure|Basement / Retaining Wall|Rebar</t>
  </si>
  <si>
    <t xml:space="preserve">Sub Structure|Basement / Retaining Wall|Steel Tie Wire</t>
  </si>
  <si>
    <t xml:space="preserve">Sub Structure|Basement / Retaining Wall|Water Stop</t>
  </si>
  <si>
    <t xml:space="preserve">Sub Structure|Basement / Retaining Wall|Waterproofing</t>
  </si>
  <si>
    <t xml:space="preserve">Protection Board</t>
  </si>
  <si>
    <t xml:space="preserve">Sub Structure|Basement / Retaining Wall|Protection Board</t>
  </si>
  <si>
    <t xml:space="preserve">Drainage Board</t>
  </si>
  <si>
    <t xml:space="preserve">Sub Structure|Basement / Retaining Wall|Drainage Board</t>
  </si>
  <si>
    <t xml:space="preserve">B.04</t>
  </si>
  <si>
    <t xml:space="preserve">Super Structure</t>
  </si>
  <si>
    <t xml:space="preserve">Structural Column</t>
  </si>
  <si>
    <t xml:space="preserve">Super Structure|Structural Column|Concrete</t>
  </si>
  <si>
    <t xml:space="preserve">Super Structure|Structural Column|Formwork</t>
  </si>
  <si>
    <t xml:space="preserve">Super Structure|Structural Column|Rebar</t>
  </si>
  <si>
    <t xml:space="preserve">Super Structure|Structural Column|Steel Tie Wire</t>
  </si>
  <si>
    <t xml:space="preserve">Column Starter Bar</t>
  </si>
  <si>
    <t xml:space="preserve">Super Structure|Structural Column|Column Starter Bar</t>
  </si>
  <si>
    <t xml:space="preserve">Grouting</t>
  </si>
  <si>
    <t xml:space="preserve">Super Structure|Structural Column|Grouting</t>
  </si>
  <si>
    <t xml:space="preserve">Structural Beam</t>
  </si>
  <si>
    <t xml:space="preserve">Super Structure|Structural Beam|Concrete</t>
  </si>
  <si>
    <t xml:space="preserve">Super Structure|Structural Beam|Formwork</t>
  </si>
  <si>
    <t xml:space="preserve">Super Structure|Structural Beam|Rebar</t>
  </si>
  <si>
    <t xml:space="preserve">Super Structure|Structural Beam|Steel Tie Wire</t>
  </si>
  <si>
    <t xml:space="preserve">Structural Slab</t>
  </si>
  <si>
    <t xml:space="preserve">Super Structure|Structural Slab|Concrete</t>
  </si>
  <si>
    <t xml:space="preserve">Super Structure|Structural Slab|Formwork</t>
  </si>
  <si>
    <t xml:space="preserve">Super Structure|Structural Slab|Rebar</t>
  </si>
  <si>
    <t xml:space="preserve">Super Structure|Structural Slab|Steel Tie Wire</t>
  </si>
  <si>
    <t xml:space="preserve">Post-Tension Strand</t>
  </si>
  <si>
    <t xml:space="preserve">Super Structure|Structural Slab|Post-Tension Strand</t>
  </si>
  <si>
    <t xml:space="preserve">Steel Deck</t>
  </si>
  <si>
    <t xml:space="preserve">Super Structure|Structural Slab|Steel Deck</t>
  </si>
  <si>
    <t xml:space="preserve">Structural Wall</t>
  </si>
  <si>
    <t xml:space="preserve">Super Structure|Structural Wall|Concrete</t>
  </si>
  <si>
    <t xml:space="preserve">Super Structure|Structural Wall|Formwork</t>
  </si>
  <si>
    <t xml:space="preserve">Super Structure|Structural Wall|Rebar</t>
  </si>
  <si>
    <t xml:space="preserve">Super Structure|Structural Wall|Steel Tie Wire</t>
  </si>
  <si>
    <t xml:space="preserve">Super Structure|Structural Wall|Water Stop</t>
  </si>
  <si>
    <t xml:space="preserve">Structural Staircase</t>
  </si>
  <si>
    <t xml:space="preserve">Super Structure|Structural Staircase|Concrete</t>
  </si>
  <si>
    <t xml:space="preserve">Super Structure|Structural Staircase|Formwork</t>
  </si>
  <si>
    <t xml:space="preserve">Super Structure|Structural Staircase|Rebar</t>
  </si>
  <si>
    <t xml:space="preserve">Super Structure|Structural Staircase|Steel Tie Wire</t>
  </si>
  <si>
    <t xml:space="preserve">Parapet wall &amp; Stiffener Column</t>
  </si>
  <si>
    <t xml:space="preserve">Super Structure|Parapet wall &amp; Stiffener Column|Concrete</t>
  </si>
  <si>
    <t xml:space="preserve">Super Structure|Parapet wall &amp; Stiffener Column|Formwork</t>
  </si>
  <si>
    <t xml:space="preserve">Super Structure|Parapet wall &amp; Stiffener Column|Rebar</t>
  </si>
  <si>
    <t xml:space="preserve">Super Structure|Parapet wall &amp; Stiffener Column|Steel Tie Wire</t>
  </si>
  <si>
    <t xml:space="preserve">Lift Core / Shear Core</t>
  </si>
  <si>
    <t xml:space="preserve">Super Structure|Lift Core / Shear Core|Concrete</t>
  </si>
  <si>
    <t xml:space="preserve">Super Structure|Lift Core / Shear Core|Formwork</t>
  </si>
  <si>
    <t xml:space="preserve">Super Structure|Lift Core / Shear Core|Rebar</t>
  </si>
  <si>
    <t xml:space="preserve">Super Structure|Lift Core / Shear Core|Steel Tie Wire</t>
  </si>
  <si>
    <t xml:space="preserve">Super Structure|Lift Core / Shear Core|Water Stop</t>
  </si>
  <si>
    <t xml:space="preserve">Ramp</t>
  </si>
  <si>
    <t xml:space="preserve">Super Structure|Ramp|Concrete</t>
  </si>
  <si>
    <t xml:space="preserve">Super Structure|Ramp|Formwork</t>
  </si>
  <si>
    <t xml:space="preserve">Super Structure|Ramp|Rebar</t>
  </si>
  <si>
    <t xml:space="preserve">Super Structure|Ramp|Steel Tie Wire</t>
  </si>
  <si>
    <t xml:space="preserve">Structural Steel</t>
  </si>
  <si>
    <t xml:space="preserve">Steel Section / Beam</t>
  </si>
  <si>
    <t xml:space="preserve">Super Structure|Structural Steel|Steel Section / Beam</t>
  </si>
  <si>
    <t xml:space="preserve">U steel</t>
  </si>
  <si>
    <t xml:space="preserve">Super Structure|Structural Steel|U steel</t>
  </si>
  <si>
    <t xml:space="preserve">Hollow steel tube</t>
  </si>
  <si>
    <t xml:space="preserve">Super Structure|Structural Steel|Hollow steel tube</t>
  </si>
  <si>
    <t xml:space="preserve">Purlin</t>
  </si>
  <si>
    <t xml:space="preserve">Super Structure|Structural Steel|Purlin</t>
  </si>
  <si>
    <t xml:space="preserve">Sag rod</t>
  </si>
  <si>
    <t xml:space="preserve">Super Structure|Structural Steel|Sag rod</t>
  </si>
  <si>
    <t xml:space="preserve">Bracing</t>
  </si>
  <si>
    <t xml:space="preserve">Super Structure|Structural Steel|Bracing</t>
  </si>
  <si>
    <t xml:space="preserve">Base Plate</t>
  </si>
  <si>
    <t xml:space="preserve">Super Structure|Structural Steel|Base Plate</t>
  </si>
  <si>
    <t xml:space="preserve">Steel plate</t>
  </si>
  <si>
    <t xml:space="preserve">Super Structure|Structural Steel|Steel plate</t>
  </si>
  <si>
    <t xml:space="preserve">J bolt</t>
  </si>
  <si>
    <t xml:space="preserve">Super Structure|Structural Steel|J bolt</t>
  </si>
  <si>
    <t xml:space="preserve">Anchor Bolt</t>
  </si>
  <si>
    <t xml:space="preserve">Super Structure|Structural Steel|Anchor Bolt</t>
  </si>
  <si>
    <t xml:space="preserve">Bolt &amp; Nut</t>
  </si>
  <si>
    <t xml:space="preserve">Super Structure|Structural Steel|Bolt &amp; Nut</t>
  </si>
  <si>
    <t xml:space="preserve">Welding</t>
  </si>
  <si>
    <t xml:space="preserve">Super Structure|Structural Steel|Welding</t>
  </si>
  <si>
    <t xml:space="preserve">Painting / Galvanizing</t>
  </si>
  <si>
    <t xml:space="preserve">Super Structure|Structural Steel|Painting / Galvanizing</t>
  </si>
  <si>
    <t xml:space="preserve">Fire Proofing</t>
  </si>
  <si>
    <t xml:space="preserve">Super Structure|Structural Steel|Fire Proofing</t>
  </si>
  <si>
    <t xml:space="preserve">Roof Structure / Truss</t>
  </si>
  <si>
    <t xml:space="preserve">Truss</t>
  </si>
  <si>
    <t xml:space="preserve">Super Structure|Roof Structure / Truss|Truss</t>
  </si>
  <si>
    <t xml:space="preserve">Super Structure|Roof Structure / Truss|Purlin</t>
  </si>
  <si>
    <t xml:space="preserve">Super Structure|Roof Structure / Truss|Sag rod</t>
  </si>
  <si>
    <t xml:space="preserve">Super Structure|Roof Structure / Truss|Bracing</t>
  </si>
  <si>
    <t xml:space="preserve">Zinc sheet</t>
  </si>
  <si>
    <t xml:space="preserve">Super Structure|Roof Structure / Truss|Zinc sheet</t>
  </si>
  <si>
    <t xml:space="preserve">Flashing</t>
  </si>
  <si>
    <t xml:space="preserve">Super Structure|Roof Structure / Truss|Flashing</t>
  </si>
  <si>
    <t xml:space="preserve">Super Structure|Roof Structure / Truss|Anchor Bolt</t>
  </si>
  <si>
    <t xml:space="preserve">Super Structure|Roof Structure / Truss|Painting / Galvanizing</t>
  </si>
  <si>
    <t xml:space="preserve">Testing &amp; Quality Control</t>
  </si>
  <si>
    <t xml:space="preserve">Super Structure|Testing &amp; Quality Control|Concrete Testing</t>
  </si>
  <si>
    <t xml:space="preserve">Super Structure|Testing &amp; Quality Control|Rebar Testing</t>
  </si>
  <si>
    <t xml:space="preserve">Non-Destructive Test</t>
  </si>
  <si>
    <t xml:space="preserve">Super Structure|Testing &amp; Quality Control|Non-Destructive Test</t>
  </si>
  <si>
    <t xml:space="preserve">Survey &amp; As-Built</t>
  </si>
  <si>
    <t xml:space="preserve">Super Structure|Testing &amp; Quality Control|Survey &amp; As-Built</t>
  </si>
  <si>
    <t xml:space="preserve">Architecture</t>
  </si>
  <si>
    <t xml:space="preserve">C.01</t>
  </si>
  <si>
    <t xml:space="preserve">Exterior Wall and Partition</t>
  </si>
  <si>
    <t xml:space="preserve">Hollow clay brick</t>
  </si>
  <si>
    <t xml:space="preserve">Hollow clay brick 100mm Thk.</t>
  </si>
  <si>
    <t xml:space="preserve">Exterior Wall and Partition|Hollow clay brick|Hollow clay brick 100mm Thk.</t>
  </si>
  <si>
    <t xml:space="preserve">Hollow clay brick 200mm Thk.</t>
  </si>
  <si>
    <t xml:space="preserve">Exterior Wall and Partition|Hollow clay brick|Hollow clay brick 200mm Thk.</t>
  </si>
  <si>
    <t xml:space="preserve">Hollow clay brick 400mm Thk.</t>
  </si>
  <si>
    <t xml:space="preserve">Exterior Wall and Partition|Hollow clay brick|Hollow clay brick 400mm Thk.</t>
  </si>
  <si>
    <t xml:space="preserve">Hollow clay brick 500mm Thk.</t>
  </si>
  <si>
    <t xml:space="preserve">Exterior Wall and Partition|Hollow clay brick|Hollow clay brick 500mm Thk.</t>
  </si>
  <si>
    <t xml:space="preserve">Hollow clay brick 800mm Thk.</t>
  </si>
  <si>
    <t xml:space="preserve">Exterior Wall and Partition|Hollow clay brick|Hollow clay brick 800mm Thk.</t>
  </si>
  <si>
    <t xml:space="preserve">Concrete block</t>
  </si>
  <si>
    <t xml:space="preserve">Concrete block 100mm Thk.</t>
  </si>
  <si>
    <t xml:space="preserve">Exterior Wall and Partition|Concrete block|Concrete block 100mm Thk.</t>
  </si>
  <si>
    <t xml:space="preserve">Concrete block 150mm Thk.</t>
  </si>
  <si>
    <t xml:space="preserve">Exterior Wall and Partition|Concrete block|Concrete block 150mm Thk.</t>
  </si>
  <si>
    <t xml:space="preserve">Concrete block 200mm Thk.</t>
  </si>
  <si>
    <t xml:space="preserve">Exterior Wall and Partition|Concrete block|Concrete block 200mm Thk.</t>
  </si>
  <si>
    <t xml:space="preserve">AAC block</t>
  </si>
  <si>
    <t xml:space="preserve">AAC block 100mm Thk.</t>
  </si>
  <si>
    <t xml:space="preserve">Exterior Wall and Partition|AAC block|AAC block 100mm Thk.</t>
  </si>
  <si>
    <t xml:space="preserve">AAC block 150mm Thk.</t>
  </si>
  <si>
    <t xml:space="preserve">Exterior Wall and Partition|AAC block|AAC block 150mm Thk.</t>
  </si>
  <si>
    <t xml:space="preserve">AAC block 200mm Thk.</t>
  </si>
  <si>
    <t xml:space="preserve">Exterior Wall and Partition|AAC block|AAC block 200mm Thk.</t>
  </si>
  <si>
    <t xml:space="preserve">Precast concrete panel</t>
  </si>
  <si>
    <t xml:space="preserve">Precast wall panel</t>
  </si>
  <si>
    <t xml:space="preserve">Exterior Wall and Partition|Precast concrete panel|Precast wall panel</t>
  </si>
  <si>
    <t xml:space="preserve">Panel jointing &amp; sealant</t>
  </si>
  <si>
    <t xml:space="preserve">Exterior Wall and Partition|Precast concrete panel|Panel jointing &amp; sealant</t>
  </si>
  <si>
    <t xml:space="preserve">External façade</t>
  </si>
  <si>
    <t xml:space="preserve">Exterior Wall and Partition|External façade|External façade</t>
  </si>
  <si>
    <t xml:space="preserve">Curtain wall</t>
  </si>
  <si>
    <t xml:space="preserve">Exterior Wall and Partition|External façade|Curtain wall</t>
  </si>
  <si>
    <t xml:space="preserve">Aluminium composite panel</t>
  </si>
  <si>
    <t xml:space="preserve">Exterior Wall and Partition|External façade|Aluminium composite panel</t>
  </si>
  <si>
    <t xml:space="preserve">Louver screen</t>
  </si>
  <si>
    <t xml:space="preserve">Exterior Wall and Partition|External façade|Louver screen</t>
  </si>
  <si>
    <t xml:space="preserve">C.02</t>
  </si>
  <si>
    <t xml:space="preserve">Exterior Wall Finishes</t>
  </si>
  <si>
    <t xml:space="preserve">Plastering</t>
  </si>
  <si>
    <t xml:space="preserve">Exterior Wall Finishes|Plastering|Plastering</t>
  </si>
  <si>
    <t xml:space="preserve">Skim coat</t>
  </si>
  <si>
    <t xml:space="preserve">Exterior Wall Finishes|Plastering|Skim coat</t>
  </si>
  <si>
    <t xml:space="preserve">Molding / Cornice</t>
  </si>
  <si>
    <t xml:space="preserve">Exterior Wall Finishes|Plastering|Molding / Cornice</t>
  </si>
  <si>
    <t xml:space="preserve">Painting</t>
  </si>
  <si>
    <t xml:space="preserve">Exterior Wall Finishes|Painting|Painting</t>
  </si>
  <si>
    <t xml:space="preserve">Primer coat</t>
  </si>
  <si>
    <t xml:space="preserve">Exterior Wall Finishes|Painting|Primer coat</t>
  </si>
  <si>
    <t xml:space="preserve">Weather-shield coating</t>
  </si>
  <si>
    <t xml:space="preserve">Exterior Wall Finishes|Painting|Weather-shield coating</t>
  </si>
  <si>
    <t xml:space="preserve">Wall tiling</t>
  </si>
  <si>
    <t xml:space="preserve">Exterior Wall Finishes|Wall tiling|Wall tiling</t>
  </si>
  <si>
    <t xml:space="preserve">Stone cladding</t>
  </si>
  <si>
    <t xml:space="preserve">Exterior Wall Finishes|Wall tiling|Stone cladding</t>
  </si>
  <si>
    <t xml:space="preserve">Expansion joint</t>
  </si>
  <si>
    <t xml:space="preserve">Exterior Wall Finishes|Expansion joint|Expansion joint</t>
  </si>
  <si>
    <t xml:space="preserve">Sealant</t>
  </si>
  <si>
    <t xml:space="preserve">Exterior Wall Finishes|Expansion joint|Sealant</t>
  </si>
  <si>
    <t xml:space="preserve">C.03</t>
  </si>
  <si>
    <t xml:space="preserve">Exterior Door</t>
  </si>
  <si>
    <t xml:space="preserve">Steel Door</t>
  </si>
  <si>
    <t xml:space="preserve">Exterior Door|Steel Door|Steel Door</t>
  </si>
  <si>
    <t xml:space="preserve">Fire rated steel door</t>
  </si>
  <si>
    <t xml:space="preserve">Exterior Door|Steel Door|Fire rated steel door</t>
  </si>
  <si>
    <t xml:space="preserve">Aluminium door</t>
  </si>
  <si>
    <t xml:space="preserve">Exterior Door|Aluminium door|Aluminium door</t>
  </si>
  <si>
    <t xml:space="preserve">Aluminium sliding door</t>
  </si>
  <si>
    <t xml:space="preserve">Exterior Door|Aluminium door|Aluminium sliding door</t>
  </si>
  <si>
    <t xml:space="preserve">Glass door</t>
  </si>
  <si>
    <t xml:space="preserve">Frameless glass door</t>
  </si>
  <si>
    <t xml:space="preserve">Exterior Door|Glass door|Frameless glass door</t>
  </si>
  <si>
    <t xml:space="preserve">Framed glass door</t>
  </si>
  <si>
    <t xml:space="preserve">Exterior Door|Glass door|Framed glass door</t>
  </si>
  <si>
    <t xml:space="preserve">Rolling shutter</t>
  </si>
  <si>
    <t xml:space="preserve">Exterior Door|Rolling shutter|Rolling shutter</t>
  </si>
  <si>
    <t xml:space="preserve">Motor &amp; control</t>
  </si>
  <si>
    <t xml:space="preserve">Exterior Door|Rolling shutter|Motor &amp; control</t>
  </si>
  <si>
    <t xml:space="preserve">Door ironmongery</t>
  </si>
  <si>
    <t xml:space="preserve">Lockset</t>
  </si>
  <si>
    <t xml:space="preserve">Exterior Door|Door ironmongery|Lockset</t>
  </si>
  <si>
    <t xml:space="preserve">Door closer</t>
  </si>
  <si>
    <t xml:space="preserve">Exterior Door|Door ironmongery|Door closer</t>
  </si>
  <si>
    <t xml:space="preserve">Hinge</t>
  </si>
  <si>
    <t xml:space="preserve">Exterior Door|Door ironmongery|Hinge</t>
  </si>
  <si>
    <t xml:space="preserve">Door stopper</t>
  </si>
  <si>
    <t xml:space="preserve">Exterior Door|Door ironmongery|Door stopper</t>
  </si>
  <si>
    <t xml:space="preserve">C.04</t>
  </si>
  <si>
    <t xml:space="preserve">Exterior Window and Louver</t>
  </si>
  <si>
    <t xml:space="preserve">Glass Window</t>
  </si>
  <si>
    <t xml:space="preserve">Exterior Window and Louver|Glass Window|Glass Window</t>
  </si>
  <si>
    <t xml:space="preserve">Fixed glass window</t>
  </si>
  <si>
    <t xml:space="preserve">Exterior Window and Louver|Glass Window|Fixed glass window</t>
  </si>
  <si>
    <t xml:space="preserve">Sliding glass window</t>
  </si>
  <si>
    <t xml:space="preserve">Exterior Window and Louver|Glass Window|Sliding glass window</t>
  </si>
  <si>
    <t xml:space="preserve">Casement window</t>
  </si>
  <si>
    <t xml:space="preserve">Exterior Window and Louver|Glass Window|Casement window</t>
  </si>
  <si>
    <t xml:space="preserve">Aluminium louver</t>
  </si>
  <si>
    <t xml:space="preserve">Exterior Window and Louver|Aluminium louver|Aluminium louver</t>
  </si>
  <si>
    <t xml:space="preserve">Steel louver</t>
  </si>
  <si>
    <t xml:space="preserve">Exterior Window and Louver|Aluminium louver|Steel louver</t>
  </si>
  <si>
    <t xml:space="preserve">Window accessories</t>
  </si>
  <si>
    <t xml:space="preserve">Window fence / grille</t>
  </si>
  <si>
    <t xml:space="preserve">Exterior Window and Louver|Window accessories|Window fence / grille</t>
  </si>
  <si>
    <t xml:space="preserve">Mosquito screen</t>
  </si>
  <si>
    <t xml:space="preserve">Exterior Window and Louver|Window accessories|Mosquito screen</t>
  </si>
  <si>
    <t xml:space="preserve">Exterior Window and Louver|Window accessories|Sealant</t>
  </si>
  <si>
    <t xml:space="preserve">Window sill</t>
  </si>
  <si>
    <t xml:space="preserve">Exterior Window and Louver|Window accessories|Window sill</t>
  </si>
  <si>
    <t xml:space="preserve">C.05</t>
  </si>
  <si>
    <t xml:space="preserve">Exterior floor</t>
  </si>
  <si>
    <t xml:space="preserve">Screeding</t>
  </si>
  <si>
    <t xml:space="preserve">Exterior floor|Screeding|Screeding</t>
  </si>
  <si>
    <t xml:space="preserve">Floor hardener</t>
  </si>
  <si>
    <t xml:space="preserve">Exterior floor|Screeding|Floor hardener</t>
  </si>
  <si>
    <t xml:space="preserve">Floor tiling</t>
  </si>
  <si>
    <t xml:space="preserve">Exterior floor|Floor tiling|Floor tiling</t>
  </si>
  <si>
    <t xml:space="preserve">Anti-slip tile</t>
  </si>
  <si>
    <t xml:space="preserve">Exterior floor|Floor tiling|Anti-slip tile</t>
  </si>
  <si>
    <t xml:space="preserve">Exterior floor|Waterproofing|Waterproofing</t>
  </si>
  <si>
    <t xml:space="preserve">Protection screed</t>
  </si>
  <si>
    <t xml:space="preserve">Exterior floor|Waterproofing|Protection screed</t>
  </si>
  <si>
    <t xml:space="preserve">C.06</t>
  </si>
  <si>
    <t xml:space="preserve">Exterior soffit</t>
  </si>
  <si>
    <t xml:space="preserve">Soffit finishes</t>
  </si>
  <si>
    <t xml:space="preserve">Exterior soffit|Soffit finishes|Plastering</t>
  </si>
  <si>
    <t xml:space="preserve">Exterior soffit|Soffit finishes|Painting</t>
  </si>
  <si>
    <t xml:space="preserve">Soffit cladding</t>
  </si>
  <si>
    <t xml:space="preserve">Exterior soffit|Soffit finishes|Soffit cladding</t>
  </si>
  <si>
    <t xml:space="preserve">C.07</t>
  </si>
  <si>
    <t xml:space="preserve">Exterior Stair Ramp</t>
  </si>
  <si>
    <t xml:space="preserve">Stair &amp; Ramp finishes</t>
  </si>
  <si>
    <t xml:space="preserve">Stair tread &amp; riser finish</t>
  </si>
  <si>
    <t xml:space="preserve">Exterior Stair Ramp|Stair &amp; Ramp finishes|Stair tread &amp; riser finish</t>
  </si>
  <si>
    <t xml:space="preserve">Ramp finish</t>
  </si>
  <si>
    <t xml:space="preserve">Exterior Stair Ramp|Stair &amp; Ramp finishes|Ramp finish</t>
  </si>
  <si>
    <t xml:space="preserve">Stair nosing</t>
  </si>
  <si>
    <t xml:space="preserve">Exterior Stair Ramp|Stair &amp; Ramp finishes|Stair nosing</t>
  </si>
  <si>
    <t xml:space="preserve">Tactile paving</t>
  </si>
  <si>
    <t xml:space="preserve">Exterior Stair Ramp|Stair &amp; Ramp finishes|Tactile paving</t>
  </si>
  <si>
    <t xml:space="preserve">Handrail &amp; Balustrade</t>
  </si>
  <si>
    <t xml:space="preserve">Handrail</t>
  </si>
  <si>
    <t xml:space="preserve">Exterior Stair Ramp|Handrail &amp; Balustrade|Handrail</t>
  </si>
  <si>
    <t xml:space="preserve">Balustrade</t>
  </si>
  <si>
    <t xml:space="preserve">Exterior Stair Ramp|Handrail &amp; Balustrade|Balustrade</t>
  </si>
  <si>
    <t xml:space="preserve">Guard rail</t>
  </si>
  <si>
    <t xml:space="preserve">Exterior Stair Ramp|Handrail &amp; Balustrade|Guard rail</t>
  </si>
  <si>
    <t xml:space="preserve">C.08</t>
  </si>
  <si>
    <t xml:space="preserve">Roofing</t>
  </si>
  <si>
    <t xml:space="preserve">Roof covering</t>
  </si>
  <si>
    <t xml:space="preserve">Metal roof sheet</t>
  </si>
  <si>
    <t xml:space="preserve">Roofing|Roof covering|Metal roof sheet</t>
  </si>
  <si>
    <t xml:space="preserve">Roof tile</t>
  </si>
  <si>
    <t xml:space="preserve">Roofing|Roof covering|Roof tile</t>
  </si>
  <si>
    <t xml:space="preserve">Translucent sheet</t>
  </si>
  <si>
    <t xml:space="preserve">Roofing|Roof covering|Translucent sheet</t>
  </si>
  <si>
    <t xml:space="preserve">Ridge cap</t>
  </si>
  <si>
    <t xml:space="preserve">Roofing|Roof covering|Ridge cap</t>
  </si>
  <si>
    <t xml:space="preserve">Roof waterproofing &amp; insulation</t>
  </si>
  <si>
    <t xml:space="preserve">Waterproofing membrane</t>
  </si>
  <si>
    <t xml:space="preserve">Roofing|Roof waterproofing &amp; insulation|Waterproofing membrane</t>
  </si>
  <si>
    <t xml:space="preserve">Thermal insulation</t>
  </si>
  <si>
    <t xml:space="preserve">Roofing|Roof waterproofing &amp; insulation|Thermal insulation</t>
  </si>
  <si>
    <t xml:space="preserve">Vapour barrier</t>
  </si>
  <si>
    <t xml:space="preserve">Roofing|Roof waterproofing &amp; insulation|Vapour barrier</t>
  </si>
  <si>
    <t xml:space="preserve">Roofing|Roof waterproofing &amp; insulation|Protection screed</t>
  </si>
  <si>
    <t xml:space="preserve">Roof drainage</t>
  </si>
  <si>
    <t xml:space="preserve">Gutter</t>
  </si>
  <si>
    <t xml:space="preserve">Roofing|Roof drainage|Gutter</t>
  </si>
  <si>
    <t xml:space="preserve">Downpipe</t>
  </si>
  <si>
    <t xml:space="preserve">Roofing|Roof drainage|Downpipe</t>
  </si>
  <si>
    <t xml:space="preserve">Roof drain</t>
  </si>
  <si>
    <t xml:space="preserve">Roofing|Roof drainage|Roof drain</t>
  </si>
  <si>
    <t xml:space="preserve">Roofing|Roof drainage|Flashing</t>
  </si>
  <si>
    <t xml:space="preserve">Roof accessories</t>
  </si>
  <si>
    <t xml:space="preserve">Skylight</t>
  </si>
  <si>
    <t xml:space="preserve">Roofing|Roof accessories|Skylight</t>
  </si>
  <si>
    <t xml:space="preserve">Roof access hatch</t>
  </si>
  <si>
    <t xml:space="preserve">Roofing|Roof accessories|Roof access hatch</t>
  </si>
  <si>
    <t xml:space="preserve">Roof ladder</t>
  </si>
  <si>
    <t xml:space="preserve">Roofing|Roof accessories|Roof ladder</t>
  </si>
  <si>
    <t xml:space="preserve">Lightning terminal base</t>
  </si>
  <si>
    <t xml:space="preserve">Roofing|Roof accessories|Lightning terminal base</t>
  </si>
  <si>
    <t xml:space="preserve">C.09</t>
  </si>
  <si>
    <t xml:space="preserve">Interior Wall and Partition</t>
  </si>
  <si>
    <t xml:space="preserve">Interior Wall and Partition|Hollow clay brick|Hollow clay brick 100mm Thk.</t>
  </si>
  <si>
    <t xml:space="preserve">Interior Wall and Partition|Hollow clay brick|Hollow clay brick 200mm Thk.</t>
  </si>
  <si>
    <t xml:space="preserve">Dry wall partition</t>
  </si>
  <si>
    <t xml:space="preserve">Gypsum board partition</t>
  </si>
  <si>
    <t xml:space="preserve">Interior Wall and Partition|Dry wall partition|Gypsum board partition</t>
  </si>
  <si>
    <t xml:space="preserve">Cement board partition</t>
  </si>
  <si>
    <t xml:space="preserve">Interior Wall and Partition|Dry wall partition|Cement board partition</t>
  </si>
  <si>
    <t xml:space="preserve">Metal stud framing</t>
  </si>
  <si>
    <t xml:space="preserve">Interior Wall and Partition|Dry wall partition|Metal stud framing</t>
  </si>
  <si>
    <t xml:space="preserve">Acoustic infill</t>
  </si>
  <si>
    <t xml:space="preserve">Interior Wall and Partition|Dry wall partition|Acoustic infill</t>
  </si>
  <si>
    <t xml:space="preserve">Glass partition</t>
  </si>
  <si>
    <t xml:space="preserve">Frameless glass partition</t>
  </si>
  <si>
    <t xml:space="preserve">Interior Wall and Partition|Glass partition|Frameless glass partition</t>
  </si>
  <si>
    <t xml:space="preserve">Framed glass partition</t>
  </si>
  <si>
    <t xml:space="preserve">Interior Wall and Partition|Glass partition|Framed glass partition</t>
  </si>
  <si>
    <t xml:space="preserve">Toilet cubicle</t>
  </si>
  <si>
    <t xml:space="preserve">Interior Wall and Partition|Toilet cubicle|Toilet cubicle</t>
  </si>
  <si>
    <t xml:space="preserve">Urinal divider</t>
  </si>
  <si>
    <t xml:space="preserve">Interior Wall and Partition|Toilet cubicle|Urinal divider</t>
  </si>
  <si>
    <t xml:space="preserve">Interior Wall and Partition|Handrail|Handrail</t>
  </si>
  <si>
    <t xml:space="preserve">Handrail on staircase</t>
  </si>
  <si>
    <t xml:space="preserve">Interior Wall and Partition|Handrail|Handrail on staircase</t>
  </si>
  <si>
    <t xml:space="preserve">Wall guard rail</t>
  </si>
  <si>
    <t xml:space="preserve">Interior Wall and Partition|Handrail|Wall guard rail</t>
  </si>
  <si>
    <t xml:space="preserve">C.10</t>
  </si>
  <si>
    <t xml:space="preserve">Interior Doors</t>
  </si>
  <si>
    <t xml:space="preserve">Wood door</t>
  </si>
  <si>
    <t xml:space="preserve">Interior Doors|Wood door|Wood door</t>
  </si>
  <si>
    <t xml:space="preserve">Solid core wood door</t>
  </si>
  <si>
    <t xml:space="preserve">Interior Doors|Wood door|Solid core wood door</t>
  </si>
  <si>
    <t xml:space="preserve">PVC door</t>
  </si>
  <si>
    <t xml:space="preserve">Interior Doors|PVC door|PVC door</t>
  </si>
  <si>
    <t xml:space="preserve">Interior Doors|Steel Door|Steel Door</t>
  </si>
  <si>
    <t xml:space="preserve">Fire rated door</t>
  </si>
  <si>
    <t xml:space="preserve">Interior Doors|Steel Door|Fire rated door</t>
  </si>
  <si>
    <t xml:space="preserve">Aluminium / Glass door</t>
  </si>
  <si>
    <t xml:space="preserve">Interior Doors|Aluminium / Glass door|Aluminium door</t>
  </si>
  <si>
    <t xml:space="preserve">Interior Doors|Aluminium / Glass door|Glass door</t>
  </si>
  <si>
    <t xml:space="preserve">Interior Doors|Door ironmongery|Lockset</t>
  </si>
  <si>
    <t xml:space="preserve">Interior Doors|Door ironmongery|Door closer</t>
  </si>
  <si>
    <t xml:space="preserve">Interior Doors|Door ironmongery|Hinge</t>
  </si>
  <si>
    <t xml:space="preserve">Interior Doors|Door ironmongery|Door stopper</t>
  </si>
  <si>
    <t xml:space="preserve">Panic bar</t>
  </si>
  <si>
    <t xml:space="preserve">Interior Doors|Door ironmongery|Panic bar</t>
  </si>
  <si>
    <t xml:space="preserve">Interior window / louver</t>
  </si>
  <si>
    <t xml:space="preserve">Interior glass window</t>
  </si>
  <si>
    <t xml:space="preserve">Interior Doors|Interior window / louver|Interior glass window</t>
  </si>
  <si>
    <t xml:space="preserve">Interior louver</t>
  </si>
  <si>
    <t xml:space="preserve">Interior Doors|Interior window / louver|Interior louver</t>
  </si>
  <si>
    <t xml:space="preserve">C.11</t>
  </si>
  <si>
    <t xml:space="preserve">Special installation</t>
  </si>
  <si>
    <t xml:space="preserve">Gas installation</t>
  </si>
  <si>
    <t xml:space="preserve">LPG gas system</t>
  </si>
  <si>
    <t xml:space="preserve">Special installation|Gas installation|LPG gas system</t>
  </si>
  <si>
    <t xml:space="preserve">Laboratory gas outlet</t>
  </si>
  <si>
    <t xml:space="preserve">Special installation|Gas installation|Laboratory gas outlet</t>
  </si>
  <si>
    <t xml:space="preserve">D.01</t>
  </si>
  <si>
    <t xml:space="preserve">Interior Wall Finishes</t>
  </si>
  <si>
    <t xml:space="preserve">Interior Wall Finishes|Plastering|Plastering</t>
  </si>
  <si>
    <t xml:space="preserve">Interior Wall Finishes|Plastering|Skim coat</t>
  </si>
  <si>
    <t xml:space="preserve">Interior Wall Finishes|Painting|Painting</t>
  </si>
  <si>
    <t xml:space="preserve">Interior Wall Finishes|Painting|Primer coat</t>
  </si>
  <si>
    <t xml:space="preserve">Interior Wall Finishes|Wall tiling|Wall tiling</t>
  </si>
  <si>
    <t xml:space="preserve">Toilet Wall tile</t>
  </si>
  <si>
    <t xml:space="preserve">Interior Wall Finishes|Wall tiling|Toilet Wall tile</t>
  </si>
  <si>
    <t xml:space="preserve">Wall cladding</t>
  </si>
  <si>
    <t xml:space="preserve">Interior Wall Finishes|Wall cladding|Wall cladding</t>
  </si>
  <si>
    <t xml:space="preserve">Acoustic panel</t>
  </si>
  <si>
    <t xml:space="preserve">Interior Wall Finishes|Wall cladding|Acoustic panel</t>
  </si>
  <si>
    <t xml:space="preserve">Wallpaper</t>
  </si>
  <si>
    <t xml:space="preserve">Interior Wall Finishes|Wall cladding|Wallpaper</t>
  </si>
  <si>
    <t xml:space="preserve">Mirror</t>
  </si>
  <si>
    <t xml:space="preserve">Interior Wall Finishes|Wall cladding|Mirror</t>
  </si>
  <si>
    <t xml:space="preserve">Skirting</t>
  </si>
  <si>
    <t xml:space="preserve">Interior Wall Finishes|Skirting|Skirting</t>
  </si>
  <si>
    <t xml:space="preserve">D.02</t>
  </si>
  <si>
    <t xml:space="preserve">Interior Floor Finishes</t>
  </si>
  <si>
    <t xml:space="preserve">Interior Floor Finishes|Screeding|Screeding</t>
  </si>
  <si>
    <t xml:space="preserve">Self-levelling screed</t>
  </si>
  <si>
    <t xml:space="preserve">Interior Floor Finishes|Screeding|Self-levelling screed</t>
  </si>
  <si>
    <t xml:space="preserve">Interior Floor Finishes|Floor tiling|Floor tiling</t>
  </si>
  <si>
    <t xml:space="preserve">Toilet Floor tile</t>
  </si>
  <si>
    <t xml:space="preserve">Interior Floor Finishes|Floor tiling|Toilet Floor tile</t>
  </si>
  <si>
    <t xml:space="preserve">Homogeneous tile</t>
  </si>
  <si>
    <t xml:space="preserve">Interior Floor Finishes|Floor tiling|Homogeneous tile</t>
  </si>
  <si>
    <t xml:space="preserve">Stone flooring</t>
  </si>
  <si>
    <t xml:space="preserve">Marble on staircase</t>
  </si>
  <si>
    <t xml:space="preserve">Interior Floor Finishes|Stone flooring|Marble on staircase</t>
  </si>
  <si>
    <t xml:space="preserve">Marble flooring</t>
  </si>
  <si>
    <t xml:space="preserve">Interior Floor Finishes|Stone flooring|Marble flooring</t>
  </si>
  <si>
    <t xml:space="preserve">Granite flooring</t>
  </si>
  <si>
    <t xml:space="preserve">Interior Floor Finishes|Stone flooring|Granite flooring</t>
  </si>
  <si>
    <t xml:space="preserve">Resilient flooring</t>
  </si>
  <si>
    <t xml:space="preserve">Vinyl flooring</t>
  </si>
  <si>
    <t xml:space="preserve">Interior Floor Finishes|Resilient flooring|Vinyl flooring</t>
  </si>
  <si>
    <t xml:space="preserve">Epoxy flooring</t>
  </si>
  <si>
    <t xml:space="preserve">Interior Floor Finishes|Resilient flooring|Epoxy flooring</t>
  </si>
  <si>
    <t xml:space="preserve">Wooden flooring</t>
  </si>
  <si>
    <t xml:space="preserve">Interior Floor Finishes|Resilient flooring|Wooden flooring</t>
  </si>
  <si>
    <t xml:space="preserve">Carpet</t>
  </si>
  <si>
    <t xml:space="preserve">Interior Floor Finishes|Resilient flooring|Carpet</t>
  </si>
  <si>
    <t xml:space="preserve">Raised floor</t>
  </si>
  <si>
    <t xml:space="preserve">Interior Floor Finishes|Resilient flooring|Raised floor</t>
  </si>
  <si>
    <t xml:space="preserve">Interior Floor Finishes|Waterproofing|Waterproofing</t>
  </si>
  <si>
    <t xml:space="preserve">anti termite</t>
  </si>
  <si>
    <t xml:space="preserve">Interior Floor Finishes|Waterproofing|anti termite</t>
  </si>
  <si>
    <t xml:space="preserve">Floor accessories</t>
  </si>
  <si>
    <t xml:space="preserve">Interior Floor Finishes|Floor accessories|Skirting</t>
  </si>
  <si>
    <t xml:space="preserve">Interior Floor Finishes|Floor accessories|Stair nosing</t>
  </si>
  <si>
    <t xml:space="preserve">Floor trim / divider</t>
  </si>
  <si>
    <t xml:space="preserve">Interior Floor Finishes|Floor accessories|Floor trim / divider</t>
  </si>
  <si>
    <t xml:space="preserve">D.03</t>
  </si>
  <si>
    <t xml:space="preserve">Ceiling Finishes</t>
  </si>
  <si>
    <t xml:space="preserve">Suspended ceiling</t>
  </si>
  <si>
    <t xml:space="preserve">Ceiling Finishes|Suspended ceiling|Suspended ceiling</t>
  </si>
  <si>
    <t xml:space="preserve">Gypsum board ceiling</t>
  </si>
  <si>
    <t xml:space="preserve">Ceiling Finishes|Suspended ceiling|Gypsum board ceiling</t>
  </si>
  <si>
    <t xml:space="preserve">Cement board ceiling</t>
  </si>
  <si>
    <t xml:space="preserve">Ceiling Finishes|Suspended ceiling|Cement board ceiling</t>
  </si>
  <si>
    <t xml:space="preserve">Acoustic ceiling</t>
  </si>
  <si>
    <t xml:space="preserve">Acoustic ceiling tile</t>
  </si>
  <si>
    <t xml:space="preserve">Ceiling Finishes|Acoustic ceiling|Acoustic ceiling tile</t>
  </si>
  <si>
    <t xml:space="preserve">Mineral fibre ceiling</t>
  </si>
  <si>
    <t xml:space="preserve">Ceiling Finishes|Acoustic ceiling|Mineral fibre ceiling</t>
  </si>
  <si>
    <t xml:space="preserve">Metal ceiling</t>
  </si>
  <si>
    <t xml:space="preserve">Aluminium strip ceiling</t>
  </si>
  <si>
    <t xml:space="preserve">Ceiling Finishes|Metal ceiling|Aluminium strip ceiling</t>
  </si>
  <si>
    <t xml:space="preserve">Metal grid ceiling</t>
  </si>
  <si>
    <t xml:space="preserve">Ceiling Finishes|Metal ceiling|Metal grid ceiling</t>
  </si>
  <si>
    <t xml:space="preserve">Ceiling accessories</t>
  </si>
  <si>
    <t xml:space="preserve">Ceiling access panel</t>
  </si>
  <si>
    <t xml:space="preserve">Ceiling Finishes|Ceiling accessories|Ceiling access panel</t>
  </si>
  <si>
    <t xml:space="preserve">Cornice</t>
  </si>
  <si>
    <t xml:space="preserve">Ceiling Finishes|Ceiling accessories|Cornice</t>
  </si>
  <si>
    <t xml:space="preserve">Bulkhead</t>
  </si>
  <si>
    <t xml:space="preserve">Ceiling Finishes|Ceiling accessories|Bulkhead</t>
  </si>
  <si>
    <t xml:space="preserve">Ceiling painting</t>
  </si>
  <si>
    <t xml:space="preserve">Ceiling Finishes|Ceiling accessories|Ceiling painting</t>
  </si>
  <si>
    <t xml:space="preserve">Curtain box</t>
  </si>
  <si>
    <t xml:space="preserve">Ceiling Finishes|Ceiling accessories|Curtain box</t>
  </si>
  <si>
    <t xml:space="preserve">E.01</t>
  </si>
  <si>
    <t xml:space="preserve">Fittings, furnishings and equipment</t>
  </si>
  <si>
    <t xml:space="preserve">General Fitting</t>
  </si>
  <si>
    <t xml:space="preserve">Toilet accessories</t>
  </si>
  <si>
    <t xml:space="preserve">set</t>
  </si>
  <si>
    <t xml:space="preserve">Fittings, furnishings and equipment|General Fitting|Toilet accessories</t>
  </si>
  <si>
    <t xml:space="preserve">Fittings, furnishings and equipment|General Fitting|Mirror</t>
  </si>
  <si>
    <t xml:space="preserve">Counter top</t>
  </si>
  <si>
    <t xml:space="preserve">Fittings, furnishings and equipment|General Fitting|Counter top</t>
  </si>
  <si>
    <t xml:space="preserve">Locker</t>
  </si>
  <si>
    <t xml:space="preserve">Fittings, furnishings and equipment|General Fitting|Locker</t>
  </si>
  <si>
    <t xml:space="preserve">Shelving</t>
  </si>
  <si>
    <t xml:space="preserve">Fittings, furnishings and equipment|General Fitting|Shelving</t>
  </si>
  <si>
    <t xml:space="preserve">Blind &amp; curtain</t>
  </si>
  <si>
    <t xml:space="preserve">Fittings, furnishings and equipment|General Fitting|Blind &amp; curtain</t>
  </si>
  <si>
    <t xml:space="preserve">White board</t>
  </si>
  <si>
    <t xml:space="preserve">Fittings, furnishings and equipment|General Fitting|White board</t>
  </si>
  <si>
    <t xml:space="preserve">E.02</t>
  </si>
  <si>
    <t xml:space="preserve">Kitchen Fitting</t>
  </si>
  <si>
    <t xml:space="preserve">Kitchen cabinet</t>
  </si>
  <si>
    <t xml:space="preserve">Fittings, furnishings and equipment|Kitchen Fitting|Kitchen cabinet</t>
  </si>
  <si>
    <t xml:space="preserve">Fittings, furnishings and equipment|Kitchen Fitting|Counter top</t>
  </si>
  <si>
    <t xml:space="preserve">Sink</t>
  </si>
  <si>
    <t xml:space="preserve">Fittings, furnishings and equipment|Kitchen Fitting|Sink</t>
  </si>
  <si>
    <t xml:space="preserve">E.03</t>
  </si>
  <si>
    <t xml:space="preserve">Special purpose Fitting</t>
  </si>
  <si>
    <t xml:space="preserve">Laboratory bench</t>
  </si>
  <si>
    <t xml:space="preserve">Fittings, furnishings and equipment|Special purpose Fitting|Laboratory bench</t>
  </si>
  <si>
    <t xml:space="preserve">Library shelving</t>
  </si>
  <si>
    <t xml:space="preserve">Fittings, furnishings and equipment|Special purpose Fitting|Library shelving</t>
  </si>
  <si>
    <t xml:space="preserve">Sport / gym equipment</t>
  </si>
  <si>
    <t xml:space="preserve">Fittings, furnishings and equipment|Special purpose Fitting|Sport / gym equipment</t>
  </si>
  <si>
    <t xml:space="preserve">E.04</t>
  </si>
  <si>
    <t xml:space="preserve">Signage</t>
  </si>
  <si>
    <t xml:space="preserve">Fittings, furnishings and equipment|Signage|Signage</t>
  </si>
  <si>
    <t xml:space="preserve">External round logo</t>
  </si>
  <si>
    <t xml:space="preserve">Fittings, furnishings and equipment|Signage|External round logo</t>
  </si>
  <si>
    <t xml:space="preserve">Khmer and Chinese text</t>
  </si>
  <si>
    <t xml:space="preserve">Fittings, furnishings and equipment|Signage|Khmer and Chinese text</t>
  </si>
  <si>
    <t xml:space="preserve">Wayfinding sign</t>
  </si>
  <si>
    <t xml:space="preserve">Fittings, furnishings and equipment|Signage|Wayfinding sign</t>
  </si>
  <si>
    <t xml:space="preserve">Room sign</t>
  </si>
  <si>
    <t xml:space="preserve">Fittings, furnishings and equipment|Signage|Room sign</t>
  </si>
  <si>
    <t xml:space="preserve">Statutory / safety sign</t>
  </si>
  <si>
    <t xml:space="preserve">Fittings, furnishings and equipment|Signage|Statutory / safety sign</t>
  </si>
  <si>
    <t xml:space="preserve">MEP</t>
  </si>
  <si>
    <t xml:space="preserve">F.01</t>
  </si>
  <si>
    <t xml:space="preserve">Sanitary Installations</t>
  </si>
  <si>
    <t xml:space="preserve">Sanitary ware</t>
  </si>
  <si>
    <t xml:space="preserve">Water closet</t>
  </si>
  <si>
    <t xml:space="preserve">Sanitary Installations|Sanitary ware|Water closet</t>
  </si>
  <si>
    <t xml:space="preserve">Wash basin</t>
  </si>
  <si>
    <t xml:space="preserve">Sanitary Installations|Sanitary ware|Wash basin</t>
  </si>
  <si>
    <t xml:space="preserve">Urinal</t>
  </si>
  <si>
    <t xml:space="preserve">Sanitary Installations|Sanitary ware|Urinal</t>
  </si>
  <si>
    <t xml:space="preserve">Shower set</t>
  </si>
  <si>
    <t xml:space="preserve">Sanitary Installations|Sanitary ware|Shower set</t>
  </si>
  <si>
    <t xml:space="preserve">Squat pan</t>
  </si>
  <si>
    <t xml:space="preserve">Sanitary Installations|Sanitary ware|Squat pan</t>
  </si>
  <si>
    <t xml:space="preserve">Sanitary Installations|Sanitary ware|Sink</t>
  </si>
  <si>
    <t xml:space="preserve">Sanitary fitting</t>
  </si>
  <si>
    <t xml:space="preserve">Tap / faucet</t>
  </si>
  <si>
    <t xml:space="preserve">Sanitary Installations|Sanitary fitting|Tap / faucet</t>
  </si>
  <si>
    <t xml:space="preserve">Flush valve</t>
  </si>
  <si>
    <t xml:space="preserve">Sanitary Installations|Sanitary fitting|Flush valve</t>
  </si>
  <si>
    <t xml:space="preserve">Angle valve</t>
  </si>
  <si>
    <t xml:space="preserve">Sanitary Installations|Sanitary fitting|Angle valve</t>
  </si>
  <si>
    <t xml:space="preserve">Floor drain</t>
  </si>
  <si>
    <t xml:space="preserve">Sanitary Installations|Sanitary fitting|Floor drain</t>
  </si>
  <si>
    <t xml:space="preserve">Floor trap</t>
  </si>
  <si>
    <t xml:space="preserve">Sanitary Installations|Sanitary fitting|Floor trap</t>
  </si>
  <si>
    <t xml:space="preserve">Clean out</t>
  </si>
  <si>
    <t xml:space="preserve">Sanitary Installations|Sanitary fitting|Clean out</t>
  </si>
  <si>
    <t xml:space="preserve">Sanitary accessories</t>
  </si>
  <si>
    <t xml:space="preserve">Toilet paper holder</t>
  </si>
  <si>
    <t xml:space="preserve">Sanitary Installations|Sanitary accessories|Toilet paper holder</t>
  </si>
  <si>
    <t xml:space="preserve">Soap dispenser</t>
  </si>
  <si>
    <t xml:space="preserve">Sanitary Installations|Sanitary accessories|Soap dispenser</t>
  </si>
  <si>
    <t xml:space="preserve">Grab bar</t>
  </si>
  <si>
    <t xml:space="preserve">Sanitary Installations|Sanitary accessories|Grab bar</t>
  </si>
  <si>
    <t xml:space="preserve">Hand dryer</t>
  </si>
  <si>
    <t xml:space="preserve">Sanitary Installations|Sanitary accessories|Hand dryer</t>
  </si>
  <si>
    <t xml:space="preserve">F.02</t>
  </si>
  <si>
    <t xml:space="preserve">AIR-CONDITIONAL SYSTEM</t>
  </si>
  <si>
    <t xml:space="preserve">Split unit system</t>
  </si>
  <si>
    <t xml:space="preserve">Wall mounted split unit</t>
  </si>
  <si>
    <t xml:space="preserve">AIR-CONDITIONAL SYSTEM|Split unit system|Wall mounted split unit</t>
  </si>
  <si>
    <t xml:space="preserve">Cassette type unit</t>
  </si>
  <si>
    <t xml:space="preserve">AIR-CONDITIONAL SYSTEM|Split unit system|Cassette type unit</t>
  </si>
  <si>
    <t xml:space="preserve">Outdoor condensing unit</t>
  </si>
  <si>
    <t xml:space="preserve">AIR-CONDITIONAL SYSTEM|Split unit system|Outdoor condensing unit</t>
  </si>
  <si>
    <t xml:space="preserve">VRF / VRV system</t>
  </si>
  <si>
    <t xml:space="preserve">VRF indoor unit</t>
  </si>
  <si>
    <t xml:space="preserve">AIR-CONDITIONAL SYSTEM|VRF / VRV system|VRF indoor unit</t>
  </si>
  <si>
    <t xml:space="preserve">VRF outdoor unit</t>
  </si>
  <si>
    <t xml:space="preserve">AIR-CONDITIONAL SYSTEM|VRF / VRV system|VRF outdoor unit</t>
  </si>
  <si>
    <t xml:space="preserve">Refnet joint</t>
  </si>
  <si>
    <t xml:space="preserve">AIR-CONDITIONAL SYSTEM|VRF / VRV system|Refnet joint</t>
  </si>
  <si>
    <t xml:space="preserve">Chilled water system</t>
  </si>
  <si>
    <t xml:space="preserve">Chiller</t>
  </si>
  <si>
    <t xml:space="preserve">AIR-CONDITIONAL SYSTEM|Chilled water system|Chiller</t>
  </si>
  <si>
    <t xml:space="preserve">Air handling unit (AHU)</t>
  </si>
  <si>
    <t xml:space="preserve">AIR-CONDITIONAL SYSTEM|Chilled water system|Air handling unit (AHU)</t>
  </si>
  <si>
    <t xml:space="preserve">Fan coil unit (FCU)</t>
  </si>
  <si>
    <t xml:space="preserve">AIR-CONDITIONAL SYSTEM|Chilled water system|Fan coil unit (FCU)</t>
  </si>
  <si>
    <t xml:space="preserve">Chilled water pump</t>
  </si>
  <si>
    <t xml:space="preserve">AIR-CONDITIONAL SYSTEM|Chilled water system|Chilled water pump</t>
  </si>
  <si>
    <t xml:space="preserve">Cooling tower</t>
  </si>
  <si>
    <t xml:space="preserve">AIR-CONDITIONAL SYSTEM|Chilled water system|Cooling tower</t>
  </si>
  <si>
    <t xml:space="preserve">AC piping &amp; accessories</t>
  </si>
  <si>
    <t xml:space="preserve">Refrigerant piping</t>
  </si>
  <si>
    <t xml:space="preserve">AIR-CONDITIONAL SYSTEM|AC piping &amp; accessories|Refrigerant piping</t>
  </si>
  <si>
    <t xml:space="preserve">Chilled water piping</t>
  </si>
  <si>
    <t xml:space="preserve">AIR-CONDITIONAL SYSTEM|AC piping &amp; accessories|Chilled water piping</t>
  </si>
  <si>
    <t xml:space="preserve">Condensate drain piping</t>
  </si>
  <si>
    <t xml:space="preserve">AIR-CONDITIONAL SYSTEM|AC piping &amp; accessories|Condensate drain piping</t>
  </si>
  <si>
    <t xml:space="preserve">Pipe insulation</t>
  </si>
  <si>
    <t xml:space="preserve">AIR-CONDITIONAL SYSTEM|AC piping &amp; accessories|Pipe insulation</t>
  </si>
  <si>
    <t xml:space="preserve">Thermostat / control</t>
  </si>
  <si>
    <t xml:space="preserve">AIR-CONDITIONAL SYSTEM|AC piping &amp; accessories|Thermostat / control</t>
  </si>
  <si>
    <t xml:space="preserve">F.03</t>
  </si>
  <si>
    <t xml:space="preserve">MECHANICAL VENTILATION SYSTEM</t>
  </si>
  <si>
    <t xml:space="preserve">Ventilation fan</t>
  </si>
  <si>
    <t xml:space="preserve">Toilet exhaust fan</t>
  </si>
  <si>
    <t xml:space="preserve">MECHANICAL VENTILATION SYSTEM|Ventilation fan|Toilet exhaust fan</t>
  </si>
  <si>
    <t xml:space="preserve">Kitchen exhaust fan</t>
  </si>
  <si>
    <t xml:space="preserve">MECHANICAL VENTILATION SYSTEM|Ventilation fan|Kitchen exhaust fan</t>
  </si>
  <si>
    <t xml:space="preserve">Car park ventilation fan</t>
  </si>
  <si>
    <t xml:space="preserve">MECHANICAL VENTILATION SYSTEM|Ventilation fan|Car park ventilation fan</t>
  </si>
  <si>
    <t xml:space="preserve">Fresh air fan</t>
  </si>
  <si>
    <t xml:space="preserve">MECHANICAL VENTILATION SYSTEM|Ventilation fan|Fresh air fan</t>
  </si>
  <si>
    <t xml:space="preserve">Staircase pressurization fan</t>
  </si>
  <si>
    <t xml:space="preserve">MECHANICAL VENTILATION SYSTEM|Ventilation fan|Staircase pressurization fan</t>
  </si>
  <si>
    <t xml:space="preserve">Specialist ventilation</t>
  </si>
  <si>
    <t xml:space="preserve">Kitchen hood</t>
  </si>
  <si>
    <t xml:space="preserve">MECHANICAL VENTILATION SYSTEM|Specialist ventilation|Kitchen hood</t>
  </si>
  <si>
    <t xml:space="preserve">Smoke extraction fan</t>
  </si>
  <si>
    <t xml:space="preserve">MECHANICAL VENTILATION SYSTEM|Specialist ventilation|Smoke extraction fan</t>
  </si>
  <si>
    <t xml:space="preserve">Laboratory fume hood</t>
  </si>
  <si>
    <t xml:space="preserve">MECHANICAL VENTILATION SYSTEM|Specialist ventilation|Laboratory fume hood</t>
  </si>
  <si>
    <t xml:space="preserve">F.04</t>
  </si>
  <si>
    <t xml:space="preserve">MV DISTRIBUTION SYSTEM</t>
  </si>
  <si>
    <t xml:space="preserve">Ductwork</t>
  </si>
  <si>
    <t xml:space="preserve">GI ductwork</t>
  </si>
  <si>
    <t xml:space="preserve">MV DISTRIBUTION SYSTEM|Ductwork|GI ductwork</t>
  </si>
  <si>
    <t xml:space="preserve">Flexible duct</t>
  </si>
  <si>
    <t xml:space="preserve">MV DISTRIBUTION SYSTEM|Ductwork|Flexible duct</t>
  </si>
  <si>
    <t xml:space="preserve">Duct insulation</t>
  </si>
  <si>
    <t xml:space="preserve">MV DISTRIBUTION SYSTEM|Ductwork|Duct insulation</t>
  </si>
  <si>
    <t xml:space="preserve">Duct support</t>
  </si>
  <si>
    <t xml:space="preserve">MV DISTRIBUTION SYSTEM|Ductwork|Duct support</t>
  </si>
  <si>
    <t xml:space="preserve">Air terminal</t>
  </si>
  <si>
    <t xml:space="preserve">Supply air diffuser</t>
  </si>
  <si>
    <t xml:space="preserve">MV DISTRIBUTION SYSTEM|Air terminal|Supply air diffuser</t>
  </si>
  <si>
    <t xml:space="preserve">Return air grille</t>
  </si>
  <si>
    <t xml:space="preserve">MV DISTRIBUTION SYSTEM|Air terminal|Return air grille</t>
  </si>
  <si>
    <t xml:space="preserve">Exhaust grille</t>
  </si>
  <si>
    <t xml:space="preserve">MV DISTRIBUTION SYSTEM|Air terminal|Exhaust grille</t>
  </si>
  <si>
    <t xml:space="preserve">Louver</t>
  </si>
  <si>
    <t xml:space="preserve">MV DISTRIBUTION SYSTEM|Air terminal|Louver</t>
  </si>
  <si>
    <t xml:space="preserve">Damper &amp; control</t>
  </si>
  <si>
    <t xml:space="preserve">Volume control damper</t>
  </si>
  <si>
    <t xml:space="preserve">MV DISTRIBUTION SYSTEM|Damper &amp; control|Volume control damper</t>
  </si>
  <si>
    <t xml:space="preserve">Fire damper</t>
  </si>
  <si>
    <t xml:space="preserve">MV DISTRIBUTION SYSTEM|Damper &amp; control|Fire damper</t>
  </si>
  <si>
    <t xml:space="preserve">Motorized damper</t>
  </si>
  <si>
    <t xml:space="preserve">MV DISTRIBUTION SYSTEM|Damper &amp; control|Motorized damper</t>
  </si>
  <si>
    <t xml:space="preserve">Testing &amp; balancing</t>
  </si>
  <si>
    <t xml:space="preserve">MV DISTRIBUTION SYSTEM|Damper &amp; control|Testing &amp; balancing</t>
  </si>
  <si>
    <t xml:space="preserve">F.05</t>
  </si>
  <si>
    <t xml:space="preserve">ELECTRICAL SYSTEM</t>
  </si>
  <si>
    <t xml:space="preserve">Main distribution</t>
  </si>
  <si>
    <t xml:space="preserve">Main switchboard (MSB)</t>
  </si>
  <si>
    <t xml:space="preserve">ELECTRICAL SYSTEM|Main distribution|Main switchboard (MSB)</t>
  </si>
  <si>
    <t xml:space="preserve">Sub-distribution board (DB)</t>
  </si>
  <si>
    <t xml:space="preserve">ELECTRICAL SYSTEM|Main distribution|Sub-distribution board (DB)</t>
  </si>
  <si>
    <t xml:space="preserve">Busduct / Busway</t>
  </si>
  <si>
    <t xml:space="preserve">ELECTRICAL SYSTEM|Main distribution|Busduct / Busway</t>
  </si>
  <si>
    <t xml:space="preserve">Transformer</t>
  </si>
  <si>
    <t xml:space="preserve">ELECTRICAL SYSTEM|Main distribution|Transformer</t>
  </si>
  <si>
    <t xml:space="preserve">Capacitor bank</t>
  </si>
  <si>
    <t xml:space="preserve">ELECTRICAL SYSTEM|Main distribution|Capacitor bank</t>
  </si>
  <si>
    <t xml:space="preserve">Metering panel</t>
  </si>
  <si>
    <t xml:space="preserve">ELECTRICAL SYSTEM|Main distribution|Metering panel</t>
  </si>
  <si>
    <t xml:space="preserve">Cable &amp; containment</t>
  </si>
  <si>
    <t xml:space="preserve">Power cable</t>
  </si>
  <si>
    <t xml:space="preserve">ELECTRICAL SYSTEM|Cable &amp; containment|Power cable</t>
  </si>
  <si>
    <t xml:space="preserve">Control cable</t>
  </si>
  <si>
    <t xml:space="preserve">ELECTRICAL SYSTEM|Cable &amp; containment|Control cable</t>
  </si>
  <si>
    <t xml:space="preserve">Cable tray</t>
  </si>
  <si>
    <t xml:space="preserve">ELECTRICAL SYSTEM|Cable &amp; containment|Cable tray</t>
  </si>
  <si>
    <t xml:space="preserve">Cable trunking</t>
  </si>
  <si>
    <t xml:space="preserve">ELECTRICAL SYSTEM|Cable &amp; containment|Cable trunking</t>
  </si>
  <si>
    <t xml:space="preserve">Conduit</t>
  </si>
  <si>
    <t xml:space="preserve">ELECTRICAL SYSTEM|Cable &amp; containment|Conduit</t>
  </si>
  <si>
    <t xml:space="preserve">Cable ladder</t>
  </si>
  <si>
    <t xml:space="preserve">ELECTRICAL SYSTEM|Cable &amp; containment|Cable ladder</t>
  </si>
  <si>
    <t xml:space="preserve">Power &amp; wiring accessories</t>
  </si>
  <si>
    <t xml:space="preserve">Socket outlet</t>
  </si>
  <si>
    <t xml:space="preserve">point</t>
  </si>
  <si>
    <t xml:space="preserve">ELECTRICAL SYSTEM|Power &amp; wiring accessories|Socket outlet</t>
  </si>
  <si>
    <t xml:space="preserve">Switch</t>
  </si>
  <si>
    <t xml:space="preserve">ELECTRICAL SYSTEM|Power &amp; wiring accessories|Switch</t>
  </si>
  <si>
    <t xml:space="preserve">Isolator</t>
  </si>
  <si>
    <t xml:space="preserve">ELECTRICAL SYSTEM|Power &amp; wiring accessories|Isolator</t>
  </si>
  <si>
    <t xml:space="preserve">Wiring point</t>
  </si>
  <si>
    <t xml:space="preserve">ELECTRICAL SYSTEM|Power &amp; wiring accessories|Wiring point</t>
  </si>
  <si>
    <t xml:space="preserve">Lighting</t>
  </si>
  <si>
    <t xml:space="preserve">Interior luminaire</t>
  </si>
  <si>
    <t xml:space="preserve">ELECTRICAL SYSTEM|Lighting|Interior luminaire</t>
  </si>
  <si>
    <t xml:space="preserve">Exterior luminaire</t>
  </si>
  <si>
    <t xml:space="preserve">ELECTRICAL SYSTEM|Lighting|Exterior luminaire</t>
  </si>
  <si>
    <t xml:space="preserve">Emergency light</t>
  </si>
  <si>
    <t xml:space="preserve">ELECTRICAL SYSTEM|Lighting|Emergency light</t>
  </si>
  <si>
    <t xml:space="preserve">Exit sign</t>
  </si>
  <si>
    <t xml:space="preserve">ELECTRICAL SYSTEM|Lighting|Exit sign</t>
  </si>
  <si>
    <t xml:space="preserve">Lighting control / sensor</t>
  </si>
  <si>
    <t xml:space="preserve">ELECTRICAL SYSTEM|Lighting|Lighting control / sensor</t>
  </si>
  <si>
    <t xml:space="preserve">Earthing &amp; lightning protection</t>
  </si>
  <si>
    <t xml:space="preserve">Earthing system</t>
  </si>
  <si>
    <t xml:space="preserve">ELECTRICAL SYSTEM|Earthing &amp; lightning protection|Earthing system</t>
  </si>
  <si>
    <t xml:space="preserve">Earth rod &amp; pit</t>
  </si>
  <si>
    <t xml:space="preserve">ELECTRICAL SYSTEM|Earthing &amp; lightning protection|Earth rod &amp; pit</t>
  </si>
  <si>
    <t xml:space="preserve">Lightning air terminal</t>
  </si>
  <si>
    <t xml:space="preserve">ELECTRICAL SYSTEM|Earthing &amp; lightning protection|Lightning air terminal</t>
  </si>
  <si>
    <t xml:space="preserve">Down conductor</t>
  </si>
  <si>
    <t xml:space="preserve">ELECTRICAL SYSTEM|Earthing &amp; lightning protection|Down conductor</t>
  </si>
  <si>
    <t xml:space="preserve">Standby power</t>
  </si>
  <si>
    <t xml:space="preserve">Generator set</t>
  </si>
  <si>
    <t xml:space="preserve">ELECTRICAL SYSTEM|Standby power|Generator set</t>
  </si>
  <si>
    <t xml:space="preserve">Automatic transfer switch (ATS)</t>
  </si>
  <si>
    <t xml:space="preserve">ELECTRICAL SYSTEM|Standby power|Automatic transfer switch (ATS)</t>
  </si>
  <si>
    <t xml:space="preserve">UPS</t>
  </si>
  <si>
    <t xml:space="preserve">ELECTRICAL SYSTEM|Standby power|UPS</t>
  </si>
  <si>
    <t xml:space="preserve">Fuel tank &amp; piping</t>
  </si>
  <si>
    <t xml:space="preserve">ELECTRICAL SYSTEM|Standby power|Fuel tank &amp; piping</t>
  </si>
  <si>
    <t xml:space="preserve">F.06</t>
  </si>
  <si>
    <t xml:space="preserve">ELV INSTALLATION</t>
  </si>
  <si>
    <t xml:space="preserve">Fire alarm system</t>
  </si>
  <si>
    <t xml:space="preserve">Fire alarm control panel</t>
  </si>
  <si>
    <t xml:space="preserve">ELV INSTALLATION|Fire alarm system|Fire alarm control panel</t>
  </si>
  <si>
    <t xml:space="preserve">Smoke / heat detector</t>
  </si>
  <si>
    <t xml:space="preserve">ELV INSTALLATION|Fire alarm system|Smoke / heat detector</t>
  </si>
  <si>
    <t xml:space="preserve">Manual call point</t>
  </si>
  <si>
    <t xml:space="preserve">ELV INSTALLATION|Fire alarm system|Manual call point</t>
  </si>
  <si>
    <t xml:space="preserve">Alarm bell / sounder</t>
  </si>
  <si>
    <t xml:space="preserve">ELV INSTALLATION|Fire alarm system|Alarm bell / sounder</t>
  </si>
  <si>
    <t xml:space="preserve">Security system</t>
  </si>
  <si>
    <t xml:space="preserve">CCTV camera</t>
  </si>
  <si>
    <t xml:space="preserve">ELV INSTALLATION|Security system|CCTV camera</t>
  </si>
  <si>
    <t xml:space="preserve">NVR / recorder</t>
  </si>
  <si>
    <t xml:space="preserve">ELV INSTALLATION|Security system|NVR / recorder</t>
  </si>
  <si>
    <t xml:space="preserve">Access control door</t>
  </si>
  <si>
    <t xml:space="preserve">ELV INSTALLATION|Security system|Access control door</t>
  </si>
  <si>
    <t xml:space="preserve">Intercom</t>
  </si>
  <si>
    <t xml:space="preserve">ELV INSTALLATION|Security system|Intercom</t>
  </si>
  <si>
    <t xml:space="preserve">Communication system</t>
  </si>
  <si>
    <t xml:space="preserve">Structured cabling outlet</t>
  </si>
  <si>
    <t xml:space="preserve">ELV INSTALLATION|Communication system|Structured cabling outlet</t>
  </si>
  <si>
    <t xml:space="preserve">Network switch / rack</t>
  </si>
  <si>
    <t xml:space="preserve">ELV INSTALLATION|Communication system|Network switch / rack</t>
  </si>
  <si>
    <t xml:space="preserve">Telephone system</t>
  </si>
  <si>
    <t xml:space="preserve">ELV INSTALLATION|Communication system|Telephone system</t>
  </si>
  <si>
    <t xml:space="preserve">MATV / TV outlet</t>
  </si>
  <si>
    <t xml:space="preserve">ELV INSTALLATION|Communication system|MATV / TV outlet</t>
  </si>
  <si>
    <t xml:space="preserve">WiFi access point</t>
  </si>
  <si>
    <t xml:space="preserve">ELV INSTALLATION|Communication system|WiFi access point</t>
  </si>
  <si>
    <t xml:space="preserve">Audio visual &amp; school system</t>
  </si>
  <si>
    <t xml:space="preserve">Public address (PA) system</t>
  </si>
  <si>
    <t xml:space="preserve">ELV INSTALLATION|Audio visual &amp; school system|Public address (PA) system</t>
  </si>
  <si>
    <t xml:space="preserve">Speaker</t>
  </si>
  <si>
    <t xml:space="preserve">ELV INSTALLATION|Audio visual &amp; school system|Speaker</t>
  </si>
  <si>
    <t xml:space="preserve">Bell / clock system</t>
  </si>
  <si>
    <t xml:space="preserve">ELV INSTALLATION|Audio visual &amp; school system|Bell / clock system</t>
  </si>
  <si>
    <t xml:space="preserve">Projector &amp; screen</t>
  </si>
  <si>
    <t xml:space="preserve">ELV INSTALLATION|Audio visual &amp; school system|Projector &amp; screen</t>
  </si>
  <si>
    <t xml:space="preserve">Classroom AV system</t>
  </si>
  <si>
    <t xml:space="preserve">ELV INSTALLATION|Audio visual &amp; school system|Classroom AV system</t>
  </si>
  <si>
    <t xml:space="preserve">Building management</t>
  </si>
  <si>
    <t xml:space="preserve">BMS control panel</t>
  </si>
  <si>
    <t xml:space="preserve">ELV INSTALLATION|Building management|BMS control panel</t>
  </si>
  <si>
    <t xml:space="preserve">Field device &amp; sensor</t>
  </si>
  <si>
    <t xml:space="preserve">ELV INSTALLATION|Building management|Field device &amp; sensor</t>
  </si>
  <si>
    <t xml:space="preserve">F.07</t>
  </si>
  <si>
    <t xml:space="preserve">PLUMBING SYSTEM</t>
  </si>
  <si>
    <t xml:space="preserve">Water supply</t>
  </si>
  <si>
    <t xml:space="preserve">Cold water piping</t>
  </si>
  <si>
    <t xml:space="preserve">PLUMBING SYSTEM|Water supply|Cold water piping</t>
  </si>
  <si>
    <t xml:space="preserve">Hot water piping</t>
  </si>
  <si>
    <t xml:space="preserve">PLUMBING SYSTEM|Water supply|Hot water piping</t>
  </si>
  <si>
    <t xml:space="preserve">PLUMBING SYSTEM|Water supply|Pipe insulation</t>
  </si>
  <si>
    <t xml:space="preserve">Valve &amp; fitting</t>
  </si>
  <si>
    <t xml:space="preserve">PLUMBING SYSTEM|Water supply|Valve &amp; fitting</t>
  </si>
  <si>
    <t xml:space="preserve">Water meter</t>
  </si>
  <si>
    <t xml:space="preserve">PLUMBING SYSTEM|Water supply|Water meter</t>
  </si>
  <si>
    <t xml:space="preserve">Water storage &amp; pump</t>
  </si>
  <si>
    <t xml:space="preserve">Water tank</t>
  </si>
  <si>
    <t xml:space="preserve">PLUMBING SYSTEM|Water storage &amp; pump|Water tank</t>
  </si>
  <si>
    <t xml:space="preserve">Transfer pump</t>
  </si>
  <si>
    <t xml:space="preserve">PLUMBING SYSTEM|Water storage &amp; pump|Transfer pump</t>
  </si>
  <si>
    <t xml:space="preserve">Booster pump</t>
  </si>
  <si>
    <t xml:space="preserve">PLUMBING SYSTEM|Water storage &amp; pump|Booster pump</t>
  </si>
  <si>
    <t xml:space="preserve">Water heater</t>
  </si>
  <si>
    <t xml:space="preserve">PLUMBING SYSTEM|Water storage &amp; pump|Water heater</t>
  </si>
  <si>
    <t xml:space="preserve">Level control</t>
  </si>
  <si>
    <t xml:space="preserve">PLUMBING SYSTEM|Water storage &amp; pump|Level control</t>
  </si>
  <si>
    <t xml:space="preserve">Drainage</t>
  </si>
  <si>
    <t xml:space="preserve">Soil pipe</t>
  </si>
  <si>
    <t xml:space="preserve">PLUMBING SYSTEM|Drainage|Soil pipe</t>
  </si>
  <si>
    <t xml:space="preserve">Waste pipe</t>
  </si>
  <si>
    <t xml:space="preserve">PLUMBING SYSTEM|Drainage|Waste pipe</t>
  </si>
  <si>
    <t xml:space="preserve">Vent pipe</t>
  </si>
  <si>
    <t xml:space="preserve">PLUMBING SYSTEM|Drainage|Vent pipe</t>
  </si>
  <si>
    <t xml:space="preserve">Rainwater downpipe</t>
  </si>
  <si>
    <t xml:space="preserve">PLUMBING SYSTEM|Drainage|Rainwater downpipe</t>
  </si>
  <si>
    <t xml:space="preserve">Manhole / inspection chamber</t>
  </si>
  <si>
    <t xml:space="preserve">PLUMBING SYSTEM|Drainage|Manhole / inspection chamber</t>
  </si>
  <si>
    <t xml:space="preserve">Grease trap</t>
  </si>
  <si>
    <t xml:space="preserve">PLUMBING SYSTEM|Drainage|Grease trap</t>
  </si>
  <si>
    <t xml:space="preserve">Sewage treatment</t>
  </si>
  <si>
    <t xml:space="preserve">Septic tank (precast)</t>
  </si>
  <si>
    <t xml:space="preserve">PLUMBING SYSTEM|Sewage treatment|Septic tank (precast)</t>
  </si>
  <si>
    <t xml:space="preserve">Sewage treatment plant (STP)</t>
  </si>
  <si>
    <t xml:space="preserve">PLUMBING SYSTEM|Sewage treatment|Sewage treatment plant (STP)</t>
  </si>
  <si>
    <t xml:space="preserve">Sewer connection</t>
  </si>
  <si>
    <t xml:space="preserve">PLUMBING SYSTEM|Sewage treatment|Sewer connection</t>
  </si>
  <si>
    <t xml:space="preserve">F.08</t>
  </si>
  <si>
    <t xml:space="preserve">FIRE FIGHTING SYSTEM</t>
  </si>
  <si>
    <t xml:space="preserve">Hydrant &amp; hose reel</t>
  </si>
  <si>
    <t xml:space="preserve">Fire hydrant</t>
  </si>
  <si>
    <t xml:space="preserve">FIRE FIGHTING SYSTEM|Hydrant &amp; hose reel|Fire hydrant</t>
  </si>
  <si>
    <t xml:space="preserve">Hose reel</t>
  </si>
  <si>
    <t xml:space="preserve">FIRE FIGHTING SYSTEM|Hydrant &amp; hose reel|Hose reel</t>
  </si>
  <si>
    <t xml:space="preserve">Landing valve</t>
  </si>
  <si>
    <t xml:space="preserve">FIRE FIGHTING SYSTEM|Hydrant &amp; hose reel|Landing valve</t>
  </si>
  <si>
    <t xml:space="preserve">Fire riser piping</t>
  </si>
  <si>
    <t xml:space="preserve">FIRE FIGHTING SYSTEM|Hydrant &amp; hose reel|Fire riser piping</t>
  </si>
  <si>
    <t xml:space="preserve">Sprinkler system</t>
  </si>
  <si>
    <t xml:space="preserve">Sprinkler head</t>
  </si>
  <si>
    <t xml:space="preserve">FIRE FIGHTING SYSTEM|Sprinkler system|Sprinkler head</t>
  </si>
  <si>
    <t xml:space="preserve">Sprinkler piping</t>
  </si>
  <si>
    <t xml:space="preserve">FIRE FIGHTING SYSTEM|Sprinkler system|Sprinkler piping</t>
  </si>
  <si>
    <t xml:space="preserve">Alarm valve set</t>
  </si>
  <si>
    <t xml:space="preserve">FIRE FIGHTING SYSTEM|Sprinkler system|Alarm valve set</t>
  </si>
  <si>
    <t xml:space="preserve">Flow switch</t>
  </si>
  <si>
    <t xml:space="preserve">FIRE FIGHTING SYSTEM|Sprinkler system|Flow switch</t>
  </si>
  <si>
    <t xml:space="preserve">Fire pump &amp; tank</t>
  </si>
  <si>
    <t xml:space="preserve">Fire pump set</t>
  </si>
  <si>
    <t xml:space="preserve">FIRE FIGHTING SYSTEM|Fire pump &amp; tank|Fire pump set</t>
  </si>
  <si>
    <t xml:space="preserve">Jockey pump</t>
  </si>
  <si>
    <t xml:space="preserve">FIRE FIGHTING SYSTEM|Fire pump &amp; tank|Jockey pump</t>
  </si>
  <si>
    <t xml:space="preserve">Fire water tank</t>
  </si>
  <si>
    <t xml:space="preserve">FIRE FIGHTING SYSTEM|Fire pump &amp; tank|Fire water tank</t>
  </si>
  <si>
    <t xml:space="preserve">Portable &amp; special suppression</t>
  </si>
  <si>
    <t xml:space="preserve">Fire extinguisher</t>
  </si>
  <si>
    <t xml:space="preserve">FIRE FIGHTING SYSTEM|Portable &amp; special suppression|Fire extinguisher</t>
  </si>
  <si>
    <t xml:space="preserve">Fire blanket</t>
  </si>
  <si>
    <t xml:space="preserve">FIRE FIGHTING SYSTEM|Portable &amp; special suppression|Fire blanket</t>
  </si>
  <si>
    <t xml:space="preserve">FM200 / CO2 system</t>
  </si>
  <si>
    <t xml:space="preserve">FIRE FIGHTING SYSTEM|Portable &amp; special suppression|FM200 / CO2 system</t>
  </si>
  <si>
    <t xml:space="preserve">Kitchen suppression system</t>
  </si>
  <si>
    <t xml:space="preserve">FIRE FIGHTING SYSTEM|Portable &amp; special suppression|Kitchen suppression system</t>
  </si>
  <si>
    <t xml:space="preserve">F.09</t>
  </si>
  <si>
    <t xml:space="preserve">Specialist Installations</t>
  </si>
  <si>
    <t xml:space="preserve">Renewable &amp; specialist</t>
  </si>
  <si>
    <t xml:space="preserve">Solar PV system</t>
  </si>
  <si>
    <t xml:space="preserve">Specialist Installations|Renewable &amp; specialist|Solar PV system</t>
  </si>
  <si>
    <t xml:space="preserve">Water treatment plant</t>
  </si>
  <si>
    <t xml:space="preserve">Specialist Installations|Renewable &amp; specialist|Water treatment plant</t>
  </si>
  <si>
    <t xml:space="preserve">Swimming pool system</t>
  </si>
  <si>
    <t xml:space="preserve">Specialist Installations|Renewable &amp; specialist|Swimming pool system</t>
  </si>
  <si>
    <t xml:space="preserve">Kitchen equipment</t>
  </si>
  <si>
    <t xml:space="preserve">Specialist Installations|Renewable &amp; specialist|Kitchen equipment</t>
  </si>
  <si>
    <t xml:space="preserve">F.10</t>
  </si>
  <si>
    <t xml:space="preserve">VERTICAL TRANSPORTATION SYSTEM</t>
  </si>
  <si>
    <t xml:space="preserve">Lift</t>
  </si>
  <si>
    <t xml:space="preserve">Passenger lift</t>
  </si>
  <si>
    <t xml:space="preserve">VERTICAL TRANSPORTATION SYSTEM|Lift|Passenger lift</t>
  </si>
  <si>
    <t xml:space="preserve">Service / goods lift</t>
  </si>
  <si>
    <t xml:space="preserve">VERTICAL TRANSPORTATION SYSTEM|Lift|Service / goods lift</t>
  </si>
  <si>
    <t xml:space="preserve">Firefighting lift</t>
  </si>
  <si>
    <t xml:space="preserve">VERTICAL TRANSPORTATION SYSTEM|Lift|Firefighting lift</t>
  </si>
  <si>
    <t xml:space="preserve">Platform / accessibility lift</t>
  </si>
  <si>
    <t xml:space="preserve">VERTICAL TRANSPORTATION SYSTEM|Lift|Platform / accessibility lift</t>
  </si>
  <si>
    <t xml:space="preserve">Escalator</t>
  </si>
  <si>
    <t xml:space="preserve">VERTICAL TRANSPORTATION SYSTEM|Escalator|Escalator</t>
  </si>
  <si>
    <t xml:space="preserve">Lift shaft equipment</t>
  </si>
  <si>
    <t xml:space="preserve">Lift shaft ladder</t>
  </si>
  <si>
    <t xml:space="preserve">VERTICAL TRANSPORTATION SYSTEM|Lift shaft equipment|Lift shaft ladder</t>
  </si>
  <si>
    <t xml:space="preserve">Shaft lighting &amp; socket</t>
  </si>
  <si>
    <t xml:space="preserve">VERTICAL TRANSPORTATION SYSTEM|Lift shaft equipment|Shaft lighting &amp; socket</t>
  </si>
  <si>
    <t xml:space="preserve">Machine room equipment</t>
  </si>
  <si>
    <t xml:space="preserve">VERTICAL TRANSPORTATION SYSTEM|Lift shaft equipment|Machine room equipment</t>
  </si>
  <si>
    <t xml:space="preserve">F.00</t>
  </si>
  <si>
    <t xml:space="preserve">Services</t>
  </si>
  <si>
    <t xml:space="preserve">Testing &amp; Commissioning</t>
  </si>
  <si>
    <t xml:space="preserve">Testing &amp; commissioning</t>
  </si>
  <si>
    <t xml:space="preserve">Services|Testing &amp; Commissioning|Testing &amp; commissioning</t>
  </si>
  <si>
    <t xml:space="preserve">As-built drawing</t>
  </si>
  <si>
    <t xml:space="preserve">Services|Testing &amp; Commissioning|As-built drawing</t>
  </si>
  <si>
    <t xml:space="preserve">O&amp;M manual</t>
  </si>
  <si>
    <t xml:space="preserve">Services|Testing &amp; Commissioning|O&amp;M manual</t>
  </si>
  <si>
    <t xml:space="preserve">Training</t>
  </si>
  <si>
    <t xml:space="preserve">Services|Testing &amp; Commissioning|Training</t>
  </si>
  <si>
    <t xml:space="preserve">Spare parts</t>
  </si>
  <si>
    <t xml:space="preserve">Services|Testing &amp; Commissioning|Spare parts</t>
  </si>
  <si>
    <t xml:space="preserve">External Works</t>
  </si>
  <si>
    <t xml:space="preserve">G.01</t>
  </si>
  <si>
    <t xml:space="preserve">External Work</t>
  </si>
  <si>
    <t xml:space="preserve">Site preparation</t>
  </si>
  <si>
    <t xml:space="preserve">Site clearing</t>
  </si>
  <si>
    <t xml:space="preserve">External Work|Site preparation|Site clearing</t>
  </si>
  <si>
    <t xml:space="preserve">Cut &amp; fill</t>
  </si>
  <si>
    <t xml:space="preserve">External Work|Site preparation|Cut &amp; fill</t>
  </si>
  <si>
    <t xml:space="preserve">External Work|Site preparation|Compaction</t>
  </si>
  <si>
    <t xml:space="preserve">G.02</t>
  </si>
  <si>
    <t xml:space="preserve">Roads, path, paving</t>
  </si>
  <si>
    <t xml:space="preserve">Concrete paving</t>
  </si>
  <si>
    <t xml:space="preserve">External Work|Roads, path, paving|Concrete paving</t>
  </si>
  <si>
    <t xml:space="preserve">Asphalt paving</t>
  </si>
  <si>
    <t xml:space="preserve">External Work|Roads, path, paving|Asphalt paving</t>
  </si>
  <si>
    <t xml:space="preserve">Interlocking paver</t>
  </si>
  <si>
    <t xml:space="preserve">External Work|Roads, path, paving|Interlocking paver</t>
  </si>
  <si>
    <t xml:space="preserve">Kerb</t>
  </si>
  <si>
    <t xml:space="preserve">External Work|Roads, path, paving|Kerb</t>
  </si>
  <si>
    <t xml:space="preserve">Road marking</t>
  </si>
  <si>
    <t xml:space="preserve">External Work|Roads, path, paving|Road marking</t>
  </si>
  <si>
    <t xml:space="preserve">Car park</t>
  </si>
  <si>
    <t xml:space="preserve">External Work|Roads, path, paving|Car park</t>
  </si>
  <si>
    <t xml:space="preserve">G.03</t>
  </si>
  <si>
    <t xml:space="preserve">Landscape</t>
  </si>
  <si>
    <t xml:space="preserve">Top soil</t>
  </si>
  <si>
    <t xml:space="preserve">External Work|Landscape|Top soil</t>
  </si>
  <si>
    <t xml:space="preserve">Turfing</t>
  </si>
  <si>
    <t xml:space="preserve">External Work|Landscape|Turfing</t>
  </si>
  <si>
    <t xml:space="preserve">Tree &amp; shrub</t>
  </si>
  <si>
    <t xml:space="preserve">External Work|Landscape|Tree &amp; shrub</t>
  </si>
  <si>
    <t xml:space="preserve">Planter</t>
  </si>
  <si>
    <t xml:space="preserve">External Work|Landscape|Planter</t>
  </si>
  <si>
    <t xml:space="preserve">Irrigation system</t>
  </si>
  <si>
    <t xml:space="preserve">External Work|Landscape|Irrigation system</t>
  </si>
  <si>
    <t xml:space="preserve">G.04</t>
  </si>
  <si>
    <t xml:space="preserve">Fence, railing &amp; wall</t>
  </si>
  <si>
    <t xml:space="preserve">Boundary fence</t>
  </si>
  <si>
    <t xml:space="preserve">External Work|Fence, railing &amp; wall|Boundary fence</t>
  </si>
  <si>
    <t xml:space="preserve">Main gate</t>
  </si>
  <si>
    <t xml:space="preserve">External Work|Fence, railing &amp; wall|Main gate</t>
  </si>
  <si>
    <t xml:space="preserve">External Work|Fence, railing &amp; wall|Guard rail</t>
  </si>
  <si>
    <t xml:space="preserve">Boundary wall</t>
  </si>
  <si>
    <t xml:space="preserve">External Work|Fence, railing &amp; wall|Boundary wall</t>
  </si>
  <si>
    <t xml:space="preserve">G.05</t>
  </si>
  <si>
    <t xml:space="preserve">External fixture</t>
  </si>
  <si>
    <t xml:space="preserve">Flag pole</t>
  </si>
  <si>
    <t xml:space="preserve">External Work|External fixture|Flag pole</t>
  </si>
  <si>
    <t xml:space="preserve">Bollard</t>
  </si>
  <si>
    <t xml:space="preserve">External Work|External fixture|Bollard</t>
  </si>
  <si>
    <t xml:space="preserve">Bicycle rack</t>
  </si>
  <si>
    <t xml:space="preserve">External Work|External fixture|Bicycle rack</t>
  </si>
  <si>
    <t xml:space="preserve">Covered walkway</t>
  </si>
  <si>
    <t xml:space="preserve">External Work|External fixture|Covered walkway</t>
  </si>
  <si>
    <t xml:space="preserve">Guard house</t>
  </si>
  <si>
    <t xml:space="preserve">External Work|External fixture|Guard house</t>
  </si>
  <si>
    <t xml:space="preserve">Playground / sport court</t>
  </si>
  <si>
    <t xml:space="preserve">External Work|External fixture|Playground / sport court</t>
  </si>
  <si>
    <t xml:space="preserve">VALIDATION SOURCE LISTS — do not delete (drives the drop-downs on Entry Template)</t>
  </si>
  <si>
    <t xml:space="preserve">Rows/columns here are referenced by defined names. Add new items to Element Library, then extend these lists.</t>
  </si>
  <si>
    <t xml:space="preserve">Range</t>
  </si>
  <si>
    <t xml:space="preserve">Section|SubSection</t>
  </si>
  <si>
    <t xml:space="preserve">SEC01</t>
  </si>
  <si>
    <t xml:space="preserve">SEC02</t>
  </si>
  <si>
    <t xml:space="preserve">SEC03</t>
  </si>
  <si>
    <t xml:space="preserve">SEC04</t>
  </si>
  <si>
    <t xml:space="preserve">SEC05</t>
  </si>
  <si>
    <t xml:space="preserve">SEC06</t>
  </si>
  <si>
    <t xml:space="preserve">SEC07</t>
  </si>
  <si>
    <t xml:space="preserve">SEC08</t>
  </si>
  <si>
    <t xml:space="preserve">SEC09</t>
  </si>
  <si>
    <t xml:space="preserve">SEC10</t>
  </si>
  <si>
    <t xml:space="preserve">SEC11</t>
  </si>
  <si>
    <t xml:space="preserve">SEC12</t>
  </si>
  <si>
    <t xml:space="preserve">SEC13</t>
  </si>
  <si>
    <t xml:space="preserve">SEC14</t>
  </si>
  <si>
    <t xml:space="preserve">SEC15</t>
  </si>
  <si>
    <t xml:space="preserve">SEC16</t>
  </si>
  <si>
    <t xml:space="preserve">SEC17</t>
  </si>
  <si>
    <t xml:space="preserve">SEC18</t>
  </si>
  <si>
    <t xml:space="preserve">SEC19</t>
  </si>
  <si>
    <t xml:space="preserve">SEC20</t>
  </si>
  <si>
    <t xml:space="preserve">SEC21</t>
  </si>
  <si>
    <t xml:space="preserve">SEC22</t>
  </si>
  <si>
    <t xml:space="preserve">SEC23</t>
  </si>
  <si>
    <t xml:space="preserve">SEC24</t>
  </si>
  <si>
    <t xml:space="preserve">SEC25</t>
  </si>
  <si>
    <t xml:space="preserve">SEC26</t>
  </si>
  <si>
    <t xml:space="preserve">SEC27</t>
  </si>
  <si>
    <t xml:space="preserve">SEC28</t>
  </si>
  <si>
    <t xml:space="preserve">SEC29</t>
  </si>
  <si>
    <t xml:space="preserve">SUB001</t>
  </si>
  <si>
    <t xml:space="preserve">SUB002</t>
  </si>
  <si>
    <t xml:space="preserve">SUB003</t>
  </si>
  <si>
    <t xml:space="preserve">SUB004</t>
  </si>
  <si>
    <t xml:space="preserve">SUB005</t>
  </si>
  <si>
    <t xml:space="preserve">SUB006</t>
  </si>
  <si>
    <t xml:space="preserve">SUB007</t>
  </si>
  <si>
    <t xml:space="preserve">SUB008</t>
  </si>
  <si>
    <t xml:space="preserve">SUB009</t>
  </si>
  <si>
    <t xml:space="preserve">SUB010</t>
  </si>
  <si>
    <t xml:space="preserve">SUB011</t>
  </si>
  <si>
    <t xml:space="preserve">SUB012</t>
  </si>
  <si>
    <t xml:space="preserve">SUB013</t>
  </si>
  <si>
    <t xml:space="preserve">SUB014</t>
  </si>
  <si>
    <t xml:space="preserve">SUB015</t>
  </si>
  <si>
    <t xml:space="preserve">SUB016</t>
  </si>
  <si>
    <t xml:space="preserve">SUB017</t>
  </si>
  <si>
    <t xml:space="preserve">SUB018</t>
  </si>
  <si>
    <t xml:space="preserve">SUB019</t>
  </si>
  <si>
    <t xml:space="preserve">SUB020</t>
  </si>
  <si>
    <t xml:space="preserve">SUB021</t>
  </si>
  <si>
    <t xml:space="preserve">SUB022</t>
  </si>
  <si>
    <t xml:space="preserve">SUB023</t>
  </si>
  <si>
    <t xml:space="preserve">SUB024</t>
  </si>
  <si>
    <t xml:space="preserve">SUB025</t>
  </si>
  <si>
    <t xml:space="preserve">SUB026</t>
  </si>
  <si>
    <t xml:space="preserve">SUB027</t>
  </si>
  <si>
    <t xml:space="preserve">SUB028</t>
  </si>
  <si>
    <t xml:space="preserve">SUB029</t>
  </si>
  <si>
    <t xml:space="preserve">SUB030</t>
  </si>
  <si>
    <t xml:space="preserve">SUB031</t>
  </si>
  <si>
    <t xml:space="preserve">SUB032</t>
  </si>
  <si>
    <t xml:space="preserve">SUB033</t>
  </si>
  <si>
    <t xml:space="preserve">SUB034</t>
  </si>
  <si>
    <t xml:space="preserve">SUB035</t>
  </si>
  <si>
    <t xml:space="preserve">SUB036</t>
  </si>
  <si>
    <t xml:space="preserve">SUB037</t>
  </si>
  <si>
    <t xml:space="preserve">SUB038</t>
  </si>
  <si>
    <t xml:space="preserve">SUB039</t>
  </si>
  <si>
    <t xml:space="preserve">SUB040</t>
  </si>
  <si>
    <t xml:space="preserve">SUB041</t>
  </si>
  <si>
    <t xml:space="preserve">SUB042</t>
  </si>
  <si>
    <t xml:space="preserve">SUB043</t>
  </si>
  <si>
    <t xml:space="preserve">SUB044</t>
  </si>
  <si>
    <t xml:space="preserve">SUB045</t>
  </si>
  <si>
    <t xml:space="preserve">SUB046</t>
  </si>
  <si>
    <t xml:space="preserve">SUB047</t>
  </si>
  <si>
    <t xml:space="preserve">SUB048</t>
  </si>
  <si>
    <t xml:space="preserve">SUB049</t>
  </si>
  <si>
    <t xml:space="preserve">SUB050</t>
  </si>
  <si>
    <t xml:space="preserve">SUB051</t>
  </si>
  <si>
    <t xml:space="preserve">SUB052</t>
  </si>
  <si>
    <t xml:space="preserve">SUB053</t>
  </si>
  <si>
    <t xml:space="preserve">SUB054</t>
  </si>
  <si>
    <t xml:space="preserve">SUB055</t>
  </si>
  <si>
    <t xml:space="preserve">SUB056</t>
  </si>
  <si>
    <t xml:space="preserve">SUB057</t>
  </si>
  <si>
    <t xml:space="preserve">SUB058</t>
  </si>
  <si>
    <t xml:space="preserve">SUB059</t>
  </si>
  <si>
    <t xml:space="preserve">SUB060</t>
  </si>
  <si>
    <t xml:space="preserve">SUB061</t>
  </si>
  <si>
    <t xml:space="preserve">SUB062</t>
  </si>
  <si>
    <t xml:space="preserve">SUB063</t>
  </si>
  <si>
    <t xml:space="preserve">SUB064</t>
  </si>
  <si>
    <t xml:space="preserve">SUB065</t>
  </si>
  <si>
    <t xml:space="preserve">SUB066</t>
  </si>
  <si>
    <t xml:space="preserve">SUB067</t>
  </si>
  <si>
    <t xml:space="preserve">SUB068</t>
  </si>
  <si>
    <t xml:space="preserve">SUB069</t>
  </si>
  <si>
    <t xml:space="preserve">SUB070</t>
  </si>
  <si>
    <t xml:space="preserve">SUB071</t>
  </si>
  <si>
    <t xml:space="preserve">SUB072</t>
  </si>
  <si>
    <t xml:space="preserve">SUB073</t>
  </si>
  <si>
    <t xml:space="preserve">SUB074</t>
  </si>
  <si>
    <t xml:space="preserve">SUB075</t>
  </si>
  <si>
    <t xml:space="preserve">SUB076</t>
  </si>
  <si>
    <t xml:space="preserve">SUB077</t>
  </si>
  <si>
    <t xml:space="preserve">SUB078</t>
  </si>
  <si>
    <t xml:space="preserve">SUB079</t>
  </si>
  <si>
    <t xml:space="preserve">SUB080</t>
  </si>
  <si>
    <t xml:space="preserve">SUB081</t>
  </si>
  <si>
    <t xml:space="preserve">SUB082</t>
  </si>
  <si>
    <t xml:space="preserve">SUB083</t>
  </si>
  <si>
    <t xml:space="preserve">SUB084</t>
  </si>
  <si>
    <t xml:space="preserve">SUB085</t>
  </si>
  <si>
    <t xml:space="preserve">SUB086</t>
  </si>
  <si>
    <t xml:space="preserve">SUB087</t>
  </si>
  <si>
    <t xml:space="preserve">SUB088</t>
  </si>
  <si>
    <t xml:space="preserve">SUB089</t>
  </si>
  <si>
    <t xml:space="preserve">SUB090</t>
  </si>
  <si>
    <t xml:space="preserve">SUB091</t>
  </si>
  <si>
    <t xml:space="preserve">SUB092</t>
  </si>
  <si>
    <t xml:space="preserve">SUB093</t>
  </si>
  <si>
    <t xml:space="preserve">SUB094</t>
  </si>
  <si>
    <t xml:space="preserve">SUB095</t>
  </si>
  <si>
    <t xml:space="preserve">SUB096</t>
  </si>
  <si>
    <t xml:space="preserve">SUB097</t>
  </si>
  <si>
    <t xml:space="preserve">SUB098</t>
  </si>
  <si>
    <t xml:space="preserve">SUB099</t>
  </si>
  <si>
    <t xml:space="preserve">SUB100</t>
  </si>
  <si>
    <t xml:space="preserve">SUB101</t>
  </si>
  <si>
    <t xml:space="preserve">SUB102</t>
  </si>
  <si>
    <t xml:space="preserve">SUB103</t>
  </si>
  <si>
    <t xml:space="preserve">SUB104</t>
  </si>
  <si>
    <t xml:space="preserve">SUB105</t>
  </si>
  <si>
    <t xml:space="preserve">SUB106</t>
  </si>
  <si>
    <t xml:space="preserve">SUB107</t>
  </si>
  <si>
    <t xml:space="preserve">SUB108</t>
  </si>
  <si>
    <t xml:space="preserve">SUB109</t>
  </si>
  <si>
    <t xml:space="preserve">SUB110</t>
  </si>
  <si>
    <t xml:space="preserve">SUB111</t>
  </si>
  <si>
    <t xml:space="preserve">SUB112</t>
  </si>
  <si>
    <t xml:space="preserve">SUB113</t>
  </si>
  <si>
    <t xml:space="preserve">SUB114</t>
  </si>
  <si>
    <t xml:space="preserve">SUB115</t>
  </si>
  <si>
    <t xml:space="preserve">SUB116</t>
  </si>
  <si>
    <t xml:space="preserve">SUB117</t>
  </si>
  <si>
    <t xml:space="preserve">SUB118</t>
  </si>
  <si>
    <t xml:space="preserve">SUB119</t>
  </si>
  <si>
    <t xml:space="preserve">SUB120</t>
  </si>
  <si>
    <t xml:space="preserve">SUB121</t>
  </si>
  <si>
    <t xml:space="preserve">SUB122</t>
  </si>
  <si>
    <t xml:space="preserve">Sub Structure|Site Preparation &amp; Earthwork</t>
  </si>
  <si>
    <t xml:space="preserve">Sub Structure|Shoring &amp; Sheet Pile</t>
  </si>
  <si>
    <t xml:space="preserve">Sub Structure|Bored Pile</t>
  </si>
  <si>
    <t xml:space="preserve">Sub Structure|Driven Pile / Micro Pile</t>
  </si>
  <si>
    <t xml:space="preserve">Sub Structure|Pile Cap &amp; Stump</t>
  </si>
  <si>
    <t xml:space="preserve">Sub Structure|Footing / Raft Foundation</t>
  </si>
  <si>
    <t xml:space="preserve">Sub Structure|Ground Beam / Tie Beam</t>
  </si>
  <si>
    <t xml:space="preserve">Sub Structure|Slab on Grade / Ground Slab</t>
  </si>
  <si>
    <t xml:space="preserve">Sub Structure|Septic tank</t>
  </si>
  <si>
    <t xml:space="preserve">Sub Structure|Water Tank / Sump Pit</t>
  </si>
  <si>
    <t xml:space="preserve">Sub Structure|Lift Pit</t>
  </si>
  <si>
    <t xml:space="preserve">Sub Structure|Basement / Retaining Wall</t>
  </si>
  <si>
    <t xml:space="preserve">Super Structure|Structural Column</t>
  </si>
  <si>
    <t xml:space="preserve">Super Structure|Structural Beam</t>
  </si>
  <si>
    <t xml:space="preserve">Super Structure|Structural Slab</t>
  </si>
  <si>
    <t xml:space="preserve">Super Structure|Structural Wall</t>
  </si>
  <si>
    <t xml:space="preserve">Super Structure|Structural Staircase</t>
  </si>
  <si>
    <t xml:space="preserve">Super Structure|Parapet wall &amp; Stiffener Column</t>
  </si>
  <si>
    <t xml:space="preserve">Super Structure|Lift Core / Shear Core</t>
  </si>
  <si>
    <t xml:space="preserve">Super Structure|Ramp</t>
  </si>
  <si>
    <t xml:space="preserve">Super Structure|Structural Steel</t>
  </si>
  <si>
    <t xml:space="preserve">Super Structure|Roof Structure / Truss</t>
  </si>
  <si>
    <t xml:space="preserve">Super Structure|Testing &amp; Quality Control</t>
  </si>
  <si>
    <t xml:space="preserve">Exterior Wall and Partition|Hollow clay brick</t>
  </si>
  <si>
    <t xml:space="preserve">Exterior Wall and Partition|Concrete block</t>
  </si>
  <si>
    <t xml:space="preserve">Exterior Wall and Partition|AAC block</t>
  </si>
  <si>
    <t xml:space="preserve">Exterior Wall and Partition|Precast concrete panel</t>
  </si>
  <si>
    <t xml:space="preserve">Exterior Wall and Partition|External façade</t>
  </si>
  <si>
    <t xml:space="preserve">Exterior Wall Finishes|Plastering</t>
  </si>
  <si>
    <t xml:space="preserve">Exterior Wall Finishes|Painting</t>
  </si>
  <si>
    <t xml:space="preserve">Exterior Wall Finishes|Wall tiling</t>
  </si>
  <si>
    <t xml:space="preserve">Exterior Wall Finishes|Expansion joint</t>
  </si>
  <si>
    <t xml:space="preserve">Exterior Door|Steel Door</t>
  </si>
  <si>
    <t xml:space="preserve">Exterior Door|Aluminium door</t>
  </si>
  <si>
    <t xml:space="preserve">Exterior Door|Glass door</t>
  </si>
  <si>
    <t xml:space="preserve">Exterior Door|Rolling shutter</t>
  </si>
  <si>
    <t xml:space="preserve">Exterior Door|Door ironmongery</t>
  </si>
  <si>
    <t xml:space="preserve">Exterior Window and Louver|Glass Window</t>
  </si>
  <si>
    <t xml:space="preserve">Exterior Window and Louver|Aluminium louver</t>
  </si>
  <si>
    <t xml:space="preserve">Exterior Window and Louver|Window accessories</t>
  </si>
  <si>
    <t xml:space="preserve">Exterior floor|Screeding</t>
  </si>
  <si>
    <t xml:space="preserve">Exterior floor|Floor tiling</t>
  </si>
  <si>
    <t xml:space="preserve">Exterior floor|Waterproofing</t>
  </si>
  <si>
    <t xml:space="preserve">Exterior soffit|Soffit finishes</t>
  </si>
  <si>
    <t xml:space="preserve">Exterior Stair Ramp|Stair &amp; Ramp finishes</t>
  </si>
  <si>
    <t xml:space="preserve">Exterior Stair Ramp|Handrail &amp; Balustrade</t>
  </si>
  <si>
    <t xml:space="preserve">Roofing|Roof covering</t>
  </si>
  <si>
    <t xml:space="preserve">Roofing|Roof waterproofing &amp; insulation</t>
  </si>
  <si>
    <t xml:space="preserve">Roofing|Roof drainage</t>
  </si>
  <si>
    <t xml:space="preserve">Roofing|Roof accessories</t>
  </si>
  <si>
    <t xml:space="preserve">Interior Wall and Partition|Hollow clay brick</t>
  </si>
  <si>
    <t xml:space="preserve">Interior Wall and Partition|Dry wall partition</t>
  </si>
  <si>
    <t xml:space="preserve">Interior Wall and Partition|Glass partition</t>
  </si>
  <si>
    <t xml:space="preserve">Interior Wall and Partition|Toilet cubicle</t>
  </si>
  <si>
    <t xml:space="preserve">Interior Wall and Partition|Handrail</t>
  </si>
  <si>
    <t xml:space="preserve">Interior Doors|Wood door</t>
  </si>
  <si>
    <t xml:space="preserve">Interior Doors|PVC door</t>
  </si>
  <si>
    <t xml:space="preserve">Interior Doors|Steel Door</t>
  </si>
  <si>
    <t xml:space="preserve">Interior Doors|Aluminium / Glass door</t>
  </si>
  <si>
    <t xml:space="preserve">Interior Doors|Door ironmongery</t>
  </si>
  <si>
    <t xml:space="preserve">Interior Doors|Interior window / louver</t>
  </si>
  <si>
    <t xml:space="preserve">Special installation|Gas installation</t>
  </si>
  <si>
    <t xml:space="preserve">Interior Wall Finishes|Plastering</t>
  </si>
  <si>
    <t xml:space="preserve">Interior Wall Finishes|Painting</t>
  </si>
  <si>
    <t xml:space="preserve">Interior Wall Finishes|Wall tiling</t>
  </si>
  <si>
    <t xml:space="preserve">Interior Wall Finishes|Wall cladding</t>
  </si>
  <si>
    <t xml:space="preserve">Interior Wall Finishes|Skirting</t>
  </si>
  <si>
    <t xml:space="preserve">Interior Floor Finishes|Screeding</t>
  </si>
  <si>
    <t xml:space="preserve">Interior Floor Finishes|Floor tiling</t>
  </si>
  <si>
    <t xml:space="preserve">Interior Floor Finishes|Stone flooring</t>
  </si>
  <si>
    <t xml:space="preserve">Interior Floor Finishes|Resilient flooring</t>
  </si>
  <si>
    <t xml:space="preserve">Interior Floor Finishes|Waterproofing</t>
  </si>
  <si>
    <t xml:space="preserve">Interior Floor Finishes|Floor accessories</t>
  </si>
  <si>
    <t xml:space="preserve">Ceiling Finishes|Suspended ceiling</t>
  </si>
  <si>
    <t xml:space="preserve">Ceiling Finishes|Acoustic ceiling</t>
  </si>
  <si>
    <t xml:space="preserve">Ceiling Finishes|Metal ceiling</t>
  </si>
  <si>
    <t xml:space="preserve">Ceiling Finishes|Ceiling accessories</t>
  </si>
  <si>
    <t xml:space="preserve">Fittings, furnishings and equipment|General Fitting</t>
  </si>
  <si>
    <t xml:space="preserve">Fittings, furnishings and equipment|Kitchen Fitting</t>
  </si>
  <si>
    <t xml:space="preserve">Fittings, furnishings and equipment|Special purpose Fitting</t>
  </si>
  <si>
    <t xml:space="preserve">Fittings, furnishings and equipment|Signage</t>
  </si>
  <si>
    <t xml:space="preserve">Sanitary Installations|Sanitary ware</t>
  </si>
  <si>
    <t xml:space="preserve">Sanitary Installations|Sanitary fitting</t>
  </si>
  <si>
    <t xml:space="preserve">Sanitary Installations|Sanitary accessories</t>
  </si>
  <si>
    <t xml:space="preserve">AIR-CONDITIONAL SYSTEM|Split unit system</t>
  </si>
  <si>
    <t xml:space="preserve">AIR-CONDITIONAL SYSTEM|VRF / VRV system</t>
  </si>
  <si>
    <t xml:space="preserve">AIR-CONDITIONAL SYSTEM|Chilled water system</t>
  </si>
  <si>
    <t xml:space="preserve">AIR-CONDITIONAL SYSTEM|AC piping &amp; accessories</t>
  </si>
  <si>
    <t xml:space="preserve">MECHANICAL VENTILATION SYSTEM|Ventilation fan</t>
  </si>
  <si>
    <t xml:space="preserve">MECHANICAL VENTILATION SYSTEM|Specialist ventilation</t>
  </si>
  <si>
    <t xml:space="preserve">MV DISTRIBUTION SYSTEM|Ductwork</t>
  </si>
  <si>
    <t xml:space="preserve">MV DISTRIBUTION SYSTEM|Air terminal</t>
  </si>
  <si>
    <t xml:space="preserve">MV DISTRIBUTION SYSTEM|Damper &amp; control</t>
  </si>
  <si>
    <t xml:space="preserve">ELECTRICAL SYSTEM|Main distribution</t>
  </si>
  <si>
    <t xml:space="preserve">ELECTRICAL SYSTEM|Cable &amp; containment</t>
  </si>
  <si>
    <t xml:space="preserve">ELECTRICAL SYSTEM|Power &amp; wiring accessories</t>
  </si>
  <si>
    <t xml:space="preserve">ELECTRICAL SYSTEM|Lighting</t>
  </si>
  <si>
    <t xml:space="preserve">ELECTRICAL SYSTEM|Earthing &amp; lightning protection</t>
  </si>
  <si>
    <t xml:space="preserve">ELECTRICAL SYSTEM|Standby power</t>
  </si>
  <si>
    <t xml:space="preserve">ELV INSTALLATION|Fire alarm system</t>
  </si>
  <si>
    <t xml:space="preserve">ELV INSTALLATION|Security system</t>
  </si>
  <si>
    <t xml:space="preserve">ELV INSTALLATION|Communication system</t>
  </si>
  <si>
    <t xml:space="preserve">ELV INSTALLATION|Audio visual &amp; school system</t>
  </si>
  <si>
    <t xml:space="preserve">ELV INSTALLATION|Building management</t>
  </si>
  <si>
    <t xml:space="preserve">PLUMBING SYSTEM|Water supply</t>
  </si>
  <si>
    <t xml:space="preserve">PLUMBING SYSTEM|Water storage &amp; pump</t>
  </si>
  <si>
    <t xml:space="preserve">PLUMBING SYSTEM|Drainage</t>
  </si>
  <si>
    <t xml:space="preserve">PLUMBING SYSTEM|Sewage treatment</t>
  </si>
  <si>
    <t xml:space="preserve">FIRE FIGHTING SYSTEM|Hydrant &amp; hose reel</t>
  </si>
  <si>
    <t xml:space="preserve">FIRE FIGHTING SYSTEM|Sprinkler system</t>
  </si>
  <si>
    <t xml:space="preserve">FIRE FIGHTING SYSTEM|Fire pump &amp; tank</t>
  </si>
  <si>
    <t xml:space="preserve">FIRE FIGHTING SYSTEM|Portable &amp; special suppression</t>
  </si>
  <si>
    <t xml:space="preserve">Specialist Installations|Renewable &amp; specialist</t>
  </si>
  <si>
    <t xml:space="preserve">VERTICAL TRANSPORTATION SYSTEM|Lift</t>
  </si>
  <si>
    <t xml:space="preserve">VERTICAL TRANSPORTATION SYSTEM|Escalator</t>
  </si>
  <si>
    <t xml:space="preserve">VERTICAL TRANSPORTATION SYSTEM|Lift shaft equipment</t>
  </si>
  <si>
    <t xml:space="preserve">Services|Testing &amp; Commissioning</t>
  </si>
  <si>
    <t xml:space="preserve">External Work|Site preparation</t>
  </si>
  <si>
    <t xml:space="preserve">External Work|Roads, path, paving</t>
  </si>
  <si>
    <t xml:space="preserve">External Work|Landscape</t>
  </si>
  <si>
    <t xml:space="preserve">External Work|Fence, railing &amp; wall</t>
  </si>
  <si>
    <t xml:space="preserve">External Work|External fixture</t>
  </si>
  <si>
    <t xml:space="preserve">BoQ TAKE-OFF ENTRY TEMPLATE — with dependent drop-downs</t>
  </si>
  <si>
    <t xml:space="preserve">Pick Section → Sub Section → Sub Element in order. Budget Code and Unit fill automatically from the Element Library.</t>
  </si>
  <si>
    <t xml:space="preserve">Unit</t>
  </si>
  <si>
    <t xml:space="preserve">Material Type / Description</t>
  </si>
  <si>
    <t xml:space="preserve">Quantity</t>
  </si>
  <si>
    <t xml:space="preserve">Remark</t>
  </si>
  <si>
    <t xml:space="preserve">h1</t>
  </si>
  <si>
    <t xml:space="preserve">h2</t>
  </si>
  <si>
    <t xml:space="preserve">NAMING STANDARD &amp; DUPLICATE WARNING</t>
  </si>
  <si>
    <t xml:space="preserve">Inconsistent spelling splits your SUMIFS roll-ups. These variants were found in the current project file — standardise on the left column.</t>
  </si>
  <si>
    <t xml:space="preserve">Use this (standard)</t>
  </si>
  <si>
    <t xml:space="preserve">Do NOT use (variant found)</t>
  </si>
  <si>
    <t xml:space="preserve">Why it matters</t>
  </si>
  <si>
    <t xml:space="preserve">Internal Wall Finishes</t>
  </si>
  <si>
    <t xml:space="preserve">Two spellings = two separate D.01 groups in the BoQ</t>
  </si>
  <si>
    <t xml:space="preserve">Internal Floor Finishes</t>
  </si>
  <si>
    <t xml:space="preserve">Two spellings = two separate D.02 groups</t>
  </si>
  <si>
    <t xml:space="preserve">Ceiling Finshes</t>
  </si>
  <si>
    <t xml:space="preserve">Typo in current file — breaks lookup against Budget Code list</t>
  </si>
  <si>
    <t xml:space="preserve">External Wall and Partition</t>
  </si>
  <si>
    <t xml:space="preserve">Budget Code C.01 uses "Exterior"</t>
  </si>
  <si>
    <t xml:space="preserve">External Windows and Louvers</t>
  </si>
  <si>
    <t xml:space="preserve">Budget Code C.04 wording</t>
  </si>
  <si>
    <t xml:space="preserve">Interior Door</t>
  </si>
  <si>
    <t xml:space="preserve">Budget Code C.10 wording</t>
  </si>
  <si>
    <t xml:space="preserve">Keep Sub Section = Handrail; put location in Sub Element</t>
  </si>
  <si>
    <t xml:space="preserve">(no trailing spaces)</t>
  </si>
  <si>
    <t xml:space="preserve">"Formwork " / "Marble on staircase "</t>
  </si>
  <si>
    <t xml:space="preserve">Trailing spaces silently zero-out SUMIFS — always TRIM</t>
  </si>
  <si>
    <t xml:space="preserve">RULES OF USE</t>
  </si>
  <si>
    <t xml:space="preserve">1.  Section = the Budget Code element (e.g. Interior Wall Finishes). One Section maps to exactly one Budget Code.</t>
  </si>
  <si>
    <t xml:space="preserve">2.  Sub Section = the work type / trade package (e.g. Plastering, Hollow clay brick, Glass Window, Fire alarm system).</t>
  </si>
  <si>
    <t xml:space="preserve">3.  Sub Element = the priced specification detail (e.g. Hollow clay brick 200mm Thk., Smoke detector). This is what carries the rate.</t>
  </si>
  <si>
    <t xml:space="preserve">4.  Structure follows a different pattern: Sub Section = structural element (Structural Beam), Sub Element = work type (Concrete, Formwork, Rebar).</t>
  </si>
  <si>
    <t xml:space="preserve">5.  Never invent a new Section — if it is missing, add it to the Budget Code master first, then to this library.</t>
  </si>
  <si>
    <t xml:space="preserve">6.  Keep one spelling forever. Copy from this library; do not retype.</t>
  </si>
  <si>
    <t xml:space="preserve">7.  Typical Unit is a default, not a rule — a door may be Nos or m2 depending on the specification.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</si>
</sst>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9"/>
      <color rgb="FF548235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80808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9"/>
      <color rgb="FF0061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9"/>
      <color rgb="FF4040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80808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BF8F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A6A6A6"/>
      <rgbColor rgb="FF003366"/>
      <rgbColor rgb="FF548235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5" min="4" style="0" width="30"/>
    <col collapsed="false" customWidth="true" hidden="false" outlineLevel="0" max="6" min="6" style="0" width="34"/>
    <col collapsed="false" customWidth="true" hidden="false" outlineLevel="0" max="7" min="7" style="0" width="11"/>
    <col collapsed="false" customWidth="true" hidden="true" outlineLevel="0" max="8" min="8" style="0" width="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3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117.9" hidden="false" customHeight="false" outlineLevel="0" collapsed="false">
      <c r="A6" s="5" t="n">
        <v>1</v>
      </c>
      <c r="B6" s="6" t="s">
        <v>11</v>
      </c>
      <c r="C6" s="7" t="s">
        <v>12</v>
      </c>
      <c r="D6" s="8" t="s">
        <v>13</v>
      </c>
      <c r="E6" s="8" t="s">
        <v>14</v>
      </c>
      <c r="F6" s="8" t="s">
        <v>15</v>
      </c>
      <c r="G6" s="5" t="s">
        <v>16</v>
      </c>
      <c r="H6" s="9" t="s">
        <v>17</v>
      </c>
    </row>
    <row r="7" customFormat="false" ht="117.9" hidden="false" customHeight="false" outlineLevel="0" collapsed="false">
      <c r="A7" s="5" t="n">
        <v>2</v>
      </c>
      <c r="B7" s="6" t="s">
        <v>11</v>
      </c>
      <c r="C7" s="7" t="s">
        <v>12</v>
      </c>
      <c r="D7" s="8" t="s">
        <v>13</v>
      </c>
      <c r="E7" s="8" t="s">
        <v>14</v>
      </c>
      <c r="F7" s="8" t="s">
        <v>18</v>
      </c>
      <c r="G7" s="5" t="s">
        <v>19</v>
      </c>
      <c r="H7" s="9" t="s">
        <v>20</v>
      </c>
    </row>
    <row r="8" customFormat="false" ht="108.95" hidden="false" customHeight="false" outlineLevel="0" collapsed="false">
      <c r="A8" s="5" t="n">
        <v>3</v>
      </c>
      <c r="B8" s="6" t="s">
        <v>11</v>
      </c>
      <c r="C8" s="7" t="s">
        <v>12</v>
      </c>
      <c r="D8" s="8" t="s">
        <v>13</v>
      </c>
      <c r="E8" s="8" t="s">
        <v>14</v>
      </c>
      <c r="F8" s="8" t="s">
        <v>21</v>
      </c>
      <c r="G8" s="5" t="s">
        <v>19</v>
      </c>
      <c r="H8" s="9" t="s">
        <v>22</v>
      </c>
    </row>
    <row r="9" customFormat="false" ht="117.9" hidden="false" customHeight="false" outlineLevel="0" collapsed="false">
      <c r="A9" s="5" t="n">
        <v>4</v>
      </c>
      <c r="B9" s="6" t="s">
        <v>11</v>
      </c>
      <c r="C9" s="7" t="s">
        <v>12</v>
      </c>
      <c r="D9" s="8" t="s">
        <v>13</v>
      </c>
      <c r="E9" s="8" t="s">
        <v>14</v>
      </c>
      <c r="F9" s="8" t="s">
        <v>23</v>
      </c>
      <c r="G9" s="5" t="s">
        <v>19</v>
      </c>
      <c r="H9" s="9" t="s">
        <v>24</v>
      </c>
    </row>
    <row r="10" customFormat="false" ht="117.9" hidden="false" customHeight="false" outlineLevel="0" collapsed="false">
      <c r="A10" s="5" t="n">
        <v>5</v>
      </c>
      <c r="B10" s="6" t="s">
        <v>11</v>
      </c>
      <c r="C10" s="7" t="s">
        <v>12</v>
      </c>
      <c r="D10" s="8" t="s">
        <v>13</v>
      </c>
      <c r="E10" s="8" t="s">
        <v>14</v>
      </c>
      <c r="F10" s="8" t="s">
        <v>25</v>
      </c>
      <c r="G10" s="5" t="s">
        <v>16</v>
      </c>
      <c r="H10" s="9" t="s">
        <v>26</v>
      </c>
    </row>
    <row r="11" customFormat="false" ht="117.9" hidden="false" customHeight="false" outlineLevel="0" collapsed="false">
      <c r="A11" s="5" t="n">
        <v>6</v>
      </c>
      <c r="B11" s="6" t="s">
        <v>11</v>
      </c>
      <c r="C11" s="7" t="s">
        <v>12</v>
      </c>
      <c r="D11" s="8" t="s">
        <v>13</v>
      </c>
      <c r="E11" s="8" t="s">
        <v>14</v>
      </c>
      <c r="F11" s="8" t="s">
        <v>27</v>
      </c>
      <c r="G11" s="5" t="s">
        <v>28</v>
      </c>
      <c r="H11" s="9" t="s">
        <v>29</v>
      </c>
    </row>
    <row r="12" customFormat="false" ht="144.75" hidden="false" customHeight="false" outlineLevel="0" collapsed="false">
      <c r="A12" s="5" t="n">
        <v>7</v>
      </c>
      <c r="B12" s="6" t="s">
        <v>11</v>
      </c>
      <c r="C12" s="7" t="s">
        <v>12</v>
      </c>
      <c r="D12" s="8" t="s">
        <v>13</v>
      </c>
      <c r="E12" s="8" t="s">
        <v>14</v>
      </c>
      <c r="F12" s="8" t="s">
        <v>30</v>
      </c>
      <c r="G12" s="5" t="s">
        <v>16</v>
      </c>
      <c r="H12" s="9" t="s">
        <v>31</v>
      </c>
    </row>
    <row r="13" customFormat="false" ht="135.8" hidden="false" customHeight="false" outlineLevel="0" collapsed="false">
      <c r="A13" s="5" t="n">
        <v>8</v>
      </c>
      <c r="B13" s="6" t="s">
        <v>11</v>
      </c>
      <c r="C13" s="7" t="s">
        <v>32</v>
      </c>
      <c r="D13" s="8" t="s">
        <v>13</v>
      </c>
      <c r="E13" s="8" t="s">
        <v>33</v>
      </c>
      <c r="F13" s="8" t="s">
        <v>34</v>
      </c>
      <c r="G13" s="5" t="s">
        <v>16</v>
      </c>
      <c r="H13" s="9" t="s">
        <v>35</v>
      </c>
    </row>
    <row r="14" customFormat="false" ht="135.8" hidden="false" customHeight="false" outlineLevel="0" collapsed="false">
      <c r="A14" s="5" t="n">
        <v>9</v>
      </c>
      <c r="B14" s="6" t="s">
        <v>11</v>
      </c>
      <c r="C14" s="7" t="s">
        <v>32</v>
      </c>
      <c r="D14" s="8" t="s">
        <v>13</v>
      </c>
      <c r="E14" s="8" t="s">
        <v>33</v>
      </c>
      <c r="F14" s="8" t="s">
        <v>36</v>
      </c>
      <c r="G14" s="5" t="s">
        <v>16</v>
      </c>
      <c r="H14" s="9" t="s">
        <v>37</v>
      </c>
    </row>
    <row r="15" customFormat="false" ht="144.75" hidden="false" customHeight="false" outlineLevel="0" collapsed="false">
      <c r="A15" s="5" t="n">
        <v>10</v>
      </c>
      <c r="B15" s="6" t="s">
        <v>11</v>
      </c>
      <c r="C15" s="7" t="s">
        <v>32</v>
      </c>
      <c r="D15" s="8" t="s">
        <v>13</v>
      </c>
      <c r="E15" s="8" t="s">
        <v>33</v>
      </c>
      <c r="F15" s="8" t="s">
        <v>38</v>
      </c>
      <c r="G15" s="5" t="s">
        <v>16</v>
      </c>
      <c r="H15" s="9" t="s">
        <v>39</v>
      </c>
    </row>
    <row r="16" customFormat="false" ht="126.85" hidden="false" customHeight="false" outlineLevel="0" collapsed="false">
      <c r="A16" s="5" t="n">
        <v>11</v>
      </c>
      <c r="B16" s="6" t="s">
        <v>11</v>
      </c>
      <c r="C16" s="7" t="s">
        <v>32</v>
      </c>
      <c r="D16" s="8" t="s">
        <v>13</v>
      </c>
      <c r="E16" s="8" t="s">
        <v>33</v>
      </c>
      <c r="F16" s="8" t="s">
        <v>40</v>
      </c>
      <c r="G16" s="5" t="s">
        <v>41</v>
      </c>
      <c r="H16" s="9" t="s">
        <v>42</v>
      </c>
    </row>
    <row r="17" customFormat="false" ht="126.85" hidden="false" customHeight="false" outlineLevel="0" collapsed="false">
      <c r="A17" s="5" t="n">
        <v>12</v>
      </c>
      <c r="B17" s="6" t="s">
        <v>11</v>
      </c>
      <c r="C17" s="7" t="s">
        <v>32</v>
      </c>
      <c r="D17" s="8" t="s">
        <v>13</v>
      </c>
      <c r="E17" s="8" t="s">
        <v>33</v>
      </c>
      <c r="F17" s="8" t="s">
        <v>43</v>
      </c>
      <c r="G17" s="5" t="s">
        <v>44</v>
      </c>
      <c r="H17" s="9" t="s">
        <v>45</v>
      </c>
    </row>
    <row r="18" customFormat="false" ht="117.9" hidden="false" customHeight="false" outlineLevel="0" collapsed="false">
      <c r="A18" s="5" t="n">
        <v>13</v>
      </c>
      <c r="B18" s="6" t="s">
        <v>11</v>
      </c>
      <c r="C18" s="7" t="s">
        <v>32</v>
      </c>
      <c r="D18" s="8" t="s">
        <v>13</v>
      </c>
      <c r="E18" s="8" t="s">
        <v>33</v>
      </c>
      <c r="F18" s="8" t="s">
        <v>46</v>
      </c>
      <c r="G18" s="5" t="s">
        <v>47</v>
      </c>
      <c r="H18" s="9" t="s">
        <v>48</v>
      </c>
    </row>
    <row r="19" customFormat="false" ht="108.95" hidden="false" customHeight="false" outlineLevel="0" collapsed="false">
      <c r="A19" s="5" t="n">
        <v>14</v>
      </c>
      <c r="B19" s="6" t="s">
        <v>11</v>
      </c>
      <c r="C19" s="7" t="s">
        <v>49</v>
      </c>
      <c r="D19" s="8" t="s">
        <v>13</v>
      </c>
      <c r="E19" s="8" t="s">
        <v>50</v>
      </c>
      <c r="F19" s="8" t="s">
        <v>51</v>
      </c>
      <c r="G19" s="5" t="s">
        <v>47</v>
      </c>
      <c r="H19" s="9" t="s">
        <v>52</v>
      </c>
    </row>
    <row r="20" customFormat="false" ht="82.05" hidden="false" customHeight="false" outlineLevel="0" collapsed="false">
      <c r="A20" s="5" t="n">
        <v>15</v>
      </c>
      <c r="B20" s="6" t="s">
        <v>11</v>
      </c>
      <c r="C20" s="7" t="s">
        <v>49</v>
      </c>
      <c r="D20" s="8" t="s">
        <v>13</v>
      </c>
      <c r="E20" s="8" t="s">
        <v>50</v>
      </c>
      <c r="F20" s="8" t="s">
        <v>53</v>
      </c>
      <c r="G20" s="5" t="s">
        <v>19</v>
      </c>
      <c r="H20" s="9" t="s">
        <v>54</v>
      </c>
    </row>
    <row r="21" customFormat="false" ht="82.05" hidden="false" customHeight="false" outlineLevel="0" collapsed="false">
      <c r="A21" s="5" t="n">
        <v>16</v>
      </c>
      <c r="B21" s="6" t="s">
        <v>11</v>
      </c>
      <c r="C21" s="7" t="s">
        <v>49</v>
      </c>
      <c r="D21" s="8" t="s">
        <v>13</v>
      </c>
      <c r="E21" s="8" t="s">
        <v>50</v>
      </c>
      <c r="F21" s="8" t="s">
        <v>55</v>
      </c>
      <c r="G21" s="5" t="s">
        <v>41</v>
      </c>
      <c r="H21" s="9" t="s">
        <v>56</v>
      </c>
    </row>
    <row r="22" customFormat="false" ht="91" hidden="false" customHeight="false" outlineLevel="0" collapsed="false">
      <c r="A22" s="5" t="n">
        <v>17</v>
      </c>
      <c r="B22" s="6" t="s">
        <v>11</v>
      </c>
      <c r="C22" s="7" t="s">
        <v>49</v>
      </c>
      <c r="D22" s="8" t="s">
        <v>13</v>
      </c>
      <c r="E22" s="8" t="s">
        <v>50</v>
      </c>
      <c r="F22" s="8" t="s">
        <v>57</v>
      </c>
      <c r="G22" s="5" t="s">
        <v>41</v>
      </c>
      <c r="H22" s="9" t="s">
        <v>58</v>
      </c>
    </row>
    <row r="23" customFormat="false" ht="108.95" hidden="false" customHeight="false" outlineLevel="0" collapsed="false">
      <c r="A23" s="5" t="n">
        <v>18</v>
      </c>
      <c r="B23" s="6" t="s">
        <v>11</v>
      </c>
      <c r="C23" s="7" t="s">
        <v>49</v>
      </c>
      <c r="D23" s="8" t="s">
        <v>13</v>
      </c>
      <c r="E23" s="8" t="s">
        <v>50</v>
      </c>
      <c r="F23" s="8" t="s">
        <v>59</v>
      </c>
      <c r="G23" s="5" t="s">
        <v>41</v>
      </c>
      <c r="H23" s="9" t="s">
        <v>60</v>
      </c>
    </row>
    <row r="24" customFormat="false" ht="108.95" hidden="false" customHeight="false" outlineLevel="0" collapsed="false">
      <c r="A24" s="5" t="n">
        <v>19</v>
      </c>
      <c r="B24" s="6" t="s">
        <v>11</v>
      </c>
      <c r="C24" s="7" t="s">
        <v>49</v>
      </c>
      <c r="D24" s="8" t="s">
        <v>13</v>
      </c>
      <c r="E24" s="8" t="s">
        <v>50</v>
      </c>
      <c r="F24" s="8" t="s">
        <v>61</v>
      </c>
      <c r="G24" s="5" t="s">
        <v>28</v>
      </c>
      <c r="H24" s="9" t="s">
        <v>62</v>
      </c>
    </row>
    <row r="25" customFormat="false" ht="126.85" hidden="false" customHeight="false" outlineLevel="0" collapsed="false">
      <c r="A25" s="5" t="n">
        <v>20</v>
      </c>
      <c r="B25" s="6" t="s">
        <v>11</v>
      </c>
      <c r="C25" s="7" t="s">
        <v>49</v>
      </c>
      <c r="D25" s="8" t="s">
        <v>13</v>
      </c>
      <c r="E25" s="8" t="s">
        <v>50</v>
      </c>
      <c r="F25" s="8" t="s">
        <v>63</v>
      </c>
      <c r="G25" s="5" t="s">
        <v>44</v>
      </c>
      <c r="H25" s="9" t="s">
        <v>64</v>
      </c>
    </row>
    <row r="26" customFormat="false" ht="108.95" hidden="false" customHeight="false" outlineLevel="0" collapsed="false">
      <c r="A26" s="5" t="n">
        <v>21</v>
      </c>
      <c r="B26" s="6" t="s">
        <v>11</v>
      </c>
      <c r="C26" s="7" t="s">
        <v>49</v>
      </c>
      <c r="D26" s="8" t="s">
        <v>13</v>
      </c>
      <c r="E26" s="8" t="s">
        <v>50</v>
      </c>
      <c r="F26" s="8" t="s">
        <v>65</v>
      </c>
      <c r="G26" s="5" t="s">
        <v>44</v>
      </c>
      <c r="H26" s="9" t="s">
        <v>66</v>
      </c>
    </row>
    <row r="27" customFormat="false" ht="108.95" hidden="false" customHeight="false" outlineLevel="0" collapsed="false">
      <c r="A27" s="5" t="n">
        <v>22</v>
      </c>
      <c r="B27" s="6" t="s">
        <v>11</v>
      </c>
      <c r="C27" s="7" t="s">
        <v>49</v>
      </c>
      <c r="D27" s="8" t="s">
        <v>13</v>
      </c>
      <c r="E27" s="8" t="s">
        <v>50</v>
      </c>
      <c r="F27" s="8" t="s">
        <v>67</v>
      </c>
      <c r="G27" s="5" t="s">
        <v>44</v>
      </c>
      <c r="H27" s="9" t="s">
        <v>68</v>
      </c>
    </row>
    <row r="28" customFormat="false" ht="91" hidden="false" customHeight="false" outlineLevel="0" collapsed="false">
      <c r="A28" s="5" t="n">
        <v>23</v>
      </c>
      <c r="B28" s="6" t="s">
        <v>11</v>
      </c>
      <c r="C28" s="7" t="s">
        <v>49</v>
      </c>
      <c r="D28" s="8" t="s">
        <v>13</v>
      </c>
      <c r="E28" s="8" t="s">
        <v>50</v>
      </c>
      <c r="F28" s="8" t="s">
        <v>69</v>
      </c>
      <c r="G28" s="5" t="s">
        <v>44</v>
      </c>
      <c r="H28" s="9" t="s">
        <v>70</v>
      </c>
    </row>
    <row r="29" customFormat="false" ht="99.95" hidden="false" customHeight="false" outlineLevel="0" collapsed="false">
      <c r="A29" s="5" t="n">
        <v>24</v>
      </c>
      <c r="B29" s="6" t="s">
        <v>11</v>
      </c>
      <c r="C29" s="7" t="s">
        <v>49</v>
      </c>
      <c r="D29" s="8" t="s">
        <v>13</v>
      </c>
      <c r="E29" s="8" t="s">
        <v>50</v>
      </c>
      <c r="F29" s="8" t="s">
        <v>71</v>
      </c>
      <c r="G29" s="5" t="s">
        <v>44</v>
      </c>
      <c r="H29" s="9" t="s">
        <v>72</v>
      </c>
    </row>
    <row r="30" customFormat="false" ht="99.95" hidden="false" customHeight="false" outlineLevel="0" collapsed="false">
      <c r="A30" s="5" t="n">
        <v>25</v>
      </c>
      <c r="B30" s="6" t="s">
        <v>11</v>
      </c>
      <c r="C30" s="7" t="s">
        <v>49</v>
      </c>
      <c r="D30" s="8" t="s">
        <v>13</v>
      </c>
      <c r="E30" s="8" t="s">
        <v>50</v>
      </c>
      <c r="F30" s="8" t="s">
        <v>73</v>
      </c>
      <c r="G30" s="5" t="s">
        <v>44</v>
      </c>
      <c r="H30" s="9" t="s">
        <v>74</v>
      </c>
    </row>
    <row r="31" customFormat="false" ht="117.9" hidden="false" customHeight="false" outlineLevel="0" collapsed="false">
      <c r="A31" s="5" t="n">
        <v>26</v>
      </c>
      <c r="B31" s="6" t="s">
        <v>11</v>
      </c>
      <c r="C31" s="7" t="s">
        <v>49</v>
      </c>
      <c r="D31" s="8" t="s">
        <v>13</v>
      </c>
      <c r="E31" s="8" t="s">
        <v>75</v>
      </c>
      <c r="F31" s="8" t="s">
        <v>76</v>
      </c>
      <c r="G31" s="5" t="s">
        <v>47</v>
      </c>
      <c r="H31" s="9" t="s">
        <v>77</v>
      </c>
    </row>
    <row r="32" customFormat="false" ht="117.9" hidden="false" customHeight="false" outlineLevel="0" collapsed="false">
      <c r="A32" s="5" t="n">
        <v>27</v>
      </c>
      <c r="B32" s="6" t="s">
        <v>11</v>
      </c>
      <c r="C32" s="7" t="s">
        <v>49</v>
      </c>
      <c r="D32" s="8" t="s">
        <v>13</v>
      </c>
      <c r="E32" s="8" t="s">
        <v>75</v>
      </c>
      <c r="F32" s="8" t="s">
        <v>78</v>
      </c>
      <c r="G32" s="5" t="s">
        <v>47</v>
      </c>
      <c r="H32" s="9" t="s">
        <v>79</v>
      </c>
    </row>
    <row r="33" customFormat="false" ht="117.9" hidden="false" customHeight="false" outlineLevel="0" collapsed="false">
      <c r="A33" s="5" t="n">
        <v>28</v>
      </c>
      <c r="B33" s="6" t="s">
        <v>11</v>
      </c>
      <c r="C33" s="7" t="s">
        <v>49</v>
      </c>
      <c r="D33" s="8" t="s">
        <v>13</v>
      </c>
      <c r="E33" s="8" t="s">
        <v>75</v>
      </c>
      <c r="F33" s="8" t="s">
        <v>80</v>
      </c>
      <c r="G33" s="5" t="s">
        <v>44</v>
      </c>
      <c r="H33" s="9" t="s">
        <v>81</v>
      </c>
    </row>
    <row r="34" customFormat="false" ht="135.8" hidden="false" customHeight="false" outlineLevel="0" collapsed="false">
      <c r="A34" s="5" t="n">
        <v>29</v>
      </c>
      <c r="B34" s="6" t="s">
        <v>11</v>
      </c>
      <c r="C34" s="7" t="s">
        <v>49</v>
      </c>
      <c r="D34" s="8" t="s">
        <v>13</v>
      </c>
      <c r="E34" s="8" t="s">
        <v>75</v>
      </c>
      <c r="F34" s="8" t="s">
        <v>82</v>
      </c>
      <c r="G34" s="5" t="s">
        <v>44</v>
      </c>
      <c r="H34" s="9" t="s">
        <v>83</v>
      </c>
    </row>
    <row r="35" customFormat="false" ht="117.9" hidden="false" customHeight="false" outlineLevel="0" collapsed="false">
      <c r="A35" s="5" t="n">
        <v>30</v>
      </c>
      <c r="B35" s="6" t="s">
        <v>11</v>
      </c>
      <c r="C35" s="7" t="s">
        <v>49</v>
      </c>
      <c r="D35" s="8" t="s">
        <v>13</v>
      </c>
      <c r="E35" s="8" t="s">
        <v>75</v>
      </c>
      <c r="F35" s="8" t="s">
        <v>69</v>
      </c>
      <c r="G35" s="5" t="s">
        <v>44</v>
      </c>
      <c r="H35" s="9" t="s">
        <v>84</v>
      </c>
    </row>
    <row r="36" customFormat="false" ht="99.95" hidden="false" customHeight="false" outlineLevel="0" collapsed="false">
      <c r="A36" s="5" t="n">
        <v>31</v>
      </c>
      <c r="B36" s="6" t="s">
        <v>11</v>
      </c>
      <c r="C36" s="7" t="s">
        <v>85</v>
      </c>
      <c r="D36" s="8" t="s">
        <v>13</v>
      </c>
      <c r="E36" s="8" t="s">
        <v>86</v>
      </c>
      <c r="F36" s="8" t="s">
        <v>87</v>
      </c>
      <c r="G36" s="5" t="s">
        <v>19</v>
      </c>
      <c r="H36" s="9" t="s">
        <v>88</v>
      </c>
    </row>
    <row r="37" customFormat="false" ht="117.9" hidden="false" customHeight="false" outlineLevel="0" collapsed="false">
      <c r="A37" s="5" t="n">
        <v>32</v>
      </c>
      <c r="B37" s="6" t="s">
        <v>11</v>
      </c>
      <c r="C37" s="7" t="s">
        <v>85</v>
      </c>
      <c r="D37" s="8" t="s">
        <v>13</v>
      </c>
      <c r="E37" s="8" t="s">
        <v>86</v>
      </c>
      <c r="F37" s="8" t="s">
        <v>89</v>
      </c>
      <c r="G37" s="5" t="s">
        <v>16</v>
      </c>
      <c r="H37" s="9" t="s">
        <v>90</v>
      </c>
    </row>
    <row r="38" customFormat="false" ht="108.95" hidden="false" customHeight="false" outlineLevel="0" collapsed="false">
      <c r="A38" s="5" t="n">
        <v>33</v>
      </c>
      <c r="B38" s="6" t="s">
        <v>11</v>
      </c>
      <c r="C38" s="7" t="s">
        <v>85</v>
      </c>
      <c r="D38" s="8" t="s">
        <v>13</v>
      </c>
      <c r="E38" s="8" t="s">
        <v>86</v>
      </c>
      <c r="F38" s="8" t="s">
        <v>91</v>
      </c>
      <c r="G38" s="5" t="s">
        <v>19</v>
      </c>
      <c r="H38" s="9" t="s">
        <v>92</v>
      </c>
    </row>
    <row r="39" customFormat="false" ht="99.95" hidden="false" customHeight="false" outlineLevel="0" collapsed="false">
      <c r="A39" s="5" t="n">
        <v>34</v>
      </c>
      <c r="B39" s="6" t="s">
        <v>11</v>
      </c>
      <c r="C39" s="7" t="s">
        <v>85</v>
      </c>
      <c r="D39" s="8" t="s">
        <v>13</v>
      </c>
      <c r="E39" s="8" t="s">
        <v>86</v>
      </c>
      <c r="F39" s="8" t="s">
        <v>93</v>
      </c>
      <c r="G39" s="5" t="s">
        <v>19</v>
      </c>
      <c r="H39" s="9" t="s">
        <v>94</v>
      </c>
    </row>
    <row r="40" customFormat="false" ht="91" hidden="false" customHeight="false" outlineLevel="0" collapsed="false">
      <c r="A40" s="5" t="n">
        <v>35</v>
      </c>
      <c r="B40" s="6" t="s">
        <v>11</v>
      </c>
      <c r="C40" s="7" t="s">
        <v>85</v>
      </c>
      <c r="D40" s="8" t="s">
        <v>13</v>
      </c>
      <c r="E40" s="8" t="s">
        <v>86</v>
      </c>
      <c r="F40" s="8" t="s">
        <v>53</v>
      </c>
      <c r="G40" s="5" t="s">
        <v>19</v>
      </c>
      <c r="H40" s="9" t="s">
        <v>95</v>
      </c>
    </row>
    <row r="41" customFormat="false" ht="99.95" hidden="false" customHeight="false" outlineLevel="0" collapsed="false">
      <c r="A41" s="5" t="n">
        <v>36</v>
      </c>
      <c r="B41" s="6" t="s">
        <v>11</v>
      </c>
      <c r="C41" s="7" t="s">
        <v>85</v>
      </c>
      <c r="D41" s="8" t="s">
        <v>13</v>
      </c>
      <c r="E41" s="8" t="s">
        <v>86</v>
      </c>
      <c r="F41" s="8" t="s">
        <v>96</v>
      </c>
      <c r="G41" s="5" t="s">
        <v>16</v>
      </c>
      <c r="H41" s="9" t="s">
        <v>97</v>
      </c>
    </row>
    <row r="42" customFormat="false" ht="91" hidden="false" customHeight="false" outlineLevel="0" collapsed="false">
      <c r="A42" s="5" t="n">
        <v>37</v>
      </c>
      <c r="B42" s="6" t="s">
        <v>11</v>
      </c>
      <c r="C42" s="7" t="s">
        <v>85</v>
      </c>
      <c r="D42" s="8" t="s">
        <v>13</v>
      </c>
      <c r="E42" s="8" t="s">
        <v>86</v>
      </c>
      <c r="F42" s="8" t="s">
        <v>55</v>
      </c>
      <c r="G42" s="5" t="s">
        <v>41</v>
      </c>
      <c r="H42" s="9" t="s">
        <v>98</v>
      </c>
    </row>
    <row r="43" customFormat="false" ht="99.95" hidden="false" customHeight="false" outlineLevel="0" collapsed="false">
      <c r="A43" s="5" t="n">
        <v>38</v>
      </c>
      <c r="B43" s="6" t="s">
        <v>11</v>
      </c>
      <c r="C43" s="7" t="s">
        <v>85</v>
      </c>
      <c r="D43" s="8" t="s">
        <v>13</v>
      </c>
      <c r="E43" s="8" t="s">
        <v>86</v>
      </c>
      <c r="F43" s="8" t="s">
        <v>57</v>
      </c>
      <c r="G43" s="5" t="s">
        <v>41</v>
      </c>
      <c r="H43" s="9" t="s">
        <v>99</v>
      </c>
    </row>
    <row r="44" customFormat="false" ht="99.95" hidden="false" customHeight="false" outlineLevel="0" collapsed="false">
      <c r="A44" s="5" t="n">
        <v>39</v>
      </c>
      <c r="B44" s="6" t="s">
        <v>11</v>
      </c>
      <c r="C44" s="7" t="s">
        <v>85</v>
      </c>
      <c r="D44" s="8" t="s">
        <v>13</v>
      </c>
      <c r="E44" s="8" t="s">
        <v>86</v>
      </c>
      <c r="F44" s="8" t="s">
        <v>100</v>
      </c>
      <c r="G44" s="5" t="s">
        <v>47</v>
      </c>
      <c r="H44" s="9" t="s">
        <v>101</v>
      </c>
    </row>
    <row r="45" customFormat="false" ht="108.95" hidden="false" customHeight="false" outlineLevel="0" collapsed="false">
      <c r="A45" s="5" t="n">
        <v>40</v>
      </c>
      <c r="B45" s="6" t="s">
        <v>11</v>
      </c>
      <c r="C45" s="7" t="s">
        <v>85</v>
      </c>
      <c r="D45" s="8" t="s">
        <v>13</v>
      </c>
      <c r="E45" s="8" t="s">
        <v>86</v>
      </c>
      <c r="F45" s="8" t="s">
        <v>102</v>
      </c>
      <c r="G45" s="5" t="s">
        <v>16</v>
      </c>
      <c r="H45" s="9" t="s">
        <v>103</v>
      </c>
    </row>
    <row r="46" customFormat="false" ht="99.95" hidden="false" customHeight="false" outlineLevel="0" collapsed="false">
      <c r="A46" s="5" t="n">
        <v>41</v>
      </c>
      <c r="B46" s="6" t="s">
        <v>11</v>
      </c>
      <c r="C46" s="7" t="s">
        <v>85</v>
      </c>
      <c r="D46" s="8" t="s">
        <v>13</v>
      </c>
      <c r="E46" s="8" t="s">
        <v>86</v>
      </c>
      <c r="F46" s="8" t="s">
        <v>104</v>
      </c>
      <c r="G46" s="5" t="s">
        <v>16</v>
      </c>
      <c r="H46" s="9" t="s">
        <v>105</v>
      </c>
    </row>
    <row r="47" customFormat="false" ht="117.9" hidden="false" customHeight="false" outlineLevel="0" collapsed="false">
      <c r="A47" s="5" t="n">
        <v>42</v>
      </c>
      <c r="B47" s="6" t="s">
        <v>11</v>
      </c>
      <c r="C47" s="7" t="s">
        <v>85</v>
      </c>
      <c r="D47" s="8" t="s">
        <v>13</v>
      </c>
      <c r="E47" s="8" t="s">
        <v>106</v>
      </c>
      <c r="F47" s="8" t="s">
        <v>87</v>
      </c>
      <c r="G47" s="5" t="s">
        <v>19</v>
      </c>
      <c r="H47" s="9" t="s">
        <v>107</v>
      </c>
    </row>
    <row r="48" customFormat="false" ht="135.8" hidden="false" customHeight="false" outlineLevel="0" collapsed="false">
      <c r="A48" s="5" t="n">
        <v>43</v>
      </c>
      <c r="B48" s="6" t="s">
        <v>11</v>
      </c>
      <c r="C48" s="7" t="s">
        <v>85</v>
      </c>
      <c r="D48" s="8" t="s">
        <v>13</v>
      </c>
      <c r="E48" s="8" t="s">
        <v>106</v>
      </c>
      <c r="F48" s="8" t="s">
        <v>89</v>
      </c>
      <c r="G48" s="5" t="s">
        <v>16</v>
      </c>
      <c r="H48" s="9" t="s">
        <v>108</v>
      </c>
    </row>
    <row r="49" customFormat="false" ht="126.85" hidden="false" customHeight="false" outlineLevel="0" collapsed="false">
      <c r="A49" s="5" t="n">
        <v>44</v>
      </c>
      <c r="B49" s="6" t="s">
        <v>11</v>
      </c>
      <c r="C49" s="7" t="s">
        <v>85</v>
      </c>
      <c r="D49" s="8" t="s">
        <v>13</v>
      </c>
      <c r="E49" s="8" t="s">
        <v>106</v>
      </c>
      <c r="F49" s="8" t="s">
        <v>91</v>
      </c>
      <c r="G49" s="5" t="s">
        <v>19</v>
      </c>
      <c r="H49" s="9" t="s">
        <v>109</v>
      </c>
    </row>
    <row r="50" customFormat="false" ht="117.9" hidden="false" customHeight="false" outlineLevel="0" collapsed="false">
      <c r="A50" s="5" t="n">
        <v>45</v>
      </c>
      <c r="B50" s="6" t="s">
        <v>11</v>
      </c>
      <c r="C50" s="7" t="s">
        <v>85</v>
      </c>
      <c r="D50" s="8" t="s">
        <v>13</v>
      </c>
      <c r="E50" s="8" t="s">
        <v>106</v>
      </c>
      <c r="F50" s="8" t="s">
        <v>93</v>
      </c>
      <c r="G50" s="5" t="s">
        <v>19</v>
      </c>
      <c r="H50" s="9" t="s">
        <v>110</v>
      </c>
    </row>
    <row r="51" customFormat="false" ht="108.95" hidden="false" customHeight="false" outlineLevel="0" collapsed="false">
      <c r="A51" s="5" t="n">
        <v>46</v>
      </c>
      <c r="B51" s="6" t="s">
        <v>11</v>
      </c>
      <c r="C51" s="7" t="s">
        <v>85</v>
      </c>
      <c r="D51" s="8" t="s">
        <v>13</v>
      </c>
      <c r="E51" s="8" t="s">
        <v>106</v>
      </c>
      <c r="F51" s="8" t="s">
        <v>53</v>
      </c>
      <c r="G51" s="5" t="s">
        <v>19</v>
      </c>
      <c r="H51" s="9" t="s">
        <v>111</v>
      </c>
    </row>
    <row r="52" customFormat="false" ht="117.9" hidden="false" customHeight="false" outlineLevel="0" collapsed="false">
      <c r="A52" s="5" t="n">
        <v>47</v>
      </c>
      <c r="B52" s="6" t="s">
        <v>11</v>
      </c>
      <c r="C52" s="7" t="s">
        <v>85</v>
      </c>
      <c r="D52" s="8" t="s">
        <v>13</v>
      </c>
      <c r="E52" s="8" t="s">
        <v>106</v>
      </c>
      <c r="F52" s="8" t="s">
        <v>96</v>
      </c>
      <c r="G52" s="5" t="s">
        <v>16</v>
      </c>
      <c r="H52" s="9" t="s">
        <v>112</v>
      </c>
    </row>
    <row r="53" customFormat="false" ht="108.95" hidden="false" customHeight="false" outlineLevel="0" collapsed="false">
      <c r="A53" s="5" t="n">
        <v>48</v>
      </c>
      <c r="B53" s="6" t="s">
        <v>11</v>
      </c>
      <c r="C53" s="7" t="s">
        <v>85</v>
      </c>
      <c r="D53" s="8" t="s">
        <v>13</v>
      </c>
      <c r="E53" s="8" t="s">
        <v>106</v>
      </c>
      <c r="F53" s="8" t="s">
        <v>55</v>
      </c>
      <c r="G53" s="5" t="s">
        <v>41</v>
      </c>
      <c r="H53" s="9" t="s">
        <v>113</v>
      </c>
    </row>
    <row r="54" customFormat="false" ht="117.9" hidden="false" customHeight="false" outlineLevel="0" collapsed="false">
      <c r="A54" s="5" t="n">
        <v>49</v>
      </c>
      <c r="B54" s="6" t="s">
        <v>11</v>
      </c>
      <c r="C54" s="7" t="s">
        <v>85</v>
      </c>
      <c r="D54" s="8" t="s">
        <v>13</v>
      </c>
      <c r="E54" s="8" t="s">
        <v>106</v>
      </c>
      <c r="F54" s="8" t="s">
        <v>57</v>
      </c>
      <c r="G54" s="5" t="s">
        <v>41</v>
      </c>
      <c r="H54" s="9" t="s">
        <v>114</v>
      </c>
    </row>
    <row r="55" customFormat="false" ht="117.9" hidden="false" customHeight="false" outlineLevel="0" collapsed="false">
      <c r="A55" s="5" t="n">
        <v>50</v>
      </c>
      <c r="B55" s="6" t="s">
        <v>11</v>
      </c>
      <c r="C55" s="7" t="s">
        <v>85</v>
      </c>
      <c r="D55" s="8" t="s">
        <v>13</v>
      </c>
      <c r="E55" s="8" t="s">
        <v>106</v>
      </c>
      <c r="F55" s="8" t="s">
        <v>100</v>
      </c>
      <c r="G55" s="5" t="s">
        <v>47</v>
      </c>
      <c r="H55" s="9" t="s">
        <v>115</v>
      </c>
    </row>
    <row r="56" customFormat="false" ht="126.85" hidden="false" customHeight="false" outlineLevel="0" collapsed="false">
      <c r="A56" s="5" t="n">
        <v>51</v>
      </c>
      <c r="B56" s="6" t="s">
        <v>11</v>
      </c>
      <c r="C56" s="7" t="s">
        <v>85</v>
      </c>
      <c r="D56" s="8" t="s">
        <v>13</v>
      </c>
      <c r="E56" s="8" t="s">
        <v>106</v>
      </c>
      <c r="F56" s="8" t="s">
        <v>102</v>
      </c>
      <c r="G56" s="5" t="s">
        <v>16</v>
      </c>
      <c r="H56" s="9" t="s">
        <v>116</v>
      </c>
    </row>
    <row r="57" customFormat="false" ht="117.9" hidden="false" customHeight="false" outlineLevel="0" collapsed="false">
      <c r="A57" s="5" t="n">
        <v>52</v>
      </c>
      <c r="B57" s="6" t="s">
        <v>11</v>
      </c>
      <c r="C57" s="7" t="s">
        <v>85</v>
      </c>
      <c r="D57" s="8" t="s">
        <v>13</v>
      </c>
      <c r="E57" s="8" t="s">
        <v>106</v>
      </c>
      <c r="F57" s="8" t="s">
        <v>104</v>
      </c>
      <c r="G57" s="5" t="s">
        <v>16</v>
      </c>
      <c r="H57" s="9" t="s">
        <v>117</v>
      </c>
    </row>
    <row r="58" customFormat="false" ht="126.85" hidden="false" customHeight="false" outlineLevel="0" collapsed="false">
      <c r="A58" s="5" t="n">
        <v>53</v>
      </c>
      <c r="B58" s="6" t="s">
        <v>11</v>
      </c>
      <c r="C58" s="7" t="s">
        <v>85</v>
      </c>
      <c r="D58" s="8" t="s">
        <v>13</v>
      </c>
      <c r="E58" s="8" t="s">
        <v>118</v>
      </c>
      <c r="F58" s="8" t="s">
        <v>87</v>
      </c>
      <c r="G58" s="5" t="s">
        <v>19</v>
      </c>
      <c r="H58" s="9" t="s">
        <v>119</v>
      </c>
    </row>
    <row r="59" customFormat="false" ht="126.85" hidden="false" customHeight="false" outlineLevel="0" collapsed="false">
      <c r="A59" s="5" t="n">
        <v>54</v>
      </c>
      <c r="B59" s="6" t="s">
        <v>11</v>
      </c>
      <c r="C59" s="7" t="s">
        <v>85</v>
      </c>
      <c r="D59" s="8" t="s">
        <v>13</v>
      </c>
      <c r="E59" s="8" t="s">
        <v>118</v>
      </c>
      <c r="F59" s="8" t="s">
        <v>93</v>
      </c>
      <c r="G59" s="5" t="s">
        <v>19</v>
      </c>
      <c r="H59" s="9" t="s">
        <v>120</v>
      </c>
    </row>
    <row r="60" customFormat="false" ht="117.9" hidden="false" customHeight="false" outlineLevel="0" collapsed="false">
      <c r="A60" s="5" t="n">
        <v>55</v>
      </c>
      <c r="B60" s="6" t="s">
        <v>11</v>
      </c>
      <c r="C60" s="7" t="s">
        <v>85</v>
      </c>
      <c r="D60" s="8" t="s">
        <v>13</v>
      </c>
      <c r="E60" s="8" t="s">
        <v>118</v>
      </c>
      <c r="F60" s="8" t="s">
        <v>53</v>
      </c>
      <c r="G60" s="5" t="s">
        <v>19</v>
      </c>
      <c r="H60" s="9" t="s">
        <v>121</v>
      </c>
    </row>
    <row r="61" customFormat="false" ht="126.85" hidden="false" customHeight="false" outlineLevel="0" collapsed="false">
      <c r="A61" s="5" t="n">
        <v>56</v>
      </c>
      <c r="B61" s="6" t="s">
        <v>11</v>
      </c>
      <c r="C61" s="7" t="s">
        <v>85</v>
      </c>
      <c r="D61" s="8" t="s">
        <v>13</v>
      </c>
      <c r="E61" s="8" t="s">
        <v>118</v>
      </c>
      <c r="F61" s="8" t="s">
        <v>96</v>
      </c>
      <c r="G61" s="5" t="s">
        <v>16</v>
      </c>
      <c r="H61" s="9" t="s">
        <v>122</v>
      </c>
    </row>
    <row r="62" customFormat="false" ht="117.9" hidden="false" customHeight="false" outlineLevel="0" collapsed="false">
      <c r="A62" s="5" t="n">
        <v>57</v>
      </c>
      <c r="B62" s="6" t="s">
        <v>11</v>
      </c>
      <c r="C62" s="7" t="s">
        <v>85</v>
      </c>
      <c r="D62" s="8" t="s">
        <v>13</v>
      </c>
      <c r="E62" s="8" t="s">
        <v>118</v>
      </c>
      <c r="F62" s="8" t="s">
        <v>55</v>
      </c>
      <c r="G62" s="5" t="s">
        <v>41</v>
      </c>
      <c r="H62" s="9" t="s">
        <v>123</v>
      </c>
    </row>
    <row r="63" customFormat="false" ht="126.85" hidden="false" customHeight="false" outlineLevel="0" collapsed="false">
      <c r="A63" s="5" t="n">
        <v>58</v>
      </c>
      <c r="B63" s="6" t="s">
        <v>11</v>
      </c>
      <c r="C63" s="7" t="s">
        <v>85</v>
      </c>
      <c r="D63" s="8" t="s">
        <v>13</v>
      </c>
      <c r="E63" s="8" t="s">
        <v>118</v>
      </c>
      <c r="F63" s="8" t="s">
        <v>57</v>
      </c>
      <c r="G63" s="5" t="s">
        <v>41</v>
      </c>
      <c r="H63" s="9" t="s">
        <v>124</v>
      </c>
    </row>
    <row r="64" customFormat="false" ht="135.8" hidden="false" customHeight="false" outlineLevel="0" collapsed="false">
      <c r="A64" s="5" t="n">
        <v>59</v>
      </c>
      <c r="B64" s="6" t="s">
        <v>11</v>
      </c>
      <c r="C64" s="7" t="s">
        <v>85</v>
      </c>
      <c r="D64" s="8" t="s">
        <v>13</v>
      </c>
      <c r="E64" s="8" t="s">
        <v>118</v>
      </c>
      <c r="F64" s="8" t="s">
        <v>102</v>
      </c>
      <c r="G64" s="5" t="s">
        <v>16</v>
      </c>
      <c r="H64" s="9" t="s">
        <v>125</v>
      </c>
    </row>
    <row r="65" customFormat="false" ht="135.8" hidden="false" customHeight="false" outlineLevel="0" collapsed="false">
      <c r="A65" s="5" t="n">
        <v>60</v>
      </c>
      <c r="B65" s="6" t="s">
        <v>11</v>
      </c>
      <c r="C65" s="7" t="s">
        <v>85</v>
      </c>
      <c r="D65" s="8" t="s">
        <v>13</v>
      </c>
      <c r="E65" s="8" t="s">
        <v>126</v>
      </c>
      <c r="F65" s="8" t="s">
        <v>89</v>
      </c>
      <c r="G65" s="5" t="s">
        <v>16</v>
      </c>
      <c r="H65" s="9" t="s">
        <v>127</v>
      </c>
    </row>
    <row r="66" customFormat="false" ht="126.85" hidden="false" customHeight="false" outlineLevel="0" collapsed="false">
      <c r="A66" s="5" t="n">
        <v>61</v>
      </c>
      <c r="B66" s="6" t="s">
        <v>11</v>
      </c>
      <c r="C66" s="7" t="s">
        <v>85</v>
      </c>
      <c r="D66" s="8" t="s">
        <v>13</v>
      </c>
      <c r="E66" s="8" t="s">
        <v>126</v>
      </c>
      <c r="F66" s="8" t="s">
        <v>91</v>
      </c>
      <c r="G66" s="5" t="s">
        <v>19</v>
      </c>
      <c r="H66" s="9" t="s">
        <v>128</v>
      </c>
    </row>
    <row r="67" customFormat="false" ht="117.9" hidden="false" customHeight="false" outlineLevel="0" collapsed="false">
      <c r="A67" s="5" t="n">
        <v>62</v>
      </c>
      <c r="B67" s="6" t="s">
        <v>11</v>
      </c>
      <c r="C67" s="7" t="s">
        <v>85</v>
      </c>
      <c r="D67" s="8" t="s">
        <v>13</v>
      </c>
      <c r="E67" s="8" t="s">
        <v>126</v>
      </c>
      <c r="F67" s="8" t="s">
        <v>104</v>
      </c>
      <c r="G67" s="5" t="s">
        <v>16</v>
      </c>
      <c r="H67" s="9" t="s">
        <v>129</v>
      </c>
    </row>
    <row r="68" customFormat="false" ht="126.85" hidden="false" customHeight="false" outlineLevel="0" collapsed="false">
      <c r="A68" s="5" t="n">
        <v>63</v>
      </c>
      <c r="B68" s="6" t="s">
        <v>11</v>
      </c>
      <c r="C68" s="7" t="s">
        <v>85</v>
      </c>
      <c r="D68" s="8" t="s">
        <v>13</v>
      </c>
      <c r="E68" s="8" t="s">
        <v>126</v>
      </c>
      <c r="F68" s="8" t="s">
        <v>130</v>
      </c>
      <c r="G68" s="5" t="s">
        <v>16</v>
      </c>
      <c r="H68" s="9" t="s">
        <v>131</v>
      </c>
    </row>
    <row r="69" customFormat="false" ht="117.9" hidden="false" customHeight="false" outlineLevel="0" collapsed="false">
      <c r="A69" s="5" t="n">
        <v>64</v>
      </c>
      <c r="B69" s="6" t="s">
        <v>11</v>
      </c>
      <c r="C69" s="7" t="s">
        <v>85</v>
      </c>
      <c r="D69" s="8" t="s">
        <v>13</v>
      </c>
      <c r="E69" s="8" t="s">
        <v>126</v>
      </c>
      <c r="F69" s="8" t="s">
        <v>93</v>
      </c>
      <c r="G69" s="5" t="s">
        <v>19</v>
      </c>
      <c r="H69" s="9" t="s">
        <v>132</v>
      </c>
    </row>
    <row r="70" customFormat="false" ht="108.95" hidden="false" customHeight="false" outlineLevel="0" collapsed="false">
      <c r="A70" s="5" t="n">
        <v>65</v>
      </c>
      <c r="B70" s="6" t="s">
        <v>11</v>
      </c>
      <c r="C70" s="7" t="s">
        <v>85</v>
      </c>
      <c r="D70" s="8" t="s">
        <v>13</v>
      </c>
      <c r="E70" s="8" t="s">
        <v>126</v>
      </c>
      <c r="F70" s="8" t="s">
        <v>53</v>
      </c>
      <c r="G70" s="5" t="s">
        <v>19</v>
      </c>
      <c r="H70" s="9" t="s">
        <v>133</v>
      </c>
    </row>
    <row r="71" customFormat="false" ht="117.9" hidden="false" customHeight="false" outlineLevel="0" collapsed="false">
      <c r="A71" s="5" t="n">
        <v>66</v>
      </c>
      <c r="B71" s="6" t="s">
        <v>11</v>
      </c>
      <c r="C71" s="7" t="s">
        <v>85</v>
      </c>
      <c r="D71" s="8" t="s">
        <v>13</v>
      </c>
      <c r="E71" s="8" t="s">
        <v>126</v>
      </c>
      <c r="F71" s="8" t="s">
        <v>96</v>
      </c>
      <c r="G71" s="5" t="s">
        <v>16</v>
      </c>
      <c r="H71" s="9" t="s">
        <v>134</v>
      </c>
    </row>
    <row r="72" customFormat="false" ht="108.95" hidden="false" customHeight="false" outlineLevel="0" collapsed="false">
      <c r="A72" s="5" t="n">
        <v>67</v>
      </c>
      <c r="B72" s="6" t="s">
        <v>11</v>
      </c>
      <c r="C72" s="7" t="s">
        <v>85</v>
      </c>
      <c r="D72" s="8" t="s">
        <v>13</v>
      </c>
      <c r="E72" s="8" t="s">
        <v>126</v>
      </c>
      <c r="F72" s="8" t="s">
        <v>55</v>
      </c>
      <c r="G72" s="5" t="s">
        <v>41</v>
      </c>
      <c r="H72" s="9" t="s">
        <v>135</v>
      </c>
    </row>
    <row r="73" customFormat="false" ht="117.9" hidden="false" customHeight="false" outlineLevel="0" collapsed="false">
      <c r="A73" s="5" t="n">
        <v>68</v>
      </c>
      <c r="B73" s="6" t="s">
        <v>11</v>
      </c>
      <c r="C73" s="7" t="s">
        <v>85</v>
      </c>
      <c r="D73" s="8" t="s">
        <v>13</v>
      </c>
      <c r="E73" s="8" t="s">
        <v>126</v>
      </c>
      <c r="F73" s="8" t="s">
        <v>57</v>
      </c>
      <c r="G73" s="5" t="s">
        <v>41</v>
      </c>
      <c r="H73" s="9" t="s">
        <v>136</v>
      </c>
    </row>
    <row r="74" customFormat="false" ht="126.85" hidden="false" customHeight="false" outlineLevel="0" collapsed="false">
      <c r="A74" s="5" t="n">
        <v>69</v>
      </c>
      <c r="B74" s="6" t="s">
        <v>11</v>
      </c>
      <c r="C74" s="7" t="s">
        <v>85</v>
      </c>
      <c r="D74" s="8" t="s">
        <v>13</v>
      </c>
      <c r="E74" s="8" t="s">
        <v>126</v>
      </c>
      <c r="F74" s="8" t="s">
        <v>102</v>
      </c>
      <c r="G74" s="5" t="s">
        <v>16</v>
      </c>
      <c r="H74" s="9" t="s">
        <v>137</v>
      </c>
    </row>
    <row r="75" customFormat="false" ht="91" hidden="false" customHeight="false" outlineLevel="0" collapsed="false">
      <c r="A75" s="5" t="n">
        <v>70</v>
      </c>
      <c r="B75" s="6" t="s">
        <v>11</v>
      </c>
      <c r="C75" s="7" t="s">
        <v>85</v>
      </c>
      <c r="D75" s="8" t="s">
        <v>13</v>
      </c>
      <c r="E75" s="8" t="s">
        <v>138</v>
      </c>
      <c r="F75" s="8" t="s">
        <v>87</v>
      </c>
      <c r="G75" s="5" t="s">
        <v>19</v>
      </c>
      <c r="H75" s="9" t="s">
        <v>139</v>
      </c>
    </row>
    <row r="76" customFormat="false" ht="108.95" hidden="false" customHeight="false" outlineLevel="0" collapsed="false">
      <c r="A76" s="5" t="n">
        <v>71</v>
      </c>
      <c r="B76" s="6" t="s">
        <v>11</v>
      </c>
      <c r="C76" s="7" t="s">
        <v>85</v>
      </c>
      <c r="D76" s="8" t="s">
        <v>13</v>
      </c>
      <c r="E76" s="8" t="s">
        <v>138</v>
      </c>
      <c r="F76" s="8" t="s">
        <v>89</v>
      </c>
      <c r="G76" s="5" t="s">
        <v>16</v>
      </c>
      <c r="H76" s="9" t="s">
        <v>140</v>
      </c>
    </row>
    <row r="77" customFormat="false" ht="99.95" hidden="false" customHeight="false" outlineLevel="0" collapsed="false">
      <c r="A77" s="5" t="n">
        <v>72</v>
      </c>
      <c r="B77" s="6" t="s">
        <v>11</v>
      </c>
      <c r="C77" s="7" t="s">
        <v>85</v>
      </c>
      <c r="D77" s="8" t="s">
        <v>13</v>
      </c>
      <c r="E77" s="8" t="s">
        <v>138</v>
      </c>
      <c r="F77" s="8" t="s">
        <v>91</v>
      </c>
      <c r="G77" s="5" t="s">
        <v>19</v>
      </c>
      <c r="H77" s="9" t="s">
        <v>141</v>
      </c>
    </row>
    <row r="78" customFormat="false" ht="91" hidden="false" customHeight="false" outlineLevel="0" collapsed="false">
      <c r="A78" s="5" t="n">
        <v>73</v>
      </c>
      <c r="B78" s="6" t="s">
        <v>11</v>
      </c>
      <c r="C78" s="7" t="s">
        <v>85</v>
      </c>
      <c r="D78" s="8" t="s">
        <v>13</v>
      </c>
      <c r="E78" s="8" t="s">
        <v>138</v>
      </c>
      <c r="F78" s="8" t="s">
        <v>93</v>
      </c>
      <c r="G78" s="5" t="s">
        <v>19</v>
      </c>
      <c r="H78" s="9" t="s">
        <v>142</v>
      </c>
    </row>
    <row r="79" customFormat="false" ht="82.05" hidden="false" customHeight="false" outlineLevel="0" collapsed="false">
      <c r="A79" s="5" t="n">
        <v>74</v>
      </c>
      <c r="B79" s="6" t="s">
        <v>11</v>
      </c>
      <c r="C79" s="7" t="s">
        <v>85</v>
      </c>
      <c r="D79" s="8" t="s">
        <v>13</v>
      </c>
      <c r="E79" s="8" t="s">
        <v>138</v>
      </c>
      <c r="F79" s="8" t="s">
        <v>53</v>
      </c>
      <c r="G79" s="5" t="s">
        <v>19</v>
      </c>
      <c r="H79" s="9" t="s">
        <v>143</v>
      </c>
    </row>
    <row r="80" customFormat="false" ht="91" hidden="false" customHeight="false" outlineLevel="0" collapsed="false">
      <c r="A80" s="5" t="n">
        <v>75</v>
      </c>
      <c r="B80" s="6" t="s">
        <v>11</v>
      </c>
      <c r="C80" s="7" t="s">
        <v>85</v>
      </c>
      <c r="D80" s="8" t="s">
        <v>13</v>
      </c>
      <c r="E80" s="8" t="s">
        <v>138</v>
      </c>
      <c r="F80" s="8" t="s">
        <v>96</v>
      </c>
      <c r="G80" s="5" t="s">
        <v>16</v>
      </c>
      <c r="H80" s="9" t="s">
        <v>144</v>
      </c>
    </row>
    <row r="81" customFormat="false" ht="82.05" hidden="false" customHeight="false" outlineLevel="0" collapsed="false">
      <c r="A81" s="5" t="n">
        <v>76</v>
      </c>
      <c r="B81" s="6" t="s">
        <v>11</v>
      </c>
      <c r="C81" s="7" t="s">
        <v>85</v>
      </c>
      <c r="D81" s="8" t="s">
        <v>13</v>
      </c>
      <c r="E81" s="8" t="s">
        <v>138</v>
      </c>
      <c r="F81" s="8" t="s">
        <v>55</v>
      </c>
      <c r="G81" s="5" t="s">
        <v>41</v>
      </c>
      <c r="H81" s="9" t="s">
        <v>145</v>
      </c>
    </row>
    <row r="82" customFormat="false" ht="91" hidden="false" customHeight="false" outlineLevel="0" collapsed="false">
      <c r="A82" s="5" t="n">
        <v>77</v>
      </c>
      <c r="B82" s="6" t="s">
        <v>11</v>
      </c>
      <c r="C82" s="7" t="s">
        <v>85</v>
      </c>
      <c r="D82" s="8" t="s">
        <v>13</v>
      </c>
      <c r="E82" s="8" t="s">
        <v>138</v>
      </c>
      <c r="F82" s="8" t="s">
        <v>57</v>
      </c>
      <c r="G82" s="5" t="s">
        <v>41</v>
      </c>
      <c r="H82" s="9" t="s">
        <v>146</v>
      </c>
    </row>
    <row r="83" customFormat="false" ht="91" hidden="false" customHeight="false" outlineLevel="0" collapsed="false">
      <c r="A83" s="5" t="n">
        <v>78</v>
      </c>
      <c r="B83" s="6" t="s">
        <v>11</v>
      </c>
      <c r="C83" s="7" t="s">
        <v>85</v>
      </c>
      <c r="D83" s="8" t="s">
        <v>13</v>
      </c>
      <c r="E83" s="8" t="s">
        <v>138</v>
      </c>
      <c r="F83" s="8" t="s">
        <v>100</v>
      </c>
      <c r="G83" s="5" t="s">
        <v>47</v>
      </c>
      <c r="H83" s="9" t="s">
        <v>147</v>
      </c>
    </row>
    <row r="84" customFormat="false" ht="99.95" hidden="false" customHeight="false" outlineLevel="0" collapsed="false">
      <c r="A84" s="5" t="n">
        <v>79</v>
      </c>
      <c r="B84" s="6" t="s">
        <v>11</v>
      </c>
      <c r="C84" s="7" t="s">
        <v>85</v>
      </c>
      <c r="D84" s="8" t="s">
        <v>13</v>
      </c>
      <c r="E84" s="8" t="s">
        <v>138</v>
      </c>
      <c r="F84" s="8" t="s">
        <v>102</v>
      </c>
      <c r="G84" s="5" t="s">
        <v>16</v>
      </c>
      <c r="H84" s="9" t="s">
        <v>148</v>
      </c>
    </row>
    <row r="85" customFormat="false" ht="91" hidden="false" customHeight="false" outlineLevel="0" collapsed="false">
      <c r="A85" s="5" t="n">
        <v>80</v>
      </c>
      <c r="B85" s="6" t="s">
        <v>11</v>
      </c>
      <c r="C85" s="7" t="s">
        <v>85</v>
      </c>
      <c r="D85" s="8" t="s">
        <v>13</v>
      </c>
      <c r="E85" s="8" t="s">
        <v>138</v>
      </c>
      <c r="F85" s="8" t="s">
        <v>104</v>
      </c>
      <c r="G85" s="5" t="s">
        <v>16</v>
      </c>
      <c r="H85" s="9" t="s">
        <v>149</v>
      </c>
    </row>
    <row r="86" customFormat="false" ht="117.9" hidden="false" customHeight="false" outlineLevel="0" collapsed="false">
      <c r="A86" s="5" t="n">
        <v>81</v>
      </c>
      <c r="B86" s="6" t="s">
        <v>11</v>
      </c>
      <c r="C86" s="7" t="s">
        <v>85</v>
      </c>
      <c r="D86" s="8" t="s">
        <v>13</v>
      </c>
      <c r="E86" s="8" t="s">
        <v>150</v>
      </c>
      <c r="F86" s="8" t="s">
        <v>87</v>
      </c>
      <c r="G86" s="5" t="s">
        <v>19</v>
      </c>
      <c r="H86" s="9" t="s">
        <v>151</v>
      </c>
    </row>
    <row r="87" customFormat="false" ht="135.8" hidden="false" customHeight="false" outlineLevel="0" collapsed="false">
      <c r="A87" s="5" t="n">
        <v>82</v>
      </c>
      <c r="B87" s="6" t="s">
        <v>11</v>
      </c>
      <c r="C87" s="7" t="s">
        <v>85</v>
      </c>
      <c r="D87" s="8" t="s">
        <v>13</v>
      </c>
      <c r="E87" s="8" t="s">
        <v>150</v>
      </c>
      <c r="F87" s="8" t="s">
        <v>89</v>
      </c>
      <c r="G87" s="5" t="s">
        <v>16</v>
      </c>
      <c r="H87" s="9" t="s">
        <v>152</v>
      </c>
    </row>
    <row r="88" customFormat="false" ht="126.85" hidden="false" customHeight="false" outlineLevel="0" collapsed="false">
      <c r="A88" s="5" t="n">
        <v>83</v>
      </c>
      <c r="B88" s="6" t="s">
        <v>11</v>
      </c>
      <c r="C88" s="7" t="s">
        <v>85</v>
      </c>
      <c r="D88" s="8" t="s">
        <v>13</v>
      </c>
      <c r="E88" s="8" t="s">
        <v>150</v>
      </c>
      <c r="F88" s="8" t="s">
        <v>91</v>
      </c>
      <c r="G88" s="5" t="s">
        <v>19</v>
      </c>
      <c r="H88" s="9" t="s">
        <v>153</v>
      </c>
    </row>
    <row r="89" customFormat="false" ht="117.9" hidden="false" customHeight="false" outlineLevel="0" collapsed="false">
      <c r="A89" s="5" t="n">
        <v>84</v>
      </c>
      <c r="B89" s="6" t="s">
        <v>11</v>
      </c>
      <c r="C89" s="7" t="s">
        <v>85</v>
      </c>
      <c r="D89" s="8" t="s">
        <v>13</v>
      </c>
      <c r="E89" s="8" t="s">
        <v>150</v>
      </c>
      <c r="F89" s="8" t="s">
        <v>93</v>
      </c>
      <c r="G89" s="5" t="s">
        <v>19</v>
      </c>
      <c r="H89" s="9" t="s">
        <v>154</v>
      </c>
    </row>
    <row r="90" customFormat="false" ht="108.95" hidden="false" customHeight="false" outlineLevel="0" collapsed="false">
      <c r="A90" s="5" t="n">
        <v>85</v>
      </c>
      <c r="B90" s="6" t="s">
        <v>11</v>
      </c>
      <c r="C90" s="7" t="s">
        <v>85</v>
      </c>
      <c r="D90" s="8" t="s">
        <v>13</v>
      </c>
      <c r="E90" s="8" t="s">
        <v>150</v>
      </c>
      <c r="F90" s="8" t="s">
        <v>53</v>
      </c>
      <c r="G90" s="5" t="s">
        <v>19</v>
      </c>
      <c r="H90" s="9" t="s">
        <v>155</v>
      </c>
    </row>
    <row r="91" customFormat="false" ht="117.9" hidden="false" customHeight="false" outlineLevel="0" collapsed="false">
      <c r="A91" s="5" t="n">
        <v>86</v>
      </c>
      <c r="B91" s="6" t="s">
        <v>11</v>
      </c>
      <c r="C91" s="7" t="s">
        <v>85</v>
      </c>
      <c r="D91" s="8" t="s">
        <v>13</v>
      </c>
      <c r="E91" s="8" t="s">
        <v>150</v>
      </c>
      <c r="F91" s="8" t="s">
        <v>96</v>
      </c>
      <c r="G91" s="5" t="s">
        <v>16</v>
      </c>
      <c r="H91" s="9" t="s">
        <v>156</v>
      </c>
    </row>
    <row r="92" customFormat="false" ht="108.95" hidden="false" customHeight="false" outlineLevel="0" collapsed="false">
      <c r="A92" s="5" t="n">
        <v>87</v>
      </c>
      <c r="B92" s="6" t="s">
        <v>11</v>
      </c>
      <c r="C92" s="7" t="s">
        <v>85</v>
      </c>
      <c r="D92" s="8" t="s">
        <v>13</v>
      </c>
      <c r="E92" s="8" t="s">
        <v>150</v>
      </c>
      <c r="F92" s="8" t="s">
        <v>55</v>
      </c>
      <c r="G92" s="5" t="s">
        <v>41</v>
      </c>
      <c r="H92" s="9" t="s">
        <v>157</v>
      </c>
    </row>
    <row r="93" customFormat="false" ht="117.9" hidden="false" customHeight="false" outlineLevel="0" collapsed="false">
      <c r="A93" s="5" t="n">
        <v>88</v>
      </c>
      <c r="B93" s="6" t="s">
        <v>11</v>
      </c>
      <c r="C93" s="7" t="s">
        <v>85</v>
      </c>
      <c r="D93" s="8" t="s">
        <v>13</v>
      </c>
      <c r="E93" s="8" t="s">
        <v>150</v>
      </c>
      <c r="F93" s="8" t="s">
        <v>57</v>
      </c>
      <c r="G93" s="5" t="s">
        <v>41</v>
      </c>
      <c r="H93" s="9" t="s">
        <v>158</v>
      </c>
    </row>
    <row r="94" customFormat="false" ht="117.9" hidden="false" customHeight="false" outlineLevel="0" collapsed="false">
      <c r="A94" s="5" t="n">
        <v>89</v>
      </c>
      <c r="B94" s="6" t="s">
        <v>11</v>
      </c>
      <c r="C94" s="7" t="s">
        <v>85</v>
      </c>
      <c r="D94" s="8" t="s">
        <v>13</v>
      </c>
      <c r="E94" s="8" t="s">
        <v>150</v>
      </c>
      <c r="F94" s="8" t="s">
        <v>100</v>
      </c>
      <c r="G94" s="5" t="s">
        <v>47</v>
      </c>
      <c r="H94" s="9" t="s">
        <v>159</v>
      </c>
    </row>
    <row r="95" customFormat="false" ht="126.85" hidden="false" customHeight="false" outlineLevel="0" collapsed="false">
      <c r="A95" s="5" t="n">
        <v>90</v>
      </c>
      <c r="B95" s="6" t="s">
        <v>11</v>
      </c>
      <c r="C95" s="7" t="s">
        <v>85</v>
      </c>
      <c r="D95" s="8" t="s">
        <v>13</v>
      </c>
      <c r="E95" s="8" t="s">
        <v>150</v>
      </c>
      <c r="F95" s="8" t="s">
        <v>102</v>
      </c>
      <c r="G95" s="5" t="s">
        <v>16</v>
      </c>
      <c r="H95" s="9" t="s">
        <v>160</v>
      </c>
    </row>
    <row r="96" customFormat="false" ht="117.9" hidden="false" customHeight="false" outlineLevel="0" collapsed="false">
      <c r="A96" s="5" t="n">
        <v>91</v>
      </c>
      <c r="B96" s="6" t="s">
        <v>11</v>
      </c>
      <c r="C96" s="7" t="s">
        <v>85</v>
      </c>
      <c r="D96" s="8" t="s">
        <v>13</v>
      </c>
      <c r="E96" s="8" t="s">
        <v>150</v>
      </c>
      <c r="F96" s="8" t="s">
        <v>104</v>
      </c>
      <c r="G96" s="5" t="s">
        <v>16</v>
      </c>
      <c r="H96" s="9" t="s">
        <v>161</v>
      </c>
    </row>
    <row r="97" customFormat="false" ht="73.1" hidden="false" customHeight="false" outlineLevel="0" collapsed="false">
      <c r="A97" s="5" t="n">
        <v>92</v>
      </c>
      <c r="B97" s="6" t="s">
        <v>11</v>
      </c>
      <c r="C97" s="7" t="s">
        <v>85</v>
      </c>
      <c r="D97" s="8" t="s">
        <v>13</v>
      </c>
      <c r="E97" s="8" t="s">
        <v>162</v>
      </c>
      <c r="F97" s="8" t="s">
        <v>87</v>
      </c>
      <c r="G97" s="5" t="s">
        <v>19</v>
      </c>
      <c r="H97" s="9" t="s">
        <v>163</v>
      </c>
    </row>
    <row r="98" customFormat="false" ht="73.1" hidden="false" customHeight="false" outlineLevel="0" collapsed="false">
      <c r="A98" s="5" t="n">
        <v>93</v>
      </c>
      <c r="B98" s="6" t="s">
        <v>11</v>
      </c>
      <c r="C98" s="7" t="s">
        <v>85</v>
      </c>
      <c r="D98" s="8" t="s">
        <v>13</v>
      </c>
      <c r="E98" s="8" t="s">
        <v>162</v>
      </c>
      <c r="F98" s="8" t="s">
        <v>93</v>
      </c>
      <c r="G98" s="5" t="s">
        <v>19</v>
      </c>
      <c r="H98" s="9" t="s">
        <v>164</v>
      </c>
    </row>
    <row r="99" customFormat="false" ht="64.15" hidden="false" customHeight="false" outlineLevel="0" collapsed="false">
      <c r="A99" s="5" t="n">
        <v>94</v>
      </c>
      <c r="B99" s="6" t="s">
        <v>11</v>
      </c>
      <c r="C99" s="7" t="s">
        <v>85</v>
      </c>
      <c r="D99" s="8" t="s">
        <v>13</v>
      </c>
      <c r="E99" s="8" t="s">
        <v>162</v>
      </c>
      <c r="F99" s="8" t="s">
        <v>53</v>
      </c>
      <c r="G99" s="5" t="s">
        <v>19</v>
      </c>
      <c r="H99" s="9" t="s">
        <v>165</v>
      </c>
    </row>
    <row r="100" customFormat="false" ht="73.1" hidden="false" customHeight="false" outlineLevel="0" collapsed="false">
      <c r="A100" s="5" t="n">
        <v>95</v>
      </c>
      <c r="B100" s="6" t="s">
        <v>11</v>
      </c>
      <c r="C100" s="7" t="s">
        <v>85</v>
      </c>
      <c r="D100" s="8" t="s">
        <v>13</v>
      </c>
      <c r="E100" s="8" t="s">
        <v>162</v>
      </c>
      <c r="F100" s="8" t="s">
        <v>96</v>
      </c>
      <c r="G100" s="5" t="s">
        <v>16</v>
      </c>
      <c r="H100" s="9" t="s">
        <v>166</v>
      </c>
    </row>
    <row r="101" customFormat="false" ht="64.15" hidden="false" customHeight="false" outlineLevel="0" collapsed="false">
      <c r="A101" s="5" t="n">
        <v>96</v>
      </c>
      <c r="B101" s="6" t="s">
        <v>11</v>
      </c>
      <c r="C101" s="7" t="s">
        <v>85</v>
      </c>
      <c r="D101" s="8" t="s">
        <v>13</v>
      </c>
      <c r="E101" s="8" t="s">
        <v>162</v>
      </c>
      <c r="F101" s="8" t="s">
        <v>55</v>
      </c>
      <c r="G101" s="5" t="s">
        <v>41</v>
      </c>
      <c r="H101" s="9" t="s">
        <v>167</v>
      </c>
    </row>
    <row r="102" customFormat="false" ht="73.1" hidden="false" customHeight="false" outlineLevel="0" collapsed="false">
      <c r="A102" s="5" t="n">
        <v>97</v>
      </c>
      <c r="B102" s="6" t="s">
        <v>11</v>
      </c>
      <c r="C102" s="7" t="s">
        <v>85</v>
      </c>
      <c r="D102" s="8" t="s">
        <v>13</v>
      </c>
      <c r="E102" s="8" t="s">
        <v>162</v>
      </c>
      <c r="F102" s="8" t="s">
        <v>57</v>
      </c>
      <c r="G102" s="5" t="s">
        <v>41</v>
      </c>
      <c r="H102" s="9" t="s">
        <v>168</v>
      </c>
    </row>
    <row r="103" customFormat="false" ht="73.1" hidden="false" customHeight="false" outlineLevel="0" collapsed="false">
      <c r="A103" s="5" t="n">
        <v>98</v>
      </c>
      <c r="B103" s="6" t="s">
        <v>11</v>
      </c>
      <c r="C103" s="7" t="s">
        <v>85</v>
      </c>
      <c r="D103" s="8" t="s">
        <v>13</v>
      </c>
      <c r="E103" s="8" t="s">
        <v>162</v>
      </c>
      <c r="F103" s="8" t="s">
        <v>100</v>
      </c>
      <c r="G103" s="5" t="s">
        <v>47</v>
      </c>
      <c r="H103" s="9" t="s">
        <v>169</v>
      </c>
    </row>
    <row r="104" customFormat="false" ht="82.05" hidden="false" customHeight="false" outlineLevel="0" collapsed="false">
      <c r="A104" s="5" t="n">
        <v>99</v>
      </c>
      <c r="B104" s="6" t="s">
        <v>11</v>
      </c>
      <c r="C104" s="7" t="s">
        <v>85</v>
      </c>
      <c r="D104" s="8" t="s">
        <v>13</v>
      </c>
      <c r="E104" s="8" t="s">
        <v>162</v>
      </c>
      <c r="F104" s="8" t="s">
        <v>102</v>
      </c>
      <c r="G104" s="5" t="s">
        <v>16</v>
      </c>
      <c r="H104" s="9" t="s">
        <v>170</v>
      </c>
    </row>
    <row r="105" customFormat="false" ht="117.9" hidden="false" customHeight="false" outlineLevel="0" collapsed="false">
      <c r="A105" s="5" t="n">
        <v>100</v>
      </c>
      <c r="B105" s="6" t="s">
        <v>11</v>
      </c>
      <c r="C105" s="7" t="s">
        <v>32</v>
      </c>
      <c r="D105" s="8" t="s">
        <v>13</v>
      </c>
      <c r="E105" s="8" t="s">
        <v>171</v>
      </c>
      <c r="F105" s="8" t="s">
        <v>87</v>
      </c>
      <c r="G105" s="5" t="s">
        <v>19</v>
      </c>
      <c r="H105" s="9" t="s">
        <v>172</v>
      </c>
    </row>
    <row r="106" customFormat="false" ht="108.95" hidden="false" customHeight="false" outlineLevel="0" collapsed="false">
      <c r="A106" s="5" t="n">
        <v>101</v>
      </c>
      <c r="B106" s="6" t="s">
        <v>11</v>
      </c>
      <c r="C106" s="7" t="s">
        <v>32</v>
      </c>
      <c r="D106" s="8" t="s">
        <v>13</v>
      </c>
      <c r="E106" s="8" t="s">
        <v>171</v>
      </c>
      <c r="F106" s="8" t="s">
        <v>53</v>
      </c>
      <c r="G106" s="5" t="s">
        <v>19</v>
      </c>
      <c r="H106" s="9" t="s">
        <v>173</v>
      </c>
    </row>
    <row r="107" customFormat="false" ht="117.9" hidden="false" customHeight="false" outlineLevel="0" collapsed="false">
      <c r="A107" s="5" t="n">
        <v>102</v>
      </c>
      <c r="B107" s="6" t="s">
        <v>11</v>
      </c>
      <c r="C107" s="7" t="s">
        <v>32</v>
      </c>
      <c r="D107" s="8" t="s">
        <v>13</v>
      </c>
      <c r="E107" s="8" t="s">
        <v>171</v>
      </c>
      <c r="F107" s="8" t="s">
        <v>96</v>
      </c>
      <c r="G107" s="5" t="s">
        <v>16</v>
      </c>
      <c r="H107" s="9" t="s">
        <v>174</v>
      </c>
    </row>
    <row r="108" customFormat="false" ht="108.95" hidden="false" customHeight="false" outlineLevel="0" collapsed="false">
      <c r="A108" s="5" t="n">
        <v>103</v>
      </c>
      <c r="B108" s="6" t="s">
        <v>11</v>
      </c>
      <c r="C108" s="7" t="s">
        <v>32</v>
      </c>
      <c r="D108" s="8" t="s">
        <v>13</v>
      </c>
      <c r="E108" s="8" t="s">
        <v>171</v>
      </c>
      <c r="F108" s="8" t="s">
        <v>55</v>
      </c>
      <c r="G108" s="5" t="s">
        <v>41</v>
      </c>
      <c r="H108" s="9" t="s">
        <v>175</v>
      </c>
    </row>
    <row r="109" customFormat="false" ht="117.9" hidden="false" customHeight="false" outlineLevel="0" collapsed="false">
      <c r="A109" s="5" t="n">
        <v>104</v>
      </c>
      <c r="B109" s="6" t="s">
        <v>11</v>
      </c>
      <c r="C109" s="7" t="s">
        <v>32</v>
      </c>
      <c r="D109" s="8" t="s">
        <v>13</v>
      </c>
      <c r="E109" s="8" t="s">
        <v>171</v>
      </c>
      <c r="F109" s="8" t="s">
        <v>57</v>
      </c>
      <c r="G109" s="5" t="s">
        <v>41</v>
      </c>
      <c r="H109" s="9" t="s">
        <v>176</v>
      </c>
    </row>
    <row r="110" customFormat="false" ht="117.9" hidden="false" customHeight="false" outlineLevel="0" collapsed="false">
      <c r="A110" s="5" t="n">
        <v>105</v>
      </c>
      <c r="B110" s="6" t="s">
        <v>11</v>
      </c>
      <c r="C110" s="7" t="s">
        <v>32</v>
      </c>
      <c r="D110" s="8" t="s">
        <v>13</v>
      </c>
      <c r="E110" s="8" t="s">
        <v>171</v>
      </c>
      <c r="F110" s="8" t="s">
        <v>100</v>
      </c>
      <c r="G110" s="5" t="s">
        <v>47</v>
      </c>
      <c r="H110" s="9" t="s">
        <v>177</v>
      </c>
    </row>
    <row r="111" customFormat="false" ht="126.85" hidden="false" customHeight="false" outlineLevel="0" collapsed="false">
      <c r="A111" s="5" t="n">
        <v>106</v>
      </c>
      <c r="B111" s="6" t="s">
        <v>11</v>
      </c>
      <c r="C111" s="7" t="s">
        <v>32</v>
      </c>
      <c r="D111" s="8" t="s">
        <v>13</v>
      </c>
      <c r="E111" s="8" t="s">
        <v>171</v>
      </c>
      <c r="F111" s="8" t="s">
        <v>102</v>
      </c>
      <c r="G111" s="5" t="s">
        <v>16</v>
      </c>
      <c r="H111" s="9" t="s">
        <v>178</v>
      </c>
    </row>
    <row r="112" customFormat="false" ht="135.8" hidden="false" customHeight="false" outlineLevel="0" collapsed="false">
      <c r="A112" s="5" t="n">
        <v>107</v>
      </c>
      <c r="B112" s="6" t="s">
        <v>11</v>
      </c>
      <c r="C112" s="7" t="s">
        <v>32</v>
      </c>
      <c r="D112" s="8" t="s">
        <v>13</v>
      </c>
      <c r="E112" s="8" t="s">
        <v>171</v>
      </c>
      <c r="F112" s="8" t="s">
        <v>179</v>
      </c>
      <c r="G112" s="5" t="s">
        <v>16</v>
      </c>
      <c r="H112" s="9" t="s">
        <v>180</v>
      </c>
    </row>
    <row r="113" customFormat="false" ht="126.85" hidden="false" customHeight="false" outlineLevel="0" collapsed="false">
      <c r="A113" s="5" t="n">
        <v>108</v>
      </c>
      <c r="B113" s="6" t="s">
        <v>11</v>
      </c>
      <c r="C113" s="7" t="s">
        <v>32</v>
      </c>
      <c r="D113" s="8" t="s">
        <v>13</v>
      </c>
      <c r="E113" s="8" t="s">
        <v>171</v>
      </c>
      <c r="F113" s="8" t="s">
        <v>181</v>
      </c>
      <c r="G113" s="5" t="s">
        <v>16</v>
      </c>
      <c r="H113" s="9" t="s">
        <v>182</v>
      </c>
    </row>
    <row r="114" customFormat="false" ht="108.95" hidden="false" customHeight="false" outlineLevel="0" collapsed="false">
      <c r="A114" s="5" t="n">
        <v>109</v>
      </c>
      <c r="B114" s="6" t="s">
        <v>11</v>
      </c>
      <c r="C114" s="7" t="s">
        <v>183</v>
      </c>
      <c r="D114" s="8" t="s">
        <v>184</v>
      </c>
      <c r="E114" s="8" t="s">
        <v>185</v>
      </c>
      <c r="F114" s="8" t="s">
        <v>53</v>
      </c>
      <c r="G114" s="5" t="s">
        <v>19</v>
      </c>
      <c r="H114" s="9" t="s">
        <v>186</v>
      </c>
    </row>
    <row r="115" customFormat="false" ht="117.9" hidden="false" customHeight="false" outlineLevel="0" collapsed="false">
      <c r="A115" s="5" t="n">
        <v>110</v>
      </c>
      <c r="B115" s="6" t="s">
        <v>11</v>
      </c>
      <c r="C115" s="7" t="s">
        <v>183</v>
      </c>
      <c r="D115" s="8" t="s">
        <v>184</v>
      </c>
      <c r="E115" s="8" t="s">
        <v>185</v>
      </c>
      <c r="F115" s="8" t="s">
        <v>96</v>
      </c>
      <c r="G115" s="5" t="s">
        <v>16</v>
      </c>
      <c r="H115" s="9" t="s">
        <v>187</v>
      </c>
    </row>
    <row r="116" customFormat="false" ht="108.95" hidden="false" customHeight="false" outlineLevel="0" collapsed="false">
      <c r="A116" s="5" t="n">
        <v>111</v>
      </c>
      <c r="B116" s="6" t="s">
        <v>11</v>
      </c>
      <c r="C116" s="7" t="s">
        <v>183</v>
      </c>
      <c r="D116" s="8" t="s">
        <v>184</v>
      </c>
      <c r="E116" s="8" t="s">
        <v>185</v>
      </c>
      <c r="F116" s="8" t="s">
        <v>55</v>
      </c>
      <c r="G116" s="5" t="s">
        <v>41</v>
      </c>
      <c r="H116" s="9" t="s">
        <v>188</v>
      </c>
    </row>
    <row r="117" customFormat="false" ht="117.9" hidden="false" customHeight="false" outlineLevel="0" collapsed="false">
      <c r="A117" s="5" t="n">
        <v>112</v>
      </c>
      <c r="B117" s="6" t="s">
        <v>11</v>
      </c>
      <c r="C117" s="7" t="s">
        <v>183</v>
      </c>
      <c r="D117" s="8" t="s">
        <v>184</v>
      </c>
      <c r="E117" s="8" t="s">
        <v>185</v>
      </c>
      <c r="F117" s="8" t="s">
        <v>57</v>
      </c>
      <c r="G117" s="5" t="s">
        <v>41</v>
      </c>
      <c r="H117" s="9" t="s">
        <v>189</v>
      </c>
    </row>
    <row r="118" customFormat="false" ht="135.8" hidden="false" customHeight="false" outlineLevel="0" collapsed="false">
      <c r="A118" s="5" t="n">
        <v>113</v>
      </c>
      <c r="B118" s="6" t="s">
        <v>11</v>
      </c>
      <c r="C118" s="7" t="s">
        <v>183</v>
      </c>
      <c r="D118" s="8" t="s">
        <v>184</v>
      </c>
      <c r="E118" s="8" t="s">
        <v>185</v>
      </c>
      <c r="F118" s="8" t="s">
        <v>190</v>
      </c>
      <c r="G118" s="5" t="s">
        <v>41</v>
      </c>
      <c r="H118" s="9" t="s">
        <v>191</v>
      </c>
    </row>
    <row r="119" customFormat="false" ht="108.95" hidden="false" customHeight="false" outlineLevel="0" collapsed="false">
      <c r="A119" s="5" t="n">
        <v>114</v>
      </c>
      <c r="B119" s="6" t="s">
        <v>11</v>
      </c>
      <c r="C119" s="7" t="s">
        <v>183</v>
      </c>
      <c r="D119" s="8" t="s">
        <v>184</v>
      </c>
      <c r="E119" s="8" t="s">
        <v>185</v>
      </c>
      <c r="F119" s="8" t="s">
        <v>192</v>
      </c>
      <c r="G119" s="5" t="s">
        <v>44</v>
      </c>
      <c r="H119" s="9" t="s">
        <v>193</v>
      </c>
    </row>
    <row r="120" customFormat="false" ht="108.95" hidden="false" customHeight="false" outlineLevel="0" collapsed="false">
      <c r="A120" s="5" t="n">
        <v>115</v>
      </c>
      <c r="B120" s="6" t="s">
        <v>11</v>
      </c>
      <c r="C120" s="7" t="s">
        <v>183</v>
      </c>
      <c r="D120" s="8" t="s">
        <v>184</v>
      </c>
      <c r="E120" s="8" t="s">
        <v>194</v>
      </c>
      <c r="F120" s="8" t="s">
        <v>53</v>
      </c>
      <c r="G120" s="5" t="s">
        <v>19</v>
      </c>
      <c r="H120" s="9" t="s">
        <v>195</v>
      </c>
    </row>
    <row r="121" customFormat="false" ht="117.9" hidden="false" customHeight="false" outlineLevel="0" collapsed="false">
      <c r="A121" s="5" t="n">
        <v>116</v>
      </c>
      <c r="B121" s="6" t="s">
        <v>11</v>
      </c>
      <c r="C121" s="7" t="s">
        <v>183</v>
      </c>
      <c r="D121" s="8" t="s">
        <v>184</v>
      </c>
      <c r="E121" s="8" t="s">
        <v>194</v>
      </c>
      <c r="F121" s="8" t="s">
        <v>96</v>
      </c>
      <c r="G121" s="5" t="s">
        <v>16</v>
      </c>
      <c r="H121" s="9" t="s">
        <v>196</v>
      </c>
    </row>
    <row r="122" customFormat="false" ht="108.95" hidden="false" customHeight="false" outlineLevel="0" collapsed="false">
      <c r="A122" s="5" t="n">
        <v>117</v>
      </c>
      <c r="B122" s="6" t="s">
        <v>11</v>
      </c>
      <c r="C122" s="7" t="s">
        <v>183</v>
      </c>
      <c r="D122" s="8" t="s">
        <v>184</v>
      </c>
      <c r="E122" s="8" t="s">
        <v>194</v>
      </c>
      <c r="F122" s="8" t="s">
        <v>55</v>
      </c>
      <c r="G122" s="5" t="s">
        <v>41</v>
      </c>
      <c r="H122" s="9" t="s">
        <v>197</v>
      </c>
    </row>
    <row r="123" customFormat="false" ht="117.9" hidden="false" customHeight="false" outlineLevel="0" collapsed="false">
      <c r="A123" s="5" t="n">
        <v>118</v>
      </c>
      <c r="B123" s="6" t="s">
        <v>11</v>
      </c>
      <c r="C123" s="7" t="s">
        <v>183</v>
      </c>
      <c r="D123" s="8" t="s">
        <v>184</v>
      </c>
      <c r="E123" s="8" t="s">
        <v>194</v>
      </c>
      <c r="F123" s="8" t="s">
        <v>57</v>
      </c>
      <c r="G123" s="5" t="s">
        <v>41</v>
      </c>
      <c r="H123" s="9" t="s">
        <v>198</v>
      </c>
    </row>
    <row r="124" customFormat="false" ht="99.95" hidden="false" customHeight="false" outlineLevel="0" collapsed="false">
      <c r="A124" s="5" t="n">
        <v>119</v>
      </c>
      <c r="B124" s="6" t="s">
        <v>11</v>
      </c>
      <c r="C124" s="7" t="s">
        <v>183</v>
      </c>
      <c r="D124" s="8" t="s">
        <v>184</v>
      </c>
      <c r="E124" s="8" t="s">
        <v>199</v>
      </c>
      <c r="F124" s="8" t="s">
        <v>53</v>
      </c>
      <c r="G124" s="5" t="s">
        <v>19</v>
      </c>
      <c r="H124" s="9" t="s">
        <v>200</v>
      </c>
    </row>
    <row r="125" customFormat="false" ht="108.95" hidden="false" customHeight="false" outlineLevel="0" collapsed="false">
      <c r="A125" s="5" t="n">
        <v>120</v>
      </c>
      <c r="B125" s="6" t="s">
        <v>11</v>
      </c>
      <c r="C125" s="7" t="s">
        <v>183</v>
      </c>
      <c r="D125" s="8" t="s">
        <v>184</v>
      </c>
      <c r="E125" s="8" t="s">
        <v>199</v>
      </c>
      <c r="F125" s="8" t="s">
        <v>96</v>
      </c>
      <c r="G125" s="5" t="s">
        <v>16</v>
      </c>
      <c r="H125" s="9" t="s">
        <v>201</v>
      </c>
    </row>
    <row r="126" customFormat="false" ht="99.95" hidden="false" customHeight="false" outlineLevel="0" collapsed="false">
      <c r="A126" s="5" t="n">
        <v>121</v>
      </c>
      <c r="B126" s="6" t="s">
        <v>11</v>
      </c>
      <c r="C126" s="7" t="s">
        <v>183</v>
      </c>
      <c r="D126" s="8" t="s">
        <v>184</v>
      </c>
      <c r="E126" s="8" t="s">
        <v>199</v>
      </c>
      <c r="F126" s="8" t="s">
        <v>55</v>
      </c>
      <c r="G126" s="5" t="s">
        <v>41</v>
      </c>
      <c r="H126" s="9" t="s">
        <v>202</v>
      </c>
    </row>
    <row r="127" customFormat="false" ht="108.95" hidden="false" customHeight="false" outlineLevel="0" collapsed="false">
      <c r="A127" s="5" t="n">
        <v>122</v>
      </c>
      <c r="B127" s="6" t="s">
        <v>11</v>
      </c>
      <c r="C127" s="7" t="s">
        <v>183</v>
      </c>
      <c r="D127" s="8" t="s">
        <v>184</v>
      </c>
      <c r="E127" s="8" t="s">
        <v>199</v>
      </c>
      <c r="F127" s="8" t="s">
        <v>57</v>
      </c>
      <c r="G127" s="5" t="s">
        <v>41</v>
      </c>
      <c r="H127" s="9" t="s">
        <v>203</v>
      </c>
    </row>
    <row r="128" customFormat="false" ht="135.8" hidden="false" customHeight="false" outlineLevel="0" collapsed="false">
      <c r="A128" s="5" t="n">
        <v>123</v>
      </c>
      <c r="B128" s="6" t="s">
        <v>11</v>
      </c>
      <c r="C128" s="7" t="s">
        <v>183</v>
      </c>
      <c r="D128" s="8" t="s">
        <v>184</v>
      </c>
      <c r="E128" s="8" t="s">
        <v>199</v>
      </c>
      <c r="F128" s="8" t="s">
        <v>204</v>
      </c>
      <c r="G128" s="5" t="s">
        <v>41</v>
      </c>
      <c r="H128" s="9" t="s">
        <v>205</v>
      </c>
    </row>
    <row r="129" customFormat="false" ht="117.9" hidden="false" customHeight="false" outlineLevel="0" collapsed="false">
      <c r="A129" s="5" t="n">
        <v>124</v>
      </c>
      <c r="B129" s="6" t="s">
        <v>11</v>
      </c>
      <c r="C129" s="7" t="s">
        <v>183</v>
      </c>
      <c r="D129" s="8" t="s">
        <v>184</v>
      </c>
      <c r="E129" s="8" t="s">
        <v>199</v>
      </c>
      <c r="F129" s="8" t="s">
        <v>206</v>
      </c>
      <c r="G129" s="5" t="s">
        <v>16</v>
      </c>
      <c r="H129" s="9" t="s">
        <v>207</v>
      </c>
    </row>
    <row r="130" customFormat="false" ht="99.95" hidden="false" customHeight="false" outlineLevel="0" collapsed="false">
      <c r="A130" s="5" t="n">
        <v>125</v>
      </c>
      <c r="B130" s="6" t="s">
        <v>11</v>
      </c>
      <c r="C130" s="7" t="s">
        <v>183</v>
      </c>
      <c r="D130" s="8" t="s">
        <v>184</v>
      </c>
      <c r="E130" s="8" t="s">
        <v>208</v>
      </c>
      <c r="F130" s="8" t="s">
        <v>53</v>
      </c>
      <c r="G130" s="5" t="s">
        <v>19</v>
      </c>
      <c r="H130" s="9" t="s">
        <v>209</v>
      </c>
    </row>
    <row r="131" customFormat="false" ht="108.95" hidden="false" customHeight="false" outlineLevel="0" collapsed="false">
      <c r="A131" s="5" t="n">
        <v>126</v>
      </c>
      <c r="B131" s="6" t="s">
        <v>11</v>
      </c>
      <c r="C131" s="7" t="s">
        <v>183</v>
      </c>
      <c r="D131" s="8" t="s">
        <v>184</v>
      </c>
      <c r="E131" s="8" t="s">
        <v>208</v>
      </c>
      <c r="F131" s="8" t="s">
        <v>96</v>
      </c>
      <c r="G131" s="5" t="s">
        <v>16</v>
      </c>
      <c r="H131" s="9" t="s">
        <v>210</v>
      </c>
    </row>
    <row r="132" customFormat="false" ht="99.95" hidden="false" customHeight="false" outlineLevel="0" collapsed="false">
      <c r="A132" s="5" t="n">
        <v>127</v>
      </c>
      <c r="B132" s="6" t="s">
        <v>11</v>
      </c>
      <c r="C132" s="7" t="s">
        <v>183</v>
      </c>
      <c r="D132" s="8" t="s">
        <v>184</v>
      </c>
      <c r="E132" s="8" t="s">
        <v>208</v>
      </c>
      <c r="F132" s="8" t="s">
        <v>55</v>
      </c>
      <c r="G132" s="5" t="s">
        <v>41</v>
      </c>
      <c r="H132" s="9" t="s">
        <v>211</v>
      </c>
    </row>
    <row r="133" customFormat="false" ht="108.95" hidden="false" customHeight="false" outlineLevel="0" collapsed="false">
      <c r="A133" s="5" t="n">
        <v>128</v>
      </c>
      <c r="B133" s="6" t="s">
        <v>11</v>
      </c>
      <c r="C133" s="7" t="s">
        <v>183</v>
      </c>
      <c r="D133" s="8" t="s">
        <v>184</v>
      </c>
      <c r="E133" s="8" t="s">
        <v>208</v>
      </c>
      <c r="F133" s="8" t="s">
        <v>57</v>
      </c>
      <c r="G133" s="5" t="s">
        <v>41</v>
      </c>
      <c r="H133" s="9" t="s">
        <v>212</v>
      </c>
    </row>
    <row r="134" customFormat="false" ht="108.95" hidden="false" customHeight="false" outlineLevel="0" collapsed="false">
      <c r="A134" s="5" t="n">
        <v>129</v>
      </c>
      <c r="B134" s="6" t="s">
        <v>11</v>
      </c>
      <c r="C134" s="7" t="s">
        <v>183</v>
      </c>
      <c r="D134" s="8" t="s">
        <v>184</v>
      </c>
      <c r="E134" s="8" t="s">
        <v>208</v>
      </c>
      <c r="F134" s="8" t="s">
        <v>100</v>
      </c>
      <c r="G134" s="5" t="s">
        <v>47</v>
      </c>
      <c r="H134" s="9" t="s">
        <v>213</v>
      </c>
    </row>
    <row r="135" customFormat="false" ht="117.9" hidden="false" customHeight="false" outlineLevel="0" collapsed="false">
      <c r="A135" s="5" t="n">
        <v>130</v>
      </c>
      <c r="B135" s="6" t="s">
        <v>11</v>
      </c>
      <c r="C135" s="7" t="s">
        <v>183</v>
      </c>
      <c r="D135" s="8" t="s">
        <v>184</v>
      </c>
      <c r="E135" s="8" t="s">
        <v>214</v>
      </c>
      <c r="F135" s="8" t="s">
        <v>53</v>
      </c>
      <c r="G135" s="5" t="s">
        <v>19</v>
      </c>
      <c r="H135" s="9" t="s">
        <v>215</v>
      </c>
    </row>
    <row r="136" customFormat="false" ht="126.85" hidden="false" customHeight="false" outlineLevel="0" collapsed="false">
      <c r="A136" s="5" t="n">
        <v>131</v>
      </c>
      <c r="B136" s="6" t="s">
        <v>11</v>
      </c>
      <c r="C136" s="7" t="s">
        <v>183</v>
      </c>
      <c r="D136" s="8" t="s">
        <v>184</v>
      </c>
      <c r="E136" s="8" t="s">
        <v>214</v>
      </c>
      <c r="F136" s="8" t="s">
        <v>96</v>
      </c>
      <c r="G136" s="5" t="s">
        <v>16</v>
      </c>
      <c r="H136" s="9" t="s">
        <v>216</v>
      </c>
    </row>
    <row r="137" customFormat="false" ht="117.9" hidden="false" customHeight="false" outlineLevel="0" collapsed="false">
      <c r="A137" s="5" t="n">
        <v>132</v>
      </c>
      <c r="B137" s="6" t="s">
        <v>11</v>
      </c>
      <c r="C137" s="7" t="s">
        <v>183</v>
      </c>
      <c r="D137" s="8" t="s">
        <v>184</v>
      </c>
      <c r="E137" s="8" t="s">
        <v>214</v>
      </c>
      <c r="F137" s="8" t="s">
        <v>55</v>
      </c>
      <c r="G137" s="5" t="s">
        <v>41</v>
      </c>
      <c r="H137" s="9" t="s">
        <v>217</v>
      </c>
    </row>
    <row r="138" customFormat="false" ht="126.85" hidden="false" customHeight="false" outlineLevel="0" collapsed="false">
      <c r="A138" s="5" t="n">
        <v>133</v>
      </c>
      <c r="B138" s="6" t="s">
        <v>11</v>
      </c>
      <c r="C138" s="7" t="s">
        <v>183</v>
      </c>
      <c r="D138" s="8" t="s">
        <v>184</v>
      </c>
      <c r="E138" s="8" t="s">
        <v>214</v>
      </c>
      <c r="F138" s="8" t="s">
        <v>57</v>
      </c>
      <c r="G138" s="5" t="s">
        <v>41</v>
      </c>
      <c r="H138" s="9" t="s">
        <v>218</v>
      </c>
    </row>
    <row r="139" customFormat="false" ht="135.8" hidden="false" customHeight="false" outlineLevel="0" collapsed="false">
      <c r="A139" s="5" t="n">
        <v>134</v>
      </c>
      <c r="B139" s="6" t="s">
        <v>11</v>
      </c>
      <c r="C139" s="7" t="s">
        <v>183</v>
      </c>
      <c r="D139" s="8" t="s">
        <v>184</v>
      </c>
      <c r="E139" s="8" t="s">
        <v>219</v>
      </c>
      <c r="F139" s="8" t="s">
        <v>53</v>
      </c>
      <c r="G139" s="5" t="s">
        <v>19</v>
      </c>
      <c r="H139" s="9" t="s">
        <v>220</v>
      </c>
    </row>
    <row r="140" customFormat="false" ht="144.75" hidden="false" customHeight="false" outlineLevel="0" collapsed="false">
      <c r="A140" s="5" t="n">
        <v>135</v>
      </c>
      <c r="B140" s="6" t="s">
        <v>11</v>
      </c>
      <c r="C140" s="7" t="s">
        <v>183</v>
      </c>
      <c r="D140" s="8" t="s">
        <v>184</v>
      </c>
      <c r="E140" s="8" t="s">
        <v>219</v>
      </c>
      <c r="F140" s="8" t="s">
        <v>96</v>
      </c>
      <c r="G140" s="5" t="s">
        <v>16</v>
      </c>
      <c r="H140" s="9" t="s">
        <v>221</v>
      </c>
    </row>
    <row r="141" customFormat="false" ht="135.8" hidden="false" customHeight="false" outlineLevel="0" collapsed="false">
      <c r="A141" s="5" t="n">
        <v>136</v>
      </c>
      <c r="B141" s="6" t="s">
        <v>11</v>
      </c>
      <c r="C141" s="7" t="s">
        <v>183</v>
      </c>
      <c r="D141" s="8" t="s">
        <v>184</v>
      </c>
      <c r="E141" s="8" t="s">
        <v>219</v>
      </c>
      <c r="F141" s="8" t="s">
        <v>55</v>
      </c>
      <c r="G141" s="5" t="s">
        <v>41</v>
      </c>
      <c r="H141" s="9" t="s">
        <v>222</v>
      </c>
    </row>
    <row r="142" customFormat="false" ht="144.75" hidden="false" customHeight="false" outlineLevel="0" collapsed="false">
      <c r="A142" s="5" t="n">
        <v>137</v>
      </c>
      <c r="B142" s="6" t="s">
        <v>11</v>
      </c>
      <c r="C142" s="7" t="s">
        <v>183</v>
      </c>
      <c r="D142" s="8" t="s">
        <v>184</v>
      </c>
      <c r="E142" s="8" t="s">
        <v>219</v>
      </c>
      <c r="F142" s="8" t="s">
        <v>57</v>
      </c>
      <c r="G142" s="5" t="s">
        <v>41</v>
      </c>
      <c r="H142" s="9" t="s">
        <v>223</v>
      </c>
    </row>
    <row r="143" customFormat="false" ht="117.9" hidden="false" customHeight="false" outlineLevel="0" collapsed="false">
      <c r="A143" s="5" t="n">
        <v>138</v>
      </c>
      <c r="B143" s="6" t="s">
        <v>11</v>
      </c>
      <c r="C143" s="7" t="s">
        <v>183</v>
      </c>
      <c r="D143" s="8" t="s">
        <v>184</v>
      </c>
      <c r="E143" s="8" t="s">
        <v>224</v>
      </c>
      <c r="F143" s="8" t="s">
        <v>53</v>
      </c>
      <c r="G143" s="5" t="s">
        <v>19</v>
      </c>
      <c r="H143" s="9" t="s">
        <v>225</v>
      </c>
    </row>
    <row r="144" customFormat="false" ht="126.85" hidden="false" customHeight="false" outlineLevel="0" collapsed="false">
      <c r="A144" s="5" t="n">
        <v>139</v>
      </c>
      <c r="B144" s="6" t="s">
        <v>11</v>
      </c>
      <c r="C144" s="7" t="s">
        <v>183</v>
      </c>
      <c r="D144" s="8" t="s">
        <v>184</v>
      </c>
      <c r="E144" s="8" t="s">
        <v>224</v>
      </c>
      <c r="F144" s="8" t="s">
        <v>96</v>
      </c>
      <c r="G144" s="5" t="s">
        <v>16</v>
      </c>
      <c r="H144" s="9" t="s">
        <v>226</v>
      </c>
    </row>
    <row r="145" customFormat="false" ht="117.9" hidden="false" customHeight="false" outlineLevel="0" collapsed="false">
      <c r="A145" s="5" t="n">
        <v>140</v>
      </c>
      <c r="B145" s="6" t="s">
        <v>11</v>
      </c>
      <c r="C145" s="7" t="s">
        <v>183</v>
      </c>
      <c r="D145" s="8" t="s">
        <v>184</v>
      </c>
      <c r="E145" s="8" t="s">
        <v>224</v>
      </c>
      <c r="F145" s="8" t="s">
        <v>55</v>
      </c>
      <c r="G145" s="5" t="s">
        <v>41</v>
      </c>
      <c r="H145" s="9" t="s">
        <v>227</v>
      </c>
    </row>
    <row r="146" customFormat="false" ht="126.85" hidden="false" customHeight="false" outlineLevel="0" collapsed="false">
      <c r="A146" s="5" t="n">
        <v>141</v>
      </c>
      <c r="B146" s="6" t="s">
        <v>11</v>
      </c>
      <c r="C146" s="7" t="s">
        <v>183</v>
      </c>
      <c r="D146" s="8" t="s">
        <v>184</v>
      </c>
      <c r="E146" s="8" t="s">
        <v>224</v>
      </c>
      <c r="F146" s="8" t="s">
        <v>57</v>
      </c>
      <c r="G146" s="5" t="s">
        <v>41</v>
      </c>
      <c r="H146" s="9" t="s">
        <v>228</v>
      </c>
    </row>
    <row r="147" customFormat="false" ht="126.85" hidden="false" customHeight="false" outlineLevel="0" collapsed="false">
      <c r="A147" s="5" t="n">
        <v>142</v>
      </c>
      <c r="B147" s="6" t="s">
        <v>11</v>
      </c>
      <c r="C147" s="7" t="s">
        <v>183</v>
      </c>
      <c r="D147" s="8" t="s">
        <v>184</v>
      </c>
      <c r="E147" s="8" t="s">
        <v>224</v>
      </c>
      <c r="F147" s="8" t="s">
        <v>100</v>
      </c>
      <c r="G147" s="5" t="s">
        <v>47</v>
      </c>
      <c r="H147" s="9" t="s">
        <v>229</v>
      </c>
    </row>
    <row r="148" customFormat="false" ht="82.05" hidden="false" customHeight="false" outlineLevel="0" collapsed="false">
      <c r="A148" s="5" t="n">
        <v>143</v>
      </c>
      <c r="B148" s="6" t="s">
        <v>11</v>
      </c>
      <c r="C148" s="7" t="s">
        <v>183</v>
      </c>
      <c r="D148" s="8" t="s">
        <v>184</v>
      </c>
      <c r="E148" s="8" t="s">
        <v>230</v>
      </c>
      <c r="F148" s="8" t="s">
        <v>53</v>
      </c>
      <c r="G148" s="5" t="s">
        <v>19</v>
      </c>
      <c r="H148" s="9" t="s">
        <v>231</v>
      </c>
    </row>
    <row r="149" customFormat="false" ht="91" hidden="false" customHeight="false" outlineLevel="0" collapsed="false">
      <c r="A149" s="5" t="n">
        <v>144</v>
      </c>
      <c r="B149" s="6" t="s">
        <v>11</v>
      </c>
      <c r="C149" s="7" t="s">
        <v>183</v>
      </c>
      <c r="D149" s="8" t="s">
        <v>184</v>
      </c>
      <c r="E149" s="8" t="s">
        <v>230</v>
      </c>
      <c r="F149" s="8" t="s">
        <v>96</v>
      </c>
      <c r="G149" s="5" t="s">
        <v>16</v>
      </c>
      <c r="H149" s="9" t="s">
        <v>232</v>
      </c>
    </row>
    <row r="150" customFormat="false" ht="82.05" hidden="false" customHeight="false" outlineLevel="0" collapsed="false">
      <c r="A150" s="5" t="n">
        <v>145</v>
      </c>
      <c r="B150" s="6" t="s">
        <v>11</v>
      </c>
      <c r="C150" s="7" t="s">
        <v>183</v>
      </c>
      <c r="D150" s="8" t="s">
        <v>184</v>
      </c>
      <c r="E150" s="8" t="s">
        <v>230</v>
      </c>
      <c r="F150" s="8" t="s">
        <v>55</v>
      </c>
      <c r="G150" s="5" t="s">
        <v>41</v>
      </c>
      <c r="H150" s="9" t="s">
        <v>233</v>
      </c>
    </row>
    <row r="151" customFormat="false" ht="91" hidden="false" customHeight="false" outlineLevel="0" collapsed="false">
      <c r="A151" s="5" t="n">
        <v>146</v>
      </c>
      <c r="B151" s="6" t="s">
        <v>11</v>
      </c>
      <c r="C151" s="7" t="s">
        <v>183</v>
      </c>
      <c r="D151" s="8" t="s">
        <v>184</v>
      </c>
      <c r="E151" s="8" t="s">
        <v>230</v>
      </c>
      <c r="F151" s="8" t="s">
        <v>57</v>
      </c>
      <c r="G151" s="5" t="s">
        <v>41</v>
      </c>
      <c r="H151" s="9" t="s">
        <v>234</v>
      </c>
    </row>
    <row r="152" customFormat="false" ht="144.75" hidden="false" customHeight="false" outlineLevel="0" collapsed="false">
      <c r="A152" s="5" t="n">
        <v>147</v>
      </c>
      <c r="B152" s="6" t="s">
        <v>11</v>
      </c>
      <c r="C152" s="7" t="s">
        <v>183</v>
      </c>
      <c r="D152" s="8" t="s">
        <v>184</v>
      </c>
      <c r="E152" s="8" t="s">
        <v>235</v>
      </c>
      <c r="F152" s="8" t="s">
        <v>236</v>
      </c>
      <c r="G152" s="5" t="s">
        <v>41</v>
      </c>
      <c r="H152" s="9" t="s">
        <v>237</v>
      </c>
    </row>
    <row r="153" customFormat="false" ht="99.95" hidden="false" customHeight="false" outlineLevel="0" collapsed="false">
      <c r="A153" s="5" t="n">
        <v>148</v>
      </c>
      <c r="B153" s="6" t="s">
        <v>11</v>
      </c>
      <c r="C153" s="7" t="s">
        <v>183</v>
      </c>
      <c r="D153" s="8" t="s">
        <v>184</v>
      </c>
      <c r="E153" s="8" t="s">
        <v>235</v>
      </c>
      <c r="F153" s="8" t="s">
        <v>238</v>
      </c>
      <c r="G153" s="5" t="s">
        <v>41</v>
      </c>
      <c r="H153" s="9" t="s">
        <v>239</v>
      </c>
    </row>
    <row r="154" customFormat="false" ht="126.85" hidden="false" customHeight="false" outlineLevel="0" collapsed="false">
      <c r="A154" s="5" t="n">
        <v>149</v>
      </c>
      <c r="B154" s="6" t="s">
        <v>11</v>
      </c>
      <c r="C154" s="7" t="s">
        <v>183</v>
      </c>
      <c r="D154" s="8" t="s">
        <v>184</v>
      </c>
      <c r="E154" s="8" t="s">
        <v>235</v>
      </c>
      <c r="F154" s="8" t="s">
        <v>240</v>
      </c>
      <c r="G154" s="5" t="s">
        <v>41</v>
      </c>
      <c r="H154" s="9" t="s">
        <v>241</v>
      </c>
    </row>
    <row r="155" customFormat="false" ht="108.95" hidden="false" customHeight="false" outlineLevel="0" collapsed="false">
      <c r="A155" s="5" t="n">
        <v>150</v>
      </c>
      <c r="B155" s="6" t="s">
        <v>11</v>
      </c>
      <c r="C155" s="7" t="s">
        <v>183</v>
      </c>
      <c r="D155" s="8" t="s">
        <v>184</v>
      </c>
      <c r="E155" s="8" t="s">
        <v>235</v>
      </c>
      <c r="F155" s="8" t="s">
        <v>242</v>
      </c>
      <c r="G155" s="5" t="s">
        <v>41</v>
      </c>
      <c r="H155" s="9" t="s">
        <v>243</v>
      </c>
    </row>
    <row r="156" customFormat="false" ht="99.95" hidden="false" customHeight="false" outlineLevel="0" collapsed="false">
      <c r="A156" s="5" t="n">
        <v>151</v>
      </c>
      <c r="B156" s="6" t="s">
        <v>11</v>
      </c>
      <c r="C156" s="7" t="s">
        <v>183</v>
      </c>
      <c r="D156" s="8" t="s">
        <v>184</v>
      </c>
      <c r="E156" s="8" t="s">
        <v>235</v>
      </c>
      <c r="F156" s="8" t="s">
        <v>244</v>
      </c>
      <c r="G156" s="5" t="s">
        <v>41</v>
      </c>
      <c r="H156" s="9" t="s">
        <v>245</v>
      </c>
    </row>
    <row r="157" customFormat="false" ht="108.95" hidden="false" customHeight="false" outlineLevel="0" collapsed="false">
      <c r="A157" s="5" t="n">
        <v>152</v>
      </c>
      <c r="B157" s="6" t="s">
        <v>11</v>
      </c>
      <c r="C157" s="7" t="s">
        <v>183</v>
      </c>
      <c r="D157" s="8" t="s">
        <v>184</v>
      </c>
      <c r="E157" s="8" t="s">
        <v>235</v>
      </c>
      <c r="F157" s="8" t="s">
        <v>246</v>
      </c>
      <c r="G157" s="5" t="s">
        <v>41</v>
      </c>
      <c r="H157" s="9" t="s">
        <v>247</v>
      </c>
    </row>
    <row r="158" customFormat="false" ht="126.85" hidden="false" customHeight="false" outlineLevel="0" collapsed="false">
      <c r="A158" s="5" t="n">
        <v>153</v>
      </c>
      <c r="B158" s="6" t="s">
        <v>11</v>
      </c>
      <c r="C158" s="7" t="s">
        <v>183</v>
      </c>
      <c r="D158" s="8" t="s">
        <v>184</v>
      </c>
      <c r="E158" s="8" t="s">
        <v>235</v>
      </c>
      <c r="F158" s="8" t="s">
        <v>248</v>
      </c>
      <c r="G158" s="5" t="s">
        <v>41</v>
      </c>
      <c r="H158" s="9" t="s">
        <v>249</v>
      </c>
    </row>
    <row r="159" customFormat="false" ht="117.9" hidden="false" customHeight="false" outlineLevel="0" collapsed="false">
      <c r="A159" s="5" t="n">
        <v>154</v>
      </c>
      <c r="B159" s="6" t="s">
        <v>11</v>
      </c>
      <c r="C159" s="7" t="s">
        <v>183</v>
      </c>
      <c r="D159" s="8" t="s">
        <v>184</v>
      </c>
      <c r="E159" s="8" t="s">
        <v>235</v>
      </c>
      <c r="F159" s="8" t="s">
        <v>250</v>
      </c>
      <c r="G159" s="5" t="s">
        <v>41</v>
      </c>
      <c r="H159" s="9" t="s">
        <v>251</v>
      </c>
    </row>
    <row r="160" customFormat="false" ht="99.95" hidden="false" customHeight="false" outlineLevel="0" collapsed="false">
      <c r="A160" s="5" t="n">
        <v>155</v>
      </c>
      <c r="B160" s="6" t="s">
        <v>11</v>
      </c>
      <c r="C160" s="7" t="s">
        <v>183</v>
      </c>
      <c r="D160" s="8" t="s">
        <v>184</v>
      </c>
      <c r="E160" s="8" t="s">
        <v>235</v>
      </c>
      <c r="F160" s="8" t="s">
        <v>252</v>
      </c>
      <c r="G160" s="5" t="s">
        <v>44</v>
      </c>
      <c r="H160" s="9" t="s">
        <v>253</v>
      </c>
    </row>
    <row r="161" customFormat="false" ht="117.9" hidden="false" customHeight="false" outlineLevel="0" collapsed="false">
      <c r="A161" s="5" t="n">
        <v>156</v>
      </c>
      <c r="B161" s="6" t="s">
        <v>11</v>
      </c>
      <c r="C161" s="7" t="s">
        <v>183</v>
      </c>
      <c r="D161" s="8" t="s">
        <v>184</v>
      </c>
      <c r="E161" s="8" t="s">
        <v>235</v>
      </c>
      <c r="F161" s="8" t="s">
        <v>254</v>
      </c>
      <c r="G161" s="5" t="s">
        <v>44</v>
      </c>
      <c r="H161" s="9" t="s">
        <v>255</v>
      </c>
    </row>
    <row r="162" customFormat="false" ht="108.95" hidden="false" customHeight="false" outlineLevel="0" collapsed="false">
      <c r="A162" s="5" t="n">
        <v>157</v>
      </c>
      <c r="B162" s="6" t="s">
        <v>11</v>
      </c>
      <c r="C162" s="7" t="s">
        <v>183</v>
      </c>
      <c r="D162" s="8" t="s">
        <v>184</v>
      </c>
      <c r="E162" s="8" t="s">
        <v>235</v>
      </c>
      <c r="F162" s="8" t="s">
        <v>256</v>
      </c>
      <c r="G162" s="5" t="s">
        <v>44</v>
      </c>
      <c r="H162" s="9" t="s">
        <v>257</v>
      </c>
    </row>
    <row r="163" customFormat="false" ht="108.95" hidden="false" customHeight="false" outlineLevel="0" collapsed="false">
      <c r="A163" s="5" t="n">
        <v>158</v>
      </c>
      <c r="B163" s="6" t="s">
        <v>11</v>
      </c>
      <c r="C163" s="7" t="s">
        <v>183</v>
      </c>
      <c r="D163" s="8" t="s">
        <v>184</v>
      </c>
      <c r="E163" s="8" t="s">
        <v>235</v>
      </c>
      <c r="F163" s="8" t="s">
        <v>258</v>
      </c>
      <c r="G163" s="5" t="s">
        <v>47</v>
      </c>
      <c r="H163" s="9" t="s">
        <v>259</v>
      </c>
    </row>
    <row r="164" customFormat="false" ht="135.8" hidden="false" customHeight="false" outlineLevel="0" collapsed="false">
      <c r="A164" s="5" t="n">
        <v>159</v>
      </c>
      <c r="B164" s="6" t="s">
        <v>11</v>
      </c>
      <c r="C164" s="7" t="s">
        <v>183</v>
      </c>
      <c r="D164" s="8" t="s">
        <v>184</v>
      </c>
      <c r="E164" s="8" t="s">
        <v>235</v>
      </c>
      <c r="F164" s="8" t="s">
        <v>260</v>
      </c>
      <c r="G164" s="5" t="s">
        <v>16</v>
      </c>
      <c r="H164" s="9" t="s">
        <v>261</v>
      </c>
    </row>
    <row r="165" customFormat="false" ht="108.95" hidden="false" customHeight="false" outlineLevel="0" collapsed="false">
      <c r="A165" s="5" t="n">
        <v>160</v>
      </c>
      <c r="B165" s="6" t="s">
        <v>11</v>
      </c>
      <c r="C165" s="7" t="s">
        <v>183</v>
      </c>
      <c r="D165" s="8" t="s">
        <v>184</v>
      </c>
      <c r="E165" s="8" t="s">
        <v>235</v>
      </c>
      <c r="F165" s="8" t="s">
        <v>262</v>
      </c>
      <c r="G165" s="5" t="s">
        <v>16</v>
      </c>
      <c r="H165" s="9" t="s">
        <v>263</v>
      </c>
    </row>
    <row r="166" customFormat="false" ht="117.9" hidden="false" customHeight="false" outlineLevel="0" collapsed="false">
      <c r="A166" s="5" t="n">
        <v>161</v>
      </c>
      <c r="B166" s="6" t="s">
        <v>11</v>
      </c>
      <c r="C166" s="7" t="s">
        <v>183</v>
      </c>
      <c r="D166" s="8" t="s">
        <v>184</v>
      </c>
      <c r="E166" s="8" t="s">
        <v>264</v>
      </c>
      <c r="F166" s="8" t="s">
        <v>265</v>
      </c>
      <c r="G166" s="5" t="s">
        <v>41</v>
      </c>
      <c r="H166" s="9" t="s">
        <v>266</v>
      </c>
    </row>
    <row r="167" customFormat="false" ht="117.9" hidden="false" customHeight="false" outlineLevel="0" collapsed="false">
      <c r="A167" s="5" t="n">
        <v>162</v>
      </c>
      <c r="B167" s="6" t="s">
        <v>11</v>
      </c>
      <c r="C167" s="7" t="s">
        <v>183</v>
      </c>
      <c r="D167" s="8" t="s">
        <v>184</v>
      </c>
      <c r="E167" s="8" t="s">
        <v>264</v>
      </c>
      <c r="F167" s="8" t="s">
        <v>242</v>
      </c>
      <c r="G167" s="5" t="s">
        <v>41</v>
      </c>
      <c r="H167" s="9" t="s">
        <v>267</v>
      </c>
    </row>
    <row r="168" customFormat="false" ht="117.9" hidden="false" customHeight="false" outlineLevel="0" collapsed="false">
      <c r="A168" s="5" t="n">
        <v>163</v>
      </c>
      <c r="B168" s="6" t="s">
        <v>11</v>
      </c>
      <c r="C168" s="7" t="s">
        <v>183</v>
      </c>
      <c r="D168" s="8" t="s">
        <v>184</v>
      </c>
      <c r="E168" s="8" t="s">
        <v>264</v>
      </c>
      <c r="F168" s="8" t="s">
        <v>244</v>
      </c>
      <c r="G168" s="5" t="s">
        <v>41</v>
      </c>
      <c r="H168" s="9" t="s">
        <v>268</v>
      </c>
    </row>
    <row r="169" customFormat="false" ht="117.9" hidden="false" customHeight="false" outlineLevel="0" collapsed="false">
      <c r="A169" s="5" t="n">
        <v>164</v>
      </c>
      <c r="B169" s="6" t="s">
        <v>11</v>
      </c>
      <c r="C169" s="7" t="s">
        <v>183</v>
      </c>
      <c r="D169" s="8" t="s">
        <v>184</v>
      </c>
      <c r="E169" s="8" t="s">
        <v>264</v>
      </c>
      <c r="F169" s="8" t="s">
        <v>246</v>
      </c>
      <c r="G169" s="5" t="s">
        <v>41</v>
      </c>
      <c r="H169" s="9" t="s">
        <v>269</v>
      </c>
    </row>
    <row r="170" customFormat="false" ht="126.85" hidden="false" customHeight="false" outlineLevel="0" collapsed="false">
      <c r="A170" s="5" t="n">
        <v>165</v>
      </c>
      <c r="B170" s="6" t="s">
        <v>11</v>
      </c>
      <c r="C170" s="7" t="s">
        <v>183</v>
      </c>
      <c r="D170" s="8" t="s">
        <v>184</v>
      </c>
      <c r="E170" s="8" t="s">
        <v>264</v>
      </c>
      <c r="F170" s="8" t="s">
        <v>270</v>
      </c>
      <c r="G170" s="5" t="s">
        <v>16</v>
      </c>
      <c r="H170" s="9" t="s">
        <v>271</v>
      </c>
    </row>
    <row r="171" customFormat="false" ht="117.9" hidden="false" customHeight="false" outlineLevel="0" collapsed="false">
      <c r="A171" s="5" t="n">
        <v>166</v>
      </c>
      <c r="B171" s="6" t="s">
        <v>11</v>
      </c>
      <c r="C171" s="7" t="s">
        <v>183</v>
      </c>
      <c r="D171" s="8" t="s">
        <v>184</v>
      </c>
      <c r="E171" s="8" t="s">
        <v>264</v>
      </c>
      <c r="F171" s="8" t="s">
        <v>272</v>
      </c>
      <c r="G171" s="5" t="s">
        <v>47</v>
      </c>
      <c r="H171" s="9" t="s">
        <v>273</v>
      </c>
    </row>
    <row r="172" customFormat="false" ht="126.85" hidden="false" customHeight="false" outlineLevel="0" collapsed="false">
      <c r="A172" s="5" t="n">
        <v>167</v>
      </c>
      <c r="B172" s="6" t="s">
        <v>11</v>
      </c>
      <c r="C172" s="7" t="s">
        <v>183</v>
      </c>
      <c r="D172" s="8" t="s">
        <v>184</v>
      </c>
      <c r="E172" s="8" t="s">
        <v>264</v>
      </c>
      <c r="F172" s="8" t="s">
        <v>254</v>
      </c>
      <c r="G172" s="5" t="s">
        <v>44</v>
      </c>
      <c r="H172" s="9" t="s">
        <v>274</v>
      </c>
    </row>
    <row r="173" customFormat="false" ht="144.75" hidden="false" customHeight="false" outlineLevel="0" collapsed="false">
      <c r="A173" s="5" t="n">
        <v>168</v>
      </c>
      <c r="B173" s="6" t="s">
        <v>11</v>
      </c>
      <c r="C173" s="7" t="s">
        <v>183</v>
      </c>
      <c r="D173" s="8" t="s">
        <v>184</v>
      </c>
      <c r="E173" s="8" t="s">
        <v>264</v>
      </c>
      <c r="F173" s="8" t="s">
        <v>260</v>
      </c>
      <c r="G173" s="5" t="s">
        <v>16</v>
      </c>
      <c r="H173" s="9" t="s">
        <v>275</v>
      </c>
    </row>
    <row r="174" customFormat="false" ht="135.8" hidden="false" customHeight="false" outlineLevel="0" collapsed="false">
      <c r="A174" s="5" t="n">
        <v>169</v>
      </c>
      <c r="B174" s="6" t="s">
        <v>11</v>
      </c>
      <c r="C174" s="7" t="s">
        <v>183</v>
      </c>
      <c r="D174" s="8" t="s">
        <v>184</v>
      </c>
      <c r="E174" s="8" t="s">
        <v>276</v>
      </c>
      <c r="F174" s="8" t="s">
        <v>73</v>
      </c>
      <c r="G174" s="5" t="s">
        <v>44</v>
      </c>
      <c r="H174" s="9" t="s">
        <v>277</v>
      </c>
    </row>
    <row r="175" customFormat="false" ht="135.8" hidden="false" customHeight="false" outlineLevel="0" collapsed="false">
      <c r="A175" s="5" t="n">
        <v>170</v>
      </c>
      <c r="B175" s="6" t="s">
        <v>11</v>
      </c>
      <c r="C175" s="7" t="s">
        <v>183</v>
      </c>
      <c r="D175" s="8" t="s">
        <v>184</v>
      </c>
      <c r="E175" s="8" t="s">
        <v>276</v>
      </c>
      <c r="F175" s="8" t="s">
        <v>71</v>
      </c>
      <c r="G175" s="5" t="s">
        <v>44</v>
      </c>
      <c r="H175" s="9" t="s">
        <v>278</v>
      </c>
    </row>
    <row r="176" customFormat="false" ht="144.75" hidden="false" customHeight="false" outlineLevel="0" collapsed="false">
      <c r="A176" s="5" t="n">
        <v>171</v>
      </c>
      <c r="B176" s="6" t="s">
        <v>11</v>
      </c>
      <c r="C176" s="7" t="s">
        <v>183</v>
      </c>
      <c r="D176" s="8" t="s">
        <v>184</v>
      </c>
      <c r="E176" s="8" t="s">
        <v>276</v>
      </c>
      <c r="F176" s="8" t="s">
        <v>279</v>
      </c>
      <c r="G176" s="5" t="s">
        <v>44</v>
      </c>
      <c r="H176" s="9" t="s">
        <v>280</v>
      </c>
    </row>
    <row r="177" customFormat="false" ht="135.8" hidden="false" customHeight="false" outlineLevel="0" collapsed="false">
      <c r="A177" s="5" t="n">
        <v>172</v>
      </c>
      <c r="B177" s="6" t="s">
        <v>11</v>
      </c>
      <c r="C177" s="7" t="s">
        <v>183</v>
      </c>
      <c r="D177" s="8" t="s">
        <v>184</v>
      </c>
      <c r="E177" s="8" t="s">
        <v>276</v>
      </c>
      <c r="F177" s="8" t="s">
        <v>281</v>
      </c>
      <c r="G177" s="5" t="s">
        <v>28</v>
      </c>
      <c r="H177" s="9" t="s">
        <v>282</v>
      </c>
    </row>
    <row r="178" customFormat="false" ht="162.65" hidden="false" customHeight="false" outlineLevel="0" collapsed="false">
      <c r="A178" s="5" t="n">
        <v>173</v>
      </c>
      <c r="B178" s="10" t="s">
        <v>283</v>
      </c>
      <c r="C178" s="11" t="s">
        <v>284</v>
      </c>
      <c r="D178" s="8" t="s">
        <v>285</v>
      </c>
      <c r="E178" s="8" t="s">
        <v>286</v>
      </c>
      <c r="F178" s="8" t="s">
        <v>287</v>
      </c>
      <c r="G178" s="5" t="s">
        <v>16</v>
      </c>
      <c r="H178" s="9" t="s">
        <v>288</v>
      </c>
    </row>
    <row r="179" customFormat="false" ht="162.65" hidden="false" customHeight="false" outlineLevel="0" collapsed="false">
      <c r="A179" s="5" t="n">
        <v>174</v>
      </c>
      <c r="B179" s="10" t="s">
        <v>283</v>
      </c>
      <c r="C179" s="11" t="s">
        <v>284</v>
      </c>
      <c r="D179" s="8" t="s">
        <v>285</v>
      </c>
      <c r="E179" s="8" t="s">
        <v>286</v>
      </c>
      <c r="F179" s="8" t="s">
        <v>289</v>
      </c>
      <c r="G179" s="5" t="s">
        <v>16</v>
      </c>
      <c r="H179" s="9" t="s">
        <v>290</v>
      </c>
    </row>
    <row r="180" customFormat="false" ht="162.65" hidden="false" customHeight="false" outlineLevel="0" collapsed="false">
      <c r="A180" s="5" t="n">
        <v>175</v>
      </c>
      <c r="B180" s="10" t="s">
        <v>283</v>
      </c>
      <c r="C180" s="11" t="s">
        <v>284</v>
      </c>
      <c r="D180" s="8" t="s">
        <v>285</v>
      </c>
      <c r="E180" s="8" t="s">
        <v>286</v>
      </c>
      <c r="F180" s="8" t="s">
        <v>291</v>
      </c>
      <c r="G180" s="5" t="s">
        <v>16</v>
      </c>
      <c r="H180" s="9" t="s">
        <v>292</v>
      </c>
    </row>
    <row r="181" customFormat="false" ht="162.65" hidden="false" customHeight="false" outlineLevel="0" collapsed="false">
      <c r="A181" s="5" t="n">
        <v>176</v>
      </c>
      <c r="B181" s="10" t="s">
        <v>283</v>
      </c>
      <c r="C181" s="11" t="s">
        <v>284</v>
      </c>
      <c r="D181" s="8" t="s">
        <v>285</v>
      </c>
      <c r="E181" s="8" t="s">
        <v>286</v>
      </c>
      <c r="F181" s="8" t="s">
        <v>293</v>
      </c>
      <c r="G181" s="5" t="s">
        <v>16</v>
      </c>
      <c r="H181" s="9" t="s">
        <v>294</v>
      </c>
    </row>
    <row r="182" customFormat="false" ht="162.65" hidden="false" customHeight="false" outlineLevel="0" collapsed="false">
      <c r="A182" s="5" t="n">
        <v>177</v>
      </c>
      <c r="B182" s="10" t="s">
        <v>283</v>
      </c>
      <c r="C182" s="11" t="s">
        <v>284</v>
      </c>
      <c r="D182" s="8" t="s">
        <v>285</v>
      </c>
      <c r="E182" s="8" t="s">
        <v>286</v>
      </c>
      <c r="F182" s="8" t="s">
        <v>295</v>
      </c>
      <c r="G182" s="5" t="s">
        <v>16</v>
      </c>
      <c r="H182" s="9" t="s">
        <v>296</v>
      </c>
    </row>
    <row r="183" customFormat="false" ht="153.7" hidden="false" customHeight="false" outlineLevel="0" collapsed="false">
      <c r="A183" s="5" t="n">
        <v>178</v>
      </c>
      <c r="B183" s="10" t="s">
        <v>283</v>
      </c>
      <c r="C183" s="11" t="s">
        <v>284</v>
      </c>
      <c r="D183" s="8" t="s">
        <v>285</v>
      </c>
      <c r="E183" s="8" t="s">
        <v>297</v>
      </c>
      <c r="F183" s="8" t="s">
        <v>298</v>
      </c>
      <c r="G183" s="5" t="s">
        <v>16</v>
      </c>
      <c r="H183" s="9" t="s">
        <v>299</v>
      </c>
    </row>
    <row r="184" customFormat="false" ht="153.7" hidden="false" customHeight="false" outlineLevel="0" collapsed="false">
      <c r="A184" s="5" t="n">
        <v>179</v>
      </c>
      <c r="B184" s="10" t="s">
        <v>283</v>
      </c>
      <c r="C184" s="11" t="s">
        <v>284</v>
      </c>
      <c r="D184" s="8" t="s">
        <v>285</v>
      </c>
      <c r="E184" s="8" t="s">
        <v>297</v>
      </c>
      <c r="F184" s="8" t="s">
        <v>300</v>
      </c>
      <c r="G184" s="5" t="s">
        <v>16</v>
      </c>
      <c r="H184" s="9" t="s">
        <v>301</v>
      </c>
    </row>
    <row r="185" customFormat="false" ht="153.7" hidden="false" customHeight="false" outlineLevel="0" collapsed="false">
      <c r="A185" s="5" t="n">
        <v>180</v>
      </c>
      <c r="B185" s="10" t="s">
        <v>283</v>
      </c>
      <c r="C185" s="11" t="s">
        <v>284</v>
      </c>
      <c r="D185" s="8" t="s">
        <v>285</v>
      </c>
      <c r="E185" s="8" t="s">
        <v>297</v>
      </c>
      <c r="F185" s="8" t="s">
        <v>302</v>
      </c>
      <c r="G185" s="5" t="s">
        <v>16</v>
      </c>
      <c r="H185" s="9" t="s">
        <v>303</v>
      </c>
    </row>
    <row r="186" customFormat="false" ht="135.8" hidden="false" customHeight="false" outlineLevel="0" collapsed="false">
      <c r="A186" s="5" t="n">
        <v>181</v>
      </c>
      <c r="B186" s="10" t="s">
        <v>283</v>
      </c>
      <c r="C186" s="11" t="s">
        <v>284</v>
      </c>
      <c r="D186" s="8" t="s">
        <v>285</v>
      </c>
      <c r="E186" s="8" t="s">
        <v>304</v>
      </c>
      <c r="F186" s="8" t="s">
        <v>305</v>
      </c>
      <c r="G186" s="5" t="s">
        <v>16</v>
      </c>
      <c r="H186" s="9" t="s">
        <v>306</v>
      </c>
    </row>
    <row r="187" customFormat="false" ht="135.8" hidden="false" customHeight="false" outlineLevel="0" collapsed="false">
      <c r="A187" s="5" t="n">
        <v>182</v>
      </c>
      <c r="B187" s="10" t="s">
        <v>283</v>
      </c>
      <c r="C187" s="11" t="s">
        <v>284</v>
      </c>
      <c r="D187" s="8" t="s">
        <v>285</v>
      </c>
      <c r="E187" s="8" t="s">
        <v>304</v>
      </c>
      <c r="F187" s="8" t="s">
        <v>307</v>
      </c>
      <c r="G187" s="5" t="s">
        <v>16</v>
      </c>
      <c r="H187" s="9" t="s">
        <v>308</v>
      </c>
    </row>
    <row r="188" customFormat="false" ht="135.8" hidden="false" customHeight="false" outlineLevel="0" collapsed="false">
      <c r="A188" s="5" t="n">
        <v>183</v>
      </c>
      <c r="B188" s="10" t="s">
        <v>283</v>
      </c>
      <c r="C188" s="11" t="s">
        <v>284</v>
      </c>
      <c r="D188" s="8" t="s">
        <v>285</v>
      </c>
      <c r="E188" s="8" t="s">
        <v>304</v>
      </c>
      <c r="F188" s="8" t="s">
        <v>309</v>
      </c>
      <c r="G188" s="5" t="s">
        <v>16</v>
      </c>
      <c r="H188" s="9" t="s">
        <v>310</v>
      </c>
    </row>
    <row r="189" customFormat="false" ht="153.7" hidden="false" customHeight="false" outlineLevel="0" collapsed="false">
      <c r="A189" s="5" t="n">
        <v>184</v>
      </c>
      <c r="B189" s="10" t="s">
        <v>283</v>
      </c>
      <c r="C189" s="11" t="s">
        <v>284</v>
      </c>
      <c r="D189" s="8" t="s">
        <v>285</v>
      </c>
      <c r="E189" s="8" t="s">
        <v>311</v>
      </c>
      <c r="F189" s="8" t="s">
        <v>312</v>
      </c>
      <c r="G189" s="5" t="s">
        <v>16</v>
      </c>
      <c r="H189" s="9" t="s">
        <v>313</v>
      </c>
    </row>
    <row r="190" customFormat="false" ht="162.65" hidden="false" customHeight="false" outlineLevel="0" collapsed="false">
      <c r="A190" s="5" t="n">
        <v>185</v>
      </c>
      <c r="B190" s="10" t="s">
        <v>283</v>
      </c>
      <c r="C190" s="11" t="s">
        <v>284</v>
      </c>
      <c r="D190" s="8" t="s">
        <v>285</v>
      </c>
      <c r="E190" s="8" t="s">
        <v>311</v>
      </c>
      <c r="F190" s="8" t="s">
        <v>314</v>
      </c>
      <c r="G190" s="5" t="s">
        <v>47</v>
      </c>
      <c r="H190" s="9" t="s">
        <v>315</v>
      </c>
    </row>
    <row r="191" customFormat="false" ht="126.85" hidden="false" customHeight="false" outlineLevel="0" collapsed="false">
      <c r="A191" s="5" t="n">
        <v>186</v>
      </c>
      <c r="B191" s="10" t="s">
        <v>283</v>
      </c>
      <c r="C191" s="11" t="s">
        <v>284</v>
      </c>
      <c r="D191" s="8" t="s">
        <v>285</v>
      </c>
      <c r="E191" s="8" t="s">
        <v>316</v>
      </c>
      <c r="F191" s="8" t="s">
        <v>316</v>
      </c>
      <c r="G191" s="5" t="s">
        <v>16</v>
      </c>
      <c r="H191" s="9" t="s">
        <v>317</v>
      </c>
    </row>
    <row r="192" customFormat="false" ht="117.9" hidden="false" customHeight="false" outlineLevel="0" collapsed="false">
      <c r="A192" s="5" t="n">
        <v>187</v>
      </c>
      <c r="B192" s="10" t="s">
        <v>283</v>
      </c>
      <c r="C192" s="11" t="s">
        <v>284</v>
      </c>
      <c r="D192" s="8" t="s">
        <v>285</v>
      </c>
      <c r="E192" s="8" t="s">
        <v>316</v>
      </c>
      <c r="F192" s="8" t="s">
        <v>318</v>
      </c>
      <c r="G192" s="5" t="s">
        <v>16</v>
      </c>
      <c r="H192" s="9" t="s">
        <v>319</v>
      </c>
    </row>
    <row r="193" customFormat="false" ht="162.65" hidden="false" customHeight="false" outlineLevel="0" collapsed="false">
      <c r="A193" s="5" t="n">
        <v>188</v>
      </c>
      <c r="B193" s="10" t="s">
        <v>283</v>
      </c>
      <c r="C193" s="11" t="s">
        <v>284</v>
      </c>
      <c r="D193" s="8" t="s">
        <v>285</v>
      </c>
      <c r="E193" s="8" t="s">
        <v>316</v>
      </c>
      <c r="F193" s="8" t="s">
        <v>320</v>
      </c>
      <c r="G193" s="5" t="s">
        <v>16</v>
      </c>
      <c r="H193" s="9" t="s">
        <v>321</v>
      </c>
    </row>
    <row r="194" customFormat="false" ht="126.85" hidden="false" customHeight="false" outlineLevel="0" collapsed="false">
      <c r="A194" s="5" t="n">
        <v>189</v>
      </c>
      <c r="B194" s="10" t="s">
        <v>283</v>
      </c>
      <c r="C194" s="11" t="s">
        <v>284</v>
      </c>
      <c r="D194" s="8" t="s">
        <v>285</v>
      </c>
      <c r="E194" s="8" t="s">
        <v>316</v>
      </c>
      <c r="F194" s="8" t="s">
        <v>322</v>
      </c>
      <c r="G194" s="5" t="s">
        <v>16</v>
      </c>
      <c r="H194" s="9" t="s">
        <v>323</v>
      </c>
    </row>
    <row r="195" customFormat="false" ht="91" hidden="false" customHeight="false" outlineLevel="0" collapsed="false">
      <c r="A195" s="5" t="n">
        <v>190</v>
      </c>
      <c r="B195" s="10" t="s">
        <v>283</v>
      </c>
      <c r="C195" s="11" t="s">
        <v>324</v>
      </c>
      <c r="D195" s="8" t="s">
        <v>325</v>
      </c>
      <c r="E195" s="8" t="s">
        <v>326</v>
      </c>
      <c r="F195" s="8" t="s">
        <v>326</v>
      </c>
      <c r="G195" s="5" t="s">
        <v>16</v>
      </c>
      <c r="H195" s="9" t="s">
        <v>327</v>
      </c>
    </row>
    <row r="196" customFormat="false" ht="91" hidden="false" customHeight="false" outlineLevel="0" collapsed="false">
      <c r="A196" s="5" t="n">
        <v>191</v>
      </c>
      <c r="B196" s="10" t="s">
        <v>283</v>
      </c>
      <c r="C196" s="11" t="s">
        <v>324</v>
      </c>
      <c r="D196" s="8" t="s">
        <v>325</v>
      </c>
      <c r="E196" s="8" t="s">
        <v>326</v>
      </c>
      <c r="F196" s="8" t="s">
        <v>328</v>
      </c>
      <c r="G196" s="5" t="s">
        <v>16</v>
      </c>
      <c r="H196" s="9" t="s">
        <v>329</v>
      </c>
    </row>
    <row r="197" customFormat="false" ht="108.95" hidden="false" customHeight="false" outlineLevel="0" collapsed="false">
      <c r="A197" s="5" t="n">
        <v>192</v>
      </c>
      <c r="B197" s="10" t="s">
        <v>283</v>
      </c>
      <c r="C197" s="11" t="s">
        <v>324</v>
      </c>
      <c r="D197" s="8" t="s">
        <v>325</v>
      </c>
      <c r="E197" s="8" t="s">
        <v>326</v>
      </c>
      <c r="F197" s="8" t="s">
        <v>330</v>
      </c>
      <c r="G197" s="5" t="s">
        <v>47</v>
      </c>
      <c r="H197" s="9" t="s">
        <v>331</v>
      </c>
    </row>
    <row r="198" customFormat="false" ht="82.05" hidden="false" customHeight="false" outlineLevel="0" collapsed="false">
      <c r="A198" s="5" t="n">
        <v>193</v>
      </c>
      <c r="B198" s="10" t="s">
        <v>283</v>
      </c>
      <c r="C198" s="11" t="s">
        <v>324</v>
      </c>
      <c r="D198" s="8" t="s">
        <v>325</v>
      </c>
      <c r="E198" s="8" t="s">
        <v>332</v>
      </c>
      <c r="F198" s="8" t="s">
        <v>332</v>
      </c>
      <c r="G198" s="5" t="s">
        <v>16</v>
      </c>
      <c r="H198" s="9" t="s">
        <v>333</v>
      </c>
    </row>
    <row r="199" customFormat="false" ht="91" hidden="false" customHeight="false" outlineLevel="0" collapsed="false">
      <c r="A199" s="5" t="n">
        <v>194</v>
      </c>
      <c r="B199" s="10" t="s">
        <v>283</v>
      </c>
      <c r="C199" s="11" t="s">
        <v>324</v>
      </c>
      <c r="D199" s="8" t="s">
        <v>325</v>
      </c>
      <c r="E199" s="8" t="s">
        <v>332</v>
      </c>
      <c r="F199" s="8" t="s">
        <v>334</v>
      </c>
      <c r="G199" s="5" t="s">
        <v>16</v>
      </c>
      <c r="H199" s="9" t="s">
        <v>335</v>
      </c>
    </row>
    <row r="200" customFormat="false" ht="117.9" hidden="false" customHeight="false" outlineLevel="0" collapsed="false">
      <c r="A200" s="5" t="n">
        <v>195</v>
      </c>
      <c r="B200" s="10" t="s">
        <v>283</v>
      </c>
      <c r="C200" s="11" t="s">
        <v>324</v>
      </c>
      <c r="D200" s="8" t="s">
        <v>325</v>
      </c>
      <c r="E200" s="8" t="s">
        <v>332</v>
      </c>
      <c r="F200" s="8" t="s">
        <v>336</v>
      </c>
      <c r="G200" s="5" t="s">
        <v>16</v>
      </c>
      <c r="H200" s="9" t="s">
        <v>337</v>
      </c>
    </row>
    <row r="201" customFormat="false" ht="82.05" hidden="false" customHeight="false" outlineLevel="0" collapsed="false">
      <c r="A201" s="5" t="n">
        <v>196</v>
      </c>
      <c r="B201" s="10" t="s">
        <v>283</v>
      </c>
      <c r="C201" s="11" t="s">
        <v>324</v>
      </c>
      <c r="D201" s="8" t="s">
        <v>325</v>
      </c>
      <c r="E201" s="8" t="s">
        <v>338</v>
      </c>
      <c r="F201" s="8" t="s">
        <v>338</v>
      </c>
      <c r="G201" s="5" t="s">
        <v>16</v>
      </c>
      <c r="H201" s="9" t="s">
        <v>339</v>
      </c>
    </row>
    <row r="202" customFormat="false" ht="108.95" hidden="false" customHeight="false" outlineLevel="0" collapsed="false">
      <c r="A202" s="5" t="n">
        <v>197</v>
      </c>
      <c r="B202" s="10" t="s">
        <v>283</v>
      </c>
      <c r="C202" s="11" t="s">
        <v>324</v>
      </c>
      <c r="D202" s="8" t="s">
        <v>325</v>
      </c>
      <c r="E202" s="8" t="s">
        <v>338</v>
      </c>
      <c r="F202" s="8" t="s">
        <v>340</v>
      </c>
      <c r="G202" s="5" t="s">
        <v>16</v>
      </c>
      <c r="H202" s="9" t="s">
        <v>341</v>
      </c>
    </row>
    <row r="203" customFormat="false" ht="117.9" hidden="false" customHeight="false" outlineLevel="0" collapsed="false">
      <c r="A203" s="5" t="n">
        <v>198</v>
      </c>
      <c r="B203" s="10" t="s">
        <v>283</v>
      </c>
      <c r="C203" s="11" t="s">
        <v>324</v>
      </c>
      <c r="D203" s="8" t="s">
        <v>325</v>
      </c>
      <c r="E203" s="8" t="s">
        <v>342</v>
      </c>
      <c r="F203" s="8" t="s">
        <v>342</v>
      </c>
      <c r="G203" s="5" t="s">
        <v>47</v>
      </c>
      <c r="H203" s="9" t="s">
        <v>343</v>
      </c>
    </row>
    <row r="204" customFormat="false" ht="99.95" hidden="false" customHeight="false" outlineLevel="0" collapsed="false">
      <c r="A204" s="5" t="n">
        <v>199</v>
      </c>
      <c r="B204" s="10" t="s">
        <v>283</v>
      </c>
      <c r="C204" s="11" t="s">
        <v>324</v>
      </c>
      <c r="D204" s="8" t="s">
        <v>325</v>
      </c>
      <c r="E204" s="8" t="s">
        <v>342</v>
      </c>
      <c r="F204" s="8" t="s">
        <v>344</v>
      </c>
      <c r="G204" s="5" t="s">
        <v>47</v>
      </c>
      <c r="H204" s="9" t="s">
        <v>345</v>
      </c>
    </row>
    <row r="205" customFormat="false" ht="99.95" hidden="false" customHeight="false" outlineLevel="0" collapsed="false">
      <c r="A205" s="5" t="n">
        <v>200</v>
      </c>
      <c r="B205" s="10" t="s">
        <v>283</v>
      </c>
      <c r="C205" s="11" t="s">
        <v>346</v>
      </c>
      <c r="D205" s="8" t="s">
        <v>347</v>
      </c>
      <c r="E205" s="8" t="s">
        <v>348</v>
      </c>
      <c r="F205" s="8" t="s">
        <v>348</v>
      </c>
      <c r="G205" s="5" t="s">
        <v>44</v>
      </c>
      <c r="H205" s="9" t="s">
        <v>349</v>
      </c>
    </row>
    <row r="206" customFormat="false" ht="108.95" hidden="false" customHeight="false" outlineLevel="0" collapsed="false">
      <c r="A206" s="5" t="n">
        <v>201</v>
      </c>
      <c r="B206" s="10" t="s">
        <v>283</v>
      </c>
      <c r="C206" s="11" t="s">
        <v>346</v>
      </c>
      <c r="D206" s="8" t="s">
        <v>347</v>
      </c>
      <c r="E206" s="8" t="s">
        <v>348</v>
      </c>
      <c r="F206" s="8" t="s">
        <v>350</v>
      </c>
      <c r="G206" s="5" t="s">
        <v>44</v>
      </c>
      <c r="H206" s="9" t="s">
        <v>351</v>
      </c>
    </row>
    <row r="207" customFormat="false" ht="108.95" hidden="false" customHeight="false" outlineLevel="0" collapsed="false">
      <c r="A207" s="5" t="n">
        <v>202</v>
      </c>
      <c r="B207" s="10" t="s">
        <v>283</v>
      </c>
      <c r="C207" s="11" t="s">
        <v>346</v>
      </c>
      <c r="D207" s="8" t="s">
        <v>347</v>
      </c>
      <c r="E207" s="8" t="s">
        <v>352</v>
      </c>
      <c r="F207" s="8" t="s">
        <v>352</v>
      </c>
      <c r="G207" s="5" t="s">
        <v>44</v>
      </c>
      <c r="H207" s="9" t="s">
        <v>353</v>
      </c>
    </row>
    <row r="208" customFormat="false" ht="126.85" hidden="false" customHeight="false" outlineLevel="0" collapsed="false">
      <c r="A208" s="5" t="n">
        <v>203</v>
      </c>
      <c r="B208" s="10" t="s">
        <v>283</v>
      </c>
      <c r="C208" s="11" t="s">
        <v>346</v>
      </c>
      <c r="D208" s="8" t="s">
        <v>347</v>
      </c>
      <c r="E208" s="8" t="s">
        <v>352</v>
      </c>
      <c r="F208" s="8" t="s">
        <v>354</v>
      </c>
      <c r="G208" s="5" t="s">
        <v>44</v>
      </c>
      <c r="H208" s="9" t="s">
        <v>355</v>
      </c>
    </row>
    <row r="209" customFormat="false" ht="117.9" hidden="false" customHeight="false" outlineLevel="0" collapsed="false">
      <c r="A209" s="5" t="n">
        <v>204</v>
      </c>
      <c r="B209" s="10" t="s">
        <v>283</v>
      </c>
      <c r="C209" s="11" t="s">
        <v>346</v>
      </c>
      <c r="D209" s="8" t="s">
        <v>347</v>
      </c>
      <c r="E209" s="8" t="s">
        <v>356</v>
      </c>
      <c r="F209" s="8" t="s">
        <v>357</v>
      </c>
      <c r="G209" s="5" t="s">
        <v>44</v>
      </c>
      <c r="H209" s="9" t="s">
        <v>358</v>
      </c>
    </row>
    <row r="210" customFormat="false" ht="108.95" hidden="false" customHeight="false" outlineLevel="0" collapsed="false">
      <c r="A210" s="5" t="n">
        <v>205</v>
      </c>
      <c r="B210" s="10" t="s">
        <v>283</v>
      </c>
      <c r="C210" s="11" t="s">
        <v>346</v>
      </c>
      <c r="D210" s="8" t="s">
        <v>347</v>
      </c>
      <c r="E210" s="8" t="s">
        <v>356</v>
      </c>
      <c r="F210" s="8" t="s">
        <v>359</v>
      </c>
      <c r="G210" s="5" t="s">
        <v>44</v>
      </c>
      <c r="H210" s="9" t="s">
        <v>360</v>
      </c>
    </row>
    <row r="211" customFormat="false" ht="108.95" hidden="false" customHeight="false" outlineLevel="0" collapsed="false">
      <c r="A211" s="5" t="n">
        <v>206</v>
      </c>
      <c r="B211" s="10" t="s">
        <v>283</v>
      </c>
      <c r="C211" s="11" t="s">
        <v>346</v>
      </c>
      <c r="D211" s="8" t="s">
        <v>347</v>
      </c>
      <c r="E211" s="8" t="s">
        <v>361</v>
      </c>
      <c r="F211" s="8" t="s">
        <v>361</v>
      </c>
      <c r="G211" s="5" t="s">
        <v>16</v>
      </c>
      <c r="H211" s="9" t="s">
        <v>362</v>
      </c>
    </row>
    <row r="212" customFormat="false" ht="108.95" hidden="false" customHeight="false" outlineLevel="0" collapsed="false">
      <c r="A212" s="5" t="n">
        <v>207</v>
      </c>
      <c r="B212" s="10" t="s">
        <v>283</v>
      </c>
      <c r="C212" s="11" t="s">
        <v>346</v>
      </c>
      <c r="D212" s="8" t="s">
        <v>347</v>
      </c>
      <c r="E212" s="8" t="s">
        <v>361</v>
      </c>
      <c r="F212" s="8" t="s">
        <v>363</v>
      </c>
      <c r="G212" s="5" t="s">
        <v>44</v>
      </c>
      <c r="H212" s="9" t="s">
        <v>364</v>
      </c>
    </row>
    <row r="213" customFormat="false" ht="91" hidden="false" customHeight="false" outlineLevel="0" collapsed="false">
      <c r="A213" s="5" t="n">
        <v>208</v>
      </c>
      <c r="B213" s="10" t="s">
        <v>283</v>
      </c>
      <c r="C213" s="11" t="s">
        <v>346</v>
      </c>
      <c r="D213" s="8" t="s">
        <v>347</v>
      </c>
      <c r="E213" s="8" t="s">
        <v>365</v>
      </c>
      <c r="F213" s="8" t="s">
        <v>366</v>
      </c>
      <c r="G213" s="5" t="s">
        <v>44</v>
      </c>
      <c r="H213" s="9" t="s">
        <v>367</v>
      </c>
    </row>
    <row r="214" customFormat="false" ht="99.95" hidden="false" customHeight="false" outlineLevel="0" collapsed="false">
      <c r="A214" s="5" t="n">
        <v>209</v>
      </c>
      <c r="B214" s="10" t="s">
        <v>283</v>
      </c>
      <c r="C214" s="11" t="s">
        <v>346</v>
      </c>
      <c r="D214" s="8" t="s">
        <v>347</v>
      </c>
      <c r="E214" s="8" t="s">
        <v>365</v>
      </c>
      <c r="F214" s="8" t="s">
        <v>368</v>
      </c>
      <c r="G214" s="5" t="s">
        <v>44</v>
      </c>
      <c r="H214" s="9" t="s">
        <v>369</v>
      </c>
    </row>
    <row r="215" customFormat="false" ht="91" hidden="false" customHeight="false" outlineLevel="0" collapsed="false">
      <c r="A215" s="5" t="n">
        <v>210</v>
      </c>
      <c r="B215" s="10" t="s">
        <v>283</v>
      </c>
      <c r="C215" s="11" t="s">
        <v>346</v>
      </c>
      <c r="D215" s="8" t="s">
        <v>347</v>
      </c>
      <c r="E215" s="8" t="s">
        <v>365</v>
      </c>
      <c r="F215" s="8" t="s">
        <v>370</v>
      </c>
      <c r="G215" s="5" t="s">
        <v>44</v>
      </c>
      <c r="H215" s="9" t="s">
        <v>371</v>
      </c>
    </row>
    <row r="216" customFormat="false" ht="99.95" hidden="false" customHeight="false" outlineLevel="0" collapsed="false">
      <c r="A216" s="5" t="n">
        <v>211</v>
      </c>
      <c r="B216" s="10" t="s">
        <v>283</v>
      </c>
      <c r="C216" s="11" t="s">
        <v>346</v>
      </c>
      <c r="D216" s="8" t="s">
        <v>347</v>
      </c>
      <c r="E216" s="8" t="s">
        <v>365</v>
      </c>
      <c r="F216" s="8" t="s">
        <v>372</v>
      </c>
      <c r="G216" s="5" t="s">
        <v>44</v>
      </c>
      <c r="H216" s="9" t="s">
        <v>373</v>
      </c>
    </row>
    <row r="217" customFormat="false" ht="135.8" hidden="false" customHeight="false" outlineLevel="0" collapsed="false">
      <c r="A217" s="5" t="n">
        <v>212</v>
      </c>
      <c r="B217" s="10" t="s">
        <v>283</v>
      </c>
      <c r="C217" s="11" t="s">
        <v>374</v>
      </c>
      <c r="D217" s="8" t="s">
        <v>375</v>
      </c>
      <c r="E217" s="8" t="s">
        <v>376</v>
      </c>
      <c r="F217" s="8" t="s">
        <v>376</v>
      </c>
      <c r="G217" s="5" t="s">
        <v>44</v>
      </c>
      <c r="H217" s="9" t="s">
        <v>377</v>
      </c>
    </row>
    <row r="218" customFormat="false" ht="153.7" hidden="false" customHeight="false" outlineLevel="0" collapsed="false">
      <c r="A218" s="5" t="n">
        <v>213</v>
      </c>
      <c r="B218" s="10" t="s">
        <v>283</v>
      </c>
      <c r="C218" s="11" t="s">
        <v>374</v>
      </c>
      <c r="D218" s="8" t="s">
        <v>375</v>
      </c>
      <c r="E218" s="8" t="s">
        <v>376</v>
      </c>
      <c r="F218" s="8" t="s">
        <v>378</v>
      </c>
      <c r="G218" s="5" t="s">
        <v>16</v>
      </c>
      <c r="H218" s="9" t="s">
        <v>379</v>
      </c>
    </row>
    <row r="219" customFormat="false" ht="153.7" hidden="false" customHeight="false" outlineLevel="0" collapsed="false">
      <c r="A219" s="5" t="n">
        <v>214</v>
      </c>
      <c r="B219" s="10" t="s">
        <v>283</v>
      </c>
      <c r="C219" s="11" t="s">
        <v>374</v>
      </c>
      <c r="D219" s="8" t="s">
        <v>375</v>
      </c>
      <c r="E219" s="8" t="s">
        <v>376</v>
      </c>
      <c r="F219" s="8" t="s">
        <v>380</v>
      </c>
      <c r="G219" s="5" t="s">
        <v>16</v>
      </c>
      <c r="H219" s="9" t="s">
        <v>381</v>
      </c>
    </row>
    <row r="220" customFormat="false" ht="144.75" hidden="false" customHeight="false" outlineLevel="0" collapsed="false">
      <c r="A220" s="5" t="n">
        <v>215</v>
      </c>
      <c r="B220" s="10" t="s">
        <v>283</v>
      </c>
      <c r="C220" s="11" t="s">
        <v>374</v>
      </c>
      <c r="D220" s="8" t="s">
        <v>375</v>
      </c>
      <c r="E220" s="8" t="s">
        <v>376</v>
      </c>
      <c r="F220" s="8" t="s">
        <v>382</v>
      </c>
      <c r="G220" s="5" t="s">
        <v>16</v>
      </c>
      <c r="H220" s="9" t="s">
        <v>383</v>
      </c>
    </row>
    <row r="221" customFormat="false" ht="153.7" hidden="false" customHeight="false" outlineLevel="0" collapsed="false">
      <c r="A221" s="5" t="n">
        <v>216</v>
      </c>
      <c r="B221" s="10" t="s">
        <v>283</v>
      </c>
      <c r="C221" s="11" t="s">
        <v>374</v>
      </c>
      <c r="D221" s="8" t="s">
        <v>375</v>
      </c>
      <c r="E221" s="8" t="s">
        <v>384</v>
      </c>
      <c r="F221" s="8" t="s">
        <v>384</v>
      </c>
      <c r="G221" s="5" t="s">
        <v>16</v>
      </c>
      <c r="H221" s="9" t="s">
        <v>385</v>
      </c>
    </row>
    <row r="222" customFormat="false" ht="144.75" hidden="false" customHeight="false" outlineLevel="0" collapsed="false">
      <c r="A222" s="5" t="n">
        <v>217</v>
      </c>
      <c r="B222" s="10" t="s">
        <v>283</v>
      </c>
      <c r="C222" s="11" t="s">
        <v>374</v>
      </c>
      <c r="D222" s="8" t="s">
        <v>375</v>
      </c>
      <c r="E222" s="8" t="s">
        <v>384</v>
      </c>
      <c r="F222" s="8" t="s">
        <v>386</v>
      </c>
      <c r="G222" s="5" t="s">
        <v>16</v>
      </c>
      <c r="H222" s="9" t="s">
        <v>387</v>
      </c>
    </row>
    <row r="223" customFormat="false" ht="153.7" hidden="false" customHeight="false" outlineLevel="0" collapsed="false">
      <c r="A223" s="5" t="n">
        <v>218</v>
      </c>
      <c r="B223" s="10" t="s">
        <v>283</v>
      </c>
      <c r="C223" s="11" t="s">
        <v>374</v>
      </c>
      <c r="D223" s="8" t="s">
        <v>375</v>
      </c>
      <c r="E223" s="8" t="s">
        <v>388</v>
      </c>
      <c r="F223" s="8" t="s">
        <v>389</v>
      </c>
      <c r="G223" s="5" t="s">
        <v>16</v>
      </c>
      <c r="H223" s="9" t="s">
        <v>390</v>
      </c>
    </row>
    <row r="224" customFormat="false" ht="144.75" hidden="false" customHeight="false" outlineLevel="0" collapsed="false">
      <c r="A224" s="5" t="n">
        <v>219</v>
      </c>
      <c r="B224" s="10" t="s">
        <v>283</v>
      </c>
      <c r="C224" s="11" t="s">
        <v>374</v>
      </c>
      <c r="D224" s="8" t="s">
        <v>375</v>
      </c>
      <c r="E224" s="8" t="s">
        <v>388</v>
      </c>
      <c r="F224" s="8" t="s">
        <v>391</v>
      </c>
      <c r="G224" s="5" t="s">
        <v>16</v>
      </c>
      <c r="H224" s="9" t="s">
        <v>392</v>
      </c>
    </row>
    <row r="225" customFormat="false" ht="126.85" hidden="false" customHeight="false" outlineLevel="0" collapsed="false">
      <c r="A225" s="5" t="n">
        <v>220</v>
      </c>
      <c r="B225" s="10" t="s">
        <v>283</v>
      </c>
      <c r="C225" s="11" t="s">
        <v>374</v>
      </c>
      <c r="D225" s="8" t="s">
        <v>375</v>
      </c>
      <c r="E225" s="8" t="s">
        <v>388</v>
      </c>
      <c r="F225" s="8" t="s">
        <v>344</v>
      </c>
      <c r="G225" s="5" t="s">
        <v>47</v>
      </c>
      <c r="H225" s="9" t="s">
        <v>393</v>
      </c>
    </row>
    <row r="226" customFormat="false" ht="135.8" hidden="false" customHeight="false" outlineLevel="0" collapsed="false">
      <c r="A226" s="5" t="n">
        <v>221</v>
      </c>
      <c r="B226" s="10" t="s">
        <v>283</v>
      </c>
      <c r="C226" s="11" t="s">
        <v>374</v>
      </c>
      <c r="D226" s="8" t="s">
        <v>375</v>
      </c>
      <c r="E226" s="8" t="s">
        <v>388</v>
      </c>
      <c r="F226" s="8" t="s">
        <v>394</v>
      </c>
      <c r="G226" s="5" t="s">
        <v>47</v>
      </c>
      <c r="H226" s="9" t="s">
        <v>395</v>
      </c>
    </row>
    <row r="227" customFormat="false" ht="82.05" hidden="false" customHeight="false" outlineLevel="0" collapsed="false">
      <c r="A227" s="5" t="n">
        <v>222</v>
      </c>
      <c r="B227" s="10" t="s">
        <v>283</v>
      </c>
      <c r="C227" s="11" t="s">
        <v>396</v>
      </c>
      <c r="D227" s="8" t="s">
        <v>397</v>
      </c>
      <c r="E227" s="8" t="s">
        <v>398</v>
      </c>
      <c r="F227" s="8" t="s">
        <v>398</v>
      </c>
      <c r="G227" s="5" t="s">
        <v>16</v>
      </c>
      <c r="H227" s="9" t="s">
        <v>399</v>
      </c>
    </row>
    <row r="228" customFormat="false" ht="91" hidden="false" customHeight="false" outlineLevel="0" collapsed="false">
      <c r="A228" s="5" t="n">
        <v>223</v>
      </c>
      <c r="B228" s="10" t="s">
        <v>283</v>
      </c>
      <c r="C228" s="11" t="s">
        <v>396</v>
      </c>
      <c r="D228" s="8" t="s">
        <v>397</v>
      </c>
      <c r="E228" s="8" t="s">
        <v>398</v>
      </c>
      <c r="F228" s="8" t="s">
        <v>400</v>
      </c>
      <c r="G228" s="5" t="s">
        <v>16</v>
      </c>
      <c r="H228" s="9" t="s">
        <v>401</v>
      </c>
    </row>
    <row r="229" customFormat="false" ht="91" hidden="false" customHeight="false" outlineLevel="0" collapsed="false">
      <c r="A229" s="5" t="n">
        <v>224</v>
      </c>
      <c r="B229" s="10" t="s">
        <v>283</v>
      </c>
      <c r="C229" s="11" t="s">
        <v>396</v>
      </c>
      <c r="D229" s="8" t="s">
        <v>397</v>
      </c>
      <c r="E229" s="8" t="s">
        <v>402</v>
      </c>
      <c r="F229" s="8" t="s">
        <v>402</v>
      </c>
      <c r="G229" s="5" t="s">
        <v>16</v>
      </c>
      <c r="H229" s="9" t="s">
        <v>403</v>
      </c>
    </row>
    <row r="230" customFormat="false" ht="91" hidden="false" customHeight="false" outlineLevel="0" collapsed="false">
      <c r="A230" s="5" t="n">
        <v>225</v>
      </c>
      <c r="B230" s="10" t="s">
        <v>283</v>
      </c>
      <c r="C230" s="11" t="s">
        <v>396</v>
      </c>
      <c r="D230" s="8" t="s">
        <v>397</v>
      </c>
      <c r="E230" s="8" t="s">
        <v>402</v>
      </c>
      <c r="F230" s="8" t="s">
        <v>404</v>
      </c>
      <c r="G230" s="5" t="s">
        <v>16</v>
      </c>
      <c r="H230" s="9" t="s">
        <v>405</v>
      </c>
    </row>
    <row r="231" customFormat="false" ht="99.95" hidden="false" customHeight="false" outlineLevel="0" collapsed="false">
      <c r="A231" s="5" t="n">
        <v>226</v>
      </c>
      <c r="B231" s="10" t="s">
        <v>283</v>
      </c>
      <c r="C231" s="11" t="s">
        <v>396</v>
      </c>
      <c r="D231" s="8" t="s">
        <v>397</v>
      </c>
      <c r="E231" s="8" t="s">
        <v>102</v>
      </c>
      <c r="F231" s="8" t="s">
        <v>102</v>
      </c>
      <c r="G231" s="5" t="s">
        <v>16</v>
      </c>
      <c r="H231" s="9" t="s">
        <v>406</v>
      </c>
    </row>
    <row r="232" customFormat="false" ht="108.95" hidden="false" customHeight="false" outlineLevel="0" collapsed="false">
      <c r="A232" s="5" t="n">
        <v>227</v>
      </c>
      <c r="B232" s="10" t="s">
        <v>283</v>
      </c>
      <c r="C232" s="11" t="s">
        <v>396</v>
      </c>
      <c r="D232" s="8" t="s">
        <v>397</v>
      </c>
      <c r="E232" s="8" t="s">
        <v>102</v>
      </c>
      <c r="F232" s="8" t="s">
        <v>407</v>
      </c>
      <c r="G232" s="5" t="s">
        <v>16</v>
      </c>
      <c r="H232" s="9" t="s">
        <v>408</v>
      </c>
    </row>
    <row r="233" customFormat="false" ht="91" hidden="false" customHeight="false" outlineLevel="0" collapsed="false">
      <c r="A233" s="5" t="n">
        <v>228</v>
      </c>
      <c r="B233" s="10" t="s">
        <v>283</v>
      </c>
      <c r="C233" s="11" t="s">
        <v>409</v>
      </c>
      <c r="D233" s="8" t="s">
        <v>410</v>
      </c>
      <c r="E233" s="8" t="s">
        <v>411</v>
      </c>
      <c r="F233" s="8" t="s">
        <v>326</v>
      </c>
      <c r="G233" s="5" t="s">
        <v>16</v>
      </c>
      <c r="H233" s="9" t="s">
        <v>412</v>
      </c>
    </row>
    <row r="234" customFormat="false" ht="91" hidden="false" customHeight="false" outlineLevel="0" collapsed="false">
      <c r="A234" s="5" t="n">
        <v>229</v>
      </c>
      <c r="B234" s="10" t="s">
        <v>283</v>
      </c>
      <c r="C234" s="11" t="s">
        <v>409</v>
      </c>
      <c r="D234" s="8" t="s">
        <v>410</v>
      </c>
      <c r="E234" s="8" t="s">
        <v>411</v>
      </c>
      <c r="F234" s="8" t="s">
        <v>332</v>
      </c>
      <c r="G234" s="5" t="s">
        <v>16</v>
      </c>
      <c r="H234" s="9" t="s">
        <v>413</v>
      </c>
    </row>
    <row r="235" customFormat="false" ht="108.95" hidden="false" customHeight="false" outlineLevel="0" collapsed="false">
      <c r="A235" s="5" t="n">
        <v>230</v>
      </c>
      <c r="B235" s="10" t="s">
        <v>283</v>
      </c>
      <c r="C235" s="11" t="s">
        <v>409</v>
      </c>
      <c r="D235" s="8" t="s">
        <v>410</v>
      </c>
      <c r="E235" s="8" t="s">
        <v>411</v>
      </c>
      <c r="F235" s="8" t="s">
        <v>414</v>
      </c>
      <c r="G235" s="5" t="s">
        <v>16</v>
      </c>
      <c r="H235" s="9" t="s">
        <v>415</v>
      </c>
    </row>
    <row r="236" customFormat="false" ht="153.7" hidden="false" customHeight="false" outlineLevel="0" collapsed="false">
      <c r="A236" s="5" t="n">
        <v>231</v>
      </c>
      <c r="B236" s="10" t="s">
        <v>283</v>
      </c>
      <c r="C236" s="11" t="s">
        <v>416</v>
      </c>
      <c r="D236" s="8" t="s">
        <v>417</v>
      </c>
      <c r="E236" s="8" t="s">
        <v>418</v>
      </c>
      <c r="F236" s="8" t="s">
        <v>419</v>
      </c>
      <c r="G236" s="5" t="s">
        <v>16</v>
      </c>
      <c r="H236" s="9" t="s">
        <v>420</v>
      </c>
    </row>
    <row r="237" customFormat="false" ht="135.8" hidden="false" customHeight="false" outlineLevel="0" collapsed="false">
      <c r="A237" s="5" t="n">
        <v>232</v>
      </c>
      <c r="B237" s="10" t="s">
        <v>283</v>
      </c>
      <c r="C237" s="11" t="s">
        <v>416</v>
      </c>
      <c r="D237" s="8" t="s">
        <v>417</v>
      </c>
      <c r="E237" s="8" t="s">
        <v>418</v>
      </c>
      <c r="F237" s="8" t="s">
        <v>421</v>
      </c>
      <c r="G237" s="5" t="s">
        <v>16</v>
      </c>
      <c r="H237" s="9" t="s">
        <v>422</v>
      </c>
    </row>
    <row r="238" customFormat="false" ht="126.85" hidden="false" customHeight="false" outlineLevel="0" collapsed="false">
      <c r="A238" s="5" t="n">
        <v>233</v>
      </c>
      <c r="B238" s="10" t="s">
        <v>283</v>
      </c>
      <c r="C238" s="11" t="s">
        <v>416</v>
      </c>
      <c r="D238" s="8" t="s">
        <v>417</v>
      </c>
      <c r="E238" s="8" t="s">
        <v>418</v>
      </c>
      <c r="F238" s="8" t="s">
        <v>423</v>
      </c>
      <c r="G238" s="5" t="s">
        <v>47</v>
      </c>
      <c r="H238" s="9" t="s">
        <v>424</v>
      </c>
    </row>
    <row r="239" customFormat="false" ht="135.8" hidden="false" customHeight="false" outlineLevel="0" collapsed="false">
      <c r="A239" s="5" t="n">
        <v>234</v>
      </c>
      <c r="B239" s="10" t="s">
        <v>283</v>
      </c>
      <c r="C239" s="11" t="s">
        <v>416</v>
      </c>
      <c r="D239" s="8" t="s">
        <v>417</v>
      </c>
      <c r="E239" s="8" t="s">
        <v>418</v>
      </c>
      <c r="F239" s="8" t="s">
        <v>425</v>
      </c>
      <c r="G239" s="5" t="s">
        <v>16</v>
      </c>
      <c r="H239" s="9" t="s">
        <v>426</v>
      </c>
    </row>
    <row r="240" customFormat="false" ht="117.9" hidden="false" customHeight="false" outlineLevel="0" collapsed="false">
      <c r="A240" s="5" t="n">
        <v>235</v>
      </c>
      <c r="B240" s="10" t="s">
        <v>283</v>
      </c>
      <c r="C240" s="11" t="s">
        <v>416</v>
      </c>
      <c r="D240" s="8" t="s">
        <v>417</v>
      </c>
      <c r="E240" s="8" t="s">
        <v>427</v>
      </c>
      <c r="F240" s="8" t="s">
        <v>428</v>
      </c>
      <c r="G240" s="5" t="s">
        <v>47</v>
      </c>
      <c r="H240" s="9" t="s">
        <v>429</v>
      </c>
    </row>
    <row r="241" customFormat="false" ht="126.85" hidden="false" customHeight="false" outlineLevel="0" collapsed="false">
      <c r="A241" s="5" t="n">
        <v>236</v>
      </c>
      <c r="B241" s="10" t="s">
        <v>283</v>
      </c>
      <c r="C241" s="11" t="s">
        <v>416</v>
      </c>
      <c r="D241" s="8" t="s">
        <v>417</v>
      </c>
      <c r="E241" s="8" t="s">
        <v>427</v>
      </c>
      <c r="F241" s="8" t="s">
        <v>430</v>
      </c>
      <c r="G241" s="5" t="s">
        <v>47</v>
      </c>
      <c r="H241" s="9" t="s">
        <v>431</v>
      </c>
    </row>
    <row r="242" customFormat="false" ht="117.9" hidden="false" customHeight="false" outlineLevel="0" collapsed="false">
      <c r="A242" s="5" t="n">
        <v>237</v>
      </c>
      <c r="B242" s="10" t="s">
        <v>283</v>
      </c>
      <c r="C242" s="11" t="s">
        <v>416</v>
      </c>
      <c r="D242" s="8" t="s">
        <v>417</v>
      </c>
      <c r="E242" s="8" t="s">
        <v>427</v>
      </c>
      <c r="F242" s="8" t="s">
        <v>432</v>
      </c>
      <c r="G242" s="5" t="s">
        <v>47</v>
      </c>
      <c r="H242" s="9" t="s">
        <v>433</v>
      </c>
    </row>
    <row r="243" customFormat="false" ht="82.05" hidden="false" customHeight="false" outlineLevel="0" collapsed="false">
      <c r="A243" s="5" t="n">
        <v>238</v>
      </c>
      <c r="B243" s="10" t="s">
        <v>283</v>
      </c>
      <c r="C243" s="11" t="s">
        <v>434</v>
      </c>
      <c r="D243" s="8" t="s">
        <v>435</v>
      </c>
      <c r="E243" s="8" t="s">
        <v>436</v>
      </c>
      <c r="F243" s="8" t="s">
        <v>437</v>
      </c>
      <c r="G243" s="5" t="s">
        <v>16</v>
      </c>
      <c r="H243" s="9" t="s">
        <v>438</v>
      </c>
    </row>
    <row r="244" customFormat="false" ht="64.15" hidden="false" customHeight="false" outlineLevel="0" collapsed="false">
      <c r="A244" s="5" t="n">
        <v>239</v>
      </c>
      <c r="B244" s="10" t="s">
        <v>283</v>
      </c>
      <c r="C244" s="11" t="s">
        <v>434</v>
      </c>
      <c r="D244" s="8" t="s">
        <v>435</v>
      </c>
      <c r="E244" s="8" t="s">
        <v>436</v>
      </c>
      <c r="F244" s="8" t="s">
        <v>439</v>
      </c>
      <c r="G244" s="5" t="s">
        <v>16</v>
      </c>
      <c r="H244" s="9" t="s">
        <v>440</v>
      </c>
    </row>
    <row r="245" customFormat="false" ht="91" hidden="false" customHeight="false" outlineLevel="0" collapsed="false">
      <c r="A245" s="5" t="n">
        <v>240</v>
      </c>
      <c r="B245" s="10" t="s">
        <v>283</v>
      </c>
      <c r="C245" s="11" t="s">
        <v>434</v>
      </c>
      <c r="D245" s="8" t="s">
        <v>435</v>
      </c>
      <c r="E245" s="8" t="s">
        <v>436</v>
      </c>
      <c r="F245" s="8" t="s">
        <v>441</v>
      </c>
      <c r="G245" s="5" t="s">
        <v>16</v>
      </c>
      <c r="H245" s="9" t="s">
        <v>442</v>
      </c>
    </row>
    <row r="246" customFormat="false" ht="73.1" hidden="false" customHeight="false" outlineLevel="0" collapsed="false">
      <c r="A246" s="5" t="n">
        <v>241</v>
      </c>
      <c r="B246" s="10" t="s">
        <v>283</v>
      </c>
      <c r="C246" s="11" t="s">
        <v>434</v>
      </c>
      <c r="D246" s="8" t="s">
        <v>435</v>
      </c>
      <c r="E246" s="8" t="s">
        <v>436</v>
      </c>
      <c r="F246" s="8" t="s">
        <v>443</v>
      </c>
      <c r="G246" s="5" t="s">
        <v>47</v>
      </c>
      <c r="H246" s="9" t="s">
        <v>444</v>
      </c>
    </row>
    <row r="247" customFormat="false" ht="153.7" hidden="false" customHeight="false" outlineLevel="0" collapsed="false">
      <c r="A247" s="5" t="n">
        <v>242</v>
      </c>
      <c r="B247" s="10" t="s">
        <v>283</v>
      </c>
      <c r="C247" s="11" t="s">
        <v>434</v>
      </c>
      <c r="D247" s="8" t="s">
        <v>435</v>
      </c>
      <c r="E247" s="8" t="s">
        <v>445</v>
      </c>
      <c r="F247" s="8" t="s">
        <v>446</v>
      </c>
      <c r="G247" s="5" t="s">
        <v>16</v>
      </c>
      <c r="H247" s="9" t="s">
        <v>447</v>
      </c>
    </row>
    <row r="248" customFormat="false" ht="126.85" hidden="false" customHeight="false" outlineLevel="0" collapsed="false">
      <c r="A248" s="5" t="n">
        <v>243</v>
      </c>
      <c r="B248" s="10" t="s">
        <v>283</v>
      </c>
      <c r="C248" s="11" t="s">
        <v>434</v>
      </c>
      <c r="D248" s="8" t="s">
        <v>435</v>
      </c>
      <c r="E248" s="8" t="s">
        <v>445</v>
      </c>
      <c r="F248" s="8" t="s">
        <v>448</v>
      </c>
      <c r="G248" s="5" t="s">
        <v>16</v>
      </c>
      <c r="H248" s="9" t="s">
        <v>449</v>
      </c>
    </row>
    <row r="249" customFormat="false" ht="126.85" hidden="false" customHeight="false" outlineLevel="0" collapsed="false">
      <c r="A249" s="5" t="n">
        <v>244</v>
      </c>
      <c r="B249" s="10" t="s">
        <v>283</v>
      </c>
      <c r="C249" s="11" t="s">
        <v>434</v>
      </c>
      <c r="D249" s="8" t="s">
        <v>435</v>
      </c>
      <c r="E249" s="8" t="s">
        <v>445</v>
      </c>
      <c r="F249" s="8" t="s">
        <v>450</v>
      </c>
      <c r="G249" s="5" t="s">
        <v>16</v>
      </c>
      <c r="H249" s="9" t="s">
        <v>451</v>
      </c>
    </row>
    <row r="250" customFormat="false" ht="135.8" hidden="false" customHeight="false" outlineLevel="0" collapsed="false">
      <c r="A250" s="5" t="n">
        <v>245</v>
      </c>
      <c r="B250" s="10" t="s">
        <v>283</v>
      </c>
      <c r="C250" s="11" t="s">
        <v>434</v>
      </c>
      <c r="D250" s="8" t="s">
        <v>435</v>
      </c>
      <c r="E250" s="8" t="s">
        <v>445</v>
      </c>
      <c r="F250" s="8" t="s">
        <v>407</v>
      </c>
      <c r="G250" s="5" t="s">
        <v>16</v>
      </c>
      <c r="H250" s="9" t="s">
        <v>452</v>
      </c>
    </row>
    <row r="251" customFormat="false" ht="64.15" hidden="false" customHeight="false" outlineLevel="0" collapsed="false">
      <c r="A251" s="5" t="n">
        <v>246</v>
      </c>
      <c r="B251" s="10" t="s">
        <v>283</v>
      </c>
      <c r="C251" s="11" t="s">
        <v>434</v>
      </c>
      <c r="D251" s="8" t="s">
        <v>435</v>
      </c>
      <c r="E251" s="8" t="s">
        <v>453</v>
      </c>
      <c r="F251" s="8" t="s">
        <v>454</v>
      </c>
      <c r="G251" s="5" t="s">
        <v>47</v>
      </c>
      <c r="H251" s="9" t="s">
        <v>455</v>
      </c>
    </row>
    <row r="252" customFormat="false" ht="73.1" hidden="false" customHeight="false" outlineLevel="0" collapsed="false">
      <c r="A252" s="5" t="n">
        <v>247</v>
      </c>
      <c r="B252" s="10" t="s">
        <v>283</v>
      </c>
      <c r="C252" s="11" t="s">
        <v>434</v>
      </c>
      <c r="D252" s="8" t="s">
        <v>435</v>
      </c>
      <c r="E252" s="8" t="s">
        <v>453</v>
      </c>
      <c r="F252" s="8" t="s">
        <v>456</v>
      </c>
      <c r="G252" s="5" t="s">
        <v>47</v>
      </c>
      <c r="H252" s="9" t="s">
        <v>457</v>
      </c>
    </row>
    <row r="253" customFormat="false" ht="64.15" hidden="false" customHeight="false" outlineLevel="0" collapsed="false">
      <c r="A253" s="5" t="n">
        <v>248</v>
      </c>
      <c r="B253" s="10" t="s">
        <v>283</v>
      </c>
      <c r="C253" s="11" t="s">
        <v>434</v>
      </c>
      <c r="D253" s="8" t="s">
        <v>435</v>
      </c>
      <c r="E253" s="8" t="s">
        <v>453</v>
      </c>
      <c r="F253" s="8" t="s">
        <v>458</v>
      </c>
      <c r="G253" s="5" t="s">
        <v>44</v>
      </c>
      <c r="H253" s="9" t="s">
        <v>459</v>
      </c>
    </row>
    <row r="254" customFormat="false" ht="64.15" hidden="false" customHeight="false" outlineLevel="0" collapsed="false">
      <c r="A254" s="5" t="n">
        <v>249</v>
      </c>
      <c r="B254" s="10" t="s">
        <v>283</v>
      </c>
      <c r="C254" s="11" t="s">
        <v>434</v>
      </c>
      <c r="D254" s="8" t="s">
        <v>435</v>
      </c>
      <c r="E254" s="8" t="s">
        <v>453</v>
      </c>
      <c r="F254" s="8" t="s">
        <v>272</v>
      </c>
      <c r="G254" s="5" t="s">
        <v>47</v>
      </c>
      <c r="H254" s="9" t="s">
        <v>460</v>
      </c>
    </row>
    <row r="255" customFormat="false" ht="73.1" hidden="false" customHeight="false" outlineLevel="0" collapsed="false">
      <c r="A255" s="5" t="n">
        <v>250</v>
      </c>
      <c r="B255" s="10" t="s">
        <v>283</v>
      </c>
      <c r="C255" s="11" t="s">
        <v>434</v>
      </c>
      <c r="D255" s="8" t="s">
        <v>435</v>
      </c>
      <c r="E255" s="8" t="s">
        <v>461</v>
      </c>
      <c r="F255" s="8" t="s">
        <v>462</v>
      </c>
      <c r="G255" s="5" t="s">
        <v>16</v>
      </c>
      <c r="H255" s="9" t="s">
        <v>463</v>
      </c>
    </row>
    <row r="256" customFormat="false" ht="99.95" hidden="false" customHeight="false" outlineLevel="0" collapsed="false">
      <c r="A256" s="5" t="n">
        <v>251</v>
      </c>
      <c r="B256" s="10" t="s">
        <v>283</v>
      </c>
      <c r="C256" s="11" t="s">
        <v>434</v>
      </c>
      <c r="D256" s="8" t="s">
        <v>435</v>
      </c>
      <c r="E256" s="8" t="s">
        <v>461</v>
      </c>
      <c r="F256" s="8" t="s">
        <v>464</v>
      </c>
      <c r="G256" s="5" t="s">
        <v>44</v>
      </c>
      <c r="H256" s="9" t="s">
        <v>465</v>
      </c>
    </row>
    <row r="257" customFormat="false" ht="82.05" hidden="false" customHeight="false" outlineLevel="0" collapsed="false">
      <c r="A257" s="5" t="n">
        <v>252</v>
      </c>
      <c r="B257" s="10" t="s">
        <v>283</v>
      </c>
      <c r="C257" s="11" t="s">
        <v>434</v>
      </c>
      <c r="D257" s="8" t="s">
        <v>435</v>
      </c>
      <c r="E257" s="8" t="s">
        <v>461</v>
      </c>
      <c r="F257" s="8" t="s">
        <v>466</v>
      </c>
      <c r="G257" s="5" t="s">
        <v>44</v>
      </c>
      <c r="H257" s="9" t="s">
        <v>467</v>
      </c>
    </row>
    <row r="258" customFormat="false" ht="99.95" hidden="false" customHeight="false" outlineLevel="0" collapsed="false">
      <c r="A258" s="5" t="n">
        <v>253</v>
      </c>
      <c r="B258" s="10" t="s">
        <v>283</v>
      </c>
      <c r="C258" s="11" t="s">
        <v>434</v>
      </c>
      <c r="D258" s="8" t="s">
        <v>435</v>
      </c>
      <c r="E258" s="8" t="s">
        <v>461</v>
      </c>
      <c r="F258" s="8" t="s">
        <v>468</v>
      </c>
      <c r="G258" s="5" t="s">
        <v>44</v>
      </c>
      <c r="H258" s="9" t="s">
        <v>469</v>
      </c>
    </row>
    <row r="259" customFormat="false" ht="162.65" hidden="false" customHeight="false" outlineLevel="0" collapsed="false">
      <c r="A259" s="5" t="n">
        <v>254</v>
      </c>
      <c r="B259" s="10" t="s">
        <v>283</v>
      </c>
      <c r="C259" s="11" t="s">
        <v>470</v>
      </c>
      <c r="D259" s="8" t="s">
        <v>471</v>
      </c>
      <c r="E259" s="8" t="s">
        <v>286</v>
      </c>
      <c r="F259" s="8" t="s">
        <v>287</v>
      </c>
      <c r="G259" s="5" t="s">
        <v>16</v>
      </c>
      <c r="H259" s="9" t="s">
        <v>472</v>
      </c>
    </row>
    <row r="260" customFormat="false" ht="162.65" hidden="false" customHeight="false" outlineLevel="0" collapsed="false">
      <c r="A260" s="5" t="n">
        <v>255</v>
      </c>
      <c r="B260" s="10" t="s">
        <v>283</v>
      </c>
      <c r="C260" s="11" t="s">
        <v>470</v>
      </c>
      <c r="D260" s="8" t="s">
        <v>471</v>
      </c>
      <c r="E260" s="8" t="s">
        <v>286</v>
      </c>
      <c r="F260" s="8" t="s">
        <v>289</v>
      </c>
      <c r="G260" s="5" t="s">
        <v>16</v>
      </c>
      <c r="H260" s="9" t="s">
        <v>473</v>
      </c>
    </row>
    <row r="261" customFormat="false" ht="144.75" hidden="false" customHeight="false" outlineLevel="0" collapsed="false">
      <c r="A261" s="5" t="n">
        <v>256</v>
      </c>
      <c r="B261" s="10" t="s">
        <v>283</v>
      </c>
      <c r="C261" s="11" t="s">
        <v>470</v>
      </c>
      <c r="D261" s="8" t="s">
        <v>471</v>
      </c>
      <c r="E261" s="8" t="s">
        <v>474</v>
      </c>
      <c r="F261" s="8" t="s">
        <v>475</v>
      </c>
      <c r="G261" s="5" t="s">
        <v>16</v>
      </c>
      <c r="H261" s="9" t="s">
        <v>476</v>
      </c>
    </row>
    <row r="262" customFormat="false" ht="144.75" hidden="false" customHeight="false" outlineLevel="0" collapsed="false">
      <c r="A262" s="5" t="n">
        <v>257</v>
      </c>
      <c r="B262" s="10" t="s">
        <v>283</v>
      </c>
      <c r="C262" s="11" t="s">
        <v>470</v>
      </c>
      <c r="D262" s="8" t="s">
        <v>471</v>
      </c>
      <c r="E262" s="8" t="s">
        <v>474</v>
      </c>
      <c r="F262" s="8" t="s">
        <v>477</v>
      </c>
      <c r="G262" s="5" t="s">
        <v>16</v>
      </c>
      <c r="H262" s="9" t="s">
        <v>478</v>
      </c>
    </row>
    <row r="263" customFormat="false" ht="135.8" hidden="false" customHeight="false" outlineLevel="0" collapsed="false">
      <c r="A263" s="5" t="n">
        <v>258</v>
      </c>
      <c r="B263" s="10" t="s">
        <v>283</v>
      </c>
      <c r="C263" s="11" t="s">
        <v>470</v>
      </c>
      <c r="D263" s="8" t="s">
        <v>471</v>
      </c>
      <c r="E263" s="8" t="s">
        <v>474</v>
      </c>
      <c r="F263" s="8" t="s">
        <v>479</v>
      </c>
      <c r="G263" s="5" t="s">
        <v>16</v>
      </c>
      <c r="H263" s="9" t="s">
        <v>480</v>
      </c>
    </row>
    <row r="264" customFormat="false" ht="117.9" hidden="false" customHeight="false" outlineLevel="0" collapsed="false">
      <c r="A264" s="5" t="n">
        <v>259</v>
      </c>
      <c r="B264" s="10" t="s">
        <v>283</v>
      </c>
      <c r="C264" s="11" t="s">
        <v>470</v>
      </c>
      <c r="D264" s="8" t="s">
        <v>471</v>
      </c>
      <c r="E264" s="8" t="s">
        <v>474</v>
      </c>
      <c r="F264" s="8" t="s">
        <v>481</v>
      </c>
      <c r="G264" s="5" t="s">
        <v>16</v>
      </c>
      <c r="H264" s="9" t="s">
        <v>482</v>
      </c>
    </row>
    <row r="265" customFormat="false" ht="153.7" hidden="false" customHeight="false" outlineLevel="0" collapsed="false">
      <c r="A265" s="5" t="n">
        <v>260</v>
      </c>
      <c r="B265" s="10" t="s">
        <v>283</v>
      </c>
      <c r="C265" s="11" t="s">
        <v>470</v>
      </c>
      <c r="D265" s="8" t="s">
        <v>471</v>
      </c>
      <c r="E265" s="8" t="s">
        <v>483</v>
      </c>
      <c r="F265" s="8" t="s">
        <v>484</v>
      </c>
      <c r="G265" s="5" t="s">
        <v>16</v>
      </c>
      <c r="H265" s="9" t="s">
        <v>485</v>
      </c>
    </row>
    <row r="266" customFormat="false" ht="144.75" hidden="false" customHeight="false" outlineLevel="0" collapsed="false">
      <c r="A266" s="5" t="n">
        <v>261</v>
      </c>
      <c r="B266" s="10" t="s">
        <v>283</v>
      </c>
      <c r="C266" s="11" t="s">
        <v>470</v>
      </c>
      <c r="D266" s="8" t="s">
        <v>471</v>
      </c>
      <c r="E266" s="8" t="s">
        <v>483</v>
      </c>
      <c r="F266" s="8" t="s">
        <v>486</v>
      </c>
      <c r="G266" s="5" t="s">
        <v>16</v>
      </c>
      <c r="H266" s="9" t="s">
        <v>487</v>
      </c>
    </row>
    <row r="267" customFormat="false" ht="126.85" hidden="false" customHeight="false" outlineLevel="0" collapsed="false">
      <c r="A267" s="5" t="n">
        <v>262</v>
      </c>
      <c r="B267" s="10" t="s">
        <v>283</v>
      </c>
      <c r="C267" s="11" t="s">
        <v>470</v>
      </c>
      <c r="D267" s="8" t="s">
        <v>471</v>
      </c>
      <c r="E267" s="8" t="s">
        <v>488</v>
      </c>
      <c r="F267" s="8" t="s">
        <v>488</v>
      </c>
      <c r="G267" s="5" t="s">
        <v>44</v>
      </c>
      <c r="H267" s="9" t="s">
        <v>489</v>
      </c>
    </row>
    <row r="268" customFormat="false" ht="126.85" hidden="false" customHeight="false" outlineLevel="0" collapsed="false">
      <c r="A268" s="5" t="n">
        <v>263</v>
      </c>
      <c r="B268" s="10" t="s">
        <v>283</v>
      </c>
      <c r="C268" s="11" t="s">
        <v>470</v>
      </c>
      <c r="D268" s="8" t="s">
        <v>471</v>
      </c>
      <c r="E268" s="8" t="s">
        <v>488</v>
      </c>
      <c r="F268" s="8" t="s">
        <v>490</v>
      </c>
      <c r="G268" s="5" t="s">
        <v>44</v>
      </c>
      <c r="H268" s="9" t="s">
        <v>491</v>
      </c>
    </row>
    <row r="269" customFormat="false" ht="91" hidden="false" customHeight="false" outlineLevel="0" collapsed="false">
      <c r="A269" s="5" t="n">
        <v>264</v>
      </c>
      <c r="B269" s="10" t="s">
        <v>283</v>
      </c>
      <c r="C269" s="11" t="s">
        <v>470</v>
      </c>
      <c r="D269" s="8" t="s">
        <v>471</v>
      </c>
      <c r="E269" s="8" t="s">
        <v>428</v>
      </c>
      <c r="F269" s="8" t="s">
        <v>428</v>
      </c>
      <c r="G269" s="5" t="s">
        <v>47</v>
      </c>
      <c r="H269" s="9" t="s">
        <v>492</v>
      </c>
    </row>
    <row r="270" customFormat="false" ht="117.9" hidden="false" customHeight="false" outlineLevel="0" collapsed="false">
      <c r="A270" s="5" t="n">
        <v>265</v>
      </c>
      <c r="B270" s="10" t="s">
        <v>283</v>
      </c>
      <c r="C270" s="11" t="s">
        <v>470</v>
      </c>
      <c r="D270" s="8" t="s">
        <v>471</v>
      </c>
      <c r="E270" s="8" t="s">
        <v>428</v>
      </c>
      <c r="F270" s="8" t="s">
        <v>493</v>
      </c>
      <c r="G270" s="5" t="s">
        <v>47</v>
      </c>
      <c r="H270" s="9" t="s">
        <v>494</v>
      </c>
    </row>
    <row r="271" customFormat="false" ht="99.95" hidden="false" customHeight="false" outlineLevel="0" collapsed="false">
      <c r="A271" s="5" t="n">
        <v>266</v>
      </c>
      <c r="B271" s="10" t="s">
        <v>283</v>
      </c>
      <c r="C271" s="11" t="s">
        <v>470</v>
      </c>
      <c r="D271" s="8" t="s">
        <v>471</v>
      </c>
      <c r="E271" s="8" t="s">
        <v>428</v>
      </c>
      <c r="F271" s="8" t="s">
        <v>495</v>
      </c>
      <c r="G271" s="5" t="s">
        <v>47</v>
      </c>
      <c r="H271" s="9" t="s">
        <v>496</v>
      </c>
    </row>
    <row r="272" customFormat="false" ht="91" hidden="false" customHeight="false" outlineLevel="0" collapsed="false">
      <c r="A272" s="5" t="n">
        <v>267</v>
      </c>
      <c r="B272" s="10" t="s">
        <v>283</v>
      </c>
      <c r="C272" s="11" t="s">
        <v>497</v>
      </c>
      <c r="D272" s="8" t="s">
        <v>498</v>
      </c>
      <c r="E272" s="8" t="s">
        <v>499</v>
      </c>
      <c r="F272" s="8" t="s">
        <v>499</v>
      </c>
      <c r="G272" s="5" t="s">
        <v>44</v>
      </c>
      <c r="H272" s="9" t="s">
        <v>500</v>
      </c>
    </row>
    <row r="273" customFormat="false" ht="108.95" hidden="false" customHeight="false" outlineLevel="0" collapsed="false">
      <c r="A273" s="5" t="n">
        <v>268</v>
      </c>
      <c r="B273" s="10" t="s">
        <v>283</v>
      </c>
      <c r="C273" s="11" t="s">
        <v>497</v>
      </c>
      <c r="D273" s="8" t="s">
        <v>498</v>
      </c>
      <c r="E273" s="8" t="s">
        <v>499</v>
      </c>
      <c r="F273" s="8" t="s">
        <v>501</v>
      </c>
      <c r="G273" s="5" t="s">
        <v>44</v>
      </c>
      <c r="H273" s="9" t="s">
        <v>502</v>
      </c>
    </row>
    <row r="274" customFormat="false" ht="73.1" hidden="false" customHeight="false" outlineLevel="0" collapsed="false">
      <c r="A274" s="5" t="n">
        <v>269</v>
      </c>
      <c r="B274" s="10" t="s">
        <v>283</v>
      </c>
      <c r="C274" s="11" t="s">
        <v>497</v>
      </c>
      <c r="D274" s="8" t="s">
        <v>498</v>
      </c>
      <c r="E274" s="8" t="s">
        <v>503</v>
      </c>
      <c r="F274" s="8" t="s">
        <v>503</v>
      </c>
      <c r="G274" s="5" t="s">
        <v>44</v>
      </c>
      <c r="H274" s="9" t="s">
        <v>504</v>
      </c>
    </row>
    <row r="275" customFormat="false" ht="99.95" hidden="false" customHeight="false" outlineLevel="0" collapsed="false">
      <c r="A275" s="5" t="n">
        <v>270</v>
      </c>
      <c r="B275" s="10" t="s">
        <v>283</v>
      </c>
      <c r="C275" s="11" t="s">
        <v>497</v>
      </c>
      <c r="D275" s="8" t="s">
        <v>498</v>
      </c>
      <c r="E275" s="8" t="s">
        <v>348</v>
      </c>
      <c r="F275" s="8" t="s">
        <v>348</v>
      </c>
      <c r="G275" s="5" t="s">
        <v>44</v>
      </c>
      <c r="H275" s="9" t="s">
        <v>505</v>
      </c>
    </row>
    <row r="276" customFormat="false" ht="99.95" hidden="false" customHeight="false" outlineLevel="0" collapsed="false">
      <c r="A276" s="5" t="n">
        <v>271</v>
      </c>
      <c r="B276" s="10" t="s">
        <v>283</v>
      </c>
      <c r="C276" s="11" t="s">
        <v>497</v>
      </c>
      <c r="D276" s="8" t="s">
        <v>498</v>
      </c>
      <c r="E276" s="8" t="s">
        <v>348</v>
      </c>
      <c r="F276" s="8" t="s">
        <v>506</v>
      </c>
      <c r="G276" s="5" t="s">
        <v>44</v>
      </c>
      <c r="H276" s="9" t="s">
        <v>507</v>
      </c>
    </row>
    <row r="277" customFormat="false" ht="126.85" hidden="false" customHeight="false" outlineLevel="0" collapsed="false">
      <c r="A277" s="5" t="n">
        <v>272</v>
      </c>
      <c r="B277" s="10" t="s">
        <v>283</v>
      </c>
      <c r="C277" s="11" t="s">
        <v>497</v>
      </c>
      <c r="D277" s="8" t="s">
        <v>498</v>
      </c>
      <c r="E277" s="8" t="s">
        <v>508</v>
      </c>
      <c r="F277" s="8" t="s">
        <v>352</v>
      </c>
      <c r="G277" s="5" t="s">
        <v>44</v>
      </c>
      <c r="H277" s="9" t="s">
        <v>509</v>
      </c>
    </row>
    <row r="278" customFormat="false" ht="117.9" hidden="false" customHeight="false" outlineLevel="0" collapsed="false">
      <c r="A278" s="5" t="n">
        <v>273</v>
      </c>
      <c r="B278" s="10" t="s">
        <v>283</v>
      </c>
      <c r="C278" s="11" t="s">
        <v>497</v>
      </c>
      <c r="D278" s="8" t="s">
        <v>498</v>
      </c>
      <c r="E278" s="8" t="s">
        <v>508</v>
      </c>
      <c r="F278" s="8" t="s">
        <v>356</v>
      </c>
      <c r="G278" s="5" t="s">
        <v>44</v>
      </c>
      <c r="H278" s="9" t="s">
        <v>510</v>
      </c>
    </row>
    <row r="279" customFormat="false" ht="91" hidden="false" customHeight="false" outlineLevel="0" collapsed="false">
      <c r="A279" s="5" t="n">
        <v>274</v>
      </c>
      <c r="B279" s="10" t="s">
        <v>283</v>
      </c>
      <c r="C279" s="11" t="s">
        <v>497</v>
      </c>
      <c r="D279" s="8" t="s">
        <v>498</v>
      </c>
      <c r="E279" s="8" t="s">
        <v>365</v>
      </c>
      <c r="F279" s="8" t="s">
        <v>366</v>
      </c>
      <c r="G279" s="5" t="s">
        <v>44</v>
      </c>
      <c r="H279" s="9" t="s">
        <v>511</v>
      </c>
    </row>
    <row r="280" customFormat="false" ht="99.95" hidden="false" customHeight="false" outlineLevel="0" collapsed="false">
      <c r="A280" s="5" t="n">
        <v>275</v>
      </c>
      <c r="B280" s="10" t="s">
        <v>283</v>
      </c>
      <c r="C280" s="11" t="s">
        <v>497</v>
      </c>
      <c r="D280" s="8" t="s">
        <v>498</v>
      </c>
      <c r="E280" s="8" t="s">
        <v>365</v>
      </c>
      <c r="F280" s="8" t="s">
        <v>368</v>
      </c>
      <c r="G280" s="5" t="s">
        <v>44</v>
      </c>
      <c r="H280" s="9" t="s">
        <v>512</v>
      </c>
    </row>
    <row r="281" customFormat="false" ht="91" hidden="false" customHeight="false" outlineLevel="0" collapsed="false">
      <c r="A281" s="5" t="n">
        <v>276</v>
      </c>
      <c r="B281" s="10" t="s">
        <v>283</v>
      </c>
      <c r="C281" s="11" t="s">
        <v>497</v>
      </c>
      <c r="D281" s="8" t="s">
        <v>498</v>
      </c>
      <c r="E281" s="8" t="s">
        <v>365</v>
      </c>
      <c r="F281" s="8" t="s">
        <v>370</v>
      </c>
      <c r="G281" s="5" t="s">
        <v>44</v>
      </c>
      <c r="H281" s="9" t="s">
        <v>513</v>
      </c>
    </row>
    <row r="282" customFormat="false" ht="99.95" hidden="false" customHeight="false" outlineLevel="0" collapsed="false">
      <c r="A282" s="5" t="n">
        <v>277</v>
      </c>
      <c r="B282" s="10" t="s">
        <v>283</v>
      </c>
      <c r="C282" s="11" t="s">
        <v>497</v>
      </c>
      <c r="D282" s="8" t="s">
        <v>498</v>
      </c>
      <c r="E282" s="8" t="s">
        <v>365</v>
      </c>
      <c r="F282" s="8" t="s">
        <v>372</v>
      </c>
      <c r="G282" s="5" t="s">
        <v>44</v>
      </c>
      <c r="H282" s="9" t="s">
        <v>514</v>
      </c>
    </row>
    <row r="283" customFormat="false" ht="91" hidden="false" customHeight="false" outlineLevel="0" collapsed="false">
      <c r="A283" s="5" t="n">
        <v>278</v>
      </c>
      <c r="B283" s="10" t="s">
        <v>283</v>
      </c>
      <c r="C283" s="11" t="s">
        <v>497</v>
      </c>
      <c r="D283" s="8" t="s">
        <v>498</v>
      </c>
      <c r="E283" s="8" t="s">
        <v>365</v>
      </c>
      <c r="F283" s="8" t="s">
        <v>515</v>
      </c>
      <c r="G283" s="5" t="s">
        <v>44</v>
      </c>
      <c r="H283" s="9" t="s">
        <v>516</v>
      </c>
    </row>
    <row r="284" customFormat="false" ht="144.75" hidden="false" customHeight="false" outlineLevel="0" collapsed="false">
      <c r="A284" s="5" t="n">
        <v>279</v>
      </c>
      <c r="B284" s="10" t="s">
        <v>283</v>
      </c>
      <c r="C284" s="11" t="s">
        <v>497</v>
      </c>
      <c r="D284" s="8" t="s">
        <v>498</v>
      </c>
      <c r="E284" s="8" t="s">
        <v>517</v>
      </c>
      <c r="F284" s="8" t="s">
        <v>518</v>
      </c>
      <c r="G284" s="5" t="s">
        <v>44</v>
      </c>
      <c r="H284" s="9" t="s">
        <v>519</v>
      </c>
    </row>
    <row r="285" customFormat="false" ht="126.85" hidden="false" customHeight="false" outlineLevel="0" collapsed="false">
      <c r="A285" s="5" t="n">
        <v>280</v>
      </c>
      <c r="B285" s="10" t="s">
        <v>283</v>
      </c>
      <c r="C285" s="11" t="s">
        <v>497</v>
      </c>
      <c r="D285" s="8" t="s">
        <v>498</v>
      </c>
      <c r="E285" s="8" t="s">
        <v>517</v>
      </c>
      <c r="F285" s="8" t="s">
        <v>520</v>
      </c>
      <c r="G285" s="5" t="s">
        <v>16</v>
      </c>
      <c r="H285" s="9" t="s">
        <v>521</v>
      </c>
    </row>
    <row r="286" customFormat="false" ht="117.9" hidden="false" customHeight="false" outlineLevel="0" collapsed="false">
      <c r="A286" s="5" t="n">
        <v>281</v>
      </c>
      <c r="B286" s="10" t="s">
        <v>283</v>
      </c>
      <c r="C286" s="11" t="s">
        <v>522</v>
      </c>
      <c r="D286" s="8" t="s">
        <v>523</v>
      </c>
      <c r="E286" s="8" t="s">
        <v>524</v>
      </c>
      <c r="F286" s="8" t="s">
        <v>525</v>
      </c>
      <c r="G286" s="5" t="s">
        <v>28</v>
      </c>
      <c r="H286" s="9" t="s">
        <v>526</v>
      </c>
    </row>
    <row r="287" customFormat="false" ht="135.8" hidden="false" customHeight="false" outlineLevel="0" collapsed="false">
      <c r="A287" s="5" t="n">
        <v>282</v>
      </c>
      <c r="B287" s="10" t="s">
        <v>283</v>
      </c>
      <c r="C287" s="11" t="s">
        <v>522</v>
      </c>
      <c r="D287" s="8" t="s">
        <v>523</v>
      </c>
      <c r="E287" s="8" t="s">
        <v>524</v>
      </c>
      <c r="F287" s="8" t="s">
        <v>527</v>
      </c>
      <c r="G287" s="5" t="s">
        <v>44</v>
      </c>
      <c r="H287" s="9" t="s">
        <v>528</v>
      </c>
    </row>
    <row r="288" customFormat="false" ht="91" hidden="false" customHeight="false" outlineLevel="0" collapsed="false">
      <c r="A288" s="5" t="n">
        <v>283</v>
      </c>
      <c r="B288" s="10" t="s">
        <v>283</v>
      </c>
      <c r="C288" s="11" t="s">
        <v>529</v>
      </c>
      <c r="D288" s="8" t="s">
        <v>530</v>
      </c>
      <c r="E288" s="8" t="s">
        <v>326</v>
      </c>
      <c r="F288" s="8" t="s">
        <v>326</v>
      </c>
      <c r="G288" s="5" t="s">
        <v>16</v>
      </c>
      <c r="H288" s="9" t="s">
        <v>531</v>
      </c>
    </row>
    <row r="289" customFormat="false" ht="91" hidden="false" customHeight="false" outlineLevel="0" collapsed="false">
      <c r="A289" s="5" t="n">
        <v>284</v>
      </c>
      <c r="B289" s="10" t="s">
        <v>283</v>
      </c>
      <c r="C289" s="11" t="s">
        <v>529</v>
      </c>
      <c r="D289" s="8" t="s">
        <v>530</v>
      </c>
      <c r="E289" s="8" t="s">
        <v>326</v>
      </c>
      <c r="F289" s="8" t="s">
        <v>328</v>
      </c>
      <c r="G289" s="5" t="s">
        <v>16</v>
      </c>
      <c r="H289" s="9" t="s">
        <v>532</v>
      </c>
    </row>
    <row r="290" customFormat="false" ht="82.05" hidden="false" customHeight="false" outlineLevel="0" collapsed="false">
      <c r="A290" s="5" t="n">
        <v>285</v>
      </c>
      <c r="B290" s="10" t="s">
        <v>283</v>
      </c>
      <c r="C290" s="11" t="s">
        <v>529</v>
      </c>
      <c r="D290" s="8" t="s">
        <v>530</v>
      </c>
      <c r="E290" s="8" t="s">
        <v>332</v>
      </c>
      <c r="F290" s="8" t="s">
        <v>332</v>
      </c>
      <c r="G290" s="5" t="s">
        <v>16</v>
      </c>
      <c r="H290" s="9" t="s">
        <v>533</v>
      </c>
    </row>
    <row r="291" customFormat="false" ht="91" hidden="false" customHeight="false" outlineLevel="0" collapsed="false">
      <c r="A291" s="5" t="n">
        <v>286</v>
      </c>
      <c r="B291" s="10" t="s">
        <v>283</v>
      </c>
      <c r="C291" s="11" t="s">
        <v>529</v>
      </c>
      <c r="D291" s="8" t="s">
        <v>530</v>
      </c>
      <c r="E291" s="8" t="s">
        <v>332</v>
      </c>
      <c r="F291" s="8" t="s">
        <v>334</v>
      </c>
      <c r="G291" s="5" t="s">
        <v>16</v>
      </c>
      <c r="H291" s="9" t="s">
        <v>534</v>
      </c>
    </row>
    <row r="292" customFormat="false" ht="82.05" hidden="false" customHeight="false" outlineLevel="0" collapsed="false">
      <c r="A292" s="5" t="n">
        <v>287</v>
      </c>
      <c r="B292" s="10" t="s">
        <v>283</v>
      </c>
      <c r="C292" s="11" t="s">
        <v>529</v>
      </c>
      <c r="D292" s="8" t="s">
        <v>530</v>
      </c>
      <c r="E292" s="8" t="s">
        <v>338</v>
      </c>
      <c r="F292" s="8" t="s">
        <v>338</v>
      </c>
      <c r="G292" s="5" t="s">
        <v>16</v>
      </c>
      <c r="H292" s="9" t="s">
        <v>535</v>
      </c>
    </row>
    <row r="293" customFormat="false" ht="108.95" hidden="false" customHeight="false" outlineLevel="0" collapsed="false">
      <c r="A293" s="5" t="n">
        <v>288</v>
      </c>
      <c r="B293" s="10" t="s">
        <v>283</v>
      </c>
      <c r="C293" s="11" t="s">
        <v>529</v>
      </c>
      <c r="D293" s="8" t="s">
        <v>530</v>
      </c>
      <c r="E293" s="8" t="s">
        <v>338</v>
      </c>
      <c r="F293" s="8" t="s">
        <v>536</v>
      </c>
      <c r="G293" s="5" t="s">
        <v>16</v>
      </c>
      <c r="H293" s="9" t="s">
        <v>537</v>
      </c>
    </row>
    <row r="294" customFormat="false" ht="99.95" hidden="false" customHeight="false" outlineLevel="0" collapsed="false">
      <c r="A294" s="5" t="n">
        <v>289</v>
      </c>
      <c r="B294" s="10" t="s">
        <v>283</v>
      </c>
      <c r="C294" s="11" t="s">
        <v>529</v>
      </c>
      <c r="D294" s="8" t="s">
        <v>530</v>
      </c>
      <c r="E294" s="8" t="s">
        <v>538</v>
      </c>
      <c r="F294" s="8" t="s">
        <v>538</v>
      </c>
      <c r="G294" s="5" t="s">
        <v>16</v>
      </c>
      <c r="H294" s="9" t="s">
        <v>539</v>
      </c>
    </row>
    <row r="295" customFormat="false" ht="108.95" hidden="false" customHeight="false" outlineLevel="0" collapsed="false">
      <c r="A295" s="5" t="n">
        <v>290</v>
      </c>
      <c r="B295" s="10" t="s">
        <v>283</v>
      </c>
      <c r="C295" s="11" t="s">
        <v>529</v>
      </c>
      <c r="D295" s="8" t="s">
        <v>530</v>
      </c>
      <c r="E295" s="8" t="s">
        <v>538</v>
      </c>
      <c r="F295" s="8" t="s">
        <v>540</v>
      </c>
      <c r="G295" s="5" t="s">
        <v>16</v>
      </c>
      <c r="H295" s="9" t="s">
        <v>541</v>
      </c>
    </row>
    <row r="296" customFormat="false" ht="99.95" hidden="false" customHeight="false" outlineLevel="0" collapsed="false">
      <c r="A296" s="5" t="n">
        <v>291</v>
      </c>
      <c r="B296" s="10" t="s">
        <v>283</v>
      </c>
      <c r="C296" s="11" t="s">
        <v>529</v>
      </c>
      <c r="D296" s="8" t="s">
        <v>530</v>
      </c>
      <c r="E296" s="8" t="s">
        <v>538</v>
      </c>
      <c r="F296" s="8" t="s">
        <v>542</v>
      </c>
      <c r="G296" s="5" t="s">
        <v>16</v>
      </c>
      <c r="H296" s="9" t="s">
        <v>543</v>
      </c>
    </row>
    <row r="297" customFormat="false" ht="91" hidden="false" customHeight="false" outlineLevel="0" collapsed="false">
      <c r="A297" s="5" t="n">
        <v>292</v>
      </c>
      <c r="B297" s="10" t="s">
        <v>283</v>
      </c>
      <c r="C297" s="11" t="s">
        <v>529</v>
      </c>
      <c r="D297" s="8" t="s">
        <v>530</v>
      </c>
      <c r="E297" s="8" t="s">
        <v>538</v>
      </c>
      <c r="F297" s="8" t="s">
        <v>544</v>
      </c>
      <c r="G297" s="5" t="s">
        <v>16</v>
      </c>
      <c r="H297" s="9" t="s">
        <v>545</v>
      </c>
    </row>
    <row r="298" customFormat="false" ht="82.05" hidden="false" customHeight="false" outlineLevel="0" collapsed="false">
      <c r="A298" s="5" t="n">
        <v>293</v>
      </c>
      <c r="B298" s="10" t="s">
        <v>283</v>
      </c>
      <c r="C298" s="11" t="s">
        <v>529</v>
      </c>
      <c r="D298" s="8" t="s">
        <v>530</v>
      </c>
      <c r="E298" s="8" t="s">
        <v>546</v>
      </c>
      <c r="F298" s="8" t="s">
        <v>546</v>
      </c>
      <c r="G298" s="5" t="s">
        <v>47</v>
      </c>
      <c r="H298" s="9" t="s">
        <v>547</v>
      </c>
    </row>
    <row r="299" customFormat="false" ht="108.95" hidden="false" customHeight="false" outlineLevel="0" collapsed="false">
      <c r="A299" s="5" t="n">
        <v>294</v>
      </c>
      <c r="B299" s="10" t="s">
        <v>283</v>
      </c>
      <c r="C299" s="11" t="s">
        <v>548</v>
      </c>
      <c r="D299" s="8" t="s">
        <v>549</v>
      </c>
      <c r="E299" s="8" t="s">
        <v>398</v>
      </c>
      <c r="F299" s="8" t="s">
        <v>398</v>
      </c>
      <c r="G299" s="5" t="s">
        <v>16</v>
      </c>
      <c r="H299" s="9" t="s">
        <v>550</v>
      </c>
    </row>
    <row r="300" customFormat="false" ht="126.85" hidden="false" customHeight="false" outlineLevel="0" collapsed="false">
      <c r="A300" s="5" t="n">
        <v>295</v>
      </c>
      <c r="B300" s="10" t="s">
        <v>283</v>
      </c>
      <c r="C300" s="11" t="s">
        <v>548</v>
      </c>
      <c r="D300" s="8" t="s">
        <v>549</v>
      </c>
      <c r="E300" s="8" t="s">
        <v>398</v>
      </c>
      <c r="F300" s="8" t="s">
        <v>551</v>
      </c>
      <c r="G300" s="5" t="s">
        <v>16</v>
      </c>
      <c r="H300" s="9" t="s">
        <v>552</v>
      </c>
    </row>
    <row r="301" customFormat="false" ht="117.9" hidden="false" customHeight="false" outlineLevel="0" collapsed="false">
      <c r="A301" s="5" t="n">
        <v>296</v>
      </c>
      <c r="B301" s="10" t="s">
        <v>283</v>
      </c>
      <c r="C301" s="11" t="s">
        <v>548</v>
      </c>
      <c r="D301" s="8" t="s">
        <v>549</v>
      </c>
      <c r="E301" s="8" t="s">
        <v>402</v>
      </c>
      <c r="F301" s="8" t="s">
        <v>402</v>
      </c>
      <c r="G301" s="5" t="s">
        <v>16</v>
      </c>
      <c r="H301" s="9" t="s">
        <v>553</v>
      </c>
    </row>
    <row r="302" customFormat="false" ht="126.85" hidden="false" customHeight="false" outlineLevel="0" collapsed="false">
      <c r="A302" s="5" t="n">
        <v>297</v>
      </c>
      <c r="B302" s="10" t="s">
        <v>283</v>
      </c>
      <c r="C302" s="11" t="s">
        <v>548</v>
      </c>
      <c r="D302" s="8" t="s">
        <v>549</v>
      </c>
      <c r="E302" s="8" t="s">
        <v>402</v>
      </c>
      <c r="F302" s="8" t="s">
        <v>554</v>
      </c>
      <c r="G302" s="5" t="s">
        <v>16</v>
      </c>
      <c r="H302" s="9" t="s">
        <v>555</v>
      </c>
    </row>
    <row r="303" customFormat="false" ht="126.85" hidden="false" customHeight="false" outlineLevel="0" collapsed="false">
      <c r="A303" s="5" t="n">
        <v>298</v>
      </c>
      <c r="B303" s="10" t="s">
        <v>283</v>
      </c>
      <c r="C303" s="11" t="s">
        <v>548</v>
      </c>
      <c r="D303" s="8" t="s">
        <v>549</v>
      </c>
      <c r="E303" s="8" t="s">
        <v>402</v>
      </c>
      <c r="F303" s="8" t="s">
        <v>556</v>
      </c>
      <c r="G303" s="5" t="s">
        <v>16</v>
      </c>
      <c r="H303" s="9" t="s">
        <v>557</v>
      </c>
    </row>
    <row r="304" customFormat="false" ht="135.8" hidden="false" customHeight="false" outlineLevel="0" collapsed="false">
      <c r="A304" s="5" t="n">
        <v>299</v>
      </c>
      <c r="B304" s="10" t="s">
        <v>283</v>
      </c>
      <c r="C304" s="11" t="s">
        <v>548</v>
      </c>
      <c r="D304" s="8" t="s">
        <v>549</v>
      </c>
      <c r="E304" s="8" t="s">
        <v>558</v>
      </c>
      <c r="F304" s="8" t="s">
        <v>559</v>
      </c>
      <c r="G304" s="5" t="s">
        <v>16</v>
      </c>
      <c r="H304" s="9" t="s">
        <v>560</v>
      </c>
    </row>
    <row r="305" customFormat="false" ht="126.85" hidden="false" customHeight="false" outlineLevel="0" collapsed="false">
      <c r="A305" s="5" t="n">
        <v>300</v>
      </c>
      <c r="B305" s="10" t="s">
        <v>283</v>
      </c>
      <c r="C305" s="11" t="s">
        <v>548</v>
      </c>
      <c r="D305" s="8" t="s">
        <v>549</v>
      </c>
      <c r="E305" s="8" t="s">
        <v>558</v>
      </c>
      <c r="F305" s="8" t="s">
        <v>561</v>
      </c>
      <c r="G305" s="5" t="s">
        <v>16</v>
      </c>
      <c r="H305" s="9" t="s">
        <v>562</v>
      </c>
    </row>
    <row r="306" customFormat="false" ht="126.85" hidden="false" customHeight="false" outlineLevel="0" collapsed="false">
      <c r="A306" s="5" t="n">
        <v>301</v>
      </c>
      <c r="B306" s="10" t="s">
        <v>283</v>
      </c>
      <c r="C306" s="11" t="s">
        <v>548</v>
      </c>
      <c r="D306" s="8" t="s">
        <v>549</v>
      </c>
      <c r="E306" s="8" t="s">
        <v>558</v>
      </c>
      <c r="F306" s="8" t="s">
        <v>563</v>
      </c>
      <c r="G306" s="5" t="s">
        <v>16</v>
      </c>
      <c r="H306" s="9" t="s">
        <v>564</v>
      </c>
    </row>
    <row r="307" customFormat="false" ht="117.9" hidden="false" customHeight="false" outlineLevel="0" collapsed="false">
      <c r="A307" s="5" t="n">
        <v>302</v>
      </c>
      <c r="B307" s="10" t="s">
        <v>283</v>
      </c>
      <c r="C307" s="11" t="s">
        <v>548</v>
      </c>
      <c r="D307" s="8" t="s">
        <v>549</v>
      </c>
      <c r="E307" s="8" t="s">
        <v>565</v>
      </c>
      <c r="F307" s="8" t="s">
        <v>566</v>
      </c>
      <c r="G307" s="5" t="s">
        <v>16</v>
      </c>
      <c r="H307" s="9" t="s">
        <v>567</v>
      </c>
    </row>
    <row r="308" customFormat="false" ht="126.85" hidden="false" customHeight="false" outlineLevel="0" collapsed="false">
      <c r="A308" s="5" t="n">
        <v>303</v>
      </c>
      <c r="B308" s="10" t="s">
        <v>283</v>
      </c>
      <c r="C308" s="11" t="s">
        <v>548</v>
      </c>
      <c r="D308" s="8" t="s">
        <v>549</v>
      </c>
      <c r="E308" s="8" t="s">
        <v>565</v>
      </c>
      <c r="F308" s="8" t="s">
        <v>568</v>
      </c>
      <c r="G308" s="5" t="s">
        <v>16</v>
      </c>
      <c r="H308" s="9" t="s">
        <v>569</v>
      </c>
    </row>
    <row r="309" customFormat="false" ht="126.85" hidden="false" customHeight="false" outlineLevel="0" collapsed="false">
      <c r="A309" s="5" t="n">
        <v>304</v>
      </c>
      <c r="B309" s="10" t="s">
        <v>283</v>
      </c>
      <c r="C309" s="11" t="s">
        <v>548</v>
      </c>
      <c r="D309" s="8" t="s">
        <v>549</v>
      </c>
      <c r="E309" s="8" t="s">
        <v>565</v>
      </c>
      <c r="F309" s="8" t="s">
        <v>570</v>
      </c>
      <c r="G309" s="5" t="s">
        <v>16</v>
      </c>
      <c r="H309" s="9" t="s">
        <v>571</v>
      </c>
    </row>
    <row r="310" customFormat="false" ht="108.95" hidden="false" customHeight="false" outlineLevel="0" collapsed="false">
      <c r="A310" s="5" t="n">
        <v>305</v>
      </c>
      <c r="B310" s="10" t="s">
        <v>283</v>
      </c>
      <c r="C310" s="11" t="s">
        <v>548</v>
      </c>
      <c r="D310" s="8" t="s">
        <v>549</v>
      </c>
      <c r="E310" s="8" t="s">
        <v>565</v>
      </c>
      <c r="F310" s="8" t="s">
        <v>572</v>
      </c>
      <c r="G310" s="5" t="s">
        <v>16</v>
      </c>
      <c r="H310" s="9" t="s">
        <v>573</v>
      </c>
    </row>
    <row r="311" customFormat="false" ht="117.9" hidden="false" customHeight="false" outlineLevel="0" collapsed="false">
      <c r="A311" s="5" t="n">
        <v>306</v>
      </c>
      <c r="B311" s="10" t="s">
        <v>283</v>
      </c>
      <c r="C311" s="11" t="s">
        <v>548</v>
      </c>
      <c r="D311" s="8" t="s">
        <v>549</v>
      </c>
      <c r="E311" s="8" t="s">
        <v>565</v>
      </c>
      <c r="F311" s="8" t="s">
        <v>574</v>
      </c>
      <c r="G311" s="5" t="s">
        <v>16</v>
      </c>
      <c r="H311" s="9" t="s">
        <v>575</v>
      </c>
    </row>
    <row r="312" customFormat="false" ht="126.85" hidden="false" customHeight="false" outlineLevel="0" collapsed="false">
      <c r="A312" s="5" t="n">
        <v>307</v>
      </c>
      <c r="B312" s="10" t="s">
        <v>283</v>
      </c>
      <c r="C312" s="11" t="s">
        <v>548</v>
      </c>
      <c r="D312" s="8" t="s">
        <v>549</v>
      </c>
      <c r="E312" s="8" t="s">
        <v>102</v>
      </c>
      <c r="F312" s="8" t="s">
        <v>102</v>
      </c>
      <c r="G312" s="5" t="s">
        <v>16</v>
      </c>
      <c r="H312" s="9" t="s">
        <v>576</v>
      </c>
    </row>
    <row r="313" customFormat="false" ht="117.9" hidden="false" customHeight="false" outlineLevel="0" collapsed="false">
      <c r="A313" s="5" t="n">
        <v>308</v>
      </c>
      <c r="B313" s="10" t="s">
        <v>283</v>
      </c>
      <c r="C313" s="11" t="s">
        <v>548</v>
      </c>
      <c r="D313" s="8" t="s">
        <v>549</v>
      </c>
      <c r="E313" s="8" t="s">
        <v>102</v>
      </c>
      <c r="F313" s="8" t="s">
        <v>577</v>
      </c>
      <c r="G313" s="5" t="s">
        <v>16</v>
      </c>
      <c r="H313" s="9" t="s">
        <v>578</v>
      </c>
    </row>
    <row r="314" customFormat="false" ht="117.9" hidden="false" customHeight="false" outlineLevel="0" collapsed="false">
      <c r="A314" s="5" t="n">
        <v>309</v>
      </c>
      <c r="B314" s="10" t="s">
        <v>283</v>
      </c>
      <c r="C314" s="11" t="s">
        <v>548</v>
      </c>
      <c r="D314" s="8" t="s">
        <v>549</v>
      </c>
      <c r="E314" s="8" t="s">
        <v>579</v>
      </c>
      <c r="F314" s="8" t="s">
        <v>546</v>
      </c>
      <c r="G314" s="5" t="s">
        <v>47</v>
      </c>
      <c r="H314" s="9" t="s">
        <v>580</v>
      </c>
    </row>
    <row r="315" customFormat="false" ht="126.85" hidden="false" customHeight="false" outlineLevel="0" collapsed="false">
      <c r="A315" s="5" t="n">
        <v>310</v>
      </c>
      <c r="B315" s="10" t="s">
        <v>283</v>
      </c>
      <c r="C315" s="11" t="s">
        <v>548</v>
      </c>
      <c r="D315" s="8" t="s">
        <v>549</v>
      </c>
      <c r="E315" s="8" t="s">
        <v>579</v>
      </c>
      <c r="F315" s="8" t="s">
        <v>423</v>
      </c>
      <c r="G315" s="5" t="s">
        <v>47</v>
      </c>
      <c r="H315" s="9" t="s">
        <v>581</v>
      </c>
    </row>
    <row r="316" customFormat="false" ht="144.75" hidden="false" customHeight="false" outlineLevel="0" collapsed="false">
      <c r="A316" s="5" t="n">
        <v>311</v>
      </c>
      <c r="B316" s="10" t="s">
        <v>283</v>
      </c>
      <c r="C316" s="11" t="s">
        <v>548</v>
      </c>
      <c r="D316" s="8" t="s">
        <v>549</v>
      </c>
      <c r="E316" s="8" t="s">
        <v>579</v>
      </c>
      <c r="F316" s="8" t="s">
        <v>582</v>
      </c>
      <c r="G316" s="5" t="s">
        <v>47</v>
      </c>
      <c r="H316" s="9" t="s">
        <v>583</v>
      </c>
    </row>
    <row r="317" customFormat="false" ht="126.85" hidden="false" customHeight="false" outlineLevel="0" collapsed="false">
      <c r="A317" s="5" t="n">
        <v>312</v>
      </c>
      <c r="B317" s="10" t="s">
        <v>283</v>
      </c>
      <c r="C317" s="11" t="s">
        <v>584</v>
      </c>
      <c r="D317" s="8" t="s">
        <v>585</v>
      </c>
      <c r="E317" s="8" t="s">
        <v>586</v>
      </c>
      <c r="F317" s="8" t="s">
        <v>586</v>
      </c>
      <c r="G317" s="5" t="s">
        <v>16</v>
      </c>
      <c r="H317" s="9" t="s">
        <v>587</v>
      </c>
    </row>
    <row r="318" customFormat="false" ht="135.8" hidden="false" customHeight="false" outlineLevel="0" collapsed="false">
      <c r="A318" s="5" t="n">
        <v>313</v>
      </c>
      <c r="B318" s="10" t="s">
        <v>283</v>
      </c>
      <c r="C318" s="11" t="s">
        <v>584</v>
      </c>
      <c r="D318" s="8" t="s">
        <v>585</v>
      </c>
      <c r="E318" s="8" t="s">
        <v>586</v>
      </c>
      <c r="F318" s="8" t="s">
        <v>588</v>
      </c>
      <c r="G318" s="5" t="s">
        <v>16</v>
      </c>
      <c r="H318" s="9" t="s">
        <v>589</v>
      </c>
    </row>
    <row r="319" customFormat="false" ht="135.8" hidden="false" customHeight="false" outlineLevel="0" collapsed="false">
      <c r="A319" s="5" t="n">
        <v>314</v>
      </c>
      <c r="B319" s="10" t="s">
        <v>283</v>
      </c>
      <c r="C319" s="11" t="s">
        <v>584</v>
      </c>
      <c r="D319" s="8" t="s">
        <v>585</v>
      </c>
      <c r="E319" s="8" t="s">
        <v>586</v>
      </c>
      <c r="F319" s="8" t="s">
        <v>590</v>
      </c>
      <c r="G319" s="5" t="s">
        <v>16</v>
      </c>
      <c r="H319" s="9" t="s">
        <v>591</v>
      </c>
    </row>
    <row r="320" customFormat="false" ht="117.9" hidden="false" customHeight="false" outlineLevel="0" collapsed="false">
      <c r="A320" s="5" t="n">
        <v>315</v>
      </c>
      <c r="B320" s="10" t="s">
        <v>283</v>
      </c>
      <c r="C320" s="11" t="s">
        <v>584</v>
      </c>
      <c r="D320" s="8" t="s">
        <v>585</v>
      </c>
      <c r="E320" s="8" t="s">
        <v>592</v>
      </c>
      <c r="F320" s="8" t="s">
        <v>593</v>
      </c>
      <c r="G320" s="5" t="s">
        <v>16</v>
      </c>
      <c r="H320" s="9" t="s">
        <v>594</v>
      </c>
    </row>
    <row r="321" customFormat="false" ht="117.9" hidden="false" customHeight="false" outlineLevel="0" collapsed="false">
      <c r="A321" s="5" t="n">
        <v>316</v>
      </c>
      <c r="B321" s="10" t="s">
        <v>283</v>
      </c>
      <c r="C321" s="11" t="s">
        <v>584</v>
      </c>
      <c r="D321" s="8" t="s">
        <v>585</v>
      </c>
      <c r="E321" s="8" t="s">
        <v>592</v>
      </c>
      <c r="F321" s="8" t="s">
        <v>595</v>
      </c>
      <c r="G321" s="5" t="s">
        <v>16</v>
      </c>
      <c r="H321" s="9" t="s">
        <v>596</v>
      </c>
    </row>
    <row r="322" customFormat="false" ht="126.85" hidden="false" customHeight="false" outlineLevel="0" collapsed="false">
      <c r="A322" s="5" t="n">
        <v>317</v>
      </c>
      <c r="B322" s="10" t="s">
        <v>283</v>
      </c>
      <c r="C322" s="11" t="s">
        <v>584</v>
      </c>
      <c r="D322" s="8" t="s">
        <v>585</v>
      </c>
      <c r="E322" s="8" t="s">
        <v>597</v>
      </c>
      <c r="F322" s="8" t="s">
        <v>598</v>
      </c>
      <c r="G322" s="5" t="s">
        <v>16</v>
      </c>
      <c r="H322" s="9" t="s">
        <v>599</v>
      </c>
    </row>
    <row r="323" customFormat="false" ht="108.95" hidden="false" customHeight="false" outlineLevel="0" collapsed="false">
      <c r="A323" s="5" t="n">
        <v>318</v>
      </c>
      <c r="B323" s="10" t="s">
        <v>283</v>
      </c>
      <c r="C323" s="11" t="s">
        <v>584</v>
      </c>
      <c r="D323" s="8" t="s">
        <v>585</v>
      </c>
      <c r="E323" s="8" t="s">
        <v>597</v>
      </c>
      <c r="F323" s="8" t="s">
        <v>600</v>
      </c>
      <c r="G323" s="5" t="s">
        <v>16</v>
      </c>
      <c r="H323" s="9" t="s">
        <v>601</v>
      </c>
    </row>
    <row r="324" customFormat="false" ht="135.8" hidden="false" customHeight="false" outlineLevel="0" collapsed="false">
      <c r="A324" s="5" t="n">
        <v>319</v>
      </c>
      <c r="B324" s="10" t="s">
        <v>283</v>
      </c>
      <c r="C324" s="11" t="s">
        <v>584</v>
      </c>
      <c r="D324" s="8" t="s">
        <v>585</v>
      </c>
      <c r="E324" s="8" t="s">
        <v>602</v>
      </c>
      <c r="F324" s="8" t="s">
        <v>603</v>
      </c>
      <c r="G324" s="5" t="s">
        <v>44</v>
      </c>
      <c r="H324" s="9" t="s">
        <v>604</v>
      </c>
    </row>
    <row r="325" customFormat="false" ht="99.95" hidden="false" customHeight="false" outlineLevel="0" collapsed="false">
      <c r="A325" s="5" t="n">
        <v>320</v>
      </c>
      <c r="B325" s="10" t="s">
        <v>283</v>
      </c>
      <c r="C325" s="11" t="s">
        <v>584</v>
      </c>
      <c r="D325" s="8" t="s">
        <v>585</v>
      </c>
      <c r="E325" s="8" t="s">
        <v>602</v>
      </c>
      <c r="F325" s="8" t="s">
        <v>605</v>
      </c>
      <c r="G325" s="5" t="s">
        <v>47</v>
      </c>
      <c r="H325" s="9" t="s">
        <v>606</v>
      </c>
    </row>
    <row r="326" customFormat="false" ht="99.95" hidden="false" customHeight="false" outlineLevel="0" collapsed="false">
      <c r="A326" s="5" t="n">
        <v>321</v>
      </c>
      <c r="B326" s="10" t="s">
        <v>283</v>
      </c>
      <c r="C326" s="11" t="s">
        <v>584</v>
      </c>
      <c r="D326" s="8" t="s">
        <v>585</v>
      </c>
      <c r="E326" s="8" t="s">
        <v>602</v>
      </c>
      <c r="F326" s="8" t="s">
        <v>607</v>
      </c>
      <c r="G326" s="5" t="s">
        <v>47</v>
      </c>
      <c r="H326" s="9" t="s">
        <v>608</v>
      </c>
    </row>
    <row r="327" customFormat="false" ht="117.9" hidden="false" customHeight="false" outlineLevel="0" collapsed="false">
      <c r="A327" s="5" t="n">
        <v>322</v>
      </c>
      <c r="B327" s="10" t="s">
        <v>283</v>
      </c>
      <c r="C327" s="11" t="s">
        <v>584</v>
      </c>
      <c r="D327" s="8" t="s">
        <v>585</v>
      </c>
      <c r="E327" s="8" t="s">
        <v>602</v>
      </c>
      <c r="F327" s="8" t="s">
        <v>609</v>
      </c>
      <c r="G327" s="5" t="s">
        <v>16</v>
      </c>
      <c r="H327" s="9" t="s">
        <v>610</v>
      </c>
    </row>
    <row r="328" customFormat="false" ht="108.95" hidden="false" customHeight="false" outlineLevel="0" collapsed="false">
      <c r="A328" s="5" t="n">
        <v>323</v>
      </c>
      <c r="B328" s="10" t="s">
        <v>283</v>
      </c>
      <c r="C328" s="11" t="s">
        <v>584</v>
      </c>
      <c r="D328" s="8" t="s">
        <v>585</v>
      </c>
      <c r="E328" s="8" t="s">
        <v>602</v>
      </c>
      <c r="F328" s="8" t="s">
        <v>611</v>
      </c>
      <c r="G328" s="5" t="s">
        <v>47</v>
      </c>
      <c r="H328" s="9" t="s">
        <v>612</v>
      </c>
    </row>
    <row r="329" customFormat="false" ht="162.65" hidden="false" customHeight="false" outlineLevel="0" collapsed="false">
      <c r="A329" s="5" t="n">
        <v>324</v>
      </c>
      <c r="B329" s="10" t="s">
        <v>283</v>
      </c>
      <c r="C329" s="11" t="s">
        <v>613</v>
      </c>
      <c r="D329" s="8" t="s">
        <v>614</v>
      </c>
      <c r="E329" s="8" t="s">
        <v>615</v>
      </c>
      <c r="F329" s="8" t="s">
        <v>616</v>
      </c>
      <c r="G329" s="5" t="s">
        <v>617</v>
      </c>
      <c r="H329" s="9" t="s">
        <v>618</v>
      </c>
    </row>
    <row r="330" customFormat="false" ht="135.8" hidden="false" customHeight="false" outlineLevel="0" collapsed="false">
      <c r="A330" s="5" t="n">
        <v>325</v>
      </c>
      <c r="B330" s="10" t="s">
        <v>283</v>
      </c>
      <c r="C330" s="11" t="s">
        <v>613</v>
      </c>
      <c r="D330" s="8" t="s">
        <v>614</v>
      </c>
      <c r="E330" s="8" t="s">
        <v>615</v>
      </c>
      <c r="F330" s="8" t="s">
        <v>544</v>
      </c>
      <c r="G330" s="5" t="s">
        <v>44</v>
      </c>
      <c r="H330" s="9" t="s">
        <v>619</v>
      </c>
    </row>
    <row r="331" customFormat="false" ht="144.75" hidden="false" customHeight="false" outlineLevel="0" collapsed="false">
      <c r="A331" s="5" t="n">
        <v>326</v>
      </c>
      <c r="B331" s="10" t="s">
        <v>283</v>
      </c>
      <c r="C331" s="11" t="s">
        <v>613</v>
      </c>
      <c r="D331" s="8" t="s">
        <v>614</v>
      </c>
      <c r="E331" s="8" t="s">
        <v>615</v>
      </c>
      <c r="F331" s="8" t="s">
        <v>620</v>
      </c>
      <c r="G331" s="5" t="s">
        <v>47</v>
      </c>
      <c r="H331" s="9" t="s">
        <v>621</v>
      </c>
    </row>
    <row r="332" customFormat="false" ht="135.8" hidden="false" customHeight="false" outlineLevel="0" collapsed="false">
      <c r="A332" s="5" t="n">
        <v>327</v>
      </c>
      <c r="B332" s="10" t="s">
        <v>283</v>
      </c>
      <c r="C332" s="11" t="s">
        <v>613</v>
      </c>
      <c r="D332" s="8" t="s">
        <v>614</v>
      </c>
      <c r="E332" s="8" t="s">
        <v>615</v>
      </c>
      <c r="F332" s="8" t="s">
        <v>622</v>
      </c>
      <c r="G332" s="5" t="s">
        <v>44</v>
      </c>
      <c r="H332" s="9" t="s">
        <v>623</v>
      </c>
    </row>
    <row r="333" customFormat="false" ht="135.8" hidden="false" customHeight="false" outlineLevel="0" collapsed="false">
      <c r="A333" s="5" t="n">
        <v>328</v>
      </c>
      <c r="B333" s="10" t="s">
        <v>283</v>
      </c>
      <c r="C333" s="11" t="s">
        <v>613</v>
      </c>
      <c r="D333" s="8" t="s">
        <v>614</v>
      </c>
      <c r="E333" s="8" t="s">
        <v>615</v>
      </c>
      <c r="F333" s="8" t="s">
        <v>624</v>
      </c>
      <c r="G333" s="5" t="s">
        <v>47</v>
      </c>
      <c r="H333" s="9" t="s">
        <v>625</v>
      </c>
    </row>
    <row r="334" customFormat="false" ht="153.7" hidden="false" customHeight="false" outlineLevel="0" collapsed="false">
      <c r="A334" s="5" t="n">
        <v>329</v>
      </c>
      <c r="B334" s="10" t="s">
        <v>283</v>
      </c>
      <c r="C334" s="11" t="s">
        <v>613</v>
      </c>
      <c r="D334" s="8" t="s">
        <v>614</v>
      </c>
      <c r="E334" s="8" t="s">
        <v>615</v>
      </c>
      <c r="F334" s="8" t="s">
        <v>626</v>
      </c>
      <c r="G334" s="5" t="s">
        <v>16</v>
      </c>
      <c r="H334" s="9" t="s">
        <v>627</v>
      </c>
    </row>
    <row r="335" customFormat="false" ht="153.7" hidden="false" customHeight="false" outlineLevel="0" collapsed="false">
      <c r="A335" s="5" t="n">
        <v>330</v>
      </c>
      <c r="B335" s="10" t="s">
        <v>283</v>
      </c>
      <c r="C335" s="11" t="s">
        <v>613</v>
      </c>
      <c r="D335" s="8" t="s">
        <v>614</v>
      </c>
      <c r="E335" s="8" t="s">
        <v>615</v>
      </c>
      <c r="F335" s="8" t="s">
        <v>628</v>
      </c>
      <c r="G335" s="5" t="s">
        <v>44</v>
      </c>
      <c r="H335" s="9" t="s">
        <v>629</v>
      </c>
    </row>
    <row r="336" customFormat="false" ht="153.7" hidden="false" customHeight="false" outlineLevel="0" collapsed="false">
      <c r="A336" s="5" t="n">
        <v>331</v>
      </c>
      <c r="B336" s="10" t="s">
        <v>283</v>
      </c>
      <c r="C336" s="11" t="s">
        <v>630</v>
      </c>
      <c r="D336" s="8" t="s">
        <v>614</v>
      </c>
      <c r="E336" s="8" t="s">
        <v>631</v>
      </c>
      <c r="F336" s="8" t="s">
        <v>632</v>
      </c>
      <c r="G336" s="5" t="s">
        <v>47</v>
      </c>
      <c r="H336" s="9" t="s">
        <v>633</v>
      </c>
    </row>
    <row r="337" customFormat="false" ht="144.75" hidden="false" customHeight="false" outlineLevel="0" collapsed="false">
      <c r="A337" s="5" t="n">
        <v>332</v>
      </c>
      <c r="B337" s="10" t="s">
        <v>283</v>
      </c>
      <c r="C337" s="11" t="s">
        <v>630</v>
      </c>
      <c r="D337" s="8" t="s">
        <v>614</v>
      </c>
      <c r="E337" s="8" t="s">
        <v>631</v>
      </c>
      <c r="F337" s="8" t="s">
        <v>620</v>
      </c>
      <c r="G337" s="5" t="s">
        <v>47</v>
      </c>
      <c r="H337" s="9" t="s">
        <v>634</v>
      </c>
    </row>
    <row r="338" customFormat="false" ht="126.85" hidden="false" customHeight="false" outlineLevel="0" collapsed="false">
      <c r="A338" s="5" t="n">
        <v>333</v>
      </c>
      <c r="B338" s="10" t="s">
        <v>283</v>
      </c>
      <c r="C338" s="11" t="s">
        <v>630</v>
      </c>
      <c r="D338" s="8" t="s">
        <v>614</v>
      </c>
      <c r="E338" s="8" t="s">
        <v>631</v>
      </c>
      <c r="F338" s="8" t="s">
        <v>635</v>
      </c>
      <c r="G338" s="5" t="s">
        <v>44</v>
      </c>
      <c r="H338" s="9" t="s">
        <v>636</v>
      </c>
    </row>
    <row r="339" customFormat="false" ht="180.55" hidden="false" customHeight="false" outlineLevel="0" collapsed="false">
      <c r="A339" s="5" t="n">
        <v>334</v>
      </c>
      <c r="B339" s="10" t="s">
        <v>283</v>
      </c>
      <c r="C339" s="11" t="s">
        <v>637</v>
      </c>
      <c r="D339" s="8" t="s">
        <v>614</v>
      </c>
      <c r="E339" s="8" t="s">
        <v>638</v>
      </c>
      <c r="F339" s="8" t="s">
        <v>639</v>
      </c>
      <c r="G339" s="5" t="s">
        <v>47</v>
      </c>
      <c r="H339" s="9" t="s">
        <v>640</v>
      </c>
    </row>
    <row r="340" customFormat="false" ht="171.6" hidden="false" customHeight="false" outlineLevel="0" collapsed="false">
      <c r="A340" s="5" t="n">
        <v>335</v>
      </c>
      <c r="B340" s="10" t="s">
        <v>283</v>
      </c>
      <c r="C340" s="11" t="s">
        <v>637</v>
      </c>
      <c r="D340" s="8" t="s">
        <v>614</v>
      </c>
      <c r="E340" s="8" t="s">
        <v>638</v>
      </c>
      <c r="F340" s="8" t="s">
        <v>641</v>
      </c>
      <c r="G340" s="5" t="s">
        <v>47</v>
      </c>
      <c r="H340" s="9" t="s">
        <v>642</v>
      </c>
    </row>
    <row r="341" customFormat="false" ht="189.55" hidden="false" customHeight="false" outlineLevel="0" collapsed="false">
      <c r="A341" s="5" t="n">
        <v>336</v>
      </c>
      <c r="B341" s="10" t="s">
        <v>283</v>
      </c>
      <c r="C341" s="11" t="s">
        <v>637</v>
      </c>
      <c r="D341" s="8" t="s">
        <v>614</v>
      </c>
      <c r="E341" s="8" t="s">
        <v>638</v>
      </c>
      <c r="F341" s="8" t="s">
        <v>643</v>
      </c>
      <c r="G341" s="5" t="s">
        <v>28</v>
      </c>
      <c r="H341" s="9" t="s">
        <v>644</v>
      </c>
    </row>
    <row r="342" customFormat="false" ht="117.9" hidden="false" customHeight="false" outlineLevel="0" collapsed="false">
      <c r="A342" s="5" t="n">
        <v>337</v>
      </c>
      <c r="B342" s="10" t="s">
        <v>283</v>
      </c>
      <c r="C342" s="11" t="s">
        <v>645</v>
      </c>
      <c r="D342" s="8" t="s">
        <v>614</v>
      </c>
      <c r="E342" s="8" t="s">
        <v>646</v>
      </c>
      <c r="F342" s="8" t="s">
        <v>646</v>
      </c>
      <c r="G342" s="5" t="s">
        <v>44</v>
      </c>
      <c r="H342" s="9" t="s">
        <v>647</v>
      </c>
    </row>
    <row r="343" customFormat="false" ht="144.75" hidden="false" customHeight="false" outlineLevel="0" collapsed="false">
      <c r="A343" s="5" t="n">
        <v>338</v>
      </c>
      <c r="B343" s="10" t="s">
        <v>283</v>
      </c>
      <c r="C343" s="11" t="s">
        <v>645</v>
      </c>
      <c r="D343" s="8" t="s">
        <v>614</v>
      </c>
      <c r="E343" s="8" t="s">
        <v>646</v>
      </c>
      <c r="F343" s="8" t="s">
        <v>648</v>
      </c>
      <c r="G343" s="5" t="s">
        <v>16</v>
      </c>
      <c r="H343" s="9" t="s">
        <v>649</v>
      </c>
    </row>
    <row r="344" customFormat="false" ht="153.7" hidden="false" customHeight="false" outlineLevel="0" collapsed="false">
      <c r="A344" s="5" t="n">
        <v>339</v>
      </c>
      <c r="B344" s="10" t="s">
        <v>283</v>
      </c>
      <c r="C344" s="11" t="s">
        <v>645</v>
      </c>
      <c r="D344" s="8" t="s">
        <v>614</v>
      </c>
      <c r="E344" s="8" t="s">
        <v>646</v>
      </c>
      <c r="F344" s="8" t="s">
        <v>650</v>
      </c>
      <c r="G344" s="5" t="s">
        <v>28</v>
      </c>
      <c r="H344" s="9" t="s">
        <v>651</v>
      </c>
    </row>
    <row r="345" customFormat="false" ht="135.8" hidden="false" customHeight="false" outlineLevel="0" collapsed="false">
      <c r="A345" s="5" t="n">
        <v>340</v>
      </c>
      <c r="B345" s="10" t="s">
        <v>283</v>
      </c>
      <c r="C345" s="11" t="s">
        <v>645</v>
      </c>
      <c r="D345" s="8" t="s">
        <v>614</v>
      </c>
      <c r="E345" s="8" t="s">
        <v>646</v>
      </c>
      <c r="F345" s="8" t="s">
        <v>652</v>
      </c>
      <c r="G345" s="5" t="s">
        <v>44</v>
      </c>
      <c r="H345" s="9" t="s">
        <v>653</v>
      </c>
    </row>
    <row r="346" customFormat="false" ht="126.85" hidden="false" customHeight="false" outlineLevel="0" collapsed="false">
      <c r="A346" s="5" t="n">
        <v>341</v>
      </c>
      <c r="B346" s="10" t="s">
        <v>283</v>
      </c>
      <c r="C346" s="11" t="s">
        <v>645</v>
      </c>
      <c r="D346" s="8" t="s">
        <v>614</v>
      </c>
      <c r="E346" s="8" t="s">
        <v>646</v>
      </c>
      <c r="F346" s="8" t="s">
        <v>654</v>
      </c>
      <c r="G346" s="5" t="s">
        <v>44</v>
      </c>
      <c r="H346" s="9" t="s">
        <v>655</v>
      </c>
    </row>
    <row r="347" customFormat="false" ht="153.7" hidden="false" customHeight="false" outlineLevel="0" collapsed="false">
      <c r="A347" s="5" t="n">
        <v>342</v>
      </c>
      <c r="B347" s="10" t="s">
        <v>283</v>
      </c>
      <c r="C347" s="11" t="s">
        <v>645</v>
      </c>
      <c r="D347" s="8" t="s">
        <v>614</v>
      </c>
      <c r="E347" s="8" t="s">
        <v>646</v>
      </c>
      <c r="F347" s="8" t="s">
        <v>656</v>
      </c>
      <c r="G347" s="5" t="s">
        <v>44</v>
      </c>
      <c r="H347" s="9" t="s">
        <v>657</v>
      </c>
    </row>
    <row r="348" customFormat="false" ht="117.9" hidden="false" customHeight="false" outlineLevel="0" collapsed="false">
      <c r="A348" s="5" t="n">
        <v>343</v>
      </c>
      <c r="B348" s="12" t="s">
        <v>658</v>
      </c>
      <c r="C348" s="13" t="s">
        <v>659</v>
      </c>
      <c r="D348" s="8" t="s">
        <v>660</v>
      </c>
      <c r="E348" s="8" t="s">
        <v>661</v>
      </c>
      <c r="F348" s="8" t="s">
        <v>662</v>
      </c>
      <c r="G348" s="5" t="s">
        <v>44</v>
      </c>
      <c r="H348" s="9" t="s">
        <v>663</v>
      </c>
    </row>
    <row r="349" customFormat="false" ht="117.9" hidden="false" customHeight="false" outlineLevel="0" collapsed="false">
      <c r="A349" s="5" t="n">
        <v>344</v>
      </c>
      <c r="B349" s="12" t="s">
        <v>658</v>
      </c>
      <c r="C349" s="13" t="s">
        <v>659</v>
      </c>
      <c r="D349" s="8" t="s">
        <v>660</v>
      </c>
      <c r="E349" s="8" t="s">
        <v>661</v>
      </c>
      <c r="F349" s="8" t="s">
        <v>664</v>
      </c>
      <c r="G349" s="5" t="s">
        <v>44</v>
      </c>
      <c r="H349" s="9" t="s">
        <v>665</v>
      </c>
    </row>
    <row r="350" customFormat="false" ht="99.95" hidden="false" customHeight="false" outlineLevel="0" collapsed="false">
      <c r="A350" s="5" t="n">
        <v>345</v>
      </c>
      <c r="B350" s="12" t="s">
        <v>658</v>
      </c>
      <c r="C350" s="13" t="s">
        <v>659</v>
      </c>
      <c r="D350" s="8" t="s">
        <v>660</v>
      </c>
      <c r="E350" s="8" t="s">
        <v>661</v>
      </c>
      <c r="F350" s="8" t="s">
        <v>666</v>
      </c>
      <c r="G350" s="5" t="s">
        <v>44</v>
      </c>
      <c r="H350" s="9" t="s">
        <v>667</v>
      </c>
    </row>
    <row r="351" customFormat="false" ht="108.95" hidden="false" customHeight="false" outlineLevel="0" collapsed="false">
      <c r="A351" s="5" t="n">
        <v>346</v>
      </c>
      <c r="B351" s="12" t="s">
        <v>658</v>
      </c>
      <c r="C351" s="13" t="s">
        <v>659</v>
      </c>
      <c r="D351" s="8" t="s">
        <v>660</v>
      </c>
      <c r="E351" s="8" t="s">
        <v>661</v>
      </c>
      <c r="F351" s="8" t="s">
        <v>668</v>
      </c>
      <c r="G351" s="5" t="s">
        <v>44</v>
      </c>
      <c r="H351" s="9" t="s">
        <v>669</v>
      </c>
    </row>
    <row r="352" customFormat="false" ht="108.95" hidden="false" customHeight="false" outlineLevel="0" collapsed="false">
      <c r="A352" s="5" t="n">
        <v>347</v>
      </c>
      <c r="B352" s="12" t="s">
        <v>658</v>
      </c>
      <c r="C352" s="13" t="s">
        <v>659</v>
      </c>
      <c r="D352" s="8" t="s">
        <v>660</v>
      </c>
      <c r="E352" s="8" t="s">
        <v>661</v>
      </c>
      <c r="F352" s="8" t="s">
        <v>670</v>
      </c>
      <c r="G352" s="5" t="s">
        <v>44</v>
      </c>
      <c r="H352" s="9" t="s">
        <v>671</v>
      </c>
    </row>
    <row r="353" customFormat="false" ht="82.05" hidden="false" customHeight="false" outlineLevel="0" collapsed="false">
      <c r="A353" s="5" t="n">
        <v>348</v>
      </c>
      <c r="B353" s="12" t="s">
        <v>658</v>
      </c>
      <c r="C353" s="13" t="s">
        <v>659</v>
      </c>
      <c r="D353" s="8" t="s">
        <v>660</v>
      </c>
      <c r="E353" s="8" t="s">
        <v>661</v>
      </c>
      <c r="F353" s="8" t="s">
        <v>635</v>
      </c>
      <c r="G353" s="5" t="s">
        <v>44</v>
      </c>
      <c r="H353" s="9" t="s">
        <v>672</v>
      </c>
    </row>
    <row r="354" customFormat="false" ht="117.9" hidden="false" customHeight="false" outlineLevel="0" collapsed="false">
      <c r="A354" s="5" t="n">
        <v>349</v>
      </c>
      <c r="B354" s="12" t="s">
        <v>658</v>
      </c>
      <c r="C354" s="13" t="s">
        <v>659</v>
      </c>
      <c r="D354" s="8" t="s">
        <v>660</v>
      </c>
      <c r="E354" s="8" t="s">
        <v>673</v>
      </c>
      <c r="F354" s="8" t="s">
        <v>674</v>
      </c>
      <c r="G354" s="5" t="s">
        <v>44</v>
      </c>
      <c r="H354" s="9" t="s">
        <v>675</v>
      </c>
    </row>
    <row r="355" customFormat="false" ht="117.9" hidden="false" customHeight="false" outlineLevel="0" collapsed="false">
      <c r="A355" s="5" t="n">
        <v>350</v>
      </c>
      <c r="B355" s="12" t="s">
        <v>658</v>
      </c>
      <c r="C355" s="13" t="s">
        <v>659</v>
      </c>
      <c r="D355" s="8" t="s">
        <v>660</v>
      </c>
      <c r="E355" s="8" t="s">
        <v>673</v>
      </c>
      <c r="F355" s="8" t="s">
        <v>676</v>
      </c>
      <c r="G355" s="5" t="s">
        <v>44</v>
      </c>
      <c r="H355" s="9" t="s">
        <v>677</v>
      </c>
    </row>
    <row r="356" customFormat="false" ht="117.9" hidden="false" customHeight="false" outlineLevel="0" collapsed="false">
      <c r="A356" s="5" t="n">
        <v>351</v>
      </c>
      <c r="B356" s="12" t="s">
        <v>658</v>
      </c>
      <c r="C356" s="13" t="s">
        <v>659</v>
      </c>
      <c r="D356" s="8" t="s">
        <v>660</v>
      </c>
      <c r="E356" s="8" t="s">
        <v>673</v>
      </c>
      <c r="F356" s="8" t="s">
        <v>678</v>
      </c>
      <c r="G356" s="5" t="s">
        <v>44</v>
      </c>
      <c r="H356" s="9" t="s">
        <v>679</v>
      </c>
    </row>
    <row r="357" customFormat="false" ht="108.95" hidden="false" customHeight="false" outlineLevel="0" collapsed="false">
      <c r="A357" s="5" t="n">
        <v>352</v>
      </c>
      <c r="B357" s="12" t="s">
        <v>658</v>
      </c>
      <c r="C357" s="13" t="s">
        <v>659</v>
      </c>
      <c r="D357" s="8" t="s">
        <v>660</v>
      </c>
      <c r="E357" s="8" t="s">
        <v>673</v>
      </c>
      <c r="F357" s="8" t="s">
        <v>680</v>
      </c>
      <c r="G357" s="5" t="s">
        <v>44</v>
      </c>
      <c r="H357" s="9" t="s">
        <v>681</v>
      </c>
    </row>
    <row r="358" customFormat="false" ht="108.95" hidden="false" customHeight="false" outlineLevel="0" collapsed="false">
      <c r="A358" s="5" t="n">
        <v>353</v>
      </c>
      <c r="B358" s="12" t="s">
        <v>658</v>
      </c>
      <c r="C358" s="13" t="s">
        <v>659</v>
      </c>
      <c r="D358" s="8" t="s">
        <v>660</v>
      </c>
      <c r="E358" s="8" t="s">
        <v>673</v>
      </c>
      <c r="F358" s="8" t="s">
        <v>682</v>
      </c>
      <c r="G358" s="5" t="s">
        <v>44</v>
      </c>
      <c r="H358" s="9" t="s">
        <v>683</v>
      </c>
    </row>
    <row r="359" customFormat="false" ht="99.95" hidden="false" customHeight="false" outlineLevel="0" collapsed="false">
      <c r="A359" s="5" t="n">
        <v>354</v>
      </c>
      <c r="B359" s="12" t="s">
        <v>658</v>
      </c>
      <c r="C359" s="13" t="s">
        <v>659</v>
      </c>
      <c r="D359" s="8" t="s">
        <v>660</v>
      </c>
      <c r="E359" s="8" t="s">
        <v>673</v>
      </c>
      <c r="F359" s="8" t="s">
        <v>684</v>
      </c>
      <c r="G359" s="5" t="s">
        <v>44</v>
      </c>
      <c r="H359" s="9" t="s">
        <v>685</v>
      </c>
    </row>
    <row r="360" customFormat="false" ht="144.75" hidden="false" customHeight="false" outlineLevel="0" collapsed="false">
      <c r="A360" s="5" t="n">
        <v>355</v>
      </c>
      <c r="B360" s="12" t="s">
        <v>658</v>
      </c>
      <c r="C360" s="13" t="s">
        <v>659</v>
      </c>
      <c r="D360" s="8" t="s">
        <v>660</v>
      </c>
      <c r="E360" s="8" t="s">
        <v>686</v>
      </c>
      <c r="F360" s="8" t="s">
        <v>687</v>
      </c>
      <c r="G360" s="5" t="s">
        <v>44</v>
      </c>
      <c r="H360" s="9" t="s">
        <v>688</v>
      </c>
    </row>
    <row r="361" customFormat="false" ht="135.8" hidden="false" customHeight="false" outlineLevel="0" collapsed="false">
      <c r="A361" s="5" t="n">
        <v>356</v>
      </c>
      <c r="B361" s="12" t="s">
        <v>658</v>
      </c>
      <c r="C361" s="13" t="s">
        <v>659</v>
      </c>
      <c r="D361" s="8" t="s">
        <v>660</v>
      </c>
      <c r="E361" s="8" t="s">
        <v>686</v>
      </c>
      <c r="F361" s="8" t="s">
        <v>689</v>
      </c>
      <c r="G361" s="5" t="s">
        <v>44</v>
      </c>
      <c r="H361" s="9" t="s">
        <v>690</v>
      </c>
    </row>
    <row r="362" customFormat="false" ht="108.95" hidden="false" customHeight="false" outlineLevel="0" collapsed="false">
      <c r="A362" s="5" t="n">
        <v>357</v>
      </c>
      <c r="B362" s="12" t="s">
        <v>658</v>
      </c>
      <c r="C362" s="13" t="s">
        <v>659</v>
      </c>
      <c r="D362" s="8" t="s">
        <v>660</v>
      </c>
      <c r="E362" s="8" t="s">
        <v>686</v>
      </c>
      <c r="F362" s="8" t="s">
        <v>691</v>
      </c>
      <c r="G362" s="5" t="s">
        <v>44</v>
      </c>
      <c r="H362" s="9" t="s">
        <v>692</v>
      </c>
    </row>
    <row r="363" customFormat="false" ht="126.85" hidden="false" customHeight="false" outlineLevel="0" collapsed="false">
      <c r="A363" s="5" t="n">
        <v>358</v>
      </c>
      <c r="B363" s="12" t="s">
        <v>658</v>
      </c>
      <c r="C363" s="13" t="s">
        <v>659</v>
      </c>
      <c r="D363" s="8" t="s">
        <v>660</v>
      </c>
      <c r="E363" s="8" t="s">
        <v>686</v>
      </c>
      <c r="F363" s="8" t="s">
        <v>693</v>
      </c>
      <c r="G363" s="5" t="s">
        <v>44</v>
      </c>
      <c r="H363" s="9" t="s">
        <v>694</v>
      </c>
    </row>
    <row r="364" customFormat="false" ht="144.75" hidden="false" customHeight="false" outlineLevel="0" collapsed="false">
      <c r="A364" s="5" t="n">
        <v>359</v>
      </c>
      <c r="B364" s="12" t="s">
        <v>658</v>
      </c>
      <c r="C364" s="13" t="s">
        <v>695</v>
      </c>
      <c r="D364" s="8" t="s">
        <v>696</v>
      </c>
      <c r="E364" s="8" t="s">
        <v>697</v>
      </c>
      <c r="F364" s="8" t="s">
        <v>698</v>
      </c>
      <c r="G364" s="5" t="s">
        <v>44</v>
      </c>
      <c r="H364" s="9" t="s">
        <v>699</v>
      </c>
    </row>
    <row r="365" customFormat="false" ht="135.8" hidden="false" customHeight="false" outlineLevel="0" collapsed="false">
      <c r="A365" s="5" t="n">
        <v>360</v>
      </c>
      <c r="B365" s="12" t="s">
        <v>658</v>
      </c>
      <c r="C365" s="13" t="s">
        <v>695</v>
      </c>
      <c r="D365" s="8" t="s">
        <v>696</v>
      </c>
      <c r="E365" s="8" t="s">
        <v>697</v>
      </c>
      <c r="F365" s="8" t="s">
        <v>700</v>
      </c>
      <c r="G365" s="5" t="s">
        <v>44</v>
      </c>
      <c r="H365" s="9" t="s">
        <v>701</v>
      </c>
    </row>
    <row r="366" customFormat="false" ht="153.7" hidden="false" customHeight="false" outlineLevel="0" collapsed="false">
      <c r="A366" s="5" t="n">
        <v>361</v>
      </c>
      <c r="B366" s="12" t="s">
        <v>658</v>
      </c>
      <c r="C366" s="13" t="s">
        <v>695</v>
      </c>
      <c r="D366" s="8" t="s">
        <v>696</v>
      </c>
      <c r="E366" s="8" t="s">
        <v>697</v>
      </c>
      <c r="F366" s="8" t="s">
        <v>702</v>
      </c>
      <c r="G366" s="5" t="s">
        <v>44</v>
      </c>
      <c r="H366" s="9" t="s">
        <v>703</v>
      </c>
    </row>
    <row r="367" customFormat="false" ht="144.75" hidden="false" customHeight="false" outlineLevel="0" collapsed="false">
      <c r="A367" s="5" t="n">
        <v>362</v>
      </c>
      <c r="B367" s="12" t="s">
        <v>658</v>
      </c>
      <c r="C367" s="13" t="s">
        <v>695</v>
      </c>
      <c r="D367" s="8" t="s">
        <v>696</v>
      </c>
      <c r="E367" s="8" t="s">
        <v>704</v>
      </c>
      <c r="F367" s="8" t="s">
        <v>705</v>
      </c>
      <c r="G367" s="5" t="s">
        <v>44</v>
      </c>
      <c r="H367" s="9" t="s">
        <v>706</v>
      </c>
    </row>
    <row r="368" customFormat="false" ht="144.75" hidden="false" customHeight="false" outlineLevel="0" collapsed="false">
      <c r="A368" s="5" t="n">
        <v>363</v>
      </c>
      <c r="B368" s="12" t="s">
        <v>658</v>
      </c>
      <c r="C368" s="13" t="s">
        <v>695</v>
      </c>
      <c r="D368" s="8" t="s">
        <v>696</v>
      </c>
      <c r="E368" s="8" t="s">
        <v>704</v>
      </c>
      <c r="F368" s="8" t="s">
        <v>707</v>
      </c>
      <c r="G368" s="5" t="s">
        <v>44</v>
      </c>
      <c r="H368" s="9" t="s">
        <v>708</v>
      </c>
    </row>
    <row r="369" customFormat="false" ht="135.8" hidden="false" customHeight="false" outlineLevel="0" collapsed="false">
      <c r="A369" s="5" t="n">
        <v>364</v>
      </c>
      <c r="B369" s="12" t="s">
        <v>658</v>
      </c>
      <c r="C369" s="13" t="s">
        <v>695</v>
      </c>
      <c r="D369" s="8" t="s">
        <v>696</v>
      </c>
      <c r="E369" s="8" t="s">
        <v>704</v>
      </c>
      <c r="F369" s="8" t="s">
        <v>709</v>
      </c>
      <c r="G369" s="5" t="s">
        <v>44</v>
      </c>
      <c r="H369" s="9" t="s">
        <v>710</v>
      </c>
    </row>
    <row r="370" customFormat="false" ht="144.75" hidden="false" customHeight="false" outlineLevel="0" collapsed="false">
      <c r="A370" s="5" t="n">
        <v>365</v>
      </c>
      <c r="B370" s="12" t="s">
        <v>658</v>
      </c>
      <c r="C370" s="13" t="s">
        <v>695</v>
      </c>
      <c r="D370" s="8" t="s">
        <v>696</v>
      </c>
      <c r="E370" s="8" t="s">
        <v>711</v>
      </c>
      <c r="F370" s="8" t="s">
        <v>712</v>
      </c>
      <c r="G370" s="5" t="s">
        <v>44</v>
      </c>
      <c r="H370" s="9" t="s">
        <v>713</v>
      </c>
    </row>
    <row r="371" customFormat="false" ht="180.55" hidden="false" customHeight="false" outlineLevel="0" collapsed="false">
      <c r="A371" s="5" t="n">
        <v>366</v>
      </c>
      <c r="B371" s="12" t="s">
        <v>658</v>
      </c>
      <c r="C371" s="13" t="s">
        <v>695</v>
      </c>
      <c r="D371" s="8" t="s">
        <v>696</v>
      </c>
      <c r="E371" s="8" t="s">
        <v>711</v>
      </c>
      <c r="F371" s="8" t="s">
        <v>714</v>
      </c>
      <c r="G371" s="5" t="s">
        <v>44</v>
      </c>
      <c r="H371" s="9" t="s">
        <v>715</v>
      </c>
    </row>
    <row r="372" customFormat="false" ht="171.6" hidden="false" customHeight="false" outlineLevel="0" collapsed="false">
      <c r="A372" s="5" t="n">
        <v>367</v>
      </c>
      <c r="B372" s="12" t="s">
        <v>658</v>
      </c>
      <c r="C372" s="13" t="s">
        <v>695</v>
      </c>
      <c r="D372" s="8" t="s">
        <v>696</v>
      </c>
      <c r="E372" s="8" t="s">
        <v>711</v>
      </c>
      <c r="F372" s="8" t="s">
        <v>716</v>
      </c>
      <c r="G372" s="5" t="s">
        <v>44</v>
      </c>
      <c r="H372" s="9" t="s">
        <v>717</v>
      </c>
    </row>
    <row r="373" customFormat="false" ht="180.55" hidden="false" customHeight="false" outlineLevel="0" collapsed="false">
      <c r="A373" s="5" t="n">
        <v>368</v>
      </c>
      <c r="B373" s="12" t="s">
        <v>658</v>
      </c>
      <c r="C373" s="13" t="s">
        <v>695</v>
      </c>
      <c r="D373" s="8" t="s">
        <v>696</v>
      </c>
      <c r="E373" s="8" t="s">
        <v>711</v>
      </c>
      <c r="F373" s="8" t="s">
        <v>718</v>
      </c>
      <c r="G373" s="5" t="s">
        <v>44</v>
      </c>
      <c r="H373" s="9" t="s">
        <v>719</v>
      </c>
    </row>
    <row r="374" customFormat="false" ht="162.65" hidden="false" customHeight="false" outlineLevel="0" collapsed="false">
      <c r="A374" s="5" t="n">
        <v>369</v>
      </c>
      <c r="B374" s="12" t="s">
        <v>658</v>
      </c>
      <c r="C374" s="13" t="s">
        <v>695</v>
      </c>
      <c r="D374" s="8" t="s">
        <v>696</v>
      </c>
      <c r="E374" s="8" t="s">
        <v>711</v>
      </c>
      <c r="F374" s="8" t="s">
        <v>720</v>
      </c>
      <c r="G374" s="5" t="s">
        <v>44</v>
      </c>
      <c r="H374" s="9" t="s">
        <v>721</v>
      </c>
    </row>
    <row r="375" customFormat="false" ht="162.65" hidden="false" customHeight="false" outlineLevel="0" collapsed="false">
      <c r="A375" s="5" t="n">
        <v>370</v>
      </c>
      <c r="B375" s="12" t="s">
        <v>658</v>
      </c>
      <c r="C375" s="13" t="s">
        <v>695</v>
      </c>
      <c r="D375" s="8" t="s">
        <v>696</v>
      </c>
      <c r="E375" s="8" t="s">
        <v>722</v>
      </c>
      <c r="F375" s="8" t="s">
        <v>723</v>
      </c>
      <c r="G375" s="5" t="s">
        <v>47</v>
      </c>
      <c r="H375" s="9" t="s">
        <v>724</v>
      </c>
    </row>
    <row r="376" customFormat="false" ht="171.6" hidden="false" customHeight="false" outlineLevel="0" collapsed="false">
      <c r="A376" s="5" t="n">
        <v>371</v>
      </c>
      <c r="B376" s="12" t="s">
        <v>658</v>
      </c>
      <c r="C376" s="13" t="s">
        <v>695</v>
      </c>
      <c r="D376" s="8" t="s">
        <v>696</v>
      </c>
      <c r="E376" s="8" t="s">
        <v>722</v>
      </c>
      <c r="F376" s="8" t="s">
        <v>725</v>
      </c>
      <c r="G376" s="5" t="s">
        <v>47</v>
      </c>
      <c r="H376" s="9" t="s">
        <v>726</v>
      </c>
    </row>
    <row r="377" customFormat="false" ht="171.6" hidden="false" customHeight="false" outlineLevel="0" collapsed="false">
      <c r="A377" s="5" t="n">
        <v>372</v>
      </c>
      <c r="B377" s="12" t="s">
        <v>658</v>
      </c>
      <c r="C377" s="13" t="s">
        <v>695</v>
      </c>
      <c r="D377" s="8" t="s">
        <v>696</v>
      </c>
      <c r="E377" s="8" t="s">
        <v>722</v>
      </c>
      <c r="F377" s="8" t="s">
        <v>727</v>
      </c>
      <c r="G377" s="5" t="s">
        <v>47</v>
      </c>
      <c r="H377" s="9" t="s">
        <v>728</v>
      </c>
    </row>
    <row r="378" customFormat="false" ht="144.75" hidden="false" customHeight="false" outlineLevel="0" collapsed="false">
      <c r="A378" s="5" t="n">
        <v>373</v>
      </c>
      <c r="B378" s="12" t="s">
        <v>658</v>
      </c>
      <c r="C378" s="13" t="s">
        <v>695</v>
      </c>
      <c r="D378" s="8" t="s">
        <v>696</v>
      </c>
      <c r="E378" s="8" t="s">
        <v>722</v>
      </c>
      <c r="F378" s="8" t="s">
        <v>729</v>
      </c>
      <c r="G378" s="5" t="s">
        <v>47</v>
      </c>
      <c r="H378" s="9" t="s">
        <v>730</v>
      </c>
    </row>
    <row r="379" customFormat="false" ht="162.65" hidden="false" customHeight="false" outlineLevel="0" collapsed="false">
      <c r="A379" s="5" t="n">
        <v>374</v>
      </c>
      <c r="B379" s="12" t="s">
        <v>658</v>
      </c>
      <c r="C379" s="13" t="s">
        <v>695</v>
      </c>
      <c r="D379" s="8" t="s">
        <v>696</v>
      </c>
      <c r="E379" s="8" t="s">
        <v>722</v>
      </c>
      <c r="F379" s="8" t="s">
        <v>731</v>
      </c>
      <c r="G379" s="5" t="s">
        <v>44</v>
      </c>
      <c r="H379" s="9" t="s">
        <v>732</v>
      </c>
    </row>
    <row r="380" customFormat="false" ht="171.6" hidden="false" customHeight="false" outlineLevel="0" collapsed="false">
      <c r="A380" s="5" t="n">
        <v>375</v>
      </c>
      <c r="B380" s="12" t="s">
        <v>658</v>
      </c>
      <c r="C380" s="13" t="s">
        <v>733</v>
      </c>
      <c r="D380" s="8" t="s">
        <v>734</v>
      </c>
      <c r="E380" s="8" t="s">
        <v>735</v>
      </c>
      <c r="F380" s="8" t="s">
        <v>736</v>
      </c>
      <c r="G380" s="5" t="s">
        <v>44</v>
      </c>
      <c r="H380" s="9" t="s">
        <v>737</v>
      </c>
    </row>
    <row r="381" customFormat="false" ht="171.6" hidden="false" customHeight="false" outlineLevel="0" collapsed="false">
      <c r="A381" s="5" t="n">
        <v>376</v>
      </c>
      <c r="B381" s="12" t="s">
        <v>658</v>
      </c>
      <c r="C381" s="13" t="s">
        <v>733</v>
      </c>
      <c r="D381" s="8" t="s">
        <v>734</v>
      </c>
      <c r="E381" s="8" t="s">
        <v>735</v>
      </c>
      <c r="F381" s="8" t="s">
        <v>738</v>
      </c>
      <c r="G381" s="5" t="s">
        <v>44</v>
      </c>
      <c r="H381" s="9" t="s">
        <v>739</v>
      </c>
    </row>
    <row r="382" customFormat="false" ht="171.6" hidden="false" customHeight="false" outlineLevel="0" collapsed="false">
      <c r="A382" s="5" t="n">
        <v>377</v>
      </c>
      <c r="B382" s="12" t="s">
        <v>658</v>
      </c>
      <c r="C382" s="13" t="s">
        <v>733</v>
      </c>
      <c r="D382" s="8" t="s">
        <v>734</v>
      </c>
      <c r="E382" s="8" t="s">
        <v>735</v>
      </c>
      <c r="F382" s="8" t="s">
        <v>740</v>
      </c>
      <c r="G382" s="5" t="s">
        <v>44</v>
      </c>
      <c r="H382" s="9" t="s">
        <v>741</v>
      </c>
    </row>
    <row r="383" customFormat="false" ht="153.7" hidden="false" customHeight="false" outlineLevel="0" collapsed="false">
      <c r="A383" s="5" t="n">
        <v>378</v>
      </c>
      <c r="B383" s="12" t="s">
        <v>658</v>
      </c>
      <c r="C383" s="13" t="s">
        <v>733</v>
      </c>
      <c r="D383" s="8" t="s">
        <v>734</v>
      </c>
      <c r="E383" s="8" t="s">
        <v>735</v>
      </c>
      <c r="F383" s="8" t="s">
        <v>742</v>
      </c>
      <c r="G383" s="5" t="s">
        <v>44</v>
      </c>
      <c r="H383" s="9" t="s">
        <v>743</v>
      </c>
    </row>
    <row r="384" customFormat="false" ht="180.55" hidden="false" customHeight="false" outlineLevel="0" collapsed="false">
      <c r="A384" s="5" t="n">
        <v>379</v>
      </c>
      <c r="B384" s="12" t="s">
        <v>658</v>
      </c>
      <c r="C384" s="13" t="s">
        <v>733</v>
      </c>
      <c r="D384" s="8" t="s">
        <v>734</v>
      </c>
      <c r="E384" s="8" t="s">
        <v>735</v>
      </c>
      <c r="F384" s="8" t="s">
        <v>744</v>
      </c>
      <c r="G384" s="5" t="s">
        <v>44</v>
      </c>
      <c r="H384" s="9" t="s">
        <v>745</v>
      </c>
    </row>
    <row r="385" customFormat="false" ht="171.6" hidden="false" customHeight="false" outlineLevel="0" collapsed="false">
      <c r="A385" s="5" t="n">
        <v>380</v>
      </c>
      <c r="B385" s="12" t="s">
        <v>658</v>
      </c>
      <c r="C385" s="13" t="s">
        <v>733</v>
      </c>
      <c r="D385" s="8" t="s">
        <v>734</v>
      </c>
      <c r="E385" s="8" t="s">
        <v>746</v>
      </c>
      <c r="F385" s="8" t="s">
        <v>747</v>
      </c>
      <c r="G385" s="5" t="s">
        <v>44</v>
      </c>
      <c r="H385" s="9" t="s">
        <v>748</v>
      </c>
    </row>
    <row r="386" customFormat="false" ht="189.55" hidden="false" customHeight="false" outlineLevel="0" collapsed="false">
      <c r="A386" s="5" t="n">
        <v>381</v>
      </c>
      <c r="B386" s="12" t="s">
        <v>658</v>
      </c>
      <c r="C386" s="13" t="s">
        <v>733</v>
      </c>
      <c r="D386" s="8" t="s">
        <v>734</v>
      </c>
      <c r="E386" s="8" t="s">
        <v>746</v>
      </c>
      <c r="F386" s="8" t="s">
        <v>749</v>
      </c>
      <c r="G386" s="5" t="s">
        <v>44</v>
      </c>
      <c r="H386" s="9" t="s">
        <v>750</v>
      </c>
    </row>
    <row r="387" customFormat="false" ht="189.55" hidden="false" customHeight="false" outlineLevel="0" collapsed="false">
      <c r="A387" s="5" t="n">
        <v>382</v>
      </c>
      <c r="B387" s="12" t="s">
        <v>658</v>
      </c>
      <c r="C387" s="13" t="s">
        <v>733</v>
      </c>
      <c r="D387" s="8" t="s">
        <v>734</v>
      </c>
      <c r="E387" s="8" t="s">
        <v>746</v>
      </c>
      <c r="F387" s="8" t="s">
        <v>751</v>
      </c>
      <c r="G387" s="5" t="s">
        <v>44</v>
      </c>
      <c r="H387" s="9" t="s">
        <v>752</v>
      </c>
    </row>
    <row r="388" customFormat="false" ht="117.9" hidden="false" customHeight="false" outlineLevel="0" collapsed="false">
      <c r="A388" s="5" t="n">
        <v>383</v>
      </c>
      <c r="B388" s="12" t="s">
        <v>658</v>
      </c>
      <c r="C388" s="13" t="s">
        <v>753</v>
      </c>
      <c r="D388" s="8" t="s">
        <v>754</v>
      </c>
      <c r="E388" s="8" t="s">
        <v>755</v>
      </c>
      <c r="F388" s="8" t="s">
        <v>756</v>
      </c>
      <c r="G388" s="5" t="s">
        <v>41</v>
      </c>
      <c r="H388" s="9" t="s">
        <v>757</v>
      </c>
    </row>
    <row r="389" customFormat="false" ht="126.85" hidden="false" customHeight="false" outlineLevel="0" collapsed="false">
      <c r="A389" s="5" t="n">
        <v>384</v>
      </c>
      <c r="B389" s="12" t="s">
        <v>658</v>
      </c>
      <c r="C389" s="13" t="s">
        <v>753</v>
      </c>
      <c r="D389" s="8" t="s">
        <v>754</v>
      </c>
      <c r="E389" s="8" t="s">
        <v>755</v>
      </c>
      <c r="F389" s="8" t="s">
        <v>758</v>
      </c>
      <c r="G389" s="5" t="s">
        <v>47</v>
      </c>
      <c r="H389" s="9" t="s">
        <v>759</v>
      </c>
    </row>
    <row r="390" customFormat="false" ht="126.85" hidden="false" customHeight="false" outlineLevel="0" collapsed="false">
      <c r="A390" s="5" t="n">
        <v>385</v>
      </c>
      <c r="B390" s="12" t="s">
        <v>658</v>
      </c>
      <c r="C390" s="13" t="s">
        <v>753</v>
      </c>
      <c r="D390" s="8" t="s">
        <v>754</v>
      </c>
      <c r="E390" s="8" t="s">
        <v>755</v>
      </c>
      <c r="F390" s="8" t="s">
        <v>760</v>
      </c>
      <c r="G390" s="5" t="s">
        <v>16</v>
      </c>
      <c r="H390" s="9" t="s">
        <v>761</v>
      </c>
    </row>
    <row r="391" customFormat="false" ht="126.85" hidden="false" customHeight="false" outlineLevel="0" collapsed="false">
      <c r="A391" s="5" t="n">
        <v>386</v>
      </c>
      <c r="B391" s="12" t="s">
        <v>658</v>
      </c>
      <c r="C391" s="13" t="s">
        <v>753</v>
      </c>
      <c r="D391" s="8" t="s">
        <v>754</v>
      </c>
      <c r="E391" s="8" t="s">
        <v>755</v>
      </c>
      <c r="F391" s="8" t="s">
        <v>762</v>
      </c>
      <c r="G391" s="5" t="s">
        <v>28</v>
      </c>
      <c r="H391" s="9" t="s">
        <v>763</v>
      </c>
    </row>
    <row r="392" customFormat="false" ht="135.8" hidden="false" customHeight="false" outlineLevel="0" collapsed="false">
      <c r="A392" s="5" t="n">
        <v>387</v>
      </c>
      <c r="B392" s="12" t="s">
        <v>658</v>
      </c>
      <c r="C392" s="13" t="s">
        <v>753</v>
      </c>
      <c r="D392" s="8" t="s">
        <v>754</v>
      </c>
      <c r="E392" s="8" t="s">
        <v>764</v>
      </c>
      <c r="F392" s="8" t="s">
        <v>765</v>
      </c>
      <c r="G392" s="5" t="s">
        <v>44</v>
      </c>
      <c r="H392" s="9" t="s">
        <v>766</v>
      </c>
    </row>
    <row r="393" customFormat="false" ht="126.85" hidden="false" customHeight="false" outlineLevel="0" collapsed="false">
      <c r="A393" s="5" t="n">
        <v>388</v>
      </c>
      <c r="B393" s="12" t="s">
        <v>658</v>
      </c>
      <c r="C393" s="13" t="s">
        <v>753</v>
      </c>
      <c r="D393" s="8" t="s">
        <v>754</v>
      </c>
      <c r="E393" s="8" t="s">
        <v>764</v>
      </c>
      <c r="F393" s="8" t="s">
        <v>767</v>
      </c>
      <c r="G393" s="5" t="s">
        <v>44</v>
      </c>
      <c r="H393" s="9" t="s">
        <v>768</v>
      </c>
    </row>
    <row r="394" customFormat="false" ht="117.9" hidden="false" customHeight="false" outlineLevel="0" collapsed="false">
      <c r="A394" s="5" t="n">
        <v>389</v>
      </c>
      <c r="B394" s="12" t="s">
        <v>658</v>
      </c>
      <c r="C394" s="13" t="s">
        <v>753</v>
      </c>
      <c r="D394" s="8" t="s">
        <v>754</v>
      </c>
      <c r="E394" s="8" t="s">
        <v>764</v>
      </c>
      <c r="F394" s="8" t="s">
        <v>769</v>
      </c>
      <c r="G394" s="5" t="s">
        <v>44</v>
      </c>
      <c r="H394" s="9" t="s">
        <v>770</v>
      </c>
    </row>
    <row r="395" customFormat="false" ht="108.95" hidden="false" customHeight="false" outlineLevel="0" collapsed="false">
      <c r="A395" s="5" t="n">
        <v>390</v>
      </c>
      <c r="B395" s="12" t="s">
        <v>658</v>
      </c>
      <c r="C395" s="13" t="s">
        <v>753</v>
      </c>
      <c r="D395" s="8" t="s">
        <v>754</v>
      </c>
      <c r="E395" s="8" t="s">
        <v>764</v>
      </c>
      <c r="F395" s="8" t="s">
        <v>771</v>
      </c>
      <c r="G395" s="5" t="s">
        <v>44</v>
      </c>
      <c r="H395" s="9" t="s">
        <v>772</v>
      </c>
    </row>
    <row r="396" customFormat="false" ht="171.6" hidden="false" customHeight="false" outlineLevel="0" collapsed="false">
      <c r="A396" s="5" t="n">
        <v>391</v>
      </c>
      <c r="B396" s="12" t="s">
        <v>658</v>
      </c>
      <c r="C396" s="13" t="s">
        <v>753</v>
      </c>
      <c r="D396" s="8" t="s">
        <v>754</v>
      </c>
      <c r="E396" s="8" t="s">
        <v>773</v>
      </c>
      <c r="F396" s="8" t="s">
        <v>774</v>
      </c>
      <c r="G396" s="5" t="s">
        <v>44</v>
      </c>
      <c r="H396" s="9" t="s">
        <v>775</v>
      </c>
    </row>
    <row r="397" customFormat="false" ht="144.75" hidden="false" customHeight="false" outlineLevel="0" collapsed="false">
      <c r="A397" s="5" t="n">
        <v>392</v>
      </c>
      <c r="B397" s="12" t="s">
        <v>658</v>
      </c>
      <c r="C397" s="13" t="s">
        <v>753</v>
      </c>
      <c r="D397" s="8" t="s">
        <v>754</v>
      </c>
      <c r="E397" s="8" t="s">
        <v>773</v>
      </c>
      <c r="F397" s="8" t="s">
        <v>776</v>
      </c>
      <c r="G397" s="5" t="s">
        <v>44</v>
      </c>
      <c r="H397" s="9" t="s">
        <v>777</v>
      </c>
    </row>
    <row r="398" customFormat="false" ht="153.7" hidden="false" customHeight="false" outlineLevel="0" collapsed="false">
      <c r="A398" s="5" t="n">
        <v>393</v>
      </c>
      <c r="B398" s="12" t="s">
        <v>658</v>
      </c>
      <c r="C398" s="13" t="s">
        <v>753</v>
      </c>
      <c r="D398" s="8" t="s">
        <v>754</v>
      </c>
      <c r="E398" s="8" t="s">
        <v>773</v>
      </c>
      <c r="F398" s="8" t="s">
        <v>778</v>
      </c>
      <c r="G398" s="5" t="s">
        <v>44</v>
      </c>
      <c r="H398" s="9" t="s">
        <v>779</v>
      </c>
    </row>
    <row r="399" customFormat="false" ht="162.65" hidden="false" customHeight="false" outlineLevel="0" collapsed="false">
      <c r="A399" s="5" t="n">
        <v>394</v>
      </c>
      <c r="B399" s="12" t="s">
        <v>658</v>
      </c>
      <c r="C399" s="13" t="s">
        <v>753</v>
      </c>
      <c r="D399" s="8" t="s">
        <v>754</v>
      </c>
      <c r="E399" s="8" t="s">
        <v>773</v>
      </c>
      <c r="F399" s="8" t="s">
        <v>780</v>
      </c>
      <c r="G399" s="5" t="s">
        <v>28</v>
      </c>
      <c r="H399" s="9" t="s">
        <v>781</v>
      </c>
    </row>
    <row r="400" customFormat="false" ht="144.75" hidden="false" customHeight="false" outlineLevel="0" collapsed="false">
      <c r="A400" s="5" t="n">
        <v>395</v>
      </c>
      <c r="B400" s="12" t="s">
        <v>658</v>
      </c>
      <c r="C400" s="13" t="s">
        <v>782</v>
      </c>
      <c r="D400" s="8" t="s">
        <v>783</v>
      </c>
      <c r="E400" s="8" t="s">
        <v>784</v>
      </c>
      <c r="F400" s="8" t="s">
        <v>785</v>
      </c>
      <c r="G400" s="5" t="s">
        <v>44</v>
      </c>
      <c r="H400" s="9" t="s">
        <v>786</v>
      </c>
    </row>
    <row r="401" customFormat="false" ht="153.7" hidden="false" customHeight="false" outlineLevel="0" collapsed="false">
      <c r="A401" s="5" t="n">
        <v>396</v>
      </c>
      <c r="B401" s="12" t="s">
        <v>658</v>
      </c>
      <c r="C401" s="13" t="s">
        <v>782</v>
      </c>
      <c r="D401" s="8" t="s">
        <v>783</v>
      </c>
      <c r="E401" s="8" t="s">
        <v>784</v>
      </c>
      <c r="F401" s="8" t="s">
        <v>787</v>
      </c>
      <c r="G401" s="5" t="s">
        <v>44</v>
      </c>
      <c r="H401" s="9" t="s">
        <v>788</v>
      </c>
    </row>
    <row r="402" customFormat="false" ht="135.8" hidden="false" customHeight="false" outlineLevel="0" collapsed="false">
      <c r="A402" s="5" t="n">
        <v>397</v>
      </c>
      <c r="B402" s="12" t="s">
        <v>658</v>
      </c>
      <c r="C402" s="13" t="s">
        <v>782</v>
      </c>
      <c r="D402" s="8" t="s">
        <v>783</v>
      </c>
      <c r="E402" s="8" t="s">
        <v>784</v>
      </c>
      <c r="F402" s="8" t="s">
        <v>789</v>
      </c>
      <c r="G402" s="5" t="s">
        <v>47</v>
      </c>
      <c r="H402" s="9" t="s">
        <v>790</v>
      </c>
    </row>
    <row r="403" customFormat="false" ht="117.9" hidden="false" customHeight="false" outlineLevel="0" collapsed="false">
      <c r="A403" s="5" t="n">
        <v>398</v>
      </c>
      <c r="B403" s="12" t="s">
        <v>658</v>
      </c>
      <c r="C403" s="13" t="s">
        <v>782</v>
      </c>
      <c r="D403" s="8" t="s">
        <v>783</v>
      </c>
      <c r="E403" s="8" t="s">
        <v>784</v>
      </c>
      <c r="F403" s="8" t="s">
        <v>791</v>
      </c>
      <c r="G403" s="5" t="s">
        <v>44</v>
      </c>
      <c r="H403" s="9" t="s">
        <v>792</v>
      </c>
    </row>
    <row r="404" customFormat="false" ht="126.85" hidden="false" customHeight="false" outlineLevel="0" collapsed="false">
      <c r="A404" s="5" t="n">
        <v>399</v>
      </c>
      <c r="B404" s="12" t="s">
        <v>658</v>
      </c>
      <c r="C404" s="13" t="s">
        <v>782</v>
      </c>
      <c r="D404" s="8" t="s">
        <v>783</v>
      </c>
      <c r="E404" s="8" t="s">
        <v>784</v>
      </c>
      <c r="F404" s="8" t="s">
        <v>793</v>
      </c>
      <c r="G404" s="5" t="s">
        <v>44</v>
      </c>
      <c r="H404" s="9" t="s">
        <v>794</v>
      </c>
    </row>
    <row r="405" customFormat="false" ht="126.85" hidden="false" customHeight="false" outlineLevel="0" collapsed="false">
      <c r="A405" s="5" t="n">
        <v>400</v>
      </c>
      <c r="B405" s="12" t="s">
        <v>658</v>
      </c>
      <c r="C405" s="13" t="s">
        <v>782</v>
      </c>
      <c r="D405" s="8" t="s">
        <v>783</v>
      </c>
      <c r="E405" s="8" t="s">
        <v>784</v>
      </c>
      <c r="F405" s="8" t="s">
        <v>795</v>
      </c>
      <c r="G405" s="5" t="s">
        <v>44</v>
      </c>
      <c r="H405" s="9" t="s">
        <v>796</v>
      </c>
    </row>
    <row r="406" customFormat="false" ht="135.8" hidden="false" customHeight="false" outlineLevel="0" collapsed="false">
      <c r="A406" s="5" t="n">
        <v>401</v>
      </c>
      <c r="B406" s="12" t="s">
        <v>658</v>
      </c>
      <c r="C406" s="13" t="s">
        <v>782</v>
      </c>
      <c r="D406" s="8" t="s">
        <v>783</v>
      </c>
      <c r="E406" s="8" t="s">
        <v>797</v>
      </c>
      <c r="F406" s="8" t="s">
        <v>798</v>
      </c>
      <c r="G406" s="5" t="s">
        <v>47</v>
      </c>
      <c r="H406" s="9" t="s">
        <v>799</v>
      </c>
    </row>
    <row r="407" customFormat="false" ht="135.8" hidden="false" customHeight="false" outlineLevel="0" collapsed="false">
      <c r="A407" s="5" t="n">
        <v>402</v>
      </c>
      <c r="B407" s="12" t="s">
        <v>658</v>
      </c>
      <c r="C407" s="13" t="s">
        <v>782</v>
      </c>
      <c r="D407" s="8" t="s">
        <v>783</v>
      </c>
      <c r="E407" s="8" t="s">
        <v>797</v>
      </c>
      <c r="F407" s="8" t="s">
        <v>800</v>
      </c>
      <c r="G407" s="5" t="s">
        <v>47</v>
      </c>
      <c r="H407" s="9" t="s">
        <v>801</v>
      </c>
    </row>
    <row r="408" customFormat="false" ht="126.85" hidden="false" customHeight="false" outlineLevel="0" collapsed="false">
      <c r="A408" s="5" t="n">
        <v>403</v>
      </c>
      <c r="B408" s="12" t="s">
        <v>658</v>
      </c>
      <c r="C408" s="13" t="s">
        <v>782</v>
      </c>
      <c r="D408" s="8" t="s">
        <v>783</v>
      </c>
      <c r="E408" s="8" t="s">
        <v>797</v>
      </c>
      <c r="F408" s="8" t="s">
        <v>802</v>
      </c>
      <c r="G408" s="5" t="s">
        <v>47</v>
      </c>
      <c r="H408" s="9" t="s">
        <v>803</v>
      </c>
    </row>
    <row r="409" customFormat="false" ht="135.8" hidden="false" customHeight="false" outlineLevel="0" collapsed="false">
      <c r="A409" s="5" t="n">
        <v>404</v>
      </c>
      <c r="B409" s="12" t="s">
        <v>658</v>
      </c>
      <c r="C409" s="13" t="s">
        <v>782</v>
      </c>
      <c r="D409" s="8" t="s">
        <v>783</v>
      </c>
      <c r="E409" s="8" t="s">
        <v>797</v>
      </c>
      <c r="F409" s="8" t="s">
        <v>804</v>
      </c>
      <c r="G409" s="5" t="s">
        <v>47</v>
      </c>
      <c r="H409" s="9" t="s">
        <v>805</v>
      </c>
    </row>
    <row r="410" customFormat="false" ht="117.9" hidden="false" customHeight="false" outlineLevel="0" collapsed="false">
      <c r="A410" s="5" t="n">
        <v>405</v>
      </c>
      <c r="B410" s="12" t="s">
        <v>658</v>
      </c>
      <c r="C410" s="13" t="s">
        <v>782</v>
      </c>
      <c r="D410" s="8" t="s">
        <v>783</v>
      </c>
      <c r="E410" s="8" t="s">
        <v>797</v>
      </c>
      <c r="F410" s="8" t="s">
        <v>806</v>
      </c>
      <c r="G410" s="5" t="s">
        <v>47</v>
      </c>
      <c r="H410" s="9" t="s">
        <v>807</v>
      </c>
    </row>
    <row r="411" customFormat="false" ht="135.8" hidden="false" customHeight="false" outlineLevel="0" collapsed="false">
      <c r="A411" s="5" t="n">
        <v>406</v>
      </c>
      <c r="B411" s="12" t="s">
        <v>658</v>
      </c>
      <c r="C411" s="13" t="s">
        <v>782</v>
      </c>
      <c r="D411" s="8" t="s">
        <v>783</v>
      </c>
      <c r="E411" s="8" t="s">
        <v>797</v>
      </c>
      <c r="F411" s="8" t="s">
        <v>808</v>
      </c>
      <c r="G411" s="5" t="s">
        <v>47</v>
      </c>
      <c r="H411" s="9" t="s">
        <v>809</v>
      </c>
    </row>
    <row r="412" customFormat="false" ht="153.7" hidden="false" customHeight="false" outlineLevel="0" collapsed="false">
      <c r="A412" s="5" t="n">
        <v>407</v>
      </c>
      <c r="B412" s="12" t="s">
        <v>658</v>
      </c>
      <c r="C412" s="13" t="s">
        <v>782</v>
      </c>
      <c r="D412" s="8" t="s">
        <v>783</v>
      </c>
      <c r="E412" s="8" t="s">
        <v>810</v>
      </c>
      <c r="F412" s="8" t="s">
        <v>811</v>
      </c>
      <c r="G412" s="5" t="s">
        <v>812</v>
      </c>
      <c r="H412" s="9" t="s">
        <v>813</v>
      </c>
    </row>
    <row r="413" customFormat="false" ht="135.8" hidden="false" customHeight="false" outlineLevel="0" collapsed="false">
      <c r="A413" s="5" t="n">
        <v>408</v>
      </c>
      <c r="B413" s="12" t="s">
        <v>658</v>
      </c>
      <c r="C413" s="13" t="s">
        <v>782</v>
      </c>
      <c r="D413" s="8" t="s">
        <v>783</v>
      </c>
      <c r="E413" s="8" t="s">
        <v>810</v>
      </c>
      <c r="F413" s="8" t="s">
        <v>814</v>
      </c>
      <c r="G413" s="5" t="s">
        <v>812</v>
      </c>
      <c r="H413" s="9" t="s">
        <v>815</v>
      </c>
    </row>
    <row r="414" customFormat="false" ht="135.8" hidden="false" customHeight="false" outlineLevel="0" collapsed="false">
      <c r="A414" s="5" t="n">
        <v>409</v>
      </c>
      <c r="B414" s="12" t="s">
        <v>658</v>
      </c>
      <c r="C414" s="13" t="s">
        <v>782</v>
      </c>
      <c r="D414" s="8" t="s">
        <v>783</v>
      </c>
      <c r="E414" s="8" t="s">
        <v>810</v>
      </c>
      <c r="F414" s="8" t="s">
        <v>816</v>
      </c>
      <c r="G414" s="5" t="s">
        <v>44</v>
      </c>
      <c r="H414" s="9" t="s">
        <v>817</v>
      </c>
    </row>
    <row r="415" customFormat="false" ht="144.75" hidden="false" customHeight="false" outlineLevel="0" collapsed="false">
      <c r="A415" s="5" t="n">
        <v>410</v>
      </c>
      <c r="B415" s="12" t="s">
        <v>658</v>
      </c>
      <c r="C415" s="13" t="s">
        <v>782</v>
      </c>
      <c r="D415" s="8" t="s">
        <v>783</v>
      </c>
      <c r="E415" s="8" t="s">
        <v>810</v>
      </c>
      <c r="F415" s="8" t="s">
        <v>818</v>
      </c>
      <c r="G415" s="5" t="s">
        <v>812</v>
      </c>
      <c r="H415" s="9" t="s">
        <v>819</v>
      </c>
    </row>
    <row r="416" customFormat="false" ht="108.95" hidden="false" customHeight="false" outlineLevel="0" collapsed="false">
      <c r="A416" s="5" t="n">
        <v>411</v>
      </c>
      <c r="B416" s="12" t="s">
        <v>658</v>
      </c>
      <c r="C416" s="13" t="s">
        <v>782</v>
      </c>
      <c r="D416" s="8" t="s">
        <v>783</v>
      </c>
      <c r="E416" s="8" t="s">
        <v>820</v>
      </c>
      <c r="F416" s="8" t="s">
        <v>821</v>
      </c>
      <c r="G416" s="5" t="s">
        <v>44</v>
      </c>
      <c r="H416" s="9" t="s">
        <v>822</v>
      </c>
    </row>
    <row r="417" customFormat="false" ht="108.95" hidden="false" customHeight="false" outlineLevel="0" collapsed="false">
      <c r="A417" s="5" t="n">
        <v>412</v>
      </c>
      <c r="B417" s="12" t="s">
        <v>658</v>
      </c>
      <c r="C417" s="13" t="s">
        <v>782</v>
      </c>
      <c r="D417" s="8" t="s">
        <v>783</v>
      </c>
      <c r="E417" s="8" t="s">
        <v>820</v>
      </c>
      <c r="F417" s="8" t="s">
        <v>823</v>
      </c>
      <c r="G417" s="5" t="s">
        <v>44</v>
      </c>
      <c r="H417" s="9" t="s">
        <v>824</v>
      </c>
    </row>
    <row r="418" customFormat="false" ht="108.95" hidden="false" customHeight="false" outlineLevel="0" collapsed="false">
      <c r="A418" s="5" t="n">
        <v>413</v>
      </c>
      <c r="B418" s="12" t="s">
        <v>658</v>
      </c>
      <c r="C418" s="13" t="s">
        <v>782</v>
      </c>
      <c r="D418" s="8" t="s">
        <v>783</v>
      </c>
      <c r="E418" s="8" t="s">
        <v>820</v>
      </c>
      <c r="F418" s="8" t="s">
        <v>825</v>
      </c>
      <c r="G418" s="5" t="s">
        <v>44</v>
      </c>
      <c r="H418" s="9" t="s">
        <v>826</v>
      </c>
    </row>
    <row r="419" customFormat="false" ht="91" hidden="false" customHeight="false" outlineLevel="0" collapsed="false">
      <c r="A419" s="5" t="n">
        <v>414</v>
      </c>
      <c r="B419" s="12" t="s">
        <v>658</v>
      </c>
      <c r="C419" s="13" t="s">
        <v>782</v>
      </c>
      <c r="D419" s="8" t="s">
        <v>783</v>
      </c>
      <c r="E419" s="8" t="s">
        <v>820</v>
      </c>
      <c r="F419" s="8" t="s">
        <v>827</v>
      </c>
      <c r="G419" s="5" t="s">
        <v>44</v>
      </c>
      <c r="H419" s="9" t="s">
        <v>828</v>
      </c>
    </row>
    <row r="420" customFormat="false" ht="126.85" hidden="false" customHeight="false" outlineLevel="0" collapsed="false">
      <c r="A420" s="5" t="n">
        <v>415</v>
      </c>
      <c r="B420" s="12" t="s">
        <v>658</v>
      </c>
      <c r="C420" s="13" t="s">
        <v>782</v>
      </c>
      <c r="D420" s="8" t="s">
        <v>783</v>
      </c>
      <c r="E420" s="8" t="s">
        <v>820</v>
      </c>
      <c r="F420" s="8" t="s">
        <v>829</v>
      </c>
      <c r="G420" s="5" t="s">
        <v>44</v>
      </c>
      <c r="H420" s="9" t="s">
        <v>830</v>
      </c>
    </row>
    <row r="421" customFormat="false" ht="162.65" hidden="false" customHeight="false" outlineLevel="0" collapsed="false">
      <c r="A421" s="5" t="n">
        <v>416</v>
      </c>
      <c r="B421" s="12" t="s">
        <v>658</v>
      </c>
      <c r="C421" s="13" t="s">
        <v>782</v>
      </c>
      <c r="D421" s="8" t="s">
        <v>783</v>
      </c>
      <c r="E421" s="8" t="s">
        <v>831</v>
      </c>
      <c r="F421" s="8" t="s">
        <v>832</v>
      </c>
      <c r="G421" s="5" t="s">
        <v>28</v>
      </c>
      <c r="H421" s="9" t="s">
        <v>833</v>
      </c>
    </row>
    <row r="422" customFormat="false" ht="162.65" hidden="false" customHeight="false" outlineLevel="0" collapsed="false">
      <c r="A422" s="5" t="n">
        <v>417</v>
      </c>
      <c r="B422" s="12" t="s">
        <v>658</v>
      </c>
      <c r="C422" s="13" t="s">
        <v>782</v>
      </c>
      <c r="D422" s="8" t="s">
        <v>783</v>
      </c>
      <c r="E422" s="8" t="s">
        <v>831</v>
      </c>
      <c r="F422" s="8" t="s">
        <v>834</v>
      </c>
      <c r="G422" s="5" t="s">
        <v>44</v>
      </c>
      <c r="H422" s="9" t="s">
        <v>835</v>
      </c>
    </row>
    <row r="423" customFormat="false" ht="171.6" hidden="false" customHeight="false" outlineLevel="0" collapsed="false">
      <c r="A423" s="5" t="n">
        <v>418</v>
      </c>
      <c r="B423" s="12" t="s">
        <v>658</v>
      </c>
      <c r="C423" s="13" t="s">
        <v>782</v>
      </c>
      <c r="D423" s="8" t="s">
        <v>783</v>
      </c>
      <c r="E423" s="8" t="s">
        <v>831</v>
      </c>
      <c r="F423" s="8" t="s">
        <v>836</v>
      </c>
      <c r="G423" s="5" t="s">
        <v>44</v>
      </c>
      <c r="H423" s="9" t="s">
        <v>837</v>
      </c>
    </row>
    <row r="424" customFormat="false" ht="162.65" hidden="false" customHeight="false" outlineLevel="0" collapsed="false">
      <c r="A424" s="5" t="n">
        <v>419</v>
      </c>
      <c r="B424" s="12" t="s">
        <v>658</v>
      </c>
      <c r="C424" s="13" t="s">
        <v>782</v>
      </c>
      <c r="D424" s="8" t="s">
        <v>783</v>
      </c>
      <c r="E424" s="8" t="s">
        <v>831</v>
      </c>
      <c r="F424" s="8" t="s">
        <v>838</v>
      </c>
      <c r="G424" s="5" t="s">
        <v>47</v>
      </c>
      <c r="H424" s="9" t="s">
        <v>839</v>
      </c>
    </row>
    <row r="425" customFormat="false" ht="126.85" hidden="false" customHeight="false" outlineLevel="0" collapsed="false">
      <c r="A425" s="5" t="n">
        <v>420</v>
      </c>
      <c r="B425" s="12" t="s">
        <v>658</v>
      </c>
      <c r="C425" s="13" t="s">
        <v>782</v>
      </c>
      <c r="D425" s="8" t="s">
        <v>783</v>
      </c>
      <c r="E425" s="8" t="s">
        <v>840</v>
      </c>
      <c r="F425" s="8" t="s">
        <v>841</v>
      </c>
      <c r="G425" s="5" t="s">
        <v>44</v>
      </c>
      <c r="H425" s="9" t="s">
        <v>842</v>
      </c>
    </row>
    <row r="426" customFormat="false" ht="171.6" hidden="false" customHeight="false" outlineLevel="0" collapsed="false">
      <c r="A426" s="5" t="n">
        <v>421</v>
      </c>
      <c r="B426" s="12" t="s">
        <v>658</v>
      </c>
      <c r="C426" s="13" t="s">
        <v>782</v>
      </c>
      <c r="D426" s="8" t="s">
        <v>783</v>
      </c>
      <c r="E426" s="8" t="s">
        <v>840</v>
      </c>
      <c r="F426" s="8" t="s">
        <v>843</v>
      </c>
      <c r="G426" s="5" t="s">
        <v>44</v>
      </c>
      <c r="H426" s="9" t="s">
        <v>844</v>
      </c>
    </row>
    <row r="427" customFormat="false" ht="99.95" hidden="false" customHeight="false" outlineLevel="0" collapsed="false">
      <c r="A427" s="5" t="n">
        <v>422</v>
      </c>
      <c r="B427" s="12" t="s">
        <v>658</v>
      </c>
      <c r="C427" s="13" t="s">
        <v>782</v>
      </c>
      <c r="D427" s="8" t="s">
        <v>783</v>
      </c>
      <c r="E427" s="8" t="s">
        <v>840</v>
      </c>
      <c r="F427" s="8" t="s">
        <v>845</v>
      </c>
      <c r="G427" s="5" t="s">
        <v>44</v>
      </c>
      <c r="H427" s="9" t="s">
        <v>846</v>
      </c>
    </row>
    <row r="428" customFormat="false" ht="135.8" hidden="false" customHeight="false" outlineLevel="0" collapsed="false">
      <c r="A428" s="5" t="n">
        <v>423</v>
      </c>
      <c r="B428" s="12" t="s">
        <v>658</v>
      </c>
      <c r="C428" s="13" t="s">
        <v>782</v>
      </c>
      <c r="D428" s="8" t="s">
        <v>783</v>
      </c>
      <c r="E428" s="8" t="s">
        <v>840</v>
      </c>
      <c r="F428" s="8" t="s">
        <v>847</v>
      </c>
      <c r="G428" s="5" t="s">
        <v>28</v>
      </c>
      <c r="H428" s="9" t="s">
        <v>848</v>
      </c>
    </row>
    <row r="429" customFormat="false" ht="153.7" hidden="false" customHeight="false" outlineLevel="0" collapsed="false">
      <c r="A429" s="5" t="n">
        <v>424</v>
      </c>
      <c r="B429" s="12" t="s">
        <v>658</v>
      </c>
      <c r="C429" s="13" t="s">
        <v>849</v>
      </c>
      <c r="D429" s="8" t="s">
        <v>850</v>
      </c>
      <c r="E429" s="8" t="s">
        <v>851</v>
      </c>
      <c r="F429" s="8" t="s">
        <v>852</v>
      </c>
      <c r="G429" s="5" t="s">
        <v>44</v>
      </c>
      <c r="H429" s="9" t="s">
        <v>853</v>
      </c>
    </row>
    <row r="430" customFormat="false" ht="135.8" hidden="false" customHeight="false" outlineLevel="0" collapsed="false">
      <c r="A430" s="5" t="n">
        <v>425</v>
      </c>
      <c r="B430" s="12" t="s">
        <v>658</v>
      </c>
      <c r="C430" s="13" t="s">
        <v>849</v>
      </c>
      <c r="D430" s="8" t="s">
        <v>850</v>
      </c>
      <c r="E430" s="8" t="s">
        <v>851</v>
      </c>
      <c r="F430" s="8" t="s">
        <v>854</v>
      </c>
      <c r="G430" s="5" t="s">
        <v>44</v>
      </c>
      <c r="H430" s="9" t="s">
        <v>855</v>
      </c>
    </row>
    <row r="431" customFormat="false" ht="126.85" hidden="false" customHeight="false" outlineLevel="0" collapsed="false">
      <c r="A431" s="5" t="n">
        <v>426</v>
      </c>
      <c r="B431" s="12" t="s">
        <v>658</v>
      </c>
      <c r="C431" s="13" t="s">
        <v>849</v>
      </c>
      <c r="D431" s="8" t="s">
        <v>850</v>
      </c>
      <c r="E431" s="8" t="s">
        <v>851</v>
      </c>
      <c r="F431" s="8" t="s">
        <v>856</v>
      </c>
      <c r="G431" s="5" t="s">
        <v>44</v>
      </c>
      <c r="H431" s="9" t="s">
        <v>857</v>
      </c>
    </row>
    <row r="432" customFormat="false" ht="135.8" hidden="false" customHeight="false" outlineLevel="0" collapsed="false">
      <c r="A432" s="5" t="n">
        <v>427</v>
      </c>
      <c r="B432" s="12" t="s">
        <v>658</v>
      </c>
      <c r="C432" s="13" t="s">
        <v>849</v>
      </c>
      <c r="D432" s="8" t="s">
        <v>850</v>
      </c>
      <c r="E432" s="8" t="s">
        <v>851</v>
      </c>
      <c r="F432" s="8" t="s">
        <v>858</v>
      </c>
      <c r="G432" s="5" t="s">
        <v>44</v>
      </c>
      <c r="H432" s="9" t="s">
        <v>859</v>
      </c>
    </row>
    <row r="433" customFormat="false" ht="117.9" hidden="false" customHeight="false" outlineLevel="0" collapsed="false">
      <c r="A433" s="5" t="n">
        <v>428</v>
      </c>
      <c r="B433" s="12" t="s">
        <v>658</v>
      </c>
      <c r="C433" s="13" t="s">
        <v>849</v>
      </c>
      <c r="D433" s="8" t="s">
        <v>850</v>
      </c>
      <c r="E433" s="8" t="s">
        <v>860</v>
      </c>
      <c r="F433" s="8" t="s">
        <v>861</v>
      </c>
      <c r="G433" s="5" t="s">
        <v>44</v>
      </c>
      <c r="H433" s="9" t="s">
        <v>862</v>
      </c>
    </row>
    <row r="434" customFormat="false" ht="117.9" hidden="false" customHeight="false" outlineLevel="0" collapsed="false">
      <c r="A434" s="5" t="n">
        <v>429</v>
      </c>
      <c r="B434" s="12" t="s">
        <v>658</v>
      </c>
      <c r="C434" s="13" t="s">
        <v>849</v>
      </c>
      <c r="D434" s="8" t="s">
        <v>850</v>
      </c>
      <c r="E434" s="8" t="s">
        <v>860</v>
      </c>
      <c r="F434" s="8" t="s">
        <v>863</v>
      </c>
      <c r="G434" s="5" t="s">
        <v>44</v>
      </c>
      <c r="H434" s="9" t="s">
        <v>864</v>
      </c>
    </row>
    <row r="435" customFormat="false" ht="126.85" hidden="false" customHeight="false" outlineLevel="0" collapsed="false">
      <c r="A435" s="5" t="n">
        <v>430</v>
      </c>
      <c r="B435" s="12" t="s">
        <v>658</v>
      </c>
      <c r="C435" s="13" t="s">
        <v>849</v>
      </c>
      <c r="D435" s="8" t="s">
        <v>850</v>
      </c>
      <c r="E435" s="8" t="s">
        <v>860</v>
      </c>
      <c r="F435" s="8" t="s">
        <v>865</v>
      </c>
      <c r="G435" s="5" t="s">
        <v>44</v>
      </c>
      <c r="H435" s="9" t="s">
        <v>866</v>
      </c>
    </row>
    <row r="436" customFormat="false" ht="99.95" hidden="false" customHeight="false" outlineLevel="0" collapsed="false">
      <c r="A436" s="5" t="n">
        <v>431</v>
      </c>
      <c r="B436" s="12" t="s">
        <v>658</v>
      </c>
      <c r="C436" s="13" t="s">
        <v>849</v>
      </c>
      <c r="D436" s="8" t="s">
        <v>850</v>
      </c>
      <c r="E436" s="8" t="s">
        <v>860</v>
      </c>
      <c r="F436" s="8" t="s">
        <v>867</v>
      </c>
      <c r="G436" s="5" t="s">
        <v>44</v>
      </c>
      <c r="H436" s="9" t="s">
        <v>868</v>
      </c>
    </row>
    <row r="437" customFormat="false" ht="162.65" hidden="false" customHeight="false" outlineLevel="0" collapsed="false">
      <c r="A437" s="5" t="n">
        <v>432</v>
      </c>
      <c r="B437" s="12" t="s">
        <v>658</v>
      </c>
      <c r="C437" s="13" t="s">
        <v>849</v>
      </c>
      <c r="D437" s="8" t="s">
        <v>850</v>
      </c>
      <c r="E437" s="8" t="s">
        <v>869</v>
      </c>
      <c r="F437" s="8" t="s">
        <v>870</v>
      </c>
      <c r="G437" s="5" t="s">
        <v>812</v>
      </c>
      <c r="H437" s="9" t="s">
        <v>871</v>
      </c>
    </row>
    <row r="438" customFormat="false" ht="144.75" hidden="false" customHeight="false" outlineLevel="0" collapsed="false">
      <c r="A438" s="5" t="n">
        <v>433</v>
      </c>
      <c r="B438" s="12" t="s">
        <v>658</v>
      </c>
      <c r="C438" s="13" t="s">
        <v>849</v>
      </c>
      <c r="D438" s="8" t="s">
        <v>850</v>
      </c>
      <c r="E438" s="8" t="s">
        <v>869</v>
      </c>
      <c r="F438" s="8" t="s">
        <v>872</v>
      </c>
      <c r="G438" s="5" t="s">
        <v>44</v>
      </c>
      <c r="H438" s="9" t="s">
        <v>873</v>
      </c>
    </row>
    <row r="439" customFormat="false" ht="144.75" hidden="false" customHeight="false" outlineLevel="0" collapsed="false">
      <c r="A439" s="5" t="n">
        <v>434</v>
      </c>
      <c r="B439" s="12" t="s">
        <v>658</v>
      </c>
      <c r="C439" s="13" t="s">
        <v>849</v>
      </c>
      <c r="D439" s="8" t="s">
        <v>850</v>
      </c>
      <c r="E439" s="8" t="s">
        <v>869</v>
      </c>
      <c r="F439" s="8" t="s">
        <v>874</v>
      </c>
      <c r="G439" s="5" t="s">
        <v>44</v>
      </c>
      <c r="H439" s="9" t="s">
        <v>875</v>
      </c>
    </row>
    <row r="440" customFormat="false" ht="144.75" hidden="false" customHeight="false" outlineLevel="0" collapsed="false">
      <c r="A440" s="5" t="n">
        <v>435</v>
      </c>
      <c r="B440" s="12" t="s">
        <v>658</v>
      </c>
      <c r="C440" s="13" t="s">
        <v>849</v>
      </c>
      <c r="D440" s="8" t="s">
        <v>850</v>
      </c>
      <c r="E440" s="8" t="s">
        <v>869</v>
      </c>
      <c r="F440" s="8" t="s">
        <v>876</v>
      </c>
      <c r="G440" s="5" t="s">
        <v>812</v>
      </c>
      <c r="H440" s="9" t="s">
        <v>877</v>
      </c>
    </row>
    <row r="441" customFormat="false" ht="135.8" hidden="false" customHeight="false" outlineLevel="0" collapsed="false">
      <c r="A441" s="5" t="n">
        <v>436</v>
      </c>
      <c r="B441" s="12" t="s">
        <v>658</v>
      </c>
      <c r="C441" s="13" t="s">
        <v>849</v>
      </c>
      <c r="D441" s="8" t="s">
        <v>850</v>
      </c>
      <c r="E441" s="8" t="s">
        <v>869</v>
      </c>
      <c r="F441" s="8" t="s">
        <v>878</v>
      </c>
      <c r="G441" s="5" t="s">
        <v>44</v>
      </c>
      <c r="H441" s="9" t="s">
        <v>879</v>
      </c>
    </row>
    <row r="442" customFormat="false" ht="180.55" hidden="false" customHeight="false" outlineLevel="0" collapsed="false">
      <c r="A442" s="5" t="n">
        <v>437</v>
      </c>
      <c r="B442" s="12" t="s">
        <v>658</v>
      </c>
      <c r="C442" s="13" t="s">
        <v>849</v>
      </c>
      <c r="D442" s="8" t="s">
        <v>850</v>
      </c>
      <c r="E442" s="8" t="s">
        <v>880</v>
      </c>
      <c r="F442" s="8" t="s">
        <v>881</v>
      </c>
      <c r="G442" s="5" t="s">
        <v>28</v>
      </c>
      <c r="H442" s="9" t="s">
        <v>882</v>
      </c>
    </row>
    <row r="443" customFormat="false" ht="135.8" hidden="false" customHeight="false" outlineLevel="0" collapsed="false">
      <c r="A443" s="5" t="n">
        <v>438</v>
      </c>
      <c r="B443" s="12" t="s">
        <v>658</v>
      </c>
      <c r="C443" s="13" t="s">
        <v>849</v>
      </c>
      <c r="D443" s="8" t="s">
        <v>850</v>
      </c>
      <c r="E443" s="8" t="s">
        <v>880</v>
      </c>
      <c r="F443" s="8" t="s">
        <v>883</v>
      </c>
      <c r="G443" s="5" t="s">
        <v>44</v>
      </c>
      <c r="H443" s="9" t="s">
        <v>884</v>
      </c>
    </row>
    <row r="444" customFormat="false" ht="162.65" hidden="false" customHeight="false" outlineLevel="0" collapsed="false">
      <c r="A444" s="5" t="n">
        <v>439</v>
      </c>
      <c r="B444" s="12" t="s">
        <v>658</v>
      </c>
      <c r="C444" s="13" t="s">
        <v>849</v>
      </c>
      <c r="D444" s="8" t="s">
        <v>850</v>
      </c>
      <c r="E444" s="8" t="s">
        <v>880</v>
      </c>
      <c r="F444" s="8" t="s">
        <v>885</v>
      </c>
      <c r="G444" s="5" t="s">
        <v>28</v>
      </c>
      <c r="H444" s="9" t="s">
        <v>886</v>
      </c>
    </row>
    <row r="445" customFormat="false" ht="162.65" hidden="false" customHeight="false" outlineLevel="0" collapsed="false">
      <c r="A445" s="5" t="n">
        <v>440</v>
      </c>
      <c r="B445" s="12" t="s">
        <v>658</v>
      </c>
      <c r="C445" s="13" t="s">
        <v>849</v>
      </c>
      <c r="D445" s="8" t="s">
        <v>850</v>
      </c>
      <c r="E445" s="8" t="s">
        <v>880</v>
      </c>
      <c r="F445" s="8" t="s">
        <v>887</v>
      </c>
      <c r="G445" s="5" t="s">
        <v>44</v>
      </c>
      <c r="H445" s="9" t="s">
        <v>888</v>
      </c>
    </row>
    <row r="446" customFormat="false" ht="171.6" hidden="false" customHeight="false" outlineLevel="0" collapsed="false">
      <c r="A446" s="5" t="n">
        <v>441</v>
      </c>
      <c r="B446" s="12" t="s">
        <v>658</v>
      </c>
      <c r="C446" s="13" t="s">
        <v>849</v>
      </c>
      <c r="D446" s="8" t="s">
        <v>850</v>
      </c>
      <c r="E446" s="8" t="s">
        <v>880</v>
      </c>
      <c r="F446" s="8" t="s">
        <v>889</v>
      </c>
      <c r="G446" s="5" t="s">
        <v>28</v>
      </c>
      <c r="H446" s="9" t="s">
        <v>890</v>
      </c>
    </row>
    <row r="447" customFormat="false" ht="144.75" hidden="false" customHeight="false" outlineLevel="0" collapsed="false">
      <c r="A447" s="5" t="n">
        <v>442</v>
      </c>
      <c r="B447" s="12" t="s">
        <v>658</v>
      </c>
      <c r="C447" s="13" t="s">
        <v>849</v>
      </c>
      <c r="D447" s="8" t="s">
        <v>850</v>
      </c>
      <c r="E447" s="8" t="s">
        <v>891</v>
      </c>
      <c r="F447" s="8" t="s">
        <v>892</v>
      </c>
      <c r="G447" s="5" t="s">
        <v>44</v>
      </c>
      <c r="H447" s="9" t="s">
        <v>893</v>
      </c>
    </row>
    <row r="448" customFormat="false" ht="144.75" hidden="false" customHeight="false" outlineLevel="0" collapsed="false">
      <c r="A448" s="5" t="n">
        <v>443</v>
      </c>
      <c r="B448" s="12" t="s">
        <v>658</v>
      </c>
      <c r="C448" s="13" t="s">
        <v>849</v>
      </c>
      <c r="D448" s="8" t="s">
        <v>850</v>
      </c>
      <c r="E448" s="8" t="s">
        <v>891</v>
      </c>
      <c r="F448" s="8" t="s">
        <v>894</v>
      </c>
      <c r="G448" s="5" t="s">
        <v>44</v>
      </c>
      <c r="H448" s="9" t="s">
        <v>895</v>
      </c>
    </row>
    <row r="449" customFormat="false" ht="135.8" hidden="false" customHeight="false" outlineLevel="0" collapsed="false">
      <c r="A449" s="5" t="n">
        <v>444</v>
      </c>
      <c r="B449" s="12" t="s">
        <v>658</v>
      </c>
      <c r="C449" s="13" t="s">
        <v>896</v>
      </c>
      <c r="D449" s="8" t="s">
        <v>897</v>
      </c>
      <c r="E449" s="8" t="s">
        <v>898</v>
      </c>
      <c r="F449" s="8" t="s">
        <v>899</v>
      </c>
      <c r="G449" s="5" t="s">
        <v>47</v>
      </c>
      <c r="H449" s="9" t="s">
        <v>900</v>
      </c>
    </row>
    <row r="450" customFormat="false" ht="135.8" hidden="false" customHeight="false" outlineLevel="0" collapsed="false">
      <c r="A450" s="5" t="n">
        <v>445</v>
      </c>
      <c r="B450" s="12" t="s">
        <v>658</v>
      </c>
      <c r="C450" s="13" t="s">
        <v>896</v>
      </c>
      <c r="D450" s="8" t="s">
        <v>897</v>
      </c>
      <c r="E450" s="8" t="s">
        <v>898</v>
      </c>
      <c r="F450" s="8" t="s">
        <v>901</v>
      </c>
      <c r="G450" s="5" t="s">
        <v>47</v>
      </c>
      <c r="H450" s="9" t="s">
        <v>902</v>
      </c>
    </row>
    <row r="451" customFormat="false" ht="117.9" hidden="false" customHeight="false" outlineLevel="0" collapsed="false">
      <c r="A451" s="5" t="n">
        <v>446</v>
      </c>
      <c r="B451" s="12" t="s">
        <v>658</v>
      </c>
      <c r="C451" s="13" t="s">
        <v>896</v>
      </c>
      <c r="D451" s="8" t="s">
        <v>897</v>
      </c>
      <c r="E451" s="8" t="s">
        <v>898</v>
      </c>
      <c r="F451" s="8" t="s">
        <v>729</v>
      </c>
      <c r="G451" s="5" t="s">
        <v>47</v>
      </c>
      <c r="H451" s="9" t="s">
        <v>903</v>
      </c>
    </row>
    <row r="452" customFormat="false" ht="126.85" hidden="false" customHeight="false" outlineLevel="0" collapsed="false">
      <c r="A452" s="5" t="n">
        <v>447</v>
      </c>
      <c r="B452" s="12" t="s">
        <v>658</v>
      </c>
      <c r="C452" s="13" t="s">
        <v>896</v>
      </c>
      <c r="D452" s="8" t="s">
        <v>897</v>
      </c>
      <c r="E452" s="8" t="s">
        <v>898</v>
      </c>
      <c r="F452" s="8" t="s">
        <v>904</v>
      </c>
      <c r="G452" s="5" t="s">
        <v>44</v>
      </c>
      <c r="H452" s="9" t="s">
        <v>905</v>
      </c>
    </row>
    <row r="453" customFormat="false" ht="126.85" hidden="false" customHeight="false" outlineLevel="0" collapsed="false">
      <c r="A453" s="5" t="n">
        <v>448</v>
      </c>
      <c r="B453" s="12" t="s">
        <v>658</v>
      </c>
      <c r="C453" s="13" t="s">
        <v>896</v>
      </c>
      <c r="D453" s="8" t="s">
        <v>897</v>
      </c>
      <c r="E453" s="8" t="s">
        <v>898</v>
      </c>
      <c r="F453" s="8" t="s">
        <v>906</v>
      </c>
      <c r="G453" s="5" t="s">
        <v>44</v>
      </c>
      <c r="H453" s="9" t="s">
        <v>907</v>
      </c>
    </row>
    <row r="454" customFormat="false" ht="135.8" hidden="false" customHeight="false" outlineLevel="0" collapsed="false">
      <c r="A454" s="5" t="n">
        <v>449</v>
      </c>
      <c r="B454" s="12" t="s">
        <v>658</v>
      </c>
      <c r="C454" s="13" t="s">
        <v>896</v>
      </c>
      <c r="D454" s="8" t="s">
        <v>897</v>
      </c>
      <c r="E454" s="8" t="s">
        <v>908</v>
      </c>
      <c r="F454" s="8" t="s">
        <v>909</v>
      </c>
      <c r="G454" s="5" t="s">
        <v>44</v>
      </c>
      <c r="H454" s="9" t="s">
        <v>910</v>
      </c>
    </row>
    <row r="455" customFormat="false" ht="144.75" hidden="false" customHeight="false" outlineLevel="0" collapsed="false">
      <c r="A455" s="5" t="n">
        <v>450</v>
      </c>
      <c r="B455" s="12" t="s">
        <v>658</v>
      </c>
      <c r="C455" s="13" t="s">
        <v>896</v>
      </c>
      <c r="D455" s="8" t="s">
        <v>897</v>
      </c>
      <c r="E455" s="8" t="s">
        <v>908</v>
      </c>
      <c r="F455" s="8" t="s">
        <v>911</v>
      </c>
      <c r="G455" s="5" t="s">
        <v>44</v>
      </c>
      <c r="H455" s="9" t="s">
        <v>912</v>
      </c>
    </row>
    <row r="456" customFormat="false" ht="144.75" hidden="false" customHeight="false" outlineLevel="0" collapsed="false">
      <c r="A456" s="5" t="n">
        <v>451</v>
      </c>
      <c r="B456" s="12" t="s">
        <v>658</v>
      </c>
      <c r="C456" s="13" t="s">
        <v>896</v>
      </c>
      <c r="D456" s="8" t="s">
        <v>897</v>
      </c>
      <c r="E456" s="8" t="s">
        <v>908</v>
      </c>
      <c r="F456" s="8" t="s">
        <v>913</v>
      </c>
      <c r="G456" s="5" t="s">
        <v>44</v>
      </c>
      <c r="H456" s="9" t="s">
        <v>914</v>
      </c>
    </row>
    <row r="457" customFormat="false" ht="144.75" hidden="false" customHeight="false" outlineLevel="0" collapsed="false">
      <c r="A457" s="5" t="n">
        <v>452</v>
      </c>
      <c r="B457" s="12" t="s">
        <v>658</v>
      </c>
      <c r="C457" s="13" t="s">
        <v>896</v>
      </c>
      <c r="D457" s="8" t="s">
        <v>897</v>
      </c>
      <c r="E457" s="8" t="s">
        <v>908</v>
      </c>
      <c r="F457" s="8" t="s">
        <v>915</v>
      </c>
      <c r="G457" s="5" t="s">
        <v>44</v>
      </c>
      <c r="H457" s="9" t="s">
        <v>916</v>
      </c>
    </row>
    <row r="458" customFormat="false" ht="144.75" hidden="false" customHeight="false" outlineLevel="0" collapsed="false">
      <c r="A458" s="5" t="n">
        <v>453</v>
      </c>
      <c r="B458" s="12" t="s">
        <v>658</v>
      </c>
      <c r="C458" s="13" t="s">
        <v>896</v>
      </c>
      <c r="D458" s="8" t="s">
        <v>897</v>
      </c>
      <c r="E458" s="8" t="s">
        <v>908</v>
      </c>
      <c r="F458" s="8" t="s">
        <v>917</v>
      </c>
      <c r="G458" s="5" t="s">
        <v>28</v>
      </c>
      <c r="H458" s="9" t="s">
        <v>918</v>
      </c>
    </row>
    <row r="459" customFormat="false" ht="91" hidden="false" customHeight="false" outlineLevel="0" collapsed="false">
      <c r="A459" s="5" t="n">
        <v>454</v>
      </c>
      <c r="B459" s="12" t="s">
        <v>658</v>
      </c>
      <c r="C459" s="13" t="s">
        <v>896</v>
      </c>
      <c r="D459" s="8" t="s">
        <v>897</v>
      </c>
      <c r="E459" s="8" t="s">
        <v>919</v>
      </c>
      <c r="F459" s="8" t="s">
        <v>920</v>
      </c>
      <c r="G459" s="5" t="s">
        <v>47</v>
      </c>
      <c r="H459" s="9" t="s">
        <v>921</v>
      </c>
    </row>
    <row r="460" customFormat="false" ht="108.95" hidden="false" customHeight="false" outlineLevel="0" collapsed="false">
      <c r="A460" s="5" t="n">
        <v>455</v>
      </c>
      <c r="B460" s="12" t="s">
        <v>658</v>
      </c>
      <c r="C460" s="13" t="s">
        <v>896</v>
      </c>
      <c r="D460" s="8" t="s">
        <v>897</v>
      </c>
      <c r="E460" s="8" t="s">
        <v>919</v>
      </c>
      <c r="F460" s="8" t="s">
        <v>922</v>
      </c>
      <c r="G460" s="5" t="s">
        <v>47</v>
      </c>
      <c r="H460" s="9" t="s">
        <v>923</v>
      </c>
    </row>
    <row r="461" customFormat="false" ht="99.95" hidden="false" customHeight="false" outlineLevel="0" collapsed="false">
      <c r="A461" s="5" t="n">
        <v>456</v>
      </c>
      <c r="B461" s="12" t="s">
        <v>658</v>
      </c>
      <c r="C461" s="13" t="s">
        <v>896</v>
      </c>
      <c r="D461" s="8" t="s">
        <v>897</v>
      </c>
      <c r="E461" s="8" t="s">
        <v>919</v>
      </c>
      <c r="F461" s="8" t="s">
        <v>924</v>
      </c>
      <c r="G461" s="5" t="s">
        <v>47</v>
      </c>
      <c r="H461" s="9" t="s">
        <v>925</v>
      </c>
    </row>
    <row r="462" customFormat="false" ht="135.8" hidden="false" customHeight="false" outlineLevel="0" collapsed="false">
      <c r="A462" s="5" t="n">
        <v>457</v>
      </c>
      <c r="B462" s="12" t="s">
        <v>658</v>
      </c>
      <c r="C462" s="13" t="s">
        <v>896</v>
      </c>
      <c r="D462" s="8" t="s">
        <v>897</v>
      </c>
      <c r="E462" s="8" t="s">
        <v>919</v>
      </c>
      <c r="F462" s="8" t="s">
        <v>926</v>
      </c>
      <c r="G462" s="5" t="s">
        <v>47</v>
      </c>
      <c r="H462" s="9" t="s">
        <v>927</v>
      </c>
    </row>
    <row r="463" customFormat="false" ht="162.65" hidden="false" customHeight="false" outlineLevel="0" collapsed="false">
      <c r="A463" s="5" t="n">
        <v>458</v>
      </c>
      <c r="B463" s="12" t="s">
        <v>658</v>
      </c>
      <c r="C463" s="13" t="s">
        <v>896</v>
      </c>
      <c r="D463" s="8" t="s">
        <v>897</v>
      </c>
      <c r="E463" s="8" t="s">
        <v>919</v>
      </c>
      <c r="F463" s="8" t="s">
        <v>928</v>
      </c>
      <c r="G463" s="5" t="s">
        <v>44</v>
      </c>
      <c r="H463" s="9" t="s">
        <v>929</v>
      </c>
    </row>
    <row r="464" customFormat="false" ht="108.95" hidden="false" customHeight="false" outlineLevel="0" collapsed="false">
      <c r="A464" s="5" t="n">
        <v>459</v>
      </c>
      <c r="B464" s="12" t="s">
        <v>658</v>
      </c>
      <c r="C464" s="13" t="s">
        <v>896</v>
      </c>
      <c r="D464" s="8" t="s">
        <v>897</v>
      </c>
      <c r="E464" s="8" t="s">
        <v>919</v>
      </c>
      <c r="F464" s="8" t="s">
        <v>930</v>
      </c>
      <c r="G464" s="5" t="s">
        <v>44</v>
      </c>
      <c r="H464" s="9" t="s">
        <v>931</v>
      </c>
    </row>
    <row r="465" customFormat="false" ht="144.75" hidden="false" customHeight="false" outlineLevel="0" collapsed="false">
      <c r="A465" s="5" t="n">
        <v>460</v>
      </c>
      <c r="B465" s="12" t="s">
        <v>658</v>
      </c>
      <c r="C465" s="13" t="s">
        <v>896</v>
      </c>
      <c r="D465" s="8" t="s">
        <v>897</v>
      </c>
      <c r="E465" s="8" t="s">
        <v>932</v>
      </c>
      <c r="F465" s="8" t="s">
        <v>933</v>
      </c>
      <c r="G465" s="5" t="s">
        <v>44</v>
      </c>
      <c r="H465" s="9" t="s">
        <v>934</v>
      </c>
    </row>
    <row r="466" customFormat="false" ht="162.65" hidden="false" customHeight="false" outlineLevel="0" collapsed="false">
      <c r="A466" s="5" t="n">
        <v>461</v>
      </c>
      <c r="B466" s="12" t="s">
        <v>658</v>
      </c>
      <c r="C466" s="13" t="s">
        <v>896</v>
      </c>
      <c r="D466" s="8" t="s">
        <v>897</v>
      </c>
      <c r="E466" s="8" t="s">
        <v>932</v>
      </c>
      <c r="F466" s="8" t="s">
        <v>935</v>
      </c>
      <c r="G466" s="5" t="s">
        <v>28</v>
      </c>
      <c r="H466" s="9" t="s">
        <v>936</v>
      </c>
    </row>
    <row r="467" customFormat="false" ht="144.75" hidden="false" customHeight="false" outlineLevel="0" collapsed="false">
      <c r="A467" s="5" t="n">
        <v>462</v>
      </c>
      <c r="B467" s="12" t="s">
        <v>658</v>
      </c>
      <c r="C467" s="13" t="s">
        <v>896</v>
      </c>
      <c r="D467" s="8" t="s">
        <v>897</v>
      </c>
      <c r="E467" s="8" t="s">
        <v>932</v>
      </c>
      <c r="F467" s="8" t="s">
        <v>937</v>
      </c>
      <c r="G467" s="5" t="s">
        <v>28</v>
      </c>
      <c r="H467" s="9" t="s">
        <v>938</v>
      </c>
    </row>
    <row r="468" customFormat="false" ht="144.75" hidden="false" customHeight="false" outlineLevel="0" collapsed="false">
      <c r="A468" s="5" t="n">
        <v>463</v>
      </c>
      <c r="B468" s="12" t="s">
        <v>658</v>
      </c>
      <c r="C468" s="13" t="s">
        <v>939</v>
      </c>
      <c r="D468" s="8" t="s">
        <v>940</v>
      </c>
      <c r="E468" s="8" t="s">
        <v>941</v>
      </c>
      <c r="F468" s="8" t="s">
        <v>942</v>
      </c>
      <c r="G468" s="5" t="s">
        <v>44</v>
      </c>
      <c r="H468" s="9" t="s">
        <v>943</v>
      </c>
    </row>
    <row r="469" customFormat="false" ht="144.75" hidden="false" customHeight="false" outlineLevel="0" collapsed="false">
      <c r="A469" s="5" t="n">
        <v>464</v>
      </c>
      <c r="B469" s="12" t="s">
        <v>658</v>
      </c>
      <c r="C469" s="13" t="s">
        <v>939</v>
      </c>
      <c r="D469" s="8" t="s">
        <v>940</v>
      </c>
      <c r="E469" s="8" t="s">
        <v>941</v>
      </c>
      <c r="F469" s="8" t="s">
        <v>944</v>
      </c>
      <c r="G469" s="5" t="s">
        <v>44</v>
      </c>
      <c r="H469" s="9" t="s">
        <v>945</v>
      </c>
    </row>
    <row r="470" customFormat="false" ht="153.7" hidden="false" customHeight="false" outlineLevel="0" collapsed="false">
      <c r="A470" s="5" t="n">
        <v>465</v>
      </c>
      <c r="B470" s="12" t="s">
        <v>658</v>
      </c>
      <c r="C470" s="13" t="s">
        <v>939</v>
      </c>
      <c r="D470" s="8" t="s">
        <v>940</v>
      </c>
      <c r="E470" s="8" t="s">
        <v>941</v>
      </c>
      <c r="F470" s="8" t="s">
        <v>946</v>
      </c>
      <c r="G470" s="5" t="s">
        <v>44</v>
      </c>
      <c r="H470" s="9" t="s">
        <v>947</v>
      </c>
    </row>
    <row r="471" customFormat="false" ht="153.7" hidden="false" customHeight="false" outlineLevel="0" collapsed="false">
      <c r="A471" s="5" t="n">
        <v>466</v>
      </c>
      <c r="B471" s="12" t="s">
        <v>658</v>
      </c>
      <c r="C471" s="13" t="s">
        <v>939</v>
      </c>
      <c r="D471" s="8" t="s">
        <v>940</v>
      </c>
      <c r="E471" s="8" t="s">
        <v>941</v>
      </c>
      <c r="F471" s="8" t="s">
        <v>948</v>
      </c>
      <c r="G471" s="5" t="s">
        <v>47</v>
      </c>
      <c r="H471" s="9" t="s">
        <v>949</v>
      </c>
    </row>
    <row r="472" customFormat="false" ht="135.8" hidden="false" customHeight="false" outlineLevel="0" collapsed="false">
      <c r="A472" s="5" t="n">
        <v>467</v>
      </c>
      <c r="B472" s="12" t="s">
        <v>658</v>
      </c>
      <c r="C472" s="13" t="s">
        <v>939</v>
      </c>
      <c r="D472" s="8" t="s">
        <v>940</v>
      </c>
      <c r="E472" s="8" t="s">
        <v>950</v>
      </c>
      <c r="F472" s="8" t="s">
        <v>951</v>
      </c>
      <c r="G472" s="5" t="s">
        <v>44</v>
      </c>
      <c r="H472" s="9" t="s">
        <v>952</v>
      </c>
    </row>
    <row r="473" customFormat="false" ht="144.75" hidden="false" customHeight="false" outlineLevel="0" collapsed="false">
      <c r="A473" s="5" t="n">
        <v>468</v>
      </c>
      <c r="B473" s="12" t="s">
        <v>658</v>
      </c>
      <c r="C473" s="13" t="s">
        <v>939</v>
      </c>
      <c r="D473" s="8" t="s">
        <v>940</v>
      </c>
      <c r="E473" s="8" t="s">
        <v>950</v>
      </c>
      <c r="F473" s="8" t="s">
        <v>953</v>
      </c>
      <c r="G473" s="5" t="s">
        <v>47</v>
      </c>
      <c r="H473" s="9" t="s">
        <v>954</v>
      </c>
    </row>
    <row r="474" customFormat="false" ht="144.75" hidden="false" customHeight="false" outlineLevel="0" collapsed="false">
      <c r="A474" s="5" t="n">
        <v>469</v>
      </c>
      <c r="B474" s="12" t="s">
        <v>658</v>
      </c>
      <c r="C474" s="13" t="s">
        <v>939</v>
      </c>
      <c r="D474" s="8" t="s">
        <v>940</v>
      </c>
      <c r="E474" s="8" t="s">
        <v>950</v>
      </c>
      <c r="F474" s="8" t="s">
        <v>955</v>
      </c>
      <c r="G474" s="5" t="s">
        <v>44</v>
      </c>
      <c r="H474" s="9" t="s">
        <v>956</v>
      </c>
    </row>
    <row r="475" customFormat="false" ht="135.8" hidden="false" customHeight="false" outlineLevel="0" collapsed="false">
      <c r="A475" s="5" t="n">
        <v>470</v>
      </c>
      <c r="B475" s="12" t="s">
        <v>658</v>
      </c>
      <c r="C475" s="13" t="s">
        <v>939</v>
      </c>
      <c r="D475" s="8" t="s">
        <v>940</v>
      </c>
      <c r="E475" s="8" t="s">
        <v>950</v>
      </c>
      <c r="F475" s="8" t="s">
        <v>957</v>
      </c>
      <c r="G475" s="5" t="s">
        <v>44</v>
      </c>
      <c r="H475" s="9" t="s">
        <v>958</v>
      </c>
    </row>
    <row r="476" customFormat="false" ht="126.85" hidden="false" customHeight="false" outlineLevel="0" collapsed="false">
      <c r="A476" s="5" t="n">
        <v>471</v>
      </c>
      <c r="B476" s="12" t="s">
        <v>658</v>
      </c>
      <c r="C476" s="13" t="s">
        <v>939</v>
      </c>
      <c r="D476" s="8" t="s">
        <v>940</v>
      </c>
      <c r="E476" s="8" t="s">
        <v>959</v>
      </c>
      <c r="F476" s="8" t="s">
        <v>960</v>
      </c>
      <c r="G476" s="5" t="s">
        <v>44</v>
      </c>
      <c r="H476" s="9" t="s">
        <v>961</v>
      </c>
    </row>
    <row r="477" customFormat="false" ht="135.8" hidden="false" customHeight="false" outlineLevel="0" collapsed="false">
      <c r="A477" s="5" t="n">
        <v>472</v>
      </c>
      <c r="B477" s="12" t="s">
        <v>658</v>
      </c>
      <c r="C477" s="13" t="s">
        <v>939</v>
      </c>
      <c r="D477" s="8" t="s">
        <v>940</v>
      </c>
      <c r="E477" s="8" t="s">
        <v>959</v>
      </c>
      <c r="F477" s="8" t="s">
        <v>962</v>
      </c>
      <c r="G477" s="5" t="s">
        <v>44</v>
      </c>
      <c r="H477" s="9" t="s">
        <v>963</v>
      </c>
    </row>
    <row r="478" customFormat="false" ht="135.8" hidden="false" customHeight="false" outlineLevel="0" collapsed="false">
      <c r="A478" s="5" t="n">
        <v>473</v>
      </c>
      <c r="B478" s="12" t="s">
        <v>658</v>
      </c>
      <c r="C478" s="13" t="s">
        <v>939</v>
      </c>
      <c r="D478" s="8" t="s">
        <v>940</v>
      </c>
      <c r="E478" s="8" t="s">
        <v>959</v>
      </c>
      <c r="F478" s="8" t="s">
        <v>964</v>
      </c>
      <c r="G478" s="5" t="s">
        <v>44</v>
      </c>
      <c r="H478" s="9" t="s">
        <v>965</v>
      </c>
    </row>
    <row r="479" customFormat="false" ht="180.55" hidden="false" customHeight="false" outlineLevel="0" collapsed="false">
      <c r="A479" s="5" t="n">
        <v>474</v>
      </c>
      <c r="B479" s="12" t="s">
        <v>658</v>
      </c>
      <c r="C479" s="13" t="s">
        <v>939</v>
      </c>
      <c r="D479" s="8" t="s">
        <v>940</v>
      </c>
      <c r="E479" s="8" t="s">
        <v>966</v>
      </c>
      <c r="F479" s="8" t="s">
        <v>967</v>
      </c>
      <c r="G479" s="5" t="s">
        <v>44</v>
      </c>
      <c r="H479" s="9" t="s">
        <v>968</v>
      </c>
    </row>
    <row r="480" customFormat="false" ht="171.6" hidden="false" customHeight="false" outlineLevel="0" collapsed="false">
      <c r="A480" s="5" t="n">
        <v>475</v>
      </c>
      <c r="B480" s="12" t="s">
        <v>658</v>
      </c>
      <c r="C480" s="13" t="s">
        <v>939</v>
      </c>
      <c r="D480" s="8" t="s">
        <v>940</v>
      </c>
      <c r="E480" s="8" t="s">
        <v>966</v>
      </c>
      <c r="F480" s="8" t="s">
        <v>969</v>
      </c>
      <c r="G480" s="5" t="s">
        <v>44</v>
      </c>
      <c r="H480" s="9" t="s">
        <v>970</v>
      </c>
    </row>
    <row r="481" customFormat="false" ht="189.55" hidden="false" customHeight="false" outlineLevel="0" collapsed="false">
      <c r="A481" s="5" t="n">
        <v>476</v>
      </c>
      <c r="B481" s="12" t="s">
        <v>658</v>
      </c>
      <c r="C481" s="13" t="s">
        <v>939</v>
      </c>
      <c r="D481" s="8" t="s">
        <v>940</v>
      </c>
      <c r="E481" s="8" t="s">
        <v>966</v>
      </c>
      <c r="F481" s="8" t="s">
        <v>971</v>
      </c>
      <c r="G481" s="5" t="s">
        <v>28</v>
      </c>
      <c r="H481" s="9" t="s">
        <v>972</v>
      </c>
    </row>
    <row r="482" customFormat="false" ht="207.45" hidden="false" customHeight="false" outlineLevel="0" collapsed="false">
      <c r="A482" s="5" t="n">
        <v>477</v>
      </c>
      <c r="B482" s="12" t="s">
        <v>658</v>
      </c>
      <c r="C482" s="13" t="s">
        <v>939</v>
      </c>
      <c r="D482" s="8" t="s">
        <v>940</v>
      </c>
      <c r="E482" s="8" t="s">
        <v>966</v>
      </c>
      <c r="F482" s="8" t="s">
        <v>973</v>
      </c>
      <c r="G482" s="5" t="s">
        <v>28</v>
      </c>
      <c r="H482" s="9" t="s">
        <v>974</v>
      </c>
    </row>
    <row r="483" customFormat="false" ht="144.75" hidden="false" customHeight="false" outlineLevel="0" collapsed="false">
      <c r="A483" s="5" t="n">
        <v>478</v>
      </c>
      <c r="B483" s="12" t="s">
        <v>658</v>
      </c>
      <c r="C483" s="13" t="s">
        <v>975</v>
      </c>
      <c r="D483" s="8" t="s">
        <v>976</v>
      </c>
      <c r="E483" s="8" t="s">
        <v>977</v>
      </c>
      <c r="F483" s="8" t="s">
        <v>978</v>
      </c>
      <c r="G483" s="5" t="s">
        <v>28</v>
      </c>
      <c r="H483" s="9" t="s">
        <v>979</v>
      </c>
    </row>
    <row r="484" customFormat="false" ht="153.7" hidden="false" customHeight="false" outlineLevel="0" collapsed="false">
      <c r="A484" s="5" t="n">
        <v>479</v>
      </c>
      <c r="B484" s="12" t="s">
        <v>658</v>
      </c>
      <c r="C484" s="13" t="s">
        <v>975</v>
      </c>
      <c r="D484" s="8" t="s">
        <v>976</v>
      </c>
      <c r="E484" s="8" t="s">
        <v>977</v>
      </c>
      <c r="F484" s="8" t="s">
        <v>980</v>
      </c>
      <c r="G484" s="5" t="s">
        <v>28</v>
      </c>
      <c r="H484" s="9" t="s">
        <v>981</v>
      </c>
    </row>
    <row r="485" customFormat="false" ht="162.65" hidden="false" customHeight="false" outlineLevel="0" collapsed="false">
      <c r="A485" s="5" t="n">
        <v>480</v>
      </c>
      <c r="B485" s="12" t="s">
        <v>658</v>
      </c>
      <c r="C485" s="13" t="s">
        <v>975</v>
      </c>
      <c r="D485" s="8" t="s">
        <v>976</v>
      </c>
      <c r="E485" s="8" t="s">
        <v>977</v>
      </c>
      <c r="F485" s="8" t="s">
        <v>982</v>
      </c>
      <c r="G485" s="5" t="s">
        <v>28</v>
      </c>
      <c r="H485" s="9" t="s">
        <v>983</v>
      </c>
    </row>
    <row r="486" customFormat="false" ht="153.7" hidden="false" customHeight="false" outlineLevel="0" collapsed="false">
      <c r="A486" s="5" t="n">
        <v>481</v>
      </c>
      <c r="B486" s="12" t="s">
        <v>658</v>
      </c>
      <c r="C486" s="13" t="s">
        <v>975</v>
      </c>
      <c r="D486" s="8" t="s">
        <v>976</v>
      </c>
      <c r="E486" s="8" t="s">
        <v>977</v>
      </c>
      <c r="F486" s="8" t="s">
        <v>984</v>
      </c>
      <c r="G486" s="5" t="s">
        <v>28</v>
      </c>
      <c r="H486" s="9" t="s">
        <v>985</v>
      </c>
    </row>
    <row r="487" customFormat="false" ht="126.85" hidden="false" customHeight="false" outlineLevel="0" collapsed="false">
      <c r="A487" s="5" t="n">
        <v>482</v>
      </c>
      <c r="B487" s="12" t="s">
        <v>658</v>
      </c>
      <c r="C487" s="13" t="s">
        <v>986</v>
      </c>
      <c r="D487" s="8" t="s">
        <v>987</v>
      </c>
      <c r="E487" s="8" t="s">
        <v>988</v>
      </c>
      <c r="F487" s="8" t="s">
        <v>989</v>
      </c>
      <c r="G487" s="5" t="s">
        <v>44</v>
      </c>
      <c r="H487" s="9" t="s">
        <v>990</v>
      </c>
    </row>
    <row r="488" customFormat="false" ht="135.8" hidden="false" customHeight="false" outlineLevel="0" collapsed="false">
      <c r="A488" s="5" t="n">
        <v>483</v>
      </c>
      <c r="B488" s="12" t="s">
        <v>658</v>
      </c>
      <c r="C488" s="13" t="s">
        <v>986</v>
      </c>
      <c r="D488" s="8" t="s">
        <v>987</v>
      </c>
      <c r="E488" s="8" t="s">
        <v>988</v>
      </c>
      <c r="F488" s="8" t="s">
        <v>991</v>
      </c>
      <c r="G488" s="5" t="s">
        <v>44</v>
      </c>
      <c r="H488" s="9" t="s">
        <v>992</v>
      </c>
    </row>
    <row r="489" customFormat="false" ht="126.85" hidden="false" customHeight="false" outlineLevel="0" collapsed="false">
      <c r="A489" s="5" t="n">
        <v>484</v>
      </c>
      <c r="B489" s="12" t="s">
        <v>658</v>
      </c>
      <c r="C489" s="13" t="s">
        <v>986</v>
      </c>
      <c r="D489" s="8" t="s">
        <v>987</v>
      </c>
      <c r="E489" s="8" t="s">
        <v>988</v>
      </c>
      <c r="F489" s="8" t="s">
        <v>993</v>
      </c>
      <c r="G489" s="5" t="s">
        <v>44</v>
      </c>
      <c r="H489" s="9" t="s">
        <v>994</v>
      </c>
    </row>
    <row r="490" customFormat="false" ht="162.65" hidden="false" customHeight="false" outlineLevel="0" collapsed="false">
      <c r="A490" s="5" t="n">
        <v>485</v>
      </c>
      <c r="B490" s="12" t="s">
        <v>658</v>
      </c>
      <c r="C490" s="13" t="s">
        <v>986</v>
      </c>
      <c r="D490" s="8" t="s">
        <v>987</v>
      </c>
      <c r="E490" s="8" t="s">
        <v>988</v>
      </c>
      <c r="F490" s="8" t="s">
        <v>995</v>
      </c>
      <c r="G490" s="5" t="s">
        <v>44</v>
      </c>
      <c r="H490" s="9" t="s">
        <v>996</v>
      </c>
    </row>
    <row r="491" customFormat="false" ht="135.8" hidden="false" customHeight="false" outlineLevel="0" collapsed="false">
      <c r="A491" s="5" t="n">
        <v>486</v>
      </c>
      <c r="B491" s="12" t="s">
        <v>658</v>
      </c>
      <c r="C491" s="13" t="s">
        <v>986</v>
      </c>
      <c r="D491" s="8" t="s">
        <v>987</v>
      </c>
      <c r="E491" s="8" t="s">
        <v>997</v>
      </c>
      <c r="F491" s="8" t="s">
        <v>997</v>
      </c>
      <c r="G491" s="5" t="s">
        <v>44</v>
      </c>
      <c r="H491" s="9" t="s">
        <v>998</v>
      </c>
    </row>
    <row r="492" customFormat="false" ht="171.6" hidden="false" customHeight="false" outlineLevel="0" collapsed="false">
      <c r="A492" s="5" t="n">
        <v>487</v>
      </c>
      <c r="B492" s="12" t="s">
        <v>658</v>
      </c>
      <c r="C492" s="13" t="s">
        <v>986</v>
      </c>
      <c r="D492" s="8" t="s">
        <v>987</v>
      </c>
      <c r="E492" s="8" t="s">
        <v>999</v>
      </c>
      <c r="F492" s="8" t="s">
        <v>1000</v>
      </c>
      <c r="G492" s="5" t="s">
        <v>44</v>
      </c>
      <c r="H492" s="9" t="s">
        <v>1001</v>
      </c>
    </row>
    <row r="493" customFormat="false" ht="189.55" hidden="false" customHeight="false" outlineLevel="0" collapsed="false">
      <c r="A493" s="5" t="n">
        <v>488</v>
      </c>
      <c r="B493" s="12" t="s">
        <v>658</v>
      </c>
      <c r="C493" s="13" t="s">
        <v>986</v>
      </c>
      <c r="D493" s="8" t="s">
        <v>987</v>
      </c>
      <c r="E493" s="8" t="s">
        <v>999</v>
      </c>
      <c r="F493" s="8" t="s">
        <v>1002</v>
      </c>
      <c r="G493" s="5" t="s">
        <v>28</v>
      </c>
      <c r="H493" s="9" t="s">
        <v>1003</v>
      </c>
    </row>
    <row r="494" customFormat="false" ht="198.5" hidden="false" customHeight="false" outlineLevel="0" collapsed="false">
      <c r="A494" s="5" t="n">
        <v>489</v>
      </c>
      <c r="B494" s="12" t="s">
        <v>658</v>
      </c>
      <c r="C494" s="13" t="s">
        <v>986</v>
      </c>
      <c r="D494" s="8" t="s">
        <v>987</v>
      </c>
      <c r="E494" s="8" t="s">
        <v>999</v>
      </c>
      <c r="F494" s="8" t="s">
        <v>1004</v>
      </c>
      <c r="G494" s="5" t="s">
        <v>28</v>
      </c>
      <c r="H494" s="9" t="s">
        <v>1005</v>
      </c>
    </row>
    <row r="495" customFormat="false" ht="126.85" hidden="false" customHeight="false" outlineLevel="0" collapsed="false">
      <c r="A495" s="5" t="n">
        <v>490</v>
      </c>
      <c r="B495" s="12" t="s">
        <v>658</v>
      </c>
      <c r="C495" s="13" t="s">
        <v>1006</v>
      </c>
      <c r="D495" s="8" t="s">
        <v>1007</v>
      </c>
      <c r="E495" s="8" t="s">
        <v>1008</v>
      </c>
      <c r="F495" s="8" t="s">
        <v>1009</v>
      </c>
      <c r="G495" s="5" t="s">
        <v>28</v>
      </c>
      <c r="H495" s="9" t="s">
        <v>1010</v>
      </c>
    </row>
    <row r="496" customFormat="false" ht="108.95" hidden="false" customHeight="false" outlineLevel="0" collapsed="false">
      <c r="A496" s="5" t="n">
        <v>491</v>
      </c>
      <c r="B496" s="12" t="s">
        <v>658</v>
      </c>
      <c r="C496" s="13" t="s">
        <v>1006</v>
      </c>
      <c r="D496" s="8" t="s">
        <v>1007</v>
      </c>
      <c r="E496" s="8" t="s">
        <v>1008</v>
      </c>
      <c r="F496" s="8" t="s">
        <v>1011</v>
      </c>
      <c r="G496" s="5" t="s">
        <v>28</v>
      </c>
      <c r="H496" s="9" t="s">
        <v>1012</v>
      </c>
    </row>
    <row r="497" customFormat="false" ht="108.95" hidden="false" customHeight="false" outlineLevel="0" collapsed="false">
      <c r="A497" s="5" t="n">
        <v>492</v>
      </c>
      <c r="B497" s="12" t="s">
        <v>658</v>
      </c>
      <c r="C497" s="13" t="s">
        <v>1006</v>
      </c>
      <c r="D497" s="8" t="s">
        <v>1007</v>
      </c>
      <c r="E497" s="8" t="s">
        <v>1008</v>
      </c>
      <c r="F497" s="8" t="s">
        <v>1013</v>
      </c>
      <c r="G497" s="5" t="s">
        <v>28</v>
      </c>
      <c r="H497" s="9" t="s">
        <v>1014</v>
      </c>
    </row>
    <row r="498" customFormat="false" ht="91" hidden="false" customHeight="false" outlineLevel="0" collapsed="false">
      <c r="A498" s="5" t="n">
        <v>493</v>
      </c>
      <c r="B498" s="12" t="s">
        <v>658</v>
      </c>
      <c r="C498" s="13" t="s">
        <v>1006</v>
      </c>
      <c r="D498" s="8" t="s">
        <v>1007</v>
      </c>
      <c r="E498" s="8" t="s">
        <v>1008</v>
      </c>
      <c r="F498" s="8" t="s">
        <v>1015</v>
      </c>
      <c r="G498" s="5" t="s">
        <v>28</v>
      </c>
      <c r="H498" s="9" t="s">
        <v>1016</v>
      </c>
    </row>
    <row r="499" customFormat="false" ht="99.95" hidden="false" customHeight="false" outlineLevel="0" collapsed="false">
      <c r="A499" s="5" t="n">
        <v>494</v>
      </c>
      <c r="B499" s="12" t="s">
        <v>658</v>
      </c>
      <c r="C499" s="13" t="s">
        <v>1006</v>
      </c>
      <c r="D499" s="8" t="s">
        <v>1007</v>
      </c>
      <c r="E499" s="8" t="s">
        <v>1008</v>
      </c>
      <c r="F499" s="8" t="s">
        <v>1017</v>
      </c>
      <c r="G499" s="5" t="s">
        <v>28</v>
      </c>
      <c r="H499" s="9" t="s">
        <v>1018</v>
      </c>
    </row>
    <row r="500" customFormat="false" ht="99.95" hidden="false" customHeight="false" outlineLevel="0" collapsed="false">
      <c r="A500" s="5" t="n">
        <v>495</v>
      </c>
      <c r="B500" s="14" t="s">
        <v>1019</v>
      </c>
      <c r="C500" s="15" t="s">
        <v>1020</v>
      </c>
      <c r="D500" s="8" t="s">
        <v>1021</v>
      </c>
      <c r="E500" s="8" t="s">
        <v>1022</v>
      </c>
      <c r="F500" s="8" t="s">
        <v>1023</v>
      </c>
      <c r="G500" s="5" t="s">
        <v>16</v>
      </c>
      <c r="H500" s="9" t="s">
        <v>1024</v>
      </c>
    </row>
    <row r="501" customFormat="false" ht="91" hidden="false" customHeight="false" outlineLevel="0" collapsed="false">
      <c r="A501" s="5" t="n">
        <v>496</v>
      </c>
      <c r="B501" s="14" t="s">
        <v>1019</v>
      </c>
      <c r="C501" s="15" t="s">
        <v>1020</v>
      </c>
      <c r="D501" s="8" t="s">
        <v>1021</v>
      </c>
      <c r="E501" s="8" t="s">
        <v>1022</v>
      </c>
      <c r="F501" s="8" t="s">
        <v>1025</v>
      </c>
      <c r="G501" s="5" t="s">
        <v>19</v>
      </c>
      <c r="H501" s="9" t="s">
        <v>1026</v>
      </c>
    </row>
    <row r="502" customFormat="false" ht="99.95" hidden="false" customHeight="false" outlineLevel="0" collapsed="false">
      <c r="A502" s="5" t="n">
        <v>497</v>
      </c>
      <c r="B502" s="14" t="s">
        <v>1019</v>
      </c>
      <c r="C502" s="15" t="s">
        <v>1020</v>
      </c>
      <c r="D502" s="8" t="s">
        <v>1021</v>
      </c>
      <c r="E502" s="8" t="s">
        <v>1022</v>
      </c>
      <c r="F502" s="8" t="s">
        <v>25</v>
      </c>
      <c r="G502" s="5" t="s">
        <v>16</v>
      </c>
      <c r="H502" s="9" t="s">
        <v>1027</v>
      </c>
    </row>
    <row r="503" customFormat="false" ht="117.9" hidden="false" customHeight="false" outlineLevel="0" collapsed="false">
      <c r="A503" s="5" t="n">
        <v>498</v>
      </c>
      <c r="B503" s="14" t="s">
        <v>1019</v>
      </c>
      <c r="C503" s="15" t="s">
        <v>1028</v>
      </c>
      <c r="D503" s="8" t="s">
        <v>1021</v>
      </c>
      <c r="E503" s="8" t="s">
        <v>1029</v>
      </c>
      <c r="F503" s="8" t="s">
        <v>1030</v>
      </c>
      <c r="G503" s="5" t="s">
        <v>16</v>
      </c>
      <c r="H503" s="9" t="s">
        <v>1031</v>
      </c>
    </row>
    <row r="504" customFormat="false" ht="117.9" hidden="false" customHeight="false" outlineLevel="0" collapsed="false">
      <c r="A504" s="5" t="n">
        <v>499</v>
      </c>
      <c r="B504" s="14" t="s">
        <v>1019</v>
      </c>
      <c r="C504" s="15" t="s">
        <v>1028</v>
      </c>
      <c r="D504" s="8" t="s">
        <v>1021</v>
      </c>
      <c r="E504" s="8" t="s">
        <v>1029</v>
      </c>
      <c r="F504" s="8" t="s">
        <v>1032</v>
      </c>
      <c r="G504" s="5" t="s">
        <v>16</v>
      </c>
      <c r="H504" s="9" t="s">
        <v>1033</v>
      </c>
    </row>
    <row r="505" customFormat="false" ht="126.85" hidden="false" customHeight="false" outlineLevel="0" collapsed="false">
      <c r="A505" s="5" t="n">
        <v>500</v>
      </c>
      <c r="B505" s="14" t="s">
        <v>1019</v>
      </c>
      <c r="C505" s="15" t="s">
        <v>1028</v>
      </c>
      <c r="D505" s="8" t="s">
        <v>1021</v>
      </c>
      <c r="E505" s="8" t="s">
        <v>1029</v>
      </c>
      <c r="F505" s="8" t="s">
        <v>1034</v>
      </c>
      <c r="G505" s="5" t="s">
        <v>16</v>
      </c>
      <c r="H505" s="9" t="s">
        <v>1035</v>
      </c>
    </row>
    <row r="506" customFormat="false" ht="91" hidden="false" customHeight="false" outlineLevel="0" collapsed="false">
      <c r="A506" s="5" t="n">
        <v>501</v>
      </c>
      <c r="B506" s="14" t="s">
        <v>1019</v>
      </c>
      <c r="C506" s="15" t="s">
        <v>1028</v>
      </c>
      <c r="D506" s="8" t="s">
        <v>1021</v>
      </c>
      <c r="E506" s="8" t="s">
        <v>1029</v>
      </c>
      <c r="F506" s="8" t="s">
        <v>1036</v>
      </c>
      <c r="G506" s="5" t="s">
        <v>47</v>
      </c>
      <c r="H506" s="9" t="s">
        <v>1037</v>
      </c>
    </row>
    <row r="507" customFormat="false" ht="117.9" hidden="false" customHeight="false" outlineLevel="0" collapsed="false">
      <c r="A507" s="5" t="n">
        <v>502</v>
      </c>
      <c r="B507" s="14" t="s">
        <v>1019</v>
      </c>
      <c r="C507" s="15" t="s">
        <v>1028</v>
      </c>
      <c r="D507" s="8" t="s">
        <v>1021</v>
      </c>
      <c r="E507" s="8" t="s">
        <v>1029</v>
      </c>
      <c r="F507" s="8" t="s">
        <v>1038</v>
      </c>
      <c r="G507" s="5" t="s">
        <v>47</v>
      </c>
      <c r="H507" s="9" t="s">
        <v>1039</v>
      </c>
    </row>
    <row r="508" customFormat="false" ht="99.95" hidden="false" customHeight="false" outlineLevel="0" collapsed="false">
      <c r="A508" s="5" t="n">
        <v>503</v>
      </c>
      <c r="B508" s="14" t="s">
        <v>1019</v>
      </c>
      <c r="C508" s="15" t="s">
        <v>1028</v>
      </c>
      <c r="D508" s="8" t="s">
        <v>1021</v>
      </c>
      <c r="E508" s="8" t="s">
        <v>1029</v>
      </c>
      <c r="F508" s="8" t="s">
        <v>1040</v>
      </c>
      <c r="G508" s="5" t="s">
        <v>16</v>
      </c>
      <c r="H508" s="9" t="s">
        <v>1041</v>
      </c>
    </row>
    <row r="509" customFormat="false" ht="82.05" hidden="false" customHeight="false" outlineLevel="0" collapsed="false">
      <c r="A509" s="5" t="n">
        <v>504</v>
      </c>
      <c r="B509" s="14" t="s">
        <v>1019</v>
      </c>
      <c r="C509" s="15" t="s">
        <v>1042</v>
      </c>
      <c r="D509" s="8" t="s">
        <v>1021</v>
      </c>
      <c r="E509" s="8" t="s">
        <v>1043</v>
      </c>
      <c r="F509" s="8" t="s">
        <v>1044</v>
      </c>
      <c r="G509" s="5" t="s">
        <v>19</v>
      </c>
      <c r="H509" s="9" t="s">
        <v>1045</v>
      </c>
    </row>
    <row r="510" customFormat="false" ht="82.05" hidden="false" customHeight="false" outlineLevel="0" collapsed="false">
      <c r="A510" s="5" t="n">
        <v>505</v>
      </c>
      <c r="B510" s="14" t="s">
        <v>1019</v>
      </c>
      <c r="C510" s="15" t="s">
        <v>1042</v>
      </c>
      <c r="D510" s="8" t="s">
        <v>1021</v>
      </c>
      <c r="E510" s="8" t="s">
        <v>1043</v>
      </c>
      <c r="F510" s="8" t="s">
        <v>1046</v>
      </c>
      <c r="G510" s="5" t="s">
        <v>16</v>
      </c>
      <c r="H510" s="9" t="s">
        <v>1047</v>
      </c>
    </row>
    <row r="511" customFormat="false" ht="99.95" hidden="false" customHeight="false" outlineLevel="0" collapsed="false">
      <c r="A511" s="5" t="n">
        <v>506</v>
      </c>
      <c r="B511" s="14" t="s">
        <v>1019</v>
      </c>
      <c r="C511" s="15" t="s">
        <v>1042</v>
      </c>
      <c r="D511" s="8" t="s">
        <v>1021</v>
      </c>
      <c r="E511" s="8" t="s">
        <v>1043</v>
      </c>
      <c r="F511" s="8" t="s">
        <v>1048</v>
      </c>
      <c r="G511" s="5" t="s">
        <v>44</v>
      </c>
      <c r="H511" s="9" t="s">
        <v>1049</v>
      </c>
    </row>
    <row r="512" customFormat="false" ht="82.05" hidden="false" customHeight="false" outlineLevel="0" collapsed="false">
      <c r="A512" s="5" t="n">
        <v>507</v>
      </c>
      <c r="B512" s="14" t="s">
        <v>1019</v>
      </c>
      <c r="C512" s="15" t="s">
        <v>1042</v>
      </c>
      <c r="D512" s="8" t="s">
        <v>1021</v>
      </c>
      <c r="E512" s="8" t="s">
        <v>1043</v>
      </c>
      <c r="F512" s="8" t="s">
        <v>1050</v>
      </c>
      <c r="G512" s="5" t="s">
        <v>44</v>
      </c>
      <c r="H512" s="9" t="s">
        <v>1051</v>
      </c>
    </row>
    <row r="513" customFormat="false" ht="99.95" hidden="false" customHeight="false" outlineLevel="0" collapsed="false">
      <c r="A513" s="5" t="n">
        <v>508</v>
      </c>
      <c r="B513" s="14" t="s">
        <v>1019</v>
      </c>
      <c r="C513" s="15" t="s">
        <v>1042</v>
      </c>
      <c r="D513" s="8" t="s">
        <v>1021</v>
      </c>
      <c r="E513" s="8" t="s">
        <v>1043</v>
      </c>
      <c r="F513" s="8" t="s">
        <v>1052</v>
      </c>
      <c r="G513" s="5" t="s">
        <v>28</v>
      </c>
      <c r="H513" s="9" t="s">
        <v>1053</v>
      </c>
    </row>
    <row r="514" customFormat="false" ht="126.85" hidden="false" customHeight="false" outlineLevel="0" collapsed="false">
      <c r="A514" s="5" t="n">
        <v>509</v>
      </c>
      <c r="B514" s="14" t="s">
        <v>1019</v>
      </c>
      <c r="C514" s="15" t="s">
        <v>1054</v>
      </c>
      <c r="D514" s="8" t="s">
        <v>1021</v>
      </c>
      <c r="E514" s="8" t="s">
        <v>1055</v>
      </c>
      <c r="F514" s="8" t="s">
        <v>1056</v>
      </c>
      <c r="G514" s="5" t="s">
        <v>47</v>
      </c>
      <c r="H514" s="9" t="s">
        <v>1057</v>
      </c>
    </row>
    <row r="515" customFormat="false" ht="99.95" hidden="false" customHeight="false" outlineLevel="0" collapsed="false">
      <c r="A515" s="5" t="n">
        <v>510</v>
      </c>
      <c r="B515" s="14" t="s">
        <v>1019</v>
      </c>
      <c r="C515" s="15" t="s">
        <v>1054</v>
      </c>
      <c r="D515" s="8" t="s">
        <v>1021</v>
      </c>
      <c r="E515" s="8" t="s">
        <v>1055</v>
      </c>
      <c r="F515" s="8" t="s">
        <v>1058</v>
      </c>
      <c r="G515" s="5" t="s">
        <v>44</v>
      </c>
      <c r="H515" s="9" t="s">
        <v>1059</v>
      </c>
    </row>
    <row r="516" customFormat="false" ht="99.95" hidden="false" customHeight="false" outlineLevel="0" collapsed="false">
      <c r="A516" s="5" t="n">
        <v>511</v>
      </c>
      <c r="B516" s="14" t="s">
        <v>1019</v>
      </c>
      <c r="C516" s="15" t="s">
        <v>1054</v>
      </c>
      <c r="D516" s="8" t="s">
        <v>1021</v>
      </c>
      <c r="E516" s="8" t="s">
        <v>1055</v>
      </c>
      <c r="F516" s="8" t="s">
        <v>432</v>
      </c>
      <c r="G516" s="5" t="s">
        <v>47</v>
      </c>
      <c r="H516" s="9" t="s">
        <v>1060</v>
      </c>
    </row>
    <row r="517" customFormat="false" ht="117.9" hidden="false" customHeight="false" outlineLevel="0" collapsed="false">
      <c r="A517" s="5" t="n">
        <v>512</v>
      </c>
      <c r="B517" s="14" t="s">
        <v>1019</v>
      </c>
      <c r="C517" s="15" t="s">
        <v>1054</v>
      </c>
      <c r="D517" s="8" t="s">
        <v>1021</v>
      </c>
      <c r="E517" s="8" t="s">
        <v>1055</v>
      </c>
      <c r="F517" s="8" t="s">
        <v>1061</v>
      </c>
      <c r="G517" s="5" t="s">
        <v>16</v>
      </c>
      <c r="H517" s="9" t="s">
        <v>1062</v>
      </c>
    </row>
    <row r="518" customFormat="false" ht="91" hidden="false" customHeight="false" outlineLevel="0" collapsed="false">
      <c r="A518" s="5" t="n">
        <v>513</v>
      </c>
      <c r="B518" s="14" t="s">
        <v>1019</v>
      </c>
      <c r="C518" s="15" t="s">
        <v>1063</v>
      </c>
      <c r="D518" s="8" t="s">
        <v>1021</v>
      </c>
      <c r="E518" s="8" t="s">
        <v>1064</v>
      </c>
      <c r="F518" s="8" t="s">
        <v>1065</v>
      </c>
      <c r="G518" s="5" t="s">
        <v>44</v>
      </c>
      <c r="H518" s="9" t="s">
        <v>1066</v>
      </c>
    </row>
    <row r="519" customFormat="false" ht="91" hidden="false" customHeight="false" outlineLevel="0" collapsed="false">
      <c r="A519" s="5" t="n">
        <v>514</v>
      </c>
      <c r="B519" s="14" t="s">
        <v>1019</v>
      </c>
      <c r="C519" s="15" t="s">
        <v>1063</v>
      </c>
      <c r="D519" s="8" t="s">
        <v>1021</v>
      </c>
      <c r="E519" s="8" t="s">
        <v>1064</v>
      </c>
      <c r="F519" s="8" t="s">
        <v>1067</v>
      </c>
      <c r="G519" s="5" t="s">
        <v>44</v>
      </c>
      <c r="H519" s="9" t="s">
        <v>1068</v>
      </c>
    </row>
    <row r="520" customFormat="false" ht="99.95" hidden="false" customHeight="false" outlineLevel="0" collapsed="false">
      <c r="A520" s="5" t="n">
        <v>515</v>
      </c>
      <c r="B520" s="14" t="s">
        <v>1019</v>
      </c>
      <c r="C520" s="15" t="s">
        <v>1063</v>
      </c>
      <c r="D520" s="8" t="s">
        <v>1021</v>
      </c>
      <c r="E520" s="8" t="s">
        <v>1064</v>
      </c>
      <c r="F520" s="8" t="s">
        <v>1069</v>
      </c>
      <c r="G520" s="5" t="s">
        <v>44</v>
      </c>
      <c r="H520" s="9" t="s">
        <v>1070</v>
      </c>
    </row>
    <row r="521" customFormat="false" ht="108.95" hidden="false" customHeight="false" outlineLevel="0" collapsed="false">
      <c r="A521" s="5" t="n">
        <v>516</v>
      </c>
      <c r="B521" s="14" t="s">
        <v>1019</v>
      </c>
      <c r="C521" s="15" t="s">
        <v>1063</v>
      </c>
      <c r="D521" s="8" t="s">
        <v>1021</v>
      </c>
      <c r="E521" s="8" t="s">
        <v>1064</v>
      </c>
      <c r="F521" s="8" t="s">
        <v>1071</v>
      </c>
      <c r="G521" s="5" t="s">
        <v>16</v>
      </c>
      <c r="H521" s="9" t="s">
        <v>1072</v>
      </c>
    </row>
    <row r="522" customFormat="false" ht="108.95" hidden="false" customHeight="false" outlineLevel="0" collapsed="false">
      <c r="A522" s="5" t="n">
        <v>517</v>
      </c>
      <c r="B522" s="14" t="s">
        <v>1019</v>
      </c>
      <c r="C522" s="15" t="s">
        <v>1063</v>
      </c>
      <c r="D522" s="8" t="s">
        <v>1021</v>
      </c>
      <c r="E522" s="8" t="s">
        <v>1064</v>
      </c>
      <c r="F522" s="8" t="s">
        <v>1073</v>
      </c>
      <c r="G522" s="5" t="s">
        <v>44</v>
      </c>
      <c r="H522" s="9" t="s">
        <v>1074</v>
      </c>
    </row>
    <row r="523" customFormat="false" ht="117.9" hidden="false" customHeight="false" outlineLevel="0" collapsed="false">
      <c r="A523" s="5" t="n">
        <v>518</v>
      </c>
      <c r="B523" s="14" t="s">
        <v>1019</v>
      </c>
      <c r="C523" s="15" t="s">
        <v>1063</v>
      </c>
      <c r="D523" s="8" t="s">
        <v>1021</v>
      </c>
      <c r="E523" s="8" t="s">
        <v>1064</v>
      </c>
      <c r="F523" s="8" t="s">
        <v>1075</v>
      </c>
      <c r="G523" s="5" t="s">
        <v>28</v>
      </c>
      <c r="H523" s="9" t="s">
        <v>1076</v>
      </c>
    </row>
  </sheetData>
  <autoFilter ref="A5:G52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D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6" style="0" width="52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16" t="s">
        <v>1077</v>
      </c>
    </row>
    <row r="2" customFormat="false" ht="15" hidden="false" customHeight="false" outlineLevel="0" collapsed="false">
      <c r="A2" s="17" t="s">
        <v>1078</v>
      </c>
    </row>
    <row r="4" customFormat="false" ht="15" hidden="false" customHeight="false" outlineLevel="0" collapsed="false">
      <c r="A4" s="18" t="s">
        <v>6</v>
      </c>
      <c r="C4" s="19" t="s">
        <v>6</v>
      </c>
      <c r="D4" s="19" t="s">
        <v>1079</v>
      </c>
      <c r="F4" s="19" t="s">
        <v>1080</v>
      </c>
      <c r="G4" s="19" t="s">
        <v>1079</v>
      </c>
      <c r="J4" s="20" t="s">
        <v>1081</v>
      </c>
      <c r="K4" s="20" t="s">
        <v>1082</v>
      </c>
      <c r="L4" s="20" t="s">
        <v>1083</v>
      </c>
      <c r="M4" s="20" t="s">
        <v>1084</v>
      </c>
      <c r="N4" s="20" t="s">
        <v>1085</v>
      </c>
      <c r="O4" s="20" t="s">
        <v>1086</v>
      </c>
      <c r="P4" s="20" t="s">
        <v>1087</v>
      </c>
      <c r="Q4" s="20" t="s">
        <v>1088</v>
      </c>
      <c r="R4" s="20" t="s">
        <v>1089</v>
      </c>
      <c r="S4" s="20" t="s">
        <v>1090</v>
      </c>
      <c r="T4" s="20" t="s">
        <v>1091</v>
      </c>
      <c r="U4" s="20" t="s">
        <v>1092</v>
      </c>
      <c r="V4" s="20" t="s">
        <v>1093</v>
      </c>
      <c r="W4" s="20" t="s">
        <v>1094</v>
      </c>
      <c r="X4" s="20" t="s">
        <v>1095</v>
      </c>
      <c r="Y4" s="20" t="s">
        <v>1096</v>
      </c>
      <c r="Z4" s="20" t="s">
        <v>1097</v>
      </c>
      <c r="AA4" s="20" t="s">
        <v>1098</v>
      </c>
      <c r="AB4" s="20" t="s">
        <v>1099</v>
      </c>
      <c r="AC4" s="20" t="s">
        <v>1100</v>
      </c>
      <c r="AD4" s="20" t="s">
        <v>1101</v>
      </c>
      <c r="AE4" s="20" t="s">
        <v>1102</v>
      </c>
      <c r="AF4" s="20" t="s">
        <v>1103</v>
      </c>
      <c r="AG4" s="20" t="s">
        <v>1104</v>
      </c>
      <c r="AH4" s="20" t="s">
        <v>1105</v>
      </c>
      <c r="AI4" s="20" t="s">
        <v>1106</v>
      </c>
      <c r="AJ4" s="20" t="s">
        <v>1107</v>
      </c>
      <c r="AK4" s="20" t="s">
        <v>1108</v>
      </c>
      <c r="AL4" s="20" t="s">
        <v>1109</v>
      </c>
      <c r="AM4" s="20" t="s">
        <v>1110</v>
      </c>
      <c r="AN4" s="20" t="s">
        <v>1111</v>
      </c>
      <c r="AO4" s="20" t="s">
        <v>1112</v>
      </c>
      <c r="AP4" s="20" t="s">
        <v>1113</v>
      </c>
      <c r="AQ4" s="20" t="s">
        <v>1114</v>
      </c>
      <c r="AR4" s="20" t="s">
        <v>1115</v>
      </c>
      <c r="AS4" s="20" t="s">
        <v>1116</v>
      </c>
      <c r="AT4" s="20" t="s">
        <v>1117</v>
      </c>
      <c r="AU4" s="20" t="s">
        <v>1118</v>
      </c>
      <c r="AV4" s="20" t="s">
        <v>1119</v>
      </c>
      <c r="AW4" s="20" t="s">
        <v>1120</v>
      </c>
      <c r="AX4" s="20" t="s">
        <v>1121</v>
      </c>
      <c r="AY4" s="20" t="s">
        <v>1122</v>
      </c>
      <c r="AZ4" s="20" t="s">
        <v>1123</v>
      </c>
      <c r="BA4" s="20" t="s">
        <v>1124</v>
      </c>
      <c r="BB4" s="20" t="s">
        <v>1125</v>
      </c>
      <c r="BC4" s="20" t="s">
        <v>1126</v>
      </c>
      <c r="BD4" s="20" t="s">
        <v>1127</v>
      </c>
      <c r="BE4" s="20" t="s">
        <v>1128</v>
      </c>
      <c r="BF4" s="20" t="s">
        <v>1129</v>
      </c>
      <c r="BG4" s="20" t="s">
        <v>1130</v>
      </c>
      <c r="BH4" s="20" t="s">
        <v>1131</v>
      </c>
      <c r="BI4" s="20" t="s">
        <v>1132</v>
      </c>
      <c r="BJ4" s="20" t="s">
        <v>1133</v>
      </c>
      <c r="BK4" s="20" t="s">
        <v>1134</v>
      </c>
      <c r="BL4" s="20" t="s">
        <v>1135</v>
      </c>
      <c r="BM4" s="20" t="s">
        <v>1136</v>
      </c>
      <c r="BN4" s="20" t="s">
        <v>1137</v>
      </c>
      <c r="BO4" s="20" t="s">
        <v>1138</v>
      </c>
      <c r="BP4" s="20" t="s">
        <v>1139</v>
      </c>
      <c r="BQ4" s="20" t="s">
        <v>1140</v>
      </c>
      <c r="BR4" s="20" t="s">
        <v>1141</v>
      </c>
      <c r="BS4" s="20" t="s">
        <v>1142</v>
      </c>
      <c r="BT4" s="20" t="s">
        <v>1143</v>
      </c>
      <c r="BU4" s="20" t="s">
        <v>1144</v>
      </c>
      <c r="BV4" s="20" t="s">
        <v>1145</v>
      </c>
      <c r="BW4" s="20" t="s">
        <v>1146</v>
      </c>
      <c r="BX4" s="20" t="s">
        <v>1147</v>
      </c>
      <c r="BY4" s="20" t="s">
        <v>1148</v>
      </c>
      <c r="BZ4" s="20" t="s">
        <v>1149</v>
      </c>
      <c r="CA4" s="20" t="s">
        <v>1150</v>
      </c>
      <c r="CB4" s="20" t="s">
        <v>1151</v>
      </c>
      <c r="CC4" s="20" t="s">
        <v>1152</v>
      </c>
      <c r="CD4" s="20" t="s">
        <v>1153</v>
      </c>
      <c r="CE4" s="20" t="s">
        <v>1154</v>
      </c>
      <c r="CF4" s="20" t="s">
        <v>1155</v>
      </c>
      <c r="CG4" s="20" t="s">
        <v>1156</v>
      </c>
      <c r="CH4" s="20" t="s">
        <v>1157</v>
      </c>
      <c r="CI4" s="20" t="s">
        <v>1158</v>
      </c>
      <c r="CJ4" s="20" t="s">
        <v>1159</v>
      </c>
      <c r="CK4" s="20" t="s">
        <v>1160</v>
      </c>
      <c r="CL4" s="20" t="s">
        <v>1161</v>
      </c>
      <c r="CM4" s="20" t="s">
        <v>1162</v>
      </c>
      <c r="CN4" s="20" t="s">
        <v>1163</v>
      </c>
      <c r="CO4" s="20" t="s">
        <v>1164</v>
      </c>
      <c r="CP4" s="20" t="s">
        <v>1165</v>
      </c>
      <c r="CQ4" s="20" t="s">
        <v>1166</v>
      </c>
      <c r="CR4" s="20" t="s">
        <v>1167</v>
      </c>
      <c r="CS4" s="20" t="s">
        <v>1168</v>
      </c>
      <c r="CT4" s="20" t="s">
        <v>1169</v>
      </c>
      <c r="CU4" s="20" t="s">
        <v>1170</v>
      </c>
      <c r="CV4" s="20" t="s">
        <v>1171</v>
      </c>
      <c r="CW4" s="20" t="s">
        <v>1172</v>
      </c>
      <c r="CX4" s="20" t="s">
        <v>1173</v>
      </c>
      <c r="CY4" s="20" t="s">
        <v>1174</v>
      </c>
      <c r="CZ4" s="20" t="s">
        <v>1175</v>
      </c>
      <c r="DA4" s="20" t="s">
        <v>1176</v>
      </c>
      <c r="DB4" s="20" t="s">
        <v>1177</v>
      </c>
      <c r="DC4" s="20" t="s">
        <v>1178</v>
      </c>
      <c r="DD4" s="20" t="s">
        <v>1179</v>
      </c>
      <c r="DE4" s="20" t="s">
        <v>1180</v>
      </c>
      <c r="DF4" s="20" t="s">
        <v>1181</v>
      </c>
      <c r="DG4" s="20" t="s">
        <v>1182</v>
      </c>
      <c r="DH4" s="20" t="s">
        <v>1183</v>
      </c>
      <c r="DI4" s="20" t="s">
        <v>1184</v>
      </c>
      <c r="DJ4" s="20" t="s">
        <v>1185</v>
      </c>
      <c r="DK4" s="20" t="s">
        <v>1186</v>
      </c>
      <c r="DL4" s="20" t="s">
        <v>1187</v>
      </c>
      <c r="DM4" s="20" t="s">
        <v>1188</v>
      </c>
      <c r="DN4" s="20" t="s">
        <v>1189</v>
      </c>
      <c r="DO4" s="20" t="s">
        <v>1190</v>
      </c>
      <c r="DP4" s="20" t="s">
        <v>1191</v>
      </c>
      <c r="DQ4" s="20" t="s">
        <v>1192</v>
      </c>
      <c r="DR4" s="20" t="s">
        <v>1193</v>
      </c>
      <c r="DS4" s="20" t="s">
        <v>1194</v>
      </c>
      <c r="DT4" s="20" t="s">
        <v>1195</v>
      </c>
      <c r="DU4" s="20" t="s">
        <v>1196</v>
      </c>
      <c r="DV4" s="20" t="s">
        <v>1197</v>
      </c>
      <c r="DW4" s="20" t="s">
        <v>1198</v>
      </c>
      <c r="DX4" s="20" t="s">
        <v>1199</v>
      </c>
      <c r="DY4" s="20" t="s">
        <v>1200</v>
      </c>
      <c r="DZ4" s="20" t="s">
        <v>1201</v>
      </c>
      <c r="EA4" s="20" t="s">
        <v>1202</v>
      </c>
      <c r="EB4" s="20" t="s">
        <v>1203</v>
      </c>
      <c r="EC4" s="20" t="s">
        <v>1204</v>
      </c>
      <c r="ED4" s="20" t="s">
        <v>1205</v>
      </c>
      <c r="EE4" s="20" t="s">
        <v>1206</v>
      </c>
      <c r="EF4" s="20" t="s">
        <v>1207</v>
      </c>
      <c r="EG4" s="20" t="s">
        <v>1208</v>
      </c>
      <c r="EH4" s="20" t="s">
        <v>1209</v>
      </c>
      <c r="EI4" s="20" t="s">
        <v>1210</v>
      </c>
      <c r="EJ4" s="20" t="s">
        <v>1211</v>
      </c>
      <c r="EK4" s="20" t="s">
        <v>1212</v>
      </c>
      <c r="EL4" s="20" t="s">
        <v>1213</v>
      </c>
      <c r="EM4" s="20" t="s">
        <v>1214</v>
      </c>
      <c r="EN4" s="20" t="s">
        <v>1215</v>
      </c>
      <c r="EO4" s="20" t="s">
        <v>1216</v>
      </c>
      <c r="EP4" s="20" t="s">
        <v>1217</v>
      </c>
      <c r="EQ4" s="20" t="s">
        <v>1218</v>
      </c>
      <c r="ER4" s="20" t="s">
        <v>1219</v>
      </c>
      <c r="ES4" s="20" t="s">
        <v>1220</v>
      </c>
      <c r="ET4" s="20" t="s">
        <v>1221</v>
      </c>
      <c r="EU4" s="20" t="s">
        <v>1222</v>
      </c>
      <c r="EV4" s="20" t="s">
        <v>1223</v>
      </c>
      <c r="EW4" s="20" t="s">
        <v>1224</v>
      </c>
      <c r="EX4" s="20" t="s">
        <v>1225</v>
      </c>
      <c r="EY4" s="20" t="s">
        <v>1226</v>
      </c>
      <c r="EZ4" s="20" t="s">
        <v>1227</v>
      </c>
      <c r="FA4" s="20" t="s">
        <v>1228</v>
      </c>
      <c r="FB4" s="20" t="s">
        <v>1229</v>
      </c>
      <c r="FC4" s="20" t="s">
        <v>1230</v>
      </c>
      <c r="FD4" s="20" t="s">
        <v>1231</v>
      </c>
    </row>
    <row r="5" customFormat="false" ht="15" hidden="false" customHeight="false" outlineLevel="0" collapsed="false">
      <c r="A5" s="21" t="s">
        <v>13</v>
      </c>
      <c r="C5" s="21" t="s">
        <v>13</v>
      </c>
      <c r="D5" s="21" t="s">
        <v>1081</v>
      </c>
      <c r="F5" s="22" t="s">
        <v>1232</v>
      </c>
      <c r="G5" s="22" t="s">
        <v>1110</v>
      </c>
      <c r="J5" s="21" t="s">
        <v>14</v>
      </c>
      <c r="K5" s="21" t="s">
        <v>185</v>
      </c>
      <c r="L5" s="21" t="s">
        <v>286</v>
      </c>
      <c r="M5" s="21" t="s">
        <v>326</v>
      </c>
      <c r="N5" s="21" t="s">
        <v>348</v>
      </c>
      <c r="O5" s="21" t="s">
        <v>376</v>
      </c>
      <c r="P5" s="21" t="s">
        <v>398</v>
      </c>
      <c r="Q5" s="21" t="s">
        <v>411</v>
      </c>
      <c r="R5" s="21" t="s">
        <v>418</v>
      </c>
      <c r="S5" s="21" t="s">
        <v>436</v>
      </c>
      <c r="T5" s="21" t="s">
        <v>286</v>
      </c>
      <c r="U5" s="21" t="s">
        <v>499</v>
      </c>
      <c r="V5" s="21" t="s">
        <v>524</v>
      </c>
      <c r="W5" s="21" t="s">
        <v>326</v>
      </c>
      <c r="X5" s="21" t="s">
        <v>398</v>
      </c>
      <c r="Y5" s="21" t="s">
        <v>586</v>
      </c>
      <c r="Z5" s="21" t="s">
        <v>615</v>
      </c>
      <c r="AA5" s="21" t="s">
        <v>661</v>
      </c>
      <c r="AB5" s="21" t="s">
        <v>697</v>
      </c>
      <c r="AC5" s="21" t="s">
        <v>735</v>
      </c>
      <c r="AD5" s="21" t="s">
        <v>755</v>
      </c>
      <c r="AE5" s="21" t="s">
        <v>784</v>
      </c>
      <c r="AF5" s="21" t="s">
        <v>851</v>
      </c>
      <c r="AG5" s="21" t="s">
        <v>898</v>
      </c>
      <c r="AH5" s="21" t="s">
        <v>941</v>
      </c>
      <c r="AI5" s="21" t="s">
        <v>977</v>
      </c>
      <c r="AJ5" s="21" t="s">
        <v>988</v>
      </c>
      <c r="AK5" s="21" t="s">
        <v>1008</v>
      </c>
      <c r="AL5" s="21" t="s">
        <v>1022</v>
      </c>
      <c r="AM5" s="21" t="s">
        <v>15</v>
      </c>
      <c r="AN5" s="21" t="s">
        <v>34</v>
      </c>
      <c r="AO5" s="21" t="s">
        <v>51</v>
      </c>
      <c r="AP5" s="21" t="s">
        <v>76</v>
      </c>
      <c r="AQ5" s="21" t="s">
        <v>87</v>
      </c>
      <c r="AR5" s="21" t="s">
        <v>87</v>
      </c>
      <c r="AS5" s="21" t="s">
        <v>87</v>
      </c>
      <c r="AT5" s="21" t="s">
        <v>89</v>
      </c>
      <c r="AU5" s="21" t="s">
        <v>87</v>
      </c>
      <c r="AV5" s="21" t="s">
        <v>87</v>
      </c>
      <c r="AW5" s="21" t="s">
        <v>87</v>
      </c>
      <c r="AX5" s="21" t="s">
        <v>87</v>
      </c>
      <c r="AY5" s="21" t="s">
        <v>53</v>
      </c>
      <c r="AZ5" s="21" t="s">
        <v>53</v>
      </c>
      <c r="BA5" s="21" t="s">
        <v>53</v>
      </c>
      <c r="BB5" s="21" t="s">
        <v>53</v>
      </c>
      <c r="BC5" s="21" t="s">
        <v>53</v>
      </c>
      <c r="BD5" s="21" t="s">
        <v>53</v>
      </c>
      <c r="BE5" s="21" t="s">
        <v>53</v>
      </c>
      <c r="BF5" s="21" t="s">
        <v>53</v>
      </c>
      <c r="BG5" s="21" t="s">
        <v>236</v>
      </c>
      <c r="BH5" s="21" t="s">
        <v>265</v>
      </c>
      <c r="BI5" s="21" t="s">
        <v>73</v>
      </c>
      <c r="BJ5" s="21" t="s">
        <v>287</v>
      </c>
      <c r="BK5" s="21" t="s">
        <v>298</v>
      </c>
      <c r="BL5" s="21" t="s">
        <v>305</v>
      </c>
      <c r="BM5" s="21" t="s">
        <v>312</v>
      </c>
      <c r="BN5" s="21" t="s">
        <v>316</v>
      </c>
      <c r="BO5" s="21" t="s">
        <v>326</v>
      </c>
      <c r="BP5" s="21" t="s">
        <v>332</v>
      </c>
      <c r="BQ5" s="21" t="s">
        <v>338</v>
      </c>
      <c r="BR5" s="21" t="s">
        <v>342</v>
      </c>
      <c r="BS5" s="21" t="s">
        <v>348</v>
      </c>
      <c r="BT5" s="21" t="s">
        <v>352</v>
      </c>
      <c r="BU5" s="21" t="s">
        <v>357</v>
      </c>
      <c r="BV5" s="21" t="s">
        <v>361</v>
      </c>
      <c r="BW5" s="21" t="s">
        <v>366</v>
      </c>
      <c r="BX5" s="21" t="s">
        <v>376</v>
      </c>
      <c r="BY5" s="21" t="s">
        <v>384</v>
      </c>
      <c r="BZ5" s="21" t="s">
        <v>389</v>
      </c>
      <c r="CA5" s="21" t="s">
        <v>398</v>
      </c>
      <c r="CB5" s="21" t="s">
        <v>402</v>
      </c>
      <c r="CC5" s="21" t="s">
        <v>102</v>
      </c>
      <c r="CD5" s="21" t="s">
        <v>326</v>
      </c>
      <c r="CE5" s="21" t="s">
        <v>419</v>
      </c>
      <c r="CF5" s="21" t="s">
        <v>428</v>
      </c>
      <c r="CG5" s="21" t="s">
        <v>437</v>
      </c>
      <c r="CH5" s="21" t="s">
        <v>446</v>
      </c>
      <c r="CI5" s="21" t="s">
        <v>454</v>
      </c>
      <c r="CJ5" s="21" t="s">
        <v>462</v>
      </c>
      <c r="CK5" s="21" t="s">
        <v>287</v>
      </c>
      <c r="CL5" s="21" t="s">
        <v>475</v>
      </c>
      <c r="CM5" s="21" t="s">
        <v>484</v>
      </c>
      <c r="CN5" s="21" t="s">
        <v>488</v>
      </c>
      <c r="CO5" s="21" t="s">
        <v>428</v>
      </c>
      <c r="CP5" s="21" t="s">
        <v>499</v>
      </c>
      <c r="CQ5" s="21" t="s">
        <v>503</v>
      </c>
      <c r="CR5" s="21" t="s">
        <v>348</v>
      </c>
      <c r="CS5" s="21" t="s">
        <v>352</v>
      </c>
      <c r="CT5" s="21" t="s">
        <v>366</v>
      </c>
      <c r="CU5" s="21" t="s">
        <v>518</v>
      </c>
      <c r="CV5" s="21" t="s">
        <v>525</v>
      </c>
      <c r="CW5" s="21" t="s">
        <v>326</v>
      </c>
      <c r="CX5" s="21" t="s">
        <v>332</v>
      </c>
      <c r="CY5" s="21" t="s">
        <v>338</v>
      </c>
      <c r="CZ5" s="21" t="s">
        <v>538</v>
      </c>
      <c r="DA5" s="21" t="s">
        <v>546</v>
      </c>
      <c r="DB5" s="21" t="s">
        <v>398</v>
      </c>
      <c r="DC5" s="21" t="s">
        <v>402</v>
      </c>
      <c r="DD5" s="21" t="s">
        <v>559</v>
      </c>
      <c r="DE5" s="21" t="s">
        <v>566</v>
      </c>
      <c r="DF5" s="21" t="s">
        <v>102</v>
      </c>
      <c r="DG5" s="21" t="s">
        <v>546</v>
      </c>
      <c r="DH5" s="21" t="s">
        <v>586</v>
      </c>
      <c r="DI5" s="21" t="s">
        <v>593</v>
      </c>
      <c r="DJ5" s="21" t="s">
        <v>598</v>
      </c>
      <c r="DK5" s="21" t="s">
        <v>603</v>
      </c>
      <c r="DL5" s="21" t="s">
        <v>616</v>
      </c>
      <c r="DM5" s="21" t="s">
        <v>632</v>
      </c>
      <c r="DN5" s="21" t="s">
        <v>639</v>
      </c>
      <c r="DO5" s="21" t="s">
        <v>646</v>
      </c>
      <c r="DP5" s="21" t="s">
        <v>662</v>
      </c>
      <c r="DQ5" s="21" t="s">
        <v>674</v>
      </c>
      <c r="DR5" s="21" t="s">
        <v>687</v>
      </c>
      <c r="DS5" s="21" t="s">
        <v>698</v>
      </c>
      <c r="DT5" s="21" t="s">
        <v>705</v>
      </c>
      <c r="DU5" s="21" t="s">
        <v>712</v>
      </c>
      <c r="DV5" s="21" t="s">
        <v>723</v>
      </c>
      <c r="DW5" s="21" t="s">
        <v>736</v>
      </c>
      <c r="DX5" s="21" t="s">
        <v>747</v>
      </c>
      <c r="DY5" s="21" t="s">
        <v>756</v>
      </c>
      <c r="DZ5" s="21" t="s">
        <v>765</v>
      </c>
      <c r="EA5" s="21" t="s">
        <v>774</v>
      </c>
      <c r="EB5" s="21" t="s">
        <v>785</v>
      </c>
      <c r="EC5" s="21" t="s">
        <v>798</v>
      </c>
      <c r="ED5" s="21" t="s">
        <v>811</v>
      </c>
      <c r="EE5" s="21" t="s">
        <v>821</v>
      </c>
      <c r="EF5" s="21" t="s">
        <v>832</v>
      </c>
      <c r="EG5" s="21" t="s">
        <v>841</v>
      </c>
      <c r="EH5" s="21" t="s">
        <v>852</v>
      </c>
      <c r="EI5" s="21" t="s">
        <v>861</v>
      </c>
      <c r="EJ5" s="21" t="s">
        <v>870</v>
      </c>
      <c r="EK5" s="21" t="s">
        <v>881</v>
      </c>
      <c r="EL5" s="21" t="s">
        <v>892</v>
      </c>
      <c r="EM5" s="21" t="s">
        <v>899</v>
      </c>
      <c r="EN5" s="21" t="s">
        <v>909</v>
      </c>
      <c r="EO5" s="21" t="s">
        <v>920</v>
      </c>
      <c r="EP5" s="21" t="s">
        <v>933</v>
      </c>
      <c r="EQ5" s="21" t="s">
        <v>942</v>
      </c>
      <c r="ER5" s="21" t="s">
        <v>951</v>
      </c>
      <c r="ES5" s="21" t="s">
        <v>960</v>
      </c>
      <c r="ET5" s="21" t="s">
        <v>967</v>
      </c>
      <c r="EU5" s="21" t="s">
        <v>978</v>
      </c>
      <c r="EV5" s="21" t="s">
        <v>989</v>
      </c>
      <c r="EW5" s="21" t="s">
        <v>997</v>
      </c>
      <c r="EX5" s="21" t="s">
        <v>1000</v>
      </c>
      <c r="EY5" s="21" t="s">
        <v>1009</v>
      </c>
      <c r="EZ5" s="21" t="s">
        <v>1023</v>
      </c>
      <c r="FA5" s="21" t="s">
        <v>1030</v>
      </c>
      <c r="FB5" s="21" t="s">
        <v>1044</v>
      </c>
      <c r="FC5" s="21" t="s">
        <v>1056</v>
      </c>
      <c r="FD5" s="21" t="s">
        <v>1065</v>
      </c>
    </row>
    <row r="6" customFormat="false" ht="15" hidden="false" customHeight="false" outlineLevel="0" collapsed="false">
      <c r="A6" s="21" t="s">
        <v>184</v>
      </c>
      <c r="C6" s="21" t="s">
        <v>184</v>
      </c>
      <c r="D6" s="21" t="s">
        <v>1082</v>
      </c>
      <c r="F6" s="22" t="s">
        <v>1233</v>
      </c>
      <c r="G6" s="22" t="s">
        <v>1111</v>
      </c>
      <c r="J6" s="21" t="s">
        <v>33</v>
      </c>
      <c r="K6" s="21" t="s">
        <v>194</v>
      </c>
      <c r="L6" s="21" t="s">
        <v>297</v>
      </c>
      <c r="M6" s="21" t="s">
        <v>332</v>
      </c>
      <c r="N6" s="21" t="s">
        <v>352</v>
      </c>
      <c r="O6" s="21" t="s">
        <v>384</v>
      </c>
      <c r="P6" s="21" t="s">
        <v>402</v>
      </c>
      <c r="R6" s="21" t="s">
        <v>427</v>
      </c>
      <c r="S6" s="21" t="s">
        <v>445</v>
      </c>
      <c r="T6" s="21" t="s">
        <v>474</v>
      </c>
      <c r="U6" s="21" t="s">
        <v>503</v>
      </c>
      <c r="W6" s="21" t="s">
        <v>332</v>
      </c>
      <c r="X6" s="21" t="s">
        <v>402</v>
      </c>
      <c r="Y6" s="21" t="s">
        <v>592</v>
      </c>
      <c r="Z6" s="21" t="s">
        <v>631</v>
      </c>
      <c r="AA6" s="21" t="s">
        <v>673</v>
      </c>
      <c r="AB6" s="21" t="s">
        <v>704</v>
      </c>
      <c r="AC6" s="21" t="s">
        <v>746</v>
      </c>
      <c r="AD6" s="21" t="s">
        <v>764</v>
      </c>
      <c r="AE6" s="21" t="s">
        <v>797</v>
      </c>
      <c r="AF6" s="21" t="s">
        <v>860</v>
      </c>
      <c r="AG6" s="21" t="s">
        <v>908</v>
      </c>
      <c r="AH6" s="21" t="s">
        <v>950</v>
      </c>
      <c r="AJ6" s="21" t="s">
        <v>997</v>
      </c>
      <c r="AL6" s="21" t="s">
        <v>1029</v>
      </c>
      <c r="AM6" s="21" t="s">
        <v>18</v>
      </c>
      <c r="AN6" s="21" t="s">
        <v>36</v>
      </c>
      <c r="AO6" s="21" t="s">
        <v>53</v>
      </c>
      <c r="AP6" s="21" t="s">
        <v>78</v>
      </c>
      <c r="AQ6" s="21" t="s">
        <v>89</v>
      </c>
      <c r="AR6" s="21" t="s">
        <v>89</v>
      </c>
      <c r="AS6" s="21" t="s">
        <v>93</v>
      </c>
      <c r="AT6" s="21" t="s">
        <v>91</v>
      </c>
      <c r="AU6" s="21" t="s">
        <v>89</v>
      </c>
      <c r="AV6" s="21" t="s">
        <v>89</v>
      </c>
      <c r="AW6" s="21" t="s">
        <v>93</v>
      </c>
      <c r="AX6" s="21" t="s">
        <v>53</v>
      </c>
      <c r="AY6" s="21" t="s">
        <v>96</v>
      </c>
      <c r="AZ6" s="21" t="s">
        <v>96</v>
      </c>
      <c r="BA6" s="21" t="s">
        <v>96</v>
      </c>
      <c r="BB6" s="21" t="s">
        <v>96</v>
      </c>
      <c r="BC6" s="21" t="s">
        <v>96</v>
      </c>
      <c r="BD6" s="21" t="s">
        <v>96</v>
      </c>
      <c r="BE6" s="21" t="s">
        <v>96</v>
      </c>
      <c r="BF6" s="21" t="s">
        <v>96</v>
      </c>
      <c r="BG6" s="21" t="s">
        <v>238</v>
      </c>
      <c r="BH6" s="21" t="s">
        <v>242</v>
      </c>
      <c r="BI6" s="21" t="s">
        <v>71</v>
      </c>
      <c r="BJ6" s="21" t="s">
        <v>289</v>
      </c>
      <c r="BK6" s="21" t="s">
        <v>300</v>
      </c>
      <c r="BL6" s="21" t="s">
        <v>307</v>
      </c>
      <c r="BM6" s="21" t="s">
        <v>314</v>
      </c>
      <c r="BN6" s="21" t="s">
        <v>318</v>
      </c>
      <c r="BO6" s="21" t="s">
        <v>328</v>
      </c>
      <c r="BP6" s="21" t="s">
        <v>334</v>
      </c>
      <c r="BQ6" s="21" t="s">
        <v>340</v>
      </c>
      <c r="BR6" s="21" t="s">
        <v>344</v>
      </c>
      <c r="BS6" s="21" t="s">
        <v>350</v>
      </c>
      <c r="BT6" s="21" t="s">
        <v>354</v>
      </c>
      <c r="BU6" s="21" t="s">
        <v>359</v>
      </c>
      <c r="BV6" s="21" t="s">
        <v>363</v>
      </c>
      <c r="BW6" s="21" t="s">
        <v>368</v>
      </c>
      <c r="BX6" s="21" t="s">
        <v>378</v>
      </c>
      <c r="BY6" s="21" t="s">
        <v>386</v>
      </c>
      <c r="BZ6" s="21" t="s">
        <v>391</v>
      </c>
      <c r="CA6" s="21" t="s">
        <v>400</v>
      </c>
      <c r="CB6" s="21" t="s">
        <v>404</v>
      </c>
      <c r="CC6" s="21" t="s">
        <v>407</v>
      </c>
      <c r="CD6" s="21" t="s">
        <v>332</v>
      </c>
      <c r="CE6" s="21" t="s">
        <v>421</v>
      </c>
      <c r="CF6" s="21" t="s">
        <v>430</v>
      </c>
      <c r="CG6" s="21" t="s">
        <v>439</v>
      </c>
      <c r="CH6" s="21" t="s">
        <v>448</v>
      </c>
      <c r="CI6" s="21" t="s">
        <v>456</v>
      </c>
      <c r="CJ6" s="21" t="s">
        <v>464</v>
      </c>
      <c r="CK6" s="21" t="s">
        <v>289</v>
      </c>
      <c r="CL6" s="21" t="s">
        <v>477</v>
      </c>
      <c r="CM6" s="21" t="s">
        <v>486</v>
      </c>
      <c r="CN6" s="21" t="s">
        <v>490</v>
      </c>
      <c r="CO6" s="21" t="s">
        <v>493</v>
      </c>
      <c r="CP6" s="21" t="s">
        <v>501</v>
      </c>
      <c r="CR6" s="21" t="s">
        <v>506</v>
      </c>
      <c r="CS6" s="21" t="s">
        <v>356</v>
      </c>
      <c r="CT6" s="21" t="s">
        <v>368</v>
      </c>
      <c r="CU6" s="21" t="s">
        <v>520</v>
      </c>
      <c r="CV6" s="21" t="s">
        <v>527</v>
      </c>
      <c r="CW6" s="21" t="s">
        <v>328</v>
      </c>
      <c r="CX6" s="21" t="s">
        <v>334</v>
      </c>
      <c r="CY6" s="21" t="s">
        <v>536</v>
      </c>
      <c r="CZ6" s="21" t="s">
        <v>540</v>
      </c>
      <c r="DB6" s="21" t="s">
        <v>551</v>
      </c>
      <c r="DC6" s="21" t="s">
        <v>554</v>
      </c>
      <c r="DD6" s="21" t="s">
        <v>561</v>
      </c>
      <c r="DE6" s="21" t="s">
        <v>568</v>
      </c>
      <c r="DF6" s="21" t="s">
        <v>577</v>
      </c>
      <c r="DG6" s="21" t="s">
        <v>423</v>
      </c>
      <c r="DH6" s="21" t="s">
        <v>588</v>
      </c>
      <c r="DI6" s="21" t="s">
        <v>595</v>
      </c>
      <c r="DJ6" s="21" t="s">
        <v>600</v>
      </c>
      <c r="DK6" s="21" t="s">
        <v>605</v>
      </c>
      <c r="DL6" s="21" t="s">
        <v>544</v>
      </c>
      <c r="DM6" s="21" t="s">
        <v>620</v>
      </c>
      <c r="DN6" s="21" t="s">
        <v>641</v>
      </c>
      <c r="DO6" s="21" t="s">
        <v>648</v>
      </c>
      <c r="DP6" s="21" t="s">
        <v>664</v>
      </c>
      <c r="DQ6" s="21" t="s">
        <v>676</v>
      </c>
      <c r="DR6" s="21" t="s">
        <v>689</v>
      </c>
      <c r="DS6" s="21" t="s">
        <v>700</v>
      </c>
      <c r="DT6" s="21" t="s">
        <v>707</v>
      </c>
      <c r="DU6" s="21" t="s">
        <v>714</v>
      </c>
      <c r="DV6" s="21" t="s">
        <v>725</v>
      </c>
      <c r="DW6" s="21" t="s">
        <v>738</v>
      </c>
      <c r="DX6" s="21" t="s">
        <v>749</v>
      </c>
      <c r="DY6" s="21" t="s">
        <v>758</v>
      </c>
      <c r="DZ6" s="21" t="s">
        <v>767</v>
      </c>
      <c r="EA6" s="21" t="s">
        <v>776</v>
      </c>
      <c r="EB6" s="21" t="s">
        <v>787</v>
      </c>
      <c r="EC6" s="21" t="s">
        <v>800</v>
      </c>
      <c r="ED6" s="21" t="s">
        <v>814</v>
      </c>
      <c r="EE6" s="21" t="s">
        <v>823</v>
      </c>
      <c r="EF6" s="21" t="s">
        <v>834</v>
      </c>
      <c r="EG6" s="21" t="s">
        <v>843</v>
      </c>
      <c r="EH6" s="21" t="s">
        <v>854</v>
      </c>
      <c r="EI6" s="21" t="s">
        <v>863</v>
      </c>
      <c r="EJ6" s="21" t="s">
        <v>872</v>
      </c>
      <c r="EK6" s="21" t="s">
        <v>883</v>
      </c>
      <c r="EL6" s="21" t="s">
        <v>894</v>
      </c>
      <c r="EM6" s="21" t="s">
        <v>901</v>
      </c>
      <c r="EN6" s="21" t="s">
        <v>911</v>
      </c>
      <c r="EO6" s="21" t="s">
        <v>922</v>
      </c>
      <c r="EP6" s="21" t="s">
        <v>935</v>
      </c>
      <c r="EQ6" s="21" t="s">
        <v>944</v>
      </c>
      <c r="ER6" s="21" t="s">
        <v>953</v>
      </c>
      <c r="ES6" s="21" t="s">
        <v>962</v>
      </c>
      <c r="ET6" s="21" t="s">
        <v>969</v>
      </c>
      <c r="EU6" s="21" t="s">
        <v>980</v>
      </c>
      <c r="EV6" s="21" t="s">
        <v>991</v>
      </c>
      <c r="EX6" s="21" t="s">
        <v>1002</v>
      </c>
      <c r="EY6" s="21" t="s">
        <v>1011</v>
      </c>
      <c r="EZ6" s="21" t="s">
        <v>1025</v>
      </c>
      <c r="FA6" s="21" t="s">
        <v>1032</v>
      </c>
      <c r="FB6" s="21" t="s">
        <v>1046</v>
      </c>
      <c r="FC6" s="21" t="s">
        <v>1058</v>
      </c>
      <c r="FD6" s="21" t="s">
        <v>1067</v>
      </c>
    </row>
    <row r="7" customFormat="false" ht="15" hidden="false" customHeight="false" outlineLevel="0" collapsed="false">
      <c r="A7" s="21" t="s">
        <v>285</v>
      </c>
      <c r="C7" s="21" t="s">
        <v>285</v>
      </c>
      <c r="D7" s="21" t="s">
        <v>1083</v>
      </c>
      <c r="F7" s="22" t="s">
        <v>1234</v>
      </c>
      <c r="G7" s="22" t="s">
        <v>1112</v>
      </c>
      <c r="J7" s="21" t="s">
        <v>50</v>
      </c>
      <c r="K7" s="21" t="s">
        <v>199</v>
      </c>
      <c r="L7" s="21" t="s">
        <v>304</v>
      </c>
      <c r="M7" s="21" t="s">
        <v>338</v>
      </c>
      <c r="N7" s="21" t="s">
        <v>356</v>
      </c>
      <c r="O7" s="21" t="s">
        <v>388</v>
      </c>
      <c r="P7" s="21" t="s">
        <v>102</v>
      </c>
      <c r="S7" s="21" t="s">
        <v>453</v>
      </c>
      <c r="T7" s="21" t="s">
        <v>483</v>
      </c>
      <c r="U7" s="21" t="s">
        <v>348</v>
      </c>
      <c r="W7" s="21" t="s">
        <v>338</v>
      </c>
      <c r="X7" s="21" t="s">
        <v>558</v>
      </c>
      <c r="Y7" s="21" t="s">
        <v>597</v>
      </c>
      <c r="Z7" s="21" t="s">
        <v>638</v>
      </c>
      <c r="AA7" s="21" t="s">
        <v>686</v>
      </c>
      <c r="AB7" s="21" t="s">
        <v>711</v>
      </c>
      <c r="AD7" s="21" t="s">
        <v>773</v>
      </c>
      <c r="AE7" s="21" t="s">
        <v>810</v>
      </c>
      <c r="AF7" s="21" t="s">
        <v>869</v>
      </c>
      <c r="AG7" s="21" t="s">
        <v>919</v>
      </c>
      <c r="AH7" s="21" t="s">
        <v>959</v>
      </c>
      <c r="AJ7" s="21" t="s">
        <v>999</v>
      </c>
      <c r="AL7" s="21" t="s">
        <v>1043</v>
      </c>
      <c r="AM7" s="21" t="s">
        <v>21</v>
      </c>
      <c r="AN7" s="21" t="s">
        <v>38</v>
      </c>
      <c r="AO7" s="21" t="s">
        <v>55</v>
      </c>
      <c r="AP7" s="21" t="s">
        <v>80</v>
      </c>
      <c r="AQ7" s="21" t="s">
        <v>91</v>
      </c>
      <c r="AR7" s="21" t="s">
        <v>91</v>
      </c>
      <c r="AS7" s="21" t="s">
        <v>53</v>
      </c>
      <c r="AT7" s="21" t="s">
        <v>104</v>
      </c>
      <c r="AU7" s="21" t="s">
        <v>91</v>
      </c>
      <c r="AV7" s="21" t="s">
        <v>91</v>
      </c>
      <c r="AW7" s="21" t="s">
        <v>53</v>
      </c>
      <c r="AX7" s="21" t="s">
        <v>96</v>
      </c>
      <c r="AY7" s="21" t="s">
        <v>55</v>
      </c>
      <c r="AZ7" s="21" t="s">
        <v>55</v>
      </c>
      <c r="BA7" s="21" t="s">
        <v>55</v>
      </c>
      <c r="BB7" s="21" t="s">
        <v>55</v>
      </c>
      <c r="BC7" s="21" t="s">
        <v>55</v>
      </c>
      <c r="BD7" s="21" t="s">
        <v>55</v>
      </c>
      <c r="BE7" s="21" t="s">
        <v>55</v>
      </c>
      <c r="BF7" s="21" t="s">
        <v>55</v>
      </c>
      <c r="BG7" s="21" t="s">
        <v>240</v>
      </c>
      <c r="BH7" s="21" t="s">
        <v>244</v>
      </c>
      <c r="BI7" s="21" t="s">
        <v>279</v>
      </c>
      <c r="BJ7" s="21" t="s">
        <v>291</v>
      </c>
      <c r="BK7" s="21" t="s">
        <v>302</v>
      </c>
      <c r="BL7" s="21" t="s">
        <v>309</v>
      </c>
      <c r="BN7" s="21" t="s">
        <v>320</v>
      </c>
      <c r="BO7" s="21" t="s">
        <v>330</v>
      </c>
      <c r="BP7" s="21" t="s">
        <v>336</v>
      </c>
      <c r="BW7" s="21" t="s">
        <v>370</v>
      </c>
      <c r="BX7" s="21" t="s">
        <v>380</v>
      </c>
      <c r="BZ7" s="21" t="s">
        <v>344</v>
      </c>
      <c r="CD7" s="21" t="s">
        <v>414</v>
      </c>
      <c r="CE7" s="21" t="s">
        <v>423</v>
      </c>
      <c r="CF7" s="21" t="s">
        <v>432</v>
      </c>
      <c r="CG7" s="21" t="s">
        <v>441</v>
      </c>
      <c r="CH7" s="21" t="s">
        <v>450</v>
      </c>
      <c r="CI7" s="21" t="s">
        <v>458</v>
      </c>
      <c r="CJ7" s="21" t="s">
        <v>466</v>
      </c>
      <c r="CL7" s="21" t="s">
        <v>479</v>
      </c>
      <c r="CO7" s="21" t="s">
        <v>495</v>
      </c>
      <c r="CT7" s="21" t="s">
        <v>370</v>
      </c>
      <c r="CZ7" s="21" t="s">
        <v>542</v>
      </c>
      <c r="DC7" s="21" t="s">
        <v>556</v>
      </c>
      <c r="DD7" s="21" t="s">
        <v>563</v>
      </c>
      <c r="DE7" s="21" t="s">
        <v>570</v>
      </c>
      <c r="DG7" s="21" t="s">
        <v>582</v>
      </c>
      <c r="DH7" s="21" t="s">
        <v>590</v>
      </c>
      <c r="DK7" s="21" t="s">
        <v>607</v>
      </c>
      <c r="DL7" s="21" t="s">
        <v>620</v>
      </c>
      <c r="DM7" s="21" t="s">
        <v>635</v>
      </c>
      <c r="DN7" s="21" t="s">
        <v>643</v>
      </c>
      <c r="DO7" s="21" t="s">
        <v>650</v>
      </c>
      <c r="DP7" s="21" t="s">
        <v>666</v>
      </c>
      <c r="DQ7" s="21" t="s">
        <v>678</v>
      </c>
      <c r="DR7" s="21" t="s">
        <v>691</v>
      </c>
      <c r="DS7" s="21" t="s">
        <v>702</v>
      </c>
      <c r="DT7" s="21" t="s">
        <v>709</v>
      </c>
      <c r="DU7" s="21" t="s">
        <v>716</v>
      </c>
      <c r="DV7" s="21" t="s">
        <v>727</v>
      </c>
      <c r="DW7" s="21" t="s">
        <v>740</v>
      </c>
      <c r="DX7" s="21" t="s">
        <v>751</v>
      </c>
      <c r="DY7" s="21" t="s">
        <v>760</v>
      </c>
      <c r="DZ7" s="21" t="s">
        <v>769</v>
      </c>
      <c r="EA7" s="21" t="s">
        <v>778</v>
      </c>
      <c r="EB7" s="21" t="s">
        <v>789</v>
      </c>
      <c r="EC7" s="21" t="s">
        <v>802</v>
      </c>
      <c r="ED7" s="21" t="s">
        <v>816</v>
      </c>
      <c r="EE7" s="21" t="s">
        <v>825</v>
      </c>
      <c r="EF7" s="21" t="s">
        <v>836</v>
      </c>
      <c r="EG7" s="21" t="s">
        <v>845</v>
      </c>
      <c r="EH7" s="21" t="s">
        <v>856</v>
      </c>
      <c r="EI7" s="21" t="s">
        <v>865</v>
      </c>
      <c r="EJ7" s="21" t="s">
        <v>874</v>
      </c>
      <c r="EK7" s="21" t="s">
        <v>885</v>
      </c>
      <c r="EM7" s="21" t="s">
        <v>729</v>
      </c>
      <c r="EN7" s="21" t="s">
        <v>913</v>
      </c>
      <c r="EO7" s="21" t="s">
        <v>924</v>
      </c>
      <c r="EP7" s="21" t="s">
        <v>937</v>
      </c>
      <c r="EQ7" s="21" t="s">
        <v>946</v>
      </c>
      <c r="ER7" s="21" t="s">
        <v>955</v>
      </c>
      <c r="ES7" s="21" t="s">
        <v>964</v>
      </c>
      <c r="ET7" s="21" t="s">
        <v>971</v>
      </c>
      <c r="EU7" s="21" t="s">
        <v>982</v>
      </c>
      <c r="EV7" s="21" t="s">
        <v>993</v>
      </c>
      <c r="EX7" s="21" t="s">
        <v>1004</v>
      </c>
      <c r="EY7" s="21" t="s">
        <v>1013</v>
      </c>
      <c r="EZ7" s="21" t="s">
        <v>25</v>
      </c>
      <c r="FA7" s="21" t="s">
        <v>1034</v>
      </c>
      <c r="FB7" s="21" t="s">
        <v>1048</v>
      </c>
      <c r="FC7" s="21" t="s">
        <v>432</v>
      </c>
      <c r="FD7" s="21" t="s">
        <v>1069</v>
      </c>
    </row>
    <row r="8" customFormat="false" ht="15" hidden="false" customHeight="false" outlineLevel="0" collapsed="false">
      <c r="A8" s="21" t="s">
        <v>325</v>
      </c>
      <c r="C8" s="21" t="s">
        <v>325</v>
      </c>
      <c r="D8" s="21" t="s">
        <v>1084</v>
      </c>
      <c r="F8" s="22" t="s">
        <v>1235</v>
      </c>
      <c r="G8" s="22" t="s">
        <v>1113</v>
      </c>
      <c r="J8" s="21" t="s">
        <v>75</v>
      </c>
      <c r="K8" s="21" t="s">
        <v>208</v>
      </c>
      <c r="L8" s="21" t="s">
        <v>311</v>
      </c>
      <c r="M8" s="21" t="s">
        <v>342</v>
      </c>
      <c r="N8" s="21" t="s">
        <v>361</v>
      </c>
      <c r="S8" s="21" t="s">
        <v>461</v>
      </c>
      <c r="T8" s="21" t="s">
        <v>488</v>
      </c>
      <c r="U8" s="21" t="s">
        <v>508</v>
      </c>
      <c r="W8" s="21" t="s">
        <v>538</v>
      </c>
      <c r="X8" s="21" t="s">
        <v>565</v>
      </c>
      <c r="Y8" s="21" t="s">
        <v>602</v>
      </c>
      <c r="Z8" s="21" t="s">
        <v>646</v>
      </c>
      <c r="AB8" s="21" t="s">
        <v>722</v>
      </c>
      <c r="AE8" s="21" t="s">
        <v>820</v>
      </c>
      <c r="AF8" s="21" t="s">
        <v>880</v>
      </c>
      <c r="AG8" s="21" t="s">
        <v>932</v>
      </c>
      <c r="AH8" s="21" t="s">
        <v>966</v>
      </c>
      <c r="AL8" s="21" t="s">
        <v>1055</v>
      </c>
      <c r="AM8" s="21" t="s">
        <v>23</v>
      </c>
      <c r="AN8" s="21" t="s">
        <v>40</v>
      </c>
      <c r="AO8" s="21" t="s">
        <v>57</v>
      </c>
      <c r="AP8" s="21" t="s">
        <v>82</v>
      </c>
      <c r="AQ8" s="21" t="s">
        <v>93</v>
      </c>
      <c r="AR8" s="21" t="s">
        <v>93</v>
      </c>
      <c r="AS8" s="21" t="s">
        <v>96</v>
      </c>
      <c r="AT8" s="21" t="s">
        <v>130</v>
      </c>
      <c r="AU8" s="21" t="s">
        <v>93</v>
      </c>
      <c r="AV8" s="21" t="s">
        <v>93</v>
      </c>
      <c r="AW8" s="21" t="s">
        <v>96</v>
      </c>
      <c r="AX8" s="21" t="s">
        <v>55</v>
      </c>
      <c r="AY8" s="21" t="s">
        <v>57</v>
      </c>
      <c r="AZ8" s="21" t="s">
        <v>57</v>
      </c>
      <c r="BA8" s="21" t="s">
        <v>57</v>
      </c>
      <c r="BB8" s="21" t="s">
        <v>57</v>
      </c>
      <c r="BC8" s="21" t="s">
        <v>57</v>
      </c>
      <c r="BD8" s="21" t="s">
        <v>57</v>
      </c>
      <c r="BE8" s="21" t="s">
        <v>57</v>
      </c>
      <c r="BF8" s="21" t="s">
        <v>57</v>
      </c>
      <c r="BG8" s="21" t="s">
        <v>242</v>
      </c>
      <c r="BH8" s="21" t="s">
        <v>246</v>
      </c>
      <c r="BI8" s="21" t="s">
        <v>281</v>
      </c>
      <c r="BJ8" s="21" t="s">
        <v>293</v>
      </c>
      <c r="BN8" s="21" t="s">
        <v>322</v>
      </c>
      <c r="BW8" s="21" t="s">
        <v>372</v>
      </c>
      <c r="BX8" s="21" t="s">
        <v>382</v>
      </c>
      <c r="BZ8" s="21" t="s">
        <v>394</v>
      </c>
      <c r="CE8" s="21" t="s">
        <v>425</v>
      </c>
      <c r="CG8" s="21" t="s">
        <v>443</v>
      </c>
      <c r="CH8" s="21" t="s">
        <v>407</v>
      </c>
      <c r="CI8" s="21" t="s">
        <v>272</v>
      </c>
      <c r="CJ8" s="21" t="s">
        <v>468</v>
      </c>
      <c r="CL8" s="21" t="s">
        <v>481</v>
      </c>
      <c r="CT8" s="21" t="s">
        <v>372</v>
      </c>
      <c r="CZ8" s="21" t="s">
        <v>544</v>
      </c>
      <c r="DE8" s="21" t="s">
        <v>572</v>
      </c>
      <c r="DK8" s="21" t="s">
        <v>609</v>
      </c>
      <c r="DL8" s="21" t="s">
        <v>622</v>
      </c>
      <c r="DO8" s="21" t="s">
        <v>652</v>
      </c>
      <c r="DP8" s="21" t="s">
        <v>668</v>
      </c>
      <c r="DQ8" s="21" t="s">
        <v>680</v>
      </c>
      <c r="DR8" s="21" t="s">
        <v>693</v>
      </c>
      <c r="DU8" s="21" t="s">
        <v>718</v>
      </c>
      <c r="DV8" s="21" t="s">
        <v>729</v>
      </c>
      <c r="DW8" s="21" t="s">
        <v>742</v>
      </c>
      <c r="DY8" s="21" t="s">
        <v>762</v>
      </c>
      <c r="DZ8" s="21" t="s">
        <v>771</v>
      </c>
      <c r="EA8" s="21" t="s">
        <v>780</v>
      </c>
      <c r="EB8" s="21" t="s">
        <v>791</v>
      </c>
      <c r="EC8" s="21" t="s">
        <v>804</v>
      </c>
      <c r="ED8" s="21" t="s">
        <v>818</v>
      </c>
      <c r="EE8" s="21" t="s">
        <v>827</v>
      </c>
      <c r="EF8" s="21" t="s">
        <v>838</v>
      </c>
      <c r="EG8" s="21" t="s">
        <v>847</v>
      </c>
      <c r="EH8" s="21" t="s">
        <v>858</v>
      </c>
      <c r="EI8" s="21" t="s">
        <v>867</v>
      </c>
      <c r="EJ8" s="21" t="s">
        <v>876</v>
      </c>
      <c r="EK8" s="21" t="s">
        <v>887</v>
      </c>
      <c r="EM8" s="21" t="s">
        <v>904</v>
      </c>
      <c r="EN8" s="21" t="s">
        <v>915</v>
      </c>
      <c r="EO8" s="21" t="s">
        <v>926</v>
      </c>
      <c r="EQ8" s="21" t="s">
        <v>948</v>
      </c>
      <c r="ER8" s="21" t="s">
        <v>957</v>
      </c>
      <c r="ET8" s="21" t="s">
        <v>973</v>
      </c>
      <c r="EU8" s="21" t="s">
        <v>984</v>
      </c>
      <c r="EV8" s="21" t="s">
        <v>995</v>
      </c>
      <c r="EY8" s="21" t="s">
        <v>1015</v>
      </c>
      <c r="FA8" s="21" t="s">
        <v>1036</v>
      </c>
      <c r="FB8" s="21" t="s">
        <v>1050</v>
      </c>
      <c r="FC8" s="21" t="s">
        <v>1061</v>
      </c>
      <c r="FD8" s="21" t="s">
        <v>1071</v>
      </c>
    </row>
    <row r="9" customFormat="false" ht="15" hidden="false" customHeight="false" outlineLevel="0" collapsed="false">
      <c r="A9" s="21" t="s">
        <v>347</v>
      </c>
      <c r="C9" s="21" t="s">
        <v>347</v>
      </c>
      <c r="D9" s="21" t="s">
        <v>1085</v>
      </c>
      <c r="F9" s="22" t="s">
        <v>1236</v>
      </c>
      <c r="G9" s="22" t="s">
        <v>1114</v>
      </c>
      <c r="J9" s="21" t="s">
        <v>86</v>
      </c>
      <c r="K9" s="21" t="s">
        <v>214</v>
      </c>
      <c r="L9" s="21" t="s">
        <v>316</v>
      </c>
      <c r="N9" s="21" t="s">
        <v>365</v>
      </c>
      <c r="T9" s="21" t="s">
        <v>428</v>
      </c>
      <c r="U9" s="21" t="s">
        <v>365</v>
      </c>
      <c r="W9" s="21" t="s">
        <v>546</v>
      </c>
      <c r="X9" s="21" t="s">
        <v>102</v>
      </c>
      <c r="AE9" s="21" t="s">
        <v>831</v>
      </c>
      <c r="AF9" s="21" t="s">
        <v>891</v>
      </c>
      <c r="AL9" s="21" t="s">
        <v>1064</v>
      </c>
      <c r="AM9" s="21" t="s">
        <v>25</v>
      </c>
      <c r="AN9" s="21" t="s">
        <v>43</v>
      </c>
      <c r="AO9" s="21" t="s">
        <v>59</v>
      </c>
      <c r="AP9" s="21" t="s">
        <v>69</v>
      </c>
      <c r="AQ9" s="21" t="s">
        <v>53</v>
      </c>
      <c r="AR9" s="21" t="s">
        <v>53</v>
      </c>
      <c r="AS9" s="21" t="s">
        <v>55</v>
      </c>
      <c r="AT9" s="21" t="s">
        <v>93</v>
      </c>
      <c r="AU9" s="21" t="s">
        <v>53</v>
      </c>
      <c r="AV9" s="21" t="s">
        <v>53</v>
      </c>
      <c r="AW9" s="21" t="s">
        <v>55</v>
      </c>
      <c r="AX9" s="21" t="s">
        <v>57</v>
      </c>
      <c r="AY9" s="21" t="s">
        <v>190</v>
      </c>
      <c r="BA9" s="21" t="s">
        <v>204</v>
      </c>
      <c r="BB9" s="21" t="s">
        <v>100</v>
      </c>
      <c r="BE9" s="21" t="s">
        <v>100</v>
      </c>
      <c r="BG9" s="21" t="s">
        <v>244</v>
      </c>
      <c r="BH9" s="21" t="s">
        <v>270</v>
      </c>
      <c r="BJ9" s="21" t="s">
        <v>295</v>
      </c>
      <c r="CT9" s="21" t="s">
        <v>515</v>
      </c>
      <c r="DE9" s="21" t="s">
        <v>574</v>
      </c>
      <c r="DK9" s="21" t="s">
        <v>611</v>
      </c>
      <c r="DL9" s="21" t="s">
        <v>624</v>
      </c>
      <c r="DO9" s="21" t="s">
        <v>654</v>
      </c>
      <c r="DP9" s="21" t="s">
        <v>670</v>
      </c>
      <c r="DQ9" s="21" t="s">
        <v>682</v>
      </c>
      <c r="DU9" s="21" t="s">
        <v>720</v>
      </c>
      <c r="DV9" s="21" t="s">
        <v>731</v>
      </c>
      <c r="DW9" s="21" t="s">
        <v>744</v>
      </c>
      <c r="EB9" s="21" t="s">
        <v>793</v>
      </c>
      <c r="EC9" s="21" t="s">
        <v>806</v>
      </c>
      <c r="EE9" s="21" t="s">
        <v>829</v>
      </c>
      <c r="EJ9" s="21" t="s">
        <v>878</v>
      </c>
      <c r="EK9" s="21" t="s">
        <v>889</v>
      </c>
      <c r="EM9" s="21" t="s">
        <v>906</v>
      </c>
      <c r="EN9" s="21" t="s">
        <v>917</v>
      </c>
      <c r="EO9" s="21" t="s">
        <v>928</v>
      </c>
      <c r="EY9" s="21" t="s">
        <v>1017</v>
      </c>
      <c r="FA9" s="21" t="s">
        <v>1038</v>
      </c>
      <c r="FB9" s="21" t="s">
        <v>1052</v>
      </c>
      <c r="FD9" s="21" t="s">
        <v>1073</v>
      </c>
    </row>
    <row r="10" customFormat="false" ht="15" hidden="false" customHeight="false" outlineLevel="0" collapsed="false">
      <c r="A10" s="21" t="s">
        <v>375</v>
      </c>
      <c r="C10" s="21" t="s">
        <v>375</v>
      </c>
      <c r="D10" s="21" t="s">
        <v>1086</v>
      </c>
      <c r="F10" s="22" t="s">
        <v>1237</v>
      </c>
      <c r="G10" s="22" t="s">
        <v>1115</v>
      </c>
      <c r="J10" s="21" t="s">
        <v>106</v>
      </c>
      <c r="K10" s="21" t="s">
        <v>219</v>
      </c>
      <c r="U10" s="21" t="s">
        <v>517</v>
      </c>
      <c r="X10" s="21" t="s">
        <v>579</v>
      </c>
      <c r="AE10" s="21" t="s">
        <v>840</v>
      </c>
      <c r="AM10" s="21" t="s">
        <v>27</v>
      </c>
      <c r="AN10" s="21" t="s">
        <v>46</v>
      </c>
      <c r="AO10" s="21" t="s">
        <v>61</v>
      </c>
      <c r="AQ10" s="21" t="s">
        <v>96</v>
      </c>
      <c r="AR10" s="21" t="s">
        <v>96</v>
      </c>
      <c r="AS10" s="21" t="s">
        <v>57</v>
      </c>
      <c r="AT10" s="21" t="s">
        <v>53</v>
      </c>
      <c r="AU10" s="21" t="s">
        <v>96</v>
      </c>
      <c r="AV10" s="21" t="s">
        <v>96</v>
      </c>
      <c r="AW10" s="21" t="s">
        <v>57</v>
      </c>
      <c r="AX10" s="21" t="s">
        <v>100</v>
      </c>
      <c r="AY10" s="21" t="s">
        <v>192</v>
      </c>
      <c r="BA10" s="21" t="s">
        <v>206</v>
      </c>
      <c r="BG10" s="21" t="s">
        <v>246</v>
      </c>
      <c r="BH10" s="21" t="s">
        <v>272</v>
      </c>
      <c r="DL10" s="21" t="s">
        <v>626</v>
      </c>
      <c r="DO10" s="21" t="s">
        <v>656</v>
      </c>
      <c r="DP10" s="21" t="s">
        <v>635</v>
      </c>
      <c r="DQ10" s="21" t="s">
        <v>684</v>
      </c>
      <c r="EB10" s="21" t="s">
        <v>795</v>
      </c>
      <c r="EC10" s="21" t="s">
        <v>808</v>
      </c>
      <c r="EO10" s="21" t="s">
        <v>930</v>
      </c>
      <c r="FA10" s="21" t="s">
        <v>1040</v>
      </c>
      <c r="FD10" s="21" t="s">
        <v>1075</v>
      </c>
    </row>
    <row r="11" customFormat="false" ht="15" hidden="false" customHeight="false" outlineLevel="0" collapsed="false">
      <c r="A11" s="21" t="s">
        <v>397</v>
      </c>
      <c r="C11" s="21" t="s">
        <v>397</v>
      </c>
      <c r="D11" s="21" t="s">
        <v>1087</v>
      </c>
      <c r="F11" s="22" t="s">
        <v>1238</v>
      </c>
      <c r="G11" s="22" t="s">
        <v>1116</v>
      </c>
      <c r="J11" s="21" t="s">
        <v>118</v>
      </c>
      <c r="K11" s="21" t="s">
        <v>224</v>
      </c>
      <c r="AM11" s="21" t="s">
        <v>30</v>
      </c>
      <c r="AO11" s="21" t="s">
        <v>63</v>
      </c>
      <c r="AQ11" s="21" t="s">
        <v>55</v>
      </c>
      <c r="AR11" s="21" t="s">
        <v>55</v>
      </c>
      <c r="AS11" s="21" t="s">
        <v>102</v>
      </c>
      <c r="AT11" s="21" t="s">
        <v>96</v>
      </c>
      <c r="AU11" s="21" t="s">
        <v>55</v>
      </c>
      <c r="AV11" s="21" t="s">
        <v>55</v>
      </c>
      <c r="AW11" s="21" t="s">
        <v>100</v>
      </c>
      <c r="AX11" s="21" t="s">
        <v>102</v>
      </c>
      <c r="BG11" s="21" t="s">
        <v>248</v>
      </c>
      <c r="BH11" s="21" t="s">
        <v>254</v>
      </c>
      <c r="DL11" s="21" t="s">
        <v>628</v>
      </c>
    </row>
    <row r="12" customFormat="false" ht="15" hidden="false" customHeight="false" outlineLevel="0" collapsed="false">
      <c r="A12" s="21" t="s">
        <v>410</v>
      </c>
      <c r="C12" s="21" t="s">
        <v>410</v>
      </c>
      <c r="D12" s="21" t="s">
        <v>1088</v>
      </c>
      <c r="F12" s="22" t="s">
        <v>1239</v>
      </c>
      <c r="G12" s="22" t="s">
        <v>1117</v>
      </c>
      <c r="J12" s="21" t="s">
        <v>126</v>
      </c>
      <c r="K12" s="21" t="s">
        <v>230</v>
      </c>
      <c r="AO12" s="21" t="s">
        <v>65</v>
      </c>
      <c r="AQ12" s="21" t="s">
        <v>57</v>
      </c>
      <c r="AR12" s="21" t="s">
        <v>57</v>
      </c>
      <c r="AT12" s="21" t="s">
        <v>55</v>
      </c>
      <c r="AU12" s="21" t="s">
        <v>57</v>
      </c>
      <c r="AV12" s="21" t="s">
        <v>57</v>
      </c>
      <c r="AW12" s="21" t="s">
        <v>102</v>
      </c>
      <c r="AX12" s="21" t="s">
        <v>179</v>
      </c>
      <c r="BG12" s="21" t="s">
        <v>250</v>
      </c>
      <c r="BH12" s="21" t="s">
        <v>260</v>
      </c>
    </row>
    <row r="13" customFormat="false" ht="15" hidden="false" customHeight="false" outlineLevel="0" collapsed="false">
      <c r="A13" s="21" t="s">
        <v>417</v>
      </c>
      <c r="C13" s="21" t="s">
        <v>417</v>
      </c>
      <c r="D13" s="21" t="s">
        <v>1089</v>
      </c>
      <c r="F13" s="22" t="s">
        <v>1240</v>
      </c>
      <c r="G13" s="22" t="s">
        <v>1118</v>
      </c>
      <c r="J13" s="21" t="s">
        <v>138</v>
      </c>
      <c r="K13" s="21" t="s">
        <v>235</v>
      </c>
      <c r="AO13" s="21" t="s">
        <v>67</v>
      </c>
      <c r="AQ13" s="21" t="s">
        <v>100</v>
      </c>
      <c r="AR13" s="21" t="s">
        <v>100</v>
      </c>
      <c r="AT13" s="21" t="s">
        <v>57</v>
      </c>
      <c r="AU13" s="21" t="s">
        <v>100</v>
      </c>
      <c r="AV13" s="21" t="s">
        <v>100</v>
      </c>
      <c r="AX13" s="21" t="s">
        <v>181</v>
      </c>
      <c r="BG13" s="21" t="s">
        <v>252</v>
      </c>
    </row>
    <row r="14" customFormat="false" ht="15" hidden="false" customHeight="false" outlineLevel="0" collapsed="false">
      <c r="A14" s="21" t="s">
        <v>435</v>
      </c>
      <c r="C14" s="21" t="s">
        <v>435</v>
      </c>
      <c r="D14" s="21" t="s">
        <v>1090</v>
      </c>
      <c r="F14" s="22" t="s">
        <v>1241</v>
      </c>
      <c r="G14" s="22" t="s">
        <v>1119</v>
      </c>
      <c r="J14" s="21" t="s">
        <v>150</v>
      </c>
      <c r="K14" s="21" t="s">
        <v>264</v>
      </c>
      <c r="AO14" s="21" t="s">
        <v>69</v>
      </c>
      <c r="AQ14" s="21" t="s">
        <v>102</v>
      </c>
      <c r="AR14" s="21" t="s">
        <v>102</v>
      </c>
      <c r="AT14" s="21" t="s">
        <v>102</v>
      </c>
      <c r="AU14" s="21" t="s">
        <v>102</v>
      </c>
      <c r="AV14" s="21" t="s">
        <v>102</v>
      </c>
      <c r="BG14" s="21" t="s">
        <v>254</v>
      </c>
    </row>
    <row r="15" customFormat="false" ht="15" hidden="false" customHeight="false" outlineLevel="0" collapsed="false">
      <c r="A15" s="21" t="s">
        <v>471</v>
      </c>
      <c r="C15" s="21" t="s">
        <v>471</v>
      </c>
      <c r="D15" s="21" t="s">
        <v>1091</v>
      </c>
      <c r="F15" s="22" t="s">
        <v>1242</v>
      </c>
      <c r="G15" s="22" t="s">
        <v>1120</v>
      </c>
      <c r="J15" s="21" t="s">
        <v>162</v>
      </c>
      <c r="K15" s="21" t="s">
        <v>276</v>
      </c>
      <c r="AO15" s="21" t="s">
        <v>71</v>
      </c>
      <c r="AQ15" s="21" t="s">
        <v>104</v>
      </c>
      <c r="AR15" s="21" t="s">
        <v>104</v>
      </c>
      <c r="AU15" s="21" t="s">
        <v>104</v>
      </c>
      <c r="AV15" s="21" t="s">
        <v>104</v>
      </c>
      <c r="BG15" s="21" t="s">
        <v>256</v>
      </c>
    </row>
    <row r="16" customFormat="false" ht="15" hidden="false" customHeight="false" outlineLevel="0" collapsed="false">
      <c r="A16" s="21" t="s">
        <v>498</v>
      </c>
      <c r="C16" s="21" t="s">
        <v>498</v>
      </c>
      <c r="D16" s="21" t="s">
        <v>1092</v>
      </c>
      <c r="F16" s="22" t="s">
        <v>1243</v>
      </c>
      <c r="G16" s="22" t="s">
        <v>1121</v>
      </c>
      <c r="J16" s="21" t="s">
        <v>171</v>
      </c>
      <c r="AO16" s="21" t="s">
        <v>73</v>
      </c>
      <c r="BG16" s="21" t="s">
        <v>258</v>
      </c>
    </row>
    <row r="17" customFormat="false" ht="15" hidden="false" customHeight="false" outlineLevel="0" collapsed="false">
      <c r="A17" s="21" t="s">
        <v>523</v>
      </c>
      <c r="C17" s="21" t="s">
        <v>523</v>
      </c>
      <c r="D17" s="21" t="s">
        <v>1093</v>
      </c>
      <c r="F17" s="22" t="s">
        <v>1244</v>
      </c>
      <c r="G17" s="22" t="s">
        <v>1122</v>
      </c>
      <c r="BG17" s="21" t="s">
        <v>260</v>
      </c>
    </row>
    <row r="18" customFormat="false" ht="15" hidden="false" customHeight="false" outlineLevel="0" collapsed="false">
      <c r="A18" s="21" t="s">
        <v>530</v>
      </c>
      <c r="C18" s="21" t="s">
        <v>530</v>
      </c>
      <c r="D18" s="21" t="s">
        <v>1094</v>
      </c>
      <c r="F18" s="22" t="s">
        <v>1245</v>
      </c>
      <c r="G18" s="22" t="s">
        <v>1123</v>
      </c>
      <c r="BG18" s="21" t="s">
        <v>262</v>
      </c>
    </row>
    <row r="19" customFormat="false" ht="15" hidden="false" customHeight="false" outlineLevel="0" collapsed="false">
      <c r="A19" s="21" t="s">
        <v>549</v>
      </c>
      <c r="C19" s="21" t="s">
        <v>549</v>
      </c>
      <c r="D19" s="21" t="s">
        <v>1095</v>
      </c>
      <c r="F19" s="22" t="s">
        <v>1246</v>
      </c>
      <c r="G19" s="22" t="s">
        <v>1124</v>
      </c>
    </row>
    <row r="20" customFormat="false" ht="15" hidden="false" customHeight="false" outlineLevel="0" collapsed="false">
      <c r="A20" s="21" t="s">
        <v>585</v>
      </c>
      <c r="C20" s="21" t="s">
        <v>585</v>
      </c>
      <c r="D20" s="21" t="s">
        <v>1096</v>
      </c>
      <c r="F20" s="22" t="s">
        <v>1247</v>
      </c>
      <c r="G20" s="22" t="s">
        <v>1125</v>
      </c>
    </row>
    <row r="21" customFormat="false" ht="15" hidden="false" customHeight="false" outlineLevel="0" collapsed="false">
      <c r="A21" s="21" t="s">
        <v>614</v>
      </c>
      <c r="C21" s="21" t="s">
        <v>614</v>
      </c>
      <c r="D21" s="21" t="s">
        <v>1097</v>
      </c>
      <c r="F21" s="22" t="s">
        <v>1248</v>
      </c>
      <c r="G21" s="22" t="s">
        <v>1126</v>
      </c>
    </row>
    <row r="22" customFormat="false" ht="15" hidden="false" customHeight="false" outlineLevel="0" collapsed="false">
      <c r="A22" s="21" t="s">
        <v>660</v>
      </c>
      <c r="C22" s="21" t="s">
        <v>660</v>
      </c>
      <c r="D22" s="21" t="s">
        <v>1098</v>
      </c>
      <c r="F22" s="22" t="s">
        <v>1249</v>
      </c>
      <c r="G22" s="22" t="s">
        <v>1127</v>
      </c>
    </row>
    <row r="23" customFormat="false" ht="15" hidden="false" customHeight="false" outlineLevel="0" collapsed="false">
      <c r="A23" s="21" t="s">
        <v>696</v>
      </c>
      <c r="C23" s="21" t="s">
        <v>696</v>
      </c>
      <c r="D23" s="21" t="s">
        <v>1099</v>
      </c>
      <c r="F23" s="22" t="s">
        <v>1250</v>
      </c>
      <c r="G23" s="22" t="s">
        <v>1128</v>
      </c>
    </row>
    <row r="24" customFormat="false" ht="15" hidden="false" customHeight="false" outlineLevel="0" collapsed="false">
      <c r="A24" s="21" t="s">
        <v>734</v>
      </c>
      <c r="C24" s="21" t="s">
        <v>734</v>
      </c>
      <c r="D24" s="21" t="s">
        <v>1100</v>
      </c>
      <c r="F24" s="22" t="s">
        <v>1251</v>
      </c>
      <c r="G24" s="22" t="s">
        <v>1129</v>
      </c>
    </row>
    <row r="25" customFormat="false" ht="15" hidden="false" customHeight="false" outlineLevel="0" collapsed="false">
      <c r="A25" s="21" t="s">
        <v>754</v>
      </c>
      <c r="C25" s="21" t="s">
        <v>754</v>
      </c>
      <c r="D25" s="21" t="s">
        <v>1101</v>
      </c>
      <c r="F25" s="22" t="s">
        <v>1252</v>
      </c>
      <c r="G25" s="22" t="s">
        <v>1130</v>
      </c>
    </row>
    <row r="26" customFormat="false" ht="15" hidden="false" customHeight="false" outlineLevel="0" collapsed="false">
      <c r="A26" s="21" t="s">
        <v>783</v>
      </c>
      <c r="C26" s="21" t="s">
        <v>783</v>
      </c>
      <c r="D26" s="21" t="s">
        <v>1102</v>
      </c>
      <c r="F26" s="22" t="s">
        <v>1253</v>
      </c>
      <c r="G26" s="22" t="s">
        <v>1131</v>
      </c>
    </row>
    <row r="27" customFormat="false" ht="15" hidden="false" customHeight="false" outlineLevel="0" collapsed="false">
      <c r="A27" s="21" t="s">
        <v>850</v>
      </c>
      <c r="C27" s="21" t="s">
        <v>850</v>
      </c>
      <c r="D27" s="21" t="s">
        <v>1103</v>
      </c>
      <c r="F27" s="22" t="s">
        <v>1254</v>
      </c>
      <c r="G27" s="22" t="s">
        <v>1132</v>
      </c>
    </row>
    <row r="28" customFormat="false" ht="15" hidden="false" customHeight="false" outlineLevel="0" collapsed="false">
      <c r="A28" s="21" t="s">
        <v>897</v>
      </c>
      <c r="C28" s="21" t="s">
        <v>897</v>
      </c>
      <c r="D28" s="21" t="s">
        <v>1104</v>
      </c>
      <c r="F28" s="22" t="s">
        <v>1255</v>
      </c>
      <c r="G28" s="22" t="s">
        <v>1133</v>
      </c>
    </row>
    <row r="29" customFormat="false" ht="15" hidden="false" customHeight="false" outlineLevel="0" collapsed="false">
      <c r="A29" s="21" t="s">
        <v>940</v>
      </c>
      <c r="C29" s="21" t="s">
        <v>940</v>
      </c>
      <c r="D29" s="21" t="s">
        <v>1105</v>
      </c>
      <c r="F29" s="22" t="s">
        <v>1256</v>
      </c>
      <c r="G29" s="22" t="s">
        <v>1134</v>
      </c>
    </row>
    <row r="30" customFormat="false" ht="15" hidden="false" customHeight="false" outlineLevel="0" collapsed="false">
      <c r="A30" s="21" t="s">
        <v>976</v>
      </c>
      <c r="C30" s="21" t="s">
        <v>976</v>
      </c>
      <c r="D30" s="21" t="s">
        <v>1106</v>
      </c>
      <c r="F30" s="22" t="s">
        <v>1257</v>
      </c>
      <c r="G30" s="22" t="s">
        <v>1135</v>
      </c>
    </row>
    <row r="31" customFormat="false" ht="15" hidden="false" customHeight="false" outlineLevel="0" collapsed="false">
      <c r="A31" s="21" t="s">
        <v>987</v>
      </c>
      <c r="C31" s="21" t="s">
        <v>987</v>
      </c>
      <c r="D31" s="21" t="s">
        <v>1107</v>
      </c>
      <c r="F31" s="22" t="s">
        <v>1258</v>
      </c>
      <c r="G31" s="22" t="s">
        <v>1136</v>
      </c>
    </row>
    <row r="32" customFormat="false" ht="15" hidden="false" customHeight="false" outlineLevel="0" collapsed="false">
      <c r="A32" s="21" t="s">
        <v>1007</v>
      </c>
      <c r="C32" s="21" t="s">
        <v>1007</v>
      </c>
      <c r="D32" s="21" t="s">
        <v>1108</v>
      </c>
      <c r="F32" s="22" t="s">
        <v>1259</v>
      </c>
      <c r="G32" s="22" t="s">
        <v>1137</v>
      </c>
    </row>
    <row r="33" customFormat="false" ht="15" hidden="false" customHeight="false" outlineLevel="0" collapsed="false">
      <c r="A33" s="21" t="s">
        <v>1021</v>
      </c>
      <c r="C33" s="21" t="s">
        <v>1021</v>
      </c>
      <c r="D33" s="21" t="s">
        <v>1109</v>
      </c>
      <c r="F33" s="22" t="s">
        <v>1260</v>
      </c>
      <c r="G33" s="22" t="s">
        <v>1138</v>
      </c>
    </row>
    <row r="34" customFormat="false" ht="15" hidden="false" customHeight="false" outlineLevel="0" collapsed="false">
      <c r="F34" s="22" t="s">
        <v>1261</v>
      </c>
      <c r="G34" s="22" t="s">
        <v>1139</v>
      </c>
    </row>
    <row r="35" customFormat="false" ht="15" hidden="false" customHeight="false" outlineLevel="0" collapsed="false">
      <c r="F35" s="22" t="s">
        <v>1262</v>
      </c>
      <c r="G35" s="22" t="s">
        <v>1140</v>
      </c>
    </row>
    <row r="36" customFormat="false" ht="15" hidden="false" customHeight="false" outlineLevel="0" collapsed="false">
      <c r="F36" s="22" t="s">
        <v>1263</v>
      </c>
      <c r="G36" s="22" t="s">
        <v>1141</v>
      </c>
    </row>
    <row r="37" customFormat="false" ht="15" hidden="false" customHeight="false" outlineLevel="0" collapsed="false">
      <c r="F37" s="22" t="s">
        <v>1264</v>
      </c>
      <c r="G37" s="22" t="s">
        <v>1142</v>
      </c>
    </row>
    <row r="38" customFormat="false" ht="15" hidden="false" customHeight="false" outlineLevel="0" collapsed="false">
      <c r="F38" s="22" t="s">
        <v>1265</v>
      </c>
      <c r="G38" s="22" t="s">
        <v>1143</v>
      </c>
    </row>
    <row r="39" customFormat="false" ht="15" hidden="false" customHeight="false" outlineLevel="0" collapsed="false">
      <c r="F39" s="22" t="s">
        <v>1266</v>
      </c>
      <c r="G39" s="22" t="s">
        <v>1144</v>
      </c>
    </row>
    <row r="40" customFormat="false" ht="15" hidden="false" customHeight="false" outlineLevel="0" collapsed="false">
      <c r="F40" s="22" t="s">
        <v>1267</v>
      </c>
      <c r="G40" s="22" t="s">
        <v>1145</v>
      </c>
    </row>
    <row r="41" customFormat="false" ht="15" hidden="false" customHeight="false" outlineLevel="0" collapsed="false">
      <c r="F41" s="22" t="s">
        <v>1268</v>
      </c>
      <c r="G41" s="22" t="s">
        <v>1146</v>
      </c>
    </row>
    <row r="42" customFormat="false" ht="15" hidden="false" customHeight="false" outlineLevel="0" collapsed="false">
      <c r="F42" s="22" t="s">
        <v>1269</v>
      </c>
      <c r="G42" s="22" t="s">
        <v>1147</v>
      </c>
    </row>
    <row r="43" customFormat="false" ht="15" hidden="false" customHeight="false" outlineLevel="0" collapsed="false">
      <c r="F43" s="22" t="s">
        <v>1270</v>
      </c>
      <c r="G43" s="22" t="s">
        <v>1148</v>
      </c>
    </row>
    <row r="44" customFormat="false" ht="15" hidden="false" customHeight="false" outlineLevel="0" collapsed="false">
      <c r="F44" s="22" t="s">
        <v>1271</v>
      </c>
      <c r="G44" s="22" t="s">
        <v>1149</v>
      </c>
    </row>
    <row r="45" customFormat="false" ht="15" hidden="false" customHeight="false" outlineLevel="0" collapsed="false">
      <c r="F45" s="22" t="s">
        <v>1272</v>
      </c>
      <c r="G45" s="22" t="s">
        <v>1150</v>
      </c>
    </row>
    <row r="46" customFormat="false" ht="15" hidden="false" customHeight="false" outlineLevel="0" collapsed="false">
      <c r="F46" s="22" t="s">
        <v>1273</v>
      </c>
      <c r="G46" s="22" t="s">
        <v>1151</v>
      </c>
    </row>
    <row r="47" customFormat="false" ht="15" hidden="false" customHeight="false" outlineLevel="0" collapsed="false">
      <c r="F47" s="22" t="s">
        <v>1274</v>
      </c>
      <c r="G47" s="22" t="s">
        <v>1152</v>
      </c>
    </row>
    <row r="48" customFormat="false" ht="15" hidden="false" customHeight="false" outlineLevel="0" collapsed="false">
      <c r="F48" s="22" t="s">
        <v>1275</v>
      </c>
      <c r="G48" s="22" t="s">
        <v>1153</v>
      </c>
    </row>
    <row r="49" customFormat="false" ht="15" hidden="false" customHeight="false" outlineLevel="0" collapsed="false">
      <c r="F49" s="22" t="s">
        <v>1276</v>
      </c>
      <c r="G49" s="22" t="s">
        <v>1154</v>
      </c>
    </row>
    <row r="50" customFormat="false" ht="15" hidden="false" customHeight="false" outlineLevel="0" collapsed="false">
      <c r="F50" s="22" t="s">
        <v>1277</v>
      </c>
      <c r="G50" s="22" t="s">
        <v>1155</v>
      </c>
    </row>
    <row r="51" customFormat="false" ht="15" hidden="false" customHeight="false" outlineLevel="0" collapsed="false">
      <c r="F51" s="22" t="s">
        <v>1278</v>
      </c>
      <c r="G51" s="22" t="s">
        <v>1156</v>
      </c>
    </row>
    <row r="52" customFormat="false" ht="15" hidden="false" customHeight="false" outlineLevel="0" collapsed="false">
      <c r="F52" s="22" t="s">
        <v>1279</v>
      </c>
      <c r="G52" s="22" t="s">
        <v>1157</v>
      </c>
    </row>
    <row r="53" customFormat="false" ht="15" hidden="false" customHeight="false" outlineLevel="0" collapsed="false">
      <c r="F53" s="22" t="s">
        <v>1280</v>
      </c>
      <c r="G53" s="22" t="s">
        <v>1158</v>
      </c>
    </row>
    <row r="54" customFormat="false" ht="15" hidden="false" customHeight="false" outlineLevel="0" collapsed="false">
      <c r="F54" s="22" t="s">
        <v>1281</v>
      </c>
      <c r="G54" s="22" t="s">
        <v>1159</v>
      </c>
    </row>
    <row r="55" customFormat="false" ht="15" hidden="false" customHeight="false" outlineLevel="0" collapsed="false">
      <c r="F55" s="22" t="s">
        <v>1282</v>
      </c>
      <c r="G55" s="22" t="s">
        <v>1160</v>
      </c>
    </row>
    <row r="56" customFormat="false" ht="15" hidden="false" customHeight="false" outlineLevel="0" collapsed="false">
      <c r="F56" s="22" t="s">
        <v>1283</v>
      </c>
      <c r="G56" s="22" t="s">
        <v>1161</v>
      </c>
    </row>
    <row r="57" customFormat="false" ht="15" hidden="false" customHeight="false" outlineLevel="0" collapsed="false">
      <c r="F57" s="22" t="s">
        <v>1284</v>
      </c>
      <c r="G57" s="22" t="s">
        <v>1162</v>
      </c>
    </row>
    <row r="58" customFormat="false" ht="15" hidden="false" customHeight="false" outlineLevel="0" collapsed="false">
      <c r="F58" s="22" t="s">
        <v>1285</v>
      </c>
      <c r="G58" s="22" t="s">
        <v>1163</v>
      </c>
    </row>
    <row r="59" customFormat="false" ht="15" hidden="false" customHeight="false" outlineLevel="0" collapsed="false">
      <c r="F59" s="22" t="s">
        <v>1286</v>
      </c>
      <c r="G59" s="22" t="s">
        <v>1164</v>
      </c>
    </row>
    <row r="60" customFormat="false" ht="15" hidden="false" customHeight="false" outlineLevel="0" collapsed="false">
      <c r="F60" s="22" t="s">
        <v>1287</v>
      </c>
      <c r="G60" s="22" t="s">
        <v>1165</v>
      </c>
    </row>
    <row r="61" customFormat="false" ht="15" hidden="false" customHeight="false" outlineLevel="0" collapsed="false">
      <c r="F61" s="22" t="s">
        <v>1288</v>
      </c>
      <c r="G61" s="22" t="s">
        <v>1166</v>
      </c>
    </row>
    <row r="62" customFormat="false" ht="15" hidden="false" customHeight="false" outlineLevel="0" collapsed="false">
      <c r="F62" s="22" t="s">
        <v>1289</v>
      </c>
      <c r="G62" s="22" t="s">
        <v>1167</v>
      </c>
    </row>
    <row r="63" customFormat="false" ht="15" hidden="false" customHeight="false" outlineLevel="0" collapsed="false">
      <c r="F63" s="22" t="s">
        <v>1290</v>
      </c>
      <c r="G63" s="22" t="s">
        <v>1168</v>
      </c>
    </row>
    <row r="64" customFormat="false" ht="15" hidden="false" customHeight="false" outlineLevel="0" collapsed="false">
      <c r="F64" s="22" t="s">
        <v>1291</v>
      </c>
      <c r="G64" s="22" t="s">
        <v>1169</v>
      </c>
    </row>
    <row r="65" customFormat="false" ht="15" hidden="false" customHeight="false" outlineLevel="0" collapsed="false">
      <c r="F65" s="22" t="s">
        <v>1292</v>
      </c>
      <c r="G65" s="22" t="s">
        <v>1170</v>
      </c>
    </row>
    <row r="66" customFormat="false" ht="15" hidden="false" customHeight="false" outlineLevel="0" collapsed="false">
      <c r="F66" s="22" t="s">
        <v>1293</v>
      </c>
      <c r="G66" s="22" t="s">
        <v>1171</v>
      </c>
    </row>
    <row r="67" customFormat="false" ht="15" hidden="false" customHeight="false" outlineLevel="0" collapsed="false">
      <c r="F67" s="22" t="s">
        <v>1294</v>
      </c>
      <c r="G67" s="22" t="s">
        <v>1172</v>
      </c>
    </row>
    <row r="68" customFormat="false" ht="15" hidden="false" customHeight="false" outlineLevel="0" collapsed="false">
      <c r="F68" s="22" t="s">
        <v>1295</v>
      </c>
      <c r="G68" s="22" t="s">
        <v>1173</v>
      </c>
    </row>
    <row r="69" customFormat="false" ht="15" hidden="false" customHeight="false" outlineLevel="0" collapsed="false">
      <c r="F69" s="22" t="s">
        <v>1296</v>
      </c>
      <c r="G69" s="22" t="s">
        <v>1174</v>
      </c>
    </row>
    <row r="70" customFormat="false" ht="15" hidden="false" customHeight="false" outlineLevel="0" collapsed="false">
      <c r="F70" s="22" t="s">
        <v>1297</v>
      </c>
      <c r="G70" s="22" t="s">
        <v>1175</v>
      </c>
    </row>
    <row r="71" customFormat="false" ht="15" hidden="false" customHeight="false" outlineLevel="0" collapsed="false">
      <c r="F71" s="22" t="s">
        <v>1298</v>
      </c>
      <c r="G71" s="22" t="s">
        <v>1176</v>
      </c>
    </row>
    <row r="72" customFormat="false" ht="15" hidden="false" customHeight="false" outlineLevel="0" collapsed="false">
      <c r="F72" s="22" t="s">
        <v>1299</v>
      </c>
      <c r="G72" s="22" t="s">
        <v>1177</v>
      </c>
    </row>
    <row r="73" customFormat="false" ht="15" hidden="false" customHeight="false" outlineLevel="0" collapsed="false">
      <c r="F73" s="22" t="s">
        <v>1300</v>
      </c>
      <c r="G73" s="22" t="s">
        <v>1178</v>
      </c>
    </row>
    <row r="74" customFormat="false" ht="15" hidden="false" customHeight="false" outlineLevel="0" collapsed="false">
      <c r="F74" s="22" t="s">
        <v>1301</v>
      </c>
      <c r="G74" s="22" t="s">
        <v>1179</v>
      </c>
    </row>
    <row r="75" customFormat="false" ht="15" hidden="false" customHeight="false" outlineLevel="0" collapsed="false">
      <c r="F75" s="22" t="s">
        <v>1302</v>
      </c>
      <c r="G75" s="22" t="s">
        <v>1180</v>
      </c>
    </row>
    <row r="76" customFormat="false" ht="15" hidden="false" customHeight="false" outlineLevel="0" collapsed="false">
      <c r="F76" s="22" t="s">
        <v>1303</v>
      </c>
      <c r="G76" s="22" t="s">
        <v>1181</v>
      </c>
    </row>
    <row r="77" customFormat="false" ht="15" hidden="false" customHeight="false" outlineLevel="0" collapsed="false">
      <c r="F77" s="22" t="s">
        <v>1304</v>
      </c>
      <c r="G77" s="22" t="s">
        <v>1182</v>
      </c>
    </row>
    <row r="78" customFormat="false" ht="15" hidden="false" customHeight="false" outlineLevel="0" collapsed="false">
      <c r="F78" s="22" t="s">
        <v>1305</v>
      </c>
      <c r="G78" s="22" t="s">
        <v>1183</v>
      </c>
    </row>
    <row r="79" customFormat="false" ht="15" hidden="false" customHeight="false" outlineLevel="0" collapsed="false">
      <c r="F79" s="22" t="s">
        <v>1306</v>
      </c>
      <c r="G79" s="22" t="s">
        <v>1184</v>
      </c>
    </row>
    <row r="80" customFormat="false" ht="15" hidden="false" customHeight="false" outlineLevel="0" collapsed="false">
      <c r="F80" s="22" t="s">
        <v>1307</v>
      </c>
      <c r="G80" s="22" t="s">
        <v>1185</v>
      </c>
    </row>
    <row r="81" customFormat="false" ht="15" hidden="false" customHeight="false" outlineLevel="0" collapsed="false">
      <c r="F81" s="22" t="s">
        <v>1308</v>
      </c>
      <c r="G81" s="22" t="s">
        <v>1186</v>
      </c>
    </row>
    <row r="82" customFormat="false" ht="15" hidden="false" customHeight="false" outlineLevel="0" collapsed="false">
      <c r="F82" s="22" t="s">
        <v>1309</v>
      </c>
      <c r="G82" s="22" t="s">
        <v>1187</v>
      </c>
    </row>
    <row r="83" customFormat="false" ht="15" hidden="false" customHeight="false" outlineLevel="0" collapsed="false">
      <c r="F83" s="22" t="s">
        <v>1310</v>
      </c>
      <c r="G83" s="22" t="s">
        <v>1188</v>
      </c>
    </row>
    <row r="84" customFormat="false" ht="15" hidden="false" customHeight="false" outlineLevel="0" collapsed="false">
      <c r="F84" s="22" t="s">
        <v>1311</v>
      </c>
      <c r="G84" s="22" t="s">
        <v>1189</v>
      </c>
    </row>
    <row r="85" customFormat="false" ht="15" hidden="false" customHeight="false" outlineLevel="0" collapsed="false">
      <c r="F85" s="22" t="s">
        <v>1312</v>
      </c>
      <c r="G85" s="22" t="s">
        <v>1190</v>
      </c>
    </row>
    <row r="86" customFormat="false" ht="15" hidden="false" customHeight="false" outlineLevel="0" collapsed="false">
      <c r="F86" s="22" t="s">
        <v>1313</v>
      </c>
      <c r="G86" s="22" t="s">
        <v>1191</v>
      </c>
    </row>
    <row r="87" customFormat="false" ht="15" hidden="false" customHeight="false" outlineLevel="0" collapsed="false">
      <c r="F87" s="22" t="s">
        <v>1314</v>
      </c>
      <c r="G87" s="22" t="s">
        <v>1192</v>
      </c>
    </row>
    <row r="88" customFormat="false" ht="15" hidden="false" customHeight="false" outlineLevel="0" collapsed="false">
      <c r="F88" s="22" t="s">
        <v>1315</v>
      </c>
      <c r="G88" s="22" t="s">
        <v>1193</v>
      </c>
    </row>
    <row r="89" customFormat="false" ht="15" hidden="false" customHeight="false" outlineLevel="0" collapsed="false">
      <c r="F89" s="22" t="s">
        <v>1316</v>
      </c>
      <c r="G89" s="22" t="s">
        <v>1194</v>
      </c>
    </row>
    <row r="90" customFormat="false" ht="15" hidden="false" customHeight="false" outlineLevel="0" collapsed="false">
      <c r="F90" s="22" t="s">
        <v>1317</v>
      </c>
      <c r="G90" s="22" t="s">
        <v>1195</v>
      </c>
    </row>
    <row r="91" customFormat="false" ht="15" hidden="false" customHeight="false" outlineLevel="0" collapsed="false">
      <c r="F91" s="22" t="s">
        <v>1318</v>
      </c>
      <c r="G91" s="22" t="s">
        <v>1196</v>
      </c>
    </row>
    <row r="92" customFormat="false" ht="15" hidden="false" customHeight="false" outlineLevel="0" collapsed="false">
      <c r="F92" s="22" t="s">
        <v>1319</v>
      </c>
      <c r="G92" s="22" t="s">
        <v>1197</v>
      </c>
    </row>
    <row r="93" customFormat="false" ht="15" hidden="false" customHeight="false" outlineLevel="0" collapsed="false">
      <c r="F93" s="22" t="s">
        <v>1320</v>
      </c>
      <c r="G93" s="22" t="s">
        <v>1198</v>
      </c>
    </row>
    <row r="94" customFormat="false" ht="15" hidden="false" customHeight="false" outlineLevel="0" collapsed="false">
      <c r="F94" s="22" t="s">
        <v>1321</v>
      </c>
      <c r="G94" s="22" t="s">
        <v>1199</v>
      </c>
    </row>
    <row r="95" customFormat="false" ht="15" hidden="false" customHeight="false" outlineLevel="0" collapsed="false">
      <c r="F95" s="22" t="s">
        <v>1322</v>
      </c>
      <c r="G95" s="22" t="s">
        <v>1200</v>
      </c>
    </row>
    <row r="96" customFormat="false" ht="15" hidden="false" customHeight="false" outlineLevel="0" collapsed="false">
      <c r="F96" s="22" t="s">
        <v>1323</v>
      </c>
      <c r="G96" s="22" t="s">
        <v>1201</v>
      </c>
    </row>
    <row r="97" customFormat="false" ht="15" hidden="false" customHeight="false" outlineLevel="0" collapsed="false">
      <c r="F97" s="22" t="s">
        <v>1324</v>
      </c>
      <c r="G97" s="22" t="s">
        <v>1202</v>
      </c>
    </row>
    <row r="98" customFormat="false" ht="15" hidden="false" customHeight="false" outlineLevel="0" collapsed="false">
      <c r="F98" s="22" t="s">
        <v>1325</v>
      </c>
      <c r="G98" s="22" t="s">
        <v>1203</v>
      </c>
    </row>
    <row r="99" customFormat="false" ht="15" hidden="false" customHeight="false" outlineLevel="0" collapsed="false">
      <c r="F99" s="22" t="s">
        <v>1326</v>
      </c>
      <c r="G99" s="22" t="s">
        <v>1204</v>
      </c>
    </row>
    <row r="100" customFormat="false" ht="15" hidden="false" customHeight="false" outlineLevel="0" collapsed="false">
      <c r="F100" s="22" t="s">
        <v>1327</v>
      </c>
      <c r="G100" s="22" t="s">
        <v>1205</v>
      </c>
    </row>
    <row r="101" customFormat="false" ht="15" hidden="false" customHeight="false" outlineLevel="0" collapsed="false">
      <c r="F101" s="22" t="s">
        <v>1328</v>
      </c>
      <c r="G101" s="22" t="s">
        <v>1206</v>
      </c>
    </row>
    <row r="102" customFormat="false" ht="15" hidden="false" customHeight="false" outlineLevel="0" collapsed="false">
      <c r="F102" s="22" t="s">
        <v>1329</v>
      </c>
      <c r="G102" s="22" t="s">
        <v>1207</v>
      </c>
    </row>
    <row r="103" customFormat="false" ht="15" hidden="false" customHeight="false" outlineLevel="0" collapsed="false">
      <c r="F103" s="22" t="s">
        <v>1330</v>
      </c>
      <c r="G103" s="22" t="s">
        <v>1208</v>
      </c>
    </row>
    <row r="104" customFormat="false" ht="15" hidden="false" customHeight="false" outlineLevel="0" collapsed="false">
      <c r="F104" s="22" t="s">
        <v>1331</v>
      </c>
      <c r="G104" s="22" t="s">
        <v>1209</v>
      </c>
    </row>
    <row r="105" customFormat="false" ht="15" hidden="false" customHeight="false" outlineLevel="0" collapsed="false">
      <c r="F105" s="22" t="s">
        <v>1332</v>
      </c>
      <c r="G105" s="22" t="s">
        <v>1210</v>
      </c>
    </row>
    <row r="106" customFormat="false" ht="15" hidden="false" customHeight="false" outlineLevel="0" collapsed="false">
      <c r="F106" s="22" t="s">
        <v>1333</v>
      </c>
      <c r="G106" s="22" t="s">
        <v>1211</v>
      </c>
    </row>
    <row r="107" customFormat="false" ht="15" hidden="false" customHeight="false" outlineLevel="0" collapsed="false">
      <c r="F107" s="22" t="s">
        <v>1334</v>
      </c>
      <c r="G107" s="22" t="s">
        <v>1212</v>
      </c>
    </row>
    <row r="108" customFormat="false" ht="15" hidden="false" customHeight="false" outlineLevel="0" collapsed="false">
      <c r="F108" s="22" t="s">
        <v>1335</v>
      </c>
      <c r="G108" s="22" t="s">
        <v>1213</v>
      </c>
    </row>
    <row r="109" customFormat="false" ht="15" hidden="false" customHeight="false" outlineLevel="0" collapsed="false">
      <c r="F109" s="22" t="s">
        <v>1336</v>
      </c>
      <c r="G109" s="22" t="s">
        <v>1214</v>
      </c>
    </row>
    <row r="110" customFormat="false" ht="15" hidden="false" customHeight="false" outlineLevel="0" collapsed="false">
      <c r="F110" s="22" t="s">
        <v>1337</v>
      </c>
      <c r="G110" s="22" t="s">
        <v>1215</v>
      </c>
    </row>
    <row r="111" customFormat="false" ht="15" hidden="false" customHeight="false" outlineLevel="0" collapsed="false">
      <c r="F111" s="22" t="s">
        <v>1338</v>
      </c>
      <c r="G111" s="22" t="s">
        <v>1216</v>
      </c>
    </row>
    <row r="112" customFormat="false" ht="15" hidden="false" customHeight="false" outlineLevel="0" collapsed="false">
      <c r="F112" s="22" t="s">
        <v>1339</v>
      </c>
      <c r="G112" s="22" t="s">
        <v>1217</v>
      </c>
    </row>
    <row r="113" customFormat="false" ht="15" hidden="false" customHeight="false" outlineLevel="0" collapsed="false">
      <c r="F113" s="22" t="s">
        <v>1340</v>
      </c>
      <c r="G113" s="22" t="s">
        <v>1218</v>
      </c>
    </row>
    <row r="114" customFormat="false" ht="15" hidden="false" customHeight="false" outlineLevel="0" collapsed="false">
      <c r="F114" s="22" t="s">
        <v>1341</v>
      </c>
      <c r="G114" s="22" t="s">
        <v>1219</v>
      </c>
    </row>
    <row r="115" customFormat="false" ht="15" hidden="false" customHeight="false" outlineLevel="0" collapsed="false">
      <c r="F115" s="22" t="s">
        <v>1342</v>
      </c>
      <c r="G115" s="22" t="s">
        <v>1220</v>
      </c>
    </row>
    <row r="116" customFormat="false" ht="15" hidden="false" customHeight="false" outlineLevel="0" collapsed="false">
      <c r="F116" s="22" t="s">
        <v>1343</v>
      </c>
      <c r="G116" s="22" t="s">
        <v>1221</v>
      </c>
    </row>
    <row r="117" customFormat="false" ht="15" hidden="false" customHeight="false" outlineLevel="0" collapsed="false">
      <c r="F117" s="22" t="s">
        <v>1344</v>
      </c>
      <c r="G117" s="22" t="s">
        <v>1222</v>
      </c>
    </row>
    <row r="118" customFormat="false" ht="15" hidden="false" customHeight="false" outlineLevel="0" collapsed="false">
      <c r="F118" s="22" t="s">
        <v>1345</v>
      </c>
      <c r="G118" s="22" t="s">
        <v>1223</v>
      </c>
    </row>
    <row r="119" customFormat="false" ht="15" hidden="false" customHeight="false" outlineLevel="0" collapsed="false">
      <c r="F119" s="22" t="s">
        <v>1346</v>
      </c>
      <c r="G119" s="22" t="s">
        <v>1224</v>
      </c>
    </row>
    <row r="120" customFormat="false" ht="15" hidden="false" customHeight="false" outlineLevel="0" collapsed="false">
      <c r="F120" s="22" t="s">
        <v>1347</v>
      </c>
      <c r="G120" s="22" t="s">
        <v>1225</v>
      </c>
    </row>
    <row r="121" customFormat="false" ht="15" hidden="false" customHeight="false" outlineLevel="0" collapsed="false">
      <c r="F121" s="22" t="s">
        <v>1348</v>
      </c>
      <c r="G121" s="22" t="s">
        <v>1226</v>
      </c>
    </row>
    <row r="122" customFormat="false" ht="15" hidden="false" customHeight="false" outlineLevel="0" collapsed="false">
      <c r="F122" s="22" t="s">
        <v>1349</v>
      </c>
      <c r="G122" s="22" t="s">
        <v>1227</v>
      </c>
    </row>
    <row r="123" customFormat="false" ht="15" hidden="false" customHeight="false" outlineLevel="0" collapsed="false">
      <c r="F123" s="22" t="s">
        <v>1350</v>
      </c>
      <c r="G123" s="22" t="s">
        <v>1228</v>
      </c>
    </row>
    <row r="124" customFormat="false" ht="15" hidden="false" customHeight="false" outlineLevel="0" collapsed="false">
      <c r="F124" s="22" t="s">
        <v>1351</v>
      </c>
      <c r="G124" s="22" t="s">
        <v>1229</v>
      </c>
    </row>
    <row r="125" customFormat="false" ht="15" hidden="false" customHeight="false" outlineLevel="0" collapsed="false">
      <c r="F125" s="22" t="s">
        <v>1352</v>
      </c>
      <c r="G125" s="22" t="s">
        <v>1230</v>
      </c>
    </row>
    <row r="126" customFormat="false" ht="15" hidden="false" customHeight="false" outlineLevel="0" collapsed="false">
      <c r="F126" s="22" t="s">
        <v>1353</v>
      </c>
      <c r="G126" s="22" t="s">
        <v>1231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4" min="3" style="0" width="28"/>
    <col collapsed="false" customWidth="true" hidden="false" outlineLevel="0" max="5" min="5" style="0" width="32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34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true" outlineLevel="0" max="12" min="11" style="0" width="3"/>
  </cols>
  <sheetData>
    <row r="1" customFormat="false" ht="17.35" hidden="false" customHeight="false" outlineLevel="0" collapsed="false">
      <c r="A1" s="23" t="s">
        <v>1354</v>
      </c>
    </row>
    <row r="2" customFormat="false" ht="15" hidden="false" customHeight="false" outlineLevel="0" collapsed="false">
      <c r="A2" s="2" t="s">
        <v>1355</v>
      </c>
    </row>
    <row r="4" customFormat="false" ht="23.85" hidden="false" customHeight="false" outlineLevel="0" collapsed="false">
      <c r="A4" s="4" t="s">
        <v>3</v>
      </c>
      <c r="B4" s="4" t="s">
        <v>4</v>
      </c>
      <c r="C4" s="4" t="s">
        <v>6</v>
      </c>
      <c r="D4" s="4" t="s">
        <v>7</v>
      </c>
      <c r="E4" s="4" t="s">
        <v>8</v>
      </c>
      <c r="F4" s="4" t="s">
        <v>5</v>
      </c>
      <c r="G4" s="4" t="s">
        <v>1356</v>
      </c>
      <c r="H4" s="4" t="s">
        <v>1357</v>
      </c>
      <c r="I4" s="4" t="s">
        <v>1358</v>
      </c>
      <c r="J4" s="4" t="s">
        <v>1359</v>
      </c>
      <c r="K4" s="4" t="s">
        <v>1360</v>
      </c>
      <c r="L4" s="4" t="s">
        <v>1361</v>
      </c>
    </row>
    <row r="5" customFormat="false" ht="15" hidden="false" customHeight="false" outlineLevel="0" collapsed="false">
      <c r="A5" s="5" t="str">
        <f aca="false">IF($C5="","",ROW()-4)</f>
        <v/>
      </c>
      <c r="B5" s="24"/>
      <c r="C5" s="24"/>
      <c r="D5" s="24"/>
      <c r="E5" s="24"/>
      <c r="F5" s="25" t="str">
        <f aca="false">IFERROR(INDEX('Element Library'!$C:$C,MATCH($C5&amp;"|"&amp;$D5&amp;"|"&amp;$E5,'Element Library'!$H:$H,0)),"")</f>
        <v/>
      </c>
      <c r="G5" s="5" t="str">
        <f aca="false">IFERROR(INDEX('Element Library'!$G:$G,MATCH($C5&amp;"|"&amp;$D5&amp;"|"&amp;$E5,'Element Library'!$H:$H,0)),"")</f>
        <v/>
      </c>
      <c r="H5" s="24"/>
      <c r="I5" s="26"/>
      <c r="J5" s="24"/>
      <c r="K5" s="27" t="str">
        <f aca="false">IFERROR(VLOOKUP($C5,MAP_SEC,2,0),"L_SECTION")</f>
        <v>L_SECTION</v>
      </c>
      <c r="L5" s="27" t="str">
        <f aca="false">IFERROR(VLOOKUP($C5&amp;"|"&amp;$D5,MAP_SUB,2,0),"L_SECTION")</f>
        <v>L_SECTION</v>
      </c>
    </row>
    <row r="6" customFormat="false" ht="15" hidden="false" customHeight="false" outlineLevel="0" collapsed="false">
      <c r="A6" s="5" t="str">
        <f aca="false">IF($C6="","",ROW()-4)</f>
        <v/>
      </c>
      <c r="B6" s="24"/>
      <c r="C6" s="24"/>
      <c r="D6" s="24"/>
      <c r="E6" s="24"/>
      <c r="F6" s="25" t="str">
        <f aca="false">IFERROR(INDEX('Element Library'!$C:$C,MATCH($C6&amp;"|"&amp;$D6&amp;"|"&amp;$E6,'Element Library'!$H:$H,0)),"")</f>
        <v/>
      </c>
      <c r="G6" s="5" t="str">
        <f aca="false">IFERROR(INDEX('Element Library'!$G:$G,MATCH($C6&amp;"|"&amp;$D6&amp;"|"&amp;$E6,'Element Library'!$H:$H,0)),"")</f>
        <v/>
      </c>
      <c r="H6" s="24"/>
      <c r="I6" s="26"/>
      <c r="J6" s="24"/>
      <c r="K6" s="27" t="str">
        <f aca="false">IFERROR(VLOOKUP($C6,MAP_SEC,2,0),"L_SECTION")</f>
        <v>L_SECTION</v>
      </c>
      <c r="L6" s="27" t="str">
        <f aca="false">IFERROR(VLOOKUP($C6&amp;"|"&amp;$D6,MAP_SUB,2,0),"L_SECTION")</f>
        <v>L_SECTION</v>
      </c>
    </row>
    <row r="7" customFormat="false" ht="15" hidden="false" customHeight="false" outlineLevel="0" collapsed="false">
      <c r="A7" s="5" t="str">
        <f aca="false">IF($C7="","",ROW()-4)</f>
        <v/>
      </c>
      <c r="B7" s="24"/>
      <c r="C7" s="24"/>
      <c r="D7" s="24"/>
      <c r="E7" s="24"/>
      <c r="F7" s="25" t="str">
        <f aca="false">IFERROR(INDEX('Element Library'!$C:$C,MATCH($C7&amp;"|"&amp;$D7&amp;"|"&amp;$E7,'Element Library'!$H:$H,0)),"")</f>
        <v/>
      </c>
      <c r="G7" s="5" t="str">
        <f aca="false">IFERROR(INDEX('Element Library'!$G:$G,MATCH($C7&amp;"|"&amp;$D7&amp;"|"&amp;$E7,'Element Library'!$H:$H,0)),"")</f>
        <v/>
      </c>
      <c r="H7" s="24"/>
      <c r="I7" s="26"/>
      <c r="J7" s="24"/>
      <c r="K7" s="27" t="str">
        <f aca="false">IFERROR(VLOOKUP($C7,MAP_SEC,2,0),"L_SECTION")</f>
        <v>L_SECTION</v>
      </c>
      <c r="L7" s="27" t="str">
        <f aca="false">IFERROR(VLOOKUP($C7&amp;"|"&amp;$D7,MAP_SUB,2,0),"L_SECTION")</f>
        <v>L_SECTION</v>
      </c>
    </row>
    <row r="8" customFormat="false" ht="15" hidden="false" customHeight="false" outlineLevel="0" collapsed="false">
      <c r="A8" s="5" t="str">
        <f aca="false">IF($C8="","",ROW()-4)</f>
        <v/>
      </c>
      <c r="B8" s="24"/>
      <c r="C8" s="24"/>
      <c r="D8" s="24"/>
      <c r="E8" s="24"/>
      <c r="F8" s="25" t="str">
        <f aca="false">IFERROR(INDEX('Element Library'!$C:$C,MATCH($C8&amp;"|"&amp;$D8&amp;"|"&amp;$E8,'Element Library'!$H:$H,0)),"")</f>
        <v/>
      </c>
      <c r="G8" s="5" t="str">
        <f aca="false">IFERROR(INDEX('Element Library'!$G:$G,MATCH($C8&amp;"|"&amp;$D8&amp;"|"&amp;$E8,'Element Library'!$H:$H,0)),"")</f>
        <v/>
      </c>
      <c r="H8" s="24"/>
      <c r="I8" s="26"/>
      <c r="J8" s="24"/>
      <c r="K8" s="27" t="str">
        <f aca="false">IFERROR(VLOOKUP($C8,MAP_SEC,2,0),"L_SECTION")</f>
        <v>L_SECTION</v>
      </c>
      <c r="L8" s="27" t="str">
        <f aca="false">IFERROR(VLOOKUP($C8&amp;"|"&amp;$D8,MAP_SUB,2,0),"L_SECTION")</f>
        <v>L_SECTION</v>
      </c>
    </row>
    <row r="9" customFormat="false" ht="15" hidden="false" customHeight="false" outlineLevel="0" collapsed="false">
      <c r="A9" s="5" t="str">
        <f aca="false">IF($C9="","",ROW()-4)</f>
        <v/>
      </c>
      <c r="B9" s="24"/>
      <c r="C9" s="24"/>
      <c r="D9" s="24"/>
      <c r="E9" s="24"/>
      <c r="F9" s="25" t="str">
        <f aca="false">IFERROR(INDEX('Element Library'!$C:$C,MATCH($C9&amp;"|"&amp;$D9&amp;"|"&amp;$E9,'Element Library'!$H:$H,0)),"")</f>
        <v/>
      </c>
      <c r="G9" s="5" t="str">
        <f aca="false">IFERROR(INDEX('Element Library'!$G:$G,MATCH($C9&amp;"|"&amp;$D9&amp;"|"&amp;$E9,'Element Library'!$H:$H,0)),"")</f>
        <v/>
      </c>
      <c r="H9" s="24"/>
      <c r="I9" s="26"/>
      <c r="J9" s="24"/>
      <c r="K9" s="27" t="str">
        <f aca="false">IFERROR(VLOOKUP($C9,MAP_SEC,2,0),"L_SECTION")</f>
        <v>L_SECTION</v>
      </c>
      <c r="L9" s="27" t="str">
        <f aca="false">IFERROR(VLOOKUP($C9&amp;"|"&amp;$D9,MAP_SUB,2,0),"L_SECTION")</f>
        <v>L_SECTION</v>
      </c>
    </row>
    <row r="10" customFormat="false" ht="15" hidden="false" customHeight="false" outlineLevel="0" collapsed="false">
      <c r="A10" s="5" t="str">
        <f aca="false">IF($C10="","",ROW()-4)</f>
        <v/>
      </c>
      <c r="B10" s="24"/>
      <c r="C10" s="24"/>
      <c r="D10" s="24"/>
      <c r="E10" s="24"/>
      <c r="F10" s="25" t="str">
        <f aca="false">IFERROR(INDEX('Element Library'!$C:$C,MATCH($C10&amp;"|"&amp;$D10&amp;"|"&amp;$E10,'Element Library'!$H:$H,0)),"")</f>
        <v/>
      </c>
      <c r="G10" s="5" t="str">
        <f aca="false">IFERROR(INDEX('Element Library'!$G:$G,MATCH($C10&amp;"|"&amp;$D10&amp;"|"&amp;$E10,'Element Library'!$H:$H,0)),"")</f>
        <v/>
      </c>
      <c r="H10" s="24"/>
      <c r="I10" s="26"/>
      <c r="J10" s="24"/>
      <c r="K10" s="27" t="str">
        <f aca="false">IFERROR(VLOOKUP($C10,MAP_SEC,2,0),"L_SECTION")</f>
        <v>L_SECTION</v>
      </c>
      <c r="L10" s="27" t="str">
        <f aca="false">IFERROR(VLOOKUP($C10&amp;"|"&amp;$D10,MAP_SUB,2,0),"L_SECTION")</f>
        <v>L_SECTION</v>
      </c>
    </row>
    <row r="11" customFormat="false" ht="15" hidden="false" customHeight="false" outlineLevel="0" collapsed="false">
      <c r="A11" s="5" t="str">
        <f aca="false">IF($C11="","",ROW()-4)</f>
        <v/>
      </c>
      <c r="B11" s="24"/>
      <c r="C11" s="24"/>
      <c r="D11" s="24"/>
      <c r="E11" s="24"/>
      <c r="F11" s="25" t="str">
        <f aca="false">IFERROR(INDEX('Element Library'!$C:$C,MATCH($C11&amp;"|"&amp;$D11&amp;"|"&amp;$E11,'Element Library'!$H:$H,0)),"")</f>
        <v/>
      </c>
      <c r="G11" s="5" t="str">
        <f aca="false">IFERROR(INDEX('Element Library'!$G:$G,MATCH($C11&amp;"|"&amp;$D11&amp;"|"&amp;$E11,'Element Library'!$H:$H,0)),"")</f>
        <v/>
      </c>
      <c r="H11" s="24"/>
      <c r="I11" s="26"/>
      <c r="J11" s="24"/>
      <c r="K11" s="27" t="str">
        <f aca="false">IFERROR(VLOOKUP($C11,MAP_SEC,2,0),"L_SECTION")</f>
        <v>L_SECTION</v>
      </c>
      <c r="L11" s="27" t="str">
        <f aca="false">IFERROR(VLOOKUP($C11&amp;"|"&amp;$D11,MAP_SUB,2,0),"L_SECTION")</f>
        <v>L_SECTION</v>
      </c>
    </row>
    <row r="12" customFormat="false" ht="15" hidden="false" customHeight="false" outlineLevel="0" collapsed="false">
      <c r="A12" s="5" t="str">
        <f aca="false">IF($C12="","",ROW()-4)</f>
        <v/>
      </c>
      <c r="B12" s="24"/>
      <c r="C12" s="24"/>
      <c r="D12" s="24"/>
      <c r="E12" s="24"/>
      <c r="F12" s="25" t="str">
        <f aca="false">IFERROR(INDEX('Element Library'!$C:$C,MATCH($C12&amp;"|"&amp;$D12&amp;"|"&amp;$E12,'Element Library'!$H:$H,0)),"")</f>
        <v/>
      </c>
      <c r="G12" s="5" t="str">
        <f aca="false">IFERROR(INDEX('Element Library'!$G:$G,MATCH($C12&amp;"|"&amp;$D12&amp;"|"&amp;$E12,'Element Library'!$H:$H,0)),"")</f>
        <v/>
      </c>
      <c r="H12" s="24"/>
      <c r="I12" s="26"/>
      <c r="J12" s="24"/>
      <c r="K12" s="27" t="str">
        <f aca="false">IFERROR(VLOOKUP($C12,MAP_SEC,2,0),"L_SECTION")</f>
        <v>L_SECTION</v>
      </c>
      <c r="L12" s="27" t="str">
        <f aca="false">IFERROR(VLOOKUP($C12&amp;"|"&amp;$D12,MAP_SUB,2,0),"L_SECTION")</f>
        <v>L_SECTION</v>
      </c>
    </row>
    <row r="13" customFormat="false" ht="15" hidden="false" customHeight="false" outlineLevel="0" collapsed="false">
      <c r="A13" s="5" t="str">
        <f aca="false">IF($C13="","",ROW()-4)</f>
        <v/>
      </c>
      <c r="B13" s="24"/>
      <c r="C13" s="24"/>
      <c r="D13" s="24"/>
      <c r="E13" s="24"/>
      <c r="F13" s="25" t="str">
        <f aca="false">IFERROR(INDEX('Element Library'!$C:$C,MATCH($C13&amp;"|"&amp;$D13&amp;"|"&amp;$E13,'Element Library'!$H:$H,0)),"")</f>
        <v/>
      </c>
      <c r="G13" s="5" t="str">
        <f aca="false">IFERROR(INDEX('Element Library'!$G:$G,MATCH($C13&amp;"|"&amp;$D13&amp;"|"&amp;$E13,'Element Library'!$H:$H,0)),"")</f>
        <v/>
      </c>
      <c r="H13" s="24"/>
      <c r="I13" s="26"/>
      <c r="J13" s="24"/>
      <c r="K13" s="27" t="str">
        <f aca="false">IFERROR(VLOOKUP($C13,MAP_SEC,2,0),"L_SECTION")</f>
        <v>L_SECTION</v>
      </c>
      <c r="L13" s="27" t="str">
        <f aca="false">IFERROR(VLOOKUP($C13&amp;"|"&amp;$D13,MAP_SUB,2,0),"L_SECTION")</f>
        <v>L_SECTION</v>
      </c>
    </row>
    <row r="14" customFormat="false" ht="15" hidden="false" customHeight="false" outlineLevel="0" collapsed="false">
      <c r="A14" s="5" t="str">
        <f aca="false">IF($C14="","",ROW()-4)</f>
        <v/>
      </c>
      <c r="B14" s="24"/>
      <c r="C14" s="24"/>
      <c r="D14" s="24"/>
      <c r="E14" s="24"/>
      <c r="F14" s="25" t="str">
        <f aca="false">IFERROR(INDEX('Element Library'!$C:$C,MATCH($C14&amp;"|"&amp;$D14&amp;"|"&amp;$E14,'Element Library'!$H:$H,0)),"")</f>
        <v/>
      </c>
      <c r="G14" s="5" t="str">
        <f aca="false">IFERROR(INDEX('Element Library'!$G:$G,MATCH($C14&amp;"|"&amp;$D14&amp;"|"&amp;$E14,'Element Library'!$H:$H,0)),"")</f>
        <v/>
      </c>
      <c r="H14" s="24"/>
      <c r="I14" s="26"/>
      <c r="J14" s="24"/>
      <c r="K14" s="27" t="str">
        <f aca="false">IFERROR(VLOOKUP($C14,MAP_SEC,2,0),"L_SECTION")</f>
        <v>L_SECTION</v>
      </c>
      <c r="L14" s="27" t="str">
        <f aca="false">IFERROR(VLOOKUP($C14&amp;"|"&amp;$D14,MAP_SUB,2,0),"L_SECTION")</f>
        <v>L_SECTION</v>
      </c>
    </row>
    <row r="15" customFormat="false" ht="15" hidden="false" customHeight="false" outlineLevel="0" collapsed="false">
      <c r="A15" s="5" t="str">
        <f aca="false">IF($C15="","",ROW()-4)</f>
        <v/>
      </c>
      <c r="B15" s="24"/>
      <c r="C15" s="24"/>
      <c r="D15" s="24"/>
      <c r="E15" s="24"/>
      <c r="F15" s="25" t="str">
        <f aca="false">IFERROR(INDEX('Element Library'!$C:$C,MATCH($C15&amp;"|"&amp;$D15&amp;"|"&amp;$E15,'Element Library'!$H:$H,0)),"")</f>
        <v/>
      </c>
      <c r="G15" s="5" t="str">
        <f aca="false">IFERROR(INDEX('Element Library'!$G:$G,MATCH($C15&amp;"|"&amp;$D15&amp;"|"&amp;$E15,'Element Library'!$H:$H,0)),"")</f>
        <v/>
      </c>
      <c r="H15" s="24"/>
      <c r="I15" s="26"/>
      <c r="J15" s="24"/>
      <c r="K15" s="27" t="str">
        <f aca="false">IFERROR(VLOOKUP($C15,MAP_SEC,2,0),"L_SECTION")</f>
        <v>L_SECTION</v>
      </c>
      <c r="L15" s="27" t="str">
        <f aca="false">IFERROR(VLOOKUP($C15&amp;"|"&amp;$D15,MAP_SUB,2,0),"L_SECTION")</f>
        <v>L_SECTION</v>
      </c>
    </row>
    <row r="16" customFormat="false" ht="15" hidden="false" customHeight="false" outlineLevel="0" collapsed="false">
      <c r="A16" s="5" t="str">
        <f aca="false">IF($C16="","",ROW()-4)</f>
        <v/>
      </c>
      <c r="B16" s="24"/>
      <c r="C16" s="24"/>
      <c r="D16" s="24"/>
      <c r="E16" s="24"/>
      <c r="F16" s="25" t="str">
        <f aca="false">IFERROR(INDEX('Element Library'!$C:$C,MATCH($C16&amp;"|"&amp;$D16&amp;"|"&amp;$E16,'Element Library'!$H:$H,0)),"")</f>
        <v/>
      </c>
      <c r="G16" s="5" t="str">
        <f aca="false">IFERROR(INDEX('Element Library'!$G:$G,MATCH($C16&amp;"|"&amp;$D16&amp;"|"&amp;$E16,'Element Library'!$H:$H,0)),"")</f>
        <v/>
      </c>
      <c r="H16" s="24"/>
      <c r="I16" s="26"/>
      <c r="J16" s="24"/>
      <c r="K16" s="27" t="str">
        <f aca="false">IFERROR(VLOOKUP($C16,MAP_SEC,2,0),"L_SECTION")</f>
        <v>L_SECTION</v>
      </c>
      <c r="L16" s="27" t="str">
        <f aca="false">IFERROR(VLOOKUP($C16&amp;"|"&amp;$D16,MAP_SUB,2,0),"L_SECTION")</f>
        <v>L_SECTION</v>
      </c>
    </row>
    <row r="17" customFormat="false" ht="15" hidden="false" customHeight="false" outlineLevel="0" collapsed="false">
      <c r="A17" s="5" t="str">
        <f aca="false">IF($C17="","",ROW()-4)</f>
        <v/>
      </c>
      <c r="B17" s="24"/>
      <c r="C17" s="24"/>
      <c r="D17" s="24"/>
      <c r="E17" s="24"/>
      <c r="F17" s="25" t="str">
        <f aca="false">IFERROR(INDEX('Element Library'!$C:$C,MATCH($C17&amp;"|"&amp;$D17&amp;"|"&amp;$E17,'Element Library'!$H:$H,0)),"")</f>
        <v/>
      </c>
      <c r="G17" s="5" t="str">
        <f aca="false">IFERROR(INDEX('Element Library'!$G:$G,MATCH($C17&amp;"|"&amp;$D17&amp;"|"&amp;$E17,'Element Library'!$H:$H,0)),"")</f>
        <v/>
      </c>
      <c r="H17" s="24"/>
      <c r="I17" s="26"/>
      <c r="J17" s="24"/>
      <c r="K17" s="27" t="str">
        <f aca="false">IFERROR(VLOOKUP($C17,MAP_SEC,2,0),"L_SECTION")</f>
        <v>L_SECTION</v>
      </c>
      <c r="L17" s="27" t="str">
        <f aca="false">IFERROR(VLOOKUP($C17&amp;"|"&amp;$D17,MAP_SUB,2,0),"L_SECTION")</f>
        <v>L_SECTION</v>
      </c>
    </row>
    <row r="18" customFormat="false" ht="15" hidden="false" customHeight="false" outlineLevel="0" collapsed="false">
      <c r="A18" s="5" t="str">
        <f aca="false">IF($C18="","",ROW()-4)</f>
        <v/>
      </c>
      <c r="B18" s="24"/>
      <c r="C18" s="24"/>
      <c r="D18" s="24"/>
      <c r="E18" s="24"/>
      <c r="F18" s="25" t="str">
        <f aca="false">IFERROR(INDEX('Element Library'!$C:$C,MATCH($C18&amp;"|"&amp;$D18&amp;"|"&amp;$E18,'Element Library'!$H:$H,0)),"")</f>
        <v/>
      </c>
      <c r="G18" s="5" t="str">
        <f aca="false">IFERROR(INDEX('Element Library'!$G:$G,MATCH($C18&amp;"|"&amp;$D18&amp;"|"&amp;$E18,'Element Library'!$H:$H,0)),"")</f>
        <v/>
      </c>
      <c r="H18" s="24"/>
      <c r="I18" s="26"/>
      <c r="J18" s="24"/>
      <c r="K18" s="27" t="str">
        <f aca="false">IFERROR(VLOOKUP($C18,MAP_SEC,2,0),"L_SECTION")</f>
        <v>L_SECTION</v>
      </c>
      <c r="L18" s="27" t="str">
        <f aca="false">IFERROR(VLOOKUP($C18&amp;"|"&amp;$D18,MAP_SUB,2,0),"L_SECTION")</f>
        <v>L_SECTION</v>
      </c>
    </row>
    <row r="19" customFormat="false" ht="15" hidden="false" customHeight="false" outlineLevel="0" collapsed="false">
      <c r="A19" s="5" t="str">
        <f aca="false">IF($C19="","",ROW()-4)</f>
        <v/>
      </c>
      <c r="B19" s="24"/>
      <c r="C19" s="24"/>
      <c r="D19" s="24"/>
      <c r="E19" s="24"/>
      <c r="F19" s="25" t="str">
        <f aca="false">IFERROR(INDEX('Element Library'!$C:$C,MATCH($C19&amp;"|"&amp;$D19&amp;"|"&amp;$E19,'Element Library'!$H:$H,0)),"")</f>
        <v/>
      </c>
      <c r="G19" s="5" t="str">
        <f aca="false">IFERROR(INDEX('Element Library'!$G:$G,MATCH($C19&amp;"|"&amp;$D19&amp;"|"&amp;$E19,'Element Library'!$H:$H,0)),"")</f>
        <v/>
      </c>
      <c r="H19" s="24"/>
      <c r="I19" s="26"/>
      <c r="J19" s="24"/>
      <c r="K19" s="27" t="str">
        <f aca="false">IFERROR(VLOOKUP($C19,MAP_SEC,2,0),"L_SECTION")</f>
        <v>L_SECTION</v>
      </c>
      <c r="L19" s="27" t="str">
        <f aca="false">IFERROR(VLOOKUP($C19&amp;"|"&amp;$D19,MAP_SUB,2,0),"L_SECTION")</f>
        <v>L_SECTION</v>
      </c>
    </row>
    <row r="20" customFormat="false" ht="15" hidden="false" customHeight="false" outlineLevel="0" collapsed="false">
      <c r="A20" s="5" t="str">
        <f aca="false">IF($C20="","",ROW()-4)</f>
        <v/>
      </c>
      <c r="B20" s="24"/>
      <c r="C20" s="24"/>
      <c r="D20" s="24"/>
      <c r="E20" s="24"/>
      <c r="F20" s="25" t="str">
        <f aca="false">IFERROR(INDEX('Element Library'!$C:$C,MATCH($C20&amp;"|"&amp;$D20&amp;"|"&amp;$E20,'Element Library'!$H:$H,0)),"")</f>
        <v/>
      </c>
      <c r="G20" s="5" t="str">
        <f aca="false">IFERROR(INDEX('Element Library'!$G:$G,MATCH($C20&amp;"|"&amp;$D20&amp;"|"&amp;$E20,'Element Library'!$H:$H,0)),"")</f>
        <v/>
      </c>
      <c r="H20" s="24"/>
      <c r="I20" s="26"/>
      <c r="J20" s="24"/>
      <c r="K20" s="27" t="str">
        <f aca="false">IFERROR(VLOOKUP($C20,MAP_SEC,2,0),"L_SECTION")</f>
        <v>L_SECTION</v>
      </c>
      <c r="L20" s="27" t="str">
        <f aca="false">IFERROR(VLOOKUP($C20&amp;"|"&amp;$D20,MAP_SUB,2,0),"L_SECTION")</f>
        <v>L_SECTION</v>
      </c>
    </row>
    <row r="21" customFormat="false" ht="15" hidden="false" customHeight="false" outlineLevel="0" collapsed="false">
      <c r="A21" s="5" t="str">
        <f aca="false">IF($C21="","",ROW()-4)</f>
        <v/>
      </c>
      <c r="B21" s="24"/>
      <c r="C21" s="24"/>
      <c r="D21" s="24"/>
      <c r="E21" s="24"/>
      <c r="F21" s="25" t="str">
        <f aca="false">IFERROR(INDEX('Element Library'!$C:$C,MATCH($C21&amp;"|"&amp;$D21&amp;"|"&amp;$E21,'Element Library'!$H:$H,0)),"")</f>
        <v/>
      </c>
      <c r="G21" s="5" t="str">
        <f aca="false">IFERROR(INDEX('Element Library'!$G:$G,MATCH($C21&amp;"|"&amp;$D21&amp;"|"&amp;$E21,'Element Library'!$H:$H,0)),"")</f>
        <v/>
      </c>
      <c r="H21" s="24"/>
      <c r="I21" s="26"/>
      <c r="J21" s="24"/>
      <c r="K21" s="27" t="str">
        <f aca="false">IFERROR(VLOOKUP($C21,MAP_SEC,2,0),"L_SECTION")</f>
        <v>L_SECTION</v>
      </c>
      <c r="L21" s="27" t="str">
        <f aca="false">IFERROR(VLOOKUP($C21&amp;"|"&amp;$D21,MAP_SUB,2,0),"L_SECTION")</f>
        <v>L_SECTION</v>
      </c>
    </row>
    <row r="22" customFormat="false" ht="15" hidden="false" customHeight="false" outlineLevel="0" collapsed="false">
      <c r="A22" s="5" t="str">
        <f aca="false">IF($C22="","",ROW()-4)</f>
        <v/>
      </c>
      <c r="B22" s="24"/>
      <c r="C22" s="24"/>
      <c r="D22" s="24"/>
      <c r="E22" s="24"/>
      <c r="F22" s="25" t="str">
        <f aca="false">IFERROR(INDEX('Element Library'!$C:$C,MATCH($C22&amp;"|"&amp;$D22&amp;"|"&amp;$E22,'Element Library'!$H:$H,0)),"")</f>
        <v/>
      </c>
      <c r="G22" s="5" t="str">
        <f aca="false">IFERROR(INDEX('Element Library'!$G:$G,MATCH($C22&amp;"|"&amp;$D22&amp;"|"&amp;$E22,'Element Library'!$H:$H,0)),"")</f>
        <v/>
      </c>
      <c r="H22" s="24"/>
      <c r="I22" s="26"/>
      <c r="J22" s="24"/>
      <c r="K22" s="27" t="str">
        <f aca="false">IFERROR(VLOOKUP($C22,MAP_SEC,2,0),"L_SECTION")</f>
        <v>L_SECTION</v>
      </c>
      <c r="L22" s="27" t="str">
        <f aca="false">IFERROR(VLOOKUP($C22&amp;"|"&amp;$D22,MAP_SUB,2,0),"L_SECTION")</f>
        <v>L_SECTION</v>
      </c>
    </row>
    <row r="23" customFormat="false" ht="15" hidden="false" customHeight="false" outlineLevel="0" collapsed="false">
      <c r="A23" s="5" t="str">
        <f aca="false">IF($C23="","",ROW()-4)</f>
        <v/>
      </c>
      <c r="B23" s="24"/>
      <c r="C23" s="24"/>
      <c r="D23" s="24"/>
      <c r="E23" s="24"/>
      <c r="F23" s="25" t="str">
        <f aca="false">IFERROR(INDEX('Element Library'!$C:$C,MATCH($C23&amp;"|"&amp;$D23&amp;"|"&amp;$E23,'Element Library'!$H:$H,0)),"")</f>
        <v/>
      </c>
      <c r="G23" s="5" t="str">
        <f aca="false">IFERROR(INDEX('Element Library'!$G:$G,MATCH($C23&amp;"|"&amp;$D23&amp;"|"&amp;$E23,'Element Library'!$H:$H,0)),"")</f>
        <v/>
      </c>
      <c r="H23" s="24"/>
      <c r="I23" s="26"/>
      <c r="J23" s="24"/>
      <c r="K23" s="27" t="str">
        <f aca="false">IFERROR(VLOOKUP($C23,MAP_SEC,2,0),"L_SECTION")</f>
        <v>L_SECTION</v>
      </c>
      <c r="L23" s="27" t="str">
        <f aca="false">IFERROR(VLOOKUP($C23&amp;"|"&amp;$D23,MAP_SUB,2,0),"L_SECTION")</f>
        <v>L_SECTION</v>
      </c>
    </row>
    <row r="24" customFormat="false" ht="15" hidden="false" customHeight="false" outlineLevel="0" collapsed="false">
      <c r="A24" s="5" t="str">
        <f aca="false">IF($C24="","",ROW()-4)</f>
        <v/>
      </c>
      <c r="B24" s="24"/>
      <c r="C24" s="24"/>
      <c r="D24" s="24"/>
      <c r="E24" s="24"/>
      <c r="F24" s="25" t="str">
        <f aca="false">IFERROR(INDEX('Element Library'!$C:$C,MATCH($C24&amp;"|"&amp;$D24&amp;"|"&amp;$E24,'Element Library'!$H:$H,0)),"")</f>
        <v/>
      </c>
      <c r="G24" s="5" t="str">
        <f aca="false">IFERROR(INDEX('Element Library'!$G:$G,MATCH($C24&amp;"|"&amp;$D24&amp;"|"&amp;$E24,'Element Library'!$H:$H,0)),"")</f>
        <v/>
      </c>
      <c r="H24" s="24"/>
      <c r="I24" s="26"/>
      <c r="J24" s="24"/>
      <c r="K24" s="27" t="str">
        <f aca="false">IFERROR(VLOOKUP($C24,MAP_SEC,2,0),"L_SECTION")</f>
        <v>L_SECTION</v>
      </c>
      <c r="L24" s="27" t="str">
        <f aca="false">IFERROR(VLOOKUP($C24&amp;"|"&amp;$D24,MAP_SUB,2,0),"L_SECTION")</f>
        <v>L_SECTION</v>
      </c>
    </row>
    <row r="25" customFormat="false" ht="15" hidden="false" customHeight="false" outlineLevel="0" collapsed="false">
      <c r="A25" s="5" t="str">
        <f aca="false">IF($C25="","",ROW()-4)</f>
        <v/>
      </c>
      <c r="B25" s="24"/>
      <c r="C25" s="24"/>
      <c r="D25" s="24"/>
      <c r="E25" s="24"/>
      <c r="F25" s="25" t="str">
        <f aca="false">IFERROR(INDEX('Element Library'!$C:$C,MATCH($C25&amp;"|"&amp;$D25&amp;"|"&amp;$E25,'Element Library'!$H:$H,0)),"")</f>
        <v/>
      </c>
      <c r="G25" s="5" t="str">
        <f aca="false">IFERROR(INDEX('Element Library'!$G:$G,MATCH($C25&amp;"|"&amp;$D25&amp;"|"&amp;$E25,'Element Library'!$H:$H,0)),"")</f>
        <v/>
      </c>
      <c r="H25" s="24"/>
      <c r="I25" s="26"/>
      <c r="J25" s="24"/>
      <c r="K25" s="27" t="str">
        <f aca="false">IFERROR(VLOOKUP($C25,MAP_SEC,2,0),"L_SECTION")</f>
        <v>L_SECTION</v>
      </c>
      <c r="L25" s="27" t="str">
        <f aca="false">IFERROR(VLOOKUP($C25&amp;"|"&amp;$D25,MAP_SUB,2,0),"L_SECTION")</f>
        <v>L_SECTION</v>
      </c>
    </row>
    <row r="26" customFormat="false" ht="15" hidden="false" customHeight="false" outlineLevel="0" collapsed="false">
      <c r="A26" s="5" t="str">
        <f aca="false">IF($C26="","",ROW()-4)</f>
        <v/>
      </c>
      <c r="B26" s="24"/>
      <c r="C26" s="24"/>
      <c r="D26" s="24"/>
      <c r="E26" s="24"/>
      <c r="F26" s="25" t="str">
        <f aca="false">IFERROR(INDEX('Element Library'!$C:$C,MATCH($C26&amp;"|"&amp;$D26&amp;"|"&amp;$E26,'Element Library'!$H:$H,0)),"")</f>
        <v/>
      </c>
      <c r="G26" s="5" t="str">
        <f aca="false">IFERROR(INDEX('Element Library'!$G:$G,MATCH($C26&amp;"|"&amp;$D26&amp;"|"&amp;$E26,'Element Library'!$H:$H,0)),"")</f>
        <v/>
      </c>
      <c r="H26" s="24"/>
      <c r="I26" s="26"/>
      <c r="J26" s="24"/>
      <c r="K26" s="27" t="str">
        <f aca="false">IFERROR(VLOOKUP($C26,MAP_SEC,2,0),"L_SECTION")</f>
        <v>L_SECTION</v>
      </c>
      <c r="L26" s="27" t="str">
        <f aca="false">IFERROR(VLOOKUP($C26&amp;"|"&amp;$D26,MAP_SUB,2,0),"L_SECTION")</f>
        <v>L_SECTION</v>
      </c>
    </row>
    <row r="27" customFormat="false" ht="15" hidden="false" customHeight="false" outlineLevel="0" collapsed="false">
      <c r="A27" s="5" t="str">
        <f aca="false">IF($C27="","",ROW()-4)</f>
        <v/>
      </c>
      <c r="B27" s="24"/>
      <c r="C27" s="24"/>
      <c r="D27" s="24"/>
      <c r="E27" s="24"/>
      <c r="F27" s="25" t="str">
        <f aca="false">IFERROR(INDEX('Element Library'!$C:$C,MATCH($C27&amp;"|"&amp;$D27&amp;"|"&amp;$E27,'Element Library'!$H:$H,0)),"")</f>
        <v/>
      </c>
      <c r="G27" s="5" t="str">
        <f aca="false">IFERROR(INDEX('Element Library'!$G:$G,MATCH($C27&amp;"|"&amp;$D27&amp;"|"&amp;$E27,'Element Library'!$H:$H,0)),"")</f>
        <v/>
      </c>
      <c r="H27" s="24"/>
      <c r="I27" s="26"/>
      <c r="J27" s="24"/>
      <c r="K27" s="27" t="str">
        <f aca="false">IFERROR(VLOOKUP($C27,MAP_SEC,2,0),"L_SECTION")</f>
        <v>L_SECTION</v>
      </c>
      <c r="L27" s="27" t="str">
        <f aca="false">IFERROR(VLOOKUP($C27&amp;"|"&amp;$D27,MAP_SUB,2,0),"L_SECTION")</f>
        <v>L_SECTION</v>
      </c>
    </row>
    <row r="28" customFormat="false" ht="15" hidden="false" customHeight="false" outlineLevel="0" collapsed="false">
      <c r="A28" s="5" t="str">
        <f aca="false">IF($C28="","",ROW()-4)</f>
        <v/>
      </c>
      <c r="B28" s="24"/>
      <c r="C28" s="24"/>
      <c r="D28" s="24"/>
      <c r="E28" s="24"/>
      <c r="F28" s="25" t="str">
        <f aca="false">IFERROR(INDEX('Element Library'!$C:$C,MATCH($C28&amp;"|"&amp;$D28&amp;"|"&amp;$E28,'Element Library'!$H:$H,0)),"")</f>
        <v/>
      </c>
      <c r="G28" s="5" t="str">
        <f aca="false">IFERROR(INDEX('Element Library'!$G:$G,MATCH($C28&amp;"|"&amp;$D28&amp;"|"&amp;$E28,'Element Library'!$H:$H,0)),"")</f>
        <v/>
      </c>
      <c r="H28" s="24"/>
      <c r="I28" s="26"/>
      <c r="J28" s="24"/>
      <c r="K28" s="27" t="str">
        <f aca="false">IFERROR(VLOOKUP($C28,MAP_SEC,2,0),"L_SECTION")</f>
        <v>L_SECTION</v>
      </c>
      <c r="L28" s="27" t="str">
        <f aca="false">IFERROR(VLOOKUP($C28&amp;"|"&amp;$D28,MAP_SUB,2,0),"L_SECTION")</f>
        <v>L_SECTION</v>
      </c>
    </row>
    <row r="29" customFormat="false" ht="15" hidden="false" customHeight="false" outlineLevel="0" collapsed="false">
      <c r="A29" s="5" t="str">
        <f aca="false">IF($C29="","",ROW()-4)</f>
        <v/>
      </c>
      <c r="B29" s="24"/>
      <c r="C29" s="24"/>
      <c r="D29" s="24"/>
      <c r="E29" s="24"/>
      <c r="F29" s="25" t="str">
        <f aca="false">IFERROR(INDEX('Element Library'!$C:$C,MATCH($C29&amp;"|"&amp;$D29&amp;"|"&amp;$E29,'Element Library'!$H:$H,0)),"")</f>
        <v/>
      </c>
      <c r="G29" s="5" t="str">
        <f aca="false">IFERROR(INDEX('Element Library'!$G:$G,MATCH($C29&amp;"|"&amp;$D29&amp;"|"&amp;$E29,'Element Library'!$H:$H,0)),"")</f>
        <v/>
      </c>
      <c r="H29" s="24"/>
      <c r="I29" s="26"/>
      <c r="J29" s="24"/>
      <c r="K29" s="27" t="str">
        <f aca="false">IFERROR(VLOOKUP($C29,MAP_SEC,2,0),"L_SECTION")</f>
        <v>L_SECTION</v>
      </c>
      <c r="L29" s="27" t="str">
        <f aca="false">IFERROR(VLOOKUP($C29&amp;"|"&amp;$D29,MAP_SUB,2,0),"L_SECTION")</f>
        <v>L_SECTION</v>
      </c>
    </row>
    <row r="30" customFormat="false" ht="15" hidden="false" customHeight="false" outlineLevel="0" collapsed="false">
      <c r="A30" s="5" t="str">
        <f aca="false">IF($C30="","",ROW()-4)</f>
        <v/>
      </c>
      <c r="B30" s="24"/>
      <c r="C30" s="24"/>
      <c r="D30" s="24"/>
      <c r="E30" s="24"/>
      <c r="F30" s="25" t="str">
        <f aca="false">IFERROR(INDEX('Element Library'!$C:$C,MATCH($C30&amp;"|"&amp;$D30&amp;"|"&amp;$E30,'Element Library'!$H:$H,0)),"")</f>
        <v/>
      </c>
      <c r="G30" s="5" t="str">
        <f aca="false">IFERROR(INDEX('Element Library'!$G:$G,MATCH($C30&amp;"|"&amp;$D30&amp;"|"&amp;$E30,'Element Library'!$H:$H,0)),"")</f>
        <v/>
      </c>
      <c r="H30" s="24"/>
      <c r="I30" s="26"/>
      <c r="J30" s="24"/>
      <c r="K30" s="27" t="str">
        <f aca="false">IFERROR(VLOOKUP($C30,MAP_SEC,2,0),"L_SECTION")</f>
        <v>L_SECTION</v>
      </c>
      <c r="L30" s="27" t="str">
        <f aca="false">IFERROR(VLOOKUP($C30&amp;"|"&amp;$D30,MAP_SUB,2,0),"L_SECTION")</f>
        <v>L_SECTION</v>
      </c>
    </row>
    <row r="31" customFormat="false" ht="15" hidden="false" customHeight="false" outlineLevel="0" collapsed="false">
      <c r="A31" s="5" t="str">
        <f aca="false">IF($C31="","",ROW()-4)</f>
        <v/>
      </c>
      <c r="B31" s="24"/>
      <c r="C31" s="24"/>
      <c r="D31" s="24"/>
      <c r="E31" s="24"/>
      <c r="F31" s="25" t="str">
        <f aca="false">IFERROR(INDEX('Element Library'!$C:$C,MATCH($C31&amp;"|"&amp;$D31&amp;"|"&amp;$E31,'Element Library'!$H:$H,0)),"")</f>
        <v/>
      </c>
      <c r="G31" s="5" t="str">
        <f aca="false">IFERROR(INDEX('Element Library'!$G:$G,MATCH($C31&amp;"|"&amp;$D31&amp;"|"&amp;$E31,'Element Library'!$H:$H,0)),"")</f>
        <v/>
      </c>
      <c r="H31" s="24"/>
      <c r="I31" s="26"/>
      <c r="J31" s="24"/>
      <c r="K31" s="27" t="str">
        <f aca="false">IFERROR(VLOOKUP($C31,MAP_SEC,2,0),"L_SECTION")</f>
        <v>L_SECTION</v>
      </c>
      <c r="L31" s="27" t="str">
        <f aca="false">IFERROR(VLOOKUP($C31&amp;"|"&amp;$D31,MAP_SUB,2,0),"L_SECTION")</f>
        <v>L_SECTION</v>
      </c>
    </row>
    <row r="32" customFormat="false" ht="15" hidden="false" customHeight="false" outlineLevel="0" collapsed="false">
      <c r="A32" s="5" t="str">
        <f aca="false">IF($C32="","",ROW()-4)</f>
        <v/>
      </c>
      <c r="B32" s="24"/>
      <c r="C32" s="24"/>
      <c r="D32" s="24"/>
      <c r="E32" s="24"/>
      <c r="F32" s="25" t="str">
        <f aca="false">IFERROR(INDEX('Element Library'!$C:$C,MATCH($C32&amp;"|"&amp;$D32&amp;"|"&amp;$E32,'Element Library'!$H:$H,0)),"")</f>
        <v/>
      </c>
      <c r="G32" s="5" t="str">
        <f aca="false">IFERROR(INDEX('Element Library'!$G:$G,MATCH($C32&amp;"|"&amp;$D32&amp;"|"&amp;$E32,'Element Library'!$H:$H,0)),"")</f>
        <v/>
      </c>
      <c r="H32" s="24"/>
      <c r="I32" s="26"/>
      <c r="J32" s="24"/>
      <c r="K32" s="27" t="str">
        <f aca="false">IFERROR(VLOOKUP($C32,MAP_SEC,2,0),"L_SECTION")</f>
        <v>L_SECTION</v>
      </c>
      <c r="L32" s="27" t="str">
        <f aca="false">IFERROR(VLOOKUP($C32&amp;"|"&amp;$D32,MAP_SUB,2,0),"L_SECTION")</f>
        <v>L_SECTION</v>
      </c>
    </row>
    <row r="33" customFormat="false" ht="15" hidden="false" customHeight="false" outlineLevel="0" collapsed="false">
      <c r="A33" s="5" t="str">
        <f aca="false">IF($C33="","",ROW()-4)</f>
        <v/>
      </c>
      <c r="B33" s="24"/>
      <c r="C33" s="24"/>
      <c r="D33" s="24"/>
      <c r="E33" s="24"/>
      <c r="F33" s="25" t="str">
        <f aca="false">IFERROR(INDEX('Element Library'!$C:$C,MATCH($C33&amp;"|"&amp;$D33&amp;"|"&amp;$E33,'Element Library'!$H:$H,0)),"")</f>
        <v/>
      </c>
      <c r="G33" s="5" t="str">
        <f aca="false">IFERROR(INDEX('Element Library'!$G:$G,MATCH($C33&amp;"|"&amp;$D33&amp;"|"&amp;$E33,'Element Library'!$H:$H,0)),"")</f>
        <v/>
      </c>
      <c r="H33" s="24"/>
      <c r="I33" s="26"/>
      <c r="J33" s="24"/>
      <c r="K33" s="27" t="str">
        <f aca="false">IFERROR(VLOOKUP($C33,MAP_SEC,2,0),"L_SECTION")</f>
        <v>L_SECTION</v>
      </c>
      <c r="L33" s="27" t="str">
        <f aca="false">IFERROR(VLOOKUP($C33&amp;"|"&amp;$D33,MAP_SUB,2,0),"L_SECTION")</f>
        <v>L_SECTION</v>
      </c>
    </row>
    <row r="34" customFormat="false" ht="15" hidden="false" customHeight="false" outlineLevel="0" collapsed="false">
      <c r="A34" s="5" t="str">
        <f aca="false">IF($C34="","",ROW()-4)</f>
        <v/>
      </c>
      <c r="B34" s="24"/>
      <c r="C34" s="24"/>
      <c r="D34" s="24"/>
      <c r="E34" s="24"/>
      <c r="F34" s="25" t="str">
        <f aca="false">IFERROR(INDEX('Element Library'!$C:$C,MATCH($C34&amp;"|"&amp;$D34&amp;"|"&amp;$E34,'Element Library'!$H:$H,0)),"")</f>
        <v/>
      </c>
      <c r="G34" s="5" t="str">
        <f aca="false">IFERROR(INDEX('Element Library'!$G:$G,MATCH($C34&amp;"|"&amp;$D34&amp;"|"&amp;$E34,'Element Library'!$H:$H,0)),"")</f>
        <v/>
      </c>
      <c r="H34" s="24"/>
      <c r="I34" s="26"/>
      <c r="J34" s="24"/>
      <c r="K34" s="27" t="str">
        <f aca="false">IFERROR(VLOOKUP($C34,MAP_SEC,2,0),"L_SECTION")</f>
        <v>L_SECTION</v>
      </c>
      <c r="L34" s="27" t="str">
        <f aca="false">IFERROR(VLOOKUP($C34&amp;"|"&amp;$D34,MAP_SUB,2,0),"L_SECTION")</f>
        <v>L_SECTION</v>
      </c>
    </row>
    <row r="35" customFormat="false" ht="15" hidden="false" customHeight="false" outlineLevel="0" collapsed="false">
      <c r="A35" s="5" t="str">
        <f aca="false">IF($C35="","",ROW()-4)</f>
        <v/>
      </c>
      <c r="B35" s="24"/>
      <c r="C35" s="24"/>
      <c r="D35" s="24"/>
      <c r="E35" s="24"/>
      <c r="F35" s="25" t="str">
        <f aca="false">IFERROR(INDEX('Element Library'!$C:$C,MATCH($C35&amp;"|"&amp;$D35&amp;"|"&amp;$E35,'Element Library'!$H:$H,0)),"")</f>
        <v/>
      </c>
      <c r="G35" s="5" t="str">
        <f aca="false">IFERROR(INDEX('Element Library'!$G:$G,MATCH($C35&amp;"|"&amp;$D35&amp;"|"&amp;$E35,'Element Library'!$H:$H,0)),"")</f>
        <v/>
      </c>
      <c r="H35" s="24"/>
      <c r="I35" s="26"/>
      <c r="J35" s="24"/>
      <c r="K35" s="27" t="str">
        <f aca="false">IFERROR(VLOOKUP($C35,MAP_SEC,2,0),"L_SECTION")</f>
        <v>L_SECTION</v>
      </c>
      <c r="L35" s="27" t="str">
        <f aca="false">IFERROR(VLOOKUP($C35&amp;"|"&amp;$D35,MAP_SUB,2,0),"L_SECTION")</f>
        <v>L_SECTION</v>
      </c>
    </row>
    <row r="36" customFormat="false" ht="15" hidden="false" customHeight="false" outlineLevel="0" collapsed="false">
      <c r="A36" s="5" t="str">
        <f aca="false">IF($C36="","",ROW()-4)</f>
        <v/>
      </c>
      <c r="B36" s="24"/>
      <c r="C36" s="24"/>
      <c r="D36" s="24"/>
      <c r="E36" s="24"/>
      <c r="F36" s="25" t="str">
        <f aca="false">IFERROR(INDEX('Element Library'!$C:$C,MATCH($C36&amp;"|"&amp;$D36&amp;"|"&amp;$E36,'Element Library'!$H:$H,0)),"")</f>
        <v/>
      </c>
      <c r="G36" s="5" t="str">
        <f aca="false">IFERROR(INDEX('Element Library'!$G:$G,MATCH($C36&amp;"|"&amp;$D36&amp;"|"&amp;$E36,'Element Library'!$H:$H,0)),"")</f>
        <v/>
      </c>
      <c r="H36" s="24"/>
      <c r="I36" s="26"/>
      <c r="J36" s="24"/>
      <c r="K36" s="27" t="str">
        <f aca="false">IFERROR(VLOOKUP($C36,MAP_SEC,2,0),"L_SECTION")</f>
        <v>L_SECTION</v>
      </c>
      <c r="L36" s="27" t="str">
        <f aca="false">IFERROR(VLOOKUP($C36&amp;"|"&amp;$D36,MAP_SUB,2,0),"L_SECTION")</f>
        <v>L_SECTION</v>
      </c>
    </row>
    <row r="37" customFormat="false" ht="15" hidden="false" customHeight="false" outlineLevel="0" collapsed="false">
      <c r="A37" s="5" t="str">
        <f aca="false">IF($C37="","",ROW()-4)</f>
        <v/>
      </c>
      <c r="B37" s="24"/>
      <c r="C37" s="24"/>
      <c r="D37" s="24"/>
      <c r="E37" s="24"/>
      <c r="F37" s="25" t="str">
        <f aca="false">IFERROR(INDEX('Element Library'!$C:$C,MATCH($C37&amp;"|"&amp;$D37&amp;"|"&amp;$E37,'Element Library'!$H:$H,0)),"")</f>
        <v/>
      </c>
      <c r="G37" s="5" t="str">
        <f aca="false">IFERROR(INDEX('Element Library'!$G:$G,MATCH($C37&amp;"|"&amp;$D37&amp;"|"&amp;$E37,'Element Library'!$H:$H,0)),"")</f>
        <v/>
      </c>
      <c r="H37" s="24"/>
      <c r="I37" s="26"/>
      <c r="J37" s="24"/>
      <c r="K37" s="27" t="str">
        <f aca="false">IFERROR(VLOOKUP($C37,MAP_SEC,2,0),"L_SECTION")</f>
        <v>L_SECTION</v>
      </c>
      <c r="L37" s="27" t="str">
        <f aca="false">IFERROR(VLOOKUP($C37&amp;"|"&amp;$D37,MAP_SUB,2,0),"L_SECTION")</f>
        <v>L_SECTION</v>
      </c>
    </row>
    <row r="38" customFormat="false" ht="15" hidden="false" customHeight="false" outlineLevel="0" collapsed="false">
      <c r="A38" s="5" t="str">
        <f aca="false">IF($C38="","",ROW()-4)</f>
        <v/>
      </c>
      <c r="B38" s="24"/>
      <c r="C38" s="24"/>
      <c r="D38" s="24"/>
      <c r="E38" s="24"/>
      <c r="F38" s="25" t="str">
        <f aca="false">IFERROR(INDEX('Element Library'!$C:$C,MATCH($C38&amp;"|"&amp;$D38&amp;"|"&amp;$E38,'Element Library'!$H:$H,0)),"")</f>
        <v/>
      </c>
      <c r="G38" s="5" t="str">
        <f aca="false">IFERROR(INDEX('Element Library'!$G:$G,MATCH($C38&amp;"|"&amp;$D38&amp;"|"&amp;$E38,'Element Library'!$H:$H,0)),"")</f>
        <v/>
      </c>
      <c r="H38" s="24"/>
      <c r="I38" s="26"/>
      <c r="J38" s="24"/>
      <c r="K38" s="27" t="str">
        <f aca="false">IFERROR(VLOOKUP($C38,MAP_SEC,2,0),"L_SECTION")</f>
        <v>L_SECTION</v>
      </c>
      <c r="L38" s="27" t="str">
        <f aca="false">IFERROR(VLOOKUP($C38&amp;"|"&amp;$D38,MAP_SUB,2,0),"L_SECTION")</f>
        <v>L_SECTION</v>
      </c>
    </row>
    <row r="39" customFormat="false" ht="15" hidden="false" customHeight="false" outlineLevel="0" collapsed="false">
      <c r="A39" s="5" t="str">
        <f aca="false">IF($C39="","",ROW()-4)</f>
        <v/>
      </c>
      <c r="B39" s="24"/>
      <c r="C39" s="24"/>
      <c r="D39" s="24"/>
      <c r="E39" s="24"/>
      <c r="F39" s="25" t="str">
        <f aca="false">IFERROR(INDEX('Element Library'!$C:$C,MATCH($C39&amp;"|"&amp;$D39&amp;"|"&amp;$E39,'Element Library'!$H:$H,0)),"")</f>
        <v/>
      </c>
      <c r="G39" s="5" t="str">
        <f aca="false">IFERROR(INDEX('Element Library'!$G:$G,MATCH($C39&amp;"|"&amp;$D39&amp;"|"&amp;$E39,'Element Library'!$H:$H,0)),"")</f>
        <v/>
      </c>
      <c r="H39" s="24"/>
      <c r="I39" s="26"/>
      <c r="J39" s="24"/>
      <c r="K39" s="27" t="str">
        <f aca="false">IFERROR(VLOOKUP($C39,MAP_SEC,2,0),"L_SECTION")</f>
        <v>L_SECTION</v>
      </c>
      <c r="L39" s="27" t="str">
        <f aca="false">IFERROR(VLOOKUP($C39&amp;"|"&amp;$D39,MAP_SUB,2,0),"L_SECTION")</f>
        <v>L_SECTION</v>
      </c>
    </row>
    <row r="40" customFormat="false" ht="15" hidden="false" customHeight="false" outlineLevel="0" collapsed="false">
      <c r="A40" s="5" t="str">
        <f aca="false">IF($C40="","",ROW()-4)</f>
        <v/>
      </c>
      <c r="B40" s="24"/>
      <c r="C40" s="24"/>
      <c r="D40" s="24"/>
      <c r="E40" s="24"/>
      <c r="F40" s="25" t="str">
        <f aca="false">IFERROR(INDEX('Element Library'!$C:$C,MATCH($C40&amp;"|"&amp;$D40&amp;"|"&amp;$E40,'Element Library'!$H:$H,0)),"")</f>
        <v/>
      </c>
      <c r="G40" s="5" t="str">
        <f aca="false">IFERROR(INDEX('Element Library'!$G:$G,MATCH($C40&amp;"|"&amp;$D40&amp;"|"&amp;$E40,'Element Library'!$H:$H,0)),"")</f>
        <v/>
      </c>
      <c r="H40" s="24"/>
      <c r="I40" s="26"/>
      <c r="J40" s="24"/>
      <c r="K40" s="27" t="str">
        <f aca="false">IFERROR(VLOOKUP($C40,MAP_SEC,2,0),"L_SECTION")</f>
        <v>L_SECTION</v>
      </c>
      <c r="L40" s="27" t="str">
        <f aca="false">IFERROR(VLOOKUP($C40&amp;"|"&amp;$D40,MAP_SUB,2,0),"L_SECTION")</f>
        <v>L_SECTION</v>
      </c>
    </row>
    <row r="41" customFormat="false" ht="15" hidden="false" customHeight="false" outlineLevel="0" collapsed="false">
      <c r="A41" s="5" t="str">
        <f aca="false">IF($C41="","",ROW()-4)</f>
        <v/>
      </c>
      <c r="B41" s="24"/>
      <c r="C41" s="24"/>
      <c r="D41" s="24"/>
      <c r="E41" s="24"/>
      <c r="F41" s="25" t="str">
        <f aca="false">IFERROR(INDEX('Element Library'!$C:$C,MATCH($C41&amp;"|"&amp;$D41&amp;"|"&amp;$E41,'Element Library'!$H:$H,0)),"")</f>
        <v/>
      </c>
      <c r="G41" s="5" t="str">
        <f aca="false">IFERROR(INDEX('Element Library'!$G:$G,MATCH($C41&amp;"|"&amp;$D41&amp;"|"&amp;$E41,'Element Library'!$H:$H,0)),"")</f>
        <v/>
      </c>
      <c r="H41" s="24"/>
      <c r="I41" s="26"/>
      <c r="J41" s="24"/>
      <c r="K41" s="27" t="str">
        <f aca="false">IFERROR(VLOOKUP($C41,MAP_SEC,2,0),"L_SECTION")</f>
        <v>L_SECTION</v>
      </c>
      <c r="L41" s="27" t="str">
        <f aca="false">IFERROR(VLOOKUP($C41&amp;"|"&amp;$D41,MAP_SUB,2,0),"L_SECTION")</f>
        <v>L_SECTION</v>
      </c>
    </row>
    <row r="42" customFormat="false" ht="15" hidden="false" customHeight="false" outlineLevel="0" collapsed="false">
      <c r="A42" s="5" t="str">
        <f aca="false">IF($C42="","",ROW()-4)</f>
        <v/>
      </c>
      <c r="B42" s="24"/>
      <c r="C42" s="24"/>
      <c r="D42" s="24"/>
      <c r="E42" s="24"/>
      <c r="F42" s="25" t="str">
        <f aca="false">IFERROR(INDEX('Element Library'!$C:$C,MATCH($C42&amp;"|"&amp;$D42&amp;"|"&amp;$E42,'Element Library'!$H:$H,0)),"")</f>
        <v/>
      </c>
      <c r="G42" s="5" t="str">
        <f aca="false">IFERROR(INDEX('Element Library'!$G:$G,MATCH($C42&amp;"|"&amp;$D42&amp;"|"&amp;$E42,'Element Library'!$H:$H,0)),"")</f>
        <v/>
      </c>
      <c r="H42" s="24"/>
      <c r="I42" s="26"/>
      <c r="J42" s="24"/>
      <c r="K42" s="27" t="str">
        <f aca="false">IFERROR(VLOOKUP($C42,MAP_SEC,2,0),"L_SECTION")</f>
        <v>L_SECTION</v>
      </c>
      <c r="L42" s="27" t="str">
        <f aca="false">IFERROR(VLOOKUP($C42&amp;"|"&amp;$D42,MAP_SUB,2,0),"L_SECTION")</f>
        <v>L_SECTION</v>
      </c>
    </row>
    <row r="43" customFormat="false" ht="15" hidden="false" customHeight="false" outlineLevel="0" collapsed="false">
      <c r="A43" s="5" t="str">
        <f aca="false">IF($C43="","",ROW()-4)</f>
        <v/>
      </c>
      <c r="B43" s="24"/>
      <c r="C43" s="24"/>
      <c r="D43" s="24"/>
      <c r="E43" s="24"/>
      <c r="F43" s="25" t="str">
        <f aca="false">IFERROR(INDEX('Element Library'!$C:$C,MATCH($C43&amp;"|"&amp;$D43&amp;"|"&amp;$E43,'Element Library'!$H:$H,0)),"")</f>
        <v/>
      </c>
      <c r="G43" s="5" t="str">
        <f aca="false">IFERROR(INDEX('Element Library'!$G:$G,MATCH($C43&amp;"|"&amp;$D43&amp;"|"&amp;$E43,'Element Library'!$H:$H,0)),"")</f>
        <v/>
      </c>
      <c r="H43" s="24"/>
      <c r="I43" s="26"/>
      <c r="J43" s="24"/>
      <c r="K43" s="27" t="str">
        <f aca="false">IFERROR(VLOOKUP($C43,MAP_SEC,2,0),"L_SECTION")</f>
        <v>L_SECTION</v>
      </c>
      <c r="L43" s="27" t="str">
        <f aca="false">IFERROR(VLOOKUP($C43&amp;"|"&amp;$D43,MAP_SUB,2,0),"L_SECTION")</f>
        <v>L_SECTION</v>
      </c>
    </row>
    <row r="44" customFormat="false" ht="15" hidden="false" customHeight="false" outlineLevel="0" collapsed="false">
      <c r="A44" s="5" t="str">
        <f aca="false">IF($C44="","",ROW()-4)</f>
        <v/>
      </c>
      <c r="B44" s="24"/>
      <c r="C44" s="24"/>
      <c r="D44" s="24"/>
      <c r="E44" s="24"/>
      <c r="F44" s="25" t="str">
        <f aca="false">IFERROR(INDEX('Element Library'!$C:$C,MATCH($C44&amp;"|"&amp;$D44&amp;"|"&amp;$E44,'Element Library'!$H:$H,0)),"")</f>
        <v/>
      </c>
      <c r="G44" s="5" t="str">
        <f aca="false">IFERROR(INDEX('Element Library'!$G:$G,MATCH($C44&amp;"|"&amp;$D44&amp;"|"&amp;$E44,'Element Library'!$H:$H,0)),"")</f>
        <v/>
      </c>
      <c r="H44" s="24"/>
      <c r="I44" s="26"/>
      <c r="J44" s="24"/>
      <c r="K44" s="27" t="str">
        <f aca="false">IFERROR(VLOOKUP($C44,MAP_SEC,2,0),"L_SECTION")</f>
        <v>L_SECTION</v>
      </c>
      <c r="L44" s="27" t="str">
        <f aca="false">IFERROR(VLOOKUP($C44&amp;"|"&amp;$D44,MAP_SUB,2,0),"L_SECTION")</f>
        <v>L_SECTION</v>
      </c>
    </row>
    <row r="45" customFormat="false" ht="15" hidden="false" customHeight="false" outlineLevel="0" collapsed="false">
      <c r="A45" s="5" t="str">
        <f aca="false">IF($C45="","",ROW()-4)</f>
        <v/>
      </c>
      <c r="B45" s="24"/>
      <c r="C45" s="24"/>
      <c r="D45" s="24"/>
      <c r="E45" s="24"/>
      <c r="F45" s="25" t="str">
        <f aca="false">IFERROR(INDEX('Element Library'!$C:$C,MATCH($C45&amp;"|"&amp;$D45&amp;"|"&amp;$E45,'Element Library'!$H:$H,0)),"")</f>
        <v/>
      </c>
      <c r="G45" s="5" t="str">
        <f aca="false">IFERROR(INDEX('Element Library'!$G:$G,MATCH($C45&amp;"|"&amp;$D45&amp;"|"&amp;$E45,'Element Library'!$H:$H,0)),"")</f>
        <v/>
      </c>
      <c r="H45" s="24"/>
      <c r="I45" s="26"/>
      <c r="J45" s="24"/>
      <c r="K45" s="27" t="str">
        <f aca="false">IFERROR(VLOOKUP($C45,MAP_SEC,2,0),"L_SECTION")</f>
        <v>L_SECTION</v>
      </c>
      <c r="L45" s="27" t="str">
        <f aca="false">IFERROR(VLOOKUP($C45&amp;"|"&amp;$D45,MAP_SUB,2,0),"L_SECTION")</f>
        <v>L_SECTION</v>
      </c>
    </row>
    <row r="46" customFormat="false" ht="15" hidden="false" customHeight="false" outlineLevel="0" collapsed="false">
      <c r="A46" s="5" t="str">
        <f aca="false">IF($C46="","",ROW()-4)</f>
        <v/>
      </c>
      <c r="B46" s="24"/>
      <c r="C46" s="24"/>
      <c r="D46" s="24"/>
      <c r="E46" s="24"/>
      <c r="F46" s="25" t="str">
        <f aca="false">IFERROR(INDEX('Element Library'!$C:$C,MATCH($C46&amp;"|"&amp;$D46&amp;"|"&amp;$E46,'Element Library'!$H:$H,0)),"")</f>
        <v/>
      </c>
      <c r="G46" s="5" t="str">
        <f aca="false">IFERROR(INDEX('Element Library'!$G:$G,MATCH($C46&amp;"|"&amp;$D46&amp;"|"&amp;$E46,'Element Library'!$H:$H,0)),"")</f>
        <v/>
      </c>
      <c r="H46" s="24"/>
      <c r="I46" s="26"/>
      <c r="J46" s="24"/>
      <c r="K46" s="27" t="str">
        <f aca="false">IFERROR(VLOOKUP($C46,MAP_SEC,2,0),"L_SECTION")</f>
        <v>L_SECTION</v>
      </c>
      <c r="L46" s="27" t="str">
        <f aca="false">IFERROR(VLOOKUP($C46&amp;"|"&amp;$D46,MAP_SUB,2,0),"L_SECTION")</f>
        <v>L_SECTION</v>
      </c>
    </row>
    <row r="47" customFormat="false" ht="15" hidden="false" customHeight="false" outlineLevel="0" collapsed="false">
      <c r="A47" s="5" t="str">
        <f aca="false">IF($C47="","",ROW()-4)</f>
        <v/>
      </c>
      <c r="B47" s="24"/>
      <c r="C47" s="24"/>
      <c r="D47" s="24"/>
      <c r="E47" s="24"/>
      <c r="F47" s="25" t="str">
        <f aca="false">IFERROR(INDEX('Element Library'!$C:$C,MATCH($C47&amp;"|"&amp;$D47&amp;"|"&amp;$E47,'Element Library'!$H:$H,0)),"")</f>
        <v/>
      </c>
      <c r="G47" s="5" t="str">
        <f aca="false">IFERROR(INDEX('Element Library'!$G:$G,MATCH($C47&amp;"|"&amp;$D47&amp;"|"&amp;$E47,'Element Library'!$H:$H,0)),"")</f>
        <v/>
      </c>
      <c r="H47" s="24"/>
      <c r="I47" s="26"/>
      <c r="J47" s="24"/>
      <c r="K47" s="27" t="str">
        <f aca="false">IFERROR(VLOOKUP($C47,MAP_SEC,2,0),"L_SECTION")</f>
        <v>L_SECTION</v>
      </c>
      <c r="L47" s="27" t="str">
        <f aca="false">IFERROR(VLOOKUP($C47&amp;"|"&amp;$D47,MAP_SUB,2,0),"L_SECTION")</f>
        <v>L_SECTION</v>
      </c>
    </row>
    <row r="48" customFormat="false" ht="15" hidden="false" customHeight="false" outlineLevel="0" collapsed="false">
      <c r="A48" s="5" t="str">
        <f aca="false">IF($C48="","",ROW()-4)</f>
        <v/>
      </c>
      <c r="B48" s="24"/>
      <c r="C48" s="24"/>
      <c r="D48" s="24"/>
      <c r="E48" s="24"/>
      <c r="F48" s="25" t="str">
        <f aca="false">IFERROR(INDEX('Element Library'!$C:$C,MATCH($C48&amp;"|"&amp;$D48&amp;"|"&amp;$E48,'Element Library'!$H:$H,0)),"")</f>
        <v/>
      </c>
      <c r="G48" s="5" t="str">
        <f aca="false">IFERROR(INDEX('Element Library'!$G:$G,MATCH($C48&amp;"|"&amp;$D48&amp;"|"&amp;$E48,'Element Library'!$H:$H,0)),"")</f>
        <v/>
      </c>
      <c r="H48" s="24"/>
      <c r="I48" s="26"/>
      <c r="J48" s="24"/>
      <c r="K48" s="27" t="str">
        <f aca="false">IFERROR(VLOOKUP($C48,MAP_SEC,2,0),"L_SECTION")</f>
        <v>L_SECTION</v>
      </c>
      <c r="L48" s="27" t="str">
        <f aca="false">IFERROR(VLOOKUP($C48&amp;"|"&amp;$D48,MAP_SUB,2,0),"L_SECTION")</f>
        <v>L_SECTION</v>
      </c>
    </row>
    <row r="49" customFormat="false" ht="15" hidden="false" customHeight="false" outlineLevel="0" collapsed="false">
      <c r="A49" s="5" t="str">
        <f aca="false">IF($C49="","",ROW()-4)</f>
        <v/>
      </c>
      <c r="B49" s="24"/>
      <c r="C49" s="24"/>
      <c r="D49" s="24"/>
      <c r="E49" s="24"/>
      <c r="F49" s="25" t="str">
        <f aca="false">IFERROR(INDEX('Element Library'!$C:$C,MATCH($C49&amp;"|"&amp;$D49&amp;"|"&amp;$E49,'Element Library'!$H:$H,0)),"")</f>
        <v/>
      </c>
      <c r="G49" s="5" t="str">
        <f aca="false">IFERROR(INDEX('Element Library'!$G:$G,MATCH($C49&amp;"|"&amp;$D49&amp;"|"&amp;$E49,'Element Library'!$H:$H,0)),"")</f>
        <v/>
      </c>
      <c r="H49" s="24"/>
      <c r="I49" s="26"/>
      <c r="J49" s="24"/>
      <c r="K49" s="27" t="str">
        <f aca="false">IFERROR(VLOOKUP($C49,MAP_SEC,2,0),"L_SECTION")</f>
        <v>L_SECTION</v>
      </c>
      <c r="L49" s="27" t="str">
        <f aca="false">IFERROR(VLOOKUP($C49&amp;"|"&amp;$D49,MAP_SUB,2,0),"L_SECTION")</f>
        <v>L_SECTION</v>
      </c>
    </row>
    <row r="50" customFormat="false" ht="15" hidden="false" customHeight="false" outlineLevel="0" collapsed="false">
      <c r="A50" s="5" t="str">
        <f aca="false">IF($C50="","",ROW()-4)</f>
        <v/>
      </c>
      <c r="B50" s="24"/>
      <c r="C50" s="24"/>
      <c r="D50" s="24"/>
      <c r="E50" s="24"/>
      <c r="F50" s="25" t="str">
        <f aca="false">IFERROR(INDEX('Element Library'!$C:$C,MATCH($C50&amp;"|"&amp;$D50&amp;"|"&amp;$E50,'Element Library'!$H:$H,0)),"")</f>
        <v/>
      </c>
      <c r="G50" s="5" t="str">
        <f aca="false">IFERROR(INDEX('Element Library'!$G:$G,MATCH($C50&amp;"|"&amp;$D50&amp;"|"&amp;$E50,'Element Library'!$H:$H,0)),"")</f>
        <v/>
      </c>
      <c r="H50" s="24"/>
      <c r="I50" s="26"/>
      <c r="J50" s="24"/>
      <c r="K50" s="27" t="str">
        <f aca="false">IFERROR(VLOOKUP($C50,MAP_SEC,2,0),"L_SECTION")</f>
        <v>L_SECTION</v>
      </c>
      <c r="L50" s="27" t="str">
        <f aca="false">IFERROR(VLOOKUP($C50&amp;"|"&amp;$D50,MAP_SUB,2,0),"L_SECTION")</f>
        <v>L_SECTION</v>
      </c>
    </row>
    <row r="51" customFormat="false" ht="15" hidden="false" customHeight="false" outlineLevel="0" collapsed="false">
      <c r="A51" s="5" t="str">
        <f aca="false">IF($C51="","",ROW()-4)</f>
        <v/>
      </c>
      <c r="B51" s="24"/>
      <c r="C51" s="24"/>
      <c r="D51" s="24"/>
      <c r="E51" s="24"/>
      <c r="F51" s="25" t="str">
        <f aca="false">IFERROR(INDEX('Element Library'!$C:$C,MATCH($C51&amp;"|"&amp;$D51&amp;"|"&amp;$E51,'Element Library'!$H:$H,0)),"")</f>
        <v/>
      </c>
      <c r="G51" s="5" t="str">
        <f aca="false">IFERROR(INDEX('Element Library'!$G:$G,MATCH($C51&amp;"|"&amp;$D51&amp;"|"&amp;$E51,'Element Library'!$H:$H,0)),"")</f>
        <v/>
      </c>
      <c r="H51" s="24"/>
      <c r="I51" s="26"/>
      <c r="J51" s="24"/>
      <c r="K51" s="27" t="str">
        <f aca="false">IFERROR(VLOOKUP($C51,MAP_SEC,2,0),"L_SECTION")</f>
        <v>L_SECTION</v>
      </c>
      <c r="L51" s="27" t="str">
        <f aca="false">IFERROR(VLOOKUP($C51&amp;"|"&amp;$D51,MAP_SUB,2,0),"L_SECTION")</f>
        <v>L_SECTION</v>
      </c>
    </row>
    <row r="52" customFormat="false" ht="15" hidden="false" customHeight="false" outlineLevel="0" collapsed="false">
      <c r="A52" s="5" t="str">
        <f aca="false">IF($C52="","",ROW()-4)</f>
        <v/>
      </c>
      <c r="B52" s="24"/>
      <c r="C52" s="24"/>
      <c r="D52" s="24"/>
      <c r="E52" s="24"/>
      <c r="F52" s="25" t="str">
        <f aca="false">IFERROR(INDEX('Element Library'!$C:$C,MATCH($C52&amp;"|"&amp;$D52&amp;"|"&amp;$E52,'Element Library'!$H:$H,0)),"")</f>
        <v/>
      </c>
      <c r="G52" s="5" t="str">
        <f aca="false">IFERROR(INDEX('Element Library'!$G:$G,MATCH($C52&amp;"|"&amp;$D52&amp;"|"&amp;$E52,'Element Library'!$H:$H,0)),"")</f>
        <v/>
      </c>
      <c r="H52" s="24"/>
      <c r="I52" s="26"/>
      <c r="J52" s="24"/>
      <c r="K52" s="27" t="str">
        <f aca="false">IFERROR(VLOOKUP($C52,MAP_SEC,2,0),"L_SECTION")</f>
        <v>L_SECTION</v>
      </c>
      <c r="L52" s="27" t="str">
        <f aca="false">IFERROR(VLOOKUP($C52&amp;"|"&amp;$D52,MAP_SUB,2,0),"L_SECTION")</f>
        <v>L_SECTION</v>
      </c>
    </row>
    <row r="53" customFormat="false" ht="15" hidden="false" customHeight="false" outlineLevel="0" collapsed="false">
      <c r="A53" s="5" t="str">
        <f aca="false">IF($C53="","",ROW()-4)</f>
        <v/>
      </c>
      <c r="B53" s="24"/>
      <c r="C53" s="24"/>
      <c r="D53" s="24"/>
      <c r="E53" s="24"/>
      <c r="F53" s="25" t="str">
        <f aca="false">IFERROR(INDEX('Element Library'!$C:$C,MATCH($C53&amp;"|"&amp;$D53&amp;"|"&amp;$E53,'Element Library'!$H:$H,0)),"")</f>
        <v/>
      </c>
      <c r="G53" s="5" t="str">
        <f aca="false">IFERROR(INDEX('Element Library'!$G:$G,MATCH($C53&amp;"|"&amp;$D53&amp;"|"&amp;$E53,'Element Library'!$H:$H,0)),"")</f>
        <v/>
      </c>
      <c r="H53" s="24"/>
      <c r="I53" s="26"/>
      <c r="J53" s="24"/>
      <c r="K53" s="27" t="str">
        <f aca="false">IFERROR(VLOOKUP($C53,MAP_SEC,2,0),"L_SECTION")</f>
        <v>L_SECTION</v>
      </c>
      <c r="L53" s="27" t="str">
        <f aca="false">IFERROR(VLOOKUP($C53&amp;"|"&amp;$D53,MAP_SUB,2,0),"L_SECTION")</f>
        <v>L_SECTION</v>
      </c>
    </row>
    <row r="54" customFormat="false" ht="15" hidden="false" customHeight="false" outlineLevel="0" collapsed="false">
      <c r="A54" s="5" t="str">
        <f aca="false">IF($C54="","",ROW()-4)</f>
        <v/>
      </c>
      <c r="B54" s="24"/>
      <c r="C54" s="24"/>
      <c r="D54" s="24"/>
      <c r="E54" s="24"/>
      <c r="F54" s="25" t="str">
        <f aca="false">IFERROR(INDEX('Element Library'!$C:$C,MATCH($C54&amp;"|"&amp;$D54&amp;"|"&amp;$E54,'Element Library'!$H:$H,0)),"")</f>
        <v/>
      </c>
      <c r="G54" s="5" t="str">
        <f aca="false">IFERROR(INDEX('Element Library'!$G:$G,MATCH($C54&amp;"|"&amp;$D54&amp;"|"&amp;$E54,'Element Library'!$H:$H,0)),"")</f>
        <v/>
      </c>
      <c r="H54" s="24"/>
      <c r="I54" s="26"/>
      <c r="J54" s="24"/>
      <c r="K54" s="27" t="str">
        <f aca="false">IFERROR(VLOOKUP($C54,MAP_SEC,2,0),"L_SECTION")</f>
        <v>L_SECTION</v>
      </c>
      <c r="L54" s="27" t="str">
        <f aca="false">IFERROR(VLOOKUP($C54&amp;"|"&amp;$D54,MAP_SUB,2,0),"L_SECTION")</f>
        <v>L_SECTION</v>
      </c>
    </row>
    <row r="55" customFormat="false" ht="15" hidden="false" customHeight="false" outlineLevel="0" collapsed="false">
      <c r="A55" s="5" t="str">
        <f aca="false">IF($C55="","",ROW()-4)</f>
        <v/>
      </c>
      <c r="B55" s="24"/>
      <c r="C55" s="24"/>
      <c r="D55" s="24"/>
      <c r="E55" s="24"/>
      <c r="F55" s="25" t="str">
        <f aca="false">IFERROR(INDEX('Element Library'!$C:$C,MATCH($C55&amp;"|"&amp;$D55&amp;"|"&amp;$E55,'Element Library'!$H:$H,0)),"")</f>
        <v/>
      </c>
      <c r="G55" s="5" t="str">
        <f aca="false">IFERROR(INDEX('Element Library'!$G:$G,MATCH($C55&amp;"|"&amp;$D55&amp;"|"&amp;$E55,'Element Library'!$H:$H,0)),"")</f>
        <v/>
      </c>
      <c r="H55" s="24"/>
      <c r="I55" s="26"/>
      <c r="J55" s="24"/>
      <c r="K55" s="27" t="str">
        <f aca="false">IFERROR(VLOOKUP($C55,MAP_SEC,2,0),"L_SECTION")</f>
        <v>L_SECTION</v>
      </c>
      <c r="L55" s="27" t="str">
        <f aca="false">IFERROR(VLOOKUP($C55&amp;"|"&amp;$D55,MAP_SUB,2,0),"L_SECTION")</f>
        <v>L_SECTION</v>
      </c>
    </row>
    <row r="56" customFormat="false" ht="15" hidden="false" customHeight="false" outlineLevel="0" collapsed="false">
      <c r="A56" s="5" t="str">
        <f aca="false">IF($C56="","",ROW()-4)</f>
        <v/>
      </c>
      <c r="B56" s="24"/>
      <c r="C56" s="24"/>
      <c r="D56" s="24"/>
      <c r="E56" s="24"/>
      <c r="F56" s="25" t="str">
        <f aca="false">IFERROR(INDEX('Element Library'!$C:$C,MATCH($C56&amp;"|"&amp;$D56&amp;"|"&amp;$E56,'Element Library'!$H:$H,0)),"")</f>
        <v/>
      </c>
      <c r="G56" s="5" t="str">
        <f aca="false">IFERROR(INDEX('Element Library'!$G:$G,MATCH($C56&amp;"|"&amp;$D56&amp;"|"&amp;$E56,'Element Library'!$H:$H,0)),"")</f>
        <v/>
      </c>
      <c r="H56" s="24"/>
      <c r="I56" s="26"/>
      <c r="J56" s="24"/>
      <c r="K56" s="27" t="str">
        <f aca="false">IFERROR(VLOOKUP($C56,MAP_SEC,2,0),"L_SECTION")</f>
        <v>L_SECTION</v>
      </c>
      <c r="L56" s="27" t="str">
        <f aca="false">IFERROR(VLOOKUP($C56&amp;"|"&amp;$D56,MAP_SUB,2,0),"L_SECTION")</f>
        <v>L_SECTION</v>
      </c>
    </row>
    <row r="57" customFormat="false" ht="15" hidden="false" customHeight="false" outlineLevel="0" collapsed="false">
      <c r="A57" s="5" t="str">
        <f aca="false">IF($C57="","",ROW()-4)</f>
        <v/>
      </c>
      <c r="B57" s="24"/>
      <c r="C57" s="24"/>
      <c r="D57" s="24"/>
      <c r="E57" s="24"/>
      <c r="F57" s="25" t="str">
        <f aca="false">IFERROR(INDEX('Element Library'!$C:$C,MATCH($C57&amp;"|"&amp;$D57&amp;"|"&amp;$E57,'Element Library'!$H:$H,0)),"")</f>
        <v/>
      </c>
      <c r="G57" s="5" t="str">
        <f aca="false">IFERROR(INDEX('Element Library'!$G:$G,MATCH($C57&amp;"|"&amp;$D57&amp;"|"&amp;$E57,'Element Library'!$H:$H,0)),"")</f>
        <v/>
      </c>
      <c r="H57" s="24"/>
      <c r="I57" s="26"/>
      <c r="J57" s="24"/>
      <c r="K57" s="27" t="str">
        <f aca="false">IFERROR(VLOOKUP($C57,MAP_SEC,2,0),"L_SECTION")</f>
        <v>L_SECTION</v>
      </c>
      <c r="L57" s="27" t="str">
        <f aca="false">IFERROR(VLOOKUP($C57&amp;"|"&amp;$D57,MAP_SUB,2,0),"L_SECTION")</f>
        <v>L_SECTION</v>
      </c>
    </row>
    <row r="58" customFormat="false" ht="15" hidden="false" customHeight="false" outlineLevel="0" collapsed="false">
      <c r="A58" s="5" t="str">
        <f aca="false">IF($C58="","",ROW()-4)</f>
        <v/>
      </c>
      <c r="B58" s="24"/>
      <c r="C58" s="24"/>
      <c r="D58" s="24"/>
      <c r="E58" s="24"/>
      <c r="F58" s="25" t="str">
        <f aca="false">IFERROR(INDEX('Element Library'!$C:$C,MATCH($C58&amp;"|"&amp;$D58&amp;"|"&amp;$E58,'Element Library'!$H:$H,0)),"")</f>
        <v/>
      </c>
      <c r="G58" s="5" t="str">
        <f aca="false">IFERROR(INDEX('Element Library'!$G:$G,MATCH($C58&amp;"|"&amp;$D58&amp;"|"&amp;$E58,'Element Library'!$H:$H,0)),"")</f>
        <v/>
      </c>
      <c r="H58" s="24"/>
      <c r="I58" s="26"/>
      <c r="J58" s="24"/>
      <c r="K58" s="27" t="str">
        <f aca="false">IFERROR(VLOOKUP($C58,MAP_SEC,2,0),"L_SECTION")</f>
        <v>L_SECTION</v>
      </c>
      <c r="L58" s="27" t="str">
        <f aca="false">IFERROR(VLOOKUP($C58&amp;"|"&amp;$D58,MAP_SUB,2,0),"L_SECTION")</f>
        <v>L_SECTION</v>
      </c>
    </row>
    <row r="59" customFormat="false" ht="15" hidden="false" customHeight="false" outlineLevel="0" collapsed="false">
      <c r="A59" s="5" t="str">
        <f aca="false">IF($C59="","",ROW()-4)</f>
        <v/>
      </c>
      <c r="B59" s="24"/>
      <c r="C59" s="24"/>
      <c r="D59" s="24"/>
      <c r="E59" s="24"/>
      <c r="F59" s="25" t="str">
        <f aca="false">IFERROR(INDEX('Element Library'!$C:$C,MATCH($C59&amp;"|"&amp;$D59&amp;"|"&amp;$E59,'Element Library'!$H:$H,0)),"")</f>
        <v/>
      </c>
      <c r="G59" s="5" t="str">
        <f aca="false">IFERROR(INDEX('Element Library'!$G:$G,MATCH($C59&amp;"|"&amp;$D59&amp;"|"&amp;$E59,'Element Library'!$H:$H,0)),"")</f>
        <v/>
      </c>
      <c r="H59" s="24"/>
      <c r="I59" s="26"/>
      <c r="J59" s="24"/>
      <c r="K59" s="27" t="str">
        <f aca="false">IFERROR(VLOOKUP($C59,MAP_SEC,2,0),"L_SECTION")</f>
        <v>L_SECTION</v>
      </c>
      <c r="L59" s="27" t="str">
        <f aca="false">IFERROR(VLOOKUP($C59&amp;"|"&amp;$D59,MAP_SUB,2,0),"L_SECTION")</f>
        <v>L_SECTION</v>
      </c>
    </row>
    <row r="60" customFormat="false" ht="15" hidden="false" customHeight="false" outlineLevel="0" collapsed="false">
      <c r="A60" s="5" t="str">
        <f aca="false">IF($C60="","",ROW()-4)</f>
        <v/>
      </c>
      <c r="B60" s="24"/>
      <c r="C60" s="24"/>
      <c r="D60" s="24"/>
      <c r="E60" s="24"/>
      <c r="F60" s="25" t="str">
        <f aca="false">IFERROR(INDEX('Element Library'!$C:$C,MATCH($C60&amp;"|"&amp;$D60&amp;"|"&amp;$E60,'Element Library'!$H:$H,0)),"")</f>
        <v/>
      </c>
      <c r="G60" s="5" t="str">
        <f aca="false">IFERROR(INDEX('Element Library'!$G:$G,MATCH($C60&amp;"|"&amp;$D60&amp;"|"&amp;$E60,'Element Library'!$H:$H,0)),"")</f>
        <v/>
      </c>
      <c r="H60" s="24"/>
      <c r="I60" s="26"/>
      <c r="J60" s="24"/>
      <c r="K60" s="27" t="str">
        <f aca="false">IFERROR(VLOOKUP($C60,MAP_SEC,2,0),"L_SECTION")</f>
        <v>L_SECTION</v>
      </c>
      <c r="L60" s="27" t="str">
        <f aca="false">IFERROR(VLOOKUP($C60&amp;"|"&amp;$D60,MAP_SUB,2,0),"L_SECTION")</f>
        <v>L_SECTION</v>
      </c>
    </row>
    <row r="61" customFormat="false" ht="15" hidden="false" customHeight="false" outlineLevel="0" collapsed="false">
      <c r="A61" s="5" t="str">
        <f aca="false">IF($C61="","",ROW()-4)</f>
        <v/>
      </c>
      <c r="B61" s="24"/>
      <c r="C61" s="24"/>
      <c r="D61" s="24"/>
      <c r="E61" s="24"/>
      <c r="F61" s="25" t="str">
        <f aca="false">IFERROR(INDEX('Element Library'!$C:$C,MATCH($C61&amp;"|"&amp;$D61&amp;"|"&amp;$E61,'Element Library'!$H:$H,0)),"")</f>
        <v/>
      </c>
      <c r="G61" s="5" t="str">
        <f aca="false">IFERROR(INDEX('Element Library'!$G:$G,MATCH($C61&amp;"|"&amp;$D61&amp;"|"&amp;$E61,'Element Library'!$H:$H,0)),"")</f>
        <v/>
      </c>
      <c r="H61" s="24"/>
      <c r="I61" s="26"/>
      <c r="J61" s="24"/>
      <c r="K61" s="27" t="str">
        <f aca="false">IFERROR(VLOOKUP($C61,MAP_SEC,2,0),"L_SECTION")</f>
        <v>L_SECTION</v>
      </c>
      <c r="L61" s="27" t="str">
        <f aca="false">IFERROR(VLOOKUP($C61&amp;"|"&amp;$D61,MAP_SUB,2,0),"L_SECTION")</f>
        <v>L_SECTION</v>
      </c>
    </row>
    <row r="62" customFormat="false" ht="15" hidden="false" customHeight="false" outlineLevel="0" collapsed="false">
      <c r="A62" s="5" t="str">
        <f aca="false">IF($C62="","",ROW()-4)</f>
        <v/>
      </c>
      <c r="B62" s="24"/>
      <c r="C62" s="24"/>
      <c r="D62" s="24"/>
      <c r="E62" s="24"/>
      <c r="F62" s="25" t="str">
        <f aca="false">IFERROR(INDEX('Element Library'!$C:$C,MATCH($C62&amp;"|"&amp;$D62&amp;"|"&amp;$E62,'Element Library'!$H:$H,0)),"")</f>
        <v/>
      </c>
      <c r="G62" s="5" t="str">
        <f aca="false">IFERROR(INDEX('Element Library'!$G:$G,MATCH($C62&amp;"|"&amp;$D62&amp;"|"&amp;$E62,'Element Library'!$H:$H,0)),"")</f>
        <v/>
      </c>
      <c r="H62" s="24"/>
      <c r="I62" s="26"/>
      <c r="J62" s="24"/>
      <c r="K62" s="27" t="str">
        <f aca="false">IFERROR(VLOOKUP($C62,MAP_SEC,2,0),"L_SECTION")</f>
        <v>L_SECTION</v>
      </c>
      <c r="L62" s="27" t="str">
        <f aca="false">IFERROR(VLOOKUP($C62&amp;"|"&amp;$D62,MAP_SUB,2,0),"L_SECTION")</f>
        <v>L_SECTION</v>
      </c>
    </row>
    <row r="63" customFormat="false" ht="15" hidden="false" customHeight="false" outlineLevel="0" collapsed="false">
      <c r="A63" s="5" t="str">
        <f aca="false">IF($C63="","",ROW()-4)</f>
        <v/>
      </c>
      <c r="B63" s="24"/>
      <c r="C63" s="24"/>
      <c r="D63" s="24"/>
      <c r="E63" s="24"/>
      <c r="F63" s="25" t="str">
        <f aca="false">IFERROR(INDEX('Element Library'!$C:$C,MATCH($C63&amp;"|"&amp;$D63&amp;"|"&amp;$E63,'Element Library'!$H:$H,0)),"")</f>
        <v/>
      </c>
      <c r="G63" s="5" t="str">
        <f aca="false">IFERROR(INDEX('Element Library'!$G:$G,MATCH($C63&amp;"|"&amp;$D63&amp;"|"&amp;$E63,'Element Library'!$H:$H,0)),"")</f>
        <v/>
      </c>
      <c r="H63" s="24"/>
      <c r="I63" s="26"/>
      <c r="J63" s="24"/>
      <c r="K63" s="27" t="str">
        <f aca="false">IFERROR(VLOOKUP($C63,MAP_SEC,2,0),"L_SECTION")</f>
        <v>L_SECTION</v>
      </c>
      <c r="L63" s="27" t="str">
        <f aca="false">IFERROR(VLOOKUP($C63&amp;"|"&amp;$D63,MAP_SUB,2,0),"L_SECTION")</f>
        <v>L_SECTION</v>
      </c>
    </row>
    <row r="64" customFormat="false" ht="15" hidden="false" customHeight="false" outlineLevel="0" collapsed="false">
      <c r="A64" s="5" t="str">
        <f aca="false">IF($C64="","",ROW()-4)</f>
        <v/>
      </c>
      <c r="B64" s="24"/>
      <c r="C64" s="24"/>
      <c r="D64" s="24"/>
      <c r="E64" s="24"/>
      <c r="F64" s="25" t="str">
        <f aca="false">IFERROR(INDEX('Element Library'!$C:$C,MATCH($C64&amp;"|"&amp;$D64&amp;"|"&amp;$E64,'Element Library'!$H:$H,0)),"")</f>
        <v/>
      </c>
      <c r="G64" s="5" t="str">
        <f aca="false">IFERROR(INDEX('Element Library'!$G:$G,MATCH($C64&amp;"|"&amp;$D64&amp;"|"&amp;$E64,'Element Library'!$H:$H,0)),"")</f>
        <v/>
      </c>
      <c r="H64" s="24"/>
      <c r="I64" s="26"/>
      <c r="J64" s="24"/>
      <c r="K64" s="27" t="str">
        <f aca="false">IFERROR(VLOOKUP($C64,MAP_SEC,2,0),"L_SECTION")</f>
        <v>L_SECTION</v>
      </c>
      <c r="L64" s="27" t="str">
        <f aca="false">IFERROR(VLOOKUP($C64&amp;"|"&amp;$D64,MAP_SUB,2,0),"L_SECTION")</f>
        <v>L_SECTION</v>
      </c>
    </row>
    <row r="65" customFormat="false" ht="15" hidden="false" customHeight="false" outlineLevel="0" collapsed="false">
      <c r="A65" s="5" t="str">
        <f aca="false">IF($C65="","",ROW()-4)</f>
        <v/>
      </c>
      <c r="B65" s="24"/>
      <c r="C65" s="24"/>
      <c r="D65" s="24"/>
      <c r="E65" s="24"/>
      <c r="F65" s="25" t="str">
        <f aca="false">IFERROR(INDEX('Element Library'!$C:$C,MATCH($C65&amp;"|"&amp;$D65&amp;"|"&amp;$E65,'Element Library'!$H:$H,0)),"")</f>
        <v/>
      </c>
      <c r="G65" s="5" t="str">
        <f aca="false">IFERROR(INDEX('Element Library'!$G:$G,MATCH($C65&amp;"|"&amp;$D65&amp;"|"&amp;$E65,'Element Library'!$H:$H,0)),"")</f>
        <v/>
      </c>
      <c r="H65" s="24"/>
      <c r="I65" s="26"/>
      <c r="J65" s="24"/>
      <c r="K65" s="27" t="str">
        <f aca="false">IFERROR(VLOOKUP($C65,MAP_SEC,2,0),"L_SECTION")</f>
        <v>L_SECTION</v>
      </c>
      <c r="L65" s="27" t="str">
        <f aca="false">IFERROR(VLOOKUP($C65&amp;"|"&amp;$D65,MAP_SUB,2,0),"L_SECTION")</f>
        <v>L_SECTION</v>
      </c>
    </row>
    <row r="66" customFormat="false" ht="15" hidden="false" customHeight="false" outlineLevel="0" collapsed="false">
      <c r="A66" s="5" t="str">
        <f aca="false">IF($C66="","",ROW()-4)</f>
        <v/>
      </c>
      <c r="B66" s="24"/>
      <c r="C66" s="24"/>
      <c r="D66" s="24"/>
      <c r="E66" s="24"/>
      <c r="F66" s="25" t="str">
        <f aca="false">IFERROR(INDEX('Element Library'!$C:$C,MATCH($C66&amp;"|"&amp;$D66&amp;"|"&amp;$E66,'Element Library'!$H:$H,0)),"")</f>
        <v/>
      </c>
      <c r="G66" s="5" t="str">
        <f aca="false">IFERROR(INDEX('Element Library'!$G:$G,MATCH($C66&amp;"|"&amp;$D66&amp;"|"&amp;$E66,'Element Library'!$H:$H,0)),"")</f>
        <v/>
      </c>
      <c r="H66" s="24"/>
      <c r="I66" s="26"/>
      <c r="J66" s="24"/>
      <c r="K66" s="27" t="str">
        <f aca="false">IFERROR(VLOOKUP($C66,MAP_SEC,2,0),"L_SECTION")</f>
        <v>L_SECTION</v>
      </c>
      <c r="L66" s="27" t="str">
        <f aca="false">IFERROR(VLOOKUP($C66&amp;"|"&amp;$D66,MAP_SUB,2,0),"L_SECTION")</f>
        <v>L_SECTION</v>
      </c>
    </row>
    <row r="67" customFormat="false" ht="15" hidden="false" customHeight="false" outlineLevel="0" collapsed="false">
      <c r="A67" s="5" t="str">
        <f aca="false">IF($C67="","",ROW()-4)</f>
        <v/>
      </c>
      <c r="B67" s="24"/>
      <c r="C67" s="24"/>
      <c r="D67" s="24"/>
      <c r="E67" s="24"/>
      <c r="F67" s="25" t="str">
        <f aca="false">IFERROR(INDEX('Element Library'!$C:$C,MATCH($C67&amp;"|"&amp;$D67&amp;"|"&amp;$E67,'Element Library'!$H:$H,0)),"")</f>
        <v/>
      </c>
      <c r="G67" s="5" t="str">
        <f aca="false">IFERROR(INDEX('Element Library'!$G:$G,MATCH($C67&amp;"|"&amp;$D67&amp;"|"&amp;$E67,'Element Library'!$H:$H,0)),"")</f>
        <v/>
      </c>
      <c r="H67" s="24"/>
      <c r="I67" s="26"/>
      <c r="J67" s="24"/>
      <c r="K67" s="27" t="str">
        <f aca="false">IFERROR(VLOOKUP($C67,MAP_SEC,2,0),"L_SECTION")</f>
        <v>L_SECTION</v>
      </c>
      <c r="L67" s="27" t="str">
        <f aca="false">IFERROR(VLOOKUP($C67&amp;"|"&amp;$D67,MAP_SUB,2,0),"L_SECTION")</f>
        <v>L_SECTION</v>
      </c>
    </row>
    <row r="68" customFormat="false" ht="15" hidden="false" customHeight="false" outlineLevel="0" collapsed="false">
      <c r="A68" s="5" t="str">
        <f aca="false">IF($C68="","",ROW()-4)</f>
        <v/>
      </c>
      <c r="B68" s="24"/>
      <c r="C68" s="24"/>
      <c r="D68" s="24"/>
      <c r="E68" s="24"/>
      <c r="F68" s="25" t="str">
        <f aca="false">IFERROR(INDEX('Element Library'!$C:$C,MATCH($C68&amp;"|"&amp;$D68&amp;"|"&amp;$E68,'Element Library'!$H:$H,0)),"")</f>
        <v/>
      </c>
      <c r="G68" s="5" t="str">
        <f aca="false">IFERROR(INDEX('Element Library'!$G:$G,MATCH($C68&amp;"|"&amp;$D68&amp;"|"&amp;$E68,'Element Library'!$H:$H,0)),"")</f>
        <v/>
      </c>
      <c r="H68" s="24"/>
      <c r="I68" s="26"/>
      <c r="J68" s="24"/>
      <c r="K68" s="27" t="str">
        <f aca="false">IFERROR(VLOOKUP($C68,MAP_SEC,2,0),"L_SECTION")</f>
        <v>L_SECTION</v>
      </c>
      <c r="L68" s="27" t="str">
        <f aca="false">IFERROR(VLOOKUP($C68&amp;"|"&amp;$D68,MAP_SUB,2,0),"L_SECTION")</f>
        <v>L_SECTION</v>
      </c>
    </row>
    <row r="69" customFormat="false" ht="15" hidden="false" customHeight="false" outlineLevel="0" collapsed="false">
      <c r="A69" s="5" t="str">
        <f aca="false">IF($C69="","",ROW()-4)</f>
        <v/>
      </c>
      <c r="B69" s="24"/>
      <c r="C69" s="24"/>
      <c r="D69" s="24"/>
      <c r="E69" s="24"/>
      <c r="F69" s="25" t="str">
        <f aca="false">IFERROR(INDEX('Element Library'!$C:$C,MATCH($C69&amp;"|"&amp;$D69&amp;"|"&amp;$E69,'Element Library'!$H:$H,0)),"")</f>
        <v/>
      </c>
      <c r="G69" s="5" t="str">
        <f aca="false">IFERROR(INDEX('Element Library'!$G:$G,MATCH($C69&amp;"|"&amp;$D69&amp;"|"&amp;$E69,'Element Library'!$H:$H,0)),"")</f>
        <v/>
      </c>
      <c r="H69" s="24"/>
      <c r="I69" s="26"/>
      <c r="J69" s="24"/>
      <c r="K69" s="27" t="str">
        <f aca="false">IFERROR(VLOOKUP($C69,MAP_SEC,2,0),"L_SECTION")</f>
        <v>L_SECTION</v>
      </c>
      <c r="L69" s="27" t="str">
        <f aca="false">IFERROR(VLOOKUP($C69&amp;"|"&amp;$D69,MAP_SUB,2,0),"L_SECTION")</f>
        <v>L_SECTION</v>
      </c>
    </row>
    <row r="70" customFormat="false" ht="15" hidden="false" customHeight="false" outlineLevel="0" collapsed="false">
      <c r="A70" s="5" t="str">
        <f aca="false">IF($C70="","",ROW()-4)</f>
        <v/>
      </c>
      <c r="B70" s="24"/>
      <c r="C70" s="24"/>
      <c r="D70" s="24"/>
      <c r="E70" s="24"/>
      <c r="F70" s="25" t="str">
        <f aca="false">IFERROR(INDEX('Element Library'!$C:$C,MATCH($C70&amp;"|"&amp;$D70&amp;"|"&amp;$E70,'Element Library'!$H:$H,0)),"")</f>
        <v/>
      </c>
      <c r="G70" s="5" t="str">
        <f aca="false">IFERROR(INDEX('Element Library'!$G:$G,MATCH($C70&amp;"|"&amp;$D70&amp;"|"&amp;$E70,'Element Library'!$H:$H,0)),"")</f>
        <v/>
      </c>
      <c r="H70" s="24"/>
      <c r="I70" s="26"/>
      <c r="J70" s="24"/>
      <c r="K70" s="27" t="str">
        <f aca="false">IFERROR(VLOOKUP($C70,MAP_SEC,2,0),"L_SECTION")</f>
        <v>L_SECTION</v>
      </c>
      <c r="L70" s="27" t="str">
        <f aca="false">IFERROR(VLOOKUP($C70&amp;"|"&amp;$D70,MAP_SUB,2,0),"L_SECTION")</f>
        <v>L_SECTION</v>
      </c>
    </row>
    <row r="71" customFormat="false" ht="15" hidden="false" customHeight="false" outlineLevel="0" collapsed="false">
      <c r="A71" s="5" t="str">
        <f aca="false">IF($C71="","",ROW()-4)</f>
        <v/>
      </c>
      <c r="B71" s="24"/>
      <c r="C71" s="24"/>
      <c r="D71" s="24"/>
      <c r="E71" s="24"/>
      <c r="F71" s="25" t="str">
        <f aca="false">IFERROR(INDEX('Element Library'!$C:$C,MATCH($C71&amp;"|"&amp;$D71&amp;"|"&amp;$E71,'Element Library'!$H:$H,0)),"")</f>
        <v/>
      </c>
      <c r="G71" s="5" t="str">
        <f aca="false">IFERROR(INDEX('Element Library'!$G:$G,MATCH($C71&amp;"|"&amp;$D71&amp;"|"&amp;$E71,'Element Library'!$H:$H,0)),"")</f>
        <v/>
      </c>
      <c r="H71" s="24"/>
      <c r="I71" s="26"/>
      <c r="J71" s="24"/>
      <c r="K71" s="27" t="str">
        <f aca="false">IFERROR(VLOOKUP($C71,MAP_SEC,2,0),"L_SECTION")</f>
        <v>L_SECTION</v>
      </c>
      <c r="L71" s="27" t="str">
        <f aca="false">IFERROR(VLOOKUP($C71&amp;"|"&amp;$D71,MAP_SUB,2,0),"L_SECTION")</f>
        <v>L_SECTION</v>
      </c>
    </row>
    <row r="72" customFormat="false" ht="15" hidden="false" customHeight="false" outlineLevel="0" collapsed="false">
      <c r="A72" s="5" t="str">
        <f aca="false">IF($C72="","",ROW()-4)</f>
        <v/>
      </c>
      <c r="B72" s="24"/>
      <c r="C72" s="24"/>
      <c r="D72" s="24"/>
      <c r="E72" s="24"/>
      <c r="F72" s="25" t="str">
        <f aca="false">IFERROR(INDEX('Element Library'!$C:$C,MATCH($C72&amp;"|"&amp;$D72&amp;"|"&amp;$E72,'Element Library'!$H:$H,0)),"")</f>
        <v/>
      </c>
      <c r="G72" s="5" t="str">
        <f aca="false">IFERROR(INDEX('Element Library'!$G:$G,MATCH($C72&amp;"|"&amp;$D72&amp;"|"&amp;$E72,'Element Library'!$H:$H,0)),"")</f>
        <v/>
      </c>
      <c r="H72" s="24"/>
      <c r="I72" s="26"/>
      <c r="J72" s="24"/>
      <c r="K72" s="27" t="str">
        <f aca="false">IFERROR(VLOOKUP($C72,MAP_SEC,2,0),"L_SECTION")</f>
        <v>L_SECTION</v>
      </c>
      <c r="L72" s="27" t="str">
        <f aca="false">IFERROR(VLOOKUP($C72&amp;"|"&amp;$D72,MAP_SUB,2,0),"L_SECTION")</f>
        <v>L_SECTION</v>
      </c>
    </row>
    <row r="73" customFormat="false" ht="15" hidden="false" customHeight="false" outlineLevel="0" collapsed="false">
      <c r="A73" s="5" t="str">
        <f aca="false">IF($C73="","",ROW()-4)</f>
        <v/>
      </c>
      <c r="B73" s="24"/>
      <c r="C73" s="24"/>
      <c r="D73" s="24"/>
      <c r="E73" s="24"/>
      <c r="F73" s="25" t="str">
        <f aca="false">IFERROR(INDEX('Element Library'!$C:$C,MATCH($C73&amp;"|"&amp;$D73&amp;"|"&amp;$E73,'Element Library'!$H:$H,0)),"")</f>
        <v/>
      </c>
      <c r="G73" s="5" t="str">
        <f aca="false">IFERROR(INDEX('Element Library'!$G:$G,MATCH($C73&amp;"|"&amp;$D73&amp;"|"&amp;$E73,'Element Library'!$H:$H,0)),"")</f>
        <v/>
      </c>
      <c r="H73" s="24"/>
      <c r="I73" s="26"/>
      <c r="J73" s="24"/>
      <c r="K73" s="27" t="str">
        <f aca="false">IFERROR(VLOOKUP($C73,MAP_SEC,2,0),"L_SECTION")</f>
        <v>L_SECTION</v>
      </c>
      <c r="L73" s="27" t="str">
        <f aca="false">IFERROR(VLOOKUP($C73&amp;"|"&amp;$D73,MAP_SUB,2,0),"L_SECTION")</f>
        <v>L_SECTION</v>
      </c>
    </row>
    <row r="74" customFormat="false" ht="15" hidden="false" customHeight="false" outlineLevel="0" collapsed="false">
      <c r="A74" s="5" t="str">
        <f aca="false">IF($C74="","",ROW()-4)</f>
        <v/>
      </c>
      <c r="B74" s="24"/>
      <c r="C74" s="24"/>
      <c r="D74" s="24"/>
      <c r="E74" s="24"/>
      <c r="F74" s="25" t="str">
        <f aca="false">IFERROR(INDEX('Element Library'!$C:$C,MATCH($C74&amp;"|"&amp;$D74&amp;"|"&amp;$E74,'Element Library'!$H:$H,0)),"")</f>
        <v/>
      </c>
      <c r="G74" s="5" t="str">
        <f aca="false">IFERROR(INDEX('Element Library'!$G:$G,MATCH($C74&amp;"|"&amp;$D74&amp;"|"&amp;$E74,'Element Library'!$H:$H,0)),"")</f>
        <v/>
      </c>
      <c r="H74" s="24"/>
      <c r="I74" s="26"/>
      <c r="J74" s="24"/>
      <c r="K74" s="27" t="str">
        <f aca="false">IFERROR(VLOOKUP($C74,MAP_SEC,2,0),"L_SECTION")</f>
        <v>L_SECTION</v>
      </c>
      <c r="L74" s="27" t="str">
        <f aca="false">IFERROR(VLOOKUP($C74&amp;"|"&amp;$D74,MAP_SUB,2,0),"L_SECTION")</f>
        <v>L_SECTION</v>
      </c>
    </row>
    <row r="75" customFormat="false" ht="15" hidden="false" customHeight="false" outlineLevel="0" collapsed="false">
      <c r="A75" s="5" t="str">
        <f aca="false">IF($C75="","",ROW()-4)</f>
        <v/>
      </c>
      <c r="B75" s="24"/>
      <c r="C75" s="24"/>
      <c r="D75" s="24"/>
      <c r="E75" s="24"/>
      <c r="F75" s="25" t="str">
        <f aca="false">IFERROR(INDEX('Element Library'!$C:$C,MATCH($C75&amp;"|"&amp;$D75&amp;"|"&amp;$E75,'Element Library'!$H:$H,0)),"")</f>
        <v/>
      </c>
      <c r="G75" s="5" t="str">
        <f aca="false">IFERROR(INDEX('Element Library'!$G:$G,MATCH($C75&amp;"|"&amp;$D75&amp;"|"&amp;$E75,'Element Library'!$H:$H,0)),"")</f>
        <v/>
      </c>
      <c r="H75" s="24"/>
      <c r="I75" s="26"/>
      <c r="J75" s="24"/>
      <c r="K75" s="27" t="str">
        <f aca="false">IFERROR(VLOOKUP($C75,MAP_SEC,2,0),"L_SECTION")</f>
        <v>L_SECTION</v>
      </c>
      <c r="L75" s="27" t="str">
        <f aca="false">IFERROR(VLOOKUP($C75&amp;"|"&amp;$D75,MAP_SUB,2,0),"L_SECTION")</f>
        <v>L_SECTION</v>
      </c>
    </row>
    <row r="76" customFormat="false" ht="15" hidden="false" customHeight="false" outlineLevel="0" collapsed="false">
      <c r="A76" s="5" t="str">
        <f aca="false">IF($C76="","",ROW()-4)</f>
        <v/>
      </c>
      <c r="B76" s="24"/>
      <c r="C76" s="24"/>
      <c r="D76" s="24"/>
      <c r="E76" s="24"/>
      <c r="F76" s="25" t="str">
        <f aca="false">IFERROR(INDEX('Element Library'!$C:$C,MATCH($C76&amp;"|"&amp;$D76&amp;"|"&amp;$E76,'Element Library'!$H:$H,0)),"")</f>
        <v/>
      </c>
      <c r="G76" s="5" t="str">
        <f aca="false">IFERROR(INDEX('Element Library'!$G:$G,MATCH($C76&amp;"|"&amp;$D76&amp;"|"&amp;$E76,'Element Library'!$H:$H,0)),"")</f>
        <v/>
      </c>
      <c r="H76" s="24"/>
      <c r="I76" s="26"/>
      <c r="J76" s="24"/>
      <c r="K76" s="27" t="str">
        <f aca="false">IFERROR(VLOOKUP($C76,MAP_SEC,2,0),"L_SECTION")</f>
        <v>L_SECTION</v>
      </c>
      <c r="L76" s="27" t="str">
        <f aca="false">IFERROR(VLOOKUP($C76&amp;"|"&amp;$D76,MAP_SUB,2,0),"L_SECTION")</f>
        <v>L_SECTION</v>
      </c>
    </row>
    <row r="77" customFormat="false" ht="15" hidden="false" customHeight="false" outlineLevel="0" collapsed="false">
      <c r="A77" s="5" t="str">
        <f aca="false">IF($C77="","",ROW()-4)</f>
        <v/>
      </c>
      <c r="B77" s="24"/>
      <c r="C77" s="24"/>
      <c r="D77" s="24"/>
      <c r="E77" s="24"/>
      <c r="F77" s="25" t="str">
        <f aca="false">IFERROR(INDEX('Element Library'!$C:$C,MATCH($C77&amp;"|"&amp;$D77&amp;"|"&amp;$E77,'Element Library'!$H:$H,0)),"")</f>
        <v/>
      </c>
      <c r="G77" s="5" t="str">
        <f aca="false">IFERROR(INDEX('Element Library'!$G:$G,MATCH($C77&amp;"|"&amp;$D77&amp;"|"&amp;$E77,'Element Library'!$H:$H,0)),"")</f>
        <v/>
      </c>
      <c r="H77" s="24"/>
      <c r="I77" s="26"/>
      <c r="J77" s="24"/>
      <c r="K77" s="27" t="str">
        <f aca="false">IFERROR(VLOOKUP($C77,MAP_SEC,2,0),"L_SECTION")</f>
        <v>L_SECTION</v>
      </c>
      <c r="L77" s="27" t="str">
        <f aca="false">IFERROR(VLOOKUP($C77&amp;"|"&amp;$D77,MAP_SUB,2,0),"L_SECTION")</f>
        <v>L_SECTION</v>
      </c>
    </row>
    <row r="78" customFormat="false" ht="15" hidden="false" customHeight="false" outlineLevel="0" collapsed="false">
      <c r="A78" s="5" t="str">
        <f aca="false">IF($C78="","",ROW()-4)</f>
        <v/>
      </c>
      <c r="B78" s="24"/>
      <c r="C78" s="24"/>
      <c r="D78" s="24"/>
      <c r="E78" s="24"/>
      <c r="F78" s="25" t="str">
        <f aca="false">IFERROR(INDEX('Element Library'!$C:$C,MATCH($C78&amp;"|"&amp;$D78&amp;"|"&amp;$E78,'Element Library'!$H:$H,0)),"")</f>
        <v/>
      </c>
      <c r="G78" s="5" t="str">
        <f aca="false">IFERROR(INDEX('Element Library'!$G:$G,MATCH($C78&amp;"|"&amp;$D78&amp;"|"&amp;$E78,'Element Library'!$H:$H,0)),"")</f>
        <v/>
      </c>
      <c r="H78" s="24"/>
      <c r="I78" s="26"/>
      <c r="J78" s="24"/>
      <c r="K78" s="27" t="str">
        <f aca="false">IFERROR(VLOOKUP($C78,MAP_SEC,2,0),"L_SECTION")</f>
        <v>L_SECTION</v>
      </c>
      <c r="L78" s="27" t="str">
        <f aca="false">IFERROR(VLOOKUP($C78&amp;"|"&amp;$D78,MAP_SUB,2,0),"L_SECTION")</f>
        <v>L_SECTION</v>
      </c>
    </row>
    <row r="79" customFormat="false" ht="15" hidden="false" customHeight="false" outlineLevel="0" collapsed="false">
      <c r="A79" s="5" t="str">
        <f aca="false">IF($C79="","",ROW()-4)</f>
        <v/>
      </c>
      <c r="B79" s="24"/>
      <c r="C79" s="24"/>
      <c r="D79" s="24"/>
      <c r="E79" s="24"/>
      <c r="F79" s="25" t="str">
        <f aca="false">IFERROR(INDEX('Element Library'!$C:$C,MATCH($C79&amp;"|"&amp;$D79&amp;"|"&amp;$E79,'Element Library'!$H:$H,0)),"")</f>
        <v/>
      </c>
      <c r="G79" s="5" t="str">
        <f aca="false">IFERROR(INDEX('Element Library'!$G:$G,MATCH($C79&amp;"|"&amp;$D79&amp;"|"&amp;$E79,'Element Library'!$H:$H,0)),"")</f>
        <v/>
      </c>
      <c r="H79" s="24"/>
      <c r="I79" s="26"/>
      <c r="J79" s="24"/>
      <c r="K79" s="27" t="str">
        <f aca="false">IFERROR(VLOOKUP($C79,MAP_SEC,2,0),"L_SECTION")</f>
        <v>L_SECTION</v>
      </c>
      <c r="L79" s="27" t="str">
        <f aca="false">IFERROR(VLOOKUP($C79&amp;"|"&amp;$D79,MAP_SUB,2,0),"L_SECTION")</f>
        <v>L_SECTION</v>
      </c>
    </row>
    <row r="80" customFormat="false" ht="15" hidden="false" customHeight="false" outlineLevel="0" collapsed="false">
      <c r="A80" s="5" t="str">
        <f aca="false">IF($C80="","",ROW()-4)</f>
        <v/>
      </c>
      <c r="B80" s="24"/>
      <c r="C80" s="24"/>
      <c r="D80" s="24"/>
      <c r="E80" s="24"/>
      <c r="F80" s="25" t="str">
        <f aca="false">IFERROR(INDEX('Element Library'!$C:$C,MATCH($C80&amp;"|"&amp;$D80&amp;"|"&amp;$E80,'Element Library'!$H:$H,0)),"")</f>
        <v/>
      </c>
      <c r="G80" s="5" t="str">
        <f aca="false">IFERROR(INDEX('Element Library'!$G:$G,MATCH($C80&amp;"|"&amp;$D80&amp;"|"&amp;$E80,'Element Library'!$H:$H,0)),"")</f>
        <v/>
      </c>
      <c r="H80" s="24"/>
      <c r="I80" s="26"/>
      <c r="J80" s="24"/>
      <c r="K80" s="27" t="str">
        <f aca="false">IFERROR(VLOOKUP($C80,MAP_SEC,2,0),"L_SECTION")</f>
        <v>L_SECTION</v>
      </c>
      <c r="L80" s="27" t="str">
        <f aca="false">IFERROR(VLOOKUP($C80&amp;"|"&amp;$D80,MAP_SUB,2,0),"L_SECTION")</f>
        <v>L_SECTION</v>
      </c>
    </row>
    <row r="81" customFormat="false" ht="15" hidden="false" customHeight="false" outlineLevel="0" collapsed="false">
      <c r="A81" s="5" t="str">
        <f aca="false">IF($C81="","",ROW()-4)</f>
        <v/>
      </c>
      <c r="B81" s="24"/>
      <c r="C81" s="24"/>
      <c r="D81" s="24"/>
      <c r="E81" s="24"/>
      <c r="F81" s="25" t="str">
        <f aca="false">IFERROR(INDEX('Element Library'!$C:$C,MATCH($C81&amp;"|"&amp;$D81&amp;"|"&amp;$E81,'Element Library'!$H:$H,0)),"")</f>
        <v/>
      </c>
      <c r="G81" s="5" t="str">
        <f aca="false">IFERROR(INDEX('Element Library'!$G:$G,MATCH($C81&amp;"|"&amp;$D81&amp;"|"&amp;$E81,'Element Library'!$H:$H,0)),"")</f>
        <v/>
      </c>
      <c r="H81" s="24"/>
      <c r="I81" s="26"/>
      <c r="J81" s="24"/>
      <c r="K81" s="27" t="str">
        <f aca="false">IFERROR(VLOOKUP($C81,MAP_SEC,2,0),"L_SECTION")</f>
        <v>L_SECTION</v>
      </c>
      <c r="L81" s="27" t="str">
        <f aca="false">IFERROR(VLOOKUP($C81&amp;"|"&amp;$D81,MAP_SUB,2,0),"L_SECTION")</f>
        <v>L_SECTION</v>
      </c>
    </row>
    <row r="82" customFormat="false" ht="15" hidden="false" customHeight="false" outlineLevel="0" collapsed="false">
      <c r="A82" s="5" t="str">
        <f aca="false">IF($C82="","",ROW()-4)</f>
        <v/>
      </c>
      <c r="B82" s="24"/>
      <c r="C82" s="24"/>
      <c r="D82" s="24"/>
      <c r="E82" s="24"/>
      <c r="F82" s="25" t="str">
        <f aca="false">IFERROR(INDEX('Element Library'!$C:$C,MATCH($C82&amp;"|"&amp;$D82&amp;"|"&amp;$E82,'Element Library'!$H:$H,0)),"")</f>
        <v/>
      </c>
      <c r="G82" s="5" t="str">
        <f aca="false">IFERROR(INDEX('Element Library'!$G:$G,MATCH($C82&amp;"|"&amp;$D82&amp;"|"&amp;$E82,'Element Library'!$H:$H,0)),"")</f>
        <v/>
      </c>
      <c r="H82" s="24"/>
      <c r="I82" s="26"/>
      <c r="J82" s="24"/>
      <c r="K82" s="27" t="str">
        <f aca="false">IFERROR(VLOOKUP($C82,MAP_SEC,2,0),"L_SECTION")</f>
        <v>L_SECTION</v>
      </c>
      <c r="L82" s="27" t="str">
        <f aca="false">IFERROR(VLOOKUP($C82&amp;"|"&amp;$D82,MAP_SUB,2,0),"L_SECTION")</f>
        <v>L_SECTION</v>
      </c>
    </row>
    <row r="83" customFormat="false" ht="15" hidden="false" customHeight="false" outlineLevel="0" collapsed="false">
      <c r="A83" s="5" t="str">
        <f aca="false">IF($C83="","",ROW()-4)</f>
        <v/>
      </c>
      <c r="B83" s="24"/>
      <c r="C83" s="24"/>
      <c r="D83" s="24"/>
      <c r="E83" s="24"/>
      <c r="F83" s="25" t="str">
        <f aca="false">IFERROR(INDEX('Element Library'!$C:$C,MATCH($C83&amp;"|"&amp;$D83&amp;"|"&amp;$E83,'Element Library'!$H:$H,0)),"")</f>
        <v/>
      </c>
      <c r="G83" s="5" t="str">
        <f aca="false">IFERROR(INDEX('Element Library'!$G:$G,MATCH($C83&amp;"|"&amp;$D83&amp;"|"&amp;$E83,'Element Library'!$H:$H,0)),"")</f>
        <v/>
      </c>
      <c r="H83" s="24"/>
      <c r="I83" s="26"/>
      <c r="J83" s="24"/>
      <c r="K83" s="27" t="str">
        <f aca="false">IFERROR(VLOOKUP($C83,MAP_SEC,2,0),"L_SECTION")</f>
        <v>L_SECTION</v>
      </c>
      <c r="L83" s="27" t="str">
        <f aca="false">IFERROR(VLOOKUP($C83&amp;"|"&amp;$D83,MAP_SUB,2,0),"L_SECTION")</f>
        <v>L_SECTION</v>
      </c>
    </row>
    <row r="84" customFormat="false" ht="15" hidden="false" customHeight="false" outlineLevel="0" collapsed="false">
      <c r="A84" s="5" t="str">
        <f aca="false">IF($C84="","",ROW()-4)</f>
        <v/>
      </c>
      <c r="B84" s="24"/>
      <c r="C84" s="24"/>
      <c r="D84" s="24"/>
      <c r="E84" s="24"/>
      <c r="F84" s="25" t="str">
        <f aca="false">IFERROR(INDEX('Element Library'!$C:$C,MATCH($C84&amp;"|"&amp;$D84&amp;"|"&amp;$E84,'Element Library'!$H:$H,0)),"")</f>
        <v/>
      </c>
      <c r="G84" s="5" t="str">
        <f aca="false">IFERROR(INDEX('Element Library'!$G:$G,MATCH($C84&amp;"|"&amp;$D84&amp;"|"&amp;$E84,'Element Library'!$H:$H,0)),"")</f>
        <v/>
      </c>
      <c r="H84" s="24"/>
      <c r="I84" s="26"/>
      <c r="J84" s="24"/>
      <c r="K84" s="27" t="str">
        <f aca="false">IFERROR(VLOOKUP($C84,MAP_SEC,2,0),"L_SECTION")</f>
        <v>L_SECTION</v>
      </c>
      <c r="L84" s="27" t="str">
        <f aca="false">IFERROR(VLOOKUP($C84&amp;"|"&amp;$D84,MAP_SUB,2,0),"L_SECTION")</f>
        <v>L_SECTION</v>
      </c>
    </row>
    <row r="85" customFormat="false" ht="15" hidden="false" customHeight="false" outlineLevel="0" collapsed="false">
      <c r="A85" s="5" t="str">
        <f aca="false">IF($C85="","",ROW()-4)</f>
        <v/>
      </c>
      <c r="B85" s="24"/>
      <c r="C85" s="24"/>
      <c r="D85" s="24"/>
      <c r="E85" s="24"/>
      <c r="F85" s="25" t="str">
        <f aca="false">IFERROR(INDEX('Element Library'!$C:$C,MATCH($C85&amp;"|"&amp;$D85&amp;"|"&amp;$E85,'Element Library'!$H:$H,0)),"")</f>
        <v/>
      </c>
      <c r="G85" s="5" t="str">
        <f aca="false">IFERROR(INDEX('Element Library'!$G:$G,MATCH($C85&amp;"|"&amp;$D85&amp;"|"&amp;$E85,'Element Library'!$H:$H,0)),"")</f>
        <v/>
      </c>
      <c r="H85" s="24"/>
      <c r="I85" s="26"/>
      <c r="J85" s="24"/>
      <c r="K85" s="27" t="str">
        <f aca="false">IFERROR(VLOOKUP($C85,MAP_SEC,2,0),"L_SECTION")</f>
        <v>L_SECTION</v>
      </c>
      <c r="L85" s="27" t="str">
        <f aca="false">IFERROR(VLOOKUP($C85&amp;"|"&amp;$D85,MAP_SUB,2,0),"L_SECTION")</f>
        <v>L_SECTION</v>
      </c>
    </row>
    <row r="86" customFormat="false" ht="15" hidden="false" customHeight="false" outlineLevel="0" collapsed="false">
      <c r="A86" s="5" t="str">
        <f aca="false">IF($C86="","",ROW()-4)</f>
        <v/>
      </c>
      <c r="B86" s="24"/>
      <c r="C86" s="24"/>
      <c r="D86" s="24"/>
      <c r="E86" s="24"/>
      <c r="F86" s="25" t="str">
        <f aca="false">IFERROR(INDEX('Element Library'!$C:$C,MATCH($C86&amp;"|"&amp;$D86&amp;"|"&amp;$E86,'Element Library'!$H:$H,0)),"")</f>
        <v/>
      </c>
      <c r="G86" s="5" t="str">
        <f aca="false">IFERROR(INDEX('Element Library'!$G:$G,MATCH($C86&amp;"|"&amp;$D86&amp;"|"&amp;$E86,'Element Library'!$H:$H,0)),"")</f>
        <v/>
      </c>
      <c r="H86" s="24"/>
      <c r="I86" s="26"/>
      <c r="J86" s="24"/>
      <c r="K86" s="27" t="str">
        <f aca="false">IFERROR(VLOOKUP($C86,MAP_SEC,2,0),"L_SECTION")</f>
        <v>L_SECTION</v>
      </c>
      <c r="L86" s="27" t="str">
        <f aca="false">IFERROR(VLOOKUP($C86&amp;"|"&amp;$D86,MAP_SUB,2,0),"L_SECTION")</f>
        <v>L_SECTION</v>
      </c>
    </row>
    <row r="87" customFormat="false" ht="15" hidden="false" customHeight="false" outlineLevel="0" collapsed="false">
      <c r="A87" s="5" t="str">
        <f aca="false">IF($C87="","",ROW()-4)</f>
        <v/>
      </c>
      <c r="B87" s="24"/>
      <c r="C87" s="24"/>
      <c r="D87" s="24"/>
      <c r="E87" s="24"/>
      <c r="F87" s="25" t="str">
        <f aca="false">IFERROR(INDEX('Element Library'!$C:$C,MATCH($C87&amp;"|"&amp;$D87&amp;"|"&amp;$E87,'Element Library'!$H:$H,0)),"")</f>
        <v/>
      </c>
      <c r="G87" s="5" t="str">
        <f aca="false">IFERROR(INDEX('Element Library'!$G:$G,MATCH($C87&amp;"|"&amp;$D87&amp;"|"&amp;$E87,'Element Library'!$H:$H,0)),"")</f>
        <v/>
      </c>
      <c r="H87" s="24"/>
      <c r="I87" s="26"/>
      <c r="J87" s="24"/>
      <c r="K87" s="27" t="str">
        <f aca="false">IFERROR(VLOOKUP($C87,MAP_SEC,2,0),"L_SECTION")</f>
        <v>L_SECTION</v>
      </c>
      <c r="L87" s="27" t="str">
        <f aca="false">IFERROR(VLOOKUP($C87&amp;"|"&amp;$D87,MAP_SUB,2,0),"L_SECTION")</f>
        <v>L_SECTION</v>
      </c>
    </row>
    <row r="88" customFormat="false" ht="15" hidden="false" customHeight="false" outlineLevel="0" collapsed="false">
      <c r="A88" s="5" t="str">
        <f aca="false">IF($C88="","",ROW()-4)</f>
        <v/>
      </c>
      <c r="B88" s="24"/>
      <c r="C88" s="24"/>
      <c r="D88" s="24"/>
      <c r="E88" s="24"/>
      <c r="F88" s="25" t="str">
        <f aca="false">IFERROR(INDEX('Element Library'!$C:$C,MATCH($C88&amp;"|"&amp;$D88&amp;"|"&amp;$E88,'Element Library'!$H:$H,0)),"")</f>
        <v/>
      </c>
      <c r="G88" s="5" t="str">
        <f aca="false">IFERROR(INDEX('Element Library'!$G:$G,MATCH($C88&amp;"|"&amp;$D88&amp;"|"&amp;$E88,'Element Library'!$H:$H,0)),"")</f>
        <v/>
      </c>
      <c r="H88" s="24"/>
      <c r="I88" s="26"/>
      <c r="J88" s="24"/>
      <c r="K88" s="27" t="str">
        <f aca="false">IFERROR(VLOOKUP($C88,MAP_SEC,2,0),"L_SECTION")</f>
        <v>L_SECTION</v>
      </c>
      <c r="L88" s="27" t="str">
        <f aca="false">IFERROR(VLOOKUP($C88&amp;"|"&amp;$D88,MAP_SUB,2,0),"L_SECTION")</f>
        <v>L_SECTION</v>
      </c>
    </row>
    <row r="89" customFormat="false" ht="15" hidden="false" customHeight="false" outlineLevel="0" collapsed="false">
      <c r="A89" s="5" t="str">
        <f aca="false">IF($C89="","",ROW()-4)</f>
        <v/>
      </c>
      <c r="B89" s="24"/>
      <c r="C89" s="24"/>
      <c r="D89" s="24"/>
      <c r="E89" s="24"/>
      <c r="F89" s="25" t="str">
        <f aca="false">IFERROR(INDEX('Element Library'!$C:$C,MATCH($C89&amp;"|"&amp;$D89&amp;"|"&amp;$E89,'Element Library'!$H:$H,0)),"")</f>
        <v/>
      </c>
      <c r="G89" s="5" t="str">
        <f aca="false">IFERROR(INDEX('Element Library'!$G:$G,MATCH($C89&amp;"|"&amp;$D89&amp;"|"&amp;$E89,'Element Library'!$H:$H,0)),"")</f>
        <v/>
      </c>
      <c r="H89" s="24"/>
      <c r="I89" s="26"/>
      <c r="J89" s="24"/>
      <c r="K89" s="27" t="str">
        <f aca="false">IFERROR(VLOOKUP($C89,MAP_SEC,2,0),"L_SECTION")</f>
        <v>L_SECTION</v>
      </c>
      <c r="L89" s="27" t="str">
        <f aca="false">IFERROR(VLOOKUP($C89&amp;"|"&amp;$D89,MAP_SUB,2,0),"L_SECTION")</f>
        <v>L_SECTION</v>
      </c>
    </row>
    <row r="90" customFormat="false" ht="15" hidden="false" customHeight="false" outlineLevel="0" collapsed="false">
      <c r="A90" s="5" t="str">
        <f aca="false">IF($C90="","",ROW()-4)</f>
        <v/>
      </c>
      <c r="B90" s="24"/>
      <c r="C90" s="24"/>
      <c r="D90" s="24"/>
      <c r="E90" s="24"/>
      <c r="F90" s="25" t="str">
        <f aca="false">IFERROR(INDEX('Element Library'!$C:$C,MATCH($C90&amp;"|"&amp;$D90&amp;"|"&amp;$E90,'Element Library'!$H:$H,0)),"")</f>
        <v/>
      </c>
      <c r="G90" s="5" t="str">
        <f aca="false">IFERROR(INDEX('Element Library'!$G:$G,MATCH($C90&amp;"|"&amp;$D90&amp;"|"&amp;$E90,'Element Library'!$H:$H,0)),"")</f>
        <v/>
      </c>
      <c r="H90" s="24"/>
      <c r="I90" s="26"/>
      <c r="J90" s="24"/>
      <c r="K90" s="27" t="str">
        <f aca="false">IFERROR(VLOOKUP($C90,MAP_SEC,2,0),"L_SECTION")</f>
        <v>L_SECTION</v>
      </c>
      <c r="L90" s="27" t="str">
        <f aca="false">IFERROR(VLOOKUP($C90&amp;"|"&amp;$D90,MAP_SUB,2,0),"L_SECTION")</f>
        <v>L_SECTION</v>
      </c>
    </row>
    <row r="91" customFormat="false" ht="15" hidden="false" customHeight="false" outlineLevel="0" collapsed="false">
      <c r="A91" s="5" t="str">
        <f aca="false">IF($C91="","",ROW()-4)</f>
        <v/>
      </c>
      <c r="B91" s="24"/>
      <c r="C91" s="24"/>
      <c r="D91" s="24"/>
      <c r="E91" s="24"/>
      <c r="F91" s="25" t="str">
        <f aca="false">IFERROR(INDEX('Element Library'!$C:$C,MATCH($C91&amp;"|"&amp;$D91&amp;"|"&amp;$E91,'Element Library'!$H:$H,0)),"")</f>
        <v/>
      </c>
      <c r="G91" s="5" t="str">
        <f aca="false">IFERROR(INDEX('Element Library'!$G:$G,MATCH($C91&amp;"|"&amp;$D91&amp;"|"&amp;$E91,'Element Library'!$H:$H,0)),"")</f>
        <v/>
      </c>
      <c r="H91" s="24"/>
      <c r="I91" s="26"/>
      <c r="J91" s="24"/>
      <c r="K91" s="27" t="str">
        <f aca="false">IFERROR(VLOOKUP($C91,MAP_SEC,2,0),"L_SECTION")</f>
        <v>L_SECTION</v>
      </c>
      <c r="L91" s="27" t="str">
        <f aca="false">IFERROR(VLOOKUP($C91&amp;"|"&amp;$D91,MAP_SUB,2,0),"L_SECTION")</f>
        <v>L_SECTION</v>
      </c>
    </row>
    <row r="92" customFormat="false" ht="15" hidden="false" customHeight="false" outlineLevel="0" collapsed="false">
      <c r="A92" s="5" t="str">
        <f aca="false">IF($C92="","",ROW()-4)</f>
        <v/>
      </c>
      <c r="B92" s="24"/>
      <c r="C92" s="24"/>
      <c r="D92" s="24"/>
      <c r="E92" s="24"/>
      <c r="F92" s="25" t="str">
        <f aca="false">IFERROR(INDEX('Element Library'!$C:$C,MATCH($C92&amp;"|"&amp;$D92&amp;"|"&amp;$E92,'Element Library'!$H:$H,0)),"")</f>
        <v/>
      </c>
      <c r="G92" s="5" t="str">
        <f aca="false">IFERROR(INDEX('Element Library'!$G:$G,MATCH($C92&amp;"|"&amp;$D92&amp;"|"&amp;$E92,'Element Library'!$H:$H,0)),"")</f>
        <v/>
      </c>
      <c r="H92" s="24"/>
      <c r="I92" s="26"/>
      <c r="J92" s="24"/>
      <c r="K92" s="27" t="str">
        <f aca="false">IFERROR(VLOOKUP($C92,MAP_SEC,2,0),"L_SECTION")</f>
        <v>L_SECTION</v>
      </c>
      <c r="L92" s="27" t="str">
        <f aca="false">IFERROR(VLOOKUP($C92&amp;"|"&amp;$D92,MAP_SUB,2,0),"L_SECTION")</f>
        <v>L_SECTION</v>
      </c>
    </row>
    <row r="93" customFormat="false" ht="15" hidden="false" customHeight="false" outlineLevel="0" collapsed="false">
      <c r="A93" s="5" t="str">
        <f aca="false">IF($C93="","",ROW()-4)</f>
        <v/>
      </c>
      <c r="B93" s="24"/>
      <c r="C93" s="24"/>
      <c r="D93" s="24"/>
      <c r="E93" s="24"/>
      <c r="F93" s="25" t="str">
        <f aca="false">IFERROR(INDEX('Element Library'!$C:$C,MATCH($C93&amp;"|"&amp;$D93&amp;"|"&amp;$E93,'Element Library'!$H:$H,0)),"")</f>
        <v/>
      </c>
      <c r="G93" s="5" t="str">
        <f aca="false">IFERROR(INDEX('Element Library'!$G:$G,MATCH($C93&amp;"|"&amp;$D93&amp;"|"&amp;$E93,'Element Library'!$H:$H,0)),"")</f>
        <v/>
      </c>
      <c r="H93" s="24"/>
      <c r="I93" s="26"/>
      <c r="J93" s="24"/>
      <c r="K93" s="27" t="str">
        <f aca="false">IFERROR(VLOOKUP($C93,MAP_SEC,2,0),"L_SECTION")</f>
        <v>L_SECTION</v>
      </c>
      <c r="L93" s="27" t="str">
        <f aca="false">IFERROR(VLOOKUP($C93&amp;"|"&amp;$D93,MAP_SUB,2,0),"L_SECTION")</f>
        <v>L_SECTION</v>
      </c>
    </row>
    <row r="94" customFormat="false" ht="15" hidden="false" customHeight="false" outlineLevel="0" collapsed="false">
      <c r="A94" s="5" t="str">
        <f aca="false">IF($C94="","",ROW()-4)</f>
        <v/>
      </c>
      <c r="B94" s="24"/>
      <c r="C94" s="24"/>
      <c r="D94" s="24"/>
      <c r="E94" s="24"/>
      <c r="F94" s="25" t="str">
        <f aca="false">IFERROR(INDEX('Element Library'!$C:$C,MATCH($C94&amp;"|"&amp;$D94&amp;"|"&amp;$E94,'Element Library'!$H:$H,0)),"")</f>
        <v/>
      </c>
      <c r="G94" s="5" t="str">
        <f aca="false">IFERROR(INDEX('Element Library'!$G:$G,MATCH($C94&amp;"|"&amp;$D94&amp;"|"&amp;$E94,'Element Library'!$H:$H,0)),"")</f>
        <v/>
      </c>
      <c r="H94" s="24"/>
      <c r="I94" s="26"/>
      <c r="J94" s="24"/>
      <c r="K94" s="27" t="str">
        <f aca="false">IFERROR(VLOOKUP($C94,MAP_SEC,2,0),"L_SECTION")</f>
        <v>L_SECTION</v>
      </c>
      <c r="L94" s="27" t="str">
        <f aca="false">IFERROR(VLOOKUP($C94&amp;"|"&amp;$D94,MAP_SUB,2,0),"L_SECTION")</f>
        <v>L_SECTION</v>
      </c>
    </row>
    <row r="95" customFormat="false" ht="15" hidden="false" customHeight="false" outlineLevel="0" collapsed="false">
      <c r="A95" s="5" t="str">
        <f aca="false">IF($C95="","",ROW()-4)</f>
        <v/>
      </c>
      <c r="B95" s="24"/>
      <c r="C95" s="24"/>
      <c r="D95" s="24"/>
      <c r="E95" s="24"/>
      <c r="F95" s="25" t="str">
        <f aca="false">IFERROR(INDEX('Element Library'!$C:$C,MATCH($C95&amp;"|"&amp;$D95&amp;"|"&amp;$E95,'Element Library'!$H:$H,0)),"")</f>
        <v/>
      </c>
      <c r="G95" s="5" t="str">
        <f aca="false">IFERROR(INDEX('Element Library'!$G:$G,MATCH($C95&amp;"|"&amp;$D95&amp;"|"&amp;$E95,'Element Library'!$H:$H,0)),"")</f>
        <v/>
      </c>
      <c r="H95" s="24"/>
      <c r="I95" s="26"/>
      <c r="J95" s="24"/>
      <c r="K95" s="27" t="str">
        <f aca="false">IFERROR(VLOOKUP($C95,MAP_SEC,2,0),"L_SECTION")</f>
        <v>L_SECTION</v>
      </c>
      <c r="L95" s="27" t="str">
        <f aca="false">IFERROR(VLOOKUP($C95&amp;"|"&amp;$D95,MAP_SUB,2,0),"L_SECTION")</f>
        <v>L_SECTION</v>
      </c>
    </row>
    <row r="96" customFormat="false" ht="15" hidden="false" customHeight="false" outlineLevel="0" collapsed="false">
      <c r="A96" s="5" t="str">
        <f aca="false">IF($C96="","",ROW()-4)</f>
        <v/>
      </c>
      <c r="B96" s="24"/>
      <c r="C96" s="24"/>
      <c r="D96" s="24"/>
      <c r="E96" s="24"/>
      <c r="F96" s="25" t="str">
        <f aca="false">IFERROR(INDEX('Element Library'!$C:$C,MATCH($C96&amp;"|"&amp;$D96&amp;"|"&amp;$E96,'Element Library'!$H:$H,0)),"")</f>
        <v/>
      </c>
      <c r="G96" s="5" t="str">
        <f aca="false">IFERROR(INDEX('Element Library'!$G:$G,MATCH($C96&amp;"|"&amp;$D96&amp;"|"&amp;$E96,'Element Library'!$H:$H,0)),"")</f>
        <v/>
      </c>
      <c r="H96" s="24"/>
      <c r="I96" s="26"/>
      <c r="J96" s="24"/>
      <c r="K96" s="27" t="str">
        <f aca="false">IFERROR(VLOOKUP($C96,MAP_SEC,2,0),"L_SECTION")</f>
        <v>L_SECTION</v>
      </c>
      <c r="L96" s="27" t="str">
        <f aca="false">IFERROR(VLOOKUP($C96&amp;"|"&amp;$D96,MAP_SUB,2,0),"L_SECTION")</f>
        <v>L_SECTION</v>
      </c>
    </row>
    <row r="97" customFormat="false" ht="15" hidden="false" customHeight="false" outlineLevel="0" collapsed="false">
      <c r="A97" s="5" t="str">
        <f aca="false">IF($C97="","",ROW()-4)</f>
        <v/>
      </c>
      <c r="B97" s="24"/>
      <c r="C97" s="24"/>
      <c r="D97" s="24"/>
      <c r="E97" s="24"/>
      <c r="F97" s="25" t="str">
        <f aca="false">IFERROR(INDEX('Element Library'!$C:$C,MATCH($C97&amp;"|"&amp;$D97&amp;"|"&amp;$E97,'Element Library'!$H:$H,0)),"")</f>
        <v/>
      </c>
      <c r="G97" s="5" t="str">
        <f aca="false">IFERROR(INDEX('Element Library'!$G:$G,MATCH($C97&amp;"|"&amp;$D97&amp;"|"&amp;$E97,'Element Library'!$H:$H,0)),"")</f>
        <v/>
      </c>
      <c r="H97" s="24"/>
      <c r="I97" s="26"/>
      <c r="J97" s="24"/>
      <c r="K97" s="27" t="str">
        <f aca="false">IFERROR(VLOOKUP($C97,MAP_SEC,2,0),"L_SECTION")</f>
        <v>L_SECTION</v>
      </c>
      <c r="L97" s="27" t="str">
        <f aca="false">IFERROR(VLOOKUP($C97&amp;"|"&amp;$D97,MAP_SUB,2,0),"L_SECTION")</f>
        <v>L_SECTION</v>
      </c>
    </row>
    <row r="98" customFormat="false" ht="15" hidden="false" customHeight="false" outlineLevel="0" collapsed="false">
      <c r="A98" s="5" t="str">
        <f aca="false">IF($C98="","",ROW()-4)</f>
        <v/>
      </c>
      <c r="B98" s="24"/>
      <c r="C98" s="24"/>
      <c r="D98" s="24"/>
      <c r="E98" s="24"/>
      <c r="F98" s="25" t="str">
        <f aca="false">IFERROR(INDEX('Element Library'!$C:$C,MATCH($C98&amp;"|"&amp;$D98&amp;"|"&amp;$E98,'Element Library'!$H:$H,0)),"")</f>
        <v/>
      </c>
      <c r="G98" s="5" t="str">
        <f aca="false">IFERROR(INDEX('Element Library'!$G:$G,MATCH($C98&amp;"|"&amp;$D98&amp;"|"&amp;$E98,'Element Library'!$H:$H,0)),"")</f>
        <v/>
      </c>
      <c r="H98" s="24"/>
      <c r="I98" s="26"/>
      <c r="J98" s="24"/>
      <c r="K98" s="27" t="str">
        <f aca="false">IFERROR(VLOOKUP($C98,MAP_SEC,2,0),"L_SECTION")</f>
        <v>L_SECTION</v>
      </c>
      <c r="L98" s="27" t="str">
        <f aca="false">IFERROR(VLOOKUP($C98&amp;"|"&amp;$D98,MAP_SUB,2,0),"L_SECTION")</f>
        <v>L_SECTION</v>
      </c>
    </row>
    <row r="99" customFormat="false" ht="15" hidden="false" customHeight="false" outlineLevel="0" collapsed="false">
      <c r="A99" s="5" t="str">
        <f aca="false">IF($C99="","",ROW()-4)</f>
        <v/>
      </c>
      <c r="B99" s="24"/>
      <c r="C99" s="24"/>
      <c r="D99" s="24"/>
      <c r="E99" s="24"/>
      <c r="F99" s="25" t="str">
        <f aca="false">IFERROR(INDEX('Element Library'!$C:$C,MATCH($C99&amp;"|"&amp;$D99&amp;"|"&amp;$E99,'Element Library'!$H:$H,0)),"")</f>
        <v/>
      </c>
      <c r="G99" s="5" t="str">
        <f aca="false">IFERROR(INDEX('Element Library'!$G:$G,MATCH($C99&amp;"|"&amp;$D99&amp;"|"&amp;$E99,'Element Library'!$H:$H,0)),"")</f>
        <v/>
      </c>
      <c r="H99" s="24"/>
      <c r="I99" s="26"/>
      <c r="J99" s="24"/>
      <c r="K99" s="27" t="str">
        <f aca="false">IFERROR(VLOOKUP($C99,MAP_SEC,2,0),"L_SECTION")</f>
        <v>L_SECTION</v>
      </c>
      <c r="L99" s="27" t="str">
        <f aca="false">IFERROR(VLOOKUP($C99&amp;"|"&amp;$D99,MAP_SUB,2,0),"L_SECTION")</f>
        <v>L_SECTION</v>
      </c>
    </row>
    <row r="100" customFormat="false" ht="15" hidden="false" customHeight="false" outlineLevel="0" collapsed="false">
      <c r="A100" s="5" t="str">
        <f aca="false">IF($C100="","",ROW()-4)</f>
        <v/>
      </c>
      <c r="B100" s="24"/>
      <c r="C100" s="24"/>
      <c r="D100" s="24"/>
      <c r="E100" s="24"/>
      <c r="F100" s="25" t="str">
        <f aca="false">IFERROR(INDEX('Element Library'!$C:$C,MATCH($C100&amp;"|"&amp;$D100&amp;"|"&amp;$E100,'Element Library'!$H:$H,0)),"")</f>
        <v/>
      </c>
      <c r="G100" s="5" t="str">
        <f aca="false">IFERROR(INDEX('Element Library'!$G:$G,MATCH($C100&amp;"|"&amp;$D100&amp;"|"&amp;$E100,'Element Library'!$H:$H,0)),"")</f>
        <v/>
      </c>
      <c r="H100" s="24"/>
      <c r="I100" s="26"/>
      <c r="J100" s="24"/>
      <c r="K100" s="27" t="str">
        <f aca="false">IFERROR(VLOOKUP($C100,MAP_SEC,2,0),"L_SECTION")</f>
        <v>L_SECTION</v>
      </c>
      <c r="L100" s="27" t="str">
        <f aca="false">IFERROR(VLOOKUP($C100&amp;"|"&amp;$D100,MAP_SUB,2,0),"L_SECTION")</f>
        <v>L_SECTION</v>
      </c>
    </row>
    <row r="101" customFormat="false" ht="15" hidden="false" customHeight="false" outlineLevel="0" collapsed="false">
      <c r="A101" s="5" t="str">
        <f aca="false">IF($C101="","",ROW()-4)</f>
        <v/>
      </c>
      <c r="B101" s="24"/>
      <c r="C101" s="24"/>
      <c r="D101" s="24"/>
      <c r="E101" s="24"/>
      <c r="F101" s="25" t="str">
        <f aca="false">IFERROR(INDEX('Element Library'!$C:$C,MATCH($C101&amp;"|"&amp;$D101&amp;"|"&amp;$E101,'Element Library'!$H:$H,0)),"")</f>
        <v/>
      </c>
      <c r="G101" s="5" t="str">
        <f aca="false">IFERROR(INDEX('Element Library'!$G:$G,MATCH($C101&amp;"|"&amp;$D101&amp;"|"&amp;$E101,'Element Library'!$H:$H,0)),"")</f>
        <v/>
      </c>
      <c r="H101" s="24"/>
      <c r="I101" s="26"/>
      <c r="J101" s="24"/>
      <c r="K101" s="27" t="str">
        <f aca="false">IFERROR(VLOOKUP($C101,MAP_SEC,2,0),"L_SECTION")</f>
        <v>L_SECTION</v>
      </c>
      <c r="L101" s="27" t="str">
        <f aca="false">IFERROR(VLOOKUP($C101&amp;"|"&amp;$D101,MAP_SUB,2,0),"L_SECTION")</f>
        <v>L_SECTION</v>
      </c>
    </row>
    <row r="102" customFormat="false" ht="15" hidden="false" customHeight="false" outlineLevel="0" collapsed="false">
      <c r="A102" s="5" t="str">
        <f aca="false">IF($C102="","",ROW()-4)</f>
        <v/>
      </c>
      <c r="B102" s="24"/>
      <c r="C102" s="24"/>
      <c r="D102" s="24"/>
      <c r="E102" s="24"/>
      <c r="F102" s="25" t="str">
        <f aca="false">IFERROR(INDEX('Element Library'!$C:$C,MATCH($C102&amp;"|"&amp;$D102&amp;"|"&amp;$E102,'Element Library'!$H:$H,0)),"")</f>
        <v/>
      </c>
      <c r="G102" s="5" t="str">
        <f aca="false">IFERROR(INDEX('Element Library'!$G:$G,MATCH($C102&amp;"|"&amp;$D102&amp;"|"&amp;$E102,'Element Library'!$H:$H,0)),"")</f>
        <v/>
      </c>
      <c r="H102" s="24"/>
      <c r="I102" s="26"/>
      <c r="J102" s="24"/>
      <c r="K102" s="27" t="str">
        <f aca="false">IFERROR(VLOOKUP($C102,MAP_SEC,2,0),"L_SECTION")</f>
        <v>L_SECTION</v>
      </c>
      <c r="L102" s="27" t="str">
        <f aca="false">IFERROR(VLOOKUP($C102&amp;"|"&amp;$D102,MAP_SUB,2,0),"L_SECTION")</f>
        <v>L_SECTION</v>
      </c>
    </row>
    <row r="103" customFormat="false" ht="15" hidden="false" customHeight="false" outlineLevel="0" collapsed="false">
      <c r="A103" s="5" t="str">
        <f aca="false">IF($C103="","",ROW()-4)</f>
        <v/>
      </c>
      <c r="B103" s="24"/>
      <c r="C103" s="24"/>
      <c r="D103" s="24"/>
      <c r="E103" s="24"/>
      <c r="F103" s="25" t="str">
        <f aca="false">IFERROR(INDEX('Element Library'!$C:$C,MATCH($C103&amp;"|"&amp;$D103&amp;"|"&amp;$E103,'Element Library'!$H:$H,0)),"")</f>
        <v/>
      </c>
      <c r="G103" s="5" t="str">
        <f aca="false">IFERROR(INDEX('Element Library'!$G:$G,MATCH($C103&amp;"|"&amp;$D103&amp;"|"&amp;$E103,'Element Library'!$H:$H,0)),"")</f>
        <v/>
      </c>
      <c r="H103" s="24"/>
      <c r="I103" s="26"/>
      <c r="J103" s="24"/>
      <c r="K103" s="27" t="str">
        <f aca="false">IFERROR(VLOOKUP($C103,MAP_SEC,2,0),"L_SECTION")</f>
        <v>L_SECTION</v>
      </c>
      <c r="L103" s="27" t="str">
        <f aca="false">IFERROR(VLOOKUP($C103&amp;"|"&amp;$D103,MAP_SUB,2,0),"L_SECTION")</f>
        <v>L_SECTION</v>
      </c>
    </row>
    <row r="104" customFormat="false" ht="15" hidden="false" customHeight="false" outlineLevel="0" collapsed="false">
      <c r="A104" s="5" t="str">
        <f aca="false">IF($C104="","",ROW()-4)</f>
        <v/>
      </c>
      <c r="B104" s="24"/>
      <c r="C104" s="24"/>
      <c r="D104" s="24"/>
      <c r="E104" s="24"/>
      <c r="F104" s="25" t="str">
        <f aca="false">IFERROR(INDEX('Element Library'!$C:$C,MATCH($C104&amp;"|"&amp;$D104&amp;"|"&amp;$E104,'Element Library'!$H:$H,0)),"")</f>
        <v/>
      </c>
      <c r="G104" s="5" t="str">
        <f aca="false">IFERROR(INDEX('Element Library'!$G:$G,MATCH($C104&amp;"|"&amp;$D104&amp;"|"&amp;$E104,'Element Library'!$H:$H,0)),"")</f>
        <v/>
      </c>
      <c r="H104" s="24"/>
      <c r="I104" s="26"/>
      <c r="J104" s="24"/>
      <c r="K104" s="27" t="str">
        <f aca="false">IFERROR(VLOOKUP($C104,MAP_SEC,2,0),"L_SECTION")</f>
        <v>L_SECTION</v>
      </c>
      <c r="L104" s="27" t="str">
        <f aca="false">IFERROR(VLOOKUP($C104&amp;"|"&amp;$D104,MAP_SUB,2,0),"L_SECTION")</f>
        <v>L_SECTION</v>
      </c>
    </row>
    <row r="105" customFormat="false" ht="15" hidden="false" customHeight="false" outlineLevel="0" collapsed="false">
      <c r="A105" s="5" t="str">
        <f aca="false">IF($C105="","",ROW()-4)</f>
        <v/>
      </c>
      <c r="B105" s="24"/>
      <c r="C105" s="24"/>
      <c r="D105" s="24"/>
      <c r="E105" s="24"/>
      <c r="F105" s="25" t="str">
        <f aca="false">IFERROR(INDEX('Element Library'!$C:$C,MATCH($C105&amp;"|"&amp;$D105&amp;"|"&amp;$E105,'Element Library'!$H:$H,0)),"")</f>
        <v/>
      </c>
      <c r="G105" s="5" t="str">
        <f aca="false">IFERROR(INDEX('Element Library'!$G:$G,MATCH($C105&amp;"|"&amp;$D105&amp;"|"&amp;$E105,'Element Library'!$H:$H,0)),"")</f>
        <v/>
      </c>
      <c r="H105" s="24"/>
      <c r="I105" s="26"/>
      <c r="J105" s="24"/>
      <c r="K105" s="27" t="str">
        <f aca="false">IFERROR(VLOOKUP($C105,MAP_SEC,2,0),"L_SECTION")</f>
        <v>L_SECTION</v>
      </c>
      <c r="L105" s="27" t="str">
        <f aca="false">IFERROR(VLOOKUP($C105&amp;"|"&amp;$D105,MAP_SUB,2,0),"L_SECTION")</f>
        <v>L_SECTION</v>
      </c>
    </row>
    <row r="106" customFormat="false" ht="15" hidden="false" customHeight="false" outlineLevel="0" collapsed="false">
      <c r="A106" s="5" t="str">
        <f aca="false">IF($C106="","",ROW()-4)</f>
        <v/>
      </c>
      <c r="B106" s="24"/>
      <c r="C106" s="24"/>
      <c r="D106" s="24"/>
      <c r="E106" s="24"/>
      <c r="F106" s="25" t="str">
        <f aca="false">IFERROR(INDEX('Element Library'!$C:$C,MATCH($C106&amp;"|"&amp;$D106&amp;"|"&amp;$E106,'Element Library'!$H:$H,0)),"")</f>
        <v/>
      </c>
      <c r="G106" s="5" t="str">
        <f aca="false">IFERROR(INDEX('Element Library'!$G:$G,MATCH($C106&amp;"|"&amp;$D106&amp;"|"&amp;$E106,'Element Library'!$H:$H,0)),"")</f>
        <v/>
      </c>
      <c r="H106" s="24"/>
      <c r="I106" s="26"/>
      <c r="J106" s="24"/>
      <c r="K106" s="27" t="str">
        <f aca="false">IFERROR(VLOOKUP($C106,MAP_SEC,2,0),"L_SECTION")</f>
        <v>L_SECTION</v>
      </c>
      <c r="L106" s="27" t="str">
        <f aca="false">IFERROR(VLOOKUP($C106&amp;"|"&amp;$D106,MAP_SUB,2,0),"L_SECTION")</f>
        <v>L_SECTION</v>
      </c>
    </row>
    <row r="107" customFormat="false" ht="15" hidden="false" customHeight="false" outlineLevel="0" collapsed="false">
      <c r="A107" s="5" t="str">
        <f aca="false">IF($C107="","",ROW()-4)</f>
        <v/>
      </c>
      <c r="B107" s="24"/>
      <c r="C107" s="24"/>
      <c r="D107" s="24"/>
      <c r="E107" s="24"/>
      <c r="F107" s="25" t="str">
        <f aca="false">IFERROR(INDEX('Element Library'!$C:$C,MATCH($C107&amp;"|"&amp;$D107&amp;"|"&amp;$E107,'Element Library'!$H:$H,0)),"")</f>
        <v/>
      </c>
      <c r="G107" s="5" t="str">
        <f aca="false">IFERROR(INDEX('Element Library'!$G:$G,MATCH($C107&amp;"|"&amp;$D107&amp;"|"&amp;$E107,'Element Library'!$H:$H,0)),"")</f>
        <v/>
      </c>
      <c r="H107" s="24"/>
      <c r="I107" s="26"/>
      <c r="J107" s="24"/>
      <c r="K107" s="27" t="str">
        <f aca="false">IFERROR(VLOOKUP($C107,MAP_SEC,2,0),"L_SECTION")</f>
        <v>L_SECTION</v>
      </c>
      <c r="L107" s="27" t="str">
        <f aca="false">IFERROR(VLOOKUP($C107&amp;"|"&amp;$D107,MAP_SUB,2,0),"L_SECTION")</f>
        <v>L_SECTION</v>
      </c>
    </row>
    <row r="108" customFormat="false" ht="15" hidden="false" customHeight="false" outlineLevel="0" collapsed="false">
      <c r="A108" s="5" t="str">
        <f aca="false">IF($C108="","",ROW()-4)</f>
        <v/>
      </c>
      <c r="B108" s="24"/>
      <c r="C108" s="24"/>
      <c r="D108" s="24"/>
      <c r="E108" s="24"/>
      <c r="F108" s="25" t="str">
        <f aca="false">IFERROR(INDEX('Element Library'!$C:$C,MATCH($C108&amp;"|"&amp;$D108&amp;"|"&amp;$E108,'Element Library'!$H:$H,0)),"")</f>
        <v/>
      </c>
      <c r="G108" s="5" t="str">
        <f aca="false">IFERROR(INDEX('Element Library'!$G:$G,MATCH($C108&amp;"|"&amp;$D108&amp;"|"&amp;$E108,'Element Library'!$H:$H,0)),"")</f>
        <v/>
      </c>
      <c r="H108" s="24"/>
      <c r="I108" s="26"/>
      <c r="J108" s="24"/>
      <c r="K108" s="27" t="str">
        <f aca="false">IFERROR(VLOOKUP($C108,MAP_SEC,2,0),"L_SECTION")</f>
        <v>L_SECTION</v>
      </c>
      <c r="L108" s="27" t="str">
        <f aca="false">IFERROR(VLOOKUP($C108&amp;"|"&amp;$D108,MAP_SUB,2,0),"L_SECTION")</f>
        <v>L_SECTION</v>
      </c>
    </row>
    <row r="109" customFormat="false" ht="15" hidden="false" customHeight="false" outlineLevel="0" collapsed="false">
      <c r="A109" s="5" t="str">
        <f aca="false">IF($C109="","",ROW()-4)</f>
        <v/>
      </c>
      <c r="B109" s="24"/>
      <c r="C109" s="24"/>
      <c r="D109" s="24"/>
      <c r="E109" s="24"/>
      <c r="F109" s="25" t="str">
        <f aca="false">IFERROR(INDEX('Element Library'!$C:$C,MATCH($C109&amp;"|"&amp;$D109&amp;"|"&amp;$E109,'Element Library'!$H:$H,0)),"")</f>
        <v/>
      </c>
      <c r="G109" s="5" t="str">
        <f aca="false">IFERROR(INDEX('Element Library'!$G:$G,MATCH($C109&amp;"|"&amp;$D109&amp;"|"&amp;$E109,'Element Library'!$H:$H,0)),"")</f>
        <v/>
      </c>
      <c r="H109" s="24"/>
      <c r="I109" s="26"/>
      <c r="J109" s="24"/>
      <c r="K109" s="27" t="str">
        <f aca="false">IFERROR(VLOOKUP($C109,MAP_SEC,2,0),"L_SECTION")</f>
        <v>L_SECTION</v>
      </c>
      <c r="L109" s="27" t="str">
        <f aca="false">IFERROR(VLOOKUP($C109&amp;"|"&amp;$D109,MAP_SUB,2,0),"L_SECTION")</f>
        <v>L_SECTION</v>
      </c>
    </row>
    <row r="110" customFormat="false" ht="15" hidden="false" customHeight="false" outlineLevel="0" collapsed="false">
      <c r="A110" s="5" t="str">
        <f aca="false">IF($C110="","",ROW()-4)</f>
        <v/>
      </c>
      <c r="B110" s="24"/>
      <c r="C110" s="24"/>
      <c r="D110" s="24"/>
      <c r="E110" s="24"/>
      <c r="F110" s="25" t="str">
        <f aca="false">IFERROR(INDEX('Element Library'!$C:$C,MATCH($C110&amp;"|"&amp;$D110&amp;"|"&amp;$E110,'Element Library'!$H:$H,0)),"")</f>
        <v/>
      </c>
      <c r="G110" s="5" t="str">
        <f aca="false">IFERROR(INDEX('Element Library'!$G:$G,MATCH($C110&amp;"|"&amp;$D110&amp;"|"&amp;$E110,'Element Library'!$H:$H,0)),"")</f>
        <v/>
      </c>
      <c r="H110" s="24"/>
      <c r="I110" s="26"/>
      <c r="J110" s="24"/>
      <c r="K110" s="27" t="str">
        <f aca="false">IFERROR(VLOOKUP($C110,MAP_SEC,2,0),"L_SECTION")</f>
        <v>L_SECTION</v>
      </c>
      <c r="L110" s="27" t="str">
        <f aca="false">IFERROR(VLOOKUP($C110&amp;"|"&amp;$D110,MAP_SUB,2,0),"L_SECTION")</f>
        <v>L_SECTION</v>
      </c>
    </row>
    <row r="111" customFormat="false" ht="15" hidden="false" customHeight="false" outlineLevel="0" collapsed="false">
      <c r="A111" s="5" t="str">
        <f aca="false">IF($C111="","",ROW()-4)</f>
        <v/>
      </c>
      <c r="B111" s="24"/>
      <c r="C111" s="24"/>
      <c r="D111" s="24"/>
      <c r="E111" s="24"/>
      <c r="F111" s="25" t="str">
        <f aca="false">IFERROR(INDEX('Element Library'!$C:$C,MATCH($C111&amp;"|"&amp;$D111&amp;"|"&amp;$E111,'Element Library'!$H:$H,0)),"")</f>
        <v/>
      </c>
      <c r="G111" s="5" t="str">
        <f aca="false">IFERROR(INDEX('Element Library'!$G:$G,MATCH($C111&amp;"|"&amp;$D111&amp;"|"&amp;$E111,'Element Library'!$H:$H,0)),"")</f>
        <v/>
      </c>
      <c r="H111" s="24"/>
      <c r="I111" s="26"/>
      <c r="J111" s="24"/>
      <c r="K111" s="27" t="str">
        <f aca="false">IFERROR(VLOOKUP($C111,MAP_SEC,2,0),"L_SECTION")</f>
        <v>L_SECTION</v>
      </c>
      <c r="L111" s="27" t="str">
        <f aca="false">IFERROR(VLOOKUP($C111&amp;"|"&amp;$D111,MAP_SUB,2,0),"L_SECTION")</f>
        <v>L_SECTION</v>
      </c>
    </row>
    <row r="112" customFormat="false" ht="15" hidden="false" customHeight="false" outlineLevel="0" collapsed="false">
      <c r="A112" s="5" t="str">
        <f aca="false">IF($C112="","",ROW()-4)</f>
        <v/>
      </c>
      <c r="B112" s="24"/>
      <c r="C112" s="24"/>
      <c r="D112" s="24"/>
      <c r="E112" s="24"/>
      <c r="F112" s="25" t="str">
        <f aca="false">IFERROR(INDEX('Element Library'!$C:$C,MATCH($C112&amp;"|"&amp;$D112&amp;"|"&amp;$E112,'Element Library'!$H:$H,0)),"")</f>
        <v/>
      </c>
      <c r="G112" s="5" t="str">
        <f aca="false">IFERROR(INDEX('Element Library'!$G:$G,MATCH($C112&amp;"|"&amp;$D112&amp;"|"&amp;$E112,'Element Library'!$H:$H,0)),"")</f>
        <v/>
      </c>
      <c r="H112" s="24"/>
      <c r="I112" s="26"/>
      <c r="J112" s="24"/>
      <c r="K112" s="27" t="str">
        <f aca="false">IFERROR(VLOOKUP($C112,MAP_SEC,2,0),"L_SECTION")</f>
        <v>L_SECTION</v>
      </c>
      <c r="L112" s="27" t="str">
        <f aca="false">IFERROR(VLOOKUP($C112&amp;"|"&amp;$D112,MAP_SUB,2,0),"L_SECTION")</f>
        <v>L_SECTION</v>
      </c>
    </row>
    <row r="113" customFormat="false" ht="15" hidden="false" customHeight="false" outlineLevel="0" collapsed="false">
      <c r="A113" s="5" t="str">
        <f aca="false">IF($C113="","",ROW()-4)</f>
        <v/>
      </c>
      <c r="B113" s="24"/>
      <c r="C113" s="24"/>
      <c r="D113" s="24"/>
      <c r="E113" s="24"/>
      <c r="F113" s="25" t="str">
        <f aca="false">IFERROR(INDEX('Element Library'!$C:$C,MATCH($C113&amp;"|"&amp;$D113&amp;"|"&amp;$E113,'Element Library'!$H:$H,0)),"")</f>
        <v/>
      </c>
      <c r="G113" s="5" t="str">
        <f aca="false">IFERROR(INDEX('Element Library'!$G:$G,MATCH($C113&amp;"|"&amp;$D113&amp;"|"&amp;$E113,'Element Library'!$H:$H,0)),"")</f>
        <v/>
      </c>
      <c r="H113" s="24"/>
      <c r="I113" s="26"/>
      <c r="J113" s="24"/>
      <c r="K113" s="27" t="str">
        <f aca="false">IFERROR(VLOOKUP($C113,MAP_SEC,2,0),"L_SECTION")</f>
        <v>L_SECTION</v>
      </c>
      <c r="L113" s="27" t="str">
        <f aca="false">IFERROR(VLOOKUP($C113&amp;"|"&amp;$D113,MAP_SUB,2,0),"L_SECTION")</f>
        <v>L_SECTION</v>
      </c>
    </row>
    <row r="114" customFormat="false" ht="15" hidden="false" customHeight="false" outlineLevel="0" collapsed="false">
      <c r="A114" s="5" t="str">
        <f aca="false">IF($C114="","",ROW()-4)</f>
        <v/>
      </c>
      <c r="B114" s="24"/>
      <c r="C114" s="24"/>
      <c r="D114" s="24"/>
      <c r="E114" s="24"/>
      <c r="F114" s="25" t="str">
        <f aca="false">IFERROR(INDEX('Element Library'!$C:$C,MATCH($C114&amp;"|"&amp;$D114&amp;"|"&amp;$E114,'Element Library'!$H:$H,0)),"")</f>
        <v/>
      </c>
      <c r="G114" s="5" t="str">
        <f aca="false">IFERROR(INDEX('Element Library'!$G:$G,MATCH($C114&amp;"|"&amp;$D114&amp;"|"&amp;$E114,'Element Library'!$H:$H,0)),"")</f>
        <v/>
      </c>
      <c r="H114" s="24"/>
      <c r="I114" s="26"/>
      <c r="J114" s="24"/>
      <c r="K114" s="27" t="str">
        <f aca="false">IFERROR(VLOOKUP($C114,MAP_SEC,2,0),"L_SECTION")</f>
        <v>L_SECTION</v>
      </c>
      <c r="L114" s="27" t="str">
        <f aca="false">IFERROR(VLOOKUP($C114&amp;"|"&amp;$D114,MAP_SUB,2,0),"L_SECTION")</f>
        <v>L_SECTION</v>
      </c>
    </row>
    <row r="115" customFormat="false" ht="15" hidden="false" customHeight="false" outlineLevel="0" collapsed="false">
      <c r="A115" s="5" t="str">
        <f aca="false">IF($C115="","",ROW()-4)</f>
        <v/>
      </c>
      <c r="B115" s="24"/>
      <c r="C115" s="24"/>
      <c r="D115" s="24"/>
      <c r="E115" s="24"/>
      <c r="F115" s="25" t="str">
        <f aca="false">IFERROR(INDEX('Element Library'!$C:$C,MATCH($C115&amp;"|"&amp;$D115&amp;"|"&amp;$E115,'Element Library'!$H:$H,0)),"")</f>
        <v/>
      </c>
      <c r="G115" s="5" t="str">
        <f aca="false">IFERROR(INDEX('Element Library'!$G:$G,MATCH($C115&amp;"|"&amp;$D115&amp;"|"&amp;$E115,'Element Library'!$H:$H,0)),"")</f>
        <v/>
      </c>
      <c r="H115" s="24"/>
      <c r="I115" s="26"/>
      <c r="J115" s="24"/>
      <c r="K115" s="27" t="str">
        <f aca="false">IFERROR(VLOOKUP($C115,MAP_SEC,2,0),"L_SECTION")</f>
        <v>L_SECTION</v>
      </c>
      <c r="L115" s="27" t="str">
        <f aca="false">IFERROR(VLOOKUP($C115&amp;"|"&amp;$D115,MAP_SUB,2,0),"L_SECTION")</f>
        <v>L_SECTION</v>
      </c>
    </row>
    <row r="116" customFormat="false" ht="15" hidden="false" customHeight="false" outlineLevel="0" collapsed="false">
      <c r="A116" s="5" t="str">
        <f aca="false">IF($C116="","",ROW()-4)</f>
        <v/>
      </c>
      <c r="B116" s="24"/>
      <c r="C116" s="24"/>
      <c r="D116" s="24"/>
      <c r="E116" s="24"/>
      <c r="F116" s="25" t="str">
        <f aca="false">IFERROR(INDEX('Element Library'!$C:$C,MATCH($C116&amp;"|"&amp;$D116&amp;"|"&amp;$E116,'Element Library'!$H:$H,0)),"")</f>
        <v/>
      </c>
      <c r="G116" s="5" t="str">
        <f aca="false">IFERROR(INDEX('Element Library'!$G:$G,MATCH($C116&amp;"|"&amp;$D116&amp;"|"&amp;$E116,'Element Library'!$H:$H,0)),"")</f>
        <v/>
      </c>
      <c r="H116" s="24"/>
      <c r="I116" s="26"/>
      <c r="J116" s="24"/>
      <c r="K116" s="27" t="str">
        <f aca="false">IFERROR(VLOOKUP($C116,MAP_SEC,2,0),"L_SECTION")</f>
        <v>L_SECTION</v>
      </c>
      <c r="L116" s="27" t="str">
        <f aca="false">IFERROR(VLOOKUP($C116&amp;"|"&amp;$D116,MAP_SUB,2,0),"L_SECTION")</f>
        <v>L_SECTION</v>
      </c>
    </row>
    <row r="117" customFormat="false" ht="15" hidden="false" customHeight="false" outlineLevel="0" collapsed="false">
      <c r="A117" s="5" t="str">
        <f aca="false">IF($C117="","",ROW()-4)</f>
        <v/>
      </c>
      <c r="B117" s="24"/>
      <c r="C117" s="24"/>
      <c r="D117" s="24"/>
      <c r="E117" s="24"/>
      <c r="F117" s="25" t="str">
        <f aca="false">IFERROR(INDEX('Element Library'!$C:$C,MATCH($C117&amp;"|"&amp;$D117&amp;"|"&amp;$E117,'Element Library'!$H:$H,0)),"")</f>
        <v/>
      </c>
      <c r="G117" s="5" t="str">
        <f aca="false">IFERROR(INDEX('Element Library'!$G:$G,MATCH($C117&amp;"|"&amp;$D117&amp;"|"&amp;$E117,'Element Library'!$H:$H,0)),"")</f>
        <v/>
      </c>
      <c r="H117" s="24"/>
      <c r="I117" s="26"/>
      <c r="J117" s="24"/>
      <c r="K117" s="27" t="str">
        <f aca="false">IFERROR(VLOOKUP($C117,MAP_SEC,2,0),"L_SECTION")</f>
        <v>L_SECTION</v>
      </c>
      <c r="L117" s="27" t="str">
        <f aca="false">IFERROR(VLOOKUP($C117&amp;"|"&amp;$D117,MAP_SUB,2,0),"L_SECTION")</f>
        <v>L_SECTION</v>
      </c>
    </row>
    <row r="118" customFormat="false" ht="15" hidden="false" customHeight="false" outlineLevel="0" collapsed="false">
      <c r="A118" s="5" t="str">
        <f aca="false">IF($C118="","",ROW()-4)</f>
        <v/>
      </c>
      <c r="B118" s="24"/>
      <c r="C118" s="24"/>
      <c r="D118" s="24"/>
      <c r="E118" s="24"/>
      <c r="F118" s="25" t="str">
        <f aca="false">IFERROR(INDEX('Element Library'!$C:$C,MATCH($C118&amp;"|"&amp;$D118&amp;"|"&amp;$E118,'Element Library'!$H:$H,0)),"")</f>
        <v/>
      </c>
      <c r="G118" s="5" t="str">
        <f aca="false">IFERROR(INDEX('Element Library'!$G:$G,MATCH($C118&amp;"|"&amp;$D118&amp;"|"&amp;$E118,'Element Library'!$H:$H,0)),"")</f>
        <v/>
      </c>
      <c r="H118" s="24"/>
      <c r="I118" s="26"/>
      <c r="J118" s="24"/>
      <c r="K118" s="27" t="str">
        <f aca="false">IFERROR(VLOOKUP($C118,MAP_SEC,2,0),"L_SECTION")</f>
        <v>L_SECTION</v>
      </c>
      <c r="L118" s="27" t="str">
        <f aca="false">IFERROR(VLOOKUP($C118&amp;"|"&amp;$D118,MAP_SUB,2,0),"L_SECTION")</f>
        <v>L_SECTION</v>
      </c>
    </row>
    <row r="119" customFormat="false" ht="15" hidden="false" customHeight="false" outlineLevel="0" collapsed="false">
      <c r="A119" s="5" t="str">
        <f aca="false">IF($C119="","",ROW()-4)</f>
        <v/>
      </c>
      <c r="B119" s="24"/>
      <c r="C119" s="24"/>
      <c r="D119" s="24"/>
      <c r="E119" s="24"/>
      <c r="F119" s="25" t="str">
        <f aca="false">IFERROR(INDEX('Element Library'!$C:$C,MATCH($C119&amp;"|"&amp;$D119&amp;"|"&amp;$E119,'Element Library'!$H:$H,0)),"")</f>
        <v/>
      </c>
      <c r="G119" s="5" t="str">
        <f aca="false">IFERROR(INDEX('Element Library'!$G:$G,MATCH($C119&amp;"|"&amp;$D119&amp;"|"&amp;$E119,'Element Library'!$H:$H,0)),"")</f>
        <v/>
      </c>
      <c r="H119" s="24"/>
      <c r="I119" s="26"/>
      <c r="J119" s="24"/>
      <c r="K119" s="27" t="str">
        <f aca="false">IFERROR(VLOOKUP($C119,MAP_SEC,2,0),"L_SECTION")</f>
        <v>L_SECTION</v>
      </c>
      <c r="L119" s="27" t="str">
        <f aca="false">IFERROR(VLOOKUP($C119&amp;"|"&amp;$D119,MAP_SUB,2,0),"L_SECTION")</f>
        <v>L_SECTION</v>
      </c>
    </row>
    <row r="120" customFormat="false" ht="15" hidden="false" customHeight="false" outlineLevel="0" collapsed="false">
      <c r="A120" s="5" t="str">
        <f aca="false">IF($C120="","",ROW()-4)</f>
        <v/>
      </c>
      <c r="B120" s="24"/>
      <c r="C120" s="24"/>
      <c r="D120" s="24"/>
      <c r="E120" s="24"/>
      <c r="F120" s="25" t="str">
        <f aca="false">IFERROR(INDEX('Element Library'!$C:$C,MATCH($C120&amp;"|"&amp;$D120&amp;"|"&amp;$E120,'Element Library'!$H:$H,0)),"")</f>
        <v/>
      </c>
      <c r="G120" s="5" t="str">
        <f aca="false">IFERROR(INDEX('Element Library'!$G:$G,MATCH($C120&amp;"|"&amp;$D120&amp;"|"&amp;$E120,'Element Library'!$H:$H,0)),"")</f>
        <v/>
      </c>
      <c r="H120" s="24"/>
      <c r="I120" s="26"/>
      <c r="J120" s="24"/>
      <c r="K120" s="27" t="str">
        <f aca="false">IFERROR(VLOOKUP($C120,MAP_SEC,2,0),"L_SECTION")</f>
        <v>L_SECTION</v>
      </c>
      <c r="L120" s="27" t="str">
        <f aca="false">IFERROR(VLOOKUP($C120&amp;"|"&amp;$D120,MAP_SUB,2,0),"L_SECTION")</f>
        <v>L_SECTION</v>
      </c>
    </row>
    <row r="121" customFormat="false" ht="15" hidden="false" customHeight="false" outlineLevel="0" collapsed="false">
      <c r="A121" s="5" t="str">
        <f aca="false">IF($C121="","",ROW()-4)</f>
        <v/>
      </c>
      <c r="B121" s="24"/>
      <c r="C121" s="24"/>
      <c r="D121" s="24"/>
      <c r="E121" s="24"/>
      <c r="F121" s="25" t="str">
        <f aca="false">IFERROR(INDEX('Element Library'!$C:$C,MATCH($C121&amp;"|"&amp;$D121&amp;"|"&amp;$E121,'Element Library'!$H:$H,0)),"")</f>
        <v/>
      </c>
      <c r="G121" s="5" t="str">
        <f aca="false">IFERROR(INDEX('Element Library'!$G:$G,MATCH($C121&amp;"|"&amp;$D121&amp;"|"&amp;$E121,'Element Library'!$H:$H,0)),"")</f>
        <v/>
      </c>
      <c r="H121" s="24"/>
      <c r="I121" s="26"/>
      <c r="J121" s="24"/>
      <c r="K121" s="27" t="str">
        <f aca="false">IFERROR(VLOOKUP($C121,MAP_SEC,2,0),"L_SECTION")</f>
        <v>L_SECTION</v>
      </c>
      <c r="L121" s="27" t="str">
        <f aca="false">IFERROR(VLOOKUP($C121&amp;"|"&amp;$D121,MAP_SUB,2,0),"L_SECTION")</f>
        <v>L_SECTION</v>
      </c>
    </row>
    <row r="122" customFormat="false" ht="15" hidden="false" customHeight="false" outlineLevel="0" collapsed="false">
      <c r="A122" s="5" t="str">
        <f aca="false">IF($C122="","",ROW()-4)</f>
        <v/>
      </c>
      <c r="B122" s="24"/>
      <c r="C122" s="24"/>
      <c r="D122" s="24"/>
      <c r="E122" s="24"/>
      <c r="F122" s="25" t="str">
        <f aca="false">IFERROR(INDEX('Element Library'!$C:$C,MATCH($C122&amp;"|"&amp;$D122&amp;"|"&amp;$E122,'Element Library'!$H:$H,0)),"")</f>
        <v/>
      </c>
      <c r="G122" s="5" t="str">
        <f aca="false">IFERROR(INDEX('Element Library'!$G:$G,MATCH($C122&amp;"|"&amp;$D122&amp;"|"&amp;$E122,'Element Library'!$H:$H,0)),"")</f>
        <v/>
      </c>
      <c r="H122" s="24"/>
      <c r="I122" s="26"/>
      <c r="J122" s="24"/>
      <c r="K122" s="27" t="str">
        <f aca="false">IFERROR(VLOOKUP($C122,MAP_SEC,2,0),"L_SECTION")</f>
        <v>L_SECTION</v>
      </c>
      <c r="L122" s="27" t="str">
        <f aca="false">IFERROR(VLOOKUP($C122&amp;"|"&amp;$D122,MAP_SUB,2,0),"L_SECTION")</f>
        <v>L_SECTION</v>
      </c>
    </row>
    <row r="123" customFormat="false" ht="15" hidden="false" customHeight="false" outlineLevel="0" collapsed="false">
      <c r="A123" s="5" t="str">
        <f aca="false">IF($C123="","",ROW()-4)</f>
        <v/>
      </c>
      <c r="B123" s="24"/>
      <c r="C123" s="24"/>
      <c r="D123" s="24"/>
      <c r="E123" s="24"/>
      <c r="F123" s="25" t="str">
        <f aca="false">IFERROR(INDEX('Element Library'!$C:$C,MATCH($C123&amp;"|"&amp;$D123&amp;"|"&amp;$E123,'Element Library'!$H:$H,0)),"")</f>
        <v/>
      </c>
      <c r="G123" s="5" t="str">
        <f aca="false">IFERROR(INDEX('Element Library'!$G:$G,MATCH($C123&amp;"|"&amp;$D123&amp;"|"&amp;$E123,'Element Library'!$H:$H,0)),"")</f>
        <v/>
      </c>
      <c r="H123" s="24"/>
      <c r="I123" s="26"/>
      <c r="J123" s="24"/>
      <c r="K123" s="27" t="str">
        <f aca="false">IFERROR(VLOOKUP($C123,MAP_SEC,2,0),"L_SECTION")</f>
        <v>L_SECTION</v>
      </c>
      <c r="L123" s="27" t="str">
        <f aca="false">IFERROR(VLOOKUP($C123&amp;"|"&amp;$D123,MAP_SUB,2,0),"L_SECTION")</f>
        <v>L_SECTION</v>
      </c>
    </row>
    <row r="124" customFormat="false" ht="15" hidden="false" customHeight="false" outlineLevel="0" collapsed="false">
      <c r="A124" s="5" t="str">
        <f aca="false">IF($C124="","",ROW()-4)</f>
        <v/>
      </c>
      <c r="B124" s="24"/>
      <c r="C124" s="24"/>
      <c r="D124" s="24"/>
      <c r="E124" s="24"/>
      <c r="F124" s="25" t="str">
        <f aca="false">IFERROR(INDEX('Element Library'!$C:$C,MATCH($C124&amp;"|"&amp;$D124&amp;"|"&amp;$E124,'Element Library'!$H:$H,0)),"")</f>
        <v/>
      </c>
      <c r="G124" s="5" t="str">
        <f aca="false">IFERROR(INDEX('Element Library'!$G:$G,MATCH($C124&amp;"|"&amp;$D124&amp;"|"&amp;$E124,'Element Library'!$H:$H,0)),"")</f>
        <v/>
      </c>
      <c r="H124" s="24"/>
      <c r="I124" s="26"/>
      <c r="J124" s="24"/>
      <c r="K124" s="27" t="str">
        <f aca="false">IFERROR(VLOOKUP($C124,MAP_SEC,2,0),"L_SECTION")</f>
        <v>L_SECTION</v>
      </c>
      <c r="L124" s="27" t="str">
        <f aca="false">IFERROR(VLOOKUP($C124&amp;"|"&amp;$D124,MAP_SUB,2,0),"L_SECTION")</f>
        <v>L_SECTION</v>
      </c>
    </row>
    <row r="125" customFormat="false" ht="15" hidden="false" customHeight="false" outlineLevel="0" collapsed="false">
      <c r="A125" s="5" t="str">
        <f aca="false">IF($C125="","",ROW()-4)</f>
        <v/>
      </c>
      <c r="B125" s="24"/>
      <c r="C125" s="24"/>
      <c r="D125" s="24"/>
      <c r="E125" s="24"/>
      <c r="F125" s="25" t="str">
        <f aca="false">IFERROR(INDEX('Element Library'!$C:$C,MATCH($C125&amp;"|"&amp;$D125&amp;"|"&amp;$E125,'Element Library'!$H:$H,0)),"")</f>
        <v/>
      </c>
      <c r="G125" s="5" t="str">
        <f aca="false">IFERROR(INDEX('Element Library'!$G:$G,MATCH($C125&amp;"|"&amp;$D125&amp;"|"&amp;$E125,'Element Library'!$H:$H,0)),"")</f>
        <v/>
      </c>
      <c r="H125" s="24"/>
      <c r="I125" s="26"/>
      <c r="J125" s="24"/>
      <c r="K125" s="27" t="str">
        <f aca="false">IFERROR(VLOOKUP($C125,MAP_SEC,2,0),"L_SECTION")</f>
        <v>L_SECTION</v>
      </c>
      <c r="L125" s="27" t="str">
        <f aca="false">IFERROR(VLOOKUP($C125&amp;"|"&amp;$D125,MAP_SUB,2,0),"L_SECTION")</f>
        <v>L_SECTION</v>
      </c>
    </row>
    <row r="126" customFormat="false" ht="15" hidden="false" customHeight="false" outlineLevel="0" collapsed="false">
      <c r="A126" s="5" t="str">
        <f aca="false">IF($C126="","",ROW()-4)</f>
        <v/>
      </c>
      <c r="B126" s="24"/>
      <c r="C126" s="24"/>
      <c r="D126" s="24"/>
      <c r="E126" s="24"/>
      <c r="F126" s="25" t="str">
        <f aca="false">IFERROR(INDEX('Element Library'!$C:$C,MATCH($C126&amp;"|"&amp;$D126&amp;"|"&amp;$E126,'Element Library'!$H:$H,0)),"")</f>
        <v/>
      </c>
      <c r="G126" s="5" t="str">
        <f aca="false">IFERROR(INDEX('Element Library'!$G:$G,MATCH($C126&amp;"|"&amp;$D126&amp;"|"&amp;$E126,'Element Library'!$H:$H,0)),"")</f>
        <v/>
      </c>
      <c r="H126" s="24"/>
      <c r="I126" s="26"/>
      <c r="J126" s="24"/>
      <c r="K126" s="27" t="str">
        <f aca="false">IFERROR(VLOOKUP($C126,MAP_SEC,2,0),"L_SECTION")</f>
        <v>L_SECTION</v>
      </c>
      <c r="L126" s="27" t="str">
        <f aca="false">IFERROR(VLOOKUP($C126&amp;"|"&amp;$D126,MAP_SUB,2,0),"L_SECTION")</f>
        <v>L_SECTION</v>
      </c>
    </row>
    <row r="127" customFormat="false" ht="15" hidden="false" customHeight="false" outlineLevel="0" collapsed="false">
      <c r="A127" s="5" t="str">
        <f aca="false">IF($C127="","",ROW()-4)</f>
        <v/>
      </c>
      <c r="B127" s="24"/>
      <c r="C127" s="24"/>
      <c r="D127" s="24"/>
      <c r="E127" s="24"/>
      <c r="F127" s="25" t="str">
        <f aca="false">IFERROR(INDEX('Element Library'!$C:$C,MATCH($C127&amp;"|"&amp;$D127&amp;"|"&amp;$E127,'Element Library'!$H:$H,0)),"")</f>
        <v/>
      </c>
      <c r="G127" s="5" t="str">
        <f aca="false">IFERROR(INDEX('Element Library'!$G:$G,MATCH($C127&amp;"|"&amp;$D127&amp;"|"&amp;$E127,'Element Library'!$H:$H,0)),"")</f>
        <v/>
      </c>
      <c r="H127" s="24"/>
      <c r="I127" s="26"/>
      <c r="J127" s="24"/>
      <c r="K127" s="27" t="str">
        <f aca="false">IFERROR(VLOOKUP($C127,MAP_SEC,2,0),"L_SECTION")</f>
        <v>L_SECTION</v>
      </c>
      <c r="L127" s="27" t="str">
        <f aca="false">IFERROR(VLOOKUP($C127&amp;"|"&amp;$D127,MAP_SUB,2,0),"L_SECTION")</f>
        <v>L_SECTION</v>
      </c>
    </row>
    <row r="128" customFormat="false" ht="15" hidden="false" customHeight="false" outlineLevel="0" collapsed="false">
      <c r="A128" s="5" t="str">
        <f aca="false">IF($C128="","",ROW()-4)</f>
        <v/>
      </c>
      <c r="B128" s="24"/>
      <c r="C128" s="24"/>
      <c r="D128" s="24"/>
      <c r="E128" s="24"/>
      <c r="F128" s="25" t="str">
        <f aca="false">IFERROR(INDEX('Element Library'!$C:$C,MATCH($C128&amp;"|"&amp;$D128&amp;"|"&amp;$E128,'Element Library'!$H:$H,0)),"")</f>
        <v/>
      </c>
      <c r="G128" s="5" t="str">
        <f aca="false">IFERROR(INDEX('Element Library'!$G:$G,MATCH($C128&amp;"|"&amp;$D128&amp;"|"&amp;$E128,'Element Library'!$H:$H,0)),"")</f>
        <v/>
      </c>
      <c r="H128" s="24"/>
      <c r="I128" s="26"/>
      <c r="J128" s="24"/>
      <c r="K128" s="27" t="str">
        <f aca="false">IFERROR(VLOOKUP($C128,MAP_SEC,2,0),"L_SECTION")</f>
        <v>L_SECTION</v>
      </c>
      <c r="L128" s="27" t="str">
        <f aca="false">IFERROR(VLOOKUP($C128&amp;"|"&amp;$D128,MAP_SUB,2,0),"L_SECTION")</f>
        <v>L_SECTION</v>
      </c>
    </row>
    <row r="129" customFormat="false" ht="15" hidden="false" customHeight="false" outlineLevel="0" collapsed="false">
      <c r="A129" s="5" t="str">
        <f aca="false">IF($C129="","",ROW()-4)</f>
        <v/>
      </c>
      <c r="B129" s="24"/>
      <c r="C129" s="24"/>
      <c r="D129" s="24"/>
      <c r="E129" s="24"/>
      <c r="F129" s="25" t="str">
        <f aca="false">IFERROR(INDEX('Element Library'!$C:$C,MATCH($C129&amp;"|"&amp;$D129&amp;"|"&amp;$E129,'Element Library'!$H:$H,0)),"")</f>
        <v/>
      </c>
      <c r="G129" s="5" t="str">
        <f aca="false">IFERROR(INDEX('Element Library'!$G:$G,MATCH($C129&amp;"|"&amp;$D129&amp;"|"&amp;$E129,'Element Library'!$H:$H,0)),"")</f>
        <v/>
      </c>
      <c r="H129" s="24"/>
      <c r="I129" s="26"/>
      <c r="J129" s="24"/>
      <c r="K129" s="27" t="str">
        <f aca="false">IFERROR(VLOOKUP($C129,MAP_SEC,2,0),"L_SECTION")</f>
        <v>L_SECTION</v>
      </c>
      <c r="L129" s="27" t="str">
        <f aca="false">IFERROR(VLOOKUP($C129&amp;"|"&amp;$D129,MAP_SUB,2,0),"L_SECTION")</f>
        <v>L_SECTION</v>
      </c>
    </row>
    <row r="130" customFormat="false" ht="15" hidden="false" customHeight="false" outlineLevel="0" collapsed="false">
      <c r="A130" s="5" t="str">
        <f aca="false">IF($C130="","",ROW()-4)</f>
        <v/>
      </c>
      <c r="B130" s="24"/>
      <c r="C130" s="24"/>
      <c r="D130" s="24"/>
      <c r="E130" s="24"/>
      <c r="F130" s="25" t="str">
        <f aca="false">IFERROR(INDEX('Element Library'!$C:$C,MATCH($C130&amp;"|"&amp;$D130&amp;"|"&amp;$E130,'Element Library'!$H:$H,0)),"")</f>
        <v/>
      </c>
      <c r="G130" s="5" t="str">
        <f aca="false">IFERROR(INDEX('Element Library'!$G:$G,MATCH($C130&amp;"|"&amp;$D130&amp;"|"&amp;$E130,'Element Library'!$H:$H,0)),"")</f>
        <v/>
      </c>
      <c r="H130" s="24"/>
      <c r="I130" s="26"/>
      <c r="J130" s="24"/>
      <c r="K130" s="27" t="str">
        <f aca="false">IFERROR(VLOOKUP($C130,MAP_SEC,2,0),"L_SECTION")</f>
        <v>L_SECTION</v>
      </c>
      <c r="L130" s="27" t="str">
        <f aca="false">IFERROR(VLOOKUP($C130&amp;"|"&amp;$D130,MAP_SUB,2,0),"L_SECTION")</f>
        <v>L_SECTION</v>
      </c>
    </row>
    <row r="131" customFormat="false" ht="15" hidden="false" customHeight="false" outlineLevel="0" collapsed="false">
      <c r="A131" s="5" t="str">
        <f aca="false">IF($C131="","",ROW()-4)</f>
        <v/>
      </c>
      <c r="B131" s="24"/>
      <c r="C131" s="24"/>
      <c r="D131" s="24"/>
      <c r="E131" s="24"/>
      <c r="F131" s="25" t="str">
        <f aca="false">IFERROR(INDEX('Element Library'!$C:$C,MATCH($C131&amp;"|"&amp;$D131&amp;"|"&amp;$E131,'Element Library'!$H:$H,0)),"")</f>
        <v/>
      </c>
      <c r="G131" s="5" t="str">
        <f aca="false">IFERROR(INDEX('Element Library'!$G:$G,MATCH($C131&amp;"|"&amp;$D131&amp;"|"&amp;$E131,'Element Library'!$H:$H,0)),"")</f>
        <v/>
      </c>
      <c r="H131" s="24"/>
      <c r="I131" s="26"/>
      <c r="J131" s="24"/>
      <c r="K131" s="27" t="str">
        <f aca="false">IFERROR(VLOOKUP($C131,MAP_SEC,2,0),"L_SECTION")</f>
        <v>L_SECTION</v>
      </c>
      <c r="L131" s="27" t="str">
        <f aca="false">IFERROR(VLOOKUP($C131&amp;"|"&amp;$D131,MAP_SUB,2,0),"L_SECTION")</f>
        <v>L_SECTION</v>
      </c>
    </row>
    <row r="132" customFormat="false" ht="15" hidden="false" customHeight="false" outlineLevel="0" collapsed="false">
      <c r="A132" s="5" t="str">
        <f aca="false">IF($C132="","",ROW()-4)</f>
        <v/>
      </c>
      <c r="B132" s="24"/>
      <c r="C132" s="24"/>
      <c r="D132" s="24"/>
      <c r="E132" s="24"/>
      <c r="F132" s="25" t="str">
        <f aca="false">IFERROR(INDEX('Element Library'!$C:$C,MATCH($C132&amp;"|"&amp;$D132&amp;"|"&amp;$E132,'Element Library'!$H:$H,0)),"")</f>
        <v/>
      </c>
      <c r="G132" s="5" t="str">
        <f aca="false">IFERROR(INDEX('Element Library'!$G:$G,MATCH($C132&amp;"|"&amp;$D132&amp;"|"&amp;$E132,'Element Library'!$H:$H,0)),"")</f>
        <v/>
      </c>
      <c r="H132" s="24"/>
      <c r="I132" s="26"/>
      <c r="J132" s="24"/>
      <c r="K132" s="27" t="str">
        <f aca="false">IFERROR(VLOOKUP($C132,MAP_SEC,2,0),"L_SECTION")</f>
        <v>L_SECTION</v>
      </c>
      <c r="L132" s="27" t="str">
        <f aca="false">IFERROR(VLOOKUP($C132&amp;"|"&amp;$D132,MAP_SUB,2,0),"L_SECTION")</f>
        <v>L_SECTION</v>
      </c>
    </row>
    <row r="133" customFormat="false" ht="15" hidden="false" customHeight="false" outlineLevel="0" collapsed="false">
      <c r="A133" s="5" t="str">
        <f aca="false">IF($C133="","",ROW()-4)</f>
        <v/>
      </c>
      <c r="B133" s="24"/>
      <c r="C133" s="24"/>
      <c r="D133" s="24"/>
      <c r="E133" s="24"/>
      <c r="F133" s="25" t="str">
        <f aca="false">IFERROR(INDEX('Element Library'!$C:$C,MATCH($C133&amp;"|"&amp;$D133&amp;"|"&amp;$E133,'Element Library'!$H:$H,0)),"")</f>
        <v/>
      </c>
      <c r="G133" s="5" t="str">
        <f aca="false">IFERROR(INDEX('Element Library'!$G:$G,MATCH($C133&amp;"|"&amp;$D133&amp;"|"&amp;$E133,'Element Library'!$H:$H,0)),"")</f>
        <v/>
      </c>
      <c r="H133" s="24"/>
      <c r="I133" s="26"/>
      <c r="J133" s="24"/>
      <c r="K133" s="27" t="str">
        <f aca="false">IFERROR(VLOOKUP($C133,MAP_SEC,2,0),"L_SECTION")</f>
        <v>L_SECTION</v>
      </c>
      <c r="L133" s="27" t="str">
        <f aca="false">IFERROR(VLOOKUP($C133&amp;"|"&amp;$D133,MAP_SUB,2,0),"L_SECTION")</f>
        <v>L_SECTION</v>
      </c>
    </row>
    <row r="134" customFormat="false" ht="15" hidden="false" customHeight="false" outlineLevel="0" collapsed="false">
      <c r="A134" s="5" t="str">
        <f aca="false">IF($C134="","",ROW()-4)</f>
        <v/>
      </c>
      <c r="B134" s="24"/>
      <c r="C134" s="24"/>
      <c r="D134" s="24"/>
      <c r="E134" s="24"/>
      <c r="F134" s="25" t="str">
        <f aca="false">IFERROR(INDEX('Element Library'!$C:$C,MATCH($C134&amp;"|"&amp;$D134&amp;"|"&amp;$E134,'Element Library'!$H:$H,0)),"")</f>
        <v/>
      </c>
      <c r="G134" s="5" t="str">
        <f aca="false">IFERROR(INDEX('Element Library'!$G:$G,MATCH($C134&amp;"|"&amp;$D134&amp;"|"&amp;$E134,'Element Library'!$H:$H,0)),"")</f>
        <v/>
      </c>
      <c r="H134" s="24"/>
      <c r="I134" s="26"/>
      <c r="J134" s="24"/>
      <c r="K134" s="27" t="str">
        <f aca="false">IFERROR(VLOOKUP($C134,MAP_SEC,2,0),"L_SECTION")</f>
        <v>L_SECTION</v>
      </c>
      <c r="L134" s="27" t="str">
        <f aca="false">IFERROR(VLOOKUP($C134&amp;"|"&amp;$D134,MAP_SUB,2,0),"L_SECTION")</f>
        <v>L_SECTION</v>
      </c>
    </row>
    <row r="135" customFormat="false" ht="15" hidden="false" customHeight="false" outlineLevel="0" collapsed="false">
      <c r="A135" s="5" t="str">
        <f aca="false">IF($C135="","",ROW()-4)</f>
        <v/>
      </c>
      <c r="B135" s="24"/>
      <c r="C135" s="24"/>
      <c r="D135" s="24"/>
      <c r="E135" s="24"/>
      <c r="F135" s="25" t="str">
        <f aca="false">IFERROR(INDEX('Element Library'!$C:$C,MATCH($C135&amp;"|"&amp;$D135&amp;"|"&amp;$E135,'Element Library'!$H:$H,0)),"")</f>
        <v/>
      </c>
      <c r="G135" s="5" t="str">
        <f aca="false">IFERROR(INDEX('Element Library'!$G:$G,MATCH($C135&amp;"|"&amp;$D135&amp;"|"&amp;$E135,'Element Library'!$H:$H,0)),"")</f>
        <v/>
      </c>
      <c r="H135" s="24"/>
      <c r="I135" s="26"/>
      <c r="J135" s="24"/>
      <c r="K135" s="27" t="str">
        <f aca="false">IFERROR(VLOOKUP($C135,MAP_SEC,2,0),"L_SECTION")</f>
        <v>L_SECTION</v>
      </c>
      <c r="L135" s="27" t="str">
        <f aca="false">IFERROR(VLOOKUP($C135&amp;"|"&amp;$D135,MAP_SUB,2,0),"L_SECTION")</f>
        <v>L_SECTION</v>
      </c>
    </row>
    <row r="136" customFormat="false" ht="15" hidden="false" customHeight="false" outlineLevel="0" collapsed="false">
      <c r="A136" s="5" t="str">
        <f aca="false">IF($C136="","",ROW()-4)</f>
        <v/>
      </c>
      <c r="B136" s="24"/>
      <c r="C136" s="24"/>
      <c r="D136" s="24"/>
      <c r="E136" s="24"/>
      <c r="F136" s="25" t="str">
        <f aca="false">IFERROR(INDEX('Element Library'!$C:$C,MATCH($C136&amp;"|"&amp;$D136&amp;"|"&amp;$E136,'Element Library'!$H:$H,0)),"")</f>
        <v/>
      </c>
      <c r="G136" s="5" t="str">
        <f aca="false">IFERROR(INDEX('Element Library'!$G:$G,MATCH($C136&amp;"|"&amp;$D136&amp;"|"&amp;$E136,'Element Library'!$H:$H,0)),"")</f>
        <v/>
      </c>
      <c r="H136" s="24"/>
      <c r="I136" s="26"/>
      <c r="J136" s="24"/>
      <c r="K136" s="27" t="str">
        <f aca="false">IFERROR(VLOOKUP($C136,MAP_SEC,2,0),"L_SECTION")</f>
        <v>L_SECTION</v>
      </c>
      <c r="L136" s="27" t="str">
        <f aca="false">IFERROR(VLOOKUP($C136&amp;"|"&amp;$D136,MAP_SUB,2,0),"L_SECTION")</f>
        <v>L_SECTION</v>
      </c>
    </row>
    <row r="137" customFormat="false" ht="15" hidden="false" customHeight="false" outlineLevel="0" collapsed="false">
      <c r="A137" s="5" t="str">
        <f aca="false">IF($C137="","",ROW()-4)</f>
        <v/>
      </c>
      <c r="B137" s="24"/>
      <c r="C137" s="24"/>
      <c r="D137" s="24"/>
      <c r="E137" s="24"/>
      <c r="F137" s="25" t="str">
        <f aca="false">IFERROR(INDEX('Element Library'!$C:$C,MATCH($C137&amp;"|"&amp;$D137&amp;"|"&amp;$E137,'Element Library'!$H:$H,0)),"")</f>
        <v/>
      </c>
      <c r="G137" s="5" t="str">
        <f aca="false">IFERROR(INDEX('Element Library'!$G:$G,MATCH($C137&amp;"|"&amp;$D137&amp;"|"&amp;$E137,'Element Library'!$H:$H,0)),"")</f>
        <v/>
      </c>
      <c r="H137" s="24"/>
      <c r="I137" s="26"/>
      <c r="J137" s="24"/>
      <c r="K137" s="27" t="str">
        <f aca="false">IFERROR(VLOOKUP($C137,MAP_SEC,2,0),"L_SECTION")</f>
        <v>L_SECTION</v>
      </c>
      <c r="L137" s="27" t="str">
        <f aca="false">IFERROR(VLOOKUP($C137&amp;"|"&amp;$D137,MAP_SUB,2,0),"L_SECTION")</f>
        <v>L_SECTION</v>
      </c>
    </row>
    <row r="138" customFormat="false" ht="15" hidden="false" customHeight="false" outlineLevel="0" collapsed="false">
      <c r="A138" s="5" t="str">
        <f aca="false">IF($C138="","",ROW()-4)</f>
        <v/>
      </c>
      <c r="B138" s="24"/>
      <c r="C138" s="24"/>
      <c r="D138" s="24"/>
      <c r="E138" s="24"/>
      <c r="F138" s="25" t="str">
        <f aca="false">IFERROR(INDEX('Element Library'!$C:$C,MATCH($C138&amp;"|"&amp;$D138&amp;"|"&amp;$E138,'Element Library'!$H:$H,0)),"")</f>
        <v/>
      </c>
      <c r="G138" s="5" t="str">
        <f aca="false">IFERROR(INDEX('Element Library'!$G:$G,MATCH($C138&amp;"|"&amp;$D138&amp;"|"&amp;$E138,'Element Library'!$H:$H,0)),"")</f>
        <v/>
      </c>
      <c r="H138" s="24"/>
      <c r="I138" s="26"/>
      <c r="J138" s="24"/>
      <c r="K138" s="27" t="str">
        <f aca="false">IFERROR(VLOOKUP($C138,MAP_SEC,2,0),"L_SECTION")</f>
        <v>L_SECTION</v>
      </c>
      <c r="L138" s="27" t="str">
        <f aca="false">IFERROR(VLOOKUP($C138&amp;"|"&amp;$D138,MAP_SUB,2,0),"L_SECTION")</f>
        <v>L_SECTION</v>
      </c>
    </row>
    <row r="139" customFormat="false" ht="15" hidden="false" customHeight="false" outlineLevel="0" collapsed="false">
      <c r="A139" s="5" t="str">
        <f aca="false">IF($C139="","",ROW()-4)</f>
        <v/>
      </c>
      <c r="B139" s="24"/>
      <c r="C139" s="24"/>
      <c r="D139" s="24"/>
      <c r="E139" s="24"/>
      <c r="F139" s="25" t="str">
        <f aca="false">IFERROR(INDEX('Element Library'!$C:$C,MATCH($C139&amp;"|"&amp;$D139&amp;"|"&amp;$E139,'Element Library'!$H:$H,0)),"")</f>
        <v/>
      </c>
      <c r="G139" s="5" t="str">
        <f aca="false">IFERROR(INDEX('Element Library'!$G:$G,MATCH($C139&amp;"|"&amp;$D139&amp;"|"&amp;$E139,'Element Library'!$H:$H,0)),"")</f>
        <v/>
      </c>
      <c r="H139" s="24"/>
      <c r="I139" s="26"/>
      <c r="J139" s="24"/>
      <c r="K139" s="27" t="str">
        <f aca="false">IFERROR(VLOOKUP($C139,MAP_SEC,2,0),"L_SECTION")</f>
        <v>L_SECTION</v>
      </c>
      <c r="L139" s="27" t="str">
        <f aca="false">IFERROR(VLOOKUP($C139&amp;"|"&amp;$D139,MAP_SUB,2,0),"L_SECTION")</f>
        <v>L_SECTION</v>
      </c>
    </row>
    <row r="140" customFormat="false" ht="15" hidden="false" customHeight="false" outlineLevel="0" collapsed="false">
      <c r="A140" s="5" t="str">
        <f aca="false">IF($C140="","",ROW()-4)</f>
        <v/>
      </c>
      <c r="B140" s="24"/>
      <c r="C140" s="24"/>
      <c r="D140" s="24"/>
      <c r="E140" s="24"/>
      <c r="F140" s="25" t="str">
        <f aca="false">IFERROR(INDEX('Element Library'!$C:$C,MATCH($C140&amp;"|"&amp;$D140&amp;"|"&amp;$E140,'Element Library'!$H:$H,0)),"")</f>
        <v/>
      </c>
      <c r="G140" s="5" t="str">
        <f aca="false">IFERROR(INDEX('Element Library'!$G:$G,MATCH($C140&amp;"|"&amp;$D140&amp;"|"&amp;$E140,'Element Library'!$H:$H,0)),"")</f>
        <v/>
      </c>
      <c r="H140" s="24"/>
      <c r="I140" s="26"/>
      <c r="J140" s="24"/>
      <c r="K140" s="27" t="str">
        <f aca="false">IFERROR(VLOOKUP($C140,MAP_SEC,2,0),"L_SECTION")</f>
        <v>L_SECTION</v>
      </c>
      <c r="L140" s="27" t="str">
        <f aca="false">IFERROR(VLOOKUP($C140&amp;"|"&amp;$D140,MAP_SUB,2,0),"L_SECTION")</f>
        <v>L_SECTION</v>
      </c>
    </row>
    <row r="141" customFormat="false" ht="15" hidden="false" customHeight="false" outlineLevel="0" collapsed="false">
      <c r="A141" s="5" t="str">
        <f aca="false">IF($C141="","",ROW()-4)</f>
        <v/>
      </c>
      <c r="B141" s="24"/>
      <c r="C141" s="24"/>
      <c r="D141" s="24"/>
      <c r="E141" s="24"/>
      <c r="F141" s="25" t="str">
        <f aca="false">IFERROR(INDEX('Element Library'!$C:$C,MATCH($C141&amp;"|"&amp;$D141&amp;"|"&amp;$E141,'Element Library'!$H:$H,0)),"")</f>
        <v/>
      </c>
      <c r="G141" s="5" t="str">
        <f aca="false">IFERROR(INDEX('Element Library'!$G:$G,MATCH($C141&amp;"|"&amp;$D141&amp;"|"&amp;$E141,'Element Library'!$H:$H,0)),"")</f>
        <v/>
      </c>
      <c r="H141" s="24"/>
      <c r="I141" s="26"/>
      <c r="J141" s="24"/>
      <c r="K141" s="27" t="str">
        <f aca="false">IFERROR(VLOOKUP($C141,MAP_SEC,2,0),"L_SECTION")</f>
        <v>L_SECTION</v>
      </c>
      <c r="L141" s="27" t="str">
        <f aca="false">IFERROR(VLOOKUP($C141&amp;"|"&amp;$D141,MAP_SUB,2,0),"L_SECTION")</f>
        <v>L_SECTION</v>
      </c>
    </row>
    <row r="142" customFormat="false" ht="15" hidden="false" customHeight="false" outlineLevel="0" collapsed="false">
      <c r="A142" s="5" t="str">
        <f aca="false">IF($C142="","",ROW()-4)</f>
        <v/>
      </c>
      <c r="B142" s="24"/>
      <c r="C142" s="24"/>
      <c r="D142" s="24"/>
      <c r="E142" s="24"/>
      <c r="F142" s="25" t="str">
        <f aca="false">IFERROR(INDEX('Element Library'!$C:$C,MATCH($C142&amp;"|"&amp;$D142&amp;"|"&amp;$E142,'Element Library'!$H:$H,0)),"")</f>
        <v/>
      </c>
      <c r="G142" s="5" t="str">
        <f aca="false">IFERROR(INDEX('Element Library'!$G:$G,MATCH($C142&amp;"|"&amp;$D142&amp;"|"&amp;$E142,'Element Library'!$H:$H,0)),"")</f>
        <v/>
      </c>
      <c r="H142" s="24"/>
      <c r="I142" s="26"/>
      <c r="J142" s="24"/>
      <c r="K142" s="27" t="str">
        <f aca="false">IFERROR(VLOOKUP($C142,MAP_SEC,2,0),"L_SECTION")</f>
        <v>L_SECTION</v>
      </c>
      <c r="L142" s="27" t="str">
        <f aca="false">IFERROR(VLOOKUP($C142&amp;"|"&amp;$D142,MAP_SUB,2,0),"L_SECTION")</f>
        <v>L_SECTION</v>
      </c>
    </row>
    <row r="143" customFormat="false" ht="15" hidden="false" customHeight="false" outlineLevel="0" collapsed="false">
      <c r="A143" s="5" t="str">
        <f aca="false">IF($C143="","",ROW()-4)</f>
        <v/>
      </c>
      <c r="B143" s="24"/>
      <c r="C143" s="24"/>
      <c r="D143" s="24"/>
      <c r="E143" s="24"/>
      <c r="F143" s="25" t="str">
        <f aca="false">IFERROR(INDEX('Element Library'!$C:$C,MATCH($C143&amp;"|"&amp;$D143&amp;"|"&amp;$E143,'Element Library'!$H:$H,0)),"")</f>
        <v/>
      </c>
      <c r="G143" s="5" t="str">
        <f aca="false">IFERROR(INDEX('Element Library'!$G:$G,MATCH($C143&amp;"|"&amp;$D143&amp;"|"&amp;$E143,'Element Library'!$H:$H,0)),"")</f>
        <v/>
      </c>
      <c r="H143" s="24"/>
      <c r="I143" s="26"/>
      <c r="J143" s="24"/>
      <c r="K143" s="27" t="str">
        <f aca="false">IFERROR(VLOOKUP($C143,MAP_SEC,2,0),"L_SECTION")</f>
        <v>L_SECTION</v>
      </c>
      <c r="L143" s="27" t="str">
        <f aca="false">IFERROR(VLOOKUP($C143&amp;"|"&amp;$D143,MAP_SUB,2,0),"L_SECTION")</f>
        <v>L_SECTION</v>
      </c>
    </row>
    <row r="144" customFormat="false" ht="15" hidden="false" customHeight="false" outlineLevel="0" collapsed="false">
      <c r="A144" s="5" t="str">
        <f aca="false">IF($C144="","",ROW()-4)</f>
        <v/>
      </c>
      <c r="B144" s="24"/>
      <c r="C144" s="24"/>
      <c r="D144" s="24"/>
      <c r="E144" s="24"/>
      <c r="F144" s="25" t="str">
        <f aca="false">IFERROR(INDEX('Element Library'!$C:$C,MATCH($C144&amp;"|"&amp;$D144&amp;"|"&amp;$E144,'Element Library'!$H:$H,0)),"")</f>
        <v/>
      </c>
      <c r="G144" s="5" t="str">
        <f aca="false">IFERROR(INDEX('Element Library'!$G:$G,MATCH($C144&amp;"|"&amp;$D144&amp;"|"&amp;$E144,'Element Library'!$H:$H,0)),"")</f>
        <v/>
      </c>
      <c r="H144" s="24"/>
      <c r="I144" s="26"/>
      <c r="J144" s="24"/>
      <c r="K144" s="27" t="str">
        <f aca="false">IFERROR(VLOOKUP($C144,MAP_SEC,2,0),"L_SECTION")</f>
        <v>L_SECTION</v>
      </c>
      <c r="L144" s="27" t="str">
        <f aca="false">IFERROR(VLOOKUP($C144&amp;"|"&amp;$D144,MAP_SUB,2,0),"L_SECTION")</f>
        <v>L_SECTION</v>
      </c>
    </row>
    <row r="145" customFormat="false" ht="15" hidden="false" customHeight="false" outlineLevel="0" collapsed="false">
      <c r="A145" s="5" t="str">
        <f aca="false">IF($C145="","",ROW()-4)</f>
        <v/>
      </c>
      <c r="B145" s="24"/>
      <c r="C145" s="24"/>
      <c r="D145" s="24"/>
      <c r="E145" s="24"/>
      <c r="F145" s="25" t="str">
        <f aca="false">IFERROR(INDEX('Element Library'!$C:$C,MATCH($C145&amp;"|"&amp;$D145&amp;"|"&amp;$E145,'Element Library'!$H:$H,0)),"")</f>
        <v/>
      </c>
      <c r="G145" s="5" t="str">
        <f aca="false">IFERROR(INDEX('Element Library'!$G:$G,MATCH($C145&amp;"|"&amp;$D145&amp;"|"&amp;$E145,'Element Library'!$H:$H,0)),"")</f>
        <v/>
      </c>
      <c r="H145" s="24"/>
      <c r="I145" s="26"/>
      <c r="J145" s="24"/>
      <c r="K145" s="27" t="str">
        <f aca="false">IFERROR(VLOOKUP($C145,MAP_SEC,2,0),"L_SECTION")</f>
        <v>L_SECTION</v>
      </c>
      <c r="L145" s="27" t="str">
        <f aca="false">IFERROR(VLOOKUP($C145&amp;"|"&amp;$D145,MAP_SUB,2,0),"L_SECTION")</f>
        <v>L_SECTION</v>
      </c>
    </row>
    <row r="146" customFormat="false" ht="15" hidden="false" customHeight="false" outlineLevel="0" collapsed="false">
      <c r="A146" s="5" t="str">
        <f aca="false">IF($C146="","",ROW()-4)</f>
        <v/>
      </c>
      <c r="B146" s="24"/>
      <c r="C146" s="24"/>
      <c r="D146" s="24"/>
      <c r="E146" s="24"/>
      <c r="F146" s="25" t="str">
        <f aca="false">IFERROR(INDEX('Element Library'!$C:$C,MATCH($C146&amp;"|"&amp;$D146&amp;"|"&amp;$E146,'Element Library'!$H:$H,0)),"")</f>
        <v/>
      </c>
      <c r="G146" s="5" t="str">
        <f aca="false">IFERROR(INDEX('Element Library'!$G:$G,MATCH($C146&amp;"|"&amp;$D146&amp;"|"&amp;$E146,'Element Library'!$H:$H,0)),"")</f>
        <v/>
      </c>
      <c r="H146" s="24"/>
      <c r="I146" s="26"/>
      <c r="J146" s="24"/>
      <c r="K146" s="27" t="str">
        <f aca="false">IFERROR(VLOOKUP($C146,MAP_SEC,2,0),"L_SECTION")</f>
        <v>L_SECTION</v>
      </c>
      <c r="L146" s="27" t="str">
        <f aca="false">IFERROR(VLOOKUP($C146&amp;"|"&amp;$D146,MAP_SUB,2,0),"L_SECTION")</f>
        <v>L_SECTION</v>
      </c>
    </row>
    <row r="147" customFormat="false" ht="15" hidden="false" customHeight="false" outlineLevel="0" collapsed="false">
      <c r="A147" s="5" t="str">
        <f aca="false">IF($C147="","",ROW()-4)</f>
        <v/>
      </c>
      <c r="B147" s="24"/>
      <c r="C147" s="24"/>
      <c r="D147" s="24"/>
      <c r="E147" s="24"/>
      <c r="F147" s="25" t="str">
        <f aca="false">IFERROR(INDEX('Element Library'!$C:$C,MATCH($C147&amp;"|"&amp;$D147&amp;"|"&amp;$E147,'Element Library'!$H:$H,0)),"")</f>
        <v/>
      </c>
      <c r="G147" s="5" t="str">
        <f aca="false">IFERROR(INDEX('Element Library'!$G:$G,MATCH($C147&amp;"|"&amp;$D147&amp;"|"&amp;$E147,'Element Library'!$H:$H,0)),"")</f>
        <v/>
      </c>
      <c r="H147" s="24"/>
      <c r="I147" s="26"/>
      <c r="J147" s="24"/>
      <c r="K147" s="27" t="str">
        <f aca="false">IFERROR(VLOOKUP($C147,MAP_SEC,2,0),"L_SECTION")</f>
        <v>L_SECTION</v>
      </c>
      <c r="L147" s="27" t="str">
        <f aca="false">IFERROR(VLOOKUP($C147&amp;"|"&amp;$D147,MAP_SUB,2,0),"L_SECTION")</f>
        <v>L_SECTION</v>
      </c>
    </row>
    <row r="148" customFormat="false" ht="15" hidden="false" customHeight="false" outlineLevel="0" collapsed="false">
      <c r="A148" s="5" t="str">
        <f aca="false">IF($C148="","",ROW()-4)</f>
        <v/>
      </c>
      <c r="B148" s="24"/>
      <c r="C148" s="24"/>
      <c r="D148" s="24"/>
      <c r="E148" s="24"/>
      <c r="F148" s="25" t="str">
        <f aca="false">IFERROR(INDEX('Element Library'!$C:$C,MATCH($C148&amp;"|"&amp;$D148&amp;"|"&amp;$E148,'Element Library'!$H:$H,0)),"")</f>
        <v/>
      </c>
      <c r="G148" s="5" t="str">
        <f aca="false">IFERROR(INDEX('Element Library'!$G:$G,MATCH($C148&amp;"|"&amp;$D148&amp;"|"&amp;$E148,'Element Library'!$H:$H,0)),"")</f>
        <v/>
      </c>
      <c r="H148" s="24"/>
      <c r="I148" s="26"/>
      <c r="J148" s="24"/>
      <c r="K148" s="27" t="str">
        <f aca="false">IFERROR(VLOOKUP($C148,MAP_SEC,2,0),"L_SECTION")</f>
        <v>L_SECTION</v>
      </c>
      <c r="L148" s="27" t="str">
        <f aca="false">IFERROR(VLOOKUP($C148&amp;"|"&amp;$D148,MAP_SUB,2,0),"L_SECTION")</f>
        <v>L_SECTION</v>
      </c>
    </row>
    <row r="149" customFormat="false" ht="15" hidden="false" customHeight="false" outlineLevel="0" collapsed="false">
      <c r="A149" s="5" t="str">
        <f aca="false">IF($C149="","",ROW()-4)</f>
        <v/>
      </c>
      <c r="B149" s="24"/>
      <c r="C149" s="24"/>
      <c r="D149" s="24"/>
      <c r="E149" s="24"/>
      <c r="F149" s="25" t="str">
        <f aca="false">IFERROR(INDEX('Element Library'!$C:$C,MATCH($C149&amp;"|"&amp;$D149&amp;"|"&amp;$E149,'Element Library'!$H:$H,0)),"")</f>
        <v/>
      </c>
      <c r="G149" s="5" t="str">
        <f aca="false">IFERROR(INDEX('Element Library'!$G:$G,MATCH($C149&amp;"|"&amp;$D149&amp;"|"&amp;$E149,'Element Library'!$H:$H,0)),"")</f>
        <v/>
      </c>
      <c r="H149" s="24"/>
      <c r="I149" s="26"/>
      <c r="J149" s="24"/>
      <c r="K149" s="27" t="str">
        <f aca="false">IFERROR(VLOOKUP($C149,MAP_SEC,2,0),"L_SECTION")</f>
        <v>L_SECTION</v>
      </c>
      <c r="L149" s="27" t="str">
        <f aca="false">IFERROR(VLOOKUP($C149&amp;"|"&amp;$D149,MAP_SUB,2,0),"L_SECTION")</f>
        <v>L_SECTION</v>
      </c>
    </row>
    <row r="150" customFormat="false" ht="15" hidden="false" customHeight="false" outlineLevel="0" collapsed="false">
      <c r="A150" s="5" t="str">
        <f aca="false">IF($C150="","",ROW()-4)</f>
        <v/>
      </c>
      <c r="B150" s="24"/>
      <c r="C150" s="24"/>
      <c r="D150" s="24"/>
      <c r="E150" s="24"/>
      <c r="F150" s="25" t="str">
        <f aca="false">IFERROR(INDEX('Element Library'!$C:$C,MATCH($C150&amp;"|"&amp;$D150&amp;"|"&amp;$E150,'Element Library'!$H:$H,0)),"")</f>
        <v/>
      </c>
      <c r="G150" s="5" t="str">
        <f aca="false">IFERROR(INDEX('Element Library'!$G:$G,MATCH($C150&amp;"|"&amp;$D150&amp;"|"&amp;$E150,'Element Library'!$H:$H,0)),"")</f>
        <v/>
      </c>
      <c r="H150" s="24"/>
      <c r="I150" s="26"/>
      <c r="J150" s="24"/>
      <c r="K150" s="27" t="str">
        <f aca="false">IFERROR(VLOOKUP($C150,MAP_SEC,2,0),"L_SECTION")</f>
        <v>L_SECTION</v>
      </c>
      <c r="L150" s="27" t="str">
        <f aca="false">IFERROR(VLOOKUP($C150&amp;"|"&amp;$D150,MAP_SUB,2,0),"L_SECTION")</f>
        <v>L_SECTION</v>
      </c>
    </row>
    <row r="151" customFormat="false" ht="15" hidden="false" customHeight="false" outlineLevel="0" collapsed="false">
      <c r="A151" s="5" t="str">
        <f aca="false">IF($C151="","",ROW()-4)</f>
        <v/>
      </c>
      <c r="B151" s="24"/>
      <c r="C151" s="24"/>
      <c r="D151" s="24"/>
      <c r="E151" s="24"/>
      <c r="F151" s="25" t="str">
        <f aca="false">IFERROR(INDEX('Element Library'!$C:$C,MATCH($C151&amp;"|"&amp;$D151&amp;"|"&amp;$E151,'Element Library'!$H:$H,0)),"")</f>
        <v/>
      </c>
      <c r="G151" s="5" t="str">
        <f aca="false">IFERROR(INDEX('Element Library'!$G:$G,MATCH($C151&amp;"|"&amp;$D151&amp;"|"&amp;$E151,'Element Library'!$H:$H,0)),"")</f>
        <v/>
      </c>
      <c r="H151" s="24"/>
      <c r="I151" s="26"/>
      <c r="J151" s="24"/>
      <c r="K151" s="27" t="str">
        <f aca="false">IFERROR(VLOOKUP($C151,MAP_SEC,2,0),"L_SECTION")</f>
        <v>L_SECTION</v>
      </c>
      <c r="L151" s="27" t="str">
        <f aca="false">IFERROR(VLOOKUP($C151&amp;"|"&amp;$D151,MAP_SUB,2,0),"L_SECTION")</f>
        <v>L_SECTION</v>
      </c>
    </row>
    <row r="152" customFormat="false" ht="15" hidden="false" customHeight="false" outlineLevel="0" collapsed="false">
      <c r="A152" s="5" t="str">
        <f aca="false">IF($C152="","",ROW()-4)</f>
        <v/>
      </c>
      <c r="B152" s="24"/>
      <c r="C152" s="24"/>
      <c r="D152" s="24"/>
      <c r="E152" s="24"/>
      <c r="F152" s="25" t="str">
        <f aca="false">IFERROR(INDEX('Element Library'!$C:$C,MATCH($C152&amp;"|"&amp;$D152&amp;"|"&amp;$E152,'Element Library'!$H:$H,0)),"")</f>
        <v/>
      </c>
      <c r="G152" s="5" t="str">
        <f aca="false">IFERROR(INDEX('Element Library'!$G:$G,MATCH($C152&amp;"|"&amp;$D152&amp;"|"&amp;$E152,'Element Library'!$H:$H,0)),"")</f>
        <v/>
      </c>
      <c r="H152" s="24"/>
      <c r="I152" s="26"/>
      <c r="J152" s="24"/>
      <c r="K152" s="27" t="str">
        <f aca="false">IFERROR(VLOOKUP($C152,MAP_SEC,2,0),"L_SECTION")</f>
        <v>L_SECTION</v>
      </c>
      <c r="L152" s="27" t="str">
        <f aca="false">IFERROR(VLOOKUP($C152&amp;"|"&amp;$D152,MAP_SUB,2,0),"L_SECTION")</f>
        <v>L_SECTION</v>
      </c>
    </row>
    <row r="153" customFormat="false" ht="15" hidden="false" customHeight="false" outlineLevel="0" collapsed="false">
      <c r="A153" s="5" t="str">
        <f aca="false">IF($C153="","",ROW()-4)</f>
        <v/>
      </c>
      <c r="B153" s="24"/>
      <c r="C153" s="24"/>
      <c r="D153" s="24"/>
      <c r="E153" s="24"/>
      <c r="F153" s="25" t="str">
        <f aca="false">IFERROR(INDEX('Element Library'!$C:$C,MATCH($C153&amp;"|"&amp;$D153&amp;"|"&amp;$E153,'Element Library'!$H:$H,0)),"")</f>
        <v/>
      </c>
      <c r="G153" s="5" t="str">
        <f aca="false">IFERROR(INDEX('Element Library'!$G:$G,MATCH($C153&amp;"|"&amp;$D153&amp;"|"&amp;$E153,'Element Library'!$H:$H,0)),"")</f>
        <v/>
      </c>
      <c r="H153" s="24"/>
      <c r="I153" s="26"/>
      <c r="J153" s="24"/>
      <c r="K153" s="27" t="str">
        <f aca="false">IFERROR(VLOOKUP($C153,MAP_SEC,2,0),"L_SECTION")</f>
        <v>L_SECTION</v>
      </c>
      <c r="L153" s="27" t="str">
        <f aca="false">IFERROR(VLOOKUP($C153&amp;"|"&amp;$D153,MAP_SUB,2,0),"L_SECTION")</f>
        <v>L_SECTION</v>
      </c>
    </row>
    <row r="154" customFormat="false" ht="15" hidden="false" customHeight="false" outlineLevel="0" collapsed="false">
      <c r="A154" s="5" t="str">
        <f aca="false">IF($C154="","",ROW()-4)</f>
        <v/>
      </c>
      <c r="B154" s="24"/>
      <c r="C154" s="24"/>
      <c r="D154" s="24"/>
      <c r="E154" s="24"/>
      <c r="F154" s="25" t="str">
        <f aca="false">IFERROR(INDEX('Element Library'!$C:$C,MATCH($C154&amp;"|"&amp;$D154&amp;"|"&amp;$E154,'Element Library'!$H:$H,0)),"")</f>
        <v/>
      </c>
      <c r="G154" s="5" t="str">
        <f aca="false">IFERROR(INDEX('Element Library'!$G:$G,MATCH($C154&amp;"|"&amp;$D154&amp;"|"&amp;$E154,'Element Library'!$H:$H,0)),"")</f>
        <v/>
      </c>
      <c r="H154" s="24"/>
      <c r="I154" s="26"/>
      <c r="J154" s="24"/>
      <c r="K154" s="27" t="str">
        <f aca="false">IFERROR(VLOOKUP($C154,MAP_SEC,2,0),"L_SECTION")</f>
        <v>L_SECTION</v>
      </c>
      <c r="L154" s="27" t="str">
        <f aca="false">IFERROR(VLOOKUP($C154&amp;"|"&amp;$D154,MAP_SUB,2,0),"L_SECTION")</f>
        <v>L_SECTION</v>
      </c>
    </row>
    <row r="155" customFormat="false" ht="15" hidden="false" customHeight="false" outlineLevel="0" collapsed="false">
      <c r="A155" s="5" t="str">
        <f aca="false">IF($C155="","",ROW()-4)</f>
        <v/>
      </c>
      <c r="B155" s="24"/>
      <c r="C155" s="24"/>
      <c r="D155" s="24"/>
      <c r="E155" s="24"/>
      <c r="F155" s="25" t="str">
        <f aca="false">IFERROR(INDEX('Element Library'!$C:$C,MATCH($C155&amp;"|"&amp;$D155&amp;"|"&amp;$E155,'Element Library'!$H:$H,0)),"")</f>
        <v/>
      </c>
      <c r="G155" s="5" t="str">
        <f aca="false">IFERROR(INDEX('Element Library'!$G:$G,MATCH($C155&amp;"|"&amp;$D155&amp;"|"&amp;$E155,'Element Library'!$H:$H,0)),"")</f>
        <v/>
      </c>
      <c r="H155" s="24"/>
      <c r="I155" s="26"/>
      <c r="J155" s="24"/>
      <c r="K155" s="27" t="str">
        <f aca="false">IFERROR(VLOOKUP($C155,MAP_SEC,2,0),"L_SECTION")</f>
        <v>L_SECTION</v>
      </c>
      <c r="L155" s="27" t="str">
        <f aca="false">IFERROR(VLOOKUP($C155&amp;"|"&amp;$D155,MAP_SUB,2,0),"L_SECTION")</f>
        <v>L_SECTION</v>
      </c>
    </row>
    <row r="156" customFormat="false" ht="15" hidden="false" customHeight="false" outlineLevel="0" collapsed="false">
      <c r="A156" s="5" t="str">
        <f aca="false">IF($C156="","",ROW()-4)</f>
        <v/>
      </c>
      <c r="B156" s="24"/>
      <c r="C156" s="24"/>
      <c r="D156" s="24"/>
      <c r="E156" s="24"/>
      <c r="F156" s="25" t="str">
        <f aca="false">IFERROR(INDEX('Element Library'!$C:$C,MATCH($C156&amp;"|"&amp;$D156&amp;"|"&amp;$E156,'Element Library'!$H:$H,0)),"")</f>
        <v/>
      </c>
      <c r="G156" s="5" t="str">
        <f aca="false">IFERROR(INDEX('Element Library'!$G:$G,MATCH($C156&amp;"|"&amp;$D156&amp;"|"&amp;$E156,'Element Library'!$H:$H,0)),"")</f>
        <v/>
      </c>
      <c r="H156" s="24"/>
      <c r="I156" s="26"/>
      <c r="J156" s="24"/>
      <c r="K156" s="27" t="str">
        <f aca="false">IFERROR(VLOOKUP($C156,MAP_SEC,2,0),"L_SECTION")</f>
        <v>L_SECTION</v>
      </c>
      <c r="L156" s="27" t="str">
        <f aca="false">IFERROR(VLOOKUP($C156&amp;"|"&amp;$D156,MAP_SUB,2,0),"L_SECTION")</f>
        <v>L_SECTION</v>
      </c>
    </row>
    <row r="157" customFormat="false" ht="15" hidden="false" customHeight="false" outlineLevel="0" collapsed="false">
      <c r="A157" s="5" t="str">
        <f aca="false">IF($C157="","",ROW()-4)</f>
        <v/>
      </c>
      <c r="B157" s="24"/>
      <c r="C157" s="24"/>
      <c r="D157" s="24"/>
      <c r="E157" s="24"/>
      <c r="F157" s="25" t="str">
        <f aca="false">IFERROR(INDEX('Element Library'!$C:$C,MATCH($C157&amp;"|"&amp;$D157&amp;"|"&amp;$E157,'Element Library'!$H:$H,0)),"")</f>
        <v/>
      </c>
      <c r="G157" s="5" t="str">
        <f aca="false">IFERROR(INDEX('Element Library'!$G:$G,MATCH($C157&amp;"|"&amp;$D157&amp;"|"&amp;$E157,'Element Library'!$H:$H,0)),"")</f>
        <v/>
      </c>
      <c r="H157" s="24"/>
      <c r="I157" s="26"/>
      <c r="J157" s="24"/>
      <c r="K157" s="27" t="str">
        <f aca="false">IFERROR(VLOOKUP($C157,MAP_SEC,2,0),"L_SECTION")</f>
        <v>L_SECTION</v>
      </c>
      <c r="L157" s="27" t="str">
        <f aca="false">IFERROR(VLOOKUP($C157&amp;"|"&amp;$D157,MAP_SUB,2,0),"L_SECTION")</f>
        <v>L_SECTION</v>
      </c>
    </row>
    <row r="158" customFormat="false" ht="15" hidden="false" customHeight="false" outlineLevel="0" collapsed="false">
      <c r="A158" s="5" t="str">
        <f aca="false">IF($C158="","",ROW()-4)</f>
        <v/>
      </c>
      <c r="B158" s="24"/>
      <c r="C158" s="24"/>
      <c r="D158" s="24"/>
      <c r="E158" s="24"/>
      <c r="F158" s="25" t="str">
        <f aca="false">IFERROR(INDEX('Element Library'!$C:$C,MATCH($C158&amp;"|"&amp;$D158&amp;"|"&amp;$E158,'Element Library'!$H:$H,0)),"")</f>
        <v/>
      </c>
      <c r="G158" s="5" t="str">
        <f aca="false">IFERROR(INDEX('Element Library'!$G:$G,MATCH($C158&amp;"|"&amp;$D158&amp;"|"&amp;$E158,'Element Library'!$H:$H,0)),"")</f>
        <v/>
      </c>
      <c r="H158" s="24"/>
      <c r="I158" s="26"/>
      <c r="J158" s="24"/>
      <c r="K158" s="27" t="str">
        <f aca="false">IFERROR(VLOOKUP($C158,MAP_SEC,2,0),"L_SECTION")</f>
        <v>L_SECTION</v>
      </c>
      <c r="L158" s="27" t="str">
        <f aca="false">IFERROR(VLOOKUP($C158&amp;"|"&amp;$D158,MAP_SUB,2,0),"L_SECTION")</f>
        <v>L_SECTION</v>
      </c>
    </row>
    <row r="159" customFormat="false" ht="15" hidden="false" customHeight="false" outlineLevel="0" collapsed="false">
      <c r="A159" s="5" t="str">
        <f aca="false">IF($C159="","",ROW()-4)</f>
        <v/>
      </c>
      <c r="B159" s="24"/>
      <c r="C159" s="24"/>
      <c r="D159" s="24"/>
      <c r="E159" s="24"/>
      <c r="F159" s="25" t="str">
        <f aca="false">IFERROR(INDEX('Element Library'!$C:$C,MATCH($C159&amp;"|"&amp;$D159&amp;"|"&amp;$E159,'Element Library'!$H:$H,0)),"")</f>
        <v/>
      </c>
      <c r="G159" s="5" t="str">
        <f aca="false">IFERROR(INDEX('Element Library'!$G:$G,MATCH($C159&amp;"|"&amp;$D159&amp;"|"&amp;$E159,'Element Library'!$H:$H,0)),"")</f>
        <v/>
      </c>
      <c r="H159" s="24"/>
      <c r="I159" s="26"/>
      <c r="J159" s="24"/>
      <c r="K159" s="27" t="str">
        <f aca="false">IFERROR(VLOOKUP($C159,MAP_SEC,2,0),"L_SECTION")</f>
        <v>L_SECTION</v>
      </c>
      <c r="L159" s="27" t="str">
        <f aca="false">IFERROR(VLOOKUP($C159&amp;"|"&amp;$D159,MAP_SUB,2,0),"L_SECTION")</f>
        <v>L_SECTION</v>
      </c>
    </row>
    <row r="160" customFormat="false" ht="15" hidden="false" customHeight="false" outlineLevel="0" collapsed="false">
      <c r="A160" s="5" t="str">
        <f aca="false">IF($C160="","",ROW()-4)</f>
        <v/>
      </c>
      <c r="B160" s="24"/>
      <c r="C160" s="24"/>
      <c r="D160" s="24"/>
      <c r="E160" s="24"/>
      <c r="F160" s="25" t="str">
        <f aca="false">IFERROR(INDEX('Element Library'!$C:$C,MATCH($C160&amp;"|"&amp;$D160&amp;"|"&amp;$E160,'Element Library'!$H:$H,0)),"")</f>
        <v/>
      </c>
      <c r="G160" s="5" t="str">
        <f aca="false">IFERROR(INDEX('Element Library'!$G:$G,MATCH($C160&amp;"|"&amp;$D160&amp;"|"&amp;$E160,'Element Library'!$H:$H,0)),"")</f>
        <v/>
      </c>
      <c r="H160" s="24"/>
      <c r="I160" s="26"/>
      <c r="J160" s="24"/>
      <c r="K160" s="27" t="str">
        <f aca="false">IFERROR(VLOOKUP($C160,MAP_SEC,2,0),"L_SECTION")</f>
        <v>L_SECTION</v>
      </c>
      <c r="L160" s="27" t="str">
        <f aca="false">IFERROR(VLOOKUP($C160&amp;"|"&amp;$D160,MAP_SUB,2,0),"L_SECTION")</f>
        <v>L_SECTION</v>
      </c>
    </row>
    <row r="161" customFormat="false" ht="15" hidden="false" customHeight="false" outlineLevel="0" collapsed="false">
      <c r="A161" s="5" t="str">
        <f aca="false">IF($C161="","",ROW()-4)</f>
        <v/>
      </c>
      <c r="B161" s="24"/>
      <c r="C161" s="24"/>
      <c r="D161" s="24"/>
      <c r="E161" s="24"/>
      <c r="F161" s="25" t="str">
        <f aca="false">IFERROR(INDEX('Element Library'!$C:$C,MATCH($C161&amp;"|"&amp;$D161&amp;"|"&amp;$E161,'Element Library'!$H:$H,0)),"")</f>
        <v/>
      </c>
      <c r="G161" s="5" t="str">
        <f aca="false">IFERROR(INDEX('Element Library'!$G:$G,MATCH($C161&amp;"|"&amp;$D161&amp;"|"&amp;$E161,'Element Library'!$H:$H,0)),"")</f>
        <v/>
      </c>
      <c r="H161" s="24"/>
      <c r="I161" s="26"/>
      <c r="J161" s="24"/>
      <c r="K161" s="27" t="str">
        <f aca="false">IFERROR(VLOOKUP($C161,MAP_SEC,2,0),"L_SECTION")</f>
        <v>L_SECTION</v>
      </c>
      <c r="L161" s="27" t="str">
        <f aca="false">IFERROR(VLOOKUP($C161&amp;"|"&amp;$D161,MAP_SUB,2,0),"L_SECTION")</f>
        <v>L_SECTION</v>
      </c>
    </row>
    <row r="162" customFormat="false" ht="15" hidden="false" customHeight="false" outlineLevel="0" collapsed="false">
      <c r="A162" s="5" t="str">
        <f aca="false">IF($C162="","",ROW()-4)</f>
        <v/>
      </c>
      <c r="B162" s="24"/>
      <c r="C162" s="24"/>
      <c r="D162" s="24"/>
      <c r="E162" s="24"/>
      <c r="F162" s="25" t="str">
        <f aca="false">IFERROR(INDEX('Element Library'!$C:$C,MATCH($C162&amp;"|"&amp;$D162&amp;"|"&amp;$E162,'Element Library'!$H:$H,0)),"")</f>
        <v/>
      </c>
      <c r="G162" s="5" t="str">
        <f aca="false">IFERROR(INDEX('Element Library'!$G:$G,MATCH($C162&amp;"|"&amp;$D162&amp;"|"&amp;$E162,'Element Library'!$H:$H,0)),"")</f>
        <v/>
      </c>
      <c r="H162" s="24"/>
      <c r="I162" s="26"/>
      <c r="J162" s="24"/>
      <c r="K162" s="27" t="str">
        <f aca="false">IFERROR(VLOOKUP($C162,MAP_SEC,2,0),"L_SECTION")</f>
        <v>L_SECTION</v>
      </c>
      <c r="L162" s="27" t="str">
        <f aca="false">IFERROR(VLOOKUP($C162&amp;"|"&amp;$D162,MAP_SUB,2,0),"L_SECTION")</f>
        <v>L_SECTION</v>
      </c>
    </row>
    <row r="163" customFormat="false" ht="15" hidden="false" customHeight="false" outlineLevel="0" collapsed="false">
      <c r="A163" s="5" t="str">
        <f aca="false">IF($C163="","",ROW()-4)</f>
        <v/>
      </c>
      <c r="B163" s="24"/>
      <c r="C163" s="24"/>
      <c r="D163" s="24"/>
      <c r="E163" s="24"/>
      <c r="F163" s="25" t="str">
        <f aca="false">IFERROR(INDEX('Element Library'!$C:$C,MATCH($C163&amp;"|"&amp;$D163&amp;"|"&amp;$E163,'Element Library'!$H:$H,0)),"")</f>
        <v/>
      </c>
      <c r="G163" s="5" t="str">
        <f aca="false">IFERROR(INDEX('Element Library'!$G:$G,MATCH($C163&amp;"|"&amp;$D163&amp;"|"&amp;$E163,'Element Library'!$H:$H,0)),"")</f>
        <v/>
      </c>
      <c r="H163" s="24"/>
      <c r="I163" s="26"/>
      <c r="J163" s="24"/>
      <c r="K163" s="27" t="str">
        <f aca="false">IFERROR(VLOOKUP($C163,MAP_SEC,2,0),"L_SECTION")</f>
        <v>L_SECTION</v>
      </c>
      <c r="L163" s="27" t="str">
        <f aca="false">IFERROR(VLOOKUP($C163&amp;"|"&amp;$D163,MAP_SUB,2,0),"L_SECTION")</f>
        <v>L_SECTION</v>
      </c>
    </row>
    <row r="164" customFormat="false" ht="15" hidden="false" customHeight="false" outlineLevel="0" collapsed="false">
      <c r="A164" s="5" t="str">
        <f aca="false">IF($C164="","",ROW()-4)</f>
        <v/>
      </c>
      <c r="B164" s="24"/>
      <c r="C164" s="24"/>
      <c r="D164" s="24"/>
      <c r="E164" s="24"/>
      <c r="F164" s="25" t="str">
        <f aca="false">IFERROR(INDEX('Element Library'!$C:$C,MATCH($C164&amp;"|"&amp;$D164&amp;"|"&amp;$E164,'Element Library'!$H:$H,0)),"")</f>
        <v/>
      </c>
      <c r="G164" s="5" t="str">
        <f aca="false">IFERROR(INDEX('Element Library'!$G:$G,MATCH($C164&amp;"|"&amp;$D164&amp;"|"&amp;$E164,'Element Library'!$H:$H,0)),"")</f>
        <v/>
      </c>
      <c r="H164" s="24"/>
      <c r="I164" s="26"/>
      <c r="J164" s="24"/>
      <c r="K164" s="27" t="str">
        <f aca="false">IFERROR(VLOOKUP($C164,MAP_SEC,2,0),"L_SECTION")</f>
        <v>L_SECTION</v>
      </c>
      <c r="L164" s="27" t="str">
        <f aca="false">IFERROR(VLOOKUP($C164&amp;"|"&amp;$D164,MAP_SUB,2,0),"L_SECTION")</f>
        <v>L_SECTION</v>
      </c>
    </row>
    <row r="165" customFormat="false" ht="15" hidden="false" customHeight="false" outlineLevel="0" collapsed="false">
      <c r="A165" s="5" t="str">
        <f aca="false">IF($C165="","",ROW()-4)</f>
        <v/>
      </c>
      <c r="B165" s="24"/>
      <c r="C165" s="24"/>
      <c r="D165" s="24"/>
      <c r="E165" s="24"/>
      <c r="F165" s="25" t="str">
        <f aca="false">IFERROR(INDEX('Element Library'!$C:$C,MATCH($C165&amp;"|"&amp;$D165&amp;"|"&amp;$E165,'Element Library'!$H:$H,0)),"")</f>
        <v/>
      </c>
      <c r="G165" s="5" t="str">
        <f aca="false">IFERROR(INDEX('Element Library'!$G:$G,MATCH($C165&amp;"|"&amp;$D165&amp;"|"&amp;$E165,'Element Library'!$H:$H,0)),"")</f>
        <v/>
      </c>
      <c r="H165" s="24"/>
      <c r="I165" s="26"/>
      <c r="J165" s="24"/>
      <c r="K165" s="27" t="str">
        <f aca="false">IFERROR(VLOOKUP($C165,MAP_SEC,2,0),"L_SECTION")</f>
        <v>L_SECTION</v>
      </c>
      <c r="L165" s="27" t="str">
        <f aca="false">IFERROR(VLOOKUP($C165&amp;"|"&amp;$D165,MAP_SUB,2,0),"L_SECTION")</f>
        <v>L_SECTION</v>
      </c>
    </row>
    <row r="166" customFormat="false" ht="15" hidden="false" customHeight="false" outlineLevel="0" collapsed="false">
      <c r="A166" s="5" t="str">
        <f aca="false">IF($C166="","",ROW()-4)</f>
        <v/>
      </c>
      <c r="B166" s="24"/>
      <c r="C166" s="24"/>
      <c r="D166" s="24"/>
      <c r="E166" s="24"/>
      <c r="F166" s="25" t="str">
        <f aca="false">IFERROR(INDEX('Element Library'!$C:$C,MATCH($C166&amp;"|"&amp;$D166&amp;"|"&amp;$E166,'Element Library'!$H:$H,0)),"")</f>
        <v/>
      </c>
      <c r="G166" s="5" t="str">
        <f aca="false">IFERROR(INDEX('Element Library'!$G:$G,MATCH($C166&amp;"|"&amp;$D166&amp;"|"&amp;$E166,'Element Library'!$H:$H,0)),"")</f>
        <v/>
      </c>
      <c r="H166" s="24"/>
      <c r="I166" s="26"/>
      <c r="J166" s="24"/>
      <c r="K166" s="27" t="str">
        <f aca="false">IFERROR(VLOOKUP($C166,MAP_SEC,2,0),"L_SECTION")</f>
        <v>L_SECTION</v>
      </c>
      <c r="L166" s="27" t="str">
        <f aca="false">IFERROR(VLOOKUP($C166&amp;"|"&amp;$D166,MAP_SUB,2,0),"L_SECTION")</f>
        <v>L_SECTION</v>
      </c>
    </row>
    <row r="167" customFormat="false" ht="15" hidden="false" customHeight="false" outlineLevel="0" collapsed="false">
      <c r="A167" s="5" t="str">
        <f aca="false">IF($C167="","",ROW()-4)</f>
        <v/>
      </c>
      <c r="B167" s="24"/>
      <c r="C167" s="24"/>
      <c r="D167" s="24"/>
      <c r="E167" s="24"/>
      <c r="F167" s="25" t="str">
        <f aca="false">IFERROR(INDEX('Element Library'!$C:$C,MATCH($C167&amp;"|"&amp;$D167&amp;"|"&amp;$E167,'Element Library'!$H:$H,0)),"")</f>
        <v/>
      </c>
      <c r="G167" s="5" t="str">
        <f aca="false">IFERROR(INDEX('Element Library'!$G:$G,MATCH($C167&amp;"|"&amp;$D167&amp;"|"&amp;$E167,'Element Library'!$H:$H,0)),"")</f>
        <v/>
      </c>
      <c r="H167" s="24"/>
      <c r="I167" s="26"/>
      <c r="J167" s="24"/>
      <c r="K167" s="27" t="str">
        <f aca="false">IFERROR(VLOOKUP($C167,MAP_SEC,2,0),"L_SECTION")</f>
        <v>L_SECTION</v>
      </c>
      <c r="L167" s="27" t="str">
        <f aca="false">IFERROR(VLOOKUP($C167&amp;"|"&amp;$D167,MAP_SUB,2,0),"L_SECTION")</f>
        <v>L_SECTION</v>
      </c>
    </row>
    <row r="168" customFormat="false" ht="15" hidden="false" customHeight="false" outlineLevel="0" collapsed="false">
      <c r="A168" s="5" t="str">
        <f aca="false">IF($C168="","",ROW()-4)</f>
        <v/>
      </c>
      <c r="B168" s="24"/>
      <c r="C168" s="24"/>
      <c r="D168" s="24"/>
      <c r="E168" s="24"/>
      <c r="F168" s="25" t="str">
        <f aca="false">IFERROR(INDEX('Element Library'!$C:$C,MATCH($C168&amp;"|"&amp;$D168&amp;"|"&amp;$E168,'Element Library'!$H:$H,0)),"")</f>
        <v/>
      </c>
      <c r="G168" s="5" t="str">
        <f aca="false">IFERROR(INDEX('Element Library'!$G:$G,MATCH($C168&amp;"|"&amp;$D168&amp;"|"&amp;$E168,'Element Library'!$H:$H,0)),"")</f>
        <v/>
      </c>
      <c r="H168" s="24"/>
      <c r="I168" s="26"/>
      <c r="J168" s="24"/>
      <c r="K168" s="27" t="str">
        <f aca="false">IFERROR(VLOOKUP($C168,MAP_SEC,2,0),"L_SECTION")</f>
        <v>L_SECTION</v>
      </c>
      <c r="L168" s="27" t="str">
        <f aca="false">IFERROR(VLOOKUP($C168&amp;"|"&amp;$D168,MAP_SUB,2,0),"L_SECTION")</f>
        <v>L_SECTION</v>
      </c>
    </row>
    <row r="169" customFormat="false" ht="15" hidden="false" customHeight="false" outlineLevel="0" collapsed="false">
      <c r="A169" s="5" t="str">
        <f aca="false">IF($C169="","",ROW()-4)</f>
        <v/>
      </c>
      <c r="B169" s="24"/>
      <c r="C169" s="24"/>
      <c r="D169" s="24"/>
      <c r="E169" s="24"/>
      <c r="F169" s="25" t="str">
        <f aca="false">IFERROR(INDEX('Element Library'!$C:$C,MATCH($C169&amp;"|"&amp;$D169&amp;"|"&amp;$E169,'Element Library'!$H:$H,0)),"")</f>
        <v/>
      </c>
      <c r="G169" s="5" t="str">
        <f aca="false">IFERROR(INDEX('Element Library'!$G:$G,MATCH($C169&amp;"|"&amp;$D169&amp;"|"&amp;$E169,'Element Library'!$H:$H,0)),"")</f>
        <v/>
      </c>
      <c r="H169" s="24"/>
      <c r="I169" s="26"/>
      <c r="J169" s="24"/>
      <c r="K169" s="27" t="str">
        <f aca="false">IFERROR(VLOOKUP($C169,MAP_SEC,2,0),"L_SECTION")</f>
        <v>L_SECTION</v>
      </c>
      <c r="L169" s="27" t="str">
        <f aca="false">IFERROR(VLOOKUP($C169&amp;"|"&amp;$D169,MAP_SUB,2,0),"L_SECTION")</f>
        <v>L_SECTION</v>
      </c>
    </row>
    <row r="170" customFormat="false" ht="15" hidden="false" customHeight="false" outlineLevel="0" collapsed="false">
      <c r="A170" s="5" t="str">
        <f aca="false">IF($C170="","",ROW()-4)</f>
        <v/>
      </c>
      <c r="B170" s="24"/>
      <c r="C170" s="24"/>
      <c r="D170" s="24"/>
      <c r="E170" s="24"/>
      <c r="F170" s="25" t="str">
        <f aca="false">IFERROR(INDEX('Element Library'!$C:$C,MATCH($C170&amp;"|"&amp;$D170&amp;"|"&amp;$E170,'Element Library'!$H:$H,0)),"")</f>
        <v/>
      </c>
      <c r="G170" s="5" t="str">
        <f aca="false">IFERROR(INDEX('Element Library'!$G:$G,MATCH($C170&amp;"|"&amp;$D170&amp;"|"&amp;$E170,'Element Library'!$H:$H,0)),"")</f>
        <v/>
      </c>
      <c r="H170" s="24"/>
      <c r="I170" s="26"/>
      <c r="J170" s="24"/>
      <c r="K170" s="27" t="str">
        <f aca="false">IFERROR(VLOOKUP($C170,MAP_SEC,2,0),"L_SECTION")</f>
        <v>L_SECTION</v>
      </c>
      <c r="L170" s="27" t="str">
        <f aca="false">IFERROR(VLOOKUP($C170&amp;"|"&amp;$D170,MAP_SUB,2,0),"L_SECTION")</f>
        <v>L_SECTION</v>
      </c>
    </row>
    <row r="171" customFormat="false" ht="15" hidden="false" customHeight="false" outlineLevel="0" collapsed="false">
      <c r="A171" s="5" t="str">
        <f aca="false">IF($C171="","",ROW()-4)</f>
        <v/>
      </c>
      <c r="B171" s="24"/>
      <c r="C171" s="24"/>
      <c r="D171" s="24"/>
      <c r="E171" s="24"/>
      <c r="F171" s="25" t="str">
        <f aca="false">IFERROR(INDEX('Element Library'!$C:$C,MATCH($C171&amp;"|"&amp;$D171&amp;"|"&amp;$E171,'Element Library'!$H:$H,0)),"")</f>
        <v/>
      </c>
      <c r="G171" s="5" t="str">
        <f aca="false">IFERROR(INDEX('Element Library'!$G:$G,MATCH($C171&amp;"|"&amp;$D171&amp;"|"&amp;$E171,'Element Library'!$H:$H,0)),"")</f>
        <v/>
      </c>
      <c r="H171" s="24"/>
      <c r="I171" s="26"/>
      <c r="J171" s="24"/>
      <c r="K171" s="27" t="str">
        <f aca="false">IFERROR(VLOOKUP($C171,MAP_SEC,2,0),"L_SECTION")</f>
        <v>L_SECTION</v>
      </c>
      <c r="L171" s="27" t="str">
        <f aca="false">IFERROR(VLOOKUP($C171&amp;"|"&amp;$D171,MAP_SUB,2,0),"L_SECTION")</f>
        <v>L_SECTION</v>
      </c>
    </row>
    <row r="172" customFormat="false" ht="15" hidden="false" customHeight="false" outlineLevel="0" collapsed="false">
      <c r="A172" s="5" t="str">
        <f aca="false">IF($C172="","",ROW()-4)</f>
        <v/>
      </c>
      <c r="B172" s="24"/>
      <c r="C172" s="24"/>
      <c r="D172" s="24"/>
      <c r="E172" s="24"/>
      <c r="F172" s="25" t="str">
        <f aca="false">IFERROR(INDEX('Element Library'!$C:$C,MATCH($C172&amp;"|"&amp;$D172&amp;"|"&amp;$E172,'Element Library'!$H:$H,0)),"")</f>
        <v/>
      </c>
      <c r="G172" s="5" t="str">
        <f aca="false">IFERROR(INDEX('Element Library'!$G:$G,MATCH($C172&amp;"|"&amp;$D172&amp;"|"&amp;$E172,'Element Library'!$H:$H,0)),"")</f>
        <v/>
      </c>
      <c r="H172" s="24"/>
      <c r="I172" s="26"/>
      <c r="J172" s="24"/>
      <c r="K172" s="27" t="str">
        <f aca="false">IFERROR(VLOOKUP($C172,MAP_SEC,2,0),"L_SECTION")</f>
        <v>L_SECTION</v>
      </c>
      <c r="L172" s="27" t="str">
        <f aca="false">IFERROR(VLOOKUP($C172&amp;"|"&amp;$D172,MAP_SUB,2,0),"L_SECTION")</f>
        <v>L_SECTION</v>
      </c>
    </row>
    <row r="173" customFormat="false" ht="15" hidden="false" customHeight="false" outlineLevel="0" collapsed="false">
      <c r="A173" s="5" t="str">
        <f aca="false">IF($C173="","",ROW()-4)</f>
        <v/>
      </c>
      <c r="B173" s="24"/>
      <c r="C173" s="24"/>
      <c r="D173" s="24"/>
      <c r="E173" s="24"/>
      <c r="F173" s="25" t="str">
        <f aca="false">IFERROR(INDEX('Element Library'!$C:$C,MATCH($C173&amp;"|"&amp;$D173&amp;"|"&amp;$E173,'Element Library'!$H:$H,0)),"")</f>
        <v/>
      </c>
      <c r="G173" s="5" t="str">
        <f aca="false">IFERROR(INDEX('Element Library'!$G:$G,MATCH($C173&amp;"|"&amp;$D173&amp;"|"&amp;$E173,'Element Library'!$H:$H,0)),"")</f>
        <v/>
      </c>
      <c r="H173" s="24"/>
      <c r="I173" s="26"/>
      <c r="J173" s="24"/>
      <c r="K173" s="27" t="str">
        <f aca="false">IFERROR(VLOOKUP($C173,MAP_SEC,2,0),"L_SECTION")</f>
        <v>L_SECTION</v>
      </c>
      <c r="L173" s="27" t="str">
        <f aca="false">IFERROR(VLOOKUP($C173&amp;"|"&amp;$D173,MAP_SUB,2,0),"L_SECTION")</f>
        <v>L_SECTION</v>
      </c>
    </row>
    <row r="174" customFormat="false" ht="15" hidden="false" customHeight="false" outlineLevel="0" collapsed="false">
      <c r="A174" s="5" t="str">
        <f aca="false">IF($C174="","",ROW()-4)</f>
        <v/>
      </c>
      <c r="B174" s="24"/>
      <c r="C174" s="24"/>
      <c r="D174" s="24"/>
      <c r="E174" s="24"/>
      <c r="F174" s="25" t="str">
        <f aca="false">IFERROR(INDEX('Element Library'!$C:$C,MATCH($C174&amp;"|"&amp;$D174&amp;"|"&amp;$E174,'Element Library'!$H:$H,0)),"")</f>
        <v/>
      </c>
      <c r="G174" s="5" t="str">
        <f aca="false">IFERROR(INDEX('Element Library'!$G:$G,MATCH($C174&amp;"|"&amp;$D174&amp;"|"&amp;$E174,'Element Library'!$H:$H,0)),"")</f>
        <v/>
      </c>
      <c r="H174" s="24"/>
      <c r="I174" s="26"/>
      <c r="J174" s="24"/>
      <c r="K174" s="27" t="str">
        <f aca="false">IFERROR(VLOOKUP($C174,MAP_SEC,2,0),"L_SECTION")</f>
        <v>L_SECTION</v>
      </c>
      <c r="L174" s="27" t="str">
        <f aca="false">IFERROR(VLOOKUP($C174&amp;"|"&amp;$D174,MAP_SUB,2,0),"L_SECTION")</f>
        <v>L_SECTION</v>
      </c>
    </row>
    <row r="175" customFormat="false" ht="15" hidden="false" customHeight="false" outlineLevel="0" collapsed="false">
      <c r="A175" s="5" t="str">
        <f aca="false">IF($C175="","",ROW()-4)</f>
        <v/>
      </c>
      <c r="B175" s="24"/>
      <c r="C175" s="24"/>
      <c r="D175" s="24"/>
      <c r="E175" s="24"/>
      <c r="F175" s="25" t="str">
        <f aca="false">IFERROR(INDEX('Element Library'!$C:$C,MATCH($C175&amp;"|"&amp;$D175&amp;"|"&amp;$E175,'Element Library'!$H:$H,0)),"")</f>
        <v/>
      </c>
      <c r="G175" s="5" t="str">
        <f aca="false">IFERROR(INDEX('Element Library'!$G:$G,MATCH($C175&amp;"|"&amp;$D175&amp;"|"&amp;$E175,'Element Library'!$H:$H,0)),"")</f>
        <v/>
      </c>
      <c r="H175" s="24"/>
      <c r="I175" s="26"/>
      <c r="J175" s="24"/>
      <c r="K175" s="27" t="str">
        <f aca="false">IFERROR(VLOOKUP($C175,MAP_SEC,2,0),"L_SECTION")</f>
        <v>L_SECTION</v>
      </c>
      <c r="L175" s="27" t="str">
        <f aca="false">IFERROR(VLOOKUP($C175&amp;"|"&amp;$D175,MAP_SUB,2,0),"L_SECTION")</f>
        <v>L_SECTION</v>
      </c>
    </row>
    <row r="176" customFormat="false" ht="15" hidden="false" customHeight="false" outlineLevel="0" collapsed="false">
      <c r="A176" s="5" t="str">
        <f aca="false">IF($C176="","",ROW()-4)</f>
        <v/>
      </c>
      <c r="B176" s="24"/>
      <c r="C176" s="24"/>
      <c r="D176" s="24"/>
      <c r="E176" s="24"/>
      <c r="F176" s="25" t="str">
        <f aca="false">IFERROR(INDEX('Element Library'!$C:$C,MATCH($C176&amp;"|"&amp;$D176&amp;"|"&amp;$E176,'Element Library'!$H:$H,0)),"")</f>
        <v/>
      </c>
      <c r="G176" s="5" t="str">
        <f aca="false">IFERROR(INDEX('Element Library'!$G:$G,MATCH($C176&amp;"|"&amp;$D176&amp;"|"&amp;$E176,'Element Library'!$H:$H,0)),"")</f>
        <v/>
      </c>
      <c r="H176" s="24"/>
      <c r="I176" s="26"/>
      <c r="J176" s="24"/>
      <c r="K176" s="27" t="str">
        <f aca="false">IFERROR(VLOOKUP($C176,MAP_SEC,2,0),"L_SECTION")</f>
        <v>L_SECTION</v>
      </c>
      <c r="L176" s="27" t="str">
        <f aca="false">IFERROR(VLOOKUP($C176&amp;"|"&amp;$D176,MAP_SUB,2,0),"L_SECTION")</f>
        <v>L_SECTION</v>
      </c>
    </row>
    <row r="177" customFormat="false" ht="15" hidden="false" customHeight="false" outlineLevel="0" collapsed="false">
      <c r="A177" s="5" t="str">
        <f aca="false">IF($C177="","",ROW()-4)</f>
        <v/>
      </c>
      <c r="B177" s="24"/>
      <c r="C177" s="24"/>
      <c r="D177" s="24"/>
      <c r="E177" s="24"/>
      <c r="F177" s="25" t="str">
        <f aca="false">IFERROR(INDEX('Element Library'!$C:$C,MATCH($C177&amp;"|"&amp;$D177&amp;"|"&amp;$E177,'Element Library'!$H:$H,0)),"")</f>
        <v/>
      </c>
      <c r="G177" s="5" t="str">
        <f aca="false">IFERROR(INDEX('Element Library'!$G:$G,MATCH($C177&amp;"|"&amp;$D177&amp;"|"&amp;$E177,'Element Library'!$H:$H,0)),"")</f>
        <v/>
      </c>
      <c r="H177" s="24"/>
      <c r="I177" s="26"/>
      <c r="J177" s="24"/>
      <c r="K177" s="27" t="str">
        <f aca="false">IFERROR(VLOOKUP($C177,MAP_SEC,2,0),"L_SECTION")</f>
        <v>L_SECTION</v>
      </c>
      <c r="L177" s="27" t="str">
        <f aca="false">IFERROR(VLOOKUP($C177&amp;"|"&amp;$D177,MAP_SUB,2,0),"L_SECTION")</f>
        <v>L_SECTION</v>
      </c>
    </row>
    <row r="178" customFormat="false" ht="15" hidden="false" customHeight="false" outlineLevel="0" collapsed="false">
      <c r="A178" s="5" t="str">
        <f aca="false">IF($C178="","",ROW()-4)</f>
        <v/>
      </c>
      <c r="B178" s="24"/>
      <c r="C178" s="24"/>
      <c r="D178" s="24"/>
      <c r="E178" s="24"/>
      <c r="F178" s="25" t="str">
        <f aca="false">IFERROR(INDEX('Element Library'!$C:$C,MATCH($C178&amp;"|"&amp;$D178&amp;"|"&amp;$E178,'Element Library'!$H:$H,0)),"")</f>
        <v/>
      </c>
      <c r="G178" s="5" t="str">
        <f aca="false">IFERROR(INDEX('Element Library'!$G:$G,MATCH($C178&amp;"|"&amp;$D178&amp;"|"&amp;$E178,'Element Library'!$H:$H,0)),"")</f>
        <v/>
      </c>
      <c r="H178" s="24"/>
      <c r="I178" s="26"/>
      <c r="J178" s="24"/>
      <c r="K178" s="27" t="str">
        <f aca="false">IFERROR(VLOOKUP($C178,MAP_SEC,2,0),"L_SECTION")</f>
        <v>L_SECTION</v>
      </c>
      <c r="L178" s="27" t="str">
        <f aca="false">IFERROR(VLOOKUP($C178&amp;"|"&amp;$D178,MAP_SUB,2,0),"L_SECTION")</f>
        <v>L_SECTION</v>
      </c>
    </row>
    <row r="179" customFormat="false" ht="15" hidden="false" customHeight="false" outlineLevel="0" collapsed="false">
      <c r="A179" s="5" t="str">
        <f aca="false">IF($C179="","",ROW()-4)</f>
        <v/>
      </c>
      <c r="B179" s="24"/>
      <c r="C179" s="24"/>
      <c r="D179" s="24"/>
      <c r="E179" s="24"/>
      <c r="F179" s="25" t="str">
        <f aca="false">IFERROR(INDEX('Element Library'!$C:$C,MATCH($C179&amp;"|"&amp;$D179&amp;"|"&amp;$E179,'Element Library'!$H:$H,0)),"")</f>
        <v/>
      </c>
      <c r="G179" s="5" t="str">
        <f aca="false">IFERROR(INDEX('Element Library'!$G:$G,MATCH($C179&amp;"|"&amp;$D179&amp;"|"&amp;$E179,'Element Library'!$H:$H,0)),"")</f>
        <v/>
      </c>
      <c r="H179" s="24"/>
      <c r="I179" s="26"/>
      <c r="J179" s="24"/>
      <c r="K179" s="27" t="str">
        <f aca="false">IFERROR(VLOOKUP($C179,MAP_SEC,2,0),"L_SECTION")</f>
        <v>L_SECTION</v>
      </c>
      <c r="L179" s="27" t="str">
        <f aca="false">IFERROR(VLOOKUP($C179&amp;"|"&amp;$D179,MAP_SUB,2,0),"L_SECTION")</f>
        <v>L_SECTION</v>
      </c>
    </row>
    <row r="180" customFormat="false" ht="15" hidden="false" customHeight="false" outlineLevel="0" collapsed="false">
      <c r="A180" s="5" t="str">
        <f aca="false">IF($C180="","",ROW()-4)</f>
        <v/>
      </c>
      <c r="B180" s="24"/>
      <c r="C180" s="24"/>
      <c r="D180" s="24"/>
      <c r="E180" s="24"/>
      <c r="F180" s="25" t="str">
        <f aca="false">IFERROR(INDEX('Element Library'!$C:$C,MATCH($C180&amp;"|"&amp;$D180&amp;"|"&amp;$E180,'Element Library'!$H:$H,0)),"")</f>
        <v/>
      </c>
      <c r="G180" s="5" t="str">
        <f aca="false">IFERROR(INDEX('Element Library'!$G:$G,MATCH($C180&amp;"|"&amp;$D180&amp;"|"&amp;$E180,'Element Library'!$H:$H,0)),"")</f>
        <v/>
      </c>
      <c r="H180" s="24"/>
      <c r="I180" s="26"/>
      <c r="J180" s="24"/>
      <c r="K180" s="27" t="str">
        <f aca="false">IFERROR(VLOOKUP($C180,MAP_SEC,2,0),"L_SECTION")</f>
        <v>L_SECTION</v>
      </c>
      <c r="L180" s="27" t="str">
        <f aca="false">IFERROR(VLOOKUP($C180&amp;"|"&amp;$D180,MAP_SUB,2,0),"L_SECTION")</f>
        <v>L_SECTION</v>
      </c>
    </row>
    <row r="181" customFormat="false" ht="15" hidden="false" customHeight="false" outlineLevel="0" collapsed="false">
      <c r="A181" s="5" t="str">
        <f aca="false">IF($C181="","",ROW()-4)</f>
        <v/>
      </c>
      <c r="B181" s="24"/>
      <c r="C181" s="24"/>
      <c r="D181" s="24"/>
      <c r="E181" s="24"/>
      <c r="F181" s="25" t="str">
        <f aca="false">IFERROR(INDEX('Element Library'!$C:$C,MATCH($C181&amp;"|"&amp;$D181&amp;"|"&amp;$E181,'Element Library'!$H:$H,0)),"")</f>
        <v/>
      </c>
      <c r="G181" s="5" t="str">
        <f aca="false">IFERROR(INDEX('Element Library'!$G:$G,MATCH($C181&amp;"|"&amp;$D181&amp;"|"&amp;$E181,'Element Library'!$H:$H,0)),"")</f>
        <v/>
      </c>
      <c r="H181" s="24"/>
      <c r="I181" s="26"/>
      <c r="J181" s="24"/>
      <c r="K181" s="27" t="str">
        <f aca="false">IFERROR(VLOOKUP($C181,MAP_SEC,2,0),"L_SECTION")</f>
        <v>L_SECTION</v>
      </c>
      <c r="L181" s="27" t="str">
        <f aca="false">IFERROR(VLOOKUP($C181&amp;"|"&amp;$D181,MAP_SUB,2,0),"L_SECTION")</f>
        <v>L_SECTION</v>
      </c>
    </row>
    <row r="182" customFormat="false" ht="15" hidden="false" customHeight="false" outlineLevel="0" collapsed="false">
      <c r="A182" s="5" t="str">
        <f aca="false">IF($C182="","",ROW()-4)</f>
        <v/>
      </c>
      <c r="B182" s="24"/>
      <c r="C182" s="24"/>
      <c r="D182" s="24"/>
      <c r="E182" s="24"/>
      <c r="F182" s="25" t="str">
        <f aca="false">IFERROR(INDEX('Element Library'!$C:$C,MATCH($C182&amp;"|"&amp;$D182&amp;"|"&amp;$E182,'Element Library'!$H:$H,0)),"")</f>
        <v/>
      </c>
      <c r="G182" s="5" t="str">
        <f aca="false">IFERROR(INDEX('Element Library'!$G:$G,MATCH($C182&amp;"|"&amp;$D182&amp;"|"&amp;$E182,'Element Library'!$H:$H,0)),"")</f>
        <v/>
      </c>
      <c r="H182" s="24"/>
      <c r="I182" s="26"/>
      <c r="J182" s="24"/>
      <c r="K182" s="27" t="str">
        <f aca="false">IFERROR(VLOOKUP($C182,MAP_SEC,2,0),"L_SECTION")</f>
        <v>L_SECTION</v>
      </c>
      <c r="L182" s="27" t="str">
        <f aca="false">IFERROR(VLOOKUP($C182&amp;"|"&amp;$D182,MAP_SUB,2,0),"L_SECTION")</f>
        <v>L_SECTION</v>
      </c>
    </row>
    <row r="183" customFormat="false" ht="15" hidden="false" customHeight="false" outlineLevel="0" collapsed="false">
      <c r="A183" s="5" t="str">
        <f aca="false">IF($C183="","",ROW()-4)</f>
        <v/>
      </c>
      <c r="B183" s="24"/>
      <c r="C183" s="24"/>
      <c r="D183" s="24"/>
      <c r="E183" s="24"/>
      <c r="F183" s="25" t="str">
        <f aca="false">IFERROR(INDEX('Element Library'!$C:$C,MATCH($C183&amp;"|"&amp;$D183&amp;"|"&amp;$E183,'Element Library'!$H:$H,0)),"")</f>
        <v/>
      </c>
      <c r="G183" s="5" t="str">
        <f aca="false">IFERROR(INDEX('Element Library'!$G:$G,MATCH($C183&amp;"|"&amp;$D183&amp;"|"&amp;$E183,'Element Library'!$H:$H,0)),"")</f>
        <v/>
      </c>
      <c r="H183" s="24"/>
      <c r="I183" s="26"/>
      <c r="J183" s="24"/>
      <c r="K183" s="27" t="str">
        <f aca="false">IFERROR(VLOOKUP($C183,MAP_SEC,2,0),"L_SECTION")</f>
        <v>L_SECTION</v>
      </c>
      <c r="L183" s="27" t="str">
        <f aca="false">IFERROR(VLOOKUP($C183&amp;"|"&amp;$D183,MAP_SUB,2,0),"L_SECTION")</f>
        <v>L_SECTION</v>
      </c>
    </row>
    <row r="184" customFormat="false" ht="15" hidden="false" customHeight="false" outlineLevel="0" collapsed="false">
      <c r="A184" s="5" t="str">
        <f aca="false">IF($C184="","",ROW()-4)</f>
        <v/>
      </c>
      <c r="B184" s="24"/>
      <c r="C184" s="24"/>
      <c r="D184" s="24"/>
      <c r="E184" s="24"/>
      <c r="F184" s="25" t="str">
        <f aca="false">IFERROR(INDEX('Element Library'!$C:$C,MATCH($C184&amp;"|"&amp;$D184&amp;"|"&amp;$E184,'Element Library'!$H:$H,0)),"")</f>
        <v/>
      </c>
      <c r="G184" s="5" t="str">
        <f aca="false">IFERROR(INDEX('Element Library'!$G:$G,MATCH($C184&amp;"|"&amp;$D184&amp;"|"&amp;$E184,'Element Library'!$H:$H,0)),"")</f>
        <v/>
      </c>
      <c r="H184" s="24"/>
      <c r="I184" s="26"/>
      <c r="J184" s="24"/>
      <c r="K184" s="27" t="str">
        <f aca="false">IFERROR(VLOOKUP($C184,MAP_SEC,2,0),"L_SECTION")</f>
        <v>L_SECTION</v>
      </c>
      <c r="L184" s="27" t="str">
        <f aca="false">IFERROR(VLOOKUP($C184&amp;"|"&amp;$D184,MAP_SUB,2,0),"L_SECTION")</f>
        <v>L_SECTION</v>
      </c>
    </row>
    <row r="185" customFormat="false" ht="15" hidden="false" customHeight="false" outlineLevel="0" collapsed="false">
      <c r="A185" s="5" t="str">
        <f aca="false">IF($C185="","",ROW()-4)</f>
        <v/>
      </c>
      <c r="B185" s="24"/>
      <c r="C185" s="24"/>
      <c r="D185" s="24"/>
      <c r="E185" s="24"/>
      <c r="F185" s="25" t="str">
        <f aca="false">IFERROR(INDEX('Element Library'!$C:$C,MATCH($C185&amp;"|"&amp;$D185&amp;"|"&amp;$E185,'Element Library'!$H:$H,0)),"")</f>
        <v/>
      </c>
      <c r="G185" s="5" t="str">
        <f aca="false">IFERROR(INDEX('Element Library'!$G:$G,MATCH($C185&amp;"|"&amp;$D185&amp;"|"&amp;$E185,'Element Library'!$H:$H,0)),"")</f>
        <v/>
      </c>
      <c r="H185" s="24"/>
      <c r="I185" s="26"/>
      <c r="J185" s="24"/>
      <c r="K185" s="27" t="str">
        <f aca="false">IFERROR(VLOOKUP($C185,MAP_SEC,2,0),"L_SECTION")</f>
        <v>L_SECTION</v>
      </c>
      <c r="L185" s="27" t="str">
        <f aca="false">IFERROR(VLOOKUP($C185&amp;"|"&amp;$D185,MAP_SUB,2,0),"L_SECTION")</f>
        <v>L_SECTION</v>
      </c>
    </row>
    <row r="186" customFormat="false" ht="15" hidden="false" customHeight="false" outlineLevel="0" collapsed="false">
      <c r="A186" s="5" t="str">
        <f aca="false">IF($C186="","",ROW()-4)</f>
        <v/>
      </c>
      <c r="B186" s="24"/>
      <c r="C186" s="24"/>
      <c r="D186" s="24"/>
      <c r="E186" s="24"/>
      <c r="F186" s="25" t="str">
        <f aca="false">IFERROR(INDEX('Element Library'!$C:$C,MATCH($C186&amp;"|"&amp;$D186&amp;"|"&amp;$E186,'Element Library'!$H:$H,0)),"")</f>
        <v/>
      </c>
      <c r="G186" s="5" t="str">
        <f aca="false">IFERROR(INDEX('Element Library'!$G:$G,MATCH($C186&amp;"|"&amp;$D186&amp;"|"&amp;$E186,'Element Library'!$H:$H,0)),"")</f>
        <v/>
      </c>
      <c r="H186" s="24"/>
      <c r="I186" s="26"/>
      <c r="J186" s="24"/>
      <c r="K186" s="27" t="str">
        <f aca="false">IFERROR(VLOOKUP($C186,MAP_SEC,2,0),"L_SECTION")</f>
        <v>L_SECTION</v>
      </c>
      <c r="L186" s="27" t="str">
        <f aca="false">IFERROR(VLOOKUP($C186&amp;"|"&amp;$D186,MAP_SUB,2,0),"L_SECTION")</f>
        <v>L_SECTION</v>
      </c>
    </row>
    <row r="187" customFormat="false" ht="15" hidden="false" customHeight="false" outlineLevel="0" collapsed="false">
      <c r="A187" s="5" t="str">
        <f aca="false">IF($C187="","",ROW()-4)</f>
        <v/>
      </c>
      <c r="B187" s="24"/>
      <c r="C187" s="24"/>
      <c r="D187" s="24"/>
      <c r="E187" s="24"/>
      <c r="F187" s="25" t="str">
        <f aca="false">IFERROR(INDEX('Element Library'!$C:$C,MATCH($C187&amp;"|"&amp;$D187&amp;"|"&amp;$E187,'Element Library'!$H:$H,0)),"")</f>
        <v/>
      </c>
      <c r="G187" s="5" t="str">
        <f aca="false">IFERROR(INDEX('Element Library'!$G:$G,MATCH($C187&amp;"|"&amp;$D187&amp;"|"&amp;$E187,'Element Library'!$H:$H,0)),"")</f>
        <v/>
      </c>
      <c r="H187" s="24"/>
      <c r="I187" s="26"/>
      <c r="J187" s="24"/>
      <c r="K187" s="27" t="str">
        <f aca="false">IFERROR(VLOOKUP($C187,MAP_SEC,2,0),"L_SECTION")</f>
        <v>L_SECTION</v>
      </c>
      <c r="L187" s="27" t="str">
        <f aca="false">IFERROR(VLOOKUP($C187&amp;"|"&amp;$D187,MAP_SUB,2,0),"L_SECTION")</f>
        <v>L_SECTION</v>
      </c>
    </row>
    <row r="188" customFormat="false" ht="15" hidden="false" customHeight="false" outlineLevel="0" collapsed="false">
      <c r="A188" s="5" t="str">
        <f aca="false">IF($C188="","",ROW()-4)</f>
        <v/>
      </c>
      <c r="B188" s="24"/>
      <c r="C188" s="24"/>
      <c r="D188" s="24"/>
      <c r="E188" s="24"/>
      <c r="F188" s="25" t="str">
        <f aca="false">IFERROR(INDEX('Element Library'!$C:$C,MATCH($C188&amp;"|"&amp;$D188&amp;"|"&amp;$E188,'Element Library'!$H:$H,0)),"")</f>
        <v/>
      </c>
      <c r="G188" s="5" t="str">
        <f aca="false">IFERROR(INDEX('Element Library'!$G:$G,MATCH($C188&amp;"|"&amp;$D188&amp;"|"&amp;$E188,'Element Library'!$H:$H,0)),"")</f>
        <v/>
      </c>
      <c r="H188" s="24"/>
      <c r="I188" s="26"/>
      <c r="J188" s="24"/>
      <c r="K188" s="27" t="str">
        <f aca="false">IFERROR(VLOOKUP($C188,MAP_SEC,2,0),"L_SECTION")</f>
        <v>L_SECTION</v>
      </c>
      <c r="L188" s="27" t="str">
        <f aca="false">IFERROR(VLOOKUP($C188&amp;"|"&amp;$D188,MAP_SUB,2,0),"L_SECTION")</f>
        <v>L_SECTION</v>
      </c>
    </row>
    <row r="189" customFormat="false" ht="15" hidden="false" customHeight="false" outlineLevel="0" collapsed="false">
      <c r="A189" s="5" t="str">
        <f aca="false">IF($C189="","",ROW()-4)</f>
        <v/>
      </c>
      <c r="B189" s="24"/>
      <c r="C189" s="24"/>
      <c r="D189" s="24"/>
      <c r="E189" s="24"/>
      <c r="F189" s="25" t="str">
        <f aca="false">IFERROR(INDEX('Element Library'!$C:$C,MATCH($C189&amp;"|"&amp;$D189&amp;"|"&amp;$E189,'Element Library'!$H:$H,0)),"")</f>
        <v/>
      </c>
      <c r="G189" s="5" t="str">
        <f aca="false">IFERROR(INDEX('Element Library'!$G:$G,MATCH($C189&amp;"|"&amp;$D189&amp;"|"&amp;$E189,'Element Library'!$H:$H,0)),"")</f>
        <v/>
      </c>
      <c r="H189" s="24"/>
      <c r="I189" s="26"/>
      <c r="J189" s="24"/>
      <c r="K189" s="27" t="str">
        <f aca="false">IFERROR(VLOOKUP($C189,MAP_SEC,2,0),"L_SECTION")</f>
        <v>L_SECTION</v>
      </c>
      <c r="L189" s="27" t="str">
        <f aca="false">IFERROR(VLOOKUP($C189&amp;"|"&amp;$D189,MAP_SUB,2,0),"L_SECTION")</f>
        <v>L_SECTION</v>
      </c>
    </row>
    <row r="190" customFormat="false" ht="15" hidden="false" customHeight="false" outlineLevel="0" collapsed="false">
      <c r="A190" s="5" t="str">
        <f aca="false">IF($C190="","",ROW()-4)</f>
        <v/>
      </c>
      <c r="B190" s="24"/>
      <c r="C190" s="24"/>
      <c r="D190" s="24"/>
      <c r="E190" s="24"/>
      <c r="F190" s="25" t="str">
        <f aca="false">IFERROR(INDEX('Element Library'!$C:$C,MATCH($C190&amp;"|"&amp;$D190&amp;"|"&amp;$E190,'Element Library'!$H:$H,0)),"")</f>
        <v/>
      </c>
      <c r="G190" s="5" t="str">
        <f aca="false">IFERROR(INDEX('Element Library'!$G:$G,MATCH($C190&amp;"|"&amp;$D190&amp;"|"&amp;$E190,'Element Library'!$H:$H,0)),"")</f>
        <v/>
      </c>
      <c r="H190" s="24"/>
      <c r="I190" s="26"/>
      <c r="J190" s="24"/>
      <c r="K190" s="27" t="str">
        <f aca="false">IFERROR(VLOOKUP($C190,MAP_SEC,2,0),"L_SECTION")</f>
        <v>L_SECTION</v>
      </c>
      <c r="L190" s="27" t="str">
        <f aca="false">IFERROR(VLOOKUP($C190&amp;"|"&amp;$D190,MAP_SUB,2,0),"L_SECTION")</f>
        <v>L_SECTION</v>
      </c>
    </row>
    <row r="191" customFormat="false" ht="15" hidden="false" customHeight="false" outlineLevel="0" collapsed="false">
      <c r="A191" s="5" t="str">
        <f aca="false">IF($C191="","",ROW()-4)</f>
        <v/>
      </c>
      <c r="B191" s="24"/>
      <c r="C191" s="24"/>
      <c r="D191" s="24"/>
      <c r="E191" s="24"/>
      <c r="F191" s="25" t="str">
        <f aca="false">IFERROR(INDEX('Element Library'!$C:$C,MATCH($C191&amp;"|"&amp;$D191&amp;"|"&amp;$E191,'Element Library'!$H:$H,0)),"")</f>
        <v/>
      </c>
      <c r="G191" s="5" t="str">
        <f aca="false">IFERROR(INDEX('Element Library'!$G:$G,MATCH($C191&amp;"|"&amp;$D191&amp;"|"&amp;$E191,'Element Library'!$H:$H,0)),"")</f>
        <v/>
      </c>
      <c r="H191" s="24"/>
      <c r="I191" s="26"/>
      <c r="J191" s="24"/>
      <c r="K191" s="27" t="str">
        <f aca="false">IFERROR(VLOOKUP($C191,MAP_SEC,2,0),"L_SECTION")</f>
        <v>L_SECTION</v>
      </c>
      <c r="L191" s="27" t="str">
        <f aca="false">IFERROR(VLOOKUP($C191&amp;"|"&amp;$D191,MAP_SUB,2,0),"L_SECTION")</f>
        <v>L_SECTION</v>
      </c>
    </row>
    <row r="192" customFormat="false" ht="15" hidden="false" customHeight="false" outlineLevel="0" collapsed="false">
      <c r="A192" s="5" t="str">
        <f aca="false">IF($C192="","",ROW()-4)</f>
        <v/>
      </c>
      <c r="B192" s="24"/>
      <c r="C192" s="24"/>
      <c r="D192" s="24"/>
      <c r="E192" s="24"/>
      <c r="F192" s="25" t="str">
        <f aca="false">IFERROR(INDEX('Element Library'!$C:$C,MATCH($C192&amp;"|"&amp;$D192&amp;"|"&amp;$E192,'Element Library'!$H:$H,0)),"")</f>
        <v/>
      </c>
      <c r="G192" s="5" t="str">
        <f aca="false">IFERROR(INDEX('Element Library'!$G:$G,MATCH($C192&amp;"|"&amp;$D192&amp;"|"&amp;$E192,'Element Library'!$H:$H,0)),"")</f>
        <v/>
      </c>
      <c r="H192" s="24"/>
      <c r="I192" s="26"/>
      <c r="J192" s="24"/>
      <c r="K192" s="27" t="str">
        <f aca="false">IFERROR(VLOOKUP($C192,MAP_SEC,2,0),"L_SECTION")</f>
        <v>L_SECTION</v>
      </c>
      <c r="L192" s="27" t="str">
        <f aca="false">IFERROR(VLOOKUP($C192&amp;"|"&amp;$D192,MAP_SUB,2,0),"L_SECTION")</f>
        <v>L_SECTION</v>
      </c>
    </row>
    <row r="193" customFormat="false" ht="15" hidden="false" customHeight="false" outlineLevel="0" collapsed="false">
      <c r="A193" s="5" t="str">
        <f aca="false">IF($C193="","",ROW()-4)</f>
        <v/>
      </c>
      <c r="B193" s="24"/>
      <c r="C193" s="24"/>
      <c r="D193" s="24"/>
      <c r="E193" s="24"/>
      <c r="F193" s="25" t="str">
        <f aca="false">IFERROR(INDEX('Element Library'!$C:$C,MATCH($C193&amp;"|"&amp;$D193&amp;"|"&amp;$E193,'Element Library'!$H:$H,0)),"")</f>
        <v/>
      </c>
      <c r="G193" s="5" t="str">
        <f aca="false">IFERROR(INDEX('Element Library'!$G:$G,MATCH($C193&amp;"|"&amp;$D193&amp;"|"&amp;$E193,'Element Library'!$H:$H,0)),"")</f>
        <v/>
      </c>
      <c r="H193" s="24"/>
      <c r="I193" s="26"/>
      <c r="J193" s="24"/>
      <c r="K193" s="27" t="str">
        <f aca="false">IFERROR(VLOOKUP($C193,MAP_SEC,2,0),"L_SECTION")</f>
        <v>L_SECTION</v>
      </c>
      <c r="L193" s="27" t="str">
        <f aca="false">IFERROR(VLOOKUP($C193&amp;"|"&amp;$D193,MAP_SUB,2,0),"L_SECTION")</f>
        <v>L_SECTION</v>
      </c>
    </row>
    <row r="194" customFormat="false" ht="15" hidden="false" customHeight="false" outlineLevel="0" collapsed="false">
      <c r="A194" s="5" t="str">
        <f aca="false">IF($C194="","",ROW()-4)</f>
        <v/>
      </c>
      <c r="B194" s="24"/>
      <c r="C194" s="24"/>
      <c r="D194" s="24"/>
      <c r="E194" s="24"/>
      <c r="F194" s="25" t="str">
        <f aca="false">IFERROR(INDEX('Element Library'!$C:$C,MATCH($C194&amp;"|"&amp;$D194&amp;"|"&amp;$E194,'Element Library'!$H:$H,0)),"")</f>
        <v/>
      </c>
      <c r="G194" s="5" t="str">
        <f aca="false">IFERROR(INDEX('Element Library'!$G:$G,MATCH($C194&amp;"|"&amp;$D194&amp;"|"&amp;$E194,'Element Library'!$H:$H,0)),"")</f>
        <v/>
      </c>
      <c r="H194" s="24"/>
      <c r="I194" s="26"/>
      <c r="J194" s="24"/>
      <c r="K194" s="27" t="str">
        <f aca="false">IFERROR(VLOOKUP($C194,MAP_SEC,2,0),"L_SECTION")</f>
        <v>L_SECTION</v>
      </c>
      <c r="L194" s="27" t="str">
        <f aca="false">IFERROR(VLOOKUP($C194&amp;"|"&amp;$D194,MAP_SUB,2,0),"L_SECTION")</f>
        <v>L_SECTION</v>
      </c>
    </row>
    <row r="195" customFormat="false" ht="15" hidden="false" customHeight="false" outlineLevel="0" collapsed="false">
      <c r="A195" s="5" t="str">
        <f aca="false">IF($C195="","",ROW()-4)</f>
        <v/>
      </c>
      <c r="B195" s="24"/>
      <c r="C195" s="24"/>
      <c r="D195" s="24"/>
      <c r="E195" s="24"/>
      <c r="F195" s="25" t="str">
        <f aca="false">IFERROR(INDEX('Element Library'!$C:$C,MATCH($C195&amp;"|"&amp;$D195&amp;"|"&amp;$E195,'Element Library'!$H:$H,0)),"")</f>
        <v/>
      </c>
      <c r="G195" s="5" t="str">
        <f aca="false">IFERROR(INDEX('Element Library'!$G:$G,MATCH($C195&amp;"|"&amp;$D195&amp;"|"&amp;$E195,'Element Library'!$H:$H,0)),"")</f>
        <v/>
      </c>
      <c r="H195" s="24"/>
      <c r="I195" s="26"/>
      <c r="J195" s="24"/>
      <c r="K195" s="27" t="str">
        <f aca="false">IFERROR(VLOOKUP($C195,MAP_SEC,2,0),"L_SECTION")</f>
        <v>L_SECTION</v>
      </c>
      <c r="L195" s="27" t="str">
        <f aca="false">IFERROR(VLOOKUP($C195&amp;"|"&amp;$D195,MAP_SUB,2,0),"L_SECTION")</f>
        <v>L_SECTION</v>
      </c>
    </row>
    <row r="196" customFormat="false" ht="15" hidden="false" customHeight="false" outlineLevel="0" collapsed="false">
      <c r="A196" s="5" t="str">
        <f aca="false">IF($C196="","",ROW()-4)</f>
        <v/>
      </c>
      <c r="B196" s="24"/>
      <c r="C196" s="24"/>
      <c r="D196" s="24"/>
      <c r="E196" s="24"/>
      <c r="F196" s="25" t="str">
        <f aca="false">IFERROR(INDEX('Element Library'!$C:$C,MATCH($C196&amp;"|"&amp;$D196&amp;"|"&amp;$E196,'Element Library'!$H:$H,0)),"")</f>
        <v/>
      </c>
      <c r="G196" s="5" t="str">
        <f aca="false">IFERROR(INDEX('Element Library'!$G:$G,MATCH($C196&amp;"|"&amp;$D196&amp;"|"&amp;$E196,'Element Library'!$H:$H,0)),"")</f>
        <v/>
      </c>
      <c r="H196" s="24"/>
      <c r="I196" s="26"/>
      <c r="J196" s="24"/>
      <c r="K196" s="27" t="str">
        <f aca="false">IFERROR(VLOOKUP($C196,MAP_SEC,2,0),"L_SECTION")</f>
        <v>L_SECTION</v>
      </c>
      <c r="L196" s="27" t="str">
        <f aca="false">IFERROR(VLOOKUP($C196&amp;"|"&amp;$D196,MAP_SUB,2,0),"L_SECTION")</f>
        <v>L_SECTION</v>
      </c>
    </row>
    <row r="197" customFormat="false" ht="15" hidden="false" customHeight="false" outlineLevel="0" collapsed="false">
      <c r="A197" s="5" t="str">
        <f aca="false">IF($C197="","",ROW()-4)</f>
        <v/>
      </c>
      <c r="B197" s="24"/>
      <c r="C197" s="24"/>
      <c r="D197" s="24"/>
      <c r="E197" s="24"/>
      <c r="F197" s="25" t="str">
        <f aca="false">IFERROR(INDEX('Element Library'!$C:$C,MATCH($C197&amp;"|"&amp;$D197&amp;"|"&amp;$E197,'Element Library'!$H:$H,0)),"")</f>
        <v/>
      </c>
      <c r="G197" s="5" t="str">
        <f aca="false">IFERROR(INDEX('Element Library'!$G:$G,MATCH($C197&amp;"|"&amp;$D197&amp;"|"&amp;$E197,'Element Library'!$H:$H,0)),"")</f>
        <v/>
      </c>
      <c r="H197" s="24"/>
      <c r="I197" s="26"/>
      <c r="J197" s="24"/>
      <c r="K197" s="27" t="str">
        <f aca="false">IFERROR(VLOOKUP($C197,MAP_SEC,2,0),"L_SECTION")</f>
        <v>L_SECTION</v>
      </c>
      <c r="L197" s="27" t="str">
        <f aca="false">IFERROR(VLOOKUP($C197&amp;"|"&amp;$D197,MAP_SUB,2,0),"L_SECTION")</f>
        <v>L_SECTION</v>
      </c>
    </row>
    <row r="198" customFormat="false" ht="15" hidden="false" customHeight="false" outlineLevel="0" collapsed="false">
      <c r="A198" s="5" t="str">
        <f aca="false">IF($C198="","",ROW()-4)</f>
        <v/>
      </c>
      <c r="B198" s="24"/>
      <c r="C198" s="24"/>
      <c r="D198" s="24"/>
      <c r="E198" s="24"/>
      <c r="F198" s="25" t="str">
        <f aca="false">IFERROR(INDEX('Element Library'!$C:$C,MATCH($C198&amp;"|"&amp;$D198&amp;"|"&amp;$E198,'Element Library'!$H:$H,0)),"")</f>
        <v/>
      </c>
      <c r="G198" s="5" t="str">
        <f aca="false">IFERROR(INDEX('Element Library'!$G:$G,MATCH($C198&amp;"|"&amp;$D198&amp;"|"&amp;$E198,'Element Library'!$H:$H,0)),"")</f>
        <v/>
      </c>
      <c r="H198" s="24"/>
      <c r="I198" s="26"/>
      <c r="J198" s="24"/>
      <c r="K198" s="27" t="str">
        <f aca="false">IFERROR(VLOOKUP($C198,MAP_SEC,2,0),"L_SECTION")</f>
        <v>L_SECTION</v>
      </c>
      <c r="L198" s="27" t="str">
        <f aca="false">IFERROR(VLOOKUP($C198&amp;"|"&amp;$D198,MAP_SUB,2,0),"L_SECTION")</f>
        <v>L_SECTION</v>
      </c>
    </row>
    <row r="199" customFormat="false" ht="15" hidden="false" customHeight="false" outlineLevel="0" collapsed="false">
      <c r="A199" s="5" t="str">
        <f aca="false">IF($C199="","",ROW()-4)</f>
        <v/>
      </c>
      <c r="B199" s="24"/>
      <c r="C199" s="24"/>
      <c r="D199" s="24"/>
      <c r="E199" s="24"/>
      <c r="F199" s="25" t="str">
        <f aca="false">IFERROR(INDEX('Element Library'!$C:$C,MATCH($C199&amp;"|"&amp;$D199&amp;"|"&amp;$E199,'Element Library'!$H:$H,0)),"")</f>
        <v/>
      </c>
      <c r="G199" s="5" t="str">
        <f aca="false">IFERROR(INDEX('Element Library'!$G:$G,MATCH($C199&amp;"|"&amp;$D199&amp;"|"&amp;$E199,'Element Library'!$H:$H,0)),"")</f>
        <v/>
      </c>
      <c r="H199" s="24"/>
      <c r="I199" s="26"/>
      <c r="J199" s="24"/>
      <c r="K199" s="27" t="str">
        <f aca="false">IFERROR(VLOOKUP($C199,MAP_SEC,2,0),"L_SECTION")</f>
        <v>L_SECTION</v>
      </c>
      <c r="L199" s="27" t="str">
        <f aca="false">IFERROR(VLOOKUP($C199&amp;"|"&amp;$D199,MAP_SUB,2,0),"L_SECTION")</f>
        <v>L_SECTION</v>
      </c>
    </row>
    <row r="200" customFormat="false" ht="15" hidden="false" customHeight="false" outlineLevel="0" collapsed="false">
      <c r="A200" s="5" t="str">
        <f aca="false">IF($C200="","",ROW()-4)</f>
        <v/>
      </c>
      <c r="B200" s="24"/>
      <c r="C200" s="24"/>
      <c r="D200" s="24"/>
      <c r="E200" s="24"/>
      <c r="F200" s="25" t="str">
        <f aca="false">IFERROR(INDEX('Element Library'!$C:$C,MATCH($C200&amp;"|"&amp;$D200&amp;"|"&amp;$E200,'Element Library'!$H:$H,0)),"")</f>
        <v/>
      </c>
      <c r="G200" s="5" t="str">
        <f aca="false">IFERROR(INDEX('Element Library'!$G:$G,MATCH($C200&amp;"|"&amp;$D200&amp;"|"&amp;$E200,'Element Library'!$H:$H,0)),"")</f>
        <v/>
      </c>
      <c r="H200" s="24"/>
      <c r="I200" s="26"/>
      <c r="J200" s="24"/>
      <c r="K200" s="27" t="str">
        <f aca="false">IFERROR(VLOOKUP($C200,MAP_SEC,2,0),"L_SECTION")</f>
        <v>L_SECTION</v>
      </c>
      <c r="L200" s="27" t="str">
        <f aca="false">IFERROR(VLOOKUP($C200&amp;"|"&amp;$D200,MAP_SUB,2,0),"L_SECTION")</f>
        <v>L_SECTION</v>
      </c>
    </row>
    <row r="201" customFormat="false" ht="15" hidden="false" customHeight="false" outlineLevel="0" collapsed="false">
      <c r="A201" s="5" t="str">
        <f aca="false">IF($C201="","",ROW()-4)</f>
        <v/>
      </c>
      <c r="B201" s="24"/>
      <c r="C201" s="24"/>
      <c r="D201" s="24"/>
      <c r="E201" s="24"/>
      <c r="F201" s="25" t="str">
        <f aca="false">IFERROR(INDEX('Element Library'!$C:$C,MATCH($C201&amp;"|"&amp;$D201&amp;"|"&amp;$E201,'Element Library'!$H:$H,0)),"")</f>
        <v/>
      </c>
      <c r="G201" s="5" t="str">
        <f aca="false">IFERROR(INDEX('Element Library'!$G:$G,MATCH($C201&amp;"|"&amp;$D201&amp;"|"&amp;$E201,'Element Library'!$H:$H,0)),"")</f>
        <v/>
      </c>
      <c r="H201" s="24"/>
      <c r="I201" s="26"/>
      <c r="J201" s="24"/>
      <c r="K201" s="27" t="str">
        <f aca="false">IFERROR(VLOOKUP($C201,MAP_SEC,2,0),"L_SECTION")</f>
        <v>L_SECTION</v>
      </c>
      <c r="L201" s="27" t="str">
        <f aca="false">IFERROR(VLOOKUP($C201&amp;"|"&amp;$D201,MAP_SUB,2,0),"L_SECTION")</f>
        <v>L_SECTION</v>
      </c>
    </row>
    <row r="202" customFormat="false" ht="15" hidden="false" customHeight="false" outlineLevel="0" collapsed="false">
      <c r="A202" s="5" t="str">
        <f aca="false">IF($C202="","",ROW()-4)</f>
        <v/>
      </c>
      <c r="B202" s="24"/>
      <c r="C202" s="24"/>
      <c r="D202" s="24"/>
      <c r="E202" s="24"/>
      <c r="F202" s="25" t="str">
        <f aca="false">IFERROR(INDEX('Element Library'!$C:$C,MATCH($C202&amp;"|"&amp;$D202&amp;"|"&amp;$E202,'Element Library'!$H:$H,0)),"")</f>
        <v/>
      </c>
      <c r="G202" s="5" t="str">
        <f aca="false">IFERROR(INDEX('Element Library'!$G:$G,MATCH($C202&amp;"|"&amp;$D202&amp;"|"&amp;$E202,'Element Library'!$H:$H,0)),"")</f>
        <v/>
      </c>
      <c r="H202" s="24"/>
      <c r="I202" s="26"/>
      <c r="J202" s="24"/>
      <c r="K202" s="27" t="str">
        <f aca="false">IFERROR(VLOOKUP($C202,MAP_SEC,2,0),"L_SECTION")</f>
        <v>L_SECTION</v>
      </c>
      <c r="L202" s="27" t="str">
        <f aca="false">IFERROR(VLOOKUP($C202&amp;"|"&amp;$D202,MAP_SUB,2,0),"L_SECTION")</f>
        <v>L_SECTION</v>
      </c>
    </row>
    <row r="203" customFormat="false" ht="15" hidden="false" customHeight="false" outlineLevel="0" collapsed="false">
      <c r="A203" s="5" t="str">
        <f aca="false">IF($C203="","",ROW()-4)</f>
        <v/>
      </c>
      <c r="B203" s="24"/>
      <c r="C203" s="24"/>
      <c r="D203" s="24"/>
      <c r="E203" s="24"/>
      <c r="F203" s="25" t="str">
        <f aca="false">IFERROR(INDEX('Element Library'!$C:$C,MATCH($C203&amp;"|"&amp;$D203&amp;"|"&amp;$E203,'Element Library'!$H:$H,0)),"")</f>
        <v/>
      </c>
      <c r="G203" s="5" t="str">
        <f aca="false">IFERROR(INDEX('Element Library'!$G:$G,MATCH($C203&amp;"|"&amp;$D203&amp;"|"&amp;$E203,'Element Library'!$H:$H,0)),"")</f>
        <v/>
      </c>
      <c r="H203" s="24"/>
      <c r="I203" s="26"/>
      <c r="J203" s="24"/>
      <c r="K203" s="27" t="str">
        <f aca="false">IFERROR(VLOOKUP($C203,MAP_SEC,2,0),"L_SECTION")</f>
        <v>L_SECTION</v>
      </c>
      <c r="L203" s="27" t="str">
        <f aca="false">IFERROR(VLOOKUP($C203&amp;"|"&amp;$D203,MAP_SUB,2,0),"L_SECTION")</f>
        <v>L_SECTION</v>
      </c>
    </row>
    <row r="204" customFormat="false" ht="15" hidden="false" customHeight="false" outlineLevel="0" collapsed="false">
      <c r="A204" s="5" t="str">
        <f aca="false">IF($C204="","",ROW()-4)</f>
        <v/>
      </c>
      <c r="B204" s="24"/>
      <c r="C204" s="24"/>
      <c r="D204" s="24"/>
      <c r="E204" s="24"/>
      <c r="F204" s="25" t="str">
        <f aca="false">IFERROR(INDEX('Element Library'!$C:$C,MATCH($C204&amp;"|"&amp;$D204&amp;"|"&amp;$E204,'Element Library'!$H:$H,0)),"")</f>
        <v/>
      </c>
      <c r="G204" s="5" t="str">
        <f aca="false">IFERROR(INDEX('Element Library'!$G:$G,MATCH($C204&amp;"|"&amp;$D204&amp;"|"&amp;$E204,'Element Library'!$H:$H,0)),"")</f>
        <v/>
      </c>
      <c r="H204" s="24"/>
      <c r="I204" s="26"/>
      <c r="J204" s="24"/>
      <c r="K204" s="27" t="str">
        <f aca="false">IFERROR(VLOOKUP($C204,MAP_SEC,2,0),"L_SECTION")</f>
        <v>L_SECTION</v>
      </c>
      <c r="L204" s="27" t="str">
        <f aca="false">IFERROR(VLOOKUP($C204&amp;"|"&amp;$D204,MAP_SUB,2,0),"L_SECTION")</f>
        <v>L_SECTION</v>
      </c>
    </row>
  </sheetData>
  <dataValidations count="4">
    <dataValidation allowBlank="true" errorStyle="stop" operator="between" showDropDown="false" showErrorMessage="false" showInputMessage="false" sqref="B5:B204" type="list">
      <formula1>"Civil and Structure,Architecture,MEP,External Works"</formula1>
      <formula2>0</formula2>
    </dataValidation>
    <dataValidation allowBlank="true" errorStyle="stop" operator="between" showDropDown="false" showErrorMessage="false" showInputMessage="false" sqref="C5:C204" type="list">
      <formula1>L_SECTION</formula1>
      <formula2>0</formula2>
    </dataValidation>
    <dataValidation allowBlank="true" errorStyle="stop" operator="between" showDropDown="false" showErrorMessage="false" showInputMessage="false" sqref="D5:D204" type="list">
      <formula1>INDIRECT($K5)</formula1>
      <formula2>0</formula2>
    </dataValidation>
    <dataValidation allowBlank="true" errorStyle="stop" operator="between" showDropDown="false" showErrorMessage="false" showInputMessage="false" sqref="E5:E204" type="list">
      <formula1>INDIRECT($L5)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28" t="s">
        <v>1362</v>
      </c>
    </row>
    <row r="2" customFormat="false" ht="15" hidden="false" customHeight="false" outlineLevel="0" collapsed="false">
      <c r="A2" s="2" t="s">
        <v>1363</v>
      </c>
    </row>
    <row r="4" customFormat="false" ht="15" hidden="false" customHeight="false" outlineLevel="0" collapsed="false">
      <c r="A4" s="4" t="s">
        <v>1364</v>
      </c>
      <c r="B4" s="4" t="s">
        <v>1365</v>
      </c>
      <c r="C4" s="4" t="s">
        <v>1366</v>
      </c>
    </row>
    <row r="5" customFormat="false" ht="15" hidden="false" customHeight="false" outlineLevel="0" collapsed="false">
      <c r="A5" s="29" t="s">
        <v>530</v>
      </c>
      <c r="B5" s="30" t="s">
        <v>1367</v>
      </c>
      <c r="C5" s="8" t="s">
        <v>1368</v>
      </c>
    </row>
    <row r="6" customFormat="false" ht="15" hidden="false" customHeight="false" outlineLevel="0" collapsed="false">
      <c r="A6" s="29" t="s">
        <v>549</v>
      </c>
      <c r="B6" s="30" t="s">
        <v>1369</v>
      </c>
      <c r="C6" s="8" t="s">
        <v>1370</v>
      </c>
    </row>
    <row r="7" customFormat="false" ht="15" hidden="false" customHeight="false" outlineLevel="0" collapsed="false">
      <c r="A7" s="29" t="s">
        <v>585</v>
      </c>
      <c r="B7" s="30" t="s">
        <v>1371</v>
      </c>
      <c r="C7" s="8" t="s">
        <v>1372</v>
      </c>
    </row>
    <row r="8" customFormat="false" ht="15" hidden="false" customHeight="false" outlineLevel="0" collapsed="false">
      <c r="A8" s="29" t="s">
        <v>285</v>
      </c>
      <c r="B8" s="30" t="s">
        <v>1373</v>
      </c>
      <c r="C8" s="8" t="s">
        <v>1374</v>
      </c>
    </row>
    <row r="9" customFormat="false" ht="15" hidden="false" customHeight="false" outlineLevel="0" collapsed="false">
      <c r="A9" s="29" t="s">
        <v>375</v>
      </c>
      <c r="B9" s="30" t="s">
        <v>1375</v>
      </c>
      <c r="C9" s="8" t="s">
        <v>1376</v>
      </c>
    </row>
    <row r="10" customFormat="false" ht="15" hidden="false" customHeight="false" outlineLevel="0" collapsed="false">
      <c r="A10" s="29" t="s">
        <v>498</v>
      </c>
      <c r="B10" s="30" t="s">
        <v>1377</v>
      </c>
      <c r="C10" s="8" t="s">
        <v>1378</v>
      </c>
    </row>
    <row r="11" customFormat="false" ht="15" hidden="false" customHeight="false" outlineLevel="0" collapsed="false">
      <c r="A11" s="29" t="s">
        <v>428</v>
      </c>
      <c r="B11" s="30" t="s">
        <v>493</v>
      </c>
      <c r="C11" s="8" t="s">
        <v>1379</v>
      </c>
    </row>
    <row r="12" customFormat="false" ht="15" hidden="false" customHeight="false" outlineLevel="0" collapsed="false">
      <c r="A12" s="29" t="s">
        <v>1380</v>
      </c>
      <c r="B12" s="30" t="s">
        <v>1381</v>
      </c>
      <c r="C12" s="8" t="s">
        <v>1382</v>
      </c>
    </row>
    <row r="14" customFormat="false" ht="15" hidden="false" customHeight="false" outlineLevel="0" collapsed="false">
      <c r="A14" s="31" t="s">
        <v>1383</v>
      </c>
    </row>
    <row r="15" customFormat="false" ht="19.5" hidden="false" customHeight="true" outlineLevel="0" collapsed="false">
      <c r="A15" s="32" t="s">
        <v>1384</v>
      </c>
      <c r="B15" s="32"/>
      <c r="C15" s="32"/>
    </row>
    <row r="16" customFormat="false" ht="19.5" hidden="false" customHeight="true" outlineLevel="0" collapsed="false">
      <c r="A16" s="32" t="s">
        <v>1385</v>
      </c>
      <c r="B16" s="32"/>
      <c r="C16" s="32"/>
    </row>
    <row r="17" customFormat="false" ht="19.5" hidden="false" customHeight="true" outlineLevel="0" collapsed="false">
      <c r="A17" s="32" t="s">
        <v>1386</v>
      </c>
      <c r="B17" s="32"/>
      <c r="C17" s="32"/>
    </row>
    <row r="18" customFormat="false" ht="19.5" hidden="false" customHeight="true" outlineLevel="0" collapsed="false">
      <c r="A18" s="32" t="s">
        <v>1387</v>
      </c>
      <c r="B18" s="32"/>
      <c r="C18" s="32"/>
    </row>
    <row r="19" customFormat="false" ht="19.5" hidden="false" customHeight="true" outlineLevel="0" collapsed="false">
      <c r="A19" s="32" t="s">
        <v>1388</v>
      </c>
      <c r="B19" s="32"/>
      <c r="C19" s="32"/>
    </row>
    <row r="20" customFormat="false" ht="19.5" hidden="false" customHeight="true" outlineLevel="0" collapsed="false">
      <c r="A20" s="32" t="s">
        <v>1389</v>
      </c>
      <c r="B20" s="32"/>
      <c r="C20" s="32"/>
    </row>
    <row r="21" customFormat="false" ht="19.5" hidden="false" customHeight="true" outlineLevel="0" collapsed="false">
      <c r="A21" s="32" t="s">
        <v>1390</v>
      </c>
      <c r="B21" s="32"/>
      <c r="C21" s="32"/>
    </row>
  </sheetData>
  <mergeCells count="7">
    <mergeCell ref="A15:C15"/>
    <mergeCell ref="A16:C16"/>
    <mergeCell ref="A17:C17"/>
    <mergeCell ref="A18:C18"/>
    <mergeCell ref="A19:C19"/>
    <mergeCell ref="A20:C20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2026-07-22T00:54:50Z</dcterms:created>
  <dc:creator>openpyxl</dc:creator>
  <dc:description/>
  <dc:language>en-US</dc:language>
  <cp:lastModifiedBy/>
  <dcterms:modified xsi:type="dcterms:W3CDTF">2026-07-22T00:54:50Z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