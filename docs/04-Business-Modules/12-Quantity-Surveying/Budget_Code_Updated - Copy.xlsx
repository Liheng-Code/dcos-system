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cos-system\docs\03-Business-Modules\12-Quantity-Surveying\"/>
    </mc:Choice>
  </mc:AlternateContent>
  <xr:revisionPtr revIDLastSave="0" documentId="13_ncr:1_{8FE56733-6B3C-4A1F-B218-DD0B8596A1EC}" xr6:coauthVersionLast="47" xr6:coauthVersionMax="47" xr10:uidLastSave="{00000000-0000-0000-0000-000000000000}"/>
  <bookViews>
    <workbookView xWindow="-26895" yWindow="270" windowWidth="22380" windowHeight="15210" tabRatio="500" activeTab="12" xr2:uid="{00000000-000D-0000-FFFF-FFFF00000000}"/>
  </bookViews>
  <sheets>
    <sheet name="Site Data" sheetId="6" r:id="rId1"/>
    <sheet name="Preliminaries" sheetId="7" r:id="rId2"/>
    <sheet name="Staff Schedule" sheetId="8" r:id="rId3"/>
    <sheet name="Temp Utilities" sheetId="9" r:id="rId4"/>
    <sheet name="BU Z.01.01" sheetId="10" r:id="rId5"/>
    <sheet name="BU Z.01.02" sheetId="11" r:id="rId6"/>
    <sheet name="BU Z.01.03" sheetId="12" r:id="rId7"/>
    <sheet name="BU Z.01.04" sheetId="13" r:id="rId8"/>
    <sheet name="BU Z.01.05" sheetId="14" r:id="rId9"/>
    <sheet name="BU Z.01.06" sheetId="15" r:id="rId10"/>
    <sheet name="BU Z.01.08" sheetId="16" r:id="rId11"/>
    <sheet name="BU Z.50" sheetId="17" r:id="rId12"/>
    <sheet name="Budget Code" sheetId="18" r:id="rId13"/>
  </sheets>
  <definedNames>
    <definedName name="A">#REF!,#REF!,#REF!</definedName>
    <definedName name="AAA">#REF!,#REF!,#REF!</definedName>
    <definedName name="ALl">#REF!</definedName>
    <definedName name="CHFL">#REF!</definedName>
    <definedName name="DHFL">#REF!</definedName>
    <definedName name="FLCODE">#REF!</definedName>
    <definedName name="JHFL">#REF!</definedName>
    <definedName name="LHFL">#REF!</definedName>
    <definedName name="LOCATION">#REF!</definedName>
    <definedName name="MHFL">#REF!</definedName>
    <definedName name="MM">#REF!,#REF!,#REF!,#REF!,#REF!,#REF!,#REF!,#REF!,#REF!,#REF!,#REF!,#REF!,#REF!,#REF!,#REF!,#REF!,#REF!,#REF!,#REF!,#REF!,#REF!,#REF!,#REF!,#REF!,#REF!,#REF!,#REF!,#REF!,#REF!,#REF!</definedName>
    <definedName name="PHFL">#REF!</definedName>
    <definedName name="PLFL">#REF!</definedName>
    <definedName name="Slicer_Level1">#N/A</definedName>
    <definedName name="Slicer_Material_Type">#N/A</definedName>
    <definedName name="Slicer_Material_Type1">#N/A</definedName>
    <definedName name="Slicer_Section1">#N/A</definedName>
    <definedName name="Slicer_Sub_Element">#N/A</definedName>
    <definedName name="Slicer_Sub_Element1">#N/A</definedName>
    <definedName name="Slicer_Sub_Section1">#N/A</definedName>
    <definedName name="test">#REF!,#REF!,#REF!,#REF!,#REF!,#REF!,#REF!,#REF!,#REF!,#REF!,#REF!,#REF!,#REF!,#REF!,#REF!,#REF!,#REF!,#REF!,#REF!,#REF!,#REF!,#REF!,#REF!,#REF!,#REF!,#REF!,#REF!,#REF!,#REF!,#REF!,#REF!,#REF!,#REF!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7" l="1"/>
  <c r="E20" i="17"/>
  <c r="E19" i="17"/>
  <c r="E18" i="17"/>
  <c r="E22" i="17" s="1"/>
  <c r="E62" i="7" s="1"/>
  <c r="F62" i="7" s="1"/>
  <c r="E13" i="17"/>
  <c r="E14" i="17" s="1"/>
  <c r="E61" i="7" s="1"/>
  <c r="F61" i="7" s="1"/>
  <c r="E12" i="17"/>
  <c r="E8" i="17"/>
  <c r="E60" i="7" s="1"/>
  <c r="F60" i="7" s="1"/>
  <c r="E7" i="17"/>
  <c r="E6" i="17"/>
  <c r="E24" i="16"/>
  <c r="E23" i="16"/>
  <c r="E22" i="16"/>
  <c r="E25" i="16" s="1"/>
  <c r="E21" i="16"/>
  <c r="E16" i="16"/>
  <c r="E15" i="16"/>
  <c r="E14" i="16"/>
  <c r="E9" i="16"/>
  <c r="E8" i="16"/>
  <c r="E7" i="16"/>
  <c r="B6" i="16"/>
  <c r="E6" i="16" s="1"/>
  <c r="E10" i="16" s="1"/>
  <c r="E45" i="7" s="1"/>
  <c r="F45" i="7" s="1"/>
  <c r="E9" i="15"/>
  <c r="E8" i="15"/>
  <c r="E7" i="15"/>
  <c r="E6" i="15"/>
  <c r="E10" i="15" s="1"/>
  <c r="E38" i="7" s="1"/>
  <c r="F38" i="7" s="1"/>
  <c r="E41" i="14"/>
  <c r="E42" i="14" s="1"/>
  <c r="E36" i="7" s="1"/>
  <c r="F36" i="7" s="1"/>
  <c r="E40" i="14"/>
  <c r="B35" i="14"/>
  <c r="E35" i="14" s="1"/>
  <c r="E34" i="14"/>
  <c r="E30" i="14"/>
  <c r="E29" i="14"/>
  <c r="E28" i="14"/>
  <c r="E27" i="14"/>
  <c r="E22" i="14"/>
  <c r="E21" i="14"/>
  <c r="E23" i="14" s="1"/>
  <c r="E32" i="7" s="1"/>
  <c r="F32" i="7" s="1"/>
  <c r="E16" i="14"/>
  <c r="E15" i="14"/>
  <c r="E14" i="14"/>
  <c r="E17" i="14" s="1"/>
  <c r="E31" i="7" s="1"/>
  <c r="F31" i="7" s="1"/>
  <c r="E13" i="14"/>
  <c r="E8" i="14"/>
  <c r="E7" i="14"/>
  <c r="E6" i="14"/>
  <c r="E9" i="14" s="1"/>
  <c r="E30" i="7" s="1"/>
  <c r="F30" i="7" s="1"/>
  <c r="E14" i="13"/>
  <c r="B13" i="13"/>
  <c r="E13" i="13" s="1"/>
  <c r="E15" i="13" s="1"/>
  <c r="E28" i="7" s="1"/>
  <c r="F28" i="7" s="1"/>
  <c r="E8" i="13"/>
  <c r="E7" i="13"/>
  <c r="E6" i="13"/>
  <c r="E9" i="13" s="1"/>
  <c r="E27" i="7" s="1"/>
  <c r="F27" i="7" s="1"/>
  <c r="E29" i="12"/>
  <c r="E28" i="12"/>
  <c r="E27" i="12"/>
  <c r="E26" i="12"/>
  <c r="E30" i="12" s="1"/>
  <c r="E25" i="7" s="1"/>
  <c r="F25" i="7" s="1"/>
  <c r="E21" i="12"/>
  <c r="E20" i="12"/>
  <c r="E22" i="12" s="1"/>
  <c r="E24" i="7" s="1"/>
  <c r="F24" i="7" s="1"/>
  <c r="E15" i="12"/>
  <c r="E14" i="12"/>
  <c r="E16" i="12" s="1"/>
  <c r="E23" i="7" s="1"/>
  <c r="F23" i="7" s="1"/>
  <c r="E10" i="12"/>
  <c r="E22" i="7" s="1"/>
  <c r="F22" i="7" s="1"/>
  <c r="E9" i="12"/>
  <c r="E8" i="12"/>
  <c r="E7" i="12"/>
  <c r="E6" i="12"/>
  <c r="E45" i="11"/>
  <c r="E44" i="11"/>
  <c r="E43" i="11"/>
  <c r="E46" i="11" s="1"/>
  <c r="E20" i="7" s="1"/>
  <c r="F20" i="7" s="1"/>
  <c r="E38" i="11"/>
  <c r="E37" i="11"/>
  <c r="E36" i="11"/>
  <c r="E39" i="11" s="1"/>
  <c r="E32" i="11"/>
  <c r="E18" i="7" s="1"/>
  <c r="F18" i="7" s="1"/>
  <c r="E31" i="11"/>
  <c r="E30" i="11"/>
  <c r="E25" i="11"/>
  <c r="B24" i="11"/>
  <c r="E24" i="11" s="1"/>
  <c r="E26" i="11" s="1"/>
  <c r="E17" i="7" s="1"/>
  <c r="F17" i="7" s="1"/>
  <c r="E19" i="11"/>
  <c r="E18" i="11"/>
  <c r="E20" i="11" s="1"/>
  <c r="E16" i="7" s="1"/>
  <c r="F16" i="7" s="1"/>
  <c r="E13" i="11"/>
  <c r="E12" i="11"/>
  <c r="E14" i="11" s="1"/>
  <c r="E15" i="7" s="1"/>
  <c r="F15" i="7" s="1"/>
  <c r="E7" i="11"/>
  <c r="B6" i="11"/>
  <c r="E6" i="11" s="1"/>
  <c r="E8" i="11" s="1"/>
  <c r="E14" i="7" s="1"/>
  <c r="F14" i="7" s="1"/>
  <c r="E44" i="10"/>
  <c r="E43" i="10"/>
  <c r="E45" i="10" s="1"/>
  <c r="E12" i="7" s="1"/>
  <c r="F12" i="7" s="1"/>
  <c r="E42" i="10"/>
  <c r="E37" i="10"/>
  <c r="E36" i="10"/>
  <c r="E38" i="10" s="1"/>
  <c r="E11" i="7" s="1"/>
  <c r="F11" i="7" s="1"/>
  <c r="E32" i="10"/>
  <c r="E10" i="7" s="1"/>
  <c r="F10" i="7" s="1"/>
  <c r="E31" i="10"/>
  <c r="E30" i="10"/>
  <c r="E29" i="10"/>
  <c r="E24" i="10"/>
  <c r="E23" i="10"/>
  <c r="E25" i="10" s="1"/>
  <c r="E9" i="7" s="1"/>
  <c r="F9" i="7" s="1"/>
  <c r="E18" i="10"/>
  <c r="E17" i="10"/>
  <c r="E16" i="10"/>
  <c r="E19" i="10" s="1"/>
  <c r="E8" i="7" s="1"/>
  <c r="F8" i="7" s="1"/>
  <c r="E11" i="10"/>
  <c r="E10" i="10"/>
  <c r="E9" i="10"/>
  <c r="E12" i="10" s="1"/>
  <c r="E7" i="7" s="1"/>
  <c r="F7" i="7" s="1"/>
  <c r="E8" i="10"/>
  <c r="E7" i="10"/>
  <c r="E6" i="10"/>
  <c r="B49" i="9"/>
  <c r="B53" i="9" s="1"/>
  <c r="B55" i="9" s="1"/>
  <c r="B57" i="9" s="1"/>
  <c r="E43" i="7" s="1"/>
  <c r="F43" i="7" s="1"/>
  <c r="B43" i="9"/>
  <c r="B34" i="9"/>
  <c r="E40" i="7" s="1"/>
  <c r="F40" i="7" s="1"/>
  <c r="E15" i="9"/>
  <c r="B19" i="9" s="1"/>
  <c r="B21" i="9" s="1"/>
  <c r="B23" i="9" s="1"/>
  <c r="E41" i="7" s="1"/>
  <c r="F41" i="7" s="1"/>
  <c r="E14" i="9"/>
  <c r="E13" i="9"/>
  <c r="E12" i="9"/>
  <c r="E11" i="9"/>
  <c r="E10" i="9"/>
  <c r="E9" i="9"/>
  <c r="E8" i="9"/>
  <c r="E7" i="9"/>
  <c r="G15" i="8"/>
  <c r="F50" i="7" s="1"/>
  <c r="G14" i="8"/>
  <c r="G16" i="8" s="1"/>
  <c r="G12" i="8"/>
  <c r="G11" i="8"/>
  <c r="G10" i="8"/>
  <c r="G9" i="8"/>
  <c r="G8" i="8"/>
  <c r="G7" i="8"/>
  <c r="G6" i="8"/>
  <c r="G5" i="8"/>
  <c r="F69" i="7"/>
  <c r="F58" i="7"/>
  <c r="F57" i="7"/>
  <c r="F55" i="7"/>
  <c r="F54" i="7"/>
  <c r="F53" i="7"/>
  <c r="F52" i="7"/>
  <c r="E47" i="7"/>
  <c r="F47" i="7" s="1"/>
  <c r="E42" i="7"/>
  <c r="F42" i="7" s="1"/>
  <c r="F33" i="7"/>
  <c r="E33" i="7"/>
  <c r="E19" i="7"/>
  <c r="F19" i="7" s="1"/>
  <c r="D17" i="7"/>
  <c r="C16" i="6"/>
  <c r="C10" i="6"/>
  <c r="D35" i="7" s="1"/>
  <c r="F68" i="7" l="1"/>
  <c r="F35" i="7"/>
  <c r="F66" i="7" s="1"/>
  <c r="F70" i="7" s="1"/>
  <c r="F49" i="7"/>
  <c r="F67" i="7" s="1"/>
  <c r="E17" i="16"/>
  <c r="E46" i="7" s="1"/>
  <c r="F46" i="7" s="1"/>
  <c r="E36" i="14"/>
  <c r="E35" i="7" s="1"/>
</calcChain>
</file>

<file path=xl/sharedStrings.xml><?xml version="1.0" encoding="utf-8"?>
<sst xmlns="http://schemas.openxmlformats.org/spreadsheetml/2006/main" count="1109" uniqueCount="719">
  <si>
    <t>Unit</t>
  </si>
  <si>
    <t>m</t>
  </si>
  <si>
    <t>m2</t>
  </si>
  <si>
    <t>m3</t>
  </si>
  <si>
    <t>Sub Structure</t>
  </si>
  <si>
    <t>Floor</t>
  </si>
  <si>
    <t>External Work</t>
  </si>
  <si>
    <t>Roofing</t>
  </si>
  <si>
    <t>lot</t>
  </si>
  <si>
    <t>Mobilization</t>
  </si>
  <si>
    <t>trip</t>
  </si>
  <si>
    <t>Section</t>
  </si>
  <si>
    <t>No.</t>
  </si>
  <si>
    <t>Rate ($)</t>
  </si>
  <si>
    <t>Amount ($)</t>
  </si>
  <si>
    <t>Status</t>
  </si>
  <si>
    <t>Remarks</t>
  </si>
  <si>
    <t>Z.01.03.01</t>
  </si>
  <si>
    <t>Temporary Building</t>
  </si>
  <si>
    <t>Site office, store &amp; welfare facilities</t>
  </si>
  <si>
    <t>Month</t>
  </si>
  <si>
    <t>Z.01.05.06</t>
  </si>
  <si>
    <t>Machinery</t>
  </si>
  <si>
    <t>External scaffolding to facade</t>
  </si>
  <si>
    <t>B.01</t>
  </si>
  <si>
    <t>B.04</t>
  </si>
  <si>
    <t>C.09</t>
  </si>
  <si>
    <t>Architecture</t>
  </si>
  <si>
    <t>D.02</t>
  </si>
  <si>
    <t>Interior Finish</t>
  </si>
  <si>
    <t>C.03</t>
  </si>
  <si>
    <t>Exterior Door</t>
  </si>
  <si>
    <t>F.05</t>
  </si>
  <si>
    <t>Services</t>
  </si>
  <si>
    <t>F.01</t>
  </si>
  <si>
    <t>Sanitary Installations</t>
  </si>
  <si>
    <t>F.02</t>
  </si>
  <si>
    <t>Sum</t>
  </si>
  <si>
    <t>SITE DATA — Common Parameters (feeds all build-up sheets)</t>
  </si>
  <si>
    <t>Yellow = input. Items marked TO VERIFY must be checked against drawings before tender submission.</t>
  </si>
  <si>
    <t>Ref</t>
  </si>
  <si>
    <t>Parameter</t>
  </si>
  <si>
    <t>Value</t>
  </si>
  <si>
    <t>P01</t>
  </si>
  <si>
    <t>Site perimeter (hoarding line)</t>
  </si>
  <si>
    <t>TO VERIFY</t>
  </si>
  <si>
    <t>P02</t>
  </si>
  <si>
    <t>Building footprint</t>
  </si>
  <si>
    <t>Given</t>
  </si>
  <si>
    <t>P03</t>
  </si>
  <si>
    <t>Building perimeter</t>
  </si>
  <si>
    <t>P04</t>
  </si>
  <si>
    <t>Storeys above ground</t>
  </si>
  <si>
    <t>no</t>
  </si>
  <si>
    <t>P05</t>
  </si>
  <si>
    <t>Building height</t>
  </si>
  <si>
    <t>P06</t>
  </si>
  <si>
    <t>Facade area (P03 x P05)</t>
  </si>
  <si>
    <t>Calculated</t>
  </si>
  <si>
    <t>P07</t>
  </si>
  <si>
    <t>Programme duration</t>
  </si>
  <si>
    <t>months</t>
  </si>
  <si>
    <t>Assumed</t>
  </si>
  <si>
    <t>P08</t>
  </si>
  <si>
    <t>Structure phase duration</t>
  </si>
  <si>
    <t>P09</t>
  </si>
  <si>
    <t>Scaffold rental duration</t>
  </si>
  <si>
    <t>P10</t>
  </si>
  <si>
    <t>Peak workforce</t>
  </si>
  <si>
    <t>P11</t>
  </si>
  <si>
    <t>Floors incl. roof (edge protection)</t>
  </si>
  <si>
    <t>P12</t>
  </si>
  <si>
    <t>Gross floor area (P02 x P04)</t>
  </si>
  <si>
    <t>PRELIMINARIES &amp; GENERAL (Z) — Fully Built-Up</t>
  </si>
  <si>
    <t>10-Storey School, Phnom Penh | USD | 18-month programme | Yellow = input | Green = linked from build-up / Site Data sheets</t>
  </si>
  <si>
    <t>Code</t>
  </si>
  <si>
    <t>Description</t>
  </si>
  <si>
    <t>Qty</t>
  </si>
  <si>
    <t>Z.01</t>
  </si>
  <si>
    <t>TEMPORARY WORKS</t>
  </si>
  <si>
    <t>Z.01.01</t>
  </si>
  <si>
    <t>Site Preparation  —  build-ups in sheet "BU Z.01.01"</t>
  </si>
  <si>
    <t>Z.01.01.01</t>
  </si>
  <si>
    <t>Item</t>
  </si>
  <si>
    <t>Trips + setup labor + yard</t>
  </si>
  <si>
    <t>Z.01.01.02</t>
  </si>
  <si>
    <t>Demobilization &amp; site clearance</t>
  </si>
  <si>
    <t>Trips out + reinstatement</t>
  </si>
  <si>
    <t>Z.01.01.03</t>
  </si>
  <si>
    <t>Temporary access &amp; roads</t>
  </si>
  <si>
    <t>Road + hardstand areas</t>
  </si>
  <si>
    <t>Z.01.01.04</t>
  </si>
  <si>
    <t>Setting out &amp; ongoing survey works</t>
  </si>
  <si>
    <t>Instrument + consumables + checks</t>
  </si>
  <si>
    <t>Z.01.01.05</t>
  </si>
  <si>
    <t>Site signage &amp; project board</t>
  </si>
  <si>
    <t>Board + safety signage</t>
  </si>
  <si>
    <t>Z.01.01.06</t>
  </si>
  <si>
    <t>Traffic management &amp; road occupation</t>
  </si>
  <si>
    <t>Flagmen + permits + equipment</t>
  </si>
  <si>
    <t>Z.01.02</t>
  </si>
  <si>
    <t>General Protection  —  build-ups in sheet "BU Z.01.02"</t>
  </si>
  <si>
    <t>Z.01.02.01</t>
  </si>
  <si>
    <t>Temporary fencing &amp; hoarding</t>
  </si>
  <si>
    <t>Site perimeter x rate/m + gates</t>
  </si>
  <si>
    <t>Z.01.02.02</t>
  </si>
  <si>
    <t>Temporary sheet pile, length 6m</t>
  </si>
  <si>
    <t>Rate/m = drive/extract + rental. DELETE from CS BoQ (double count)</t>
  </si>
  <si>
    <t>Z.01.02.03</t>
  </si>
  <si>
    <t>Safety net to building perimeter</t>
  </si>
  <si>
    <t>Net area x rate + labor</t>
  </si>
  <si>
    <t>Z.01.02.04</t>
  </si>
  <si>
    <t>Edge protection &amp; handrails</t>
  </si>
  <si>
    <t>Rate/floor = perimeter x rail rate</t>
  </si>
  <si>
    <t>Z.01.02.05</t>
  </si>
  <si>
    <t>Protection of completed works</t>
  </si>
  <si>
    <t>Sheeting area + sundries</t>
  </si>
  <si>
    <t>Z.01.02.06</t>
  </si>
  <si>
    <t>Monsoon protection &amp; site drainage</t>
  </si>
  <si>
    <t>Pumps + channels + labor</t>
  </si>
  <si>
    <t>Z.01.02.07</t>
  </si>
  <si>
    <t>Dewatering during substructure</t>
  </si>
  <si>
    <t>Pumps + fuel + attendance</t>
  </si>
  <si>
    <t>Z.01.03</t>
  </si>
  <si>
    <t>Temporary Building  —  build-ups in sheet "BU Z.01.03"</t>
  </si>
  <si>
    <t>Containers + furniture + shelter</t>
  </si>
  <si>
    <t>Z.01.03.02</t>
  </si>
  <si>
    <t>Temporary worker toilets &amp; sanitation</t>
  </si>
  <si>
    <t>Units + servicing</t>
  </si>
  <si>
    <t>Z.01.03.03</t>
  </si>
  <si>
    <t>First aid room &amp; facilities</t>
  </si>
  <si>
    <t>Fit-out + supplies</t>
  </si>
  <si>
    <t>Z.01.03.04</t>
  </si>
  <si>
    <t>Washing bay / wheel wash</t>
  </si>
  <si>
    <t>Pad + pump + maintenance</t>
  </si>
  <si>
    <t>Z.01.04</t>
  </si>
  <si>
    <t>Temporary Site Labor  —  build-ups in sheet "BU Z.01.04"</t>
  </si>
  <si>
    <t>Z.01.04.01</t>
  </si>
  <si>
    <t>Site cleaning &amp; waste removal</t>
  </si>
  <si>
    <t>Crew + skips + tipping</t>
  </si>
  <si>
    <t>Z.01.04.02</t>
  </si>
  <si>
    <t>Final builder's clean at handover</t>
  </si>
  <si>
    <t>GFA x rate + facade clean</t>
  </si>
  <si>
    <t>Z.01.05</t>
  </si>
  <si>
    <t>Machinery &amp; Vertical Transport  —  build-ups in sheet "BU Z.01.05"</t>
  </si>
  <si>
    <t>Z.01.05.01</t>
  </si>
  <si>
    <t>Tower crane rental</t>
  </si>
  <si>
    <t>Rental + operator + maintenance</t>
  </si>
  <si>
    <t>Z.01.05.02</t>
  </si>
  <si>
    <t>Tower crane foundation, erection, dismantle &amp; test</t>
  </si>
  <si>
    <t>Base + erect + dismantle + test</t>
  </si>
  <si>
    <t>Z.01.05.03</t>
  </si>
  <si>
    <t>Passenger / material hoist rental</t>
  </si>
  <si>
    <t>Rental + operator</t>
  </si>
  <si>
    <t>Z.01.05.04</t>
  </si>
  <si>
    <t>Hoist erection &amp; dismantling</t>
  </si>
  <si>
    <t>Erect + dismantle + cert</t>
  </si>
  <si>
    <t>Z.01.05.05</t>
  </si>
  <si>
    <t>Concrete pump provision</t>
  </si>
  <si>
    <t>DECISION: included in concrete unit rates — do NOT price here</t>
  </si>
  <si>
    <t>Qty = facade area (Site Data). Rate/m2 = E&amp;D + rental</t>
  </si>
  <si>
    <t>Z.01.05.07</t>
  </si>
  <si>
    <t>Back-propping / falsework for PT slabs</t>
  </si>
  <si>
    <t>Props rental + labor per floor</t>
  </si>
  <si>
    <t>Z.01.06</t>
  </si>
  <si>
    <t>Light Equipment &amp; Hand Tools  —  build-up in sheet "BU Z.01.06"</t>
  </si>
  <si>
    <t>Z.01.06.01</t>
  </si>
  <si>
    <t>Small plant, light equipment &amp; hand tools</t>
  </si>
  <si>
    <t>Mixers + tools + consumables</t>
  </si>
  <si>
    <t>Z.01.07</t>
  </si>
  <si>
    <t>Temporary Electrical / Plumbing / Drainage  —  build-ups in sheet "Temp Utilities"</t>
  </si>
  <si>
    <t>Z.01.07.01</t>
  </si>
  <si>
    <t>Temporary electricity — installation, connection &amp; removal</t>
  </si>
  <si>
    <t>One-time — Temp Utilities A3</t>
  </si>
  <si>
    <t>Z.01.07.02</t>
  </si>
  <si>
    <t>Temporary electricity — consumption &amp; maintenance</t>
  </si>
  <si>
    <t>Load schedule — Temp Utilities A1/A2</t>
  </si>
  <si>
    <t>Z.01.07.03</t>
  </si>
  <si>
    <t>Temporary water — installation, connection &amp; removal</t>
  </si>
  <si>
    <t>One-time — Temp Utilities B1</t>
  </si>
  <si>
    <t>Z.01.07.04</t>
  </si>
  <si>
    <t>Temporary water — consumption &amp; maintenance</t>
  </si>
  <si>
    <t>Demand calc — Temp Utilities B2</t>
  </si>
  <si>
    <t>Z.01.08</t>
  </si>
  <si>
    <t>Safety &amp; Environment Control  —  build-ups in sheet "BU Z.01.08"</t>
  </si>
  <si>
    <t>Z.01.08.01</t>
  </si>
  <si>
    <t>Health, safety provisions &amp; PPE</t>
  </si>
  <si>
    <t>PPE x workforce + training</t>
  </si>
  <si>
    <t>Z.01.08.02</t>
  </si>
  <si>
    <t>Site security incl. guards &amp; CCTV</t>
  </si>
  <si>
    <t>Guards + CCTV + lighting</t>
  </si>
  <si>
    <t>Z.01.08.03</t>
  </si>
  <si>
    <t>Material &amp; concrete testing (QA/QC)</t>
  </si>
  <si>
    <t>Cubes + rebar + soil tests</t>
  </si>
  <si>
    <t>Z.30</t>
  </si>
  <si>
    <t>SITE STAFF &amp; OVERHEADS  —  build-up in sheet "Staff Schedule"</t>
  </si>
  <si>
    <t>Z.30.01</t>
  </si>
  <si>
    <t>Foreign country employees (per Staff Schedule)</t>
  </si>
  <si>
    <t>Position x months x rate</t>
  </si>
  <si>
    <t>Z.30.02</t>
  </si>
  <si>
    <t>Local country employees (per Staff Schedule)</t>
  </si>
  <si>
    <t>Z.30.03</t>
  </si>
  <si>
    <t>Other personnel</t>
  </si>
  <si>
    <t>Allow if client requires (e.g. clerk of works support)</t>
  </si>
  <si>
    <t>Z.30.04</t>
  </si>
  <si>
    <t>Welfare expense</t>
  </si>
  <si>
    <t>Monthly allowance — input</t>
  </si>
  <si>
    <t>Z.30.05</t>
  </si>
  <si>
    <t>Office supplies expenses</t>
  </si>
  <si>
    <t>Z.30.06</t>
  </si>
  <si>
    <t>Communication &amp; travel expense</t>
  </si>
  <si>
    <t>Z.30.07</t>
  </si>
  <si>
    <t>Social expense</t>
  </si>
  <si>
    <t>Z.30.08</t>
  </si>
  <si>
    <t>Taxes &amp; public imposition</t>
  </si>
  <si>
    <t>Carried in Tender Cost Summary (tax line) — do NOT price here</t>
  </si>
  <si>
    <t>Z.30.09</t>
  </si>
  <si>
    <t>Meeting expense</t>
  </si>
  <si>
    <t>Z.30.10</t>
  </si>
  <si>
    <t>Miscellaneous expense</t>
  </si>
  <si>
    <t>Z.50</t>
  </si>
  <si>
    <t>DESIGN EXPENSES  —  build-ups in sheet "BU Z.50"</t>
  </si>
  <si>
    <t>Z.50.01</t>
  </si>
  <si>
    <t>Shop drawings</t>
  </si>
  <si>
    <t>Draftsmen man-months + printing</t>
  </si>
  <si>
    <t>Z.50.02</t>
  </si>
  <si>
    <t>As-built drawings</t>
  </si>
  <si>
    <t>Draftsman man-months + printing</t>
  </si>
  <si>
    <t>Z.50.03</t>
  </si>
  <si>
    <t>Temporary works design</t>
  </si>
  <si>
    <t>Crane base + shoring + back-prop design</t>
  </si>
  <si>
    <t>Z.70</t>
  </si>
  <si>
    <t>RISKS AND OPPORTUNITIES</t>
  </si>
  <si>
    <t>Z.70.01</t>
  </si>
  <si>
    <t>Risk allowance</t>
  </si>
  <si>
    <t>Carried in Tender Cost Summary risk line — do NOT price here</t>
  </si>
  <si>
    <t>Subtotal Z.01 — TEMPORARY WORKS</t>
  </si>
  <si>
    <t>Subtotal Z.30 — SITE STAFF &amp; OVERHEADS</t>
  </si>
  <si>
    <t>Subtotal Z.50 — DESIGN EXPENSES</t>
  </si>
  <si>
    <t>Subtotal Z.70 — RISKS AND OPPORTUNITIES</t>
  </si>
  <si>
    <t>TOTAL PRELIMINARIES &amp; GENERAL (Z)</t>
  </si>
  <si>
    <t>ITEMS RELOCATED OUT OF PRELIMINARIES (now under Section X — Authority / Insurance)</t>
  </si>
  <si>
    <t>X.02</t>
  </si>
  <si>
    <t>Insurance (CAR / third party) — was Z.11</t>
  </si>
  <si>
    <t>Price under Budget Code Section X, not Z</t>
  </si>
  <si>
    <t>Performance bond / guarantees — was Z.12</t>
  </si>
  <si>
    <t>ASSUMPTION REGISTER NOTES:</t>
  </si>
  <si>
    <t>1. Every rate is now formula-linked to a build-up sheet (BU Z.xx.xx / Staff Schedule / Temp Utilities) — no typed lump sums remain.</t>
  </si>
  <si>
    <t>2. All build-up input rates are Phnom Penh benchmarks — replace yellow cells with actual quotations before submission.</t>
  </si>
  <si>
    <t>3. Site Data parameters marked TO VERIFY (perimeters, height) must be measured from drawings; facade &amp; GFA recalculate automatically.</t>
  </si>
  <si>
    <t>4. Temporary sheet piles priced ONCE (Z.01.02.02) — remove "Temperary Protection" lines from CS BoQ measured works (double count).</t>
  </si>
  <si>
    <t>5. Concrete pump is included in concrete unit rates; taxes &amp; risk are carried in the Tender Cost Summary.</t>
  </si>
  <si>
    <t>6. Utility rates split fixed vs monthly for prolongation claims; crane 16 months, hoist 12 months, scaffold rental 12 months.</t>
  </si>
  <si>
    <t>SITE STAFF SCHEDULE — Feeds Z.30.01 / Z.30.02 in Preliminaries</t>
  </si>
  <si>
    <t>10-Storey School Building, Phnom Penh — 18-month programme. Yellow = input.</t>
  </si>
  <si>
    <t>Position</t>
  </si>
  <si>
    <t>Origin</t>
  </si>
  <si>
    <t>Persons</t>
  </si>
  <si>
    <t>Months</t>
  </si>
  <si>
    <t>Monthly Rate ($)</t>
  </si>
  <si>
    <t>Total ($)</t>
  </si>
  <si>
    <t>Project Manager</t>
  </si>
  <si>
    <t>Foreign</t>
  </si>
  <si>
    <t>Site Engineer</t>
  </si>
  <si>
    <t>Local</t>
  </si>
  <si>
    <t>Quantity Surveyor</t>
  </si>
  <si>
    <t>Safety Officer</t>
  </si>
  <si>
    <t>Surveyor (incl. assistant)</t>
  </si>
  <si>
    <t>General Foreman</t>
  </si>
  <si>
    <t>Site Admin / Storekeeper</t>
  </si>
  <si>
    <t>Document Controller</t>
  </si>
  <si>
    <t>Subtotal — Foreign staff (→ Z.30.01)</t>
  </si>
  <si>
    <t>Subtotal — Local staff (→ Z.30.02)</t>
  </si>
  <si>
    <t>TOTAL SITE STAFF</t>
  </si>
  <si>
    <t>TEMPORARY UTILITIES BUILD-UP — Feeds Z.01.07 in Preliminaries</t>
  </si>
  <si>
    <t>Yellow = input. Change any input and the Preliminaries rates update automatically.</t>
  </si>
  <si>
    <t>A. TEMPORARY ELECTRICITY</t>
  </si>
  <si>
    <t>A1. Monthly Load Schedule (peak structure months)</t>
  </si>
  <si>
    <t>Equipment</t>
  </si>
  <si>
    <t>kW</t>
  </si>
  <si>
    <t>Hrs/day</t>
  </si>
  <si>
    <t>Days/month</t>
  </si>
  <si>
    <t>kWh/month</t>
  </si>
  <si>
    <t>Tower crane</t>
  </si>
  <si>
    <t>Passenger / material hoist</t>
  </si>
  <si>
    <t>Bar bender &amp; cutter</t>
  </si>
  <si>
    <t>Concrete vibrators (4 no.)</t>
  </si>
  <si>
    <t>Welding sets (2 no.)</t>
  </si>
  <si>
    <t>Water pumps</t>
  </si>
  <si>
    <t>Site office (AC, IT, lighting)</t>
  </si>
  <si>
    <t>Site &amp; tower lighting</t>
  </si>
  <si>
    <t>Total peak consumption</t>
  </si>
  <si>
    <t>A2. Monthly Cost Calculation</t>
  </si>
  <si>
    <t>EDC tariff ($/kWh)</t>
  </si>
  <si>
    <t>Peak monthly cost</t>
  </si>
  <si>
    <t>Diversity factor (programme average / peak)</t>
  </si>
  <si>
    <t>Average monthly consumption cost</t>
  </si>
  <si>
    <t>Electrician maintenance ($/month)</t>
  </si>
  <si>
    <t>MONTHLY RATE → Z.01.07.02</t>
  </si>
  <si>
    <t>A3. One-Time Installation &amp; Removal</t>
  </si>
  <si>
    <t>EDC connection fee &amp; deposit</t>
  </si>
  <si>
    <t>Main distribution board (MDB) &amp; meter</t>
  </si>
  <si>
    <t>Sub-distribution boards (1 per 2 floors × 5)</t>
  </si>
  <si>
    <t>Cabling &amp; rising mains distribution</t>
  </si>
  <si>
    <t>Earthing &amp; protection</t>
  </si>
  <si>
    <t>Site lighting installation</t>
  </si>
  <si>
    <t>Removal at completion</t>
  </si>
  <si>
    <t>ONE-TIME TOTAL → Z.01.07.01</t>
  </si>
  <si>
    <t>B. TEMPORARY WATER</t>
  </si>
  <si>
    <t>B1. One-Time Installation &amp; Removal</t>
  </si>
  <si>
    <t>PPWSA connection &amp; meter</t>
  </si>
  <si>
    <t>Storage tanks 2 × 5 m³</t>
  </si>
  <si>
    <t>Booster pump &amp; piping to floors</t>
  </si>
  <si>
    <t>ONE-TIME TOTAL → Z.01.07.03</t>
  </si>
  <si>
    <t>B2. Monthly Demand &amp; Cost</t>
  </si>
  <si>
    <t>Workers on site (no.)</t>
  </si>
  <si>
    <t>Liters per worker per day</t>
  </si>
  <si>
    <t>Working days per month</t>
  </si>
  <si>
    <t>Domestic use (m³/month)</t>
  </si>
  <si>
    <t>Curing water (m³/month, structure phase)</t>
  </si>
  <si>
    <t>Blockwork &amp; plaster mixing (m³/month)</t>
  </si>
  <si>
    <t>Washing bay &amp; dust control (m³/month)</t>
  </si>
  <si>
    <t>Total demand (m³/month)</t>
  </si>
  <si>
    <t>PPWSA tariff ($/m³)</t>
  </si>
  <si>
    <t>Consumption cost ($/month)</t>
  </si>
  <si>
    <t>Pump running &amp; maintenance ($/month)</t>
  </si>
  <si>
    <t>MONTHLY RATE → Z.01.07.04</t>
  </si>
  <si>
    <t>Z.01.01 SITE PREPARATION — Build-Ups</t>
  </si>
  <si>
    <t>Yellow = input (Phnom Penh benchmarks — replace with quotations). Green = linked from Site Data.</t>
  </si>
  <si>
    <t>Mobilization  (total per Item)</t>
  </si>
  <si>
    <t>Component</t>
  </si>
  <si>
    <t>Low-bed &amp; truck transport trips (plant in)</t>
  </si>
  <si>
    <t>Crane lifts for site establishment</t>
  </si>
  <si>
    <t>lift</t>
  </si>
  <si>
    <t>Site setup labor</t>
  </si>
  <si>
    <t>man-day</t>
  </si>
  <si>
    <t>Utility applications &amp; administration</t>
  </si>
  <si>
    <t>Storage yard &amp; hardstand setup</t>
  </si>
  <si>
    <t>Survey control points establishment</t>
  </si>
  <si>
    <t>Build-up total → Z.01.01.01</t>
  </si>
  <si>
    <t>Demobilization &amp; site clearance  (total per Item)</t>
  </si>
  <si>
    <t>Transport trips out (plant removal)</t>
  </si>
  <si>
    <t>Dismantling labor</t>
  </si>
  <si>
    <t>Site reinstatement &amp; final clearance</t>
  </si>
  <si>
    <t>Build-up total → Z.01.01.02</t>
  </si>
  <si>
    <t>Temporary access &amp; roads  (total per Item)</t>
  </si>
  <si>
    <t>Laterite/gravel access road</t>
  </si>
  <si>
    <t>Hardstand at loading/unloading area</t>
  </si>
  <si>
    <t>Build-up total → Z.01.01.03</t>
  </si>
  <si>
    <t>Setting out &amp; ongoing survey works  (rate per Month)</t>
  </si>
  <si>
    <t>Total station &amp; level rental</t>
  </si>
  <si>
    <t>mo</t>
  </si>
  <si>
    <t>Pegs, paint, consumables</t>
  </si>
  <si>
    <t>Periodic verification survey</t>
  </si>
  <si>
    <t>Build-up total → Z.01.01.04</t>
  </si>
  <si>
    <t>Site signage &amp; project board  (total per Item)</t>
  </si>
  <si>
    <t>Project board 3m x 2m incl. frame</t>
  </si>
  <si>
    <t>Safety &amp; directional signage</t>
  </si>
  <si>
    <t>Build-up total → Z.01.01.05</t>
  </si>
  <si>
    <t>Traffic management &amp; road occupation  (total per Item)</t>
  </si>
  <si>
    <t>Flagmen during concrete pours</t>
  </si>
  <si>
    <t>Road occupation permits</t>
  </si>
  <si>
    <t>Cones, barriers, warning lights</t>
  </si>
  <si>
    <t>Build-up total → Z.01.01.06</t>
  </si>
  <si>
    <t>Z.01.02 GENERAL PROTECTION — Build-Ups</t>
  </si>
  <si>
    <t>Temporary fencing &amp; hoarding  (total per Item)</t>
  </si>
  <si>
    <t>Corrugated hoarding 2.4m high on site perimeter</t>
  </si>
  <si>
    <t>Double gates</t>
  </si>
  <si>
    <t>Build-up total → Z.01.02.01</t>
  </si>
  <si>
    <t>Temporary sheet pile, length 6m  (rate per m)</t>
  </si>
  <si>
    <t>Drive &amp; extract (subcontract)</t>
  </si>
  <si>
    <t>Rental during excavation (4 months)</t>
  </si>
  <si>
    <t>m-mo</t>
  </si>
  <si>
    <t>Build-up total → Z.01.02.02</t>
  </si>
  <si>
    <t>Safety net to building perimeter  (total per Item)</t>
  </si>
  <si>
    <t>Net band, 2 lifts rotating up building</t>
  </si>
  <si>
    <t>Installation &amp; shifting labor</t>
  </si>
  <si>
    <t>Build-up total → Z.01.02.03</t>
  </si>
  <si>
    <t>Edge protection &amp; handrails  (rate per Floor)</t>
  </si>
  <si>
    <t>Guardrail to slab edge (building perimeter)</t>
  </si>
  <si>
    <t>Posts, fixing &amp; shifting labor</t>
  </si>
  <si>
    <t>floor</t>
  </si>
  <si>
    <t>Build-up total → Z.01.02.04</t>
  </si>
  <si>
    <t>Protection of completed works  (total per Item)</t>
  </si>
  <si>
    <t>Floor/lobby/stair protection sheeting</t>
  </si>
  <si>
    <t>Corner guards, tapes, miscellaneous</t>
  </si>
  <si>
    <t>Build-up total → Z.01.02.05</t>
  </si>
  <si>
    <t>Monsoon protection &amp; site drainage  (rate per Month)</t>
  </si>
  <si>
    <t>Submersible pumps rental</t>
  </si>
  <si>
    <t>Sandbags &amp; drainage channels</t>
  </si>
  <si>
    <t>Attendance labor</t>
  </si>
  <si>
    <t>Build-up total → Z.01.02.06</t>
  </si>
  <si>
    <t>Dewatering during substructure  (rate per Month)</t>
  </si>
  <si>
    <t>Dewatering pumps rental</t>
  </si>
  <si>
    <t>Fuel / power</t>
  </si>
  <si>
    <t>Standby attendance</t>
  </si>
  <si>
    <t>Build-up total → Z.01.02.07</t>
  </si>
  <si>
    <t>Z.01.03 TEMPORARY BUILDING — Build-Ups</t>
  </si>
  <si>
    <t>Site office, store &amp; welfare  (rate per Month)</t>
  </si>
  <si>
    <t>Office containers</t>
  </si>
  <si>
    <t>Store container</t>
  </si>
  <si>
    <t>Furniture, AC, IT (amortized)</t>
  </si>
  <si>
    <t>Workers shelter / canteen</t>
  </si>
  <si>
    <t>Build-up total → Z.01.03.01</t>
  </si>
  <si>
    <t>Temporary worker toilets  (rate per Month)</t>
  </si>
  <si>
    <t>Portable toilet units</t>
  </si>
  <si>
    <t>Servicing &amp; consumables</t>
  </si>
  <si>
    <t>Build-up total → Z.01.03.02</t>
  </si>
  <si>
    <t>First aid room &amp; facilities  (total per Item)</t>
  </si>
  <si>
    <t>Room fit-out</t>
  </si>
  <si>
    <t>Equipment &amp; initial supplies</t>
  </si>
  <si>
    <t>Build-up total → Z.01.03.03</t>
  </si>
  <si>
    <t>Washing bay / wheel wash  (total per Item)</t>
  </si>
  <si>
    <t>RC pad &amp; sediment pit</t>
  </si>
  <si>
    <t>Pump &amp; water recycling system</t>
  </si>
  <si>
    <t>Hoses &amp; equipment</t>
  </si>
  <si>
    <t>Maintenance &amp; desilting over programme</t>
  </si>
  <si>
    <t>Build-up total → Z.01.03.04</t>
  </si>
  <si>
    <t>Z.01.04 TEMPORARY SITE LABOR — Build-Ups</t>
  </si>
  <si>
    <t>Site cleaning &amp; waste removal  (rate per Month)</t>
  </si>
  <si>
    <t>Cleaning laborers</t>
  </si>
  <si>
    <t>Waste skip hire</t>
  </si>
  <si>
    <t>Tipping fees</t>
  </si>
  <si>
    <t>Build-up total → Z.01.04.01</t>
  </si>
  <si>
    <t>Final builder's clean at handover  (total per Item)</t>
  </si>
  <si>
    <t>Builder's clean on GFA</t>
  </si>
  <si>
    <t>Glass &amp; facade cleaning</t>
  </si>
  <si>
    <t>Build-up total → Z.01.04.02</t>
  </si>
  <si>
    <t>Z.01.05 MACHINERY &amp; VERTICAL TRANSPORT — Build-Ups</t>
  </si>
  <si>
    <t>Tower crane rental  (rate per Month)</t>
  </si>
  <si>
    <t>Operator &amp; rigger</t>
  </si>
  <si>
    <t>Maintenance &amp; spares</t>
  </si>
  <si>
    <t>Build-up total → Z.01.05.01</t>
  </si>
  <si>
    <t>Tower crane foundation, erection, dismantle &amp; test  (total per Item)</t>
  </si>
  <si>
    <t>RC foundation base</t>
  </si>
  <si>
    <t>Erection incl. mobile crane hire</t>
  </si>
  <si>
    <t>Dismantling</t>
  </si>
  <si>
    <t>Load test &amp; certification</t>
  </si>
  <si>
    <t>Build-up total → Z.01.05.02</t>
  </si>
  <si>
    <t>Passenger / material hoist rental  (rate per Month)</t>
  </si>
  <si>
    <t>Hoist rental</t>
  </si>
  <si>
    <t>Operator</t>
  </si>
  <si>
    <t>Build-up total → Z.01.05.03</t>
  </si>
  <si>
    <t>Hoist erection &amp; dismantling  (total per Item)</t>
  </si>
  <si>
    <t>Erection &amp; base</t>
  </si>
  <si>
    <t>Test &amp; certification</t>
  </si>
  <si>
    <t>Build-up total → Z.01.05.04</t>
  </si>
  <si>
    <t>External scaffolding to facade  (rate per m2)</t>
  </si>
  <si>
    <t>Erection &amp; dismantling</t>
  </si>
  <si>
    <t>Rental over scaffold duration (P09 months)</t>
  </si>
  <si>
    <t>m2-mo</t>
  </si>
  <si>
    <t>Build-up total → Z.01.05.06</t>
  </si>
  <si>
    <t>Back-propping / falsework for PT slabs  (rate per Floor)</t>
  </si>
  <si>
    <t>Adjustable props rental (400 no x 2-month cycle)</t>
  </si>
  <si>
    <t>prop-mo</t>
  </si>
  <si>
    <t>Install &amp; strike labor</t>
  </si>
  <si>
    <t>Build-up total → Z.01.05.07</t>
  </si>
  <si>
    <t>Z.01.06 LIGHT EQUIPMENT &amp; HAND TOOLS — Build-Up</t>
  </si>
  <si>
    <t>Small plant, light equipment &amp; hand tools  (rate per Month)</t>
  </si>
  <si>
    <t>Concrete mixers</t>
  </si>
  <si>
    <t>Cutting &amp; grinding equipment</t>
  </si>
  <si>
    <t>Power tools replacement allowance</t>
  </si>
  <si>
    <t>Consumables (discs, bits, blades)</t>
  </si>
  <si>
    <t>Build-up total → Z.01.06.01</t>
  </si>
  <si>
    <t>Z.01.08 SAFETY &amp; ENVIRONMENT CONTROL — Build-Ups</t>
  </si>
  <si>
    <t>Health, safety provisions &amp; PPE  (rate per Month)</t>
  </si>
  <si>
    <t>PPE issue &amp; replacement (per peak workforce)</t>
  </si>
  <si>
    <t>worker</t>
  </si>
  <si>
    <t>First-aid consumables</t>
  </si>
  <si>
    <t>Toolbox training &amp; safety officer support</t>
  </si>
  <si>
    <t>Safety signage &amp; miscellaneous</t>
  </si>
  <si>
    <t>Build-up total → Z.01.08.01</t>
  </si>
  <si>
    <t>Site security incl. guards &amp; CCTV  (rate per Month)</t>
  </si>
  <si>
    <t>Security guards (day/night rotation)</t>
  </si>
  <si>
    <t>CCTV system (amortized)</t>
  </si>
  <si>
    <t>Security lighting power</t>
  </si>
  <si>
    <t>Build-up total → Z.01.08.02</t>
  </si>
  <si>
    <t>Material &amp; concrete testing (QA/QC)  (total per Item)</t>
  </si>
  <si>
    <t>Concrete cube test sets</t>
  </si>
  <si>
    <t>set</t>
  </si>
  <si>
    <t>Rebar tensile tests</t>
  </si>
  <si>
    <t>Soil / compaction tests</t>
  </si>
  <si>
    <t>Other / miscellaneous tests</t>
  </si>
  <si>
    <t>Build-up total → Z.01.08.03</t>
  </si>
  <si>
    <t>Z.50 DESIGN EXPENSES — Build-Ups</t>
  </si>
  <si>
    <t>Shop drawings  (total per Item)</t>
  </si>
  <si>
    <t>Draftsmen (2 no. x 10 months)</t>
  </si>
  <si>
    <t>man-mo</t>
  </si>
  <si>
    <t>Plotting &amp; printing</t>
  </si>
  <si>
    <t>Build-up total → Z.50.01</t>
  </si>
  <si>
    <t>As-built drawings  (total per Item)</t>
  </si>
  <si>
    <t>Draftsman (1 no. x 10 months)</t>
  </si>
  <si>
    <t>Printing &amp; binding</t>
  </si>
  <si>
    <t>Build-up total → Z.50.02</t>
  </si>
  <si>
    <t>Temporary works design  (total per Item)</t>
  </si>
  <si>
    <t>Crane base design &amp; check</t>
  </si>
  <si>
    <t>Sheet pile / shoring design</t>
  </si>
  <si>
    <t>Back-propping &amp; formwork scheme</t>
  </si>
  <si>
    <t>Documentation &amp; submissions</t>
  </si>
  <si>
    <t>Build-up total → Z.50.03</t>
  </si>
  <si>
    <t>BUDGET CODE</t>
  </si>
  <si>
    <t>Early Work</t>
  </si>
  <si>
    <t>A.00</t>
  </si>
  <si>
    <t>A.Early Work</t>
  </si>
  <si>
    <t>Topography Survey</t>
  </si>
  <si>
    <t>A.01</t>
  </si>
  <si>
    <t xml:space="preserve">   A.01.Topography Survey</t>
  </si>
  <si>
    <t xml:space="preserve">Soil Investigation </t>
  </si>
  <si>
    <t>A.02</t>
  </si>
  <si>
    <t xml:space="preserve">   A.02.Soil Investigation </t>
  </si>
  <si>
    <t>Mine / UXO Clearance</t>
  </si>
  <si>
    <t>A.03</t>
  </si>
  <si>
    <t xml:space="preserve">   A.03.Mine / UXO Clearance</t>
  </si>
  <si>
    <t>Soil Leveling</t>
  </si>
  <si>
    <t>A.04</t>
  </si>
  <si>
    <t xml:space="preserve">   A.04.Soil Leveling</t>
  </si>
  <si>
    <t>Demolition</t>
  </si>
  <si>
    <t>A.05</t>
  </si>
  <si>
    <t xml:space="preserve">   A.05.Demolition</t>
  </si>
  <si>
    <t>Cleaning</t>
  </si>
  <si>
    <t>A.06</t>
  </si>
  <si>
    <t xml:space="preserve">   A.06.Cleaning</t>
  </si>
  <si>
    <t>Repair exiting services</t>
  </si>
  <si>
    <t>A.07</t>
  </si>
  <si>
    <t xml:space="preserve">   A.07.Repair exiting services</t>
  </si>
  <si>
    <t>Renovation</t>
  </si>
  <si>
    <t>A.08</t>
  </si>
  <si>
    <t xml:space="preserve">   A.08.Renovation</t>
  </si>
  <si>
    <t>B.00</t>
  </si>
  <si>
    <t>B.0.Sub Structure</t>
  </si>
  <si>
    <t>Piling Work</t>
  </si>
  <si>
    <t xml:space="preserve">   B.01.Piling Work</t>
  </si>
  <si>
    <t>Basement</t>
  </si>
  <si>
    <t>B.02</t>
  </si>
  <si>
    <t xml:space="preserve">   B.02.Basement</t>
  </si>
  <si>
    <t>Ground Floor</t>
  </si>
  <si>
    <t>B.03</t>
  </si>
  <si>
    <t xml:space="preserve">   B.03.Ground Floor</t>
  </si>
  <si>
    <t>Super structure</t>
  </si>
  <si>
    <t xml:space="preserve">   B.04.Super structure</t>
  </si>
  <si>
    <t>C.00</t>
  </si>
  <si>
    <t>C.0.Architecture</t>
  </si>
  <si>
    <t>Exterior Wall and Partition</t>
  </si>
  <si>
    <t>C.01</t>
  </si>
  <si>
    <t xml:space="preserve">   C.01.Exterior Wall and Partition</t>
  </si>
  <si>
    <t>Masonry Wall, Dry Wall, Glass partition</t>
  </si>
  <si>
    <t>Exterior Wall Finishes</t>
  </si>
  <si>
    <t>C.02</t>
  </si>
  <si>
    <t xml:space="preserve">   C.02.Exterior Wall Finishes</t>
  </si>
  <si>
    <t>Plastering, painting, cladding, molding</t>
  </si>
  <si>
    <t xml:space="preserve">   C.03.Exterior Door </t>
  </si>
  <si>
    <t>Wooden door, Glass door, Steel door</t>
  </si>
  <si>
    <t>Exterior Window and Louver</t>
  </si>
  <si>
    <t>C.04</t>
  </si>
  <si>
    <t xml:space="preserve">   C.04.Exterior Window and Louver</t>
  </si>
  <si>
    <t>Glass window, window fence, steel louver</t>
  </si>
  <si>
    <t>Exterior floor</t>
  </si>
  <si>
    <t>C.05</t>
  </si>
  <si>
    <t xml:space="preserve">   C.05.Exterior floor</t>
  </si>
  <si>
    <t>Screeding, floor tiling, hardening, Waterproofing</t>
  </si>
  <si>
    <t>Exterior soffit</t>
  </si>
  <si>
    <t>C.06</t>
  </si>
  <si>
    <t xml:space="preserve">   C.06.Exterior soffit</t>
  </si>
  <si>
    <t>Soffit slab finish</t>
  </si>
  <si>
    <t>Exterior Stair Ramp</t>
  </si>
  <si>
    <t>C.07</t>
  </si>
  <si>
    <t xml:space="preserve">   C.07.Exterior Stair Ramp</t>
  </si>
  <si>
    <t>Barrier, ramp</t>
  </si>
  <si>
    <t>C.08</t>
  </si>
  <si>
    <t xml:space="preserve">   C.08.Roofing</t>
  </si>
  <si>
    <t>Interior Wall and Partition</t>
  </si>
  <si>
    <t xml:space="preserve">   C.09.Interior Wall Partition</t>
  </si>
  <si>
    <t>Interior Doors</t>
  </si>
  <si>
    <t>C.10</t>
  </si>
  <si>
    <t xml:space="preserve">   C.10.Interior Door /Windows and Louvers</t>
  </si>
  <si>
    <t>Steel door, wooden door, glass door</t>
  </si>
  <si>
    <t>Special installation</t>
  </si>
  <si>
    <t>C.11</t>
  </si>
  <si>
    <t xml:space="preserve">   C.11.Special installation</t>
  </si>
  <si>
    <t>LPG Gas</t>
  </si>
  <si>
    <t>Exterior Finishes</t>
  </si>
  <si>
    <t>C.12</t>
  </si>
  <si>
    <t xml:space="preserve">   C.12.Exterior Finishes</t>
  </si>
  <si>
    <t>D.00</t>
  </si>
  <si>
    <t>D.0.Interior Finish</t>
  </si>
  <si>
    <t>Interior Wall Finishes</t>
  </si>
  <si>
    <t>D.01</t>
  </si>
  <si>
    <t xml:space="preserve">   D.01.Interior Wall Finishes</t>
  </si>
  <si>
    <t>Wall tiling, Plastering, Painting, Skirting, Wall Marble</t>
  </si>
  <si>
    <t>Interior Floor Finishes</t>
  </si>
  <si>
    <t xml:space="preserve">   D.02.Interior Floor Finishes</t>
  </si>
  <si>
    <t>Screeding, floor tiling, Wooden Flooring, Marble flooring, Carpet Flooring, Epoxy Flooring, waterproofing, Floor strip divider</t>
  </si>
  <si>
    <t>Ceiling Finishes</t>
  </si>
  <si>
    <t>D.03</t>
  </si>
  <si>
    <t xml:space="preserve">   D.03.Ceiling Finish</t>
  </si>
  <si>
    <t>Suspended Ceiling</t>
  </si>
  <si>
    <t>Fittings, furnishings and equipment</t>
  </si>
  <si>
    <t>E.00</t>
  </si>
  <si>
    <t>E.0.Fitting, furnishings and equipment</t>
  </si>
  <si>
    <t>General Fitting</t>
  </si>
  <si>
    <t>E.01</t>
  </si>
  <si>
    <t xml:space="preserve">   E.01.General Fitting</t>
  </si>
  <si>
    <t>Domestic Kitchen Fitting</t>
  </si>
  <si>
    <t>E.02</t>
  </si>
  <si>
    <t xml:space="preserve">   E.02.Domestic Kitchen Fitting</t>
  </si>
  <si>
    <t>Special purpose Fitting</t>
  </si>
  <si>
    <t>E.03</t>
  </si>
  <si>
    <t xml:space="preserve">   E.03.Special purpose Fitting</t>
  </si>
  <si>
    <t>Signage</t>
  </si>
  <si>
    <t>E.04</t>
  </si>
  <si>
    <t xml:space="preserve">   E.04.Signage</t>
  </si>
  <si>
    <t>Art</t>
  </si>
  <si>
    <t>E.05</t>
  </si>
  <si>
    <t xml:space="preserve">   E.05.Art</t>
  </si>
  <si>
    <t>Non-Mechanical and Non Electrical Equipement</t>
  </si>
  <si>
    <t>E.06</t>
  </si>
  <si>
    <t xml:space="preserve">   E.06.Non-Mechanical and Non Electrical Equipement</t>
  </si>
  <si>
    <t>Internal Planting</t>
  </si>
  <si>
    <t>E.07</t>
  </si>
  <si>
    <t xml:space="preserve">   E.07.Internal Planting</t>
  </si>
  <si>
    <t>Bird and Vermin Control</t>
  </si>
  <si>
    <t>E.08</t>
  </si>
  <si>
    <t xml:space="preserve">   E.08.Bird and Vermin Control</t>
  </si>
  <si>
    <t>F.00</t>
  </si>
  <si>
    <t>F.0.Services</t>
  </si>
  <si>
    <t xml:space="preserve">   F.01.Sanitary Installations</t>
  </si>
  <si>
    <t>AIR-CONDITIONAL SYSTEM</t>
  </si>
  <si>
    <t xml:space="preserve">   F.02.AC SYSTEM</t>
  </si>
  <si>
    <t>MECHANICAL VENTILATION SYSTEM</t>
  </si>
  <si>
    <t>F.03</t>
  </si>
  <si>
    <t xml:space="preserve">   F.03.MECHANICAL VENTILATION SYSTEM (MV)</t>
  </si>
  <si>
    <t>MV DISTRIBUTION SYSTEM</t>
  </si>
  <si>
    <t>F.04</t>
  </si>
  <si>
    <t xml:space="preserve">   F.04.MV DISTRIBUTION SYSTEM</t>
  </si>
  <si>
    <t>ELECTRICAL SYSTEM</t>
  </si>
  <si>
    <t xml:space="preserve">   F.05.ELECTRICAL SYSTEM</t>
  </si>
  <si>
    <t>ELV INSTALLATION</t>
  </si>
  <si>
    <t>F.06</t>
  </si>
  <si>
    <t xml:space="preserve">   F.06.ELV INSTALLATION</t>
  </si>
  <si>
    <t>PLUMBING SYSTEM</t>
  </si>
  <si>
    <t>F.07</t>
  </si>
  <si>
    <t xml:space="preserve">   F.07.PLUMBING SYSTEM</t>
  </si>
  <si>
    <t>FIRE FIGHTING SYSTEM</t>
  </si>
  <si>
    <t>F.08</t>
  </si>
  <si>
    <t xml:space="preserve">   F.08.FIRE FIGHTING SYSTEM</t>
  </si>
  <si>
    <t>Specialist Installations</t>
  </si>
  <si>
    <t>F.09</t>
  </si>
  <si>
    <t xml:space="preserve">   F.09.Specialist Installations</t>
  </si>
  <si>
    <t>VERTICAL TRANSPORTATION SYSTEM</t>
  </si>
  <si>
    <t>F.10</t>
  </si>
  <si>
    <t xml:space="preserve">   F.10.VERTICAL TRANSPORTATION SYSTEM</t>
  </si>
  <si>
    <t>G.00</t>
  </si>
  <si>
    <t>G.External Work</t>
  </si>
  <si>
    <t>Site preparation</t>
  </si>
  <si>
    <t>G.01</t>
  </si>
  <si>
    <t xml:space="preserve">   G.01.Site preparation</t>
  </si>
  <si>
    <t>Roads, path, paveing Surfacing</t>
  </si>
  <si>
    <t>G.02</t>
  </si>
  <si>
    <t xml:space="preserve">   G.02.Roads, path, paveing Surfacing</t>
  </si>
  <si>
    <t>Land scape</t>
  </si>
  <si>
    <t>G.03</t>
  </si>
  <si>
    <t xml:space="preserve">   G.03.Land scape</t>
  </si>
  <si>
    <t>Fence Railing wall</t>
  </si>
  <si>
    <t>G.04</t>
  </si>
  <si>
    <t xml:space="preserve">   G.04.Fence Railing wall</t>
  </si>
  <si>
    <t>Exteranal Fixture</t>
  </si>
  <si>
    <t>G.05</t>
  </si>
  <si>
    <t xml:space="preserve">   G.05.Exteranal Fixture</t>
  </si>
  <si>
    <t>AUTHORITY RELATED , INSURANCE</t>
  </si>
  <si>
    <t>X.00</t>
  </si>
  <si>
    <t>X.0.AUTHORITY RELATED , INSURANCE</t>
  </si>
  <si>
    <t>CONSTRUCTION PERMIT, OPEN SITE AND CLOSE SITE PERMITS</t>
  </si>
  <si>
    <t>X.01</t>
  </si>
  <si>
    <t xml:space="preserve">   X.01.CONSTRUCTION PERMIT, OPEN SITE AND CLOSE SITE PERMITS</t>
  </si>
  <si>
    <t>CAR Insurance + DLP Insurance</t>
  </si>
  <si>
    <t xml:space="preserve">   X.02.CAR Insurance + DLP Insurance</t>
  </si>
  <si>
    <t>DLP 24 Month Budget</t>
  </si>
  <si>
    <t>X.03</t>
  </si>
  <si>
    <t xml:space="preserve">   X.03.DLP 24 Month Budget</t>
  </si>
  <si>
    <t>E.I.A</t>
  </si>
  <si>
    <t>X.04</t>
  </si>
  <si>
    <t xml:space="preserve">   X.04.E.I.A</t>
  </si>
  <si>
    <t>Z.0.CONTRACTOR'S PRELIMINARIES / DESIGN / OTHERS</t>
  </si>
  <si>
    <t>Z.00</t>
  </si>
  <si>
    <t>Temporary Works</t>
  </si>
  <si>
    <t>Z.01.Temporary Works</t>
  </si>
  <si>
    <t>Site Preparation</t>
  </si>
  <si>
    <t>Z.01.01.Site Preparation</t>
  </si>
  <si>
    <t>General Protection</t>
  </si>
  <si>
    <t>Z.01.02.General Protection</t>
  </si>
  <si>
    <t>Z.01.03.Temporary Building</t>
  </si>
  <si>
    <t>Temporary site labor</t>
  </si>
  <si>
    <t>Z.01.04.Temporary site labor</t>
  </si>
  <si>
    <t>Z.01.05.Machinery</t>
  </si>
  <si>
    <t>Light equiment hand tools</t>
  </si>
  <si>
    <t>Z.01.06.Light equiment hand tools</t>
  </si>
  <si>
    <t>Temporary Elecrical Plumbing Drainage</t>
  </si>
  <si>
    <t>Z.01.07.Temporary Elecrical Plumbing Drainage</t>
  </si>
  <si>
    <t>Safe and environment control</t>
  </si>
  <si>
    <t>Z.01.08.Safe and environment control</t>
  </si>
  <si>
    <t>Foreign Country Employee</t>
  </si>
  <si>
    <t>Z.30.01.Foreign Country Employee</t>
  </si>
  <si>
    <t>Local Country employee</t>
  </si>
  <si>
    <t>Z.30.02.Local Country employee</t>
  </si>
  <si>
    <t>Z.30.03.Other personnel</t>
  </si>
  <si>
    <t>Z.30.04.Welfare expense</t>
  </si>
  <si>
    <t>office supplies expenses</t>
  </si>
  <si>
    <t>Z.30.05.office supplies expenses</t>
  </si>
  <si>
    <t>Communication &amp; Travel expense</t>
  </si>
  <si>
    <t>Z.30.06.Communication &amp; Travel expense</t>
  </si>
  <si>
    <t>Z.30.07.Social expense</t>
  </si>
  <si>
    <t>Taxes &amp; Public imposition</t>
  </si>
  <si>
    <t>Z.30.08.Taxes &amp; Public imposition</t>
  </si>
  <si>
    <t>Z.30.09.Meeting expense</t>
  </si>
  <si>
    <t>Z.30.10.Miscellaneous expense</t>
  </si>
  <si>
    <t>Design expenses</t>
  </si>
  <si>
    <t>Z.50.Design expenses</t>
  </si>
  <si>
    <t>Risks and Opportunities</t>
  </si>
  <si>
    <t>Z.70.Risks and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</si>
</sst>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#,##0.##"/>
    <numFmt numFmtId="166" formatCode="\$#,##0.00;&quot;($&quot;#,##0.00\);\-"/>
    <numFmt numFmtId="167" formatCode="\$#,##0;&quot;($&quot;#,##0\);\-"/>
    <numFmt numFmtId="168" formatCode="\$0.000"/>
    <numFmt numFmtId="169" formatCode="#,##0.0"/>
    <numFmt numFmtId="170" formatCode="\$0.00"/>
  </numFmts>
  <fonts count="1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color rgb="FFC00000"/>
      <name val="Arial"/>
      <charset val="1"/>
    </font>
    <font>
      <b/>
      <sz val="11"/>
      <name val="Arial"/>
      <charset val="1"/>
    </font>
    <font>
      <sz val="11"/>
      <color rgb="FF008000"/>
      <name val="Arial"/>
      <charset val="1"/>
    </font>
    <font>
      <b/>
      <sz val="12"/>
      <name val="Arial"/>
      <charset val="1"/>
    </font>
    <font>
      <b/>
      <sz val="12"/>
      <color rgb="FF1F4E78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BE5D6"/>
      </patternFill>
    </fill>
    <fill>
      <patternFill patternType="solid">
        <fgColor rgb="FFD9E1F2"/>
        <bgColor rgb="FFDAE3F3"/>
      </patternFill>
    </fill>
    <fill>
      <patternFill patternType="solid">
        <fgColor rgb="FFEDF2F9"/>
        <bgColor rgb="FFDDEBF7"/>
      </patternFill>
    </fill>
    <fill>
      <patternFill patternType="solid">
        <fgColor rgb="FFFFD966"/>
        <bgColor rgb="FFFFCC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/>
    <xf numFmtId="0" fontId="14" fillId="0" borderId="0">
      <alignment horizontal="left"/>
    </xf>
    <xf numFmtId="0" fontId="14" fillId="0" borderId="0"/>
    <xf numFmtId="0" fontId="14" fillId="0" borderId="0"/>
    <xf numFmtId="0" fontId="1" fillId="0" borderId="0"/>
    <xf numFmtId="0" fontId="1" fillId="0" borderId="0">
      <alignment horizontal="left"/>
    </xf>
    <xf numFmtId="0" fontId="14" fillId="0" borderId="0"/>
  </cellStyleXfs>
  <cellXfs count="44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/>
    <xf numFmtId="3" fontId="6" fillId="2" borderId="1" xfId="0" applyNumberFormat="1" applyFont="1" applyFill="1" applyBorder="1" applyAlignment="1"/>
    <xf numFmtId="0" fontId="7" fillId="0" borderId="1" xfId="0" applyFont="1" applyBorder="1" applyAlignment="1"/>
    <xf numFmtId="0" fontId="3" fillId="0" borderId="1" xfId="0" applyFont="1" applyBorder="1" applyAlignment="1"/>
    <xf numFmtId="3" fontId="5" fillId="0" borderId="1" xfId="0" applyNumberFormat="1" applyFont="1" applyBorder="1" applyAlignment="1"/>
    <xf numFmtId="0" fontId="8" fillId="5" borderId="1" xfId="0" applyFont="1" applyFill="1" applyBorder="1" applyAlignment="1"/>
    <xf numFmtId="0" fontId="5" fillId="5" borderId="1" xfId="0" applyFont="1" applyFill="1" applyBorder="1" applyAlignment="1"/>
    <xf numFmtId="0" fontId="8" fillId="6" borderId="1" xfId="0" applyFont="1" applyFill="1" applyBorder="1" applyAlignment="1"/>
    <xf numFmtId="0" fontId="5" fillId="6" borderId="1" xfId="0" applyFont="1" applyFill="1" applyBorder="1" applyAlignment="1"/>
    <xf numFmtId="166" fontId="9" fillId="0" borderId="1" xfId="0" applyNumberFormat="1" applyFont="1" applyBorder="1" applyAlignment="1"/>
    <xf numFmtId="167" fontId="5" fillId="0" borderId="1" xfId="0" applyNumberFormat="1" applyFont="1" applyBorder="1" applyAlignment="1"/>
    <xf numFmtId="3" fontId="9" fillId="0" borderId="1" xfId="0" applyNumberFormat="1" applyFont="1" applyBorder="1" applyAlignment="1"/>
    <xf numFmtId="167" fontId="9" fillId="0" borderId="1" xfId="0" applyNumberFormat="1" applyFont="1" applyBorder="1" applyAlignment="1"/>
    <xf numFmtId="166" fontId="6" fillId="2" borderId="1" xfId="0" applyNumberFormat="1" applyFont="1" applyFill="1" applyBorder="1" applyAlignment="1"/>
    <xf numFmtId="0" fontId="8" fillId="0" borderId="1" xfId="0" applyFont="1" applyBorder="1" applyAlignment="1"/>
    <xf numFmtId="167" fontId="8" fillId="4" borderId="1" xfId="0" applyNumberFormat="1" applyFont="1" applyFill="1" applyBorder="1" applyAlignment="1"/>
    <xf numFmtId="0" fontId="10" fillId="0" borderId="1" xfId="0" applyFont="1" applyBorder="1" applyAlignment="1"/>
    <xf numFmtId="167" fontId="10" fillId="7" borderId="1" xfId="0" applyNumberFormat="1" applyFont="1" applyFill="1" applyBorder="1" applyAlignment="1"/>
    <xf numFmtId="0" fontId="8" fillId="0" borderId="0" xfId="0" applyFont="1" applyAlignment="1"/>
    <xf numFmtId="0" fontId="5" fillId="0" borderId="0" xfId="0" applyFont="1" applyAlignment="1"/>
    <xf numFmtId="167" fontId="5" fillId="0" borderId="0" xfId="0" applyNumberFormat="1" applyFont="1" applyAlignment="1"/>
    <xf numFmtId="0" fontId="6" fillId="2" borderId="1" xfId="0" applyFont="1" applyFill="1" applyBorder="1" applyAlignment="1"/>
    <xf numFmtId="167" fontId="6" fillId="2" borderId="1" xfId="0" applyNumberFormat="1" applyFont="1" applyFill="1" applyBorder="1" applyAlignment="1"/>
    <xf numFmtId="167" fontId="8" fillId="4" borderId="0" xfId="0" applyNumberFormat="1" applyFont="1" applyFill="1" applyAlignment="1"/>
    <xf numFmtId="0" fontId="8" fillId="4" borderId="1" xfId="0" applyFont="1" applyFill="1" applyBorder="1" applyAlignment="1"/>
    <xf numFmtId="3" fontId="8" fillId="4" borderId="1" xfId="0" applyNumberFormat="1" applyFont="1" applyFill="1" applyBorder="1" applyAlignment="1"/>
    <xf numFmtId="168" fontId="6" fillId="2" borderId="1" xfId="0" applyNumberFormat="1" applyFont="1" applyFill="1" applyBorder="1" applyAlignment="1"/>
    <xf numFmtId="166" fontId="5" fillId="0" borderId="1" xfId="0" applyNumberFormat="1" applyFont="1" applyBorder="1" applyAlignment="1"/>
    <xf numFmtId="2" fontId="6" fillId="2" borderId="1" xfId="0" applyNumberFormat="1" applyFont="1" applyFill="1" applyBorder="1" applyAlignment="1"/>
    <xf numFmtId="166" fontId="8" fillId="4" borderId="1" xfId="0" applyNumberFormat="1" applyFont="1" applyFill="1" applyBorder="1" applyAlignment="1"/>
    <xf numFmtId="0" fontId="4" fillId="3" borderId="1" xfId="0" applyFont="1" applyFill="1" applyBorder="1" applyAlignment="1"/>
    <xf numFmtId="169" fontId="5" fillId="0" borderId="1" xfId="0" applyNumberFormat="1" applyFont="1" applyBorder="1" applyAlignment="1"/>
    <xf numFmtId="169" fontId="8" fillId="0" borderId="1" xfId="0" applyNumberFormat="1" applyFont="1" applyBorder="1" applyAlignment="1"/>
    <xf numFmtId="170" fontId="6" fillId="2" borderId="1" xfId="0" applyNumberFormat="1" applyFont="1" applyFill="1" applyBorder="1" applyAlignment="1"/>
    <xf numFmtId="165" fontId="6" fillId="2" borderId="1" xfId="0" applyNumberFormat="1" applyFont="1" applyFill="1" applyBorder="1" applyAlignment="1"/>
    <xf numFmtId="165" fontId="9" fillId="0" borderId="1" xfId="0" applyNumberFormat="1" applyFont="1" applyBorder="1" applyAlignment="1"/>
    <xf numFmtId="0" fontId="11" fillId="0" borderId="0" xfId="0" applyFont="1" applyAlignment="1"/>
    <xf numFmtId="0" fontId="12" fillId="3" borderId="0" xfId="0" applyFont="1" applyFill="1" applyAlignment="1"/>
    <xf numFmtId="0" fontId="13" fillId="0" borderId="0" xfId="0" applyFont="1" applyAlignment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9"/>
      <rgbColor rgb="FFE2EFDA"/>
      <rgbColor rgb="FFFBE5D6"/>
      <rgbColor rgb="FFD9E1F2"/>
      <rgbColor rgb="FFFCE4D6"/>
      <rgbColor rgb="FFDAE3F3"/>
      <rgbColor rgb="FFFFD9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zoomScaleNormal="100" workbookViewId="0">
      <selection activeCell="E12" sqref="E12"/>
    </sheetView>
  </sheetViews>
  <sheetFormatPr defaultColWidth="8.7109375" defaultRowHeight="15" x14ac:dyDescent="0.25"/>
  <cols>
    <col min="1" max="1" width="7" style="1" customWidth="1"/>
    <col min="2" max="2" width="38" style="1" customWidth="1"/>
    <col min="3" max="3" width="12" style="1" customWidth="1"/>
    <col min="4" max="4" width="8" style="1" bestFit="1" customWidth="1"/>
    <col min="5" max="5" width="12.28515625" style="1" bestFit="1" customWidth="1"/>
  </cols>
  <sheetData>
    <row r="1" spans="1:5" ht="17.25" customHeight="1" x14ac:dyDescent="0.25">
      <c r="A1" s="2" t="s">
        <v>38</v>
      </c>
    </row>
    <row r="2" spans="1:5" ht="15" customHeight="1" x14ac:dyDescent="0.25">
      <c r="A2" s="3" t="s">
        <v>39</v>
      </c>
    </row>
    <row r="4" spans="1:5" ht="15" customHeight="1" x14ac:dyDescent="0.25">
      <c r="A4" s="4" t="s">
        <v>40</v>
      </c>
      <c r="B4" s="4" t="s">
        <v>41</v>
      </c>
      <c r="C4" s="4" t="s">
        <v>42</v>
      </c>
      <c r="D4" s="4" t="s">
        <v>0</v>
      </c>
      <c r="E4" s="4" t="s">
        <v>15</v>
      </c>
    </row>
    <row r="5" spans="1:5" ht="15" customHeight="1" x14ac:dyDescent="0.25">
      <c r="A5" s="5" t="s">
        <v>43</v>
      </c>
      <c r="B5" s="5" t="s">
        <v>44</v>
      </c>
      <c r="C5" s="6">
        <v>130</v>
      </c>
      <c r="D5" s="5" t="s">
        <v>1</v>
      </c>
      <c r="E5" s="7" t="s">
        <v>45</v>
      </c>
    </row>
    <row r="6" spans="1:5" ht="15" customHeight="1" x14ac:dyDescent="0.25">
      <c r="A6" s="5" t="s">
        <v>46</v>
      </c>
      <c r="B6" s="5" t="s">
        <v>47</v>
      </c>
      <c r="C6" s="6">
        <v>800</v>
      </c>
      <c r="D6" s="5" t="s">
        <v>2</v>
      </c>
      <c r="E6" s="8" t="s">
        <v>48</v>
      </c>
    </row>
    <row r="7" spans="1:5" ht="15" customHeight="1" x14ac:dyDescent="0.25">
      <c r="A7" s="5" t="s">
        <v>49</v>
      </c>
      <c r="B7" s="5" t="s">
        <v>50</v>
      </c>
      <c r="C7" s="6">
        <v>115</v>
      </c>
      <c r="D7" s="5" t="s">
        <v>1</v>
      </c>
      <c r="E7" s="7" t="s">
        <v>45</v>
      </c>
    </row>
    <row r="8" spans="1:5" ht="15" customHeight="1" x14ac:dyDescent="0.25">
      <c r="A8" s="5" t="s">
        <v>51</v>
      </c>
      <c r="B8" s="5" t="s">
        <v>52</v>
      </c>
      <c r="C8" s="6">
        <v>10</v>
      </c>
      <c r="D8" s="5" t="s">
        <v>53</v>
      </c>
      <c r="E8" s="8" t="s">
        <v>48</v>
      </c>
    </row>
    <row r="9" spans="1:5" ht="15" customHeight="1" x14ac:dyDescent="0.25">
      <c r="A9" s="5" t="s">
        <v>54</v>
      </c>
      <c r="B9" s="5" t="s">
        <v>55</v>
      </c>
      <c r="C9" s="6">
        <v>36</v>
      </c>
      <c r="D9" s="5" t="s">
        <v>1</v>
      </c>
      <c r="E9" s="7" t="s">
        <v>45</v>
      </c>
    </row>
    <row r="10" spans="1:5" ht="15" customHeight="1" x14ac:dyDescent="0.25">
      <c r="A10" s="5" t="s">
        <v>56</v>
      </c>
      <c r="B10" s="5" t="s">
        <v>57</v>
      </c>
      <c r="C10" s="9">
        <f>C7*C9</f>
        <v>4140</v>
      </c>
      <c r="D10" s="5" t="s">
        <v>2</v>
      </c>
      <c r="E10" s="8" t="s">
        <v>58</v>
      </c>
    </row>
    <row r="11" spans="1:5" ht="15" customHeight="1" x14ac:dyDescent="0.25">
      <c r="A11" s="5" t="s">
        <v>59</v>
      </c>
      <c r="B11" s="5" t="s">
        <v>60</v>
      </c>
      <c r="C11" s="6">
        <v>18</v>
      </c>
      <c r="D11" s="5" t="s">
        <v>61</v>
      </c>
      <c r="E11" s="8" t="s">
        <v>62</v>
      </c>
    </row>
    <row r="12" spans="1:5" ht="15" customHeight="1" x14ac:dyDescent="0.25">
      <c r="A12" s="5" t="s">
        <v>63</v>
      </c>
      <c r="B12" s="5" t="s">
        <v>64</v>
      </c>
      <c r="C12" s="6">
        <v>10</v>
      </c>
      <c r="D12" s="5" t="s">
        <v>61</v>
      </c>
      <c r="E12" s="8" t="s">
        <v>62</v>
      </c>
    </row>
    <row r="13" spans="1:5" ht="15" customHeight="1" x14ac:dyDescent="0.25">
      <c r="A13" s="5" t="s">
        <v>65</v>
      </c>
      <c r="B13" s="5" t="s">
        <v>66</v>
      </c>
      <c r="C13" s="6">
        <v>12</v>
      </c>
      <c r="D13" s="5" t="s">
        <v>61</v>
      </c>
      <c r="E13" s="8" t="s">
        <v>62</v>
      </c>
    </row>
    <row r="14" spans="1:5" ht="15" customHeight="1" x14ac:dyDescent="0.25">
      <c r="A14" s="5" t="s">
        <v>67</v>
      </c>
      <c r="B14" s="5" t="s">
        <v>68</v>
      </c>
      <c r="C14" s="6">
        <v>80</v>
      </c>
      <c r="D14" s="5" t="s">
        <v>53</v>
      </c>
      <c r="E14" s="8" t="s">
        <v>62</v>
      </c>
    </row>
    <row r="15" spans="1:5" ht="15" customHeight="1" x14ac:dyDescent="0.25">
      <c r="A15" s="5" t="s">
        <v>69</v>
      </c>
      <c r="B15" s="5" t="s">
        <v>70</v>
      </c>
      <c r="C15" s="6">
        <v>11</v>
      </c>
      <c r="D15" s="5" t="s">
        <v>53</v>
      </c>
      <c r="E15" s="8" t="s">
        <v>48</v>
      </c>
    </row>
    <row r="16" spans="1:5" ht="15" customHeight="1" x14ac:dyDescent="0.25">
      <c r="A16" s="5" t="s">
        <v>71</v>
      </c>
      <c r="B16" s="5" t="s">
        <v>72</v>
      </c>
      <c r="C16" s="9">
        <f>C6*C8</f>
        <v>8000</v>
      </c>
      <c r="D16" s="5" t="s">
        <v>2</v>
      </c>
      <c r="E16" s="8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2"/>
  <sheetViews>
    <sheetView zoomScaleNormal="100" workbookViewId="0">
      <pane ySplit="4" topLeftCell="A23" activePane="bottomLeft" state="frozen"/>
      <selection pane="bottomLeft" activeCell="B34" sqref="B34"/>
    </sheetView>
  </sheetViews>
  <sheetFormatPr defaultColWidth="8.7109375" defaultRowHeight="15" x14ac:dyDescent="0.25"/>
  <cols>
    <col min="1" max="1" width="12" style="1" customWidth="1"/>
    <col min="2" max="2" width="58" style="1" customWidth="1"/>
    <col min="3" max="3" width="7" style="1" customWidth="1"/>
    <col min="4" max="4" width="9" style="1" customWidth="1"/>
    <col min="5" max="5" width="11" style="1" customWidth="1"/>
    <col min="6" max="6" width="13" style="1" customWidth="1"/>
    <col min="7" max="7" width="56" style="1" customWidth="1"/>
  </cols>
  <sheetData>
    <row r="1" spans="1:7" ht="17.25" customHeight="1" x14ac:dyDescent="0.25">
      <c r="A1" s="2" t="s">
        <v>73</v>
      </c>
    </row>
    <row r="2" spans="1:7" ht="15" customHeight="1" x14ac:dyDescent="0.25">
      <c r="A2" s="3" t="s">
        <v>74</v>
      </c>
    </row>
    <row r="4" spans="1:7" ht="15" customHeight="1" x14ac:dyDescent="0.25">
      <c r="A4" s="4" t="s">
        <v>75</v>
      </c>
      <c r="B4" s="4" t="s">
        <v>76</v>
      </c>
      <c r="C4" s="4" t="s">
        <v>0</v>
      </c>
      <c r="D4" s="4" t="s">
        <v>77</v>
      </c>
      <c r="E4" s="4" t="s">
        <v>13</v>
      </c>
      <c r="F4" s="4" t="s">
        <v>14</v>
      </c>
      <c r="G4" s="4" t="s">
        <v>16</v>
      </c>
    </row>
    <row r="5" spans="1:7" ht="15" customHeight="1" x14ac:dyDescent="0.25">
      <c r="A5" s="10" t="s">
        <v>78</v>
      </c>
      <c r="B5" s="10" t="s">
        <v>79</v>
      </c>
      <c r="C5" s="11"/>
      <c r="D5" s="11"/>
      <c r="E5" s="11"/>
      <c r="F5" s="11"/>
      <c r="G5" s="11"/>
    </row>
    <row r="6" spans="1:7" ht="15" customHeight="1" x14ac:dyDescent="0.25">
      <c r="A6" s="12" t="s">
        <v>80</v>
      </c>
      <c r="B6" s="12" t="s">
        <v>81</v>
      </c>
      <c r="C6" s="13"/>
      <c r="D6" s="13"/>
      <c r="E6" s="13"/>
      <c r="F6" s="13"/>
      <c r="G6" s="13"/>
    </row>
    <row r="7" spans="1:7" ht="15" customHeight="1" x14ac:dyDescent="0.25">
      <c r="A7" s="5" t="s">
        <v>82</v>
      </c>
      <c r="B7" s="5" t="s">
        <v>9</v>
      </c>
      <c r="C7" s="5" t="s">
        <v>83</v>
      </c>
      <c r="D7" s="6">
        <v>1</v>
      </c>
      <c r="E7" s="14">
        <f>'BU Z.01.01'!E12</f>
        <v>10500</v>
      </c>
      <c r="F7" s="15">
        <f t="shared" ref="F7:F12" si="0">D7*E7</f>
        <v>10500</v>
      </c>
      <c r="G7" s="8" t="s">
        <v>84</v>
      </c>
    </row>
    <row r="8" spans="1:7" ht="15" customHeight="1" x14ac:dyDescent="0.25">
      <c r="A8" s="5" t="s">
        <v>85</v>
      </c>
      <c r="B8" s="5" t="s">
        <v>86</v>
      </c>
      <c r="C8" s="5" t="s">
        <v>83</v>
      </c>
      <c r="D8" s="6">
        <v>1</v>
      </c>
      <c r="E8" s="14">
        <f>'BU Z.01.01'!E19</f>
        <v>6460</v>
      </c>
      <c r="F8" s="15">
        <f t="shared" si="0"/>
        <v>6460</v>
      </c>
      <c r="G8" s="8" t="s">
        <v>87</v>
      </c>
    </row>
    <row r="9" spans="1:7" ht="15" customHeight="1" x14ac:dyDescent="0.25">
      <c r="A9" s="5" t="s">
        <v>88</v>
      </c>
      <c r="B9" s="5" t="s">
        <v>89</v>
      </c>
      <c r="C9" s="5" t="s">
        <v>83</v>
      </c>
      <c r="D9" s="6">
        <v>1</v>
      </c>
      <c r="E9" s="14">
        <f>'BU Z.01.01'!E25</f>
        <v>7400</v>
      </c>
      <c r="F9" s="15">
        <f t="shared" si="0"/>
        <v>7400</v>
      </c>
      <c r="G9" s="8" t="s">
        <v>90</v>
      </c>
    </row>
    <row r="10" spans="1:7" ht="15" customHeight="1" x14ac:dyDescent="0.25">
      <c r="A10" s="5" t="s">
        <v>91</v>
      </c>
      <c r="B10" s="5" t="s">
        <v>92</v>
      </c>
      <c r="C10" s="5" t="s">
        <v>20</v>
      </c>
      <c r="D10" s="6">
        <v>18</v>
      </c>
      <c r="E10" s="14">
        <f>'BU Z.01.01'!E32</f>
        <v>400</v>
      </c>
      <c r="F10" s="15">
        <f t="shared" si="0"/>
        <v>7200</v>
      </c>
      <c r="G10" s="8" t="s">
        <v>93</v>
      </c>
    </row>
    <row r="11" spans="1:7" ht="15" customHeight="1" x14ac:dyDescent="0.25">
      <c r="A11" s="5" t="s">
        <v>94</v>
      </c>
      <c r="B11" s="5" t="s">
        <v>95</v>
      </c>
      <c r="C11" s="5" t="s">
        <v>83</v>
      </c>
      <c r="D11" s="6">
        <v>1</v>
      </c>
      <c r="E11" s="14">
        <f>'BU Z.01.01'!E38</f>
        <v>800</v>
      </c>
      <c r="F11" s="15">
        <f t="shared" si="0"/>
        <v>800</v>
      </c>
      <c r="G11" s="8" t="s">
        <v>96</v>
      </c>
    </row>
    <row r="12" spans="1:7" ht="15" customHeight="1" x14ac:dyDescent="0.25">
      <c r="A12" s="5" t="s">
        <v>97</v>
      </c>
      <c r="B12" s="5" t="s">
        <v>98</v>
      </c>
      <c r="C12" s="5" t="s">
        <v>83</v>
      </c>
      <c r="D12" s="6">
        <v>1</v>
      </c>
      <c r="E12" s="14">
        <f>'BU Z.01.01'!E45</f>
        <v>3000</v>
      </c>
      <c r="F12" s="15">
        <f t="shared" si="0"/>
        <v>3000</v>
      </c>
      <c r="G12" s="8" t="s">
        <v>99</v>
      </c>
    </row>
    <row r="13" spans="1:7" ht="15" customHeight="1" x14ac:dyDescent="0.25">
      <c r="A13" s="12" t="s">
        <v>100</v>
      </c>
      <c r="B13" s="12" t="s">
        <v>101</v>
      </c>
      <c r="C13" s="13"/>
      <c r="D13" s="13"/>
      <c r="E13" s="13"/>
      <c r="F13" s="13"/>
      <c r="G13" s="13"/>
    </row>
    <row r="14" spans="1:7" ht="15" customHeight="1" x14ac:dyDescent="0.25">
      <c r="A14" s="5" t="s">
        <v>102</v>
      </c>
      <c r="B14" s="5" t="s">
        <v>103</v>
      </c>
      <c r="C14" s="5" t="s">
        <v>83</v>
      </c>
      <c r="D14" s="6">
        <v>1</v>
      </c>
      <c r="E14" s="14">
        <f>'BU Z.01.02'!E8</f>
        <v>7950</v>
      </c>
      <c r="F14" s="15">
        <f t="shared" ref="F14:F20" si="1">D14*E14</f>
        <v>7950</v>
      </c>
      <c r="G14" s="8" t="s">
        <v>104</v>
      </c>
    </row>
    <row r="15" spans="1:7" ht="15" customHeight="1" x14ac:dyDescent="0.25">
      <c r="A15" s="5" t="s">
        <v>105</v>
      </c>
      <c r="B15" s="5" t="s">
        <v>106</v>
      </c>
      <c r="C15" s="5" t="s">
        <v>1</v>
      </c>
      <c r="D15" s="6">
        <v>95</v>
      </c>
      <c r="E15" s="14">
        <f>'BU Z.01.02'!E14</f>
        <v>180</v>
      </c>
      <c r="F15" s="15">
        <f t="shared" si="1"/>
        <v>17100</v>
      </c>
      <c r="G15" s="8" t="s">
        <v>107</v>
      </c>
    </row>
    <row r="16" spans="1:7" ht="15" customHeight="1" x14ac:dyDescent="0.25">
      <c r="A16" s="5" t="s">
        <v>108</v>
      </c>
      <c r="B16" s="5" t="s">
        <v>109</v>
      </c>
      <c r="C16" s="5" t="s">
        <v>83</v>
      </c>
      <c r="D16" s="6">
        <v>1</v>
      </c>
      <c r="E16" s="14">
        <f>'BU Z.01.02'!E20</f>
        <v>6000</v>
      </c>
      <c r="F16" s="15">
        <f t="shared" si="1"/>
        <v>6000</v>
      </c>
      <c r="G16" s="8" t="s">
        <v>110</v>
      </c>
    </row>
    <row r="17" spans="1:7" ht="15" customHeight="1" x14ac:dyDescent="0.25">
      <c r="A17" s="5" t="s">
        <v>111</v>
      </c>
      <c r="B17" s="5" t="s">
        <v>112</v>
      </c>
      <c r="C17" s="5" t="s">
        <v>5</v>
      </c>
      <c r="D17" s="16">
        <f>'Site Data'!C15</f>
        <v>11</v>
      </c>
      <c r="E17" s="14">
        <f>'BU Z.01.02'!E26</f>
        <v>700</v>
      </c>
      <c r="F17" s="15">
        <f t="shared" si="1"/>
        <v>7700</v>
      </c>
      <c r="G17" s="8" t="s">
        <v>113</v>
      </c>
    </row>
    <row r="18" spans="1:7" ht="15" customHeight="1" x14ac:dyDescent="0.25">
      <c r="A18" s="5" t="s">
        <v>114</v>
      </c>
      <c r="B18" s="5" t="s">
        <v>115</v>
      </c>
      <c r="C18" s="5" t="s">
        <v>83</v>
      </c>
      <c r="D18" s="6">
        <v>1</v>
      </c>
      <c r="E18" s="14">
        <f>'BU Z.01.02'!E32</f>
        <v>4000</v>
      </c>
      <c r="F18" s="15">
        <f t="shared" si="1"/>
        <v>4000</v>
      </c>
      <c r="G18" s="8" t="s">
        <v>116</v>
      </c>
    </row>
    <row r="19" spans="1:7" ht="15" customHeight="1" x14ac:dyDescent="0.25">
      <c r="A19" s="5" t="s">
        <v>117</v>
      </c>
      <c r="B19" s="5" t="s">
        <v>118</v>
      </c>
      <c r="C19" s="5" t="s">
        <v>20</v>
      </c>
      <c r="D19" s="6">
        <v>18</v>
      </c>
      <c r="E19" s="14">
        <f>'BU Z.01.02'!E39</f>
        <v>250</v>
      </c>
      <c r="F19" s="15">
        <f t="shared" si="1"/>
        <v>4500</v>
      </c>
      <c r="G19" s="8" t="s">
        <v>119</v>
      </c>
    </row>
    <row r="20" spans="1:7" ht="15" customHeight="1" x14ac:dyDescent="0.25">
      <c r="A20" s="5" t="s">
        <v>120</v>
      </c>
      <c r="B20" s="5" t="s">
        <v>121</v>
      </c>
      <c r="C20" s="5" t="s">
        <v>20</v>
      </c>
      <c r="D20" s="6">
        <v>4</v>
      </c>
      <c r="E20" s="14">
        <f>'BU Z.01.02'!E46</f>
        <v>900</v>
      </c>
      <c r="F20" s="15">
        <f t="shared" si="1"/>
        <v>3600</v>
      </c>
      <c r="G20" s="8" t="s">
        <v>122</v>
      </c>
    </row>
    <row r="21" spans="1:7" ht="15" customHeight="1" x14ac:dyDescent="0.25">
      <c r="A21" s="12" t="s">
        <v>123</v>
      </c>
      <c r="B21" s="12" t="s">
        <v>124</v>
      </c>
      <c r="C21" s="13"/>
      <c r="D21" s="13"/>
      <c r="E21" s="13"/>
      <c r="F21" s="13"/>
      <c r="G21" s="13"/>
    </row>
    <row r="22" spans="1:7" ht="15" customHeight="1" x14ac:dyDescent="0.25">
      <c r="A22" s="5" t="s">
        <v>17</v>
      </c>
      <c r="B22" s="5" t="s">
        <v>19</v>
      </c>
      <c r="C22" s="5" t="s">
        <v>20</v>
      </c>
      <c r="D22" s="6">
        <v>18</v>
      </c>
      <c r="E22" s="14">
        <f>'BU Z.01.03'!E10</f>
        <v>1200</v>
      </c>
      <c r="F22" s="15">
        <f>D22*E22</f>
        <v>21600</v>
      </c>
      <c r="G22" s="8" t="s">
        <v>125</v>
      </c>
    </row>
    <row r="23" spans="1:7" ht="15" customHeight="1" x14ac:dyDescent="0.25">
      <c r="A23" s="5" t="s">
        <v>126</v>
      </c>
      <c r="B23" s="5" t="s">
        <v>127</v>
      </c>
      <c r="C23" s="5" t="s">
        <v>20</v>
      </c>
      <c r="D23" s="6">
        <v>18</v>
      </c>
      <c r="E23" s="14">
        <f>'BU Z.01.03'!E16</f>
        <v>200</v>
      </c>
      <c r="F23" s="15">
        <f>D23*E23</f>
        <v>3600</v>
      </c>
      <c r="G23" s="8" t="s">
        <v>128</v>
      </c>
    </row>
    <row r="24" spans="1:7" ht="15" customHeight="1" x14ac:dyDescent="0.25">
      <c r="A24" s="5" t="s">
        <v>129</v>
      </c>
      <c r="B24" s="5" t="s">
        <v>130</v>
      </c>
      <c r="C24" s="5" t="s">
        <v>83</v>
      </c>
      <c r="D24" s="6">
        <v>1</v>
      </c>
      <c r="E24" s="14">
        <f>'BU Z.01.03'!E22</f>
        <v>1500</v>
      </c>
      <c r="F24" s="15">
        <f>D24*E24</f>
        <v>1500</v>
      </c>
      <c r="G24" s="8" t="s">
        <v>131</v>
      </c>
    </row>
    <row r="25" spans="1:7" ht="15" customHeight="1" x14ac:dyDescent="0.25">
      <c r="A25" s="5" t="s">
        <v>132</v>
      </c>
      <c r="B25" s="5" t="s">
        <v>133</v>
      </c>
      <c r="C25" s="5" t="s">
        <v>83</v>
      </c>
      <c r="D25" s="6">
        <v>1</v>
      </c>
      <c r="E25" s="14">
        <f>'BU Z.01.03'!E30</f>
        <v>10100</v>
      </c>
      <c r="F25" s="15">
        <f>D25*E25</f>
        <v>10100</v>
      </c>
      <c r="G25" s="8" t="s">
        <v>134</v>
      </c>
    </row>
    <row r="26" spans="1:7" ht="15" customHeight="1" x14ac:dyDescent="0.25">
      <c r="A26" s="12" t="s">
        <v>135</v>
      </c>
      <c r="B26" s="12" t="s">
        <v>136</v>
      </c>
      <c r="C26" s="13"/>
      <c r="D26" s="13"/>
      <c r="E26" s="13"/>
      <c r="F26" s="13"/>
      <c r="G26" s="13"/>
    </row>
    <row r="27" spans="1:7" ht="15" customHeight="1" x14ac:dyDescent="0.25">
      <c r="A27" s="5" t="s">
        <v>137</v>
      </c>
      <c r="B27" s="5" t="s">
        <v>138</v>
      </c>
      <c r="C27" s="5" t="s">
        <v>20</v>
      </c>
      <c r="D27" s="6">
        <v>18</v>
      </c>
      <c r="E27" s="14">
        <f>'BU Z.01.04'!E9</f>
        <v>602</v>
      </c>
      <c r="F27" s="15">
        <f>D27*E27</f>
        <v>10836</v>
      </c>
      <c r="G27" s="8" t="s">
        <v>139</v>
      </c>
    </row>
    <row r="28" spans="1:7" ht="15" customHeight="1" x14ac:dyDescent="0.25">
      <c r="A28" s="5" t="s">
        <v>140</v>
      </c>
      <c r="B28" s="5" t="s">
        <v>141</v>
      </c>
      <c r="C28" s="5" t="s">
        <v>83</v>
      </c>
      <c r="D28" s="6">
        <v>1</v>
      </c>
      <c r="E28" s="14">
        <f>'BU Z.01.04'!E15</f>
        <v>3500</v>
      </c>
      <c r="F28" s="15">
        <f>D28*E28</f>
        <v>3500</v>
      </c>
      <c r="G28" s="8" t="s">
        <v>142</v>
      </c>
    </row>
    <row r="29" spans="1:7" ht="15" customHeight="1" x14ac:dyDescent="0.25">
      <c r="A29" s="12" t="s">
        <v>143</v>
      </c>
      <c r="B29" s="12" t="s">
        <v>144</v>
      </c>
      <c r="C29" s="13"/>
      <c r="D29" s="13"/>
      <c r="E29" s="13"/>
      <c r="F29" s="13"/>
      <c r="G29" s="13"/>
    </row>
    <row r="30" spans="1:7" ht="15" customHeight="1" x14ac:dyDescent="0.25">
      <c r="A30" s="5" t="s">
        <v>145</v>
      </c>
      <c r="B30" s="5" t="s">
        <v>146</v>
      </c>
      <c r="C30" s="5" t="s">
        <v>20</v>
      </c>
      <c r="D30" s="6">
        <v>16</v>
      </c>
      <c r="E30" s="14">
        <f>'BU Z.01.05'!E9</f>
        <v>3500</v>
      </c>
      <c r="F30" s="15">
        <f>D30*E30</f>
        <v>56000</v>
      </c>
      <c r="G30" s="8" t="s">
        <v>147</v>
      </c>
    </row>
    <row r="31" spans="1:7" ht="15" customHeight="1" x14ac:dyDescent="0.25">
      <c r="A31" s="5" t="s">
        <v>148</v>
      </c>
      <c r="B31" s="5" t="s">
        <v>149</v>
      </c>
      <c r="C31" s="5" t="s">
        <v>83</v>
      </c>
      <c r="D31" s="6">
        <v>1</v>
      </c>
      <c r="E31" s="14">
        <f>'BU Z.01.05'!E17</f>
        <v>18000</v>
      </c>
      <c r="F31" s="15">
        <f>D31*E31</f>
        <v>18000</v>
      </c>
      <c r="G31" s="8" t="s">
        <v>150</v>
      </c>
    </row>
    <row r="32" spans="1:7" ht="15" customHeight="1" x14ac:dyDescent="0.25">
      <c r="A32" s="5" t="s">
        <v>151</v>
      </c>
      <c r="B32" s="5" t="s">
        <v>152</v>
      </c>
      <c r="C32" s="5" t="s">
        <v>20</v>
      </c>
      <c r="D32" s="6">
        <v>12</v>
      </c>
      <c r="E32" s="14">
        <f>'BU Z.01.05'!E23</f>
        <v>1500</v>
      </c>
      <c r="F32" s="15">
        <f>D32*E32</f>
        <v>18000</v>
      </c>
      <c r="G32" s="8" t="s">
        <v>153</v>
      </c>
    </row>
    <row r="33" spans="1:7" ht="15" customHeight="1" x14ac:dyDescent="0.25">
      <c r="A33" s="5" t="s">
        <v>154</v>
      </c>
      <c r="B33" s="5" t="s">
        <v>155</v>
      </c>
      <c r="C33" s="5" t="s">
        <v>83</v>
      </c>
      <c r="D33" s="6">
        <v>1</v>
      </c>
      <c r="E33" s="14">
        <f>'BU Z.01.05'!E30</f>
        <v>4000</v>
      </c>
      <c r="F33" s="15">
        <f>D33*E33</f>
        <v>4000</v>
      </c>
      <c r="G33" s="8" t="s">
        <v>156</v>
      </c>
    </row>
    <row r="34" spans="1:7" ht="15" customHeight="1" x14ac:dyDescent="0.25">
      <c r="A34" s="5" t="s">
        <v>157</v>
      </c>
      <c r="B34" s="5" t="s">
        <v>158</v>
      </c>
      <c r="C34" s="5" t="s">
        <v>83</v>
      </c>
      <c r="F34" s="15">
        <v>0</v>
      </c>
      <c r="G34" s="8" t="s">
        <v>159</v>
      </c>
    </row>
    <row r="35" spans="1:7" ht="15" customHeight="1" x14ac:dyDescent="0.25">
      <c r="A35" s="5" t="s">
        <v>21</v>
      </c>
      <c r="B35" s="5" t="s">
        <v>23</v>
      </c>
      <c r="C35" s="5" t="s">
        <v>2</v>
      </c>
      <c r="D35" s="16">
        <f>'Site Data'!C10</f>
        <v>4140</v>
      </c>
      <c r="E35" s="14">
        <f>'BU Z.01.05'!E36</f>
        <v>7.1999999999999993</v>
      </c>
      <c r="F35" s="15">
        <f>D35*E35</f>
        <v>29807.999999999996</v>
      </c>
      <c r="G35" s="8" t="s">
        <v>160</v>
      </c>
    </row>
    <row r="36" spans="1:7" ht="15" customHeight="1" x14ac:dyDescent="0.25">
      <c r="A36" s="5" t="s">
        <v>161</v>
      </c>
      <c r="B36" s="5" t="s">
        <v>162</v>
      </c>
      <c r="C36" s="5" t="s">
        <v>5</v>
      </c>
      <c r="D36" s="6">
        <v>10</v>
      </c>
      <c r="E36" s="14">
        <f>'BU Z.01.05'!E42</f>
        <v>1200</v>
      </c>
      <c r="F36" s="15">
        <f>D36*E36</f>
        <v>12000</v>
      </c>
      <c r="G36" s="8" t="s">
        <v>163</v>
      </c>
    </row>
    <row r="37" spans="1:7" ht="15" customHeight="1" x14ac:dyDescent="0.25">
      <c r="A37" s="12" t="s">
        <v>164</v>
      </c>
      <c r="B37" s="12" t="s">
        <v>165</v>
      </c>
      <c r="C37" s="13"/>
      <c r="D37" s="13"/>
      <c r="E37" s="13"/>
      <c r="F37" s="13"/>
      <c r="G37" s="13"/>
    </row>
    <row r="38" spans="1:7" ht="15" customHeight="1" x14ac:dyDescent="0.25">
      <c r="A38" s="5" t="s">
        <v>166</v>
      </c>
      <c r="B38" s="5" t="s">
        <v>167</v>
      </c>
      <c r="C38" s="5" t="s">
        <v>20</v>
      </c>
      <c r="D38" s="6">
        <v>18</v>
      </c>
      <c r="E38" s="14">
        <f>'BU Z.01.06'!E10</f>
        <v>350</v>
      </c>
      <c r="F38" s="15">
        <f>D38*E38</f>
        <v>6300</v>
      </c>
      <c r="G38" s="8" t="s">
        <v>168</v>
      </c>
    </row>
    <row r="39" spans="1:7" ht="15" customHeight="1" x14ac:dyDescent="0.25">
      <c r="A39" s="12" t="s">
        <v>169</v>
      </c>
      <c r="B39" s="12" t="s">
        <v>170</v>
      </c>
      <c r="C39" s="13"/>
      <c r="D39" s="13"/>
      <c r="E39" s="13"/>
      <c r="F39" s="13"/>
      <c r="G39" s="13"/>
    </row>
    <row r="40" spans="1:7" ht="15" customHeight="1" x14ac:dyDescent="0.25">
      <c r="A40" s="5" t="s">
        <v>171</v>
      </c>
      <c r="B40" s="5" t="s">
        <v>172</v>
      </c>
      <c r="C40" s="5" t="s">
        <v>83</v>
      </c>
      <c r="D40" s="6">
        <v>1</v>
      </c>
      <c r="E40" s="14">
        <f>'Temp Utilities'!B34</f>
        <v>5500</v>
      </c>
      <c r="F40" s="15">
        <f>D40*E40</f>
        <v>5500</v>
      </c>
      <c r="G40" s="8" t="s">
        <v>173</v>
      </c>
    </row>
    <row r="41" spans="1:7" ht="15" customHeight="1" x14ac:dyDescent="0.25">
      <c r="A41" s="5" t="s">
        <v>174</v>
      </c>
      <c r="B41" s="5" t="s">
        <v>175</v>
      </c>
      <c r="C41" s="5" t="s">
        <v>20</v>
      </c>
      <c r="D41" s="6">
        <v>18</v>
      </c>
      <c r="E41" s="14">
        <f>'Temp Utilities'!B23</f>
        <v>1258.2624000000001</v>
      </c>
      <c r="F41" s="15">
        <f>D41*E41</f>
        <v>22648.7232</v>
      </c>
      <c r="G41" s="8" t="s">
        <v>176</v>
      </c>
    </row>
    <row r="42" spans="1:7" ht="15" customHeight="1" x14ac:dyDescent="0.25">
      <c r="A42" s="5" t="s">
        <v>177</v>
      </c>
      <c r="B42" s="5" t="s">
        <v>178</v>
      </c>
      <c r="C42" s="5" t="s">
        <v>83</v>
      </c>
      <c r="D42" s="6">
        <v>1</v>
      </c>
      <c r="E42" s="14">
        <f>'Temp Utilities'!B43</f>
        <v>1900</v>
      </c>
      <c r="F42" s="15">
        <f>D42*E42</f>
        <v>1900</v>
      </c>
      <c r="G42" s="8" t="s">
        <v>179</v>
      </c>
    </row>
    <row r="43" spans="1:7" ht="15" customHeight="1" x14ac:dyDescent="0.25">
      <c r="A43" s="5" t="s">
        <v>180</v>
      </c>
      <c r="B43" s="5" t="s">
        <v>181</v>
      </c>
      <c r="C43" s="5" t="s">
        <v>20</v>
      </c>
      <c r="D43" s="6">
        <v>18</v>
      </c>
      <c r="E43" s="14">
        <f>'Temp Utilities'!B57</f>
        <v>160.82999999999998</v>
      </c>
      <c r="F43" s="15">
        <f>D43*E43</f>
        <v>2894.9399999999996</v>
      </c>
      <c r="G43" s="8" t="s">
        <v>182</v>
      </c>
    </row>
    <row r="44" spans="1:7" ht="15" customHeight="1" x14ac:dyDescent="0.25">
      <c r="A44" s="12" t="s">
        <v>183</v>
      </c>
      <c r="B44" s="12" t="s">
        <v>184</v>
      </c>
      <c r="C44" s="13"/>
      <c r="D44" s="13"/>
      <c r="E44" s="13"/>
      <c r="F44" s="13"/>
      <c r="G44" s="13"/>
    </row>
    <row r="45" spans="1:7" ht="15" customHeight="1" x14ac:dyDescent="0.25">
      <c r="A45" s="5" t="s">
        <v>185</v>
      </c>
      <c r="B45" s="5" t="s">
        <v>186</v>
      </c>
      <c r="C45" s="5" t="s">
        <v>20</v>
      </c>
      <c r="D45" s="6">
        <v>18</v>
      </c>
      <c r="E45" s="14">
        <f>'BU Z.01.08'!E10</f>
        <v>500</v>
      </c>
      <c r="F45" s="15">
        <f>D45*E45</f>
        <v>9000</v>
      </c>
      <c r="G45" s="8" t="s">
        <v>187</v>
      </c>
    </row>
    <row r="46" spans="1:7" ht="15" customHeight="1" x14ac:dyDescent="0.25">
      <c r="A46" s="5" t="s">
        <v>188</v>
      </c>
      <c r="B46" s="5" t="s">
        <v>189</v>
      </c>
      <c r="C46" s="5" t="s">
        <v>20</v>
      </c>
      <c r="D46" s="6">
        <v>18</v>
      </c>
      <c r="E46" s="14">
        <f>'BU Z.01.08'!E17</f>
        <v>900</v>
      </c>
      <c r="F46" s="15">
        <f>D46*E46</f>
        <v>16200</v>
      </c>
      <c r="G46" s="8" t="s">
        <v>190</v>
      </c>
    </row>
    <row r="47" spans="1:7" ht="15" customHeight="1" x14ac:dyDescent="0.25">
      <c r="A47" s="5" t="s">
        <v>191</v>
      </c>
      <c r="B47" s="5" t="s">
        <v>192</v>
      </c>
      <c r="C47" s="5" t="s">
        <v>83</v>
      </c>
      <c r="D47" s="6">
        <v>1</v>
      </c>
      <c r="E47" s="14">
        <f>'BU Z.01.08'!E25</f>
        <v>8000</v>
      </c>
      <c r="F47" s="15">
        <f>D47*E47</f>
        <v>8000</v>
      </c>
      <c r="G47" s="8" t="s">
        <v>193</v>
      </c>
    </row>
    <row r="48" spans="1:7" ht="15" customHeight="1" x14ac:dyDescent="0.25">
      <c r="A48" s="10" t="s">
        <v>194</v>
      </c>
      <c r="B48" s="10" t="s">
        <v>195</v>
      </c>
      <c r="C48" s="11"/>
      <c r="D48" s="11"/>
      <c r="E48" s="11"/>
      <c r="F48" s="11"/>
      <c r="G48" s="11"/>
    </row>
    <row r="49" spans="1:7" ht="15" customHeight="1" x14ac:dyDescent="0.25">
      <c r="A49" s="5" t="s">
        <v>196</v>
      </c>
      <c r="B49" s="5" t="s">
        <v>197</v>
      </c>
      <c r="C49" s="5" t="s">
        <v>37</v>
      </c>
      <c r="F49" s="17">
        <f>'Staff Schedule'!G14</f>
        <v>63000</v>
      </c>
      <c r="G49" s="8" t="s">
        <v>198</v>
      </c>
    </row>
    <row r="50" spans="1:7" ht="15" customHeight="1" x14ac:dyDescent="0.25">
      <c r="A50" s="5" t="s">
        <v>199</v>
      </c>
      <c r="B50" s="5" t="s">
        <v>200</v>
      </c>
      <c r="C50" s="5" t="s">
        <v>37</v>
      </c>
      <c r="F50" s="17">
        <f>'Staff Schedule'!G15</f>
        <v>132000</v>
      </c>
      <c r="G50" s="8" t="s">
        <v>198</v>
      </c>
    </row>
    <row r="51" spans="1:7" ht="15" customHeight="1" x14ac:dyDescent="0.25">
      <c r="A51" s="5" t="s">
        <v>201</v>
      </c>
      <c r="B51" s="5" t="s">
        <v>202</v>
      </c>
      <c r="C51" s="5" t="s">
        <v>83</v>
      </c>
      <c r="F51" s="15">
        <v>0</v>
      </c>
      <c r="G51" s="8" t="s">
        <v>203</v>
      </c>
    </row>
    <row r="52" spans="1:7" ht="15" customHeight="1" x14ac:dyDescent="0.25">
      <c r="A52" s="5" t="s">
        <v>204</v>
      </c>
      <c r="B52" s="5" t="s">
        <v>205</v>
      </c>
      <c r="C52" s="5" t="s">
        <v>20</v>
      </c>
      <c r="D52" s="6">
        <v>18</v>
      </c>
      <c r="E52" s="18">
        <v>300</v>
      </c>
      <c r="F52" s="15">
        <f>D52*E52</f>
        <v>5400</v>
      </c>
      <c r="G52" s="8" t="s">
        <v>206</v>
      </c>
    </row>
    <row r="53" spans="1:7" ht="15" customHeight="1" x14ac:dyDescent="0.25">
      <c r="A53" s="5" t="s">
        <v>207</v>
      </c>
      <c r="B53" s="5" t="s">
        <v>208</v>
      </c>
      <c r="C53" s="5" t="s">
        <v>20</v>
      </c>
      <c r="D53" s="6">
        <v>18</v>
      </c>
      <c r="E53" s="18">
        <v>200</v>
      </c>
      <c r="F53" s="15">
        <f>D53*E53</f>
        <v>3600</v>
      </c>
      <c r="G53" s="8" t="s">
        <v>206</v>
      </c>
    </row>
    <row r="54" spans="1:7" ht="15" customHeight="1" x14ac:dyDescent="0.25">
      <c r="A54" s="5" t="s">
        <v>209</v>
      </c>
      <c r="B54" s="5" t="s">
        <v>210</v>
      </c>
      <c r="C54" s="5" t="s">
        <v>20</v>
      </c>
      <c r="D54" s="6">
        <v>18</v>
      </c>
      <c r="E54" s="18">
        <v>250</v>
      </c>
      <c r="F54" s="15">
        <f>D54*E54</f>
        <v>4500</v>
      </c>
      <c r="G54" s="8" t="s">
        <v>206</v>
      </c>
    </row>
    <row r="55" spans="1:7" ht="15" customHeight="1" x14ac:dyDescent="0.25">
      <c r="A55" s="5" t="s">
        <v>211</v>
      </c>
      <c r="B55" s="5" t="s">
        <v>212</v>
      </c>
      <c r="C55" s="5" t="s">
        <v>20</v>
      </c>
      <c r="D55" s="6">
        <v>18</v>
      </c>
      <c r="E55" s="18">
        <v>150</v>
      </c>
      <c r="F55" s="15">
        <f>D55*E55</f>
        <v>2700</v>
      </c>
      <c r="G55" s="8" t="s">
        <v>206</v>
      </c>
    </row>
    <row r="56" spans="1:7" ht="15" customHeight="1" x14ac:dyDescent="0.25">
      <c r="A56" s="5" t="s">
        <v>213</v>
      </c>
      <c r="B56" s="5" t="s">
        <v>214</v>
      </c>
      <c r="C56" s="5" t="s">
        <v>83</v>
      </c>
      <c r="F56" s="15">
        <v>0</v>
      </c>
      <c r="G56" s="8" t="s">
        <v>215</v>
      </c>
    </row>
    <row r="57" spans="1:7" ht="15" customHeight="1" x14ac:dyDescent="0.25">
      <c r="A57" s="5" t="s">
        <v>216</v>
      </c>
      <c r="B57" s="5" t="s">
        <v>217</v>
      </c>
      <c r="C57" s="5" t="s">
        <v>20</v>
      </c>
      <c r="D57" s="6">
        <v>18</v>
      </c>
      <c r="E57" s="18">
        <v>100</v>
      </c>
      <c r="F57" s="15">
        <f>D57*E57</f>
        <v>1800</v>
      </c>
      <c r="G57" s="8" t="s">
        <v>206</v>
      </c>
    </row>
    <row r="58" spans="1:7" ht="15" customHeight="1" x14ac:dyDescent="0.25">
      <c r="A58" s="5" t="s">
        <v>218</v>
      </c>
      <c r="B58" s="5" t="s">
        <v>219</v>
      </c>
      <c r="C58" s="5" t="s">
        <v>20</v>
      </c>
      <c r="D58" s="6">
        <v>18</v>
      </c>
      <c r="E58" s="18">
        <v>200</v>
      </c>
      <c r="F58" s="15">
        <f>D58*E58</f>
        <v>3600</v>
      </c>
      <c r="G58" s="8" t="s">
        <v>206</v>
      </c>
    </row>
    <row r="59" spans="1:7" ht="15" customHeight="1" x14ac:dyDescent="0.25">
      <c r="A59" s="10" t="s">
        <v>220</v>
      </c>
      <c r="B59" s="10" t="s">
        <v>221</v>
      </c>
      <c r="C59" s="11"/>
      <c r="D59" s="11"/>
      <c r="E59" s="11"/>
      <c r="F59" s="11"/>
      <c r="G59" s="11"/>
    </row>
    <row r="60" spans="1:7" ht="15" customHeight="1" x14ac:dyDescent="0.25">
      <c r="A60" s="5" t="s">
        <v>222</v>
      </c>
      <c r="B60" s="5" t="s">
        <v>223</v>
      </c>
      <c r="C60" s="5" t="s">
        <v>83</v>
      </c>
      <c r="D60" s="6">
        <v>1</v>
      </c>
      <c r="E60" s="14">
        <f>'BU Z.50'!E8</f>
        <v>10000</v>
      </c>
      <c r="F60" s="15">
        <f>D60*E60</f>
        <v>10000</v>
      </c>
      <c r="G60" s="8" t="s">
        <v>224</v>
      </c>
    </row>
    <row r="61" spans="1:7" ht="15" customHeight="1" x14ac:dyDescent="0.25">
      <c r="A61" s="5" t="s">
        <v>225</v>
      </c>
      <c r="B61" s="5" t="s">
        <v>226</v>
      </c>
      <c r="C61" s="5" t="s">
        <v>83</v>
      </c>
      <c r="D61" s="6">
        <v>1</v>
      </c>
      <c r="E61" s="14">
        <f>'BU Z.50'!E14</f>
        <v>6000</v>
      </c>
      <c r="F61" s="15">
        <f>D61*E61</f>
        <v>6000</v>
      </c>
      <c r="G61" s="8" t="s">
        <v>227</v>
      </c>
    </row>
    <row r="62" spans="1:7" ht="15" customHeight="1" x14ac:dyDescent="0.25">
      <c r="A62" s="5" t="s">
        <v>228</v>
      </c>
      <c r="B62" s="5" t="s">
        <v>229</v>
      </c>
      <c r="C62" s="5" t="s">
        <v>83</v>
      </c>
      <c r="D62" s="6">
        <v>1</v>
      </c>
      <c r="E62" s="14">
        <f>'BU Z.50'!E22</f>
        <v>5000</v>
      </c>
      <c r="F62" s="15">
        <f>D62*E62</f>
        <v>5000</v>
      </c>
      <c r="G62" s="8" t="s">
        <v>230</v>
      </c>
    </row>
    <row r="63" spans="1:7" ht="15" customHeight="1" x14ac:dyDescent="0.25">
      <c r="A63" s="10" t="s">
        <v>231</v>
      </c>
      <c r="B63" s="10" t="s">
        <v>232</v>
      </c>
      <c r="C63" s="11"/>
      <c r="D63" s="11"/>
      <c r="E63" s="11"/>
      <c r="F63" s="11"/>
      <c r="G63" s="11"/>
    </row>
    <row r="64" spans="1:7" ht="15" customHeight="1" x14ac:dyDescent="0.25">
      <c r="A64" s="5" t="s">
        <v>233</v>
      </c>
      <c r="B64" s="5" t="s">
        <v>234</v>
      </c>
      <c r="C64" s="5" t="s">
        <v>83</v>
      </c>
      <c r="F64" s="15">
        <v>0</v>
      </c>
      <c r="G64" s="8" t="s">
        <v>235</v>
      </c>
    </row>
    <row r="66" spans="1:7" ht="15" customHeight="1" x14ac:dyDescent="0.25">
      <c r="B66" s="19" t="s">
        <v>236</v>
      </c>
      <c r="F66" s="20">
        <f>F7+F8+F9+F10+F11+F12+F14+F15+F16+F17+F18+F19+F20+F22+F23+F24+F25+F27+F28+F30+F31+F32+F33+F34+F35+F36+F38+F40+F41+F42+F43+F45+F46+F47</f>
        <v>347597.66320000001</v>
      </c>
    </row>
    <row r="67" spans="1:7" ht="15" customHeight="1" x14ac:dyDescent="0.25">
      <c r="B67" s="19" t="s">
        <v>237</v>
      </c>
      <c r="F67" s="20">
        <f>F49+F50+F51+F52+F53+F54+F55+F56+F57+F58</f>
        <v>216600</v>
      </c>
    </row>
    <row r="68" spans="1:7" ht="15" customHeight="1" x14ac:dyDescent="0.25">
      <c r="B68" s="19" t="s">
        <v>238</v>
      </c>
      <c r="F68" s="20">
        <f>F60+F61+F62</f>
        <v>21000</v>
      </c>
    </row>
    <row r="69" spans="1:7" ht="15" customHeight="1" x14ac:dyDescent="0.25">
      <c r="B69" s="19" t="s">
        <v>239</v>
      </c>
      <c r="F69" s="20">
        <f>F64</f>
        <v>0</v>
      </c>
    </row>
    <row r="70" spans="1:7" ht="15" customHeight="1" x14ac:dyDescent="0.25">
      <c r="B70" s="21" t="s">
        <v>240</v>
      </c>
      <c r="F70" s="22">
        <f>F66+F67+F68+F69</f>
        <v>585197.66320000007</v>
      </c>
    </row>
    <row r="72" spans="1:7" ht="15" customHeight="1" x14ac:dyDescent="0.25">
      <c r="A72" s="23" t="s">
        <v>241</v>
      </c>
    </row>
    <row r="73" spans="1:7" ht="15" customHeight="1" x14ac:dyDescent="0.25">
      <c r="A73" s="24" t="s">
        <v>242</v>
      </c>
      <c r="B73" s="24" t="s">
        <v>243</v>
      </c>
      <c r="F73" s="25">
        <v>12000</v>
      </c>
      <c r="G73" s="3" t="s">
        <v>244</v>
      </c>
    </row>
    <row r="74" spans="1:7" ht="15" customHeight="1" x14ac:dyDescent="0.25">
      <c r="A74" s="24" t="s">
        <v>242</v>
      </c>
      <c r="B74" s="24" t="s">
        <v>245</v>
      </c>
      <c r="F74" s="25">
        <v>6000</v>
      </c>
      <c r="G74" s="3" t="s">
        <v>244</v>
      </c>
    </row>
    <row r="76" spans="1:7" ht="15" customHeight="1" x14ac:dyDescent="0.25">
      <c r="A76" s="23" t="s">
        <v>246</v>
      </c>
    </row>
    <row r="77" spans="1:7" ht="15" customHeight="1" x14ac:dyDescent="0.25">
      <c r="B77" s="3" t="s">
        <v>247</v>
      </c>
    </row>
    <row r="78" spans="1:7" ht="15" customHeight="1" x14ac:dyDescent="0.25">
      <c r="B78" s="3" t="s">
        <v>248</v>
      </c>
    </row>
    <row r="79" spans="1:7" ht="15" customHeight="1" x14ac:dyDescent="0.25">
      <c r="B79" s="3" t="s">
        <v>249</v>
      </c>
    </row>
    <row r="80" spans="1:7" ht="15" customHeight="1" x14ac:dyDescent="0.25">
      <c r="B80" s="3" t="s">
        <v>250</v>
      </c>
    </row>
    <row r="81" spans="2:2" ht="15" customHeight="1" x14ac:dyDescent="0.25">
      <c r="B81" s="3" t="s">
        <v>251</v>
      </c>
    </row>
    <row r="82" spans="2:2" ht="15" customHeight="1" x14ac:dyDescent="0.25">
      <c r="B82" s="3" t="s">
        <v>252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zoomScaleNormal="100" workbookViewId="0"/>
  </sheetViews>
  <sheetFormatPr defaultColWidth="8.7109375" defaultRowHeight="15" x14ac:dyDescent="0.25"/>
  <cols>
    <col min="1" max="1" width="6" style="1" customWidth="1"/>
    <col min="2" max="2" width="34" style="1" customWidth="1"/>
    <col min="3" max="3" width="10" style="1" customWidth="1"/>
    <col min="4" max="5" width="9" style="1" customWidth="1"/>
    <col min="6" max="6" width="16" style="1" customWidth="1"/>
    <col min="7" max="7" width="14" style="1" customWidth="1"/>
  </cols>
  <sheetData>
    <row r="1" spans="1:7" ht="17.25" customHeight="1" x14ac:dyDescent="0.25">
      <c r="A1" s="2" t="s">
        <v>253</v>
      </c>
    </row>
    <row r="2" spans="1:7" ht="15" customHeight="1" x14ac:dyDescent="0.25">
      <c r="A2" s="3" t="s">
        <v>254</v>
      </c>
    </row>
    <row r="4" spans="1:7" ht="15" customHeight="1" x14ac:dyDescent="0.25">
      <c r="A4" s="4" t="s">
        <v>12</v>
      </c>
      <c r="B4" s="4" t="s">
        <v>255</v>
      </c>
      <c r="C4" s="4" t="s">
        <v>256</v>
      </c>
      <c r="D4" s="4" t="s">
        <v>257</v>
      </c>
      <c r="E4" s="4" t="s">
        <v>258</v>
      </c>
      <c r="F4" s="4" t="s">
        <v>259</v>
      </c>
      <c r="G4" s="4" t="s">
        <v>260</v>
      </c>
    </row>
    <row r="5" spans="1:7" ht="15" customHeight="1" x14ac:dyDescent="0.25">
      <c r="A5" s="5">
        <v>1</v>
      </c>
      <c r="B5" s="5" t="s">
        <v>261</v>
      </c>
      <c r="C5" s="5" t="s">
        <v>262</v>
      </c>
      <c r="D5" s="26">
        <v>1</v>
      </c>
      <c r="E5" s="26">
        <v>18</v>
      </c>
      <c r="F5" s="27">
        <v>3500</v>
      </c>
      <c r="G5" s="15">
        <f t="shared" ref="G5:G12" si="0">D5*E5*F5</f>
        <v>63000</v>
      </c>
    </row>
    <row r="6" spans="1:7" ht="15" customHeight="1" x14ac:dyDescent="0.25">
      <c r="A6" s="5">
        <v>2</v>
      </c>
      <c r="B6" s="5" t="s">
        <v>263</v>
      </c>
      <c r="C6" s="5" t="s">
        <v>264</v>
      </c>
      <c r="D6" s="26">
        <v>2</v>
      </c>
      <c r="E6" s="26">
        <v>18</v>
      </c>
      <c r="F6" s="27">
        <v>1200</v>
      </c>
      <c r="G6" s="15">
        <f t="shared" si="0"/>
        <v>43200</v>
      </c>
    </row>
    <row r="7" spans="1:7" ht="15" customHeight="1" x14ac:dyDescent="0.25">
      <c r="A7" s="5">
        <v>3</v>
      </c>
      <c r="B7" s="5" t="s">
        <v>265</v>
      </c>
      <c r="C7" s="5" t="s">
        <v>264</v>
      </c>
      <c r="D7" s="26">
        <v>1</v>
      </c>
      <c r="E7" s="26">
        <v>18</v>
      </c>
      <c r="F7" s="27">
        <v>1000</v>
      </c>
      <c r="G7" s="15">
        <f t="shared" si="0"/>
        <v>18000</v>
      </c>
    </row>
    <row r="8" spans="1:7" ht="15" customHeight="1" x14ac:dyDescent="0.25">
      <c r="A8" s="5">
        <v>4</v>
      </c>
      <c r="B8" s="5" t="s">
        <v>266</v>
      </c>
      <c r="C8" s="5" t="s">
        <v>264</v>
      </c>
      <c r="D8" s="26">
        <v>1</v>
      </c>
      <c r="E8" s="26">
        <v>18</v>
      </c>
      <c r="F8" s="27">
        <v>800</v>
      </c>
      <c r="G8" s="15">
        <f t="shared" si="0"/>
        <v>14400</v>
      </c>
    </row>
    <row r="9" spans="1:7" ht="15" customHeight="1" x14ac:dyDescent="0.25">
      <c r="A9" s="5">
        <v>5</v>
      </c>
      <c r="B9" s="5" t="s">
        <v>267</v>
      </c>
      <c r="C9" s="5" t="s">
        <v>264</v>
      </c>
      <c r="D9" s="26">
        <v>1</v>
      </c>
      <c r="E9" s="26">
        <v>18</v>
      </c>
      <c r="F9" s="27">
        <v>900</v>
      </c>
      <c r="G9" s="15">
        <f t="shared" si="0"/>
        <v>16200</v>
      </c>
    </row>
    <row r="10" spans="1:7" ht="15" customHeight="1" x14ac:dyDescent="0.25">
      <c r="A10" s="5">
        <v>6</v>
      </c>
      <c r="B10" s="5" t="s">
        <v>268</v>
      </c>
      <c r="C10" s="5" t="s">
        <v>264</v>
      </c>
      <c r="D10" s="26">
        <v>2</v>
      </c>
      <c r="E10" s="26">
        <v>18</v>
      </c>
      <c r="F10" s="27">
        <v>700</v>
      </c>
      <c r="G10" s="15">
        <f t="shared" si="0"/>
        <v>25200</v>
      </c>
    </row>
    <row r="11" spans="1:7" ht="15" customHeight="1" x14ac:dyDescent="0.25">
      <c r="A11" s="5">
        <v>7</v>
      </c>
      <c r="B11" s="5" t="s">
        <v>269</v>
      </c>
      <c r="C11" s="5" t="s">
        <v>264</v>
      </c>
      <c r="D11" s="26">
        <v>1</v>
      </c>
      <c r="E11" s="26">
        <v>18</v>
      </c>
      <c r="F11" s="27">
        <v>500</v>
      </c>
      <c r="G11" s="15">
        <f t="shared" si="0"/>
        <v>9000</v>
      </c>
    </row>
    <row r="12" spans="1:7" ht="15" customHeight="1" x14ac:dyDescent="0.25">
      <c r="A12" s="5">
        <v>8</v>
      </c>
      <c r="B12" s="5" t="s">
        <v>270</v>
      </c>
      <c r="C12" s="5" t="s">
        <v>264</v>
      </c>
      <c r="D12" s="26">
        <v>1</v>
      </c>
      <c r="E12" s="26">
        <v>12</v>
      </c>
      <c r="F12" s="27">
        <v>500</v>
      </c>
      <c r="G12" s="15">
        <f t="shared" si="0"/>
        <v>6000</v>
      </c>
    </row>
    <row r="14" spans="1:7" ht="15" customHeight="1" x14ac:dyDescent="0.25">
      <c r="B14" s="23" t="s">
        <v>271</v>
      </c>
      <c r="G14" s="28">
        <f>SUMIF(C5:C12,"Foreign",G5:G12)</f>
        <v>63000</v>
      </c>
    </row>
    <row r="15" spans="1:7" ht="15" customHeight="1" x14ac:dyDescent="0.25">
      <c r="B15" s="23" t="s">
        <v>272</v>
      </c>
      <c r="G15" s="28">
        <f>SUMIF(C5:C12,"Local",G5:G12)</f>
        <v>132000</v>
      </c>
    </row>
    <row r="16" spans="1:7" ht="15" customHeight="1" x14ac:dyDescent="0.25">
      <c r="B16" s="23" t="s">
        <v>273</v>
      </c>
      <c r="G16" s="28">
        <f>G14+G15</f>
        <v>195000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7"/>
  <sheetViews>
    <sheetView zoomScaleNormal="100" workbookViewId="0">
      <selection activeCell="C34" sqref="C34"/>
    </sheetView>
  </sheetViews>
  <sheetFormatPr defaultColWidth="8.7109375" defaultRowHeight="15" x14ac:dyDescent="0.25"/>
  <cols>
    <col min="1" max="1" width="46" style="1" customWidth="1"/>
    <col min="2" max="5" width="13" style="1" customWidth="1"/>
  </cols>
  <sheetData>
    <row r="1" spans="1:5" ht="17.25" customHeight="1" x14ac:dyDescent="0.25">
      <c r="A1" s="2" t="s">
        <v>274</v>
      </c>
    </row>
    <row r="2" spans="1:5" ht="15" customHeight="1" x14ac:dyDescent="0.25">
      <c r="A2" s="3" t="s">
        <v>275</v>
      </c>
    </row>
    <row r="4" spans="1:5" ht="15" customHeight="1" x14ac:dyDescent="0.25">
      <c r="A4" s="10" t="s">
        <v>276</v>
      </c>
      <c r="B4" s="11"/>
      <c r="C4" s="11"/>
      <c r="D4" s="11"/>
      <c r="E4" s="11"/>
    </row>
    <row r="5" spans="1:5" ht="15" customHeight="1" x14ac:dyDescent="0.25">
      <c r="A5" s="12" t="s">
        <v>277</v>
      </c>
    </row>
    <row r="6" spans="1:5" ht="15" customHeight="1" x14ac:dyDescent="0.25">
      <c r="A6" s="4" t="s">
        <v>278</v>
      </c>
      <c r="B6" s="4" t="s">
        <v>279</v>
      </c>
      <c r="C6" s="4" t="s">
        <v>280</v>
      </c>
      <c r="D6" s="4" t="s">
        <v>281</v>
      </c>
      <c r="E6" s="4" t="s">
        <v>282</v>
      </c>
    </row>
    <row r="7" spans="1:5" ht="15" customHeight="1" x14ac:dyDescent="0.25">
      <c r="A7" s="5" t="s">
        <v>283</v>
      </c>
      <c r="B7" s="26">
        <v>30</v>
      </c>
      <c r="C7" s="26">
        <v>6</v>
      </c>
      <c r="D7" s="26">
        <v>26</v>
      </c>
      <c r="E7" s="9">
        <f t="shared" ref="E7:E14" si="0">B7*C7*D7</f>
        <v>4680</v>
      </c>
    </row>
    <row r="8" spans="1:5" ht="15" customHeight="1" x14ac:dyDescent="0.25">
      <c r="A8" s="5" t="s">
        <v>284</v>
      </c>
      <c r="B8" s="26">
        <v>15</v>
      </c>
      <c r="C8" s="26">
        <v>5</v>
      </c>
      <c r="D8" s="26">
        <v>26</v>
      </c>
      <c r="E8" s="9">
        <f t="shared" si="0"/>
        <v>1950</v>
      </c>
    </row>
    <row r="9" spans="1:5" ht="15" customHeight="1" x14ac:dyDescent="0.25">
      <c r="A9" s="5" t="s">
        <v>285</v>
      </c>
      <c r="B9" s="26">
        <v>6</v>
      </c>
      <c r="C9" s="26">
        <v>5</v>
      </c>
      <c r="D9" s="26">
        <v>26</v>
      </c>
      <c r="E9" s="9">
        <f t="shared" si="0"/>
        <v>780</v>
      </c>
    </row>
    <row r="10" spans="1:5" ht="15" customHeight="1" x14ac:dyDescent="0.25">
      <c r="A10" s="5" t="s">
        <v>286</v>
      </c>
      <c r="B10" s="26">
        <v>6</v>
      </c>
      <c r="C10" s="26">
        <v>3</v>
      </c>
      <c r="D10" s="26">
        <v>20</v>
      </c>
      <c r="E10" s="9">
        <f t="shared" si="0"/>
        <v>360</v>
      </c>
    </row>
    <row r="11" spans="1:5" ht="15" customHeight="1" x14ac:dyDescent="0.25">
      <c r="A11" s="5" t="s">
        <v>287</v>
      </c>
      <c r="B11" s="26">
        <v>10</v>
      </c>
      <c r="C11" s="26">
        <v>3</v>
      </c>
      <c r="D11" s="26">
        <v>20</v>
      </c>
      <c r="E11" s="9">
        <f t="shared" si="0"/>
        <v>600</v>
      </c>
    </row>
    <row r="12" spans="1:5" ht="15" customHeight="1" x14ac:dyDescent="0.25">
      <c r="A12" s="5" t="s">
        <v>288</v>
      </c>
      <c r="B12" s="26">
        <v>3</v>
      </c>
      <c r="C12" s="26">
        <v>4</v>
      </c>
      <c r="D12" s="26">
        <v>26</v>
      </c>
      <c r="E12" s="9">
        <f t="shared" si="0"/>
        <v>312</v>
      </c>
    </row>
    <row r="13" spans="1:5" ht="15" customHeight="1" x14ac:dyDescent="0.25">
      <c r="A13" s="5" t="s">
        <v>289</v>
      </c>
      <c r="B13" s="26">
        <v>5</v>
      </c>
      <c r="C13" s="26">
        <v>9</v>
      </c>
      <c r="D13" s="26">
        <v>26</v>
      </c>
      <c r="E13" s="9">
        <f t="shared" si="0"/>
        <v>1170</v>
      </c>
    </row>
    <row r="14" spans="1:5" ht="15" customHeight="1" x14ac:dyDescent="0.25">
      <c r="A14" s="5" t="s">
        <v>290</v>
      </c>
      <c r="B14" s="26">
        <v>4</v>
      </c>
      <c r="C14" s="26">
        <v>11</v>
      </c>
      <c r="D14" s="26">
        <v>30</v>
      </c>
      <c r="E14" s="9">
        <f t="shared" si="0"/>
        <v>1320</v>
      </c>
    </row>
    <row r="15" spans="1:5" ht="15" customHeight="1" x14ac:dyDescent="0.25">
      <c r="A15" s="29" t="s">
        <v>291</v>
      </c>
      <c r="E15" s="30">
        <f>SUM(E7:E14)</f>
        <v>11172</v>
      </c>
    </row>
    <row r="17" spans="1:2" ht="15" customHeight="1" x14ac:dyDescent="0.25">
      <c r="A17" s="12" t="s">
        <v>292</v>
      </c>
    </row>
    <row r="18" spans="1:2" ht="15" customHeight="1" x14ac:dyDescent="0.25">
      <c r="A18" s="5" t="s">
        <v>293</v>
      </c>
      <c r="B18" s="31">
        <v>0.16</v>
      </c>
    </row>
    <row r="19" spans="1:2" ht="15" customHeight="1" x14ac:dyDescent="0.25">
      <c r="A19" s="5" t="s">
        <v>294</v>
      </c>
      <c r="B19" s="32">
        <f>E15*B18</f>
        <v>1787.52</v>
      </c>
    </row>
    <row r="20" spans="1:2" ht="15" customHeight="1" x14ac:dyDescent="0.25">
      <c r="A20" s="5" t="s">
        <v>295</v>
      </c>
      <c r="B20" s="33">
        <v>0.62</v>
      </c>
    </row>
    <row r="21" spans="1:2" ht="15" customHeight="1" x14ac:dyDescent="0.25">
      <c r="A21" s="5" t="s">
        <v>296</v>
      </c>
      <c r="B21" s="32">
        <f>B19*B20</f>
        <v>1108.2624000000001</v>
      </c>
    </row>
    <row r="22" spans="1:2" ht="15" customHeight="1" x14ac:dyDescent="0.25">
      <c r="A22" s="5" t="s">
        <v>297</v>
      </c>
      <c r="B22" s="27">
        <v>150</v>
      </c>
    </row>
    <row r="23" spans="1:2" ht="15" customHeight="1" x14ac:dyDescent="0.25">
      <c r="A23" s="29" t="s">
        <v>298</v>
      </c>
      <c r="B23" s="34">
        <f>B21+B22</f>
        <v>1258.2624000000001</v>
      </c>
    </row>
    <row r="25" spans="1:2" ht="15" customHeight="1" x14ac:dyDescent="0.25">
      <c r="A25" s="12" t="s">
        <v>299</v>
      </c>
    </row>
    <row r="26" spans="1:2" ht="15" customHeight="1" x14ac:dyDescent="0.25">
      <c r="A26" s="35" t="s">
        <v>76</v>
      </c>
      <c r="B26" s="35" t="s">
        <v>14</v>
      </c>
    </row>
    <row r="27" spans="1:2" ht="15" customHeight="1" x14ac:dyDescent="0.25">
      <c r="A27" s="5" t="s">
        <v>300</v>
      </c>
      <c r="B27" s="27">
        <v>1500</v>
      </c>
    </row>
    <row r="28" spans="1:2" ht="15" customHeight="1" x14ac:dyDescent="0.25">
      <c r="A28" s="5" t="s">
        <v>301</v>
      </c>
      <c r="B28" s="27">
        <v>800</v>
      </c>
    </row>
    <row r="29" spans="1:2" ht="15" customHeight="1" x14ac:dyDescent="0.25">
      <c r="A29" s="5" t="s">
        <v>302</v>
      </c>
      <c r="B29" s="27">
        <v>750</v>
      </c>
    </row>
    <row r="30" spans="1:2" ht="15" customHeight="1" x14ac:dyDescent="0.25">
      <c r="A30" s="5" t="s">
        <v>303</v>
      </c>
      <c r="B30" s="27">
        <v>1200</v>
      </c>
    </row>
    <row r="31" spans="1:2" ht="15" customHeight="1" x14ac:dyDescent="0.25">
      <c r="A31" s="5" t="s">
        <v>304</v>
      </c>
      <c r="B31" s="27">
        <v>400</v>
      </c>
    </row>
    <row r="32" spans="1:2" ht="15" customHeight="1" x14ac:dyDescent="0.25">
      <c r="A32" s="5" t="s">
        <v>305</v>
      </c>
      <c r="B32" s="27">
        <v>600</v>
      </c>
    </row>
    <row r="33" spans="1:5" ht="15" customHeight="1" x14ac:dyDescent="0.25">
      <c r="A33" s="5" t="s">
        <v>306</v>
      </c>
      <c r="B33" s="27">
        <v>250</v>
      </c>
    </row>
    <row r="34" spans="1:5" ht="15" customHeight="1" x14ac:dyDescent="0.25">
      <c r="A34" s="29" t="s">
        <v>307</v>
      </c>
      <c r="B34" s="20">
        <f>SUM(B27:B33)</f>
        <v>5500</v>
      </c>
    </row>
    <row r="36" spans="1:5" ht="15" customHeight="1" x14ac:dyDescent="0.25">
      <c r="A36" s="10" t="s">
        <v>308</v>
      </c>
      <c r="B36" s="11"/>
      <c r="C36" s="11"/>
      <c r="D36" s="11"/>
      <c r="E36" s="11"/>
    </row>
    <row r="37" spans="1:5" ht="15" customHeight="1" x14ac:dyDescent="0.25">
      <c r="A37" s="12" t="s">
        <v>309</v>
      </c>
    </row>
    <row r="38" spans="1:5" ht="15" customHeight="1" x14ac:dyDescent="0.25">
      <c r="A38" s="35" t="s">
        <v>76</v>
      </c>
      <c r="B38" s="35" t="s">
        <v>14</v>
      </c>
    </row>
    <row r="39" spans="1:5" ht="15" customHeight="1" x14ac:dyDescent="0.25">
      <c r="A39" s="5" t="s">
        <v>310</v>
      </c>
      <c r="B39" s="27">
        <v>600</v>
      </c>
    </row>
    <row r="40" spans="1:5" ht="15" customHeight="1" x14ac:dyDescent="0.25">
      <c r="A40" s="5" t="s">
        <v>311</v>
      </c>
      <c r="B40" s="27">
        <v>500</v>
      </c>
    </row>
    <row r="41" spans="1:5" ht="15" customHeight="1" x14ac:dyDescent="0.25">
      <c r="A41" s="5" t="s">
        <v>312</v>
      </c>
      <c r="B41" s="27">
        <v>700</v>
      </c>
    </row>
    <row r="42" spans="1:5" ht="15" customHeight="1" x14ac:dyDescent="0.25">
      <c r="A42" s="5" t="s">
        <v>306</v>
      </c>
      <c r="B42" s="27">
        <v>100</v>
      </c>
    </row>
    <row r="43" spans="1:5" ht="15" customHeight="1" x14ac:dyDescent="0.25">
      <c r="A43" s="29" t="s">
        <v>313</v>
      </c>
      <c r="B43" s="20">
        <f>SUM(B39:B42)</f>
        <v>1900</v>
      </c>
    </row>
    <row r="45" spans="1:5" ht="15" customHeight="1" x14ac:dyDescent="0.25">
      <c r="A45" s="12" t="s">
        <v>314</v>
      </c>
    </row>
    <row r="46" spans="1:5" ht="15" customHeight="1" x14ac:dyDescent="0.25">
      <c r="A46" s="5" t="s">
        <v>315</v>
      </c>
      <c r="B46" s="6">
        <v>80</v>
      </c>
    </row>
    <row r="47" spans="1:5" ht="15" customHeight="1" x14ac:dyDescent="0.25">
      <c r="A47" s="5" t="s">
        <v>316</v>
      </c>
      <c r="B47" s="6">
        <v>40</v>
      </c>
    </row>
    <row r="48" spans="1:5" ht="15" customHeight="1" x14ac:dyDescent="0.25">
      <c r="A48" s="5" t="s">
        <v>317</v>
      </c>
      <c r="B48" s="6">
        <v>26</v>
      </c>
    </row>
    <row r="49" spans="1:2" ht="15" customHeight="1" x14ac:dyDescent="0.25">
      <c r="A49" s="5" t="s">
        <v>318</v>
      </c>
      <c r="B49" s="36">
        <f>B46*B47*B48/1000</f>
        <v>83.2</v>
      </c>
    </row>
    <row r="50" spans="1:2" ht="15" customHeight="1" x14ac:dyDescent="0.25">
      <c r="A50" s="5" t="s">
        <v>319</v>
      </c>
      <c r="B50" s="6">
        <v>40</v>
      </c>
    </row>
    <row r="51" spans="1:2" ht="15" customHeight="1" x14ac:dyDescent="0.25">
      <c r="A51" s="5" t="s">
        <v>320</v>
      </c>
      <c r="B51" s="6">
        <v>25</v>
      </c>
    </row>
    <row r="52" spans="1:2" ht="15" customHeight="1" x14ac:dyDescent="0.25">
      <c r="A52" s="5" t="s">
        <v>321</v>
      </c>
      <c r="B52" s="6">
        <v>30</v>
      </c>
    </row>
    <row r="53" spans="1:2" ht="15" customHeight="1" x14ac:dyDescent="0.25">
      <c r="A53" s="19" t="s">
        <v>322</v>
      </c>
      <c r="B53" s="37">
        <f>B49+B50+B51+B52</f>
        <v>178.2</v>
      </c>
    </row>
    <row r="54" spans="1:2" ht="15" customHeight="1" x14ac:dyDescent="0.25">
      <c r="A54" s="5" t="s">
        <v>323</v>
      </c>
      <c r="B54" s="38">
        <v>0.65</v>
      </c>
    </row>
    <row r="55" spans="1:2" ht="15" customHeight="1" x14ac:dyDescent="0.25">
      <c r="A55" s="5" t="s">
        <v>324</v>
      </c>
      <c r="B55" s="32">
        <f>B53*B54</f>
        <v>115.83</v>
      </c>
    </row>
    <row r="56" spans="1:2" ht="15" customHeight="1" x14ac:dyDescent="0.25">
      <c r="A56" s="5" t="s">
        <v>325</v>
      </c>
      <c r="B56" s="27">
        <v>45</v>
      </c>
    </row>
    <row r="57" spans="1:2" ht="15" customHeight="1" x14ac:dyDescent="0.25">
      <c r="A57" s="29" t="s">
        <v>326</v>
      </c>
      <c r="B57" s="34">
        <f>B55+B56</f>
        <v>160.82999999999998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5"/>
  <sheetViews>
    <sheetView topLeftCell="A7" zoomScaleNormal="100" workbookViewId="0">
      <selection activeCell="A22" sqref="A22"/>
    </sheetView>
  </sheetViews>
  <sheetFormatPr defaultColWidth="8.7109375" defaultRowHeight="15" x14ac:dyDescent="0.25"/>
  <cols>
    <col min="1" max="1" width="46" style="1" customWidth="1"/>
    <col min="2" max="2" width="10" style="1" customWidth="1"/>
    <col min="3" max="3" width="9" style="1" customWidth="1"/>
    <col min="4" max="4" width="11" style="1" customWidth="1"/>
    <col min="5" max="5" width="25.28515625" style="1" customWidth="1"/>
  </cols>
  <sheetData>
    <row r="1" spans="1:5" ht="17.25" customHeight="1" x14ac:dyDescent="0.25">
      <c r="A1" s="2" t="s">
        <v>327</v>
      </c>
    </row>
    <row r="2" spans="1:5" ht="15" customHeight="1" x14ac:dyDescent="0.25">
      <c r="A2" s="3" t="s">
        <v>328</v>
      </c>
    </row>
    <row r="4" spans="1:5" ht="15" customHeight="1" x14ac:dyDescent="0.25">
      <c r="A4" s="12" t="s">
        <v>82</v>
      </c>
      <c r="B4" s="12" t="s">
        <v>329</v>
      </c>
      <c r="C4" s="13"/>
      <c r="D4" s="13"/>
      <c r="E4" s="13"/>
    </row>
    <row r="5" spans="1:5" ht="15" customHeight="1" x14ac:dyDescent="0.25">
      <c r="A5" s="4" t="s">
        <v>330</v>
      </c>
      <c r="B5" s="4" t="s">
        <v>77</v>
      </c>
      <c r="C5" s="4" t="s">
        <v>0</v>
      </c>
      <c r="D5" s="4" t="s">
        <v>13</v>
      </c>
      <c r="E5" s="4" t="s">
        <v>14</v>
      </c>
    </row>
    <row r="6" spans="1:5" ht="15" customHeight="1" x14ac:dyDescent="0.25">
      <c r="A6" s="5" t="s">
        <v>331</v>
      </c>
      <c r="B6" s="39">
        <v>12</v>
      </c>
      <c r="C6" s="5" t="s">
        <v>10</v>
      </c>
      <c r="D6" s="18">
        <v>400</v>
      </c>
      <c r="E6" s="32">
        <f t="shared" ref="E6:E11" si="0">B6*D6</f>
        <v>4800</v>
      </c>
    </row>
    <row r="7" spans="1:5" ht="15" customHeight="1" x14ac:dyDescent="0.25">
      <c r="A7" s="5" t="s">
        <v>332</v>
      </c>
      <c r="B7" s="39">
        <v>4</v>
      </c>
      <c r="C7" s="5" t="s">
        <v>333</v>
      </c>
      <c r="D7" s="18">
        <v>300</v>
      </c>
      <c r="E7" s="32">
        <f t="shared" si="0"/>
        <v>1200</v>
      </c>
    </row>
    <row r="8" spans="1:5" ht="15" customHeight="1" x14ac:dyDescent="0.25">
      <c r="A8" s="5" t="s">
        <v>334</v>
      </c>
      <c r="B8" s="39">
        <v>100</v>
      </c>
      <c r="C8" s="5" t="s">
        <v>335</v>
      </c>
      <c r="D8" s="18">
        <v>12</v>
      </c>
      <c r="E8" s="32">
        <f t="shared" si="0"/>
        <v>1200</v>
      </c>
    </row>
    <row r="9" spans="1:5" ht="15" customHeight="1" x14ac:dyDescent="0.25">
      <c r="A9" s="5" t="s">
        <v>336</v>
      </c>
      <c r="B9" s="39">
        <v>1</v>
      </c>
      <c r="C9" s="5" t="s">
        <v>8</v>
      </c>
      <c r="D9" s="18">
        <v>1000</v>
      </c>
      <c r="E9" s="32">
        <f t="shared" si="0"/>
        <v>1000</v>
      </c>
    </row>
    <row r="10" spans="1:5" ht="15" customHeight="1" x14ac:dyDescent="0.25">
      <c r="A10" s="5" t="s">
        <v>337</v>
      </c>
      <c r="B10" s="39">
        <v>1</v>
      </c>
      <c r="C10" s="5" t="s">
        <v>8</v>
      </c>
      <c r="D10" s="18">
        <v>1500</v>
      </c>
      <c r="E10" s="32">
        <f t="shared" si="0"/>
        <v>1500</v>
      </c>
    </row>
    <row r="11" spans="1:5" ht="15" customHeight="1" x14ac:dyDescent="0.25">
      <c r="A11" s="5" t="s">
        <v>338</v>
      </c>
      <c r="B11" s="39">
        <v>1</v>
      </c>
      <c r="C11" s="5" t="s">
        <v>8</v>
      </c>
      <c r="D11" s="18">
        <v>800</v>
      </c>
      <c r="E11" s="32">
        <f t="shared" si="0"/>
        <v>800</v>
      </c>
    </row>
    <row r="12" spans="1:5" ht="15" customHeight="1" x14ac:dyDescent="0.25">
      <c r="B12" s="29" t="s">
        <v>339</v>
      </c>
      <c r="E12" s="34">
        <f>SUM(E6:E11)</f>
        <v>10500</v>
      </c>
    </row>
    <row r="14" spans="1:5" ht="15" customHeight="1" x14ac:dyDescent="0.25">
      <c r="A14" s="12" t="s">
        <v>85</v>
      </c>
      <c r="B14" s="12" t="s">
        <v>340</v>
      </c>
      <c r="C14" s="13"/>
      <c r="D14" s="13"/>
      <c r="E14" s="13"/>
    </row>
    <row r="15" spans="1:5" ht="15" customHeight="1" x14ac:dyDescent="0.25">
      <c r="A15" s="4" t="s">
        <v>330</v>
      </c>
      <c r="B15" s="4" t="s">
        <v>77</v>
      </c>
      <c r="C15" s="4" t="s">
        <v>0</v>
      </c>
      <c r="D15" s="4" t="s">
        <v>13</v>
      </c>
      <c r="E15" s="4" t="s">
        <v>14</v>
      </c>
    </row>
    <row r="16" spans="1:5" ht="15" customHeight="1" x14ac:dyDescent="0.25">
      <c r="A16" s="5" t="s">
        <v>341</v>
      </c>
      <c r="B16" s="39">
        <v>10</v>
      </c>
      <c r="C16" s="5" t="s">
        <v>10</v>
      </c>
      <c r="D16" s="18">
        <v>400</v>
      </c>
      <c r="E16" s="32">
        <f>B16*D16</f>
        <v>4000</v>
      </c>
    </row>
    <row r="17" spans="1:5" ht="15" customHeight="1" x14ac:dyDescent="0.25">
      <c r="A17" s="5" t="s">
        <v>342</v>
      </c>
      <c r="B17" s="39">
        <v>80</v>
      </c>
      <c r="C17" s="5" t="s">
        <v>335</v>
      </c>
      <c r="D17" s="18">
        <v>12</v>
      </c>
      <c r="E17" s="32">
        <f>B17*D17</f>
        <v>960</v>
      </c>
    </row>
    <row r="18" spans="1:5" ht="15" customHeight="1" x14ac:dyDescent="0.25">
      <c r="A18" s="5" t="s">
        <v>343</v>
      </c>
      <c r="B18" s="39">
        <v>1</v>
      </c>
      <c r="C18" s="5" t="s">
        <v>8</v>
      </c>
      <c r="D18" s="18">
        <v>1500</v>
      </c>
      <c r="E18" s="32">
        <f>B18*D18</f>
        <v>1500</v>
      </c>
    </row>
    <row r="19" spans="1:5" ht="15" customHeight="1" x14ac:dyDescent="0.25">
      <c r="B19" s="29" t="s">
        <v>344</v>
      </c>
      <c r="E19" s="34">
        <f>SUM(E16:E18)</f>
        <v>6460</v>
      </c>
    </row>
    <row r="21" spans="1:5" ht="15" customHeight="1" x14ac:dyDescent="0.25">
      <c r="A21" s="12" t="s">
        <v>88</v>
      </c>
      <c r="B21" s="12" t="s">
        <v>345</v>
      </c>
      <c r="C21" s="13"/>
      <c r="D21" s="13"/>
      <c r="E21" s="13"/>
    </row>
    <row r="22" spans="1:5" ht="15" customHeight="1" x14ac:dyDescent="0.25">
      <c r="A22" s="4" t="s">
        <v>330</v>
      </c>
      <c r="B22" s="4" t="s">
        <v>77</v>
      </c>
      <c r="C22" s="4" t="s">
        <v>0</v>
      </c>
      <c r="D22" s="4" t="s">
        <v>13</v>
      </c>
      <c r="E22" s="4" t="s">
        <v>14</v>
      </c>
    </row>
    <row r="23" spans="1:5" ht="15" customHeight="1" x14ac:dyDescent="0.25">
      <c r="A23" s="5" t="s">
        <v>346</v>
      </c>
      <c r="B23" s="39">
        <v>300</v>
      </c>
      <c r="C23" s="5" t="s">
        <v>2</v>
      </c>
      <c r="D23" s="18">
        <v>18</v>
      </c>
      <c r="E23" s="32">
        <f>B23*D23</f>
        <v>5400</v>
      </c>
    </row>
    <row r="24" spans="1:5" ht="15" customHeight="1" x14ac:dyDescent="0.25">
      <c r="A24" s="5" t="s">
        <v>347</v>
      </c>
      <c r="B24" s="39">
        <v>100</v>
      </c>
      <c r="C24" s="5" t="s">
        <v>2</v>
      </c>
      <c r="D24" s="18">
        <v>20</v>
      </c>
      <c r="E24" s="32">
        <f>B24*D24</f>
        <v>2000</v>
      </c>
    </row>
    <row r="25" spans="1:5" ht="15" customHeight="1" x14ac:dyDescent="0.25">
      <c r="B25" s="29" t="s">
        <v>348</v>
      </c>
      <c r="E25" s="34">
        <f>SUM(E23:E24)</f>
        <v>7400</v>
      </c>
    </row>
    <row r="27" spans="1:5" ht="15" customHeight="1" x14ac:dyDescent="0.25">
      <c r="A27" s="12" t="s">
        <v>91</v>
      </c>
      <c r="B27" s="12" t="s">
        <v>349</v>
      </c>
      <c r="C27" s="13"/>
      <c r="D27" s="13"/>
      <c r="E27" s="13"/>
    </row>
    <row r="28" spans="1:5" ht="15" customHeight="1" x14ac:dyDescent="0.25">
      <c r="A28" s="4" t="s">
        <v>330</v>
      </c>
      <c r="B28" s="4" t="s">
        <v>77</v>
      </c>
      <c r="C28" s="4" t="s">
        <v>0</v>
      </c>
      <c r="D28" s="4" t="s">
        <v>13</v>
      </c>
      <c r="E28" s="4" t="s">
        <v>14</v>
      </c>
    </row>
    <row r="29" spans="1:5" ht="15" customHeight="1" x14ac:dyDescent="0.25">
      <c r="A29" s="5" t="s">
        <v>350</v>
      </c>
      <c r="B29" s="39">
        <v>1</v>
      </c>
      <c r="C29" s="5" t="s">
        <v>351</v>
      </c>
      <c r="D29" s="18">
        <v>250</v>
      </c>
      <c r="E29" s="32">
        <f>B29*D29</f>
        <v>250</v>
      </c>
    </row>
    <row r="30" spans="1:5" ht="15" customHeight="1" x14ac:dyDescent="0.25">
      <c r="A30" s="5" t="s">
        <v>352</v>
      </c>
      <c r="B30" s="39">
        <v>1</v>
      </c>
      <c r="C30" s="5" t="s">
        <v>351</v>
      </c>
      <c r="D30" s="18">
        <v>60</v>
      </c>
      <c r="E30" s="32">
        <f>B30*D30</f>
        <v>60</v>
      </c>
    </row>
    <row r="31" spans="1:5" ht="15" customHeight="1" x14ac:dyDescent="0.25">
      <c r="A31" s="5" t="s">
        <v>353</v>
      </c>
      <c r="B31" s="39">
        <v>1</v>
      </c>
      <c r="C31" s="5" t="s">
        <v>351</v>
      </c>
      <c r="D31" s="18">
        <v>90</v>
      </c>
      <c r="E31" s="32">
        <f>B31*D31</f>
        <v>90</v>
      </c>
    </row>
    <row r="32" spans="1:5" ht="15" customHeight="1" x14ac:dyDescent="0.25">
      <c r="B32" s="29" t="s">
        <v>354</v>
      </c>
      <c r="E32" s="34">
        <f>SUM(E29:E31)</f>
        <v>400</v>
      </c>
    </row>
    <row r="34" spans="1:5" ht="15" customHeight="1" x14ac:dyDescent="0.25">
      <c r="A34" s="12" t="s">
        <v>94</v>
      </c>
      <c r="B34" s="12" t="s">
        <v>355</v>
      </c>
      <c r="C34" s="13"/>
      <c r="D34" s="13"/>
      <c r="E34" s="13"/>
    </row>
    <row r="35" spans="1:5" ht="15" customHeight="1" x14ac:dyDescent="0.25">
      <c r="A35" s="4" t="s">
        <v>330</v>
      </c>
      <c r="B35" s="4" t="s">
        <v>77</v>
      </c>
      <c r="C35" s="4" t="s">
        <v>0</v>
      </c>
      <c r="D35" s="4" t="s">
        <v>13</v>
      </c>
      <c r="E35" s="4" t="s">
        <v>14</v>
      </c>
    </row>
    <row r="36" spans="1:5" ht="15" customHeight="1" x14ac:dyDescent="0.25">
      <c r="A36" s="5" t="s">
        <v>356</v>
      </c>
      <c r="B36" s="39">
        <v>1</v>
      </c>
      <c r="C36" s="5" t="s">
        <v>53</v>
      </c>
      <c r="D36" s="18">
        <v>500</v>
      </c>
      <c r="E36" s="32">
        <f>B36*D36</f>
        <v>500</v>
      </c>
    </row>
    <row r="37" spans="1:5" ht="15" customHeight="1" x14ac:dyDescent="0.25">
      <c r="A37" s="5" t="s">
        <v>357</v>
      </c>
      <c r="B37" s="39">
        <v>1</v>
      </c>
      <c r="C37" s="5" t="s">
        <v>8</v>
      </c>
      <c r="D37" s="18">
        <v>300</v>
      </c>
      <c r="E37" s="32">
        <f>B37*D37</f>
        <v>300</v>
      </c>
    </row>
    <row r="38" spans="1:5" ht="15" customHeight="1" x14ac:dyDescent="0.25">
      <c r="B38" s="29" t="s">
        <v>358</v>
      </c>
      <c r="E38" s="34">
        <f>SUM(E36:E37)</f>
        <v>800</v>
      </c>
    </row>
    <row r="40" spans="1:5" ht="15" customHeight="1" x14ac:dyDescent="0.25">
      <c r="A40" s="12" t="s">
        <v>97</v>
      </c>
      <c r="B40" s="12" t="s">
        <v>359</v>
      </c>
      <c r="C40" s="13"/>
      <c r="D40" s="13"/>
      <c r="E40" s="13"/>
    </row>
    <row r="41" spans="1:5" ht="15" customHeight="1" x14ac:dyDescent="0.25">
      <c r="A41" s="4" t="s">
        <v>330</v>
      </c>
      <c r="B41" s="4" t="s">
        <v>77</v>
      </c>
      <c r="C41" s="4" t="s">
        <v>0</v>
      </c>
      <c r="D41" s="4" t="s">
        <v>13</v>
      </c>
      <c r="E41" s="4" t="s">
        <v>14</v>
      </c>
    </row>
    <row r="42" spans="1:5" ht="15" customHeight="1" x14ac:dyDescent="0.25">
      <c r="A42" s="5" t="s">
        <v>360</v>
      </c>
      <c r="B42" s="39">
        <v>60</v>
      </c>
      <c r="C42" s="5" t="s">
        <v>335</v>
      </c>
      <c r="D42" s="18">
        <v>15</v>
      </c>
      <c r="E42" s="32">
        <f>B42*D42</f>
        <v>900</v>
      </c>
    </row>
    <row r="43" spans="1:5" ht="15" customHeight="1" x14ac:dyDescent="0.25">
      <c r="A43" s="5" t="s">
        <v>361</v>
      </c>
      <c r="B43" s="39">
        <v>6</v>
      </c>
      <c r="C43" s="5" t="s">
        <v>53</v>
      </c>
      <c r="D43" s="18">
        <v>250</v>
      </c>
      <c r="E43" s="32">
        <f>B43*D43</f>
        <v>1500</v>
      </c>
    </row>
    <row r="44" spans="1:5" ht="15" customHeight="1" x14ac:dyDescent="0.25">
      <c r="A44" s="5" t="s">
        <v>362</v>
      </c>
      <c r="B44" s="39">
        <v>1</v>
      </c>
      <c r="C44" s="5" t="s">
        <v>8</v>
      </c>
      <c r="D44" s="18">
        <v>600</v>
      </c>
      <c r="E44" s="32">
        <f>B44*D44</f>
        <v>600</v>
      </c>
    </row>
    <row r="45" spans="1:5" ht="15" customHeight="1" x14ac:dyDescent="0.25">
      <c r="B45" s="29" t="s">
        <v>363</v>
      </c>
      <c r="E45" s="34">
        <f>SUM(E42:E44)</f>
        <v>3000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6"/>
  <sheetViews>
    <sheetView zoomScaleNormal="100" workbookViewId="0"/>
  </sheetViews>
  <sheetFormatPr defaultColWidth="8.7109375" defaultRowHeight="15" x14ac:dyDescent="0.25"/>
  <cols>
    <col min="1" max="1" width="46" style="1" customWidth="1"/>
    <col min="2" max="2" width="10" style="1" customWidth="1"/>
    <col min="3" max="3" width="9" style="1" customWidth="1"/>
    <col min="4" max="4" width="11" style="1" customWidth="1"/>
    <col min="5" max="5" width="12" style="1" customWidth="1"/>
  </cols>
  <sheetData>
    <row r="1" spans="1:5" ht="17.25" customHeight="1" x14ac:dyDescent="0.25">
      <c r="A1" s="2" t="s">
        <v>364</v>
      </c>
    </row>
    <row r="2" spans="1:5" ht="15" customHeight="1" x14ac:dyDescent="0.25">
      <c r="A2" s="3" t="s">
        <v>328</v>
      </c>
    </row>
    <row r="4" spans="1:5" ht="15" customHeight="1" x14ac:dyDescent="0.25">
      <c r="A4" s="12" t="s">
        <v>102</v>
      </c>
      <c r="B4" s="12" t="s">
        <v>365</v>
      </c>
      <c r="C4" s="13"/>
      <c r="D4" s="13"/>
      <c r="E4" s="13"/>
    </row>
    <row r="5" spans="1:5" ht="15" customHeight="1" x14ac:dyDescent="0.25">
      <c r="A5" s="4" t="s">
        <v>330</v>
      </c>
      <c r="B5" s="4" t="s">
        <v>77</v>
      </c>
      <c r="C5" s="4" t="s">
        <v>0</v>
      </c>
      <c r="D5" s="4" t="s">
        <v>13</v>
      </c>
      <c r="E5" s="4" t="s">
        <v>14</v>
      </c>
    </row>
    <row r="6" spans="1:5" ht="15" customHeight="1" x14ac:dyDescent="0.25">
      <c r="A6" s="5" t="s">
        <v>366</v>
      </c>
      <c r="B6" s="40">
        <f>'Site Data'!C5</f>
        <v>130</v>
      </c>
      <c r="C6" s="5" t="s">
        <v>1</v>
      </c>
      <c r="D6" s="18">
        <v>55</v>
      </c>
      <c r="E6" s="32">
        <f>B6*D6</f>
        <v>7150</v>
      </c>
    </row>
    <row r="7" spans="1:5" ht="15" customHeight="1" x14ac:dyDescent="0.25">
      <c r="A7" s="5" t="s">
        <v>367</v>
      </c>
      <c r="B7" s="39">
        <v>2</v>
      </c>
      <c r="C7" s="5" t="s">
        <v>53</v>
      </c>
      <c r="D7" s="18">
        <v>400</v>
      </c>
      <c r="E7" s="32">
        <f>B7*D7</f>
        <v>800</v>
      </c>
    </row>
    <row r="8" spans="1:5" ht="15" customHeight="1" x14ac:dyDescent="0.25">
      <c r="B8" s="29" t="s">
        <v>368</v>
      </c>
      <c r="E8" s="34">
        <f>SUM(E6:E7)</f>
        <v>7950</v>
      </c>
    </row>
    <row r="10" spans="1:5" ht="15" customHeight="1" x14ac:dyDescent="0.25">
      <c r="A10" s="12" t="s">
        <v>105</v>
      </c>
      <c r="B10" s="12" t="s">
        <v>369</v>
      </c>
      <c r="C10" s="13"/>
      <c r="D10" s="13"/>
      <c r="E10" s="13"/>
    </row>
    <row r="11" spans="1:5" ht="15" customHeight="1" x14ac:dyDescent="0.25">
      <c r="A11" s="4" t="s">
        <v>330</v>
      </c>
      <c r="B11" s="4" t="s">
        <v>77</v>
      </c>
      <c r="C11" s="4" t="s">
        <v>0</v>
      </c>
      <c r="D11" s="4" t="s">
        <v>13</v>
      </c>
      <c r="E11" s="4" t="s">
        <v>14</v>
      </c>
    </row>
    <row r="12" spans="1:5" ht="15" customHeight="1" x14ac:dyDescent="0.25">
      <c r="A12" s="5" t="s">
        <v>370</v>
      </c>
      <c r="B12" s="39">
        <v>1</v>
      </c>
      <c r="C12" s="5" t="s">
        <v>1</v>
      </c>
      <c r="D12" s="18">
        <v>140</v>
      </c>
      <c r="E12" s="32">
        <f>B12*D12</f>
        <v>140</v>
      </c>
    </row>
    <row r="13" spans="1:5" ht="15" customHeight="1" x14ac:dyDescent="0.25">
      <c r="A13" s="5" t="s">
        <v>371</v>
      </c>
      <c r="B13" s="39">
        <v>4</v>
      </c>
      <c r="C13" s="5" t="s">
        <v>372</v>
      </c>
      <c r="D13" s="18">
        <v>10</v>
      </c>
      <c r="E13" s="32">
        <f>B13*D13</f>
        <v>40</v>
      </c>
    </row>
    <row r="14" spans="1:5" ht="15" customHeight="1" x14ac:dyDescent="0.25">
      <c r="B14" s="29" t="s">
        <v>373</v>
      </c>
      <c r="E14" s="34">
        <f>SUM(E12:E13)</f>
        <v>180</v>
      </c>
    </row>
    <row r="16" spans="1:5" ht="15" customHeight="1" x14ac:dyDescent="0.25">
      <c r="A16" s="12" t="s">
        <v>108</v>
      </c>
      <c r="B16" s="12" t="s">
        <v>374</v>
      </c>
      <c r="C16" s="13"/>
      <c r="D16" s="13"/>
      <c r="E16" s="13"/>
    </row>
    <row r="17" spans="1:5" ht="15" customHeight="1" x14ac:dyDescent="0.25">
      <c r="A17" s="4" t="s">
        <v>330</v>
      </c>
      <c r="B17" s="4" t="s">
        <v>77</v>
      </c>
      <c r="C17" s="4" t="s">
        <v>0</v>
      </c>
      <c r="D17" s="4" t="s">
        <v>13</v>
      </c>
      <c r="E17" s="4" t="s">
        <v>14</v>
      </c>
    </row>
    <row r="18" spans="1:5" ht="15" customHeight="1" x14ac:dyDescent="0.25">
      <c r="A18" s="5" t="s">
        <v>375</v>
      </c>
      <c r="B18" s="39">
        <v>1400</v>
      </c>
      <c r="C18" s="5" t="s">
        <v>2</v>
      </c>
      <c r="D18" s="18">
        <v>4</v>
      </c>
      <c r="E18" s="32">
        <f>B18*D18</f>
        <v>5600</v>
      </c>
    </row>
    <row r="19" spans="1:5" ht="15" customHeight="1" x14ac:dyDescent="0.25">
      <c r="A19" s="5" t="s">
        <v>376</v>
      </c>
      <c r="B19" s="39">
        <v>1</v>
      </c>
      <c r="C19" s="5" t="s">
        <v>8</v>
      </c>
      <c r="D19" s="18">
        <v>400</v>
      </c>
      <c r="E19" s="32">
        <f>B19*D19</f>
        <v>400</v>
      </c>
    </row>
    <row r="20" spans="1:5" ht="15" customHeight="1" x14ac:dyDescent="0.25">
      <c r="B20" s="29" t="s">
        <v>377</v>
      </c>
      <c r="E20" s="34">
        <f>SUM(E18:E19)</f>
        <v>6000</v>
      </c>
    </row>
    <row r="22" spans="1:5" ht="15" customHeight="1" x14ac:dyDescent="0.25">
      <c r="A22" s="12" t="s">
        <v>111</v>
      </c>
      <c r="B22" s="12" t="s">
        <v>378</v>
      </c>
      <c r="C22" s="13"/>
      <c r="D22" s="13"/>
      <c r="E22" s="13"/>
    </row>
    <row r="23" spans="1:5" ht="15" customHeight="1" x14ac:dyDescent="0.25">
      <c r="A23" s="4" t="s">
        <v>330</v>
      </c>
      <c r="B23" s="4" t="s">
        <v>77</v>
      </c>
      <c r="C23" s="4" t="s">
        <v>0</v>
      </c>
      <c r="D23" s="4" t="s">
        <v>13</v>
      </c>
      <c r="E23" s="4" t="s">
        <v>14</v>
      </c>
    </row>
    <row r="24" spans="1:5" ht="15" customHeight="1" x14ac:dyDescent="0.25">
      <c r="A24" s="5" t="s">
        <v>379</v>
      </c>
      <c r="B24" s="40">
        <f>'Site Data'!C7</f>
        <v>115</v>
      </c>
      <c r="C24" s="5" t="s">
        <v>1</v>
      </c>
      <c r="D24" s="18">
        <v>5</v>
      </c>
      <c r="E24" s="32">
        <f>B24*D24</f>
        <v>575</v>
      </c>
    </row>
    <row r="25" spans="1:5" ht="15" customHeight="1" x14ac:dyDescent="0.25">
      <c r="A25" s="5" t="s">
        <v>380</v>
      </c>
      <c r="B25" s="39">
        <v>1</v>
      </c>
      <c r="C25" s="5" t="s">
        <v>381</v>
      </c>
      <c r="D25" s="18">
        <v>125</v>
      </c>
      <c r="E25" s="32">
        <f>B25*D25</f>
        <v>125</v>
      </c>
    </row>
    <row r="26" spans="1:5" ht="15" customHeight="1" x14ac:dyDescent="0.25">
      <c r="B26" s="29" t="s">
        <v>382</v>
      </c>
      <c r="E26" s="34">
        <f>SUM(E24:E25)</f>
        <v>700</v>
      </c>
    </row>
    <row r="28" spans="1:5" ht="15" customHeight="1" x14ac:dyDescent="0.25">
      <c r="A28" s="12" t="s">
        <v>114</v>
      </c>
      <c r="B28" s="12" t="s">
        <v>383</v>
      </c>
      <c r="C28" s="13"/>
      <c r="D28" s="13"/>
      <c r="E28" s="13"/>
    </row>
    <row r="29" spans="1:5" ht="15" customHeight="1" x14ac:dyDescent="0.25">
      <c r="A29" s="4" t="s">
        <v>330</v>
      </c>
      <c r="B29" s="4" t="s">
        <v>77</v>
      </c>
      <c r="C29" s="4" t="s">
        <v>0</v>
      </c>
      <c r="D29" s="4" t="s">
        <v>13</v>
      </c>
      <c r="E29" s="4" t="s">
        <v>14</v>
      </c>
    </row>
    <row r="30" spans="1:5" ht="15" customHeight="1" x14ac:dyDescent="0.25">
      <c r="A30" s="5" t="s">
        <v>384</v>
      </c>
      <c r="B30" s="39">
        <v>600</v>
      </c>
      <c r="C30" s="5" t="s">
        <v>2</v>
      </c>
      <c r="D30" s="18">
        <v>5</v>
      </c>
      <c r="E30" s="32">
        <f>B30*D30</f>
        <v>3000</v>
      </c>
    </row>
    <row r="31" spans="1:5" ht="15" customHeight="1" x14ac:dyDescent="0.25">
      <c r="A31" s="5" t="s">
        <v>385</v>
      </c>
      <c r="B31" s="39">
        <v>1</v>
      </c>
      <c r="C31" s="5" t="s">
        <v>8</v>
      </c>
      <c r="D31" s="18">
        <v>1000</v>
      </c>
      <c r="E31" s="32">
        <f>B31*D31</f>
        <v>1000</v>
      </c>
    </row>
    <row r="32" spans="1:5" ht="15" customHeight="1" x14ac:dyDescent="0.25">
      <c r="B32" s="29" t="s">
        <v>386</v>
      </c>
      <c r="E32" s="34">
        <f>SUM(E30:E31)</f>
        <v>4000</v>
      </c>
    </row>
    <row r="34" spans="1:5" ht="15" customHeight="1" x14ac:dyDescent="0.25">
      <c r="A34" s="12" t="s">
        <v>117</v>
      </c>
      <c r="B34" s="12" t="s">
        <v>387</v>
      </c>
      <c r="C34" s="13"/>
      <c r="D34" s="13"/>
      <c r="E34" s="13"/>
    </row>
    <row r="35" spans="1:5" ht="15" customHeight="1" x14ac:dyDescent="0.25">
      <c r="A35" s="4" t="s">
        <v>330</v>
      </c>
      <c r="B35" s="4" t="s">
        <v>77</v>
      </c>
      <c r="C35" s="4" t="s">
        <v>0</v>
      </c>
      <c r="D35" s="4" t="s">
        <v>13</v>
      </c>
      <c r="E35" s="4" t="s">
        <v>14</v>
      </c>
    </row>
    <row r="36" spans="1:5" ht="15" customHeight="1" x14ac:dyDescent="0.25">
      <c r="A36" s="5" t="s">
        <v>388</v>
      </c>
      <c r="B36" s="39">
        <v>2</v>
      </c>
      <c r="C36" s="5" t="s">
        <v>53</v>
      </c>
      <c r="D36" s="18">
        <v>60</v>
      </c>
      <c r="E36" s="32">
        <f>B36*D36</f>
        <v>120</v>
      </c>
    </row>
    <row r="37" spans="1:5" ht="15" customHeight="1" x14ac:dyDescent="0.25">
      <c r="A37" s="5" t="s">
        <v>389</v>
      </c>
      <c r="B37" s="39">
        <v>1</v>
      </c>
      <c r="C37" s="5" t="s">
        <v>351</v>
      </c>
      <c r="D37" s="18">
        <v>80</v>
      </c>
      <c r="E37" s="32">
        <f>B37*D37</f>
        <v>80</v>
      </c>
    </row>
    <row r="38" spans="1:5" ht="15" customHeight="1" x14ac:dyDescent="0.25">
      <c r="A38" s="5" t="s">
        <v>390</v>
      </c>
      <c r="B38" s="39">
        <v>1</v>
      </c>
      <c r="C38" s="5" t="s">
        <v>351</v>
      </c>
      <c r="D38" s="18">
        <v>50</v>
      </c>
      <c r="E38" s="32">
        <f>B38*D38</f>
        <v>50</v>
      </c>
    </row>
    <row r="39" spans="1:5" ht="15" customHeight="1" x14ac:dyDescent="0.25">
      <c r="B39" s="29" t="s">
        <v>391</v>
      </c>
      <c r="E39" s="34">
        <f>SUM(E36:E38)</f>
        <v>250</v>
      </c>
    </row>
    <row r="41" spans="1:5" ht="15" customHeight="1" x14ac:dyDescent="0.25">
      <c r="A41" s="12" t="s">
        <v>120</v>
      </c>
      <c r="B41" s="12" t="s">
        <v>392</v>
      </c>
      <c r="C41" s="13"/>
      <c r="D41" s="13"/>
      <c r="E41" s="13"/>
    </row>
    <row r="42" spans="1:5" ht="15" customHeight="1" x14ac:dyDescent="0.25">
      <c r="A42" s="4" t="s">
        <v>330</v>
      </c>
      <c r="B42" s="4" t="s">
        <v>77</v>
      </c>
      <c r="C42" s="4" t="s">
        <v>0</v>
      </c>
      <c r="D42" s="4" t="s">
        <v>13</v>
      </c>
      <c r="E42" s="4" t="s">
        <v>14</v>
      </c>
    </row>
    <row r="43" spans="1:5" ht="15" customHeight="1" x14ac:dyDescent="0.25">
      <c r="A43" s="5" t="s">
        <v>393</v>
      </c>
      <c r="B43" s="39">
        <v>2</v>
      </c>
      <c r="C43" s="5" t="s">
        <v>53</v>
      </c>
      <c r="D43" s="18">
        <v>150</v>
      </c>
      <c r="E43" s="32">
        <f>B43*D43</f>
        <v>300</v>
      </c>
    </row>
    <row r="44" spans="1:5" ht="15" customHeight="1" x14ac:dyDescent="0.25">
      <c r="A44" s="5" t="s">
        <v>394</v>
      </c>
      <c r="B44" s="39">
        <v>1</v>
      </c>
      <c r="C44" s="5" t="s">
        <v>351</v>
      </c>
      <c r="D44" s="18">
        <v>300</v>
      </c>
      <c r="E44" s="32">
        <f>B44*D44</f>
        <v>300</v>
      </c>
    </row>
    <row r="45" spans="1:5" ht="15" customHeight="1" x14ac:dyDescent="0.25">
      <c r="A45" s="5" t="s">
        <v>395</v>
      </c>
      <c r="B45" s="39">
        <v>1</v>
      </c>
      <c r="C45" s="5" t="s">
        <v>351</v>
      </c>
      <c r="D45" s="18">
        <v>300</v>
      </c>
      <c r="E45" s="32">
        <f>B45*D45</f>
        <v>300</v>
      </c>
    </row>
    <row r="46" spans="1:5" ht="15" customHeight="1" x14ac:dyDescent="0.25">
      <c r="B46" s="29" t="s">
        <v>396</v>
      </c>
      <c r="E46" s="34">
        <f>SUM(E43:E45)</f>
        <v>900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"/>
  <sheetViews>
    <sheetView zoomScaleNormal="100" workbookViewId="0"/>
  </sheetViews>
  <sheetFormatPr defaultColWidth="8.7109375" defaultRowHeight="15" x14ac:dyDescent="0.25"/>
  <cols>
    <col min="1" max="1" width="46" style="1" customWidth="1"/>
    <col min="2" max="2" width="10" style="1" customWidth="1"/>
    <col min="3" max="3" width="9" style="1" customWidth="1"/>
    <col min="4" max="4" width="11" style="1" customWidth="1"/>
    <col min="5" max="5" width="12" style="1" customWidth="1"/>
  </cols>
  <sheetData>
    <row r="1" spans="1:5" ht="17.25" customHeight="1" x14ac:dyDescent="0.25">
      <c r="A1" s="2" t="s">
        <v>397</v>
      </c>
    </row>
    <row r="2" spans="1:5" ht="15" customHeight="1" x14ac:dyDescent="0.25">
      <c r="A2" s="3" t="s">
        <v>328</v>
      </c>
    </row>
    <row r="4" spans="1:5" ht="15" customHeight="1" x14ac:dyDescent="0.25">
      <c r="A4" s="12" t="s">
        <v>17</v>
      </c>
      <c r="B4" s="12" t="s">
        <v>398</v>
      </c>
      <c r="C4" s="13"/>
      <c r="D4" s="13"/>
      <c r="E4" s="13"/>
    </row>
    <row r="5" spans="1:5" ht="15" customHeight="1" x14ac:dyDescent="0.25">
      <c r="A5" s="4" t="s">
        <v>330</v>
      </c>
      <c r="B5" s="4" t="s">
        <v>77</v>
      </c>
      <c r="C5" s="4" t="s">
        <v>0</v>
      </c>
      <c r="D5" s="4" t="s">
        <v>13</v>
      </c>
      <c r="E5" s="4" t="s">
        <v>14</v>
      </c>
    </row>
    <row r="6" spans="1:5" ht="15" customHeight="1" x14ac:dyDescent="0.25">
      <c r="A6" s="5" t="s">
        <v>399</v>
      </c>
      <c r="B6" s="39">
        <v>3</v>
      </c>
      <c r="C6" s="5" t="s">
        <v>53</v>
      </c>
      <c r="D6" s="18">
        <v>250</v>
      </c>
      <c r="E6" s="32">
        <f>B6*D6</f>
        <v>750</v>
      </c>
    </row>
    <row r="7" spans="1:5" ht="15" customHeight="1" x14ac:dyDescent="0.25">
      <c r="A7" s="5" t="s">
        <v>400</v>
      </c>
      <c r="B7" s="39">
        <v>1</v>
      </c>
      <c r="C7" s="5" t="s">
        <v>53</v>
      </c>
      <c r="D7" s="18">
        <v>150</v>
      </c>
      <c r="E7" s="32">
        <f>B7*D7</f>
        <v>150</v>
      </c>
    </row>
    <row r="8" spans="1:5" ht="15" customHeight="1" x14ac:dyDescent="0.25">
      <c r="A8" s="5" t="s">
        <v>401</v>
      </c>
      <c r="B8" s="39">
        <v>1</v>
      </c>
      <c r="C8" s="5" t="s">
        <v>351</v>
      </c>
      <c r="D8" s="18">
        <v>200</v>
      </c>
      <c r="E8" s="32">
        <f>B8*D8</f>
        <v>200</v>
      </c>
    </row>
    <row r="9" spans="1:5" ht="15" customHeight="1" x14ac:dyDescent="0.25">
      <c r="A9" s="5" t="s">
        <v>402</v>
      </c>
      <c r="B9" s="39">
        <v>1</v>
      </c>
      <c r="C9" s="5" t="s">
        <v>351</v>
      </c>
      <c r="D9" s="18">
        <v>100</v>
      </c>
      <c r="E9" s="32">
        <f>B9*D9</f>
        <v>100</v>
      </c>
    </row>
    <row r="10" spans="1:5" ht="15" customHeight="1" x14ac:dyDescent="0.25">
      <c r="B10" s="29" t="s">
        <v>403</v>
      </c>
      <c r="E10" s="34">
        <f>SUM(E6:E9)</f>
        <v>1200</v>
      </c>
    </row>
    <row r="12" spans="1:5" ht="15" customHeight="1" x14ac:dyDescent="0.25">
      <c r="A12" s="12" t="s">
        <v>126</v>
      </c>
      <c r="B12" s="12" t="s">
        <v>404</v>
      </c>
      <c r="C12" s="13"/>
      <c r="D12" s="13"/>
      <c r="E12" s="13"/>
    </row>
    <row r="13" spans="1:5" ht="15" customHeight="1" x14ac:dyDescent="0.25">
      <c r="A13" s="4" t="s">
        <v>330</v>
      </c>
      <c r="B13" s="4" t="s">
        <v>77</v>
      </c>
      <c r="C13" s="4" t="s">
        <v>0</v>
      </c>
      <c r="D13" s="4" t="s">
        <v>13</v>
      </c>
      <c r="E13" s="4" t="s">
        <v>14</v>
      </c>
    </row>
    <row r="14" spans="1:5" ht="15" customHeight="1" x14ac:dyDescent="0.25">
      <c r="A14" s="5" t="s">
        <v>405</v>
      </c>
      <c r="B14" s="39">
        <v>4</v>
      </c>
      <c r="C14" s="5" t="s">
        <v>53</v>
      </c>
      <c r="D14" s="18">
        <v>35</v>
      </c>
      <c r="E14" s="32">
        <f>B14*D14</f>
        <v>140</v>
      </c>
    </row>
    <row r="15" spans="1:5" ht="15" customHeight="1" x14ac:dyDescent="0.25">
      <c r="A15" s="5" t="s">
        <v>406</v>
      </c>
      <c r="B15" s="39">
        <v>1</v>
      </c>
      <c r="C15" s="5" t="s">
        <v>351</v>
      </c>
      <c r="D15" s="18">
        <v>60</v>
      </c>
      <c r="E15" s="32">
        <f>B15*D15</f>
        <v>60</v>
      </c>
    </row>
    <row r="16" spans="1:5" ht="15" customHeight="1" x14ac:dyDescent="0.25">
      <c r="B16" s="29" t="s">
        <v>407</v>
      </c>
      <c r="E16" s="34">
        <f>SUM(E14:E15)</f>
        <v>200</v>
      </c>
    </row>
    <row r="18" spans="1:5" ht="15" customHeight="1" x14ac:dyDescent="0.25">
      <c r="A18" s="12" t="s">
        <v>129</v>
      </c>
      <c r="B18" s="12" t="s">
        <v>408</v>
      </c>
      <c r="C18" s="13"/>
      <c r="D18" s="13"/>
      <c r="E18" s="13"/>
    </row>
    <row r="19" spans="1:5" ht="15" customHeight="1" x14ac:dyDescent="0.25">
      <c r="A19" s="4" t="s">
        <v>330</v>
      </c>
      <c r="B19" s="4" t="s">
        <v>77</v>
      </c>
      <c r="C19" s="4" t="s">
        <v>0</v>
      </c>
      <c r="D19" s="4" t="s">
        <v>13</v>
      </c>
      <c r="E19" s="4" t="s">
        <v>14</v>
      </c>
    </row>
    <row r="20" spans="1:5" ht="15" customHeight="1" x14ac:dyDescent="0.25">
      <c r="A20" s="5" t="s">
        <v>409</v>
      </c>
      <c r="B20" s="39">
        <v>1</v>
      </c>
      <c r="C20" s="5" t="s">
        <v>8</v>
      </c>
      <c r="D20" s="18">
        <v>800</v>
      </c>
      <c r="E20" s="32">
        <f>B20*D20</f>
        <v>800</v>
      </c>
    </row>
    <row r="21" spans="1:5" ht="15" customHeight="1" x14ac:dyDescent="0.25">
      <c r="A21" s="5" t="s">
        <v>410</v>
      </c>
      <c r="B21" s="39">
        <v>1</v>
      </c>
      <c r="C21" s="5" t="s">
        <v>8</v>
      </c>
      <c r="D21" s="18">
        <v>700</v>
      </c>
      <c r="E21" s="32">
        <f>B21*D21</f>
        <v>700</v>
      </c>
    </row>
    <row r="22" spans="1:5" ht="15" customHeight="1" x14ac:dyDescent="0.25">
      <c r="B22" s="29" t="s">
        <v>411</v>
      </c>
      <c r="E22" s="34">
        <f>SUM(E20:E21)</f>
        <v>1500</v>
      </c>
    </row>
    <row r="24" spans="1:5" ht="15" customHeight="1" x14ac:dyDescent="0.25">
      <c r="A24" s="12" t="s">
        <v>132</v>
      </c>
      <c r="B24" s="12" t="s">
        <v>412</v>
      </c>
      <c r="C24" s="13"/>
      <c r="D24" s="13"/>
      <c r="E24" s="13"/>
    </row>
    <row r="25" spans="1:5" ht="15" customHeight="1" x14ac:dyDescent="0.25">
      <c r="A25" s="4" t="s">
        <v>330</v>
      </c>
      <c r="B25" s="4" t="s">
        <v>77</v>
      </c>
      <c r="C25" s="4" t="s">
        <v>0</v>
      </c>
      <c r="D25" s="4" t="s">
        <v>13</v>
      </c>
      <c r="E25" s="4" t="s">
        <v>14</v>
      </c>
    </row>
    <row r="26" spans="1:5" ht="15" customHeight="1" x14ac:dyDescent="0.25">
      <c r="A26" s="5" t="s">
        <v>413</v>
      </c>
      <c r="B26" s="39">
        <v>1</v>
      </c>
      <c r="C26" s="5" t="s">
        <v>8</v>
      </c>
      <c r="D26" s="18">
        <v>4500</v>
      </c>
      <c r="E26" s="32">
        <f>B26*D26</f>
        <v>4500</v>
      </c>
    </row>
    <row r="27" spans="1:5" ht="15" customHeight="1" x14ac:dyDescent="0.25">
      <c r="A27" s="5" t="s">
        <v>414</v>
      </c>
      <c r="B27" s="39">
        <v>1</v>
      </c>
      <c r="C27" s="5" t="s">
        <v>8</v>
      </c>
      <c r="D27" s="18">
        <v>1500</v>
      </c>
      <c r="E27" s="32">
        <f>B27*D27</f>
        <v>1500</v>
      </c>
    </row>
    <row r="28" spans="1:5" ht="15" customHeight="1" x14ac:dyDescent="0.25">
      <c r="A28" s="5" t="s">
        <v>415</v>
      </c>
      <c r="B28" s="39">
        <v>1</v>
      </c>
      <c r="C28" s="5" t="s">
        <v>8</v>
      </c>
      <c r="D28" s="18">
        <v>500</v>
      </c>
      <c r="E28" s="32">
        <f>B28*D28</f>
        <v>500</v>
      </c>
    </row>
    <row r="29" spans="1:5" ht="15" customHeight="1" x14ac:dyDescent="0.25">
      <c r="A29" s="5" t="s">
        <v>416</v>
      </c>
      <c r="B29" s="39">
        <v>18</v>
      </c>
      <c r="C29" s="5" t="s">
        <v>351</v>
      </c>
      <c r="D29" s="18">
        <v>200</v>
      </c>
      <c r="E29" s="32">
        <f>B29*D29</f>
        <v>3600</v>
      </c>
    </row>
    <row r="30" spans="1:5" ht="15" customHeight="1" x14ac:dyDescent="0.25">
      <c r="B30" s="29" t="s">
        <v>417</v>
      </c>
      <c r="E30" s="34">
        <f>SUM(E26:E29)</f>
        <v>10100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zoomScaleNormal="100" workbookViewId="0"/>
  </sheetViews>
  <sheetFormatPr defaultColWidth="8.7109375" defaultRowHeight="15" x14ac:dyDescent="0.25"/>
  <cols>
    <col min="1" max="1" width="46" style="1" customWidth="1"/>
    <col min="2" max="2" width="10" style="1" customWidth="1"/>
    <col min="3" max="3" width="9" style="1" customWidth="1"/>
    <col min="4" max="4" width="11" style="1" customWidth="1"/>
    <col min="5" max="5" width="12" style="1" customWidth="1"/>
  </cols>
  <sheetData>
    <row r="1" spans="1:5" ht="17.25" customHeight="1" x14ac:dyDescent="0.25">
      <c r="A1" s="2" t="s">
        <v>418</v>
      </c>
    </row>
    <row r="2" spans="1:5" ht="15" customHeight="1" x14ac:dyDescent="0.25">
      <c r="A2" s="3" t="s">
        <v>328</v>
      </c>
    </row>
    <row r="4" spans="1:5" ht="15" customHeight="1" x14ac:dyDescent="0.25">
      <c r="A4" s="12" t="s">
        <v>137</v>
      </c>
      <c r="B4" s="12" t="s">
        <v>419</v>
      </c>
      <c r="C4" s="13"/>
      <c r="D4" s="13"/>
      <c r="E4" s="13"/>
    </row>
    <row r="5" spans="1:5" ht="15" customHeight="1" x14ac:dyDescent="0.25">
      <c r="A5" s="4" t="s">
        <v>330</v>
      </c>
      <c r="B5" s="4" t="s">
        <v>77</v>
      </c>
      <c r="C5" s="4" t="s">
        <v>0</v>
      </c>
      <c r="D5" s="4" t="s">
        <v>13</v>
      </c>
      <c r="E5" s="4" t="s">
        <v>14</v>
      </c>
    </row>
    <row r="6" spans="1:5" ht="15" customHeight="1" x14ac:dyDescent="0.25">
      <c r="A6" s="5" t="s">
        <v>420</v>
      </c>
      <c r="B6" s="39">
        <v>26</v>
      </c>
      <c r="C6" s="5" t="s">
        <v>335</v>
      </c>
      <c r="D6" s="18">
        <v>12</v>
      </c>
      <c r="E6" s="32">
        <f>B6*D6</f>
        <v>312</v>
      </c>
    </row>
    <row r="7" spans="1:5" ht="15" customHeight="1" x14ac:dyDescent="0.25">
      <c r="A7" s="5" t="s">
        <v>421</v>
      </c>
      <c r="B7" s="39">
        <v>2</v>
      </c>
      <c r="C7" s="5" t="s">
        <v>53</v>
      </c>
      <c r="D7" s="18">
        <v>120</v>
      </c>
      <c r="E7" s="32">
        <f>B7*D7</f>
        <v>240</v>
      </c>
    </row>
    <row r="8" spans="1:5" ht="15" customHeight="1" x14ac:dyDescent="0.25">
      <c r="A8" s="5" t="s">
        <v>422</v>
      </c>
      <c r="B8" s="39">
        <v>1</v>
      </c>
      <c r="C8" s="5" t="s">
        <v>351</v>
      </c>
      <c r="D8" s="18">
        <v>50</v>
      </c>
      <c r="E8" s="32">
        <f>B8*D8</f>
        <v>50</v>
      </c>
    </row>
    <row r="9" spans="1:5" ht="15" customHeight="1" x14ac:dyDescent="0.25">
      <c r="B9" s="29" t="s">
        <v>423</v>
      </c>
      <c r="E9" s="34">
        <f>SUM(E6:E8)</f>
        <v>602</v>
      </c>
    </row>
    <row r="11" spans="1:5" ht="15" customHeight="1" x14ac:dyDescent="0.25">
      <c r="A11" s="12" t="s">
        <v>140</v>
      </c>
      <c r="B11" s="12" t="s">
        <v>424</v>
      </c>
      <c r="C11" s="13"/>
      <c r="D11" s="13"/>
      <c r="E11" s="13"/>
    </row>
    <row r="12" spans="1:5" ht="15" customHeight="1" x14ac:dyDescent="0.25">
      <c r="A12" s="4" t="s">
        <v>330</v>
      </c>
      <c r="B12" s="4" t="s">
        <v>77</v>
      </c>
      <c r="C12" s="4" t="s">
        <v>0</v>
      </c>
      <c r="D12" s="4" t="s">
        <v>13</v>
      </c>
      <c r="E12" s="4" t="s">
        <v>14</v>
      </c>
    </row>
    <row r="13" spans="1:5" ht="15" customHeight="1" x14ac:dyDescent="0.25">
      <c r="A13" s="5" t="s">
        <v>425</v>
      </c>
      <c r="B13" s="40">
        <f>'Site Data'!C16</f>
        <v>8000</v>
      </c>
      <c r="C13" s="5" t="s">
        <v>2</v>
      </c>
      <c r="D13" s="18">
        <v>0.35</v>
      </c>
      <c r="E13" s="32">
        <f>B13*D13</f>
        <v>2800</v>
      </c>
    </row>
    <row r="14" spans="1:5" ht="15" customHeight="1" x14ac:dyDescent="0.25">
      <c r="A14" s="5" t="s">
        <v>426</v>
      </c>
      <c r="B14" s="39">
        <v>1</v>
      </c>
      <c r="C14" s="5" t="s">
        <v>8</v>
      </c>
      <c r="D14" s="18">
        <v>700</v>
      </c>
      <c r="E14" s="32">
        <f>B14*D14</f>
        <v>700</v>
      </c>
    </row>
    <row r="15" spans="1:5" ht="15" customHeight="1" x14ac:dyDescent="0.25">
      <c r="B15" s="29" t="s">
        <v>427</v>
      </c>
      <c r="E15" s="34">
        <f>SUM(E13:E14)</f>
        <v>3500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2"/>
  <sheetViews>
    <sheetView zoomScaleNormal="100" workbookViewId="0"/>
  </sheetViews>
  <sheetFormatPr defaultColWidth="8.7109375" defaultRowHeight="15" x14ac:dyDescent="0.25"/>
  <cols>
    <col min="1" max="1" width="46" style="1" customWidth="1"/>
    <col min="2" max="2" width="10" style="1" customWidth="1"/>
    <col min="3" max="3" width="9" style="1" customWidth="1"/>
    <col min="4" max="4" width="11" style="1" customWidth="1"/>
    <col min="5" max="5" width="12" style="1" customWidth="1"/>
  </cols>
  <sheetData>
    <row r="1" spans="1:5" ht="17.25" customHeight="1" x14ac:dyDescent="0.25">
      <c r="A1" s="2" t="s">
        <v>428</v>
      </c>
    </row>
    <row r="2" spans="1:5" ht="15" customHeight="1" x14ac:dyDescent="0.25">
      <c r="A2" s="3" t="s">
        <v>328</v>
      </c>
    </row>
    <row r="4" spans="1:5" ht="15" customHeight="1" x14ac:dyDescent="0.25">
      <c r="A4" s="12" t="s">
        <v>145</v>
      </c>
      <c r="B4" s="12" t="s">
        <v>429</v>
      </c>
      <c r="C4" s="13"/>
      <c r="D4" s="13"/>
      <c r="E4" s="13"/>
    </row>
    <row r="5" spans="1:5" ht="15" customHeight="1" x14ac:dyDescent="0.25">
      <c r="A5" s="4" t="s">
        <v>330</v>
      </c>
      <c r="B5" s="4" t="s">
        <v>77</v>
      </c>
      <c r="C5" s="4" t="s">
        <v>0</v>
      </c>
      <c r="D5" s="4" t="s">
        <v>13</v>
      </c>
      <c r="E5" s="4" t="s">
        <v>14</v>
      </c>
    </row>
    <row r="6" spans="1:5" ht="15" customHeight="1" x14ac:dyDescent="0.25">
      <c r="A6" s="5" t="s">
        <v>146</v>
      </c>
      <c r="B6" s="39">
        <v>1</v>
      </c>
      <c r="C6" s="5" t="s">
        <v>351</v>
      </c>
      <c r="D6" s="18">
        <v>2800</v>
      </c>
      <c r="E6" s="32">
        <f>B6*D6</f>
        <v>2800</v>
      </c>
    </row>
    <row r="7" spans="1:5" ht="15" customHeight="1" x14ac:dyDescent="0.25">
      <c r="A7" s="5" t="s">
        <v>430</v>
      </c>
      <c r="B7" s="39">
        <v>1</v>
      </c>
      <c r="C7" s="5" t="s">
        <v>351</v>
      </c>
      <c r="D7" s="18">
        <v>600</v>
      </c>
      <c r="E7" s="32">
        <f>B7*D7</f>
        <v>600</v>
      </c>
    </row>
    <row r="8" spans="1:5" ht="15" customHeight="1" x14ac:dyDescent="0.25">
      <c r="A8" s="5" t="s">
        <v>431</v>
      </c>
      <c r="B8" s="39">
        <v>1</v>
      </c>
      <c r="C8" s="5" t="s">
        <v>351</v>
      </c>
      <c r="D8" s="18">
        <v>100</v>
      </c>
      <c r="E8" s="32">
        <f>B8*D8</f>
        <v>100</v>
      </c>
    </row>
    <row r="9" spans="1:5" ht="15" customHeight="1" x14ac:dyDescent="0.25">
      <c r="B9" s="29" t="s">
        <v>432</v>
      </c>
      <c r="E9" s="34">
        <f>SUM(E6:E8)</f>
        <v>3500</v>
      </c>
    </row>
    <row r="11" spans="1:5" ht="15" customHeight="1" x14ac:dyDescent="0.25">
      <c r="A11" s="12" t="s">
        <v>148</v>
      </c>
      <c r="B11" s="12" t="s">
        <v>433</v>
      </c>
      <c r="C11" s="13"/>
      <c r="D11" s="13"/>
      <c r="E11" s="13"/>
    </row>
    <row r="12" spans="1:5" ht="15" customHeight="1" x14ac:dyDescent="0.25">
      <c r="A12" s="4" t="s">
        <v>330</v>
      </c>
      <c r="B12" s="4" t="s">
        <v>77</v>
      </c>
      <c r="C12" s="4" t="s">
        <v>0</v>
      </c>
      <c r="D12" s="4" t="s">
        <v>13</v>
      </c>
      <c r="E12" s="4" t="s">
        <v>14</v>
      </c>
    </row>
    <row r="13" spans="1:5" ht="15" customHeight="1" x14ac:dyDescent="0.25">
      <c r="A13" s="5" t="s">
        <v>434</v>
      </c>
      <c r="B13" s="39">
        <v>25</v>
      </c>
      <c r="C13" s="5" t="s">
        <v>3</v>
      </c>
      <c r="D13" s="18">
        <v>220</v>
      </c>
      <c r="E13" s="32">
        <f>B13*D13</f>
        <v>5500</v>
      </c>
    </row>
    <row r="14" spans="1:5" ht="15" customHeight="1" x14ac:dyDescent="0.25">
      <c r="A14" s="5" t="s">
        <v>435</v>
      </c>
      <c r="B14" s="39">
        <v>1</v>
      </c>
      <c r="C14" s="5" t="s">
        <v>8</v>
      </c>
      <c r="D14" s="18">
        <v>6000</v>
      </c>
      <c r="E14" s="32">
        <f>B14*D14</f>
        <v>6000</v>
      </c>
    </row>
    <row r="15" spans="1:5" ht="15" customHeight="1" x14ac:dyDescent="0.25">
      <c r="A15" s="5" t="s">
        <v>436</v>
      </c>
      <c r="B15" s="39">
        <v>1</v>
      </c>
      <c r="C15" s="5" t="s">
        <v>8</v>
      </c>
      <c r="D15" s="18">
        <v>4500</v>
      </c>
      <c r="E15" s="32">
        <f>B15*D15</f>
        <v>4500</v>
      </c>
    </row>
    <row r="16" spans="1:5" ht="15" customHeight="1" x14ac:dyDescent="0.25">
      <c r="A16" s="5" t="s">
        <v>437</v>
      </c>
      <c r="B16" s="39">
        <v>1</v>
      </c>
      <c r="C16" s="5" t="s">
        <v>8</v>
      </c>
      <c r="D16" s="18">
        <v>2000</v>
      </c>
      <c r="E16" s="32">
        <f>B16*D16</f>
        <v>2000</v>
      </c>
    </row>
    <row r="17" spans="1:5" ht="15" customHeight="1" x14ac:dyDescent="0.25">
      <c r="B17" s="29" t="s">
        <v>438</v>
      </c>
      <c r="E17" s="34">
        <f>SUM(E13:E16)</f>
        <v>18000</v>
      </c>
    </row>
    <row r="19" spans="1:5" ht="15" customHeight="1" x14ac:dyDescent="0.25">
      <c r="A19" s="12" t="s">
        <v>151</v>
      </c>
      <c r="B19" s="12" t="s">
        <v>439</v>
      </c>
      <c r="C19" s="13"/>
      <c r="D19" s="13"/>
      <c r="E19" s="13"/>
    </row>
    <row r="20" spans="1:5" ht="15" customHeight="1" x14ac:dyDescent="0.25">
      <c r="A20" s="4" t="s">
        <v>330</v>
      </c>
      <c r="B20" s="4" t="s">
        <v>77</v>
      </c>
      <c r="C20" s="4" t="s">
        <v>0</v>
      </c>
      <c r="D20" s="4" t="s">
        <v>13</v>
      </c>
      <c r="E20" s="4" t="s">
        <v>14</v>
      </c>
    </row>
    <row r="21" spans="1:5" ht="15" customHeight="1" x14ac:dyDescent="0.25">
      <c r="A21" s="5" t="s">
        <v>440</v>
      </c>
      <c r="B21" s="39">
        <v>1</v>
      </c>
      <c r="C21" s="5" t="s">
        <v>351</v>
      </c>
      <c r="D21" s="18">
        <v>1200</v>
      </c>
      <c r="E21" s="32">
        <f>B21*D21</f>
        <v>1200</v>
      </c>
    </row>
    <row r="22" spans="1:5" ht="15" customHeight="1" x14ac:dyDescent="0.25">
      <c r="A22" s="5" t="s">
        <v>441</v>
      </c>
      <c r="B22" s="39">
        <v>1</v>
      </c>
      <c r="C22" s="5" t="s">
        <v>351</v>
      </c>
      <c r="D22" s="18">
        <v>300</v>
      </c>
      <c r="E22" s="32">
        <f>B22*D22</f>
        <v>300</v>
      </c>
    </row>
    <row r="23" spans="1:5" ht="15" customHeight="1" x14ac:dyDescent="0.25">
      <c r="B23" s="29" t="s">
        <v>442</v>
      </c>
      <c r="E23" s="34">
        <f>SUM(E21:E22)</f>
        <v>1500</v>
      </c>
    </row>
    <row r="25" spans="1:5" ht="15" customHeight="1" x14ac:dyDescent="0.25">
      <c r="A25" s="12" t="s">
        <v>154</v>
      </c>
      <c r="B25" s="12" t="s">
        <v>443</v>
      </c>
      <c r="C25" s="13"/>
      <c r="D25" s="13"/>
      <c r="E25" s="13"/>
    </row>
    <row r="26" spans="1:5" ht="15" customHeight="1" x14ac:dyDescent="0.25">
      <c r="A26" s="4" t="s">
        <v>330</v>
      </c>
      <c r="B26" s="4" t="s">
        <v>77</v>
      </c>
      <c r="C26" s="4" t="s">
        <v>0</v>
      </c>
      <c r="D26" s="4" t="s">
        <v>13</v>
      </c>
      <c r="E26" s="4" t="s">
        <v>14</v>
      </c>
    </row>
    <row r="27" spans="1:5" ht="15" customHeight="1" x14ac:dyDescent="0.25">
      <c r="A27" s="5" t="s">
        <v>444</v>
      </c>
      <c r="B27" s="39">
        <v>1</v>
      </c>
      <c r="C27" s="5" t="s">
        <v>8</v>
      </c>
      <c r="D27" s="18">
        <v>2200</v>
      </c>
      <c r="E27" s="32">
        <f>B27*D27</f>
        <v>2200</v>
      </c>
    </row>
    <row r="28" spans="1:5" ht="15" customHeight="1" x14ac:dyDescent="0.25">
      <c r="A28" s="5" t="s">
        <v>436</v>
      </c>
      <c r="B28" s="39">
        <v>1</v>
      </c>
      <c r="C28" s="5" t="s">
        <v>8</v>
      </c>
      <c r="D28" s="18">
        <v>1300</v>
      </c>
      <c r="E28" s="32">
        <f>B28*D28</f>
        <v>1300</v>
      </c>
    </row>
    <row r="29" spans="1:5" ht="15" customHeight="1" x14ac:dyDescent="0.25">
      <c r="A29" s="5" t="s">
        <v>445</v>
      </c>
      <c r="B29" s="39">
        <v>1</v>
      </c>
      <c r="C29" s="5" t="s">
        <v>8</v>
      </c>
      <c r="D29" s="18">
        <v>500</v>
      </c>
      <c r="E29" s="32">
        <f>B29*D29</f>
        <v>500</v>
      </c>
    </row>
    <row r="30" spans="1:5" ht="15" customHeight="1" x14ac:dyDescent="0.25">
      <c r="B30" s="29" t="s">
        <v>446</v>
      </c>
      <c r="E30" s="34">
        <f>SUM(E27:E29)</f>
        <v>4000</v>
      </c>
    </row>
    <row r="32" spans="1:5" ht="15" customHeight="1" x14ac:dyDescent="0.25">
      <c r="A32" s="12" t="s">
        <v>21</v>
      </c>
      <c r="B32" s="12" t="s">
        <v>447</v>
      </c>
      <c r="C32" s="13"/>
      <c r="D32" s="13"/>
      <c r="E32" s="13"/>
    </row>
    <row r="33" spans="1:5" ht="15" customHeight="1" x14ac:dyDescent="0.25">
      <c r="A33" s="4" t="s">
        <v>330</v>
      </c>
      <c r="B33" s="4" t="s">
        <v>77</v>
      </c>
      <c r="C33" s="4" t="s">
        <v>0</v>
      </c>
      <c r="D33" s="4" t="s">
        <v>13</v>
      </c>
      <c r="E33" s="4" t="s">
        <v>14</v>
      </c>
    </row>
    <row r="34" spans="1:5" ht="15" customHeight="1" x14ac:dyDescent="0.25">
      <c r="A34" s="5" t="s">
        <v>448</v>
      </c>
      <c r="B34" s="39">
        <v>1</v>
      </c>
      <c r="C34" s="5" t="s">
        <v>2</v>
      </c>
      <c r="D34" s="18">
        <v>3</v>
      </c>
      <c r="E34" s="32">
        <f>B34*D34</f>
        <v>3</v>
      </c>
    </row>
    <row r="35" spans="1:5" ht="15" customHeight="1" x14ac:dyDescent="0.25">
      <c r="A35" s="5" t="s">
        <v>449</v>
      </c>
      <c r="B35" s="40">
        <f>'Site Data'!C13</f>
        <v>12</v>
      </c>
      <c r="C35" s="5" t="s">
        <v>450</v>
      </c>
      <c r="D35" s="18">
        <v>0.35</v>
      </c>
      <c r="E35" s="32">
        <f>B35*D35</f>
        <v>4.1999999999999993</v>
      </c>
    </row>
    <row r="36" spans="1:5" ht="15" customHeight="1" x14ac:dyDescent="0.25">
      <c r="B36" s="29" t="s">
        <v>451</v>
      </c>
      <c r="E36" s="34">
        <f>SUM(E34:E35)</f>
        <v>7.1999999999999993</v>
      </c>
    </row>
    <row r="38" spans="1:5" ht="15" customHeight="1" x14ac:dyDescent="0.25">
      <c r="A38" s="12" t="s">
        <v>161</v>
      </c>
      <c r="B38" s="12" t="s">
        <v>452</v>
      </c>
      <c r="C38" s="13"/>
      <c r="D38" s="13"/>
      <c r="E38" s="13"/>
    </row>
    <row r="39" spans="1:5" ht="15" customHeight="1" x14ac:dyDescent="0.25">
      <c r="A39" s="4" t="s">
        <v>330</v>
      </c>
      <c r="B39" s="4" t="s">
        <v>77</v>
      </c>
      <c r="C39" s="4" t="s">
        <v>0</v>
      </c>
      <c r="D39" s="4" t="s">
        <v>13</v>
      </c>
      <c r="E39" s="4" t="s">
        <v>14</v>
      </c>
    </row>
    <row r="40" spans="1:5" ht="15" customHeight="1" x14ac:dyDescent="0.25">
      <c r="A40" s="5" t="s">
        <v>453</v>
      </c>
      <c r="B40" s="39">
        <v>800</v>
      </c>
      <c r="C40" s="5" t="s">
        <v>454</v>
      </c>
      <c r="D40" s="18">
        <v>1.2</v>
      </c>
      <c r="E40" s="32">
        <f>B40*D40</f>
        <v>960</v>
      </c>
    </row>
    <row r="41" spans="1:5" ht="15" customHeight="1" x14ac:dyDescent="0.25">
      <c r="A41" s="5" t="s">
        <v>455</v>
      </c>
      <c r="B41" s="39">
        <v>20</v>
      </c>
      <c r="C41" s="5" t="s">
        <v>335</v>
      </c>
      <c r="D41" s="18">
        <v>12</v>
      </c>
      <c r="E41" s="32">
        <f>B41*D41</f>
        <v>240</v>
      </c>
    </row>
    <row r="42" spans="1:5" ht="15" customHeight="1" x14ac:dyDescent="0.25">
      <c r="B42" s="29" t="s">
        <v>456</v>
      </c>
      <c r="E42" s="34">
        <f>SUM(E40:E41)</f>
        <v>1200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zoomScaleNormal="100" workbookViewId="0"/>
  </sheetViews>
  <sheetFormatPr defaultColWidth="8.7109375" defaultRowHeight="15" x14ac:dyDescent="0.25"/>
  <cols>
    <col min="1" max="1" width="46" style="1" customWidth="1"/>
    <col min="2" max="2" width="10" style="1" customWidth="1"/>
    <col min="3" max="3" width="9" style="1" customWidth="1"/>
    <col min="4" max="4" width="11" style="1" customWidth="1"/>
    <col min="5" max="5" width="12" style="1" customWidth="1"/>
  </cols>
  <sheetData>
    <row r="1" spans="1:5" ht="17.25" customHeight="1" x14ac:dyDescent="0.25">
      <c r="A1" s="2" t="s">
        <v>457</v>
      </c>
    </row>
    <row r="2" spans="1:5" ht="15" customHeight="1" x14ac:dyDescent="0.25">
      <c r="A2" s="3" t="s">
        <v>328</v>
      </c>
    </row>
    <row r="4" spans="1:5" ht="15" customHeight="1" x14ac:dyDescent="0.25">
      <c r="A4" s="12" t="s">
        <v>166</v>
      </c>
      <c r="B4" s="12" t="s">
        <v>458</v>
      </c>
      <c r="C4" s="13"/>
      <c r="D4" s="13"/>
      <c r="E4" s="13"/>
    </row>
    <row r="5" spans="1:5" ht="15" customHeight="1" x14ac:dyDescent="0.25">
      <c r="A5" s="4" t="s">
        <v>330</v>
      </c>
      <c r="B5" s="4" t="s">
        <v>77</v>
      </c>
      <c r="C5" s="4" t="s">
        <v>0</v>
      </c>
      <c r="D5" s="4" t="s">
        <v>13</v>
      </c>
      <c r="E5" s="4" t="s">
        <v>14</v>
      </c>
    </row>
    <row r="6" spans="1:5" ht="15" customHeight="1" x14ac:dyDescent="0.25">
      <c r="A6" s="5" t="s">
        <v>459</v>
      </c>
      <c r="B6" s="39">
        <v>2</v>
      </c>
      <c r="C6" s="5" t="s">
        <v>53</v>
      </c>
      <c r="D6" s="18">
        <v>50</v>
      </c>
      <c r="E6" s="32">
        <f>B6*D6</f>
        <v>100</v>
      </c>
    </row>
    <row r="7" spans="1:5" ht="15" customHeight="1" x14ac:dyDescent="0.25">
      <c r="A7" s="5" t="s">
        <v>460</v>
      </c>
      <c r="B7" s="39">
        <v>1</v>
      </c>
      <c r="C7" s="5" t="s">
        <v>351</v>
      </c>
      <c r="D7" s="18">
        <v>80</v>
      </c>
      <c r="E7" s="32">
        <f>B7*D7</f>
        <v>80</v>
      </c>
    </row>
    <row r="8" spans="1:5" ht="15" customHeight="1" x14ac:dyDescent="0.25">
      <c r="A8" s="5" t="s">
        <v>461</v>
      </c>
      <c r="B8" s="39">
        <v>1</v>
      </c>
      <c r="C8" s="5" t="s">
        <v>351</v>
      </c>
      <c r="D8" s="18">
        <v>100</v>
      </c>
      <c r="E8" s="32">
        <f>B8*D8</f>
        <v>100</v>
      </c>
    </row>
    <row r="9" spans="1:5" ht="15" customHeight="1" x14ac:dyDescent="0.25">
      <c r="A9" s="5" t="s">
        <v>462</v>
      </c>
      <c r="B9" s="39">
        <v>1</v>
      </c>
      <c r="C9" s="5" t="s">
        <v>351</v>
      </c>
      <c r="D9" s="18">
        <v>70</v>
      </c>
      <c r="E9" s="32">
        <f>B9*D9</f>
        <v>70</v>
      </c>
    </row>
    <row r="10" spans="1:5" ht="15" customHeight="1" x14ac:dyDescent="0.25">
      <c r="B10" s="29" t="s">
        <v>463</v>
      </c>
      <c r="E10" s="34">
        <f>SUM(E6:E9)</f>
        <v>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"/>
  <sheetViews>
    <sheetView zoomScaleNormal="100" workbookViewId="0"/>
  </sheetViews>
  <sheetFormatPr defaultColWidth="8.7109375" defaultRowHeight="15" x14ac:dyDescent="0.25"/>
  <cols>
    <col min="1" max="1" width="46" style="1" customWidth="1"/>
    <col min="2" max="2" width="10" style="1" customWidth="1"/>
    <col min="3" max="3" width="9" style="1" customWidth="1"/>
    <col min="4" max="4" width="11" style="1" customWidth="1"/>
    <col min="5" max="5" width="12" style="1" customWidth="1"/>
  </cols>
  <sheetData>
    <row r="1" spans="1:5" ht="17.25" customHeight="1" x14ac:dyDescent="0.25">
      <c r="A1" s="2" t="s">
        <v>464</v>
      </c>
    </row>
    <row r="2" spans="1:5" ht="15" customHeight="1" x14ac:dyDescent="0.25">
      <c r="A2" s="3" t="s">
        <v>328</v>
      </c>
    </row>
    <row r="4" spans="1:5" ht="15" customHeight="1" x14ac:dyDescent="0.25">
      <c r="A4" s="12" t="s">
        <v>185</v>
      </c>
      <c r="B4" s="12" t="s">
        <v>465</v>
      </c>
      <c r="C4" s="13"/>
      <c r="D4" s="13"/>
      <c r="E4" s="13"/>
    </row>
    <row r="5" spans="1:5" ht="15" customHeight="1" x14ac:dyDescent="0.25">
      <c r="A5" s="4" t="s">
        <v>330</v>
      </c>
      <c r="B5" s="4" t="s">
        <v>77</v>
      </c>
      <c r="C5" s="4" t="s">
        <v>0</v>
      </c>
      <c r="D5" s="4" t="s">
        <v>13</v>
      </c>
      <c r="E5" s="4" t="s">
        <v>14</v>
      </c>
    </row>
    <row r="6" spans="1:5" ht="15" customHeight="1" x14ac:dyDescent="0.25">
      <c r="A6" s="5" t="s">
        <v>466</v>
      </c>
      <c r="B6" s="40">
        <f>'Site Data'!C14</f>
        <v>80</v>
      </c>
      <c r="C6" s="5" t="s">
        <v>467</v>
      </c>
      <c r="D6" s="18">
        <v>4</v>
      </c>
      <c r="E6" s="32">
        <f>B6*D6</f>
        <v>320</v>
      </c>
    </row>
    <row r="7" spans="1:5" ht="15" customHeight="1" x14ac:dyDescent="0.25">
      <c r="A7" s="5" t="s">
        <v>468</v>
      </c>
      <c r="B7" s="39">
        <v>1</v>
      </c>
      <c r="C7" s="5" t="s">
        <v>351</v>
      </c>
      <c r="D7" s="18">
        <v>30</v>
      </c>
      <c r="E7" s="32">
        <f>B7*D7</f>
        <v>30</v>
      </c>
    </row>
    <row r="8" spans="1:5" ht="15" customHeight="1" x14ac:dyDescent="0.25">
      <c r="A8" s="5" t="s">
        <v>469</v>
      </c>
      <c r="B8" s="39">
        <v>1</v>
      </c>
      <c r="C8" s="5" t="s">
        <v>351</v>
      </c>
      <c r="D8" s="18">
        <v>100</v>
      </c>
      <c r="E8" s="32">
        <f>B8*D8</f>
        <v>100</v>
      </c>
    </row>
    <row r="9" spans="1:5" ht="15" customHeight="1" x14ac:dyDescent="0.25">
      <c r="A9" s="5" t="s">
        <v>470</v>
      </c>
      <c r="B9" s="39">
        <v>1</v>
      </c>
      <c r="C9" s="5" t="s">
        <v>351</v>
      </c>
      <c r="D9" s="18">
        <v>50</v>
      </c>
      <c r="E9" s="32">
        <f>B9*D9</f>
        <v>50</v>
      </c>
    </row>
    <row r="10" spans="1:5" ht="15" customHeight="1" x14ac:dyDescent="0.25">
      <c r="B10" s="29" t="s">
        <v>471</v>
      </c>
      <c r="E10" s="34">
        <f>SUM(E6:E9)</f>
        <v>500</v>
      </c>
    </row>
    <row r="12" spans="1:5" ht="15" customHeight="1" x14ac:dyDescent="0.25">
      <c r="A12" s="12" t="s">
        <v>188</v>
      </c>
      <c r="B12" s="12" t="s">
        <v>472</v>
      </c>
      <c r="C12" s="13"/>
      <c r="D12" s="13"/>
      <c r="E12" s="13"/>
    </row>
    <row r="13" spans="1:5" ht="15" customHeight="1" x14ac:dyDescent="0.25">
      <c r="A13" s="4" t="s">
        <v>330</v>
      </c>
      <c r="B13" s="4" t="s">
        <v>77</v>
      </c>
      <c r="C13" s="4" t="s">
        <v>0</v>
      </c>
      <c r="D13" s="4" t="s">
        <v>13</v>
      </c>
      <c r="E13" s="4" t="s">
        <v>14</v>
      </c>
    </row>
    <row r="14" spans="1:5" ht="15" customHeight="1" x14ac:dyDescent="0.25">
      <c r="A14" s="5" t="s">
        <v>473</v>
      </c>
      <c r="B14" s="39">
        <v>3</v>
      </c>
      <c r="C14" s="5" t="s">
        <v>53</v>
      </c>
      <c r="D14" s="18">
        <v>250</v>
      </c>
      <c r="E14" s="32">
        <f>B14*D14</f>
        <v>750</v>
      </c>
    </row>
    <row r="15" spans="1:5" ht="15" customHeight="1" x14ac:dyDescent="0.25">
      <c r="A15" s="5" t="s">
        <v>474</v>
      </c>
      <c r="B15" s="39">
        <v>1</v>
      </c>
      <c r="C15" s="5" t="s">
        <v>351</v>
      </c>
      <c r="D15" s="18">
        <v>100</v>
      </c>
      <c r="E15" s="32">
        <f>B15*D15</f>
        <v>100</v>
      </c>
    </row>
    <row r="16" spans="1:5" ht="15" customHeight="1" x14ac:dyDescent="0.25">
      <c r="A16" s="5" t="s">
        <v>475</v>
      </c>
      <c r="B16" s="39">
        <v>1</v>
      </c>
      <c r="C16" s="5" t="s">
        <v>351</v>
      </c>
      <c r="D16" s="18">
        <v>50</v>
      </c>
      <c r="E16" s="32">
        <f>B16*D16</f>
        <v>50</v>
      </c>
    </row>
    <row r="17" spans="1:5" ht="15" customHeight="1" x14ac:dyDescent="0.25">
      <c r="B17" s="29" t="s">
        <v>476</v>
      </c>
      <c r="E17" s="34">
        <f>SUM(E14:E16)</f>
        <v>900</v>
      </c>
    </row>
    <row r="19" spans="1:5" ht="15" customHeight="1" x14ac:dyDescent="0.25">
      <c r="A19" s="12" t="s">
        <v>191</v>
      </c>
      <c r="B19" s="12" t="s">
        <v>477</v>
      </c>
      <c r="C19" s="13"/>
      <c r="D19" s="13"/>
      <c r="E19" s="13"/>
    </row>
    <row r="20" spans="1:5" ht="15" customHeight="1" x14ac:dyDescent="0.25">
      <c r="A20" s="4" t="s">
        <v>330</v>
      </c>
      <c r="B20" s="4" t="s">
        <v>77</v>
      </c>
      <c r="C20" s="4" t="s">
        <v>0</v>
      </c>
      <c r="D20" s="4" t="s">
        <v>13</v>
      </c>
      <c r="E20" s="4" t="s">
        <v>14</v>
      </c>
    </row>
    <row r="21" spans="1:5" ht="15" customHeight="1" x14ac:dyDescent="0.25">
      <c r="A21" s="5" t="s">
        <v>478</v>
      </c>
      <c r="B21" s="39">
        <v>300</v>
      </c>
      <c r="C21" s="5" t="s">
        <v>479</v>
      </c>
      <c r="D21" s="18">
        <v>15</v>
      </c>
      <c r="E21" s="32">
        <f>B21*D21</f>
        <v>4500</v>
      </c>
    </row>
    <row r="22" spans="1:5" ht="15" customHeight="1" x14ac:dyDescent="0.25">
      <c r="A22" s="5" t="s">
        <v>480</v>
      </c>
      <c r="B22" s="39">
        <v>40</v>
      </c>
      <c r="C22" s="5" t="s">
        <v>53</v>
      </c>
      <c r="D22" s="18">
        <v>30</v>
      </c>
      <c r="E22" s="32">
        <f>B22*D22</f>
        <v>1200</v>
      </c>
    </row>
    <row r="23" spans="1:5" ht="15" customHeight="1" x14ac:dyDescent="0.25">
      <c r="A23" s="5" t="s">
        <v>481</v>
      </c>
      <c r="B23" s="39">
        <v>1</v>
      </c>
      <c r="C23" s="5" t="s">
        <v>8</v>
      </c>
      <c r="D23" s="18">
        <v>800</v>
      </c>
      <c r="E23" s="32">
        <f>B23*D23</f>
        <v>800</v>
      </c>
    </row>
    <row r="24" spans="1:5" ht="15" customHeight="1" x14ac:dyDescent="0.25">
      <c r="A24" s="5" t="s">
        <v>482</v>
      </c>
      <c r="B24" s="39">
        <v>1</v>
      </c>
      <c r="C24" s="5" t="s">
        <v>8</v>
      </c>
      <c r="D24" s="18">
        <v>1500</v>
      </c>
      <c r="E24" s="32">
        <f>B24*D24</f>
        <v>1500</v>
      </c>
    </row>
    <row r="25" spans="1:5" ht="15" customHeight="1" x14ac:dyDescent="0.25">
      <c r="B25" s="29" t="s">
        <v>483</v>
      </c>
      <c r="E25" s="34">
        <f>SUM(E21:E24)</f>
        <v>8000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2"/>
  <sheetViews>
    <sheetView zoomScaleNormal="100" workbookViewId="0"/>
  </sheetViews>
  <sheetFormatPr defaultColWidth="8.7109375" defaultRowHeight="15" x14ac:dyDescent="0.25"/>
  <cols>
    <col min="1" max="1" width="46" style="1" customWidth="1"/>
    <col min="2" max="2" width="10" style="1" customWidth="1"/>
    <col min="3" max="3" width="9" style="1" customWidth="1"/>
    <col min="4" max="4" width="11" style="1" customWidth="1"/>
    <col min="5" max="5" width="12" style="1" customWidth="1"/>
  </cols>
  <sheetData>
    <row r="1" spans="1:5" ht="17.25" customHeight="1" x14ac:dyDescent="0.25">
      <c r="A1" s="2" t="s">
        <v>484</v>
      </c>
    </row>
    <row r="2" spans="1:5" ht="15" customHeight="1" x14ac:dyDescent="0.25">
      <c r="A2" s="3" t="s">
        <v>328</v>
      </c>
    </row>
    <row r="4" spans="1:5" ht="15" customHeight="1" x14ac:dyDescent="0.25">
      <c r="A4" s="12" t="s">
        <v>222</v>
      </c>
      <c r="B4" s="12" t="s">
        <v>485</v>
      </c>
      <c r="C4" s="13"/>
      <c r="D4" s="13"/>
      <c r="E4" s="13"/>
    </row>
    <row r="5" spans="1:5" ht="15" customHeight="1" x14ac:dyDescent="0.25">
      <c r="A5" s="4" t="s">
        <v>330</v>
      </c>
      <c r="B5" s="4" t="s">
        <v>77</v>
      </c>
      <c r="C5" s="4" t="s">
        <v>0</v>
      </c>
      <c r="D5" s="4" t="s">
        <v>13</v>
      </c>
      <c r="E5" s="4" t="s">
        <v>14</v>
      </c>
    </row>
    <row r="6" spans="1:5" ht="15" customHeight="1" x14ac:dyDescent="0.25">
      <c r="A6" s="5" t="s">
        <v>486</v>
      </c>
      <c r="B6" s="39">
        <v>20</v>
      </c>
      <c r="C6" s="5" t="s">
        <v>487</v>
      </c>
      <c r="D6" s="18">
        <v>450</v>
      </c>
      <c r="E6" s="32">
        <f>B6*D6</f>
        <v>9000</v>
      </c>
    </row>
    <row r="7" spans="1:5" ht="15" customHeight="1" x14ac:dyDescent="0.25">
      <c r="A7" s="5" t="s">
        <v>488</v>
      </c>
      <c r="B7" s="39">
        <v>1</v>
      </c>
      <c r="C7" s="5" t="s">
        <v>8</v>
      </c>
      <c r="D7" s="18">
        <v>1000</v>
      </c>
      <c r="E7" s="32">
        <f>B7*D7</f>
        <v>1000</v>
      </c>
    </row>
    <row r="8" spans="1:5" ht="15" customHeight="1" x14ac:dyDescent="0.25">
      <c r="B8" s="29" t="s">
        <v>489</v>
      </c>
      <c r="E8" s="34">
        <f>SUM(E6:E7)</f>
        <v>10000</v>
      </c>
    </row>
    <row r="10" spans="1:5" ht="15" customHeight="1" x14ac:dyDescent="0.25">
      <c r="A10" s="12" t="s">
        <v>225</v>
      </c>
      <c r="B10" s="12" t="s">
        <v>490</v>
      </c>
      <c r="C10" s="13"/>
      <c r="D10" s="13"/>
      <c r="E10" s="13"/>
    </row>
    <row r="11" spans="1:5" ht="15" customHeight="1" x14ac:dyDescent="0.25">
      <c r="A11" s="4" t="s">
        <v>330</v>
      </c>
      <c r="B11" s="4" t="s">
        <v>77</v>
      </c>
      <c r="C11" s="4" t="s">
        <v>0</v>
      </c>
      <c r="D11" s="4" t="s">
        <v>13</v>
      </c>
      <c r="E11" s="4" t="s">
        <v>14</v>
      </c>
    </row>
    <row r="12" spans="1:5" ht="15" customHeight="1" x14ac:dyDescent="0.25">
      <c r="A12" s="5" t="s">
        <v>491</v>
      </c>
      <c r="B12" s="39">
        <v>10</v>
      </c>
      <c r="C12" s="5" t="s">
        <v>487</v>
      </c>
      <c r="D12" s="18">
        <v>500</v>
      </c>
      <c r="E12" s="32">
        <f>B12*D12</f>
        <v>5000</v>
      </c>
    </row>
    <row r="13" spans="1:5" ht="15" customHeight="1" x14ac:dyDescent="0.25">
      <c r="A13" s="5" t="s">
        <v>492</v>
      </c>
      <c r="B13" s="39">
        <v>1</v>
      </c>
      <c r="C13" s="5" t="s">
        <v>8</v>
      </c>
      <c r="D13" s="18">
        <v>1000</v>
      </c>
      <c r="E13" s="32">
        <f>B13*D13</f>
        <v>1000</v>
      </c>
    </row>
    <row r="14" spans="1:5" ht="15" customHeight="1" x14ac:dyDescent="0.25">
      <c r="B14" s="29" t="s">
        <v>493</v>
      </c>
      <c r="E14" s="34">
        <f>SUM(E12:E13)</f>
        <v>6000</v>
      </c>
    </row>
    <row r="16" spans="1:5" ht="15" customHeight="1" x14ac:dyDescent="0.25">
      <c r="A16" s="12" t="s">
        <v>228</v>
      </c>
      <c r="B16" s="12" t="s">
        <v>494</v>
      </c>
      <c r="C16" s="13"/>
      <c r="D16" s="13"/>
      <c r="E16" s="13"/>
    </row>
    <row r="17" spans="1:5" ht="15" customHeight="1" x14ac:dyDescent="0.25">
      <c r="A17" s="4" t="s">
        <v>330</v>
      </c>
      <c r="B17" s="4" t="s">
        <v>77</v>
      </c>
      <c r="C17" s="4" t="s">
        <v>0</v>
      </c>
      <c r="D17" s="4" t="s">
        <v>13</v>
      </c>
      <c r="E17" s="4" t="s">
        <v>14</v>
      </c>
    </row>
    <row r="18" spans="1:5" ht="15" customHeight="1" x14ac:dyDescent="0.25">
      <c r="A18" s="5" t="s">
        <v>495</v>
      </c>
      <c r="B18" s="39">
        <v>1</v>
      </c>
      <c r="C18" s="5" t="s">
        <v>8</v>
      </c>
      <c r="D18" s="18">
        <v>1500</v>
      </c>
      <c r="E18" s="32">
        <f>B18*D18</f>
        <v>1500</v>
      </c>
    </row>
    <row r="19" spans="1:5" ht="15" customHeight="1" x14ac:dyDescent="0.25">
      <c r="A19" s="5" t="s">
        <v>496</v>
      </c>
      <c r="B19" s="39">
        <v>1</v>
      </c>
      <c r="C19" s="5" t="s">
        <v>8</v>
      </c>
      <c r="D19" s="18">
        <v>1500</v>
      </c>
      <c r="E19" s="32">
        <f>B19*D19</f>
        <v>1500</v>
      </c>
    </row>
    <row r="20" spans="1:5" ht="15" customHeight="1" x14ac:dyDescent="0.25">
      <c r="A20" s="5" t="s">
        <v>497</v>
      </c>
      <c r="B20" s="39">
        <v>1</v>
      </c>
      <c r="C20" s="5" t="s">
        <v>8</v>
      </c>
      <c r="D20" s="18">
        <v>1500</v>
      </c>
      <c r="E20" s="32">
        <f>B20*D20</f>
        <v>1500</v>
      </c>
    </row>
    <row r="21" spans="1:5" ht="15" customHeight="1" x14ac:dyDescent="0.25">
      <c r="A21" s="5" t="s">
        <v>498</v>
      </c>
      <c r="B21" s="39">
        <v>1</v>
      </c>
      <c r="C21" s="5" t="s">
        <v>8</v>
      </c>
      <c r="D21" s="18">
        <v>500</v>
      </c>
      <c r="E21" s="32">
        <f>B21*D21</f>
        <v>500</v>
      </c>
    </row>
    <row r="22" spans="1:5" ht="15" customHeight="1" x14ac:dyDescent="0.25">
      <c r="B22" s="29" t="s">
        <v>499</v>
      </c>
      <c r="E22" s="34">
        <f>SUM(E18:E21)</f>
        <v>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6"/>
  <sheetViews>
    <sheetView showGridLines="0" tabSelected="1" topLeftCell="A35" zoomScaleNormal="100" workbookViewId="0">
      <selection activeCell="A59" sqref="A59"/>
    </sheetView>
  </sheetViews>
  <sheetFormatPr defaultColWidth="8.7109375" defaultRowHeight="15" x14ac:dyDescent="0.25"/>
  <cols>
    <col min="1" max="1" width="40" style="1" customWidth="1"/>
    <col min="2" max="2" width="10" style="1" customWidth="1"/>
    <col min="3" max="3" width="45" style="1" customWidth="1"/>
    <col min="4" max="4" width="40" style="1" customWidth="1"/>
  </cols>
  <sheetData>
    <row r="1" spans="1:4" ht="15" customHeight="1" x14ac:dyDescent="0.25">
      <c r="A1" s="41" t="s">
        <v>500</v>
      </c>
    </row>
    <row r="2" spans="1:4" ht="14.25" customHeight="1" x14ac:dyDescent="0.25">
      <c r="A2" s="42" t="s">
        <v>11</v>
      </c>
      <c r="B2" s="42" t="s">
        <v>75</v>
      </c>
      <c r="D2" s="42" t="s">
        <v>76</v>
      </c>
    </row>
    <row r="3" spans="1:4" ht="14.25" customHeight="1" x14ac:dyDescent="0.25">
      <c r="A3" s="43" t="s">
        <v>501</v>
      </c>
      <c r="B3" s="43" t="s">
        <v>502</v>
      </c>
      <c r="C3" s="43" t="s">
        <v>503</v>
      </c>
    </row>
    <row r="4" spans="1:4" ht="14.25" customHeight="1" x14ac:dyDescent="0.25">
      <c r="A4" s="43" t="s">
        <v>504</v>
      </c>
      <c r="B4" s="43" t="s">
        <v>505</v>
      </c>
      <c r="C4" s="43" t="s">
        <v>506</v>
      </c>
    </row>
    <row r="5" spans="1:4" ht="14.25" customHeight="1" x14ac:dyDescent="0.25">
      <c r="A5" s="43" t="s">
        <v>507</v>
      </c>
      <c r="B5" s="43" t="s">
        <v>508</v>
      </c>
      <c r="C5" s="43" t="s">
        <v>509</v>
      </c>
    </row>
    <row r="6" spans="1:4" ht="14.25" customHeight="1" x14ac:dyDescent="0.25">
      <c r="A6" s="43" t="s">
        <v>510</v>
      </c>
      <c r="B6" s="43" t="s">
        <v>511</v>
      </c>
      <c r="C6" s="43" t="s">
        <v>512</v>
      </c>
    </row>
    <row r="7" spans="1:4" ht="14.25" customHeight="1" x14ac:dyDescent="0.25">
      <c r="A7" s="43" t="s">
        <v>513</v>
      </c>
      <c r="B7" s="43" t="s">
        <v>514</v>
      </c>
      <c r="C7" s="43" t="s">
        <v>515</v>
      </c>
    </row>
    <row r="8" spans="1:4" ht="14.25" customHeight="1" x14ac:dyDescent="0.25">
      <c r="A8" s="43" t="s">
        <v>516</v>
      </c>
      <c r="B8" s="43" t="s">
        <v>517</v>
      </c>
      <c r="C8" s="43" t="s">
        <v>518</v>
      </c>
    </row>
    <row r="9" spans="1:4" ht="14.25" customHeight="1" x14ac:dyDescent="0.25">
      <c r="A9" s="43" t="s">
        <v>519</v>
      </c>
      <c r="B9" s="43" t="s">
        <v>520</v>
      </c>
      <c r="C9" s="43" t="s">
        <v>521</v>
      </c>
    </row>
    <row r="10" spans="1:4" ht="14.25" customHeight="1" x14ac:dyDescent="0.25">
      <c r="A10" s="43" t="s">
        <v>522</v>
      </c>
      <c r="B10" s="43" t="s">
        <v>523</v>
      </c>
      <c r="C10" s="43" t="s">
        <v>524</v>
      </c>
    </row>
    <row r="11" spans="1:4" ht="14.25" customHeight="1" x14ac:dyDescent="0.25">
      <c r="A11" s="43" t="s">
        <v>525</v>
      </c>
      <c r="B11" s="43" t="s">
        <v>526</v>
      </c>
      <c r="C11" s="43" t="s">
        <v>527</v>
      </c>
    </row>
    <row r="12" spans="1:4" ht="14.25" customHeight="1" x14ac:dyDescent="0.25">
      <c r="A12" s="43" t="s">
        <v>4</v>
      </c>
      <c r="B12" s="43" t="s">
        <v>528</v>
      </c>
      <c r="C12" s="43" t="s">
        <v>529</v>
      </c>
    </row>
    <row r="13" spans="1:4" ht="14.25" customHeight="1" x14ac:dyDescent="0.25">
      <c r="A13" s="43" t="s">
        <v>530</v>
      </c>
      <c r="B13" s="43" t="s">
        <v>24</v>
      </c>
      <c r="C13" s="43" t="s">
        <v>531</v>
      </c>
    </row>
    <row r="14" spans="1:4" ht="14.25" customHeight="1" x14ac:dyDescent="0.25">
      <c r="A14" s="43" t="s">
        <v>532</v>
      </c>
      <c r="B14" s="43" t="s">
        <v>533</v>
      </c>
      <c r="C14" s="43" t="s">
        <v>534</v>
      </c>
    </row>
    <row r="15" spans="1:4" ht="14.25" customHeight="1" x14ac:dyDescent="0.25">
      <c r="A15" s="43" t="s">
        <v>535</v>
      </c>
      <c r="B15" s="43" t="s">
        <v>536</v>
      </c>
      <c r="C15" s="43" t="s">
        <v>537</v>
      </c>
    </row>
    <row r="16" spans="1:4" ht="14.25" customHeight="1" x14ac:dyDescent="0.25">
      <c r="A16" s="43" t="s">
        <v>538</v>
      </c>
      <c r="B16" s="43" t="s">
        <v>25</v>
      </c>
      <c r="C16" s="43" t="s">
        <v>539</v>
      </c>
    </row>
    <row r="17" spans="1:4" ht="14.25" customHeight="1" x14ac:dyDescent="0.25">
      <c r="A17" s="43" t="s">
        <v>27</v>
      </c>
      <c r="B17" s="43" t="s">
        <v>540</v>
      </c>
      <c r="C17" s="43" t="s">
        <v>541</v>
      </c>
    </row>
    <row r="18" spans="1:4" ht="14.25" customHeight="1" x14ac:dyDescent="0.25">
      <c r="A18" s="43" t="s">
        <v>542</v>
      </c>
      <c r="B18" s="43" t="s">
        <v>543</v>
      </c>
      <c r="C18" s="43" t="s">
        <v>544</v>
      </c>
      <c r="D18" s="43" t="s">
        <v>545</v>
      </c>
    </row>
    <row r="19" spans="1:4" ht="14.25" customHeight="1" x14ac:dyDescent="0.25">
      <c r="A19" s="43" t="s">
        <v>546</v>
      </c>
      <c r="B19" s="43" t="s">
        <v>547</v>
      </c>
      <c r="C19" s="43" t="s">
        <v>548</v>
      </c>
      <c r="D19" s="43" t="s">
        <v>549</v>
      </c>
    </row>
    <row r="20" spans="1:4" ht="14.25" customHeight="1" x14ac:dyDescent="0.25">
      <c r="A20" s="43" t="s">
        <v>31</v>
      </c>
      <c r="B20" s="43" t="s">
        <v>30</v>
      </c>
      <c r="C20" s="43" t="s">
        <v>550</v>
      </c>
      <c r="D20" s="43" t="s">
        <v>551</v>
      </c>
    </row>
    <row r="21" spans="1:4" ht="14.25" customHeight="1" x14ac:dyDescent="0.25">
      <c r="A21" s="43" t="s">
        <v>552</v>
      </c>
      <c r="B21" s="43" t="s">
        <v>553</v>
      </c>
      <c r="C21" s="43" t="s">
        <v>554</v>
      </c>
      <c r="D21" s="43" t="s">
        <v>555</v>
      </c>
    </row>
    <row r="22" spans="1:4" ht="14.25" customHeight="1" x14ac:dyDescent="0.25">
      <c r="A22" s="43" t="s">
        <v>556</v>
      </c>
      <c r="B22" s="43" t="s">
        <v>557</v>
      </c>
      <c r="C22" s="43" t="s">
        <v>558</v>
      </c>
      <c r="D22" s="43" t="s">
        <v>559</v>
      </c>
    </row>
    <row r="23" spans="1:4" ht="14.25" customHeight="1" x14ac:dyDescent="0.25">
      <c r="A23" s="43" t="s">
        <v>560</v>
      </c>
      <c r="B23" s="43" t="s">
        <v>561</v>
      </c>
      <c r="C23" s="43" t="s">
        <v>562</v>
      </c>
      <c r="D23" s="43" t="s">
        <v>563</v>
      </c>
    </row>
    <row r="24" spans="1:4" ht="14.25" customHeight="1" x14ac:dyDescent="0.25">
      <c r="A24" s="43" t="s">
        <v>564</v>
      </c>
      <c r="B24" s="43" t="s">
        <v>565</v>
      </c>
      <c r="C24" s="43" t="s">
        <v>566</v>
      </c>
      <c r="D24" s="43" t="s">
        <v>567</v>
      </c>
    </row>
    <row r="25" spans="1:4" ht="14.25" customHeight="1" x14ac:dyDescent="0.25">
      <c r="A25" s="43" t="s">
        <v>7</v>
      </c>
      <c r="B25" s="43" t="s">
        <v>568</v>
      </c>
      <c r="C25" s="43" t="s">
        <v>569</v>
      </c>
    </row>
    <row r="26" spans="1:4" ht="14.25" customHeight="1" x14ac:dyDescent="0.25">
      <c r="A26" s="43" t="s">
        <v>570</v>
      </c>
      <c r="B26" s="43" t="s">
        <v>26</v>
      </c>
      <c r="C26" s="43" t="s">
        <v>571</v>
      </c>
      <c r="D26" s="43" t="s">
        <v>545</v>
      </c>
    </row>
    <row r="27" spans="1:4" ht="14.25" customHeight="1" x14ac:dyDescent="0.25">
      <c r="A27" s="43" t="s">
        <v>572</v>
      </c>
      <c r="B27" s="43" t="s">
        <v>573</v>
      </c>
      <c r="C27" s="43" t="s">
        <v>574</v>
      </c>
      <c r="D27" s="43" t="s">
        <v>575</v>
      </c>
    </row>
    <row r="28" spans="1:4" ht="14.25" customHeight="1" x14ac:dyDescent="0.25">
      <c r="A28" s="43" t="s">
        <v>576</v>
      </c>
      <c r="B28" s="43" t="s">
        <v>577</v>
      </c>
      <c r="C28" s="43" t="s">
        <v>578</v>
      </c>
      <c r="D28" s="43" t="s">
        <v>579</v>
      </c>
    </row>
    <row r="29" spans="1:4" ht="14.25" customHeight="1" x14ac:dyDescent="0.25">
      <c r="A29" s="43" t="s">
        <v>580</v>
      </c>
      <c r="B29" s="43" t="s">
        <v>581</v>
      </c>
      <c r="C29" s="43" t="s">
        <v>582</v>
      </c>
      <c r="D29" s="43" t="s">
        <v>549</v>
      </c>
    </row>
    <row r="30" spans="1:4" ht="14.25" customHeight="1" x14ac:dyDescent="0.25">
      <c r="A30" s="43" t="s">
        <v>29</v>
      </c>
      <c r="B30" s="43" t="s">
        <v>583</v>
      </c>
      <c r="C30" s="43" t="s">
        <v>584</v>
      </c>
    </row>
    <row r="31" spans="1:4" ht="14.25" customHeight="1" x14ac:dyDescent="0.25">
      <c r="A31" s="43" t="s">
        <v>585</v>
      </c>
      <c r="B31" s="43" t="s">
        <v>586</v>
      </c>
      <c r="C31" s="43" t="s">
        <v>587</v>
      </c>
      <c r="D31" s="43" t="s">
        <v>588</v>
      </c>
    </row>
    <row r="32" spans="1:4" ht="14.25" customHeight="1" x14ac:dyDescent="0.25">
      <c r="A32" s="43" t="s">
        <v>589</v>
      </c>
      <c r="B32" s="43" t="s">
        <v>28</v>
      </c>
      <c r="C32" s="43" t="s">
        <v>590</v>
      </c>
      <c r="D32" s="43" t="s">
        <v>591</v>
      </c>
    </row>
    <row r="33" spans="1:4" ht="14.25" customHeight="1" x14ac:dyDescent="0.25">
      <c r="A33" s="43" t="s">
        <v>592</v>
      </c>
      <c r="B33" s="43" t="s">
        <v>593</v>
      </c>
      <c r="C33" s="43" t="s">
        <v>594</v>
      </c>
      <c r="D33" s="43" t="s">
        <v>595</v>
      </c>
    </row>
    <row r="34" spans="1:4" ht="14.25" customHeight="1" x14ac:dyDescent="0.25">
      <c r="A34" s="43" t="s">
        <v>596</v>
      </c>
      <c r="B34" s="43" t="s">
        <v>597</v>
      </c>
      <c r="C34" s="43" t="s">
        <v>598</v>
      </c>
    </row>
    <row r="35" spans="1:4" ht="14.25" customHeight="1" x14ac:dyDescent="0.25">
      <c r="A35" s="43" t="s">
        <v>599</v>
      </c>
      <c r="B35" s="43" t="s">
        <v>600</v>
      </c>
      <c r="C35" s="43" t="s">
        <v>601</v>
      </c>
    </row>
    <row r="36" spans="1:4" ht="14.25" customHeight="1" x14ac:dyDescent="0.25">
      <c r="A36" s="43" t="s">
        <v>602</v>
      </c>
      <c r="B36" s="43" t="s">
        <v>603</v>
      </c>
      <c r="C36" s="43" t="s">
        <v>604</v>
      </c>
    </row>
    <row r="37" spans="1:4" ht="14.25" customHeight="1" x14ac:dyDescent="0.25">
      <c r="A37" s="43" t="s">
        <v>605</v>
      </c>
      <c r="B37" s="43" t="s">
        <v>606</v>
      </c>
      <c r="C37" s="43" t="s">
        <v>607</v>
      </c>
    </row>
    <row r="38" spans="1:4" ht="14.25" customHeight="1" x14ac:dyDescent="0.25">
      <c r="A38" s="43" t="s">
        <v>608</v>
      </c>
      <c r="B38" s="43" t="s">
        <v>609</v>
      </c>
      <c r="C38" s="43" t="s">
        <v>610</v>
      </c>
    </row>
    <row r="39" spans="1:4" ht="14.25" customHeight="1" x14ac:dyDescent="0.25">
      <c r="A39" s="43" t="s">
        <v>611</v>
      </c>
      <c r="B39" s="43" t="s">
        <v>612</v>
      </c>
      <c r="C39" s="43" t="s">
        <v>613</v>
      </c>
    </row>
    <row r="40" spans="1:4" ht="14.25" customHeight="1" x14ac:dyDescent="0.25">
      <c r="A40" s="43" t="s">
        <v>614</v>
      </c>
      <c r="B40" s="43" t="s">
        <v>615</v>
      </c>
      <c r="C40" s="43" t="s">
        <v>616</v>
      </c>
    </row>
    <row r="41" spans="1:4" ht="14.25" customHeight="1" x14ac:dyDescent="0.25">
      <c r="A41" s="43" t="s">
        <v>617</v>
      </c>
      <c r="B41" s="43" t="s">
        <v>618</v>
      </c>
      <c r="C41" s="43" t="s">
        <v>619</v>
      </c>
    </row>
    <row r="42" spans="1:4" ht="14.25" customHeight="1" x14ac:dyDescent="0.25">
      <c r="A42" s="43" t="s">
        <v>620</v>
      </c>
      <c r="B42" s="43" t="s">
        <v>621</v>
      </c>
      <c r="C42" s="43" t="s">
        <v>622</v>
      </c>
    </row>
    <row r="43" spans="1:4" ht="14.25" customHeight="1" x14ac:dyDescent="0.25">
      <c r="A43" s="43" t="s">
        <v>33</v>
      </c>
      <c r="B43" s="43" t="s">
        <v>623</v>
      </c>
      <c r="C43" s="43" t="s">
        <v>624</v>
      </c>
    </row>
    <row r="44" spans="1:4" ht="14.25" customHeight="1" x14ac:dyDescent="0.25">
      <c r="A44" s="43" t="s">
        <v>35</v>
      </c>
      <c r="B44" s="43" t="s">
        <v>34</v>
      </c>
      <c r="C44" s="43" t="s">
        <v>625</v>
      </c>
    </row>
    <row r="45" spans="1:4" ht="14.25" customHeight="1" x14ac:dyDescent="0.25">
      <c r="A45" s="43" t="s">
        <v>626</v>
      </c>
      <c r="B45" s="43" t="s">
        <v>36</v>
      </c>
      <c r="C45" s="43" t="s">
        <v>627</v>
      </c>
    </row>
    <row r="46" spans="1:4" ht="14.25" customHeight="1" x14ac:dyDescent="0.25">
      <c r="A46" s="43" t="s">
        <v>628</v>
      </c>
      <c r="B46" s="43" t="s">
        <v>629</v>
      </c>
      <c r="C46" s="43" t="s">
        <v>630</v>
      </c>
    </row>
    <row r="47" spans="1:4" ht="14.25" customHeight="1" x14ac:dyDescent="0.25">
      <c r="A47" s="43" t="s">
        <v>631</v>
      </c>
      <c r="B47" s="43" t="s">
        <v>632</v>
      </c>
      <c r="C47" s="43" t="s">
        <v>633</v>
      </c>
    </row>
    <row r="48" spans="1:4" ht="14.25" customHeight="1" x14ac:dyDescent="0.25">
      <c r="A48" s="43" t="s">
        <v>634</v>
      </c>
      <c r="B48" s="43" t="s">
        <v>32</v>
      </c>
      <c r="C48" s="43" t="s">
        <v>635</v>
      </c>
    </row>
    <row r="49" spans="1:3" ht="14.25" customHeight="1" x14ac:dyDescent="0.25">
      <c r="A49" s="43" t="s">
        <v>636</v>
      </c>
      <c r="B49" s="43" t="s">
        <v>637</v>
      </c>
      <c r="C49" s="43" t="s">
        <v>638</v>
      </c>
    </row>
    <row r="50" spans="1:3" ht="14.25" customHeight="1" x14ac:dyDescent="0.25">
      <c r="A50" s="43" t="s">
        <v>639</v>
      </c>
      <c r="B50" s="43" t="s">
        <v>640</v>
      </c>
      <c r="C50" s="43" t="s">
        <v>641</v>
      </c>
    </row>
    <row r="51" spans="1:3" ht="14.25" customHeight="1" x14ac:dyDescent="0.25">
      <c r="A51" s="43" t="s">
        <v>642</v>
      </c>
      <c r="B51" s="43" t="s">
        <v>643</v>
      </c>
      <c r="C51" s="43" t="s">
        <v>644</v>
      </c>
    </row>
    <row r="52" spans="1:3" ht="14.25" customHeight="1" x14ac:dyDescent="0.25">
      <c r="A52" s="43" t="s">
        <v>645</v>
      </c>
      <c r="B52" s="43" t="s">
        <v>646</v>
      </c>
      <c r="C52" s="43" t="s">
        <v>647</v>
      </c>
    </row>
    <row r="53" spans="1:3" ht="14.25" customHeight="1" x14ac:dyDescent="0.25">
      <c r="A53" s="43" t="s">
        <v>648</v>
      </c>
      <c r="B53" s="43" t="s">
        <v>649</v>
      </c>
      <c r="C53" s="43" t="s">
        <v>650</v>
      </c>
    </row>
    <row r="54" spans="1:3" ht="14.25" customHeight="1" x14ac:dyDescent="0.25">
      <c r="A54" s="43" t="s">
        <v>6</v>
      </c>
      <c r="B54" s="43" t="s">
        <v>651</v>
      </c>
      <c r="C54" s="43" t="s">
        <v>652</v>
      </c>
    </row>
    <row r="55" spans="1:3" ht="14.25" customHeight="1" x14ac:dyDescent="0.25">
      <c r="A55" s="43" t="s">
        <v>653</v>
      </c>
      <c r="B55" s="43" t="s">
        <v>654</v>
      </c>
      <c r="C55" s="43" t="s">
        <v>655</v>
      </c>
    </row>
    <row r="56" spans="1:3" ht="14.25" customHeight="1" x14ac:dyDescent="0.25">
      <c r="A56" s="43" t="s">
        <v>656</v>
      </c>
      <c r="B56" s="43" t="s">
        <v>657</v>
      </c>
      <c r="C56" s="43" t="s">
        <v>658</v>
      </c>
    </row>
    <row r="57" spans="1:3" ht="14.25" customHeight="1" x14ac:dyDescent="0.25">
      <c r="A57" s="43" t="s">
        <v>659</v>
      </c>
      <c r="B57" s="43" t="s">
        <v>660</v>
      </c>
      <c r="C57" s="43" t="s">
        <v>661</v>
      </c>
    </row>
    <row r="58" spans="1:3" ht="14.25" customHeight="1" x14ac:dyDescent="0.25">
      <c r="A58" s="43" t="s">
        <v>662</v>
      </c>
      <c r="B58" s="43" t="s">
        <v>663</v>
      </c>
      <c r="C58" s="43" t="s">
        <v>664</v>
      </c>
    </row>
    <row r="59" spans="1:3" ht="14.25" customHeight="1" x14ac:dyDescent="0.25">
      <c r="A59" s="43" t="s">
        <v>665</v>
      </c>
      <c r="B59" s="43" t="s">
        <v>666</v>
      </c>
      <c r="C59" s="43" t="s">
        <v>667</v>
      </c>
    </row>
    <row r="60" spans="1:3" ht="14.25" customHeight="1" x14ac:dyDescent="0.25">
      <c r="A60" s="43" t="s">
        <v>668</v>
      </c>
      <c r="B60" s="43" t="s">
        <v>669</v>
      </c>
      <c r="C60" s="43" t="s">
        <v>670</v>
      </c>
    </row>
    <row r="61" spans="1:3" ht="14.25" customHeight="1" x14ac:dyDescent="0.25">
      <c r="A61" s="43" t="s">
        <v>671</v>
      </c>
      <c r="B61" s="43" t="s">
        <v>672</v>
      </c>
      <c r="C61" s="43" t="s">
        <v>673</v>
      </c>
    </row>
    <row r="62" spans="1:3" ht="14.25" customHeight="1" x14ac:dyDescent="0.25">
      <c r="A62" s="43" t="s">
        <v>674</v>
      </c>
      <c r="B62" s="43" t="s">
        <v>242</v>
      </c>
      <c r="C62" s="43" t="s">
        <v>675</v>
      </c>
    </row>
    <row r="63" spans="1:3" ht="14.25" customHeight="1" x14ac:dyDescent="0.25">
      <c r="A63" s="43" t="s">
        <v>676</v>
      </c>
      <c r="B63" s="43" t="s">
        <v>677</v>
      </c>
      <c r="C63" s="43" t="s">
        <v>678</v>
      </c>
    </row>
    <row r="64" spans="1:3" ht="14.25" customHeight="1" x14ac:dyDescent="0.25">
      <c r="A64" s="43" t="s">
        <v>679</v>
      </c>
      <c r="B64" s="43" t="s">
        <v>680</v>
      </c>
      <c r="C64" s="43" t="s">
        <v>681</v>
      </c>
    </row>
    <row r="65" spans="1:3" ht="14.25" customHeight="1" x14ac:dyDescent="0.25">
      <c r="A65" s="43" t="s">
        <v>682</v>
      </c>
      <c r="B65" s="43" t="s">
        <v>683</v>
      </c>
      <c r="C65" s="43" t="s">
        <v>682</v>
      </c>
    </row>
    <row r="66" spans="1:3" ht="14.25" customHeight="1" x14ac:dyDescent="0.25">
      <c r="A66" s="43" t="s">
        <v>684</v>
      </c>
      <c r="B66" s="43" t="s">
        <v>78</v>
      </c>
      <c r="C66" s="43" t="s">
        <v>685</v>
      </c>
    </row>
    <row r="67" spans="1:3" ht="14.25" customHeight="1" x14ac:dyDescent="0.25">
      <c r="A67" s="43" t="s">
        <v>686</v>
      </c>
      <c r="B67" s="43" t="s">
        <v>80</v>
      </c>
      <c r="C67" s="43" t="s">
        <v>687</v>
      </c>
    </row>
    <row r="68" spans="1:3" ht="14.25" customHeight="1" x14ac:dyDescent="0.25">
      <c r="A68" s="43" t="s">
        <v>688</v>
      </c>
      <c r="B68" s="43" t="s">
        <v>100</v>
      </c>
      <c r="C68" s="43" t="s">
        <v>689</v>
      </c>
    </row>
    <row r="69" spans="1:3" ht="14.25" customHeight="1" x14ac:dyDescent="0.25">
      <c r="A69" s="43" t="s">
        <v>18</v>
      </c>
      <c r="B69" s="43" t="s">
        <v>123</v>
      </c>
      <c r="C69" s="43" t="s">
        <v>690</v>
      </c>
    </row>
    <row r="70" spans="1:3" ht="14.25" customHeight="1" x14ac:dyDescent="0.25">
      <c r="A70" s="43" t="s">
        <v>691</v>
      </c>
      <c r="B70" s="43" t="s">
        <v>135</v>
      </c>
      <c r="C70" s="43" t="s">
        <v>692</v>
      </c>
    </row>
    <row r="71" spans="1:3" ht="14.25" customHeight="1" x14ac:dyDescent="0.25">
      <c r="A71" s="43" t="s">
        <v>22</v>
      </c>
      <c r="B71" s="43" t="s">
        <v>143</v>
      </c>
      <c r="C71" s="43" t="s">
        <v>693</v>
      </c>
    </row>
    <row r="72" spans="1:3" ht="14.25" customHeight="1" x14ac:dyDescent="0.25">
      <c r="A72" s="43" t="s">
        <v>694</v>
      </c>
      <c r="B72" s="43" t="s">
        <v>164</v>
      </c>
      <c r="C72" s="43" t="s">
        <v>695</v>
      </c>
    </row>
    <row r="73" spans="1:3" ht="14.25" customHeight="1" x14ac:dyDescent="0.25">
      <c r="A73" s="43" t="s">
        <v>696</v>
      </c>
      <c r="B73" s="43" t="s">
        <v>169</v>
      </c>
      <c r="C73" s="43" t="s">
        <v>697</v>
      </c>
    </row>
    <row r="74" spans="1:3" ht="14.25" customHeight="1" x14ac:dyDescent="0.25">
      <c r="A74" s="43" t="s">
        <v>698</v>
      </c>
      <c r="B74" s="43" t="s">
        <v>183</v>
      </c>
      <c r="C74" s="43" t="s">
        <v>699</v>
      </c>
    </row>
    <row r="75" spans="1:3" ht="14.25" customHeight="1" x14ac:dyDescent="0.25">
      <c r="A75" s="43" t="s">
        <v>700</v>
      </c>
      <c r="B75" s="43" t="s">
        <v>196</v>
      </c>
      <c r="C75" s="43" t="s">
        <v>701</v>
      </c>
    </row>
    <row r="76" spans="1:3" ht="14.25" customHeight="1" x14ac:dyDescent="0.25">
      <c r="A76" s="43" t="s">
        <v>702</v>
      </c>
      <c r="B76" s="43" t="s">
        <v>199</v>
      </c>
      <c r="C76" s="43" t="s">
        <v>703</v>
      </c>
    </row>
    <row r="77" spans="1:3" ht="14.25" customHeight="1" x14ac:dyDescent="0.25">
      <c r="A77" s="43" t="s">
        <v>202</v>
      </c>
      <c r="B77" s="43" t="s">
        <v>201</v>
      </c>
      <c r="C77" s="43" t="s">
        <v>704</v>
      </c>
    </row>
    <row r="78" spans="1:3" ht="14.25" customHeight="1" x14ac:dyDescent="0.25">
      <c r="A78" s="43" t="s">
        <v>205</v>
      </c>
      <c r="B78" s="43" t="s">
        <v>204</v>
      </c>
      <c r="C78" s="43" t="s">
        <v>705</v>
      </c>
    </row>
    <row r="79" spans="1:3" ht="14.25" customHeight="1" x14ac:dyDescent="0.25">
      <c r="A79" s="43" t="s">
        <v>706</v>
      </c>
      <c r="B79" s="43" t="s">
        <v>207</v>
      </c>
      <c r="C79" s="43" t="s">
        <v>707</v>
      </c>
    </row>
    <row r="80" spans="1:3" ht="14.25" customHeight="1" x14ac:dyDescent="0.25">
      <c r="A80" s="43" t="s">
        <v>708</v>
      </c>
      <c r="B80" s="43" t="s">
        <v>209</v>
      </c>
      <c r="C80" s="43" t="s">
        <v>709</v>
      </c>
    </row>
    <row r="81" spans="1:3" ht="14.25" customHeight="1" x14ac:dyDescent="0.25">
      <c r="A81" s="43" t="s">
        <v>212</v>
      </c>
      <c r="B81" s="43" t="s">
        <v>211</v>
      </c>
      <c r="C81" s="43" t="s">
        <v>710</v>
      </c>
    </row>
    <row r="82" spans="1:3" ht="14.25" customHeight="1" x14ac:dyDescent="0.25">
      <c r="A82" s="43" t="s">
        <v>711</v>
      </c>
      <c r="B82" s="43" t="s">
        <v>213</v>
      </c>
      <c r="C82" s="43" t="s">
        <v>712</v>
      </c>
    </row>
    <row r="83" spans="1:3" ht="14.25" customHeight="1" x14ac:dyDescent="0.25">
      <c r="A83" s="43" t="s">
        <v>217</v>
      </c>
      <c r="B83" s="43" t="s">
        <v>216</v>
      </c>
      <c r="C83" s="43" t="s">
        <v>713</v>
      </c>
    </row>
    <row r="84" spans="1:3" ht="14.25" customHeight="1" x14ac:dyDescent="0.25">
      <c r="A84" s="43" t="s">
        <v>219</v>
      </c>
      <c r="B84" s="43" t="s">
        <v>218</v>
      </c>
      <c r="C84" s="43" t="s">
        <v>714</v>
      </c>
    </row>
    <row r="85" spans="1:3" ht="14.25" customHeight="1" x14ac:dyDescent="0.25">
      <c r="A85" s="43" t="s">
        <v>715</v>
      </c>
      <c r="B85" s="43" t="s">
        <v>220</v>
      </c>
      <c r="C85" s="43" t="s">
        <v>716</v>
      </c>
    </row>
    <row r="86" spans="1:3" ht="14.25" customHeight="1" x14ac:dyDescent="0.25">
      <c r="A86" s="43" t="s">
        <v>717</v>
      </c>
      <c r="B86" s="43" t="s">
        <v>231</v>
      </c>
      <c r="C86" s="43" t="s">
        <v>718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Site Data</vt:lpstr>
      <vt:lpstr>Preliminaries</vt:lpstr>
      <vt:lpstr>Staff Schedule</vt:lpstr>
      <vt:lpstr>Temp Utilities</vt:lpstr>
      <vt:lpstr>BU Z.01.01</vt:lpstr>
      <vt:lpstr>BU Z.01.02</vt:lpstr>
      <vt:lpstr>BU Z.01.03</vt:lpstr>
      <vt:lpstr>BU Z.01.04</vt:lpstr>
      <vt:lpstr>BU Z.01.05</vt:lpstr>
      <vt:lpstr>BU Z.01.06</vt:lpstr>
      <vt:lpstr>BU Z.01.08</vt:lpstr>
      <vt:lpstr>BU Z.50</vt:lpstr>
      <vt:lpstr>Budget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Pouth Liheng</dc:creator>
  <dc:description/>
  <cp:lastModifiedBy>Pouth Liheng</cp:lastModifiedBy>
  <cp:revision>0</cp:revision>
  <dcterms:created xsi:type="dcterms:W3CDTF">2023-08-11T10:23:59Z</dcterms:created>
  <dcterms:modified xsi:type="dcterms:W3CDTF">2026-07-18T07:12:40Z</dcterms:modified>
  <dc:language>en-US</dc:language>
</cp:coreProperties>
</file>