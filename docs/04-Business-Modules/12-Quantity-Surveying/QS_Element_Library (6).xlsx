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cos-system\docs\03-Business-Modules\12-Quantity-Surveying\"/>
    </mc:Choice>
  </mc:AlternateContent>
  <xr:revisionPtr revIDLastSave="0" documentId="13_ncr:1_{2A039E5D-00BD-410E-81BD-D08DB33BAC60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Element Library" sheetId="1" r:id="rId1"/>
    <sheet name="Description Library" sheetId="2" r:id="rId2"/>
    <sheet name="Price List Library" sheetId="3" r:id="rId3"/>
    <sheet name="Preliminaries Library" sheetId="4" r:id="rId4"/>
    <sheet name="Entry Template" sheetId="5" r:id="rId5"/>
    <sheet name="Project Setup" sheetId="6" r:id="rId6"/>
    <sheet name="Validation Lists" sheetId="7" r:id="rId7"/>
    <sheet name="Naming Standard" sheetId="8" r:id="rId8"/>
  </sheets>
  <definedNames>
    <definedName name="_B001">'Validation Lists'!$AP$5:$AP$11</definedName>
    <definedName name="_B002">'Validation Lists'!$AQ$5:$AQ$10</definedName>
    <definedName name="_B003">'Validation Lists'!$AR$5:$AR$16</definedName>
    <definedName name="_B004">'Validation Lists'!$AS$5:$AS$9</definedName>
    <definedName name="_B005">'Validation Lists'!$AT$5:$AT$15</definedName>
    <definedName name="_B006">'Validation Lists'!$AU$5:$AU$15</definedName>
    <definedName name="_B007">'Validation Lists'!$AV$5:$AV$11</definedName>
    <definedName name="_B008">'Validation Lists'!$AW$5:$AW$14</definedName>
    <definedName name="_B009">'Validation Lists'!$AX$5:$AX$15</definedName>
    <definedName name="_B010">'Validation Lists'!$AY$5:$AY$15</definedName>
    <definedName name="_B011">'Validation Lists'!$AZ$5:$AZ$12</definedName>
    <definedName name="_B012">'Validation Lists'!$BA$5:$BA$13</definedName>
    <definedName name="_B013">'Validation Lists'!$BB$5:$BB$10</definedName>
    <definedName name="_B014">'Validation Lists'!$BC$5:$BC$8</definedName>
    <definedName name="_B015">'Validation Lists'!$BD$5:$BD$10</definedName>
    <definedName name="_B016">'Validation Lists'!$BE$5:$BE$9</definedName>
    <definedName name="_B017">'Validation Lists'!$BF$5:$BF$8</definedName>
    <definedName name="_B018">'Validation Lists'!$BG$5:$BG$8</definedName>
    <definedName name="_B019">'Validation Lists'!$BH$5:$BH$9</definedName>
    <definedName name="_B020">'Validation Lists'!$BI$5:$BI$8</definedName>
    <definedName name="_B021">'Validation Lists'!$BJ$5:$BJ$18</definedName>
    <definedName name="_B022">'Validation Lists'!$BK$5:$BK$12</definedName>
    <definedName name="_B023">'Validation Lists'!$BL$5:$BL$8</definedName>
    <definedName name="_B024">'Validation Lists'!$BM$5:$BM$9</definedName>
    <definedName name="_B025">'Validation Lists'!$BN$5:$BN$7</definedName>
    <definedName name="_B026">'Validation Lists'!$BO$5:$BO$7</definedName>
    <definedName name="_B027">'Validation Lists'!$BP$5:$BP$6</definedName>
    <definedName name="_B028">'Validation Lists'!$BQ$5:$BQ$8</definedName>
    <definedName name="_B029">'Validation Lists'!$BR$5:$BR$7</definedName>
    <definedName name="_B030">'Validation Lists'!$BS$5:$BS$7</definedName>
    <definedName name="_B031">'Validation Lists'!$BT$5:$BT$6</definedName>
    <definedName name="_B032">'Validation Lists'!$BU$5:$BU$6</definedName>
    <definedName name="_B033">'Validation Lists'!$BV$5:$BV$6</definedName>
    <definedName name="_B034">'Validation Lists'!$BW$5:$BW$6</definedName>
    <definedName name="_B035">'Validation Lists'!$BX$5:$BX$6</definedName>
    <definedName name="_B036">'Validation Lists'!$BY$5:$BY$6</definedName>
    <definedName name="_B037">'Validation Lists'!$BZ$5:$BZ$8</definedName>
    <definedName name="_B038">'Validation Lists'!$CA$5:$CA$8</definedName>
    <definedName name="_B039">'Validation Lists'!$CB$5:$CB$6</definedName>
    <definedName name="_B040">'Validation Lists'!$CC$5:$CC$8</definedName>
    <definedName name="_B041">'Validation Lists'!$CD$5:$CD$6</definedName>
    <definedName name="_B042">'Validation Lists'!$CE$5:$CE$6</definedName>
    <definedName name="_B043">'Validation Lists'!$CF$5:$CF$6</definedName>
    <definedName name="_B044">'Validation Lists'!$CG$5:$CG$7</definedName>
    <definedName name="_B045">'Validation Lists'!$CH$5:$CH$8</definedName>
    <definedName name="_B046">'Validation Lists'!$CI$5:$CI$7</definedName>
    <definedName name="_B047">'Validation Lists'!$CJ$5:$CJ$8</definedName>
    <definedName name="_B048">'Validation Lists'!$CK$5:$CK$8</definedName>
    <definedName name="_B049">'Validation Lists'!$CL$5:$CL$8</definedName>
    <definedName name="_B050">'Validation Lists'!$CM$5:$CM$8</definedName>
    <definedName name="_B051">'Validation Lists'!$CN$5:$CN$6</definedName>
    <definedName name="_B052">'Validation Lists'!$CO$5:$CO$8</definedName>
    <definedName name="_B053">'Validation Lists'!$CP$5:$CP$6</definedName>
    <definedName name="_B054">'Validation Lists'!$CQ$5:$CQ$6</definedName>
    <definedName name="_B055">'Validation Lists'!$CR$5:$CR$7</definedName>
    <definedName name="_B056">'Validation Lists'!$CS$5:$CS$6</definedName>
    <definedName name="_B057">'Validation Lists'!$CT$5:$CT$5</definedName>
    <definedName name="_B058">'Validation Lists'!$CU$5:$CU$6</definedName>
    <definedName name="_B059">'Validation Lists'!$CV$5:$CV$6</definedName>
    <definedName name="_B060">'Validation Lists'!$CW$5:$CW$9</definedName>
    <definedName name="_B061">'Validation Lists'!$CX$5:$CX$6</definedName>
    <definedName name="_B062">'Validation Lists'!$CY$5:$CY$6</definedName>
    <definedName name="_B063">'Validation Lists'!$CZ$5:$CZ$6</definedName>
    <definedName name="_B064">'Validation Lists'!$DA$5:$DA$6</definedName>
    <definedName name="_B065">'Validation Lists'!$DB$5:$DB$6</definedName>
    <definedName name="_B066">'Validation Lists'!$DC$5:$DC$8</definedName>
    <definedName name="_B067">'Validation Lists'!$DD$5:$DD$5</definedName>
    <definedName name="_B068">'Validation Lists'!$DE$5:$DE$6</definedName>
    <definedName name="_B069">'Validation Lists'!$DF$5:$DF$7</definedName>
    <definedName name="_B070">'Validation Lists'!$DG$5:$DG$7</definedName>
    <definedName name="_B071">'Validation Lists'!$DH$5:$DH$9</definedName>
    <definedName name="_B072">'Validation Lists'!$DI$5:$DI$6</definedName>
    <definedName name="_B073">'Validation Lists'!$DJ$5:$DJ$7</definedName>
    <definedName name="_B074">'Validation Lists'!$DK$5:$DK$7</definedName>
    <definedName name="_B075">'Validation Lists'!$DL$5:$DL$6</definedName>
    <definedName name="_B076">'Validation Lists'!$DM$5:$DM$6</definedName>
    <definedName name="_B077">'Validation Lists'!$DN$5:$DN$9</definedName>
    <definedName name="_B078">'Validation Lists'!$DO$5:$DO$11</definedName>
    <definedName name="_B079">'Validation Lists'!$DP$5:$DP$7</definedName>
    <definedName name="_B080">'Validation Lists'!$DQ$5:$DQ$7</definedName>
    <definedName name="_B081">'Validation Lists'!$DR$5:$DR$10</definedName>
    <definedName name="_B082">'Validation Lists'!$DS$5:$DS$10</definedName>
    <definedName name="_B083">'Validation Lists'!$DT$5:$DT$10</definedName>
    <definedName name="_B084">'Validation Lists'!$DU$5:$DU$8</definedName>
    <definedName name="_B085">'Validation Lists'!$DV$5:$DV$7</definedName>
    <definedName name="_B086">'Validation Lists'!$DW$5:$DW$7</definedName>
    <definedName name="_B087">'Validation Lists'!$DX$5:$DX$9</definedName>
    <definedName name="_B088">'Validation Lists'!$DY$5:$DY$9</definedName>
    <definedName name="_B089">'Validation Lists'!$DZ$5:$DZ$9</definedName>
    <definedName name="_B090">'Validation Lists'!$EA$5:$EA$7</definedName>
    <definedName name="_B091">'Validation Lists'!$EB$5:$EB$8</definedName>
    <definedName name="_B092">'Validation Lists'!$EC$5:$EC$8</definedName>
    <definedName name="_B093">'Validation Lists'!$ED$5:$ED$8</definedName>
    <definedName name="_B094">'Validation Lists'!$EE$5:$EE$10</definedName>
    <definedName name="_B095">'Validation Lists'!$EF$5:$EF$10</definedName>
    <definedName name="_B096">'Validation Lists'!$EG$5:$EG$8</definedName>
    <definedName name="_B097">'Validation Lists'!$EH$5:$EH$9</definedName>
    <definedName name="_B098">'Validation Lists'!$EI$5:$EI$8</definedName>
    <definedName name="_B099">'Validation Lists'!$EJ$5:$EJ$8</definedName>
    <definedName name="_B100">'Validation Lists'!$EK$5:$EK$8</definedName>
    <definedName name="_B101">'Validation Lists'!$EL$5:$EL$8</definedName>
    <definedName name="_B102">'Validation Lists'!$EM$5:$EM$9</definedName>
    <definedName name="_B103">'Validation Lists'!$EN$5:$EN$9</definedName>
    <definedName name="_B104">'Validation Lists'!$EO$5:$EO$6</definedName>
    <definedName name="_B105">'Validation Lists'!$EP$5:$EP$9</definedName>
    <definedName name="_B106">'Validation Lists'!$EQ$5:$EQ$9</definedName>
    <definedName name="_B107">'Validation Lists'!$ER$5:$ER$10</definedName>
    <definedName name="_B108">'Validation Lists'!$ES$5:$ES$7</definedName>
    <definedName name="_B109">'Validation Lists'!$ET$5:$ET$8</definedName>
    <definedName name="_B110">'Validation Lists'!$EU$5:$EU$8</definedName>
    <definedName name="_B111">'Validation Lists'!$EV$5:$EV$7</definedName>
    <definedName name="_B112">'Validation Lists'!$EW$5:$EW$8</definedName>
    <definedName name="_B113">'Validation Lists'!$EX$5:$EX$8</definedName>
    <definedName name="_B114">'Validation Lists'!$EY$5:$EY$8</definedName>
    <definedName name="_B115">'Validation Lists'!$EZ$5:$EZ$5</definedName>
    <definedName name="_B116">'Validation Lists'!$FA$5:$FA$7</definedName>
    <definedName name="_B117">'Validation Lists'!$FB$5:$FB$9</definedName>
    <definedName name="_B118">'Validation Lists'!$FC$5:$FC$7</definedName>
    <definedName name="_B119">'Validation Lists'!$FD$5:$FD$10</definedName>
    <definedName name="_B120">'Validation Lists'!$FE$5:$FE$9</definedName>
    <definedName name="_B121">'Validation Lists'!$FF$5:$FF$8</definedName>
    <definedName name="_B122">'Validation Lists'!$FG$5:$FG$10</definedName>
    <definedName name="_B123">'Validation Lists'!$FH$5:$FH$5</definedName>
    <definedName name="_B124">'Validation Lists'!$FI$5:$FI$5</definedName>
    <definedName name="_BUILDING">'Project Setup'!$A$6:$A$10</definedName>
    <definedName name="_D001">'Validation Lists'!$FJ$5:$FJ$5</definedName>
    <definedName name="_D002">'Validation Lists'!$FK$5:$FK$5</definedName>
    <definedName name="_D003">'Validation Lists'!$FL$5:$FL$5</definedName>
    <definedName name="_D004">'Validation Lists'!$FM$5:$FM$5</definedName>
    <definedName name="_D005">'Validation Lists'!$FN$5:$FN$5</definedName>
    <definedName name="_D006">'Validation Lists'!$FO$5:$FO$5</definedName>
    <definedName name="_D007">'Validation Lists'!$FP$5:$FP$5</definedName>
    <definedName name="_D008">'Validation Lists'!$FQ$5:$FQ$5</definedName>
    <definedName name="_D009">'Validation Lists'!$FR$5:$FR$5</definedName>
    <definedName name="_D010">'Validation Lists'!$FS$5:$FS$5</definedName>
    <definedName name="_D011">'Validation Lists'!$FT$5:$FT$5</definedName>
    <definedName name="_D012">'Validation Lists'!$FU$5:$FU$5</definedName>
    <definedName name="_D013">'Validation Lists'!$FV$5:$FV$5</definedName>
    <definedName name="_D014">'Validation Lists'!$FW$5:$FW$6</definedName>
    <definedName name="_D015">'Validation Lists'!$FX$5:$FX$8</definedName>
    <definedName name="_D016">'Validation Lists'!$FY$5:$FY$13</definedName>
    <definedName name="_D017">'Validation Lists'!$FZ$5:$FZ$5</definedName>
    <definedName name="_D018">'Validation Lists'!$GA$5:$GA$5</definedName>
    <definedName name="_D019">'Validation Lists'!$GB$5:$GB$5</definedName>
    <definedName name="_D020">'Validation Lists'!$GC$5:$GC$6</definedName>
    <definedName name="_D021">'Validation Lists'!$GD$5:$GD$6</definedName>
    <definedName name="_D022">'Validation Lists'!$GE$5:$GE$6</definedName>
    <definedName name="_D023">'Validation Lists'!$GF$5:$GF$6</definedName>
    <definedName name="_D024">'Validation Lists'!$GG$5:$GG$5</definedName>
    <definedName name="_D025">'Validation Lists'!$GH$5:$GH$5</definedName>
    <definedName name="_D026">'Validation Lists'!$GI$5:$GI$5</definedName>
    <definedName name="_D027">'Validation Lists'!$GJ$5:$GJ$5</definedName>
    <definedName name="_D028">'Validation Lists'!$GK$5:$GK$5</definedName>
    <definedName name="_D029">'Validation Lists'!$GL$5:$GL$5</definedName>
    <definedName name="_D030">'Validation Lists'!$GM$5:$GM$6</definedName>
    <definedName name="_D031">'Validation Lists'!$GN$5:$GN$7</definedName>
    <definedName name="_D032">'Validation Lists'!$GO$5:$GO$5</definedName>
    <definedName name="_D033">'Validation Lists'!$GP$5:$GP$6</definedName>
    <definedName name="_D034">'Validation Lists'!$GQ$5:$GQ$5</definedName>
    <definedName name="_D035">'Validation Lists'!$GR$5:$GR$8</definedName>
    <definedName name="_D036">'Validation Lists'!$GS$5:$GS$7</definedName>
    <definedName name="_D037">'Validation Lists'!$GT$5:$GT$13</definedName>
    <definedName name="_D038">'Validation Lists'!$GU$5:$GU$5</definedName>
    <definedName name="_D039">'Validation Lists'!$GV$5:$GV$5</definedName>
    <definedName name="_D040">'Validation Lists'!$GW$5:$GW$7</definedName>
    <definedName name="_D041">'Validation Lists'!$GX$5:$GX$5</definedName>
    <definedName name="_D042">'Validation Lists'!$GY$5:$GY$7</definedName>
    <definedName name="_D043">'Validation Lists'!$GZ$5:$GZ$5</definedName>
    <definedName name="_D044">'Validation Lists'!$HA$5:$HA$6</definedName>
    <definedName name="_D045">'Validation Lists'!$HB$5:$HB$5</definedName>
    <definedName name="_D046">'Validation Lists'!$HC$5:$HC$8</definedName>
    <definedName name="_D047">'Validation Lists'!$HD$5:$HD$6</definedName>
    <definedName name="_D048">'Validation Lists'!$HE$5:$HE$13</definedName>
    <definedName name="_D049">'Validation Lists'!$HF$5:$HF$5</definedName>
    <definedName name="_D050">'Validation Lists'!$HG$5:$HG$5</definedName>
    <definedName name="_D051">'Validation Lists'!$HH$5:$HH$7</definedName>
    <definedName name="_D052">'Validation Lists'!$HI$5:$HI$5</definedName>
    <definedName name="_D053">'Validation Lists'!$HJ$5:$HJ$7</definedName>
    <definedName name="_D054">'Validation Lists'!$HK$5:$HK$5</definedName>
    <definedName name="_D055">'Validation Lists'!$HL$5:$HL$8</definedName>
    <definedName name="_D056">'Validation Lists'!$HM$5:$HM$6</definedName>
    <definedName name="_D057">'Validation Lists'!$HN$5:$HN$13</definedName>
    <definedName name="_D058">'Validation Lists'!$HO$5:$HO$5</definedName>
    <definedName name="_D059">'Validation Lists'!$HP$5:$HP$7</definedName>
    <definedName name="_D060">'Validation Lists'!$HQ$5:$HQ$5</definedName>
    <definedName name="_D061">'Validation Lists'!$HR$5:$HR$6</definedName>
    <definedName name="_D062">'Validation Lists'!$HS$5:$HS$5</definedName>
    <definedName name="_D063">'Validation Lists'!$HT$5:$HT$5</definedName>
    <definedName name="_D064">'Validation Lists'!$HU$5:$HU$5</definedName>
    <definedName name="_D065">'Validation Lists'!$HV$5:$HV$8</definedName>
    <definedName name="_D066">'Validation Lists'!$HW$5:$HW$6</definedName>
    <definedName name="_D067">'Validation Lists'!$HX$5:$HX$13</definedName>
    <definedName name="_D068">'Validation Lists'!$HY$5:$HY$5</definedName>
    <definedName name="_D069">'Validation Lists'!$HZ$5:$HZ$7</definedName>
    <definedName name="_D070">'Validation Lists'!$IA$5:$IA$7</definedName>
    <definedName name="_D071">'Validation Lists'!$IB$5:$IB$5</definedName>
    <definedName name="_D072">'Validation Lists'!$IC$5:$IC$6</definedName>
    <definedName name="_D073">'Validation Lists'!$ID$5:$ID$5</definedName>
    <definedName name="_D074">'Validation Lists'!$IE$5:$IE$8</definedName>
    <definedName name="_D075">'Validation Lists'!$IF$5:$IF$6</definedName>
    <definedName name="_D076">'Validation Lists'!$IG$5:$IG$13</definedName>
    <definedName name="_D077">'Validation Lists'!$IH$5:$IH$5</definedName>
    <definedName name="_D078">'Validation Lists'!$II$5:$II$5</definedName>
    <definedName name="_D079">'Validation Lists'!$IJ$5:$IJ$7</definedName>
    <definedName name="_D080">'Validation Lists'!$IK$5:$IK$5</definedName>
    <definedName name="_D081">'Validation Lists'!$IL$5:$IL$7</definedName>
    <definedName name="_D082">'Validation Lists'!$IM$5:$IM$5</definedName>
    <definedName name="_D083">'Validation Lists'!$IN$5:$IN$6</definedName>
    <definedName name="_D084">'Validation Lists'!$IO$5:$IO$5</definedName>
    <definedName name="_D085">'Validation Lists'!$IP$5:$IP$8</definedName>
    <definedName name="_D086">'Validation Lists'!$IQ$5:$IQ$6</definedName>
    <definedName name="_D087">'Validation Lists'!$IR$5:$IR$13</definedName>
    <definedName name="_D088">'Validation Lists'!$IS$5:$IS$5</definedName>
    <definedName name="_D089">'Validation Lists'!$IT$5:$IT$5</definedName>
    <definedName name="_D090">'Validation Lists'!$IU$5:$IU$7</definedName>
    <definedName name="_D091">'Validation Lists'!$IV$5:$IV$5</definedName>
    <definedName name="_D092">'Validation Lists'!$IW$5:$IW$7</definedName>
    <definedName name="_D093">'Validation Lists'!$IX$5:$IX$5</definedName>
    <definedName name="_D094">'Validation Lists'!$IY$5:$IY$8</definedName>
    <definedName name="_D095">'Validation Lists'!$IZ$5:$IZ$6</definedName>
    <definedName name="_D096">'Validation Lists'!$JA$5:$JA$13</definedName>
    <definedName name="_D097">'Validation Lists'!$JB$5:$JB$5</definedName>
    <definedName name="_D098">'Validation Lists'!$JC$5:$JC$5</definedName>
    <definedName name="_D099">'Validation Lists'!$JD$5:$JD$7</definedName>
    <definedName name="_D100">'Validation Lists'!$JE$5:$JE$7</definedName>
    <definedName name="_D101">'Validation Lists'!$JF$5:$JF$8</definedName>
    <definedName name="_D102">'Validation Lists'!$JG$5:$JG$6</definedName>
    <definedName name="_D103">'Validation Lists'!$JH$5:$JH$13</definedName>
    <definedName name="_D104">'Validation Lists'!$JI$5:$JI$5</definedName>
    <definedName name="_D105">'Validation Lists'!$JJ$5:$JJ$5</definedName>
    <definedName name="_D106">'Validation Lists'!$JK$5:$JK$7</definedName>
    <definedName name="_D107">'Validation Lists'!$JL$5:$JL$5</definedName>
    <definedName name="_D108">'Validation Lists'!$JM$5:$JM$5</definedName>
    <definedName name="_D109">'Validation Lists'!$JN$5:$JN$8</definedName>
    <definedName name="_D110">'Validation Lists'!$JO$5:$JO$6</definedName>
    <definedName name="_D111">'Validation Lists'!$JP$5:$JP$13</definedName>
    <definedName name="_D112">'Validation Lists'!$JQ$5:$JQ$5</definedName>
    <definedName name="_D113">'Validation Lists'!$JR$5:$JR$5</definedName>
    <definedName name="_D114">'Validation Lists'!$JS$5:$JS$5</definedName>
    <definedName name="_D115">'Validation Lists'!$JT$5:$JT$8</definedName>
    <definedName name="_D116">'Validation Lists'!$JU$5:$JU$6</definedName>
    <definedName name="_D117">'Validation Lists'!$JV$5:$JV$13</definedName>
    <definedName name="_D118">'Validation Lists'!$JW$5:$JW$5</definedName>
    <definedName name="_D119">'Validation Lists'!$JX$5:$JX$8</definedName>
    <definedName name="_D120">'Validation Lists'!$JY$5:$JY$6</definedName>
    <definedName name="_D121">'Validation Lists'!$JZ$5:$JZ$13</definedName>
    <definedName name="_D122">'Validation Lists'!$KA$5:$KA$5</definedName>
    <definedName name="_D123">'Validation Lists'!$KB$5:$KB$5</definedName>
    <definedName name="_D124">'Validation Lists'!$KC$5:$KC$5</definedName>
    <definedName name="_D125">'Validation Lists'!$KD$5:$KD$8</definedName>
    <definedName name="_D126">'Validation Lists'!$KE$5:$KE$6</definedName>
    <definedName name="_D127">'Validation Lists'!$KF$5:$KF$13</definedName>
    <definedName name="_D128">'Validation Lists'!$KG$5:$KG$5</definedName>
    <definedName name="_D129">'Validation Lists'!$KH$5:$KH$5</definedName>
    <definedName name="_D130">'Validation Lists'!$KI$5:$KI$8</definedName>
    <definedName name="_D131">'Validation Lists'!$KJ$5:$KJ$6</definedName>
    <definedName name="_D132">'Validation Lists'!$KK$5:$KK$13</definedName>
    <definedName name="_D133">'Validation Lists'!$KL$5:$KL$5</definedName>
    <definedName name="_D134">'Validation Lists'!$KM$5:$KM$8</definedName>
    <definedName name="_D135">'Validation Lists'!$KN$5:$KN$6</definedName>
    <definedName name="_D136">'Validation Lists'!$KO$5:$KO$13</definedName>
    <definedName name="_D137">'Validation Lists'!$KP$5:$KP$5</definedName>
    <definedName name="_D138">'Validation Lists'!$KQ$5:$KQ$8</definedName>
    <definedName name="_D139">'Validation Lists'!$KR$5:$KR$6</definedName>
    <definedName name="_D140">'Validation Lists'!$KS$5:$KS$13</definedName>
    <definedName name="_D141">'Validation Lists'!$KT$5:$KT$5</definedName>
    <definedName name="_D142">'Validation Lists'!$KU$5:$KU$5</definedName>
    <definedName name="_D143">'Validation Lists'!$KV$5:$KV$8</definedName>
    <definedName name="_D144">'Validation Lists'!$KW$5:$KW$6</definedName>
    <definedName name="_D145">'Validation Lists'!$KX$5:$KX$13</definedName>
    <definedName name="_D146">'Validation Lists'!$KY$5:$KY$5</definedName>
    <definedName name="_D147">'Validation Lists'!$KZ$5:$KZ$5</definedName>
    <definedName name="_D148">'Validation Lists'!$LA$5:$LA$5</definedName>
    <definedName name="_D149">'Validation Lists'!$LB$5:$LB$5</definedName>
    <definedName name="_D150">'Validation Lists'!$LC$5:$LC$5</definedName>
    <definedName name="_D151">'Validation Lists'!$LD$5:$LD$5</definedName>
    <definedName name="_D152">'Validation Lists'!$LE$5:$LE$5</definedName>
    <definedName name="_D153">'Validation Lists'!$LF$5:$LF$5</definedName>
    <definedName name="_D154">'Validation Lists'!$LG$5:$LG$5</definedName>
    <definedName name="_D155">'Validation Lists'!$LH$5:$LH$5</definedName>
    <definedName name="_D156">'Validation Lists'!$LI$5:$LI$5</definedName>
    <definedName name="_D157">'Validation Lists'!$LJ$5:$LJ$5</definedName>
    <definedName name="_D158">'Validation Lists'!$LK$5:$LK$5</definedName>
    <definedName name="_D159">'Validation Lists'!$LL$5:$LL$6</definedName>
    <definedName name="_D160">'Validation Lists'!$LM$5:$LM$5</definedName>
    <definedName name="_D161">'Validation Lists'!$LN$5:$LN$5</definedName>
    <definedName name="_D162">'Validation Lists'!$LO$5:$LO$5</definedName>
    <definedName name="_D163">'Validation Lists'!$LP$5:$LP$5</definedName>
    <definedName name="_D164">'Validation Lists'!$LQ$5:$LQ$5</definedName>
    <definedName name="_D165">'Validation Lists'!$LR$5:$LR$5</definedName>
    <definedName name="_D166">'Validation Lists'!$LS$5:$LS$5</definedName>
    <definedName name="_D167">'Validation Lists'!$LT$5:$LT$5</definedName>
    <definedName name="_D168">'Validation Lists'!$LU$5:$LU$6</definedName>
    <definedName name="_D169">'Validation Lists'!$LV$5:$LV$5</definedName>
    <definedName name="_D170">'Validation Lists'!$LW$5:$LW$5</definedName>
    <definedName name="_D171">'Validation Lists'!$LX$5:$LX$5</definedName>
    <definedName name="_D172">'Validation Lists'!$LY$5:$LY$5</definedName>
    <definedName name="_D173">'Validation Lists'!$LZ$5:$LZ$5</definedName>
    <definedName name="_D174">'Validation Lists'!$MA$5:$MA$5</definedName>
    <definedName name="_D175">'Validation Lists'!$MB$5:$MB$5</definedName>
    <definedName name="_D176">'Validation Lists'!$MC$5:$MC$5</definedName>
    <definedName name="_D177">'Validation Lists'!$MD$5:$MD$5</definedName>
    <definedName name="_D178">'Validation Lists'!$ME$5:$ME$5</definedName>
    <definedName name="_D179">'Validation Lists'!$MF$5:$MF$5</definedName>
    <definedName name="_D180">'Validation Lists'!$MG$5:$MG$5</definedName>
    <definedName name="_D181">'Validation Lists'!$MH$5:$MH$5</definedName>
    <definedName name="_D182">'Validation Lists'!$MI$5:$MI$5</definedName>
    <definedName name="_D183">'Validation Lists'!$MJ$5:$MJ$5</definedName>
    <definedName name="_D184">'Validation Lists'!$MK$5:$MK$5</definedName>
    <definedName name="_D185">'Validation Lists'!$ML$5:$ML$5</definedName>
    <definedName name="_D186">'Validation Lists'!$MM$5:$MM$6</definedName>
    <definedName name="_D187">'Validation Lists'!$MN$5:$MN$5</definedName>
    <definedName name="_D188">'Validation Lists'!$MO$5:$MO$5</definedName>
    <definedName name="_D189">'Validation Lists'!$MP$5:$MP$5</definedName>
    <definedName name="_D190">'Validation Lists'!$MQ$5:$MQ$6</definedName>
    <definedName name="_D191">'Validation Lists'!$MR$5:$MR$5</definedName>
    <definedName name="_D192">'Validation Lists'!$MS$5:$MS$5</definedName>
    <definedName name="_D193">'Validation Lists'!$MT$5:$MT$7</definedName>
    <definedName name="_D194">'Validation Lists'!$MU$5:$MU$5</definedName>
    <definedName name="_D195">'Validation Lists'!$MV$5:$MV$5</definedName>
    <definedName name="_D196">'Validation Lists'!$MW$5:$MW$5</definedName>
    <definedName name="_D197">'Validation Lists'!$MX$5:$MX$5</definedName>
    <definedName name="_D198">'Validation Lists'!$MY$5:$MY$5</definedName>
    <definedName name="_D199">'Validation Lists'!$MZ$5:$MZ$5</definedName>
    <definedName name="_D200">'Validation Lists'!$NA$5:$NA$5</definedName>
    <definedName name="_D201">'Validation Lists'!$NB$5:$NB$5</definedName>
    <definedName name="_D202">'Validation Lists'!$NC$5:$NC$5</definedName>
    <definedName name="_D203">'Validation Lists'!$ND$5:$ND$5</definedName>
    <definedName name="_D204">'Validation Lists'!$NE$5:$NE$5</definedName>
    <definedName name="_D205">'Validation Lists'!$NF$5:$NF$5</definedName>
    <definedName name="_D206">'Validation Lists'!$NG$5:$NG$5</definedName>
    <definedName name="_D207">'Validation Lists'!$NH$5:$NH$5</definedName>
    <definedName name="_D208">'Validation Lists'!$NI$5:$NI$5</definedName>
    <definedName name="_D209">'Validation Lists'!$NJ$5:$NJ$5</definedName>
    <definedName name="_D210">'Validation Lists'!$NK$5:$NK$5</definedName>
    <definedName name="_D211">'Validation Lists'!$NL$5:$NL$5</definedName>
    <definedName name="_D212">'Validation Lists'!$NM$5:$NM$14</definedName>
    <definedName name="_D213">'Validation Lists'!$NN$5:$NN$5</definedName>
    <definedName name="_D214">'Validation Lists'!$NO$5:$NO$5</definedName>
    <definedName name="_D215">'Validation Lists'!$NP$5:$NP$5</definedName>
    <definedName name="_D216">'Validation Lists'!$NQ$5:$NQ$5</definedName>
    <definedName name="_D217">'Validation Lists'!$NR$5:$NR$5</definedName>
    <definedName name="_D218">'Validation Lists'!$NS$5:$NS$5</definedName>
    <definedName name="_D219">'Validation Lists'!$NT$5:$NT$5</definedName>
    <definedName name="_D220">'Validation Lists'!$NU$5:$NU$5</definedName>
    <definedName name="_D221">'Validation Lists'!$NV$5:$NV$5</definedName>
    <definedName name="_D222">'Validation Lists'!$NW$5:$NW$5</definedName>
    <definedName name="_D223">'Validation Lists'!$NX$5:$NX$5</definedName>
    <definedName name="_D224">'Validation Lists'!$NY$5:$NY$6</definedName>
    <definedName name="_D225">'Validation Lists'!$NZ$5:$NZ$5</definedName>
    <definedName name="_D226">'Validation Lists'!$OA$5:$OA$7</definedName>
    <definedName name="_D227">'Validation Lists'!$OB$5:$OB$5</definedName>
    <definedName name="_D228">'Validation Lists'!$OC$5:$OC$6</definedName>
    <definedName name="_D229">'Validation Lists'!$OD$5:$OD$7</definedName>
    <definedName name="_D230">'Validation Lists'!$OE$5:$OE$5</definedName>
    <definedName name="_D231">'Validation Lists'!$OF$5:$OF$5</definedName>
    <definedName name="_D232">'Validation Lists'!$OG$5:$OG$5</definedName>
    <definedName name="_D233">'Validation Lists'!$OH$5:$OH$5</definedName>
    <definedName name="_D234">'Validation Lists'!$OI$5:$OI$5</definedName>
    <definedName name="_D235">'Validation Lists'!$OJ$5:$OJ$5</definedName>
    <definedName name="_D236">'Validation Lists'!$OK$5:$OK$5</definedName>
    <definedName name="_D237">'Validation Lists'!$OL$5:$OL$5</definedName>
    <definedName name="_D238">'Validation Lists'!$OM$5:$OM$5</definedName>
    <definedName name="_D239">'Validation Lists'!$ON$5:$ON$5</definedName>
    <definedName name="_D240">'Validation Lists'!$OO$5:$OO$5</definedName>
    <definedName name="_D241">'Validation Lists'!$OP$5:$OP$5</definedName>
    <definedName name="_D242">'Validation Lists'!$OQ$5:$OQ$5</definedName>
    <definedName name="_D243">'Validation Lists'!$OR$5:$OR$5</definedName>
    <definedName name="_D244">'Validation Lists'!$OS$5:$OS$5</definedName>
    <definedName name="_D245">'Validation Lists'!$OT$5:$OT$5</definedName>
    <definedName name="_D246">'Validation Lists'!$OU$5:$OU$5</definedName>
    <definedName name="_D247">'Validation Lists'!$OV$5:$OV$5</definedName>
    <definedName name="_D248">'Validation Lists'!$OW$5:$OW$5</definedName>
    <definedName name="_D249">'Validation Lists'!$OX$5:$OX$5</definedName>
    <definedName name="_D250">'Validation Lists'!$OY$5:$OY$5</definedName>
    <definedName name="_D251">'Validation Lists'!$OZ$5:$OZ$5</definedName>
    <definedName name="_D252">'Validation Lists'!$PA$5:$PA$5</definedName>
    <definedName name="_D253">'Validation Lists'!$PB$5:$PB$5</definedName>
    <definedName name="_D254">'Validation Lists'!$PC$5:$PC$5</definedName>
    <definedName name="_D255">'Validation Lists'!$PD$5:$PD$5</definedName>
    <definedName name="_D256">'Validation Lists'!$PE$5:$PE$5</definedName>
    <definedName name="_D257">'Validation Lists'!$PF$5:$PF$5</definedName>
    <definedName name="_D258">'Validation Lists'!$PG$5:$PG$5</definedName>
    <definedName name="_D259">'Validation Lists'!$PH$5:$PH$5</definedName>
    <definedName name="_D260">'Validation Lists'!$PI$5:$PI$5</definedName>
    <definedName name="_D261">'Validation Lists'!$PJ$5:$PJ$5</definedName>
    <definedName name="_D262">'Validation Lists'!$PK$5:$PK$5</definedName>
    <definedName name="_D263">'Validation Lists'!$PL$5:$PL$5</definedName>
    <definedName name="_D264">'Validation Lists'!$PM$5:$PM$5</definedName>
    <definedName name="_D265">'Validation Lists'!$PN$5:$PN$5</definedName>
    <definedName name="_D266">'Validation Lists'!$PO$5:$PO$5</definedName>
    <definedName name="_D267">'Validation Lists'!$PP$5:$PP$10</definedName>
    <definedName name="_D268">'Validation Lists'!$PQ$5:$PQ$5</definedName>
    <definedName name="_D269">'Validation Lists'!$PR$5:$PR$10</definedName>
    <definedName name="_D270">'Validation Lists'!$PS$5:$PS$6</definedName>
    <definedName name="_D271">'Validation Lists'!$PT$5:$PT$5</definedName>
    <definedName name="_D272">'Validation Lists'!$PU$5:$PU$5</definedName>
    <definedName name="_D273">'Validation Lists'!$PV$5:$PV$5</definedName>
    <definedName name="_D274">'Validation Lists'!$PW$5:$PW$5</definedName>
    <definedName name="_D275">'Validation Lists'!$PX$5:$PX$5</definedName>
    <definedName name="_D276">'Validation Lists'!$PY$5:$PY$5</definedName>
    <definedName name="_D277">'Validation Lists'!$PZ$5:$PZ$5</definedName>
    <definedName name="_D278">'Validation Lists'!$QA$5:$QA$5</definedName>
    <definedName name="_D279">'Validation Lists'!$QB$5:$QB$5</definedName>
    <definedName name="_D280">'Validation Lists'!$QC$5:$QC$5</definedName>
    <definedName name="_D281">'Validation Lists'!$QD$5:$QD$5</definedName>
    <definedName name="_D282">'Validation Lists'!$QE$5:$QE$5</definedName>
    <definedName name="_D283">'Validation Lists'!$QF$5:$QF$6</definedName>
    <definedName name="_D284">'Validation Lists'!$QG$5:$QG$5</definedName>
    <definedName name="_D285">'Validation Lists'!$QH$5:$QH$7</definedName>
    <definedName name="_D286">'Validation Lists'!$QI$5:$QI$5</definedName>
    <definedName name="_D287">'Validation Lists'!$QJ$5:$QJ$5</definedName>
    <definedName name="_D288">'Validation Lists'!$QK$5:$QK$5</definedName>
    <definedName name="_D289">'Validation Lists'!$QL$5:$QL$5</definedName>
    <definedName name="_D290">'Validation Lists'!$QM$5:$QM$5</definedName>
    <definedName name="_D291">'Validation Lists'!$QN$5:$QN$5</definedName>
    <definedName name="_D292">'Validation Lists'!$QO$5:$QO$5</definedName>
    <definedName name="_D293">'Validation Lists'!$QP$5:$QP$5</definedName>
    <definedName name="_D294">'Validation Lists'!$QQ$5:$QQ$5</definedName>
    <definedName name="_D295">'Validation Lists'!$QR$5:$QR$5</definedName>
    <definedName name="_D296">'Validation Lists'!$QS$5:$QS$6</definedName>
    <definedName name="_D297">'Validation Lists'!$QT$5:$QT$5</definedName>
    <definedName name="_D298">'Validation Lists'!$QU$5:$QU$5</definedName>
    <definedName name="_D299">'Validation Lists'!$QV$5:$QV$5</definedName>
    <definedName name="_D300">'Validation Lists'!$QW$5:$QW$5</definedName>
    <definedName name="_D301">'Validation Lists'!$QX$5:$QX$5</definedName>
    <definedName name="_D302">'Validation Lists'!$QY$5:$QY$5</definedName>
    <definedName name="_D303">'Validation Lists'!$QZ$5:$QZ$5</definedName>
    <definedName name="_D304">'Validation Lists'!$RA$5:$RA$5</definedName>
    <definedName name="_D305">'Validation Lists'!$RB$5:$RB$5</definedName>
    <definedName name="_D306">'Validation Lists'!$RC$5:$RC$5</definedName>
    <definedName name="_D307">'Validation Lists'!$RD$5:$RD$7</definedName>
    <definedName name="_D308">'Validation Lists'!$RE$5:$RE$5</definedName>
    <definedName name="_D309">'Validation Lists'!$RF$5:$RF$5</definedName>
    <definedName name="_D310">'Validation Lists'!$RG$5:$RG$5</definedName>
    <definedName name="_D311">'Validation Lists'!$RH$5:$RH$5</definedName>
    <definedName name="_D312">'Validation Lists'!$RI$5:$RI$5</definedName>
    <definedName name="_D313">'Validation Lists'!$RJ$5:$RJ$5</definedName>
    <definedName name="_D314">'Validation Lists'!$RK$5:$RK$5</definedName>
    <definedName name="_D315">'Validation Lists'!$RL$5:$RL$5</definedName>
    <definedName name="_D316">'Validation Lists'!$RM$5:$RM$5</definedName>
    <definedName name="_D317">'Validation Lists'!$RN$5:$RN$5</definedName>
    <definedName name="_D318">'Validation Lists'!$RO$5:$RO$5</definedName>
    <definedName name="_D319">'Validation Lists'!$RP$5:$RP$5</definedName>
    <definedName name="_D320">'Validation Lists'!$RQ$5:$RQ$5</definedName>
    <definedName name="_D321">'Validation Lists'!$RR$5:$RR$5</definedName>
    <definedName name="_D322">'Validation Lists'!$RS$5:$RS$5</definedName>
    <definedName name="_D323">'Validation Lists'!$RT$5:$RT$5</definedName>
    <definedName name="_D324">'Validation Lists'!$RU$5:$RU$5</definedName>
    <definedName name="_D325">'Validation Lists'!$RV$5:$RV$5</definedName>
    <definedName name="_D326">'Validation Lists'!$RW$5:$RW$5</definedName>
    <definedName name="_D327">'Validation Lists'!$RX$5:$RX$5</definedName>
    <definedName name="_D328">'Validation Lists'!$RY$5:$RY$5</definedName>
    <definedName name="_D329">'Validation Lists'!$RZ$5:$RZ$5</definedName>
    <definedName name="_D330">'Validation Lists'!$SA$5:$SA$5</definedName>
    <definedName name="_D331">'Validation Lists'!$SB$5:$SB$5</definedName>
    <definedName name="_D332">'Validation Lists'!$SC$5:$SC$5</definedName>
    <definedName name="_D333">'Validation Lists'!$SD$5:$SD$5</definedName>
    <definedName name="_D334">'Validation Lists'!$SE$5:$SE$5</definedName>
    <definedName name="_D335">'Validation Lists'!$SF$5:$SF$5</definedName>
    <definedName name="_D336">'Validation Lists'!$SG$5:$SG$5</definedName>
    <definedName name="_D337">'Validation Lists'!$SH$5:$SH$5</definedName>
    <definedName name="_D338">'Validation Lists'!$SI$5:$SI$5</definedName>
    <definedName name="_D339">'Validation Lists'!$SJ$5:$SJ$5</definedName>
    <definedName name="_D340">'Validation Lists'!$SK$5:$SK$5</definedName>
    <definedName name="_D341">'Validation Lists'!$SL$5:$SL$5</definedName>
    <definedName name="_D342">'Validation Lists'!$SM$5:$SM$5</definedName>
    <definedName name="_D343">'Validation Lists'!$SN$5:$SN$5</definedName>
    <definedName name="_D344">'Validation Lists'!$SO$5:$SO$5</definedName>
    <definedName name="_D345">'Validation Lists'!$SP$5:$SP$5</definedName>
    <definedName name="_D346">'Validation Lists'!$SQ$5:$SQ$5</definedName>
    <definedName name="_D347">'Validation Lists'!$SR$5:$SR$5</definedName>
    <definedName name="_D348">'Validation Lists'!$SS$5:$SS$5</definedName>
    <definedName name="_D349">'Validation Lists'!$ST$5:$ST$5</definedName>
    <definedName name="_D350">'Validation Lists'!$SU$5:$SU$5</definedName>
    <definedName name="_D351">'Validation Lists'!$SV$5:$SV$5</definedName>
    <definedName name="_D352">'Validation Lists'!$SW$5:$SW$5</definedName>
    <definedName name="_D353">'Validation Lists'!$SX$5:$SX$5</definedName>
    <definedName name="_D354">'Validation Lists'!$SY$5:$SY$5</definedName>
    <definedName name="_D355">'Validation Lists'!$SZ$5:$SZ$5</definedName>
    <definedName name="_D356">'Validation Lists'!$TA$5:$TA$5</definedName>
    <definedName name="_D357">'Validation Lists'!$TB$5:$TB$5</definedName>
    <definedName name="_D358">'Validation Lists'!$TC$5:$TC$5</definedName>
    <definedName name="_D359">'Validation Lists'!$TD$5:$TD$5</definedName>
    <definedName name="_D360">'Validation Lists'!$TE$5:$TE$5</definedName>
    <definedName name="_D361">'Validation Lists'!$TF$5:$TF$5</definedName>
    <definedName name="_D362">'Validation Lists'!$TG$5:$TG$5</definedName>
    <definedName name="_D363">'Validation Lists'!$TH$5:$TH$5</definedName>
    <definedName name="_D364">'Validation Lists'!$TI$5:$TI$5</definedName>
    <definedName name="_D365">'Validation Lists'!$TJ$5:$TJ$5</definedName>
    <definedName name="_D366">'Validation Lists'!$TK$5:$TK$5</definedName>
    <definedName name="_D367">'Validation Lists'!$TL$5:$TL$5</definedName>
    <definedName name="_D368">'Validation Lists'!$TM$5:$TM$5</definedName>
    <definedName name="_D369">'Validation Lists'!$TN$5:$TN$5</definedName>
    <definedName name="_D370">'Validation Lists'!$TO$5:$TO$5</definedName>
    <definedName name="_D371">'Validation Lists'!$TP$5:$TP$5</definedName>
    <definedName name="_D372">'Validation Lists'!$TQ$5:$TQ$5</definedName>
    <definedName name="_D373">'Validation Lists'!$TR$5:$TR$5</definedName>
    <definedName name="_D374">'Validation Lists'!$TS$5:$TS$5</definedName>
    <definedName name="_D375">'Validation Lists'!$TT$5:$TT$5</definedName>
    <definedName name="_D376">'Validation Lists'!$TU$5:$TU$5</definedName>
    <definedName name="_D377">'Validation Lists'!$TV$5:$TV$5</definedName>
    <definedName name="_D378">'Validation Lists'!$TW$5:$TW$5</definedName>
    <definedName name="_D379">'Validation Lists'!$TX$5:$TX$5</definedName>
    <definedName name="_D380">'Validation Lists'!$TY$5:$TY$5</definedName>
    <definedName name="_D381">'Validation Lists'!$TZ$5:$TZ$5</definedName>
    <definedName name="_D382">'Validation Lists'!$UA$5:$UA$5</definedName>
    <definedName name="_D383">'Validation Lists'!$UB$5:$UB$5</definedName>
    <definedName name="_D384">'Validation Lists'!$UC$5:$UC$5</definedName>
    <definedName name="_D385">'Validation Lists'!$UD$5:$UD$5</definedName>
    <definedName name="_D386">'Validation Lists'!$UE$5:$UE$5</definedName>
    <definedName name="_D387">'Validation Lists'!$UF$5:$UF$5</definedName>
    <definedName name="_D388">'Validation Lists'!$UG$5:$UG$5</definedName>
    <definedName name="_D389">'Validation Lists'!$UH$5:$UH$5</definedName>
    <definedName name="_D390">'Validation Lists'!$UI$5:$UI$5</definedName>
    <definedName name="_D391">'Validation Lists'!$UJ$5:$UJ$5</definedName>
    <definedName name="_D392">'Validation Lists'!$UK$5:$UK$5</definedName>
    <definedName name="_D393">'Validation Lists'!$UL$5:$UL$5</definedName>
    <definedName name="_D394">'Validation Lists'!$UM$5:$UM$5</definedName>
    <definedName name="_D395">'Validation Lists'!$UN$5:$UN$5</definedName>
    <definedName name="_D396">'Validation Lists'!$UO$5:$UO$5</definedName>
    <definedName name="_D397">'Validation Lists'!$UP$5:$UP$5</definedName>
    <definedName name="_D398">'Validation Lists'!$UQ$5:$UQ$5</definedName>
    <definedName name="_D399">'Validation Lists'!$UR$5:$UR$5</definedName>
    <definedName name="_D400">'Validation Lists'!$US$5:$US$5</definedName>
    <definedName name="_D401">'Validation Lists'!$UT$5:$UT$5</definedName>
    <definedName name="_D402">'Validation Lists'!$UU$5:$UU$5</definedName>
    <definedName name="_D403">'Validation Lists'!$UV$5:$UV$5</definedName>
    <definedName name="_D404">'Validation Lists'!$UW$5:$UW$5</definedName>
    <definedName name="_D405">'Validation Lists'!$UX$5:$UX$5</definedName>
    <definedName name="_D406">'Validation Lists'!$UY$5:$UY$5</definedName>
    <definedName name="_D407">'Validation Lists'!$UZ$5:$UZ$5</definedName>
    <definedName name="_D408">'Validation Lists'!$VA$5:$VA$5</definedName>
    <definedName name="_D409">'Validation Lists'!$VB$5:$VB$5</definedName>
    <definedName name="_D410">'Validation Lists'!$VC$5:$VC$5</definedName>
    <definedName name="_D411">'Validation Lists'!$VD$5:$VD$5</definedName>
    <definedName name="_D412">'Validation Lists'!$VE$5:$VE$5</definedName>
    <definedName name="_D413">'Validation Lists'!$VF$5:$VF$5</definedName>
    <definedName name="_D414">'Validation Lists'!$VG$5:$VG$5</definedName>
    <definedName name="_D415">'Validation Lists'!$VH$5:$VH$5</definedName>
    <definedName name="_D416">'Validation Lists'!$VI$5:$VI$5</definedName>
    <definedName name="_D417">'Validation Lists'!$VJ$5:$VJ$5</definedName>
    <definedName name="_D418">'Validation Lists'!$VK$5:$VK$5</definedName>
    <definedName name="_D419">'Validation Lists'!$VL$5:$VL$5</definedName>
    <definedName name="_D420">'Validation Lists'!$VM$5:$VM$5</definedName>
    <definedName name="_D421">'Validation Lists'!$VN$5:$VN$5</definedName>
    <definedName name="_D422">'Validation Lists'!$VO$5:$VO$5</definedName>
    <definedName name="_D423">'Validation Lists'!$VP$5:$VP$5</definedName>
    <definedName name="_D424">'Validation Lists'!$VQ$5:$VQ$5</definedName>
    <definedName name="_D425">'Validation Lists'!$VR$5:$VR$5</definedName>
    <definedName name="_D426">'Validation Lists'!$VS$5:$VS$5</definedName>
    <definedName name="_D427">'Validation Lists'!$VT$5:$VT$5</definedName>
    <definedName name="_D428">'Validation Lists'!$VU$5:$VU$5</definedName>
    <definedName name="_D429">'Validation Lists'!$VV$5:$VV$5</definedName>
    <definedName name="_D430">'Validation Lists'!$VW$5:$VW$5</definedName>
    <definedName name="_D431">'Validation Lists'!$VX$5:$VX$5</definedName>
    <definedName name="_D432">'Validation Lists'!$VY$5:$VY$5</definedName>
    <definedName name="_D433">'Validation Lists'!$VZ$5:$VZ$5</definedName>
    <definedName name="_D434">'Validation Lists'!$WA$5:$WA$5</definedName>
    <definedName name="_D435">'Validation Lists'!$WB$5:$WB$5</definedName>
    <definedName name="_D436">'Validation Lists'!$WC$5:$WC$5</definedName>
    <definedName name="_D437">'Validation Lists'!$WD$5:$WD$5</definedName>
    <definedName name="_D438">'Validation Lists'!$WE$5:$WE$5</definedName>
    <definedName name="_D439">'Validation Lists'!$WF$5:$WF$5</definedName>
    <definedName name="_D440">'Validation Lists'!$WG$5:$WG$5</definedName>
    <definedName name="_D441">'Validation Lists'!$WH$5:$WH$5</definedName>
    <definedName name="_D442">'Validation Lists'!$WI$5:$WI$5</definedName>
    <definedName name="_D443">'Validation Lists'!$WJ$5:$WJ$5</definedName>
    <definedName name="_D444">'Validation Lists'!$WK$5:$WK$5</definedName>
    <definedName name="_D445">'Validation Lists'!$WL$5:$WL$5</definedName>
    <definedName name="_D446">'Validation Lists'!$WM$5:$WM$5</definedName>
    <definedName name="_D447">'Validation Lists'!$WN$5:$WN$5</definedName>
    <definedName name="_D448">'Validation Lists'!$WO$5:$WO$5</definedName>
    <definedName name="_D449">'Validation Lists'!$WP$5:$WP$5</definedName>
    <definedName name="_D450">'Validation Lists'!$WQ$5:$WQ$5</definedName>
    <definedName name="_D451">'Validation Lists'!$WR$5:$WR$5</definedName>
    <definedName name="_D452">'Validation Lists'!$WS$5:$WS$5</definedName>
    <definedName name="_D453">'Validation Lists'!$WT$5:$WT$5</definedName>
    <definedName name="_D454">'Validation Lists'!$WU$5:$WU$5</definedName>
    <definedName name="_D455">'Validation Lists'!$WV$5:$WV$5</definedName>
    <definedName name="_D456">'Validation Lists'!$WW$5:$WW$5</definedName>
    <definedName name="_D457">'Validation Lists'!$WX$5:$WX$5</definedName>
    <definedName name="_D458">'Validation Lists'!$WY$5:$WY$5</definedName>
    <definedName name="_D459">'Validation Lists'!$WZ$5:$WZ$5</definedName>
    <definedName name="_D460">'Validation Lists'!$XA$5:$XA$5</definedName>
    <definedName name="_D461">'Validation Lists'!$XB$5:$XB$5</definedName>
    <definedName name="_D462">'Validation Lists'!$XC$5:$XC$5</definedName>
    <definedName name="_D463">'Validation Lists'!$XD$5:$XD$5</definedName>
    <definedName name="_D464">'Validation Lists'!$XE$5:$XE$5</definedName>
    <definedName name="_D465">'Validation Lists'!$XF$5:$XF$5</definedName>
    <definedName name="_D466">'Validation Lists'!$XG$5:$XG$5</definedName>
    <definedName name="_D467">'Validation Lists'!$XH$5:$XH$5</definedName>
    <definedName name="_D468">'Validation Lists'!$XI$5:$XI$5</definedName>
    <definedName name="_D469">'Validation Lists'!$XJ$5:$XJ$5</definedName>
    <definedName name="_D470">'Validation Lists'!$XK$5:$XK$5</definedName>
    <definedName name="_D471">'Validation Lists'!$XL$5:$XL$5</definedName>
    <definedName name="_D472">'Validation Lists'!$XM$5:$XM$5</definedName>
    <definedName name="_D473">'Validation Lists'!$XN$5:$XN$5</definedName>
    <definedName name="_D474">'Validation Lists'!$XO$5:$XO$5</definedName>
    <definedName name="_D475">'Validation Lists'!$XP$5:$XP$5</definedName>
    <definedName name="_D476">'Validation Lists'!$XQ$5:$XQ$5</definedName>
    <definedName name="_D477">'Validation Lists'!$XR$5:$XR$5</definedName>
    <definedName name="_D478">'Validation Lists'!$XS$5:$XS$5</definedName>
    <definedName name="_D479">'Validation Lists'!$XT$5:$XT$5</definedName>
    <definedName name="_D480">'Validation Lists'!$XU$5:$XU$5</definedName>
    <definedName name="_D481">'Validation Lists'!$XV$5:$XV$5</definedName>
    <definedName name="_D482">'Validation Lists'!$XW$5:$XW$5</definedName>
    <definedName name="_D483">'Validation Lists'!$XX$5:$XX$5</definedName>
    <definedName name="_D484">'Validation Lists'!$XY$5:$XY$5</definedName>
    <definedName name="_D485">'Validation Lists'!$XZ$5:$XZ$5</definedName>
    <definedName name="_D486">'Validation Lists'!$YA$5:$YA$5</definedName>
    <definedName name="_D487">'Validation Lists'!$YB$5:$YB$5</definedName>
    <definedName name="_D488">'Validation Lists'!$YC$5:$YC$5</definedName>
    <definedName name="_D489">'Validation Lists'!$YD$5:$YD$5</definedName>
    <definedName name="_D490">'Validation Lists'!$YE$5:$YE$5</definedName>
    <definedName name="_D491">'Validation Lists'!$YF$5:$YF$5</definedName>
    <definedName name="_D492">'Validation Lists'!$YG$5:$YG$5</definedName>
    <definedName name="_D493">'Validation Lists'!$YH$5:$YH$5</definedName>
    <definedName name="_D494">'Validation Lists'!$YI$5:$YI$5</definedName>
    <definedName name="_D495">'Validation Lists'!$YJ$5:$YJ$5</definedName>
    <definedName name="_D496">'Validation Lists'!$YK$5:$YK$5</definedName>
    <definedName name="_D497">'Validation Lists'!$YL$5:$YL$5</definedName>
    <definedName name="_D498">'Validation Lists'!$YM$5:$YM$5</definedName>
    <definedName name="_D499">'Validation Lists'!$YN$5:$YN$5</definedName>
    <definedName name="_D500">'Validation Lists'!$YO$5:$YO$5</definedName>
    <definedName name="_D501">'Validation Lists'!$YP$5:$YP$5</definedName>
    <definedName name="_D502">'Validation Lists'!$YQ$5:$YQ$5</definedName>
    <definedName name="_D503">'Validation Lists'!$YR$5:$YR$5</definedName>
    <definedName name="_D504">'Validation Lists'!$YS$5:$YS$5</definedName>
    <definedName name="_D505">'Validation Lists'!$YT$5:$YT$5</definedName>
    <definedName name="_D506">'Validation Lists'!$YU$5:$YU$5</definedName>
    <definedName name="_D507">'Validation Lists'!$YV$5:$YV$5</definedName>
    <definedName name="_D508">'Validation Lists'!$YW$5:$YW$5</definedName>
    <definedName name="_D509">'Validation Lists'!$YX$5:$YX$5</definedName>
    <definedName name="_D510">'Validation Lists'!$YY$5:$YY$5</definedName>
    <definedName name="_D511">'Validation Lists'!$YZ$5:$YZ$5</definedName>
    <definedName name="_D512">'Validation Lists'!$ZA$5:$ZA$5</definedName>
    <definedName name="_D513">'Validation Lists'!$ZB$5:$ZB$5</definedName>
    <definedName name="_D514">'Validation Lists'!$ZC$5:$ZC$5</definedName>
    <definedName name="_D515">'Validation Lists'!$ZD$5:$ZD$5</definedName>
    <definedName name="_D516">'Validation Lists'!$ZE$5:$ZE$5</definedName>
    <definedName name="_D517">'Validation Lists'!$ZF$5:$ZF$5</definedName>
    <definedName name="_D518">'Validation Lists'!$ZG$5:$ZG$5</definedName>
    <definedName name="_D519">'Validation Lists'!$ZH$5:$ZH$5</definedName>
    <definedName name="_D520">'Validation Lists'!$ZI$5:$ZI$5</definedName>
    <definedName name="_xlnm._FilterDatabase" localSheetId="1" hidden="1">'Description Library'!$A$5:$J$808</definedName>
    <definedName name="_xlnm._FilterDatabase" localSheetId="0" hidden="1">'Element Library'!$A$5:$I$523</definedName>
    <definedName name="_xlnm._FilterDatabase" localSheetId="2" hidden="1">'Price List Library'!$A$5:$R$437</definedName>
    <definedName name="_LEVEL">'Project Setup'!$E$6:$E$21</definedName>
    <definedName name="_MAPSE">'Validation Lists'!$I$5:$J$524</definedName>
    <definedName name="_MAPSEC">'Validation Lists'!$C$5:$D$33</definedName>
    <definedName name="_MAPSUB">'Validation Lists'!$F$5:$G$128</definedName>
    <definedName name="_MONTHS">'Preliminaries Library'!$C$2</definedName>
    <definedName name="_NONE">'Validation Lists'!$K$5:$K$5</definedName>
    <definedName name="_PRELIMTOTAL">'Preliminaries Library'!$N$162</definedName>
    <definedName name="_S001">'Validation Lists'!$M$5:$M$16</definedName>
    <definedName name="_S002">'Validation Lists'!$N$5:$N$15</definedName>
    <definedName name="_S003">'Validation Lists'!$O$5:$O$9</definedName>
    <definedName name="_S004">'Validation Lists'!$P$5:$P$8</definedName>
    <definedName name="_S005">'Validation Lists'!$Q$5:$Q$9</definedName>
    <definedName name="_S006">'Validation Lists'!$R$5:$R$7</definedName>
    <definedName name="_S007">'Validation Lists'!$S$5:$S$7</definedName>
    <definedName name="_S008">'Validation Lists'!$T$5:$T$5</definedName>
    <definedName name="_S009">'Validation Lists'!$U$5:$U$6</definedName>
    <definedName name="_S010">'Validation Lists'!$V$5:$V$8</definedName>
    <definedName name="_S011">'Validation Lists'!$W$5:$W$9</definedName>
    <definedName name="_S012">'Validation Lists'!$X$5:$X$10</definedName>
    <definedName name="_S013">'Validation Lists'!$Y$5:$Y$5</definedName>
    <definedName name="_S014">'Validation Lists'!$Z$5:$Z$10</definedName>
    <definedName name="_S015">'Validation Lists'!$AA$5:$AA$11</definedName>
    <definedName name="_S016">'Validation Lists'!$AB$5:$AB$8</definedName>
    <definedName name="_S017">'Validation Lists'!$AC$5:$AC$8</definedName>
    <definedName name="_S018">'Validation Lists'!$AD$5:$AD$7</definedName>
    <definedName name="_S019">'Validation Lists'!$AE$5:$AE$8</definedName>
    <definedName name="_S020">'Validation Lists'!$AF$5:$AF$6</definedName>
    <definedName name="_S021">'Validation Lists'!$AG$5:$AG$7</definedName>
    <definedName name="_S022">'Validation Lists'!$AH$5:$AH$10</definedName>
    <definedName name="_S023">'Validation Lists'!$AI$5:$AI$9</definedName>
    <definedName name="_S024">'Validation Lists'!$AJ$5:$AJ$8</definedName>
    <definedName name="_S025">'Validation Lists'!$AK$5:$AK$8</definedName>
    <definedName name="_S026">'Validation Lists'!$AL$5:$AL$5</definedName>
    <definedName name="_S027">'Validation Lists'!$AM$5:$AM$7</definedName>
    <definedName name="_S028">'Validation Lists'!$AN$5:$AN$5</definedName>
    <definedName name="_S029">'Validation Lists'!$AO$5:$AO$9</definedName>
    <definedName name="_SECTION">'Validation Lists'!$A$5:$A$33</definedName>
    <definedName name="_STDLAB">'Price List Library'!$C$2</definedName>
    <definedName name="_STDMAT">'Price List Library'!$C$3</definedName>
    <definedName name="_STDPRE">'Preliminaries Library'!$C$3</definedName>
    <definedName name="_xlnm.Print_Titles" localSheetId="0">'Element Library'!$5:$5</definedName>
    <definedName name="_xlnm.Print_Titles" localSheetId="3">'Preliminaries Library'!$5:$5</definedName>
    <definedName name="_xlnm.Print_Titles" localSheetId="2">'Price List Library'!$5:$5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05" i="5" l="1"/>
  <c r="S305" i="5"/>
  <c r="R305" i="5"/>
  <c r="O305" i="5"/>
  <c r="J305" i="5"/>
  <c r="I305" i="5"/>
  <c r="A305" i="5"/>
  <c r="T304" i="5"/>
  <c r="S304" i="5"/>
  <c r="R304" i="5"/>
  <c r="O304" i="5"/>
  <c r="J304" i="5"/>
  <c r="I304" i="5"/>
  <c r="A304" i="5"/>
  <c r="T303" i="5"/>
  <c r="S303" i="5"/>
  <c r="R303" i="5"/>
  <c r="O303" i="5"/>
  <c r="J303" i="5"/>
  <c r="I303" i="5"/>
  <c r="A303" i="5"/>
  <c r="T302" i="5"/>
  <c r="S302" i="5"/>
  <c r="R302" i="5"/>
  <c r="O302" i="5"/>
  <c r="J302" i="5"/>
  <c r="I302" i="5"/>
  <c r="A302" i="5"/>
  <c r="T301" i="5"/>
  <c r="S301" i="5"/>
  <c r="R301" i="5"/>
  <c r="O301" i="5"/>
  <c r="J301" i="5"/>
  <c r="I301" i="5"/>
  <c r="A301" i="5"/>
  <c r="T300" i="5"/>
  <c r="S300" i="5"/>
  <c r="R300" i="5"/>
  <c r="O300" i="5"/>
  <c r="J300" i="5"/>
  <c r="I300" i="5"/>
  <c r="A300" i="5"/>
  <c r="T299" i="5"/>
  <c r="S299" i="5"/>
  <c r="R299" i="5"/>
  <c r="O299" i="5"/>
  <c r="J299" i="5"/>
  <c r="I299" i="5"/>
  <c r="A299" i="5"/>
  <c r="T298" i="5"/>
  <c r="S298" i="5"/>
  <c r="R298" i="5"/>
  <c r="O298" i="5"/>
  <c r="J298" i="5"/>
  <c r="I298" i="5"/>
  <c r="A298" i="5"/>
  <c r="T297" i="5"/>
  <c r="S297" i="5"/>
  <c r="R297" i="5"/>
  <c r="O297" i="5"/>
  <c r="J297" i="5"/>
  <c r="I297" i="5"/>
  <c r="A297" i="5"/>
  <c r="T296" i="5"/>
  <c r="S296" i="5"/>
  <c r="R296" i="5"/>
  <c r="O296" i="5"/>
  <c r="J296" i="5"/>
  <c r="I296" i="5"/>
  <c r="A296" i="5"/>
  <c r="T295" i="5"/>
  <c r="S295" i="5"/>
  <c r="R295" i="5"/>
  <c r="O295" i="5"/>
  <c r="J295" i="5"/>
  <c r="I295" i="5"/>
  <c r="A295" i="5"/>
  <c r="T294" i="5"/>
  <c r="S294" i="5"/>
  <c r="R294" i="5"/>
  <c r="O294" i="5"/>
  <c r="J294" i="5"/>
  <c r="I294" i="5"/>
  <c r="A294" i="5"/>
  <c r="T293" i="5"/>
  <c r="S293" i="5"/>
  <c r="R293" i="5"/>
  <c r="O293" i="5"/>
  <c r="J293" i="5"/>
  <c r="I293" i="5"/>
  <c r="A293" i="5"/>
  <c r="T292" i="5"/>
  <c r="S292" i="5"/>
  <c r="R292" i="5"/>
  <c r="O292" i="5"/>
  <c r="J292" i="5"/>
  <c r="I292" i="5"/>
  <c r="A292" i="5"/>
  <c r="T291" i="5"/>
  <c r="S291" i="5"/>
  <c r="R291" i="5"/>
  <c r="O291" i="5"/>
  <c r="J291" i="5"/>
  <c r="I291" i="5"/>
  <c r="A291" i="5"/>
  <c r="T290" i="5"/>
  <c r="S290" i="5"/>
  <c r="R290" i="5"/>
  <c r="O290" i="5"/>
  <c r="J290" i="5"/>
  <c r="I290" i="5"/>
  <c r="A290" i="5"/>
  <c r="T289" i="5"/>
  <c r="S289" i="5"/>
  <c r="R289" i="5"/>
  <c r="O289" i="5"/>
  <c r="J289" i="5"/>
  <c r="I289" i="5"/>
  <c r="A289" i="5"/>
  <c r="T288" i="5"/>
  <c r="S288" i="5"/>
  <c r="R288" i="5"/>
  <c r="O288" i="5"/>
  <c r="J288" i="5"/>
  <c r="I288" i="5"/>
  <c r="A288" i="5"/>
  <c r="T287" i="5"/>
  <c r="S287" i="5"/>
  <c r="R287" i="5"/>
  <c r="O287" i="5"/>
  <c r="J287" i="5"/>
  <c r="I287" i="5"/>
  <c r="A287" i="5"/>
  <c r="T286" i="5"/>
  <c r="S286" i="5"/>
  <c r="R286" i="5"/>
  <c r="O286" i="5"/>
  <c r="J286" i="5"/>
  <c r="I286" i="5"/>
  <c r="A286" i="5"/>
  <c r="T285" i="5"/>
  <c r="S285" i="5"/>
  <c r="R285" i="5"/>
  <c r="O285" i="5"/>
  <c r="J285" i="5"/>
  <c r="I285" i="5"/>
  <c r="A285" i="5"/>
  <c r="T284" i="5"/>
  <c r="S284" i="5"/>
  <c r="R284" i="5"/>
  <c r="O284" i="5"/>
  <c r="J284" i="5"/>
  <c r="I284" i="5"/>
  <c r="A284" i="5"/>
  <c r="T283" i="5"/>
  <c r="S283" i="5"/>
  <c r="R283" i="5"/>
  <c r="O283" i="5"/>
  <c r="J283" i="5"/>
  <c r="I283" i="5"/>
  <c r="A283" i="5"/>
  <c r="T282" i="5"/>
  <c r="S282" i="5"/>
  <c r="R282" i="5"/>
  <c r="O282" i="5"/>
  <c r="J282" i="5"/>
  <c r="I282" i="5"/>
  <c r="A282" i="5"/>
  <c r="T281" i="5"/>
  <c r="S281" i="5"/>
  <c r="R281" i="5"/>
  <c r="O281" i="5"/>
  <c r="J281" i="5"/>
  <c r="I281" i="5"/>
  <c r="A281" i="5"/>
  <c r="T280" i="5"/>
  <c r="S280" i="5"/>
  <c r="R280" i="5"/>
  <c r="O280" i="5"/>
  <c r="J280" i="5"/>
  <c r="I280" i="5"/>
  <c r="A280" i="5"/>
  <c r="T279" i="5"/>
  <c r="S279" i="5"/>
  <c r="R279" i="5"/>
  <c r="O279" i="5"/>
  <c r="J279" i="5"/>
  <c r="I279" i="5"/>
  <c r="A279" i="5"/>
  <c r="T278" i="5"/>
  <c r="S278" i="5"/>
  <c r="R278" i="5"/>
  <c r="O278" i="5"/>
  <c r="J278" i="5"/>
  <c r="I278" i="5"/>
  <c r="A278" i="5"/>
  <c r="T277" i="5"/>
  <c r="S277" i="5"/>
  <c r="R277" i="5"/>
  <c r="O277" i="5"/>
  <c r="J277" i="5"/>
  <c r="I277" i="5"/>
  <c r="A277" i="5"/>
  <c r="T276" i="5"/>
  <c r="S276" i="5"/>
  <c r="R276" i="5"/>
  <c r="O276" i="5"/>
  <c r="J276" i="5"/>
  <c r="I276" i="5"/>
  <c r="A276" i="5"/>
  <c r="T275" i="5"/>
  <c r="S275" i="5"/>
  <c r="R275" i="5"/>
  <c r="O275" i="5"/>
  <c r="J275" i="5"/>
  <c r="I275" i="5"/>
  <c r="A275" i="5"/>
  <c r="T274" i="5"/>
  <c r="S274" i="5"/>
  <c r="R274" i="5"/>
  <c r="O274" i="5"/>
  <c r="J274" i="5"/>
  <c r="I274" i="5"/>
  <c r="A274" i="5"/>
  <c r="T273" i="5"/>
  <c r="S273" i="5"/>
  <c r="R273" i="5"/>
  <c r="O273" i="5"/>
  <c r="J273" i="5"/>
  <c r="I273" i="5"/>
  <c r="A273" i="5"/>
  <c r="T272" i="5"/>
  <c r="S272" i="5"/>
  <c r="R272" i="5"/>
  <c r="O272" i="5"/>
  <c r="J272" i="5"/>
  <c r="I272" i="5"/>
  <c r="A272" i="5"/>
  <c r="T271" i="5"/>
  <c r="S271" i="5"/>
  <c r="R271" i="5"/>
  <c r="O271" i="5"/>
  <c r="J271" i="5"/>
  <c r="I271" i="5"/>
  <c r="A271" i="5"/>
  <c r="T270" i="5"/>
  <c r="S270" i="5"/>
  <c r="R270" i="5"/>
  <c r="O270" i="5"/>
  <c r="J270" i="5"/>
  <c r="I270" i="5"/>
  <c r="A270" i="5"/>
  <c r="T269" i="5"/>
  <c r="S269" i="5"/>
  <c r="R269" i="5"/>
  <c r="O269" i="5"/>
  <c r="J269" i="5"/>
  <c r="I269" i="5"/>
  <c r="A269" i="5"/>
  <c r="T268" i="5"/>
  <c r="S268" i="5"/>
  <c r="R268" i="5"/>
  <c r="O268" i="5"/>
  <c r="J268" i="5"/>
  <c r="I268" i="5"/>
  <c r="A268" i="5"/>
  <c r="T267" i="5"/>
  <c r="S267" i="5"/>
  <c r="R267" i="5"/>
  <c r="O267" i="5"/>
  <c r="J267" i="5"/>
  <c r="I267" i="5"/>
  <c r="A267" i="5"/>
  <c r="T266" i="5"/>
  <c r="S266" i="5"/>
  <c r="R266" i="5"/>
  <c r="O266" i="5"/>
  <c r="J266" i="5"/>
  <c r="I266" i="5"/>
  <c r="A266" i="5"/>
  <c r="T265" i="5"/>
  <c r="S265" i="5"/>
  <c r="R265" i="5"/>
  <c r="O265" i="5"/>
  <c r="J265" i="5"/>
  <c r="I265" i="5"/>
  <c r="A265" i="5"/>
  <c r="T264" i="5"/>
  <c r="S264" i="5"/>
  <c r="R264" i="5"/>
  <c r="O264" i="5"/>
  <c r="J264" i="5"/>
  <c r="I264" i="5"/>
  <c r="A264" i="5"/>
  <c r="T263" i="5"/>
  <c r="S263" i="5"/>
  <c r="R263" i="5"/>
  <c r="O263" i="5"/>
  <c r="J263" i="5"/>
  <c r="I263" i="5"/>
  <c r="A263" i="5"/>
  <c r="T262" i="5"/>
  <c r="S262" i="5"/>
  <c r="R262" i="5"/>
  <c r="O262" i="5"/>
  <c r="J262" i="5"/>
  <c r="I262" i="5"/>
  <c r="A262" i="5"/>
  <c r="T261" i="5"/>
  <c r="S261" i="5"/>
  <c r="R261" i="5"/>
  <c r="O261" i="5"/>
  <c r="J261" i="5"/>
  <c r="I261" i="5"/>
  <c r="A261" i="5"/>
  <c r="T260" i="5"/>
  <c r="S260" i="5"/>
  <c r="R260" i="5"/>
  <c r="O260" i="5"/>
  <c r="J260" i="5"/>
  <c r="I260" i="5"/>
  <c r="A260" i="5"/>
  <c r="T259" i="5"/>
  <c r="S259" i="5"/>
  <c r="R259" i="5"/>
  <c r="O259" i="5"/>
  <c r="J259" i="5"/>
  <c r="I259" i="5"/>
  <c r="A259" i="5"/>
  <c r="T258" i="5"/>
  <c r="S258" i="5"/>
  <c r="R258" i="5"/>
  <c r="O258" i="5"/>
  <c r="J258" i="5"/>
  <c r="I258" i="5"/>
  <c r="A258" i="5"/>
  <c r="T257" i="5"/>
  <c r="S257" i="5"/>
  <c r="R257" i="5"/>
  <c r="O257" i="5"/>
  <c r="J257" i="5"/>
  <c r="I257" i="5"/>
  <c r="A257" i="5"/>
  <c r="T256" i="5"/>
  <c r="S256" i="5"/>
  <c r="R256" i="5"/>
  <c r="O256" i="5"/>
  <c r="J256" i="5"/>
  <c r="I256" i="5"/>
  <c r="A256" i="5"/>
  <c r="T255" i="5"/>
  <c r="S255" i="5"/>
  <c r="R255" i="5"/>
  <c r="O255" i="5"/>
  <c r="J255" i="5"/>
  <c r="I255" i="5"/>
  <c r="A255" i="5"/>
  <c r="T254" i="5"/>
  <c r="S254" i="5"/>
  <c r="R254" i="5"/>
  <c r="O254" i="5"/>
  <c r="J254" i="5"/>
  <c r="I254" i="5"/>
  <c r="A254" i="5"/>
  <c r="T253" i="5"/>
  <c r="S253" i="5"/>
  <c r="R253" i="5"/>
  <c r="O253" i="5"/>
  <c r="J253" i="5"/>
  <c r="I253" i="5"/>
  <c r="A253" i="5"/>
  <c r="T252" i="5"/>
  <c r="S252" i="5"/>
  <c r="R252" i="5"/>
  <c r="O252" i="5"/>
  <c r="J252" i="5"/>
  <c r="I252" i="5"/>
  <c r="A252" i="5"/>
  <c r="T251" i="5"/>
  <c r="S251" i="5"/>
  <c r="R251" i="5"/>
  <c r="O251" i="5"/>
  <c r="J251" i="5"/>
  <c r="I251" i="5"/>
  <c r="A251" i="5"/>
  <c r="T250" i="5"/>
  <c r="S250" i="5"/>
  <c r="R250" i="5"/>
  <c r="O250" i="5"/>
  <c r="J250" i="5"/>
  <c r="I250" i="5"/>
  <c r="A250" i="5"/>
  <c r="T249" i="5"/>
  <c r="S249" i="5"/>
  <c r="R249" i="5"/>
  <c r="O249" i="5"/>
  <c r="J249" i="5"/>
  <c r="I249" i="5"/>
  <c r="A249" i="5"/>
  <c r="T248" i="5"/>
  <c r="S248" i="5"/>
  <c r="R248" i="5"/>
  <c r="O248" i="5"/>
  <c r="J248" i="5"/>
  <c r="I248" i="5"/>
  <c r="A248" i="5"/>
  <c r="T247" i="5"/>
  <c r="S247" i="5"/>
  <c r="R247" i="5"/>
  <c r="O247" i="5"/>
  <c r="J247" i="5"/>
  <c r="I247" i="5"/>
  <c r="A247" i="5"/>
  <c r="T246" i="5"/>
  <c r="S246" i="5"/>
  <c r="R246" i="5"/>
  <c r="O246" i="5"/>
  <c r="J246" i="5"/>
  <c r="I246" i="5"/>
  <c r="A246" i="5"/>
  <c r="T245" i="5"/>
  <c r="S245" i="5"/>
  <c r="R245" i="5"/>
  <c r="O245" i="5"/>
  <c r="J245" i="5"/>
  <c r="I245" i="5"/>
  <c r="A245" i="5"/>
  <c r="T244" i="5"/>
  <c r="S244" i="5"/>
  <c r="R244" i="5"/>
  <c r="O244" i="5"/>
  <c r="J244" i="5"/>
  <c r="I244" i="5"/>
  <c r="A244" i="5"/>
  <c r="T243" i="5"/>
  <c r="S243" i="5"/>
  <c r="R243" i="5"/>
  <c r="O243" i="5"/>
  <c r="J243" i="5"/>
  <c r="I243" i="5"/>
  <c r="A243" i="5"/>
  <c r="T242" i="5"/>
  <c r="S242" i="5"/>
  <c r="R242" i="5"/>
  <c r="O242" i="5"/>
  <c r="J242" i="5"/>
  <c r="I242" i="5"/>
  <c r="A242" i="5"/>
  <c r="T241" i="5"/>
  <c r="S241" i="5"/>
  <c r="R241" i="5"/>
  <c r="O241" i="5"/>
  <c r="J241" i="5"/>
  <c r="I241" i="5"/>
  <c r="A241" i="5"/>
  <c r="T240" i="5"/>
  <c r="S240" i="5"/>
  <c r="R240" i="5"/>
  <c r="O240" i="5"/>
  <c r="J240" i="5"/>
  <c r="I240" i="5"/>
  <c r="A240" i="5"/>
  <c r="T239" i="5"/>
  <c r="S239" i="5"/>
  <c r="R239" i="5"/>
  <c r="O239" i="5"/>
  <c r="J239" i="5"/>
  <c r="I239" i="5"/>
  <c r="A239" i="5"/>
  <c r="T238" i="5"/>
  <c r="S238" i="5"/>
  <c r="R238" i="5"/>
  <c r="O238" i="5"/>
  <c r="J238" i="5"/>
  <c r="I238" i="5"/>
  <c r="A238" i="5"/>
  <c r="T237" i="5"/>
  <c r="S237" i="5"/>
  <c r="R237" i="5"/>
  <c r="O237" i="5"/>
  <c r="J237" i="5"/>
  <c r="I237" i="5"/>
  <c r="A237" i="5"/>
  <c r="T236" i="5"/>
  <c r="S236" i="5"/>
  <c r="R236" i="5"/>
  <c r="O236" i="5"/>
  <c r="J236" i="5"/>
  <c r="I236" i="5"/>
  <c r="A236" i="5"/>
  <c r="T235" i="5"/>
  <c r="S235" i="5"/>
  <c r="R235" i="5"/>
  <c r="O235" i="5"/>
  <c r="J235" i="5"/>
  <c r="I235" i="5"/>
  <c r="A235" i="5"/>
  <c r="T234" i="5"/>
  <c r="S234" i="5"/>
  <c r="R234" i="5"/>
  <c r="O234" i="5"/>
  <c r="J234" i="5"/>
  <c r="I234" i="5"/>
  <c r="A234" i="5"/>
  <c r="T233" i="5"/>
  <c r="S233" i="5"/>
  <c r="R233" i="5"/>
  <c r="O233" i="5"/>
  <c r="J233" i="5"/>
  <c r="I233" i="5"/>
  <c r="A233" i="5"/>
  <c r="T232" i="5"/>
  <c r="S232" i="5"/>
  <c r="R232" i="5"/>
  <c r="O232" i="5"/>
  <c r="J232" i="5"/>
  <c r="I232" i="5"/>
  <c r="A232" i="5"/>
  <c r="T231" i="5"/>
  <c r="S231" i="5"/>
  <c r="R231" i="5"/>
  <c r="O231" i="5"/>
  <c r="J231" i="5"/>
  <c r="I231" i="5"/>
  <c r="A231" i="5"/>
  <c r="T230" i="5"/>
  <c r="S230" i="5"/>
  <c r="R230" i="5"/>
  <c r="O230" i="5"/>
  <c r="J230" i="5"/>
  <c r="I230" i="5"/>
  <c r="A230" i="5"/>
  <c r="T229" i="5"/>
  <c r="S229" i="5"/>
  <c r="R229" i="5"/>
  <c r="O229" i="5"/>
  <c r="J229" i="5"/>
  <c r="I229" i="5"/>
  <c r="A229" i="5"/>
  <c r="T228" i="5"/>
  <c r="S228" i="5"/>
  <c r="R228" i="5"/>
  <c r="O228" i="5"/>
  <c r="J228" i="5"/>
  <c r="I228" i="5"/>
  <c r="A228" i="5"/>
  <c r="T227" i="5"/>
  <c r="S227" i="5"/>
  <c r="R227" i="5"/>
  <c r="O227" i="5"/>
  <c r="J227" i="5"/>
  <c r="I227" i="5"/>
  <c r="A227" i="5"/>
  <c r="T226" i="5"/>
  <c r="S226" i="5"/>
  <c r="R226" i="5"/>
  <c r="O226" i="5"/>
  <c r="J226" i="5"/>
  <c r="I226" i="5"/>
  <c r="A226" i="5"/>
  <c r="T225" i="5"/>
  <c r="S225" i="5"/>
  <c r="R225" i="5"/>
  <c r="O225" i="5"/>
  <c r="J225" i="5"/>
  <c r="I225" i="5"/>
  <c r="A225" i="5"/>
  <c r="T224" i="5"/>
  <c r="S224" i="5"/>
  <c r="R224" i="5"/>
  <c r="O224" i="5"/>
  <c r="J224" i="5"/>
  <c r="I224" i="5"/>
  <c r="A224" i="5"/>
  <c r="T223" i="5"/>
  <c r="S223" i="5"/>
  <c r="R223" i="5"/>
  <c r="O223" i="5"/>
  <c r="J223" i="5"/>
  <c r="I223" i="5"/>
  <c r="A223" i="5"/>
  <c r="T222" i="5"/>
  <c r="S222" i="5"/>
  <c r="R222" i="5"/>
  <c r="O222" i="5"/>
  <c r="J222" i="5"/>
  <c r="I222" i="5"/>
  <c r="A222" i="5"/>
  <c r="T221" i="5"/>
  <c r="S221" i="5"/>
  <c r="R221" i="5"/>
  <c r="O221" i="5"/>
  <c r="J221" i="5"/>
  <c r="I221" i="5"/>
  <c r="A221" i="5"/>
  <c r="T220" i="5"/>
  <c r="S220" i="5"/>
  <c r="R220" i="5"/>
  <c r="O220" i="5"/>
  <c r="J220" i="5"/>
  <c r="I220" i="5"/>
  <c r="A220" i="5"/>
  <c r="T219" i="5"/>
  <c r="S219" i="5"/>
  <c r="R219" i="5"/>
  <c r="O219" i="5"/>
  <c r="J219" i="5"/>
  <c r="I219" i="5"/>
  <c r="A219" i="5"/>
  <c r="T218" i="5"/>
  <c r="S218" i="5"/>
  <c r="R218" i="5"/>
  <c r="O218" i="5"/>
  <c r="J218" i="5"/>
  <c r="I218" i="5"/>
  <c r="A218" i="5"/>
  <c r="T217" i="5"/>
  <c r="S217" i="5"/>
  <c r="R217" i="5"/>
  <c r="O217" i="5"/>
  <c r="J217" i="5"/>
  <c r="I217" i="5"/>
  <c r="A217" i="5"/>
  <c r="T216" i="5"/>
  <c r="S216" i="5"/>
  <c r="R216" i="5"/>
  <c r="O216" i="5"/>
  <c r="J216" i="5"/>
  <c r="I216" i="5"/>
  <c r="A216" i="5"/>
  <c r="T215" i="5"/>
  <c r="S215" i="5"/>
  <c r="R215" i="5"/>
  <c r="O215" i="5"/>
  <c r="J215" i="5"/>
  <c r="I215" i="5"/>
  <c r="A215" i="5"/>
  <c r="T214" i="5"/>
  <c r="S214" i="5"/>
  <c r="R214" i="5"/>
  <c r="O214" i="5"/>
  <c r="J214" i="5"/>
  <c r="I214" i="5"/>
  <c r="A214" i="5"/>
  <c r="T213" i="5"/>
  <c r="S213" i="5"/>
  <c r="R213" i="5"/>
  <c r="O213" i="5"/>
  <c r="J213" i="5"/>
  <c r="I213" i="5"/>
  <c r="A213" i="5"/>
  <c r="T212" i="5"/>
  <c r="S212" i="5"/>
  <c r="R212" i="5"/>
  <c r="O212" i="5"/>
  <c r="J212" i="5"/>
  <c r="I212" i="5"/>
  <c r="A212" i="5"/>
  <c r="T211" i="5"/>
  <c r="S211" i="5"/>
  <c r="R211" i="5"/>
  <c r="O211" i="5"/>
  <c r="J211" i="5"/>
  <c r="I211" i="5"/>
  <c r="A211" i="5"/>
  <c r="T210" i="5"/>
  <c r="S210" i="5"/>
  <c r="R210" i="5"/>
  <c r="O210" i="5"/>
  <c r="J210" i="5"/>
  <c r="I210" i="5"/>
  <c r="A210" i="5"/>
  <c r="T209" i="5"/>
  <c r="S209" i="5"/>
  <c r="R209" i="5"/>
  <c r="O209" i="5"/>
  <c r="J209" i="5"/>
  <c r="I209" i="5"/>
  <c r="A209" i="5"/>
  <c r="T208" i="5"/>
  <c r="S208" i="5"/>
  <c r="R208" i="5"/>
  <c r="O208" i="5"/>
  <c r="J208" i="5"/>
  <c r="I208" i="5"/>
  <c r="A208" i="5"/>
  <c r="T207" i="5"/>
  <c r="S207" i="5"/>
  <c r="R207" i="5"/>
  <c r="O207" i="5"/>
  <c r="J207" i="5"/>
  <c r="I207" i="5"/>
  <c r="A207" i="5"/>
  <c r="T206" i="5"/>
  <c r="S206" i="5"/>
  <c r="R206" i="5"/>
  <c r="O206" i="5"/>
  <c r="J206" i="5"/>
  <c r="I206" i="5"/>
  <c r="A206" i="5"/>
  <c r="T205" i="5"/>
  <c r="S205" i="5"/>
  <c r="R205" i="5"/>
  <c r="O205" i="5"/>
  <c r="J205" i="5"/>
  <c r="I205" i="5"/>
  <c r="A205" i="5"/>
  <c r="T204" i="5"/>
  <c r="S204" i="5"/>
  <c r="R204" i="5"/>
  <c r="O204" i="5"/>
  <c r="J204" i="5"/>
  <c r="I204" i="5"/>
  <c r="A204" i="5"/>
  <c r="T203" i="5"/>
  <c r="S203" i="5"/>
  <c r="R203" i="5"/>
  <c r="O203" i="5"/>
  <c r="J203" i="5"/>
  <c r="I203" i="5"/>
  <c r="A203" i="5"/>
  <c r="T202" i="5"/>
  <c r="S202" i="5"/>
  <c r="R202" i="5"/>
  <c r="O202" i="5"/>
  <c r="J202" i="5"/>
  <c r="I202" i="5"/>
  <c r="A202" i="5"/>
  <c r="T201" i="5"/>
  <c r="S201" i="5"/>
  <c r="R201" i="5"/>
  <c r="O201" i="5"/>
  <c r="J201" i="5"/>
  <c r="I201" i="5"/>
  <c r="A201" i="5"/>
  <c r="T200" i="5"/>
  <c r="S200" i="5"/>
  <c r="R200" i="5"/>
  <c r="O200" i="5"/>
  <c r="J200" i="5"/>
  <c r="I200" i="5"/>
  <c r="A200" i="5"/>
  <c r="T199" i="5"/>
  <c r="S199" i="5"/>
  <c r="R199" i="5"/>
  <c r="O199" i="5"/>
  <c r="J199" i="5"/>
  <c r="I199" i="5"/>
  <c r="A199" i="5"/>
  <c r="T198" i="5"/>
  <c r="S198" i="5"/>
  <c r="R198" i="5"/>
  <c r="O198" i="5"/>
  <c r="J198" i="5"/>
  <c r="I198" i="5"/>
  <c r="A198" i="5"/>
  <c r="T197" i="5"/>
  <c r="S197" i="5"/>
  <c r="R197" i="5"/>
  <c r="O197" i="5"/>
  <c r="J197" i="5"/>
  <c r="I197" i="5"/>
  <c r="A197" i="5"/>
  <c r="T196" i="5"/>
  <c r="S196" i="5"/>
  <c r="R196" i="5"/>
  <c r="O196" i="5"/>
  <c r="J196" i="5"/>
  <c r="I196" i="5"/>
  <c r="A196" i="5"/>
  <c r="T195" i="5"/>
  <c r="S195" i="5"/>
  <c r="R195" i="5"/>
  <c r="O195" i="5"/>
  <c r="J195" i="5"/>
  <c r="I195" i="5"/>
  <c r="A195" i="5"/>
  <c r="T194" i="5"/>
  <c r="S194" i="5"/>
  <c r="R194" i="5"/>
  <c r="O194" i="5"/>
  <c r="J194" i="5"/>
  <c r="I194" i="5"/>
  <c r="A194" i="5"/>
  <c r="T193" i="5"/>
  <c r="S193" i="5"/>
  <c r="R193" i="5"/>
  <c r="O193" i="5"/>
  <c r="J193" i="5"/>
  <c r="I193" i="5"/>
  <c r="A193" i="5"/>
  <c r="T192" i="5"/>
  <c r="S192" i="5"/>
  <c r="R192" i="5"/>
  <c r="O192" i="5"/>
  <c r="J192" i="5"/>
  <c r="I192" i="5"/>
  <c r="A192" i="5"/>
  <c r="T191" i="5"/>
  <c r="S191" i="5"/>
  <c r="R191" i="5"/>
  <c r="O191" i="5"/>
  <c r="J191" i="5"/>
  <c r="I191" i="5"/>
  <c r="A191" i="5"/>
  <c r="T190" i="5"/>
  <c r="S190" i="5"/>
  <c r="R190" i="5"/>
  <c r="O190" i="5"/>
  <c r="J190" i="5"/>
  <c r="I190" i="5"/>
  <c r="A190" i="5"/>
  <c r="T189" i="5"/>
  <c r="S189" i="5"/>
  <c r="R189" i="5"/>
  <c r="O189" i="5"/>
  <c r="J189" i="5"/>
  <c r="I189" i="5"/>
  <c r="A189" i="5"/>
  <c r="T188" i="5"/>
  <c r="S188" i="5"/>
  <c r="R188" i="5"/>
  <c r="O188" i="5"/>
  <c r="J188" i="5"/>
  <c r="I188" i="5"/>
  <c r="A188" i="5"/>
  <c r="T187" i="5"/>
  <c r="S187" i="5"/>
  <c r="R187" i="5"/>
  <c r="O187" i="5"/>
  <c r="J187" i="5"/>
  <c r="I187" i="5"/>
  <c r="A187" i="5"/>
  <c r="T186" i="5"/>
  <c r="S186" i="5"/>
  <c r="R186" i="5"/>
  <c r="O186" i="5"/>
  <c r="J186" i="5"/>
  <c r="I186" i="5"/>
  <c r="A186" i="5"/>
  <c r="T185" i="5"/>
  <c r="S185" i="5"/>
  <c r="R185" i="5"/>
  <c r="O185" i="5"/>
  <c r="J185" i="5"/>
  <c r="I185" i="5"/>
  <c r="A185" i="5"/>
  <c r="T184" i="5"/>
  <c r="S184" i="5"/>
  <c r="R184" i="5"/>
  <c r="O184" i="5"/>
  <c r="J184" i="5"/>
  <c r="I184" i="5"/>
  <c r="A184" i="5"/>
  <c r="T183" i="5"/>
  <c r="S183" i="5"/>
  <c r="R183" i="5"/>
  <c r="O183" i="5"/>
  <c r="J183" i="5"/>
  <c r="I183" i="5"/>
  <c r="A183" i="5"/>
  <c r="T182" i="5"/>
  <c r="S182" i="5"/>
  <c r="R182" i="5"/>
  <c r="O182" i="5"/>
  <c r="J182" i="5"/>
  <c r="I182" i="5"/>
  <c r="A182" i="5"/>
  <c r="T181" i="5"/>
  <c r="S181" i="5"/>
  <c r="R181" i="5"/>
  <c r="O181" i="5"/>
  <c r="J181" i="5"/>
  <c r="I181" i="5"/>
  <c r="A181" i="5"/>
  <c r="T180" i="5"/>
  <c r="S180" i="5"/>
  <c r="R180" i="5"/>
  <c r="O180" i="5"/>
  <c r="J180" i="5"/>
  <c r="I180" i="5"/>
  <c r="A180" i="5"/>
  <c r="T179" i="5"/>
  <c r="S179" i="5"/>
  <c r="R179" i="5"/>
  <c r="O179" i="5"/>
  <c r="J179" i="5"/>
  <c r="I179" i="5"/>
  <c r="A179" i="5"/>
  <c r="T178" i="5"/>
  <c r="S178" i="5"/>
  <c r="R178" i="5"/>
  <c r="O178" i="5"/>
  <c r="J178" i="5"/>
  <c r="I178" i="5"/>
  <c r="A178" i="5"/>
  <c r="T177" i="5"/>
  <c r="S177" i="5"/>
  <c r="R177" i="5"/>
  <c r="O177" i="5"/>
  <c r="J177" i="5"/>
  <c r="I177" i="5"/>
  <c r="A177" i="5"/>
  <c r="T176" i="5"/>
  <c r="S176" i="5"/>
  <c r="R176" i="5"/>
  <c r="O176" i="5"/>
  <c r="J176" i="5"/>
  <c r="I176" i="5"/>
  <c r="A176" i="5"/>
  <c r="T175" i="5"/>
  <c r="S175" i="5"/>
  <c r="R175" i="5"/>
  <c r="O175" i="5"/>
  <c r="J175" i="5"/>
  <c r="I175" i="5"/>
  <c r="A175" i="5"/>
  <c r="T174" i="5"/>
  <c r="S174" i="5"/>
  <c r="R174" i="5"/>
  <c r="O174" i="5"/>
  <c r="J174" i="5"/>
  <c r="I174" i="5"/>
  <c r="A174" i="5"/>
  <c r="T173" i="5"/>
  <c r="S173" i="5"/>
  <c r="R173" i="5"/>
  <c r="O173" i="5"/>
  <c r="J173" i="5"/>
  <c r="I173" i="5"/>
  <c r="A173" i="5"/>
  <c r="T172" i="5"/>
  <c r="S172" i="5"/>
  <c r="R172" i="5"/>
  <c r="O172" i="5"/>
  <c r="J172" i="5"/>
  <c r="I172" i="5"/>
  <c r="A172" i="5"/>
  <c r="T171" i="5"/>
  <c r="S171" i="5"/>
  <c r="R171" i="5"/>
  <c r="O171" i="5"/>
  <c r="J171" i="5"/>
  <c r="I171" i="5"/>
  <c r="A171" i="5"/>
  <c r="T170" i="5"/>
  <c r="S170" i="5"/>
  <c r="R170" i="5"/>
  <c r="O170" i="5"/>
  <c r="J170" i="5"/>
  <c r="I170" i="5"/>
  <c r="A170" i="5"/>
  <c r="T169" i="5"/>
  <c r="S169" i="5"/>
  <c r="R169" i="5"/>
  <c r="O169" i="5"/>
  <c r="J169" i="5"/>
  <c r="I169" i="5"/>
  <c r="A169" i="5"/>
  <c r="T168" i="5"/>
  <c r="S168" i="5"/>
  <c r="R168" i="5"/>
  <c r="O168" i="5"/>
  <c r="J168" i="5"/>
  <c r="I168" i="5"/>
  <c r="A168" i="5"/>
  <c r="T167" i="5"/>
  <c r="S167" i="5"/>
  <c r="R167" i="5"/>
  <c r="O167" i="5"/>
  <c r="J167" i="5"/>
  <c r="I167" i="5"/>
  <c r="A167" i="5"/>
  <c r="T166" i="5"/>
  <c r="S166" i="5"/>
  <c r="R166" i="5"/>
  <c r="O166" i="5"/>
  <c r="J166" i="5"/>
  <c r="I166" i="5"/>
  <c r="A166" i="5"/>
  <c r="T165" i="5"/>
  <c r="S165" i="5"/>
  <c r="R165" i="5"/>
  <c r="O165" i="5"/>
  <c r="J165" i="5"/>
  <c r="I165" i="5"/>
  <c r="A165" i="5"/>
  <c r="T164" i="5"/>
  <c r="S164" i="5"/>
  <c r="R164" i="5"/>
  <c r="O164" i="5"/>
  <c r="J164" i="5"/>
  <c r="I164" i="5"/>
  <c r="A164" i="5"/>
  <c r="T163" i="5"/>
  <c r="S163" i="5"/>
  <c r="R163" i="5"/>
  <c r="O163" i="5"/>
  <c r="J163" i="5"/>
  <c r="I163" i="5"/>
  <c r="A163" i="5"/>
  <c r="T162" i="5"/>
  <c r="S162" i="5"/>
  <c r="R162" i="5"/>
  <c r="O162" i="5"/>
  <c r="J162" i="5"/>
  <c r="I162" i="5"/>
  <c r="A162" i="5"/>
  <c r="T161" i="5"/>
  <c r="S161" i="5"/>
  <c r="R161" i="5"/>
  <c r="O161" i="5"/>
  <c r="J161" i="5"/>
  <c r="I161" i="5"/>
  <c r="A161" i="5"/>
  <c r="T160" i="5"/>
  <c r="S160" i="5"/>
  <c r="R160" i="5"/>
  <c r="O160" i="5"/>
  <c r="J160" i="5"/>
  <c r="I160" i="5"/>
  <c r="A160" i="5"/>
  <c r="T159" i="5"/>
  <c r="S159" i="5"/>
  <c r="R159" i="5"/>
  <c r="O159" i="5"/>
  <c r="J159" i="5"/>
  <c r="I159" i="5"/>
  <c r="A159" i="5"/>
  <c r="T158" i="5"/>
  <c r="S158" i="5"/>
  <c r="R158" i="5"/>
  <c r="O158" i="5"/>
  <c r="J158" i="5"/>
  <c r="I158" i="5"/>
  <c r="A158" i="5"/>
  <c r="T157" i="5"/>
  <c r="S157" i="5"/>
  <c r="R157" i="5"/>
  <c r="O157" i="5"/>
  <c r="J157" i="5"/>
  <c r="I157" i="5"/>
  <c r="A157" i="5"/>
  <c r="T156" i="5"/>
  <c r="S156" i="5"/>
  <c r="R156" i="5"/>
  <c r="O156" i="5"/>
  <c r="J156" i="5"/>
  <c r="I156" i="5"/>
  <c r="A156" i="5"/>
  <c r="T155" i="5"/>
  <c r="S155" i="5"/>
  <c r="R155" i="5"/>
  <c r="O155" i="5"/>
  <c r="J155" i="5"/>
  <c r="I155" i="5"/>
  <c r="A155" i="5"/>
  <c r="T154" i="5"/>
  <c r="S154" i="5"/>
  <c r="R154" i="5"/>
  <c r="O154" i="5"/>
  <c r="J154" i="5"/>
  <c r="I154" i="5"/>
  <c r="A154" i="5"/>
  <c r="T153" i="5"/>
  <c r="S153" i="5"/>
  <c r="R153" i="5"/>
  <c r="O153" i="5"/>
  <c r="J153" i="5"/>
  <c r="I153" i="5"/>
  <c r="A153" i="5"/>
  <c r="T152" i="5"/>
  <c r="S152" i="5"/>
  <c r="R152" i="5"/>
  <c r="O152" i="5"/>
  <c r="J152" i="5"/>
  <c r="I152" i="5"/>
  <c r="A152" i="5"/>
  <c r="T151" i="5"/>
  <c r="S151" i="5"/>
  <c r="R151" i="5"/>
  <c r="O151" i="5"/>
  <c r="J151" i="5"/>
  <c r="I151" i="5"/>
  <c r="A151" i="5"/>
  <c r="T150" i="5"/>
  <c r="S150" i="5"/>
  <c r="R150" i="5"/>
  <c r="O150" i="5"/>
  <c r="J150" i="5"/>
  <c r="I150" i="5"/>
  <c r="A150" i="5"/>
  <c r="T149" i="5"/>
  <c r="S149" i="5"/>
  <c r="R149" i="5"/>
  <c r="O149" i="5"/>
  <c r="J149" i="5"/>
  <c r="I149" i="5"/>
  <c r="A149" i="5"/>
  <c r="T148" i="5"/>
  <c r="S148" i="5"/>
  <c r="R148" i="5"/>
  <c r="O148" i="5"/>
  <c r="J148" i="5"/>
  <c r="I148" i="5"/>
  <c r="A148" i="5"/>
  <c r="T147" i="5"/>
  <c r="S147" i="5"/>
  <c r="R147" i="5"/>
  <c r="O147" i="5"/>
  <c r="J147" i="5"/>
  <c r="I147" i="5"/>
  <c r="A147" i="5"/>
  <c r="T146" i="5"/>
  <c r="S146" i="5"/>
  <c r="R146" i="5"/>
  <c r="O146" i="5"/>
  <c r="J146" i="5"/>
  <c r="I146" i="5"/>
  <c r="A146" i="5"/>
  <c r="T145" i="5"/>
  <c r="S145" i="5"/>
  <c r="R145" i="5"/>
  <c r="O145" i="5"/>
  <c r="J145" i="5"/>
  <c r="I145" i="5"/>
  <c r="A145" i="5"/>
  <c r="T144" i="5"/>
  <c r="S144" i="5"/>
  <c r="R144" i="5"/>
  <c r="O144" i="5"/>
  <c r="J144" i="5"/>
  <c r="I144" i="5"/>
  <c r="A144" i="5"/>
  <c r="T143" i="5"/>
  <c r="S143" i="5"/>
  <c r="R143" i="5"/>
  <c r="O143" i="5"/>
  <c r="J143" i="5"/>
  <c r="I143" i="5"/>
  <c r="A143" i="5"/>
  <c r="T142" i="5"/>
  <c r="S142" i="5"/>
  <c r="R142" i="5"/>
  <c r="O142" i="5"/>
  <c r="J142" i="5"/>
  <c r="I142" i="5"/>
  <c r="A142" i="5"/>
  <c r="T141" i="5"/>
  <c r="S141" i="5"/>
  <c r="R141" i="5"/>
  <c r="O141" i="5"/>
  <c r="J141" i="5"/>
  <c r="I141" i="5"/>
  <c r="A141" i="5"/>
  <c r="T140" i="5"/>
  <c r="S140" i="5"/>
  <c r="R140" i="5"/>
  <c r="O140" i="5"/>
  <c r="J140" i="5"/>
  <c r="I140" i="5"/>
  <c r="A140" i="5"/>
  <c r="T139" i="5"/>
  <c r="S139" i="5"/>
  <c r="R139" i="5"/>
  <c r="O139" i="5"/>
  <c r="J139" i="5"/>
  <c r="I139" i="5"/>
  <c r="A139" i="5"/>
  <c r="T138" i="5"/>
  <c r="S138" i="5"/>
  <c r="R138" i="5"/>
  <c r="O138" i="5"/>
  <c r="J138" i="5"/>
  <c r="I138" i="5"/>
  <c r="A138" i="5"/>
  <c r="T137" i="5"/>
  <c r="S137" i="5"/>
  <c r="R137" i="5"/>
  <c r="O137" i="5"/>
  <c r="J137" i="5"/>
  <c r="I137" i="5"/>
  <c r="A137" i="5"/>
  <c r="T136" i="5"/>
  <c r="S136" i="5"/>
  <c r="R136" i="5"/>
  <c r="O136" i="5"/>
  <c r="J136" i="5"/>
  <c r="I136" i="5"/>
  <c r="A136" i="5"/>
  <c r="T135" i="5"/>
  <c r="S135" i="5"/>
  <c r="R135" i="5"/>
  <c r="O135" i="5"/>
  <c r="J135" i="5"/>
  <c r="I135" i="5"/>
  <c r="A135" i="5"/>
  <c r="T134" i="5"/>
  <c r="S134" i="5"/>
  <c r="R134" i="5"/>
  <c r="O134" i="5"/>
  <c r="J134" i="5"/>
  <c r="I134" i="5"/>
  <c r="A134" i="5"/>
  <c r="T133" i="5"/>
  <c r="S133" i="5"/>
  <c r="R133" i="5"/>
  <c r="O133" i="5"/>
  <c r="J133" i="5"/>
  <c r="I133" i="5"/>
  <c r="A133" i="5"/>
  <c r="T132" i="5"/>
  <c r="S132" i="5"/>
  <c r="R132" i="5"/>
  <c r="O132" i="5"/>
  <c r="J132" i="5"/>
  <c r="I132" i="5"/>
  <c r="A132" i="5"/>
  <c r="T131" i="5"/>
  <c r="S131" i="5"/>
  <c r="R131" i="5"/>
  <c r="O131" i="5"/>
  <c r="J131" i="5"/>
  <c r="I131" i="5"/>
  <c r="A131" i="5"/>
  <c r="T130" i="5"/>
  <c r="S130" i="5"/>
  <c r="R130" i="5"/>
  <c r="O130" i="5"/>
  <c r="J130" i="5"/>
  <c r="I130" i="5"/>
  <c r="A130" i="5"/>
  <c r="T129" i="5"/>
  <c r="S129" i="5"/>
  <c r="R129" i="5"/>
  <c r="O129" i="5"/>
  <c r="J129" i="5"/>
  <c r="I129" i="5"/>
  <c r="A129" i="5"/>
  <c r="T128" i="5"/>
  <c r="S128" i="5"/>
  <c r="R128" i="5"/>
  <c r="O128" i="5"/>
  <c r="J128" i="5"/>
  <c r="I128" i="5"/>
  <c r="A128" i="5"/>
  <c r="T127" i="5"/>
  <c r="S127" i="5"/>
  <c r="R127" i="5"/>
  <c r="O127" i="5"/>
  <c r="J127" i="5"/>
  <c r="I127" i="5"/>
  <c r="A127" i="5"/>
  <c r="T126" i="5"/>
  <c r="S126" i="5"/>
  <c r="R126" i="5"/>
  <c r="O126" i="5"/>
  <c r="J126" i="5"/>
  <c r="I126" i="5"/>
  <c r="A126" i="5"/>
  <c r="T125" i="5"/>
  <c r="S125" i="5"/>
  <c r="R125" i="5"/>
  <c r="O125" i="5"/>
  <c r="J125" i="5"/>
  <c r="I125" i="5"/>
  <c r="A125" i="5"/>
  <c r="T124" i="5"/>
  <c r="S124" i="5"/>
  <c r="R124" i="5"/>
  <c r="O124" i="5"/>
  <c r="J124" i="5"/>
  <c r="I124" i="5"/>
  <c r="A124" i="5"/>
  <c r="T123" i="5"/>
  <c r="S123" i="5"/>
  <c r="R123" i="5"/>
  <c r="O123" i="5"/>
  <c r="J123" i="5"/>
  <c r="I123" i="5"/>
  <c r="A123" i="5"/>
  <c r="T122" i="5"/>
  <c r="S122" i="5"/>
  <c r="R122" i="5"/>
  <c r="O122" i="5"/>
  <c r="J122" i="5"/>
  <c r="I122" i="5"/>
  <c r="A122" i="5"/>
  <c r="T121" i="5"/>
  <c r="S121" i="5"/>
  <c r="R121" i="5"/>
  <c r="O121" i="5"/>
  <c r="J121" i="5"/>
  <c r="I121" i="5"/>
  <c r="A121" i="5"/>
  <c r="T120" i="5"/>
  <c r="S120" i="5"/>
  <c r="R120" i="5"/>
  <c r="O120" i="5"/>
  <c r="J120" i="5"/>
  <c r="I120" i="5"/>
  <c r="A120" i="5"/>
  <c r="T119" i="5"/>
  <c r="S119" i="5"/>
  <c r="R119" i="5"/>
  <c r="O119" i="5"/>
  <c r="J119" i="5"/>
  <c r="I119" i="5"/>
  <c r="A119" i="5"/>
  <c r="T118" i="5"/>
  <c r="S118" i="5"/>
  <c r="R118" i="5"/>
  <c r="O118" i="5"/>
  <c r="J118" i="5"/>
  <c r="I118" i="5"/>
  <c r="A118" i="5"/>
  <c r="T117" i="5"/>
  <c r="S117" i="5"/>
  <c r="R117" i="5"/>
  <c r="O117" i="5"/>
  <c r="J117" i="5"/>
  <c r="I117" i="5"/>
  <c r="A117" i="5"/>
  <c r="T116" i="5"/>
  <c r="S116" i="5"/>
  <c r="R116" i="5"/>
  <c r="O116" i="5"/>
  <c r="J116" i="5"/>
  <c r="I116" i="5"/>
  <c r="A116" i="5"/>
  <c r="T115" i="5"/>
  <c r="S115" i="5"/>
  <c r="R115" i="5"/>
  <c r="O115" i="5"/>
  <c r="J115" i="5"/>
  <c r="I115" i="5"/>
  <c r="A115" i="5"/>
  <c r="T114" i="5"/>
  <c r="S114" i="5"/>
  <c r="R114" i="5"/>
  <c r="O114" i="5"/>
  <c r="J114" i="5"/>
  <c r="I114" i="5"/>
  <c r="A114" i="5"/>
  <c r="T113" i="5"/>
  <c r="S113" i="5"/>
  <c r="R113" i="5"/>
  <c r="O113" i="5"/>
  <c r="J113" i="5"/>
  <c r="I113" i="5"/>
  <c r="A113" i="5"/>
  <c r="T112" i="5"/>
  <c r="S112" i="5"/>
  <c r="R112" i="5"/>
  <c r="O112" i="5"/>
  <c r="J112" i="5"/>
  <c r="I112" i="5"/>
  <c r="A112" i="5"/>
  <c r="T111" i="5"/>
  <c r="S111" i="5"/>
  <c r="R111" i="5"/>
  <c r="O111" i="5"/>
  <c r="J111" i="5"/>
  <c r="I111" i="5"/>
  <c r="A111" i="5"/>
  <c r="T110" i="5"/>
  <c r="S110" i="5"/>
  <c r="R110" i="5"/>
  <c r="O110" i="5"/>
  <c r="J110" i="5"/>
  <c r="I110" i="5"/>
  <c r="A110" i="5"/>
  <c r="T109" i="5"/>
  <c r="S109" i="5"/>
  <c r="R109" i="5"/>
  <c r="O109" i="5"/>
  <c r="J109" i="5"/>
  <c r="I109" i="5"/>
  <c r="A109" i="5"/>
  <c r="T108" i="5"/>
  <c r="S108" i="5"/>
  <c r="R108" i="5"/>
  <c r="O108" i="5"/>
  <c r="J108" i="5"/>
  <c r="I108" i="5"/>
  <c r="A108" i="5"/>
  <c r="T107" i="5"/>
  <c r="S107" i="5"/>
  <c r="R107" i="5"/>
  <c r="O107" i="5"/>
  <c r="J107" i="5"/>
  <c r="I107" i="5"/>
  <c r="A107" i="5"/>
  <c r="T106" i="5"/>
  <c r="S106" i="5"/>
  <c r="R106" i="5"/>
  <c r="O106" i="5"/>
  <c r="J106" i="5"/>
  <c r="I106" i="5"/>
  <c r="A106" i="5"/>
  <c r="T105" i="5"/>
  <c r="S105" i="5"/>
  <c r="R105" i="5"/>
  <c r="O105" i="5"/>
  <c r="J105" i="5"/>
  <c r="I105" i="5"/>
  <c r="A105" i="5"/>
  <c r="T104" i="5"/>
  <c r="S104" i="5"/>
  <c r="R104" i="5"/>
  <c r="O104" i="5"/>
  <c r="J104" i="5"/>
  <c r="I104" i="5"/>
  <c r="A104" i="5"/>
  <c r="T103" i="5"/>
  <c r="S103" i="5"/>
  <c r="R103" i="5"/>
  <c r="O103" i="5"/>
  <c r="J103" i="5"/>
  <c r="I103" i="5"/>
  <c r="A103" i="5"/>
  <c r="T102" i="5"/>
  <c r="S102" i="5"/>
  <c r="R102" i="5"/>
  <c r="O102" i="5"/>
  <c r="J102" i="5"/>
  <c r="I102" i="5"/>
  <c r="A102" i="5"/>
  <c r="T101" i="5"/>
  <c r="S101" i="5"/>
  <c r="R101" i="5"/>
  <c r="O101" i="5"/>
  <c r="J101" i="5"/>
  <c r="I101" i="5"/>
  <c r="A101" i="5"/>
  <c r="T100" i="5"/>
  <c r="S100" i="5"/>
  <c r="R100" i="5"/>
  <c r="O100" i="5"/>
  <c r="J100" i="5"/>
  <c r="I100" i="5"/>
  <c r="A100" i="5"/>
  <c r="T99" i="5"/>
  <c r="S99" i="5"/>
  <c r="R99" i="5"/>
  <c r="O99" i="5"/>
  <c r="J99" i="5"/>
  <c r="I99" i="5"/>
  <c r="A99" i="5"/>
  <c r="T98" i="5"/>
  <c r="S98" i="5"/>
  <c r="R98" i="5"/>
  <c r="O98" i="5"/>
  <c r="J98" i="5"/>
  <c r="I98" i="5"/>
  <c r="A98" i="5"/>
  <c r="T97" i="5"/>
  <c r="S97" i="5"/>
  <c r="R97" i="5"/>
  <c r="O97" i="5"/>
  <c r="J97" i="5"/>
  <c r="I97" i="5"/>
  <c r="A97" i="5"/>
  <c r="T96" i="5"/>
  <c r="S96" i="5"/>
  <c r="R96" i="5"/>
  <c r="O96" i="5"/>
  <c r="J96" i="5"/>
  <c r="I96" i="5"/>
  <c r="A96" i="5"/>
  <c r="T95" i="5"/>
  <c r="S95" i="5"/>
  <c r="R95" i="5"/>
  <c r="O95" i="5"/>
  <c r="J95" i="5"/>
  <c r="I95" i="5"/>
  <c r="A95" i="5"/>
  <c r="T94" i="5"/>
  <c r="S94" i="5"/>
  <c r="R94" i="5"/>
  <c r="O94" i="5"/>
  <c r="J94" i="5"/>
  <c r="I94" i="5"/>
  <c r="A94" i="5"/>
  <c r="T93" i="5"/>
  <c r="S93" i="5"/>
  <c r="R93" i="5"/>
  <c r="O93" i="5"/>
  <c r="J93" i="5"/>
  <c r="I93" i="5"/>
  <c r="A93" i="5"/>
  <c r="T92" i="5"/>
  <c r="S92" i="5"/>
  <c r="R92" i="5"/>
  <c r="O92" i="5"/>
  <c r="J92" i="5"/>
  <c r="I92" i="5"/>
  <c r="A92" i="5"/>
  <c r="T91" i="5"/>
  <c r="S91" i="5"/>
  <c r="R91" i="5"/>
  <c r="O91" i="5"/>
  <c r="J91" i="5"/>
  <c r="I91" i="5"/>
  <c r="A91" i="5"/>
  <c r="T90" i="5"/>
  <c r="S90" i="5"/>
  <c r="R90" i="5"/>
  <c r="O90" i="5"/>
  <c r="J90" i="5"/>
  <c r="I90" i="5"/>
  <c r="A90" i="5"/>
  <c r="T89" i="5"/>
  <c r="S89" i="5"/>
  <c r="R89" i="5"/>
  <c r="O89" i="5"/>
  <c r="J89" i="5"/>
  <c r="I89" i="5"/>
  <c r="A89" i="5"/>
  <c r="T88" i="5"/>
  <c r="S88" i="5"/>
  <c r="R88" i="5"/>
  <c r="O88" i="5"/>
  <c r="J88" i="5"/>
  <c r="I88" i="5"/>
  <c r="A88" i="5"/>
  <c r="T87" i="5"/>
  <c r="S87" i="5"/>
  <c r="R87" i="5"/>
  <c r="O87" i="5"/>
  <c r="J87" i="5"/>
  <c r="I87" i="5"/>
  <c r="A87" i="5"/>
  <c r="T86" i="5"/>
  <c r="S86" i="5"/>
  <c r="R86" i="5"/>
  <c r="O86" i="5"/>
  <c r="J86" i="5"/>
  <c r="I86" i="5"/>
  <c r="A86" i="5"/>
  <c r="T85" i="5"/>
  <c r="S85" i="5"/>
  <c r="R85" i="5"/>
  <c r="O85" i="5"/>
  <c r="J85" i="5"/>
  <c r="I85" i="5"/>
  <c r="A85" i="5"/>
  <c r="T84" i="5"/>
  <c r="S84" i="5"/>
  <c r="R84" i="5"/>
  <c r="O84" i="5"/>
  <c r="J84" i="5"/>
  <c r="I84" i="5"/>
  <c r="A84" i="5"/>
  <c r="T83" i="5"/>
  <c r="S83" i="5"/>
  <c r="R83" i="5"/>
  <c r="O83" i="5"/>
  <c r="J83" i="5"/>
  <c r="I83" i="5"/>
  <c r="A83" i="5"/>
  <c r="T82" i="5"/>
  <c r="S82" i="5"/>
  <c r="R82" i="5"/>
  <c r="O82" i="5"/>
  <c r="J82" i="5"/>
  <c r="I82" i="5"/>
  <c r="A82" i="5"/>
  <c r="T81" i="5"/>
  <c r="S81" i="5"/>
  <c r="R81" i="5"/>
  <c r="O81" i="5"/>
  <c r="O4" i="5" s="1"/>
  <c r="J81" i="5"/>
  <c r="I81" i="5"/>
  <c r="A81" i="5"/>
  <c r="T80" i="5"/>
  <c r="S80" i="5"/>
  <c r="R80" i="5"/>
  <c r="O80" i="5"/>
  <c r="J80" i="5"/>
  <c r="I80" i="5"/>
  <c r="A80" i="5"/>
  <c r="T79" i="5"/>
  <c r="S79" i="5"/>
  <c r="R79" i="5"/>
  <c r="O79" i="5"/>
  <c r="J79" i="5"/>
  <c r="I79" i="5"/>
  <c r="A79" i="5"/>
  <c r="T78" i="5"/>
  <c r="S78" i="5"/>
  <c r="R78" i="5"/>
  <c r="O78" i="5"/>
  <c r="J78" i="5"/>
  <c r="I78" i="5"/>
  <c r="A78" i="5"/>
  <c r="T77" i="5"/>
  <c r="S77" i="5"/>
  <c r="R77" i="5"/>
  <c r="O77" i="5"/>
  <c r="J77" i="5"/>
  <c r="I77" i="5"/>
  <c r="A77" i="5"/>
  <c r="T76" i="5"/>
  <c r="S76" i="5"/>
  <c r="R76" i="5"/>
  <c r="O76" i="5"/>
  <c r="J76" i="5"/>
  <c r="I76" i="5"/>
  <c r="A76" i="5"/>
  <c r="T75" i="5"/>
  <c r="S75" i="5"/>
  <c r="R75" i="5"/>
  <c r="O75" i="5"/>
  <c r="J75" i="5"/>
  <c r="I75" i="5"/>
  <c r="A75" i="5"/>
  <c r="T74" i="5"/>
  <c r="S74" i="5"/>
  <c r="R74" i="5"/>
  <c r="O74" i="5"/>
  <c r="J74" i="5"/>
  <c r="I74" i="5"/>
  <c r="A74" i="5"/>
  <c r="T73" i="5"/>
  <c r="S73" i="5"/>
  <c r="R73" i="5"/>
  <c r="O73" i="5"/>
  <c r="J73" i="5"/>
  <c r="I73" i="5"/>
  <c r="A73" i="5"/>
  <c r="T72" i="5"/>
  <c r="S72" i="5"/>
  <c r="R72" i="5"/>
  <c r="O72" i="5"/>
  <c r="J72" i="5"/>
  <c r="I72" i="5"/>
  <c r="A72" i="5"/>
  <c r="T71" i="5"/>
  <c r="S71" i="5"/>
  <c r="R71" i="5"/>
  <c r="O71" i="5"/>
  <c r="J71" i="5"/>
  <c r="I71" i="5"/>
  <c r="A71" i="5"/>
  <c r="T70" i="5"/>
  <c r="S70" i="5"/>
  <c r="R70" i="5"/>
  <c r="O70" i="5"/>
  <c r="J70" i="5"/>
  <c r="I70" i="5"/>
  <c r="A70" i="5"/>
  <c r="T69" i="5"/>
  <c r="S69" i="5"/>
  <c r="R69" i="5"/>
  <c r="O69" i="5"/>
  <c r="J69" i="5"/>
  <c r="I69" i="5"/>
  <c r="A69" i="5"/>
  <c r="T68" i="5"/>
  <c r="S68" i="5"/>
  <c r="R68" i="5"/>
  <c r="O68" i="5"/>
  <c r="J68" i="5"/>
  <c r="I68" i="5"/>
  <c r="A68" i="5"/>
  <c r="T67" i="5"/>
  <c r="S67" i="5"/>
  <c r="R67" i="5"/>
  <c r="O67" i="5"/>
  <c r="J67" i="5"/>
  <c r="I67" i="5"/>
  <c r="A67" i="5"/>
  <c r="T66" i="5"/>
  <c r="S66" i="5"/>
  <c r="R66" i="5"/>
  <c r="O66" i="5"/>
  <c r="J66" i="5"/>
  <c r="I66" i="5"/>
  <c r="A66" i="5"/>
  <c r="T65" i="5"/>
  <c r="S65" i="5"/>
  <c r="R65" i="5"/>
  <c r="O65" i="5"/>
  <c r="J65" i="5"/>
  <c r="I65" i="5"/>
  <c r="A65" i="5"/>
  <c r="T64" i="5"/>
  <c r="S64" i="5"/>
  <c r="R64" i="5"/>
  <c r="O64" i="5"/>
  <c r="J64" i="5"/>
  <c r="I64" i="5"/>
  <c r="A64" i="5"/>
  <c r="T63" i="5"/>
  <c r="S63" i="5"/>
  <c r="R63" i="5"/>
  <c r="O63" i="5"/>
  <c r="J63" i="5"/>
  <c r="I63" i="5"/>
  <c r="A63" i="5"/>
  <c r="T62" i="5"/>
  <c r="S62" i="5"/>
  <c r="R62" i="5"/>
  <c r="O62" i="5"/>
  <c r="J62" i="5"/>
  <c r="I62" i="5"/>
  <c r="A62" i="5"/>
  <c r="T61" i="5"/>
  <c r="S61" i="5"/>
  <c r="R61" i="5"/>
  <c r="O61" i="5"/>
  <c r="J61" i="5"/>
  <c r="I61" i="5"/>
  <c r="A61" i="5"/>
  <c r="T60" i="5"/>
  <c r="S60" i="5"/>
  <c r="R60" i="5"/>
  <c r="O60" i="5"/>
  <c r="J60" i="5"/>
  <c r="I60" i="5"/>
  <c r="A60" i="5"/>
  <c r="T59" i="5"/>
  <c r="S59" i="5"/>
  <c r="R59" i="5"/>
  <c r="O59" i="5"/>
  <c r="J59" i="5"/>
  <c r="I59" i="5"/>
  <c r="A59" i="5"/>
  <c r="T58" i="5"/>
  <c r="S58" i="5"/>
  <c r="R58" i="5"/>
  <c r="O58" i="5"/>
  <c r="J58" i="5"/>
  <c r="I58" i="5"/>
  <c r="A58" i="5"/>
  <c r="T57" i="5"/>
  <c r="S57" i="5"/>
  <c r="R57" i="5"/>
  <c r="O57" i="5"/>
  <c r="J57" i="5"/>
  <c r="I57" i="5"/>
  <c r="A57" i="5"/>
  <c r="T56" i="5"/>
  <c r="S56" i="5"/>
  <c r="R56" i="5"/>
  <c r="O56" i="5"/>
  <c r="J56" i="5"/>
  <c r="I56" i="5"/>
  <c r="A56" i="5"/>
  <c r="T55" i="5"/>
  <c r="S55" i="5"/>
  <c r="R55" i="5"/>
  <c r="O55" i="5"/>
  <c r="J55" i="5"/>
  <c r="I55" i="5"/>
  <c r="A55" i="5"/>
  <c r="T54" i="5"/>
  <c r="S54" i="5"/>
  <c r="R54" i="5"/>
  <c r="O54" i="5"/>
  <c r="J54" i="5"/>
  <c r="I54" i="5"/>
  <c r="A54" i="5"/>
  <c r="T53" i="5"/>
  <c r="S53" i="5"/>
  <c r="R53" i="5"/>
  <c r="O53" i="5"/>
  <c r="J53" i="5"/>
  <c r="I53" i="5"/>
  <c r="A53" i="5"/>
  <c r="T52" i="5"/>
  <c r="S52" i="5"/>
  <c r="R52" i="5"/>
  <c r="O52" i="5"/>
  <c r="J52" i="5"/>
  <c r="I52" i="5"/>
  <c r="A52" i="5"/>
  <c r="T51" i="5"/>
  <c r="S51" i="5"/>
  <c r="R51" i="5"/>
  <c r="O51" i="5"/>
  <c r="J51" i="5"/>
  <c r="I51" i="5"/>
  <c r="A51" i="5"/>
  <c r="T50" i="5"/>
  <c r="S50" i="5"/>
  <c r="R50" i="5"/>
  <c r="O50" i="5"/>
  <c r="J50" i="5"/>
  <c r="I50" i="5"/>
  <c r="A50" i="5"/>
  <c r="T49" i="5"/>
  <c r="S49" i="5"/>
  <c r="R49" i="5"/>
  <c r="O49" i="5"/>
  <c r="J49" i="5"/>
  <c r="I49" i="5"/>
  <c r="A49" i="5"/>
  <c r="T48" i="5"/>
  <c r="S48" i="5"/>
  <c r="R48" i="5"/>
  <c r="O48" i="5"/>
  <c r="J48" i="5"/>
  <c r="I48" i="5"/>
  <c r="A48" i="5"/>
  <c r="T47" i="5"/>
  <c r="S47" i="5"/>
  <c r="R47" i="5"/>
  <c r="O47" i="5"/>
  <c r="J47" i="5"/>
  <c r="I47" i="5"/>
  <c r="A47" i="5"/>
  <c r="T46" i="5"/>
  <c r="S46" i="5"/>
  <c r="R46" i="5"/>
  <c r="O46" i="5"/>
  <c r="J46" i="5"/>
  <c r="I46" i="5"/>
  <c r="A46" i="5"/>
  <c r="T45" i="5"/>
  <c r="S45" i="5"/>
  <c r="R45" i="5"/>
  <c r="O45" i="5"/>
  <c r="J45" i="5"/>
  <c r="I45" i="5"/>
  <c r="A45" i="5"/>
  <c r="T44" i="5"/>
  <c r="S44" i="5"/>
  <c r="R44" i="5"/>
  <c r="O44" i="5"/>
  <c r="J44" i="5"/>
  <c r="I44" i="5"/>
  <c r="A44" i="5"/>
  <c r="T43" i="5"/>
  <c r="S43" i="5"/>
  <c r="R43" i="5"/>
  <c r="O43" i="5"/>
  <c r="J43" i="5"/>
  <c r="I43" i="5"/>
  <c r="A43" i="5"/>
  <c r="T42" i="5"/>
  <c r="S42" i="5"/>
  <c r="R42" i="5"/>
  <c r="O42" i="5"/>
  <c r="J42" i="5"/>
  <c r="I42" i="5"/>
  <c r="A42" i="5"/>
  <c r="T41" i="5"/>
  <c r="S41" i="5"/>
  <c r="R41" i="5"/>
  <c r="O41" i="5"/>
  <c r="J41" i="5"/>
  <c r="I41" i="5"/>
  <c r="A41" i="5"/>
  <c r="T40" i="5"/>
  <c r="S40" i="5"/>
  <c r="R40" i="5"/>
  <c r="O40" i="5"/>
  <c r="J40" i="5"/>
  <c r="I40" i="5"/>
  <c r="A40" i="5"/>
  <c r="T39" i="5"/>
  <c r="S39" i="5"/>
  <c r="R39" i="5"/>
  <c r="O39" i="5"/>
  <c r="J39" i="5"/>
  <c r="I39" i="5"/>
  <c r="A39" i="5"/>
  <c r="T38" i="5"/>
  <c r="S38" i="5"/>
  <c r="R38" i="5"/>
  <c r="O38" i="5"/>
  <c r="J38" i="5"/>
  <c r="I38" i="5"/>
  <c r="A38" i="5"/>
  <c r="T37" i="5"/>
  <c r="S37" i="5"/>
  <c r="R37" i="5"/>
  <c r="O37" i="5"/>
  <c r="J37" i="5"/>
  <c r="I37" i="5"/>
  <c r="A37" i="5"/>
  <c r="T36" i="5"/>
  <c r="S36" i="5"/>
  <c r="R36" i="5"/>
  <c r="O36" i="5"/>
  <c r="J36" i="5"/>
  <c r="I36" i="5"/>
  <c r="A36" i="5"/>
  <c r="T35" i="5"/>
  <c r="S35" i="5"/>
  <c r="R35" i="5"/>
  <c r="O35" i="5"/>
  <c r="J35" i="5"/>
  <c r="I35" i="5"/>
  <c r="A35" i="5"/>
  <c r="T34" i="5"/>
  <c r="S34" i="5"/>
  <c r="R34" i="5"/>
  <c r="O34" i="5"/>
  <c r="J34" i="5"/>
  <c r="I34" i="5"/>
  <c r="A34" i="5"/>
  <c r="T33" i="5"/>
  <c r="S33" i="5"/>
  <c r="R33" i="5"/>
  <c r="O33" i="5"/>
  <c r="J33" i="5"/>
  <c r="I33" i="5"/>
  <c r="A33" i="5"/>
  <c r="T32" i="5"/>
  <c r="S32" i="5"/>
  <c r="R32" i="5"/>
  <c r="O32" i="5"/>
  <c r="J32" i="5"/>
  <c r="I32" i="5"/>
  <c r="A32" i="5"/>
  <c r="T31" i="5"/>
  <c r="S31" i="5"/>
  <c r="R31" i="5"/>
  <c r="O31" i="5"/>
  <c r="J31" i="5"/>
  <c r="I31" i="5"/>
  <c r="A31" i="5"/>
  <c r="T30" i="5"/>
  <c r="S30" i="5"/>
  <c r="R30" i="5"/>
  <c r="O30" i="5"/>
  <c r="J30" i="5"/>
  <c r="I30" i="5"/>
  <c r="A30" i="5"/>
  <c r="T29" i="5"/>
  <c r="S29" i="5"/>
  <c r="R29" i="5"/>
  <c r="O29" i="5"/>
  <c r="J29" i="5"/>
  <c r="I29" i="5"/>
  <c r="A29" i="5"/>
  <c r="T28" i="5"/>
  <c r="S28" i="5"/>
  <c r="R28" i="5"/>
  <c r="O28" i="5"/>
  <c r="J28" i="5"/>
  <c r="I28" i="5"/>
  <c r="A28" i="5"/>
  <c r="T27" i="5"/>
  <c r="S27" i="5"/>
  <c r="R27" i="5"/>
  <c r="O27" i="5"/>
  <c r="J27" i="5"/>
  <c r="I27" i="5"/>
  <c r="A27" i="5"/>
  <c r="T26" i="5"/>
  <c r="S26" i="5"/>
  <c r="R26" i="5"/>
  <c r="O26" i="5"/>
  <c r="J26" i="5"/>
  <c r="I26" i="5"/>
  <c r="A26" i="5"/>
  <c r="T25" i="5"/>
  <c r="S25" i="5"/>
  <c r="R25" i="5"/>
  <c r="O25" i="5"/>
  <c r="J25" i="5"/>
  <c r="I25" i="5"/>
  <c r="A25" i="5"/>
  <c r="T24" i="5"/>
  <c r="S24" i="5"/>
  <c r="R24" i="5"/>
  <c r="O24" i="5"/>
  <c r="J24" i="5"/>
  <c r="I24" i="5"/>
  <c r="A24" i="5"/>
  <c r="T23" i="5"/>
  <c r="S23" i="5"/>
  <c r="R23" i="5"/>
  <c r="O23" i="5"/>
  <c r="J23" i="5"/>
  <c r="I23" i="5"/>
  <c r="A23" i="5"/>
  <c r="T22" i="5"/>
  <c r="S22" i="5"/>
  <c r="R22" i="5"/>
  <c r="O22" i="5"/>
  <c r="J22" i="5"/>
  <c r="I22" i="5"/>
  <c r="A22" i="5"/>
  <c r="T21" i="5"/>
  <c r="S21" i="5"/>
  <c r="R21" i="5"/>
  <c r="O21" i="5"/>
  <c r="J21" i="5"/>
  <c r="I21" i="5"/>
  <c r="A21" i="5"/>
  <c r="T20" i="5"/>
  <c r="S20" i="5"/>
  <c r="R20" i="5"/>
  <c r="O20" i="5"/>
  <c r="J20" i="5"/>
  <c r="I20" i="5"/>
  <c r="A20" i="5"/>
  <c r="T19" i="5"/>
  <c r="S19" i="5"/>
  <c r="R19" i="5"/>
  <c r="O19" i="5"/>
  <c r="J19" i="5"/>
  <c r="I19" i="5"/>
  <c r="A19" i="5"/>
  <c r="T18" i="5"/>
  <c r="S18" i="5"/>
  <c r="R18" i="5"/>
  <c r="O18" i="5"/>
  <c r="J18" i="5"/>
  <c r="I18" i="5"/>
  <c r="A18" i="5"/>
  <c r="T17" i="5"/>
  <c r="S17" i="5"/>
  <c r="R17" i="5"/>
  <c r="O17" i="5"/>
  <c r="J17" i="5"/>
  <c r="I17" i="5"/>
  <c r="A17" i="5"/>
  <c r="T16" i="5"/>
  <c r="S16" i="5"/>
  <c r="R16" i="5"/>
  <c r="O16" i="5"/>
  <c r="J16" i="5"/>
  <c r="I16" i="5"/>
  <c r="A16" i="5"/>
  <c r="T15" i="5"/>
  <c r="S15" i="5"/>
  <c r="R15" i="5"/>
  <c r="O15" i="5"/>
  <c r="J15" i="5"/>
  <c r="I15" i="5"/>
  <c r="A15" i="5"/>
  <c r="T14" i="5"/>
  <c r="S14" i="5"/>
  <c r="R14" i="5"/>
  <c r="O14" i="5"/>
  <c r="J14" i="5"/>
  <c r="I14" i="5"/>
  <c r="A14" i="5"/>
  <c r="T13" i="5"/>
  <c r="S13" i="5"/>
  <c r="R13" i="5"/>
  <c r="O13" i="5"/>
  <c r="J13" i="5"/>
  <c r="I13" i="5"/>
  <c r="A13" i="5"/>
  <c r="T12" i="5"/>
  <c r="S12" i="5"/>
  <c r="R12" i="5"/>
  <c r="O12" i="5"/>
  <c r="J12" i="5"/>
  <c r="I12" i="5"/>
  <c r="A12" i="5"/>
  <c r="T11" i="5"/>
  <c r="S11" i="5"/>
  <c r="R11" i="5"/>
  <c r="O11" i="5"/>
  <c r="J11" i="5"/>
  <c r="I11" i="5"/>
  <c r="A11" i="5"/>
  <c r="T10" i="5"/>
  <c r="S10" i="5"/>
  <c r="R10" i="5"/>
  <c r="O10" i="5"/>
  <c r="J10" i="5"/>
  <c r="I10" i="5"/>
  <c r="A10" i="5"/>
  <c r="T9" i="5"/>
  <c r="S9" i="5"/>
  <c r="R9" i="5"/>
  <c r="O9" i="5"/>
  <c r="J9" i="5"/>
  <c r="I9" i="5"/>
  <c r="A9" i="5"/>
  <c r="T8" i="5"/>
  <c r="S8" i="5"/>
  <c r="R8" i="5"/>
  <c r="O8" i="5"/>
  <c r="J8" i="5"/>
  <c r="I8" i="5"/>
  <c r="A8" i="5"/>
  <c r="T7" i="5"/>
  <c r="S7" i="5"/>
  <c r="R7" i="5"/>
  <c r="O7" i="5"/>
  <c r="J7" i="5"/>
  <c r="I7" i="5"/>
  <c r="A7" i="5"/>
  <c r="T6" i="5"/>
  <c r="S6" i="5"/>
  <c r="R6" i="5"/>
  <c r="O6" i="5"/>
  <c r="J6" i="5"/>
  <c r="I6" i="5"/>
  <c r="A6" i="5"/>
  <c r="N160" i="4"/>
  <c r="L160" i="4"/>
  <c r="M160" i="4" s="1"/>
  <c r="N159" i="4"/>
  <c r="M159" i="4"/>
  <c r="L159" i="4"/>
  <c r="M158" i="4"/>
  <c r="N158" i="4" s="1"/>
  <c r="L158" i="4"/>
  <c r="M157" i="4"/>
  <c r="N157" i="4" s="1"/>
  <c r="L157" i="4"/>
  <c r="N156" i="4"/>
  <c r="M156" i="4"/>
  <c r="L156" i="4"/>
  <c r="L155" i="4"/>
  <c r="M155" i="4" s="1"/>
  <c r="N155" i="4" s="1"/>
  <c r="M154" i="4"/>
  <c r="N154" i="4" s="1"/>
  <c r="L154" i="4"/>
  <c r="N152" i="4"/>
  <c r="M152" i="4"/>
  <c r="L152" i="4"/>
  <c r="J152" i="4"/>
  <c r="N151" i="4"/>
  <c r="M151" i="4"/>
  <c r="L151" i="4"/>
  <c r="L150" i="4"/>
  <c r="M150" i="4" s="1"/>
  <c r="N150" i="4" s="1"/>
  <c r="N149" i="4"/>
  <c r="L149" i="4"/>
  <c r="M149" i="4" s="1"/>
  <c r="L148" i="4"/>
  <c r="M148" i="4" s="1"/>
  <c r="N148" i="4" s="1"/>
  <c r="N147" i="4"/>
  <c r="N153" i="4" s="1"/>
  <c r="H185" i="4" s="1"/>
  <c r="L147" i="4"/>
  <c r="M147" i="4" s="1"/>
  <c r="N145" i="4"/>
  <c r="M145" i="4"/>
  <c r="L145" i="4"/>
  <c r="N144" i="4"/>
  <c r="L144" i="4"/>
  <c r="M144" i="4" s="1"/>
  <c r="L143" i="4"/>
  <c r="M143" i="4" s="1"/>
  <c r="N143" i="4" s="1"/>
  <c r="N142" i="4"/>
  <c r="L142" i="4"/>
  <c r="M142" i="4" s="1"/>
  <c r="L141" i="4"/>
  <c r="M141" i="4" s="1"/>
  <c r="N141" i="4" s="1"/>
  <c r="N140" i="4"/>
  <c r="M140" i="4"/>
  <c r="L140" i="4"/>
  <c r="N139" i="4"/>
  <c r="M139" i="4"/>
  <c r="L139" i="4"/>
  <c r="N138" i="4"/>
  <c r="M138" i="4"/>
  <c r="L138" i="4"/>
  <c r="L137" i="4"/>
  <c r="M137" i="4" s="1"/>
  <c r="N137" i="4" s="1"/>
  <c r="M135" i="4"/>
  <c r="N135" i="4" s="1"/>
  <c r="L135" i="4"/>
  <c r="J135" i="4"/>
  <c r="L134" i="4"/>
  <c r="M134" i="4" s="1"/>
  <c r="N134" i="4" s="1"/>
  <c r="J134" i="4"/>
  <c r="L133" i="4"/>
  <c r="M133" i="4" s="1"/>
  <c r="N133" i="4" s="1"/>
  <c r="L132" i="4"/>
  <c r="M132" i="4" s="1"/>
  <c r="N132" i="4" s="1"/>
  <c r="J132" i="4"/>
  <c r="L130" i="4"/>
  <c r="M130" i="4" s="1"/>
  <c r="J130" i="4"/>
  <c r="L129" i="4"/>
  <c r="M129" i="4" s="1"/>
  <c r="N129" i="4" s="1"/>
  <c r="J129" i="4"/>
  <c r="N127" i="4"/>
  <c r="M127" i="4"/>
  <c r="L127" i="4"/>
  <c r="N126" i="4"/>
  <c r="M126" i="4"/>
  <c r="L126" i="4"/>
  <c r="L125" i="4"/>
  <c r="M125" i="4" s="1"/>
  <c r="N125" i="4" s="1"/>
  <c r="L124" i="4"/>
  <c r="M124" i="4" s="1"/>
  <c r="N124" i="4" s="1"/>
  <c r="N122" i="4"/>
  <c r="M122" i="4"/>
  <c r="L122" i="4"/>
  <c r="M121" i="4"/>
  <c r="N121" i="4" s="1"/>
  <c r="L121" i="4"/>
  <c r="L120" i="4"/>
  <c r="M120" i="4" s="1"/>
  <c r="N120" i="4" s="1"/>
  <c r="N118" i="4"/>
  <c r="M118" i="4"/>
  <c r="L118" i="4"/>
  <c r="L117" i="4"/>
  <c r="M117" i="4" s="1"/>
  <c r="J117" i="4"/>
  <c r="N117" i="4" s="1"/>
  <c r="L116" i="4"/>
  <c r="M116" i="4" s="1"/>
  <c r="N116" i="4" s="1"/>
  <c r="J116" i="4"/>
  <c r="L115" i="4"/>
  <c r="M115" i="4" s="1"/>
  <c r="N115" i="4" s="1"/>
  <c r="N119" i="4" s="1"/>
  <c r="H179" i="4" s="1"/>
  <c r="J115" i="4"/>
  <c r="L113" i="4"/>
  <c r="M113" i="4" s="1"/>
  <c r="N113" i="4" s="1"/>
  <c r="J113" i="4"/>
  <c r="N112" i="4"/>
  <c r="M112" i="4"/>
  <c r="L112" i="4"/>
  <c r="J112" i="4"/>
  <c r="N111" i="4"/>
  <c r="M111" i="4"/>
  <c r="L111" i="4"/>
  <c r="L110" i="4"/>
  <c r="M110" i="4" s="1"/>
  <c r="J110" i="4"/>
  <c r="L108" i="4"/>
  <c r="M108" i="4" s="1"/>
  <c r="N108" i="4" s="1"/>
  <c r="M107" i="4"/>
  <c r="L107" i="4"/>
  <c r="J107" i="4"/>
  <c r="N107" i="4" s="1"/>
  <c r="M106" i="4"/>
  <c r="L106" i="4"/>
  <c r="J106" i="4"/>
  <c r="N106" i="4" s="1"/>
  <c r="L105" i="4"/>
  <c r="M105" i="4" s="1"/>
  <c r="J105" i="4"/>
  <c r="N105" i="4" s="1"/>
  <c r="L104" i="4"/>
  <c r="M104" i="4" s="1"/>
  <c r="J104" i="4"/>
  <c r="N102" i="4"/>
  <c r="M102" i="4"/>
  <c r="L102" i="4"/>
  <c r="N101" i="4"/>
  <c r="L101" i="4"/>
  <c r="M101" i="4" s="1"/>
  <c r="J101" i="4"/>
  <c r="N100" i="4"/>
  <c r="N103" i="4" s="1"/>
  <c r="H176" i="4" s="1"/>
  <c r="M100" i="4"/>
  <c r="L100" i="4"/>
  <c r="J100" i="4"/>
  <c r="L98" i="4"/>
  <c r="M98" i="4" s="1"/>
  <c r="N98" i="4" s="1"/>
  <c r="J98" i="4"/>
  <c r="N97" i="4"/>
  <c r="M97" i="4"/>
  <c r="L97" i="4"/>
  <c r="J97" i="4"/>
  <c r="N96" i="4"/>
  <c r="M96" i="4"/>
  <c r="L96" i="4"/>
  <c r="J96" i="4"/>
  <c r="L95" i="4"/>
  <c r="M95" i="4" s="1"/>
  <c r="J95" i="4"/>
  <c r="N95" i="4" s="1"/>
  <c r="L94" i="4"/>
  <c r="M94" i="4" s="1"/>
  <c r="N94" i="4" s="1"/>
  <c r="J94" i="4"/>
  <c r="L93" i="4"/>
  <c r="M93" i="4" s="1"/>
  <c r="N93" i="4" s="1"/>
  <c r="J93" i="4"/>
  <c r="L92" i="4"/>
  <c r="M92" i="4" s="1"/>
  <c r="N92" i="4" s="1"/>
  <c r="J92" i="4"/>
  <c r="M91" i="4"/>
  <c r="N91" i="4" s="1"/>
  <c r="L91" i="4"/>
  <c r="J91" i="4"/>
  <c r="N90" i="4"/>
  <c r="M90" i="4"/>
  <c r="L90" i="4"/>
  <c r="J90" i="4"/>
  <c r="L89" i="4"/>
  <c r="M89" i="4" s="1"/>
  <c r="J89" i="4"/>
  <c r="N89" i="4" s="1"/>
  <c r="M88" i="4"/>
  <c r="L88" i="4"/>
  <c r="J88" i="4"/>
  <c r="N88" i="4" s="1"/>
  <c r="N86" i="4"/>
  <c r="M86" i="4"/>
  <c r="L86" i="4"/>
  <c r="J86" i="4"/>
  <c r="N85" i="4"/>
  <c r="M85" i="4"/>
  <c r="L85" i="4"/>
  <c r="N84" i="4"/>
  <c r="M84" i="4"/>
  <c r="L84" i="4"/>
  <c r="J84" i="4"/>
  <c r="N83" i="4"/>
  <c r="N87" i="4" s="1"/>
  <c r="H174" i="4" s="1"/>
  <c r="M83" i="4"/>
  <c r="L83" i="4"/>
  <c r="J83" i="4"/>
  <c r="N82" i="4"/>
  <c r="L82" i="4"/>
  <c r="M82" i="4" s="1"/>
  <c r="J82" i="4"/>
  <c r="L80" i="4"/>
  <c r="M80" i="4" s="1"/>
  <c r="N80" i="4" s="1"/>
  <c r="M79" i="4"/>
  <c r="N79" i="4" s="1"/>
  <c r="L79" i="4"/>
  <c r="J79" i="4"/>
  <c r="L78" i="4"/>
  <c r="M78" i="4" s="1"/>
  <c r="N78" i="4" s="1"/>
  <c r="J78" i="4"/>
  <c r="N77" i="4"/>
  <c r="M77" i="4"/>
  <c r="L77" i="4"/>
  <c r="J77" i="4"/>
  <c r="N76" i="4"/>
  <c r="M76" i="4"/>
  <c r="L76" i="4"/>
  <c r="L75" i="4"/>
  <c r="M75" i="4" s="1"/>
  <c r="J75" i="4"/>
  <c r="N74" i="4"/>
  <c r="M74" i="4"/>
  <c r="L74" i="4"/>
  <c r="J74" i="4"/>
  <c r="L73" i="4"/>
  <c r="M73" i="4" s="1"/>
  <c r="J73" i="4"/>
  <c r="M72" i="4"/>
  <c r="N72" i="4" s="1"/>
  <c r="L72" i="4"/>
  <c r="L71" i="4"/>
  <c r="M71" i="4" s="1"/>
  <c r="N71" i="4" s="1"/>
  <c r="M70" i="4"/>
  <c r="L70" i="4"/>
  <c r="J70" i="4"/>
  <c r="N69" i="4"/>
  <c r="L69" i="4"/>
  <c r="M69" i="4" s="1"/>
  <c r="J69" i="4"/>
  <c r="L67" i="4"/>
  <c r="M67" i="4" s="1"/>
  <c r="J67" i="4"/>
  <c r="N67" i="4" s="1"/>
  <c r="M66" i="4"/>
  <c r="N66" i="4" s="1"/>
  <c r="L66" i="4"/>
  <c r="N65" i="4"/>
  <c r="M65" i="4"/>
  <c r="L65" i="4"/>
  <c r="J65" i="4"/>
  <c r="M64" i="4"/>
  <c r="N64" i="4" s="1"/>
  <c r="L64" i="4"/>
  <c r="N63" i="4"/>
  <c r="L63" i="4"/>
  <c r="M63" i="4" s="1"/>
  <c r="J63" i="4"/>
  <c r="M62" i="4"/>
  <c r="N62" i="4" s="1"/>
  <c r="L62" i="4"/>
  <c r="J62" i="4"/>
  <c r="M61" i="4"/>
  <c r="N61" i="4" s="1"/>
  <c r="L61" i="4"/>
  <c r="L60" i="4"/>
  <c r="M60" i="4" s="1"/>
  <c r="J60" i="4"/>
  <c r="M59" i="4"/>
  <c r="N59" i="4" s="1"/>
  <c r="L59" i="4"/>
  <c r="M57" i="4"/>
  <c r="L57" i="4"/>
  <c r="J57" i="4"/>
  <c r="N57" i="4" s="1"/>
  <c r="L56" i="4"/>
  <c r="M56" i="4" s="1"/>
  <c r="N56" i="4" s="1"/>
  <c r="J56" i="4"/>
  <c r="M55" i="4"/>
  <c r="L55" i="4"/>
  <c r="J55" i="4"/>
  <c r="M54" i="4"/>
  <c r="L54" i="4"/>
  <c r="J54" i="4"/>
  <c r="L53" i="4"/>
  <c r="M53" i="4" s="1"/>
  <c r="N53" i="4" s="1"/>
  <c r="J53" i="4"/>
  <c r="L52" i="4"/>
  <c r="M52" i="4" s="1"/>
  <c r="J52" i="4"/>
  <c r="N52" i="4" s="1"/>
  <c r="N50" i="4"/>
  <c r="L50" i="4"/>
  <c r="M50" i="4" s="1"/>
  <c r="J50" i="4"/>
  <c r="N49" i="4"/>
  <c r="M49" i="4"/>
  <c r="L49" i="4"/>
  <c r="L48" i="4"/>
  <c r="M48" i="4" s="1"/>
  <c r="N48" i="4" s="1"/>
  <c r="L47" i="4"/>
  <c r="M47" i="4" s="1"/>
  <c r="J47" i="4"/>
  <c r="N46" i="4"/>
  <c r="M46" i="4"/>
  <c r="L46" i="4"/>
  <c r="J46" i="4"/>
  <c r="N45" i="4"/>
  <c r="L45" i="4"/>
  <c r="M45" i="4" s="1"/>
  <c r="N44" i="4"/>
  <c r="L44" i="4"/>
  <c r="M44" i="4" s="1"/>
  <c r="L43" i="4"/>
  <c r="M43" i="4" s="1"/>
  <c r="J43" i="4"/>
  <c r="L42" i="4"/>
  <c r="M42" i="4" s="1"/>
  <c r="N42" i="4" s="1"/>
  <c r="J42" i="4"/>
  <c r="N41" i="4"/>
  <c r="M41" i="4"/>
  <c r="L41" i="4"/>
  <c r="J41" i="4"/>
  <c r="N40" i="4"/>
  <c r="L40" i="4"/>
  <c r="M40" i="4" s="1"/>
  <c r="L38" i="4"/>
  <c r="M38" i="4" s="1"/>
  <c r="J38" i="4"/>
  <c r="N37" i="4"/>
  <c r="L37" i="4"/>
  <c r="M37" i="4" s="1"/>
  <c r="J37" i="4"/>
  <c r="N36" i="4"/>
  <c r="L36" i="4"/>
  <c r="M36" i="4" s="1"/>
  <c r="L35" i="4"/>
  <c r="M35" i="4" s="1"/>
  <c r="J35" i="4"/>
  <c r="L34" i="4"/>
  <c r="M34" i="4" s="1"/>
  <c r="J34" i="4"/>
  <c r="N34" i="4" s="1"/>
  <c r="L33" i="4"/>
  <c r="M33" i="4" s="1"/>
  <c r="J33" i="4"/>
  <c r="N31" i="4"/>
  <c r="M31" i="4"/>
  <c r="L31" i="4"/>
  <c r="M30" i="4"/>
  <c r="N30" i="4" s="1"/>
  <c r="L30" i="4"/>
  <c r="M29" i="4"/>
  <c r="N29" i="4" s="1"/>
  <c r="L29" i="4"/>
  <c r="N28" i="4"/>
  <c r="L28" i="4"/>
  <c r="M28" i="4" s="1"/>
  <c r="J28" i="4"/>
  <c r="M27" i="4"/>
  <c r="L27" i="4"/>
  <c r="J27" i="4"/>
  <c r="N26" i="4"/>
  <c r="L26" i="4"/>
  <c r="M26" i="4" s="1"/>
  <c r="J26" i="4"/>
  <c r="L25" i="4"/>
  <c r="M25" i="4" s="1"/>
  <c r="N25" i="4" s="1"/>
  <c r="J25" i="4"/>
  <c r="N24" i="4"/>
  <c r="M24" i="4"/>
  <c r="L24" i="4"/>
  <c r="J24" i="4"/>
  <c r="L23" i="4"/>
  <c r="M23" i="4" s="1"/>
  <c r="J23" i="4"/>
  <c r="N23" i="4" s="1"/>
  <c r="L22" i="4"/>
  <c r="M22" i="4" s="1"/>
  <c r="J22" i="4"/>
  <c r="L20" i="4"/>
  <c r="M20" i="4" s="1"/>
  <c r="N20" i="4" s="1"/>
  <c r="L19" i="4"/>
  <c r="M19" i="4" s="1"/>
  <c r="N19" i="4" s="1"/>
  <c r="L18" i="4"/>
  <c r="M18" i="4" s="1"/>
  <c r="N18" i="4" s="1"/>
  <c r="M17" i="4"/>
  <c r="N17" i="4" s="1"/>
  <c r="L17" i="4"/>
  <c r="M16" i="4"/>
  <c r="N16" i="4" s="1"/>
  <c r="N21" i="4" s="1"/>
  <c r="H167" i="4" s="1"/>
  <c r="L16" i="4"/>
  <c r="M15" i="4"/>
  <c r="N15" i="4" s="1"/>
  <c r="L15" i="4"/>
  <c r="L14" i="4"/>
  <c r="M14" i="4" s="1"/>
  <c r="N14" i="4" s="1"/>
  <c r="N12" i="4"/>
  <c r="L12" i="4"/>
  <c r="M12" i="4" s="1"/>
  <c r="J12" i="4"/>
  <c r="N11" i="4"/>
  <c r="M11" i="4"/>
  <c r="L11" i="4"/>
  <c r="L10" i="4"/>
  <c r="M10" i="4" s="1"/>
  <c r="N10" i="4" s="1"/>
  <c r="M9" i="4"/>
  <c r="L9" i="4"/>
  <c r="J9" i="4"/>
  <c r="N9" i="4" s="1"/>
  <c r="L8" i="4"/>
  <c r="M8" i="4" s="1"/>
  <c r="N8" i="4" s="1"/>
  <c r="N7" i="4"/>
  <c r="L7" i="4"/>
  <c r="M7" i="4" s="1"/>
  <c r="L6" i="4"/>
  <c r="M6" i="4" s="1"/>
  <c r="N6" i="4" s="1"/>
  <c r="S437" i="3"/>
  <c r="P437" i="3"/>
  <c r="N437" i="3"/>
  <c r="O437" i="3" s="1"/>
  <c r="K437" i="3"/>
  <c r="S436" i="3"/>
  <c r="P436" i="3"/>
  <c r="N436" i="3"/>
  <c r="K436" i="3"/>
  <c r="O436" i="3" s="1"/>
  <c r="S435" i="3"/>
  <c r="P435" i="3"/>
  <c r="N435" i="3"/>
  <c r="K435" i="3"/>
  <c r="O435" i="3" s="1"/>
  <c r="S434" i="3"/>
  <c r="P434" i="3"/>
  <c r="N434" i="3"/>
  <c r="K434" i="3"/>
  <c r="O434" i="3" s="1"/>
  <c r="S433" i="3"/>
  <c r="P433" i="3"/>
  <c r="O433" i="3"/>
  <c r="N433" i="3"/>
  <c r="K433" i="3"/>
  <c r="S432" i="3"/>
  <c r="P432" i="3"/>
  <c r="N432" i="3"/>
  <c r="K432" i="3"/>
  <c r="O432" i="3" s="1"/>
  <c r="S431" i="3"/>
  <c r="P431" i="3"/>
  <c r="N431" i="3"/>
  <c r="K431" i="3"/>
  <c r="S430" i="3"/>
  <c r="P430" i="3"/>
  <c r="N430" i="3"/>
  <c r="K430" i="3"/>
  <c r="O430" i="3" s="1"/>
  <c r="S429" i="3"/>
  <c r="P429" i="3"/>
  <c r="N429" i="3"/>
  <c r="K429" i="3"/>
  <c r="O429" i="3" s="1"/>
  <c r="S428" i="3"/>
  <c r="P428" i="3"/>
  <c r="N428" i="3"/>
  <c r="O428" i="3" s="1"/>
  <c r="K428" i="3"/>
  <c r="S427" i="3"/>
  <c r="P427" i="3"/>
  <c r="M427" i="3"/>
  <c r="N427" i="3" s="1"/>
  <c r="J427" i="3"/>
  <c r="K427" i="3" s="1"/>
  <c r="S426" i="3"/>
  <c r="P426" i="3"/>
  <c r="M426" i="3"/>
  <c r="N426" i="3" s="1"/>
  <c r="J426" i="3"/>
  <c r="K426" i="3" s="1"/>
  <c r="S425" i="3"/>
  <c r="P425" i="3"/>
  <c r="N425" i="3"/>
  <c r="M425" i="3"/>
  <c r="K425" i="3"/>
  <c r="O425" i="3" s="1"/>
  <c r="J425" i="3"/>
  <c r="S424" i="3"/>
  <c r="P424" i="3"/>
  <c r="N424" i="3"/>
  <c r="M424" i="3"/>
  <c r="J424" i="3"/>
  <c r="K424" i="3" s="1"/>
  <c r="O424" i="3" s="1"/>
  <c r="S423" i="3"/>
  <c r="P423" i="3"/>
  <c r="M423" i="3"/>
  <c r="N423" i="3" s="1"/>
  <c r="J423" i="3"/>
  <c r="K423" i="3" s="1"/>
  <c r="S422" i="3"/>
  <c r="P422" i="3"/>
  <c r="M422" i="3"/>
  <c r="N422" i="3" s="1"/>
  <c r="K422" i="3"/>
  <c r="O422" i="3" s="1"/>
  <c r="J422" i="3"/>
  <c r="S421" i="3"/>
  <c r="P421" i="3"/>
  <c r="N421" i="3"/>
  <c r="M421" i="3"/>
  <c r="J421" i="3"/>
  <c r="K421" i="3" s="1"/>
  <c r="O421" i="3" s="1"/>
  <c r="S420" i="3"/>
  <c r="P420" i="3"/>
  <c r="N420" i="3"/>
  <c r="M420" i="3"/>
  <c r="J420" i="3"/>
  <c r="K420" i="3" s="1"/>
  <c r="O420" i="3" s="1"/>
  <c r="S419" i="3"/>
  <c r="P419" i="3"/>
  <c r="N419" i="3"/>
  <c r="M419" i="3"/>
  <c r="K419" i="3"/>
  <c r="O419" i="3" s="1"/>
  <c r="J419" i="3"/>
  <c r="S418" i="3"/>
  <c r="P418" i="3"/>
  <c r="M418" i="3"/>
  <c r="N418" i="3" s="1"/>
  <c r="K418" i="3"/>
  <c r="O418" i="3" s="1"/>
  <c r="J418" i="3"/>
  <c r="S417" i="3"/>
  <c r="P417" i="3"/>
  <c r="N417" i="3"/>
  <c r="M417" i="3"/>
  <c r="K417" i="3"/>
  <c r="J417" i="3"/>
  <c r="S416" i="3"/>
  <c r="P416" i="3"/>
  <c r="M416" i="3"/>
  <c r="N416" i="3" s="1"/>
  <c r="K416" i="3"/>
  <c r="J416" i="3"/>
  <c r="S415" i="3"/>
  <c r="P415" i="3"/>
  <c r="O415" i="3"/>
  <c r="M415" i="3"/>
  <c r="N415" i="3" s="1"/>
  <c r="K415" i="3"/>
  <c r="J415" i="3"/>
  <c r="S414" i="3"/>
  <c r="P414" i="3"/>
  <c r="M414" i="3"/>
  <c r="N414" i="3" s="1"/>
  <c r="J414" i="3"/>
  <c r="K414" i="3" s="1"/>
  <c r="O414" i="3" s="1"/>
  <c r="S413" i="3"/>
  <c r="P413" i="3"/>
  <c r="M413" i="3"/>
  <c r="N413" i="3" s="1"/>
  <c r="K413" i="3"/>
  <c r="O413" i="3" s="1"/>
  <c r="J413" i="3"/>
  <c r="S412" i="3"/>
  <c r="P412" i="3"/>
  <c r="M412" i="3"/>
  <c r="N412" i="3" s="1"/>
  <c r="K412" i="3"/>
  <c r="J412" i="3"/>
  <c r="S411" i="3"/>
  <c r="P411" i="3"/>
  <c r="N411" i="3"/>
  <c r="M411" i="3"/>
  <c r="K411" i="3"/>
  <c r="J411" i="3"/>
  <c r="S410" i="3"/>
  <c r="P410" i="3"/>
  <c r="M410" i="3"/>
  <c r="N410" i="3" s="1"/>
  <c r="K410" i="3"/>
  <c r="J410" i="3"/>
  <c r="S409" i="3"/>
  <c r="P409" i="3"/>
  <c r="M409" i="3"/>
  <c r="N409" i="3" s="1"/>
  <c r="O409" i="3" s="1"/>
  <c r="K409" i="3"/>
  <c r="J409" i="3"/>
  <c r="S408" i="3"/>
  <c r="P408" i="3"/>
  <c r="M408" i="3"/>
  <c r="N408" i="3" s="1"/>
  <c r="J408" i="3"/>
  <c r="K408" i="3" s="1"/>
  <c r="O408" i="3" s="1"/>
  <c r="S407" i="3"/>
  <c r="P407" i="3"/>
  <c r="M407" i="3"/>
  <c r="N407" i="3" s="1"/>
  <c r="K407" i="3"/>
  <c r="O407" i="3" s="1"/>
  <c r="J407" i="3"/>
  <c r="S406" i="3"/>
  <c r="P406" i="3"/>
  <c r="N406" i="3"/>
  <c r="M406" i="3"/>
  <c r="K406" i="3"/>
  <c r="O406" i="3" s="1"/>
  <c r="J406" i="3"/>
  <c r="S405" i="3"/>
  <c r="P405" i="3"/>
  <c r="M405" i="3"/>
  <c r="N405" i="3" s="1"/>
  <c r="O405" i="3" s="1"/>
  <c r="K405" i="3"/>
  <c r="J405" i="3"/>
  <c r="S404" i="3"/>
  <c r="P404" i="3"/>
  <c r="M404" i="3"/>
  <c r="N404" i="3" s="1"/>
  <c r="O404" i="3" s="1"/>
  <c r="J404" i="3"/>
  <c r="K404" i="3" s="1"/>
  <c r="S403" i="3"/>
  <c r="P403" i="3"/>
  <c r="N403" i="3"/>
  <c r="M403" i="3"/>
  <c r="J403" i="3"/>
  <c r="K403" i="3" s="1"/>
  <c r="O403" i="3" s="1"/>
  <c r="S402" i="3"/>
  <c r="P402" i="3"/>
  <c r="N402" i="3"/>
  <c r="M402" i="3"/>
  <c r="J402" i="3"/>
  <c r="K402" i="3" s="1"/>
  <c r="O402" i="3" s="1"/>
  <c r="S401" i="3"/>
  <c r="P401" i="3"/>
  <c r="O401" i="3"/>
  <c r="N401" i="3"/>
  <c r="K401" i="3"/>
  <c r="S400" i="3"/>
  <c r="P400" i="3"/>
  <c r="N400" i="3"/>
  <c r="O400" i="3" s="1"/>
  <c r="M400" i="3"/>
  <c r="J400" i="3"/>
  <c r="K400" i="3" s="1"/>
  <c r="S399" i="3"/>
  <c r="P399" i="3"/>
  <c r="M399" i="3"/>
  <c r="N399" i="3" s="1"/>
  <c r="J399" i="3"/>
  <c r="K399" i="3" s="1"/>
  <c r="O399" i="3" s="1"/>
  <c r="S398" i="3"/>
  <c r="P398" i="3"/>
  <c r="N398" i="3"/>
  <c r="O398" i="3" s="1"/>
  <c r="M398" i="3"/>
  <c r="K398" i="3"/>
  <c r="J398" i="3"/>
  <c r="S397" i="3"/>
  <c r="P397" i="3"/>
  <c r="N397" i="3"/>
  <c r="O397" i="3" s="1"/>
  <c r="K397" i="3"/>
  <c r="S396" i="3"/>
  <c r="P396" i="3"/>
  <c r="N396" i="3"/>
  <c r="O396" i="3" s="1"/>
  <c r="K396" i="3"/>
  <c r="S395" i="3"/>
  <c r="P395" i="3"/>
  <c r="O395" i="3"/>
  <c r="N395" i="3"/>
  <c r="K395" i="3"/>
  <c r="S394" i="3"/>
  <c r="P394" i="3"/>
  <c r="N394" i="3"/>
  <c r="K394" i="3"/>
  <c r="O394" i="3" s="1"/>
  <c r="S393" i="3"/>
  <c r="P393" i="3"/>
  <c r="N393" i="3"/>
  <c r="K393" i="3"/>
  <c r="O393" i="3" s="1"/>
  <c r="S392" i="3"/>
  <c r="P392" i="3"/>
  <c r="N392" i="3"/>
  <c r="K392" i="3"/>
  <c r="O392" i="3" s="1"/>
  <c r="S391" i="3"/>
  <c r="P391" i="3"/>
  <c r="O391" i="3"/>
  <c r="N391" i="3"/>
  <c r="K391" i="3"/>
  <c r="S390" i="3"/>
  <c r="P390" i="3"/>
  <c r="N390" i="3"/>
  <c r="K390" i="3"/>
  <c r="S389" i="3"/>
  <c r="P389" i="3"/>
  <c r="N389" i="3"/>
  <c r="O389" i="3" s="1"/>
  <c r="K389" i="3"/>
  <c r="S388" i="3"/>
  <c r="P388" i="3"/>
  <c r="N388" i="3"/>
  <c r="K388" i="3"/>
  <c r="O388" i="3" s="1"/>
  <c r="S387" i="3"/>
  <c r="P387" i="3"/>
  <c r="N387" i="3"/>
  <c r="K387" i="3"/>
  <c r="O387" i="3" s="1"/>
  <c r="S386" i="3"/>
  <c r="P386" i="3"/>
  <c r="O386" i="3"/>
  <c r="M386" i="3"/>
  <c r="N386" i="3" s="1"/>
  <c r="K386" i="3"/>
  <c r="J386" i="3"/>
  <c r="S385" i="3"/>
  <c r="P385" i="3"/>
  <c r="M385" i="3"/>
  <c r="N385" i="3" s="1"/>
  <c r="K385" i="3"/>
  <c r="O385" i="3" s="1"/>
  <c r="J385" i="3"/>
  <c r="S384" i="3"/>
  <c r="P384" i="3"/>
  <c r="N384" i="3"/>
  <c r="O384" i="3" s="1"/>
  <c r="M384" i="3"/>
  <c r="K384" i="3"/>
  <c r="J384" i="3"/>
  <c r="S383" i="3"/>
  <c r="P383" i="3"/>
  <c r="N383" i="3"/>
  <c r="K383" i="3"/>
  <c r="O383" i="3" s="1"/>
  <c r="S382" i="3"/>
  <c r="P382" i="3"/>
  <c r="O382" i="3"/>
  <c r="N382" i="3"/>
  <c r="K382" i="3"/>
  <c r="S381" i="3"/>
  <c r="P381" i="3"/>
  <c r="M381" i="3"/>
  <c r="N381" i="3" s="1"/>
  <c r="J381" i="3"/>
  <c r="K381" i="3" s="1"/>
  <c r="S380" i="3"/>
  <c r="P380" i="3"/>
  <c r="N380" i="3"/>
  <c r="O380" i="3" s="1"/>
  <c r="M380" i="3"/>
  <c r="K380" i="3"/>
  <c r="J380" i="3"/>
  <c r="S379" i="3"/>
  <c r="P379" i="3"/>
  <c r="N379" i="3"/>
  <c r="O379" i="3" s="1"/>
  <c r="M379" i="3"/>
  <c r="K379" i="3"/>
  <c r="J379" i="3"/>
  <c r="S378" i="3"/>
  <c r="P378" i="3"/>
  <c r="M378" i="3"/>
  <c r="N378" i="3" s="1"/>
  <c r="K378" i="3"/>
  <c r="O378" i="3" s="1"/>
  <c r="J378" i="3"/>
  <c r="S377" i="3"/>
  <c r="P377" i="3"/>
  <c r="M377" i="3"/>
  <c r="N377" i="3" s="1"/>
  <c r="K377" i="3"/>
  <c r="O377" i="3" s="1"/>
  <c r="J377" i="3"/>
  <c r="S376" i="3"/>
  <c r="P376" i="3"/>
  <c r="N376" i="3"/>
  <c r="O376" i="3" s="1"/>
  <c r="M376" i="3"/>
  <c r="K376" i="3"/>
  <c r="J376" i="3"/>
  <c r="S375" i="3"/>
  <c r="P375" i="3"/>
  <c r="N375" i="3"/>
  <c r="M375" i="3"/>
  <c r="J375" i="3"/>
  <c r="K375" i="3" s="1"/>
  <c r="O375" i="3" s="1"/>
  <c r="S374" i="3"/>
  <c r="P374" i="3"/>
  <c r="N374" i="3"/>
  <c r="M374" i="3"/>
  <c r="J374" i="3"/>
  <c r="K374" i="3" s="1"/>
  <c r="O374" i="3" s="1"/>
  <c r="S373" i="3"/>
  <c r="P373" i="3"/>
  <c r="M373" i="3"/>
  <c r="N373" i="3" s="1"/>
  <c r="J373" i="3"/>
  <c r="K373" i="3" s="1"/>
  <c r="O373" i="3" s="1"/>
  <c r="S372" i="3"/>
  <c r="P372" i="3"/>
  <c r="N372" i="3"/>
  <c r="O372" i="3" s="1"/>
  <c r="K372" i="3"/>
  <c r="S371" i="3"/>
  <c r="P371" i="3"/>
  <c r="N371" i="3"/>
  <c r="O371" i="3" s="1"/>
  <c r="M371" i="3"/>
  <c r="K371" i="3"/>
  <c r="J371" i="3"/>
  <c r="S370" i="3"/>
  <c r="P370" i="3"/>
  <c r="N370" i="3"/>
  <c r="M370" i="3"/>
  <c r="K370" i="3"/>
  <c r="O370" i="3" s="1"/>
  <c r="J370" i="3"/>
  <c r="S369" i="3"/>
  <c r="P369" i="3"/>
  <c r="N369" i="3"/>
  <c r="M369" i="3"/>
  <c r="J369" i="3"/>
  <c r="K369" i="3" s="1"/>
  <c r="O369" i="3" s="1"/>
  <c r="S368" i="3"/>
  <c r="P368" i="3"/>
  <c r="O368" i="3"/>
  <c r="M368" i="3"/>
  <c r="N368" i="3" s="1"/>
  <c r="K368" i="3"/>
  <c r="J368" i="3"/>
  <c r="S367" i="3"/>
  <c r="P367" i="3"/>
  <c r="M367" i="3"/>
  <c r="N367" i="3" s="1"/>
  <c r="K367" i="3"/>
  <c r="O367" i="3" s="1"/>
  <c r="J367" i="3"/>
  <c r="S366" i="3"/>
  <c r="P366" i="3"/>
  <c r="N366" i="3"/>
  <c r="M366" i="3"/>
  <c r="J366" i="3"/>
  <c r="K366" i="3" s="1"/>
  <c r="O366" i="3" s="1"/>
  <c r="S365" i="3"/>
  <c r="P365" i="3"/>
  <c r="N365" i="3"/>
  <c r="O365" i="3" s="1"/>
  <c r="M365" i="3"/>
  <c r="K365" i="3"/>
  <c r="J365" i="3"/>
  <c r="S364" i="3"/>
  <c r="P364" i="3"/>
  <c r="N364" i="3"/>
  <c r="O364" i="3" s="1"/>
  <c r="M364" i="3"/>
  <c r="K364" i="3"/>
  <c r="J364" i="3"/>
  <c r="S363" i="3"/>
  <c r="P363" i="3"/>
  <c r="M363" i="3"/>
  <c r="N363" i="3" s="1"/>
  <c r="J363" i="3"/>
  <c r="K363" i="3" s="1"/>
  <c r="S362" i="3"/>
  <c r="P362" i="3"/>
  <c r="M362" i="3"/>
  <c r="N362" i="3" s="1"/>
  <c r="J362" i="3"/>
  <c r="K362" i="3" s="1"/>
  <c r="O362" i="3" s="1"/>
  <c r="S361" i="3"/>
  <c r="P361" i="3"/>
  <c r="M361" i="3"/>
  <c r="N361" i="3" s="1"/>
  <c r="K361" i="3"/>
  <c r="O361" i="3" s="1"/>
  <c r="J361" i="3"/>
  <c r="S360" i="3"/>
  <c r="P360" i="3"/>
  <c r="O360" i="3"/>
  <c r="M360" i="3"/>
  <c r="N360" i="3" s="1"/>
  <c r="K360" i="3"/>
  <c r="J360" i="3"/>
  <c r="S359" i="3"/>
  <c r="P359" i="3"/>
  <c r="O359" i="3"/>
  <c r="M359" i="3"/>
  <c r="N359" i="3" s="1"/>
  <c r="J359" i="3"/>
  <c r="K359" i="3" s="1"/>
  <c r="S358" i="3"/>
  <c r="P358" i="3"/>
  <c r="M358" i="3"/>
  <c r="N358" i="3" s="1"/>
  <c r="J358" i="3"/>
  <c r="K358" i="3" s="1"/>
  <c r="S357" i="3"/>
  <c r="P357" i="3"/>
  <c r="M357" i="3"/>
  <c r="N357" i="3" s="1"/>
  <c r="J357" i="3"/>
  <c r="K357" i="3" s="1"/>
  <c r="O357" i="3" s="1"/>
  <c r="S356" i="3"/>
  <c r="P356" i="3"/>
  <c r="M356" i="3"/>
  <c r="N356" i="3" s="1"/>
  <c r="O356" i="3" s="1"/>
  <c r="K356" i="3"/>
  <c r="J356" i="3"/>
  <c r="S355" i="3"/>
  <c r="P355" i="3"/>
  <c r="M355" i="3"/>
  <c r="N355" i="3" s="1"/>
  <c r="J355" i="3"/>
  <c r="K355" i="3" s="1"/>
  <c r="S354" i="3"/>
  <c r="P354" i="3"/>
  <c r="M354" i="3"/>
  <c r="N354" i="3" s="1"/>
  <c r="K354" i="3"/>
  <c r="O354" i="3" s="1"/>
  <c r="J354" i="3"/>
  <c r="S353" i="3"/>
  <c r="P353" i="3"/>
  <c r="M353" i="3"/>
  <c r="N353" i="3" s="1"/>
  <c r="K353" i="3"/>
  <c r="O353" i="3" s="1"/>
  <c r="J353" i="3"/>
  <c r="S352" i="3"/>
  <c r="P352" i="3"/>
  <c r="M352" i="3"/>
  <c r="N352" i="3" s="1"/>
  <c r="K352" i="3"/>
  <c r="O352" i="3" s="1"/>
  <c r="J352" i="3"/>
  <c r="S351" i="3"/>
  <c r="P351" i="3"/>
  <c r="O351" i="3"/>
  <c r="N351" i="3"/>
  <c r="M351" i="3"/>
  <c r="K351" i="3"/>
  <c r="J351" i="3"/>
  <c r="S350" i="3"/>
  <c r="P350" i="3"/>
  <c r="M350" i="3"/>
  <c r="N350" i="3" s="1"/>
  <c r="K350" i="3"/>
  <c r="J350" i="3"/>
  <c r="S349" i="3"/>
  <c r="P349" i="3"/>
  <c r="M349" i="3"/>
  <c r="N349" i="3" s="1"/>
  <c r="J349" i="3"/>
  <c r="K349" i="3" s="1"/>
  <c r="O349" i="3" s="1"/>
  <c r="S348" i="3"/>
  <c r="P348" i="3"/>
  <c r="M348" i="3"/>
  <c r="N348" i="3" s="1"/>
  <c r="J348" i="3"/>
  <c r="K348" i="3" s="1"/>
  <c r="O348" i="3" s="1"/>
  <c r="S347" i="3"/>
  <c r="P347" i="3"/>
  <c r="O347" i="3"/>
  <c r="M347" i="3"/>
  <c r="N347" i="3" s="1"/>
  <c r="K347" i="3"/>
  <c r="J347" i="3"/>
  <c r="S346" i="3"/>
  <c r="P346" i="3"/>
  <c r="M346" i="3"/>
  <c r="N346" i="3" s="1"/>
  <c r="J346" i="3"/>
  <c r="K346" i="3" s="1"/>
  <c r="S345" i="3"/>
  <c r="P345" i="3"/>
  <c r="N345" i="3"/>
  <c r="O345" i="3" s="1"/>
  <c r="M345" i="3"/>
  <c r="J345" i="3"/>
  <c r="K345" i="3" s="1"/>
  <c r="S344" i="3"/>
  <c r="P344" i="3"/>
  <c r="M344" i="3"/>
  <c r="N344" i="3" s="1"/>
  <c r="J344" i="3"/>
  <c r="K344" i="3" s="1"/>
  <c r="O344" i="3" s="1"/>
  <c r="S343" i="3"/>
  <c r="P343" i="3"/>
  <c r="M343" i="3"/>
  <c r="N343" i="3" s="1"/>
  <c r="O343" i="3" s="1"/>
  <c r="K343" i="3"/>
  <c r="J343" i="3"/>
  <c r="S342" i="3"/>
  <c r="P342" i="3"/>
  <c r="M342" i="3"/>
  <c r="N342" i="3" s="1"/>
  <c r="K342" i="3"/>
  <c r="O342" i="3" s="1"/>
  <c r="J342" i="3"/>
  <c r="S341" i="3"/>
  <c r="P341" i="3"/>
  <c r="M341" i="3"/>
  <c r="N341" i="3" s="1"/>
  <c r="K341" i="3"/>
  <c r="O341" i="3" s="1"/>
  <c r="J341" i="3"/>
  <c r="S340" i="3"/>
  <c r="P340" i="3"/>
  <c r="M340" i="3"/>
  <c r="N340" i="3" s="1"/>
  <c r="J340" i="3"/>
  <c r="K340" i="3" s="1"/>
  <c r="S339" i="3"/>
  <c r="P339" i="3"/>
  <c r="M339" i="3"/>
  <c r="N339" i="3" s="1"/>
  <c r="J339" i="3"/>
  <c r="K339" i="3" s="1"/>
  <c r="S338" i="3"/>
  <c r="P338" i="3"/>
  <c r="O338" i="3"/>
  <c r="N338" i="3"/>
  <c r="M338" i="3"/>
  <c r="J338" i="3"/>
  <c r="K338" i="3" s="1"/>
  <c r="S337" i="3"/>
  <c r="P337" i="3"/>
  <c r="M337" i="3"/>
  <c r="N337" i="3" s="1"/>
  <c r="J337" i="3"/>
  <c r="K337" i="3" s="1"/>
  <c r="O337" i="3" s="1"/>
  <c r="S336" i="3"/>
  <c r="P336" i="3"/>
  <c r="N336" i="3"/>
  <c r="M336" i="3"/>
  <c r="K336" i="3"/>
  <c r="J336" i="3"/>
  <c r="S335" i="3"/>
  <c r="P335" i="3"/>
  <c r="M335" i="3"/>
  <c r="N335" i="3" s="1"/>
  <c r="J335" i="3"/>
  <c r="K335" i="3" s="1"/>
  <c r="O335" i="3" s="1"/>
  <c r="S334" i="3"/>
  <c r="P334" i="3"/>
  <c r="O334" i="3"/>
  <c r="N334" i="3"/>
  <c r="K334" i="3"/>
  <c r="S333" i="3"/>
  <c r="P333" i="3"/>
  <c r="N333" i="3"/>
  <c r="K333" i="3"/>
  <c r="O333" i="3" s="1"/>
  <c r="S332" i="3"/>
  <c r="P332" i="3"/>
  <c r="N332" i="3"/>
  <c r="K332" i="3"/>
  <c r="O332" i="3" s="1"/>
  <c r="S331" i="3"/>
  <c r="P331" i="3"/>
  <c r="N331" i="3"/>
  <c r="O331" i="3" s="1"/>
  <c r="M331" i="3"/>
  <c r="J331" i="3"/>
  <c r="K331" i="3" s="1"/>
  <c r="S330" i="3"/>
  <c r="P330" i="3"/>
  <c r="M330" i="3"/>
  <c r="N330" i="3" s="1"/>
  <c r="O330" i="3" s="1"/>
  <c r="K330" i="3"/>
  <c r="J330" i="3"/>
  <c r="S329" i="3"/>
  <c r="P329" i="3"/>
  <c r="M329" i="3"/>
  <c r="N329" i="3" s="1"/>
  <c r="K329" i="3"/>
  <c r="J329" i="3"/>
  <c r="S328" i="3"/>
  <c r="P328" i="3"/>
  <c r="N328" i="3"/>
  <c r="M328" i="3"/>
  <c r="J328" i="3"/>
  <c r="K328" i="3" s="1"/>
  <c r="O328" i="3" s="1"/>
  <c r="S327" i="3"/>
  <c r="P327" i="3"/>
  <c r="M327" i="3"/>
  <c r="N327" i="3" s="1"/>
  <c r="K327" i="3"/>
  <c r="J327" i="3"/>
  <c r="S326" i="3"/>
  <c r="P326" i="3"/>
  <c r="M326" i="3"/>
  <c r="N326" i="3" s="1"/>
  <c r="J326" i="3"/>
  <c r="K326" i="3" s="1"/>
  <c r="O326" i="3" s="1"/>
  <c r="S325" i="3"/>
  <c r="P325" i="3"/>
  <c r="N325" i="3"/>
  <c r="O325" i="3" s="1"/>
  <c r="M325" i="3"/>
  <c r="K325" i="3"/>
  <c r="J325" i="3"/>
  <c r="S324" i="3"/>
  <c r="P324" i="3"/>
  <c r="N324" i="3"/>
  <c r="M324" i="3"/>
  <c r="J324" i="3"/>
  <c r="K324" i="3" s="1"/>
  <c r="O324" i="3" s="1"/>
  <c r="S323" i="3"/>
  <c r="P323" i="3"/>
  <c r="O323" i="3"/>
  <c r="N323" i="3"/>
  <c r="M323" i="3"/>
  <c r="K323" i="3"/>
  <c r="J323" i="3"/>
  <c r="S322" i="3"/>
  <c r="P322" i="3"/>
  <c r="M322" i="3"/>
  <c r="N322" i="3" s="1"/>
  <c r="K322" i="3"/>
  <c r="J322" i="3"/>
  <c r="S321" i="3"/>
  <c r="P321" i="3"/>
  <c r="N321" i="3"/>
  <c r="M321" i="3"/>
  <c r="J321" i="3"/>
  <c r="K321" i="3" s="1"/>
  <c r="O321" i="3" s="1"/>
  <c r="S320" i="3"/>
  <c r="P320" i="3"/>
  <c r="M320" i="3"/>
  <c r="N320" i="3" s="1"/>
  <c r="J320" i="3"/>
  <c r="K320" i="3" s="1"/>
  <c r="O320" i="3" s="1"/>
  <c r="S319" i="3"/>
  <c r="P319" i="3"/>
  <c r="N319" i="3"/>
  <c r="M319" i="3"/>
  <c r="J319" i="3"/>
  <c r="K319" i="3" s="1"/>
  <c r="S318" i="3"/>
  <c r="P318" i="3"/>
  <c r="N318" i="3"/>
  <c r="O318" i="3" s="1"/>
  <c r="M318" i="3"/>
  <c r="J318" i="3"/>
  <c r="K318" i="3" s="1"/>
  <c r="S317" i="3"/>
  <c r="P317" i="3"/>
  <c r="N317" i="3"/>
  <c r="M317" i="3"/>
  <c r="J317" i="3"/>
  <c r="K317" i="3" s="1"/>
  <c r="O317" i="3" s="1"/>
  <c r="S316" i="3"/>
  <c r="P316" i="3"/>
  <c r="M316" i="3"/>
  <c r="N316" i="3" s="1"/>
  <c r="J316" i="3"/>
  <c r="K316" i="3" s="1"/>
  <c r="S315" i="3"/>
  <c r="P315" i="3"/>
  <c r="M315" i="3"/>
  <c r="N315" i="3" s="1"/>
  <c r="K315" i="3"/>
  <c r="J315" i="3"/>
  <c r="S314" i="3"/>
  <c r="P314" i="3"/>
  <c r="O314" i="3"/>
  <c r="M314" i="3"/>
  <c r="N314" i="3" s="1"/>
  <c r="J314" i="3"/>
  <c r="K314" i="3" s="1"/>
  <c r="S313" i="3"/>
  <c r="P313" i="3"/>
  <c r="M313" i="3"/>
  <c r="N313" i="3" s="1"/>
  <c r="K313" i="3"/>
  <c r="O313" i="3" s="1"/>
  <c r="J313" i="3"/>
  <c r="S312" i="3"/>
  <c r="P312" i="3"/>
  <c r="O312" i="3"/>
  <c r="N312" i="3"/>
  <c r="M312" i="3"/>
  <c r="K312" i="3"/>
  <c r="J312" i="3"/>
  <c r="S311" i="3"/>
  <c r="P311" i="3"/>
  <c r="O311" i="3"/>
  <c r="N311" i="3"/>
  <c r="M311" i="3"/>
  <c r="J311" i="3"/>
  <c r="K311" i="3" s="1"/>
  <c r="S310" i="3"/>
  <c r="P310" i="3"/>
  <c r="N310" i="3"/>
  <c r="M310" i="3"/>
  <c r="K310" i="3"/>
  <c r="O310" i="3" s="1"/>
  <c r="J310" i="3"/>
  <c r="S309" i="3"/>
  <c r="P309" i="3"/>
  <c r="N309" i="3"/>
  <c r="M309" i="3"/>
  <c r="J309" i="3"/>
  <c r="K309" i="3" s="1"/>
  <c r="O309" i="3" s="1"/>
  <c r="S308" i="3"/>
  <c r="P308" i="3"/>
  <c r="M308" i="3"/>
  <c r="N308" i="3" s="1"/>
  <c r="K308" i="3"/>
  <c r="O308" i="3" s="1"/>
  <c r="J308" i="3"/>
  <c r="S307" i="3"/>
  <c r="P307" i="3"/>
  <c r="N307" i="3"/>
  <c r="O307" i="3" s="1"/>
  <c r="M307" i="3"/>
  <c r="K307" i="3"/>
  <c r="J307" i="3"/>
  <c r="S306" i="3"/>
  <c r="P306" i="3"/>
  <c r="O306" i="3"/>
  <c r="N306" i="3"/>
  <c r="K306" i="3"/>
  <c r="S305" i="3"/>
  <c r="P305" i="3"/>
  <c r="M305" i="3"/>
  <c r="N305" i="3" s="1"/>
  <c r="K305" i="3"/>
  <c r="J305" i="3"/>
  <c r="S304" i="3"/>
  <c r="P304" i="3"/>
  <c r="M304" i="3"/>
  <c r="N304" i="3" s="1"/>
  <c r="J304" i="3"/>
  <c r="K304" i="3" s="1"/>
  <c r="O304" i="3" s="1"/>
  <c r="S303" i="3"/>
  <c r="P303" i="3"/>
  <c r="M303" i="3"/>
  <c r="N303" i="3" s="1"/>
  <c r="O303" i="3" s="1"/>
  <c r="K303" i="3"/>
  <c r="J303" i="3"/>
  <c r="S302" i="3"/>
  <c r="P302" i="3"/>
  <c r="O302" i="3"/>
  <c r="M302" i="3"/>
  <c r="N302" i="3" s="1"/>
  <c r="J302" i="3"/>
  <c r="K302" i="3" s="1"/>
  <c r="S301" i="3"/>
  <c r="P301" i="3"/>
  <c r="M301" i="3"/>
  <c r="N301" i="3" s="1"/>
  <c r="J301" i="3"/>
  <c r="K301" i="3" s="1"/>
  <c r="S300" i="3"/>
  <c r="P300" i="3"/>
  <c r="N300" i="3"/>
  <c r="O300" i="3" s="1"/>
  <c r="M300" i="3"/>
  <c r="K300" i="3"/>
  <c r="J300" i="3"/>
  <c r="S299" i="3"/>
  <c r="P299" i="3"/>
  <c r="M299" i="3"/>
  <c r="N299" i="3" s="1"/>
  <c r="K299" i="3"/>
  <c r="O299" i="3" s="1"/>
  <c r="J299" i="3"/>
  <c r="S298" i="3"/>
  <c r="P298" i="3"/>
  <c r="M298" i="3"/>
  <c r="N298" i="3" s="1"/>
  <c r="O298" i="3" s="1"/>
  <c r="K298" i="3"/>
  <c r="J298" i="3"/>
  <c r="S297" i="3"/>
  <c r="P297" i="3"/>
  <c r="M297" i="3"/>
  <c r="N297" i="3" s="1"/>
  <c r="J297" i="3"/>
  <c r="K297" i="3" s="1"/>
  <c r="O297" i="3" s="1"/>
  <c r="S296" i="3"/>
  <c r="P296" i="3"/>
  <c r="M296" i="3"/>
  <c r="N296" i="3" s="1"/>
  <c r="O296" i="3" s="1"/>
  <c r="K296" i="3"/>
  <c r="J296" i="3"/>
  <c r="S295" i="3"/>
  <c r="P295" i="3"/>
  <c r="O295" i="3"/>
  <c r="N295" i="3"/>
  <c r="M295" i="3"/>
  <c r="K295" i="3"/>
  <c r="J295" i="3"/>
  <c r="S294" i="3"/>
  <c r="P294" i="3"/>
  <c r="N294" i="3"/>
  <c r="M294" i="3"/>
  <c r="J294" i="3"/>
  <c r="K294" i="3" s="1"/>
  <c r="O294" i="3" s="1"/>
  <c r="S293" i="3"/>
  <c r="P293" i="3"/>
  <c r="M293" i="3"/>
  <c r="N293" i="3" s="1"/>
  <c r="J293" i="3"/>
  <c r="K293" i="3" s="1"/>
  <c r="O293" i="3" s="1"/>
  <c r="S292" i="3"/>
  <c r="P292" i="3"/>
  <c r="N292" i="3"/>
  <c r="M292" i="3"/>
  <c r="K292" i="3"/>
  <c r="J292" i="3"/>
  <c r="S291" i="3"/>
  <c r="P291" i="3"/>
  <c r="M291" i="3"/>
  <c r="N291" i="3" s="1"/>
  <c r="K291" i="3"/>
  <c r="J291" i="3"/>
  <c r="S290" i="3"/>
  <c r="P290" i="3"/>
  <c r="M290" i="3"/>
  <c r="N290" i="3" s="1"/>
  <c r="J290" i="3"/>
  <c r="K290" i="3" s="1"/>
  <c r="S289" i="3"/>
  <c r="P289" i="3"/>
  <c r="M289" i="3"/>
  <c r="N289" i="3" s="1"/>
  <c r="O289" i="3" s="1"/>
  <c r="J289" i="3"/>
  <c r="K289" i="3" s="1"/>
  <c r="S288" i="3"/>
  <c r="P288" i="3"/>
  <c r="M288" i="3"/>
  <c r="N288" i="3" s="1"/>
  <c r="J288" i="3"/>
  <c r="K288" i="3" s="1"/>
  <c r="O288" i="3" s="1"/>
  <c r="S287" i="3"/>
  <c r="P287" i="3"/>
  <c r="M287" i="3"/>
  <c r="N287" i="3" s="1"/>
  <c r="J287" i="3"/>
  <c r="K287" i="3" s="1"/>
  <c r="O287" i="3" s="1"/>
  <c r="S286" i="3"/>
  <c r="P286" i="3"/>
  <c r="M286" i="3"/>
  <c r="N286" i="3" s="1"/>
  <c r="J286" i="3"/>
  <c r="K286" i="3" s="1"/>
  <c r="S285" i="3"/>
  <c r="P285" i="3"/>
  <c r="M285" i="3"/>
  <c r="N285" i="3" s="1"/>
  <c r="K285" i="3"/>
  <c r="J285" i="3"/>
  <c r="S284" i="3"/>
  <c r="P284" i="3"/>
  <c r="N284" i="3"/>
  <c r="M284" i="3"/>
  <c r="J284" i="3"/>
  <c r="K284" i="3" s="1"/>
  <c r="O284" i="3" s="1"/>
  <c r="S283" i="3"/>
  <c r="P283" i="3"/>
  <c r="O283" i="3"/>
  <c r="N283" i="3"/>
  <c r="M283" i="3"/>
  <c r="K283" i="3"/>
  <c r="J283" i="3"/>
  <c r="S282" i="3"/>
  <c r="P282" i="3"/>
  <c r="N282" i="3"/>
  <c r="M282" i="3"/>
  <c r="J282" i="3"/>
  <c r="K282" i="3" s="1"/>
  <c r="O282" i="3" s="1"/>
  <c r="S281" i="3"/>
  <c r="P281" i="3"/>
  <c r="N281" i="3"/>
  <c r="M281" i="3"/>
  <c r="J281" i="3"/>
  <c r="K281" i="3" s="1"/>
  <c r="S280" i="3"/>
  <c r="P280" i="3"/>
  <c r="M280" i="3"/>
  <c r="N280" i="3" s="1"/>
  <c r="J280" i="3"/>
  <c r="K280" i="3" s="1"/>
  <c r="O280" i="3" s="1"/>
  <c r="S279" i="3"/>
  <c r="P279" i="3"/>
  <c r="M279" i="3"/>
  <c r="N279" i="3" s="1"/>
  <c r="J279" i="3"/>
  <c r="K279" i="3" s="1"/>
  <c r="O279" i="3" s="1"/>
  <c r="S278" i="3"/>
  <c r="P278" i="3"/>
  <c r="M278" i="3"/>
  <c r="N278" i="3" s="1"/>
  <c r="J278" i="3"/>
  <c r="K278" i="3" s="1"/>
  <c r="S277" i="3"/>
  <c r="P277" i="3"/>
  <c r="N277" i="3"/>
  <c r="O277" i="3" s="1"/>
  <c r="K277" i="3"/>
  <c r="S276" i="3"/>
  <c r="P276" i="3"/>
  <c r="O276" i="3"/>
  <c r="M276" i="3"/>
  <c r="N276" i="3" s="1"/>
  <c r="J276" i="3"/>
  <c r="K276" i="3" s="1"/>
  <c r="S275" i="3"/>
  <c r="P275" i="3"/>
  <c r="M275" i="3"/>
  <c r="N275" i="3" s="1"/>
  <c r="J275" i="3"/>
  <c r="K275" i="3" s="1"/>
  <c r="O275" i="3" s="1"/>
  <c r="S274" i="3"/>
  <c r="P274" i="3"/>
  <c r="M274" i="3"/>
  <c r="N274" i="3" s="1"/>
  <c r="O274" i="3" s="1"/>
  <c r="K274" i="3"/>
  <c r="J274" i="3"/>
  <c r="S273" i="3"/>
  <c r="P273" i="3"/>
  <c r="N273" i="3"/>
  <c r="O273" i="3" s="1"/>
  <c r="M273" i="3"/>
  <c r="K273" i="3"/>
  <c r="J273" i="3"/>
  <c r="S272" i="3"/>
  <c r="P272" i="3"/>
  <c r="M272" i="3"/>
  <c r="N272" i="3" s="1"/>
  <c r="K272" i="3"/>
  <c r="O272" i="3" s="1"/>
  <c r="J272" i="3"/>
  <c r="S271" i="3"/>
  <c r="P271" i="3"/>
  <c r="M271" i="3"/>
  <c r="N271" i="3" s="1"/>
  <c r="O271" i="3" s="1"/>
  <c r="K271" i="3"/>
  <c r="J271" i="3"/>
  <c r="S270" i="3"/>
  <c r="P270" i="3"/>
  <c r="N270" i="3"/>
  <c r="O270" i="3" s="1"/>
  <c r="M270" i="3"/>
  <c r="K270" i="3"/>
  <c r="J270" i="3"/>
  <c r="S269" i="3"/>
  <c r="P269" i="3"/>
  <c r="N269" i="3"/>
  <c r="M269" i="3"/>
  <c r="K269" i="3"/>
  <c r="O269" i="3" s="1"/>
  <c r="J269" i="3"/>
  <c r="S268" i="3"/>
  <c r="P268" i="3"/>
  <c r="M268" i="3"/>
  <c r="N268" i="3" s="1"/>
  <c r="K268" i="3"/>
  <c r="O268" i="3" s="1"/>
  <c r="J268" i="3"/>
  <c r="S267" i="3"/>
  <c r="P267" i="3"/>
  <c r="M267" i="3"/>
  <c r="N267" i="3" s="1"/>
  <c r="J267" i="3"/>
  <c r="K267" i="3" s="1"/>
  <c r="S266" i="3"/>
  <c r="P266" i="3"/>
  <c r="N266" i="3"/>
  <c r="O266" i="3" s="1"/>
  <c r="M266" i="3"/>
  <c r="J266" i="3"/>
  <c r="K266" i="3" s="1"/>
  <c r="S265" i="3"/>
  <c r="P265" i="3"/>
  <c r="N265" i="3"/>
  <c r="M265" i="3"/>
  <c r="K265" i="3"/>
  <c r="O265" i="3" s="1"/>
  <c r="J265" i="3"/>
  <c r="S264" i="3"/>
  <c r="P264" i="3"/>
  <c r="M264" i="3"/>
  <c r="N264" i="3" s="1"/>
  <c r="O264" i="3" s="1"/>
  <c r="J264" i="3"/>
  <c r="K264" i="3" s="1"/>
  <c r="S263" i="3"/>
  <c r="P263" i="3"/>
  <c r="M263" i="3"/>
  <c r="N263" i="3" s="1"/>
  <c r="J263" i="3"/>
  <c r="K263" i="3" s="1"/>
  <c r="O263" i="3" s="1"/>
  <c r="S262" i="3"/>
  <c r="P262" i="3"/>
  <c r="N262" i="3"/>
  <c r="M262" i="3"/>
  <c r="K262" i="3"/>
  <c r="O262" i="3" s="1"/>
  <c r="J262" i="3"/>
  <c r="S261" i="3"/>
  <c r="P261" i="3"/>
  <c r="M261" i="3"/>
  <c r="N261" i="3" s="1"/>
  <c r="K261" i="3"/>
  <c r="J261" i="3"/>
  <c r="S260" i="3"/>
  <c r="P260" i="3"/>
  <c r="N260" i="3"/>
  <c r="M260" i="3"/>
  <c r="J260" i="3"/>
  <c r="K260" i="3" s="1"/>
  <c r="O260" i="3" s="1"/>
  <c r="S259" i="3"/>
  <c r="P259" i="3"/>
  <c r="M259" i="3"/>
  <c r="N259" i="3" s="1"/>
  <c r="K259" i="3"/>
  <c r="O259" i="3" s="1"/>
  <c r="J259" i="3"/>
  <c r="S258" i="3"/>
  <c r="P258" i="3"/>
  <c r="N258" i="3"/>
  <c r="M258" i="3"/>
  <c r="J258" i="3"/>
  <c r="K258" i="3" s="1"/>
  <c r="S257" i="3"/>
  <c r="P257" i="3"/>
  <c r="O257" i="3"/>
  <c r="N257" i="3"/>
  <c r="M257" i="3"/>
  <c r="J257" i="3"/>
  <c r="K257" i="3" s="1"/>
  <c r="S256" i="3"/>
  <c r="P256" i="3"/>
  <c r="M256" i="3"/>
  <c r="N256" i="3" s="1"/>
  <c r="O256" i="3" s="1"/>
  <c r="K256" i="3"/>
  <c r="J256" i="3"/>
  <c r="S255" i="3"/>
  <c r="P255" i="3"/>
  <c r="N255" i="3"/>
  <c r="O255" i="3" s="1"/>
  <c r="M255" i="3"/>
  <c r="K255" i="3"/>
  <c r="J255" i="3"/>
  <c r="S254" i="3"/>
  <c r="P254" i="3"/>
  <c r="N254" i="3"/>
  <c r="O254" i="3" s="1"/>
  <c r="M254" i="3"/>
  <c r="J254" i="3"/>
  <c r="K254" i="3" s="1"/>
  <c r="S253" i="3"/>
  <c r="P253" i="3"/>
  <c r="M253" i="3"/>
  <c r="N253" i="3" s="1"/>
  <c r="J253" i="3"/>
  <c r="K253" i="3" s="1"/>
  <c r="O253" i="3" s="1"/>
  <c r="S252" i="3"/>
  <c r="P252" i="3"/>
  <c r="O252" i="3"/>
  <c r="N252" i="3"/>
  <c r="K252" i="3"/>
  <c r="S251" i="3"/>
  <c r="P251" i="3"/>
  <c r="N251" i="3"/>
  <c r="M251" i="3"/>
  <c r="K251" i="3"/>
  <c r="O251" i="3" s="1"/>
  <c r="J251" i="3"/>
  <c r="S250" i="3"/>
  <c r="P250" i="3"/>
  <c r="N250" i="3"/>
  <c r="M250" i="3"/>
  <c r="J250" i="3"/>
  <c r="K250" i="3" s="1"/>
  <c r="S249" i="3"/>
  <c r="P249" i="3"/>
  <c r="M249" i="3"/>
  <c r="N249" i="3" s="1"/>
  <c r="K249" i="3"/>
  <c r="O249" i="3" s="1"/>
  <c r="J249" i="3"/>
  <c r="S248" i="3"/>
  <c r="P248" i="3"/>
  <c r="M248" i="3"/>
  <c r="N248" i="3" s="1"/>
  <c r="K248" i="3"/>
  <c r="O248" i="3" s="1"/>
  <c r="J248" i="3"/>
  <c r="S247" i="3"/>
  <c r="P247" i="3"/>
  <c r="N247" i="3"/>
  <c r="M247" i="3"/>
  <c r="K247" i="3"/>
  <c r="O247" i="3" s="1"/>
  <c r="J247" i="3"/>
  <c r="S246" i="3"/>
  <c r="P246" i="3"/>
  <c r="M246" i="3"/>
  <c r="N246" i="3" s="1"/>
  <c r="K246" i="3"/>
  <c r="O246" i="3" s="1"/>
  <c r="J246" i="3"/>
  <c r="S245" i="3"/>
  <c r="P245" i="3"/>
  <c r="M245" i="3"/>
  <c r="N245" i="3" s="1"/>
  <c r="J245" i="3"/>
  <c r="K245" i="3" s="1"/>
  <c r="S244" i="3"/>
  <c r="P244" i="3"/>
  <c r="N244" i="3"/>
  <c r="O244" i="3" s="1"/>
  <c r="M244" i="3"/>
  <c r="K244" i="3"/>
  <c r="J244" i="3"/>
  <c r="S243" i="3"/>
  <c r="P243" i="3"/>
  <c r="O243" i="3"/>
  <c r="N243" i="3"/>
  <c r="M243" i="3"/>
  <c r="K243" i="3"/>
  <c r="J243" i="3"/>
  <c r="S242" i="3"/>
  <c r="P242" i="3"/>
  <c r="M242" i="3"/>
  <c r="N242" i="3" s="1"/>
  <c r="J242" i="3"/>
  <c r="K242" i="3" s="1"/>
  <c r="S241" i="3"/>
  <c r="P241" i="3"/>
  <c r="N241" i="3"/>
  <c r="M241" i="3"/>
  <c r="K241" i="3"/>
  <c r="J241" i="3"/>
  <c r="S240" i="3"/>
  <c r="P240" i="3"/>
  <c r="N240" i="3"/>
  <c r="M240" i="3"/>
  <c r="K240" i="3"/>
  <c r="O240" i="3" s="1"/>
  <c r="J240" i="3"/>
  <c r="S239" i="3"/>
  <c r="P239" i="3"/>
  <c r="M239" i="3"/>
  <c r="N239" i="3" s="1"/>
  <c r="J239" i="3"/>
  <c r="K239" i="3" s="1"/>
  <c r="S238" i="3"/>
  <c r="P238" i="3"/>
  <c r="M238" i="3"/>
  <c r="N238" i="3" s="1"/>
  <c r="J238" i="3"/>
  <c r="K238" i="3" s="1"/>
  <c r="O238" i="3" s="1"/>
  <c r="S237" i="3"/>
  <c r="P237" i="3"/>
  <c r="O237" i="3"/>
  <c r="N237" i="3"/>
  <c r="M237" i="3"/>
  <c r="K237" i="3"/>
  <c r="J237" i="3"/>
  <c r="S236" i="3"/>
  <c r="P236" i="3"/>
  <c r="M236" i="3"/>
  <c r="N236" i="3" s="1"/>
  <c r="K236" i="3"/>
  <c r="O236" i="3" s="1"/>
  <c r="J236" i="3"/>
  <c r="S235" i="3"/>
  <c r="P235" i="3"/>
  <c r="N235" i="3"/>
  <c r="M235" i="3"/>
  <c r="J235" i="3"/>
  <c r="K235" i="3" s="1"/>
  <c r="O235" i="3" s="1"/>
  <c r="S234" i="3"/>
  <c r="P234" i="3"/>
  <c r="M234" i="3"/>
  <c r="N234" i="3" s="1"/>
  <c r="K234" i="3"/>
  <c r="J234" i="3"/>
  <c r="S233" i="3"/>
  <c r="P233" i="3"/>
  <c r="M233" i="3"/>
  <c r="N233" i="3" s="1"/>
  <c r="O233" i="3" s="1"/>
  <c r="K233" i="3"/>
  <c r="J233" i="3"/>
  <c r="S232" i="3"/>
  <c r="P232" i="3"/>
  <c r="M232" i="3"/>
  <c r="N232" i="3" s="1"/>
  <c r="K232" i="3"/>
  <c r="J232" i="3"/>
  <c r="S231" i="3"/>
  <c r="P231" i="3"/>
  <c r="O231" i="3"/>
  <c r="N231" i="3"/>
  <c r="M231" i="3"/>
  <c r="J231" i="3"/>
  <c r="K231" i="3" s="1"/>
  <c r="S230" i="3"/>
  <c r="P230" i="3"/>
  <c r="M230" i="3"/>
  <c r="N230" i="3" s="1"/>
  <c r="J230" i="3"/>
  <c r="K230" i="3" s="1"/>
  <c r="O230" i="3" s="1"/>
  <c r="S229" i="3"/>
  <c r="P229" i="3"/>
  <c r="M229" i="3"/>
  <c r="N229" i="3" s="1"/>
  <c r="K229" i="3"/>
  <c r="J229" i="3"/>
  <c r="S228" i="3"/>
  <c r="P228" i="3"/>
  <c r="N228" i="3"/>
  <c r="M228" i="3"/>
  <c r="J228" i="3"/>
  <c r="K228" i="3" s="1"/>
  <c r="O228" i="3" s="1"/>
  <c r="S227" i="3"/>
  <c r="P227" i="3"/>
  <c r="O227" i="3"/>
  <c r="N227" i="3"/>
  <c r="K227" i="3"/>
  <c r="S226" i="3"/>
  <c r="P226" i="3"/>
  <c r="N226" i="3"/>
  <c r="O226" i="3" s="1"/>
  <c r="M226" i="3"/>
  <c r="K226" i="3"/>
  <c r="J226" i="3"/>
  <c r="S225" i="3"/>
  <c r="P225" i="3"/>
  <c r="O225" i="3"/>
  <c r="N225" i="3"/>
  <c r="K225" i="3"/>
  <c r="S224" i="3"/>
  <c r="P224" i="3"/>
  <c r="M224" i="3"/>
  <c r="N224" i="3" s="1"/>
  <c r="K224" i="3"/>
  <c r="O224" i="3" s="1"/>
  <c r="J224" i="3"/>
  <c r="S223" i="3"/>
  <c r="P223" i="3"/>
  <c r="M223" i="3"/>
  <c r="N223" i="3" s="1"/>
  <c r="J223" i="3"/>
  <c r="K223" i="3" s="1"/>
  <c r="S222" i="3"/>
  <c r="P222" i="3"/>
  <c r="N222" i="3"/>
  <c r="M222" i="3"/>
  <c r="K222" i="3"/>
  <c r="O222" i="3" s="1"/>
  <c r="J222" i="3"/>
  <c r="S221" i="3"/>
  <c r="P221" i="3"/>
  <c r="M221" i="3"/>
  <c r="N221" i="3" s="1"/>
  <c r="K221" i="3"/>
  <c r="J221" i="3"/>
  <c r="S220" i="3"/>
  <c r="P220" i="3"/>
  <c r="N220" i="3"/>
  <c r="M220" i="3"/>
  <c r="J220" i="3"/>
  <c r="K220" i="3" s="1"/>
  <c r="O220" i="3" s="1"/>
  <c r="S219" i="3"/>
  <c r="P219" i="3"/>
  <c r="M219" i="3"/>
  <c r="N219" i="3" s="1"/>
  <c r="K219" i="3"/>
  <c r="O219" i="3" s="1"/>
  <c r="J219" i="3"/>
  <c r="S218" i="3"/>
  <c r="P218" i="3"/>
  <c r="M218" i="3"/>
  <c r="N218" i="3" s="1"/>
  <c r="O218" i="3" s="1"/>
  <c r="J218" i="3"/>
  <c r="K218" i="3" s="1"/>
  <c r="S217" i="3"/>
  <c r="P217" i="3"/>
  <c r="N217" i="3"/>
  <c r="O217" i="3" s="1"/>
  <c r="K217" i="3"/>
  <c r="S216" i="3"/>
  <c r="P216" i="3"/>
  <c r="N216" i="3"/>
  <c r="M216" i="3"/>
  <c r="J216" i="3"/>
  <c r="K216" i="3" s="1"/>
  <c r="S215" i="3"/>
  <c r="P215" i="3"/>
  <c r="M215" i="3"/>
  <c r="N215" i="3" s="1"/>
  <c r="J215" i="3"/>
  <c r="K215" i="3" s="1"/>
  <c r="O215" i="3" s="1"/>
  <c r="S214" i="3"/>
  <c r="P214" i="3"/>
  <c r="M214" i="3"/>
  <c r="N214" i="3" s="1"/>
  <c r="J214" i="3"/>
  <c r="K214" i="3" s="1"/>
  <c r="O214" i="3" s="1"/>
  <c r="S213" i="3"/>
  <c r="P213" i="3"/>
  <c r="M213" i="3"/>
  <c r="N213" i="3" s="1"/>
  <c r="J213" i="3"/>
  <c r="K213" i="3" s="1"/>
  <c r="O213" i="3" s="1"/>
  <c r="S212" i="3"/>
  <c r="P212" i="3"/>
  <c r="N212" i="3"/>
  <c r="O212" i="3" s="1"/>
  <c r="M212" i="3"/>
  <c r="J212" i="3"/>
  <c r="K212" i="3" s="1"/>
  <c r="S211" i="3"/>
  <c r="P211" i="3"/>
  <c r="M211" i="3"/>
  <c r="N211" i="3" s="1"/>
  <c r="O211" i="3" s="1"/>
  <c r="K211" i="3"/>
  <c r="J211" i="3"/>
  <c r="S210" i="3"/>
  <c r="P210" i="3"/>
  <c r="N210" i="3"/>
  <c r="M210" i="3"/>
  <c r="J210" i="3"/>
  <c r="K210" i="3" s="1"/>
  <c r="O210" i="3" s="1"/>
  <c r="S209" i="3"/>
  <c r="P209" i="3"/>
  <c r="M209" i="3"/>
  <c r="N209" i="3" s="1"/>
  <c r="J209" i="3"/>
  <c r="K209" i="3" s="1"/>
  <c r="S208" i="3"/>
  <c r="P208" i="3"/>
  <c r="N208" i="3"/>
  <c r="M208" i="3"/>
  <c r="K208" i="3"/>
  <c r="J208" i="3"/>
  <c r="S207" i="3"/>
  <c r="P207" i="3"/>
  <c r="N207" i="3"/>
  <c r="M207" i="3"/>
  <c r="J207" i="3"/>
  <c r="K207" i="3" s="1"/>
  <c r="S206" i="3"/>
  <c r="P206" i="3"/>
  <c r="M206" i="3"/>
  <c r="N206" i="3" s="1"/>
  <c r="K206" i="3"/>
  <c r="J206" i="3"/>
  <c r="S205" i="3"/>
  <c r="P205" i="3"/>
  <c r="N205" i="3"/>
  <c r="M205" i="3"/>
  <c r="J205" i="3"/>
  <c r="K205" i="3" s="1"/>
  <c r="O205" i="3" s="1"/>
  <c r="S204" i="3"/>
  <c r="P204" i="3"/>
  <c r="O204" i="3"/>
  <c r="N204" i="3"/>
  <c r="M204" i="3"/>
  <c r="J204" i="3"/>
  <c r="K204" i="3" s="1"/>
  <c r="S203" i="3"/>
  <c r="P203" i="3"/>
  <c r="M203" i="3"/>
  <c r="N203" i="3" s="1"/>
  <c r="K203" i="3"/>
  <c r="J203" i="3"/>
  <c r="S202" i="3"/>
  <c r="P202" i="3"/>
  <c r="M202" i="3"/>
  <c r="N202" i="3" s="1"/>
  <c r="O202" i="3" s="1"/>
  <c r="K202" i="3"/>
  <c r="J202" i="3"/>
  <c r="S201" i="3"/>
  <c r="P201" i="3"/>
  <c r="M201" i="3"/>
  <c r="N201" i="3" s="1"/>
  <c r="O201" i="3" s="1"/>
  <c r="K201" i="3"/>
  <c r="J201" i="3"/>
  <c r="S200" i="3"/>
  <c r="P200" i="3"/>
  <c r="N200" i="3"/>
  <c r="K200" i="3"/>
  <c r="O200" i="3" s="1"/>
  <c r="S199" i="3"/>
  <c r="P199" i="3"/>
  <c r="N199" i="3"/>
  <c r="M199" i="3"/>
  <c r="J199" i="3"/>
  <c r="K199" i="3" s="1"/>
  <c r="O199" i="3" s="1"/>
  <c r="S198" i="3"/>
  <c r="P198" i="3"/>
  <c r="N198" i="3"/>
  <c r="O198" i="3" s="1"/>
  <c r="M198" i="3"/>
  <c r="K198" i="3"/>
  <c r="J198" i="3"/>
  <c r="S197" i="3"/>
  <c r="P197" i="3"/>
  <c r="M197" i="3"/>
  <c r="N197" i="3" s="1"/>
  <c r="O197" i="3" s="1"/>
  <c r="K197" i="3"/>
  <c r="J197" i="3"/>
  <c r="S196" i="3"/>
  <c r="P196" i="3"/>
  <c r="O196" i="3"/>
  <c r="N196" i="3"/>
  <c r="K196" i="3"/>
  <c r="S195" i="3"/>
  <c r="P195" i="3"/>
  <c r="N195" i="3"/>
  <c r="K195" i="3"/>
  <c r="O195" i="3" s="1"/>
  <c r="S194" i="3"/>
  <c r="P194" i="3"/>
  <c r="N194" i="3"/>
  <c r="K194" i="3"/>
  <c r="O194" i="3" s="1"/>
  <c r="S193" i="3"/>
  <c r="P193" i="3"/>
  <c r="N193" i="3"/>
  <c r="M193" i="3"/>
  <c r="J193" i="3"/>
  <c r="K193" i="3" s="1"/>
  <c r="O193" i="3" s="1"/>
  <c r="S192" i="3"/>
  <c r="P192" i="3"/>
  <c r="N192" i="3"/>
  <c r="M192" i="3"/>
  <c r="J192" i="3"/>
  <c r="K192" i="3" s="1"/>
  <c r="O192" i="3" s="1"/>
  <c r="S191" i="3"/>
  <c r="P191" i="3"/>
  <c r="O191" i="3"/>
  <c r="N191" i="3"/>
  <c r="M191" i="3"/>
  <c r="J191" i="3"/>
  <c r="K191" i="3" s="1"/>
  <c r="S190" i="3"/>
  <c r="P190" i="3"/>
  <c r="M190" i="3"/>
  <c r="N190" i="3" s="1"/>
  <c r="K190" i="3"/>
  <c r="O190" i="3" s="1"/>
  <c r="J190" i="3"/>
  <c r="S189" i="3"/>
  <c r="P189" i="3"/>
  <c r="N189" i="3"/>
  <c r="O189" i="3" s="1"/>
  <c r="K189" i="3"/>
  <c r="S188" i="3"/>
  <c r="P188" i="3"/>
  <c r="N188" i="3"/>
  <c r="K188" i="3"/>
  <c r="O188" i="3" s="1"/>
  <c r="S187" i="3"/>
  <c r="P187" i="3"/>
  <c r="N187" i="3"/>
  <c r="K187" i="3"/>
  <c r="O187" i="3" s="1"/>
  <c r="S186" i="3"/>
  <c r="P186" i="3"/>
  <c r="M186" i="3"/>
  <c r="N186" i="3" s="1"/>
  <c r="O186" i="3" s="1"/>
  <c r="K186" i="3"/>
  <c r="J186" i="3"/>
  <c r="S185" i="3"/>
  <c r="P185" i="3"/>
  <c r="N185" i="3"/>
  <c r="K185" i="3"/>
  <c r="O185" i="3" s="1"/>
  <c r="S184" i="3"/>
  <c r="P184" i="3"/>
  <c r="O184" i="3"/>
  <c r="M184" i="3"/>
  <c r="N184" i="3" s="1"/>
  <c r="J184" i="3"/>
  <c r="K184" i="3" s="1"/>
  <c r="S183" i="3"/>
  <c r="P183" i="3"/>
  <c r="M183" i="3"/>
  <c r="N183" i="3" s="1"/>
  <c r="J183" i="3"/>
  <c r="K183" i="3" s="1"/>
  <c r="S182" i="3"/>
  <c r="P182" i="3"/>
  <c r="N182" i="3"/>
  <c r="M182" i="3"/>
  <c r="J182" i="3"/>
  <c r="K182" i="3" s="1"/>
  <c r="O182" i="3" s="1"/>
  <c r="S181" i="3"/>
  <c r="P181" i="3"/>
  <c r="O181" i="3"/>
  <c r="N181" i="3"/>
  <c r="M181" i="3"/>
  <c r="J181" i="3"/>
  <c r="K181" i="3" s="1"/>
  <c r="S180" i="3"/>
  <c r="P180" i="3"/>
  <c r="N180" i="3"/>
  <c r="M180" i="3"/>
  <c r="J180" i="3"/>
  <c r="K180" i="3" s="1"/>
  <c r="S179" i="3"/>
  <c r="P179" i="3"/>
  <c r="M179" i="3"/>
  <c r="N179" i="3" s="1"/>
  <c r="K179" i="3"/>
  <c r="O179" i="3" s="1"/>
  <c r="J179" i="3"/>
  <c r="S178" i="3"/>
  <c r="P178" i="3"/>
  <c r="M178" i="3"/>
  <c r="N178" i="3" s="1"/>
  <c r="J178" i="3"/>
  <c r="K178" i="3" s="1"/>
  <c r="O178" i="3" s="1"/>
  <c r="S177" i="3"/>
  <c r="P177" i="3"/>
  <c r="O177" i="3"/>
  <c r="N177" i="3"/>
  <c r="M177" i="3"/>
  <c r="J177" i="3"/>
  <c r="K177" i="3" s="1"/>
  <c r="S176" i="3"/>
  <c r="P176" i="3"/>
  <c r="M176" i="3"/>
  <c r="N176" i="3" s="1"/>
  <c r="K176" i="3"/>
  <c r="O176" i="3" s="1"/>
  <c r="J176" i="3"/>
  <c r="S175" i="3"/>
  <c r="P175" i="3"/>
  <c r="N175" i="3"/>
  <c r="K175" i="3"/>
  <c r="S174" i="3"/>
  <c r="P174" i="3"/>
  <c r="O174" i="3"/>
  <c r="N174" i="3"/>
  <c r="M174" i="3"/>
  <c r="J174" i="3"/>
  <c r="K174" i="3" s="1"/>
  <c r="S173" i="3"/>
  <c r="P173" i="3"/>
  <c r="M173" i="3"/>
  <c r="N173" i="3" s="1"/>
  <c r="J173" i="3"/>
  <c r="K173" i="3" s="1"/>
  <c r="O173" i="3" s="1"/>
  <c r="S172" i="3"/>
  <c r="P172" i="3"/>
  <c r="O172" i="3"/>
  <c r="N172" i="3"/>
  <c r="M172" i="3"/>
  <c r="J172" i="3"/>
  <c r="K172" i="3" s="1"/>
  <c r="S171" i="3"/>
  <c r="P171" i="3"/>
  <c r="M171" i="3"/>
  <c r="N171" i="3" s="1"/>
  <c r="J171" i="3"/>
  <c r="K171" i="3" s="1"/>
  <c r="O171" i="3" s="1"/>
  <c r="S170" i="3"/>
  <c r="P170" i="3"/>
  <c r="M170" i="3"/>
  <c r="N170" i="3" s="1"/>
  <c r="O170" i="3" s="1"/>
  <c r="J519" i="2" s="1"/>
  <c r="K170" i="3"/>
  <c r="J170" i="3"/>
  <c r="S169" i="3"/>
  <c r="P169" i="3"/>
  <c r="M169" i="3"/>
  <c r="N169" i="3" s="1"/>
  <c r="J169" i="3"/>
  <c r="K169" i="3" s="1"/>
  <c r="O169" i="3" s="1"/>
  <c r="S168" i="3"/>
  <c r="P168" i="3"/>
  <c r="M168" i="3"/>
  <c r="N168" i="3" s="1"/>
  <c r="J168" i="3"/>
  <c r="K168" i="3" s="1"/>
  <c r="O168" i="3" s="1"/>
  <c r="S167" i="3"/>
  <c r="P167" i="3"/>
  <c r="N167" i="3"/>
  <c r="M167" i="3"/>
  <c r="J167" i="3"/>
  <c r="K167" i="3" s="1"/>
  <c r="O167" i="3" s="1"/>
  <c r="S166" i="3"/>
  <c r="P166" i="3"/>
  <c r="M166" i="3"/>
  <c r="N166" i="3" s="1"/>
  <c r="J166" i="3"/>
  <c r="K166" i="3" s="1"/>
  <c r="O166" i="3" s="1"/>
  <c r="S165" i="3"/>
  <c r="P165" i="3"/>
  <c r="N165" i="3"/>
  <c r="M165" i="3"/>
  <c r="K165" i="3"/>
  <c r="O165" i="3" s="1"/>
  <c r="J165" i="3"/>
  <c r="S164" i="3"/>
  <c r="P164" i="3"/>
  <c r="M164" i="3"/>
  <c r="N164" i="3" s="1"/>
  <c r="K164" i="3"/>
  <c r="O164" i="3" s="1"/>
  <c r="J164" i="3"/>
  <c r="S163" i="3"/>
  <c r="P163" i="3"/>
  <c r="M163" i="3"/>
  <c r="N163" i="3" s="1"/>
  <c r="J163" i="3"/>
  <c r="K163" i="3" s="1"/>
  <c r="O163" i="3" s="1"/>
  <c r="S162" i="3"/>
  <c r="P162" i="3"/>
  <c r="N162" i="3"/>
  <c r="M162" i="3"/>
  <c r="J162" i="3"/>
  <c r="K162" i="3" s="1"/>
  <c r="O162" i="3" s="1"/>
  <c r="S161" i="3"/>
  <c r="P161" i="3"/>
  <c r="N161" i="3"/>
  <c r="M161" i="3"/>
  <c r="J161" i="3"/>
  <c r="K161" i="3" s="1"/>
  <c r="S160" i="3"/>
  <c r="P160" i="3"/>
  <c r="M160" i="3"/>
  <c r="N160" i="3" s="1"/>
  <c r="J160" i="3"/>
  <c r="K160" i="3" s="1"/>
  <c r="O160" i="3" s="1"/>
  <c r="S159" i="3"/>
  <c r="P159" i="3"/>
  <c r="N159" i="3"/>
  <c r="M159" i="3"/>
  <c r="J159" i="3"/>
  <c r="K159" i="3" s="1"/>
  <c r="S158" i="3"/>
  <c r="P158" i="3"/>
  <c r="N158" i="3"/>
  <c r="K158" i="3"/>
  <c r="S157" i="3"/>
  <c r="P157" i="3"/>
  <c r="N157" i="3"/>
  <c r="M157" i="3"/>
  <c r="K157" i="3"/>
  <c r="O157" i="3" s="1"/>
  <c r="J157" i="3"/>
  <c r="S156" i="3"/>
  <c r="P156" i="3"/>
  <c r="N156" i="3"/>
  <c r="M156" i="3"/>
  <c r="K156" i="3"/>
  <c r="J156" i="3"/>
  <c r="S155" i="3"/>
  <c r="P155" i="3"/>
  <c r="O155" i="3"/>
  <c r="M155" i="3"/>
  <c r="N155" i="3" s="1"/>
  <c r="J155" i="3"/>
  <c r="K155" i="3" s="1"/>
  <c r="S154" i="3"/>
  <c r="P154" i="3"/>
  <c r="M154" i="3"/>
  <c r="N154" i="3" s="1"/>
  <c r="K154" i="3"/>
  <c r="O154" i="3" s="1"/>
  <c r="J154" i="3"/>
  <c r="S153" i="3"/>
  <c r="P153" i="3"/>
  <c r="N153" i="3"/>
  <c r="M153" i="3"/>
  <c r="J153" i="3"/>
  <c r="K153" i="3" s="1"/>
  <c r="O153" i="3" s="1"/>
  <c r="S152" i="3"/>
  <c r="P152" i="3"/>
  <c r="M152" i="3"/>
  <c r="N152" i="3" s="1"/>
  <c r="J152" i="3"/>
  <c r="K152" i="3" s="1"/>
  <c r="O152" i="3" s="1"/>
  <c r="S151" i="3"/>
  <c r="P151" i="3"/>
  <c r="N151" i="3"/>
  <c r="M151" i="3"/>
  <c r="J151" i="3"/>
  <c r="K151" i="3" s="1"/>
  <c r="S150" i="3"/>
  <c r="P150" i="3"/>
  <c r="M150" i="3"/>
  <c r="N150" i="3" s="1"/>
  <c r="J150" i="3"/>
  <c r="K150" i="3" s="1"/>
  <c r="O150" i="3" s="1"/>
  <c r="S149" i="3"/>
  <c r="P149" i="3"/>
  <c r="M149" i="3"/>
  <c r="N149" i="3" s="1"/>
  <c r="K149" i="3"/>
  <c r="O149" i="3" s="1"/>
  <c r="J149" i="3"/>
  <c r="S148" i="3"/>
  <c r="P148" i="3"/>
  <c r="M148" i="3"/>
  <c r="N148" i="3" s="1"/>
  <c r="J148" i="3"/>
  <c r="K148" i="3" s="1"/>
  <c r="O148" i="3" s="1"/>
  <c r="S147" i="3"/>
  <c r="P147" i="3"/>
  <c r="O147" i="3"/>
  <c r="N147" i="3"/>
  <c r="M147" i="3"/>
  <c r="J147" i="3"/>
  <c r="K147" i="3" s="1"/>
  <c r="S146" i="3"/>
  <c r="P146" i="3"/>
  <c r="M146" i="3"/>
  <c r="N146" i="3" s="1"/>
  <c r="K146" i="3"/>
  <c r="O146" i="3" s="1"/>
  <c r="J146" i="3"/>
  <c r="S145" i="3"/>
  <c r="P145" i="3"/>
  <c r="M145" i="3"/>
  <c r="N145" i="3" s="1"/>
  <c r="J145" i="3"/>
  <c r="K145" i="3" s="1"/>
  <c r="O145" i="3" s="1"/>
  <c r="S144" i="3"/>
  <c r="P144" i="3"/>
  <c r="M144" i="3"/>
  <c r="N144" i="3" s="1"/>
  <c r="J144" i="3"/>
  <c r="K144" i="3" s="1"/>
  <c r="O144" i="3" s="1"/>
  <c r="S143" i="3"/>
  <c r="P143" i="3"/>
  <c r="M143" i="3"/>
  <c r="N143" i="3" s="1"/>
  <c r="K143" i="3"/>
  <c r="J143" i="3"/>
  <c r="S142" i="3"/>
  <c r="P142" i="3"/>
  <c r="N142" i="3"/>
  <c r="M142" i="3"/>
  <c r="K142" i="3"/>
  <c r="O142" i="3" s="1"/>
  <c r="J142" i="3"/>
  <c r="S141" i="3"/>
  <c r="P141" i="3"/>
  <c r="N141" i="3"/>
  <c r="O141" i="3" s="1"/>
  <c r="M141" i="3"/>
  <c r="K141" i="3"/>
  <c r="J141" i="3"/>
  <c r="S140" i="3"/>
  <c r="P140" i="3"/>
  <c r="M140" i="3"/>
  <c r="N140" i="3" s="1"/>
  <c r="K140" i="3"/>
  <c r="O140" i="3" s="1"/>
  <c r="J140" i="3"/>
  <c r="S139" i="3"/>
  <c r="P139" i="3"/>
  <c r="M139" i="3"/>
  <c r="N139" i="3" s="1"/>
  <c r="K139" i="3"/>
  <c r="O139" i="3" s="1"/>
  <c r="J139" i="3"/>
  <c r="S138" i="3"/>
  <c r="P138" i="3"/>
  <c r="M138" i="3"/>
  <c r="N138" i="3" s="1"/>
  <c r="K138" i="3"/>
  <c r="O138" i="3" s="1"/>
  <c r="J138" i="3"/>
  <c r="S137" i="3"/>
  <c r="P137" i="3"/>
  <c r="N137" i="3"/>
  <c r="M137" i="3"/>
  <c r="K137" i="3"/>
  <c r="O137" i="3" s="1"/>
  <c r="J137" i="3"/>
  <c r="S136" i="3"/>
  <c r="P136" i="3"/>
  <c r="N136" i="3"/>
  <c r="K136" i="3"/>
  <c r="O136" i="3" s="1"/>
  <c r="S135" i="3"/>
  <c r="P135" i="3"/>
  <c r="N135" i="3"/>
  <c r="K135" i="3"/>
  <c r="O135" i="3" s="1"/>
  <c r="S134" i="3"/>
  <c r="P134" i="3"/>
  <c r="O134" i="3"/>
  <c r="N134" i="3"/>
  <c r="K134" i="3"/>
  <c r="S133" i="3"/>
  <c r="P133" i="3"/>
  <c r="O133" i="3"/>
  <c r="N133" i="3"/>
  <c r="K133" i="3"/>
  <c r="S132" i="3"/>
  <c r="P132" i="3"/>
  <c r="O132" i="3"/>
  <c r="N132" i="3"/>
  <c r="K132" i="3"/>
  <c r="S131" i="3"/>
  <c r="P131" i="3"/>
  <c r="N131" i="3"/>
  <c r="O131" i="3" s="1"/>
  <c r="K131" i="3"/>
  <c r="S130" i="3"/>
  <c r="P130" i="3"/>
  <c r="N130" i="3"/>
  <c r="K130" i="3"/>
  <c r="O130" i="3" s="1"/>
  <c r="S129" i="3"/>
  <c r="P129" i="3"/>
  <c r="N129" i="3"/>
  <c r="K129" i="3"/>
  <c r="S128" i="3"/>
  <c r="P128" i="3"/>
  <c r="O128" i="3"/>
  <c r="N128" i="3"/>
  <c r="M128" i="3"/>
  <c r="K128" i="3"/>
  <c r="J128" i="3"/>
  <c r="S127" i="3"/>
  <c r="P127" i="3"/>
  <c r="M127" i="3"/>
  <c r="N127" i="3" s="1"/>
  <c r="K127" i="3"/>
  <c r="O127" i="3" s="1"/>
  <c r="J127" i="3"/>
  <c r="S126" i="3"/>
  <c r="P126" i="3"/>
  <c r="M126" i="3"/>
  <c r="N126" i="3" s="1"/>
  <c r="O126" i="3" s="1"/>
  <c r="K126" i="3"/>
  <c r="J126" i="3"/>
  <c r="S125" i="3"/>
  <c r="P125" i="3"/>
  <c r="M125" i="3"/>
  <c r="N125" i="3" s="1"/>
  <c r="O125" i="3" s="1"/>
  <c r="K125" i="3"/>
  <c r="J125" i="3"/>
  <c r="S124" i="3"/>
  <c r="P124" i="3"/>
  <c r="N124" i="3"/>
  <c r="M124" i="3"/>
  <c r="J124" i="3"/>
  <c r="K124" i="3" s="1"/>
  <c r="O124" i="3" s="1"/>
  <c r="S123" i="3"/>
  <c r="P123" i="3"/>
  <c r="M123" i="3"/>
  <c r="N123" i="3" s="1"/>
  <c r="J123" i="3"/>
  <c r="K123" i="3" s="1"/>
  <c r="O123" i="3" s="1"/>
  <c r="S122" i="3"/>
  <c r="P122" i="3"/>
  <c r="N122" i="3"/>
  <c r="M122" i="3"/>
  <c r="J122" i="3"/>
  <c r="K122" i="3" s="1"/>
  <c r="O122" i="3" s="1"/>
  <c r="S121" i="3"/>
  <c r="P121" i="3"/>
  <c r="O121" i="3"/>
  <c r="N121" i="3"/>
  <c r="M121" i="3"/>
  <c r="K121" i="3"/>
  <c r="J121" i="3"/>
  <c r="S120" i="3"/>
  <c r="P120" i="3"/>
  <c r="M120" i="3"/>
  <c r="N120" i="3" s="1"/>
  <c r="O120" i="3" s="1"/>
  <c r="J120" i="3"/>
  <c r="K120" i="3" s="1"/>
  <c r="S119" i="3"/>
  <c r="P119" i="3"/>
  <c r="M119" i="3"/>
  <c r="N119" i="3" s="1"/>
  <c r="J119" i="3"/>
  <c r="K119" i="3" s="1"/>
  <c r="O119" i="3" s="1"/>
  <c r="S118" i="3"/>
  <c r="P118" i="3"/>
  <c r="N118" i="3"/>
  <c r="O118" i="3" s="1"/>
  <c r="M118" i="3"/>
  <c r="J118" i="3"/>
  <c r="K118" i="3" s="1"/>
  <c r="S117" i="3"/>
  <c r="P117" i="3"/>
  <c r="M117" i="3"/>
  <c r="N117" i="3" s="1"/>
  <c r="J117" i="3"/>
  <c r="K117" i="3" s="1"/>
  <c r="O117" i="3" s="1"/>
  <c r="S116" i="3"/>
  <c r="P116" i="3"/>
  <c r="M116" i="3"/>
  <c r="N116" i="3" s="1"/>
  <c r="J116" i="3"/>
  <c r="K116" i="3" s="1"/>
  <c r="O116" i="3" s="1"/>
  <c r="S115" i="3"/>
  <c r="P115" i="3"/>
  <c r="N115" i="3"/>
  <c r="M115" i="3"/>
  <c r="J115" i="3"/>
  <c r="K115" i="3" s="1"/>
  <c r="O115" i="3" s="1"/>
  <c r="S114" i="3"/>
  <c r="P114" i="3"/>
  <c r="N114" i="3"/>
  <c r="O114" i="3" s="1"/>
  <c r="M114" i="3"/>
  <c r="K114" i="3"/>
  <c r="J114" i="3"/>
  <c r="S113" i="3"/>
  <c r="P113" i="3"/>
  <c r="N113" i="3"/>
  <c r="O113" i="3" s="1"/>
  <c r="K113" i="3"/>
  <c r="S112" i="3"/>
  <c r="P112" i="3"/>
  <c r="M112" i="3"/>
  <c r="N112" i="3" s="1"/>
  <c r="O112" i="3" s="1"/>
  <c r="J112" i="3"/>
  <c r="K112" i="3" s="1"/>
  <c r="S111" i="3"/>
  <c r="P111" i="3"/>
  <c r="M111" i="3"/>
  <c r="N111" i="3" s="1"/>
  <c r="J111" i="3"/>
  <c r="K111" i="3" s="1"/>
  <c r="O111" i="3" s="1"/>
  <c r="S110" i="3"/>
  <c r="P110" i="3"/>
  <c r="M110" i="3"/>
  <c r="N110" i="3" s="1"/>
  <c r="J110" i="3"/>
  <c r="K110" i="3" s="1"/>
  <c r="O110" i="3" s="1"/>
  <c r="S109" i="3"/>
  <c r="P109" i="3"/>
  <c r="M109" i="3"/>
  <c r="N109" i="3" s="1"/>
  <c r="K109" i="3"/>
  <c r="O109" i="3" s="1"/>
  <c r="J109" i="3"/>
  <c r="S108" i="3"/>
  <c r="P108" i="3"/>
  <c r="N108" i="3"/>
  <c r="K108" i="3"/>
  <c r="O108" i="3" s="1"/>
  <c r="S107" i="3"/>
  <c r="P107" i="3"/>
  <c r="M107" i="3"/>
  <c r="N107" i="3" s="1"/>
  <c r="J107" i="3"/>
  <c r="K107" i="3" s="1"/>
  <c r="S106" i="3"/>
  <c r="P106" i="3"/>
  <c r="N106" i="3"/>
  <c r="M106" i="3"/>
  <c r="K106" i="3"/>
  <c r="O106" i="3" s="1"/>
  <c r="J106" i="3"/>
  <c r="S105" i="3"/>
  <c r="P105" i="3"/>
  <c r="M105" i="3"/>
  <c r="N105" i="3" s="1"/>
  <c r="J105" i="3"/>
  <c r="K105" i="3" s="1"/>
  <c r="O105" i="3" s="1"/>
  <c r="S104" i="3"/>
  <c r="P104" i="3"/>
  <c r="N104" i="3"/>
  <c r="O104" i="3" s="1"/>
  <c r="K104" i="3"/>
  <c r="S103" i="3"/>
  <c r="P103" i="3"/>
  <c r="O103" i="3"/>
  <c r="N103" i="3"/>
  <c r="M103" i="3"/>
  <c r="J103" i="3"/>
  <c r="K103" i="3" s="1"/>
  <c r="S102" i="3"/>
  <c r="P102" i="3"/>
  <c r="N102" i="3"/>
  <c r="M102" i="3"/>
  <c r="J102" i="3"/>
  <c r="K102" i="3" s="1"/>
  <c r="O102" i="3" s="1"/>
  <c r="S101" i="3"/>
  <c r="P101" i="3"/>
  <c r="M101" i="3"/>
  <c r="N101" i="3" s="1"/>
  <c r="J101" i="3"/>
  <c r="K101" i="3" s="1"/>
  <c r="O101" i="3" s="1"/>
  <c r="S100" i="3"/>
  <c r="P100" i="3"/>
  <c r="M100" i="3"/>
  <c r="N100" i="3" s="1"/>
  <c r="J100" i="3"/>
  <c r="K100" i="3" s="1"/>
  <c r="O100" i="3" s="1"/>
  <c r="S99" i="3"/>
  <c r="P99" i="3"/>
  <c r="N99" i="3"/>
  <c r="K99" i="3"/>
  <c r="O99" i="3" s="1"/>
  <c r="S98" i="3"/>
  <c r="P98" i="3"/>
  <c r="N98" i="3"/>
  <c r="M98" i="3"/>
  <c r="J98" i="3"/>
  <c r="K98" i="3" s="1"/>
  <c r="S97" i="3"/>
  <c r="P97" i="3"/>
  <c r="M97" i="3"/>
  <c r="N97" i="3" s="1"/>
  <c r="J97" i="3"/>
  <c r="K97" i="3" s="1"/>
  <c r="O97" i="3" s="1"/>
  <c r="S96" i="3"/>
  <c r="P96" i="3"/>
  <c r="M96" i="3"/>
  <c r="N96" i="3" s="1"/>
  <c r="J96" i="3"/>
  <c r="K96" i="3" s="1"/>
  <c r="O96" i="3" s="1"/>
  <c r="S95" i="3"/>
  <c r="P95" i="3"/>
  <c r="M95" i="3"/>
  <c r="N95" i="3" s="1"/>
  <c r="J95" i="3"/>
  <c r="K95" i="3" s="1"/>
  <c r="O95" i="3" s="1"/>
  <c r="S94" i="3"/>
  <c r="P94" i="3"/>
  <c r="M94" i="3"/>
  <c r="N94" i="3" s="1"/>
  <c r="O94" i="3" s="1"/>
  <c r="K94" i="3"/>
  <c r="J94" i="3"/>
  <c r="S93" i="3"/>
  <c r="P93" i="3"/>
  <c r="N93" i="3"/>
  <c r="O93" i="3" s="1"/>
  <c r="M93" i="3"/>
  <c r="K93" i="3"/>
  <c r="J93" i="3"/>
  <c r="S92" i="3"/>
  <c r="P92" i="3"/>
  <c r="M92" i="3"/>
  <c r="N92" i="3" s="1"/>
  <c r="K92" i="3"/>
  <c r="O92" i="3" s="1"/>
  <c r="J92" i="3"/>
  <c r="S91" i="3"/>
  <c r="P91" i="3"/>
  <c r="M91" i="3"/>
  <c r="N91" i="3" s="1"/>
  <c r="J91" i="3"/>
  <c r="K91" i="3" s="1"/>
  <c r="O91" i="3" s="1"/>
  <c r="S90" i="3"/>
  <c r="P90" i="3"/>
  <c r="O90" i="3"/>
  <c r="N90" i="3"/>
  <c r="K90" i="3"/>
  <c r="S89" i="3"/>
  <c r="P89" i="3"/>
  <c r="N89" i="3"/>
  <c r="K89" i="3"/>
  <c r="S88" i="3"/>
  <c r="P88" i="3"/>
  <c r="N88" i="3"/>
  <c r="K88" i="3"/>
  <c r="O88" i="3" s="1"/>
  <c r="S87" i="3"/>
  <c r="P87" i="3"/>
  <c r="N87" i="3"/>
  <c r="K87" i="3"/>
  <c r="O87" i="3" s="1"/>
  <c r="S86" i="3"/>
  <c r="P86" i="3"/>
  <c r="M86" i="3"/>
  <c r="N86" i="3" s="1"/>
  <c r="K86" i="3"/>
  <c r="O86" i="3" s="1"/>
  <c r="J86" i="3"/>
  <c r="S85" i="3"/>
  <c r="P85" i="3"/>
  <c r="N85" i="3"/>
  <c r="M85" i="3"/>
  <c r="J85" i="3"/>
  <c r="K85" i="3" s="1"/>
  <c r="O85" i="3" s="1"/>
  <c r="S84" i="3"/>
  <c r="P84" i="3"/>
  <c r="O84" i="3"/>
  <c r="N84" i="3"/>
  <c r="K84" i="3"/>
  <c r="S83" i="3"/>
  <c r="P83" i="3"/>
  <c r="N83" i="3"/>
  <c r="K83" i="3"/>
  <c r="O83" i="3" s="1"/>
  <c r="S82" i="3"/>
  <c r="J630" i="2" s="1"/>
  <c r="P82" i="3"/>
  <c r="N82" i="3"/>
  <c r="O82" i="3" s="1"/>
  <c r="K82" i="3"/>
  <c r="S81" i="3"/>
  <c r="P81" i="3"/>
  <c r="N81" i="3"/>
  <c r="M81" i="3"/>
  <c r="K81" i="3"/>
  <c r="O81" i="3" s="1"/>
  <c r="J81" i="3"/>
  <c r="S80" i="3"/>
  <c r="P80" i="3"/>
  <c r="M80" i="3"/>
  <c r="N80" i="3" s="1"/>
  <c r="J80" i="3"/>
  <c r="K80" i="3" s="1"/>
  <c r="S79" i="3"/>
  <c r="P79" i="3"/>
  <c r="N79" i="3"/>
  <c r="M79" i="3"/>
  <c r="K79" i="3"/>
  <c r="O79" i="3" s="1"/>
  <c r="J79" i="3"/>
  <c r="S78" i="3"/>
  <c r="P78" i="3"/>
  <c r="N78" i="3"/>
  <c r="O78" i="3" s="1"/>
  <c r="M78" i="3"/>
  <c r="K78" i="3"/>
  <c r="J78" i="3"/>
  <c r="S77" i="3"/>
  <c r="P77" i="3"/>
  <c r="M77" i="3"/>
  <c r="N77" i="3" s="1"/>
  <c r="J77" i="3"/>
  <c r="K77" i="3" s="1"/>
  <c r="O77" i="3" s="1"/>
  <c r="S76" i="3"/>
  <c r="P76" i="3"/>
  <c r="M76" i="3"/>
  <c r="N76" i="3" s="1"/>
  <c r="O76" i="3" s="1"/>
  <c r="K76" i="3"/>
  <c r="J76" i="3"/>
  <c r="S75" i="3"/>
  <c r="P75" i="3"/>
  <c r="M75" i="3"/>
  <c r="N75" i="3" s="1"/>
  <c r="J75" i="3"/>
  <c r="K75" i="3" s="1"/>
  <c r="O75" i="3" s="1"/>
  <c r="S74" i="3"/>
  <c r="P74" i="3"/>
  <c r="N74" i="3"/>
  <c r="O74" i="3" s="1"/>
  <c r="M74" i="3"/>
  <c r="J74" i="3"/>
  <c r="K74" i="3" s="1"/>
  <c r="S73" i="3"/>
  <c r="P73" i="3"/>
  <c r="M73" i="3"/>
  <c r="N73" i="3" s="1"/>
  <c r="J73" i="3"/>
  <c r="K73" i="3" s="1"/>
  <c r="O73" i="3" s="1"/>
  <c r="S72" i="3"/>
  <c r="P72" i="3"/>
  <c r="O72" i="3"/>
  <c r="M72" i="3"/>
  <c r="N72" i="3" s="1"/>
  <c r="J72" i="3"/>
  <c r="K72" i="3" s="1"/>
  <c r="S71" i="3"/>
  <c r="P71" i="3"/>
  <c r="M71" i="3"/>
  <c r="N71" i="3" s="1"/>
  <c r="J71" i="3"/>
  <c r="K71" i="3" s="1"/>
  <c r="O71" i="3" s="1"/>
  <c r="S70" i="3"/>
  <c r="P70" i="3"/>
  <c r="M70" i="3"/>
  <c r="N70" i="3" s="1"/>
  <c r="O70" i="3" s="1"/>
  <c r="K70" i="3"/>
  <c r="J70" i="3"/>
  <c r="S69" i="3"/>
  <c r="P69" i="3"/>
  <c r="O69" i="3"/>
  <c r="N69" i="3"/>
  <c r="M69" i="3"/>
  <c r="K69" i="3"/>
  <c r="J69" i="3"/>
  <c r="S68" i="3"/>
  <c r="P68" i="3"/>
  <c r="M68" i="3"/>
  <c r="N68" i="3" s="1"/>
  <c r="J68" i="3"/>
  <c r="K68" i="3" s="1"/>
  <c r="O68" i="3" s="1"/>
  <c r="S67" i="3"/>
  <c r="P67" i="3"/>
  <c r="N67" i="3"/>
  <c r="M67" i="3"/>
  <c r="J67" i="3"/>
  <c r="K67" i="3" s="1"/>
  <c r="O67" i="3" s="1"/>
  <c r="S66" i="3"/>
  <c r="P66" i="3"/>
  <c r="M66" i="3"/>
  <c r="N66" i="3" s="1"/>
  <c r="J66" i="3"/>
  <c r="K66" i="3" s="1"/>
  <c r="O66" i="3" s="1"/>
  <c r="S65" i="3"/>
  <c r="P65" i="3"/>
  <c r="N65" i="3"/>
  <c r="M65" i="3"/>
  <c r="K65" i="3"/>
  <c r="O65" i="3" s="1"/>
  <c r="J65" i="3"/>
  <c r="S64" i="3"/>
  <c r="P64" i="3"/>
  <c r="M64" i="3"/>
  <c r="N64" i="3" s="1"/>
  <c r="J64" i="3"/>
  <c r="K64" i="3" s="1"/>
  <c r="S63" i="3"/>
  <c r="P63" i="3"/>
  <c r="O63" i="3"/>
  <c r="N63" i="3"/>
  <c r="K63" i="3"/>
  <c r="S62" i="3"/>
  <c r="P62" i="3"/>
  <c r="M62" i="3"/>
  <c r="N62" i="3" s="1"/>
  <c r="J62" i="3"/>
  <c r="K62" i="3" s="1"/>
  <c r="O62" i="3" s="1"/>
  <c r="S61" i="3"/>
  <c r="P61" i="3"/>
  <c r="N61" i="3"/>
  <c r="K61" i="3"/>
  <c r="O61" i="3" s="1"/>
  <c r="S60" i="3"/>
  <c r="P60" i="3"/>
  <c r="N60" i="3"/>
  <c r="K60" i="3"/>
  <c r="O60" i="3" s="1"/>
  <c r="S59" i="3"/>
  <c r="P59" i="3"/>
  <c r="N59" i="3"/>
  <c r="K59" i="3"/>
  <c r="S58" i="3"/>
  <c r="P58" i="3"/>
  <c r="M58" i="3"/>
  <c r="N58" i="3" s="1"/>
  <c r="O58" i="3" s="1"/>
  <c r="K58" i="3"/>
  <c r="J58" i="3"/>
  <c r="S57" i="3"/>
  <c r="P57" i="3"/>
  <c r="M57" i="3"/>
  <c r="N57" i="3" s="1"/>
  <c r="J57" i="3"/>
  <c r="K57" i="3" s="1"/>
  <c r="O57" i="3" s="1"/>
  <c r="S56" i="3"/>
  <c r="P56" i="3"/>
  <c r="N56" i="3"/>
  <c r="K56" i="3"/>
  <c r="O56" i="3" s="1"/>
  <c r="S55" i="3"/>
  <c r="P55" i="3"/>
  <c r="N55" i="3"/>
  <c r="K55" i="3"/>
  <c r="S54" i="3"/>
  <c r="P54" i="3"/>
  <c r="O54" i="3"/>
  <c r="N54" i="3"/>
  <c r="K54" i="3"/>
  <c r="S53" i="3"/>
  <c r="P53" i="3"/>
  <c r="O53" i="3"/>
  <c r="N53" i="3"/>
  <c r="K53" i="3"/>
  <c r="S52" i="3"/>
  <c r="P52" i="3"/>
  <c r="N52" i="3"/>
  <c r="K52" i="3"/>
  <c r="O52" i="3" s="1"/>
  <c r="S51" i="3"/>
  <c r="P51" i="3"/>
  <c r="N51" i="3"/>
  <c r="K51" i="3"/>
  <c r="O51" i="3" s="1"/>
  <c r="S50" i="3"/>
  <c r="P50" i="3"/>
  <c r="O50" i="3"/>
  <c r="N50" i="3"/>
  <c r="K50" i="3"/>
  <c r="S49" i="3"/>
  <c r="P49" i="3"/>
  <c r="O49" i="3"/>
  <c r="N49" i="3"/>
  <c r="K49" i="3"/>
  <c r="S48" i="3"/>
  <c r="P48" i="3"/>
  <c r="O48" i="3"/>
  <c r="N48" i="3"/>
  <c r="M48" i="3"/>
  <c r="J48" i="3"/>
  <c r="K48" i="3" s="1"/>
  <c r="S47" i="3"/>
  <c r="P47" i="3"/>
  <c r="M47" i="3"/>
  <c r="N47" i="3" s="1"/>
  <c r="J47" i="3"/>
  <c r="K47" i="3" s="1"/>
  <c r="O47" i="3" s="1"/>
  <c r="S46" i="3"/>
  <c r="P46" i="3"/>
  <c r="M46" i="3"/>
  <c r="N46" i="3" s="1"/>
  <c r="O46" i="3" s="1"/>
  <c r="K46" i="3"/>
  <c r="J46" i="3"/>
  <c r="S45" i="3"/>
  <c r="P45" i="3"/>
  <c r="M45" i="3"/>
  <c r="N45" i="3" s="1"/>
  <c r="O45" i="3" s="1"/>
  <c r="K45" i="3"/>
  <c r="J45" i="3"/>
  <c r="S44" i="3"/>
  <c r="P44" i="3"/>
  <c r="N44" i="3"/>
  <c r="K44" i="3"/>
  <c r="O44" i="3" s="1"/>
  <c r="S43" i="3"/>
  <c r="P43" i="3"/>
  <c r="N43" i="3"/>
  <c r="K43" i="3"/>
  <c r="O43" i="3" s="1"/>
  <c r="S42" i="3"/>
  <c r="P42" i="3"/>
  <c r="O42" i="3"/>
  <c r="N42" i="3"/>
  <c r="K42" i="3"/>
  <c r="S41" i="3"/>
  <c r="P41" i="3"/>
  <c r="N41" i="3"/>
  <c r="K41" i="3"/>
  <c r="O41" i="3" s="1"/>
  <c r="S40" i="3"/>
  <c r="P40" i="3"/>
  <c r="N40" i="3"/>
  <c r="O40" i="3" s="1"/>
  <c r="K40" i="3"/>
  <c r="S39" i="3"/>
  <c r="P39" i="3"/>
  <c r="N39" i="3"/>
  <c r="K39" i="3"/>
  <c r="O39" i="3" s="1"/>
  <c r="S38" i="3"/>
  <c r="P38" i="3"/>
  <c r="N38" i="3"/>
  <c r="K38" i="3"/>
  <c r="O38" i="3" s="1"/>
  <c r="S37" i="3"/>
  <c r="P37" i="3"/>
  <c r="O37" i="3"/>
  <c r="N37" i="3"/>
  <c r="K37" i="3"/>
  <c r="S36" i="3"/>
  <c r="P36" i="3"/>
  <c r="O36" i="3"/>
  <c r="N36" i="3"/>
  <c r="K36" i="3"/>
  <c r="S35" i="3"/>
  <c r="P35" i="3"/>
  <c r="O35" i="3"/>
  <c r="N35" i="3"/>
  <c r="M35" i="3"/>
  <c r="K35" i="3"/>
  <c r="J35" i="3"/>
  <c r="S34" i="3"/>
  <c r="P34" i="3"/>
  <c r="N34" i="3"/>
  <c r="K34" i="3"/>
  <c r="S33" i="3"/>
  <c r="P33" i="3"/>
  <c r="M33" i="3"/>
  <c r="N33" i="3" s="1"/>
  <c r="K33" i="3"/>
  <c r="O33" i="3" s="1"/>
  <c r="J33" i="3"/>
  <c r="S32" i="3"/>
  <c r="I492" i="2" s="1"/>
  <c r="P32" i="3"/>
  <c r="N32" i="3"/>
  <c r="K32" i="3"/>
  <c r="O32" i="3" s="1"/>
  <c r="J231" i="2" s="1"/>
  <c r="S31" i="3"/>
  <c r="P31" i="3"/>
  <c r="O31" i="3"/>
  <c r="N31" i="3"/>
  <c r="K31" i="3"/>
  <c r="S30" i="3"/>
  <c r="P30" i="3"/>
  <c r="N30" i="3"/>
  <c r="K30" i="3"/>
  <c r="S29" i="3"/>
  <c r="P29" i="3"/>
  <c r="O29" i="3"/>
  <c r="N29" i="3"/>
  <c r="K29" i="3"/>
  <c r="S28" i="3"/>
  <c r="P28" i="3"/>
  <c r="N28" i="3"/>
  <c r="K28" i="3"/>
  <c r="O28" i="3" s="1"/>
  <c r="S27" i="3"/>
  <c r="M20" i="5" s="1"/>
  <c r="P27" i="3"/>
  <c r="N27" i="3"/>
  <c r="K27" i="3"/>
  <c r="O27" i="3" s="1"/>
  <c r="J69" i="2" s="1"/>
  <c r="S26" i="3"/>
  <c r="P26" i="3"/>
  <c r="O26" i="3"/>
  <c r="N26" i="3"/>
  <c r="K26" i="3"/>
  <c r="S25" i="3"/>
  <c r="P25" i="3"/>
  <c r="O25" i="3"/>
  <c r="N25" i="3"/>
  <c r="K25" i="3"/>
  <c r="S24" i="3"/>
  <c r="P24" i="3"/>
  <c r="M24" i="3"/>
  <c r="N24" i="3" s="1"/>
  <c r="J24" i="3"/>
  <c r="K24" i="3" s="1"/>
  <c r="O24" i="3" s="1"/>
  <c r="S23" i="3"/>
  <c r="P23" i="3"/>
  <c r="M23" i="3"/>
  <c r="N23" i="3" s="1"/>
  <c r="J23" i="3"/>
  <c r="K23" i="3" s="1"/>
  <c r="O23" i="3" s="1"/>
  <c r="S22" i="3"/>
  <c r="P22" i="3"/>
  <c r="N22" i="3"/>
  <c r="O22" i="3" s="1"/>
  <c r="K22" i="3"/>
  <c r="S21" i="3"/>
  <c r="P21" i="3"/>
  <c r="N21" i="3"/>
  <c r="K21" i="3"/>
  <c r="S20" i="3"/>
  <c r="P20" i="3"/>
  <c r="M20" i="3"/>
  <c r="N20" i="3" s="1"/>
  <c r="K20" i="3"/>
  <c r="O20" i="3" s="1"/>
  <c r="J20" i="3"/>
  <c r="S19" i="3"/>
  <c r="P19" i="3"/>
  <c r="M19" i="3"/>
  <c r="N19" i="3" s="1"/>
  <c r="J19" i="3"/>
  <c r="K19" i="3" s="1"/>
  <c r="O19" i="3" s="1"/>
  <c r="J19" i="2" s="1"/>
  <c r="S18" i="3"/>
  <c r="P18" i="3"/>
  <c r="O18" i="3"/>
  <c r="N18" i="3"/>
  <c r="M18" i="3"/>
  <c r="K18" i="3"/>
  <c r="J18" i="3"/>
  <c r="S17" i="3"/>
  <c r="P17" i="3"/>
  <c r="O17" i="3"/>
  <c r="M17" i="3"/>
  <c r="N17" i="3" s="1"/>
  <c r="K17" i="3"/>
  <c r="J17" i="3"/>
  <c r="S16" i="3"/>
  <c r="P16" i="3"/>
  <c r="M16" i="3"/>
  <c r="N16" i="3" s="1"/>
  <c r="J16" i="3"/>
  <c r="K16" i="3" s="1"/>
  <c r="O16" i="3" s="1"/>
  <c r="S15" i="3"/>
  <c r="P15" i="3"/>
  <c r="N15" i="3"/>
  <c r="M15" i="3"/>
  <c r="J15" i="3"/>
  <c r="K15" i="3" s="1"/>
  <c r="O15" i="3" s="1"/>
  <c r="S14" i="3"/>
  <c r="P14" i="3"/>
  <c r="N14" i="3"/>
  <c r="M14" i="3"/>
  <c r="K14" i="3"/>
  <c r="O14" i="3" s="1"/>
  <c r="J14" i="3"/>
  <c r="S13" i="3"/>
  <c r="P13" i="3"/>
  <c r="M13" i="3"/>
  <c r="N13" i="3" s="1"/>
  <c r="J13" i="3"/>
  <c r="K13" i="3" s="1"/>
  <c r="S12" i="3"/>
  <c r="P12" i="3"/>
  <c r="M12" i="3"/>
  <c r="N12" i="3" s="1"/>
  <c r="J12" i="3"/>
  <c r="K12" i="3" s="1"/>
  <c r="O12" i="3" s="1"/>
  <c r="S11" i="3"/>
  <c r="P11" i="3"/>
  <c r="M11" i="3"/>
  <c r="N11" i="3" s="1"/>
  <c r="K11" i="3"/>
  <c r="J11" i="3"/>
  <c r="S10" i="3"/>
  <c r="P10" i="3"/>
  <c r="O10" i="3"/>
  <c r="M10" i="3"/>
  <c r="N10" i="3" s="1"/>
  <c r="K10" i="3"/>
  <c r="J10" i="3"/>
  <c r="S9" i="3"/>
  <c r="P9" i="3"/>
  <c r="N9" i="3"/>
  <c r="M9" i="3"/>
  <c r="J9" i="3"/>
  <c r="K9" i="3" s="1"/>
  <c r="S8" i="3"/>
  <c r="P8" i="3"/>
  <c r="M8" i="3"/>
  <c r="N8" i="3" s="1"/>
  <c r="J8" i="3"/>
  <c r="K8" i="3" s="1"/>
  <c r="O8" i="3" s="1"/>
  <c r="S7" i="3"/>
  <c r="P196" i="5" s="1"/>
  <c r="P7" i="3"/>
  <c r="N7" i="3"/>
  <c r="M7" i="3"/>
  <c r="K7" i="3"/>
  <c r="O7" i="3" s="1"/>
  <c r="J7" i="3"/>
  <c r="S6" i="3"/>
  <c r="P6" i="3"/>
  <c r="O6" i="3"/>
  <c r="N6" i="3"/>
  <c r="M6" i="3"/>
  <c r="J6" i="3"/>
  <c r="K6" i="3" s="1"/>
  <c r="J785" i="2"/>
  <c r="I764" i="2"/>
  <c r="J679" i="2"/>
  <c r="I595" i="2"/>
  <c r="I452" i="2"/>
  <c r="I396" i="2"/>
  <c r="I394" i="2"/>
  <c r="J386" i="2"/>
  <c r="I384" i="2"/>
  <c r="I381" i="2"/>
  <c r="J367" i="2"/>
  <c r="I367" i="2"/>
  <c r="J365" i="2"/>
  <c r="J360" i="2"/>
  <c r="I360" i="2"/>
  <c r="J353" i="2"/>
  <c r="I350" i="2"/>
  <c r="J349" i="2"/>
  <c r="I349" i="2"/>
  <c r="I336" i="2"/>
  <c r="J335" i="2"/>
  <c r="I335" i="2"/>
  <c r="I334" i="2"/>
  <c r="J333" i="2"/>
  <c r="I322" i="2"/>
  <c r="J321" i="2"/>
  <c r="I321" i="2"/>
  <c r="I307" i="2"/>
  <c r="J306" i="2"/>
  <c r="I306" i="2"/>
  <c r="I302" i="2"/>
  <c r="I300" i="2"/>
  <c r="I299" i="2"/>
  <c r="I298" i="2"/>
  <c r="J285" i="2"/>
  <c r="J284" i="2"/>
  <c r="I284" i="2"/>
  <c r="I283" i="2"/>
  <c r="I254" i="2"/>
  <c r="J247" i="2"/>
  <c r="I247" i="2"/>
  <c r="I233" i="2"/>
  <c r="J232" i="2"/>
  <c r="I231" i="2"/>
  <c r="J225" i="2"/>
  <c r="J224" i="2"/>
  <c r="I224" i="2"/>
  <c r="I219" i="2"/>
  <c r="I204" i="2"/>
  <c r="I201" i="2"/>
  <c r="J200" i="2"/>
  <c r="I186" i="2"/>
  <c r="J184" i="2"/>
  <c r="I184" i="2"/>
  <c r="J183" i="2"/>
  <c r="J172" i="2"/>
  <c r="J155" i="2"/>
  <c r="I148" i="2"/>
  <c r="I141" i="2"/>
  <c r="J140" i="2"/>
  <c r="I135" i="2"/>
  <c r="J134" i="2"/>
  <c r="I116" i="2"/>
  <c r="J115" i="2"/>
  <c r="I115" i="2"/>
  <c r="I114" i="2"/>
  <c r="I107" i="2"/>
  <c r="I94" i="2"/>
  <c r="J93" i="2"/>
  <c r="I93" i="2"/>
  <c r="I91" i="2"/>
  <c r="I90" i="2"/>
  <c r="I69" i="2"/>
  <c r="J68" i="2"/>
  <c r="I65" i="2"/>
  <c r="J63" i="2"/>
  <c r="I63" i="2"/>
  <c r="I52" i="2"/>
  <c r="J51" i="2"/>
  <c r="I51" i="2"/>
  <c r="J50" i="2"/>
  <c r="I28" i="2"/>
  <c r="J27" i="2"/>
  <c r="I27" i="2"/>
  <c r="J26" i="2"/>
  <c r="J20" i="2"/>
  <c r="I20" i="2"/>
  <c r="I19" i="2"/>
  <c r="I18" i="2"/>
  <c r="J17" i="2"/>
  <c r="I13" i="2"/>
  <c r="J8" i="2"/>
  <c r="I8" i="2"/>
  <c r="J7" i="2"/>
  <c r="I7" i="2"/>
  <c r="I6" i="2"/>
  <c r="O11" i="3" l="1"/>
  <c r="J116" i="2"/>
  <c r="J141" i="2"/>
  <c r="J283" i="2"/>
  <c r="J91" i="2"/>
  <c r="J383" i="2"/>
  <c r="J299" i="2"/>
  <c r="I285" i="2"/>
  <c r="I395" i="2"/>
  <c r="I455" i="2"/>
  <c r="J529" i="2"/>
  <c r="J611" i="2"/>
  <c r="I687" i="2"/>
  <c r="I773" i="2"/>
  <c r="O64" i="3"/>
  <c r="L43" i="5"/>
  <c r="I612" i="2"/>
  <c r="I197" i="2"/>
  <c r="J396" i="2"/>
  <c r="J456" i="2"/>
  <c r="J541" i="2"/>
  <c r="I698" i="2"/>
  <c r="I776" i="2"/>
  <c r="O143" i="3"/>
  <c r="O206" i="3"/>
  <c r="O267" i="3"/>
  <c r="L20" i="5"/>
  <c r="N20" i="5" s="1"/>
  <c r="L40" i="5"/>
  <c r="J687" i="2"/>
  <c r="J103" i="2"/>
  <c r="J197" i="2"/>
  <c r="I405" i="2"/>
  <c r="L17" i="5"/>
  <c r="P17" i="5"/>
  <c r="J455" i="2"/>
  <c r="I541" i="2"/>
  <c r="J775" i="2"/>
  <c r="J58" i="2"/>
  <c r="J147" i="2"/>
  <c r="I245" i="2"/>
  <c r="I104" i="2"/>
  <c r="J245" i="2"/>
  <c r="J470" i="2"/>
  <c r="I542" i="2"/>
  <c r="J616" i="2"/>
  <c r="I777" i="2"/>
  <c r="J429" i="2"/>
  <c r="I286" i="2"/>
  <c r="J161" i="2"/>
  <c r="J52" i="2"/>
  <c r="J336" i="2"/>
  <c r="I238" i="2"/>
  <c r="J186" i="2"/>
  <c r="J75" i="2"/>
  <c r="I397" i="2"/>
  <c r="J260" i="2"/>
  <c r="J314" i="2"/>
  <c r="J211" i="2"/>
  <c r="J94" i="2"/>
  <c r="I728" i="2"/>
  <c r="J655" i="2"/>
  <c r="J579" i="2"/>
  <c r="J511" i="2"/>
  <c r="I808" i="2"/>
  <c r="I692" i="2"/>
  <c r="J619" i="2"/>
  <c r="J547" i="2"/>
  <c r="J479" i="2"/>
  <c r="I769" i="2"/>
  <c r="J148" i="2"/>
  <c r="I198" i="2"/>
  <c r="J246" i="2"/>
  <c r="I411" i="2"/>
  <c r="J471" i="2"/>
  <c r="J546" i="2"/>
  <c r="I622" i="2"/>
  <c r="I699" i="2"/>
  <c r="O426" i="3"/>
  <c r="M17" i="5"/>
  <c r="I64" i="2"/>
  <c r="I106" i="2"/>
  <c r="I154" i="2"/>
  <c r="J198" i="2"/>
  <c r="I352" i="2"/>
  <c r="I477" i="2"/>
  <c r="I547" i="2"/>
  <c r="I623" i="2"/>
  <c r="I703" i="2"/>
  <c r="I786" i="2"/>
  <c r="J64" i="2"/>
  <c r="J106" i="2"/>
  <c r="I155" i="2"/>
  <c r="I301" i="2"/>
  <c r="I353" i="2"/>
  <c r="I412" i="2"/>
  <c r="I478" i="2"/>
  <c r="I555" i="2"/>
  <c r="J629" i="2"/>
  <c r="I799" i="2"/>
  <c r="L34" i="5"/>
  <c r="J799" i="2"/>
  <c r="I113" i="2"/>
  <c r="J157" i="2"/>
  <c r="I256" i="2"/>
  <c r="J415" i="2"/>
  <c r="J485" i="2"/>
  <c r="I557" i="2"/>
  <c r="I631" i="2"/>
  <c r="I722" i="2"/>
  <c r="I800" i="2"/>
  <c r="P78" i="5"/>
  <c r="J258" i="2"/>
  <c r="L253" i="5"/>
  <c r="J493" i="2"/>
  <c r="I70" i="2"/>
  <c r="P96" i="5"/>
  <c r="I479" i="2"/>
  <c r="J486" i="2"/>
  <c r="O232" i="3"/>
  <c r="J419" i="2"/>
  <c r="J307" i="2"/>
  <c r="I31" i="2"/>
  <c r="J313" i="2"/>
  <c r="I660" i="2"/>
  <c r="I765" i="2"/>
  <c r="I704" i="2"/>
  <c r="J557" i="2"/>
  <c r="J361" i="2"/>
  <c r="I460" i="2"/>
  <c r="I210" i="2"/>
  <c r="J651" i="2"/>
  <c r="J210" i="2"/>
  <c r="I493" i="2"/>
  <c r="I575" i="2"/>
  <c r="J39" i="2"/>
  <c r="J421" i="2"/>
  <c r="J223" i="2"/>
  <c r="I436" i="2"/>
  <c r="I510" i="2"/>
  <c r="I579" i="2"/>
  <c r="J660" i="2"/>
  <c r="J744" i="2"/>
  <c r="M111" i="5"/>
  <c r="O291" i="3"/>
  <c r="I453" i="2"/>
  <c r="J631" i="2"/>
  <c r="I257" i="2"/>
  <c r="I807" i="2"/>
  <c r="J558" i="2"/>
  <c r="J160" i="2"/>
  <c r="I574" i="2"/>
  <c r="I71" i="2"/>
  <c r="I421" i="2"/>
  <c r="I271" i="2"/>
  <c r="J743" i="2"/>
  <c r="J271" i="2"/>
  <c r="I744" i="2"/>
  <c r="J40" i="2"/>
  <c r="J328" i="2"/>
  <c r="J436" i="2"/>
  <c r="J510" i="2"/>
  <c r="I661" i="2"/>
  <c r="I745" i="2"/>
  <c r="N99" i="4"/>
  <c r="H175" i="4" s="1"/>
  <c r="P76" i="5"/>
  <c r="P93" i="5"/>
  <c r="I529" i="2"/>
  <c r="J159" i="2"/>
  <c r="J643" i="2"/>
  <c r="J28" i="2"/>
  <c r="J492" i="2"/>
  <c r="I30" i="2"/>
  <c r="I161" i="2"/>
  <c r="I743" i="2"/>
  <c r="P89" i="5"/>
  <c r="I128" i="2"/>
  <c r="J578" i="2"/>
  <c r="J82" i="2"/>
  <c r="I273" i="2"/>
  <c r="I83" i="2"/>
  <c r="J273" i="2"/>
  <c r="I43" i="2"/>
  <c r="J83" i="2"/>
  <c r="J174" i="2"/>
  <c r="I275" i="2"/>
  <c r="I329" i="2"/>
  <c r="I437" i="2"/>
  <c r="I511" i="2"/>
  <c r="I592" i="2"/>
  <c r="J745" i="2"/>
  <c r="J684" i="2"/>
  <c r="J556" i="2"/>
  <c r="N13" i="4"/>
  <c r="I558" i="2"/>
  <c r="P270" i="5"/>
  <c r="I362" i="2"/>
  <c r="I259" i="2"/>
  <c r="J727" i="2"/>
  <c r="L294" i="5"/>
  <c r="P267" i="5"/>
  <c r="J127" i="2"/>
  <c r="J577" i="2"/>
  <c r="I40" i="2"/>
  <c r="J128" i="2"/>
  <c r="I41" i="2"/>
  <c r="I88" i="2"/>
  <c r="I130" i="2"/>
  <c r="I175" i="2"/>
  <c r="I226" i="2"/>
  <c r="I276" i="2"/>
  <c r="J329" i="2"/>
  <c r="J439" i="2"/>
  <c r="J517" i="2"/>
  <c r="J592" i="2"/>
  <c r="I662" i="2"/>
  <c r="J762" i="2"/>
  <c r="J414" i="2"/>
  <c r="L68" i="5"/>
  <c r="N68" i="5" s="1"/>
  <c r="J256" i="2"/>
  <c r="I160" i="2"/>
  <c r="I727" i="2"/>
  <c r="I652" i="2"/>
  <c r="J259" i="2"/>
  <c r="J81" i="2"/>
  <c r="I509" i="2"/>
  <c r="I173" i="2"/>
  <c r="J435" i="2"/>
  <c r="I129" i="2"/>
  <c r="J43" i="2"/>
  <c r="J133" i="2"/>
  <c r="J182" i="2"/>
  <c r="I230" i="2"/>
  <c r="J447" i="2"/>
  <c r="I518" i="2"/>
  <c r="I593" i="2"/>
  <c r="I763" i="2"/>
  <c r="L63" i="5"/>
  <c r="N63" i="5" s="1"/>
  <c r="I611" i="2"/>
  <c r="I159" i="2"/>
  <c r="I419" i="2"/>
  <c r="I420" i="2"/>
  <c r="J70" i="2"/>
  <c r="J420" i="2"/>
  <c r="I211" i="2"/>
  <c r="J652" i="2"/>
  <c r="I653" i="2"/>
  <c r="I82" i="2"/>
  <c r="J173" i="2"/>
  <c r="I174" i="2"/>
  <c r="I46" i="2"/>
  <c r="I134" i="2"/>
  <c r="I183" i="2"/>
  <c r="J230" i="2"/>
  <c r="I386" i="2"/>
  <c r="J449" i="2"/>
  <c r="J518" i="2"/>
  <c r="J593" i="2"/>
  <c r="I679" i="2"/>
  <c r="J763" i="2"/>
  <c r="O305" i="3"/>
  <c r="J681" i="2" s="1"/>
  <c r="N70" i="4"/>
  <c r="N81" i="4" s="1"/>
  <c r="H173" i="4" s="1"/>
  <c r="P48" i="5"/>
  <c r="L48" i="5"/>
  <c r="N48" i="5" s="1"/>
  <c r="M48" i="5"/>
  <c r="P105" i="5"/>
  <c r="M105" i="5"/>
  <c r="L105" i="5"/>
  <c r="P112" i="5"/>
  <c r="M112" i="5"/>
  <c r="L112" i="5"/>
  <c r="N123" i="4"/>
  <c r="H180" i="4" s="1"/>
  <c r="M42" i="5"/>
  <c r="M102" i="5"/>
  <c r="P11" i="5"/>
  <c r="M14" i="5"/>
  <c r="P14" i="5"/>
  <c r="L14" i="5"/>
  <c r="I21" i="2"/>
  <c r="J65" i="2"/>
  <c r="J107" i="2"/>
  <c r="I156" i="2"/>
  <c r="J201" i="2"/>
  <c r="J254" i="2"/>
  <c r="J304" i="2"/>
  <c r="I354" i="2"/>
  <c r="I416" i="2"/>
  <c r="I480" i="2"/>
  <c r="I516" i="2"/>
  <c r="I580" i="2"/>
  <c r="J656" i="2"/>
  <c r="I729" i="2"/>
  <c r="N110" i="4"/>
  <c r="N114" i="4" s="1"/>
  <c r="H178" i="4" s="1"/>
  <c r="N146" i="4"/>
  <c r="H184" i="4" s="1"/>
  <c r="L11" i="5"/>
  <c r="N11" i="5" s="1"/>
  <c r="L33" i="5"/>
  <c r="J25" i="2"/>
  <c r="I66" i="2"/>
  <c r="I108" i="2"/>
  <c r="J156" i="2"/>
  <c r="I203" i="2"/>
  <c r="I228" i="2"/>
  <c r="I255" i="2"/>
  <c r="I278" i="2"/>
  <c r="I305" i="2"/>
  <c r="I359" i="2"/>
  <c r="I385" i="2"/>
  <c r="J416" i="2"/>
  <c r="J448" i="2"/>
  <c r="J480" i="2"/>
  <c r="J516" i="2"/>
  <c r="J548" i="2"/>
  <c r="I588" i="2"/>
  <c r="I657" i="2"/>
  <c r="I694" i="2"/>
  <c r="I731" i="2"/>
  <c r="J771" i="2"/>
  <c r="M11" i="5"/>
  <c r="O316" i="3"/>
  <c r="I44" i="2"/>
  <c r="I132" i="2"/>
  <c r="J175" i="2"/>
  <c r="I227" i="2"/>
  <c r="I277" i="2"/>
  <c r="I330" i="2"/>
  <c r="J384" i="2"/>
  <c r="I448" i="2"/>
  <c r="I548" i="2"/>
  <c r="I620" i="2"/>
  <c r="I693" i="2"/>
  <c r="I771" i="2"/>
  <c r="L72" i="5"/>
  <c r="J44" i="2"/>
  <c r="I89" i="2"/>
  <c r="J132" i="2"/>
  <c r="I26" i="2"/>
  <c r="I45" i="2"/>
  <c r="I68" i="2"/>
  <c r="J108" i="2"/>
  <c r="I133" i="2"/>
  <c r="I157" i="2"/>
  <c r="I182" i="2"/>
  <c r="J203" i="2"/>
  <c r="J255" i="2"/>
  <c r="J305" i="2"/>
  <c r="I331" i="2"/>
  <c r="J385" i="2"/>
  <c r="I418" i="2"/>
  <c r="I449" i="2"/>
  <c r="I481" i="2"/>
  <c r="I517" i="2"/>
  <c r="J549" i="2"/>
  <c r="J590" i="2"/>
  <c r="I621" i="2"/>
  <c r="J659" i="2"/>
  <c r="I697" i="2"/>
  <c r="I772" i="2"/>
  <c r="O107" i="3"/>
  <c r="O258" i="3"/>
  <c r="O329" i="3"/>
  <c r="O339" i="3"/>
  <c r="N33" i="4"/>
  <c r="N43" i="4"/>
  <c r="N51" i="4" s="1"/>
  <c r="H170" i="4" s="1"/>
  <c r="P8" i="5"/>
  <c r="P30" i="5"/>
  <c r="N128" i="4"/>
  <c r="H181" i="4" s="1"/>
  <c r="L24" i="5"/>
  <c r="P66" i="5"/>
  <c r="P168" i="5"/>
  <c r="M168" i="5"/>
  <c r="L168" i="5"/>
  <c r="N168" i="5" s="1"/>
  <c r="O209" i="3"/>
  <c r="J574" i="2" s="1"/>
  <c r="N35" i="4"/>
  <c r="M37" i="5"/>
  <c r="M40" i="5"/>
  <c r="M63" i="5"/>
  <c r="P233" i="5"/>
  <c r="I459" i="2"/>
  <c r="J632" i="2"/>
  <c r="I95" i="2"/>
  <c r="J288" i="2"/>
  <c r="I674" i="2"/>
  <c r="J95" i="2"/>
  <c r="I188" i="2"/>
  <c r="J290" i="2"/>
  <c r="I398" i="2"/>
  <c r="I531" i="2"/>
  <c r="J674" i="2"/>
  <c r="J787" i="2"/>
  <c r="J32" i="2"/>
  <c r="I77" i="2"/>
  <c r="I96" i="2"/>
  <c r="J143" i="2"/>
  <c r="J188" i="2"/>
  <c r="I241" i="2"/>
  <c r="I291" i="2"/>
  <c r="J343" i="2"/>
  <c r="J399" i="2"/>
  <c r="J431" i="2"/>
  <c r="J460" i="2"/>
  <c r="J531" i="2"/>
  <c r="I570" i="2"/>
  <c r="I597" i="2"/>
  <c r="I638" i="2"/>
  <c r="I675" i="2"/>
  <c r="I708" i="2"/>
  <c r="J748" i="2"/>
  <c r="I788" i="2"/>
  <c r="L169" i="5"/>
  <c r="J595" i="2"/>
  <c r="J786" i="2"/>
  <c r="I118" i="2"/>
  <c r="I212" i="2"/>
  <c r="I430" i="2"/>
  <c r="J559" i="2"/>
  <c r="J747" i="2"/>
  <c r="I213" i="2"/>
  <c r="I316" i="2"/>
  <c r="I431" i="2"/>
  <c r="J567" i="2"/>
  <c r="J707" i="2"/>
  <c r="I482" i="2"/>
  <c r="J389" i="2"/>
  <c r="I294" i="2"/>
  <c r="I234" i="2"/>
  <c r="I163" i="2"/>
  <c r="I97" i="2"/>
  <c r="J9" i="2"/>
  <c r="I801" i="2"/>
  <c r="I663" i="2"/>
  <c r="I560" i="2"/>
  <c r="J481" i="2"/>
  <c r="J405" i="2"/>
  <c r="I323" i="2"/>
  <c r="I248" i="2"/>
  <c r="I176" i="2"/>
  <c r="I109" i="2"/>
  <c r="J46" i="2"/>
  <c r="J323" i="2"/>
  <c r="I732" i="2"/>
  <c r="J604" i="2"/>
  <c r="I499" i="2"/>
  <c r="I387" i="2"/>
  <c r="I308" i="2"/>
  <c r="J219" i="2"/>
  <c r="J135" i="2"/>
  <c r="J71" i="2"/>
  <c r="I9" i="2"/>
  <c r="J499" i="2"/>
  <c r="J338" i="2"/>
  <c r="J264" i="2"/>
  <c r="I206" i="2"/>
  <c r="I136" i="2"/>
  <c r="J84" i="2"/>
  <c r="M23" i="5"/>
  <c r="I779" i="2"/>
  <c r="I644" i="2"/>
  <c r="J542" i="2"/>
  <c r="I441" i="2"/>
  <c r="J354" i="2"/>
  <c r="I279" i="2"/>
  <c r="I191" i="2"/>
  <c r="I122" i="2"/>
  <c r="I59" i="2"/>
  <c r="J461" i="2"/>
  <c r="I406" i="2"/>
  <c r="J248" i="2"/>
  <c r="I192" i="2"/>
  <c r="J149" i="2"/>
  <c r="J109" i="2"/>
  <c r="I47" i="2"/>
  <c r="I688" i="2"/>
  <c r="J580" i="2"/>
  <c r="I461" i="2"/>
  <c r="I371" i="2"/>
  <c r="J293" i="2"/>
  <c r="J162" i="2"/>
  <c r="J96" i="2"/>
  <c r="I34" i="2"/>
  <c r="J522" i="2"/>
  <c r="I444" i="2"/>
  <c r="J371" i="2"/>
  <c r="I355" i="2"/>
  <c r="J279" i="2"/>
  <c r="I220" i="2"/>
  <c r="J176" i="2"/>
  <c r="J122" i="2"/>
  <c r="I72" i="2"/>
  <c r="I22" i="2"/>
  <c r="J708" i="2"/>
  <c r="J623" i="2"/>
  <c r="I522" i="2"/>
  <c r="I422" i="2"/>
  <c r="J337" i="2"/>
  <c r="J205" i="2"/>
  <c r="I149" i="2"/>
  <c r="I84" i="2"/>
  <c r="M230" i="5"/>
  <c r="P200" i="5"/>
  <c r="I755" i="2"/>
  <c r="M206" i="5"/>
  <c r="L203" i="5"/>
  <c r="P159" i="5"/>
  <c r="L102" i="5"/>
  <c r="N102" i="5" s="1"/>
  <c r="M99" i="5"/>
  <c r="P37" i="5"/>
  <c r="P31" i="5"/>
  <c r="M92" i="5"/>
  <c r="M52" i="5"/>
  <c r="P49" i="5"/>
  <c r="I794" i="2"/>
  <c r="J770" i="2"/>
  <c r="I747" i="2"/>
  <c r="I726" i="2"/>
  <c r="J700" i="2"/>
  <c r="I659" i="2"/>
  <c r="J613" i="2"/>
  <c r="J594" i="2"/>
  <c r="I556" i="2"/>
  <c r="I533" i="2"/>
  <c r="I515" i="2"/>
  <c r="I495" i="2"/>
  <c r="J474" i="2"/>
  <c r="I454" i="2"/>
  <c r="I434" i="2"/>
  <c r="J417" i="2"/>
  <c r="I399" i="2"/>
  <c r="I383" i="2"/>
  <c r="J366" i="2"/>
  <c r="I333" i="2"/>
  <c r="J318" i="2"/>
  <c r="J303" i="2"/>
  <c r="J287" i="2"/>
  <c r="J272" i="2"/>
  <c r="I258" i="2"/>
  <c r="J243" i="2"/>
  <c r="I229" i="2"/>
  <c r="I214" i="2"/>
  <c r="J199" i="2"/>
  <c r="J185" i="2"/>
  <c r="I172" i="2"/>
  <c r="J158" i="2"/>
  <c r="I145" i="2"/>
  <c r="J131" i="2"/>
  <c r="J117" i="2"/>
  <c r="I105" i="2"/>
  <c r="J92" i="2"/>
  <c r="I80" i="2"/>
  <c r="J67" i="2"/>
  <c r="I55" i="2"/>
  <c r="I42" i="2"/>
  <c r="J29" i="2"/>
  <c r="I17" i="2"/>
  <c r="I243" i="2"/>
  <c r="J228" i="2"/>
  <c r="J213" i="2"/>
  <c r="I199" i="2"/>
  <c r="I185" i="2"/>
  <c r="J171" i="2"/>
  <c r="I158" i="2"/>
  <c r="J144" i="2"/>
  <c r="I131" i="2"/>
  <c r="I117" i="2"/>
  <c r="I92" i="2"/>
  <c r="J79" i="2"/>
  <c r="I67" i="2"/>
  <c r="I54" i="2"/>
  <c r="J41" i="2"/>
  <c r="I29" i="2"/>
  <c r="J16" i="2"/>
  <c r="P101" i="5"/>
  <c r="P19" i="5"/>
  <c r="M235" i="5"/>
  <c r="M205" i="5"/>
  <c r="L114" i="5"/>
  <c r="P69" i="5"/>
  <c r="P63" i="5"/>
  <c r="L57" i="5"/>
  <c r="P54" i="5"/>
  <c r="P42" i="5"/>
  <c r="M30" i="5"/>
  <c r="J55" i="2"/>
  <c r="J119" i="2"/>
  <c r="J168" i="2"/>
  <c r="J215" i="2"/>
  <c r="I262" i="2"/>
  <c r="J316" i="2"/>
  <c r="I369" i="2"/>
  <c r="J496" i="2"/>
  <c r="I14" i="2"/>
  <c r="I33" i="2"/>
  <c r="I56" i="2"/>
  <c r="I120" i="2"/>
  <c r="I144" i="2"/>
  <c r="I169" i="2"/>
  <c r="I189" i="2"/>
  <c r="I216" i="2"/>
  <c r="J268" i="2"/>
  <c r="J291" i="2"/>
  <c r="I317" i="2"/>
  <c r="I344" i="2"/>
  <c r="J369" i="2"/>
  <c r="I402" i="2"/>
  <c r="I432" i="2"/>
  <c r="I468" i="2"/>
  <c r="I497" i="2"/>
  <c r="I532" i="2"/>
  <c r="J570" i="2"/>
  <c r="I599" i="2"/>
  <c r="J638" i="2"/>
  <c r="J675" i="2"/>
  <c r="I715" i="2"/>
  <c r="I749" i="2"/>
  <c r="I789" i="2"/>
  <c r="O80" i="3"/>
  <c r="J411" i="2" s="1"/>
  <c r="O151" i="3"/>
  <c r="O183" i="3"/>
  <c r="J533" i="2" s="1"/>
  <c r="O301" i="3"/>
  <c r="J677" i="2" s="1"/>
  <c r="I530" i="2"/>
  <c r="I705" i="2"/>
  <c r="P216" i="5"/>
  <c r="L216" i="5"/>
  <c r="M216" i="5"/>
  <c r="I76" i="2"/>
  <c r="I187" i="2"/>
  <c r="I337" i="2"/>
  <c r="J459" i="2"/>
  <c r="I636" i="2"/>
  <c r="J53" i="2"/>
  <c r="I168" i="2"/>
  <c r="J261" i="2"/>
  <c r="J368" i="2"/>
  <c r="I496" i="2"/>
  <c r="J636" i="2"/>
  <c r="I748" i="2"/>
  <c r="P34" i="5"/>
  <c r="J14" i="2"/>
  <c r="J33" i="2"/>
  <c r="J56" i="2"/>
  <c r="I78" i="2"/>
  <c r="I101" i="2"/>
  <c r="J120" i="2"/>
  <c r="J145" i="2"/>
  <c r="J169" i="2"/>
  <c r="I190" i="2"/>
  <c r="J216" i="2"/>
  <c r="I242" i="2"/>
  <c r="I269" i="2"/>
  <c r="I292" i="2"/>
  <c r="I319" i="2"/>
  <c r="J344" i="2"/>
  <c r="I370" i="2"/>
  <c r="I403" i="2"/>
  <c r="J432" i="2"/>
  <c r="J497" i="2"/>
  <c r="I571" i="2"/>
  <c r="J603" i="2"/>
  <c r="I639" i="2"/>
  <c r="I676" i="2"/>
  <c r="J715" i="2"/>
  <c r="J749" i="2"/>
  <c r="O234" i="3"/>
  <c r="J607" i="2" s="1"/>
  <c r="O346" i="3"/>
  <c r="J722" i="2" s="1"/>
  <c r="P22" i="5"/>
  <c r="M54" i="5"/>
  <c r="M74" i="5"/>
  <c r="P203" i="5"/>
  <c r="L29" i="5"/>
  <c r="N29" i="5" s="1"/>
  <c r="P29" i="5"/>
  <c r="L54" i="5"/>
  <c r="I494" i="2"/>
  <c r="J673" i="2"/>
  <c r="O350" i="3"/>
  <c r="J726" i="2" s="1"/>
  <c r="P209" i="5"/>
  <c r="I53" i="2"/>
  <c r="I162" i="2"/>
  <c r="I261" i="2"/>
  <c r="I368" i="2"/>
  <c r="J495" i="2"/>
  <c r="I596" i="2"/>
  <c r="I787" i="2"/>
  <c r="I32" i="2"/>
  <c r="I119" i="2"/>
  <c r="J240" i="2"/>
  <c r="I343" i="2"/>
  <c r="J596" i="2"/>
  <c r="I15" i="2"/>
  <c r="I57" i="2"/>
  <c r="J101" i="2"/>
  <c r="I146" i="2"/>
  <c r="J195" i="2"/>
  <c r="J242" i="2"/>
  <c r="I345" i="2"/>
  <c r="J403" i="2"/>
  <c r="I469" i="2"/>
  <c r="I498" i="2"/>
  <c r="J571" i="2"/>
  <c r="J639" i="2"/>
  <c r="I716" i="2"/>
  <c r="I797" i="2"/>
  <c r="M7" i="5"/>
  <c r="P7" i="5"/>
  <c r="J38" i="2"/>
  <c r="J57" i="2"/>
  <c r="I102" i="2"/>
  <c r="J146" i="2"/>
  <c r="I196" i="2"/>
  <c r="J217" i="2"/>
  <c r="I244" i="2"/>
  <c r="I270" i="2"/>
  <c r="I293" i="2"/>
  <c r="I320" i="2"/>
  <c r="J345" i="2"/>
  <c r="I378" i="2"/>
  <c r="I404" i="2"/>
  <c r="J434" i="2"/>
  <c r="J469" i="2"/>
  <c r="J498" i="2"/>
  <c r="I537" i="2"/>
  <c r="I572" i="2"/>
  <c r="I609" i="2"/>
  <c r="I640" i="2"/>
  <c r="I678" i="2"/>
  <c r="I719" i="2"/>
  <c r="J750" i="2"/>
  <c r="I798" i="2"/>
  <c r="O9" i="3"/>
  <c r="O216" i="3"/>
  <c r="L7" i="5"/>
  <c r="L10" i="5"/>
  <c r="M29" i="5"/>
  <c r="I559" i="2"/>
  <c r="I746" i="2"/>
  <c r="M34" i="5"/>
  <c r="J31" i="2"/>
  <c r="I142" i="2"/>
  <c r="J239" i="2"/>
  <c r="J397" i="2"/>
  <c r="I707" i="2"/>
  <c r="I143" i="2"/>
  <c r="I38" i="2"/>
  <c r="I79" i="2"/>
  <c r="I121" i="2"/>
  <c r="I170" i="2"/>
  <c r="I217" i="2"/>
  <c r="J269" i="2"/>
  <c r="J319" i="2"/>
  <c r="I377" i="2"/>
  <c r="I433" i="2"/>
  <c r="J534" i="2"/>
  <c r="J608" i="2"/>
  <c r="J676" i="2"/>
  <c r="I750" i="2"/>
  <c r="J15" i="2"/>
  <c r="J80" i="2"/>
  <c r="J121" i="2"/>
  <c r="J170" i="2"/>
  <c r="I16" i="2"/>
  <c r="I39" i="2"/>
  <c r="I58" i="2"/>
  <c r="I81" i="2"/>
  <c r="I103" i="2"/>
  <c r="J126" i="2"/>
  <c r="I147" i="2"/>
  <c r="I171" i="2"/>
  <c r="J196" i="2"/>
  <c r="I218" i="2"/>
  <c r="J244" i="2"/>
  <c r="J270" i="2"/>
  <c r="J320" i="2"/>
  <c r="I347" i="2"/>
  <c r="I379" i="2"/>
  <c r="J404" i="2"/>
  <c r="I435" i="2"/>
  <c r="I470" i="2"/>
  <c r="J508" i="2"/>
  <c r="I540" i="2"/>
  <c r="J572" i="2"/>
  <c r="I610" i="2"/>
  <c r="J642" i="2"/>
  <c r="J678" i="2"/>
  <c r="J721" i="2"/>
  <c r="I762" i="2"/>
  <c r="J798" i="2"/>
  <c r="O161" i="3"/>
  <c r="J509" i="2" s="1"/>
  <c r="O175" i="3"/>
  <c r="N60" i="4"/>
  <c r="N136" i="4"/>
  <c r="H183" i="4" s="1"/>
  <c r="M51" i="5"/>
  <c r="L42" i="5"/>
  <c r="N42" i="5" s="1"/>
  <c r="L104" i="5"/>
  <c r="P104" i="5"/>
  <c r="M104" i="5"/>
  <c r="P28" i="5"/>
  <c r="L28" i="5"/>
  <c r="N28" i="5" s="1"/>
  <c r="P232" i="5"/>
  <c r="I272" i="2"/>
  <c r="I287" i="2"/>
  <c r="I303" i="2"/>
  <c r="J317" i="2"/>
  <c r="I366" i="2"/>
  <c r="I382" i="2"/>
  <c r="J398" i="2"/>
  <c r="I417" i="2"/>
  <c r="J433" i="2"/>
  <c r="J453" i="2"/>
  <c r="I474" i="2"/>
  <c r="J494" i="2"/>
  <c r="I512" i="2"/>
  <c r="J532" i="2"/>
  <c r="J555" i="2"/>
  <c r="I573" i="2"/>
  <c r="I594" i="2"/>
  <c r="I613" i="2"/>
  <c r="I637" i="2"/>
  <c r="I658" i="2"/>
  <c r="I677" i="2"/>
  <c r="J699" i="2"/>
  <c r="I725" i="2"/>
  <c r="J746" i="2"/>
  <c r="I770" i="2"/>
  <c r="J791" i="2"/>
  <c r="O55" i="3"/>
  <c r="J59" i="2" s="1"/>
  <c r="O245" i="3"/>
  <c r="N22" i="4"/>
  <c r="N32" i="4" s="1"/>
  <c r="H168" i="4" s="1"/>
  <c r="M25" i="5"/>
  <c r="P25" i="5"/>
  <c r="M28" i="5"/>
  <c r="P52" i="5"/>
  <c r="L22" i="5"/>
  <c r="M22" i="5"/>
  <c r="P290" i="5"/>
  <c r="P266" i="5"/>
  <c r="P242" i="5"/>
  <c r="P218" i="5"/>
  <c r="P194" i="5"/>
  <c r="P170" i="5"/>
  <c r="P146" i="5"/>
  <c r="P259" i="5"/>
  <c r="P235" i="5"/>
  <c r="P211" i="5"/>
  <c r="P187" i="5"/>
  <c r="P163" i="5"/>
  <c r="P139" i="5"/>
  <c r="M294" i="5"/>
  <c r="M270" i="5"/>
  <c r="M246" i="5"/>
  <c r="M222" i="5"/>
  <c r="M198" i="5"/>
  <c r="M174" i="5"/>
  <c r="M150" i="5"/>
  <c r="M296" i="5"/>
  <c r="P287" i="5"/>
  <c r="L283" i="5"/>
  <c r="M272" i="5"/>
  <c r="P263" i="5"/>
  <c r="L259" i="5"/>
  <c r="M248" i="5"/>
  <c r="P239" i="5"/>
  <c r="L235" i="5"/>
  <c r="M224" i="5"/>
  <c r="P215" i="5"/>
  <c r="L211" i="5"/>
  <c r="M200" i="5"/>
  <c r="P191" i="5"/>
  <c r="L187" i="5"/>
  <c r="M176" i="5"/>
  <c r="P167" i="5"/>
  <c r="L163" i="5"/>
  <c r="M152" i="5"/>
  <c r="P143" i="5"/>
  <c r="L139" i="5"/>
  <c r="M128" i="5"/>
  <c r="P289" i="5"/>
  <c r="M274" i="5"/>
  <c r="P265" i="5"/>
  <c r="M250" i="5"/>
  <c r="P241" i="5"/>
  <c r="M226" i="5"/>
  <c r="P217" i="5"/>
  <c r="M202" i="5"/>
  <c r="P193" i="5"/>
  <c r="M178" i="5"/>
  <c r="P169" i="5"/>
  <c r="M154" i="5"/>
  <c r="P145" i="5"/>
  <c r="M130" i="5"/>
  <c r="P302" i="5"/>
  <c r="L298" i="5"/>
  <c r="M287" i="5"/>
  <c r="P278" i="5"/>
  <c r="L274" i="5"/>
  <c r="M263" i="5"/>
  <c r="P254" i="5"/>
  <c r="L250" i="5"/>
  <c r="M239" i="5"/>
  <c r="P230" i="5"/>
  <c r="L226" i="5"/>
  <c r="N226" i="5" s="1"/>
  <c r="M215" i="5"/>
  <c r="P206" i="5"/>
  <c r="L202" i="5"/>
  <c r="N202" i="5" s="1"/>
  <c r="M191" i="5"/>
  <c r="P182" i="5"/>
  <c r="L178" i="5"/>
  <c r="M167" i="5"/>
  <c r="P158" i="5"/>
  <c r="L154" i="5"/>
  <c r="N154" i="5" s="1"/>
  <c r="M143" i="5"/>
  <c r="P134" i="5"/>
  <c r="L130" i="5"/>
  <c r="M119" i="5"/>
  <c r="L95" i="5"/>
  <c r="L71" i="5"/>
  <c r="N71" i="5" s="1"/>
  <c r="L47" i="5"/>
  <c r="L23" i="5"/>
  <c r="N23" i="5" s="1"/>
  <c r="P293" i="5"/>
  <c r="L289" i="5"/>
  <c r="M278" i="5"/>
  <c r="M243" i="5"/>
  <c r="M219" i="5"/>
  <c r="M195" i="5"/>
  <c r="L182" i="5"/>
  <c r="N182" i="5" s="1"/>
  <c r="M171" i="5"/>
  <c r="L158" i="5"/>
  <c r="M147" i="5"/>
  <c r="L134" i="5"/>
  <c r="N134" i="5" s="1"/>
  <c r="L243" i="5"/>
  <c r="N243" i="5" s="1"/>
  <c r="L219" i="5"/>
  <c r="L195" i="5"/>
  <c r="L171" i="5"/>
  <c r="L147" i="5"/>
  <c r="L293" i="5"/>
  <c r="L269" i="5"/>
  <c r="L245" i="5"/>
  <c r="L221" i="5"/>
  <c r="L197" i="5"/>
  <c r="L173" i="5"/>
  <c r="L149" i="5"/>
  <c r="M297" i="5"/>
  <c r="L284" i="5"/>
  <c r="M273" i="5"/>
  <c r="M249" i="5"/>
  <c r="P301" i="5"/>
  <c r="L297" i="5"/>
  <c r="N297" i="5" s="1"/>
  <c r="P277" i="5"/>
  <c r="L273" i="5"/>
  <c r="N273" i="5" s="1"/>
  <c r="P253" i="5"/>
  <c r="L249" i="5"/>
  <c r="N249" i="5" s="1"/>
  <c r="P229" i="5"/>
  <c r="L225" i="5"/>
  <c r="P205" i="5"/>
  <c r="L201" i="5"/>
  <c r="P181" i="5"/>
  <c r="L177" i="5"/>
  <c r="P157" i="5"/>
  <c r="L153" i="5"/>
  <c r="P133" i="5"/>
  <c r="L129" i="5"/>
  <c r="L246" i="5"/>
  <c r="N246" i="5" s="1"/>
  <c r="M187" i="5"/>
  <c r="M140" i="5"/>
  <c r="M137" i="5"/>
  <c r="M134" i="5"/>
  <c r="P80" i="5"/>
  <c r="L53" i="5"/>
  <c r="P296" i="5"/>
  <c r="M284" i="5"/>
  <c r="P272" i="5"/>
  <c r="L196" i="5"/>
  <c r="M181" i="5"/>
  <c r="P178" i="5"/>
  <c r="P128" i="5"/>
  <c r="M240" i="5"/>
  <c r="L193" i="5"/>
  <c r="L181" i="5"/>
  <c r="M146" i="5"/>
  <c r="M71" i="5"/>
  <c r="P269" i="5"/>
  <c r="L240" i="5"/>
  <c r="L175" i="5"/>
  <c r="P172" i="5"/>
  <c r="P125" i="5"/>
  <c r="M96" i="5"/>
  <c r="M290" i="5"/>
  <c r="M260" i="5"/>
  <c r="M254" i="5"/>
  <c r="L222" i="5"/>
  <c r="N222" i="5" s="1"/>
  <c r="M163" i="5"/>
  <c r="P248" i="5"/>
  <c r="L172" i="5"/>
  <c r="M157" i="5"/>
  <c r="P154" i="5"/>
  <c r="M266" i="5"/>
  <c r="L251" i="5"/>
  <c r="N251" i="5" s="1"/>
  <c r="P245" i="5"/>
  <c r="L151" i="5"/>
  <c r="P148" i="5"/>
  <c r="P116" i="5"/>
  <c r="M114" i="5"/>
  <c r="M107" i="5"/>
  <c r="M98" i="5"/>
  <c r="P298" i="5"/>
  <c r="M283" i="5"/>
  <c r="M277" i="5"/>
  <c r="P274" i="5"/>
  <c r="P224" i="5"/>
  <c r="L148" i="5"/>
  <c r="M133" i="5"/>
  <c r="P130" i="5"/>
  <c r="L91" i="5"/>
  <c r="M301" i="5"/>
  <c r="P292" i="5"/>
  <c r="L277" i="5"/>
  <c r="L295" i="5"/>
  <c r="L271" i="5"/>
  <c r="P268" i="5"/>
  <c r="P221" i="5"/>
  <c r="L127" i="5"/>
  <c r="N127" i="5" s="1"/>
  <c r="P124" i="5"/>
  <c r="P95" i="5"/>
  <c r="L292" i="5"/>
  <c r="L268" i="5"/>
  <c r="L265" i="5"/>
  <c r="L247" i="5"/>
  <c r="P244" i="5"/>
  <c r="P197" i="5"/>
  <c r="P303" i="5"/>
  <c r="L244" i="5"/>
  <c r="M229" i="5"/>
  <c r="P226" i="5"/>
  <c r="P176" i="5"/>
  <c r="P115" i="5"/>
  <c r="M106" i="5"/>
  <c r="L97" i="5"/>
  <c r="L241" i="5"/>
  <c r="L229" i="5"/>
  <c r="N229" i="5" s="1"/>
  <c r="M194" i="5"/>
  <c r="L106" i="5"/>
  <c r="M236" i="5"/>
  <c r="M233" i="5"/>
  <c r="M211" i="5"/>
  <c r="L205" i="5"/>
  <c r="N205" i="5" s="1"/>
  <c r="L199" i="5"/>
  <c r="M158" i="5"/>
  <c r="L133" i="5"/>
  <c r="N133" i="5" s="1"/>
  <c r="L58" i="5"/>
  <c r="M53" i="5"/>
  <c r="M10" i="5"/>
  <c r="P220" i="5"/>
  <c r="M139" i="5"/>
  <c r="M109" i="5"/>
  <c r="M75" i="5"/>
  <c r="M70" i="5"/>
  <c r="M164" i="5"/>
  <c r="M120" i="5"/>
  <c r="P117" i="5"/>
  <c r="P106" i="5"/>
  <c r="L98" i="5"/>
  <c r="N98" i="5" s="1"/>
  <c r="M95" i="5"/>
  <c r="P82" i="5"/>
  <c r="M43" i="5"/>
  <c r="P33" i="5"/>
  <c r="L220" i="5"/>
  <c r="L217" i="5"/>
  <c r="P173" i="5"/>
  <c r="L126" i="5"/>
  <c r="N126" i="5" s="1"/>
  <c r="L120" i="5"/>
  <c r="P103" i="5"/>
  <c r="L223" i="5"/>
  <c r="M192" i="5"/>
  <c r="M170" i="5"/>
  <c r="M82" i="5"/>
  <c r="P72" i="5"/>
  <c r="P281" i="5"/>
  <c r="M242" i="5"/>
  <c r="L145" i="5"/>
  <c r="P111" i="5"/>
  <c r="L82" i="5"/>
  <c r="N82" i="5" s="1"/>
  <c r="P67" i="5"/>
  <c r="M33" i="5"/>
  <c r="M72" i="5"/>
  <c r="P47" i="5"/>
  <c r="P250" i="5"/>
  <c r="L124" i="5"/>
  <c r="L121" i="5"/>
  <c r="M212" i="5"/>
  <c r="P46" i="5"/>
  <c r="M19" i="5"/>
  <c r="J802" i="2"/>
  <c r="J790" i="2"/>
  <c r="J778" i="2"/>
  <c r="J766" i="2"/>
  <c r="J754" i="2"/>
  <c r="J742" i="2"/>
  <c r="J730" i="2"/>
  <c r="J718" i="2"/>
  <c r="J706" i="2"/>
  <c r="J694" i="2"/>
  <c r="J682" i="2"/>
  <c r="J670" i="2"/>
  <c r="J658" i="2"/>
  <c r="J646" i="2"/>
  <c r="J634" i="2"/>
  <c r="J622" i="2"/>
  <c r="J610" i="2"/>
  <c r="J586" i="2"/>
  <c r="J562" i="2"/>
  <c r="J550" i="2"/>
  <c r="J538" i="2"/>
  <c r="J526" i="2"/>
  <c r="J514" i="2"/>
  <c r="J502" i="2"/>
  <c r="J490" i="2"/>
  <c r="J478" i="2"/>
  <c r="J466" i="2"/>
  <c r="J454" i="2"/>
  <c r="J442" i="2"/>
  <c r="J430" i="2"/>
  <c r="J418" i="2"/>
  <c r="J406" i="2"/>
  <c r="J394" i="2"/>
  <c r="J382" i="2"/>
  <c r="J370" i="2"/>
  <c r="J358" i="2"/>
  <c r="J346" i="2"/>
  <c r="J334" i="2"/>
  <c r="J322" i="2"/>
  <c r="J310" i="2"/>
  <c r="J298" i="2"/>
  <c r="J286" i="2"/>
  <c r="J262" i="2"/>
  <c r="J250" i="2"/>
  <c r="J238" i="2"/>
  <c r="J226" i="2"/>
  <c r="J214" i="2"/>
  <c r="J202" i="2"/>
  <c r="J190" i="2"/>
  <c r="J178" i="2"/>
  <c r="J166" i="2"/>
  <c r="J142" i="2"/>
  <c r="J130" i="2"/>
  <c r="J118" i="2"/>
  <c r="M115" i="5"/>
  <c r="P94" i="5"/>
  <c r="L49" i="5"/>
  <c r="P41" i="5"/>
  <c r="L19" i="5"/>
  <c r="N19" i="5" s="1"/>
  <c r="L9" i="5"/>
  <c r="I802" i="2"/>
  <c r="I790" i="2"/>
  <c r="I778" i="2"/>
  <c r="I766" i="2"/>
  <c r="I754" i="2"/>
  <c r="I742" i="2"/>
  <c r="I730" i="2"/>
  <c r="I718" i="2"/>
  <c r="I706" i="2"/>
  <c r="P183" i="5"/>
  <c r="L115" i="5"/>
  <c r="N115" i="5" s="1"/>
  <c r="J801" i="2"/>
  <c r="J777" i="2"/>
  <c r="J765" i="2"/>
  <c r="J753" i="2"/>
  <c r="J741" i="2"/>
  <c r="J729" i="2"/>
  <c r="J717" i="2"/>
  <c r="J705" i="2"/>
  <c r="J693" i="2"/>
  <c r="J669" i="2"/>
  <c r="J645" i="2"/>
  <c r="J633" i="2"/>
  <c r="J621" i="2"/>
  <c r="J609" i="2"/>
  <c r="J597" i="2"/>
  <c r="J585" i="2"/>
  <c r="P231" i="5"/>
  <c r="M218" i="5"/>
  <c r="L67" i="5"/>
  <c r="N67" i="5" s="1"/>
  <c r="M59" i="5"/>
  <c r="P43" i="5"/>
  <c r="L41" i="5"/>
  <c r="J800" i="2"/>
  <c r="J776" i="2"/>
  <c r="J764" i="2"/>
  <c r="J752" i="2"/>
  <c r="J728" i="2"/>
  <c r="J704" i="2"/>
  <c r="J692" i="2"/>
  <c r="J680" i="2"/>
  <c r="P202" i="5"/>
  <c r="M264" i="5"/>
  <c r="L264" i="5"/>
  <c r="N264" i="5" s="1"/>
  <c r="L270" i="5"/>
  <c r="N270" i="5" s="1"/>
  <c r="M182" i="5"/>
  <c r="L111" i="5"/>
  <c r="N111" i="5" s="1"/>
  <c r="M253" i="5"/>
  <c r="P110" i="5"/>
  <c r="L107" i="5"/>
  <c r="N107" i="5" s="1"/>
  <c r="M89" i="5"/>
  <c r="M80" i="5"/>
  <c r="P58" i="5"/>
  <c r="P26" i="5"/>
  <c r="L21" i="5"/>
  <c r="J797" i="2"/>
  <c r="J783" i="2"/>
  <c r="J769" i="2"/>
  <c r="J755" i="2"/>
  <c r="J739" i="2"/>
  <c r="J725" i="2"/>
  <c r="J711" i="2"/>
  <c r="J697" i="2"/>
  <c r="I684" i="2"/>
  <c r="I670" i="2"/>
  <c r="I656" i="2"/>
  <c r="I643" i="2"/>
  <c r="I630" i="2"/>
  <c r="I617" i="2"/>
  <c r="I604" i="2"/>
  <c r="I591" i="2"/>
  <c r="I578" i="2"/>
  <c r="J565" i="2"/>
  <c r="I553" i="2"/>
  <c r="J540" i="2"/>
  <c r="I528" i="2"/>
  <c r="J515" i="2"/>
  <c r="I503" i="2"/>
  <c r="I490" i="2"/>
  <c r="J477" i="2"/>
  <c r="I465" i="2"/>
  <c r="J452" i="2"/>
  <c r="I440" i="2"/>
  <c r="J427" i="2"/>
  <c r="I415" i="2"/>
  <c r="J402" i="2"/>
  <c r="I390" i="2"/>
  <c r="J377" i="2"/>
  <c r="I365" i="2"/>
  <c r="J352" i="2"/>
  <c r="I340" i="2"/>
  <c r="J327" i="2"/>
  <c r="I315" i="2"/>
  <c r="J302" i="2"/>
  <c r="I290" i="2"/>
  <c r="J277" i="2"/>
  <c r="I265" i="2"/>
  <c r="J252" i="2"/>
  <c r="I240" i="2"/>
  <c r="J227" i="2"/>
  <c r="I215" i="2"/>
  <c r="I202" i="2"/>
  <c r="J189" i="2"/>
  <c r="I177" i="2"/>
  <c r="J164" i="2"/>
  <c r="I152" i="2"/>
  <c r="I127" i="2"/>
  <c r="J102" i="2"/>
  <c r="J90" i="2"/>
  <c r="J78" i="2"/>
  <c r="J66" i="2"/>
  <c r="J54" i="2"/>
  <c r="J42" i="2"/>
  <c r="J18" i="2"/>
  <c r="J6" i="2"/>
  <c r="P185" i="5"/>
  <c r="L69" i="5"/>
  <c r="M58" i="5"/>
  <c r="M47" i="5"/>
  <c r="L31" i="5"/>
  <c r="N31" i="5" s="1"/>
  <c r="L26" i="5"/>
  <c r="J796" i="2"/>
  <c r="J782" i="2"/>
  <c r="J768" i="2"/>
  <c r="I753" i="2"/>
  <c r="J738" i="2"/>
  <c r="J724" i="2"/>
  <c r="J710" i="2"/>
  <c r="J696" i="2"/>
  <c r="I683" i="2"/>
  <c r="I668" i="2"/>
  <c r="I655" i="2"/>
  <c r="I642" i="2"/>
  <c r="I629" i="2"/>
  <c r="I616" i="2"/>
  <c r="I603" i="2"/>
  <c r="I590" i="2"/>
  <c r="I577" i="2"/>
  <c r="I552" i="2"/>
  <c r="J539" i="2"/>
  <c r="I527" i="2"/>
  <c r="I514" i="2"/>
  <c r="J501" i="2"/>
  <c r="I489" i="2"/>
  <c r="J476" i="2"/>
  <c r="I464" i="2"/>
  <c r="J451" i="2"/>
  <c r="I439" i="2"/>
  <c r="J426" i="2"/>
  <c r="I414" i="2"/>
  <c r="J401" i="2"/>
  <c r="I389" i="2"/>
  <c r="J376" i="2"/>
  <c r="I364" i="2"/>
  <c r="J351" i="2"/>
  <c r="I339" i="2"/>
  <c r="I314" i="2"/>
  <c r="J301" i="2"/>
  <c r="I289" i="2"/>
  <c r="J276" i="2"/>
  <c r="I264" i="2"/>
  <c r="J251" i="2"/>
  <c r="I239" i="2"/>
  <c r="M185" i="5"/>
  <c r="M116" i="5"/>
  <c r="L77" i="5"/>
  <c r="N77" i="5" s="1"/>
  <c r="I796" i="2"/>
  <c r="I782" i="2"/>
  <c r="I768" i="2"/>
  <c r="I752" i="2"/>
  <c r="I738" i="2"/>
  <c r="I724" i="2"/>
  <c r="I710" i="2"/>
  <c r="I696" i="2"/>
  <c r="I682" i="2"/>
  <c r="J667" i="2"/>
  <c r="J641" i="2"/>
  <c r="J628" i="2"/>
  <c r="J576" i="2"/>
  <c r="I564" i="2"/>
  <c r="J551" i="2"/>
  <c r="I539" i="2"/>
  <c r="I526" i="2"/>
  <c r="J513" i="2"/>
  <c r="I501" i="2"/>
  <c r="J488" i="2"/>
  <c r="I476" i="2"/>
  <c r="J463" i="2"/>
  <c r="I451" i="2"/>
  <c r="J438" i="2"/>
  <c r="I426" i="2"/>
  <c r="J413" i="2"/>
  <c r="I401" i="2"/>
  <c r="J388" i="2"/>
  <c r="I376" i="2"/>
  <c r="I351" i="2"/>
  <c r="L198" i="5"/>
  <c r="M188" i="5"/>
  <c r="P152" i="5"/>
  <c r="P149" i="5"/>
  <c r="P119" i="5"/>
  <c r="P91" i="5"/>
  <c r="M66" i="5"/>
  <c r="P23" i="5"/>
  <c r="J781" i="2"/>
  <c r="J751" i="2"/>
  <c r="J737" i="2"/>
  <c r="J723" i="2"/>
  <c r="J709" i="2"/>
  <c r="I681" i="2"/>
  <c r="I667" i="2"/>
  <c r="I654" i="2"/>
  <c r="I641" i="2"/>
  <c r="I628" i="2"/>
  <c r="I615" i="2"/>
  <c r="I602" i="2"/>
  <c r="I589" i="2"/>
  <c r="I576" i="2"/>
  <c r="J563" i="2"/>
  <c r="I551" i="2"/>
  <c r="I538" i="2"/>
  <c r="J525" i="2"/>
  <c r="I513" i="2"/>
  <c r="J500" i="2"/>
  <c r="I488" i="2"/>
  <c r="J475" i="2"/>
  <c r="I463" i="2"/>
  <c r="J450" i="2"/>
  <c r="I438" i="2"/>
  <c r="J425" i="2"/>
  <c r="I413" i="2"/>
  <c r="J400" i="2"/>
  <c r="I388" i="2"/>
  <c r="I363" i="2"/>
  <c r="J350" i="2"/>
  <c r="I338" i="2"/>
  <c r="J325" i="2"/>
  <c r="I313" i="2"/>
  <c r="J300" i="2"/>
  <c r="I288" i="2"/>
  <c r="J275" i="2"/>
  <c r="I263" i="2"/>
  <c r="I250" i="2"/>
  <c r="J237" i="2"/>
  <c r="I225" i="2"/>
  <c r="J212" i="2"/>
  <c r="I200" i="2"/>
  <c r="J187" i="2"/>
  <c r="P227" i="5"/>
  <c r="P155" i="5"/>
  <c r="P97" i="5"/>
  <c r="L66" i="5"/>
  <c r="N66" i="5" s="1"/>
  <c r="P10" i="5"/>
  <c r="I795" i="2"/>
  <c r="I781" i="2"/>
  <c r="I767" i="2"/>
  <c r="I751" i="2"/>
  <c r="I737" i="2"/>
  <c r="I723" i="2"/>
  <c r="I709" i="2"/>
  <c r="I695" i="2"/>
  <c r="I680" i="2"/>
  <c r="J653" i="2"/>
  <c r="J640" i="2"/>
  <c r="J627" i="2"/>
  <c r="J601" i="2"/>
  <c r="J588" i="2"/>
  <c r="J575" i="2"/>
  <c r="I563" i="2"/>
  <c r="I550" i="2"/>
  <c r="J537" i="2"/>
  <c r="I525" i="2"/>
  <c r="J512" i="2"/>
  <c r="I500" i="2"/>
  <c r="J487" i="2"/>
  <c r="I475" i="2"/>
  <c r="J462" i="2"/>
  <c r="I450" i="2"/>
  <c r="I425" i="2"/>
  <c r="J412" i="2"/>
  <c r="I400" i="2"/>
  <c r="J387" i="2"/>
  <c r="I375" i="2"/>
  <c r="J362" i="2"/>
  <c r="L227" i="5"/>
  <c r="M122" i="5"/>
  <c r="L157" i="5"/>
  <c r="N157" i="5" s="1"/>
  <c r="L99" i="5"/>
  <c r="N99" i="5" s="1"/>
  <c r="M209" i="5"/>
  <c r="L73" i="5"/>
  <c r="M32" i="5"/>
  <c r="M259" i="5"/>
  <c r="P137" i="5"/>
  <c r="M101" i="5"/>
  <c r="J793" i="2"/>
  <c r="I775" i="2"/>
  <c r="J758" i="2"/>
  <c r="I740" i="2"/>
  <c r="I721" i="2"/>
  <c r="J702" i="2"/>
  <c r="J686" i="2"/>
  <c r="I669" i="2"/>
  <c r="I651" i="2"/>
  <c r="J635" i="2"/>
  <c r="I619" i="2"/>
  <c r="I601" i="2"/>
  <c r="J584" i="2"/>
  <c r="J569" i="2"/>
  <c r="J554" i="2"/>
  <c r="J536" i="2"/>
  <c r="J521" i="2"/>
  <c r="J491" i="2"/>
  <c r="J473" i="2"/>
  <c r="J458" i="2"/>
  <c r="J443" i="2"/>
  <c r="I428" i="2"/>
  <c r="J410" i="2"/>
  <c r="J395" i="2"/>
  <c r="I380" i="2"/>
  <c r="J364" i="2"/>
  <c r="I348" i="2"/>
  <c r="L174" i="5"/>
  <c r="M76" i="5"/>
  <c r="P73" i="5"/>
  <c r="M38" i="5"/>
  <c r="M35" i="5"/>
  <c r="L16" i="5"/>
  <c r="P13" i="5"/>
  <c r="I793" i="2"/>
  <c r="J774" i="2"/>
  <c r="I758" i="2"/>
  <c r="I739" i="2"/>
  <c r="J720" i="2"/>
  <c r="I702" i="2"/>
  <c r="I686" i="2"/>
  <c r="I666" i="2"/>
  <c r="J650" i="2"/>
  <c r="I635" i="2"/>
  <c r="J618" i="2"/>
  <c r="J600" i="2"/>
  <c r="I584" i="2"/>
  <c r="I569" i="2"/>
  <c r="I554" i="2"/>
  <c r="I536" i="2"/>
  <c r="I521" i="2"/>
  <c r="I506" i="2"/>
  <c r="I491" i="2"/>
  <c r="I473" i="2"/>
  <c r="I458" i="2"/>
  <c r="I443" i="2"/>
  <c r="L76" i="5"/>
  <c r="L35" i="5"/>
  <c r="L27" i="5"/>
  <c r="J792" i="2"/>
  <c r="I774" i="2"/>
  <c r="J757" i="2"/>
  <c r="J736" i="2"/>
  <c r="I720" i="2"/>
  <c r="J701" i="2"/>
  <c r="J685" i="2"/>
  <c r="J665" i="2"/>
  <c r="I650" i="2"/>
  <c r="I634" i="2"/>
  <c r="I618" i="2"/>
  <c r="I600" i="2"/>
  <c r="J583" i="2"/>
  <c r="J568" i="2"/>
  <c r="J553" i="2"/>
  <c r="J535" i="2"/>
  <c r="J520" i="2"/>
  <c r="J505" i="2"/>
  <c r="J489" i="2"/>
  <c r="J472" i="2"/>
  <c r="J457" i="2"/>
  <c r="I442" i="2"/>
  <c r="M91" i="5"/>
  <c r="P85" i="5"/>
  <c r="M67" i="5"/>
  <c r="P32" i="5"/>
  <c r="J808" i="2"/>
  <c r="I792" i="2"/>
  <c r="J773" i="2"/>
  <c r="I757" i="2"/>
  <c r="I736" i="2"/>
  <c r="J719" i="2"/>
  <c r="I701" i="2"/>
  <c r="I685" i="2"/>
  <c r="I665" i="2"/>
  <c r="J649" i="2"/>
  <c r="I633" i="2"/>
  <c r="J617" i="2"/>
  <c r="J599" i="2"/>
  <c r="I583" i="2"/>
  <c r="I568" i="2"/>
  <c r="J552" i="2"/>
  <c r="I535" i="2"/>
  <c r="I520" i="2"/>
  <c r="I505" i="2"/>
  <c r="I487" i="2"/>
  <c r="I472" i="2"/>
  <c r="I457" i="2"/>
  <c r="J441" i="2"/>
  <c r="I424" i="2"/>
  <c r="I409" i="2"/>
  <c r="J393" i="2"/>
  <c r="J378" i="2"/>
  <c r="I361" i="2"/>
  <c r="I346" i="2"/>
  <c r="I332" i="2"/>
  <c r="I318" i="2"/>
  <c r="I304" i="2"/>
  <c r="J289" i="2"/>
  <c r="I274" i="2"/>
  <c r="I260" i="2"/>
  <c r="I246" i="2"/>
  <c r="I232" i="2"/>
  <c r="J218" i="2"/>
  <c r="I205" i="2"/>
  <c r="J191" i="2"/>
  <c r="J177" i="2"/>
  <c r="I164" i="2"/>
  <c r="I151" i="2"/>
  <c r="I138" i="2"/>
  <c r="I125" i="2"/>
  <c r="L64" i="5"/>
  <c r="J807" i="2"/>
  <c r="I791" i="2"/>
  <c r="J772" i="2"/>
  <c r="I756" i="2"/>
  <c r="I735" i="2"/>
  <c r="I717" i="2"/>
  <c r="I700" i="2"/>
  <c r="J683" i="2"/>
  <c r="I664" i="2"/>
  <c r="J648" i="2"/>
  <c r="I632" i="2"/>
  <c r="I614" i="2"/>
  <c r="I598" i="2"/>
  <c r="I582" i="2"/>
  <c r="I567" i="2"/>
  <c r="I549" i="2"/>
  <c r="I534" i="2"/>
  <c r="I519" i="2"/>
  <c r="I504" i="2"/>
  <c r="I486" i="2"/>
  <c r="I471" i="2"/>
  <c r="I456" i="2"/>
  <c r="J440" i="2"/>
  <c r="P135" i="5"/>
  <c r="O156" i="3"/>
  <c r="J598" i="2" s="1"/>
  <c r="O203" i="3"/>
  <c r="O207" i="3"/>
  <c r="J564" i="2" s="1"/>
  <c r="O241" i="3"/>
  <c r="J620" i="2" s="1"/>
  <c r="O381" i="3"/>
  <c r="N68" i="4"/>
  <c r="H172" i="4" s="1"/>
  <c r="L25" i="5"/>
  <c r="L52" i="5"/>
  <c r="N52" i="5" s="1"/>
  <c r="P92" i="5"/>
  <c r="L92" i="5"/>
  <c r="P40" i="5"/>
  <c r="M46" i="5"/>
  <c r="P83" i="5"/>
  <c r="L83" i="5"/>
  <c r="M83" i="5"/>
  <c r="L166" i="5"/>
  <c r="N166" i="5" s="1"/>
  <c r="P166" i="5"/>
  <c r="M166" i="5"/>
  <c r="L176" i="5"/>
  <c r="N176" i="5" s="1"/>
  <c r="P294" i="5"/>
  <c r="L119" i="5"/>
  <c r="N119" i="5" s="1"/>
  <c r="P153" i="5"/>
  <c r="I605" i="2"/>
  <c r="J688" i="2"/>
  <c r="J779" i="2"/>
  <c r="J22" i="2"/>
  <c r="I60" i="2"/>
  <c r="J97" i="2"/>
  <c r="J136" i="2"/>
  <c r="I178" i="2"/>
  <c r="J206" i="2"/>
  <c r="I249" i="2"/>
  <c r="J265" i="2"/>
  <c r="I280" i="2"/>
  <c r="J294" i="2"/>
  <c r="I309" i="2"/>
  <c r="I324" i="2"/>
  <c r="J339" i="2"/>
  <c r="J355" i="2"/>
  <c r="I372" i="2"/>
  <c r="J390" i="2"/>
  <c r="I407" i="2"/>
  <c r="I423" i="2"/>
  <c r="J444" i="2"/>
  <c r="I462" i="2"/>
  <c r="J482" i="2"/>
  <c r="I502" i="2"/>
  <c r="I523" i="2"/>
  <c r="J543" i="2"/>
  <c r="I561" i="2"/>
  <c r="J581" i="2"/>
  <c r="J605" i="2"/>
  <c r="I645" i="2"/>
  <c r="J664" i="2"/>
  <c r="I689" i="2"/>
  <c r="I712" i="2"/>
  <c r="I733" i="2"/>
  <c r="I759" i="2"/>
  <c r="I780" i="2"/>
  <c r="J803" i="2"/>
  <c r="O285" i="3"/>
  <c r="J661" i="2" s="1"/>
  <c r="P6" i="5"/>
  <c r="L6" i="5"/>
  <c r="L56" i="5"/>
  <c r="L74" i="5"/>
  <c r="N74" i="5" s="1"/>
  <c r="M87" i="5"/>
  <c r="I543" i="2"/>
  <c r="I624" i="2"/>
  <c r="I711" i="2"/>
  <c r="I803" i="2"/>
  <c r="M68" i="5"/>
  <c r="I35" i="2"/>
  <c r="I110" i="2"/>
  <c r="I150" i="2"/>
  <c r="J220" i="2"/>
  <c r="I23" i="2"/>
  <c r="I48" i="2"/>
  <c r="I73" i="2"/>
  <c r="I98" i="2"/>
  <c r="I137" i="2"/>
  <c r="I165" i="2"/>
  <c r="I193" i="2"/>
  <c r="I221" i="2"/>
  <c r="J249" i="2"/>
  <c r="J280" i="2"/>
  <c r="I295" i="2"/>
  <c r="J324" i="2"/>
  <c r="J340" i="2"/>
  <c r="I356" i="2"/>
  <c r="J372" i="2"/>
  <c r="I391" i="2"/>
  <c r="J407" i="2"/>
  <c r="J423" i="2"/>
  <c r="I445" i="2"/>
  <c r="J464" i="2"/>
  <c r="I483" i="2"/>
  <c r="J503" i="2"/>
  <c r="J523" i="2"/>
  <c r="I544" i="2"/>
  <c r="J561" i="2"/>
  <c r="J582" i="2"/>
  <c r="I606" i="2"/>
  <c r="I625" i="2"/>
  <c r="I646" i="2"/>
  <c r="I671" i="2"/>
  <c r="J689" i="2"/>
  <c r="J733" i="2"/>
  <c r="J759" i="2"/>
  <c r="J780" i="2"/>
  <c r="I804" i="2"/>
  <c r="N54" i="4"/>
  <c r="N58" i="4" s="1"/>
  <c r="H171" i="4" s="1"/>
  <c r="N161" i="4"/>
  <c r="H186" i="4" s="1"/>
  <c r="M6" i="5"/>
  <c r="M15" i="5"/>
  <c r="P44" i="5"/>
  <c r="M56" i="5"/>
  <c r="L65" i="5"/>
  <c r="N65" i="5" s="1"/>
  <c r="P90" i="5"/>
  <c r="L150" i="5"/>
  <c r="N150" i="5" s="1"/>
  <c r="I581" i="2"/>
  <c r="J663" i="2"/>
  <c r="J756" i="2"/>
  <c r="I10" i="2"/>
  <c r="J47" i="2"/>
  <c r="I85" i="2"/>
  <c r="I123" i="2"/>
  <c r="J163" i="2"/>
  <c r="J192" i="2"/>
  <c r="J10" i="2"/>
  <c r="J35" i="2"/>
  <c r="J60" i="2"/>
  <c r="J85" i="2"/>
  <c r="J110" i="2"/>
  <c r="J123" i="2"/>
  <c r="I179" i="2"/>
  <c r="I207" i="2"/>
  <c r="I235" i="2"/>
  <c r="I266" i="2"/>
  <c r="J309" i="2"/>
  <c r="I11" i="2"/>
  <c r="J23" i="2"/>
  <c r="I36" i="2"/>
  <c r="J48" i="2"/>
  <c r="I61" i="2"/>
  <c r="J73" i="2"/>
  <c r="I86" i="2"/>
  <c r="J98" i="2"/>
  <c r="I111" i="2"/>
  <c r="I124" i="2"/>
  <c r="J137" i="2"/>
  <c r="J151" i="2"/>
  <c r="J179" i="2"/>
  <c r="J193" i="2"/>
  <c r="J207" i="2"/>
  <c r="J221" i="2"/>
  <c r="J235" i="2"/>
  <c r="I251" i="2"/>
  <c r="J266" i="2"/>
  <c r="I281" i="2"/>
  <c r="J295" i="2"/>
  <c r="I310" i="2"/>
  <c r="I325" i="2"/>
  <c r="I341" i="2"/>
  <c r="J356" i="2"/>
  <c r="I373" i="2"/>
  <c r="J391" i="2"/>
  <c r="I408" i="2"/>
  <c r="J424" i="2"/>
  <c r="J445" i="2"/>
  <c r="J465" i="2"/>
  <c r="J483" i="2"/>
  <c r="I524" i="2"/>
  <c r="J544" i="2"/>
  <c r="I562" i="2"/>
  <c r="I585" i="2"/>
  <c r="J606" i="2"/>
  <c r="J625" i="2"/>
  <c r="I647" i="2"/>
  <c r="J671" i="2"/>
  <c r="I690" i="2"/>
  <c r="I713" i="2"/>
  <c r="I734" i="2"/>
  <c r="I760" i="2"/>
  <c r="I783" i="2"/>
  <c r="J804" i="2"/>
  <c r="O34" i="3"/>
  <c r="J154" i="2" s="1"/>
  <c r="O98" i="3"/>
  <c r="J437" i="2" s="1"/>
  <c r="O158" i="3"/>
  <c r="J506" i="2" s="1"/>
  <c r="O239" i="3"/>
  <c r="J612" i="2" s="1"/>
  <c r="O290" i="3"/>
  <c r="J666" i="2" s="1"/>
  <c r="O340" i="3"/>
  <c r="J716" i="2" s="1"/>
  <c r="O412" i="3"/>
  <c r="L15" i="5"/>
  <c r="N15" i="5" s="1"/>
  <c r="P53" i="5"/>
  <c r="P59" i="5"/>
  <c r="P68" i="5"/>
  <c r="P71" i="5"/>
  <c r="M93" i="5"/>
  <c r="L93" i="5"/>
  <c r="N93" i="5" s="1"/>
  <c r="P74" i="5"/>
  <c r="J36" i="2"/>
  <c r="I74" i="2"/>
  <c r="J111" i="2"/>
  <c r="J152" i="2"/>
  <c r="I194" i="2"/>
  <c r="I236" i="2"/>
  <c r="I326" i="2"/>
  <c r="J341" i="2"/>
  <c r="I392" i="2"/>
  <c r="J408" i="2"/>
  <c r="I427" i="2"/>
  <c r="I446" i="2"/>
  <c r="I466" i="2"/>
  <c r="I484" i="2"/>
  <c r="I507" i="2"/>
  <c r="J524" i="2"/>
  <c r="I545" i="2"/>
  <c r="I565" i="2"/>
  <c r="I586" i="2"/>
  <c r="I607" i="2"/>
  <c r="I626" i="2"/>
  <c r="J647" i="2"/>
  <c r="I672" i="2"/>
  <c r="J690" i="2"/>
  <c r="J713" i="2"/>
  <c r="J760" i="2"/>
  <c r="I784" i="2"/>
  <c r="I805" i="2"/>
  <c r="O327" i="3"/>
  <c r="J703" i="2" s="1"/>
  <c r="P12" i="5"/>
  <c r="M12" i="5"/>
  <c r="L12" i="5"/>
  <c r="N12" i="5" s="1"/>
  <c r="P18" i="5"/>
  <c r="L18" i="5"/>
  <c r="M18" i="5"/>
  <c r="L59" i="5"/>
  <c r="P20" i="5"/>
  <c r="I24" i="2"/>
  <c r="J61" i="2"/>
  <c r="I99" i="2"/>
  <c r="J138" i="2"/>
  <c r="I166" i="2"/>
  <c r="I208" i="2"/>
  <c r="I252" i="2"/>
  <c r="I296" i="2"/>
  <c r="J373" i="2"/>
  <c r="J24" i="2"/>
  <c r="J49" i="2"/>
  <c r="J74" i="2"/>
  <c r="J99" i="2"/>
  <c r="I153" i="2"/>
  <c r="J222" i="2"/>
  <c r="I253" i="2"/>
  <c r="J267" i="2"/>
  <c r="I282" i="2"/>
  <c r="J296" i="2"/>
  <c r="J311" i="2"/>
  <c r="I327" i="2"/>
  <c r="I342" i="2"/>
  <c r="J357" i="2"/>
  <c r="I374" i="2"/>
  <c r="J409" i="2"/>
  <c r="J446" i="2"/>
  <c r="I467" i="2"/>
  <c r="J484" i="2"/>
  <c r="J507" i="2"/>
  <c r="J527" i="2"/>
  <c r="J545" i="2"/>
  <c r="I566" i="2"/>
  <c r="I587" i="2"/>
  <c r="J626" i="2"/>
  <c r="I648" i="2"/>
  <c r="J672" i="2"/>
  <c r="I691" i="2"/>
  <c r="I714" i="2"/>
  <c r="J735" i="2"/>
  <c r="I761" i="2"/>
  <c r="J784" i="2"/>
  <c r="J805" i="2"/>
  <c r="N27" i="4"/>
  <c r="P51" i="5"/>
  <c r="P56" i="5"/>
  <c r="J560" i="2"/>
  <c r="J644" i="2"/>
  <c r="J732" i="2"/>
  <c r="O416" i="3"/>
  <c r="J794" i="2" s="1"/>
  <c r="J11" i="2"/>
  <c r="I49" i="2"/>
  <c r="J86" i="2"/>
  <c r="J124" i="2"/>
  <c r="I180" i="2"/>
  <c r="I222" i="2"/>
  <c r="I267" i="2"/>
  <c r="I311" i="2"/>
  <c r="I357" i="2"/>
  <c r="I12" i="2"/>
  <c r="I37" i="2"/>
  <c r="I62" i="2"/>
  <c r="I87" i="2"/>
  <c r="I112" i="2"/>
  <c r="I139" i="2"/>
  <c r="I167" i="2"/>
  <c r="J194" i="2"/>
  <c r="J236" i="2"/>
  <c r="J12" i="2"/>
  <c r="I25" i="2"/>
  <c r="J37" i="2"/>
  <c r="I50" i="2"/>
  <c r="J62" i="2"/>
  <c r="I75" i="2"/>
  <c r="J87" i="2"/>
  <c r="I100" i="2"/>
  <c r="J112" i="2"/>
  <c r="I126" i="2"/>
  <c r="I140" i="2"/>
  <c r="J153" i="2"/>
  <c r="J167" i="2"/>
  <c r="I181" i="2"/>
  <c r="I195" i="2"/>
  <c r="I209" i="2"/>
  <c r="I223" i="2"/>
  <c r="I237" i="2"/>
  <c r="J253" i="2"/>
  <c r="I268" i="2"/>
  <c r="J282" i="2"/>
  <c r="I297" i="2"/>
  <c r="I312" i="2"/>
  <c r="I328" i="2"/>
  <c r="J342" i="2"/>
  <c r="I358" i="2"/>
  <c r="J374" i="2"/>
  <c r="I393" i="2"/>
  <c r="I410" i="2"/>
  <c r="I429" i="2"/>
  <c r="I447" i="2"/>
  <c r="J467" i="2"/>
  <c r="I485" i="2"/>
  <c r="I508" i="2"/>
  <c r="J528" i="2"/>
  <c r="I546" i="2"/>
  <c r="J566" i="2"/>
  <c r="J587" i="2"/>
  <c r="I608" i="2"/>
  <c r="I627" i="2"/>
  <c r="I649" i="2"/>
  <c r="I673" i="2"/>
  <c r="J714" i="2"/>
  <c r="I741" i="2"/>
  <c r="J761" i="2"/>
  <c r="I785" i="2"/>
  <c r="I806" i="2"/>
  <c r="O223" i="3"/>
  <c r="J591" i="2" s="1"/>
  <c r="O286" i="3"/>
  <c r="J662" i="2" s="1"/>
  <c r="O336" i="3"/>
  <c r="J712" i="2" s="1"/>
  <c r="O358" i="3"/>
  <c r="O417" i="3"/>
  <c r="J795" i="2" s="1"/>
  <c r="O431" i="3"/>
  <c r="J422" i="2" s="1"/>
  <c r="P15" i="5"/>
  <c r="L51" i="5"/>
  <c r="N51" i="5" s="1"/>
  <c r="L81" i="5"/>
  <c r="N81" i="5" s="1"/>
  <c r="P81" i="5"/>
  <c r="M81" i="5"/>
  <c r="P88" i="5"/>
  <c r="L88" i="5"/>
  <c r="O13" i="3"/>
  <c r="J13" i="2" s="1"/>
  <c r="O261" i="3"/>
  <c r="J637" i="2" s="1"/>
  <c r="O410" i="3"/>
  <c r="J788" i="2" s="1"/>
  <c r="N73" i="4"/>
  <c r="P24" i="5"/>
  <c r="P61" i="5"/>
  <c r="L61" i="5"/>
  <c r="M61" i="5"/>
  <c r="M88" i="5"/>
  <c r="L194" i="5"/>
  <c r="N194" i="5" s="1"/>
  <c r="O129" i="3"/>
  <c r="J468" i="2" s="1"/>
  <c r="O159" i="3"/>
  <c r="O208" i="3"/>
  <c r="J573" i="2" s="1"/>
  <c r="N55" i="4"/>
  <c r="M13" i="5"/>
  <c r="M24" i="5"/>
  <c r="P27" i="5"/>
  <c r="M27" i="5"/>
  <c r="P35" i="5"/>
  <c r="P127" i="5"/>
  <c r="O221" i="3"/>
  <c r="J589" i="2" s="1"/>
  <c r="O278" i="3"/>
  <c r="J654" i="2" s="1"/>
  <c r="O322" i="3"/>
  <c r="J698" i="2" s="1"/>
  <c r="O423" i="3"/>
  <c r="N130" i="4"/>
  <c r="N131" i="4" s="1"/>
  <c r="H182" i="4" s="1"/>
  <c r="P38" i="5"/>
  <c r="L38" i="5"/>
  <c r="N38" i="5" s="1"/>
  <c r="M41" i="5"/>
  <c r="P79" i="5"/>
  <c r="P174" i="5"/>
  <c r="O180" i="3"/>
  <c r="J530" i="2" s="1"/>
  <c r="L79" i="5"/>
  <c r="N79" i="5" s="1"/>
  <c r="O59" i="3"/>
  <c r="J380" i="2" s="1"/>
  <c r="O89" i="3"/>
  <c r="J428" i="2" s="1"/>
  <c r="O242" i="3"/>
  <c r="J615" i="2" s="1"/>
  <c r="O411" i="3"/>
  <c r="J789" i="2" s="1"/>
  <c r="N38" i="4"/>
  <c r="L30" i="5"/>
  <c r="N30" i="5" s="1"/>
  <c r="M79" i="5"/>
  <c r="P171" i="5"/>
  <c r="M124" i="5"/>
  <c r="P144" i="5"/>
  <c r="M144" i="5"/>
  <c r="L144" i="5"/>
  <c r="N144" i="5" s="1"/>
  <c r="P99" i="5"/>
  <c r="P219" i="5"/>
  <c r="M90" i="5"/>
  <c r="L206" i="5"/>
  <c r="N206" i="5" s="1"/>
  <c r="L191" i="5"/>
  <c r="N191" i="5" s="1"/>
  <c r="P204" i="5"/>
  <c r="M204" i="5"/>
  <c r="L204" i="5"/>
  <c r="N204" i="5" s="1"/>
  <c r="M55" i="5"/>
  <c r="L55" i="5"/>
  <c r="P55" i="5"/>
  <c r="P165" i="5"/>
  <c r="L224" i="5"/>
  <c r="N224" i="5" s="1"/>
  <c r="L13" i="5"/>
  <c r="N13" i="5" s="1"/>
  <c r="L44" i="5"/>
  <c r="P77" i="5"/>
  <c r="M113" i="5"/>
  <c r="O30" i="3"/>
  <c r="J204" i="2" s="1"/>
  <c r="O319" i="3"/>
  <c r="J695" i="2" s="1"/>
  <c r="M26" i="5"/>
  <c r="P39" i="5"/>
  <c r="L39" i="5"/>
  <c r="M44" i="5"/>
  <c r="P50" i="5"/>
  <c r="L50" i="5"/>
  <c r="L113" i="5"/>
  <c r="P261" i="5"/>
  <c r="O21" i="3"/>
  <c r="J381" i="2" s="1"/>
  <c r="O315" i="3"/>
  <c r="J691" i="2" s="1"/>
  <c r="O363" i="3"/>
  <c r="J740" i="2" s="1"/>
  <c r="P16" i="5"/>
  <c r="M16" i="5"/>
  <c r="M39" i="5"/>
  <c r="M50" i="5"/>
  <c r="M86" i="5"/>
  <c r="L86" i="5"/>
  <c r="N86" i="5" s="1"/>
  <c r="P162" i="5"/>
  <c r="M162" i="5"/>
  <c r="L162" i="5"/>
  <c r="M221" i="5"/>
  <c r="P113" i="5"/>
  <c r="M159" i="5"/>
  <c r="L159" i="5"/>
  <c r="N159" i="5" s="1"/>
  <c r="M172" i="5"/>
  <c r="O250" i="3"/>
  <c r="J624" i="2" s="1"/>
  <c r="O281" i="3"/>
  <c r="J657" i="2" s="1"/>
  <c r="O355" i="3"/>
  <c r="J731" i="2" s="1"/>
  <c r="N75" i="4"/>
  <c r="L8" i="5"/>
  <c r="N8" i="5" s="1"/>
  <c r="M8" i="5"/>
  <c r="P64" i="5"/>
  <c r="M64" i="5"/>
  <c r="P86" i="5"/>
  <c r="P107" i="5"/>
  <c r="P84" i="5"/>
  <c r="M84" i="5"/>
  <c r="L84" i="5"/>
  <c r="P256" i="5"/>
  <c r="M45" i="5"/>
  <c r="P45" i="5"/>
  <c r="L45" i="5"/>
  <c r="N45" i="5" s="1"/>
  <c r="P102" i="5"/>
  <c r="P108" i="5"/>
  <c r="M108" i="5"/>
  <c r="L108" i="5"/>
  <c r="P156" i="5"/>
  <c r="M156" i="5"/>
  <c r="L156" i="5"/>
  <c r="M241" i="5"/>
  <c r="M21" i="5"/>
  <c r="M94" i="5"/>
  <c r="P100" i="5"/>
  <c r="L100" i="5"/>
  <c r="N100" i="5" s="1"/>
  <c r="M100" i="5"/>
  <c r="P121" i="5"/>
  <c r="L248" i="5"/>
  <c r="N248" i="5" s="1"/>
  <c r="P258" i="5"/>
  <c r="M258" i="5"/>
  <c r="L258" i="5"/>
  <c r="N258" i="5" s="1"/>
  <c r="P271" i="5"/>
  <c r="O427" i="3"/>
  <c r="J806" i="2" s="1"/>
  <c r="P9" i="5"/>
  <c r="M9" i="5"/>
  <c r="M49" i="5"/>
  <c r="M62" i="5"/>
  <c r="L62" i="5"/>
  <c r="N62" i="5" s="1"/>
  <c r="M78" i="5"/>
  <c r="L118" i="5"/>
  <c r="N118" i="5" s="1"/>
  <c r="M118" i="5"/>
  <c r="P118" i="5"/>
  <c r="P180" i="5"/>
  <c r="M180" i="5"/>
  <c r="L180" i="5"/>
  <c r="O292" i="3"/>
  <c r="J668" i="2" s="1"/>
  <c r="M148" i="5"/>
  <c r="P151" i="5"/>
  <c r="P21" i="5"/>
  <c r="M31" i="5"/>
  <c r="P36" i="5"/>
  <c r="M36" i="5"/>
  <c r="L36" i="5"/>
  <c r="N36" i="5" s="1"/>
  <c r="P57" i="5"/>
  <c r="M57" i="5"/>
  <c r="P62" i="5"/>
  <c r="P65" i="5"/>
  <c r="M73" i="5"/>
  <c r="L89" i="5"/>
  <c r="P138" i="5"/>
  <c r="M138" i="5"/>
  <c r="L138" i="5"/>
  <c r="N138" i="5" s="1"/>
  <c r="M110" i="5"/>
  <c r="L200" i="5"/>
  <c r="N200" i="5" s="1"/>
  <c r="L209" i="5"/>
  <c r="N209" i="5" s="1"/>
  <c r="P212" i="5"/>
  <c r="P247" i="5"/>
  <c r="P87" i="5"/>
  <c r="L87" i="5"/>
  <c r="N87" i="5" s="1"/>
  <c r="P114" i="5"/>
  <c r="M179" i="5"/>
  <c r="L179" i="5"/>
  <c r="N179" i="5" s="1"/>
  <c r="P195" i="5"/>
  <c r="P291" i="5"/>
  <c r="P60" i="5"/>
  <c r="M60" i="5"/>
  <c r="L60" i="5"/>
  <c r="N60" i="5" s="1"/>
  <c r="M65" i="5"/>
  <c r="M77" i="5"/>
  <c r="M103" i="5"/>
  <c r="P129" i="5"/>
  <c r="L167" i="5"/>
  <c r="N167" i="5" s="1"/>
  <c r="L170" i="5"/>
  <c r="N170" i="5" s="1"/>
  <c r="M173" i="5"/>
  <c r="P179" i="5"/>
  <c r="P192" i="5"/>
  <c r="L192" i="5"/>
  <c r="N192" i="5" s="1"/>
  <c r="P223" i="5"/>
  <c r="P288" i="5"/>
  <c r="M288" i="5"/>
  <c r="P126" i="5"/>
  <c r="L142" i="5"/>
  <c r="P142" i="5"/>
  <c r="M142" i="5"/>
  <c r="M217" i="5"/>
  <c r="M220" i="5"/>
  <c r="P252" i="5"/>
  <c r="M252" i="5"/>
  <c r="L252" i="5"/>
  <c r="M255" i="5"/>
  <c r="L255" i="5"/>
  <c r="N255" i="5" s="1"/>
  <c r="P255" i="5"/>
  <c r="L288" i="5"/>
  <c r="P70" i="5"/>
  <c r="L90" i="5"/>
  <c r="N90" i="5" s="1"/>
  <c r="P98" i="5"/>
  <c r="P109" i="5"/>
  <c r="P123" i="5"/>
  <c r="P164" i="5"/>
  <c r="P249" i="5"/>
  <c r="L70" i="5"/>
  <c r="N70" i="5" s="1"/>
  <c r="P75" i="5"/>
  <c r="L75" i="5"/>
  <c r="N75" i="5" s="1"/>
  <c r="M85" i="5"/>
  <c r="L109" i="5"/>
  <c r="N109" i="5" s="1"/>
  <c r="L214" i="5"/>
  <c r="P214" i="5"/>
  <c r="M214" i="5"/>
  <c r="M155" i="5"/>
  <c r="L161" i="5"/>
  <c r="N161" i="5" s="1"/>
  <c r="P161" i="5"/>
  <c r="L262" i="5"/>
  <c r="N262" i="5" s="1"/>
  <c r="P262" i="5"/>
  <c r="M262" i="5"/>
  <c r="O229" i="3"/>
  <c r="J602" i="2" s="1"/>
  <c r="N104" i="4"/>
  <c r="N109" i="4" s="1"/>
  <c r="H177" i="4" s="1"/>
  <c r="L101" i="5"/>
  <c r="N101" i="5" s="1"/>
  <c r="P136" i="5"/>
  <c r="L155" i="5"/>
  <c r="M161" i="5"/>
  <c r="P186" i="5"/>
  <c r="M186" i="5"/>
  <c r="L186" i="5"/>
  <c r="N186" i="5" s="1"/>
  <c r="P208" i="5"/>
  <c r="P273" i="5"/>
  <c r="P297" i="5"/>
  <c r="M303" i="5"/>
  <c r="M97" i="5"/>
  <c r="P132" i="5"/>
  <c r="M132" i="5"/>
  <c r="L132" i="5"/>
  <c r="P147" i="5"/>
  <c r="L238" i="5"/>
  <c r="N238" i="5" s="1"/>
  <c r="P238" i="5"/>
  <c r="M238" i="5"/>
  <c r="M244" i="5"/>
  <c r="P276" i="5"/>
  <c r="M279" i="5"/>
  <c r="L279" i="5"/>
  <c r="N279" i="5" s="1"/>
  <c r="P285" i="5"/>
  <c r="P300" i="5"/>
  <c r="M135" i="5"/>
  <c r="L135" i="5"/>
  <c r="P141" i="5"/>
  <c r="P150" i="5"/>
  <c r="L185" i="5"/>
  <c r="N185" i="5" s="1"/>
  <c r="P188" i="5"/>
  <c r="M197" i="5"/>
  <c r="P282" i="5"/>
  <c r="M282" i="5"/>
  <c r="L282" i="5"/>
  <c r="M203" i="5"/>
  <c r="L215" i="5"/>
  <c r="N215" i="5" s="1"/>
  <c r="L218" i="5"/>
  <c r="N218" i="5" s="1"/>
  <c r="M265" i="5"/>
  <c r="P279" i="5"/>
  <c r="M268" i="5"/>
  <c r="M292" i="5"/>
  <c r="M289" i="5"/>
  <c r="P295" i="5"/>
  <c r="L116" i="5"/>
  <c r="M145" i="5"/>
  <c r="P177" i="5"/>
  <c r="M227" i="5"/>
  <c r="L239" i="5"/>
  <c r="N239" i="5" s="1"/>
  <c r="L242" i="5"/>
  <c r="N242" i="5" s="1"/>
  <c r="L286" i="5"/>
  <c r="N286" i="5" s="1"/>
  <c r="P286" i="5"/>
  <c r="M286" i="5"/>
  <c r="M298" i="5"/>
  <c r="L301" i="5"/>
  <c r="N301" i="5" s="1"/>
  <c r="P304" i="5"/>
  <c r="P283" i="5"/>
  <c r="M183" i="5"/>
  <c r="L183" i="5"/>
  <c r="P189" i="5"/>
  <c r="P198" i="5"/>
  <c r="L230" i="5"/>
  <c r="N230" i="5" s="1"/>
  <c r="L233" i="5"/>
  <c r="N233" i="5" s="1"/>
  <c r="P236" i="5"/>
  <c r="M245" i="5"/>
  <c r="P280" i="5"/>
  <c r="P122" i="5"/>
  <c r="M169" i="5"/>
  <c r="P201" i="5"/>
  <c r="M251" i="5"/>
  <c r="L263" i="5"/>
  <c r="N263" i="5" s="1"/>
  <c r="L266" i="5"/>
  <c r="M125" i="5"/>
  <c r="M207" i="5"/>
  <c r="L207" i="5"/>
  <c r="N207" i="5" s="1"/>
  <c r="P213" i="5"/>
  <c r="P222" i="5"/>
  <c r="L254" i="5"/>
  <c r="N254" i="5" s="1"/>
  <c r="L257" i="5"/>
  <c r="N257" i="5" s="1"/>
  <c r="P260" i="5"/>
  <c r="M269" i="5"/>
  <c r="L290" i="5"/>
  <c r="N290" i="5" s="1"/>
  <c r="O390" i="3"/>
  <c r="J767" i="2" s="1"/>
  <c r="L32" i="5"/>
  <c r="N32" i="5" s="1"/>
  <c r="L80" i="5"/>
  <c r="N80" i="5" s="1"/>
  <c r="L96" i="5"/>
  <c r="N96" i="5" s="1"/>
  <c r="L128" i="5"/>
  <c r="P160" i="5"/>
  <c r="P175" i="5"/>
  <c r="P210" i="5"/>
  <c r="M210" i="5"/>
  <c r="L210" i="5"/>
  <c r="P240" i="5"/>
  <c r="P251" i="5"/>
  <c r="M257" i="5"/>
  <c r="L272" i="5"/>
  <c r="N272" i="5" s="1"/>
  <c r="L287" i="5"/>
  <c r="N287" i="5" s="1"/>
  <c r="M293" i="5"/>
  <c r="L296" i="5"/>
  <c r="N296" i="5" s="1"/>
  <c r="P305" i="5"/>
  <c r="M131" i="5"/>
  <c r="L143" i="5"/>
  <c r="N143" i="5" s="1"/>
  <c r="L146" i="5"/>
  <c r="N146" i="5" s="1"/>
  <c r="M193" i="5"/>
  <c r="P225" i="5"/>
  <c r="M275" i="5"/>
  <c r="M299" i="5"/>
  <c r="L103" i="5"/>
  <c r="L110" i="5"/>
  <c r="L131" i="5"/>
  <c r="L190" i="5"/>
  <c r="P190" i="5"/>
  <c r="M190" i="5"/>
  <c r="M196" i="5"/>
  <c r="P207" i="5"/>
  <c r="P228" i="5"/>
  <c r="M228" i="5"/>
  <c r="L228" i="5"/>
  <c r="P243" i="5"/>
  <c r="P257" i="5"/>
  <c r="L275" i="5"/>
  <c r="L281" i="5"/>
  <c r="N281" i="5" s="1"/>
  <c r="P284" i="5"/>
  <c r="L299" i="5"/>
  <c r="N299" i="5" s="1"/>
  <c r="M302" i="5"/>
  <c r="N47" i="4"/>
  <c r="L37" i="5"/>
  <c r="N37" i="5" s="1"/>
  <c r="L46" i="5"/>
  <c r="N46" i="5" s="1"/>
  <c r="L78" i="5"/>
  <c r="N78" i="5" s="1"/>
  <c r="L85" i="5"/>
  <c r="N85" i="5" s="1"/>
  <c r="L94" i="5"/>
  <c r="M117" i="5"/>
  <c r="L137" i="5"/>
  <c r="N137" i="5" s="1"/>
  <c r="P140" i="5"/>
  <c r="M149" i="5"/>
  <c r="M231" i="5"/>
  <c r="L231" i="5"/>
  <c r="N231" i="5" s="1"/>
  <c r="P237" i="5"/>
  <c r="P246" i="5"/>
  <c r="L278" i="5"/>
  <c r="N278" i="5" s="1"/>
  <c r="M281" i="5"/>
  <c r="M69" i="5"/>
  <c r="P120" i="5"/>
  <c r="P131" i="5"/>
  <c r="L152" i="5"/>
  <c r="N152" i="5" s="1"/>
  <c r="P184" i="5"/>
  <c r="P199" i="5"/>
  <c r="P234" i="5"/>
  <c r="M234" i="5"/>
  <c r="L234" i="5"/>
  <c r="N234" i="5" s="1"/>
  <c r="P264" i="5"/>
  <c r="P275" i="5"/>
  <c r="P299" i="5"/>
  <c r="M129" i="5"/>
  <c r="L140" i="5"/>
  <c r="N140" i="5" s="1"/>
  <c r="M153" i="5"/>
  <c r="L164" i="5"/>
  <c r="N164" i="5" s="1"/>
  <c r="M177" i="5"/>
  <c r="L188" i="5"/>
  <c r="N188" i="5" s="1"/>
  <c r="M201" i="5"/>
  <c r="L212" i="5"/>
  <c r="N212" i="5" s="1"/>
  <c r="M225" i="5"/>
  <c r="L236" i="5"/>
  <c r="N236" i="5" s="1"/>
  <c r="L260" i="5"/>
  <c r="N260" i="5" s="1"/>
  <c r="M127" i="5"/>
  <c r="M151" i="5"/>
  <c r="M175" i="5"/>
  <c r="M199" i="5"/>
  <c r="M223" i="5"/>
  <c r="M247" i="5"/>
  <c r="M271" i="5"/>
  <c r="M295" i="5"/>
  <c r="L125" i="5"/>
  <c r="N125" i="5" s="1"/>
  <c r="L136" i="5"/>
  <c r="N136" i="5" s="1"/>
  <c r="L160" i="5"/>
  <c r="N160" i="5" s="1"/>
  <c r="L184" i="5"/>
  <c r="L208" i="5"/>
  <c r="L232" i="5"/>
  <c r="N232" i="5" s="1"/>
  <c r="L256" i="5"/>
  <c r="N256" i="5" s="1"/>
  <c r="L280" i="5"/>
  <c r="L304" i="5"/>
  <c r="N304" i="5" s="1"/>
  <c r="L123" i="5"/>
  <c r="N123" i="5" s="1"/>
  <c r="M136" i="5"/>
  <c r="M160" i="5"/>
  <c r="M184" i="5"/>
  <c r="M208" i="5"/>
  <c r="M232" i="5"/>
  <c r="M256" i="5"/>
  <c r="L267" i="5"/>
  <c r="M280" i="5"/>
  <c r="L291" i="5"/>
  <c r="M304" i="5"/>
  <c r="M123" i="5"/>
  <c r="M267" i="5"/>
  <c r="M291" i="5"/>
  <c r="L302" i="5"/>
  <c r="N302" i="5" s="1"/>
  <c r="M121" i="5"/>
  <c r="L276" i="5"/>
  <c r="L300" i="5"/>
  <c r="M276" i="5"/>
  <c r="M300" i="5"/>
  <c r="L117" i="5"/>
  <c r="N117" i="5" s="1"/>
  <c r="L141" i="5"/>
  <c r="L165" i="5"/>
  <c r="L189" i="5"/>
  <c r="L213" i="5"/>
  <c r="L237" i="5"/>
  <c r="L261" i="5"/>
  <c r="L285" i="5"/>
  <c r="N285" i="5" s="1"/>
  <c r="M141" i="5"/>
  <c r="M165" i="5"/>
  <c r="M189" i="5"/>
  <c r="M213" i="5"/>
  <c r="M237" i="5"/>
  <c r="M261" i="5"/>
  <c r="M285" i="5"/>
  <c r="M126" i="5"/>
  <c r="L305" i="5"/>
  <c r="M305" i="5"/>
  <c r="L303" i="5"/>
  <c r="N303" i="5" s="1"/>
  <c r="L122" i="5"/>
  <c r="N122" i="5" s="1"/>
  <c r="N228" i="5" l="1"/>
  <c r="N88" i="5"/>
  <c r="J125" i="2"/>
  <c r="J375" i="2"/>
  <c r="N21" i="5"/>
  <c r="N58" i="5"/>
  <c r="N268" i="5"/>
  <c r="N193" i="5"/>
  <c r="N225" i="5"/>
  <c r="N283" i="5"/>
  <c r="N22" i="5"/>
  <c r="N216" i="5"/>
  <c r="N57" i="5"/>
  <c r="N294" i="5"/>
  <c r="N253" i="5"/>
  <c r="N267" i="5"/>
  <c r="N116" i="5"/>
  <c r="N252" i="5"/>
  <c r="J150" i="2"/>
  <c r="N223" i="5"/>
  <c r="N292" i="5"/>
  <c r="J241" i="2"/>
  <c r="J308" i="2"/>
  <c r="N210" i="5"/>
  <c r="N113" i="5"/>
  <c r="J734" i="2"/>
  <c r="N56" i="5"/>
  <c r="N41" i="5"/>
  <c r="N151" i="5"/>
  <c r="N158" i="5"/>
  <c r="J257" i="2"/>
  <c r="N72" i="5"/>
  <c r="N50" i="5"/>
  <c r="N6" i="5"/>
  <c r="N174" i="5"/>
  <c r="N26" i="5"/>
  <c r="N120" i="5"/>
  <c r="N199" i="5"/>
  <c r="N114" i="5"/>
  <c r="J348" i="2"/>
  <c r="N39" i="5"/>
  <c r="N83" i="5"/>
  <c r="N217" i="5"/>
  <c r="N139" i="5"/>
  <c r="J347" i="2"/>
  <c r="J209" i="2"/>
  <c r="N261" i="5"/>
  <c r="N237" i="5"/>
  <c r="N190" i="5"/>
  <c r="N128" i="5"/>
  <c r="N132" i="5"/>
  <c r="N180" i="5"/>
  <c r="J165" i="2"/>
  <c r="N69" i="5"/>
  <c r="N220" i="5"/>
  <c r="N271" i="5"/>
  <c r="N250" i="5"/>
  <c r="J332" i="2"/>
  <c r="J100" i="2"/>
  <c r="J76" i="2"/>
  <c r="J330" i="2"/>
  <c r="N43" i="5"/>
  <c r="N213" i="5"/>
  <c r="N131" i="5"/>
  <c r="N214" i="5"/>
  <c r="N142" i="5"/>
  <c r="N156" i="5"/>
  <c r="N106" i="5"/>
  <c r="N295" i="5"/>
  <c r="N172" i="5"/>
  <c r="N10" i="5"/>
  <c r="J77" i="2"/>
  <c r="J359" i="2"/>
  <c r="H166" i="4"/>
  <c r="N196" i="5"/>
  <c r="N189" i="5"/>
  <c r="N110" i="5"/>
  <c r="J274" i="2"/>
  <c r="N121" i="5"/>
  <c r="N277" i="5"/>
  <c r="N53" i="5"/>
  <c r="N289" i="5"/>
  <c r="N163" i="5"/>
  <c r="N7" i="5"/>
  <c r="N165" i="5"/>
  <c r="N280" i="5"/>
  <c r="N103" i="5"/>
  <c r="J392" i="2"/>
  <c r="J504" i="2"/>
  <c r="N92" i="5"/>
  <c r="N124" i="5"/>
  <c r="N284" i="5"/>
  <c r="N274" i="5"/>
  <c r="N203" i="5"/>
  <c r="N24" i="5"/>
  <c r="N141" i="5"/>
  <c r="N94" i="5"/>
  <c r="N183" i="5"/>
  <c r="N282" i="5"/>
  <c r="N108" i="5"/>
  <c r="J30" i="2"/>
  <c r="N241" i="5"/>
  <c r="J315" i="2"/>
  <c r="J278" i="2"/>
  <c r="J331" i="2"/>
  <c r="N17" i="5"/>
  <c r="J234" i="2"/>
  <c r="N73" i="5"/>
  <c r="N97" i="5"/>
  <c r="N91" i="5"/>
  <c r="N149" i="5"/>
  <c r="N47" i="5"/>
  <c r="N187" i="5"/>
  <c r="N14" i="5"/>
  <c r="N162" i="5"/>
  <c r="N44" i="5"/>
  <c r="N25" i="5"/>
  <c r="N173" i="5"/>
  <c r="N298" i="5"/>
  <c r="J229" i="2"/>
  <c r="J181" i="2"/>
  <c r="J113" i="2"/>
  <c r="N34" i="5"/>
  <c r="J614" i="2"/>
  <c r="J326" i="2"/>
  <c r="N9" i="5"/>
  <c r="N197" i="5"/>
  <c r="N95" i="5"/>
  <c r="J233" i="2"/>
  <c r="J34" i="2"/>
  <c r="J88" i="2"/>
  <c r="N300" i="5"/>
  <c r="N59" i="5"/>
  <c r="N148" i="5"/>
  <c r="N221" i="5"/>
  <c r="N211" i="5"/>
  <c r="J297" i="2"/>
  <c r="J104" i="2"/>
  <c r="J21" i="2"/>
  <c r="N39" i="4"/>
  <c r="H169" i="4" s="1"/>
  <c r="J45" i="2"/>
  <c r="J312" i="2"/>
  <c r="N198" i="5"/>
  <c r="N129" i="5"/>
  <c r="N245" i="5"/>
  <c r="N130" i="5"/>
  <c r="N169" i="5"/>
  <c r="N89" i="5"/>
  <c r="N61" i="5"/>
  <c r="N18" i="5"/>
  <c r="J72" i="2"/>
  <c r="N227" i="5"/>
  <c r="N49" i="5"/>
  <c r="N269" i="5"/>
  <c r="N104" i="5"/>
  <c r="N55" i="5"/>
  <c r="J363" i="2"/>
  <c r="J114" i="2"/>
  <c r="N145" i="5"/>
  <c r="N244" i="5"/>
  <c r="N175" i="5"/>
  <c r="N153" i="5"/>
  <c r="N293" i="5"/>
  <c r="N235" i="5"/>
  <c r="N33" i="5"/>
  <c r="J379" i="2"/>
  <c r="N40" i="5"/>
  <c r="N276" i="5"/>
  <c r="N135" i="5"/>
  <c r="N155" i="5"/>
  <c r="N84" i="5"/>
  <c r="N240" i="5"/>
  <c r="N147" i="5"/>
  <c r="J263" i="2"/>
  <c r="J89" i="2"/>
  <c r="N112" i="5"/>
  <c r="N64" i="5"/>
  <c r="N27" i="5"/>
  <c r="J139" i="2"/>
  <c r="N177" i="5"/>
  <c r="N171" i="5"/>
  <c r="J129" i="2"/>
  <c r="N184" i="5"/>
  <c r="N305" i="5"/>
  <c r="N288" i="5"/>
  <c r="J208" i="2"/>
  <c r="N35" i="5"/>
  <c r="N195" i="5"/>
  <c r="N259" i="5"/>
  <c r="N54" i="5"/>
  <c r="N208" i="5"/>
  <c r="N275" i="5"/>
  <c r="N266" i="5"/>
  <c r="J180" i="2"/>
  <c r="J281" i="2"/>
  <c r="N76" i="5"/>
  <c r="N16" i="5"/>
  <c r="N247" i="5"/>
  <c r="N201" i="5"/>
  <c r="N219" i="5"/>
  <c r="N178" i="5"/>
  <c r="J292" i="2"/>
  <c r="N105" i="5"/>
  <c r="J105" i="2"/>
  <c r="N291" i="5"/>
  <c r="N265" i="5"/>
  <c r="N181" i="5"/>
  <c r="N162" i="4" l="1"/>
  <c r="H187" i="4" s="1"/>
</calcChain>
</file>

<file path=xl/sharedStrings.xml><?xml version="1.0" encoding="utf-8"?>
<sst xmlns="http://schemas.openxmlformats.org/spreadsheetml/2006/main" count="20005" uniqueCount="4559">
  <si>
    <t>QS ELEMENT LIBRARY — SECTION / SUB SECTION / SUB ELEMENT</t>
  </si>
  <si>
    <t>Standard coding list for BoQ takeoff — Structure, Architecture, MEP &amp; External Works. Aligned to the project Budget Code framework.</t>
  </si>
  <si>
    <t>Each Sub Element links to one or more standard Descriptions on the Description Library sheet.</t>
  </si>
  <si>
    <t>No.</t>
  </si>
  <si>
    <t>Discipline</t>
  </si>
  <si>
    <t>Budget Code</t>
  </si>
  <si>
    <t>Section</t>
  </si>
  <si>
    <t>Sub Section</t>
  </si>
  <si>
    <t>Sub Element</t>
  </si>
  <si>
    <t>Typical Unit</t>
  </si>
  <si>
    <t>No. of Desc.</t>
  </si>
  <si>
    <t>Default Description</t>
  </si>
  <si>
    <t>Key</t>
  </si>
  <si>
    <t>Civil and Structure</t>
  </si>
  <si>
    <t>A.04</t>
  </si>
  <si>
    <t>Sub Structure</t>
  </si>
  <si>
    <t>Site Preparation &amp; Earthwork</t>
  </si>
  <si>
    <t>Site Clearing</t>
  </si>
  <si>
    <t>m2</t>
  </si>
  <si>
    <t>Site clearing, grubbing and removal of vegetation and debris off site</t>
  </si>
  <si>
    <t>Sub Structure|Site Preparation &amp; Earthwork|Site Clearing</t>
  </si>
  <si>
    <t>Excavation</t>
  </si>
  <si>
    <t>m3</t>
  </si>
  <si>
    <t>Bulk excavation by machine incl. trimming and levelling of formation</t>
  </si>
  <si>
    <t>Sub Structure|Site Preparation &amp; Earthwork|Excavation</t>
  </si>
  <si>
    <t>Backfill</t>
  </si>
  <si>
    <t>Backfilling with approved material in 200mm layers incl. compaction to 95% MDD</t>
  </si>
  <si>
    <t>Sub Structure|Site Preparation &amp; Earthwork|Backfill</t>
  </si>
  <si>
    <t>Soil Disposal</t>
  </si>
  <si>
    <t>Cart away surplus excavated material off site incl. tipping fee</t>
  </si>
  <si>
    <t>Sub Structure|Site Preparation &amp; Earthwork|Soil Disposal</t>
  </si>
  <si>
    <t>Compaction</t>
  </si>
  <si>
    <t>Compaction of formation to 95% MDD incl. watering and testing</t>
  </si>
  <si>
    <t>Sub Structure|Site Preparation &amp; Earthwork|Compaction</t>
  </si>
  <si>
    <t>Dewatering</t>
  </si>
  <si>
    <t>Lot</t>
  </si>
  <si>
    <t>Dewatering incl. pumps, sump pits, piping and maintenance during construction</t>
  </si>
  <si>
    <t>Sub Structure|Site Preparation &amp; Earthwork|Dewatering</t>
  </si>
  <si>
    <t>Levelling &amp; Setting Out</t>
  </si>
  <si>
    <t>Setting out, levelling and establishment of benchmarks and grid lines</t>
  </si>
  <si>
    <t>Sub Structure|Site Preparation &amp; Earthwork|Levelling &amp; Setting Out</t>
  </si>
  <si>
    <t>B.02</t>
  </si>
  <si>
    <t>Shoring &amp; Sheet Pile</t>
  </si>
  <si>
    <t>Sheet Pile Supply</t>
  </si>
  <si>
    <t>Supply of steel sheet pile, hot rolled section as per design</t>
  </si>
  <si>
    <t>Sub Structure|Shoring &amp; Sheet Pile|Sheet Pile Supply</t>
  </si>
  <si>
    <t>Sheet Pile Driving</t>
  </si>
  <si>
    <t>Driving of steel sheet pile to required depth incl. plant and equipment</t>
  </si>
  <si>
    <t>Sub Structure|Shoring &amp; Sheet Pile|Sheet Pile Driving</t>
  </si>
  <si>
    <t>Sheet Pile Extraction</t>
  </si>
  <si>
    <t>Extraction of steel sheet pile and making good of voids</t>
  </si>
  <si>
    <t>Sub Structure|Shoring &amp; Sheet Pile|Sheet Pile Extraction</t>
  </si>
  <si>
    <t>Strut &amp; Waler</t>
  </si>
  <si>
    <t>kg</t>
  </si>
  <si>
    <t>Steel strut and waler incl. fabrication, installation and removal</t>
  </si>
  <si>
    <t>Sub Structure|Shoring &amp; Sheet Pile|Strut &amp; Waler</t>
  </si>
  <si>
    <t>Ground Anchor</t>
  </si>
  <si>
    <t>Nos</t>
  </si>
  <si>
    <t>Ground anchor incl. drilling, grouting, stressing and testing</t>
  </si>
  <si>
    <t>Sub Structure|Shoring &amp; Sheet Pile|Ground Anchor</t>
  </si>
  <si>
    <t>Guide Wall</t>
  </si>
  <si>
    <t>m</t>
  </si>
  <si>
    <t>Reinforced concrete guide wall incl. concrete, rebar and formwork</t>
  </si>
  <si>
    <t>Sub Structure|Shoring &amp; Sheet Pile|Guide Wall</t>
  </si>
  <si>
    <t>B.01</t>
  </si>
  <si>
    <t>Bored Pile</t>
  </si>
  <si>
    <t>Bored Pile Boring</t>
  </si>
  <si>
    <t>Bored piling D1000mm incl. boring, casing and disposal of spoil</t>
  </si>
  <si>
    <t>Sub Structure|Bored Pile|Bored Pile Boring</t>
  </si>
  <si>
    <t>Concrete</t>
  </si>
  <si>
    <t>Normal Concrete, 35Mpa (Cylinder), Slump 13+-2.5</t>
  </si>
  <si>
    <t>Sub Structure|Bored Pile|Concrete</t>
  </si>
  <si>
    <t>Rebar</t>
  </si>
  <si>
    <t>Deform Bar, DB10(fy=390 Mpa)</t>
  </si>
  <si>
    <t>Sub Structure|Bored Pile|Rebar</t>
  </si>
  <si>
    <t>Steel Tie Wire</t>
  </si>
  <si>
    <t>Steel Tie Wire 1mm (Estimated 4% of Total Rebar Weight)</t>
  </si>
  <si>
    <t>Sub Structure|Bored Pile|Steel Tie Wire</t>
  </si>
  <si>
    <t>Steel Round Pipe</t>
  </si>
  <si>
    <t>Steel Round Pipe (D49x2mm) with rush primer and paint</t>
  </si>
  <si>
    <t>Sub Structure|Bored Pile|Steel Round Pipe</t>
  </si>
  <si>
    <t>Bentonite / Slurry</t>
  </si>
  <si>
    <t>Bentonite / polymer slurry incl. mixing, circulation and disposal</t>
  </si>
  <si>
    <t>Sub Structure|Bored Pile|Bentonite / Slurry</t>
  </si>
  <si>
    <t>Bored Pile Head Cutting</t>
  </si>
  <si>
    <t>Pile Head Cutting up to required level D1000mm</t>
  </si>
  <si>
    <t>Sub Structure|Bored Pile|Bored Pile Head Cutting</t>
  </si>
  <si>
    <t>Bored Pile Testing</t>
  </si>
  <si>
    <t>Sonic Logging Test (SLT)</t>
  </si>
  <si>
    <t>Sub Structure|Bored Pile|Bored Pile Testing</t>
  </si>
  <si>
    <t>Bored Pile Coring</t>
  </si>
  <si>
    <t>Soil Coring for Bored Pile D1000mm, Depth 30m</t>
  </si>
  <si>
    <t>Sub Structure|Bored Pile|Bored Pile Coring</t>
  </si>
  <si>
    <t>Pile Load Test</t>
  </si>
  <si>
    <t>Dynamic pile load test (PDA)</t>
  </si>
  <si>
    <t>Sub Structure|Bored Pile|Pile Load Test</t>
  </si>
  <si>
    <t>Rebar Testing</t>
  </si>
  <si>
    <t>Rebar Testing as per Specification</t>
  </si>
  <si>
    <t>Sub Structure|Bored Pile|Rebar Testing</t>
  </si>
  <si>
    <t>Concrete Testing</t>
  </si>
  <si>
    <t>Concrete cube / cylinder test as per specification</t>
  </si>
  <si>
    <t>Sub Structure|Bored Pile|Concrete Testing</t>
  </si>
  <si>
    <t>Driven Pile / Micro Pile</t>
  </si>
  <si>
    <t>Pile Supply</t>
  </si>
  <si>
    <t>Supply of precast / spun pile as per design section</t>
  </si>
  <si>
    <t>Sub Structure|Driven Pile / Micro Pile|Pile Supply</t>
  </si>
  <si>
    <t>Pile Driving</t>
  </si>
  <si>
    <t>Driving of precast / spun pile to required set incl. plant</t>
  </si>
  <si>
    <t>Sub Structure|Driven Pile / Micro Pile|Pile Driving</t>
  </si>
  <si>
    <t>Pile Splicing</t>
  </si>
  <si>
    <t>Pile splicing by full penetration weld incl. splice plate</t>
  </si>
  <si>
    <t>Sub Structure|Driven Pile / Micro Pile|Pile Splicing</t>
  </si>
  <si>
    <t>Pile Head Cutting</t>
  </si>
  <si>
    <t>Pile head cutting and trimming to required cut-off level</t>
  </si>
  <si>
    <t>Sub Structure|Driven Pile / Micro Pile|Pile Head Cutting</t>
  </si>
  <si>
    <t>Sub Structure|Driven Pile / Micro Pile|Pile Load Test</t>
  </si>
  <si>
    <t>B.03</t>
  </si>
  <si>
    <t>Pile Cap &amp; Stump</t>
  </si>
  <si>
    <t>Earthwork</t>
  </si>
  <si>
    <t>Soil Backfill</t>
  </si>
  <si>
    <t>Sub Structure|Pile Cap &amp; Stump|Earthwork</t>
  </si>
  <si>
    <t>Base Preparation</t>
  </si>
  <si>
    <t>Well Soil Compact</t>
  </si>
  <si>
    <t>Sub Structure|Pile Cap &amp; Stump|Base Preparation</t>
  </si>
  <si>
    <t>Crush Stone</t>
  </si>
  <si>
    <t>Crush Stone 40x60mm 100mm Thk.</t>
  </si>
  <si>
    <t>Sub Structure|Pile Cap &amp; Stump|Crush Stone</t>
  </si>
  <si>
    <t>Lean Concrete</t>
  </si>
  <si>
    <t>Lean Concrete, 15Mpa (Cylinder)</t>
  </si>
  <si>
    <t>Sub Structure|Pile Cap &amp; Stump|Lean Concrete</t>
  </si>
  <si>
    <t>Sub Structure|Pile Cap &amp; Stump|Concrete</t>
  </si>
  <si>
    <t>Formwork</t>
  </si>
  <si>
    <t>Sub Structure|Pile Cap &amp; Stump|Formwork</t>
  </si>
  <si>
    <t>Sub Structure|Pile Cap &amp; Stump|Rebar</t>
  </si>
  <si>
    <t>Sub Structure|Pile Cap &amp; Stump|Steel Tie Wire</t>
  </si>
  <si>
    <t>Water Stop</t>
  </si>
  <si>
    <t>PVC Waterbar® V VN 20 (Width 200mm)</t>
  </si>
  <si>
    <t>Sub Structure|Pile Cap &amp; Stump|Water Stop</t>
  </si>
  <si>
    <t>Waterproofing</t>
  </si>
  <si>
    <t>Membrance sheet 2mm thk</t>
  </si>
  <si>
    <t>Sub Structure|Pile Cap &amp; Stump|Waterproofing</t>
  </si>
  <si>
    <t>Anti-Termite</t>
  </si>
  <si>
    <t>Anti-Termite with Plastic Membrane</t>
  </si>
  <si>
    <t>Sub Structure|Pile Cap &amp; Stump|Anti-Termite</t>
  </si>
  <si>
    <t>Footing / Raft Foundation</t>
  </si>
  <si>
    <t>Sub Structure|Footing / Raft Foundation|Earthwork</t>
  </si>
  <si>
    <t>Sub Structure|Footing / Raft Foundation|Base Preparation</t>
  </si>
  <si>
    <t>Sub Structure|Footing / Raft Foundation|Crush Stone</t>
  </si>
  <si>
    <t>Sub Structure|Footing / Raft Foundation|Lean Concrete</t>
  </si>
  <si>
    <t>Sub Structure|Footing / Raft Foundation|Concrete</t>
  </si>
  <si>
    <t>Formwork to curved / special shape incl. erection and striking</t>
  </si>
  <si>
    <t>Sub Structure|Footing / Raft Foundation|Formwork</t>
  </si>
  <si>
    <t>Sub Structure|Footing / Raft Foundation|Rebar</t>
  </si>
  <si>
    <t>Sub Structure|Footing / Raft Foundation|Steel Tie Wire</t>
  </si>
  <si>
    <t>Sub Structure|Footing / Raft Foundation|Water Stop</t>
  </si>
  <si>
    <t>Sub Structure|Footing / Raft Foundation|Waterproofing</t>
  </si>
  <si>
    <t>Sub Structure|Footing / Raft Foundation|Anti-Termite</t>
  </si>
  <si>
    <t>Ground Beam / Tie Beam</t>
  </si>
  <si>
    <t>Sub Structure|Ground Beam / Tie Beam|Earthwork</t>
  </si>
  <si>
    <t>Sub Structure|Ground Beam / Tie Beam|Lean Concrete</t>
  </si>
  <si>
    <t>Sub Structure|Ground Beam / Tie Beam|Concrete</t>
  </si>
  <si>
    <t>Sub Structure|Ground Beam / Tie Beam|Formwork</t>
  </si>
  <si>
    <t>Sub Structure|Ground Beam / Tie Beam|Rebar</t>
  </si>
  <si>
    <t>Sub Structure|Ground Beam / Tie Beam|Steel Tie Wire</t>
  </si>
  <si>
    <t>Sub Structure|Ground Beam / Tie Beam|Waterproofing</t>
  </si>
  <si>
    <t>Slab on Grade / Ground Slab</t>
  </si>
  <si>
    <t>Sub Structure|Slab on Grade / Ground Slab|Base Preparation</t>
  </si>
  <si>
    <t>Sub Structure|Slab on Grade / Ground Slab|Crush Stone</t>
  </si>
  <si>
    <t>Sub Structure|Slab on Grade / Ground Slab|Anti-Termite</t>
  </si>
  <si>
    <t>Vapour Barrier</t>
  </si>
  <si>
    <t>Polyethylene vapour barrier 0.15mm thk. laid with 300mm laps</t>
  </si>
  <si>
    <t>Sub Structure|Slab on Grade / Ground Slab|Vapour Barrier</t>
  </si>
  <si>
    <t>Sub Structure|Slab on Grade / Ground Slab|Lean Concrete</t>
  </si>
  <si>
    <t>Sub Structure|Slab on Grade / Ground Slab|Concrete</t>
  </si>
  <si>
    <t>Sub Structure|Slab on Grade / Ground Slab|Formwork</t>
  </si>
  <si>
    <t>Sub Structure|Slab on Grade / Ground Slab|Rebar</t>
  </si>
  <si>
    <t>Sub Structure|Slab on Grade / Ground Slab|Steel Tie Wire</t>
  </si>
  <si>
    <t>Sub Structure|Slab on Grade / Ground Slab|Waterproofing</t>
  </si>
  <si>
    <t>Septic tank</t>
  </si>
  <si>
    <t>Sub Structure|Septic tank|Earthwork</t>
  </si>
  <si>
    <t>Sub Structure|Septic tank|Base Preparation</t>
  </si>
  <si>
    <t>Sub Structure|Septic tank|Crush Stone</t>
  </si>
  <si>
    <t>Sub Structure|Septic tank|Lean Concrete</t>
  </si>
  <si>
    <t>Sub Structure|Septic tank|Concrete</t>
  </si>
  <si>
    <t>Sub Structure|Septic tank|Formwork</t>
  </si>
  <si>
    <t>Sub Structure|Septic tank|Rebar</t>
  </si>
  <si>
    <t>Sub Structure|Septic tank|Steel Tie Wire</t>
  </si>
  <si>
    <t>Sub Structure|Septic tank|Water Stop</t>
  </si>
  <si>
    <t>Sub Structure|Septic tank|Waterproofing</t>
  </si>
  <si>
    <t>Sub Structure|Septic tank|Anti-Termite</t>
  </si>
  <si>
    <t>Water Tank / Sump Pit</t>
  </si>
  <si>
    <t>Sub Structure|Water Tank / Sump Pit|Earthwork</t>
  </si>
  <si>
    <t>Sub Structure|Water Tank / Sump Pit|Base Preparation</t>
  </si>
  <si>
    <t>Sub Structure|Water Tank / Sump Pit|Crush Stone</t>
  </si>
  <si>
    <t>Sub Structure|Water Tank / Sump Pit|Lean Concrete</t>
  </si>
  <si>
    <t>Sub Structure|Water Tank / Sump Pit|Concrete</t>
  </si>
  <si>
    <t>Sub Structure|Water Tank / Sump Pit|Formwork</t>
  </si>
  <si>
    <t>Sub Structure|Water Tank / Sump Pit|Rebar</t>
  </si>
  <si>
    <t>Sub Structure|Water Tank / Sump Pit|Steel Tie Wire</t>
  </si>
  <si>
    <t>Sub Structure|Water Tank / Sump Pit|Water Stop</t>
  </si>
  <si>
    <t>Sub Structure|Water Tank / Sump Pit|Waterproofing</t>
  </si>
  <si>
    <t>Sub Structure|Water Tank / Sump Pit|Anti-Termite</t>
  </si>
  <si>
    <t>Lift Pit</t>
  </si>
  <si>
    <t>Sub Structure|Lift Pit|Earthwork</t>
  </si>
  <si>
    <t>Sub Structure|Lift Pit|Lean Concrete</t>
  </si>
  <si>
    <t>Sub Structure|Lift Pit|Concrete</t>
  </si>
  <si>
    <t>Sub Structure|Lift Pit|Formwork</t>
  </si>
  <si>
    <t>Sub Structure|Lift Pit|Rebar</t>
  </si>
  <si>
    <t>Sub Structure|Lift Pit|Steel Tie Wire</t>
  </si>
  <si>
    <t>Sub Structure|Lift Pit|Water Stop</t>
  </si>
  <si>
    <t>Sub Structure|Lift Pit|Waterproofing</t>
  </si>
  <si>
    <t>Basement / Retaining Wall</t>
  </si>
  <si>
    <t>Sub Structure|Basement / Retaining Wall|Earthwork</t>
  </si>
  <si>
    <t>Sub Structure|Basement / Retaining Wall|Concrete</t>
  </si>
  <si>
    <t>Sub Structure|Basement / Retaining Wall|Formwork</t>
  </si>
  <si>
    <t>Sub Structure|Basement / Retaining Wall|Rebar</t>
  </si>
  <si>
    <t>Sub Structure|Basement / Retaining Wall|Steel Tie Wire</t>
  </si>
  <si>
    <t>Sub Structure|Basement / Retaining Wall|Water Stop</t>
  </si>
  <si>
    <t>Sub Structure|Basement / Retaining Wall|Waterproofing</t>
  </si>
  <si>
    <t>Protection Board</t>
  </si>
  <si>
    <t>Protection board 6mm thk. to waterproofing membrane</t>
  </si>
  <si>
    <t>Sub Structure|Basement / Retaining Wall|Protection Board</t>
  </si>
  <si>
    <t>Drainage Board</t>
  </si>
  <si>
    <t>Dimpled HDPE drainage board with filter fabric</t>
  </si>
  <si>
    <t>Sub Structure|Basement / Retaining Wall|Drainage Board</t>
  </si>
  <si>
    <t>B.04</t>
  </si>
  <si>
    <t>Super Structure</t>
  </si>
  <si>
    <t>Structural Column</t>
  </si>
  <si>
    <t>Super Structure|Structural Column|Concrete</t>
  </si>
  <si>
    <t>Super Structure|Structural Column|Formwork</t>
  </si>
  <si>
    <t>Super Structure|Structural Column|Rebar</t>
  </si>
  <si>
    <t>Super Structure|Structural Column|Steel Tie Wire</t>
  </si>
  <si>
    <t>Column Starter Bar</t>
  </si>
  <si>
    <t>Column starter bar incl. bending, fixing and tying</t>
  </si>
  <si>
    <t>Super Structure|Structural Column|Column Starter Bar</t>
  </si>
  <si>
    <t>Grouting</t>
  </si>
  <si>
    <t>Non-shrink cementitious grout to base plate / gap</t>
  </si>
  <si>
    <t>Super Structure|Structural Column|Grouting</t>
  </si>
  <si>
    <t>Structural Beam</t>
  </si>
  <si>
    <t>Super Structure|Structural Beam|Concrete</t>
  </si>
  <si>
    <t>Super Structure|Structural Beam|Formwork</t>
  </si>
  <si>
    <t>Super Structure|Structural Beam|Rebar</t>
  </si>
  <si>
    <t>Super Structure|Structural Beam|Steel Tie Wire</t>
  </si>
  <si>
    <t>Structural Slab</t>
  </si>
  <si>
    <t>Super Structure|Structural Slab|Concrete</t>
  </si>
  <si>
    <t>Super Structure|Structural Slab|Formwork</t>
  </si>
  <si>
    <t>Super Structure|Structural Slab|Rebar</t>
  </si>
  <si>
    <t>Super Structure|Structural Slab|Steel Tie Wire</t>
  </si>
  <si>
    <t>Post-Tension Strand</t>
  </si>
  <si>
    <t>Post-tension strand incl. duct, anchorage, stressing and grouting</t>
  </si>
  <si>
    <t>Super Structure|Structural Slab|Post-Tension Strand</t>
  </si>
  <si>
    <t>Steel Deck</t>
  </si>
  <si>
    <t>Galvanised steel deck 0.75mm thk. incl. shear stud and end closure</t>
  </si>
  <si>
    <t>Super Structure|Structural Slab|Steel Deck</t>
  </si>
  <si>
    <t>Structural Wall</t>
  </si>
  <si>
    <t>Super Structure|Structural Wall|Concrete</t>
  </si>
  <si>
    <t>Super Structure|Structural Wall|Formwork</t>
  </si>
  <si>
    <t>Super Structure|Structural Wall|Rebar</t>
  </si>
  <si>
    <t>Super Structure|Structural Wall|Steel Tie Wire</t>
  </si>
  <si>
    <t>Super Structure|Structural Wall|Water Stop</t>
  </si>
  <si>
    <t>Structural Staircase</t>
  </si>
  <si>
    <t>Super Structure|Structural Staircase|Concrete</t>
  </si>
  <si>
    <t>Super Structure|Structural Staircase|Formwork</t>
  </si>
  <si>
    <t>Super Structure|Structural Staircase|Rebar</t>
  </si>
  <si>
    <t>Super Structure|Structural Staircase|Steel Tie Wire</t>
  </si>
  <si>
    <t>Parapet wall &amp; Stiffener Column</t>
  </si>
  <si>
    <t>Super Structure|Parapet wall &amp; Stiffener Column|Concrete</t>
  </si>
  <si>
    <t>Super Structure|Parapet wall &amp; Stiffener Column|Formwork</t>
  </si>
  <si>
    <t>Super Structure|Parapet wall &amp; Stiffener Column|Rebar</t>
  </si>
  <si>
    <t>Super Structure|Parapet wall &amp; Stiffener Column|Steel Tie Wire</t>
  </si>
  <si>
    <t>Lift Core / Shear Core</t>
  </si>
  <si>
    <t>Super Structure|Lift Core / Shear Core|Concrete</t>
  </si>
  <si>
    <t>Super Structure|Lift Core / Shear Core|Formwork</t>
  </si>
  <si>
    <t>Super Structure|Lift Core / Shear Core|Rebar</t>
  </si>
  <si>
    <t>Super Structure|Lift Core / Shear Core|Steel Tie Wire</t>
  </si>
  <si>
    <t>Super Structure|Lift Core / Shear Core|Water Stop</t>
  </si>
  <si>
    <t>Ramp</t>
  </si>
  <si>
    <t>Super Structure|Ramp|Concrete</t>
  </si>
  <si>
    <t>Super Structure|Ramp|Formwork</t>
  </si>
  <si>
    <t>Super Structure|Ramp|Rebar</t>
  </si>
  <si>
    <t>Super Structure|Ramp|Steel Tie Wire</t>
  </si>
  <si>
    <t>Structural Steel</t>
  </si>
  <si>
    <t>Steel Section / Beam</t>
  </si>
  <si>
    <t>Structural steel section (H/I beam) SS400 incl. fabrication and erection</t>
  </si>
  <si>
    <t>Super Structure|Structural Steel|Steel Section / Beam</t>
  </si>
  <si>
    <t>U steel</t>
  </si>
  <si>
    <t>U-50*100*5mm</t>
  </si>
  <si>
    <t>Super Structure|Structural Steel|U steel</t>
  </si>
  <si>
    <t>Hollow steel tube</t>
  </si>
  <si>
    <t>Tub-50*100*2mm</t>
  </si>
  <si>
    <t>Super Structure|Structural Steel|Hollow steel tube</t>
  </si>
  <si>
    <t>Purlin</t>
  </si>
  <si>
    <t>Steel purlin C-channel incl. fabrication, erection and fixing</t>
  </si>
  <si>
    <t>Super Structure|Structural Steel|Purlin</t>
  </si>
  <si>
    <t>Sag rod</t>
  </si>
  <si>
    <t>Sag rod 12mm</t>
  </si>
  <si>
    <t>Super Structure|Structural Steel|Sag rod</t>
  </si>
  <si>
    <t>Bracing</t>
  </si>
  <si>
    <t>Steel bracing member incl. fabrication, erection and connection</t>
  </si>
  <si>
    <t>Super Structure|Structural Steel|Bracing</t>
  </si>
  <si>
    <t>Base Plate</t>
  </si>
  <si>
    <t>Steel base plate incl. drilling, welding and levelling</t>
  </si>
  <si>
    <t>Super Structure|Structural Steel|Base Plate</t>
  </si>
  <si>
    <t>Steel plate</t>
  </si>
  <si>
    <t>Steel plate 200x230x12mm</t>
  </si>
  <si>
    <t>Super Structure|Structural Steel|Steel plate</t>
  </si>
  <si>
    <t>J bolt</t>
  </si>
  <si>
    <t>J bolt M12, L=600mm, grade 5.6</t>
  </si>
  <si>
    <t>Super Structure|Structural Steel|J bolt</t>
  </si>
  <si>
    <t>Anchor Bolt</t>
  </si>
  <si>
    <t>Anchor bolt incl. template, setting and grouting</t>
  </si>
  <si>
    <t>Super Structure|Structural Steel|Anchor Bolt</t>
  </si>
  <si>
    <t>Bolt &amp; Nut</t>
  </si>
  <si>
    <t>High tensile bolt, nut and washer grade 8.8</t>
  </si>
  <si>
    <t>Super Structure|Structural Steel|Bolt &amp; Nut</t>
  </si>
  <si>
    <t>Welding</t>
  </si>
  <si>
    <t>Site welding incl. electrode, preparation and testing</t>
  </si>
  <si>
    <t>Super Structure|Structural Steel|Welding</t>
  </si>
  <si>
    <t>Painting / Galvanizing</t>
  </si>
  <si>
    <t>Anti-corrosive primer and 2 coats finish paint to steelwork</t>
  </si>
  <si>
    <t>Super Structure|Structural Steel|Painting / Galvanizing</t>
  </si>
  <si>
    <t>Fire Proofing</t>
  </si>
  <si>
    <t>Intumescent fire protection coating to steelwork, 2 hour rating</t>
  </si>
  <si>
    <t>Super Structure|Structural Steel|Fire Proofing</t>
  </si>
  <si>
    <t>Roof Structure / Truss</t>
  </si>
  <si>
    <t>Truss</t>
  </si>
  <si>
    <t>Steel roof truss incl. fabrication, erection and connection</t>
  </si>
  <si>
    <t>Super Structure|Roof Structure / Truss|Truss</t>
  </si>
  <si>
    <t>Super Structure|Roof Structure / Truss|Purlin</t>
  </si>
  <si>
    <t>Super Structure|Roof Structure / Truss|Sag rod</t>
  </si>
  <si>
    <t>Super Structure|Roof Structure / Truss|Bracing</t>
  </si>
  <si>
    <t>Zinc sheet</t>
  </si>
  <si>
    <t>Zinc sheet 0.4mm</t>
  </si>
  <si>
    <t>Super Structure|Roof Structure / Truss|Zinc sheet</t>
  </si>
  <si>
    <t>Flashing</t>
  </si>
  <si>
    <t>Flashing cover roof</t>
  </si>
  <si>
    <t>Super Structure|Roof Structure / Truss|Flashing</t>
  </si>
  <si>
    <t>Super Structure|Roof Structure / Truss|Anchor Bolt</t>
  </si>
  <si>
    <t>Super Structure|Roof Structure / Truss|Painting / Galvanizing</t>
  </si>
  <si>
    <t>Testing &amp; Quality Control</t>
  </si>
  <si>
    <t>Super Structure|Testing &amp; Quality Control|Concrete Testing</t>
  </si>
  <si>
    <t>Super Structure|Testing &amp; Quality Control|Rebar Testing</t>
  </si>
  <si>
    <t>Non-Destructive Test</t>
  </si>
  <si>
    <t>Non-destructive test (rebound hammer / ultrasonic) as per specification</t>
  </si>
  <si>
    <t>Super Structure|Testing &amp; Quality Control|Non-Destructive Test</t>
  </si>
  <si>
    <t>Survey &amp; As-Built</t>
  </si>
  <si>
    <t>Setting out, survey and as-built record</t>
  </si>
  <si>
    <t>Super Structure|Testing &amp; Quality Control|Survey &amp; As-Built</t>
  </si>
  <si>
    <t>Architecture</t>
  </si>
  <si>
    <t>C.01</t>
  </si>
  <si>
    <t>Exterior Wall and Partition</t>
  </si>
  <si>
    <t>Hollow clay brick</t>
  </si>
  <si>
    <t>Hollow clay brick 100mm Thk.</t>
  </si>
  <si>
    <t>Hollow clay brick, thickness 100mm, laid in cement:sand mortar 1:4</t>
  </si>
  <si>
    <t>Exterior Wall and Partition|Hollow clay brick|Hollow clay brick 100mm Thk.</t>
  </si>
  <si>
    <t>Hollow clay brick 200mm Thk.</t>
  </si>
  <si>
    <t>Hollow clay brick (80x80x180)mm, thickness 200mm Thk.</t>
  </si>
  <si>
    <t>Exterior Wall and Partition|Hollow clay brick|Hollow clay brick 200mm Thk.</t>
  </si>
  <si>
    <t>Hollow clay brick 400mm Thk.</t>
  </si>
  <si>
    <t>Hollow clay brick (80x80x180)mm, thickness 400mm Thk.</t>
  </si>
  <si>
    <t>Exterior Wall and Partition|Hollow clay brick|Hollow clay brick 400mm Thk.</t>
  </si>
  <si>
    <t>Hollow clay brick 500mm Thk.</t>
  </si>
  <si>
    <t>Hollow clay brick (80x80x180)mm, thickness 500mm Thk.</t>
  </si>
  <si>
    <t>Exterior Wall and Partition|Hollow clay brick|Hollow clay brick 500mm Thk.</t>
  </si>
  <si>
    <t>Hollow clay brick 800mm Thk.</t>
  </si>
  <si>
    <t>Hollow clay brick (80x80x180)mm, thickness 800mm Thk.</t>
  </si>
  <si>
    <t>Exterior Wall and Partition|Hollow clay brick|Hollow clay brick 800mm Thk.</t>
  </si>
  <si>
    <t>Concrete block</t>
  </si>
  <si>
    <t>Concrete block 100mm Thk.</t>
  </si>
  <si>
    <t>concrete block, thickness 100mm, laid in cement:sand mortar 1:4</t>
  </si>
  <si>
    <t>Exterior Wall and Partition|Concrete block|Concrete block 100mm Thk.</t>
  </si>
  <si>
    <t>Concrete block 150mm Thk.</t>
  </si>
  <si>
    <t>concrete block, thickness 150mm, laid in cement:sand mortar 1:4</t>
  </si>
  <si>
    <t>Exterior Wall and Partition|Concrete block|Concrete block 150mm Thk.</t>
  </si>
  <si>
    <t>Concrete block 200mm Thk.</t>
  </si>
  <si>
    <t>concrete block, thickness 200mm, laid in cement:sand mortar 1:4</t>
  </si>
  <si>
    <t>Exterior Wall and Partition|Concrete block|Concrete block 200mm Thk.</t>
  </si>
  <si>
    <t>AAC block</t>
  </si>
  <si>
    <t>AAC block 100mm Thk.</t>
  </si>
  <si>
    <t>AAC lightweight block 100mm thk. laid in thin-bed adhesive mortar</t>
  </si>
  <si>
    <t>Exterior Wall and Partition|AAC block|AAC block 100mm Thk.</t>
  </si>
  <si>
    <t>AAC block 150mm Thk.</t>
  </si>
  <si>
    <t>AAC lightweight block 150mm thk. laid in thin-bed adhesive mortar</t>
  </si>
  <si>
    <t>Exterior Wall and Partition|AAC block|AAC block 150mm Thk.</t>
  </si>
  <si>
    <t>AAC block 200mm Thk.</t>
  </si>
  <si>
    <t>AAC lightweight block 200mm thk. laid in thin-bed adhesive mortar</t>
  </si>
  <si>
    <t>Exterior Wall and Partition|AAC block|AAC block 200mm Thk.</t>
  </si>
  <si>
    <t>Precast concrete panel</t>
  </si>
  <si>
    <t>Precast wall panel</t>
  </si>
  <si>
    <t>Precast concrete wall panel incl. lifting, setting and jointing</t>
  </si>
  <si>
    <t>Exterior Wall and Partition|Precast concrete panel|Precast wall panel</t>
  </si>
  <si>
    <t>Panel jointing &amp; sealant</t>
  </si>
  <si>
    <t>Panel joint backer rod and weatherproof silicone sealant</t>
  </si>
  <si>
    <t>Exterior Wall and Partition|Precast concrete panel|Panel jointing &amp; sealant</t>
  </si>
  <si>
    <t>External façade</t>
  </si>
  <si>
    <t>concrete block</t>
  </si>
  <si>
    <t>Exterior Wall and Partition|External façade|External façade</t>
  </si>
  <si>
    <t>Curtain wall</t>
  </si>
  <si>
    <t>Aluminium curtain wall system with 8mm tempered glass incl. framing and sealant</t>
  </si>
  <si>
    <t>Exterior Wall and Partition|External façade|Curtain wall</t>
  </si>
  <si>
    <t>Aluminium composite panel</t>
  </si>
  <si>
    <t>Aluminium composite panel 4mm, PVDF finish, incl. sub-frame and sealant</t>
  </si>
  <si>
    <t>Exterior Wall and Partition|External façade|Aluminium composite panel</t>
  </si>
  <si>
    <t>Louver screen</t>
  </si>
  <si>
    <t>Aluminium louver screen incl. sub-frame and fixing</t>
  </si>
  <si>
    <t>Exterior Wall and Partition|External façade|Louver screen</t>
  </si>
  <si>
    <t>C.02</t>
  </si>
  <si>
    <t>Exterior Wall Finishes</t>
  </si>
  <si>
    <t>Plastering</t>
  </si>
  <si>
    <t>20mm cement plaster</t>
  </si>
  <si>
    <t>Exterior Wall Finishes|Plastering|Plastering</t>
  </si>
  <si>
    <t>Skim coat</t>
  </si>
  <si>
    <t>Skim coat, 2 coats, sanded ready to receive paint</t>
  </si>
  <si>
    <t>Exterior Wall Finishes|Plastering|Skim coat</t>
  </si>
  <si>
    <t>Molding / Cornice</t>
  </si>
  <si>
    <t>Cement molding / cornice incl. forming and finishing</t>
  </si>
  <si>
    <t>Exterior Wall Finishes|Plastering|Molding / Cornice</t>
  </si>
  <si>
    <t>Painting</t>
  </si>
  <si>
    <t>Exterior Wall Finishes|Painting|Painting</t>
  </si>
  <si>
    <t>Primer coat</t>
  </si>
  <si>
    <t>Alkali resistant primer, 1 coat</t>
  </si>
  <si>
    <t>Exterior Wall Finishes|Painting|Primer coat</t>
  </si>
  <si>
    <t>Weather-shield coating</t>
  </si>
  <si>
    <t>Weather-shield exterior coating, primer + 2 coats</t>
  </si>
  <si>
    <t>Exterior Wall Finishes|Painting|Weather-shield coating</t>
  </si>
  <si>
    <t>Wall tiling</t>
  </si>
  <si>
    <t>Wall tile Size 0.6x0.6m,Height 1.2m, at cooridor</t>
  </si>
  <si>
    <t>Exterior Wall Finishes|Wall tiling|Wall tiling</t>
  </si>
  <si>
    <t>Stone cladding</t>
  </si>
  <si>
    <t>Natural stone cladding incl. adhesive, anchor and pointing</t>
  </si>
  <si>
    <t>Exterior Wall Finishes|Wall tiling|Stone cladding</t>
  </si>
  <si>
    <t>Expansion joint</t>
  </si>
  <si>
    <t>Expansion joint incl. backer rod, sealant and cover profile</t>
  </si>
  <si>
    <t>Exterior Wall Finishes|Expansion joint|Expansion joint</t>
  </si>
  <si>
    <t>Sealant</t>
  </si>
  <si>
    <t>Weatherproof silicone sealant incl. backer rod</t>
  </si>
  <si>
    <t>Exterior Wall Finishes|Expansion joint|Sealant</t>
  </si>
  <si>
    <t>C.03</t>
  </si>
  <si>
    <t>Exterior Door</t>
  </si>
  <si>
    <t>Steel Door</t>
  </si>
  <si>
    <t>Steel Door, W:900,H:2100mm incl. frame, ironmongery and painting</t>
  </si>
  <si>
    <t>Exterior Door|Steel Door|Steel Door</t>
  </si>
  <si>
    <t>Fire rated steel door</t>
  </si>
  <si>
    <t>Fire rated steel door 2 hour incl. frame, closer and panic bar</t>
  </si>
  <si>
    <t>Exterior Door|Steel Door|Fire rated steel door</t>
  </si>
  <si>
    <t>Aluminium door</t>
  </si>
  <si>
    <t>Aluminium framed door with 6mm tempered glass incl. ironmongery</t>
  </si>
  <si>
    <t>Exterior Door|Aluminium door|Aluminium door</t>
  </si>
  <si>
    <t>Aluminium sliding door</t>
  </si>
  <si>
    <t>Aluminium sliding door with 6mm tempered glass incl. track and ironmongery</t>
  </si>
  <si>
    <t>Exterior Door|Aluminium door|Aluminium sliding door</t>
  </si>
  <si>
    <t>Glass door</t>
  </si>
  <si>
    <t>Frameless glass door</t>
  </si>
  <si>
    <t>Frameless tempered glass door 12mm incl. floor spring and patch fitting</t>
  </si>
  <si>
    <t>Exterior Door|Glass door|Frameless glass door</t>
  </si>
  <si>
    <t>Framed glass door</t>
  </si>
  <si>
    <t>Aluminium framed glass door incl. ironmongery</t>
  </si>
  <si>
    <t>Exterior Door|Glass door|Framed glass door</t>
  </si>
  <si>
    <t>Rolling shutter</t>
  </si>
  <si>
    <t>Galvanised steel rolling shutter incl. guide rail and lock</t>
  </si>
  <si>
    <t>Exterior Door|Rolling shutter|Rolling shutter</t>
  </si>
  <si>
    <t>Motor &amp; control</t>
  </si>
  <si>
    <t>Roller shutter motor and control panel incl. wiring</t>
  </si>
  <si>
    <t>Exterior Door|Rolling shutter|Motor &amp; control</t>
  </si>
  <si>
    <t>Door ironmongery</t>
  </si>
  <si>
    <t>Lockset</t>
  </si>
  <si>
    <t>Mortice lockset, stainless steel lever handle</t>
  </si>
  <si>
    <t>Exterior Door|Door ironmongery|Lockset</t>
  </si>
  <si>
    <t>Door closer</t>
  </si>
  <si>
    <t>Overhead door closer, adjustable</t>
  </si>
  <si>
    <t>Exterior Door|Door ironmongery|Door closer</t>
  </si>
  <si>
    <t>Hinge</t>
  </si>
  <si>
    <t>Stainless steel butt hinge 100mm</t>
  </si>
  <si>
    <t>Exterior Door|Door ironmongery|Hinge</t>
  </si>
  <si>
    <t>Door stopper</t>
  </si>
  <si>
    <t>Floor / wall mounted door stopper</t>
  </si>
  <si>
    <t>Exterior Door|Door ironmongery|Door stopper</t>
  </si>
  <si>
    <t>C.04</t>
  </si>
  <si>
    <t>Exterior Window and Louver</t>
  </si>
  <si>
    <t>Glass Window</t>
  </si>
  <si>
    <t>Internal Fix Windoor (L:1200,H:500)mm &amp; Slide window (L:1200,H:1000)mm</t>
  </si>
  <si>
    <t>Exterior Window and Louver|Glass Window|Glass Window</t>
  </si>
  <si>
    <t>Fixed glass window</t>
  </si>
  <si>
    <t>Fixed aluminium window with 6mm tempered glass incl. sealant</t>
  </si>
  <si>
    <t>Exterior Window and Louver|Glass Window|Fixed glass window</t>
  </si>
  <si>
    <t>Sliding glass window</t>
  </si>
  <si>
    <t>Sliding aluminium window with 6mm tempered glass incl. track and lock</t>
  </si>
  <si>
    <t>Exterior Window and Louver|Glass Window|Sliding glass window</t>
  </si>
  <si>
    <t>Casement window</t>
  </si>
  <si>
    <t>Casement aluminium window with 6mm glass incl. friction stay</t>
  </si>
  <si>
    <t>Exterior Window and Louver|Glass Window|Casement window</t>
  </si>
  <si>
    <t>Aluminium louver</t>
  </si>
  <si>
    <t>Aluminium louver incl. frame and fixing</t>
  </si>
  <si>
    <t>Exterior Window and Louver|Aluminium louver|Aluminium louver</t>
  </si>
  <si>
    <t>Steel louver</t>
  </si>
  <si>
    <t>Steel louver incl. frame, fixing and painting</t>
  </si>
  <si>
    <t>Exterior Window and Louver|Aluminium louver|Steel louver</t>
  </si>
  <si>
    <t>Window accessories</t>
  </si>
  <si>
    <t>Window fence / grille</t>
  </si>
  <si>
    <t>Steel window grille incl. painting and fixing</t>
  </si>
  <si>
    <t>Exterior Window and Louver|Window accessories|Window fence / grille</t>
  </si>
  <si>
    <t>Mosquito screen</t>
  </si>
  <si>
    <t>Aluminium frame mosquito / insect screen</t>
  </si>
  <si>
    <t>Exterior Window and Louver|Window accessories|Mosquito screen</t>
  </si>
  <si>
    <t>Exterior Window and Louver|Window accessories|Sealant</t>
  </si>
  <si>
    <t>Window sill</t>
  </si>
  <si>
    <t>Cement / stone window sill incl. forming and finishing</t>
  </si>
  <si>
    <t>Exterior Window and Louver|Window accessories|Window sill</t>
  </si>
  <si>
    <t>C.05</t>
  </si>
  <si>
    <t>Exterior floor</t>
  </si>
  <si>
    <t>Screeding</t>
  </si>
  <si>
    <t>Cement:sand screed 1:3, 40mm thk. steel trowel finish</t>
  </si>
  <si>
    <t>Exterior floor|Screeding|Screeding</t>
  </si>
  <si>
    <t>Floor hardener</t>
  </si>
  <si>
    <t>Non-metallic floor hardener 3kg/m2 incl. power trowel finish</t>
  </si>
  <si>
    <t>Exterior floor|Screeding|Floor hardener</t>
  </si>
  <si>
    <t>Floor tiling</t>
  </si>
  <si>
    <t>Floor tile Size 0.3x0.3m incl. adhesive and grout</t>
  </si>
  <si>
    <t>Exterior floor|Floor tiling|Floor tiling</t>
  </si>
  <si>
    <t>Anti-slip tile</t>
  </si>
  <si>
    <t>Anti-slip ceramic tile incl. adhesive and grout</t>
  </si>
  <si>
    <t>Exterior floor|Floor tiling|Anti-slip tile</t>
  </si>
  <si>
    <t>Exterior floor|Waterproofing|Waterproofing</t>
  </si>
  <si>
    <t>Protection screed</t>
  </si>
  <si>
    <t>Protection screed 40mm thk. to waterproofing membrane</t>
  </si>
  <si>
    <t>Exterior floor|Waterproofing|Protection screed</t>
  </si>
  <si>
    <t>C.06</t>
  </si>
  <si>
    <t>Exterior soffit</t>
  </si>
  <si>
    <t>Soffit finishes</t>
  </si>
  <si>
    <t>Exterior soffit|Soffit finishes|Plastering</t>
  </si>
  <si>
    <t>Exterior soffit|Soffit finishes|Painting</t>
  </si>
  <si>
    <t>Soffit cladding</t>
  </si>
  <si>
    <t>Soffit cladding board incl. sub-frame and jointing</t>
  </si>
  <si>
    <t>Exterior soffit|Soffit finishes|Soffit cladding</t>
  </si>
  <si>
    <t>C.07</t>
  </si>
  <si>
    <t>Exterior Stair Ramp</t>
  </si>
  <si>
    <t>Stair &amp; Ramp finishes</t>
  </si>
  <si>
    <t>Stair tread &amp; riser finish</t>
  </si>
  <si>
    <t>Stair tread and riser tile / stone finish incl. adhesive</t>
  </si>
  <si>
    <t>Exterior Stair Ramp|Stair &amp; Ramp finishes|Stair tread &amp; riser finish</t>
  </si>
  <si>
    <t>Ramp finish</t>
  </si>
  <si>
    <t>Ramp anti-slip floor finish incl. adhesive and grout</t>
  </si>
  <si>
    <t>Exterior Stair Ramp|Stair &amp; Ramp finishes|Ramp finish</t>
  </si>
  <si>
    <t>Stair nosing</t>
  </si>
  <si>
    <t>Aluminium stair nosing with anti-slip insert</t>
  </si>
  <si>
    <t>Exterior Stair Ramp|Stair &amp; Ramp finishes|Stair nosing</t>
  </si>
  <si>
    <t>Tactile paving</t>
  </si>
  <si>
    <t>Tactile warning paving for accessibility incl. adhesive</t>
  </si>
  <si>
    <t>Exterior Stair Ramp|Stair &amp; Ramp finishes|Tactile paving</t>
  </si>
  <si>
    <t>Handrail &amp; Balustrade</t>
  </si>
  <si>
    <t>Handrail</t>
  </si>
  <si>
    <t>Steel handrail with paiting H=1m</t>
  </si>
  <si>
    <t>Exterior Stair Ramp|Handrail &amp; Balustrade|Handrail</t>
  </si>
  <si>
    <t>Balustrade</t>
  </si>
  <si>
    <t>Stainless steel / glass balustrade H=1.1m incl. fixing</t>
  </si>
  <si>
    <t>Exterior Stair Ramp|Handrail &amp; Balustrade|Balustrade</t>
  </si>
  <si>
    <t>Guard rail</t>
  </si>
  <si>
    <t>Steel guard rail incl. fabrication, painting and fixing</t>
  </si>
  <si>
    <t>Exterior Stair Ramp|Handrail &amp; Balustrade|Guard rail</t>
  </si>
  <si>
    <t>C.08</t>
  </si>
  <si>
    <t>Roofing</t>
  </si>
  <si>
    <t>Roof covering</t>
  </si>
  <si>
    <t>Metal roof sheet</t>
  </si>
  <si>
    <t>Metal roof sheet 0.47mm thk. colour coated incl. fixing accessories</t>
  </si>
  <si>
    <t>Roofing|Roof covering|Metal roof sheet</t>
  </si>
  <si>
    <t>Roof tile</t>
  </si>
  <si>
    <t>Concrete / clay roof tile incl. batten, ridge and fixing</t>
  </si>
  <si>
    <t>Roofing|Roof covering|Roof tile</t>
  </si>
  <si>
    <t>Translucent sheet</t>
  </si>
  <si>
    <t>Translucent polycarbonate roof sheet incl. fixing</t>
  </si>
  <si>
    <t>Roofing|Roof covering|Translucent sheet</t>
  </si>
  <si>
    <t>Ridge cap</t>
  </si>
  <si>
    <t>Colour coated ridge cap incl. sealing and fixing</t>
  </si>
  <si>
    <t>Roofing|Roof covering|Ridge cap</t>
  </si>
  <si>
    <t>Roof waterproofing &amp; insulation</t>
  </si>
  <si>
    <t>Waterproofing membrane</t>
  </si>
  <si>
    <t>Torch-on bituminous waterproofing membrane 3mm incl. primer and up-turn</t>
  </si>
  <si>
    <t>Roofing|Roof waterproofing &amp; insulation|Waterproofing membrane</t>
  </si>
  <si>
    <t>Thermal insulation</t>
  </si>
  <si>
    <t>Roof thermal insulation, glasswool 50mm with foil facing</t>
  </si>
  <si>
    <t>Roofing|Roof waterproofing &amp; insulation|Thermal insulation</t>
  </si>
  <si>
    <t>Vapour barrier</t>
  </si>
  <si>
    <t>Vapour barrier; supply and install complete incl. all accessories, jointing and making good.</t>
  </si>
  <si>
    <t>Roofing|Roof waterproofing &amp; insulation|Vapour barrier</t>
  </si>
  <si>
    <t>Roofing|Roof waterproofing &amp; insulation|Protection screed</t>
  </si>
  <si>
    <t>Roof drainage</t>
  </si>
  <si>
    <t>Gutter</t>
  </si>
  <si>
    <t>Colour coated metal gutter incl. bracket and outlet</t>
  </si>
  <si>
    <t>Roofing|Roof drainage|Gutter</t>
  </si>
  <si>
    <t>Downpipe</t>
  </si>
  <si>
    <t>uPVC downpipe incl. bracket, bend and shoe</t>
  </si>
  <si>
    <t>Roofing|Roof drainage|Downpipe</t>
  </si>
  <si>
    <t>Roof drain</t>
  </si>
  <si>
    <t>Cast iron / uPVC roof drain with dome grating</t>
  </si>
  <si>
    <t>Roofing|Roof drainage|Roof drain</t>
  </si>
  <si>
    <t>Roofing|Roof drainage|Flashing</t>
  </si>
  <si>
    <t>Roof accessories</t>
  </si>
  <si>
    <t>Skylight</t>
  </si>
  <si>
    <t>Skylight with laminated glass incl. aluminium frame and flashing</t>
  </si>
  <si>
    <t>Roofing|Roof accessories|Skylight</t>
  </si>
  <si>
    <t>Roof access hatch</t>
  </si>
  <si>
    <t>Roof access hatch incl. frame, cover and lock</t>
  </si>
  <si>
    <t>Roofing|Roof accessories|Roof access hatch</t>
  </si>
  <si>
    <t>Roof ladder</t>
  </si>
  <si>
    <t>Steel cat ladder incl. safety hoop and painting</t>
  </si>
  <si>
    <t>Roofing|Roof accessories|Roof ladder</t>
  </si>
  <si>
    <t>Lightning terminal base</t>
  </si>
  <si>
    <t>Lightning air terminal base incl. fixing to roof structure</t>
  </si>
  <si>
    <t>Roofing|Roof accessories|Lightning terminal base</t>
  </si>
  <si>
    <t>C.09</t>
  </si>
  <si>
    <t>Interior Wall and Partition</t>
  </si>
  <si>
    <t>Hollow clay brick (80x80x180)mm, thickness 100mm Thk.</t>
  </si>
  <si>
    <t>Interior Wall and Partition|Hollow clay brick|Hollow clay brick 100mm Thk.</t>
  </si>
  <si>
    <t>Hollow clay brick, thickness 200mm, laid in cement:sand mortar 1:4</t>
  </si>
  <si>
    <t>Interior Wall and Partition|Hollow clay brick|Hollow clay brick 200mm Thk.</t>
  </si>
  <si>
    <t>Dry wall partition</t>
  </si>
  <si>
    <t>Gypsum board partition</t>
  </si>
  <si>
    <t>Gypsum board partition 2x12mm both sides on 76mm metal stud incl. jointing</t>
  </si>
  <si>
    <t>Interior Wall and Partition|Dry wall partition|Gypsum board partition</t>
  </si>
  <si>
    <t>Cement board partition</t>
  </si>
  <si>
    <t>Fibre cement board partition 2x9mm both sides on metal stud incl. jointing</t>
  </si>
  <si>
    <t>Interior Wall and Partition|Dry wall partition|Cement board partition</t>
  </si>
  <si>
    <t>Metal stud framing</t>
  </si>
  <si>
    <t>Galvanised metal stud and track framing at 600mm c/c</t>
  </si>
  <si>
    <t>Interior Wall and Partition|Dry wall partition|Metal stud framing</t>
  </si>
  <si>
    <t>Acoustic infill</t>
  </si>
  <si>
    <t>Rockwool acoustic infill 50mm thk. density 60kg/m3 to partition cavity</t>
  </si>
  <si>
    <t>Interior Wall and Partition|Dry wall partition|Acoustic infill</t>
  </si>
  <si>
    <t>Glass partition</t>
  </si>
  <si>
    <t>Frameless glass partition</t>
  </si>
  <si>
    <t>Frameless tempered glass partition 12mm thk. incl. patch fitting and sealant</t>
  </si>
  <si>
    <t>Interior Wall and Partition|Glass partition|Frameless glass partition</t>
  </si>
  <si>
    <t>Framed glass partition</t>
  </si>
  <si>
    <t>Aluminium framed glass partition with 8mm tempered glass</t>
  </si>
  <si>
    <t>Interior Wall and Partition|Glass partition|Framed glass partition</t>
  </si>
  <si>
    <t>Toilet cubicle</t>
  </si>
  <si>
    <t>Toilet cubicle, compact laminate 12mm thk. incl. door, hardware and pilaster</t>
  </si>
  <si>
    <t>Interior Wall and Partition|Toilet cubicle|Toilet cubicle</t>
  </si>
  <si>
    <t>Urinal divider</t>
  </si>
  <si>
    <t>Urinal divider, compact laminate 12mm thk. incl. bracket</t>
  </si>
  <si>
    <t>Interior Wall and Partition|Toilet cubicle|Urinal divider</t>
  </si>
  <si>
    <t>Interior Wall and Partition|Handrail|Handrail</t>
  </si>
  <si>
    <t>Handrail on staircase</t>
  </si>
  <si>
    <t>Steel handrail with paiting Handrail on staircase, H=1m</t>
  </si>
  <si>
    <t>Interior Wall and Partition|Handrail|Handrail on staircase</t>
  </si>
  <si>
    <t>Wall guard rail</t>
  </si>
  <si>
    <t>Wall mounted guard rail / crash rail incl. bracket and fixing</t>
  </si>
  <si>
    <t>Interior Wall and Partition|Handrail|Wall guard rail</t>
  </si>
  <si>
    <t>C.10</t>
  </si>
  <si>
    <t>Interior Doors</t>
  </si>
  <si>
    <t>Wood door</t>
  </si>
  <si>
    <t>Wood door size (L:1600,H:2100,W:500)mm</t>
  </si>
  <si>
    <t>Interior Doors|Wood door|Wood door</t>
  </si>
  <si>
    <t>Solid core wood door</t>
  </si>
  <si>
    <t>Solid core timber door with laminate finish incl. frame and ironmongery</t>
  </si>
  <si>
    <t>Interior Doors|Wood door|Solid core wood door</t>
  </si>
  <si>
    <t>PVC door</t>
  </si>
  <si>
    <t>PVC door size (L:750,H:2000,W:400)mm</t>
  </si>
  <si>
    <t>Interior Doors|PVC door|PVC door</t>
  </si>
  <si>
    <t>Steel door size (L:880,H:2100,W:400)mm</t>
  </si>
  <si>
    <t>Interior Doors|Steel Door|Steel Door</t>
  </si>
  <si>
    <t>Fire rated door</t>
  </si>
  <si>
    <t>Fire rated door 1 hour, steel, incl. frame, closer and ironmongery</t>
  </si>
  <si>
    <t>Interior Doors|Steel Door|Fire rated door</t>
  </si>
  <si>
    <t>Aluminium / Glass door</t>
  </si>
  <si>
    <t>Interior Doors|Aluminium / Glass door|Aluminium door</t>
  </si>
  <si>
    <t>Tempered glass door 12mm thk. incl. patch fitting and floor spring</t>
  </si>
  <si>
    <t>Interior Doors|Aluminium / Glass door|Glass door</t>
  </si>
  <si>
    <t>Interior Doors|Door ironmongery|Lockset</t>
  </si>
  <si>
    <t>Interior Doors|Door ironmongery|Door closer</t>
  </si>
  <si>
    <t>Interior Doors|Door ironmongery|Hinge</t>
  </si>
  <si>
    <t>Interior Doors|Door ironmongery|Door stopper</t>
  </si>
  <si>
    <t>Panic bar</t>
  </si>
  <si>
    <t>Panic exit device / push bar to fire escape door</t>
  </si>
  <si>
    <t>Interior Doors|Door ironmongery|Panic bar</t>
  </si>
  <si>
    <t>Interior window / louver</t>
  </si>
  <si>
    <t>Interior glass window</t>
  </si>
  <si>
    <t>Interior aluminium framed glass window with 6mm glass</t>
  </si>
  <si>
    <t>Interior Doors|Interior window / louver|Interior glass window</t>
  </si>
  <si>
    <t>Interior louver</t>
  </si>
  <si>
    <t>Interior aluminium louver incl. frame</t>
  </si>
  <si>
    <t>Interior Doors|Interior window / louver|Interior louver</t>
  </si>
  <si>
    <t>C.11</t>
  </si>
  <si>
    <t>Special installation</t>
  </si>
  <si>
    <t>Gas installation</t>
  </si>
  <si>
    <t>LPG gas system</t>
  </si>
  <si>
    <t>LPG gas piping system incl. regulator, valve and testing</t>
  </si>
  <si>
    <t>Special installation|Gas installation|LPG gas system</t>
  </si>
  <si>
    <t>Laboratory gas outlet</t>
  </si>
  <si>
    <t>Laboratory gas outlet point incl. piping, valve and testing</t>
  </si>
  <si>
    <t>Special installation|Gas installation|Laboratory gas outlet</t>
  </si>
  <si>
    <t>D.01</t>
  </si>
  <si>
    <t>Interior Wall Finishes</t>
  </si>
  <si>
    <t>Interior Wall Finishes|Plastering|Plastering</t>
  </si>
  <si>
    <t>Interior Wall Finishes|Plastering|Skim coat</t>
  </si>
  <si>
    <t>Interior Wall Finishes|Painting|Painting</t>
  </si>
  <si>
    <t>Interior Wall Finishes|Painting|Primer coat</t>
  </si>
  <si>
    <t>Interior Wall Finishes|Wall tiling|Wall tiling</t>
  </si>
  <si>
    <t>Toilet Wall tile</t>
  </si>
  <si>
    <t>Toilet Wall tile Size 0.3x0.6m incl. adhesive and grout</t>
  </si>
  <si>
    <t>Interior Wall Finishes|Wall tiling|Toilet Wall tile</t>
  </si>
  <si>
    <t>Wall cladding</t>
  </si>
  <si>
    <t>Decorative wall cladding panel incl. sub-frame and fixing</t>
  </si>
  <si>
    <t>Interior Wall Finishes|Wall cladding|Wall cladding</t>
  </si>
  <si>
    <t>Acoustic panel</t>
  </si>
  <si>
    <t>Acoustic wall panel incl. sub-frame and fixing</t>
  </si>
  <si>
    <t>Interior Wall Finishes|Wall cladding|Acoustic panel</t>
  </si>
  <si>
    <t>Wallpaper</t>
  </si>
  <si>
    <t>Vinyl wallpaper incl. adhesive and surface preparation</t>
  </si>
  <si>
    <t>Interior Wall Finishes|Wall cladding|Wallpaper</t>
  </si>
  <si>
    <t>Mirror</t>
  </si>
  <si>
    <t>Silver mirror 5mm thk. incl. backing and fixing</t>
  </si>
  <si>
    <t>Interior Wall Finishes|Wall cladding|Mirror</t>
  </si>
  <si>
    <t>Skirting</t>
  </si>
  <si>
    <t>Tile / cement skirting 100mm high incl. adhesive and grout</t>
  </si>
  <si>
    <t>Interior Wall Finishes|Skirting|Skirting</t>
  </si>
  <si>
    <t>D.02</t>
  </si>
  <si>
    <t>Interior Floor Finishes</t>
  </si>
  <si>
    <t>Interior Floor Finishes|Screeding|Screeding</t>
  </si>
  <si>
    <t>Self-levelling screed</t>
  </si>
  <si>
    <t>Self-levelling screed 5mm thk. to receive floor finish</t>
  </si>
  <si>
    <t>Interior Floor Finishes|Screeding|Self-levelling screed</t>
  </si>
  <si>
    <t>Interior Floor Finishes|Floor tiling|Floor tiling</t>
  </si>
  <si>
    <t>Toilet Floor tile</t>
  </si>
  <si>
    <t>Toilet Floor tile Size 0.3x0.3m, anti-slip, incl. adhesive and grout</t>
  </si>
  <si>
    <t>Interior Floor Finishes|Floor tiling|Toilet Floor tile</t>
  </si>
  <si>
    <t>Homogeneous tile</t>
  </si>
  <si>
    <t>Homogeneous tile 600x600mm incl. adhesive and grout</t>
  </si>
  <si>
    <t>Interior Floor Finishes|Floor tiling|Homogeneous tile</t>
  </si>
  <si>
    <t>Stone flooring</t>
  </si>
  <si>
    <t>Marble on staircase</t>
  </si>
  <si>
    <t>Interior Floor Finishes|Stone flooring|Marble on staircase</t>
  </si>
  <si>
    <t>Marble flooring</t>
  </si>
  <si>
    <t>Marble slab flooring 20mm thk. incl. bedding, polishing and sealing</t>
  </si>
  <si>
    <t>Interior Floor Finishes|Stone flooring|Marble flooring</t>
  </si>
  <si>
    <t>Granite flooring</t>
  </si>
  <si>
    <t>Granite slab flooring 20mm thk. incl. bedding and polishing</t>
  </si>
  <si>
    <t>Interior Floor Finishes|Stone flooring|Granite flooring</t>
  </si>
  <si>
    <t>Resilient flooring</t>
  </si>
  <si>
    <t>Vinyl flooring</t>
  </si>
  <si>
    <t>Homogeneous vinyl sheet flooring 2mm thk. incl. adhesive and welding rod</t>
  </si>
  <si>
    <t>Interior Floor Finishes|Resilient flooring|Vinyl flooring</t>
  </si>
  <si>
    <t>Epoxy flooring</t>
  </si>
  <si>
    <t>Epoxy floor coating, self-levelling 2mm thk. incl. primer</t>
  </si>
  <si>
    <t>Interior Floor Finishes|Resilient flooring|Epoxy flooring</t>
  </si>
  <si>
    <t>Wooden flooring</t>
  </si>
  <si>
    <t>Engineered timber flooring incl. underlay and skirting</t>
  </si>
  <si>
    <t>Interior Floor Finishes|Resilient flooring|Wooden flooring</t>
  </si>
  <si>
    <t>Carpet</t>
  </si>
  <si>
    <t>Carpet tile 500x500mm incl. adhesive</t>
  </si>
  <si>
    <t>Interior Floor Finishes|Resilient flooring|Carpet</t>
  </si>
  <si>
    <t>Raised floor</t>
  </si>
  <si>
    <t>Raised access floor 600x600mm panel incl. pedestal</t>
  </si>
  <si>
    <t>Interior Floor Finishes|Resilient flooring|Raised floor</t>
  </si>
  <si>
    <t>Interior Floor Finishes|Waterproofing|Waterproofing</t>
  </si>
  <si>
    <t>anti termite</t>
  </si>
  <si>
    <t>Interior Floor Finishes|Waterproofing|anti termite</t>
  </si>
  <si>
    <t>Floor accessories</t>
  </si>
  <si>
    <t>Interior Floor Finishes|Floor accessories|Skirting</t>
  </si>
  <si>
    <t>Interior Floor Finishes|Floor accessories|Stair nosing</t>
  </si>
  <si>
    <t>Floor trim / divider</t>
  </si>
  <si>
    <t>Aluminium floor trim / divider strip</t>
  </si>
  <si>
    <t>Interior Floor Finishes|Floor accessories|Floor trim / divider</t>
  </si>
  <si>
    <t>D.03</t>
  </si>
  <si>
    <t>Ceiling Finishes</t>
  </si>
  <si>
    <t>Suspended ceiling</t>
  </si>
  <si>
    <t>10mm Plasterboard with 600mm ceiling frame height</t>
  </si>
  <si>
    <t>Ceiling Finishes|Suspended ceiling|Suspended ceiling</t>
  </si>
  <si>
    <t>Gypsum board ceiling</t>
  </si>
  <si>
    <t>Gypsum board ceiling 9mm thk. on metal furring incl. jointing</t>
  </si>
  <si>
    <t>Ceiling Finishes|Suspended ceiling|Gypsum board ceiling</t>
  </si>
  <si>
    <t>Cement board ceiling</t>
  </si>
  <si>
    <t>Fibre cement board ceiling 4.5mm thk. on metal furring</t>
  </si>
  <si>
    <t>Ceiling Finishes|Suspended ceiling|Cement board ceiling</t>
  </si>
  <si>
    <t>Acoustic ceiling</t>
  </si>
  <si>
    <t>Acoustic ceiling tile</t>
  </si>
  <si>
    <t>Acoustic ceiling tile 600x600mm on exposed T-grid</t>
  </si>
  <si>
    <t>Ceiling Finishes|Acoustic ceiling|Acoustic ceiling tile</t>
  </si>
  <si>
    <t>Mineral fibre ceiling</t>
  </si>
  <si>
    <t>Mineral fibre ceiling board 600x1200mm on T-grid system</t>
  </si>
  <si>
    <t>Ceiling Finishes|Acoustic ceiling|Mineral fibre ceiling</t>
  </si>
  <si>
    <t>Metal ceiling</t>
  </si>
  <si>
    <t>Aluminium strip ceiling</t>
  </si>
  <si>
    <t>Aluminium strip ceiling incl. carrier and trim</t>
  </si>
  <si>
    <t>Ceiling Finishes|Metal ceiling|Aluminium strip ceiling</t>
  </si>
  <si>
    <t>Metal grid ceiling</t>
  </si>
  <si>
    <t>Metal open grid ceiling incl. suspension system</t>
  </si>
  <si>
    <t>Ceiling Finishes|Metal ceiling|Metal grid ceiling</t>
  </si>
  <si>
    <t>Ceiling accessories</t>
  </si>
  <si>
    <t>Ceiling access panel</t>
  </si>
  <si>
    <t>Ceiling access panel 600x600mm incl. frame and lock</t>
  </si>
  <si>
    <t>Ceiling Finishes|Ceiling accessories|Ceiling access panel</t>
  </si>
  <si>
    <t>Cornice</t>
  </si>
  <si>
    <t>Gypsum cornice incl. fixing and jointing</t>
  </si>
  <si>
    <t>Ceiling Finishes|Ceiling accessories|Cornice</t>
  </si>
  <si>
    <t>Bulkhead</t>
  </si>
  <si>
    <t>Ceiling bulkhead incl. framing, board and jointing</t>
  </si>
  <si>
    <t>Ceiling Finishes|Ceiling accessories|Bulkhead</t>
  </si>
  <si>
    <t>Ceiling painting</t>
  </si>
  <si>
    <t>Ceiling painting, primer + 2 coats emulsion</t>
  </si>
  <si>
    <t>Ceiling Finishes|Ceiling accessories|Ceiling painting</t>
  </si>
  <si>
    <t>Curtain box</t>
  </si>
  <si>
    <t>Curtain box / pelmet incl. framing and finishing</t>
  </si>
  <si>
    <t>Ceiling Finishes|Ceiling accessories|Curtain box</t>
  </si>
  <si>
    <t>E.01</t>
  </si>
  <si>
    <t>Fittings, furnishings and equipment</t>
  </si>
  <si>
    <t>General Fitting</t>
  </si>
  <si>
    <t>Toilet accessories</t>
  </si>
  <si>
    <t>set</t>
  </si>
  <si>
    <t>Toilet accessories set: paper holder, soap dispenser, coat hook, grab bar</t>
  </si>
  <si>
    <t>Fittings, furnishings and equipment|General Fitting|Toilet accessories</t>
  </si>
  <si>
    <t>Fittings, furnishings and equipment|General Fitting|Mirror</t>
  </si>
  <si>
    <t>Counter top</t>
  </si>
  <si>
    <t>Solid surface counter top 12mm thk. incl. support and sealing</t>
  </si>
  <si>
    <t>Fittings, furnishings and equipment|General Fitting|Counter top</t>
  </si>
  <si>
    <t>Locker</t>
  </si>
  <si>
    <t>Steel locker unit incl. lock and fixing</t>
  </si>
  <si>
    <t>Fittings, furnishings and equipment|General Fitting|Locker</t>
  </si>
  <si>
    <t>Shelving</t>
  </si>
  <si>
    <t>Melamine faced shelving incl. bracket and fixing</t>
  </si>
  <si>
    <t>Fittings, furnishings and equipment|General Fitting|Shelving</t>
  </si>
  <si>
    <t>Blind &amp; curtain</t>
  </si>
  <si>
    <t>Roller blind / curtain incl. track and bracket</t>
  </si>
  <si>
    <t>Fittings, furnishings and equipment|General Fitting|Blind &amp; curtain</t>
  </si>
  <si>
    <t>White board</t>
  </si>
  <si>
    <t>Magnetic white board incl. frame and fixing</t>
  </si>
  <si>
    <t>Fittings, furnishings and equipment|General Fitting|White board</t>
  </si>
  <si>
    <t>E.02</t>
  </si>
  <si>
    <t>Kitchen Fitting</t>
  </si>
  <si>
    <t>Kitchen cabinet</t>
  </si>
  <si>
    <t>Kitchen cabinet, melamine faced carcass incl. hardware</t>
  </si>
  <si>
    <t>Fittings, furnishings and equipment|Kitchen Fitting|Kitchen cabinet</t>
  </si>
  <si>
    <t>Fittings, furnishings and equipment|Kitchen Fitting|Counter top</t>
  </si>
  <si>
    <t>Sink</t>
  </si>
  <si>
    <t>Stainless steel sink incl. tap, waste and P-trap</t>
  </si>
  <si>
    <t>Fittings, furnishings and equipment|Kitchen Fitting|Sink</t>
  </si>
  <si>
    <t>E.03</t>
  </si>
  <si>
    <t>Special purpose Fitting</t>
  </si>
  <si>
    <t>Laboratory bench</t>
  </si>
  <si>
    <t>Laboratory bench with chemical resistant top incl. base cabinet</t>
  </si>
  <si>
    <t>Fittings, furnishings and equipment|Special purpose Fitting|Laboratory bench</t>
  </si>
  <si>
    <t>Library shelving</t>
  </si>
  <si>
    <t>Library shelving unit incl. fixing</t>
  </si>
  <si>
    <t>Fittings, furnishings and equipment|Special purpose Fitting|Library shelving</t>
  </si>
  <si>
    <t>Sport / gym equipment</t>
  </si>
  <si>
    <t>Sport / gymnasium equipment as per schedule</t>
  </si>
  <si>
    <t>Fittings, furnishings and equipment|Special purpose Fitting|Sport / gym equipment</t>
  </si>
  <si>
    <t>E.04</t>
  </si>
  <si>
    <t>Signage</t>
  </si>
  <si>
    <t>Fittings, furnishings and equipment|Signage|Signage</t>
  </si>
  <si>
    <t>External round logo</t>
  </si>
  <si>
    <t>External round logo include framing</t>
  </si>
  <si>
    <t>Fittings, furnishings and equipment|Signage|External round logo</t>
  </si>
  <si>
    <t>Khmer and Chinese text</t>
  </si>
  <si>
    <t>Khmer and chinesse text</t>
  </si>
  <si>
    <t>Fittings, furnishings and equipment|Signage|Khmer and Chinese text</t>
  </si>
  <si>
    <t>Wayfinding sign</t>
  </si>
  <si>
    <t>Wayfinding directional sign incl. frame and fixing</t>
  </si>
  <si>
    <t>Fittings, furnishings and equipment|Signage|Wayfinding sign</t>
  </si>
  <si>
    <t>Room sign</t>
  </si>
  <si>
    <t>Room identification sign incl. fixing</t>
  </si>
  <si>
    <t>Fittings, furnishings and equipment|Signage|Room sign</t>
  </si>
  <si>
    <t>Statutory / safety sign</t>
  </si>
  <si>
    <t>Statutory / safety signage incl. fixing</t>
  </si>
  <si>
    <t>Fittings, furnishings and equipment|Signage|Statutory / safety sign</t>
  </si>
  <si>
    <t>MEP</t>
  </si>
  <si>
    <t>F.01</t>
  </si>
  <si>
    <t>Sanitary Installations</t>
  </si>
  <si>
    <t>Sanitary ware</t>
  </si>
  <si>
    <t>Water closet</t>
  </si>
  <si>
    <t>Water closet, close-couple, vitreous china, incl. seat cover, cistern and connector</t>
  </si>
  <si>
    <t>Sanitary Installations|Sanitary ware|Water closet</t>
  </si>
  <si>
    <t>Wash basin</t>
  </si>
  <si>
    <t>Wash basin, vitreous china, incl. tap, bottle trap, waste and bracket</t>
  </si>
  <si>
    <t>Sanitary Installations|Sanitary ware|Wash basin</t>
  </si>
  <si>
    <t>Urinal</t>
  </si>
  <si>
    <t>Urinal, vitreous china, incl. flush valve, waste and bracket</t>
  </si>
  <si>
    <t>Sanitary Installations|Sanitary ware|Urinal</t>
  </si>
  <si>
    <t>Shower set</t>
  </si>
  <si>
    <t>Shower set incl. mixer, riser rail, hand shower and hose</t>
  </si>
  <si>
    <t>Sanitary Installations|Sanitary ware|Shower set</t>
  </si>
  <si>
    <t>Squat pan</t>
  </si>
  <si>
    <t>Squat pan incl. flush pipe, connector and floor fixing</t>
  </si>
  <si>
    <t>Sanitary Installations|Sanitary ware|Squat pan</t>
  </si>
  <si>
    <t>Sanitary Installations|Sanitary ware|Sink</t>
  </si>
  <si>
    <t>Sanitary fitting</t>
  </si>
  <si>
    <t>Tap / faucet</t>
  </si>
  <si>
    <t>Chromed brass tap / faucet incl. connector</t>
  </si>
  <si>
    <t>Sanitary Installations|Sanitary fitting|Tap / faucet</t>
  </si>
  <si>
    <t>Flush valve</t>
  </si>
  <si>
    <t>Flush valve, exposed type, incl. connector</t>
  </si>
  <si>
    <t>Sanitary Installations|Sanitary fitting|Flush valve</t>
  </si>
  <si>
    <t>Angle valve</t>
  </si>
  <si>
    <t>Chromed brass angle valve incl. flexible connector</t>
  </si>
  <si>
    <t>Sanitary Installations|Sanitary fitting|Angle valve</t>
  </si>
  <si>
    <t>Floor drain</t>
  </si>
  <si>
    <t>Stainless steel floor drain with removable grating</t>
  </si>
  <si>
    <t>Sanitary Installations|Sanitary fitting|Floor drain</t>
  </si>
  <si>
    <t>Floor trap</t>
  </si>
  <si>
    <t>Floor trap with water seal incl. grating</t>
  </si>
  <si>
    <t>Sanitary Installations|Sanitary fitting|Floor trap</t>
  </si>
  <si>
    <t>Clean out</t>
  </si>
  <si>
    <t>Clean out / rodding eye incl. cover</t>
  </si>
  <si>
    <t>Sanitary Installations|Sanitary fitting|Clean out</t>
  </si>
  <si>
    <t>Sanitary accessories</t>
  </si>
  <si>
    <t>Toilet paper holder</t>
  </si>
  <si>
    <t>Stainless steel toilet paper holder incl. fixing</t>
  </si>
  <si>
    <t>Sanitary Installations|Sanitary accessories|Toilet paper holder</t>
  </si>
  <si>
    <t>Soap dispenser</t>
  </si>
  <si>
    <t>Wall mounted soap dispenser incl. fixing</t>
  </si>
  <si>
    <t>Sanitary Installations|Sanitary accessories|Soap dispenser</t>
  </si>
  <si>
    <t>Grab bar</t>
  </si>
  <si>
    <t>Stainless steel grab bar for accessible toilet incl. fixing</t>
  </si>
  <si>
    <t>Sanitary Installations|Sanitary accessories|Grab bar</t>
  </si>
  <si>
    <t>Hand dryer</t>
  </si>
  <si>
    <t>Electric hand dryer incl. wiring connection</t>
  </si>
  <si>
    <t>Sanitary Installations|Sanitary accessories|Hand dryer</t>
  </si>
  <si>
    <t>F.02</t>
  </si>
  <si>
    <t>AIR-CONDITIONAL SYSTEM</t>
  </si>
  <si>
    <t>Split unit system</t>
  </si>
  <si>
    <t>Wall mounted split unit</t>
  </si>
  <si>
    <t>Wall mounted split type air conditioner incl. indoor unit, bracket and control</t>
  </si>
  <si>
    <t>AIR-CONDITIONAL SYSTEM|Split unit system|Wall mounted split unit</t>
  </si>
  <si>
    <t>Cassette type unit</t>
  </si>
  <si>
    <t>Ceiling cassette type air conditioner incl. panel and control</t>
  </si>
  <si>
    <t>AIR-CONDITIONAL SYSTEM|Split unit system|Cassette type unit</t>
  </si>
  <si>
    <t>Outdoor condensing unit</t>
  </si>
  <si>
    <t>Outdoor condensing unit incl. base, anti-vibration mount and wiring</t>
  </si>
  <si>
    <t>AIR-CONDITIONAL SYSTEM|Split unit system|Outdoor condensing unit</t>
  </si>
  <si>
    <t>VRF / VRV system</t>
  </si>
  <si>
    <t>VRF indoor unit</t>
  </si>
  <si>
    <t>VRF indoor unit incl. drain pump, control and commissioning</t>
  </si>
  <si>
    <t>AIR-CONDITIONAL SYSTEM|VRF / VRV system|VRF indoor unit</t>
  </si>
  <si>
    <t>VRF outdoor unit</t>
  </si>
  <si>
    <t>VRF outdoor unit incl. base, anti-vibration mount and wiring</t>
  </si>
  <si>
    <t>AIR-CONDITIONAL SYSTEM|VRF / VRV system|VRF outdoor unit</t>
  </si>
  <si>
    <t>Refnet joint</t>
  </si>
  <si>
    <t>VRF refnet joint / header incl. insulation</t>
  </si>
  <si>
    <t>AIR-CONDITIONAL SYSTEM|VRF / VRV system|Refnet joint</t>
  </si>
  <si>
    <t>Chilled water system</t>
  </si>
  <si>
    <t>Chiller</t>
  </si>
  <si>
    <t>Water cooled / air cooled chiller incl. base, connection and commissioning</t>
  </si>
  <si>
    <t>AIR-CONDITIONAL SYSTEM|Chilled water system|Chiller</t>
  </si>
  <si>
    <t>Air handling unit (AHU)</t>
  </si>
  <si>
    <t>Air handling unit incl. filter, coil, fan, drain pan and control</t>
  </si>
  <si>
    <t>AIR-CONDITIONAL SYSTEM|Chilled water system|Air handling unit (AHU)</t>
  </si>
  <si>
    <t>Fan coil unit (FCU)</t>
  </si>
  <si>
    <t>Fan coil unit incl. filter, drain pan, valve and control</t>
  </si>
  <si>
    <t>AIR-CONDITIONAL SYSTEM|Chilled water system|Fan coil unit (FCU)</t>
  </si>
  <si>
    <t>Chilled water pump</t>
  </si>
  <si>
    <t>Chilled water pump incl. base, coupling, valve and control</t>
  </si>
  <si>
    <t>AIR-CONDITIONAL SYSTEM|Chilled water system|Chilled water pump</t>
  </si>
  <si>
    <t>Cooling tower</t>
  </si>
  <si>
    <t>Cooling tower incl. base, make-up water and control</t>
  </si>
  <si>
    <t>AIR-CONDITIONAL SYSTEM|Chilled water system|Cooling tower</t>
  </si>
  <si>
    <t>AC piping &amp; accessories</t>
  </si>
  <si>
    <t>Refrigerant piping</t>
  </si>
  <si>
    <t>Copper refrigerant piping incl. insulation, fitting and gas charging</t>
  </si>
  <si>
    <t>AIR-CONDITIONAL SYSTEM|AC piping &amp; accessories|Refrigerant piping</t>
  </si>
  <si>
    <t>Chilled water piping</t>
  </si>
  <si>
    <t>Chilled water piping incl. valve, fitting, insulation and support</t>
  </si>
  <si>
    <t>AIR-CONDITIONAL SYSTEM|AC piping &amp; accessories|Chilled water piping</t>
  </si>
  <si>
    <t>Condensate drain piping</t>
  </si>
  <si>
    <t>Condensate drain piping uPVC incl. insulation, fitting and support</t>
  </si>
  <si>
    <t>AIR-CONDITIONAL SYSTEM|AC piping &amp; accessories|Condensate drain piping</t>
  </si>
  <si>
    <t>Pipe insulation</t>
  </si>
  <si>
    <t>Closed cell / rockwool pipe insulation incl. vapour barrier and cladding</t>
  </si>
  <si>
    <t>AIR-CONDITIONAL SYSTEM|AC piping &amp; accessories|Pipe insulation</t>
  </si>
  <si>
    <t>Thermostat / control</t>
  </si>
  <si>
    <t>Room thermostat / wired controller incl. wiring</t>
  </si>
  <si>
    <t>AIR-CONDITIONAL SYSTEM|AC piping &amp; accessories|Thermostat / control</t>
  </si>
  <si>
    <t>F.03</t>
  </si>
  <si>
    <t>MECHANICAL VENTILATION SYSTEM</t>
  </si>
  <si>
    <t>Ventilation fan</t>
  </si>
  <si>
    <t>Toilet exhaust fan</t>
  </si>
  <si>
    <t>Toilet exhaust fan incl. bracket, damper and wiring</t>
  </si>
  <si>
    <t>MECHANICAL VENTILATION SYSTEM|Ventilation fan|Toilet exhaust fan</t>
  </si>
  <si>
    <t>Kitchen exhaust fan</t>
  </si>
  <si>
    <t>Kitchen exhaust fan incl. bracket, damper and wiring</t>
  </si>
  <si>
    <t>MECHANICAL VENTILATION SYSTEM|Ventilation fan|Kitchen exhaust fan</t>
  </si>
  <si>
    <t>Car park ventilation fan</t>
  </si>
  <si>
    <t>Car park ventilation fan incl. support and wiring</t>
  </si>
  <si>
    <t>MECHANICAL VENTILATION SYSTEM|Ventilation fan|Car park ventilation fan</t>
  </si>
  <si>
    <t>Fresh air fan</t>
  </si>
  <si>
    <t>Fresh air supply fan incl. filter, damper and wiring</t>
  </si>
  <si>
    <t>MECHANICAL VENTILATION SYSTEM|Ventilation fan|Fresh air fan</t>
  </si>
  <si>
    <t>Staircase pressurization fan</t>
  </si>
  <si>
    <t>Staircase pressurization fan incl. relief damper and control</t>
  </si>
  <si>
    <t>MECHANICAL VENTILATION SYSTEM|Ventilation fan|Staircase pressurization fan</t>
  </si>
  <si>
    <t>Specialist ventilation</t>
  </si>
  <si>
    <t>Kitchen hood</t>
  </si>
  <si>
    <t>Stainless steel kitchen hood incl. grease filter and light</t>
  </si>
  <si>
    <t>MECHANICAL VENTILATION SYSTEM|Specialist ventilation|Kitchen hood</t>
  </si>
  <si>
    <t>Smoke extraction fan</t>
  </si>
  <si>
    <t>Smoke extraction fan, 250°C/2hr rated, incl. control</t>
  </si>
  <si>
    <t>MECHANICAL VENTILATION SYSTEM|Specialist ventilation|Smoke extraction fan</t>
  </si>
  <si>
    <t>Laboratory fume hood</t>
  </si>
  <si>
    <t>Laboratory fume hood incl. exhaust fan, duct and control</t>
  </si>
  <si>
    <t>MECHANICAL VENTILATION SYSTEM|Specialist ventilation|Laboratory fume hood</t>
  </si>
  <si>
    <t>F.04</t>
  </si>
  <si>
    <t>MV DISTRIBUTION SYSTEM</t>
  </si>
  <si>
    <t>Ductwork</t>
  </si>
  <si>
    <t>GI ductwork</t>
  </si>
  <si>
    <t>Galvanised iron ductwork incl. flange, gasket, support and sealing</t>
  </si>
  <si>
    <t>MV DISTRIBUTION SYSTEM|Ductwork|GI ductwork</t>
  </si>
  <si>
    <t>Flexible duct</t>
  </si>
  <si>
    <t>Insulated flexible duct incl. clamp and connection</t>
  </si>
  <si>
    <t>MV DISTRIBUTION SYSTEM|Ductwork|Flexible duct</t>
  </si>
  <si>
    <t>Duct insulation</t>
  </si>
  <si>
    <t>Duct thermal insulation incl. vapour barrier and finish</t>
  </si>
  <si>
    <t>MV DISTRIBUTION SYSTEM|Ductwork|Duct insulation</t>
  </si>
  <si>
    <t>Duct support</t>
  </si>
  <si>
    <t>Duct hanger and support incl. anchor and rod</t>
  </si>
  <si>
    <t>MV DISTRIBUTION SYSTEM|Ductwork|Duct support</t>
  </si>
  <si>
    <t>Air terminal</t>
  </si>
  <si>
    <t>Supply air diffuser</t>
  </si>
  <si>
    <t>Supply air diffuser incl. plenum box and damper</t>
  </si>
  <si>
    <t>MV DISTRIBUTION SYSTEM|Air terminal|Supply air diffuser</t>
  </si>
  <si>
    <t>Return air grille</t>
  </si>
  <si>
    <t>Return air grille incl. filter and frame</t>
  </si>
  <si>
    <t>MV DISTRIBUTION SYSTEM|Air terminal|Return air grille</t>
  </si>
  <si>
    <t>Exhaust grille</t>
  </si>
  <si>
    <t>Exhaust air grille incl. frame and damper</t>
  </si>
  <si>
    <t>MV DISTRIBUTION SYSTEM|Air terminal|Exhaust grille</t>
  </si>
  <si>
    <t>Louver</t>
  </si>
  <si>
    <t>Weather louver with bird screen incl. frame</t>
  </si>
  <si>
    <t>MV DISTRIBUTION SYSTEM|Air terminal|Louver</t>
  </si>
  <si>
    <t>Damper &amp; control</t>
  </si>
  <si>
    <t>Volume control damper</t>
  </si>
  <si>
    <t>Volume control damper incl. actuator quadrant</t>
  </si>
  <si>
    <t>MV DISTRIBUTION SYSTEM|Damper &amp; control|Volume control damper</t>
  </si>
  <si>
    <t>Fire damper</t>
  </si>
  <si>
    <t>Fire damper 2 hour rated incl. fusible link and access panel</t>
  </si>
  <si>
    <t>MV DISTRIBUTION SYSTEM|Damper &amp; control|Fire damper</t>
  </si>
  <si>
    <t>Motorized damper</t>
  </si>
  <si>
    <t>Motorized damper incl. actuator and wiring</t>
  </si>
  <si>
    <t>MV DISTRIBUTION SYSTEM|Damper &amp; control|Motorized damper</t>
  </si>
  <si>
    <t>Testing &amp; balancing</t>
  </si>
  <si>
    <t>Air / water testing, adjusting and balancing incl. report</t>
  </si>
  <si>
    <t>MV DISTRIBUTION SYSTEM|Damper &amp; control|Testing &amp; balancing</t>
  </si>
  <si>
    <t>F.05</t>
  </si>
  <si>
    <t>ELECTRICAL SYSTEM</t>
  </si>
  <si>
    <t>Main distribution</t>
  </si>
  <si>
    <t>Main switchboard (MSB)</t>
  </si>
  <si>
    <t>Main switchboard incl. ACB/MCCB, busbar, metering and testing</t>
  </si>
  <si>
    <t>ELECTRICAL SYSTEM|Main distribution|Main switchboard (MSB)</t>
  </si>
  <si>
    <t>Sub-distribution board (DB)</t>
  </si>
  <si>
    <t>Sub distribution board incl. MCB/RCBO, enclosure and labelling</t>
  </si>
  <si>
    <t>ELECTRICAL SYSTEM|Main distribution|Sub-distribution board (DB)</t>
  </si>
  <si>
    <t>Busduct / Busway</t>
  </si>
  <si>
    <t>Busduct / busway incl. joint, support and tap-off unit</t>
  </si>
  <si>
    <t>ELECTRICAL SYSTEM|Main distribution|Busduct / Busway</t>
  </si>
  <si>
    <t>Transformer</t>
  </si>
  <si>
    <t>Distribution transformer incl. base, connection and testing</t>
  </si>
  <si>
    <t>ELECTRICAL SYSTEM|Main distribution|Transformer</t>
  </si>
  <si>
    <t>Capacitor bank</t>
  </si>
  <si>
    <t>Automatic power factor correction capacitor bank incl. controller</t>
  </si>
  <si>
    <t>ELECTRICAL SYSTEM|Main distribution|Capacitor bank</t>
  </si>
  <si>
    <t>Metering panel</t>
  </si>
  <si>
    <t>Metering panel incl. CT, meter and wiring</t>
  </si>
  <si>
    <t>ELECTRICAL SYSTEM|Main distribution|Metering panel</t>
  </si>
  <si>
    <t>Cable &amp; containment</t>
  </si>
  <si>
    <t>Power cable</t>
  </si>
  <si>
    <t>XLPE/PVC power cable incl. termination, gland and lug</t>
  </si>
  <si>
    <t>ELECTRICAL SYSTEM|Cable &amp; containment|Power cable</t>
  </si>
  <si>
    <t>Control cable</t>
  </si>
  <si>
    <t>Control cable incl. termination and gland</t>
  </si>
  <si>
    <t>ELECTRICAL SYSTEM|Cable &amp; containment|Control cable</t>
  </si>
  <si>
    <t>Cable tray</t>
  </si>
  <si>
    <t>Hot dip galvanised cable tray incl. support, bend and accessories</t>
  </si>
  <si>
    <t>ELECTRICAL SYSTEM|Cable &amp; containment|Cable tray</t>
  </si>
  <si>
    <t>Cable trunking</t>
  </si>
  <si>
    <t>Metal cable trunking incl. cover, support and accessories</t>
  </si>
  <si>
    <t>ELECTRICAL SYSTEM|Cable &amp; containment|Cable trunking</t>
  </si>
  <si>
    <t>Conduit</t>
  </si>
  <si>
    <t>uPVC / GI conduit incl. bend, coupling, box and support</t>
  </si>
  <si>
    <t>ELECTRICAL SYSTEM|Cable &amp; containment|Conduit</t>
  </si>
  <si>
    <t>Cable ladder</t>
  </si>
  <si>
    <t>Cable ladder incl. support, bend and accessories</t>
  </si>
  <si>
    <t>ELECTRICAL SYSTEM|Cable &amp; containment|Cable ladder</t>
  </si>
  <si>
    <t>Power &amp; wiring accessories</t>
  </si>
  <si>
    <t>Socket outlet</t>
  </si>
  <si>
    <t>point</t>
  </si>
  <si>
    <t>13A switched socket outlet point incl. wiring, conduit and accessories</t>
  </si>
  <si>
    <t>ELECTRICAL SYSTEM|Power &amp; wiring accessories|Socket outlet</t>
  </si>
  <si>
    <t>Switch</t>
  </si>
  <si>
    <t>Lighting switch point incl. wiring, conduit and accessories</t>
  </si>
  <si>
    <t>ELECTRICAL SYSTEM|Power &amp; wiring accessories|Switch</t>
  </si>
  <si>
    <t>Isolator</t>
  </si>
  <si>
    <t>Weatherproof isolator incl. wiring and fixing</t>
  </si>
  <si>
    <t>ELECTRICAL SYSTEM|Power &amp; wiring accessories|Isolator</t>
  </si>
  <si>
    <t>Wiring point</t>
  </si>
  <si>
    <t>Wiring point incl. cable, conduit and termination</t>
  </si>
  <si>
    <t>ELECTRICAL SYSTEM|Power &amp; wiring accessories|Wiring point</t>
  </si>
  <si>
    <t>Lighting</t>
  </si>
  <si>
    <t>Interior luminaire</t>
  </si>
  <si>
    <t>LED interior luminaire incl. lamp, driver, wiring and fixing</t>
  </si>
  <si>
    <t>ELECTRICAL SYSTEM|Lighting|Interior luminaire</t>
  </si>
  <si>
    <t>Exterior luminaire</t>
  </si>
  <si>
    <t>LED exterior / flood luminaire IP65 incl. pole/bracket and wiring</t>
  </si>
  <si>
    <t>ELECTRICAL SYSTEM|Lighting|Exterior luminaire</t>
  </si>
  <si>
    <t>Emergency light</t>
  </si>
  <si>
    <t>LED emergency light with 3 hour battery backup incl. testing</t>
  </si>
  <si>
    <t>ELECTRICAL SYSTEM|Lighting|Emergency light</t>
  </si>
  <si>
    <t>Exit sign</t>
  </si>
  <si>
    <t>LED exit sign with battery backup incl. fixing and testing</t>
  </si>
  <si>
    <t>ELECTRICAL SYSTEM|Lighting|Exit sign</t>
  </si>
  <si>
    <t>Lighting control / sensor</t>
  </si>
  <si>
    <t>Occupancy / daylight sensor incl. wiring and commissioning</t>
  </si>
  <si>
    <t>ELECTRICAL SYSTEM|Lighting|Lighting control / sensor</t>
  </si>
  <si>
    <t>Earthing &amp; lightning protection</t>
  </si>
  <si>
    <t>Earthing system</t>
  </si>
  <si>
    <t>Earthing system incl. conductor, bonding and testing</t>
  </si>
  <si>
    <t>ELECTRICAL SYSTEM|Earthing &amp; lightning protection|Earthing system</t>
  </si>
  <si>
    <t>Earth rod &amp; pit</t>
  </si>
  <si>
    <t>Copper earth rod with inspection pit incl. clamp and testing</t>
  </si>
  <si>
    <t>ELECTRICAL SYSTEM|Earthing &amp; lightning protection|Earth rod &amp; pit</t>
  </si>
  <si>
    <t>Lightning air terminal</t>
  </si>
  <si>
    <t>Lightning air terminal incl. base, mast and connection</t>
  </si>
  <si>
    <t>ELECTRICAL SYSTEM|Earthing &amp; lightning protection|Lightning air terminal</t>
  </si>
  <si>
    <t>Down conductor</t>
  </si>
  <si>
    <t>Lightning down conductor incl. clamp, tape and test joint</t>
  </si>
  <si>
    <t>ELECTRICAL SYSTEM|Earthing &amp; lightning protection|Down conductor</t>
  </si>
  <si>
    <t>Standby power</t>
  </si>
  <si>
    <t>Generator set</t>
  </si>
  <si>
    <t>Diesel generator set incl. canopy, base, exhaust and commissioning</t>
  </si>
  <si>
    <t>ELECTRICAL SYSTEM|Standby power|Generator set</t>
  </si>
  <si>
    <t>Automatic transfer switch (ATS)</t>
  </si>
  <si>
    <t>Automatic transfer switch incl. controller and wiring</t>
  </si>
  <si>
    <t>ELECTRICAL SYSTEM|Standby power|Automatic transfer switch (ATS)</t>
  </si>
  <si>
    <t>UPS</t>
  </si>
  <si>
    <t>Uninterruptible power supply incl. battery, cabinet and commissioning</t>
  </si>
  <si>
    <t>ELECTRICAL SYSTEM|Standby power|UPS</t>
  </si>
  <si>
    <t>Fuel tank &amp; piping</t>
  </si>
  <si>
    <t>Diesel fuel tank incl. piping, valve, level gauge and bund</t>
  </si>
  <si>
    <t>ELECTRICAL SYSTEM|Standby power|Fuel tank &amp; piping</t>
  </si>
  <si>
    <t>F.06</t>
  </si>
  <si>
    <t>ELV INSTALLATION</t>
  </si>
  <si>
    <t>Fire alarm system</t>
  </si>
  <si>
    <t>Fire alarm control panel</t>
  </si>
  <si>
    <t>Addressable fire alarm control panel incl. battery and programming</t>
  </si>
  <si>
    <t>ELV INSTALLATION|Fire alarm system|Fire alarm control panel</t>
  </si>
  <si>
    <t>Smoke / heat detector</t>
  </si>
  <si>
    <t>Addressable smoke / heat detector incl. base and wiring</t>
  </si>
  <si>
    <t>ELV INSTALLATION|Fire alarm system|Smoke / heat detector</t>
  </si>
  <si>
    <t>Manual call point</t>
  </si>
  <si>
    <t>Manual call point incl. back box and wiring</t>
  </si>
  <si>
    <t>ELV INSTALLATION|Fire alarm system|Manual call point</t>
  </si>
  <si>
    <t>Alarm bell / sounder</t>
  </si>
  <si>
    <t>Alarm bell / sounder incl. wiring and testing</t>
  </si>
  <si>
    <t>ELV INSTALLATION|Fire alarm system|Alarm bell / sounder</t>
  </si>
  <si>
    <t>Security system</t>
  </si>
  <si>
    <t>CCTV camera</t>
  </si>
  <si>
    <t>IP CCTV camera incl. bracket, cabling and configuration</t>
  </si>
  <si>
    <t>ELV INSTALLATION|Security system|CCTV camera</t>
  </si>
  <si>
    <t>NVR / recorder</t>
  </si>
  <si>
    <t>Network video recorder incl. hard disk, rack and configuration</t>
  </si>
  <si>
    <t>ELV INSTALLATION|Security system|NVR / recorder</t>
  </si>
  <si>
    <t>Access control door</t>
  </si>
  <si>
    <t>Door access control set incl. reader, EM lock, button and controller</t>
  </si>
  <si>
    <t>ELV INSTALLATION|Security system|Access control door</t>
  </si>
  <si>
    <t>Intercom</t>
  </si>
  <si>
    <t>Audio / video intercom incl. wiring and commissioning</t>
  </si>
  <si>
    <t>ELV INSTALLATION|Security system|Intercom</t>
  </si>
  <si>
    <t>Communication system</t>
  </si>
  <si>
    <t>Structured cabling outlet</t>
  </si>
  <si>
    <t>Cat6 data outlet incl. cable, patch panel termination and testing</t>
  </si>
  <si>
    <t>ELV INSTALLATION|Communication system|Structured cabling outlet</t>
  </si>
  <si>
    <t>Network switch / rack</t>
  </si>
  <si>
    <t>Network switch and 19" rack incl. patch panel, PDU and accessories</t>
  </si>
  <si>
    <t>ELV INSTALLATION|Communication system|Network switch / rack</t>
  </si>
  <si>
    <t>Telephone system</t>
  </si>
  <si>
    <t>Telephone system incl. exchange, handset and cabling</t>
  </si>
  <si>
    <t>ELV INSTALLATION|Communication system|Telephone system</t>
  </si>
  <si>
    <t>MATV / TV outlet</t>
  </si>
  <si>
    <t>MATV / TV outlet incl. coaxial cable, splitter and termination</t>
  </si>
  <si>
    <t>ELV INSTALLATION|Communication system|MATV / TV outlet</t>
  </si>
  <si>
    <t>WiFi access point</t>
  </si>
  <si>
    <t>Wireless access point incl. PoE cabling and configuration</t>
  </si>
  <si>
    <t>ELV INSTALLATION|Communication system|WiFi access point</t>
  </si>
  <si>
    <t>Audio visual &amp; school system</t>
  </si>
  <si>
    <t>Public address (PA) system</t>
  </si>
  <si>
    <t>Public address system incl. amplifier, mixer, microphone and zoning</t>
  </si>
  <si>
    <t>ELV INSTALLATION|Audio visual &amp; school system|Public address (PA) system</t>
  </si>
  <si>
    <t>Speaker</t>
  </si>
  <si>
    <t>Ceiling / wall speaker incl. cabling and termination</t>
  </si>
  <si>
    <t>ELV INSTALLATION|Audio visual &amp; school system|Speaker</t>
  </si>
  <si>
    <t>Bell / clock system</t>
  </si>
  <si>
    <t>School bell and master clock system incl. programming</t>
  </si>
  <si>
    <t>ELV INSTALLATION|Audio visual &amp; school system|Bell / clock system</t>
  </si>
  <si>
    <t>Projector &amp; screen</t>
  </si>
  <si>
    <t>Projector with motorized screen incl. mount, cabling and commissioning</t>
  </si>
  <si>
    <t>ELV INSTALLATION|Audio visual &amp; school system|Projector &amp; screen</t>
  </si>
  <si>
    <t>Classroom AV system</t>
  </si>
  <si>
    <t>Classroom audio visual system incl. panel, speaker and cabling</t>
  </si>
  <si>
    <t>ELV INSTALLATION|Audio visual &amp; school system|Classroom AV system</t>
  </si>
  <si>
    <t>Building management</t>
  </si>
  <si>
    <t>BMS control panel</t>
  </si>
  <si>
    <t>Building management system panel incl. controller and graphics</t>
  </si>
  <si>
    <t>ELV INSTALLATION|Building management|BMS control panel</t>
  </si>
  <si>
    <t>Field device &amp; sensor</t>
  </si>
  <si>
    <t>BMS field device / sensor incl. wiring and calibration</t>
  </si>
  <si>
    <t>ELV INSTALLATION|Building management|Field device &amp; sensor</t>
  </si>
  <si>
    <t>F.07</t>
  </si>
  <si>
    <t>PLUMBING SYSTEM</t>
  </si>
  <si>
    <t>Water supply</t>
  </si>
  <si>
    <t>Cold water piping</t>
  </si>
  <si>
    <t>PPR / uPVC cold water piping incl. fitting, valve, support and testing</t>
  </si>
  <si>
    <t>PLUMBING SYSTEM|Water supply|Cold water piping</t>
  </si>
  <si>
    <t>Hot water piping</t>
  </si>
  <si>
    <t>PPR hot water piping incl. insulation, fitting and testing</t>
  </si>
  <si>
    <t>PLUMBING SYSTEM|Water supply|Hot water piping</t>
  </si>
  <si>
    <t>PLUMBING SYSTEM|Water supply|Pipe insulation</t>
  </si>
  <si>
    <t>Valve &amp; fitting</t>
  </si>
  <si>
    <t>Gate / check / ball valve incl. flange, gasket and bolt</t>
  </si>
  <si>
    <t>PLUMBING SYSTEM|Water supply|Valve &amp; fitting</t>
  </si>
  <si>
    <t>Water meter</t>
  </si>
  <si>
    <t>Water meter incl. strainer, valve and connection</t>
  </si>
  <si>
    <t>PLUMBING SYSTEM|Water supply|Water meter</t>
  </si>
  <si>
    <t>Water storage &amp; pump</t>
  </si>
  <si>
    <t>Water tank</t>
  </si>
  <si>
    <t>Water storage tank incl. base, level control, pipework and cleaning</t>
  </si>
  <si>
    <t>PLUMBING SYSTEM|Water storage &amp; pump|Water tank</t>
  </si>
  <si>
    <t>Transfer pump</t>
  </si>
  <si>
    <t>Water transfer pump set incl. base, valve, control panel and wiring</t>
  </si>
  <si>
    <t>PLUMBING SYSTEM|Water storage &amp; pump|Transfer pump</t>
  </si>
  <si>
    <t>Booster pump</t>
  </si>
  <si>
    <t>Booster pump set with pressure vessel incl. control panel</t>
  </si>
  <si>
    <t>PLUMBING SYSTEM|Water storage &amp; pump|Booster pump</t>
  </si>
  <si>
    <t>Water heater</t>
  </si>
  <si>
    <t>Electric water heater incl. safety valve, bracket and wiring</t>
  </si>
  <si>
    <t>PLUMBING SYSTEM|Water storage &amp; pump|Water heater</t>
  </si>
  <si>
    <t>Level control</t>
  </si>
  <si>
    <t>Water level control system incl. electrode, relay and wiring</t>
  </si>
  <si>
    <t>PLUMBING SYSTEM|Water storage &amp; pump|Level control</t>
  </si>
  <si>
    <t>Drainage</t>
  </si>
  <si>
    <t>Soil pipe</t>
  </si>
  <si>
    <t>uPVC soil pipe incl. fitting, support, jointing and testing</t>
  </si>
  <si>
    <t>PLUMBING SYSTEM|Drainage|Soil pipe</t>
  </si>
  <si>
    <t>Waste pipe</t>
  </si>
  <si>
    <t>uPVC waste pipe incl. fitting, trap, support and testing</t>
  </si>
  <si>
    <t>PLUMBING SYSTEM|Drainage|Waste pipe</t>
  </si>
  <si>
    <t>Vent pipe</t>
  </si>
  <si>
    <t>uPVC vent pipe incl. fitting, cowl and support</t>
  </si>
  <si>
    <t>PLUMBING SYSTEM|Drainage|Vent pipe</t>
  </si>
  <si>
    <t>Rainwater downpipe</t>
  </si>
  <si>
    <t>uPVC rainwater downpipe incl. fitting, bracket and shoe</t>
  </si>
  <si>
    <t>PLUMBING SYSTEM|Drainage|Rainwater downpipe</t>
  </si>
  <si>
    <t>Manhole / inspection chamber</t>
  </si>
  <si>
    <t>Manhole / inspection chamber incl. excavation, concrete, benching and cover</t>
  </si>
  <si>
    <t>PLUMBING SYSTEM|Drainage|Manhole / inspection chamber</t>
  </si>
  <si>
    <t>Grease trap</t>
  </si>
  <si>
    <t>Grease trap incl. excavation, installation, cover and connection</t>
  </si>
  <si>
    <t>PLUMBING SYSTEM|Drainage|Grease trap</t>
  </si>
  <si>
    <t>Sewage treatment</t>
  </si>
  <si>
    <t>Septic tank (precast)</t>
  </si>
  <si>
    <t>Precast septic tank incl. excavation, bedding, connection and backfill</t>
  </si>
  <si>
    <t>PLUMBING SYSTEM|Sewage treatment|Septic tank (precast)</t>
  </si>
  <si>
    <t>Sewage treatment plant (STP)</t>
  </si>
  <si>
    <t>Package sewage treatment plant incl. blower, control and commissioning</t>
  </si>
  <si>
    <t>PLUMBING SYSTEM|Sewage treatment|Sewage treatment plant (STP)</t>
  </si>
  <si>
    <t>Sewer connection</t>
  </si>
  <si>
    <t>Connection to public sewer incl. excavation, pipe, chamber and reinstatement</t>
  </si>
  <si>
    <t>PLUMBING SYSTEM|Sewage treatment|Sewer connection</t>
  </si>
  <si>
    <t>F.08</t>
  </si>
  <si>
    <t>FIRE FIGHTING SYSTEM</t>
  </si>
  <si>
    <t>Hydrant &amp; hose reel</t>
  </si>
  <si>
    <t>Fire hydrant</t>
  </si>
  <si>
    <t>Fire hydrant / landing valve incl. cabinet, hose and accessories</t>
  </si>
  <si>
    <t>FIRE FIGHTING SYSTEM|Hydrant &amp; hose reel|Fire hydrant</t>
  </si>
  <si>
    <t>Hose reel</t>
  </si>
  <si>
    <t>Fire hose reel 30m incl. cabinet, nozzle and valve</t>
  </si>
  <si>
    <t>FIRE FIGHTING SYSTEM|Hydrant &amp; hose reel|Hose reel</t>
  </si>
  <si>
    <t>Landing valve</t>
  </si>
  <si>
    <t>Landing valve incl. cabinet and blank cap</t>
  </si>
  <si>
    <t>FIRE FIGHTING SYSTEM|Hydrant &amp; hose reel|Landing valve</t>
  </si>
  <si>
    <t>Fire riser piping</t>
  </si>
  <si>
    <t>Fire riser piping, galvanised steel, incl. fitting, support and testing</t>
  </si>
  <si>
    <t>FIRE FIGHTING SYSTEM|Hydrant &amp; hose reel|Fire riser piping</t>
  </si>
  <si>
    <t>Sprinkler system</t>
  </si>
  <si>
    <t>Sprinkler head</t>
  </si>
  <si>
    <t>Pendent / upright sprinkler head incl. escutcheon and testing</t>
  </si>
  <si>
    <t>FIRE FIGHTING SYSTEM|Sprinkler system|Sprinkler head</t>
  </si>
  <si>
    <t>Sprinkler piping</t>
  </si>
  <si>
    <t>Sprinkler piping incl. fitting, hanger, support and hydrostatic testing</t>
  </si>
  <si>
    <t>FIRE FIGHTING SYSTEM|Sprinkler system|Sprinkler piping</t>
  </si>
  <si>
    <t>Alarm valve set</t>
  </si>
  <si>
    <t>Sprinkler alarm valve set incl. gauge, drain and trim</t>
  </si>
  <si>
    <t>FIRE FIGHTING SYSTEM|Sprinkler system|Alarm valve set</t>
  </si>
  <si>
    <t>Flow switch</t>
  </si>
  <si>
    <t>Flow switch / tamper switch incl. wiring to fire alarm panel</t>
  </si>
  <si>
    <t>FIRE FIGHTING SYSTEM|Sprinkler system|Flow switch</t>
  </si>
  <si>
    <t>Fire pump &amp; tank</t>
  </si>
  <si>
    <t>Fire pump set</t>
  </si>
  <si>
    <t>Fire pump set (electric + diesel + jockey) incl. controller and commissioning</t>
  </si>
  <si>
    <t>FIRE FIGHTING SYSTEM|Fire pump &amp; tank|Fire pump set</t>
  </si>
  <si>
    <t>Jockey pump</t>
  </si>
  <si>
    <t>Jockey pump incl. pressure switch and control</t>
  </si>
  <si>
    <t>FIRE FIGHTING SYSTEM|Fire pump &amp; tank|Jockey pump</t>
  </si>
  <si>
    <t>Fire water tank</t>
  </si>
  <si>
    <t>Fire water storage tank incl. base, level control and connection</t>
  </si>
  <si>
    <t>FIRE FIGHTING SYSTEM|Fire pump &amp; tank|Fire water tank</t>
  </si>
  <si>
    <t>Portable &amp; special suppression</t>
  </si>
  <si>
    <t>Fire extinguisher</t>
  </si>
  <si>
    <t>Portable fire extinguisher incl. bracket, sign and servicing</t>
  </si>
  <si>
    <t>FIRE FIGHTING SYSTEM|Portable &amp; special suppression|Fire extinguisher</t>
  </si>
  <si>
    <t>Fire blanket</t>
  </si>
  <si>
    <t>Fire blanket incl. cabinet and fixing</t>
  </si>
  <si>
    <t>FIRE FIGHTING SYSTEM|Portable &amp; special suppression|Fire blanket</t>
  </si>
  <si>
    <t>FM200 / CO2 system</t>
  </si>
  <si>
    <t>FM200 / CO2 clean agent suppression system incl. cylinder, nozzle and panel</t>
  </si>
  <si>
    <t>FIRE FIGHTING SYSTEM|Portable &amp; special suppression|FM200 / CO2 system</t>
  </si>
  <si>
    <t>Kitchen suppression system</t>
  </si>
  <si>
    <t>Kitchen hood wet chemical suppression system incl. nozzle and control</t>
  </si>
  <si>
    <t>FIRE FIGHTING SYSTEM|Portable &amp; special suppression|Kitchen suppression system</t>
  </si>
  <si>
    <t>F.09</t>
  </si>
  <si>
    <t>Specialist Installations</t>
  </si>
  <si>
    <t>Renewable &amp; specialist</t>
  </si>
  <si>
    <t>Solar PV system</t>
  </si>
  <si>
    <t>Solar PV system incl. panel, inverter, mounting, cabling and commissioning</t>
  </si>
  <si>
    <t>Specialist Installations|Renewable &amp; specialist|Solar PV system</t>
  </si>
  <si>
    <t>Water treatment plant</t>
  </si>
  <si>
    <t>Water treatment plant incl. filter, dosing, control and commissioning</t>
  </si>
  <si>
    <t>Specialist Installations|Renewable &amp; specialist|Water treatment plant</t>
  </si>
  <si>
    <t>Swimming pool system</t>
  </si>
  <si>
    <t>Swimming pool filtration system incl. pump, filter, dosing and control</t>
  </si>
  <si>
    <t>Specialist Installations|Renewable &amp; specialist|Swimming pool system</t>
  </si>
  <si>
    <t>Kitchen equipment</t>
  </si>
  <si>
    <t>Commercial kitchen equipment incl. connection and commissioning</t>
  </si>
  <si>
    <t>Specialist Installations|Renewable &amp; specialist|Kitchen equipment</t>
  </si>
  <si>
    <t>F.10</t>
  </si>
  <si>
    <t>VERTICAL TRANSPORTATION SYSTEM</t>
  </si>
  <si>
    <t>Lift</t>
  </si>
  <si>
    <t>Passenger lift</t>
  </si>
  <si>
    <t>Passenger lift, 1000kg / 13 person, incl. car, door, control and commissioning</t>
  </si>
  <si>
    <t>VERTICAL TRANSPORTATION SYSTEM|Lift|Passenger lift</t>
  </si>
  <si>
    <t>Service / goods lift</t>
  </si>
  <si>
    <t>Service / goods lift incl. car, door, control and commissioning</t>
  </si>
  <si>
    <t>VERTICAL TRANSPORTATION SYSTEM|Lift|Service / goods lift</t>
  </si>
  <si>
    <t>Firefighting lift</t>
  </si>
  <si>
    <t>Firefighting lift incl. fireman switch, control and commissioning</t>
  </si>
  <si>
    <t>VERTICAL TRANSPORTATION SYSTEM|Lift|Firefighting lift</t>
  </si>
  <si>
    <t>Platform / accessibility lift</t>
  </si>
  <si>
    <t>Platform / accessibility lift incl. control and commissioning</t>
  </si>
  <si>
    <t>VERTICAL TRANSPORTATION SYSTEM|Lift|Platform / accessibility lift</t>
  </si>
  <si>
    <t>Escalator</t>
  </si>
  <si>
    <t>Escalator incl. truss, balustrade, control and commissioning</t>
  </si>
  <si>
    <t>VERTICAL TRANSPORTATION SYSTEM|Escalator|Escalator</t>
  </si>
  <si>
    <t>Lift shaft equipment</t>
  </si>
  <si>
    <t>Lift shaft ladder</t>
  </si>
  <si>
    <t>Lift pit access ladder incl. fixing</t>
  </si>
  <si>
    <t>VERTICAL TRANSPORTATION SYSTEM|Lift shaft equipment|Lift shaft ladder</t>
  </si>
  <si>
    <t>Shaft lighting &amp; socket</t>
  </si>
  <si>
    <t>Lift shaft lighting and socket incl. wiring and switch</t>
  </si>
  <si>
    <t>VERTICAL TRANSPORTATION SYSTEM|Lift shaft equipment|Shaft lighting &amp; socket</t>
  </si>
  <si>
    <t>Machine room equipment</t>
  </si>
  <si>
    <t>Lift machine room equipment incl. ventilation, lighting and hoisting beam</t>
  </si>
  <si>
    <t>VERTICAL TRANSPORTATION SYSTEM|Lift shaft equipment|Machine room equipment</t>
  </si>
  <si>
    <t>F.00</t>
  </si>
  <si>
    <t>Services</t>
  </si>
  <si>
    <t>Testing &amp; Commissioning</t>
  </si>
  <si>
    <t>Testing &amp; commissioning</t>
  </si>
  <si>
    <t>Testing, adjusting and commissioning of complete installation incl. report</t>
  </si>
  <si>
    <t>Services|Testing &amp; Commissioning|Testing &amp; commissioning</t>
  </si>
  <si>
    <t>As-built drawing</t>
  </si>
  <si>
    <t>As-built drawings incl. printing and soft copy submission</t>
  </si>
  <si>
    <t>Services|Testing &amp; Commissioning|As-built drawing</t>
  </si>
  <si>
    <t>O&amp;M manual</t>
  </si>
  <si>
    <t>Operation and maintenance manual incl. warranty documents</t>
  </si>
  <si>
    <t>Services|Testing &amp; Commissioning|O&amp;M manual</t>
  </si>
  <si>
    <t>Training</t>
  </si>
  <si>
    <t>Training of client operating personnel</t>
  </si>
  <si>
    <t>Services|Testing &amp; Commissioning|Training</t>
  </si>
  <si>
    <t>Spare parts</t>
  </si>
  <si>
    <t>Recommended spare parts as per specification</t>
  </si>
  <si>
    <t>Services|Testing &amp; Commissioning|Spare parts</t>
  </si>
  <si>
    <t>External Works</t>
  </si>
  <si>
    <t>G.01</t>
  </si>
  <si>
    <t>External Work</t>
  </si>
  <si>
    <t>Site preparation</t>
  </si>
  <si>
    <t>Site clearing</t>
  </si>
  <si>
    <t>Site clearing; supply and lay complete incl. base preparation and jointing.</t>
  </si>
  <si>
    <t>External Work|Site preparation|Site clearing</t>
  </si>
  <si>
    <t>Cut &amp; fill</t>
  </si>
  <si>
    <t>Cut and fill to formation level incl. compaction</t>
  </si>
  <si>
    <t>External Work|Site preparation|Cut &amp; fill</t>
  </si>
  <si>
    <t>External Work|Site preparation|Compaction</t>
  </si>
  <si>
    <t>G.02</t>
  </si>
  <si>
    <t>Roads, path, paving</t>
  </si>
  <si>
    <t>Concrete paving</t>
  </si>
  <si>
    <t>Reinforced concrete paving 150mm thk. incl. base, mesh and joint</t>
  </si>
  <si>
    <t>External Work|Roads, path, paving|Concrete paving</t>
  </si>
  <si>
    <t>Asphalt paving</t>
  </si>
  <si>
    <t>Asphalt concrete wearing course 50mm thk. incl. prime coat and base</t>
  </si>
  <si>
    <t>External Work|Roads, path, paving|Asphalt paving</t>
  </si>
  <si>
    <t>Interlocking paver</t>
  </si>
  <si>
    <t>Interlocking concrete paver 60mm thk. incl. sand bedding and jointing</t>
  </si>
  <si>
    <t>External Work|Roads, path, paving|Interlocking paver</t>
  </si>
  <si>
    <t>Kerb</t>
  </si>
  <si>
    <t>Precast concrete kerb incl. bedding, haunching and jointing</t>
  </si>
  <si>
    <t>External Work|Roads, path, paving|Kerb</t>
  </si>
  <si>
    <t>Road marking</t>
  </si>
  <si>
    <t>Thermoplastic road marking incl. surface preparation</t>
  </si>
  <si>
    <t>External Work|Roads, path, paving|Road marking</t>
  </si>
  <si>
    <t>Car park</t>
  </si>
  <si>
    <t>Car park surfacing incl. marking, wheel stop and signage</t>
  </si>
  <si>
    <t>External Work|Roads, path, paving|Car park</t>
  </si>
  <si>
    <t>G.03</t>
  </si>
  <si>
    <t>Landscape</t>
  </si>
  <si>
    <t>Top soil</t>
  </si>
  <si>
    <t>Approved top soil spread and levelled</t>
  </si>
  <si>
    <t>External Work|Landscape|Top soil</t>
  </si>
  <si>
    <t>Turfing</t>
  </si>
  <si>
    <t>Turfing incl. top soil, fertiliser and watering to establishment</t>
  </si>
  <si>
    <t>External Work|Landscape|Turfing</t>
  </si>
  <si>
    <t>Tree &amp; shrub</t>
  </si>
  <si>
    <t>Supply and plant tree / shrub incl. pit, soil mix, stake and maintenance</t>
  </si>
  <si>
    <t>External Work|Landscape|Tree &amp; shrub</t>
  </si>
  <si>
    <t>Planter</t>
  </si>
  <si>
    <t>Planter box incl. waterproofing, drainage layer and soil</t>
  </si>
  <si>
    <t>External Work|Landscape|Planter</t>
  </si>
  <si>
    <t>Irrigation system</t>
  </si>
  <si>
    <t>Landscape irrigation system incl. piping, sprinkler, valve and controller</t>
  </si>
  <si>
    <t>External Work|Landscape|Irrigation system</t>
  </si>
  <si>
    <t>G.04</t>
  </si>
  <si>
    <t>Fence, railing &amp; wall</t>
  </si>
  <si>
    <t>Boundary fence</t>
  </si>
  <si>
    <t>Boundary fence incl. post, mesh/panel, foundation and painting</t>
  </si>
  <si>
    <t>External Work|Fence, railing &amp; wall|Boundary fence</t>
  </si>
  <si>
    <t>Main gate</t>
  </si>
  <si>
    <t>Main entrance gate incl. frame, leaf, hardware, motor and painting</t>
  </si>
  <si>
    <t>External Work|Fence, railing &amp; wall|Main gate</t>
  </si>
  <si>
    <t>External Work|Fence, railing &amp; wall|Guard rail</t>
  </si>
  <si>
    <t>Boundary wall</t>
  </si>
  <si>
    <t>Boundary wall incl. foundation, blockwork, plaster and paint</t>
  </si>
  <si>
    <t>External Work|Fence, railing &amp; wall|Boundary wall</t>
  </si>
  <si>
    <t>G.05</t>
  </si>
  <si>
    <t>External fixture</t>
  </si>
  <si>
    <t>Flag pole</t>
  </si>
  <si>
    <t>Flag pole incl. foundation, halyard and finishing</t>
  </si>
  <si>
    <t>External Work|External fixture|Flag pole</t>
  </si>
  <si>
    <t>Bollard</t>
  </si>
  <si>
    <t>Bollard incl. foundation and finishing</t>
  </si>
  <si>
    <t>External Work|External fixture|Bollard</t>
  </si>
  <si>
    <t>Bicycle rack</t>
  </si>
  <si>
    <t>Bicycle rack incl. fixing to slab</t>
  </si>
  <si>
    <t>External Work|External fixture|Bicycle rack</t>
  </si>
  <si>
    <t>Covered walkway</t>
  </si>
  <si>
    <t>Covered walkway incl. steel structure, roofing and finishes</t>
  </si>
  <si>
    <t>External Work|External fixture|Covered walkway</t>
  </si>
  <si>
    <t>Guard house</t>
  </si>
  <si>
    <t>Guard house incl. structure, finishes and services</t>
  </si>
  <si>
    <t>External Work|External fixture|Guard house</t>
  </si>
  <si>
    <t>Playground / sport court</t>
  </si>
  <si>
    <t>Playground / sport court incl. surfacing, marking and equipment</t>
  </si>
  <si>
    <t>External Work|External fixture|Playground / sport court</t>
  </si>
  <si>
    <t>DESCRIPTION LIBRARY — STANDARD BoQ DESCRIPTIONS (MATERIAL TYPE)</t>
  </si>
  <si>
    <t>One or more standard descriptions per Sub Element. Units are synchronised with the Price List Library.</t>
  </si>
  <si>
    <t>Copy the Description into the Material Type column of Raw Data. Edit sizes / grades to match the specification before pricing.</t>
  </si>
  <si>
    <t>Description  (Material Type)</t>
  </si>
  <si>
    <t>Unit</t>
  </si>
  <si>
    <t>Rate Status</t>
  </si>
  <si>
    <t>Total Rate ($)</t>
  </si>
  <si>
    <t>Sub Structure|Site Preparation &amp; Earthwork|Site Clearing|Site clearing, grubbing and removal of vegetation and debris off site</t>
  </si>
  <si>
    <t>Sub Structure|Site Preparation &amp; Earthwork|Excavation|Bulk excavation by machine incl. trimming and levelling of formation</t>
  </si>
  <si>
    <t>Sub Structure|Site Preparation &amp; Earthwork|Backfill|Backfilling with approved material in 200mm layers incl. compaction to 95% MDD</t>
  </si>
  <si>
    <t>Sub Structure|Site Preparation &amp; Earthwork|Soil Disposal|Cart away surplus excavated material off site incl. tipping fee</t>
  </si>
  <si>
    <t>Sub Structure|Site Preparation &amp; Earthwork|Compaction|Compaction of formation to 95% MDD incl. watering and testing</t>
  </si>
  <si>
    <t>Sub Structure|Site Preparation &amp; Earthwork|Dewatering|Dewatering incl. pumps, sump pits, piping and maintenance during construction</t>
  </si>
  <si>
    <t>Sub Structure|Site Preparation &amp; Earthwork|Levelling &amp; Setting Out|Setting out, levelling and establishment of benchmarks and grid lines</t>
  </si>
  <si>
    <t>Sub Structure|Shoring &amp; Sheet Pile|Sheet Pile Supply|Supply of steel sheet pile, hot rolled section as per design</t>
  </si>
  <si>
    <t>Sub Structure|Shoring &amp; Sheet Pile|Sheet Pile Driving|Driving of steel sheet pile to required depth incl. plant and equipment</t>
  </si>
  <si>
    <t>Sub Structure|Shoring &amp; Sheet Pile|Sheet Pile Extraction|Extraction of steel sheet pile and making good of voids</t>
  </si>
  <si>
    <t>Sub Structure|Shoring &amp; Sheet Pile|Strut &amp; Waler|Steel strut and waler incl. fabrication, installation and removal</t>
  </si>
  <si>
    <t>Sub Structure|Shoring &amp; Sheet Pile|Ground Anchor|Ground anchor incl. drilling, grouting, stressing and testing</t>
  </si>
  <si>
    <t>Sub Structure|Shoring &amp; Sheet Pile|Guide Wall|Reinforced concrete guide wall incl. concrete, rebar and formwork</t>
  </si>
  <si>
    <t>Sub Structure|Bored Pile|Bored Pile Boring|Bored piling D1000mm incl. boring, casing and disposal of spoil</t>
  </si>
  <si>
    <t>Bored piling D800mm incl. boring, casing and disposal of spoil</t>
  </si>
  <si>
    <t>Sub Structure|Bored Pile|Bored Pile Boring|Bored piling D800mm incl. boring, casing and disposal of spoil</t>
  </si>
  <si>
    <t>Sub Structure|Bored Pile|Concrete|Normal Concrete, 35Mpa (Cylinder), Slump 13+-2.5</t>
  </si>
  <si>
    <t>Normal Concrete, 35Mpa (Cylinder), Slump 15+-2.5</t>
  </si>
  <si>
    <t>Sub Structure|Bored Pile|Concrete|Normal Concrete, 35Mpa (Cylinder), Slump 15+-2.5</t>
  </si>
  <si>
    <t>Normal Concrete, 25Mpa (Cylinder), Slump 10+-2.5</t>
  </si>
  <si>
    <t>Sub Structure|Bored Pile|Concrete|Normal Concrete, 25Mpa (Cylinder), Slump 10+-2.5</t>
  </si>
  <si>
    <t>Normal Concrete, 30Mpa (Cylinder), Slump 13+-2.5</t>
  </si>
  <si>
    <t>Sub Structure|Bored Pile|Concrete|Normal Concrete, 30Mpa (Cylinder), Slump 13+-2.5</t>
  </si>
  <si>
    <t>Sub Structure|Bored Pile|Rebar|Deform Bar, DB10(fy=390 Mpa)</t>
  </si>
  <si>
    <t>Deform Bar, DB12(fy=390 Mpa)</t>
  </si>
  <si>
    <t>Sub Structure|Bored Pile|Rebar|Deform Bar, DB12(fy=390 Mpa)</t>
  </si>
  <si>
    <t>Deform Bar, DB14(fy=390 Mpa)</t>
  </si>
  <si>
    <t>Sub Structure|Bored Pile|Rebar|Deform Bar, DB14(fy=390 Mpa)</t>
  </si>
  <si>
    <t>Deform Bar, DB16(fy=390 Mpa)</t>
  </si>
  <si>
    <t>Sub Structure|Bored Pile|Rebar|Deform Bar, DB16(fy=390 Mpa)</t>
  </si>
  <si>
    <t>Deform Bar, DB20(fy=390 Mpa)</t>
  </si>
  <si>
    <t>Sub Structure|Bored Pile|Rebar|Deform Bar, DB20(fy=390 Mpa)</t>
  </si>
  <si>
    <t>Deform Bar, DB25(fy=390 Mpa)</t>
  </si>
  <si>
    <t>Sub Structure|Bored Pile|Rebar|Deform Bar, DB25(fy=390 Mpa)</t>
  </si>
  <si>
    <t>Deform Bar, DB32(fy=390 Mpa)</t>
  </si>
  <si>
    <t>Sub Structure|Bored Pile|Rebar|Deform Bar, DB32(fy=390 Mpa)</t>
  </si>
  <si>
    <t>Round Bar, RB8(fy=250 Mpa)</t>
  </si>
  <si>
    <t>Sub Structure|Bored Pile|Rebar|Round Bar, RB8(fy=250 Mpa)</t>
  </si>
  <si>
    <t>Round Bar, RB6(fy=250 Mpa)</t>
  </si>
  <si>
    <t>Sub Structure|Bored Pile|Rebar|Round Bar, RB6(fy=250 Mpa)</t>
  </si>
  <si>
    <t>Sub Structure|Bored Pile|Steel Tie Wire|Steel Tie Wire 1mm (Estimated 4% of Total Rebar Weight)</t>
  </si>
  <si>
    <t>Sub Structure|Bored Pile|Steel Round Pipe|Steel Round Pipe (D49x2mm) with rush primer and paint</t>
  </si>
  <si>
    <t>Sub Structure|Bored Pile|Bentonite / Slurry|Bentonite / polymer slurry incl. mixing, circulation and disposal</t>
  </si>
  <si>
    <t>Sub Structure|Bored Pile|Bored Pile Head Cutting|Pile Head Cutting up to required level D1000mm</t>
  </si>
  <si>
    <t>Pile Head Cutting up to required level D800mm</t>
  </si>
  <si>
    <t>Sub Structure|Bored Pile|Bored Pile Head Cutting|Pile Head Cutting up to required level D800mm</t>
  </si>
  <si>
    <t>Sub Structure|Bored Pile|Bored Pile Testing|Sonic Logging Test (SLT)</t>
  </si>
  <si>
    <t>Pile Integrity Test (PIT)</t>
  </si>
  <si>
    <t>Sub Structure|Bored Pile|Bored Pile Testing|Pile Integrity Test (PIT)</t>
  </si>
  <si>
    <t>Sub Structure|Bored Pile|Bored Pile Coring|Soil Coring for Bored Pile D1000mm, Depth 30m</t>
  </si>
  <si>
    <t>Soil Coring for Bored Pile D800mm, Depth 30m</t>
  </si>
  <si>
    <t>Sub Structure|Bored Pile|Bored Pile Coring|Soil Coring for Bored Pile D800mm, Depth 30m</t>
  </si>
  <si>
    <t>Sub Structure|Bored Pile|Pile Load Test|Dynamic pile load test (PDA)</t>
  </si>
  <si>
    <t>Static pile load test to 200% design working load</t>
  </si>
  <si>
    <t>Sub Structure|Bored Pile|Pile Load Test|Static pile load test to 200% design working load</t>
  </si>
  <si>
    <t>Sub Structure|Bored Pile|Rebar Testing|Rebar Testing as per Specification</t>
  </si>
  <si>
    <t>Sub Structure|Bored Pile|Concrete Testing|Concrete cube / cylinder test as per specification</t>
  </si>
  <si>
    <t>Sub Structure|Driven Pile / Micro Pile|Pile Supply|Supply of precast / spun pile as per design section</t>
  </si>
  <si>
    <t>Sub Structure|Driven Pile / Micro Pile|Pile Driving|Driving of precast / spun pile to required set incl. plant</t>
  </si>
  <si>
    <t>Sub Structure|Driven Pile / Micro Pile|Pile Splicing|Pile splicing by full penetration weld incl. splice plate</t>
  </si>
  <si>
    <t>Sub Structure|Driven Pile / Micro Pile|Pile Head Cutting|Pile head cutting and trimming to required cut-off level</t>
  </si>
  <si>
    <t>Sub Structure|Driven Pile / Micro Pile|Pile Load Test|Dynamic pile load test (PDA)</t>
  </si>
  <si>
    <t>Sub Structure|Driven Pile / Micro Pile|Pile Load Test|Static pile load test to 200% design working load</t>
  </si>
  <si>
    <t>Sub Structure|Pile Cap &amp; Stump|Earthwork|Soil Backfill</t>
  </si>
  <si>
    <t>Sub Structure|Pile Cap &amp; Stump|Earthwork|Soil Disposal</t>
  </si>
  <si>
    <t>Soil Excavation</t>
  </si>
  <si>
    <t>Sub Structure|Pile Cap &amp; Stump|Earthwork|Soil Excavation</t>
  </si>
  <si>
    <t>Sub Structure|Pile Cap &amp; Stump|Base Preparation|Well Soil Compact</t>
  </si>
  <si>
    <t>Sub Structure|Pile Cap &amp; Stump|Crush Stone|Crush Stone 40x60mm 100mm Thk.</t>
  </si>
  <si>
    <t>Crush Stone 40x60mm 150mm Thk.</t>
  </si>
  <si>
    <t>Sub Structure|Pile Cap &amp; Stump|Crush Stone|Crush Stone 40x60mm 150mm Thk.</t>
  </si>
  <si>
    <t>Sub Structure|Pile Cap &amp; Stump|Lean Concrete|Lean Concrete, 15Mpa (Cylinder)</t>
  </si>
  <si>
    <t>Sub Structure|Pile Cap &amp; Stump|Concrete|Normal Concrete, 35Mpa (Cylinder), Slump 13+-2.5</t>
  </si>
  <si>
    <t>Sub Structure|Pile Cap &amp; Stump|Concrete|Normal Concrete, 35Mpa (Cylinder), Slump 15+-2.5</t>
  </si>
  <si>
    <t>Sub Structure|Pile Cap &amp; Stump|Concrete|Normal Concrete, 25Mpa (Cylinder), Slump 10+-2.5</t>
  </si>
  <si>
    <t>Sub Structure|Pile Cap &amp; Stump|Concrete|Normal Concrete, 30Mpa (Cylinder), Slump 13+-2.5</t>
  </si>
  <si>
    <t>Sub Structure|Pile Cap &amp; Stump|Formwork|Formwork</t>
  </si>
  <si>
    <t>Sub Structure|Pile Cap &amp; Stump|Formwork|Formwork to curved / special shape incl. erection and striking</t>
  </si>
  <si>
    <t>Formwork, plywood 18mm thk. incl. erection, bracing, oiling and striking</t>
  </si>
  <si>
    <t>Sub Structure|Pile Cap &amp; Stump|Formwork|Formwork, plywood 18mm thk. incl. erection, bracing, oiling and striking</t>
  </si>
  <si>
    <t>Sub Structure|Pile Cap &amp; Stump|Rebar|Deform Bar, DB10(fy=390 Mpa)</t>
  </si>
  <si>
    <t>Sub Structure|Pile Cap &amp; Stump|Rebar|Deform Bar, DB12(fy=390 Mpa)</t>
  </si>
  <si>
    <t>Sub Structure|Pile Cap &amp; Stump|Rebar|Deform Bar, DB14(fy=390 Mpa)</t>
  </si>
  <si>
    <t>Sub Structure|Pile Cap &amp; Stump|Rebar|Deform Bar, DB16(fy=390 Mpa)</t>
  </si>
  <si>
    <t>Sub Structure|Pile Cap &amp; Stump|Rebar|Deform Bar, DB20(fy=390 Mpa)</t>
  </si>
  <si>
    <t>Sub Structure|Pile Cap &amp; Stump|Rebar|Deform Bar, DB25(fy=390 Mpa)</t>
  </si>
  <si>
    <t>Sub Structure|Pile Cap &amp; Stump|Rebar|Deform Bar, DB32(fy=390 Mpa)</t>
  </si>
  <si>
    <t>Sub Structure|Pile Cap &amp; Stump|Rebar|Round Bar, RB8(fy=250 Mpa)</t>
  </si>
  <si>
    <t>Sub Structure|Pile Cap &amp; Stump|Rebar|Round Bar, RB6(fy=250 Mpa)</t>
  </si>
  <si>
    <t>Sub Structure|Pile Cap &amp; Stump|Steel Tie Wire|Steel Tie Wire 1mm (Estimated 4% of Total Rebar Weight)</t>
  </si>
  <si>
    <t>Sub Structure|Pile Cap &amp; Stump|Water Stop|PVC Waterbar® V VN 20 (Width 200mm)</t>
  </si>
  <si>
    <t>Sub Structure|Pile Cap &amp; Stump|Waterproofing|Membrance sheet 2mm thk</t>
  </si>
  <si>
    <t>Sika Waterproofing</t>
  </si>
  <si>
    <t>Sub Structure|Pile Cap &amp; Stump|Waterproofing|Sika Waterproofing</t>
  </si>
  <si>
    <t>Cementitious waterproofing, 2 coats, to wet area incl. up-turn 300mm</t>
  </si>
  <si>
    <t>Sub Structure|Pile Cap &amp; Stump|Waterproofing|Cementitious waterproofing, 2 coats, to wet area incl. up-turn 300mm</t>
  </si>
  <si>
    <t>Sub Structure|Pile Cap &amp; Stump|Anti-Termite|Anti-Termite with Plastic Membrane</t>
  </si>
  <si>
    <t>Sub Structure|Footing / Raft Foundation|Earthwork|Soil Backfill</t>
  </si>
  <si>
    <t>Sub Structure|Footing / Raft Foundation|Earthwork|Soil Disposal</t>
  </si>
  <si>
    <t>Sub Structure|Footing / Raft Foundation|Earthwork|Soil Excavation</t>
  </si>
  <si>
    <t>Sub Structure|Footing / Raft Foundation|Base Preparation|Well Soil Compact</t>
  </si>
  <si>
    <t>Sub Structure|Footing / Raft Foundation|Crush Stone|Crush Stone 40x60mm 100mm Thk.</t>
  </si>
  <si>
    <t>Sub Structure|Footing / Raft Foundation|Crush Stone|Crush Stone 40x60mm 150mm Thk.</t>
  </si>
  <si>
    <t>Sub Structure|Footing / Raft Foundation|Lean Concrete|Lean Concrete, 15Mpa (Cylinder)</t>
  </si>
  <si>
    <t>Sub Structure|Footing / Raft Foundation|Concrete|Normal Concrete, 35Mpa (Cylinder), Slump 13+-2.5</t>
  </si>
  <si>
    <t>Sub Structure|Footing / Raft Foundation|Concrete|Normal Concrete, 35Mpa (Cylinder), Slump 15+-2.5</t>
  </si>
  <si>
    <t>Sub Structure|Footing / Raft Foundation|Concrete|Normal Concrete, 25Mpa (Cylinder), Slump 10+-2.5</t>
  </si>
  <si>
    <t>Sub Structure|Footing / Raft Foundation|Concrete|Normal Concrete, 30Mpa (Cylinder), Slump 13+-2.5</t>
  </si>
  <si>
    <t>Sub Structure|Footing / Raft Foundation|Formwork|Formwork to curved / special shape incl. erection and striking</t>
  </si>
  <si>
    <t>Sub Structure|Footing / Raft Foundation|Formwork|Formwork, plywood 18mm thk. incl. erection, bracing, oiling and striking</t>
  </si>
  <si>
    <t>Sub Structure|Footing / Raft Foundation|Rebar|Deform Bar, DB10(fy=390 Mpa)</t>
  </si>
  <si>
    <t>Sub Structure|Footing / Raft Foundation|Rebar|Deform Bar, DB12(fy=390 Mpa)</t>
  </si>
  <si>
    <t>Sub Structure|Footing / Raft Foundation|Rebar|Deform Bar, DB14(fy=390 Mpa)</t>
  </si>
  <si>
    <t>Sub Structure|Footing / Raft Foundation|Rebar|Deform Bar, DB16(fy=390 Mpa)</t>
  </si>
  <si>
    <t>Sub Structure|Footing / Raft Foundation|Rebar|Deform Bar, DB20(fy=390 Mpa)</t>
  </si>
  <si>
    <t>Sub Structure|Footing / Raft Foundation|Rebar|Deform Bar, DB25(fy=390 Mpa)</t>
  </si>
  <si>
    <t>Sub Structure|Footing / Raft Foundation|Rebar|Deform Bar, DB32(fy=390 Mpa)</t>
  </si>
  <si>
    <t>Sub Structure|Footing / Raft Foundation|Rebar|Round Bar, RB8(fy=250 Mpa)</t>
  </si>
  <si>
    <t>Sub Structure|Footing / Raft Foundation|Rebar|Round Bar, RB6(fy=250 Mpa)</t>
  </si>
  <si>
    <t>Sub Structure|Footing / Raft Foundation|Steel Tie Wire|Steel Tie Wire 1mm (Estimated 4% of Total Rebar Weight)</t>
  </si>
  <si>
    <t>Sub Structure|Footing / Raft Foundation|Water Stop|PVC Waterbar® V VN 20 (Width 200mm)</t>
  </si>
  <si>
    <t>Sub Structure|Footing / Raft Foundation|Waterproofing|Membrance sheet 2mm thk</t>
  </si>
  <si>
    <t>Sub Structure|Footing / Raft Foundation|Waterproofing|Sika Waterproofing</t>
  </si>
  <si>
    <t>Sub Structure|Footing / Raft Foundation|Waterproofing|Cementitious waterproofing, 2 coats, to wet area incl. up-turn 300mm</t>
  </si>
  <si>
    <t>Sub Structure|Footing / Raft Foundation|Anti-Termite|Anti-Termite with Plastic Membrane</t>
  </si>
  <si>
    <t>Sub Structure|Ground Beam / Tie Beam|Earthwork|Soil Backfill</t>
  </si>
  <si>
    <t>Sub Structure|Ground Beam / Tie Beam|Earthwork|Soil Disposal</t>
  </si>
  <si>
    <t>Sub Structure|Ground Beam / Tie Beam|Earthwork|Soil Excavation</t>
  </si>
  <si>
    <t>Sub Structure|Ground Beam / Tie Beam|Lean Concrete|Lean Concrete, 15Mpa (Cylinder)</t>
  </si>
  <si>
    <t>Sub Structure|Ground Beam / Tie Beam|Concrete|Normal Concrete, 35Mpa (Cylinder), Slump 13+-2.5</t>
  </si>
  <si>
    <t>Sub Structure|Ground Beam / Tie Beam|Concrete|Normal Concrete, 35Mpa (Cylinder), Slump 15+-2.5</t>
  </si>
  <si>
    <t>Sub Structure|Ground Beam / Tie Beam|Concrete|Normal Concrete, 25Mpa (Cylinder), Slump 10+-2.5</t>
  </si>
  <si>
    <t>Sub Structure|Ground Beam / Tie Beam|Concrete|Normal Concrete, 30Mpa (Cylinder), Slump 13+-2.5</t>
  </si>
  <si>
    <t>Sub Structure|Ground Beam / Tie Beam|Formwork|Formwork to curved / special shape incl. erection and striking</t>
  </si>
  <si>
    <t>Sub Structure|Ground Beam / Tie Beam|Formwork|Formwork, plywood 18mm thk. incl. erection, bracing, oiling and striking</t>
  </si>
  <si>
    <t>Sub Structure|Ground Beam / Tie Beam|Rebar|Deform Bar, DB10(fy=390 Mpa)</t>
  </si>
  <si>
    <t>Sub Structure|Ground Beam / Tie Beam|Rebar|Deform Bar, DB12(fy=390 Mpa)</t>
  </si>
  <si>
    <t>Sub Structure|Ground Beam / Tie Beam|Rebar|Deform Bar, DB14(fy=390 Mpa)</t>
  </si>
  <si>
    <t>Sub Structure|Ground Beam / Tie Beam|Rebar|Deform Bar, DB16(fy=390 Mpa)</t>
  </si>
  <si>
    <t>Sub Structure|Ground Beam / Tie Beam|Rebar|Deform Bar, DB20(fy=390 Mpa)</t>
  </si>
  <si>
    <t>Sub Structure|Ground Beam / Tie Beam|Rebar|Deform Bar, DB25(fy=390 Mpa)</t>
  </si>
  <si>
    <t>Sub Structure|Ground Beam / Tie Beam|Rebar|Deform Bar, DB32(fy=390 Mpa)</t>
  </si>
  <si>
    <t>Sub Structure|Ground Beam / Tie Beam|Rebar|Round Bar, RB8(fy=250 Mpa)</t>
  </si>
  <si>
    <t>Sub Structure|Ground Beam / Tie Beam|Rebar|Round Bar, RB6(fy=250 Mpa)</t>
  </si>
  <si>
    <t>Sub Structure|Ground Beam / Tie Beam|Steel Tie Wire|Steel Tie Wire 1mm (Estimated 4% of Total Rebar Weight)</t>
  </si>
  <si>
    <t>Sub Structure|Ground Beam / Tie Beam|Waterproofing|Membrance sheet 2mm thk</t>
  </si>
  <si>
    <t>Sub Structure|Ground Beam / Tie Beam|Waterproofing|Sika Waterproofing</t>
  </si>
  <si>
    <t>Sub Structure|Ground Beam / Tie Beam|Waterproofing|Cementitious waterproofing, 2 coats, to wet area incl. up-turn 300mm</t>
  </si>
  <si>
    <t>Sub Structure|Slab on Grade / Ground Slab|Base Preparation|Well Soil Compact</t>
  </si>
  <si>
    <t>Sub Structure|Slab on Grade / Ground Slab|Crush Stone|Crush Stone 40x60mm 100mm Thk.</t>
  </si>
  <si>
    <t>Sub Structure|Slab on Grade / Ground Slab|Crush Stone|Crush Stone 40x60mm 150mm Thk.</t>
  </si>
  <si>
    <t>Sub Structure|Slab on Grade / Ground Slab|Anti-Termite|Anti-Termite with Plastic Membrane</t>
  </si>
  <si>
    <t>Sub Structure|Slab on Grade / Ground Slab|Vapour Barrier|Polyethylene vapour barrier 0.15mm thk. laid with 300mm laps</t>
  </si>
  <si>
    <t>Sub Structure|Slab on Grade / Ground Slab|Lean Concrete|Lean Concrete, 15Mpa (Cylinder)</t>
  </si>
  <si>
    <t>Sub Structure|Slab on Grade / Ground Slab|Concrete|Normal Concrete, 35Mpa (Cylinder), Slump 13+-2.5</t>
  </si>
  <si>
    <t>Sub Structure|Slab on Grade / Ground Slab|Concrete|Normal Concrete, 35Mpa (Cylinder), Slump 15+-2.5</t>
  </si>
  <si>
    <t>Sub Structure|Slab on Grade / Ground Slab|Concrete|Normal Concrete, 25Mpa (Cylinder), Slump 10+-2.5</t>
  </si>
  <si>
    <t>Sub Structure|Slab on Grade / Ground Slab|Concrete|Normal Concrete, 30Mpa (Cylinder), Slump 13+-2.5</t>
  </si>
  <si>
    <t>Sub Structure|Slab on Grade / Ground Slab|Formwork|Formwork to curved / special shape incl. erection and striking</t>
  </si>
  <si>
    <t>Sub Structure|Slab on Grade / Ground Slab|Formwork|Formwork, plywood 18mm thk. incl. erection, bracing, oiling and striking</t>
  </si>
  <si>
    <t>Sub Structure|Slab on Grade / Ground Slab|Rebar|Deform Bar, DB10(fy=390 Mpa)</t>
  </si>
  <si>
    <t>Sub Structure|Slab on Grade / Ground Slab|Rebar|Deform Bar, DB12(fy=390 Mpa)</t>
  </si>
  <si>
    <t>Sub Structure|Slab on Grade / Ground Slab|Rebar|Deform Bar, DB14(fy=390 Mpa)</t>
  </si>
  <si>
    <t>Sub Structure|Slab on Grade / Ground Slab|Rebar|Deform Bar, DB16(fy=390 Mpa)</t>
  </si>
  <si>
    <t>Sub Structure|Slab on Grade / Ground Slab|Rebar|Deform Bar, DB20(fy=390 Mpa)</t>
  </si>
  <si>
    <t>Sub Structure|Slab on Grade / Ground Slab|Rebar|Deform Bar, DB25(fy=390 Mpa)</t>
  </si>
  <si>
    <t>Sub Structure|Slab on Grade / Ground Slab|Rebar|Deform Bar, DB32(fy=390 Mpa)</t>
  </si>
  <si>
    <t>Sub Structure|Slab on Grade / Ground Slab|Rebar|Round Bar, RB8(fy=250 Mpa)</t>
  </si>
  <si>
    <t>Sub Structure|Slab on Grade / Ground Slab|Rebar|Round Bar, RB6(fy=250 Mpa)</t>
  </si>
  <si>
    <t>Sub Structure|Slab on Grade / Ground Slab|Steel Tie Wire|Steel Tie Wire 1mm (Estimated 4% of Total Rebar Weight)</t>
  </si>
  <si>
    <t>Sub Structure|Slab on Grade / Ground Slab|Waterproofing|Membrance sheet 2mm thk</t>
  </si>
  <si>
    <t>Sub Structure|Slab on Grade / Ground Slab|Waterproofing|Sika Waterproofing</t>
  </si>
  <si>
    <t>Sub Structure|Slab on Grade / Ground Slab|Waterproofing|Cementitious waterproofing, 2 coats, to wet area incl. up-turn 300mm</t>
  </si>
  <si>
    <t>Sub Structure|Septic tank|Earthwork|Soil Backfill</t>
  </si>
  <si>
    <t>Sub Structure|Septic tank|Earthwork|Soil Disposal</t>
  </si>
  <si>
    <t>Sub Structure|Septic tank|Earthwork|Soil Excavation</t>
  </si>
  <si>
    <t>Sub Structure|Septic tank|Base Preparation|Well Soil Compact</t>
  </si>
  <si>
    <t>Sub Structure|Septic tank|Crush Stone|Crush Stone 40x60mm 100mm Thk.</t>
  </si>
  <si>
    <t>Sub Structure|Septic tank|Crush Stone|Crush Stone 40x60mm 150mm Thk.</t>
  </si>
  <si>
    <t>Sub Structure|Septic tank|Lean Concrete|Lean Concrete, 15Mpa (Cylinder)</t>
  </si>
  <si>
    <t>Sub Structure|Septic tank|Concrete|Normal Concrete, 35Mpa (Cylinder), Slump 13+-2.5</t>
  </si>
  <si>
    <t>Sub Structure|Septic tank|Concrete|Normal Concrete, 35Mpa (Cylinder), Slump 15+-2.5</t>
  </si>
  <si>
    <t>Sub Structure|Septic tank|Concrete|Normal Concrete, 25Mpa (Cylinder), Slump 10+-2.5</t>
  </si>
  <si>
    <t>Sub Structure|Septic tank|Concrete|Normal Concrete, 30Mpa (Cylinder), Slump 13+-2.5</t>
  </si>
  <si>
    <t>Sub Structure|Septic tank|Formwork|Formwork to curved / special shape incl. erection and striking</t>
  </si>
  <si>
    <t>Sub Structure|Septic tank|Formwork|Formwork, plywood 18mm thk. incl. erection, bracing, oiling and striking</t>
  </si>
  <si>
    <t>Sub Structure|Septic tank|Rebar|Deform Bar, DB10(fy=390 Mpa)</t>
  </si>
  <si>
    <t>Sub Structure|Septic tank|Rebar|Deform Bar, DB12(fy=390 Mpa)</t>
  </si>
  <si>
    <t>Sub Structure|Septic tank|Rebar|Deform Bar, DB14(fy=390 Mpa)</t>
  </si>
  <si>
    <t>Sub Structure|Septic tank|Rebar|Deform Bar, DB16(fy=390 Mpa)</t>
  </si>
  <si>
    <t>Sub Structure|Septic tank|Rebar|Deform Bar, DB20(fy=390 Mpa)</t>
  </si>
  <si>
    <t>Sub Structure|Septic tank|Rebar|Deform Bar, DB25(fy=390 Mpa)</t>
  </si>
  <si>
    <t>Sub Structure|Septic tank|Rebar|Deform Bar, DB32(fy=390 Mpa)</t>
  </si>
  <si>
    <t>Sub Structure|Septic tank|Rebar|Round Bar, RB8(fy=250 Mpa)</t>
  </si>
  <si>
    <t>Sub Structure|Septic tank|Rebar|Round Bar, RB6(fy=250 Mpa)</t>
  </si>
  <si>
    <t>Sub Structure|Septic tank|Steel Tie Wire|Steel Tie Wire 1mm (Estimated 4% of Total Rebar Weight)</t>
  </si>
  <si>
    <t>Sub Structure|Septic tank|Water Stop|PVC Waterbar® V VN 20 (Width 200mm)</t>
  </si>
  <si>
    <t>Sub Structure|Septic tank|Waterproofing|Membrance sheet 2mm thk</t>
  </si>
  <si>
    <t>Sub Structure|Septic tank|Waterproofing|Sika Waterproofing</t>
  </si>
  <si>
    <t>Sub Structure|Septic tank|Waterproofing|Cementitious waterproofing, 2 coats, to wet area incl. up-turn 300mm</t>
  </si>
  <si>
    <t>Sub Structure|Septic tank|Anti-Termite|Anti-Termite with Plastic Membrane</t>
  </si>
  <si>
    <t>Sub Structure|Water Tank / Sump Pit|Earthwork|Soil Backfill</t>
  </si>
  <si>
    <t>Sub Structure|Water Tank / Sump Pit|Earthwork|Soil Disposal</t>
  </si>
  <si>
    <t>Sub Structure|Water Tank / Sump Pit|Earthwork|Soil Excavation</t>
  </si>
  <si>
    <t>Sub Structure|Water Tank / Sump Pit|Base Preparation|Well Soil Compact</t>
  </si>
  <si>
    <t>Sub Structure|Water Tank / Sump Pit|Crush Stone|Crush Stone 40x60mm 100mm Thk.</t>
  </si>
  <si>
    <t>Sub Structure|Water Tank / Sump Pit|Crush Stone|Crush Stone 40x60mm 150mm Thk.</t>
  </si>
  <si>
    <t>Sub Structure|Water Tank / Sump Pit|Lean Concrete|Lean Concrete, 15Mpa (Cylinder)</t>
  </si>
  <si>
    <t>Sub Structure|Water Tank / Sump Pit|Concrete|Normal Concrete, 35Mpa (Cylinder), Slump 13+-2.5</t>
  </si>
  <si>
    <t>Sub Structure|Water Tank / Sump Pit|Concrete|Normal Concrete, 35Mpa (Cylinder), Slump 15+-2.5</t>
  </si>
  <si>
    <t>Sub Structure|Water Tank / Sump Pit|Concrete|Normal Concrete, 25Mpa (Cylinder), Slump 10+-2.5</t>
  </si>
  <si>
    <t>Sub Structure|Water Tank / Sump Pit|Concrete|Normal Concrete, 30Mpa (Cylinder), Slump 13+-2.5</t>
  </si>
  <si>
    <t>Sub Structure|Water Tank / Sump Pit|Formwork|Formwork to curved / special shape incl. erection and striking</t>
  </si>
  <si>
    <t>Sub Structure|Water Tank / Sump Pit|Formwork|Formwork, plywood 18mm thk. incl. erection, bracing, oiling and striking</t>
  </si>
  <si>
    <t>Sub Structure|Water Tank / Sump Pit|Rebar|Deform Bar, DB10(fy=390 Mpa)</t>
  </si>
  <si>
    <t>Sub Structure|Water Tank / Sump Pit|Rebar|Deform Bar, DB12(fy=390 Mpa)</t>
  </si>
  <si>
    <t>Sub Structure|Water Tank / Sump Pit|Rebar|Deform Bar, DB14(fy=390 Mpa)</t>
  </si>
  <si>
    <t>Sub Structure|Water Tank / Sump Pit|Rebar|Deform Bar, DB16(fy=390 Mpa)</t>
  </si>
  <si>
    <t>Sub Structure|Water Tank / Sump Pit|Rebar|Deform Bar, DB20(fy=390 Mpa)</t>
  </si>
  <si>
    <t>Sub Structure|Water Tank / Sump Pit|Rebar|Deform Bar, DB25(fy=390 Mpa)</t>
  </si>
  <si>
    <t>Sub Structure|Water Tank / Sump Pit|Rebar|Deform Bar, DB32(fy=390 Mpa)</t>
  </si>
  <si>
    <t>Sub Structure|Water Tank / Sump Pit|Rebar|Round Bar, RB8(fy=250 Mpa)</t>
  </si>
  <si>
    <t>Sub Structure|Water Tank / Sump Pit|Rebar|Round Bar, RB6(fy=250 Mpa)</t>
  </si>
  <si>
    <t>Sub Structure|Water Tank / Sump Pit|Steel Tie Wire|Steel Tie Wire 1mm (Estimated 4% of Total Rebar Weight)</t>
  </si>
  <si>
    <t>Sub Structure|Water Tank / Sump Pit|Water Stop|PVC Waterbar® V VN 20 (Width 200mm)</t>
  </si>
  <si>
    <t>Sub Structure|Water Tank / Sump Pit|Waterproofing|Membrance sheet 2mm thk</t>
  </si>
  <si>
    <t>Sub Structure|Water Tank / Sump Pit|Waterproofing|Sika Waterproofing</t>
  </si>
  <si>
    <t>Sub Structure|Water Tank / Sump Pit|Waterproofing|Cementitious waterproofing, 2 coats, to wet area incl. up-turn 300mm</t>
  </si>
  <si>
    <t>Sub Structure|Water Tank / Sump Pit|Anti-Termite|Anti-Termite with Plastic Membrane</t>
  </si>
  <si>
    <t>Sub Structure|Lift Pit|Earthwork|Soil Backfill</t>
  </si>
  <si>
    <t>Sub Structure|Lift Pit|Earthwork|Soil Disposal</t>
  </si>
  <si>
    <t>Sub Structure|Lift Pit|Earthwork|Soil Excavation</t>
  </si>
  <si>
    <t>Sub Structure|Lift Pit|Lean Concrete|Lean Concrete, 15Mpa (Cylinder)</t>
  </si>
  <si>
    <t>Sub Structure|Lift Pit|Concrete|Normal Concrete, 35Mpa (Cylinder), Slump 13+-2.5</t>
  </si>
  <si>
    <t>Sub Structure|Lift Pit|Concrete|Normal Concrete, 35Mpa (Cylinder), Slump 15+-2.5</t>
  </si>
  <si>
    <t>Sub Structure|Lift Pit|Concrete|Normal Concrete, 25Mpa (Cylinder), Slump 10+-2.5</t>
  </si>
  <si>
    <t>Sub Structure|Lift Pit|Concrete|Normal Concrete, 30Mpa (Cylinder), Slump 13+-2.5</t>
  </si>
  <si>
    <t>Sub Structure|Lift Pit|Formwork|Formwork to curved / special shape incl. erection and striking</t>
  </si>
  <si>
    <t>Sub Structure|Lift Pit|Formwork|Formwork, plywood 18mm thk. incl. erection, bracing, oiling and striking</t>
  </si>
  <si>
    <t>Sub Structure|Lift Pit|Rebar|Deform Bar, DB10(fy=390 Mpa)</t>
  </si>
  <si>
    <t>Sub Structure|Lift Pit|Rebar|Deform Bar, DB12(fy=390 Mpa)</t>
  </si>
  <si>
    <t>Sub Structure|Lift Pit|Rebar|Deform Bar, DB14(fy=390 Mpa)</t>
  </si>
  <si>
    <t>Sub Structure|Lift Pit|Rebar|Deform Bar, DB16(fy=390 Mpa)</t>
  </si>
  <si>
    <t>Sub Structure|Lift Pit|Rebar|Deform Bar, DB20(fy=390 Mpa)</t>
  </si>
  <si>
    <t>Sub Structure|Lift Pit|Rebar|Deform Bar, DB25(fy=390 Mpa)</t>
  </si>
  <si>
    <t>Sub Structure|Lift Pit|Rebar|Deform Bar, DB32(fy=390 Mpa)</t>
  </si>
  <si>
    <t>Sub Structure|Lift Pit|Rebar|Round Bar, RB8(fy=250 Mpa)</t>
  </si>
  <si>
    <t>Sub Structure|Lift Pit|Rebar|Round Bar, RB6(fy=250 Mpa)</t>
  </si>
  <si>
    <t>Sub Structure|Lift Pit|Steel Tie Wire|Steel Tie Wire 1mm (Estimated 4% of Total Rebar Weight)</t>
  </si>
  <si>
    <t>Sub Structure|Lift Pit|Water Stop|PVC Waterbar® V VN 20 (Width 200mm)</t>
  </si>
  <si>
    <t>Sub Structure|Lift Pit|Waterproofing|Membrance sheet 2mm thk</t>
  </si>
  <si>
    <t>Sub Structure|Lift Pit|Waterproofing|Sika Waterproofing</t>
  </si>
  <si>
    <t>Sub Structure|Lift Pit|Waterproofing|Cementitious waterproofing, 2 coats, to wet area incl. up-turn 300mm</t>
  </si>
  <si>
    <t>Sub Structure|Basement / Retaining Wall|Earthwork|Soil Backfill</t>
  </si>
  <si>
    <t>Sub Structure|Basement / Retaining Wall|Earthwork|Soil Disposal</t>
  </si>
  <si>
    <t>Sub Structure|Basement / Retaining Wall|Earthwork|Soil Excavation</t>
  </si>
  <si>
    <t>Sub Structure|Basement / Retaining Wall|Concrete|Normal Concrete, 35Mpa (Cylinder), Slump 13+-2.5</t>
  </si>
  <si>
    <t>Sub Structure|Basement / Retaining Wall|Concrete|Normal Concrete, 35Mpa (Cylinder), Slump 15+-2.5</t>
  </si>
  <si>
    <t>Sub Structure|Basement / Retaining Wall|Concrete|Normal Concrete, 25Mpa (Cylinder), Slump 10+-2.5</t>
  </si>
  <si>
    <t>Sub Structure|Basement / Retaining Wall|Concrete|Normal Concrete, 30Mpa (Cylinder), Slump 13+-2.5</t>
  </si>
  <si>
    <t>Sub Structure|Basement / Retaining Wall|Formwork|Formwork to curved / special shape incl. erection and striking</t>
  </si>
  <si>
    <t>Sub Structure|Basement / Retaining Wall|Formwork|Formwork, plywood 18mm thk. incl. erection, bracing, oiling and striking</t>
  </si>
  <si>
    <t>Sub Structure|Basement / Retaining Wall|Rebar|Deform Bar, DB10(fy=390 Mpa)</t>
  </si>
  <si>
    <t>Sub Structure|Basement / Retaining Wall|Rebar|Deform Bar, DB12(fy=390 Mpa)</t>
  </si>
  <si>
    <t>Sub Structure|Basement / Retaining Wall|Rebar|Deform Bar, DB14(fy=390 Mpa)</t>
  </si>
  <si>
    <t>Sub Structure|Basement / Retaining Wall|Rebar|Deform Bar, DB16(fy=390 Mpa)</t>
  </si>
  <si>
    <t>Sub Structure|Basement / Retaining Wall|Rebar|Deform Bar, DB20(fy=390 Mpa)</t>
  </si>
  <si>
    <t>Sub Structure|Basement / Retaining Wall|Rebar|Deform Bar, DB25(fy=390 Mpa)</t>
  </si>
  <si>
    <t>Sub Structure|Basement / Retaining Wall|Rebar|Deform Bar, DB32(fy=390 Mpa)</t>
  </si>
  <si>
    <t>Sub Structure|Basement / Retaining Wall|Rebar|Round Bar, RB8(fy=250 Mpa)</t>
  </si>
  <si>
    <t>Sub Structure|Basement / Retaining Wall|Rebar|Round Bar, RB6(fy=250 Mpa)</t>
  </si>
  <si>
    <t>Sub Structure|Basement / Retaining Wall|Steel Tie Wire|Steel Tie Wire 1mm (Estimated 4% of Total Rebar Weight)</t>
  </si>
  <si>
    <t>Sub Structure|Basement / Retaining Wall|Water Stop|PVC Waterbar® V VN 20 (Width 200mm)</t>
  </si>
  <si>
    <t>Sub Structure|Basement / Retaining Wall|Waterproofing|Membrance sheet 2mm thk</t>
  </si>
  <si>
    <t>Sub Structure|Basement / Retaining Wall|Waterproofing|Sika Waterproofing</t>
  </si>
  <si>
    <t>Sub Structure|Basement / Retaining Wall|Waterproofing|Cementitious waterproofing, 2 coats, to wet area incl. up-turn 300mm</t>
  </si>
  <si>
    <t>Sub Structure|Basement / Retaining Wall|Protection Board|Protection board 6mm thk. to waterproofing membrane</t>
  </si>
  <si>
    <t>Sub Structure|Basement / Retaining Wall|Drainage Board|Dimpled HDPE drainage board with filter fabric</t>
  </si>
  <si>
    <t>Super Structure|Structural Column|Concrete|Normal Concrete, 35Mpa (Cylinder), Slump 13+-2.5</t>
  </si>
  <si>
    <t>Super Structure|Structural Column|Concrete|Normal Concrete, 35Mpa (Cylinder), Slump 15+-2.5</t>
  </si>
  <si>
    <t>Super Structure|Structural Column|Concrete|Normal Concrete, 25Mpa (Cylinder), Slump 10+-2.5</t>
  </si>
  <si>
    <t>Super Structure|Structural Column|Concrete|Normal Concrete, 30Mpa (Cylinder), Slump 13+-2.5</t>
  </si>
  <si>
    <t>Super Structure|Structural Column|Formwork|Formwork to curved / special shape incl. erection and striking</t>
  </si>
  <si>
    <t>Super Structure|Structural Column|Formwork|Formwork, plywood 18mm thk. incl. erection, bracing, oiling and striking</t>
  </si>
  <si>
    <t>Super Structure|Structural Column|Rebar|Deform Bar, DB10(fy=390 Mpa)</t>
  </si>
  <si>
    <t>Super Structure|Structural Column|Rebar|Deform Bar, DB12(fy=390 Mpa)</t>
  </si>
  <si>
    <t>Super Structure|Structural Column|Rebar|Deform Bar, DB14(fy=390 Mpa)</t>
  </si>
  <si>
    <t>Super Structure|Structural Column|Rebar|Deform Bar, DB16(fy=390 Mpa)</t>
  </si>
  <si>
    <t>Super Structure|Structural Column|Rebar|Deform Bar, DB20(fy=390 Mpa)</t>
  </si>
  <si>
    <t>Super Structure|Structural Column|Rebar|Deform Bar, DB25(fy=390 Mpa)</t>
  </si>
  <si>
    <t>Super Structure|Structural Column|Rebar|Deform Bar, DB32(fy=390 Mpa)</t>
  </si>
  <si>
    <t>Super Structure|Structural Column|Rebar|Round Bar, RB8(fy=250 Mpa)</t>
  </si>
  <si>
    <t>Super Structure|Structural Column|Rebar|Round Bar, RB6(fy=250 Mpa)</t>
  </si>
  <si>
    <t>Super Structure|Structural Column|Steel Tie Wire|Steel Tie Wire 1mm (Estimated 4% of Total Rebar Weight)</t>
  </si>
  <si>
    <t>Super Structure|Structural Column|Column Starter Bar|Column starter bar incl. bending, fixing and tying</t>
  </si>
  <si>
    <t>Super Structure|Structural Column|Grouting|Non-shrink cementitious grout to base plate / gap</t>
  </si>
  <si>
    <t>Super Structure|Structural Beam|Concrete|Normal Concrete, 35Mpa (Cylinder), Slump 13+-2.5</t>
  </si>
  <si>
    <t>Super Structure|Structural Beam|Concrete|Normal Concrete, 35Mpa (Cylinder), Slump 15+-2.5</t>
  </si>
  <si>
    <t>Super Structure|Structural Beam|Concrete|Normal Concrete, 25Mpa (Cylinder), Slump 10+-2.5</t>
  </si>
  <si>
    <t>Super Structure|Structural Beam|Concrete|Normal Concrete, 30Mpa (Cylinder), Slump 13+-2.5</t>
  </si>
  <si>
    <t>Super Structure|Structural Beam|Formwork|Formwork to curved / special shape incl. erection and striking</t>
  </si>
  <si>
    <t>Super Structure|Structural Beam|Formwork|Formwork, plywood 18mm thk. incl. erection, bracing, oiling and striking</t>
  </si>
  <si>
    <t>Super Structure|Structural Beam|Rebar|Deform Bar, DB10(fy=390 Mpa)</t>
  </si>
  <si>
    <t>Super Structure|Structural Beam|Rebar|Deform Bar, DB12(fy=390 Mpa)</t>
  </si>
  <si>
    <t>Super Structure|Structural Beam|Rebar|Deform Bar, DB14(fy=390 Mpa)</t>
  </si>
  <si>
    <t>Super Structure|Structural Beam|Rebar|Deform Bar, DB16(fy=390 Mpa)</t>
  </si>
  <si>
    <t>Super Structure|Structural Beam|Rebar|Deform Bar, DB20(fy=390 Mpa)</t>
  </si>
  <si>
    <t>Super Structure|Structural Beam|Rebar|Deform Bar, DB25(fy=390 Mpa)</t>
  </si>
  <si>
    <t>Super Structure|Structural Beam|Rebar|Deform Bar, DB32(fy=390 Mpa)</t>
  </si>
  <si>
    <t>Super Structure|Structural Beam|Rebar|Round Bar, RB8(fy=250 Mpa)</t>
  </si>
  <si>
    <t>Super Structure|Structural Beam|Rebar|Round Bar, RB6(fy=250 Mpa)</t>
  </si>
  <si>
    <t>Super Structure|Structural Beam|Steel Tie Wire|Steel Tie Wire 1mm (Estimated 4% of Total Rebar Weight)</t>
  </si>
  <si>
    <t>Super Structure|Structural Slab|Concrete|Normal Concrete, 35Mpa (Cylinder), Slump 13+-2.5</t>
  </si>
  <si>
    <t>Super Structure|Structural Slab|Concrete|Normal Concrete, 35Mpa (Cylinder), Slump 15+-2.5</t>
  </si>
  <si>
    <t>Super Structure|Structural Slab|Concrete|Normal Concrete, 25Mpa (Cylinder), Slump 10+-2.5</t>
  </si>
  <si>
    <t>Super Structure|Structural Slab|Concrete|Normal Concrete, 30Mpa (Cylinder), Slump 13+-2.5</t>
  </si>
  <si>
    <t>Super Structure|Structural Slab|Formwork|Formwork to curved / special shape incl. erection and striking</t>
  </si>
  <si>
    <t>Super Structure|Structural Slab|Formwork|Formwork, plywood 18mm thk. incl. erection, bracing, oiling and striking</t>
  </si>
  <si>
    <t>Super Structure|Structural Slab|Rebar|Deform Bar, DB10(fy=390 Mpa)</t>
  </si>
  <si>
    <t>Super Structure|Structural Slab|Rebar|Deform Bar, DB12(fy=390 Mpa)</t>
  </si>
  <si>
    <t>Super Structure|Structural Slab|Rebar|Deform Bar, DB14(fy=390 Mpa)</t>
  </si>
  <si>
    <t>Super Structure|Structural Slab|Rebar|Deform Bar, DB16(fy=390 Mpa)</t>
  </si>
  <si>
    <t>Super Structure|Structural Slab|Rebar|Deform Bar, DB20(fy=390 Mpa)</t>
  </si>
  <si>
    <t>Super Structure|Structural Slab|Rebar|Deform Bar, DB25(fy=390 Mpa)</t>
  </si>
  <si>
    <t>Super Structure|Structural Slab|Rebar|Deform Bar, DB32(fy=390 Mpa)</t>
  </si>
  <si>
    <t>Super Structure|Structural Slab|Rebar|Round Bar, RB8(fy=250 Mpa)</t>
  </si>
  <si>
    <t>Super Structure|Structural Slab|Rebar|Round Bar, RB6(fy=250 Mpa)</t>
  </si>
  <si>
    <t>Super Structure|Structural Slab|Steel Tie Wire|Steel Tie Wire 1mm (Estimated 4% of Total Rebar Weight)</t>
  </si>
  <si>
    <t>Super Structure|Structural Slab|Post-Tension Strand|Post-tension strand incl. duct, anchorage, stressing and grouting</t>
  </si>
  <si>
    <t>Super Structure|Structural Slab|Steel Deck|Galvanised steel deck 0.75mm thk. incl. shear stud and end closure</t>
  </si>
  <si>
    <t>Super Structure|Structural Wall|Concrete|Normal Concrete, 35Mpa (Cylinder), Slump 13+-2.5</t>
  </si>
  <si>
    <t>Super Structure|Structural Wall|Concrete|Normal Concrete, 35Mpa (Cylinder), Slump 15+-2.5</t>
  </si>
  <si>
    <t>Super Structure|Structural Wall|Concrete|Normal Concrete, 25Mpa (Cylinder), Slump 10+-2.5</t>
  </si>
  <si>
    <t>Super Structure|Structural Wall|Concrete|Normal Concrete, 30Mpa (Cylinder), Slump 13+-2.5</t>
  </si>
  <si>
    <t>Super Structure|Structural Wall|Formwork|Formwork to curved / special shape incl. erection and striking</t>
  </si>
  <si>
    <t>Super Structure|Structural Wall|Formwork|Formwork, plywood 18mm thk. incl. erection, bracing, oiling and striking</t>
  </si>
  <si>
    <t>Super Structure|Structural Wall|Rebar|Deform Bar, DB10(fy=390 Mpa)</t>
  </si>
  <si>
    <t>Super Structure|Structural Wall|Rebar|Deform Bar, DB12(fy=390 Mpa)</t>
  </si>
  <si>
    <t>Super Structure|Structural Wall|Rebar|Deform Bar, DB14(fy=390 Mpa)</t>
  </si>
  <si>
    <t>Super Structure|Structural Wall|Rebar|Deform Bar, DB16(fy=390 Mpa)</t>
  </si>
  <si>
    <t>Super Structure|Structural Wall|Rebar|Deform Bar, DB20(fy=390 Mpa)</t>
  </si>
  <si>
    <t>Super Structure|Structural Wall|Rebar|Deform Bar, DB25(fy=390 Mpa)</t>
  </si>
  <si>
    <t>Super Structure|Structural Wall|Rebar|Deform Bar, DB32(fy=390 Mpa)</t>
  </si>
  <si>
    <t>Super Structure|Structural Wall|Rebar|Round Bar, RB8(fy=250 Mpa)</t>
  </si>
  <si>
    <t>Super Structure|Structural Wall|Rebar|Round Bar, RB6(fy=250 Mpa)</t>
  </si>
  <si>
    <t>Super Structure|Structural Wall|Steel Tie Wire|Steel Tie Wire 1mm (Estimated 4% of Total Rebar Weight)</t>
  </si>
  <si>
    <t>Super Structure|Structural Wall|Water Stop|PVC Waterbar® V VN 20 (Width 200mm)</t>
  </si>
  <si>
    <t>Super Structure|Structural Staircase|Concrete|Normal Concrete, 35Mpa (Cylinder), Slump 13+-2.5</t>
  </si>
  <si>
    <t>Super Structure|Structural Staircase|Concrete|Normal Concrete, 35Mpa (Cylinder), Slump 15+-2.5</t>
  </si>
  <si>
    <t>Super Structure|Structural Staircase|Concrete|Normal Concrete, 25Mpa (Cylinder), Slump 10+-2.5</t>
  </si>
  <si>
    <t>Super Structure|Structural Staircase|Concrete|Normal Concrete, 30Mpa (Cylinder), Slump 13+-2.5</t>
  </si>
  <si>
    <t>Super Structure|Structural Staircase|Formwork|Formwork to curved / special shape incl. erection and striking</t>
  </si>
  <si>
    <t>Super Structure|Structural Staircase|Formwork|Formwork, plywood 18mm thk. incl. erection, bracing, oiling and striking</t>
  </si>
  <si>
    <t>Super Structure|Structural Staircase|Rebar|Deform Bar, DB10(fy=390 Mpa)</t>
  </si>
  <si>
    <t>Super Structure|Structural Staircase|Rebar|Deform Bar, DB12(fy=390 Mpa)</t>
  </si>
  <si>
    <t>Super Structure|Structural Staircase|Rebar|Deform Bar, DB14(fy=390 Mpa)</t>
  </si>
  <si>
    <t>Super Structure|Structural Staircase|Rebar|Deform Bar, DB16(fy=390 Mpa)</t>
  </si>
  <si>
    <t>Super Structure|Structural Staircase|Rebar|Deform Bar, DB20(fy=390 Mpa)</t>
  </si>
  <si>
    <t>Super Structure|Structural Staircase|Rebar|Deform Bar, DB25(fy=390 Mpa)</t>
  </si>
  <si>
    <t>Super Structure|Structural Staircase|Rebar|Deform Bar, DB32(fy=390 Mpa)</t>
  </si>
  <si>
    <t>Super Structure|Structural Staircase|Rebar|Round Bar, RB8(fy=250 Mpa)</t>
  </si>
  <si>
    <t>Super Structure|Structural Staircase|Rebar|Round Bar, RB6(fy=250 Mpa)</t>
  </si>
  <si>
    <t>Super Structure|Structural Staircase|Steel Tie Wire|Steel Tie Wire 1mm (Estimated 4% of Total Rebar Weight)</t>
  </si>
  <si>
    <t>Super Structure|Parapet wall &amp; Stiffener Column|Concrete|Normal Concrete, 35Mpa (Cylinder), Slump 13+-2.5</t>
  </si>
  <si>
    <t>Super Structure|Parapet wall &amp; Stiffener Column|Concrete|Normal Concrete, 35Mpa (Cylinder), Slump 15+-2.5</t>
  </si>
  <si>
    <t>Super Structure|Parapet wall &amp; Stiffener Column|Concrete|Normal Concrete, 25Mpa (Cylinder), Slump 10+-2.5</t>
  </si>
  <si>
    <t>Super Structure|Parapet wall &amp; Stiffener Column|Concrete|Normal Concrete, 30Mpa (Cylinder), Slump 13+-2.5</t>
  </si>
  <si>
    <t>Super Structure|Parapet wall &amp; Stiffener Column|Formwork|Formwork to curved / special shape incl. erection and striking</t>
  </si>
  <si>
    <t>Super Structure|Parapet wall &amp; Stiffener Column|Formwork|Formwork, plywood 18mm thk. incl. erection, bracing, oiling and striking</t>
  </si>
  <si>
    <t>Super Structure|Parapet wall &amp; Stiffener Column|Rebar|Deform Bar, DB10(fy=390 Mpa)</t>
  </si>
  <si>
    <t>Super Structure|Parapet wall &amp; Stiffener Column|Rebar|Deform Bar, DB12(fy=390 Mpa)</t>
  </si>
  <si>
    <t>Super Structure|Parapet wall &amp; Stiffener Column|Rebar|Deform Bar, DB14(fy=390 Mpa)</t>
  </si>
  <si>
    <t>Super Structure|Parapet wall &amp; Stiffener Column|Rebar|Deform Bar, DB16(fy=390 Mpa)</t>
  </si>
  <si>
    <t>Super Structure|Parapet wall &amp; Stiffener Column|Rebar|Deform Bar, DB20(fy=390 Mpa)</t>
  </si>
  <si>
    <t>Super Structure|Parapet wall &amp; Stiffener Column|Rebar|Deform Bar, DB25(fy=390 Mpa)</t>
  </si>
  <si>
    <t>Super Structure|Parapet wall &amp; Stiffener Column|Rebar|Deform Bar, DB32(fy=390 Mpa)</t>
  </si>
  <si>
    <t>Super Structure|Parapet wall &amp; Stiffener Column|Rebar|Round Bar, RB8(fy=250 Mpa)</t>
  </si>
  <si>
    <t>Super Structure|Parapet wall &amp; Stiffener Column|Rebar|Round Bar, RB6(fy=250 Mpa)</t>
  </si>
  <si>
    <t>Super Structure|Parapet wall &amp; Stiffener Column|Steel Tie Wire|Steel Tie Wire 1mm (Estimated 4% of Total Rebar Weight)</t>
  </si>
  <si>
    <t>Super Structure|Lift Core / Shear Core|Concrete|Normal Concrete, 35Mpa (Cylinder), Slump 13+-2.5</t>
  </si>
  <si>
    <t>Super Structure|Lift Core / Shear Core|Concrete|Normal Concrete, 35Mpa (Cylinder), Slump 15+-2.5</t>
  </si>
  <si>
    <t>Super Structure|Lift Core / Shear Core|Concrete|Normal Concrete, 25Mpa (Cylinder), Slump 10+-2.5</t>
  </si>
  <si>
    <t>Super Structure|Lift Core / Shear Core|Concrete|Normal Concrete, 30Mpa (Cylinder), Slump 13+-2.5</t>
  </si>
  <si>
    <t>Super Structure|Lift Core / Shear Core|Formwork|Formwork to curved / special shape incl. erection and striking</t>
  </si>
  <si>
    <t>Super Structure|Lift Core / Shear Core|Formwork|Formwork, plywood 18mm thk. incl. erection, bracing, oiling and striking</t>
  </si>
  <si>
    <t>Super Structure|Lift Core / Shear Core|Rebar|Deform Bar, DB10(fy=390 Mpa)</t>
  </si>
  <si>
    <t>Super Structure|Lift Core / Shear Core|Rebar|Deform Bar, DB12(fy=390 Mpa)</t>
  </si>
  <si>
    <t>Super Structure|Lift Core / Shear Core|Rebar|Deform Bar, DB14(fy=390 Mpa)</t>
  </si>
  <si>
    <t>Super Structure|Lift Core / Shear Core|Rebar|Deform Bar, DB16(fy=390 Mpa)</t>
  </si>
  <si>
    <t>Super Structure|Lift Core / Shear Core|Rebar|Deform Bar, DB20(fy=390 Mpa)</t>
  </si>
  <si>
    <t>Super Structure|Lift Core / Shear Core|Rebar|Deform Bar, DB25(fy=390 Mpa)</t>
  </si>
  <si>
    <t>Super Structure|Lift Core / Shear Core|Rebar|Deform Bar, DB32(fy=390 Mpa)</t>
  </si>
  <si>
    <t>Super Structure|Lift Core / Shear Core|Rebar|Round Bar, RB8(fy=250 Mpa)</t>
  </si>
  <si>
    <t>Super Structure|Lift Core / Shear Core|Rebar|Round Bar, RB6(fy=250 Mpa)</t>
  </si>
  <si>
    <t>Super Structure|Lift Core / Shear Core|Steel Tie Wire|Steel Tie Wire 1mm (Estimated 4% of Total Rebar Weight)</t>
  </si>
  <si>
    <t>Super Structure|Lift Core / Shear Core|Water Stop|PVC Waterbar® V VN 20 (Width 200mm)</t>
  </si>
  <si>
    <t>Super Structure|Ramp|Concrete|Normal Concrete, 35Mpa (Cylinder), Slump 13+-2.5</t>
  </si>
  <si>
    <t>Super Structure|Ramp|Concrete|Normal Concrete, 35Mpa (Cylinder), Slump 15+-2.5</t>
  </si>
  <si>
    <t>Super Structure|Ramp|Concrete|Normal Concrete, 25Mpa (Cylinder), Slump 10+-2.5</t>
  </si>
  <si>
    <t>Super Structure|Ramp|Concrete|Normal Concrete, 30Mpa (Cylinder), Slump 13+-2.5</t>
  </si>
  <si>
    <t>Super Structure|Ramp|Formwork|Formwork to curved / special shape incl. erection and striking</t>
  </si>
  <si>
    <t>Super Structure|Ramp|Formwork|Formwork, plywood 18mm thk. incl. erection, bracing, oiling and striking</t>
  </si>
  <si>
    <t>Super Structure|Ramp|Rebar|Deform Bar, DB10(fy=390 Mpa)</t>
  </si>
  <si>
    <t>Super Structure|Ramp|Rebar|Deform Bar, DB12(fy=390 Mpa)</t>
  </si>
  <si>
    <t>Super Structure|Ramp|Rebar|Deform Bar, DB14(fy=390 Mpa)</t>
  </si>
  <si>
    <t>Super Structure|Ramp|Rebar|Deform Bar, DB16(fy=390 Mpa)</t>
  </si>
  <si>
    <t>Super Structure|Ramp|Rebar|Deform Bar, DB20(fy=390 Mpa)</t>
  </si>
  <si>
    <t>Super Structure|Ramp|Rebar|Deform Bar, DB25(fy=390 Mpa)</t>
  </si>
  <si>
    <t>Super Structure|Ramp|Rebar|Deform Bar, DB32(fy=390 Mpa)</t>
  </si>
  <si>
    <t>Super Structure|Ramp|Rebar|Round Bar, RB8(fy=250 Mpa)</t>
  </si>
  <si>
    <t>Super Structure|Ramp|Rebar|Round Bar, RB6(fy=250 Mpa)</t>
  </si>
  <si>
    <t>Super Structure|Ramp|Steel Tie Wire|Steel Tie Wire 1mm (Estimated 4% of Total Rebar Weight)</t>
  </si>
  <si>
    <t>Super Structure|Structural Steel|Steel Section / Beam|Structural steel section (H/I beam) SS400 incl. fabrication and erection</t>
  </si>
  <si>
    <t>Super Structure|Structural Steel|U steel|U-50*100*5mm</t>
  </si>
  <si>
    <t>Super Structure|Structural Steel|Hollow steel tube|Tub-50*100*2mm</t>
  </si>
  <si>
    <t>Super Structure|Structural Steel|Purlin|Steel purlin C-channel incl. fabrication, erection and fixing</t>
  </si>
  <si>
    <t>Super Structure|Structural Steel|Sag rod|Sag rod 12mm</t>
  </si>
  <si>
    <t>Super Structure|Structural Steel|Bracing|Steel bracing member incl. fabrication, erection and connection</t>
  </si>
  <si>
    <t>Super Structure|Structural Steel|Base Plate|Steel base plate incl. drilling, welding and levelling</t>
  </si>
  <si>
    <t>pcs</t>
  </si>
  <si>
    <t>Super Structure|Structural Steel|Steel plate|Steel plate 200x230x12mm</t>
  </si>
  <si>
    <t>Super Structure|Structural Steel|J bolt|J bolt M12, L=600mm, grade 5.6</t>
  </si>
  <si>
    <t>Super Structure|Structural Steel|Anchor Bolt|Anchor bolt incl. template, setting and grouting</t>
  </si>
  <si>
    <t>Super Structure|Structural Steel|Bolt &amp; Nut|High tensile bolt, nut and washer grade 8.8</t>
  </si>
  <si>
    <t>Super Structure|Structural Steel|Welding|Site welding incl. electrode, preparation and testing</t>
  </si>
  <si>
    <t>Super Structure|Structural Steel|Painting / Galvanizing|Anti-corrosive primer and 2 coats finish paint to steelwork</t>
  </si>
  <si>
    <t>Hot dip galvanizing to steelwork, 85 micron minimum</t>
  </si>
  <si>
    <t>Super Structure|Structural Steel|Painting / Galvanizing|Hot dip galvanizing to steelwork, 85 micron minimum</t>
  </si>
  <si>
    <t>Super Structure|Structural Steel|Fire Proofing|Intumescent fire protection coating to steelwork, 2 hour rating</t>
  </si>
  <si>
    <t>Super Structure|Roof Structure / Truss|Truss|Steel roof truss incl. fabrication, erection and connection</t>
  </si>
  <si>
    <t>Super Structure|Roof Structure / Truss|Purlin|Steel purlin C-channel incl. fabrication, erection and fixing</t>
  </si>
  <si>
    <t>Super Structure|Roof Structure / Truss|Sag rod|Sag rod 12mm</t>
  </si>
  <si>
    <t>Super Structure|Roof Structure / Truss|Bracing|Steel bracing member incl. fabrication, erection and connection</t>
  </si>
  <si>
    <t>Super Structure|Roof Structure / Truss|Zinc sheet|Zinc sheet 0.4mm</t>
  </si>
  <si>
    <t>Super Structure|Roof Structure / Truss|Flashing|Flashing cover roof</t>
  </si>
  <si>
    <t>Super Structure|Roof Structure / Truss|Anchor Bolt|Anchor bolt incl. template, setting and grouting</t>
  </si>
  <si>
    <t>Super Structure|Roof Structure / Truss|Painting / Galvanizing|Anti-corrosive primer and 2 coats finish paint to steelwork</t>
  </si>
  <si>
    <t>Super Structure|Roof Structure / Truss|Painting / Galvanizing|Hot dip galvanizing to steelwork, 85 micron minimum</t>
  </si>
  <si>
    <t>Super Structure|Testing &amp; Quality Control|Concrete Testing|Concrete cube / cylinder test as per specification</t>
  </si>
  <si>
    <t>Super Structure|Testing &amp; Quality Control|Rebar Testing|Rebar Testing as per Specification</t>
  </si>
  <si>
    <t>Super Structure|Testing &amp; Quality Control|Non-Destructive Test|Non-destructive test (rebound hammer / ultrasonic) as per specification</t>
  </si>
  <si>
    <t>Super Structure|Testing &amp; Quality Control|Survey &amp; As-Built|Setting out, survey and as-built record</t>
  </si>
  <si>
    <t>Exterior Wall and Partition|Hollow clay brick|Hollow clay brick 100mm Thk.|Hollow clay brick, thickness 100mm, laid in cement:sand mortar 1:4</t>
  </si>
  <si>
    <t>Exterior Wall and Partition|Hollow clay brick|Hollow clay brick 200mm Thk.|Hollow clay brick (80x80x180)mm, thickness 200mm Thk.</t>
  </si>
  <si>
    <t>Exterior Wall and Partition|Hollow clay brick|Hollow clay brick 400mm Thk.|Hollow clay brick (80x80x180)mm, thickness 400mm Thk.</t>
  </si>
  <si>
    <t>Exterior Wall and Partition|Hollow clay brick|Hollow clay brick 500mm Thk.|Hollow clay brick (80x80x180)mm, thickness 500mm Thk.</t>
  </si>
  <si>
    <t>Exterior Wall and Partition|Hollow clay brick|Hollow clay brick 800mm Thk.|Hollow clay brick (80x80x180)mm, thickness 800mm Thk.</t>
  </si>
  <si>
    <t>Exterior Wall and Partition|Concrete block|Concrete block 100mm Thk.|concrete block, thickness 100mm, laid in cement:sand mortar 1:4</t>
  </si>
  <si>
    <t>Exterior Wall and Partition|Concrete block|Concrete block 150mm Thk.|concrete block, thickness 150mm, laid in cement:sand mortar 1:4</t>
  </si>
  <si>
    <t>Exterior Wall and Partition|Concrete block|Concrete block 200mm Thk.|concrete block, thickness 200mm, laid in cement:sand mortar 1:4</t>
  </si>
  <si>
    <t>Exterior Wall and Partition|AAC block|AAC block 100mm Thk.|AAC lightweight block 100mm thk. laid in thin-bed adhesive mortar</t>
  </si>
  <si>
    <t>Exterior Wall and Partition|AAC block|AAC block 150mm Thk.|AAC lightweight block 150mm thk. laid in thin-bed adhesive mortar</t>
  </si>
  <si>
    <t>Exterior Wall and Partition|AAC block|AAC block 200mm Thk.|AAC lightweight block 200mm thk. laid in thin-bed adhesive mortar</t>
  </si>
  <si>
    <t>Exterior Wall and Partition|Precast concrete panel|Precast wall panel|Precast concrete wall panel incl. lifting, setting and jointing</t>
  </si>
  <si>
    <t>Exterior Wall and Partition|Precast concrete panel|Panel jointing &amp; sealant|Panel joint backer rod and weatherproof silicone sealant</t>
  </si>
  <si>
    <t>Exterior Wall and Partition|External façade|External façade|concrete block</t>
  </si>
  <si>
    <t>Exterior Wall and Partition|External façade|External façade|External façade</t>
  </si>
  <si>
    <t>Exterior Wall and Partition|External façade|Curtain wall|Aluminium curtain wall system with 8mm tempered glass incl. framing and sealant</t>
  </si>
  <si>
    <t>Exterior Wall and Partition|External façade|Aluminium composite panel|Aluminium composite panel 4mm, PVDF finish, incl. sub-frame and sealant</t>
  </si>
  <si>
    <t>Exterior Wall and Partition|External façade|Louver screen|Aluminium louver screen incl. sub-frame and fixing</t>
  </si>
  <si>
    <t>Exterior Wall Finishes|Plastering|Plastering|20mm cement plaster</t>
  </si>
  <si>
    <t>15mm cement plaster</t>
  </si>
  <si>
    <t>Exterior Wall Finishes|Plastering|Plastering|15mm cement plaster</t>
  </si>
  <si>
    <t>Exterior Wall Finishes|Plastering|Skim coat|Skim coat, 2 coats, sanded ready to receive paint</t>
  </si>
  <si>
    <t>Exterior Wall Finishes|Plastering|Molding / Cornice|Cement molding / cornice incl. forming and finishing</t>
  </si>
  <si>
    <t>Exterior Wall Finishes|Painting|Painting|Painting</t>
  </si>
  <si>
    <t>Painting, primer + 2 coats emulsion (interior)</t>
  </si>
  <si>
    <t>Exterior Wall Finishes|Painting|Painting|Painting, primer + 2 coats emulsion (interior)</t>
  </si>
  <si>
    <t>Painting, primer + 2 coats weather-shield (exterior)</t>
  </si>
  <si>
    <t>Exterior Wall Finishes|Painting|Painting|Painting, primer + 2 coats weather-shield (exterior)</t>
  </si>
  <si>
    <t>Exterior Wall Finishes|Painting|Primer coat|Alkali resistant primer, 1 coat</t>
  </si>
  <si>
    <t>Exterior Wall Finishes|Painting|Weather-shield coating|Weather-shield exterior coating, primer + 2 coats</t>
  </si>
  <si>
    <t>Exterior Wall Finishes|Wall tiling|Wall tiling|Wall tile Size 0.6x0.6m,Height 1.2m, at cooridor</t>
  </si>
  <si>
    <t>Exterior Wall Finishes|Wall tiling|Stone cladding|Natural stone cladding incl. adhesive, anchor and pointing</t>
  </si>
  <si>
    <t>Exterior Wall Finishes|Expansion joint|Expansion joint|Expansion joint incl. backer rod, sealant and cover profile</t>
  </si>
  <si>
    <t>Exterior Wall Finishes|Expansion joint|Sealant|Weatherproof silicone sealant incl. backer rod</t>
  </si>
  <si>
    <t>Exterior Door|Steel Door|Steel Door|Steel Door, W:900,H:2100mm incl. frame, ironmongery and painting</t>
  </si>
  <si>
    <t>Exterior Door|Steel Door|Fire rated steel door|Fire rated steel door 2 hour incl. frame, closer and panic bar</t>
  </si>
  <si>
    <t>Exterior Door|Aluminium door|Aluminium door|Aluminium framed door with 6mm tempered glass incl. ironmongery</t>
  </si>
  <si>
    <t>Exterior Door|Aluminium door|Aluminium sliding door|Aluminium sliding door with 6mm tempered glass incl. track and ironmongery</t>
  </si>
  <si>
    <t>Exterior Door|Glass door|Frameless glass door|Frameless tempered glass door 12mm incl. floor spring and patch fitting</t>
  </si>
  <si>
    <t>Exterior Door|Glass door|Framed glass door|Aluminium framed glass door incl. ironmongery</t>
  </si>
  <si>
    <t>Exterior Door|Rolling shutter|Rolling shutter|Galvanised steel rolling shutter incl. guide rail and lock</t>
  </si>
  <si>
    <t>Exterior Door|Rolling shutter|Motor &amp; control|Roller shutter motor and control panel incl. wiring</t>
  </si>
  <si>
    <t>Exterior Door|Door ironmongery|Lockset|Mortice lockset, stainless steel lever handle</t>
  </si>
  <si>
    <t>Exterior Door|Door ironmongery|Door closer|Overhead door closer, adjustable</t>
  </si>
  <si>
    <t>Exterior Door|Door ironmongery|Hinge|Stainless steel butt hinge 100mm</t>
  </si>
  <si>
    <t>Exterior Door|Door ironmongery|Door stopper|Floor / wall mounted door stopper</t>
  </si>
  <si>
    <t>Exterior Window and Louver|Glass Window|Glass Window|Internal Fix Windoor (L:1200,H:500)mm &amp; Slide window (L:1200,H:1000)mm</t>
  </si>
  <si>
    <t>Internal Fix Windoor (L:1800,H:500)mm</t>
  </si>
  <si>
    <t>Exterior Window and Louver|Glass Window|Glass Window|Internal Fix Windoor (L:1800,H:500)mm</t>
  </si>
  <si>
    <t>Internal Fix Windoor (L:2000,H:500)mm &amp; Slide window (L:2000,H:1000)mm</t>
  </si>
  <si>
    <t>Exterior Window and Louver|Glass Window|Glass Window|Internal Fix Windoor (L:2000,H:500)mm &amp; Slide window (L:2000,H:1000)mm</t>
  </si>
  <si>
    <t>Internal Fix Windoor (L:2000,H:500)mm &amp; Slide window (L:2000,H:10300)mm</t>
  </si>
  <si>
    <t>Exterior Window and Louver|Glass Window|Glass Window|Internal Fix Windoor (L:2000,H:500)mm &amp; Slide window (L:2000,H:10300)mm</t>
  </si>
  <si>
    <t>Internal Fix Windoor (L:3000,H:500)mm</t>
  </si>
  <si>
    <t>Exterior Window and Louver|Glass Window|Glass Window|Internal Fix Windoor (L:3000,H:500)mm</t>
  </si>
  <si>
    <t>Internal Fix Windoor (L:3000,H:500)mm &amp; Slide window (L:3000,H:1000)mm</t>
  </si>
  <si>
    <t>Exterior Window and Louver|Glass Window|Glass Window|Internal Fix Windoor (L:3000,H:500)mm &amp; Slide window (L:3000,H:1000)mm</t>
  </si>
  <si>
    <t>Internal Fix Windoor (L:4000,H:500)mm &amp; Slide window (L:4000,H:1700)mm</t>
  </si>
  <si>
    <t>Exterior Window and Louver|Glass Window|Glass Window|Internal Fix Windoor (L:4000,H:500)mm &amp; Slide window (L:4000,H:1700)mm</t>
  </si>
  <si>
    <t>Internal Fix Windoor (L:900,H:1000)mm</t>
  </si>
  <si>
    <t>Exterior Window and Louver|Glass Window|Glass Window|Internal Fix Windoor (L:900,H:1000)mm</t>
  </si>
  <si>
    <t>Windoor Aluminium frame with 6mm tempered glass, fix + slide panel</t>
  </si>
  <si>
    <t>Exterior Window and Louver|Glass Window|Glass Window|Windoor Aluminium frame with 6mm tempered glass, fix + slide panel</t>
  </si>
  <si>
    <t>Windoor Aluminium frame with 6mm tempered glass, fix panel</t>
  </si>
  <si>
    <t>Exterior Window and Louver|Glass Window|Glass Window|Windoor Aluminium frame with 6mm tempered glass, fix panel</t>
  </si>
  <si>
    <t>Exterior Window and Louver|Glass Window|Fixed glass window|Fixed aluminium window with 6mm tempered glass incl. sealant</t>
  </si>
  <si>
    <t>Exterior Window and Louver|Glass Window|Sliding glass window|Sliding aluminium window with 6mm tempered glass incl. track and lock</t>
  </si>
  <si>
    <t>Exterior Window and Louver|Glass Window|Casement window|Casement aluminium window with 6mm glass incl. friction stay</t>
  </si>
  <si>
    <t>Exterior Window and Louver|Aluminium louver|Aluminium louver|Aluminium louver incl. frame and fixing</t>
  </si>
  <si>
    <t>Exterior Window and Louver|Aluminium louver|Steel louver|Steel louver incl. frame, fixing and painting</t>
  </si>
  <si>
    <t>Exterior Window and Louver|Window accessories|Window fence / grille|Steel window grille incl. painting and fixing</t>
  </si>
  <si>
    <t>Exterior Window and Louver|Window accessories|Mosquito screen|Aluminium frame mosquito / insect screen</t>
  </si>
  <si>
    <t>Exterior Window and Louver|Window accessories|Sealant|Weatherproof silicone sealant incl. backer rod</t>
  </si>
  <si>
    <t>Exterior Window and Louver|Window accessories|Window sill|Cement / stone window sill incl. forming and finishing</t>
  </si>
  <si>
    <t>Exterior floor|Screeding|Screeding|Cement:sand screed 1:3, 40mm thk. steel trowel finish</t>
  </si>
  <si>
    <t>Exterior floor|Screeding|Floor hardener|Non-metallic floor hardener 3kg/m2 incl. power trowel finish</t>
  </si>
  <si>
    <t>Exterior floor|Floor tiling|Floor tiling|Floor tile Size 0.3x0.3m incl. adhesive and grout</t>
  </si>
  <si>
    <t>Floor tile Size 0.6x0.6m incl. adhesive and grout</t>
  </si>
  <si>
    <t>Exterior floor|Floor tiling|Floor tiling|Floor tile Size 0.6x0.6m incl. adhesive and grout</t>
  </si>
  <si>
    <t>Exterior floor|Floor tiling|Anti-slip tile|Anti-slip ceramic tile incl. adhesive and grout</t>
  </si>
  <si>
    <t>Exterior floor|Waterproofing|Waterproofing|Membrance sheet 2mm thk</t>
  </si>
  <si>
    <t>Exterior floor|Waterproofing|Waterproofing|Sika Waterproofing</t>
  </si>
  <si>
    <t>Exterior floor|Waterproofing|Waterproofing|Cementitious waterproofing, 2 coats, to wet area incl. up-turn 300mm</t>
  </si>
  <si>
    <t>Exterior floor|Waterproofing|Protection screed|Protection screed 40mm thk. to waterproofing membrane</t>
  </si>
  <si>
    <t>Exterior soffit|Soffit finishes|Plastering|20mm cement plaster</t>
  </si>
  <si>
    <t>Exterior soffit|Soffit finishes|Plastering|15mm cement plaster</t>
  </si>
  <si>
    <t>Exterior soffit|Soffit finishes|Painting|Painting</t>
  </si>
  <si>
    <t>Exterior soffit|Soffit finishes|Painting|Painting, primer + 2 coats emulsion (interior)</t>
  </si>
  <si>
    <t>Exterior soffit|Soffit finishes|Painting|Painting, primer + 2 coats weather-shield (exterior)</t>
  </si>
  <si>
    <t>Exterior soffit|Soffit finishes|Soffit cladding|Soffit cladding board incl. sub-frame and jointing</t>
  </si>
  <si>
    <t>Exterior Stair Ramp|Stair &amp; Ramp finishes|Stair tread &amp; riser finish|Stair tread and riser tile / stone finish incl. adhesive</t>
  </si>
  <si>
    <t>Exterior Stair Ramp|Stair &amp; Ramp finishes|Ramp finish|Ramp anti-slip floor finish incl. adhesive and grout</t>
  </si>
  <si>
    <t>Exterior Stair Ramp|Stair &amp; Ramp finishes|Stair nosing|Aluminium stair nosing with anti-slip insert</t>
  </si>
  <si>
    <t>Exterior Stair Ramp|Stair &amp; Ramp finishes|Tactile paving|Tactile warning paving for accessibility incl. adhesive</t>
  </si>
  <si>
    <t>Exterior Stair Ramp|Handrail &amp; Balustrade|Handrail|Steel handrail with paiting H=1m</t>
  </si>
  <si>
    <t>Exterior Stair Ramp|Handrail &amp; Balustrade|Balustrade|Stainless steel / glass balustrade H=1.1m incl. fixing</t>
  </si>
  <si>
    <t>Exterior Stair Ramp|Handrail &amp; Balustrade|Guard rail|Steel guard rail incl. fabrication, painting and fixing</t>
  </si>
  <si>
    <t>Roofing|Roof covering|Metal roof sheet|Metal roof sheet 0.47mm thk. colour coated incl. fixing accessories</t>
  </si>
  <si>
    <t>Roofing|Roof covering|Roof tile|Concrete / clay roof tile incl. batten, ridge and fixing</t>
  </si>
  <si>
    <t>Roofing|Roof covering|Translucent sheet|Translucent polycarbonate roof sheet incl. fixing</t>
  </si>
  <si>
    <t>Roofing|Roof covering|Ridge cap|Colour coated ridge cap incl. sealing and fixing</t>
  </si>
  <si>
    <t>Roofing|Roof waterproofing &amp; insulation|Waterproofing membrane|Torch-on bituminous waterproofing membrane 3mm incl. primer and up-turn</t>
  </si>
  <si>
    <t>Roofing|Roof waterproofing &amp; insulation|Thermal insulation|Roof thermal insulation, glasswool 50mm with foil facing</t>
  </si>
  <si>
    <t>Roofing|Roof waterproofing &amp; insulation|Vapour barrier|Vapour barrier; supply and install complete incl. all accessories, jointing and making good.</t>
  </si>
  <si>
    <t>Roofing|Roof waterproofing &amp; insulation|Protection screed|Protection screed 40mm thk. to waterproofing membrane</t>
  </si>
  <si>
    <t>Roofing|Roof drainage|Gutter|Colour coated metal gutter incl. bracket and outlet</t>
  </si>
  <si>
    <t>Roofing|Roof drainage|Downpipe|uPVC downpipe incl. bracket, bend and shoe</t>
  </si>
  <si>
    <t>Roofing|Roof drainage|Roof drain|Cast iron / uPVC roof drain with dome grating</t>
  </si>
  <si>
    <t>Roofing|Roof drainage|Flashing|Flashing cover roof</t>
  </si>
  <si>
    <t>Roofing|Roof accessories|Skylight|Skylight with laminated glass incl. aluminium frame and flashing</t>
  </si>
  <si>
    <t>Roofing|Roof accessories|Roof access hatch|Roof access hatch incl. frame, cover and lock</t>
  </si>
  <si>
    <t>Roofing|Roof accessories|Roof ladder|Steel cat ladder incl. safety hoop and painting</t>
  </si>
  <si>
    <t>Roofing|Roof accessories|Lightning terminal base|Lightning air terminal base incl. fixing to roof structure</t>
  </si>
  <si>
    <t>Interior Wall and Partition|Hollow clay brick|Hollow clay brick 100mm Thk.|Hollow clay brick (80x80x180)mm, thickness 100mm Thk.</t>
  </si>
  <si>
    <t>Interior Wall and Partition|Hollow clay brick|Hollow clay brick 200mm Thk.|Hollow clay brick, thickness 200mm, laid in cement:sand mortar 1:4</t>
  </si>
  <si>
    <t>Interior Wall and Partition|Dry wall partition|Gypsum board partition|Gypsum board partition 2x12mm both sides on 76mm metal stud incl. jointing</t>
  </si>
  <si>
    <t>Interior Wall and Partition|Dry wall partition|Cement board partition|Fibre cement board partition 2x9mm both sides on metal stud incl. jointing</t>
  </si>
  <si>
    <t>Interior Wall and Partition|Dry wall partition|Metal stud framing|Galvanised metal stud and track framing at 600mm c/c</t>
  </si>
  <si>
    <t>Interior Wall and Partition|Dry wall partition|Acoustic infill|Rockwool acoustic infill 50mm thk. density 60kg/m3 to partition cavity</t>
  </si>
  <si>
    <t>Interior Wall and Partition|Glass partition|Frameless glass partition|Frameless tempered glass partition 12mm thk. incl. patch fitting and sealant</t>
  </si>
  <si>
    <t>Interior Wall and Partition|Glass partition|Framed glass partition|Aluminium framed glass partition with 8mm tempered glass</t>
  </si>
  <si>
    <t>Interior Wall and Partition|Toilet cubicle|Toilet cubicle|Toilet cubicle, compact laminate 12mm thk. incl. door, hardware and pilaster</t>
  </si>
  <si>
    <t>Interior Wall and Partition|Toilet cubicle|Urinal divider|Urinal divider, compact laminate 12mm thk. incl. bracket</t>
  </si>
  <si>
    <t>Interior Wall and Partition|Handrail|Handrail|Steel handrail with paiting H=1m</t>
  </si>
  <si>
    <t>Interior Wall and Partition|Handrail|Handrail on staircase|Steel handrail with paiting Handrail on staircase, H=1m</t>
  </si>
  <si>
    <t>Interior Wall and Partition|Handrail|Wall guard rail|Wall mounted guard rail / crash rail incl. bracket and fixing</t>
  </si>
  <si>
    <t>Interior Doors|Wood door|Wood door|Wood door size (L:1600,H:2100,W:500)mm</t>
  </si>
  <si>
    <t>Wood door size (L:900,H:2100,W:400)mm</t>
  </si>
  <si>
    <t>Interior Doors|Wood door|Wood door|Wood door size (L:900,H:2100,W:400)mm</t>
  </si>
  <si>
    <t>Wood door size (L:900,H:2100,W:500)mm</t>
  </si>
  <si>
    <t>Interior Doors|Wood door|Wood door|Wood door size (L:900,H:2100,W:500)mm</t>
  </si>
  <si>
    <t>Double leaf wood door, W:1600,H:2100mm incl. frame and ironmongery</t>
  </si>
  <si>
    <t>Interior Doors|Wood door|Wood door|Double leaf wood door, W:1600,H:2100mm incl. frame and ironmongery</t>
  </si>
  <si>
    <t>Wood door, W:800,H:2100mm incl. frame, ironmongery and painting</t>
  </si>
  <si>
    <t>Interior Doors|Wood door|Wood door|Wood door, W:800,H:2100mm incl. frame, ironmongery and painting</t>
  </si>
  <si>
    <t>Wood door, W:900,H:2100mm incl. frame, ironmongery and painting</t>
  </si>
  <si>
    <t>Interior Doors|Wood door|Wood door|Wood door, W:900,H:2100mm incl. frame, ironmongery and painting</t>
  </si>
  <si>
    <t>Interior Doors|Wood door|Solid core wood door|Solid core timber door with laminate finish incl. frame and ironmongery</t>
  </si>
  <si>
    <t>Interior Doors|PVC door|PVC door|PVC door size (L:750,H:2000,W:400)mm</t>
  </si>
  <si>
    <t>PVC door size (L:800,H:2100,W:400)mm</t>
  </si>
  <si>
    <t>Interior Doors|PVC door|PVC door|PVC door size (L:800,H:2100,W:400)mm</t>
  </si>
  <si>
    <t>PVC door size (L:900,H:2100,W:400)mm</t>
  </si>
  <si>
    <t>Interior Doors|PVC door|PVC door|PVC door size (L:900,H:2100,W:400)mm</t>
  </si>
  <si>
    <t>PVC door, W:700,H:2000mm incl. frame and ironmongery</t>
  </si>
  <si>
    <t>Interior Doors|PVC door|PVC door|PVC door, W:700,H:2000mm incl. frame and ironmongery</t>
  </si>
  <si>
    <t>PVC door, W:800,H:2000mm incl. frame and ironmongery</t>
  </si>
  <si>
    <t>Interior Doors|PVC door|PVC door|PVC door, W:800,H:2000mm incl. frame and ironmongery</t>
  </si>
  <si>
    <t>PVC door, W:900,H:2000mm incl. frame and ironmongery</t>
  </si>
  <si>
    <t>Interior Doors|PVC door|PVC door|PVC door, W:900,H:2000mm incl. frame and ironmongery</t>
  </si>
  <si>
    <t>Interior Doors|Steel Door|Steel Door|Steel door size (L:880,H:2100,W:400)mm</t>
  </si>
  <si>
    <t>Interior Doors|Steel Door|Steel Door|Steel Door, W:900,H:2100mm incl. frame, ironmongery and painting</t>
  </si>
  <si>
    <t>Interior Doors|Steel Door|Fire rated door|Fire rated door 1 hour, steel, incl. frame, closer and ironmongery</t>
  </si>
  <si>
    <t>Interior Doors|Aluminium / Glass door|Aluminium door|Aluminium framed door with 6mm tempered glass incl. ironmongery</t>
  </si>
  <si>
    <t>Interior Doors|Aluminium / Glass door|Glass door|Tempered glass door 12mm thk. incl. patch fitting and floor spring</t>
  </si>
  <si>
    <t>Interior Doors|Door ironmongery|Lockset|Mortice lockset, stainless steel lever handle</t>
  </si>
  <si>
    <t>Interior Doors|Door ironmongery|Door closer|Overhead door closer, adjustable</t>
  </si>
  <si>
    <t>Interior Doors|Door ironmongery|Hinge|Stainless steel butt hinge 100mm</t>
  </si>
  <si>
    <t>Interior Doors|Door ironmongery|Door stopper|Floor / wall mounted door stopper</t>
  </si>
  <si>
    <t>Interior Doors|Door ironmongery|Panic bar|Panic exit device / push bar to fire escape door</t>
  </si>
  <si>
    <t>Interior Doors|Interior window / louver|Interior glass window|Interior aluminium framed glass window with 6mm glass</t>
  </si>
  <si>
    <t>Interior Doors|Interior window / louver|Interior louver|Interior aluminium louver incl. frame</t>
  </si>
  <si>
    <t>Special installation|Gas installation|LPG gas system|LPG gas piping system incl. regulator, valve and testing</t>
  </si>
  <si>
    <t>Special installation|Gas installation|Laboratory gas outlet|Laboratory gas outlet point incl. piping, valve and testing</t>
  </si>
  <si>
    <t>Interior Wall Finishes|Plastering|Plastering|20mm cement plaster</t>
  </si>
  <si>
    <t>Interior Wall Finishes|Plastering|Plastering|15mm cement plaster</t>
  </si>
  <si>
    <t>Interior Wall Finishes|Plastering|Skim coat|Skim coat, 2 coats, sanded ready to receive paint</t>
  </si>
  <si>
    <t>Interior Wall Finishes|Painting|Painting|Painting</t>
  </si>
  <si>
    <t>Interior Wall Finishes|Painting|Painting|Painting, primer + 2 coats emulsion (interior)</t>
  </si>
  <si>
    <t>Interior Wall Finishes|Painting|Painting|Painting, primer + 2 coats weather-shield (exterior)</t>
  </si>
  <si>
    <t>Interior Wall Finishes|Painting|Primer coat|Alkali resistant primer, 1 coat</t>
  </si>
  <si>
    <t>Interior Wall Finishes|Wall tiling|Wall tiling|Wall tile Size 0.6x0.6m,Height 1.2m, at cooridor</t>
  </si>
  <si>
    <t>Interior Wall Finishes|Wall tiling|Toilet Wall tile|Toilet Wall tile Size 0.3x0.6m incl. adhesive and grout</t>
  </si>
  <si>
    <t>Interior Wall Finishes|Wall cladding|Wall cladding|Decorative wall cladding panel incl. sub-frame and fixing</t>
  </si>
  <si>
    <t>Interior Wall Finishes|Wall cladding|Acoustic panel|Acoustic wall panel incl. sub-frame and fixing</t>
  </si>
  <si>
    <t>Interior Wall Finishes|Wall cladding|Wallpaper|Vinyl wallpaper incl. adhesive and surface preparation</t>
  </si>
  <si>
    <t>Interior Wall Finishes|Wall cladding|Mirror|Silver mirror 5mm thk. incl. backing and fixing</t>
  </si>
  <si>
    <t>Interior Wall Finishes|Skirting|Skirting|Tile / cement skirting 100mm high incl. adhesive and grout</t>
  </si>
  <si>
    <t>Interior Floor Finishes|Screeding|Screeding|Cement:sand screed 1:3, 40mm thk. steel trowel finish</t>
  </si>
  <si>
    <t>Interior Floor Finishes|Screeding|Self-levelling screed|Self-levelling screed 5mm thk. to receive floor finish</t>
  </si>
  <si>
    <t>Interior Floor Finishes|Floor tiling|Floor tiling|Floor tile Size 0.3x0.3m incl. adhesive and grout</t>
  </si>
  <si>
    <t>Interior Floor Finishes|Floor tiling|Floor tiling|Floor tile Size 0.6x0.6m incl. adhesive and grout</t>
  </si>
  <si>
    <t>Interior Floor Finishes|Floor tiling|Toilet Floor tile|Toilet Floor tile Size 0.3x0.3m, anti-slip, incl. adhesive and grout</t>
  </si>
  <si>
    <t>Interior Floor Finishes|Floor tiling|Homogeneous tile|Homogeneous tile 600x600mm incl. adhesive and grout</t>
  </si>
  <si>
    <t>Interior Floor Finishes|Stone flooring|Marble on staircase|Marble on staircase</t>
  </si>
  <si>
    <t>Interior Floor Finishes|Stone flooring|Marble flooring|Marble slab flooring 20mm thk. incl. bedding, polishing and sealing</t>
  </si>
  <si>
    <t>Interior Floor Finishes|Stone flooring|Granite flooring|Granite slab flooring 20mm thk. incl. bedding and polishing</t>
  </si>
  <si>
    <t>Interior Floor Finishes|Resilient flooring|Vinyl flooring|Homogeneous vinyl sheet flooring 2mm thk. incl. adhesive and welding rod</t>
  </si>
  <si>
    <t>Interior Floor Finishes|Resilient flooring|Epoxy flooring|Epoxy floor coating, self-levelling 2mm thk. incl. primer</t>
  </si>
  <si>
    <t>Interior Floor Finishes|Resilient flooring|Wooden flooring|Engineered timber flooring incl. underlay and skirting</t>
  </si>
  <si>
    <t>Interior Floor Finishes|Resilient flooring|Carpet|Carpet tile 500x500mm incl. adhesive</t>
  </si>
  <si>
    <t>Interior Floor Finishes|Resilient flooring|Raised floor|Raised access floor 600x600mm panel incl. pedestal</t>
  </si>
  <si>
    <t>Interior Floor Finishes|Waterproofing|Waterproofing|Membrance sheet 2mm thk</t>
  </si>
  <si>
    <t>Interior Floor Finishes|Waterproofing|Waterproofing|Sika Waterproofing</t>
  </si>
  <si>
    <t>Interior Floor Finishes|Waterproofing|Waterproofing|Cementitious waterproofing, 2 coats, to wet area incl. up-turn 300mm</t>
  </si>
  <si>
    <t>Interior Floor Finishes|Waterproofing|anti termite|anti termite</t>
  </si>
  <si>
    <t>Interior Floor Finishes|Floor accessories|Skirting|Tile / cement skirting 100mm high incl. adhesive and grout</t>
  </si>
  <si>
    <t>Interior Floor Finishes|Floor accessories|Stair nosing|Aluminium stair nosing with anti-slip insert</t>
  </si>
  <si>
    <t>Interior Floor Finishes|Floor accessories|Floor trim / divider|Aluminium floor trim / divider strip</t>
  </si>
  <si>
    <t>Ceiling Finishes|Suspended ceiling|Suspended ceiling|10mm Plasterboard with 600mm ceiling frame height</t>
  </si>
  <si>
    <t>Ceiling Finishes|Suspended ceiling|Gypsum board ceiling|Gypsum board ceiling 9mm thk. on metal furring incl. jointing</t>
  </si>
  <si>
    <t>Ceiling Finishes|Suspended ceiling|Cement board ceiling|Fibre cement board ceiling 4.5mm thk. on metal furring</t>
  </si>
  <si>
    <t>Ceiling Finishes|Acoustic ceiling|Acoustic ceiling tile|Acoustic ceiling tile 600x600mm on exposed T-grid</t>
  </si>
  <si>
    <t>Ceiling Finishes|Acoustic ceiling|Mineral fibre ceiling|Mineral fibre ceiling board 600x1200mm on T-grid system</t>
  </si>
  <si>
    <t>Ceiling Finishes|Metal ceiling|Aluminium strip ceiling|Aluminium strip ceiling incl. carrier and trim</t>
  </si>
  <si>
    <t>Ceiling Finishes|Metal ceiling|Metal grid ceiling|Metal open grid ceiling incl. suspension system</t>
  </si>
  <si>
    <t>Ceiling Finishes|Ceiling accessories|Ceiling access panel|Ceiling access panel 600x600mm incl. frame and lock</t>
  </si>
  <si>
    <t>Ceiling Finishes|Ceiling accessories|Cornice|Gypsum cornice incl. fixing and jointing</t>
  </si>
  <si>
    <t>Ceiling Finishes|Ceiling accessories|Bulkhead|Ceiling bulkhead incl. framing, board and jointing</t>
  </si>
  <si>
    <t>Ceiling Finishes|Ceiling accessories|Ceiling painting|Ceiling painting, primer + 2 coats emulsion</t>
  </si>
  <si>
    <t>Ceiling Finishes|Ceiling accessories|Curtain box|Curtain box / pelmet incl. framing and finishing</t>
  </si>
  <si>
    <t>Fittings, furnishings and equipment|General Fitting|Toilet accessories|Toilet accessories set: paper holder, soap dispenser, coat hook, grab bar</t>
  </si>
  <si>
    <t>Fittings, furnishings and equipment|General Fitting|Mirror|Silver mirror 5mm thk. incl. backing and fixing</t>
  </si>
  <si>
    <t>Fittings, furnishings and equipment|General Fitting|Counter top|Solid surface counter top 12mm thk. incl. support and sealing</t>
  </si>
  <si>
    <t>Fittings, furnishings and equipment|General Fitting|Locker|Steel locker unit incl. lock and fixing</t>
  </si>
  <si>
    <t>Fittings, furnishings and equipment|General Fitting|Shelving|Melamine faced shelving incl. bracket and fixing</t>
  </si>
  <si>
    <t>Fittings, furnishings and equipment|General Fitting|Blind &amp; curtain|Roller blind / curtain incl. track and bracket</t>
  </si>
  <si>
    <t>Fittings, furnishings and equipment|General Fitting|White board|Magnetic white board incl. frame and fixing</t>
  </si>
  <si>
    <t>Fittings, furnishings and equipment|Kitchen Fitting|Kitchen cabinet|Kitchen cabinet, melamine faced carcass incl. hardware</t>
  </si>
  <si>
    <t>Fittings, furnishings and equipment|Kitchen Fitting|Counter top|Solid surface counter top 12mm thk. incl. support and sealing</t>
  </si>
  <si>
    <t>Fittings, furnishings and equipment|Kitchen Fitting|Sink|Stainless steel sink incl. tap, waste and P-trap</t>
  </si>
  <si>
    <t>Fittings, furnishings and equipment|Special purpose Fitting|Laboratory bench|Laboratory bench with chemical resistant top incl. base cabinet</t>
  </si>
  <si>
    <t>Fittings, furnishings and equipment|Special purpose Fitting|Library shelving|Library shelving unit incl. fixing</t>
  </si>
  <si>
    <t>Fittings, furnishings and equipment|Special purpose Fitting|Sport / gym equipment|Sport / gymnasium equipment as per schedule</t>
  </si>
  <si>
    <t>Fittings, furnishings and equipment|Signage|Signage|Signage</t>
  </si>
  <si>
    <t>Fittings, furnishings and equipment|Signage|External round logo|External round logo include framing</t>
  </si>
  <si>
    <t>lot</t>
  </si>
  <si>
    <t>Fittings, furnishings and equipment|Signage|Khmer and Chinese text|Khmer and chinesse text</t>
  </si>
  <si>
    <t>Fittings, furnishings and equipment|Signage|Wayfinding sign|Wayfinding directional sign incl. frame and fixing</t>
  </si>
  <si>
    <t>Fittings, furnishings and equipment|Signage|Room sign|Room identification sign incl. fixing</t>
  </si>
  <si>
    <t>Fittings, furnishings and equipment|Signage|Statutory / safety sign|Statutory / safety signage incl. fixing</t>
  </si>
  <si>
    <t>Sanitary Installations|Sanitary ware|Water closet|Water closet, close-couple, vitreous china, incl. seat cover, cistern and connector</t>
  </si>
  <si>
    <t>Sanitary Installations|Sanitary ware|Wash basin|Wash basin, vitreous china, incl. tap, bottle trap, waste and bracket</t>
  </si>
  <si>
    <t>Sanitary Installations|Sanitary ware|Urinal|Urinal, vitreous china, incl. flush valve, waste and bracket</t>
  </si>
  <si>
    <t>Sanitary Installations|Sanitary ware|Shower set|Shower set incl. mixer, riser rail, hand shower and hose</t>
  </si>
  <si>
    <t>Sanitary Installations|Sanitary ware|Squat pan|Squat pan incl. flush pipe, connector and floor fixing</t>
  </si>
  <si>
    <t>Sanitary Installations|Sanitary ware|Sink|Stainless steel sink incl. tap, waste and P-trap</t>
  </si>
  <si>
    <t>Sanitary Installations|Sanitary fitting|Tap / faucet|Chromed brass tap / faucet incl. connector</t>
  </si>
  <si>
    <t>Sanitary Installations|Sanitary fitting|Flush valve|Flush valve, exposed type, incl. connector</t>
  </si>
  <si>
    <t>Sanitary Installations|Sanitary fitting|Angle valve|Chromed brass angle valve incl. flexible connector</t>
  </si>
  <si>
    <t>Sanitary Installations|Sanitary fitting|Floor drain|Stainless steel floor drain with removable grating</t>
  </si>
  <si>
    <t>Sanitary Installations|Sanitary fitting|Floor trap|Floor trap with water seal incl. grating</t>
  </si>
  <si>
    <t>Sanitary Installations|Sanitary fitting|Clean out|Clean out / rodding eye incl. cover</t>
  </si>
  <si>
    <t>Sanitary Installations|Sanitary accessories|Toilet paper holder|Stainless steel toilet paper holder incl. fixing</t>
  </si>
  <si>
    <t>Sanitary Installations|Sanitary accessories|Soap dispenser|Wall mounted soap dispenser incl. fixing</t>
  </si>
  <si>
    <t>Sanitary Installations|Sanitary accessories|Grab bar|Stainless steel grab bar for accessible toilet incl. fixing</t>
  </si>
  <si>
    <t>Sanitary Installations|Sanitary accessories|Hand dryer|Electric hand dryer incl. wiring connection</t>
  </si>
  <si>
    <t>AIR-CONDITIONAL SYSTEM|Split unit system|Wall mounted split unit|Wall mounted split type air conditioner incl. indoor unit, bracket and control</t>
  </si>
  <si>
    <t>AIR-CONDITIONAL SYSTEM|Split unit system|Cassette type unit|Ceiling cassette type air conditioner incl. panel and control</t>
  </si>
  <si>
    <t>AIR-CONDITIONAL SYSTEM|Split unit system|Outdoor condensing unit|Outdoor condensing unit incl. base, anti-vibration mount and wiring</t>
  </si>
  <si>
    <t>AIR-CONDITIONAL SYSTEM|VRF / VRV system|VRF indoor unit|VRF indoor unit incl. drain pump, control and commissioning</t>
  </si>
  <si>
    <t>AIR-CONDITIONAL SYSTEM|VRF / VRV system|VRF outdoor unit|VRF outdoor unit incl. base, anti-vibration mount and wiring</t>
  </si>
  <si>
    <t>AIR-CONDITIONAL SYSTEM|VRF / VRV system|Refnet joint|VRF refnet joint / header incl. insulation</t>
  </si>
  <si>
    <t>AIR-CONDITIONAL SYSTEM|Chilled water system|Chiller|Water cooled / air cooled chiller incl. base, connection and commissioning</t>
  </si>
  <si>
    <t>AIR-CONDITIONAL SYSTEM|Chilled water system|Air handling unit (AHU)|Air handling unit incl. filter, coil, fan, drain pan and control</t>
  </si>
  <si>
    <t>AIR-CONDITIONAL SYSTEM|Chilled water system|Fan coil unit (FCU)|Fan coil unit incl. filter, drain pan, valve and control</t>
  </si>
  <si>
    <t>AIR-CONDITIONAL SYSTEM|Chilled water system|Chilled water pump|Chilled water pump incl. base, coupling, valve and control</t>
  </si>
  <si>
    <t>AIR-CONDITIONAL SYSTEM|Chilled water system|Cooling tower|Cooling tower incl. base, make-up water and control</t>
  </si>
  <si>
    <t>AIR-CONDITIONAL SYSTEM|AC piping &amp; accessories|Refrigerant piping|Copper refrigerant piping incl. insulation, fitting and gas charging</t>
  </si>
  <si>
    <t>AIR-CONDITIONAL SYSTEM|AC piping &amp; accessories|Chilled water piping|Chilled water piping incl. valve, fitting, insulation and support</t>
  </si>
  <si>
    <t>AIR-CONDITIONAL SYSTEM|AC piping &amp; accessories|Condensate drain piping|Condensate drain piping uPVC incl. insulation, fitting and support</t>
  </si>
  <si>
    <t>AIR-CONDITIONAL SYSTEM|AC piping &amp; accessories|Pipe insulation|Closed cell / rockwool pipe insulation incl. vapour barrier and cladding</t>
  </si>
  <si>
    <t>AIR-CONDITIONAL SYSTEM|AC piping &amp; accessories|Thermostat / control|Room thermostat / wired controller incl. wiring</t>
  </si>
  <si>
    <t>MECHANICAL VENTILATION SYSTEM|Ventilation fan|Toilet exhaust fan|Toilet exhaust fan incl. bracket, damper and wiring</t>
  </si>
  <si>
    <t>MECHANICAL VENTILATION SYSTEM|Ventilation fan|Kitchen exhaust fan|Kitchen exhaust fan incl. bracket, damper and wiring</t>
  </si>
  <si>
    <t>MECHANICAL VENTILATION SYSTEM|Ventilation fan|Car park ventilation fan|Car park ventilation fan incl. support and wiring</t>
  </si>
  <si>
    <t>MECHANICAL VENTILATION SYSTEM|Ventilation fan|Fresh air fan|Fresh air supply fan incl. filter, damper and wiring</t>
  </si>
  <si>
    <t>MECHANICAL VENTILATION SYSTEM|Ventilation fan|Staircase pressurization fan|Staircase pressurization fan incl. relief damper and control</t>
  </si>
  <si>
    <t>MECHANICAL VENTILATION SYSTEM|Specialist ventilation|Kitchen hood|Stainless steel kitchen hood incl. grease filter and light</t>
  </si>
  <si>
    <t>MECHANICAL VENTILATION SYSTEM|Specialist ventilation|Smoke extraction fan|Smoke extraction fan, 250°C/2hr rated, incl. control</t>
  </si>
  <si>
    <t>MECHANICAL VENTILATION SYSTEM|Specialist ventilation|Laboratory fume hood|Laboratory fume hood incl. exhaust fan, duct and control</t>
  </si>
  <si>
    <t>MV DISTRIBUTION SYSTEM|Ductwork|GI ductwork|Galvanised iron ductwork incl. flange, gasket, support and sealing</t>
  </si>
  <si>
    <t>MV DISTRIBUTION SYSTEM|Ductwork|Flexible duct|Insulated flexible duct incl. clamp and connection</t>
  </si>
  <si>
    <t>MV DISTRIBUTION SYSTEM|Ductwork|Duct insulation|Duct thermal insulation incl. vapour barrier and finish</t>
  </si>
  <si>
    <t>MV DISTRIBUTION SYSTEM|Ductwork|Duct support|Duct hanger and support incl. anchor and rod</t>
  </si>
  <si>
    <t>MV DISTRIBUTION SYSTEM|Air terminal|Supply air diffuser|Supply air diffuser incl. plenum box and damper</t>
  </si>
  <si>
    <t>MV DISTRIBUTION SYSTEM|Air terminal|Return air grille|Return air grille incl. filter and frame</t>
  </si>
  <si>
    <t>MV DISTRIBUTION SYSTEM|Air terminal|Exhaust grille|Exhaust air grille incl. frame and damper</t>
  </si>
  <si>
    <t>MV DISTRIBUTION SYSTEM|Air terminal|Louver|Weather louver with bird screen incl. frame</t>
  </si>
  <si>
    <t>MV DISTRIBUTION SYSTEM|Damper &amp; control|Volume control damper|Volume control damper incl. actuator quadrant</t>
  </si>
  <si>
    <t>MV DISTRIBUTION SYSTEM|Damper &amp; control|Fire damper|Fire damper 2 hour rated incl. fusible link and access panel</t>
  </si>
  <si>
    <t>MV DISTRIBUTION SYSTEM|Damper &amp; control|Motorized damper|Motorized damper incl. actuator and wiring</t>
  </si>
  <si>
    <t>MV DISTRIBUTION SYSTEM|Damper &amp; control|Testing &amp; balancing|Air / water testing, adjusting and balancing incl. report</t>
  </si>
  <si>
    <t>ELECTRICAL SYSTEM|Main distribution|Main switchboard (MSB)|Main switchboard incl. ACB/MCCB, busbar, metering and testing</t>
  </si>
  <si>
    <t>ELECTRICAL SYSTEM|Main distribution|Sub-distribution board (DB)|Sub distribution board incl. MCB/RCBO, enclosure and labelling</t>
  </si>
  <si>
    <t>ELECTRICAL SYSTEM|Main distribution|Busduct / Busway|Busduct / busway incl. joint, support and tap-off unit</t>
  </si>
  <si>
    <t>ELECTRICAL SYSTEM|Main distribution|Transformer|Distribution transformer incl. base, connection and testing</t>
  </si>
  <si>
    <t>ELECTRICAL SYSTEM|Main distribution|Capacitor bank|Automatic power factor correction capacitor bank incl. controller</t>
  </si>
  <si>
    <t>ELECTRICAL SYSTEM|Main distribution|Metering panel|Metering panel incl. CT, meter and wiring</t>
  </si>
  <si>
    <t>ELECTRICAL SYSTEM|Cable &amp; containment|Power cable|XLPE/PVC power cable incl. termination, gland and lug</t>
  </si>
  <si>
    <t>ELECTRICAL SYSTEM|Cable &amp; containment|Control cable|Control cable incl. termination and gland</t>
  </si>
  <si>
    <t>ELECTRICAL SYSTEM|Cable &amp; containment|Cable tray|Hot dip galvanised cable tray incl. support, bend and accessories</t>
  </si>
  <si>
    <t>ELECTRICAL SYSTEM|Cable &amp; containment|Cable trunking|Metal cable trunking incl. cover, support and accessories</t>
  </si>
  <si>
    <t>ELECTRICAL SYSTEM|Cable &amp; containment|Conduit|uPVC / GI conduit incl. bend, coupling, box and support</t>
  </si>
  <si>
    <t>ELECTRICAL SYSTEM|Cable &amp; containment|Cable ladder|Cable ladder incl. support, bend and accessories</t>
  </si>
  <si>
    <t>ELECTRICAL SYSTEM|Power &amp; wiring accessories|Socket outlet|13A switched socket outlet point incl. wiring, conduit and accessories</t>
  </si>
  <si>
    <t>ELECTRICAL SYSTEM|Power &amp; wiring accessories|Switch|Lighting switch point incl. wiring, conduit and accessories</t>
  </si>
  <si>
    <t>ELECTRICAL SYSTEM|Power &amp; wiring accessories|Isolator|Weatherproof isolator incl. wiring and fixing</t>
  </si>
  <si>
    <t>ELECTRICAL SYSTEM|Power &amp; wiring accessories|Wiring point|Wiring point incl. cable, conduit and termination</t>
  </si>
  <si>
    <t>ELECTRICAL SYSTEM|Lighting|Interior luminaire|LED interior luminaire incl. lamp, driver, wiring and fixing</t>
  </si>
  <si>
    <t>ELECTRICAL SYSTEM|Lighting|Exterior luminaire|LED exterior / flood luminaire IP65 incl. pole/bracket and wiring</t>
  </si>
  <si>
    <t>ELECTRICAL SYSTEM|Lighting|Emergency light|LED emergency light with 3 hour battery backup incl. testing</t>
  </si>
  <si>
    <t>ELECTRICAL SYSTEM|Lighting|Exit sign|LED exit sign with battery backup incl. fixing and testing</t>
  </si>
  <si>
    <t>ELECTRICAL SYSTEM|Lighting|Lighting control / sensor|Occupancy / daylight sensor incl. wiring and commissioning</t>
  </si>
  <si>
    <t>ELECTRICAL SYSTEM|Earthing &amp; lightning protection|Earthing system|Earthing system incl. conductor, bonding and testing</t>
  </si>
  <si>
    <t>ELECTRICAL SYSTEM|Earthing &amp; lightning protection|Earth rod &amp; pit|Copper earth rod with inspection pit incl. clamp and testing</t>
  </si>
  <si>
    <t>ELECTRICAL SYSTEM|Earthing &amp; lightning protection|Lightning air terminal|Lightning air terminal incl. base, mast and connection</t>
  </si>
  <si>
    <t>ELECTRICAL SYSTEM|Earthing &amp; lightning protection|Down conductor|Lightning down conductor incl. clamp, tape and test joint</t>
  </si>
  <si>
    <t>ELECTRICAL SYSTEM|Standby power|Generator set|Diesel generator set incl. canopy, base, exhaust and commissioning</t>
  </si>
  <si>
    <t>ELECTRICAL SYSTEM|Standby power|Automatic transfer switch (ATS)|Automatic transfer switch incl. controller and wiring</t>
  </si>
  <si>
    <t>ELECTRICAL SYSTEM|Standby power|UPS|Uninterruptible power supply incl. battery, cabinet and commissioning</t>
  </si>
  <si>
    <t>ELECTRICAL SYSTEM|Standby power|Fuel tank &amp; piping|Diesel fuel tank incl. piping, valve, level gauge and bund</t>
  </si>
  <si>
    <t>ELV INSTALLATION|Fire alarm system|Fire alarm control panel|Addressable fire alarm control panel incl. battery and programming</t>
  </si>
  <si>
    <t>ELV INSTALLATION|Fire alarm system|Smoke / heat detector|Addressable smoke / heat detector incl. base and wiring</t>
  </si>
  <si>
    <t>ELV INSTALLATION|Fire alarm system|Manual call point|Manual call point incl. back box and wiring</t>
  </si>
  <si>
    <t>ELV INSTALLATION|Fire alarm system|Alarm bell / sounder|Alarm bell / sounder incl. wiring and testing</t>
  </si>
  <si>
    <t>ELV INSTALLATION|Security system|CCTV camera|IP CCTV camera incl. bracket, cabling and configuration</t>
  </si>
  <si>
    <t>ELV INSTALLATION|Security system|NVR / recorder|Network video recorder incl. hard disk, rack and configuration</t>
  </si>
  <si>
    <t>ELV INSTALLATION|Security system|Access control door|Door access control set incl. reader, EM lock, button and controller</t>
  </si>
  <si>
    <t>ELV INSTALLATION|Security system|Intercom|Audio / video intercom incl. wiring and commissioning</t>
  </si>
  <si>
    <t>ELV INSTALLATION|Communication system|Structured cabling outlet|Cat6 data outlet incl. cable, patch panel termination and testing</t>
  </si>
  <si>
    <t>ELV INSTALLATION|Communication system|Network switch / rack|Network switch and 19" rack incl. patch panel, PDU and accessories</t>
  </si>
  <si>
    <t>ELV INSTALLATION|Communication system|Telephone system|Telephone system incl. exchange, handset and cabling</t>
  </si>
  <si>
    <t>ELV INSTALLATION|Communication system|MATV / TV outlet|MATV / TV outlet incl. coaxial cable, splitter and termination</t>
  </si>
  <si>
    <t>ELV INSTALLATION|Communication system|WiFi access point|Wireless access point incl. PoE cabling and configuration</t>
  </si>
  <si>
    <t>ELV INSTALLATION|Audio visual &amp; school system|Public address (PA) system|Public address system incl. amplifier, mixer, microphone and zoning</t>
  </si>
  <si>
    <t>ELV INSTALLATION|Audio visual &amp; school system|Speaker|Ceiling / wall speaker incl. cabling and termination</t>
  </si>
  <si>
    <t>ELV INSTALLATION|Audio visual &amp; school system|Bell / clock system|School bell and master clock system incl. programming</t>
  </si>
  <si>
    <t>ELV INSTALLATION|Audio visual &amp; school system|Projector &amp; screen|Projector with motorized screen incl. mount, cabling and commissioning</t>
  </si>
  <si>
    <t>ELV INSTALLATION|Audio visual &amp; school system|Classroom AV system|Classroom audio visual system incl. panel, speaker and cabling</t>
  </si>
  <si>
    <t>ELV INSTALLATION|Building management|BMS control panel|Building management system panel incl. controller and graphics</t>
  </si>
  <si>
    <t>ELV INSTALLATION|Building management|Field device &amp; sensor|BMS field device / sensor incl. wiring and calibration</t>
  </si>
  <si>
    <t>PLUMBING SYSTEM|Water supply|Cold water piping|PPR / uPVC cold water piping incl. fitting, valve, support and testing</t>
  </si>
  <si>
    <t>PLUMBING SYSTEM|Water supply|Hot water piping|PPR hot water piping incl. insulation, fitting and testing</t>
  </si>
  <si>
    <t>PLUMBING SYSTEM|Water supply|Pipe insulation|Closed cell / rockwool pipe insulation incl. vapour barrier and cladding</t>
  </si>
  <si>
    <t>PLUMBING SYSTEM|Water supply|Valve &amp; fitting|Gate / check / ball valve incl. flange, gasket and bolt</t>
  </si>
  <si>
    <t>PLUMBING SYSTEM|Water supply|Water meter|Water meter incl. strainer, valve and connection</t>
  </si>
  <si>
    <t>PLUMBING SYSTEM|Water storage &amp; pump|Water tank|Water storage tank incl. base, level control, pipework and cleaning</t>
  </si>
  <si>
    <t>PLUMBING SYSTEM|Water storage &amp; pump|Transfer pump|Water transfer pump set incl. base, valve, control panel and wiring</t>
  </si>
  <si>
    <t>PLUMBING SYSTEM|Water storage &amp; pump|Booster pump|Booster pump set with pressure vessel incl. control panel</t>
  </si>
  <si>
    <t>PLUMBING SYSTEM|Water storage &amp; pump|Water heater|Electric water heater incl. safety valve, bracket and wiring</t>
  </si>
  <si>
    <t>PLUMBING SYSTEM|Water storage &amp; pump|Level control|Water level control system incl. electrode, relay and wiring</t>
  </si>
  <si>
    <t>PLUMBING SYSTEM|Drainage|Soil pipe|uPVC soil pipe incl. fitting, support, jointing and testing</t>
  </si>
  <si>
    <t>PLUMBING SYSTEM|Drainage|Waste pipe|uPVC waste pipe incl. fitting, trap, support and testing</t>
  </si>
  <si>
    <t>PLUMBING SYSTEM|Drainage|Vent pipe|uPVC vent pipe incl. fitting, cowl and support</t>
  </si>
  <si>
    <t>PLUMBING SYSTEM|Drainage|Rainwater downpipe|uPVC rainwater downpipe incl. fitting, bracket and shoe</t>
  </si>
  <si>
    <t>PLUMBING SYSTEM|Drainage|Manhole / inspection chamber|Manhole / inspection chamber incl. excavation, concrete, benching and cover</t>
  </si>
  <si>
    <t>PLUMBING SYSTEM|Drainage|Grease trap|Grease trap incl. excavation, installation, cover and connection</t>
  </si>
  <si>
    <t>PLUMBING SYSTEM|Sewage treatment|Septic tank (precast)|Precast septic tank incl. excavation, bedding, connection and backfill</t>
  </si>
  <si>
    <t>PLUMBING SYSTEM|Sewage treatment|Sewage treatment plant (STP)|Package sewage treatment plant incl. blower, control and commissioning</t>
  </si>
  <si>
    <t>PLUMBING SYSTEM|Sewage treatment|Sewer connection|Connection to public sewer incl. excavation, pipe, chamber and reinstatement</t>
  </si>
  <si>
    <t>FIRE FIGHTING SYSTEM|Hydrant &amp; hose reel|Fire hydrant|Fire hydrant / landing valve incl. cabinet, hose and accessories</t>
  </si>
  <si>
    <t>FIRE FIGHTING SYSTEM|Hydrant &amp; hose reel|Hose reel|Fire hose reel 30m incl. cabinet, nozzle and valve</t>
  </si>
  <si>
    <t>FIRE FIGHTING SYSTEM|Hydrant &amp; hose reel|Landing valve|Landing valve incl. cabinet and blank cap</t>
  </si>
  <si>
    <t>FIRE FIGHTING SYSTEM|Hydrant &amp; hose reel|Fire riser piping|Fire riser piping, galvanised steel, incl. fitting, support and testing</t>
  </si>
  <si>
    <t>FIRE FIGHTING SYSTEM|Sprinkler system|Sprinkler head|Pendent / upright sprinkler head incl. escutcheon and testing</t>
  </si>
  <si>
    <t>FIRE FIGHTING SYSTEM|Sprinkler system|Sprinkler piping|Sprinkler piping incl. fitting, hanger, support and hydrostatic testing</t>
  </si>
  <si>
    <t>FIRE FIGHTING SYSTEM|Sprinkler system|Alarm valve set|Sprinkler alarm valve set incl. gauge, drain and trim</t>
  </si>
  <si>
    <t>FIRE FIGHTING SYSTEM|Sprinkler system|Flow switch|Flow switch / tamper switch incl. wiring to fire alarm panel</t>
  </si>
  <si>
    <t>FIRE FIGHTING SYSTEM|Fire pump &amp; tank|Fire pump set|Fire pump set (electric + diesel + jockey) incl. controller and commissioning</t>
  </si>
  <si>
    <t>FIRE FIGHTING SYSTEM|Fire pump &amp; tank|Jockey pump|Jockey pump incl. pressure switch and control</t>
  </si>
  <si>
    <t>FIRE FIGHTING SYSTEM|Fire pump &amp; tank|Fire water tank|Fire water storage tank incl. base, level control and connection</t>
  </si>
  <si>
    <t>FIRE FIGHTING SYSTEM|Portable &amp; special suppression|Fire extinguisher|Portable fire extinguisher incl. bracket, sign and servicing</t>
  </si>
  <si>
    <t>FIRE FIGHTING SYSTEM|Portable &amp; special suppression|Fire blanket|Fire blanket incl. cabinet and fixing</t>
  </si>
  <si>
    <t>FIRE FIGHTING SYSTEM|Portable &amp; special suppression|FM200 / CO2 system|FM200 / CO2 clean agent suppression system incl. cylinder, nozzle and panel</t>
  </si>
  <si>
    <t>FIRE FIGHTING SYSTEM|Portable &amp; special suppression|Kitchen suppression system|Kitchen hood wet chemical suppression system incl. nozzle and control</t>
  </si>
  <si>
    <t>Specialist Installations|Renewable &amp; specialist|Solar PV system|Solar PV system incl. panel, inverter, mounting, cabling and commissioning</t>
  </si>
  <si>
    <t>Specialist Installations|Renewable &amp; specialist|Water treatment plant|Water treatment plant incl. filter, dosing, control and commissioning</t>
  </si>
  <si>
    <t>Specialist Installations|Renewable &amp; specialist|Swimming pool system|Swimming pool filtration system incl. pump, filter, dosing and control</t>
  </si>
  <si>
    <t>Specialist Installations|Renewable &amp; specialist|Kitchen equipment|Commercial kitchen equipment incl. connection and commissioning</t>
  </si>
  <si>
    <t>VERTICAL TRANSPORTATION SYSTEM|Lift|Passenger lift|Passenger lift, 1000kg / 13 person, incl. car, door, control and commissioning</t>
  </si>
  <si>
    <t>VERTICAL TRANSPORTATION SYSTEM|Lift|Service / goods lift|Service / goods lift incl. car, door, control and commissioning</t>
  </si>
  <si>
    <t>VERTICAL TRANSPORTATION SYSTEM|Lift|Firefighting lift|Firefighting lift incl. fireman switch, control and commissioning</t>
  </si>
  <si>
    <t>VERTICAL TRANSPORTATION SYSTEM|Lift|Platform / accessibility lift|Platform / accessibility lift incl. control and commissioning</t>
  </si>
  <si>
    <t>VERTICAL TRANSPORTATION SYSTEM|Escalator|Escalator|Escalator incl. truss, balustrade, control and commissioning</t>
  </si>
  <si>
    <t>VERTICAL TRANSPORTATION SYSTEM|Lift shaft equipment|Lift shaft ladder|Lift pit access ladder incl. fixing</t>
  </si>
  <si>
    <t>VERTICAL TRANSPORTATION SYSTEM|Lift shaft equipment|Shaft lighting &amp; socket|Lift shaft lighting and socket incl. wiring and switch</t>
  </si>
  <si>
    <t>VERTICAL TRANSPORTATION SYSTEM|Lift shaft equipment|Machine room equipment|Lift machine room equipment incl. ventilation, lighting and hoisting beam</t>
  </si>
  <si>
    <t>Services|Testing &amp; Commissioning|Testing &amp; commissioning|Testing, adjusting and commissioning of complete installation incl. report</t>
  </si>
  <si>
    <t>Services|Testing &amp; Commissioning|As-built drawing|As-built drawings incl. printing and soft copy submission</t>
  </si>
  <si>
    <t>Services|Testing &amp; Commissioning|O&amp;M manual|Operation and maintenance manual incl. warranty documents</t>
  </si>
  <si>
    <t>Services|Testing &amp; Commissioning|Training|Training of client operating personnel</t>
  </si>
  <si>
    <t>Services|Testing &amp; Commissioning|Spare parts|Recommended spare parts as per specification</t>
  </si>
  <si>
    <t>External Work|Site preparation|Site clearing|Site clearing; supply and lay complete incl. base preparation and jointing.</t>
  </si>
  <si>
    <t>External Work|Site preparation|Cut &amp; fill|Cut and fill to formation level incl. compaction</t>
  </si>
  <si>
    <t>External Work|Site preparation|Compaction|Compaction of formation to 95% MDD incl. watering and testing</t>
  </si>
  <si>
    <t>External Work|Roads, path, paving|Concrete paving|Reinforced concrete paving 150mm thk. incl. base, mesh and joint</t>
  </si>
  <si>
    <t>External Work|Roads, path, paving|Asphalt paving|Asphalt concrete wearing course 50mm thk. incl. prime coat and base</t>
  </si>
  <si>
    <t>External Work|Roads, path, paving|Interlocking paver|Interlocking concrete paver 60mm thk. incl. sand bedding and jointing</t>
  </si>
  <si>
    <t>External Work|Roads, path, paving|Kerb|Precast concrete kerb incl. bedding, haunching and jointing</t>
  </si>
  <si>
    <t>External Work|Roads, path, paving|Road marking|Thermoplastic road marking incl. surface preparation</t>
  </si>
  <si>
    <t>External Work|Roads, path, paving|Car park|Car park surfacing incl. marking, wheel stop and signage</t>
  </si>
  <si>
    <t>External Work|Landscape|Top soil|Approved top soil spread and levelled</t>
  </si>
  <si>
    <t>External Work|Landscape|Turfing|Turfing incl. top soil, fertiliser and watering to establishment</t>
  </si>
  <si>
    <t>External Work|Landscape|Tree &amp; shrub|Supply and plant tree / shrub incl. pit, soil mix, stake and maintenance</t>
  </si>
  <si>
    <t>External Work|Landscape|Planter|Planter box incl. waterproofing, drainage layer and soil</t>
  </si>
  <si>
    <t>External Work|Landscape|Irrigation system|Landscape irrigation system incl. piping, sprinkler, valve and controller</t>
  </si>
  <si>
    <t>External Work|Fence, railing &amp; wall|Boundary fence|Boundary fence incl. post, mesh/panel, foundation and painting</t>
  </si>
  <si>
    <t>External Work|Fence, railing &amp; wall|Main gate|Main entrance gate incl. frame, leaf, hardware, motor and painting</t>
  </si>
  <si>
    <t>External Work|Fence, railing &amp; wall|Guard rail|Steel guard rail incl. fabrication, painting and fixing</t>
  </si>
  <si>
    <t>External Work|Fence, railing &amp; wall|Boundary wall|Boundary wall incl. foundation, blockwork, plaster and paint</t>
  </si>
  <si>
    <t>External Work|External fixture|Flag pole|Flag pole incl. foundation, halyard and finishing</t>
  </si>
  <si>
    <t>External Work|External fixture|Bollard|Bollard incl. foundation and finishing</t>
  </si>
  <si>
    <t>External Work|External fixture|Bicycle rack|Bicycle rack incl. fixing to slab</t>
  </si>
  <si>
    <t>External Work|External fixture|Covered walkway|Covered walkway incl. steel structure, roofing and finishes</t>
  </si>
  <si>
    <t>External Work|External fixture|Guard house|Guard house incl. structure, finishes and services</t>
  </si>
  <si>
    <t>External Work|External fixture|Playground / sport court|Playground / sport court incl. surfacing, marking and equipment</t>
  </si>
  <si>
    <t>tile size (300x300)mm</t>
  </si>
  <si>
    <t>Interior Floor Finishes|Toilet Floor tile|Toilet Floor tile|tile size (300x300)mm</t>
  </si>
  <si>
    <t>tile size (300x600)mm</t>
  </si>
  <si>
    <t>Interior Wall Finishes|Toilet Wall tile|Toilet Wall tile|tile size (300x600)mm</t>
  </si>
  <si>
    <t>PRICE LIST LIBRARY — LABOR / MATERIAL RATE BUILD-UP</t>
  </si>
  <si>
    <t>STANDARD LABOR MARGIN</t>
  </si>
  <si>
    <t>Change these two cells to re-margin the whole library at once. Rate = Net Cost x (1 + Margin %).</t>
  </si>
  <si>
    <t>STANDARD MATERIAL MARGIN</t>
  </si>
  <si>
    <t>Status: "Priced" = rate from your project Price List.  "Benchmark" = Cambodia market estimate — obtain 3 quotations before submission.</t>
  </si>
  <si>
    <t>LABOR</t>
  </si>
  <si>
    <t>MATERIAL / SUPPLY &amp; FIX</t>
  </si>
  <si>
    <t>Item Code</t>
  </si>
  <si>
    <t>Labor Net Cost ($)</t>
  </si>
  <si>
    <t>Labor Margin (%)</t>
  </si>
  <si>
    <t>Labor Rate ($)</t>
  </si>
  <si>
    <t>Material Net Cost ($)</t>
  </si>
  <si>
    <t>Material Margin (%)</t>
  </si>
  <si>
    <t>Material Rate ($)</t>
  </si>
  <si>
    <t>Status</t>
  </si>
  <si>
    <t>Used in</t>
  </si>
  <si>
    <t>Basis / Source</t>
  </si>
  <si>
    <t>MatchKey</t>
  </si>
  <si>
    <t>src</t>
  </si>
  <si>
    <t>PL-001</t>
  </si>
  <si>
    <t>BENCHMARK (CAM market) — Clear/grub by machine; CAM labour+plant</t>
  </si>
  <si>
    <t>B</t>
  </si>
  <si>
    <t>PL-002</t>
  </si>
  <si>
    <t>BENCHMARK (CAM market) — Machine excavation; PP plant hire benchmark</t>
  </si>
  <si>
    <t>PL-003</t>
  </si>
  <si>
    <t>BENCHMARK (CAM market) — Layered fill + compaction</t>
  </si>
  <si>
    <t>PL-004</t>
  </si>
  <si>
    <t>BENCHMARK (CAM market) — Haul 15-25km + tipping</t>
  </si>
  <si>
    <t>PL-005</t>
  </si>
  <si>
    <t>BENCHMARK (CAM market) — Roller compaction to 95% MDD</t>
  </si>
  <si>
    <t>PL-006</t>
  </si>
  <si>
    <t>BENCHMARK (CAM market) — Pump, sump, piping for programme duration</t>
  </si>
  <si>
    <t>PL-007</t>
  </si>
  <si>
    <t>BENCHMARK (CAM market) — Survey team + instrument</t>
  </si>
  <si>
    <t>PL-008</t>
  </si>
  <si>
    <t>BENCHMARK (CAM market) — Hot rolled sheet pile ~$780/t delivered</t>
  </si>
  <si>
    <t>PL-009</t>
  </si>
  <si>
    <t>BENCHMARK (CAM market) — Vibro hammer + crane</t>
  </si>
  <si>
    <t>PL-010</t>
  </si>
  <si>
    <t>BENCHMARK (CAM market) — Extraction + void grouting</t>
  </si>
  <si>
    <t>PL-011</t>
  </si>
  <si>
    <t>BENCHMARK (CAM market) — Fabricated section, install + remove</t>
  </si>
  <si>
    <t>PL-012</t>
  </si>
  <si>
    <t>BENCHMARK (CAM market) — Drill, grout, stress, test</t>
  </si>
  <si>
    <t>PL-013</t>
  </si>
  <si>
    <t>BENCHMARK (CAM market) — Concrete+rebar+formwork per m</t>
  </si>
  <si>
    <t>PL-014</t>
  </si>
  <si>
    <t>BENCHMARK (CAM market) — Rig, casing, spoil removal D1000</t>
  </si>
  <si>
    <t>PL-015</t>
  </si>
  <si>
    <t>BENCHMARK (CAM market) — Rig, casing, spoil removal D800</t>
  </si>
  <si>
    <t>PL-016</t>
  </si>
  <si>
    <t>Ready-mix C35/30 +pump; CPAC list escalated 2026</t>
  </si>
  <si>
    <t>P</t>
  </si>
  <si>
    <t>PL-017</t>
  </si>
  <si>
    <t>PL-018</t>
  </si>
  <si>
    <t>BENCHMARK (CAM market) — Ready-mix C25 PP delivered</t>
  </si>
  <si>
    <t>PL-019</t>
  </si>
  <si>
    <t>BENCHMARK (CAM market) — Ready-mix C30 PP delivered</t>
  </si>
  <si>
    <t>PL-020</t>
  </si>
  <si>
    <t>Deformed bar ~$720/t; small dia +labour</t>
  </si>
  <si>
    <t>PL-021</t>
  </si>
  <si>
    <t>Deformed bar ~$720/t</t>
  </si>
  <si>
    <t>PL-022</t>
  </si>
  <si>
    <t>PL-023</t>
  </si>
  <si>
    <t>PL-024</t>
  </si>
  <si>
    <t>PL-025</t>
  </si>
  <si>
    <t>Deformed bar ~$720/t (large dia)</t>
  </si>
  <si>
    <t>PL-026</t>
  </si>
  <si>
    <t>PL-027</t>
  </si>
  <si>
    <t>Round mild bar ~$770/t</t>
  </si>
  <si>
    <t>PL-028</t>
  </si>
  <si>
    <t>BENCHMARK (CAM market) — Mild round bar ~$780/t</t>
  </si>
  <si>
    <t>PL-029</t>
  </si>
  <si>
    <t>Annealed tie wire ~$1.2/kg</t>
  </si>
  <si>
    <t>PL-030</t>
  </si>
  <si>
    <t>BENCHMARK (CAM market) — Mix, circulate, dispose</t>
  </si>
  <si>
    <t>PL-031</t>
  </si>
  <si>
    <t>Pile head breaking D1000 - own labour+breaker, est.</t>
  </si>
  <si>
    <t>PL-032</t>
  </si>
  <si>
    <t>Pile head breaking D800 - own labour+breaker, est.</t>
  </si>
  <si>
    <t>PL-033</t>
  </si>
  <si>
    <t>SLT specialist subcontract per pile, provisional</t>
  </si>
  <si>
    <t>PL-034</t>
  </si>
  <si>
    <t>SUBCONTRACT benchmark — PIT specialist subcontract</t>
  </si>
  <si>
    <t>PL-035</t>
  </si>
  <si>
    <t>Coring D1000 30m subcontract, provisional</t>
  </si>
  <si>
    <t>PL-036</t>
  </si>
  <si>
    <t>Coring D800 30m subcontract, provisional</t>
  </si>
  <si>
    <t>PL-037</t>
  </si>
  <si>
    <t>SUBCONTRACT benchmark — PDA specialist subcontract</t>
  </si>
  <si>
    <t>PL-038</t>
  </si>
  <si>
    <t>SUBCONTRACT benchmark — Kentledge static test subcontract</t>
  </si>
  <si>
    <t>PL-039</t>
  </si>
  <si>
    <t>SUBCONTRACT benchmark — Lab test per set</t>
  </si>
  <si>
    <t>PL-040</t>
  </si>
  <si>
    <t>BENCHMARK (CAM market) — Spun pile supply delivered</t>
  </si>
  <si>
    <t>PL-041</t>
  </si>
  <si>
    <t>BENCHMARK (CAM market) — Drop/hydraulic hammer + rig</t>
  </si>
  <si>
    <t>PL-042</t>
  </si>
  <si>
    <t>BENCHMARK (CAM market) — Full penetration weld + plate</t>
  </si>
  <si>
    <t>PL-043</t>
  </si>
  <si>
    <t>BENCHMARK (CAM market) — Breaker + labour</t>
  </si>
  <si>
    <t>PL-044</t>
  </si>
  <si>
    <t>Backfill incl. compaction, est. $/m3</t>
  </si>
  <si>
    <t>PL-045</t>
  </si>
  <si>
    <t>Cart-away + tipping, est. $/m3</t>
  </si>
  <si>
    <t>PL-046</t>
  </si>
  <si>
    <t>Machine excavation, est. $/m3</t>
  </si>
  <si>
    <t>PL-047</t>
  </si>
  <si>
    <t>Base compaction, est. $/m2</t>
  </si>
  <si>
    <t>PL-048</t>
  </si>
  <si>
    <t>Crushed stone base, est. $/m3</t>
  </si>
  <si>
    <t>PL-049</t>
  </si>
  <si>
    <t>Crushed stone base 150mm, as existing crush stone rate, est.</t>
  </si>
  <si>
    <t>PL-050</t>
  </si>
  <si>
    <t>Lean concrete C15; CPAC list escalated 2026</t>
  </si>
  <si>
    <t>PL-051</t>
  </si>
  <si>
    <t>Plywood formwork (cost per use)</t>
  </si>
  <si>
    <t>PL-052</t>
  </si>
  <si>
    <t>BENCHMARK (CAM market) — Special shape, higher labour</t>
  </si>
  <si>
    <t>PL-053</t>
  </si>
  <si>
    <t>BENCHMARK (CAM market) — Matches project formwork rate</t>
  </si>
  <si>
    <t>PL-054</t>
  </si>
  <si>
    <t>PVC waterstop 200mm supply+install, est.</t>
  </si>
  <si>
    <t>PL-055</t>
  </si>
  <si>
    <t>2mm waterproof membrane supply+apply, est.</t>
  </si>
  <si>
    <t>PL-056</t>
  </si>
  <si>
    <t>Sika cementitious/membrane WP to wet areas, supply+apply est.</t>
  </si>
  <si>
    <t>PL-057</t>
  </si>
  <si>
    <t>BENCHMARK (CAM market) — 2 coats + up-turn</t>
  </si>
  <si>
    <t>PL-058</t>
  </si>
  <si>
    <t>Anti-termite chemical + PE sheet, est.</t>
  </si>
  <si>
    <t>PL-059</t>
  </si>
  <si>
    <t>BENCHMARK (CAM market) — 0.15mm PE sheet</t>
  </si>
  <si>
    <t>PL-060</t>
  </si>
  <si>
    <t>BENCHMARK (CAM market) — Board to membrane</t>
  </si>
  <si>
    <t>PL-061</t>
  </si>
  <si>
    <t>BENCHMARK (CAM market) — Drainage board + filter fabric</t>
  </si>
  <si>
    <t>PL-062</t>
  </si>
  <si>
    <t>BENCHMARK (CAM market) — As rebar rate</t>
  </si>
  <si>
    <t>PL-063</t>
  </si>
  <si>
    <t>BENCHMARK (CAM market) — Base plate grouting</t>
  </si>
  <si>
    <t>PL-064</t>
  </si>
  <si>
    <t>BENCHMARK (CAM market) — Strand, duct, anchorage, stressing</t>
  </si>
  <si>
    <t>PL-065</t>
  </si>
  <si>
    <t>BENCHMARK (CAM market) — 0.75mm deck + shear stud</t>
  </si>
  <si>
    <t>PL-066</t>
  </si>
  <si>
    <t>BENCHMARK (CAM market) — SS400 ~$1.10/kg + fabrication</t>
  </si>
  <si>
    <t>PL-067</t>
  </si>
  <si>
    <t>BENCHMARK (CAM market) — Purlin fabricate + fix</t>
  </si>
  <si>
    <t>PL-068</t>
  </si>
  <si>
    <t>BENCHMARK (CAM market) — Bracing fabricate + erect</t>
  </si>
  <si>
    <t>PL-069</t>
  </si>
  <si>
    <t>BENCHMARK (CAM market) — Plate + drilling + welding</t>
  </si>
  <si>
    <t>PL-070</t>
  </si>
  <si>
    <t>BENCHMARK (CAM market) — Template, set, grout</t>
  </si>
  <si>
    <t>PL-071</t>
  </si>
  <si>
    <t>BENCHMARK (CAM market) — Grade 8.8 bolt set</t>
  </si>
  <si>
    <t>PL-072</t>
  </si>
  <si>
    <t>BENCHMARK (CAM market) — Welder + electrode + test</t>
  </si>
  <si>
    <t>PL-073</t>
  </si>
  <si>
    <t>BENCHMARK (CAM market) — Primer + finish to steelwork</t>
  </si>
  <si>
    <t>PL-074</t>
  </si>
  <si>
    <t>BENCHMARK (CAM market) — Galvanizing 85 micron, off-site</t>
  </si>
  <si>
    <t>PL-075</t>
  </si>
  <si>
    <t>BENCHMARK (CAM market) — 2 hour rating applied coating</t>
  </si>
  <si>
    <t>PL-076</t>
  </si>
  <si>
    <t>BENCHMARK (CAM market) — Truss fabricate + erect</t>
  </si>
  <si>
    <t>PL-077</t>
  </si>
  <si>
    <t>GI/zinc roof sheet 0.4mm supply+fix, est. NEW</t>
  </si>
  <si>
    <t>PL-078</t>
  </si>
  <si>
    <t>Bent metal flashing supply+fix, est. NEW</t>
  </si>
  <si>
    <t>PL-079</t>
  </si>
  <si>
    <t>SUBCONTRACT benchmark — NDT specialist subcontract</t>
  </si>
  <si>
    <t>PL-080</t>
  </si>
  <si>
    <t>BENCHMARK (CAM market) — Survey team + records</t>
  </si>
  <si>
    <t>PL-081</t>
  </si>
  <si>
    <t>BENCHMARK (CAM market) — As project 100mm brick rate</t>
  </si>
  <si>
    <t>PL-082</t>
  </si>
  <si>
    <t>Hollow clay brick wall 200mm thk, supply &amp; lay only (plaster excl.), PP est.</t>
  </si>
  <si>
    <t>PL-083</t>
  </si>
  <si>
    <t>Hollow clay brick wall 400mm thk, supply &amp; lay only (plaster excl.), PP est.</t>
  </si>
  <si>
    <t>PL-084</t>
  </si>
  <si>
    <t>Hollow clay brick wall 500mm thk, supply &amp; lay only (plaster excl.), PP est.</t>
  </si>
  <si>
    <t>PL-085</t>
  </si>
  <si>
    <t>Hollow clay brick wall 800mm thk, supply &amp; lay only (plaster excl.), PP est.</t>
  </si>
  <si>
    <t>PL-086</t>
  </si>
  <si>
    <t>BENCHMARK (CAM market) — Concrete block PP market</t>
  </si>
  <si>
    <t>PL-087</t>
  </si>
  <si>
    <t>PL-088</t>
  </si>
  <si>
    <t>PL-089</t>
  </si>
  <si>
    <t>BENCHMARK (CAM market) — AAC + thin-bed adhesive</t>
  </si>
  <si>
    <t>PL-090</t>
  </si>
  <si>
    <t>PL-091</t>
  </si>
  <si>
    <t>PL-092</t>
  </si>
  <si>
    <t>BENCHMARK (CAM market) — Panel supply + lift + set</t>
  </si>
  <si>
    <t>PL-093</t>
  </si>
  <si>
    <t>BENCHMARK (CAM market) — Sealant + backer rod</t>
  </si>
  <si>
    <t>PL-094</t>
  </si>
  <si>
    <t>Concrete block facade wall supply+lay, est.</t>
  </si>
  <si>
    <t>PL-095</t>
  </si>
  <si>
    <t>BENCHMARK (CAM market) — Generic facade allowance - confirm system</t>
  </si>
  <si>
    <t>PL-096</t>
  </si>
  <si>
    <t>BENCHMARK (CAM market) — Alu frame + 8mm tempered glass</t>
  </si>
  <si>
    <t>PL-097</t>
  </si>
  <si>
    <t>BENCHMARK (CAM market) — ACP 4mm PVDF + sub-frame</t>
  </si>
  <si>
    <t>PL-098</t>
  </si>
  <si>
    <t>BENCHMARK (CAM market) — Alu louver screen + frame</t>
  </si>
  <si>
    <t>PL-099</t>
  </si>
  <si>
    <t>2-coat 20mm cement:sand plaster; ~6kg cement+sand/m2; PP est.</t>
  </si>
  <si>
    <t>PL-100</t>
  </si>
  <si>
    <t>BENCHMARK (CAM market) — 1 coat 15mm; cement+sand PP</t>
  </si>
  <si>
    <t>PL-101</t>
  </si>
  <si>
    <t>BENCHMARK (CAM market) — 2 coats skim, sanded</t>
  </si>
  <si>
    <t>PL-102</t>
  </si>
  <si>
    <t>BENCHMARK (CAM market) — Formed cement molding</t>
  </si>
  <si>
    <t>PL-103</t>
  </si>
  <si>
    <t>Primer+2 coats emulsion/weathershield blended int/ext; PP mkt ~$4/m2 incl mat.</t>
  </si>
  <si>
    <t>PL-104</t>
  </si>
  <si>
    <t>BENCHMARK (CAM market) — Interior emulsion; PP mkt ~$4/m2</t>
  </si>
  <si>
    <t>PL-105</t>
  </si>
  <si>
    <t>BENCHMARK (CAM market) — Exterior weather-shield</t>
  </si>
  <si>
    <t>PL-106</t>
  </si>
  <si>
    <t>BENCHMARK (CAM market) — 1 coat primer</t>
  </si>
  <si>
    <t>PL-107</t>
  </si>
  <si>
    <t>BENCHMARK (CAM market) — Primer + 2 coats exterior</t>
  </si>
  <si>
    <t>PL-108</t>
  </si>
  <si>
    <t>Ceramic 600x600 wall tile to 1.2m dado incl adhesive/grout, est.</t>
  </si>
  <si>
    <t>PL-109</t>
  </si>
  <si>
    <t>BENCHMARK (CAM market) — Stone + adhesive + anchor</t>
  </si>
  <si>
    <t>PL-110</t>
  </si>
  <si>
    <t>BENCHMARK (CAM market) — Backer rod, sealant, cover profile</t>
  </si>
  <si>
    <t>PL-111</t>
  </si>
  <si>
    <t>PL-112</t>
  </si>
  <si>
    <t>BENCHMARK (CAM market) — Hollow metal door + frame + paint</t>
  </si>
  <si>
    <t>PL-113</t>
  </si>
  <si>
    <t>BENCHMARK (CAM market) — 2hr rated + closer + panic bar</t>
  </si>
  <si>
    <t>PL-114</t>
  </si>
  <si>
    <t>BENCHMARK (CAM market) — Alu frame + tempered glass</t>
  </si>
  <si>
    <t>PL-115</t>
  </si>
  <si>
    <t>BENCHMARK (CAM market) — Alu slider + track + lock</t>
  </si>
  <si>
    <t>PL-116</t>
  </si>
  <si>
    <t>BENCHMARK (CAM market) — 12mm glass + floor spring</t>
  </si>
  <si>
    <t>PL-117</t>
  </si>
  <si>
    <t>BENCHMARK (CAM market) — Alu frame + glass leaf</t>
  </si>
  <si>
    <t>PL-118</t>
  </si>
  <si>
    <t>BENCHMARK (CAM market) — GI shutter + guide rail</t>
  </si>
  <si>
    <t>PL-119</t>
  </si>
  <si>
    <t>BENCHMARK (CAM market) — Motor + control panel</t>
  </si>
  <si>
    <t>PL-120</t>
  </si>
  <si>
    <t>BENCHMARK (CAM market) — SS lever handle lockset</t>
  </si>
  <si>
    <t>PL-121</t>
  </si>
  <si>
    <t>BENCHMARK (CAM market) — Adjustable closer</t>
  </si>
  <si>
    <t>PL-122</t>
  </si>
  <si>
    <t>BENCHMARK (CAM market) — SS hinge 100mm</t>
  </si>
  <si>
    <t>PL-123</t>
  </si>
  <si>
    <t>BENCHMARK (CAM market) — Door stopper</t>
  </si>
  <si>
    <t>PL-124</t>
  </si>
  <si>
    <t>Aluminium frame + glass windoor supply &amp; install (fix $55 / slide $70 per m2), PP est.</t>
  </si>
  <si>
    <t>PL-125</t>
  </si>
  <si>
    <t>PL-126</t>
  </si>
  <si>
    <t>PL-127</t>
  </si>
  <si>
    <t>PL-128</t>
  </si>
  <si>
    <t>PL-129</t>
  </si>
  <si>
    <t>PL-130</t>
  </si>
  <si>
    <t>PL-131</t>
  </si>
  <si>
    <t>PL-132</t>
  </si>
  <si>
    <t>BENCHMARK (CAM market) — Alu windoor fix+slide, typical size</t>
  </si>
  <si>
    <t>PL-133</t>
  </si>
  <si>
    <t>BENCHMARK (CAM market) — Alu windoor fixed, typical size</t>
  </si>
  <si>
    <t>PL-134</t>
  </si>
  <si>
    <t>BENCHMARK (CAM market) — Regional benchmark $45-75/m2</t>
  </si>
  <si>
    <t>PL-135</t>
  </si>
  <si>
    <t>PL-136</t>
  </si>
  <si>
    <t>BENCHMARK (CAM market) — Casement + friction stay</t>
  </si>
  <si>
    <t>PL-137</t>
  </si>
  <si>
    <t>BENCHMARK (CAM market) — Alu louver + frame</t>
  </si>
  <si>
    <t>PL-138</t>
  </si>
  <si>
    <t>BENCHMARK (CAM market) — Steel louver + paint</t>
  </si>
  <si>
    <t>PL-139</t>
  </si>
  <si>
    <t>BENCHMARK (CAM market) — MS grille + paint</t>
  </si>
  <si>
    <t>PL-140</t>
  </si>
  <si>
    <t>BENCHMARK (CAM market) — Insect screen</t>
  </si>
  <si>
    <t>PL-141</t>
  </si>
  <si>
    <t>BENCHMARK (CAM market) — Formed sill</t>
  </si>
  <si>
    <t>PL-142</t>
  </si>
  <si>
    <t>BENCHMARK (CAM market) — 40mm screed, trowel finish</t>
  </si>
  <si>
    <t>PL-143</t>
  </si>
  <si>
    <t>BENCHMARK (CAM market) — 3kg/m2 + power trowel</t>
  </si>
  <si>
    <t>PL-144</t>
  </si>
  <si>
    <t>BENCHMARK (CAM market) — Ceramic 300x300 + adhesive</t>
  </si>
  <si>
    <t>PL-145</t>
  </si>
  <si>
    <t>BENCHMARK (CAM market) — Ceramic 600x600 + adhesive</t>
  </si>
  <si>
    <t>PL-146</t>
  </si>
  <si>
    <t>BENCHMARK (CAM market) — Anti-slip external tile</t>
  </si>
  <si>
    <t>PL-147</t>
  </si>
  <si>
    <t>BENCHMARK (CAM market) — Screed over membrane</t>
  </si>
  <si>
    <t>PL-148</t>
  </si>
  <si>
    <t>BENCHMARK (CAM market) — Soffit board + sub-frame</t>
  </si>
  <si>
    <t>PL-149</t>
  </si>
  <si>
    <t>BENCHMARK (CAM market) — Tile/stone to tread + riser</t>
  </si>
  <si>
    <t>PL-150</t>
  </si>
  <si>
    <t>BENCHMARK (CAM market) — Anti-slip ramp finish</t>
  </si>
  <si>
    <t>PL-151</t>
  </si>
  <si>
    <t>BENCHMARK (CAM market) — Nosing + anti-slip insert</t>
  </si>
  <si>
    <t>PL-152</t>
  </si>
  <si>
    <t>BENCHMARK (CAM market) — Accessibility tactile tile</t>
  </si>
  <si>
    <t>PL-153</t>
  </si>
  <si>
    <t>Steel pipe handrail H=1m fab+install+paint, est. $/m</t>
  </si>
  <si>
    <t>PL-154</t>
  </si>
  <si>
    <t>BENCHMARK (CAM market) — SS/glass balustrade H=1.1m</t>
  </si>
  <si>
    <t>PL-155</t>
  </si>
  <si>
    <t>BENCHMARK (CAM market) — MS rail + paint</t>
  </si>
  <si>
    <t>PL-156</t>
  </si>
  <si>
    <t>BENCHMARK (CAM market) — 0.47mm colour coated + accessories</t>
  </si>
  <si>
    <t>PL-157</t>
  </si>
  <si>
    <t>BENCHMARK (CAM market) — Tile + batten + ridge</t>
  </si>
  <si>
    <t>PL-158</t>
  </si>
  <si>
    <t>BENCHMARK (CAM market) — Polycarb sheet + fix</t>
  </si>
  <si>
    <t>PL-159</t>
  </si>
  <si>
    <t>BENCHMARK (CAM market) — Ridge cap + seal</t>
  </si>
  <si>
    <t>PL-160</t>
  </si>
  <si>
    <t>BENCHMARK (CAM market) — 3mm membrane + primer</t>
  </si>
  <si>
    <t>PL-161</t>
  </si>
  <si>
    <t>BENCHMARK (CAM market) — 50mm glasswool + foil</t>
  </si>
  <si>
    <t>PL-162</t>
  </si>
  <si>
    <t>BENCHMARK (CAM market) — PE vapour barrier sheet</t>
  </si>
  <si>
    <t>PL-163</t>
  </si>
  <si>
    <t>BENCHMARK (CAM market) — Gutter + bracket + outlet</t>
  </si>
  <si>
    <t>PL-164</t>
  </si>
  <si>
    <t>BENCHMARK (CAM market) — Downpipe + bracket</t>
  </si>
  <si>
    <t>PL-165</t>
  </si>
  <si>
    <t>BENCHMARK (CAM market) — Roof drain + dome grating</t>
  </si>
  <si>
    <t>PL-166</t>
  </si>
  <si>
    <t>BENCHMARK (CAM market) — Laminated glass + alu frame</t>
  </si>
  <si>
    <t>PL-167</t>
  </si>
  <si>
    <t>BENCHMARK (CAM market) — Hatch + frame + lock</t>
  </si>
  <si>
    <t>PL-168</t>
  </si>
  <si>
    <t>BENCHMARK (CAM market) — Cat ladder + safety hoop</t>
  </si>
  <si>
    <t>PL-169</t>
  </si>
  <si>
    <t>BENCHMARK (CAM market) — Terminal base + fixing</t>
  </si>
  <si>
    <t>PL-170</t>
  </si>
  <si>
    <t>Hollow clay brick wall 100mm thk, supply &amp; lay only (plaster excl.), PP est.</t>
  </si>
  <si>
    <t>PL-171</t>
  </si>
  <si>
    <t>BENCHMARK (CAM market) — As project 200mm brick rate</t>
  </si>
  <si>
    <t>PL-172</t>
  </si>
  <si>
    <t>BENCHMARK (CAM market) — 2x12mm both sides + stud</t>
  </si>
  <si>
    <t>PL-173</t>
  </si>
  <si>
    <t>BENCHMARK (CAM market) — 2x9mm both sides + stud</t>
  </si>
  <si>
    <t>PL-174</t>
  </si>
  <si>
    <t>BENCHMARK (CAM market) — Stud + track @600 c/c</t>
  </si>
  <si>
    <t>PL-175</t>
  </si>
  <si>
    <t>BENCHMARK (CAM market) — 50mm 60kg/m3</t>
  </si>
  <si>
    <t>PL-176</t>
  </si>
  <si>
    <t>BENCHMARK (CAM market) — 12mm glass + patch fitting</t>
  </si>
  <si>
    <t>PL-177</t>
  </si>
  <si>
    <t>BENCHMARK (CAM market) — Alu frame + 8mm glass</t>
  </si>
  <si>
    <t>PL-178</t>
  </si>
  <si>
    <t>BENCHMARK (CAM market) — Compact laminate 12mm + hardware</t>
  </si>
  <si>
    <t>PL-179</t>
  </si>
  <si>
    <t>BENCHMARK (CAM market) — Compact laminate divider</t>
  </si>
  <si>
    <t>PL-180</t>
  </si>
  <si>
    <t>Staircase steel handrail H=1m fab+install+paint (raked), est. $/m</t>
  </si>
  <si>
    <t>PL-181</t>
  </si>
  <si>
    <t>BENCHMARK (CAM market) — Crash rail + bracket</t>
  </si>
  <si>
    <t>PL-182</t>
  </si>
  <si>
    <t>Solid timber door+frame supply &amp; install, PP est. ($210/pc)</t>
  </si>
  <si>
    <t>PL-183</t>
  </si>
  <si>
    <t>Solid timber door+frame supply &amp; install, PP est. ($110/pc)</t>
  </si>
  <si>
    <t>PL-184</t>
  </si>
  <si>
    <t>Solid timber door+frame supply &amp; install, PP est. ($120/pc)</t>
  </si>
  <si>
    <t>PL-185</t>
  </si>
  <si>
    <t>BENCHMARK (CAM market) — Timber double leaf + frame</t>
  </si>
  <si>
    <t>PL-186</t>
  </si>
  <si>
    <t>BENCHMARK (CAM market) — Timber door + frame + paint</t>
  </si>
  <si>
    <t>PL-187</t>
  </si>
  <si>
    <t>PL-188</t>
  </si>
  <si>
    <t>BENCHMARK (CAM market) — Solid core + laminate finish</t>
  </si>
  <si>
    <t>PL-189</t>
  </si>
  <si>
    <t>PVC door leaf+frame supply &amp; install, PP est. ($40/pc)</t>
  </si>
  <si>
    <t>PL-190</t>
  </si>
  <si>
    <t>PVC door leaf+frame supply &amp; install, PP est. ($45/pc)</t>
  </si>
  <si>
    <t>PL-191</t>
  </si>
  <si>
    <t>PVC door leaf+frame supply &amp; install, PP est. ($50/pc)</t>
  </si>
  <si>
    <t>PL-192</t>
  </si>
  <si>
    <t>BENCHMARK (CAM market) — PVC leaf + frame</t>
  </si>
  <si>
    <t>PL-193</t>
  </si>
  <si>
    <t>PL-194</t>
  </si>
  <si>
    <t>PL-195</t>
  </si>
  <si>
    <t>Hollow-metal steel door+frame supply &amp; install, PP est. ($135/pc)</t>
  </si>
  <si>
    <t>PL-196</t>
  </si>
  <si>
    <t>BENCHMARK (CAM market) — 1hr rated + closer</t>
  </si>
  <si>
    <t>PL-197</t>
  </si>
  <si>
    <t>BENCHMARK (CAM market) — 12mm glass + floor spring + patch</t>
  </si>
  <si>
    <t>PL-198</t>
  </si>
  <si>
    <t>BENCHMARK (CAM market) — Panic bar to fire escape</t>
  </si>
  <si>
    <t>PL-199</t>
  </si>
  <si>
    <t>BENCHMARK (CAM market) — Interior alu window</t>
  </si>
  <si>
    <t>PL-200</t>
  </si>
  <si>
    <t>BENCHMARK (CAM market) — Interior louver</t>
  </si>
  <si>
    <t>PL-201</t>
  </si>
  <si>
    <t>BENCHMARK (CAM market) — LPG system + regulator + test</t>
  </si>
  <si>
    <t>PL-202</t>
  </si>
  <si>
    <t>BENCHMARK (CAM market) — Gas outlet + valve</t>
  </si>
  <si>
    <t>PL-203</t>
  </si>
  <si>
    <t>BENCHMARK (CAM market) — 300x600 wall tile + adhesive</t>
  </si>
  <si>
    <t>PL-204</t>
  </si>
  <si>
    <t>BENCHMARK (CAM market) — Cladding panel + sub-frame</t>
  </si>
  <si>
    <t>PL-205</t>
  </si>
  <si>
    <t>BENCHMARK (CAM market) — Acoustic panel + frame</t>
  </si>
  <si>
    <t>PL-206</t>
  </si>
  <si>
    <t>BENCHMARK (CAM market) — Wallpaper + adhesive</t>
  </si>
  <si>
    <t>PL-207</t>
  </si>
  <si>
    <t>BENCHMARK (CAM market) — Mirror + backing + fix</t>
  </si>
  <si>
    <t>PL-208</t>
  </si>
  <si>
    <t>BENCHMARK (CAM market) — 100mm skirting</t>
  </si>
  <si>
    <t>PL-209</t>
  </si>
  <si>
    <t>BENCHMARK (CAM market) — 5mm SL screed</t>
  </si>
  <si>
    <t>PL-210</t>
  </si>
  <si>
    <t>PL-211</t>
  </si>
  <si>
    <t>BENCHMARK (CAM market) — Homogeneous 600x600</t>
  </si>
  <si>
    <t>PL-212</t>
  </si>
  <si>
    <t>Marble/granite treads &amp; risers supply+lay, mid-range, est.</t>
  </si>
  <si>
    <t>PL-213</t>
  </si>
  <si>
    <t>BENCHMARK (CAM market) — Marble 20mm + polish</t>
  </si>
  <si>
    <t>PL-214</t>
  </si>
  <si>
    <t>BENCHMARK (CAM market) — Granite 20mm + polish</t>
  </si>
  <si>
    <t>PL-215</t>
  </si>
  <si>
    <t>BENCHMARK (CAM market) — 2mm vinyl + welding rod</t>
  </si>
  <si>
    <t>PL-216</t>
  </si>
  <si>
    <t>BENCHMARK (CAM market) — 2mm self-levelling epoxy</t>
  </si>
  <si>
    <t>PL-217</t>
  </si>
  <si>
    <t>BENCHMARK (CAM market) — Timber + underlay</t>
  </si>
  <si>
    <t>PL-218</t>
  </si>
  <si>
    <t>BENCHMARK (CAM market) — 500x500 carpet tile</t>
  </si>
  <si>
    <t>PL-219</t>
  </si>
  <si>
    <t>BENCHMARK (CAM market) — 600x600 panel + pedestal</t>
  </si>
  <si>
    <t>PL-220</t>
  </si>
  <si>
    <t>Anti-termite chemical treatment, as existing rate</t>
  </si>
  <si>
    <t>PL-221</t>
  </si>
  <si>
    <t>BENCHMARK (CAM market) — Divider strip</t>
  </si>
  <si>
    <t>PL-222</t>
  </si>
  <si>
    <t>Gypsum 10mm susp. ceiling incl frame/drop 600mm, PP est.</t>
  </si>
  <si>
    <t>PL-223</t>
  </si>
  <si>
    <t>BENCHMARK (CAM market) — 9mm board + furring</t>
  </si>
  <si>
    <t>PL-224</t>
  </si>
  <si>
    <t>BENCHMARK (CAM market) — 4.5mm board + furring</t>
  </si>
  <si>
    <t>PL-225</t>
  </si>
  <si>
    <t>BENCHMARK (CAM market) — 600x600 on T-grid</t>
  </si>
  <si>
    <t>PL-226</t>
  </si>
  <si>
    <t>BENCHMARK (CAM market) — 600x1200 on T-grid</t>
  </si>
  <si>
    <t>PL-227</t>
  </si>
  <si>
    <t>BENCHMARK (CAM market) — Alu strip + carrier</t>
  </si>
  <si>
    <t>PL-228</t>
  </si>
  <si>
    <t>BENCHMARK (CAM market) — Open grid + suspension</t>
  </si>
  <si>
    <t>PL-229</t>
  </si>
  <si>
    <t>BENCHMARK (CAM market) — 600x600 panel + frame</t>
  </si>
  <si>
    <t>PL-230</t>
  </si>
  <si>
    <t>BENCHMARK (CAM market) — Cornice + fixing</t>
  </si>
  <si>
    <t>PL-231</t>
  </si>
  <si>
    <t>BENCHMARK (CAM market) — Framing + board + jointing</t>
  </si>
  <si>
    <t>PL-232</t>
  </si>
  <si>
    <t>PL-233</t>
  </si>
  <si>
    <t>BENCHMARK (CAM market) — Pelmet + finishing</t>
  </si>
  <si>
    <t>PL-234</t>
  </si>
  <si>
    <t>BENCHMARK (CAM market) — Holder, dispenser, hook, grab bar</t>
  </si>
  <si>
    <t>PL-235</t>
  </si>
  <si>
    <t>BENCHMARK (CAM market) — Mirror per leaf incl. backing</t>
  </si>
  <si>
    <t>PL-236</t>
  </si>
  <si>
    <t>BENCHMARK (CAM market) — 12mm solid surface + support</t>
  </si>
  <si>
    <t>PL-237</t>
  </si>
  <si>
    <t>BENCHMARK (CAM market) — Locker + lock</t>
  </si>
  <si>
    <t>PL-238</t>
  </si>
  <si>
    <t>BENCHMARK (CAM market) — Shelving + bracket</t>
  </si>
  <si>
    <t>PL-239</t>
  </si>
  <si>
    <t>BENCHMARK (CAM market) — Blind + track</t>
  </si>
  <si>
    <t>PL-240</t>
  </si>
  <si>
    <t>BENCHMARK (CAM market) — White board + frame</t>
  </si>
  <si>
    <t>PL-241</t>
  </si>
  <si>
    <t>BENCHMARK (CAM market) — Melamine carcass + hardware</t>
  </si>
  <si>
    <t>PL-242</t>
  </si>
  <si>
    <t>BENCHMARK (CAM market) — SS sink + tap + trap</t>
  </si>
  <si>
    <t>PL-243</t>
  </si>
  <si>
    <t>BENCHMARK (CAM market) — Chemical resistant top + cabinet</t>
  </si>
  <si>
    <t>PL-244</t>
  </si>
  <si>
    <t>BENCHMARK (CAM market) — Shelving unit</t>
  </si>
  <si>
    <t>PL-245</t>
  </si>
  <si>
    <t>BENCHMARK (CAM market) — Sport equipment allowance</t>
  </si>
  <si>
    <t>PL-246</t>
  </si>
  <si>
    <t>BENCHMARK (CAM market) — General signage allowance</t>
  </si>
  <si>
    <t>PL-247</t>
  </si>
  <si>
    <t>Signage logo fabricated incl steel framing, allowance subcontract</t>
  </si>
  <si>
    <t>PL-248</t>
  </si>
  <si>
    <t>BENCHMARK (CAM market) — Wayfinding sign + fix</t>
  </si>
  <si>
    <t>PL-249</t>
  </si>
  <si>
    <t>BENCHMARK (CAM market) — Room sign</t>
  </si>
  <si>
    <t>PL-250</t>
  </si>
  <si>
    <t>BENCHMARK (CAM market) — Safety sign</t>
  </si>
  <si>
    <t>PL-251</t>
  </si>
  <si>
    <t>BENCHMARK (CAM market) — WC + cistern + connector</t>
  </si>
  <si>
    <t>PL-252</t>
  </si>
  <si>
    <t>BENCHMARK (CAM market) — Basin + tap + trap</t>
  </si>
  <si>
    <t>PL-253</t>
  </si>
  <si>
    <t>BENCHMARK (CAM market) — Urinal + flush valve</t>
  </si>
  <si>
    <t>PL-254</t>
  </si>
  <si>
    <t>BENCHMARK (CAM market) — Mixer + riser + hand shower</t>
  </si>
  <si>
    <t>PL-255</t>
  </si>
  <si>
    <t>BENCHMARK (CAM market) — Squat pan + flush pipe</t>
  </si>
  <si>
    <t>PL-256</t>
  </si>
  <si>
    <t>BENCHMARK (CAM market) — Tap + connector</t>
  </si>
  <si>
    <t>PL-257</t>
  </si>
  <si>
    <t>BENCHMARK (CAM market) — Exposed flush valve</t>
  </si>
  <si>
    <t>PL-258</t>
  </si>
  <si>
    <t>BENCHMARK (CAM market) — Angle valve + flexi</t>
  </si>
  <si>
    <t>PL-259</t>
  </si>
  <si>
    <t>BENCHMARK (CAM market) — SS floor drain + grating</t>
  </si>
  <si>
    <t>PL-260</t>
  </si>
  <si>
    <t>BENCHMARK (CAM market) — Floor trap + grating</t>
  </si>
  <si>
    <t>PL-261</t>
  </si>
  <si>
    <t>BENCHMARK (CAM market) — Rodding eye + cover</t>
  </si>
  <si>
    <t>PL-262</t>
  </si>
  <si>
    <t>BENCHMARK (CAM market) — SS paper holder</t>
  </si>
  <si>
    <t>PL-263</t>
  </si>
  <si>
    <t>BENCHMARK (CAM market) — Soap dispenser</t>
  </si>
  <si>
    <t>PL-264</t>
  </si>
  <si>
    <t>BENCHMARK (CAM market) — Accessible grab bar</t>
  </si>
  <si>
    <t>PL-265</t>
  </si>
  <si>
    <t>BENCHMARK (CAM market) — Hand dryer + wiring</t>
  </si>
  <si>
    <t>PL-266</t>
  </si>
  <si>
    <t>BENCHMARK (CAM market) — Split AC indoor + bracket</t>
  </si>
  <si>
    <t>PL-267</t>
  </si>
  <si>
    <t>BENCHMARK (CAM market) — Cassette unit + panel</t>
  </si>
  <si>
    <t>PL-268</t>
  </si>
  <si>
    <t>BENCHMARK (CAM market) — CU + base + anti-vibration</t>
  </si>
  <si>
    <t>PL-269</t>
  </si>
  <si>
    <t>BENCHMARK (CAM market) — VRF indoor + control</t>
  </si>
  <si>
    <t>PL-270</t>
  </si>
  <si>
    <t>BENCHMARK (CAM market) — VRF outdoor + base</t>
  </si>
  <si>
    <t>PL-271</t>
  </si>
  <si>
    <t>BENCHMARK (CAM market) — Refnet + insulation</t>
  </si>
  <si>
    <t>PL-272</t>
  </si>
  <si>
    <t>SUBCONTRACT benchmark — Chiller specialist subcontract</t>
  </si>
  <si>
    <t>PL-273</t>
  </si>
  <si>
    <t>BENCHMARK (CAM market) — AHU + filter + coil</t>
  </si>
  <si>
    <t>PL-274</t>
  </si>
  <si>
    <t>BENCHMARK (CAM market) — FCU + valve + control</t>
  </si>
  <si>
    <t>PL-275</t>
  </si>
  <si>
    <t>BENCHMARK (CAM market) — Pump + base + valve</t>
  </si>
  <si>
    <t>PL-276</t>
  </si>
  <si>
    <t>BENCHMARK (CAM market) — Cooling tower + make-up</t>
  </si>
  <si>
    <t>PL-277</t>
  </si>
  <si>
    <t>BENCHMARK (CAM market) — Copper + insulation + gas</t>
  </si>
  <si>
    <t>PL-278</t>
  </si>
  <si>
    <t>BENCHMARK (CAM market) — CHW pipe + valve + insulation</t>
  </si>
  <si>
    <t>PL-279</t>
  </si>
  <si>
    <t>BENCHMARK (CAM market) — uPVC + insulation</t>
  </si>
  <si>
    <t>PL-280</t>
  </si>
  <si>
    <t>BENCHMARK (CAM market) — Insulation + cladding</t>
  </si>
  <si>
    <t>PL-281</t>
  </si>
  <si>
    <t>BENCHMARK (CAM market) — Thermostat + wiring</t>
  </si>
  <si>
    <t>PL-282</t>
  </si>
  <si>
    <t>BENCHMARK (CAM market) — Exhaust fan + damper</t>
  </si>
  <si>
    <t>PL-283</t>
  </si>
  <si>
    <t>BENCHMARK (CAM market) — Kitchen fan + damper</t>
  </si>
  <si>
    <t>PL-284</t>
  </si>
  <si>
    <t>BENCHMARK (CAM market) — Carpark fan + support</t>
  </si>
  <si>
    <t>PL-285</t>
  </si>
  <si>
    <t>BENCHMARK (CAM market) — Fresh air fan + filter</t>
  </si>
  <si>
    <t>PL-286</t>
  </si>
  <si>
    <t>BENCHMARK (CAM market) — Pressurization fan + damper</t>
  </si>
  <si>
    <t>PL-287</t>
  </si>
  <si>
    <t>BENCHMARK (CAM market) — SS hood + grease filter</t>
  </si>
  <si>
    <t>PL-288</t>
  </si>
  <si>
    <t>BENCHMARK (CAM market) — 250C/2hr rated fan</t>
  </si>
  <si>
    <t>PL-289</t>
  </si>
  <si>
    <t>BENCHMARK (CAM market) — Fume hood + fan + duct</t>
  </si>
  <si>
    <t>PL-290</t>
  </si>
  <si>
    <t>BENCHMARK (CAM market) — GI duct + flange + support</t>
  </si>
  <si>
    <t>PL-291</t>
  </si>
  <si>
    <t>BENCHMARK (CAM market) — Flex duct + clamp</t>
  </si>
  <si>
    <t>PL-292</t>
  </si>
  <si>
    <t>BENCHMARK (CAM market) — Duct insulation + finish</t>
  </si>
  <si>
    <t>PL-293</t>
  </si>
  <si>
    <t>BENCHMARK (CAM market) — Hanger, rod, anchor</t>
  </si>
  <si>
    <t>PL-294</t>
  </si>
  <si>
    <t>BENCHMARK (CAM market) — Diffuser + plenum + damper</t>
  </si>
  <si>
    <t>PL-295</t>
  </si>
  <si>
    <t>BENCHMARK (CAM market) — Return grille + filter</t>
  </si>
  <si>
    <t>PL-296</t>
  </si>
  <si>
    <t>BENCHMARK (CAM market) — Exhaust grille + damper</t>
  </si>
  <si>
    <t>PL-297</t>
  </si>
  <si>
    <t>BENCHMARK (CAM market) — Weather louver + screen</t>
  </si>
  <si>
    <t>PL-298</t>
  </si>
  <si>
    <t>BENCHMARK (CAM market) — VCD + quadrant</t>
  </si>
  <si>
    <t>PL-299</t>
  </si>
  <si>
    <t>BENCHMARK (CAM market) — 2hr fire damper + link</t>
  </si>
  <si>
    <t>PL-300</t>
  </si>
  <si>
    <t>BENCHMARK (CAM market) — Damper + actuator</t>
  </si>
  <si>
    <t>PL-301</t>
  </si>
  <si>
    <t>SUBCONTRACT benchmark — TAB specialist subcontract</t>
  </si>
  <si>
    <t>PL-302</t>
  </si>
  <si>
    <t>BENCHMARK (CAM market) — MSB + ACB/MCCB + metering</t>
  </si>
  <si>
    <t>PL-303</t>
  </si>
  <si>
    <t>BENCHMARK (CAM market) — DB + MCB/RCBO</t>
  </si>
  <si>
    <t>PL-304</t>
  </si>
  <si>
    <t>BENCHMARK (CAM market) — Busduct + joint + support</t>
  </si>
  <si>
    <t>PL-305</t>
  </si>
  <si>
    <t>BENCHMARK (CAM market) — Transformer + connection</t>
  </si>
  <si>
    <t>PL-306</t>
  </si>
  <si>
    <t>BENCHMARK (CAM market) — Capacitor bank + controller</t>
  </si>
  <si>
    <t>PL-307</t>
  </si>
  <si>
    <t>BENCHMARK (CAM market) — Metering panel + CT</t>
  </si>
  <si>
    <t>PL-308</t>
  </si>
  <si>
    <t>BENCHMARK (CAM market) — Cable + termination + gland</t>
  </si>
  <si>
    <t>PL-309</t>
  </si>
  <si>
    <t>BENCHMARK (CAM market) — Control cable + gland</t>
  </si>
  <si>
    <t>PL-310</t>
  </si>
  <si>
    <t>BENCHMARK (CAM market) — Tray + support + bend</t>
  </si>
  <si>
    <t>PL-311</t>
  </si>
  <si>
    <t>BENCHMARK (CAM market) — Trunking + cover</t>
  </si>
  <si>
    <t>PL-312</t>
  </si>
  <si>
    <t>BENCHMARK (CAM market) — Conduit + box + support</t>
  </si>
  <si>
    <t>PL-313</t>
  </si>
  <si>
    <t>BENCHMARK (CAM market) — Ladder + support</t>
  </si>
  <si>
    <t>PL-314</t>
  </si>
  <si>
    <t>BENCHMARK (CAM market) — Socket point + wiring</t>
  </si>
  <si>
    <t>PL-315</t>
  </si>
  <si>
    <t>BENCHMARK (CAM market) — Switch point + wiring</t>
  </si>
  <si>
    <t>PL-316</t>
  </si>
  <si>
    <t>BENCHMARK (CAM market) — Isolator + wiring</t>
  </si>
  <si>
    <t>PL-317</t>
  </si>
  <si>
    <t>BENCHMARK (CAM market) — Wiring point + conduit</t>
  </si>
  <si>
    <t>PL-318</t>
  </si>
  <si>
    <t>BENCHMARK (CAM market) — LED fitting + driver</t>
  </si>
  <si>
    <t>PL-319</t>
  </si>
  <si>
    <t>BENCHMARK (CAM market) — IP65 flood + bracket</t>
  </si>
  <si>
    <t>PL-320</t>
  </si>
  <si>
    <t>BENCHMARK (CAM market) — 3hr battery backup</t>
  </si>
  <si>
    <t>PL-321</t>
  </si>
  <si>
    <t>BENCHMARK (CAM market) — Exit sign + battery</t>
  </si>
  <si>
    <t>PL-322</t>
  </si>
  <si>
    <t>BENCHMARK (CAM market) — Sensor + commissioning</t>
  </si>
  <si>
    <t>PL-323</t>
  </si>
  <si>
    <t>BENCHMARK (CAM market) — Conductor + bonding + test</t>
  </si>
  <si>
    <t>PL-324</t>
  </si>
  <si>
    <t>BENCHMARK (CAM market) — Earth rod + pit</t>
  </si>
  <si>
    <t>PL-325</t>
  </si>
  <si>
    <t>BENCHMARK (CAM market) — Air terminal + mast</t>
  </si>
  <si>
    <t>PL-326</t>
  </si>
  <si>
    <t>BENCHMARK (CAM market) — Down conductor + clamp</t>
  </si>
  <si>
    <t>PL-327</t>
  </si>
  <si>
    <t>SUBCONTRACT benchmark — Genset specialist subcontract</t>
  </si>
  <si>
    <t>PL-328</t>
  </si>
  <si>
    <t>SUBCONTRACT benchmark — ATS specialist subcontract</t>
  </si>
  <si>
    <t>PL-329</t>
  </si>
  <si>
    <t>SUBCONTRACT benchmark — UPS specialist subcontract</t>
  </si>
  <si>
    <t>PL-330</t>
  </si>
  <si>
    <t>BENCHMARK (CAM market) — Tank + piping + bund</t>
  </si>
  <si>
    <t>PL-331</t>
  </si>
  <si>
    <t>BENCHMARK (CAM market) — FACP + battery + programming</t>
  </si>
  <si>
    <t>PL-332</t>
  </si>
  <si>
    <t>BENCHMARK (CAM market) — Detector + base</t>
  </si>
  <si>
    <t>PL-333</t>
  </si>
  <si>
    <t>BENCHMARK (CAM market) — MCP + back box</t>
  </si>
  <si>
    <t>PL-334</t>
  </si>
  <si>
    <t>BENCHMARK (CAM market) — Sounder + wiring</t>
  </si>
  <si>
    <t>PL-335</t>
  </si>
  <si>
    <t>BENCHMARK (CAM market) — IP camera + bracket</t>
  </si>
  <si>
    <t>PL-336</t>
  </si>
  <si>
    <t>BENCHMARK (CAM market) — NVR + hard disk</t>
  </si>
  <si>
    <t>PL-337</t>
  </si>
  <si>
    <t>BENCHMARK (CAM market) — Reader + EM lock + controller</t>
  </si>
  <si>
    <t>PL-338</t>
  </si>
  <si>
    <t>BENCHMARK (CAM market) — Intercom + wiring</t>
  </si>
  <si>
    <t>PL-339</t>
  </si>
  <si>
    <t>BENCHMARK (CAM market) — Cat6 + patch + test</t>
  </si>
  <si>
    <t>PL-340</t>
  </si>
  <si>
    <t>BENCHMARK (CAM market) — Switch + rack + PDU</t>
  </si>
  <si>
    <t>PL-341</t>
  </si>
  <si>
    <t>BENCHMARK (CAM market) — Exchange + handset</t>
  </si>
  <si>
    <t>PL-342</t>
  </si>
  <si>
    <t>BENCHMARK (CAM market) — Coax + splitter</t>
  </si>
  <si>
    <t>PL-343</t>
  </si>
  <si>
    <t>BENCHMARK (CAM market) — AP + PoE cabling</t>
  </si>
  <si>
    <t>PL-344</t>
  </si>
  <si>
    <t>BENCHMARK (CAM market) — Amplifier + mixer + zoning</t>
  </si>
  <si>
    <t>PL-345</t>
  </si>
  <si>
    <t>BENCHMARK (CAM market) — Speaker + cabling</t>
  </si>
  <si>
    <t>PL-346</t>
  </si>
  <si>
    <t>BENCHMARK (CAM market) — Bell + clock + programming</t>
  </si>
  <si>
    <t>PL-347</t>
  </si>
  <si>
    <t>BENCHMARK (CAM market) — Projector + screen + mount</t>
  </si>
  <si>
    <t>PL-348</t>
  </si>
  <si>
    <t>BENCHMARK (CAM market) — Panel + speaker + cabling</t>
  </si>
  <si>
    <t>PL-349</t>
  </si>
  <si>
    <t>BENCHMARK (CAM market) — BMS panel + graphics</t>
  </si>
  <si>
    <t>PL-350</t>
  </si>
  <si>
    <t>BENCHMARK (CAM market) — Sensor + calibration</t>
  </si>
  <si>
    <t>PL-351</t>
  </si>
  <si>
    <t>BENCHMARK (CAM market) — PPR + fitting + test</t>
  </si>
  <si>
    <t>PL-352</t>
  </si>
  <si>
    <t>BENCHMARK (CAM market) — PPR + insulation + test</t>
  </si>
  <si>
    <t>PL-353</t>
  </si>
  <si>
    <t>BENCHMARK (CAM market) — Valve + flange + bolt</t>
  </si>
  <si>
    <t>PL-354</t>
  </si>
  <si>
    <t>BENCHMARK (CAM market) — Meter + strainer + valve</t>
  </si>
  <si>
    <t>PL-355</t>
  </si>
  <si>
    <t>BENCHMARK (CAM market) — Tank + level control</t>
  </si>
  <si>
    <t>PL-356</t>
  </si>
  <si>
    <t>BENCHMARK (CAM market) — Pump + panel + wiring</t>
  </si>
  <si>
    <t>PL-357</t>
  </si>
  <si>
    <t>BENCHMARK (CAM market) — Booster + pressure vessel</t>
  </si>
  <si>
    <t>PL-358</t>
  </si>
  <si>
    <t>BENCHMARK (CAM market) — Heater + safety valve</t>
  </si>
  <si>
    <t>PL-359</t>
  </si>
  <si>
    <t>BENCHMARK (CAM market) — Electrode + relay</t>
  </si>
  <si>
    <t>PL-360</t>
  </si>
  <si>
    <t>BENCHMARK (CAM market) — Soil pipe + fitting + test</t>
  </si>
  <si>
    <t>PL-361</t>
  </si>
  <si>
    <t>BENCHMARK (CAM market) — Waste pipe + trap</t>
  </si>
  <si>
    <t>PL-362</t>
  </si>
  <si>
    <t>BENCHMARK (CAM market) — Vent pipe + cowl</t>
  </si>
  <si>
    <t>PL-363</t>
  </si>
  <si>
    <t>BENCHMARK (CAM market) — RWDP + bracket</t>
  </si>
  <si>
    <t>PL-364</t>
  </si>
  <si>
    <t>BENCHMARK (CAM market) — Chamber + benching + cover</t>
  </si>
  <si>
    <t>PL-365</t>
  </si>
  <si>
    <t>BENCHMARK (CAM market) — Grease trap + connection</t>
  </si>
  <si>
    <t>PL-366</t>
  </si>
  <si>
    <t>BENCHMARK (CAM market) — Septic tank + excavation</t>
  </si>
  <si>
    <t>PL-367</t>
  </si>
  <si>
    <t>SUBCONTRACT benchmark — STP specialist subcontract</t>
  </si>
  <si>
    <t>PL-368</t>
  </si>
  <si>
    <t>BENCHMARK (CAM market) — Excavate + pipe + reinstate</t>
  </si>
  <si>
    <t>PL-369</t>
  </si>
  <si>
    <t>BENCHMARK (CAM market) — Hydrant + cabinet + hose</t>
  </si>
  <si>
    <t>PL-370</t>
  </si>
  <si>
    <t>BENCHMARK (CAM market) — Hose reel 30m + cabinet</t>
  </si>
  <si>
    <t>PL-371</t>
  </si>
  <si>
    <t>BENCHMARK (CAM market) — Landing valve + cabinet</t>
  </si>
  <si>
    <t>PL-372</t>
  </si>
  <si>
    <t>BENCHMARK (CAM market) — GS pipe + fitting + test</t>
  </si>
  <si>
    <t>PL-373</t>
  </si>
  <si>
    <t>BENCHMARK (CAM market) — Sprinkler head + escutcheon</t>
  </si>
  <si>
    <t>PL-374</t>
  </si>
  <si>
    <t>BENCHMARK (CAM market) — Pipe + hanger + hydro test</t>
  </si>
  <si>
    <t>PL-375</t>
  </si>
  <si>
    <t>BENCHMARK (CAM market) — Alarm valve + trim</t>
  </si>
  <si>
    <t>PL-376</t>
  </si>
  <si>
    <t>BENCHMARK (CAM market) — Flow/tamper switch + wiring</t>
  </si>
  <si>
    <t>PL-377</t>
  </si>
  <si>
    <t>SUBCONTRACT benchmark — Fire pump specialist subcontract</t>
  </si>
  <si>
    <t>PL-378</t>
  </si>
  <si>
    <t>SUBCONTRACT benchmark — Jockey pump subcontract</t>
  </si>
  <si>
    <t>PL-379</t>
  </si>
  <si>
    <t>PL-380</t>
  </si>
  <si>
    <t>BENCHMARK (CAM market) — Extinguisher + bracket</t>
  </si>
  <si>
    <t>PL-381</t>
  </si>
  <si>
    <t>BENCHMARK (CAM market) — Blanket + cabinet</t>
  </si>
  <si>
    <t>PL-382</t>
  </si>
  <si>
    <t>SUBCONTRACT benchmark — Clean agent specialist subcontract</t>
  </si>
  <si>
    <t>PL-383</t>
  </si>
  <si>
    <t>SUBCONTRACT benchmark — Kitchen suppression subcontract</t>
  </si>
  <si>
    <t>PL-384</t>
  </si>
  <si>
    <t>SUBCONTRACT benchmark — Solar PV specialist subcontract</t>
  </si>
  <si>
    <t>PL-385</t>
  </si>
  <si>
    <t>SUBCONTRACT benchmark — WTP specialist subcontract</t>
  </si>
  <si>
    <t>PL-386</t>
  </si>
  <si>
    <t>SUBCONTRACT benchmark — Pool system subcontract</t>
  </si>
  <si>
    <t>PL-387</t>
  </si>
  <si>
    <t>SUBCONTRACT benchmark — Kitchen equipment subcontract</t>
  </si>
  <si>
    <t>PL-388</t>
  </si>
  <si>
    <t>SUBCONTRACT benchmark — 10-stop lift; mkt $28-65k installed</t>
  </si>
  <si>
    <t>PL-389</t>
  </si>
  <si>
    <t>SUBCONTRACT benchmark — Goods lift specialist subcontract</t>
  </si>
  <si>
    <t>PL-390</t>
  </si>
  <si>
    <t>SUBCONTRACT benchmark — Fireman lift specialist subcontract</t>
  </si>
  <si>
    <t>PL-391</t>
  </si>
  <si>
    <t>SUBCONTRACT benchmark — Platform lift subcontract</t>
  </si>
  <si>
    <t>PL-392</t>
  </si>
  <si>
    <t>SUBCONTRACT benchmark — Escalator specialist subcontract</t>
  </si>
  <si>
    <t>PL-393</t>
  </si>
  <si>
    <t>BENCHMARK (CAM market) — Pit ladder + fixing</t>
  </si>
  <si>
    <t>PL-394</t>
  </si>
  <si>
    <t>BENCHMARK (CAM market) — Shaft lighting + socket</t>
  </si>
  <si>
    <t>PL-395</t>
  </si>
  <si>
    <t>BENCHMARK (CAM market) — Ventilation + hoisting beam</t>
  </si>
  <si>
    <t>PL-396</t>
  </si>
  <si>
    <t>SUBCONTRACT benchmark — T&amp;C specialist subcontract</t>
  </si>
  <si>
    <t>PL-397</t>
  </si>
  <si>
    <t>BENCHMARK (CAM market) — Drafting + printing</t>
  </si>
  <si>
    <t>PL-398</t>
  </si>
  <si>
    <t>BENCHMARK (CAM market) — O&amp;M compilation</t>
  </si>
  <si>
    <t>PL-399</t>
  </si>
  <si>
    <t>BENCHMARK (CAM market) — Client operator training</t>
  </si>
  <si>
    <t>PL-400</t>
  </si>
  <si>
    <t>BENCHMARK (CAM market) — Spare parts per specification</t>
  </si>
  <si>
    <t>PL-401</t>
  </si>
  <si>
    <t>PL-402</t>
  </si>
  <si>
    <t>BENCHMARK (CAM market) — Site formation earthwork</t>
  </si>
  <si>
    <t>PL-403</t>
  </si>
  <si>
    <t>BENCHMARK (CAM market) — 150mm RC + mesh + base</t>
  </si>
  <si>
    <t>PL-404</t>
  </si>
  <si>
    <t>BENCHMARK (CAM market) — 50mm AC + prime coat</t>
  </si>
  <si>
    <t>PL-405</t>
  </si>
  <si>
    <t>BENCHMARK (CAM market) — 60mm paver + sand bed</t>
  </si>
  <si>
    <t>PL-406</t>
  </si>
  <si>
    <t>BENCHMARK (CAM market) — Kerb + bedding + haunch</t>
  </si>
  <si>
    <t>PL-407</t>
  </si>
  <si>
    <t>BENCHMARK (CAM market) — Marking + preparation</t>
  </si>
  <si>
    <t>PL-408</t>
  </si>
  <si>
    <t>BENCHMARK (CAM market) — Surfacing + marking</t>
  </si>
  <si>
    <t>PL-409</t>
  </si>
  <si>
    <t>BENCHMARK (CAM market) — Top soil spread + level</t>
  </si>
  <si>
    <t>PL-410</t>
  </si>
  <si>
    <t>BENCHMARK (CAM market) — Turf + fertiliser + water</t>
  </si>
  <si>
    <t>PL-411</t>
  </si>
  <si>
    <t>BENCHMARK (CAM market) — Tree/shrub + pit + stake</t>
  </si>
  <si>
    <t>PL-412</t>
  </si>
  <si>
    <t>BENCHMARK (CAM market) — Planter + waterproofing + soil</t>
  </si>
  <si>
    <t>PL-413</t>
  </si>
  <si>
    <t>BENCHMARK (CAM market) — Piping + sprinkler + controller</t>
  </si>
  <si>
    <t>PL-414</t>
  </si>
  <si>
    <t>BENCHMARK (CAM market) — Post + panel + foundation</t>
  </si>
  <si>
    <t>PL-415</t>
  </si>
  <si>
    <t>BENCHMARK (CAM market) — Gate + hardware + motor</t>
  </si>
  <si>
    <t>PL-416</t>
  </si>
  <si>
    <t>BENCHMARK (CAM market) — Foundation + block + finish</t>
  </si>
  <si>
    <t>PL-417</t>
  </si>
  <si>
    <t>BENCHMARK (CAM market) — Pole + foundation + halyard</t>
  </si>
  <si>
    <t>PL-418</t>
  </si>
  <si>
    <t>BENCHMARK (CAM market) — Bollard + foundation</t>
  </si>
  <si>
    <t>PL-419</t>
  </si>
  <si>
    <t>BENCHMARK (CAM market) — Rack + fixing</t>
  </si>
  <si>
    <t>PL-420</t>
  </si>
  <si>
    <t>BENCHMARK (CAM market) — Steel structure + roofing</t>
  </si>
  <si>
    <t>PL-421</t>
  </si>
  <si>
    <t>BENCHMARK (CAM market) — Structure + finishes + services</t>
  </si>
  <si>
    <t>PL-422</t>
  </si>
  <si>
    <t>BENCHMARK (CAM market) — Surfacing + marking + equipment</t>
  </si>
  <si>
    <t>PL-423</t>
  </si>
  <si>
    <t>Ceramic floor tile 300x300 supply &amp; lay incl adhesive/grout, PP est.</t>
  </si>
  <si>
    <t>PL-424</t>
  </si>
  <si>
    <t>Ceramic wall tile 300x600 supply &amp; lay incl adhesive/grout, PP est.</t>
  </si>
  <si>
    <t>PL-425</t>
  </si>
  <si>
    <t>Steel pipe D49x2 + primer/paint, est.</t>
  </si>
  <si>
    <t>PL-426</t>
  </si>
  <si>
    <t>Rebar lab testing per lot subcontract, provisional</t>
  </si>
  <si>
    <t>PL-427</t>
  </si>
  <si>
    <t>Anchor bolt M12x600 supply+set, est. NEW</t>
  </si>
  <si>
    <t>PL-428</t>
  </si>
  <si>
    <t>MS plate ~4.3kg @~$1.1/kg +fab, est. NEW</t>
  </si>
  <si>
    <t>PL-429</t>
  </si>
  <si>
    <t>12mm sag rod supply+install, est. NEW</t>
  </si>
  <si>
    <t>PL-430</t>
  </si>
  <si>
    <t>MS channel 100x50x5 ~7.5kg/m +fab/erect, est. NEW</t>
  </si>
  <si>
    <t>PL-431</t>
  </si>
  <si>
    <t>RHS 100x50x2 ~4.7kg/m +fab/erect, est. NEW</t>
  </si>
  <si>
    <t>PL-432</t>
  </si>
  <si>
    <t>Building name signage Khmer+Chinese text, lot allowance subcontract</t>
  </si>
  <si>
    <t>PRELIMINARIES LIBRARY (Z) — TIME-RELATED, FIXED &amp; QUANTITY-RELATED COST</t>
  </si>
  <si>
    <t>PROGRAMME DURATION (months)</t>
  </si>
  <si>
    <t>Change the duration once — every Time-related item re-calculates. This single cell is the biggest driver of preliminaries cost.</t>
  </si>
  <si>
    <t>STANDARD PRELIM MARGIN</t>
  </si>
  <si>
    <t>Margin normally 0% here: preliminaries are carried at cost and overhead / profit is added on the Tender Cover.</t>
  </si>
  <si>
    <t>Description</t>
  </si>
  <si>
    <t>Cost Type</t>
  </si>
  <si>
    <t>Include (Y/N)</t>
  </si>
  <si>
    <t>Qty</t>
  </si>
  <si>
    <t>Net Cost ($)</t>
  </si>
  <si>
    <t>Margin (%)</t>
  </si>
  <si>
    <t>Rate ($)</t>
  </si>
  <si>
    <t>Amount ($)</t>
  </si>
  <si>
    <t>PR-001</t>
  </si>
  <si>
    <t>Z.01.01</t>
  </si>
  <si>
    <t>Contractor's Preliminaries / Design / Other</t>
  </si>
  <si>
    <t>Temporary Works</t>
  </si>
  <si>
    <t>Site Preparation</t>
  </si>
  <si>
    <t>Site clearing and grubbing before mobilization</t>
  </si>
  <si>
    <t>Item</t>
  </si>
  <si>
    <t>Fixed lump sum</t>
  </si>
  <si>
    <t>Y</t>
  </si>
  <si>
    <t>Clear site prior to setting up</t>
  </si>
  <si>
    <t>PR-002</t>
  </si>
  <si>
    <t>Temporary access road and hardstanding</t>
  </si>
  <si>
    <t>Project rate Z.17</t>
  </si>
  <si>
    <t>PR-003</t>
  </si>
  <si>
    <t>Temporary laydown / stacking area formation</t>
  </si>
  <si>
    <t>Crushed stone laydown area</t>
  </si>
  <si>
    <t>PR-004</t>
  </si>
  <si>
    <t>Temporary drainage and site dewatering</t>
  </si>
  <si>
    <t>Month</t>
  </si>
  <si>
    <t>Time-related</t>
  </si>
  <si>
    <t>Pump, sump and discharge</t>
  </si>
  <si>
    <t>PR-005</t>
  </si>
  <si>
    <t>Washing bay / wheel wash for trucks</t>
  </si>
  <si>
    <t>Project rate Z.21</t>
  </si>
  <si>
    <t>PR-006</t>
  </si>
  <si>
    <t>Temporary sheet pile to site boundary, 6m depth</t>
  </si>
  <si>
    <t>Quantity-related</t>
  </si>
  <si>
    <t>N</t>
  </si>
  <si>
    <t>Project rate Z.22 — only if required</t>
  </si>
  <si>
    <t>PR-007</t>
  </si>
  <si>
    <t>Setting out, survey and benchmark establishment</t>
  </si>
  <si>
    <t>Project rate Z.09</t>
  </si>
  <si>
    <t xml:space="preserve">   Subtotal — Z.01.01 Site Preparation</t>
  </si>
  <si>
    <t>PR-008</t>
  </si>
  <si>
    <t>Z.01.02</t>
  </si>
  <si>
    <t>General Protection</t>
  </si>
  <si>
    <t>Temporary fencing and hoarding to site boundary</t>
  </si>
  <si>
    <t>Project rate Z.03</t>
  </si>
  <si>
    <t>PR-009</t>
  </si>
  <si>
    <t>Temporary site gate with lock</t>
  </si>
  <si>
    <t>Main and secondary gate</t>
  </si>
  <si>
    <t>PR-010</t>
  </si>
  <si>
    <t>Safety net to building perimeter</t>
  </si>
  <si>
    <t>Project rate Z.20</t>
  </si>
  <si>
    <t>PR-011</t>
  </si>
  <si>
    <t>Edge protection and guard rail to slab edge</t>
  </si>
  <si>
    <t>Per metre of exposed edge</t>
  </si>
  <si>
    <t>PR-012</t>
  </si>
  <si>
    <t>Debris netting and catch fan</t>
  </si>
  <si>
    <t>High-rise debris control</t>
  </si>
  <si>
    <t>PR-013</t>
  </si>
  <si>
    <t>Temporary protection to completed finishes</t>
  </si>
  <si>
    <t>Corner guard, floor covering</t>
  </si>
  <si>
    <t>PR-014</t>
  </si>
  <si>
    <t>Weather protection and tarpaulin</t>
  </si>
  <si>
    <t>Rainy season protection</t>
  </si>
  <si>
    <t xml:space="preserve">   Subtotal — Z.01.02 General Protection</t>
  </si>
  <si>
    <t>PR-015</t>
  </si>
  <si>
    <t>Z.01.03</t>
  </si>
  <si>
    <t>Temporary Building</t>
  </si>
  <si>
    <t>Site office - main contractor</t>
  </si>
  <si>
    <t>Container office hire, part of project Z.01</t>
  </si>
  <si>
    <t>PR-016</t>
  </si>
  <si>
    <t>Site office - consultant / client</t>
  </si>
  <si>
    <t>Client facility if required by contract</t>
  </si>
  <si>
    <t>PR-017</t>
  </si>
  <si>
    <t>Meeting room</t>
  </si>
  <si>
    <t>Shared meeting facility</t>
  </si>
  <si>
    <t>PR-018</t>
  </si>
  <si>
    <t>Material store and workshop</t>
  </si>
  <si>
    <t>Secure store</t>
  </si>
  <si>
    <t>PR-019</t>
  </si>
  <si>
    <t>Worker rest area and canteen</t>
  </si>
  <si>
    <t>Welfare facility</t>
  </si>
  <si>
    <t>PR-020</t>
  </si>
  <si>
    <t>Site toilet and washing facility</t>
  </si>
  <si>
    <t>Portable toilet hire and servicing</t>
  </si>
  <si>
    <t>PR-021</t>
  </si>
  <si>
    <t>First aid room</t>
  </si>
  <si>
    <t>Statutory welfare</t>
  </si>
  <si>
    <t>PR-022</t>
  </si>
  <si>
    <t>Prefabricated guard post</t>
  </si>
  <si>
    <t>PR-023</t>
  </si>
  <si>
    <t>Office furniture, equipment and IT</t>
  </si>
  <si>
    <t>Desk, chair, printer, computer</t>
  </si>
  <si>
    <t>PR-024</t>
  </si>
  <si>
    <t>Project signboard and site branding</t>
  </si>
  <si>
    <t>Authority and client requirement</t>
  </si>
  <si>
    <t xml:space="preserve">   Subtotal — Z.01.03 Temporary Building</t>
  </si>
  <si>
    <t>PR-025</t>
  </si>
  <si>
    <t>Z.01.04</t>
  </si>
  <si>
    <t>Temporary site labor</t>
  </si>
  <si>
    <t>General site labour / helper gang</t>
  </si>
  <si>
    <t>Attendance labour gang</t>
  </si>
  <si>
    <t>PR-026</t>
  </si>
  <si>
    <t>Progressive site cleaning labour</t>
  </si>
  <si>
    <t>Part of project Z.08</t>
  </si>
  <si>
    <t>PR-027</t>
  </si>
  <si>
    <t>Waste collection, skip hire and disposal</t>
  </si>
  <si>
    <t>Tipping and cart away</t>
  </si>
  <si>
    <t>PR-028</t>
  </si>
  <si>
    <t>Final cleaning before handover</t>
  </si>
  <si>
    <t>Builders clean at completion</t>
  </si>
  <si>
    <t>PR-029</t>
  </si>
  <si>
    <t>Traffic marshal / banksman</t>
  </si>
  <si>
    <t>Vehicle and crane movement control</t>
  </si>
  <si>
    <t>PR-030</t>
  </si>
  <si>
    <t>Rigger and signalman for lifting</t>
  </si>
  <si>
    <t>Crane lifting support</t>
  </si>
  <si>
    <t xml:space="preserve">   Subtotal — Z.01.04 Temporary site labor</t>
  </si>
  <si>
    <t>PR-031</t>
  </si>
  <si>
    <t>Z.01.05</t>
  </si>
  <si>
    <t>Machinery</t>
  </si>
  <si>
    <t>Tower crane - erection, foundation and dismantling</t>
  </si>
  <si>
    <t>One-off; separate from monthly hire</t>
  </si>
  <si>
    <t>PR-032</t>
  </si>
  <si>
    <t>Tower crane - monthly hire</t>
  </si>
  <si>
    <t>Part of project Z.19</t>
  </si>
  <si>
    <t>PR-033</t>
  </si>
  <si>
    <t>Tower crane - operator and power</t>
  </si>
  <si>
    <t>Operator plus running cost</t>
  </si>
  <si>
    <t>PR-034</t>
  </si>
  <si>
    <t>Passenger / material hoist</t>
  </si>
  <si>
    <t>Essential for 10 storeys</t>
  </si>
  <si>
    <t>PR-035</t>
  </si>
  <si>
    <t>Mobile crane (call-out basis)</t>
  </si>
  <si>
    <t>Per lift / per day call-out</t>
  </si>
  <si>
    <t>PR-036</t>
  </si>
  <si>
    <t>Concrete pump (call-out basis)</t>
  </si>
  <si>
    <t>Per pour if not in concrete rate</t>
  </si>
  <si>
    <t>PR-037</t>
  </si>
  <si>
    <t>Excavator / backhoe</t>
  </si>
  <si>
    <t>Substructure phase only</t>
  </si>
  <si>
    <t>PR-038</t>
  </si>
  <si>
    <t>Truck and site transport</t>
  </si>
  <si>
    <t>Material movement</t>
  </si>
  <si>
    <t>PR-039</t>
  </si>
  <si>
    <t>Scaffolding - supply, erect and dismantle</t>
  </si>
  <si>
    <t>Facade area; project Z.18 basis</t>
  </si>
  <si>
    <t>PR-040</t>
  </si>
  <si>
    <t>Scaffolding - hire beyond base period</t>
  </si>
  <si>
    <t>Extended hire per month</t>
  </si>
  <si>
    <t>PR-041</t>
  </si>
  <si>
    <t>Gondola / suspended platform for facade</t>
  </si>
  <si>
    <t>Alternative to full scaffold</t>
  </si>
  <si>
    <t xml:space="preserve">   Subtotal — Z.01.05 Machinery</t>
  </si>
  <si>
    <t>PR-042</t>
  </si>
  <si>
    <t>Z.01.06</t>
  </si>
  <si>
    <t>Light equiment hand tools</t>
  </si>
  <si>
    <t>Small tools and consumables</t>
  </si>
  <si>
    <t>Allowance per month</t>
  </si>
  <si>
    <t>PR-043</t>
  </si>
  <si>
    <t>Power tools and maintenance</t>
  </si>
  <si>
    <t>Drills, grinders, saws</t>
  </si>
  <si>
    <t>PR-044</t>
  </si>
  <si>
    <t>Welding machine and consumables</t>
  </si>
  <si>
    <t>Steelwork phase</t>
  </si>
  <si>
    <t>PR-045</t>
  </si>
  <si>
    <t>Survey instrument (total station / auto level)</t>
  </si>
  <si>
    <t>Hire and calibration</t>
  </si>
  <si>
    <t>PR-046</t>
  </si>
  <si>
    <t>Compactor, poker vibrator and mixer</t>
  </si>
  <si>
    <t>Concrete and earthwork plant</t>
  </si>
  <si>
    <t>PR-047</t>
  </si>
  <si>
    <t>Water pump and hose</t>
  </si>
  <si>
    <t>Curing and dewatering</t>
  </si>
  <si>
    <t xml:space="preserve">   Subtotal — Z.01.06 Light equiment hand tools</t>
  </si>
  <si>
    <t>PR-048</t>
  </si>
  <si>
    <t>Z.01.07</t>
  </si>
  <si>
    <t>Temporary Elecrical Plumbing Drainage</t>
  </si>
  <si>
    <t>Temporary electricity - connection, meter and deposit</t>
  </si>
  <si>
    <t>Utility connection charge</t>
  </si>
  <si>
    <t>PR-049</t>
  </si>
  <si>
    <t>Temporary electricity - monthly consumption</t>
  </si>
  <si>
    <t>Project rate Z.05</t>
  </si>
  <si>
    <t>PR-050</t>
  </si>
  <si>
    <t>Temporary distribution board and cabling</t>
  </si>
  <si>
    <t>Site power distribution</t>
  </si>
  <si>
    <t>PR-051</t>
  </si>
  <si>
    <t>Temporary site and tower lighting</t>
  </si>
  <si>
    <t>Working and security lighting</t>
  </si>
  <si>
    <t>PR-052</t>
  </si>
  <si>
    <t>Standby generator</t>
  </si>
  <si>
    <t>Backup power if supply unreliable</t>
  </si>
  <si>
    <t>PR-053</t>
  </si>
  <si>
    <t>Temporary water - connection, meter and deposit</t>
  </si>
  <si>
    <t>PR-054</t>
  </si>
  <si>
    <t>Temporary water - monthly consumption</t>
  </si>
  <si>
    <t>Project rate Z.04</t>
  </si>
  <si>
    <t>PR-055</t>
  </si>
  <si>
    <t>Temporary plumbing and drainage</t>
  </si>
  <si>
    <t>Site pipework and discharge</t>
  </si>
  <si>
    <t>PR-056</t>
  </si>
  <si>
    <t>Temporary telephone and internet</t>
  </si>
  <si>
    <t>Site communication</t>
  </si>
  <si>
    <t xml:space="preserve">   Subtotal — Z.01.07 Temporary Elecrical Plumbing Drainage</t>
  </si>
  <si>
    <t>PR-057</t>
  </si>
  <si>
    <t>Z.01.08</t>
  </si>
  <si>
    <t>Safe and environment control</t>
  </si>
  <si>
    <t>Safety officer (site based)</t>
  </si>
  <si>
    <t>Statutory requirement</t>
  </si>
  <si>
    <t>PR-058</t>
  </si>
  <si>
    <t>PPE - helmet, boots, vest, harness</t>
  </si>
  <si>
    <t>Issue and replenishment; project Z.06</t>
  </si>
  <si>
    <t>PR-059</t>
  </si>
  <si>
    <t>Safety signage, barricade and cone</t>
  </si>
  <si>
    <t>Site-wide signage set</t>
  </si>
  <si>
    <t>PR-060</t>
  </si>
  <si>
    <t>Fire extinguisher and fire point</t>
  </si>
  <si>
    <t>Per floor / per point</t>
  </si>
  <si>
    <t>PR-061</t>
  </si>
  <si>
    <t>First aid supplies and medical support</t>
  </si>
  <si>
    <t>First aid kit and clinic access</t>
  </si>
  <si>
    <t>PR-062</t>
  </si>
  <si>
    <t>Dust control - water spray and screening</t>
  </si>
  <si>
    <t>Environmental compliance</t>
  </si>
  <si>
    <t>PR-063</t>
  </si>
  <si>
    <t>Noise and vibration control</t>
  </si>
  <si>
    <t>PR-064</t>
  </si>
  <si>
    <t>Silt trap and water discharge control</t>
  </si>
  <si>
    <t>Prevent discharge to public drain</t>
  </si>
  <si>
    <t>PR-065</t>
  </si>
  <si>
    <t>Waste segregation and recycling facility</t>
  </si>
  <si>
    <t>Green / environmental requirement</t>
  </si>
  <si>
    <t>PR-066</t>
  </si>
  <si>
    <t>Safety training and toolbox meeting</t>
  </si>
  <si>
    <t>Induction and weekly toolbox</t>
  </si>
  <si>
    <t>PR-067</t>
  </si>
  <si>
    <t>Security guard service</t>
  </si>
  <si>
    <t>Project rate Z.07</t>
  </si>
  <si>
    <t>PR-068</t>
  </si>
  <si>
    <t>CCTV and site access control</t>
  </si>
  <si>
    <t>Camera set and worker ID</t>
  </si>
  <si>
    <t xml:space="preserve">   Subtotal — Z.01.08 Safe and environment control</t>
  </si>
  <si>
    <t>PR-069</t>
  </si>
  <si>
    <t>Z.30.01</t>
  </si>
  <si>
    <t>Site Overhead</t>
  </si>
  <si>
    <t>Foreign Country Employee</t>
  </si>
  <si>
    <t>Expatriate project manager</t>
  </si>
  <si>
    <t>Only if expatriate staffing required</t>
  </si>
  <si>
    <t>PR-070</t>
  </si>
  <si>
    <t>Expatriate construction manager</t>
  </si>
  <si>
    <t>Optional</t>
  </si>
  <si>
    <t>PR-071</t>
  </si>
  <si>
    <t>Expatriate engineer / specialist</t>
  </si>
  <si>
    <t>PR-072</t>
  </si>
  <si>
    <t>Work permit, visa and statutory registration</t>
  </si>
  <si>
    <t>Per expatriate per year</t>
  </si>
  <si>
    <t>PR-073</t>
  </si>
  <si>
    <t>Expatriate accommodation and home flights</t>
  </si>
  <si>
    <t>Per expatriate</t>
  </si>
  <si>
    <t xml:space="preserve">   Subtotal — Z.30.01 Foreign Country Employee</t>
  </si>
  <si>
    <t>PR-074</t>
  </si>
  <si>
    <t>Z.30.02</t>
  </si>
  <si>
    <t>Local Country employee</t>
  </si>
  <si>
    <t>Project manager</t>
  </si>
  <si>
    <t>Project Z.02 team build-up</t>
  </si>
  <si>
    <t>PR-075</t>
  </si>
  <si>
    <t>Construction manager / site manager</t>
  </si>
  <si>
    <t>PR-076</t>
  </si>
  <si>
    <t>Site engineer</t>
  </si>
  <si>
    <t>PR-077</t>
  </si>
  <si>
    <t>Quantity surveyor</t>
  </si>
  <si>
    <t>PR-078</t>
  </si>
  <si>
    <t>Safety officer (staff position)</t>
  </si>
  <si>
    <t>PR-079</t>
  </si>
  <si>
    <t>Site supervisor / foreman</t>
  </si>
  <si>
    <t>PR-080</t>
  </si>
  <si>
    <t>Land surveyor</t>
  </si>
  <si>
    <t>Setting out and control</t>
  </si>
  <si>
    <t>PR-081</t>
  </si>
  <si>
    <t>Storekeeper</t>
  </si>
  <si>
    <t>PR-082</t>
  </si>
  <si>
    <t>Document controller / site admin</t>
  </si>
  <si>
    <t>Records and correspondence</t>
  </si>
  <si>
    <t>PR-083</t>
  </si>
  <si>
    <t>Accountant / cashier</t>
  </si>
  <si>
    <t>Site accounts</t>
  </si>
  <si>
    <t>PR-084</t>
  </si>
  <si>
    <t>Driver</t>
  </si>
  <si>
    <t>Site vehicle</t>
  </si>
  <si>
    <t xml:space="preserve">   Subtotal — Z.30.02 Local Country employee</t>
  </si>
  <si>
    <t>PR-085</t>
  </si>
  <si>
    <t>Z.30.03</t>
  </si>
  <si>
    <t>Other personnel</t>
  </si>
  <si>
    <t>Part-time / temporary staff</t>
  </si>
  <si>
    <t>Peak period support</t>
  </si>
  <si>
    <t>PR-086</t>
  </si>
  <si>
    <t>Subcontractor coordinator</t>
  </si>
  <si>
    <t>Multi-package coordination</t>
  </si>
  <si>
    <t>PR-087</t>
  </si>
  <si>
    <t>Specialist consultant attendance</t>
  </si>
  <si>
    <t>Per visit / per report</t>
  </si>
  <si>
    <t xml:space="preserve">   Subtotal — Z.30.03 Other personnel</t>
  </si>
  <si>
    <t>PR-088</t>
  </si>
  <si>
    <t>Z.30.04</t>
  </si>
  <si>
    <t>Welfare expense</t>
  </si>
  <si>
    <t>Staff accommodation</t>
  </si>
  <si>
    <t>Shared staff housing</t>
  </si>
  <si>
    <t>PR-089</t>
  </si>
  <si>
    <t>Staff transport</t>
  </si>
  <si>
    <t>Daily transport to site</t>
  </si>
  <si>
    <t>PR-090</t>
  </si>
  <si>
    <t>Meal and site allowance</t>
  </si>
  <si>
    <t>Staff allowance</t>
  </si>
  <si>
    <t>PR-091</t>
  </si>
  <si>
    <t>Staff medical and insurance</t>
  </si>
  <si>
    <t>Statutory and company cover</t>
  </si>
  <si>
    <t>PR-092</t>
  </si>
  <si>
    <t>Uniform and safety wear for staff</t>
  </si>
  <si>
    <t>Issue at mobilization</t>
  </si>
  <si>
    <t xml:space="preserve">   Subtotal — Z.30.04 Welfare expense</t>
  </si>
  <si>
    <t>PR-093</t>
  </si>
  <si>
    <t>Z.30.05</t>
  </si>
  <si>
    <t>office supplies expenses</t>
  </si>
  <si>
    <t>Stationery and printing</t>
  </si>
  <si>
    <t>Site office running</t>
  </si>
  <si>
    <t>PR-094</t>
  </si>
  <si>
    <t>Computer, software and licence</t>
  </si>
  <si>
    <t>CAD, MS Office, QS software</t>
  </si>
  <si>
    <t>PR-095</t>
  </si>
  <si>
    <t>Photocopier / plotter hire</t>
  </si>
  <si>
    <t>Drawing reproduction</t>
  </si>
  <si>
    <t>PR-096</t>
  </si>
  <si>
    <t>Office consumables and cleaning</t>
  </si>
  <si>
    <t>General office supplies</t>
  </si>
  <si>
    <t xml:space="preserve">   Subtotal — Z.30.05 office supplies expenses</t>
  </si>
  <si>
    <t>PR-097</t>
  </si>
  <si>
    <t>Z.30.06</t>
  </si>
  <si>
    <t>Communication &amp; Travel expense</t>
  </si>
  <si>
    <t>Telephone, mobile and internet</t>
  </si>
  <si>
    <t>PR-098</t>
  </si>
  <si>
    <t>Site vehicle running and fuel</t>
  </si>
  <si>
    <t>Pickup and motorbike</t>
  </si>
  <si>
    <t>PR-099</t>
  </si>
  <si>
    <t>Local travel and site visit</t>
  </si>
  <si>
    <t>Head office to site</t>
  </si>
  <si>
    <t>PR-100</t>
  </si>
  <si>
    <t>International travel</t>
  </si>
  <si>
    <t>Per trip if applicable</t>
  </si>
  <si>
    <t xml:space="preserve">   Subtotal — Z.30.06 Communication &amp; Travel expense</t>
  </si>
  <si>
    <t>PR-101</t>
  </si>
  <si>
    <t>Z.30.07</t>
  </si>
  <si>
    <t>Social expense</t>
  </si>
  <si>
    <t>Ground breaking / topping out ceremony</t>
  </si>
  <si>
    <t>Client and cultural requirement</t>
  </si>
  <si>
    <t>PR-102</t>
  </si>
  <si>
    <t>Community relations and neighbour liaison</t>
  </si>
  <si>
    <t>Adjacent property goodwill</t>
  </si>
  <si>
    <t>PR-103</t>
  </si>
  <si>
    <t>Staff welfare event</t>
  </si>
  <si>
    <t>Annual / festive</t>
  </si>
  <si>
    <t xml:space="preserve">   Subtotal — Z.30.07 Social expense</t>
  </si>
  <si>
    <t>PR-104</t>
  </si>
  <si>
    <t>Z.30.08</t>
  </si>
  <si>
    <t>Taxes &amp; Public imposition</t>
  </si>
  <si>
    <t>Building permit and construction licence</t>
  </si>
  <si>
    <t>Authority approval fee</t>
  </si>
  <si>
    <t>PR-105</t>
  </si>
  <si>
    <t>Statutory inspection and certification fee</t>
  </si>
  <si>
    <t>Authority inspection</t>
  </si>
  <si>
    <t>PR-106</t>
  </si>
  <si>
    <t>Local authority charges and road permit</t>
  </si>
  <si>
    <t>Road closure, hoarding permit</t>
  </si>
  <si>
    <t>PR-107</t>
  </si>
  <si>
    <t>Withholding tax on subcontract</t>
  </si>
  <si>
    <t>Enter if borne by contractor</t>
  </si>
  <si>
    <t xml:space="preserve">   Subtotal — Z.30.08 Taxes &amp; Public imposition</t>
  </si>
  <si>
    <t>PR-108</t>
  </si>
  <si>
    <t>Z.30.09</t>
  </si>
  <si>
    <t>Meeting expense</t>
  </si>
  <si>
    <t>Weekly site meeting refreshment</t>
  </si>
  <si>
    <t>Site progress meeting</t>
  </si>
  <si>
    <t>PR-109</t>
  </si>
  <si>
    <t>Client / consultant meeting expense</t>
  </si>
  <si>
    <t>Monthly progress meeting</t>
  </si>
  <si>
    <t xml:space="preserve">   Subtotal — Z.30.09 Meeting expense</t>
  </si>
  <si>
    <t>PR-110</t>
  </si>
  <si>
    <t>Z.30.10</t>
  </si>
  <si>
    <t>Miscellaneous expense</t>
  </si>
  <si>
    <t>Bank charges and transaction fee</t>
  </si>
  <si>
    <t>Payment processing</t>
  </si>
  <si>
    <t>PR-111</t>
  </si>
  <si>
    <t>Legal and professional fee</t>
  </si>
  <si>
    <t>Contract review and advice</t>
  </si>
  <si>
    <t>PR-112</t>
  </si>
  <si>
    <t>Photographic and progress record</t>
  </si>
  <si>
    <t>Monthly progress photos</t>
  </si>
  <si>
    <t>PR-113</t>
  </si>
  <si>
    <t>Site sundries contingency</t>
  </si>
  <si>
    <t>Unforeseen minor site cost</t>
  </si>
  <si>
    <t xml:space="preserve">   Subtotal — Z.30.10 Miscellaneous expense</t>
  </si>
  <si>
    <t>PR-114</t>
  </si>
  <si>
    <t>Z.50</t>
  </si>
  <si>
    <t>Design expenses</t>
  </si>
  <si>
    <t>Shop drawing preparation</t>
  </si>
  <si>
    <t>Project rate Z.15</t>
  </si>
  <si>
    <t>PR-115</t>
  </si>
  <si>
    <t>Project rate Z.16</t>
  </si>
  <si>
    <t>PR-116</t>
  </si>
  <si>
    <t>BIM modelling and clash coordination</t>
  </si>
  <si>
    <t>If required by contract</t>
  </si>
  <si>
    <t>PR-117</t>
  </si>
  <si>
    <t>Structural / MEP design (design-build scope)</t>
  </si>
  <si>
    <t>Only if design-build</t>
  </si>
  <si>
    <t>PR-118</t>
  </si>
  <si>
    <t>Method statement and construction programme</t>
  </si>
  <si>
    <t>Submission requirement</t>
  </si>
  <si>
    <t>PR-119</t>
  </si>
  <si>
    <t>Mock-up and sample panel</t>
  </si>
  <si>
    <t>Facade and finishes approval</t>
  </si>
  <si>
    <t>PR-120</t>
  </si>
  <si>
    <t>O&amp;M manual and warranty compilation</t>
  </si>
  <si>
    <t>Handover requirement</t>
  </si>
  <si>
    <t>PR-121</t>
  </si>
  <si>
    <t>Green Mark / EDGE certification consultant</t>
  </si>
  <si>
    <t>Only if green certification required</t>
  </si>
  <si>
    <t>PR-122</t>
  </si>
  <si>
    <t>Energy modelling and daylight simulation</t>
  </si>
  <si>
    <t>Supports green certification</t>
  </si>
  <si>
    <t xml:space="preserve">   Subtotal — Z.50 Design expenses</t>
  </si>
  <si>
    <t>PR-123</t>
  </si>
  <si>
    <t>Z.70</t>
  </si>
  <si>
    <t>Risks and Opportunities</t>
  </si>
  <si>
    <t>Material price escalation allowance</t>
  </si>
  <si>
    <t>Enter % of material value</t>
  </si>
  <si>
    <t>PR-124</t>
  </si>
  <si>
    <t>Weather / rain day allowance</t>
  </si>
  <si>
    <t>Non-working days in programme</t>
  </si>
  <si>
    <t>PR-125</t>
  </si>
  <si>
    <t>Design development allowance</t>
  </si>
  <si>
    <t>Drawing not yet final</t>
  </si>
  <si>
    <t>PR-126</t>
  </si>
  <si>
    <t>Programme extension risk</t>
  </si>
  <si>
    <t>Prelims run-on cost per month</t>
  </si>
  <si>
    <t>PR-127</t>
  </si>
  <si>
    <t>Currency fluctuation allowance</t>
  </si>
  <si>
    <t>Imported material exposure</t>
  </si>
  <si>
    <t>PR-128</t>
  </si>
  <si>
    <t>Defect liability period attendance</t>
  </si>
  <si>
    <t>DLP maintenance team</t>
  </si>
  <si>
    <t xml:space="preserve">   Subtotal — Z.70 Risks and Opportunities</t>
  </si>
  <si>
    <t>PR-129</t>
  </si>
  <si>
    <t>X.02</t>
  </si>
  <si>
    <t>Insurance &amp; Bonds</t>
  </si>
  <si>
    <t>CAR Insurance + DLP Insurance</t>
  </si>
  <si>
    <t>Contractor's All Risk (CAR) insurance</t>
  </si>
  <si>
    <t>Approx 0.5% of contract value; project Z.11</t>
  </si>
  <si>
    <t>PR-130</t>
  </si>
  <si>
    <t>Third party liability insurance</t>
  </si>
  <si>
    <t>Public liability cover</t>
  </si>
  <si>
    <t>PR-131</t>
  </si>
  <si>
    <t>Workmen compensation insurance</t>
  </si>
  <si>
    <t>Statutory worker cover</t>
  </si>
  <si>
    <t>PR-132</t>
  </si>
  <si>
    <t>DLP / maintenance period insurance</t>
  </si>
  <si>
    <t>Cover during defect liability period</t>
  </si>
  <si>
    <t>PR-133</t>
  </si>
  <si>
    <t>Performance bond</t>
  </si>
  <si>
    <t>Premium approx 1-2% per year; project Z.12</t>
  </si>
  <si>
    <t>PR-134</t>
  </si>
  <si>
    <t>Advance payment guarantee</t>
  </si>
  <si>
    <t>If advance payment taken</t>
  </si>
  <si>
    <t>PR-135</t>
  </si>
  <si>
    <t>Retention bond</t>
  </si>
  <si>
    <t>If retention released against bond</t>
  </si>
  <si>
    <t xml:space="preserve">   Subtotal — X.02 CAR Insurance + DLP Insurance</t>
  </si>
  <si>
    <t>TOTAL PRELIMINARIES (Z)</t>
  </si>
  <si>
    <t>SUMMARY BY BUDGET CODE</t>
  </si>
  <si>
    <t>TOTAL</t>
  </si>
  <si>
    <t>BoQ TAKE-OFF ENTRY TEMPLATE</t>
  </si>
  <si>
    <t>Pick in order: Building → Level → Section → Sub Section → Sub Element → Description. Code, Unit and all rates fill in automatically from the Price List Library.</t>
  </si>
  <si>
    <t>Yellow = your input. If a drop-down looks empty, the cell to its left is still blank.</t>
  </si>
  <si>
    <t>TOTAL →</t>
  </si>
  <si>
    <t>Building</t>
  </si>
  <si>
    <t>Level</t>
  </si>
  <si>
    <t>Description (Material Type)</t>
  </si>
  <si>
    <t>Quantity</t>
  </si>
  <si>
    <t>Remark</t>
  </si>
  <si>
    <t>h1</t>
  </si>
  <si>
    <t>h2</t>
  </si>
  <si>
    <t>h3</t>
  </si>
  <si>
    <t>PROJECT SETUP — BUILDING &amp; LEVEL REGISTER</t>
  </si>
  <si>
    <t>Edit these two tables per project. They drive the Building and Level drop-downs on the Entry Template.</t>
  </si>
  <si>
    <t>Keep the same codes you use in Raw Data so the take-off can be pasted straight in.</t>
  </si>
  <si>
    <t>Building Code</t>
  </si>
  <si>
    <t>Building Name</t>
  </si>
  <si>
    <t>Level Code</t>
  </si>
  <si>
    <t>Level Name</t>
  </si>
  <si>
    <t>BA</t>
  </si>
  <si>
    <t>Main School Building</t>
  </si>
  <si>
    <t>10-storey teaching block</t>
  </si>
  <si>
    <t>01.UG</t>
  </si>
  <si>
    <t>Underground / Pile &amp; Foundation</t>
  </si>
  <si>
    <t>Substructure works</t>
  </si>
  <si>
    <t>BB</t>
  </si>
  <si>
    <t>(second building)</t>
  </si>
  <si>
    <t>02.GF</t>
  </si>
  <si>
    <t>Ground Floor</t>
  </si>
  <si>
    <t>BC</t>
  </si>
  <si>
    <t>(third building)</t>
  </si>
  <si>
    <t>03.MZ</t>
  </si>
  <si>
    <t>Mezzanine</t>
  </si>
  <si>
    <t>EXT</t>
  </si>
  <si>
    <t>External / Site Works</t>
  </si>
  <si>
    <t>Works outside building footprint</t>
  </si>
  <si>
    <t>04.1F</t>
  </si>
  <si>
    <t>1st Floor</t>
  </si>
  <si>
    <t>ALL</t>
  </si>
  <si>
    <t>All Buildings</t>
  </si>
  <si>
    <t>Project-wide items</t>
  </si>
  <si>
    <t>05.2F</t>
  </si>
  <si>
    <t>2nd Floor</t>
  </si>
  <si>
    <t>06.3F</t>
  </si>
  <si>
    <t>3rd Floor</t>
  </si>
  <si>
    <t>07.4F</t>
  </si>
  <si>
    <t>4th Floor</t>
  </si>
  <si>
    <t>08.5F</t>
  </si>
  <si>
    <t>5th Floor</t>
  </si>
  <si>
    <t>09.6F</t>
  </si>
  <si>
    <t>6th Floor</t>
  </si>
  <si>
    <t>10.7F</t>
  </si>
  <si>
    <t>7th Floor</t>
  </si>
  <si>
    <t>11.8F</t>
  </si>
  <si>
    <t>8th Floor</t>
  </si>
  <si>
    <t>12.9F</t>
  </si>
  <si>
    <t>9th Floor</t>
  </si>
  <si>
    <t>13.10F</t>
  </si>
  <si>
    <t>10th Floor</t>
  </si>
  <si>
    <t>Omitted on current project — delete row if not applicable</t>
  </si>
  <si>
    <t>14.TR</t>
  </si>
  <si>
    <t>Truss / Roof Structure</t>
  </si>
  <si>
    <t>15.RF</t>
  </si>
  <si>
    <t>Roof</t>
  </si>
  <si>
    <t>All</t>
  </si>
  <si>
    <t>All Levels</t>
  </si>
  <si>
    <t>VALIDATION SOURCE LISTS — do not delete (drives the drop-downs on Entry Template)</t>
  </si>
  <si>
    <t>Every list is a named range starting with "_" so it can never clash with an Excel cell address.</t>
  </si>
  <si>
    <t>Name</t>
  </si>
  <si>
    <t>Section|SubSection</t>
  </si>
  <si>
    <t>Sec|Sub|SubElement</t>
  </si>
  <si>
    <t>(blank)</t>
  </si>
  <si>
    <t>_S001</t>
  </si>
  <si>
    <t>_S002</t>
  </si>
  <si>
    <t>_S003</t>
  </si>
  <si>
    <t>_S004</t>
  </si>
  <si>
    <t>_S005</t>
  </si>
  <si>
    <t>_S006</t>
  </si>
  <si>
    <t>_S007</t>
  </si>
  <si>
    <t>_S008</t>
  </si>
  <si>
    <t>_S009</t>
  </si>
  <si>
    <t>_S010</t>
  </si>
  <si>
    <t>_S011</t>
  </si>
  <si>
    <t>_S012</t>
  </si>
  <si>
    <t>_S013</t>
  </si>
  <si>
    <t>_S014</t>
  </si>
  <si>
    <t>_S015</t>
  </si>
  <si>
    <t>_S016</t>
  </si>
  <si>
    <t>_S017</t>
  </si>
  <si>
    <t>_S018</t>
  </si>
  <si>
    <t>_S019</t>
  </si>
  <si>
    <t>_S020</t>
  </si>
  <si>
    <t>_S021</t>
  </si>
  <si>
    <t>_S022</t>
  </si>
  <si>
    <t>_S023</t>
  </si>
  <si>
    <t>_S024</t>
  </si>
  <si>
    <t>_S025</t>
  </si>
  <si>
    <t>_S026</t>
  </si>
  <si>
    <t>_S027</t>
  </si>
  <si>
    <t>_S028</t>
  </si>
  <si>
    <t>_S029</t>
  </si>
  <si>
    <t>_B001</t>
  </si>
  <si>
    <t>_B002</t>
  </si>
  <si>
    <t>_B003</t>
  </si>
  <si>
    <t>_B004</t>
  </si>
  <si>
    <t>_B005</t>
  </si>
  <si>
    <t>_B006</t>
  </si>
  <si>
    <t>_B007</t>
  </si>
  <si>
    <t>_B008</t>
  </si>
  <si>
    <t>_B009</t>
  </si>
  <si>
    <t>_B010</t>
  </si>
  <si>
    <t>_B011</t>
  </si>
  <si>
    <t>_B012</t>
  </si>
  <si>
    <t>_B013</t>
  </si>
  <si>
    <t>_B014</t>
  </si>
  <si>
    <t>_B015</t>
  </si>
  <si>
    <t>_B016</t>
  </si>
  <si>
    <t>_B017</t>
  </si>
  <si>
    <t>_B018</t>
  </si>
  <si>
    <t>_B019</t>
  </si>
  <si>
    <t>_B020</t>
  </si>
  <si>
    <t>_B021</t>
  </si>
  <si>
    <t>_B022</t>
  </si>
  <si>
    <t>_B023</t>
  </si>
  <si>
    <t>_B024</t>
  </si>
  <si>
    <t>_B025</t>
  </si>
  <si>
    <t>_B026</t>
  </si>
  <si>
    <t>_B027</t>
  </si>
  <si>
    <t>_B028</t>
  </si>
  <si>
    <t>_B029</t>
  </si>
  <si>
    <t>_B030</t>
  </si>
  <si>
    <t>_B031</t>
  </si>
  <si>
    <t>_B032</t>
  </si>
  <si>
    <t>_B033</t>
  </si>
  <si>
    <t>_B034</t>
  </si>
  <si>
    <t>_B035</t>
  </si>
  <si>
    <t>_B036</t>
  </si>
  <si>
    <t>_B037</t>
  </si>
  <si>
    <t>_B038</t>
  </si>
  <si>
    <t>_B039</t>
  </si>
  <si>
    <t>_B040</t>
  </si>
  <si>
    <t>_B041</t>
  </si>
  <si>
    <t>_B042</t>
  </si>
  <si>
    <t>_B043</t>
  </si>
  <si>
    <t>_B044</t>
  </si>
  <si>
    <t>_B045</t>
  </si>
  <si>
    <t>_B046</t>
  </si>
  <si>
    <t>_B047</t>
  </si>
  <si>
    <t>_B048</t>
  </si>
  <si>
    <t>_B049</t>
  </si>
  <si>
    <t>_B050</t>
  </si>
  <si>
    <t>_B051</t>
  </si>
  <si>
    <t>_B052</t>
  </si>
  <si>
    <t>_B053</t>
  </si>
  <si>
    <t>_B054</t>
  </si>
  <si>
    <t>_B055</t>
  </si>
  <si>
    <t>_B056</t>
  </si>
  <si>
    <t>_B057</t>
  </si>
  <si>
    <t>_B058</t>
  </si>
  <si>
    <t>_B059</t>
  </si>
  <si>
    <t>_B060</t>
  </si>
  <si>
    <t>_B061</t>
  </si>
  <si>
    <t>_B062</t>
  </si>
  <si>
    <t>_B063</t>
  </si>
  <si>
    <t>_B064</t>
  </si>
  <si>
    <t>_B065</t>
  </si>
  <si>
    <t>_B066</t>
  </si>
  <si>
    <t>_B067</t>
  </si>
  <si>
    <t>_B068</t>
  </si>
  <si>
    <t>_B069</t>
  </si>
  <si>
    <t>_B070</t>
  </si>
  <si>
    <t>_B071</t>
  </si>
  <si>
    <t>_B072</t>
  </si>
  <si>
    <t>_B073</t>
  </si>
  <si>
    <t>_B074</t>
  </si>
  <si>
    <t>_B075</t>
  </si>
  <si>
    <t>_B076</t>
  </si>
  <si>
    <t>_B077</t>
  </si>
  <si>
    <t>_B078</t>
  </si>
  <si>
    <t>_B079</t>
  </si>
  <si>
    <t>_B080</t>
  </si>
  <si>
    <t>_B081</t>
  </si>
  <si>
    <t>_B082</t>
  </si>
  <si>
    <t>_B083</t>
  </si>
  <si>
    <t>_B084</t>
  </si>
  <si>
    <t>_B085</t>
  </si>
  <si>
    <t>_B086</t>
  </si>
  <si>
    <t>_B087</t>
  </si>
  <si>
    <t>_B088</t>
  </si>
  <si>
    <t>_B089</t>
  </si>
  <si>
    <t>_B090</t>
  </si>
  <si>
    <t>_B091</t>
  </si>
  <si>
    <t>_B092</t>
  </si>
  <si>
    <t>_B093</t>
  </si>
  <si>
    <t>_B094</t>
  </si>
  <si>
    <t>_B095</t>
  </si>
  <si>
    <t>_B096</t>
  </si>
  <si>
    <t>_B097</t>
  </si>
  <si>
    <t>_B098</t>
  </si>
  <si>
    <t>_B099</t>
  </si>
  <si>
    <t>_B100</t>
  </si>
  <si>
    <t>_B101</t>
  </si>
  <si>
    <t>_B102</t>
  </si>
  <si>
    <t>_B103</t>
  </si>
  <si>
    <t>_B104</t>
  </si>
  <si>
    <t>_B105</t>
  </si>
  <si>
    <t>_B106</t>
  </si>
  <si>
    <t>_B107</t>
  </si>
  <si>
    <t>_B108</t>
  </si>
  <si>
    <t>_B109</t>
  </si>
  <si>
    <t>_B110</t>
  </si>
  <si>
    <t>_B111</t>
  </si>
  <si>
    <t>_B112</t>
  </si>
  <si>
    <t>_B113</t>
  </si>
  <si>
    <t>_B114</t>
  </si>
  <si>
    <t>_B115</t>
  </si>
  <si>
    <t>_B116</t>
  </si>
  <si>
    <t>_B117</t>
  </si>
  <si>
    <t>_B118</t>
  </si>
  <si>
    <t>_B119</t>
  </si>
  <si>
    <t>_B120</t>
  </si>
  <si>
    <t>_B121</t>
  </si>
  <si>
    <t>_B122</t>
  </si>
  <si>
    <t>_B123</t>
  </si>
  <si>
    <t>_B124</t>
  </si>
  <si>
    <t>_D001</t>
  </si>
  <si>
    <t>_D002</t>
  </si>
  <si>
    <t>_D003</t>
  </si>
  <si>
    <t>_D004</t>
  </si>
  <si>
    <t>_D005</t>
  </si>
  <si>
    <t>_D006</t>
  </si>
  <si>
    <t>_D007</t>
  </si>
  <si>
    <t>_D008</t>
  </si>
  <si>
    <t>_D009</t>
  </si>
  <si>
    <t>_D010</t>
  </si>
  <si>
    <t>_D011</t>
  </si>
  <si>
    <t>_D012</t>
  </si>
  <si>
    <t>_D013</t>
  </si>
  <si>
    <t>_D014</t>
  </si>
  <si>
    <t>_D015</t>
  </si>
  <si>
    <t>_D016</t>
  </si>
  <si>
    <t>_D017</t>
  </si>
  <si>
    <t>_D018</t>
  </si>
  <si>
    <t>_D019</t>
  </si>
  <si>
    <t>_D020</t>
  </si>
  <si>
    <t>_D021</t>
  </si>
  <si>
    <t>_D022</t>
  </si>
  <si>
    <t>_D023</t>
  </si>
  <si>
    <t>_D024</t>
  </si>
  <si>
    <t>_D025</t>
  </si>
  <si>
    <t>_D026</t>
  </si>
  <si>
    <t>_D027</t>
  </si>
  <si>
    <t>_D028</t>
  </si>
  <si>
    <t>_D029</t>
  </si>
  <si>
    <t>_D030</t>
  </si>
  <si>
    <t>_D031</t>
  </si>
  <si>
    <t>_D032</t>
  </si>
  <si>
    <t>_D033</t>
  </si>
  <si>
    <t>_D034</t>
  </si>
  <si>
    <t>_D035</t>
  </si>
  <si>
    <t>_D036</t>
  </si>
  <si>
    <t>_D037</t>
  </si>
  <si>
    <t>_D038</t>
  </si>
  <si>
    <t>_D039</t>
  </si>
  <si>
    <t>_D040</t>
  </si>
  <si>
    <t>_D041</t>
  </si>
  <si>
    <t>_D042</t>
  </si>
  <si>
    <t>_D043</t>
  </si>
  <si>
    <t>_D044</t>
  </si>
  <si>
    <t>_D045</t>
  </si>
  <si>
    <t>_D046</t>
  </si>
  <si>
    <t>_D047</t>
  </si>
  <si>
    <t>_D048</t>
  </si>
  <si>
    <t>_D049</t>
  </si>
  <si>
    <t>_D050</t>
  </si>
  <si>
    <t>_D051</t>
  </si>
  <si>
    <t>_D052</t>
  </si>
  <si>
    <t>_D053</t>
  </si>
  <si>
    <t>_D054</t>
  </si>
  <si>
    <t>_D055</t>
  </si>
  <si>
    <t>_D056</t>
  </si>
  <si>
    <t>_D057</t>
  </si>
  <si>
    <t>_D058</t>
  </si>
  <si>
    <t>_D059</t>
  </si>
  <si>
    <t>_D060</t>
  </si>
  <si>
    <t>_D061</t>
  </si>
  <si>
    <t>_D062</t>
  </si>
  <si>
    <t>_D063</t>
  </si>
  <si>
    <t>_D064</t>
  </si>
  <si>
    <t>_D065</t>
  </si>
  <si>
    <t>_D066</t>
  </si>
  <si>
    <t>_D067</t>
  </si>
  <si>
    <t>_D068</t>
  </si>
  <si>
    <t>_D069</t>
  </si>
  <si>
    <t>_D070</t>
  </si>
  <si>
    <t>_D071</t>
  </si>
  <si>
    <t>_D072</t>
  </si>
  <si>
    <t>_D073</t>
  </si>
  <si>
    <t>_D074</t>
  </si>
  <si>
    <t>_D075</t>
  </si>
  <si>
    <t>_D076</t>
  </si>
  <si>
    <t>_D077</t>
  </si>
  <si>
    <t>_D078</t>
  </si>
  <si>
    <t>_D079</t>
  </si>
  <si>
    <t>_D080</t>
  </si>
  <si>
    <t>_D081</t>
  </si>
  <si>
    <t>_D082</t>
  </si>
  <si>
    <t>_D083</t>
  </si>
  <si>
    <t>_D084</t>
  </si>
  <si>
    <t>_D085</t>
  </si>
  <si>
    <t>_D086</t>
  </si>
  <si>
    <t>_D087</t>
  </si>
  <si>
    <t>_D088</t>
  </si>
  <si>
    <t>_D089</t>
  </si>
  <si>
    <t>_D090</t>
  </si>
  <si>
    <t>_D091</t>
  </si>
  <si>
    <t>_D092</t>
  </si>
  <si>
    <t>_D093</t>
  </si>
  <si>
    <t>_D094</t>
  </si>
  <si>
    <t>_D095</t>
  </si>
  <si>
    <t>_D096</t>
  </si>
  <si>
    <t>_D097</t>
  </si>
  <si>
    <t>_D098</t>
  </si>
  <si>
    <t>_D099</t>
  </si>
  <si>
    <t>_D100</t>
  </si>
  <si>
    <t>_D101</t>
  </si>
  <si>
    <t>_D102</t>
  </si>
  <si>
    <t>_D103</t>
  </si>
  <si>
    <t>_D104</t>
  </si>
  <si>
    <t>_D105</t>
  </si>
  <si>
    <t>_D106</t>
  </si>
  <si>
    <t>_D107</t>
  </si>
  <si>
    <t>_D108</t>
  </si>
  <si>
    <t>_D109</t>
  </si>
  <si>
    <t>_D110</t>
  </si>
  <si>
    <t>_D111</t>
  </si>
  <si>
    <t>_D112</t>
  </si>
  <si>
    <t>_D113</t>
  </si>
  <si>
    <t>_D114</t>
  </si>
  <si>
    <t>_D115</t>
  </si>
  <si>
    <t>_D116</t>
  </si>
  <si>
    <t>_D117</t>
  </si>
  <si>
    <t>_D118</t>
  </si>
  <si>
    <t>_D119</t>
  </si>
  <si>
    <t>_D120</t>
  </si>
  <si>
    <t>_D121</t>
  </si>
  <si>
    <t>_D122</t>
  </si>
  <si>
    <t>_D123</t>
  </si>
  <si>
    <t>_D124</t>
  </si>
  <si>
    <t>_D125</t>
  </si>
  <si>
    <t>_D126</t>
  </si>
  <si>
    <t>_D127</t>
  </si>
  <si>
    <t>_D128</t>
  </si>
  <si>
    <t>_D129</t>
  </si>
  <si>
    <t>_D130</t>
  </si>
  <si>
    <t>_D131</t>
  </si>
  <si>
    <t>_D132</t>
  </si>
  <si>
    <t>_D133</t>
  </si>
  <si>
    <t>_D134</t>
  </si>
  <si>
    <t>_D135</t>
  </si>
  <si>
    <t>_D136</t>
  </si>
  <si>
    <t>_D137</t>
  </si>
  <si>
    <t>_D138</t>
  </si>
  <si>
    <t>_D139</t>
  </si>
  <si>
    <t>_D140</t>
  </si>
  <si>
    <t>_D141</t>
  </si>
  <si>
    <t>_D142</t>
  </si>
  <si>
    <t>_D143</t>
  </si>
  <si>
    <t>_D144</t>
  </si>
  <si>
    <t>_D145</t>
  </si>
  <si>
    <t>_D146</t>
  </si>
  <si>
    <t>_D147</t>
  </si>
  <si>
    <t>_D148</t>
  </si>
  <si>
    <t>_D149</t>
  </si>
  <si>
    <t>_D150</t>
  </si>
  <si>
    <t>_D151</t>
  </si>
  <si>
    <t>_D152</t>
  </si>
  <si>
    <t>_D153</t>
  </si>
  <si>
    <t>_D154</t>
  </si>
  <si>
    <t>_D155</t>
  </si>
  <si>
    <t>_D156</t>
  </si>
  <si>
    <t>_D157</t>
  </si>
  <si>
    <t>_D158</t>
  </si>
  <si>
    <t>_D159</t>
  </si>
  <si>
    <t>_D160</t>
  </si>
  <si>
    <t>_D161</t>
  </si>
  <si>
    <t>_D162</t>
  </si>
  <si>
    <t>_D163</t>
  </si>
  <si>
    <t>_D164</t>
  </si>
  <si>
    <t>_D165</t>
  </si>
  <si>
    <t>_D166</t>
  </si>
  <si>
    <t>_D167</t>
  </si>
  <si>
    <t>_D168</t>
  </si>
  <si>
    <t>_D169</t>
  </si>
  <si>
    <t>_D170</t>
  </si>
  <si>
    <t>_D171</t>
  </si>
  <si>
    <t>_D172</t>
  </si>
  <si>
    <t>_D173</t>
  </si>
  <si>
    <t>_D174</t>
  </si>
  <si>
    <t>_D175</t>
  </si>
  <si>
    <t>_D176</t>
  </si>
  <si>
    <t>_D177</t>
  </si>
  <si>
    <t>_D178</t>
  </si>
  <si>
    <t>_D179</t>
  </si>
  <si>
    <t>_D180</t>
  </si>
  <si>
    <t>_D181</t>
  </si>
  <si>
    <t>_D182</t>
  </si>
  <si>
    <t>_D183</t>
  </si>
  <si>
    <t>_D184</t>
  </si>
  <si>
    <t>_D185</t>
  </si>
  <si>
    <t>_D186</t>
  </si>
  <si>
    <t>_D187</t>
  </si>
  <si>
    <t>_D188</t>
  </si>
  <si>
    <t>_D189</t>
  </si>
  <si>
    <t>_D190</t>
  </si>
  <si>
    <t>_D191</t>
  </si>
  <si>
    <t>_D192</t>
  </si>
  <si>
    <t>_D193</t>
  </si>
  <si>
    <t>_D194</t>
  </si>
  <si>
    <t>_D195</t>
  </si>
  <si>
    <t>_D196</t>
  </si>
  <si>
    <t>_D197</t>
  </si>
  <si>
    <t>_D198</t>
  </si>
  <si>
    <t>_D199</t>
  </si>
  <si>
    <t>_D200</t>
  </si>
  <si>
    <t>_D201</t>
  </si>
  <si>
    <t>_D202</t>
  </si>
  <si>
    <t>_D203</t>
  </si>
  <si>
    <t>_D204</t>
  </si>
  <si>
    <t>_D205</t>
  </si>
  <si>
    <t>_D206</t>
  </si>
  <si>
    <t>_D207</t>
  </si>
  <si>
    <t>_D208</t>
  </si>
  <si>
    <t>_D209</t>
  </si>
  <si>
    <t>_D210</t>
  </si>
  <si>
    <t>_D211</t>
  </si>
  <si>
    <t>_D212</t>
  </si>
  <si>
    <t>_D213</t>
  </si>
  <si>
    <t>_D214</t>
  </si>
  <si>
    <t>_D215</t>
  </si>
  <si>
    <t>_D216</t>
  </si>
  <si>
    <t>_D217</t>
  </si>
  <si>
    <t>_D218</t>
  </si>
  <si>
    <t>_D219</t>
  </si>
  <si>
    <t>_D220</t>
  </si>
  <si>
    <t>_D221</t>
  </si>
  <si>
    <t>_D222</t>
  </si>
  <si>
    <t>_D223</t>
  </si>
  <si>
    <t>_D224</t>
  </si>
  <si>
    <t>_D225</t>
  </si>
  <si>
    <t>_D226</t>
  </si>
  <si>
    <t>_D227</t>
  </si>
  <si>
    <t>_D228</t>
  </si>
  <si>
    <t>_D229</t>
  </si>
  <si>
    <t>_D230</t>
  </si>
  <si>
    <t>_D231</t>
  </si>
  <si>
    <t>_D232</t>
  </si>
  <si>
    <t>_D233</t>
  </si>
  <si>
    <t>_D234</t>
  </si>
  <si>
    <t>_D235</t>
  </si>
  <si>
    <t>_D236</t>
  </si>
  <si>
    <t>_D237</t>
  </si>
  <si>
    <t>_D238</t>
  </si>
  <si>
    <t>_D239</t>
  </si>
  <si>
    <t>_D240</t>
  </si>
  <si>
    <t>_D241</t>
  </si>
  <si>
    <t>_D242</t>
  </si>
  <si>
    <t>_D243</t>
  </si>
  <si>
    <t>_D244</t>
  </si>
  <si>
    <t>_D245</t>
  </si>
  <si>
    <t>_D246</t>
  </si>
  <si>
    <t>_D247</t>
  </si>
  <si>
    <t>_D248</t>
  </si>
  <si>
    <t>_D249</t>
  </si>
  <si>
    <t>_D250</t>
  </si>
  <si>
    <t>_D251</t>
  </si>
  <si>
    <t>_D252</t>
  </si>
  <si>
    <t>_D253</t>
  </si>
  <si>
    <t>_D254</t>
  </si>
  <si>
    <t>_D255</t>
  </si>
  <si>
    <t>_D256</t>
  </si>
  <si>
    <t>_D257</t>
  </si>
  <si>
    <t>_D258</t>
  </si>
  <si>
    <t>_D259</t>
  </si>
  <si>
    <t>_D260</t>
  </si>
  <si>
    <t>_D261</t>
  </si>
  <si>
    <t>_D262</t>
  </si>
  <si>
    <t>_D263</t>
  </si>
  <si>
    <t>_D264</t>
  </si>
  <si>
    <t>_D265</t>
  </si>
  <si>
    <t>_D266</t>
  </si>
  <si>
    <t>_D267</t>
  </si>
  <si>
    <t>_D268</t>
  </si>
  <si>
    <t>_D269</t>
  </si>
  <si>
    <t>_D270</t>
  </si>
  <si>
    <t>_D271</t>
  </si>
  <si>
    <t>_D272</t>
  </si>
  <si>
    <t>_D273</t>
  </si>
  <si>
    <t>_D274</t>
  </si>
  <si>
    <t>_D275</t>
  </si>
  <si>
    <t>_D276</t>
  </si>
  <si>
    <t>_D277</t>
  </si>
  <si>
    <t>_D278</t>
  </si>
  <si>
    <t>_D279</t>
  </si>
  <si>
    <t>_D280</t>
  </si>
  <si>
    <t>_D281</t>
  </si>
  <si>
    <t>_D282</t>
  </si>
  <si>
    <t>_D283</t>
  </si>
  <si>
    <t>_D284</t>
  </si>
  <si>
    <t>_D285</t>
  </si>
  <si>
    <t>_D286</t>
  </si>
  <si>
    <t>_D287</t>
  </si>
  <si>
    <t>_D288</t>
  </si>
  <si>
    <t>_D289</t>
  </si>
  <si>
    <t>_D290</t>
  </si>
  <si>
    <t>_D291</t>
  </si>
  <si>
    <t>_D292</t>
  </si>
  <si>
    <t>_D293</t>
  </si>
  <si>
    <t>_D294</t>
  </si>
  <si>
    <t>_D295</t>
  </si>
  <si>
    <t>_D296</t>
  </si>
  <si>
    <t>_D297</t>
  </si>
  <si>
    <t>_D298</t>
  </si>
  <si>
    <t>_D299</t>
  </si>
  <si>
    <t>_D300</t>
  </si>
  <si>
    <t>_D301</t>
  </si>
  <si>
    <t>_D302</t>
  </si>
  <si>
    <t>_D303</t>
  </si>
  <si>
    <t>_D304</t>
  </si>
  <si>
    <t>_D305</t>
  </si>
  <si>
    <t>_D306</t>
  </si>
  <si>
    <t>_D307</t>
  </si>
  <si>
    <t>_D308</t>
  </si>
  <si>
    <t>_D309</t>
  </si>
  <si>
    <t>_D310</t>
  </si>
  <si>
    <t>_D311</t>
  </si>
  <si>
    <t>_D312</t>
  </si>
  <si>
    <t>_D313</t>
  </si>
  <si>
    <t>_D314</t>
  </si>
  <si>
    <t>_D315</t>
  </si>
  <si>
    <t>_D316</t>
  </si>
  <si>
    <t>_D317</t>
  </si>
  <si>
    <t>_D318</t>
  </si>
  <si>
    <t>_D319</t>
  </si>
  <si>
    <t>_D320</t>
  </si>
  <si>
    <t>_D321</t>
  </si>
  <si>
    <t>_D322</t>
  </si>
  <si>
    <t>_D323</t>
  </si>
  <si>
    <t>_D324</t>
  </si>
  <si>
    <t>_D325</t>
  </si>
  <si>
    <t>_D326</t>
  </si>
  <si>
    <t>_D327</t>
  </si>
  <si>
    <t>_D328</t>
  </si>
  <si>
    <t>_D329</t>
  </si>
  <si>
    <t>_D330</t>
  </si>
  <si>
    <t>_D331</t>
  </si>
  <si>
    <t>_D332</t>
  </si>
  <si>
    <t>_D333</t>
  </si>
  <si>
    <t>_D334</t>
  </si>
  <si>
    <t>_D335</t>
  </si>
  <si>
    <t>_D336</t>
  </si>
  <si>
    <t>_D337</t>
  </si>
  <si>
    <t>_D338</t>
  </si>
  <si>
    <t>_D339</t>
  </si>
  <si>
    <t>_D340</t>
  </si>
  <si>
    <t>_D341</t>
  </si>
  <si>
    <t>_D342</t>
  </si>
  <si>
    <t>_D343</t>
  </si>
  <si>
    <t>_D344</t>
  </si>
  <si>
    <t>_D345</t>
  </si>
  <si>
    <t>_D346</t>
  </si>
  <si>
    <t>_D347</t>
  </si>
  <si>
    <t>_D348</t>
  </si>
  <si>
    <t>_D349</t>
  </si>
  <si>
    <t>_D350</t>
  </si>
  <si>
    <t>_D351</t>
  </si>
  <si>
    <t>_D352</t>
  </si>
  <si>
    <t>_D353</t>
  </si>
  <si>
    <t>_D354</t>
  </si>
  <si>
    <t>_D355</t>
  </si>
  <si>
    <t>_D356</t>
  </si>
  <si>
    <t>_D357</t>
  </si>
  <si>
    <t>_D358</t>
  </si>
  <si>
    <t>_D359</t>
  </si>
  <si>
    <t>_D360</t>
  </si>
  <si>
    <t>_D361</t>
  </si>
  <si>
    <t>_D362</t>
  </si>
  <si>
    <t>_D363</t>
  </si>
  <si>
    <t>_D364</t>
  </si>
  <si>
    <t>_D365</t>
  </si>
  <si>
    <t>_D366</t>
  </si>
  <si>
    <t>_D367</t>
  </si>
  <si>
    <t>_D368</t>
  </si>
  <si>
    <t>_D369</t>
  </si>
  <si>
    <t>_D370</t>
  </si>
  <si>
    <t>_D371</t>
  </si>
  <si>
    <t>_D372</t>
  </si>
  <si>
    <t>_D373</t>
  </si>
  <si>
    <t>_D374</t>
  </si>
  <si>
    <t>_D375</t>
  </si>
  <si>
    <t>_D376</t>
  </si>
  <si>
    <t>_D377</t>
  </si>
  <si>
    <t>_D378</t>
  </si>
  <si>
    <t>_D379</t>
  </si>
  <si>
    <t>_D380</t>
  </si>
  <si>
    <t>_D381</t>
  </si>
  <si>
    <t>_D382</t>
  </si>
  <si>
    <t>_D383</t>
  </si>
  <si>
    <t>_D384</t>
  </si>
  <si>
    <t>_D385</t>
  </si>
  <si>
    <t>_D386</t>
  </si>
  <si>
    <t>_D387</t>
  </si>
  <si>
    <t>_D388</t>
  </si>
  <si>
    <t>_D389</t>
  </si>
  <si>
    <t>_D390</t>
  </si>
  <si>
    <t>_D391</t>
  </si>
  <si>
    <t>_D392</t>
  </si>
  <si>
    <t>_D393</t>
  </si>
  <si>
    <t>_D394</t>
  </si>
  <si>
    <t>_D395</t>
  </si>
  <si>
    <t>_D396</t>
  </si>
  <si>
    <t>_D397</t>
  </si>
  <si>
    <t>_D398</t>
  </si>
  <si>
    <t>_D399</t>
  </si>
  <si>
    <t>_D400</t>
  </si>
  <si>
    <t>_D401</t>
  </si>
  <si>
    <t>_D402</t>
  </si>
  <si>
    <t>_D403</t>
  </si>
  <si>
    <t>_D404</t>
  </si>
  <si>
    <t>_D405</t>
  </si>
  <si>
    <t>_D406</t>
  </si>
  <si>
    <t>_D407</t>
  </si>
  <si>
    <t>_D408</t>
  </si>
  <si>
    <t>_D409</t>
  </si>
  <si>
    <t>_D410</t>
  </si>
  <si>
    <t>_D411</t>
  </si>
  <si>
    <t>_D412</t>
  </si>
  <si>
    <t>_D413</t>
  </si>
  <si>
    <t>_D414</t>
  </si>
  <si>
    <t>_D415</t>
  </si>
  <si>
    <t>_D416</t>
  </si>
  <si>
    <t>_D417</t>
  </si>
  <si>
    <t>_D418</t>
  </si>
  <si>
    <t>_D419</t>
  </si>
  <si>
    <t>_D420</t>
  </si>
  <si>
    <t>_D421</t>
  </si>
  <si>
    <t>_D422</t>
  </si>
  <si>
    <t>_D423</t>
  </si>
  <si>
    <t>_D424</t>
  </si>
  <si>
    <t>_D425</t>
  </si>
  <si>
    <t>_D426</t>
  </si>
  <si>
    <t>_D427</t>
  </si>
  <si>
    <t>_D428</t>
  </si>
  <si>
    <t>_D429</t>
  </si>
  <si>
    <t>_D430</t>
  </si>
  <si>
    <t>_D431</t>
  </si>
  <si>
    <t>_D432</t>
  </si>
  <si>
    <t>_D433</t>
  </si>
  <si>
    <t>_D434</t>
  </si>
  <si>
    <t>_D435</t>
  </si>
  <si>
    <t>_D436</t>
  </si>
  <si>
    <t>_D437</t>
  </si>
  <si>
    <t>_D438</t>
  </si>
  <si>
    <t>_D439</t>
  </si>
  <si>
    <t>_D440</t>
  </si>
  <si>
    <t>_D441</t>
  </si>
  <si>
    <t>_D442</t>
  </si>
  <si>
    <t>_D443</t>
  </si>
  <si>
    <t>_D444</t>
  </si>
  <si>
    <t>_D445</t>
  </si>
  <si>
    <t>_D446</t>
  </si>
  <si>
    <t>_D447</t>
  </si>
  <si>
    <t>_D448</t>
  </si>
  <si>
    <t>_D449</t>
  </si>
  <si>
    <t>_D450</t>
  </si>
  <si>
    <t>_D451</t>
  </si>
  <si>
    <t>_D452</t>
  </si>
  <si>
    <t>_D453</t>
  </si>
  <si>
    <t>_D454</t>
  </si>
  <si>
    <t>_D455</t>
  </si>
  <si>
    <t>_D456</t>
  </si>
  <si>
    <t>_D457</t>
  </si>
  <si>
    <t>_D458</t>
  </si>
  <si>
    <t>_D459</t>
  </si>
  <si>
    <t>_D460</t>
  </si>
  <si>
    <t>_D461</t>
  </si>
  <si>
    <t>_D462</t>
  </si>
  <si>
    <t>_D463</t>
  </si>
  <si>
    <t>_D464</t>
  </si>
  <si>
    <t>_D465</t>
  </si>
  <si>
    <t>_D466</t>
  </si>
  <si>
    <t>_D467</t>
  </si>
  <si>
    <t>_D468</t>
  </si>
  <si>
    <t>_D469</t>
  </si>
  <si>
    <t>_D470</t>
  </si>
  <si>
    <t>_D471</t>
  </si>
  <si>
    <t>_D472</t>
  </si>
  <si>
    <t>_D473</t>
  </si>
  <si>
    <t>_D474</t>
  </si>
  <si>
    <t>_D475</t>
  </si>
  <si>
    <t>_D476</t>
  </si>
  <si>
    <t>_D477</t>
  </si>
  <si>
    <t>_D478</t>
  </si>
  <si>
    <t>_D479</t>
  </si>
  <si>
    <t>_D480</t>
  </si>
  <si>
    <t>_D481</t>
  </si>
  <si>
    <t>_D482</t>
  </si>
  <si>
    <t>_D483</t>
  </si>
  <si>
    <t>_D484</t>
  </si>
  <si>
    <t>_D485</t>
  </si>
  <si>
    <t>_D486</t>
  </si>
  <si>
    <t>_D487</t>
  </si>
  <si>
    <t>_D488</t>
  </si>
  <si>
    <t>_D489</t>
  </si>
  <si>
    <t>_D490</t>
  </si>
  <si>
    <t>_D491</t>
  </si>
  <si>
    <t>_D492</t>
  </si>
  <si>
    <t>_D493</t>
  </si>
  <si>
    <t>_D494</t>
  </si>
  <si>
    <t>_D495</t>
  </si>
  <si>
    <t>_D496</t>
  </si>
  <si>
    <t>_D497</t>
  </si>
  <si>
    <t>_D498</t>
  </si>
  <si>
    <t>_D499</t>
  </si>
  <si>
    <t>_D500</t>
  </si>
  <si>
    <t>_D501</t>
  </si>
  <si>
    <t>_D502</t>
  </si>
  <si>
    <t>_D503</t>
  </si>
  <si>
    <t>_D504</t>
  </si>
  <si>
    <t>_D505</t>
  </si>
  <si>
    <t>_D506</t>
  </si>
  <si>
    <t>_D507</t>
  </si>
  <si>
    <t>_D508</t>
  </si>
  <si>
    <t>_D509</t>
  </si>
  <si>
    <t>_D510</t>
  </si>
  <si>
    <t>_D511</t>
  </si>
  <si>
    <t>_D512</t>
  </si>
  <si>
    <t>_D513</t>
  </si>
  <si>
    <t>_D514</t>
  </si>
  <si>
    <t>_D515</t>
  </si>
  <si>
    <t>_D516</t>
  </si>
  <si>
    <t>_D517</t>
  </si>
  <si>
    <t>_D518</t>
  </si>
  <si>
    <t>_D519</t>
  </si>
  <si>
    <t>_D520</t>
  </si>
  <si>
    <t>Sub Structure|Site Preparation &amp; Earthwork</t>
  </si>
  <si>
    <t>Sub Structure|Shoring &amp; Sheet Pile</t>
  </si>
  <si>
    <t>Sub Structure|Bored Pile</t>
  </si>
  <si>
    <t>Sub Structure|Driven Pile / Micro Pile</t>
  </si>
  <si>
    <t>Sub Structure|Pile Cap &amp; Stump</t>
  </si>
  <si>
    <t>Sub Structure|Footing / Raft Foundation</t>
  </si>
  <si>
    <t>Sub Structure|Ground Beam / Tie Beam</t>
  </si>
  <si>
    <t>Sub Structure|Slab on Grade / Ground Slab</t>
  </si>
  <si>
    <t>Sub Structure|Septic tank</t>
  </si>
  <si>
    <t>Sub Structure|Water Tank / Sump Pit</t>
  </si>
  <si>
    <t>Sub Structure|Lift Pit</t>
  </si>
  <si>
    <t>Sub Structure|Basement / Retaining Wall</t>
  </si>
  <si>
    <t>Super Structure|Structural Column</t>
  </si>
  <si>
    <t>Super Structure|Structural Beam</t>
  </si>
  <si>
    <t>Super Structure|Structural Slab</t>
  </si>
  <si>
    <t>Super Structure|Structural Wall</t>
  </si>
  <si>
    <t>Super Structure|Structural Staircase</t>
  </si>
  <si>
    <t>Super Structure|Parapet wall &amp; Stiffener Column</t>
  </si>
  <si>
    <t>Super Structure|Lift Core / Shear Core</t>
  </si>
  <si>
    <t>Super Structure|Ramp</t>
  </si>
  <si>
    <t>Super Structure|Structural Steel</t>
  </si>
  <si>
    <t>Super Structure|Roof Structure / Truss</t>
  </si>
  <si>
    <t>Super Structure|Testing &amp; Quality Control</t>
  </si>
  <si>
    <t>Exterior Wall and Partition|Hollow clay brick</t>
  </si>
  <si>
    <t>Exterior Wall and Partition|Concrete block</t>
  </si>
  <si>
    <t>Exterior Wall and Partition|AAC block</t>
  </si>
  <si>
    <t>Exterior Wall and Partition|Precast concrete panel</t>
  </si>
  <si>
    <t>Exterior Wall and Partition|External façade</t>
  </si>
  <si>
    <t>Exterior Wall Finishes|Plastering</t>
  </si>
  <si>
    <t>Exterior Wall Finishes|Painting</t>
  </si>
  <si>
    <t>Exterior Wall Finishes|Wall tiling</t>
  </si>
  <si>
    <t>Exterior Wall Finishes|Expansion joint</t>
  </si>
  <si>
    <t>Exterior Door|Steel Door</t>
  </si>
  <si>
    <t>Exterior Door|Aluminium door</t>
  </si>
  <si>
    <t>Exterior Door|Glass door</t>
  </si>
  <si>
    <t>Exterior Door|Rolling shutter</t>
  </si>
  <si>
    <t>Exterior Door|Door ironmongery</t>
  </si>
  <si>
    <t>Exterior Window and Louver|Glass Window</t>
  </si>
  <si>
    <t>Exterior Window and Louver|Aluminium louver</t>
  </si>
  <si>
    <t>Exterior Window and Louver|Window accessories</t>
  </si>
  <si>
    <t>Exterior floor|Screeding</t>
  </si>
  <si>
    <t>Exterior floor|Floor tiling</t>
  </si>
  <si>
    <t>Exterior floor|Waterproofing</t>
  </si>
  <si>
    <t>Exterior soffit|Soffit finishes</t>
  </si>
  <si>
    <t>Exterior Stair Ramp|Stair &amp; Ramp finishes</t>
  </si>
  <si>
    <t>Exterior Stair Ramp|Handrail &amp; Balustrade</t>
  </si>
  <si>
    <t>Roofing|Roof covering</t>
  </si>
  <si>
    <t>Roofing|Roof waterproofing &amp; insulation</t>
  </si>
  <si>
    <t>Roofing|Roof drainage</t>
  </si>
  <si>
    <t>Roofing|Roof accessories</t>
  </si>
  <si>
    <t>Interior Wall and Partition|Hollow clay brick</t>
  </si>
  <si>
    <t>Interior Wall and Partition|Dry wall partition</t>
  </si>
  <si>
    <t>Interior Wall and Partition|Glass partition</t>
  </si>
  <si>
    <t>Interior Wall and Partition|Toilet cubicle</t>
  </si>
  <si>
    <t>Interior Wall and Partition|Handrail</t>
  </si>
  <si>
    <t>Interior Doors|Wood door</t>
  </si>
  <si>
    <t>Interior Doors|PVC door</t>
  </si>
  <si>
    <t>Interior Doors|Steel Door</t>
  </si>
  <si>
    <t>Interior Doors|Aluminium / Glass door</t>
  </si>
  <si>
    <t>Interior Doors|Door ironmongery</t>
  </si>
  <si>
    <t>Interior Doors|Interior window / louver</t>
  </si>
  <si>
    <t>Special installation|Gas installation</t>
  </si>
  <si>
    <t>Interior Wall Finishes|Plastering</t>
  </si>
  <si>
    <t>Interior Wall Finishes|Painting</t>
  </si>
  <si>
    <t>Interior Wall Finishes|Wall tiling</t>
  </si>
  <si>
    <t>Interior Wall Finishes|Wall cladding</t>
  </si>
  <si>
    <t>Interior Wall Finishes|Skirting</t>
  </si>
  <si>
    <t>Interior Floor Finishes|Screeding</t>
  </si>
  <si>
    <t>Interior Floor Finishes|Floor tiling</t>
  </si>
  <si>
    <t>Interior Floor Finishes|Stone flooring</t>
  </si>
  <si>
    <t>Interior Floor Finishes|Resilient flooring</t>
  </si>
  <si>
    <t>Interior Floor Finishes|Waterproofing</t>
  </si>
  <si>
    <t>Interior Floor Finishes|Floor accessories</t>
  </si>
  <si>
    <t>Ceiling Finishes|Suspended ceiling</t>
  </si>
  <si>
    <t>Ceiling Finishes|Acoustic ceiling</t>
  </si>
  <si>
    <t>Ceiling Finishes|Metal ceiling</t>
  </si>
  <si>
    <t>Ceiling Finishes|Ceiling accessories</t>
  </si>
  <si>
    <t>Fittings, furnishings and equipment|General Fitting</t>
  </si>
  <si>
    <t>Fittings, furnishings and equipment|Kitchen Fitting</t>
  </si>
  <si>
    <t>Fittings, furnishings and equipment|Special purpose Fitting</t>
  </si>
  <si>
    <t>Fittings, furnishings and equipment|Signage</t>
  </si>
  <si>
    <t>Sanitary Installations|Sanitary ware</t>
  </si>
  <si>
    <t>Sanitary Installations|Sanitary fitting</t>
  </si>
  <si>
    <t>Sanitary Installations|Sanitary accessories</t>
  </si>
  <si>
    <t>AIR-CONDITIONAL SYSTEM|Split unit system</t>
  </si>
  <si>
    <t>AIR-CONDITIONAL SYSTEM|VRF / VRV system</t>
  </si>
  <si>
    <t>AIR-CONDITIONAL SYSTEM|Chilled water system</t>
  </si>
  <si>
    <t>AIR-CONDITIONAL SYSTEM|AC piping &amp; accessories</t>
  </si>
  <si>
    <t>MECHANICAL VENTILATION SYSTEM|Ventilation fan</t>
  </si>
  <si>
    <t>MECHANICAL VENTILATION SYSTEM|Specialist ventilation</t>
  </si>
  <si>
    <t>MV DISTRIBUTION SYSTEM|Ductwork</t>
  </si>
  <si>
    <t>MV DISTRIBUTION SYSTEM|Air terminal</t>
  </si>
  <si>
    <t>MV DISTRIBUTION SYSTEM|Damper &amp; control</t>
  </si>
  <si>
    <t>ELECTRICAL SYSTEM|Main distribution</t>
  </si>
  <si>
    <t>ELECTRICAL SYSTEM|Cable &amp; containment</t>
  </si>
  <si>
    <t>ELECTRICAL SYSTEM|Power &amp; wiring accessories</t>
  </si>
  <si>
    <t>ELECTRICAL SYSTEM|Lighting</t>
  </si>
  <si>
    <t>ELECTRICAL SYSTEM|Earthing &amp; lightning protection</t>
  </si>
  <si>
    <t>ELECTRICAL SYSTEM|Standby power</t>
  </si>
  <si>
    <t>ELV INSTALLATION|Fire alarm system</t>
  </si>
  <si>
    <t>ELV INSTALLATION|Security system</t>
  </si>
  <si>
    <t>ELV INSTALLATION|Communication system</t>
  </si>
  <si>
    <t>ELV INSTALLATION|Audio visual &amp; school system</t>
  </si>
  <si>
    <t>ELV INSTALLATION|Building management</t>
  </si>
  <si>
    <t>PLUMBING SYSTEM|Water supply</t>
  </si>
  <si>
    <t>PLUMBING SYSTEM|Water storage &amp; pump</t>
  </si>
  <si>
    <t>PLUMBING SYSTEM|Drainage</t>
  </si>
  <si>
    <t>PLUMBING SYSTEM|Sewage treatment</t>
  </si>
  <si>
    <t>FIRE FIGHTING SYSTEM|Hydrant &amp; hose reel</t>
  </si>
  <si>
    <t>FIRE FIGHTING SYSTEM|Sprinkler system</t>
  </si>
  <si>
    <t>FIRE FIGHTING SYSTEM|Fire pump &amp; tank</t>
  </si>
  <si>
    <t>FIRE FIGHTING SYSTEM|Portable &amp; special suppression</t>
  </si>
  <si>
    <t>Specialist Installations|Renewable &amp; specialist</t>
  </si>
  <si>
    <t>VERTICAL TRANSPORTATION SYSTEM|Lift</t>
  </si>
  <si>
    <t>VERTICAL TRANSPORTATION SYSTEM|Escalator</t>
  </si>
  <si>
    <t>VERTICAL TRANSPORTATION SYSTEM|Lift shaft equipment</t>
  </si>
  <si>
    <t>Services|Testing &amp; Commissioning</t>
  </si>
  <si>
    <t>External Work|Site preparation</t>
  </si>
  <si>
    <t>External Work|Roads, path, paving</t>
  </si>
  <si>
    <t>External Work|Landscape</t>
  </si>
  <si>
    <t>External Work|Fence, railing &amp; wall</t>
  </si>
  <si>
    <t>External Work|External fixture</t>
  </si>
  <si>
    <t>Interior Floor Finishes|Toilet Floor tile</t>
  </si>
  <si>
    <t>Interior Wall Finishes|Toilet Wall tile</t>
  </si>
  <si>
    <t>Interior Floor Finishes|Toilet Floor tile|Toilet Floor tile</t>
  </si>
  <si>
    <t>Interior Wall Finishes|Toilet Wall tile|Toilet Wall tile</t>
  </si>
  <si>
    <t>NAMING STANDARD &amp; DUPLICATE WARNING</t>
  </si>
  <si>
    <t>Inconsistent spelling splits SUMIFS roll-ups. These variants exist in the current project file — standardise on the left column.</t>
  </si>
  <si>
    <t>Use this (standard)</t>
  </si>
  <si>
    <t>Do NOT use (variant found)</t>
  </si>
  <si>
    <t>Why it matters</t>
  </si>
  <si>
    <t>Internal Wall Finishes</t>
  </si>
  <si>
    <t>Two spellings = two separate D.01 groups in the BoQ</t>
  </si>
  <si>
    <t>Internal Floor Finishes</t>
  </si>
  <si>
    <t>Two spellings = two separate D.02 groups</t>
  </si>
  <si>
    <t>Ceiling Finshes</t>
  </si>
  <si>
    <t>Typo in current file — breaks lookup against Budget Code list</t>
  </si>
  <si>
    <t>External Wall and Partition</t>
  </si>
  <si>
    <t>Budget Code C.01 wording</t>
  </si>
  <si>
    <t>External Windows and Louvers</t>
  </si>
  <si>
    <t>Budget Code C.04 wording</t>
  </si>
  <si>
    <t>Interior Door</t>
  </si>
  <si>
    <t>Budget Code C.10 wording</t>
  </si>
  <si>
    <t>Keep Sub Section = Handrail; put location in Sub Element / Description</t>
  </si>
  <si>
    <t>(no trailing spaces)</t>
  </si>
  <si>
    <t>"Formwork " / "Marble on staircase "</t>
  </si>
  <si>
    <t>Trailing spaces silently zero-out SUMIFS — always TRIM</t>
  </si>
  <si>
    <t>RULES OF USE</t>
  </si>
  <si>
    <t>1.  Section = Budget Code element (e.g. Interior Wall Finishes). One Section = one Budget Code.</t>
  </si>
  <si>
    <t>2.  Sub Section = work type / trade package (e.g. Plastering, Hollow clay brick, Lighting).</t>
  </si>
  <si>
    <t>3.  Sub Element = the item measured (e.g. Toilet Wall tile, Emergency light).</t>
  </si>
  <si>
    <t>4.  Description (Material Type) = the priced specification wording. THIS is what the rate attaches to.</t>
  </si>
  <si>
    <t>5.  Structure differs: Sub Section = structural element (Structural Beam); Sub Element = work type (Concrete, Rebar, Formwork).</t>
  </si>
  <si>
    <t>6.  Descriptions marked "In Price List = Yes" already carry a rate in the current project — reuse them for consistency.</t>
  </si>
  <si>
    <t>7.  Always edit sizes / grades in the Description to match the specification before pricing.</t>
  </si>
  <si>
    <t>8.  Never retype a Section or Description — copy from this library so the spelling never drifts.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</si>
</sst>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7" x14ac:knownFonts="1">
    <font>
      <sz val="11"/>
      <color theme="1"/>
      <name val="Calibri"/>
      <family val="2"/>
      <charset val="1"/>
    </font>
    <font>
      <b/>
      <sz val="15"/>
      <color rgb="FF1F4E78"/>
      <name val="Arial"/>
      <charset val="1"/>
    </font>
    <font>
      <i/>
      <sz val="9"/>
      <color rgb="FF808080"/>
      <name val="Arial"/>
      <charset val="1"/>
    </font>
    <font>
      <i/>
      <sz val="8"/>
      <color rgb="FFA6A6A6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4E78"/>
      <name val="Arial"/>
      <charset val="1"/>
    </font>
    <font>
      <sz val="8"/>
      <color rgb="FFBFBFBF"/>
      <name val="Arial"/>
      <charset val="1"/>
    </font>
    <font>
      <b/>
      <sz val="9"/>
      <color rgb="FF548235"/>
      <name val="Arial"/>
      <charset val="1"/>
    </font>
    <font>
      <b/>
      <sz val="9"/>
      <color rgb="FFBF8F00"/>
      <name val="Arial"/>
      <charset val="1"/>
    </font>
    <font>
      <b/>
      <sz val="9"/>
      <color rgb="FF7F6000"/>
      <name val="Arial"/>
      <charset val="1"/>
    </font>
    <font>
      <b/>
      <sz val="11"/>
      <color rgb="FF0000FF"/>
      <name val="Arial"/>
      <charset val="1"/>
    </font>
    <font>
      <i/>
      <sz val="8"/>
      <color rgb="FFC00000"/>
      <name val="Arial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  <font>
      <i/>
      <sz val="8"/>
      <color rgb="FFBF8F00"/>
      <name val="Arial"/>
      <charset val="1"/>
    </font>
    <font>
      <b/>
      <sz val="9"/>
      <color rgb="FF006100"/>
      <name val="Arial"/>
      <charset val="1"/>
    </font>
    <font>
      <i/>
      <sz val="8"/>
      <color rgb="FF666666"/>
      <name val="Arial"/>
      <charset val="1"/>
    </font>
    <font>
      <i/>
      <sz val="8"/>
      <color rgb="FF548235"/>
      <name val="Arial"/>
      <charset val="1"/>
    </font>
    <font>
      <sz val="9"/>
      <color rgb="FF808080"/>
      <name val="Arial"/>
      <charset val="1"/>
    </font>
    <font>
      <i/>
      <sz val="8"/>
      <color rgb="FF1F4E78"/>
      <name val="Arial"/>
      <charset val="1"/>
    </font>
    <font>
      <b/>
      <i/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2"/>
      <color rgb="FF1F4E78"/>
      <name val="Arial"/>
      <charset val="1"/>
    </font>
    <font>
      <b/>
      <sz val="9"/>
      <color rgb="FFFFFFFF"/>
      <name val="Arial"/>
      <charset val="1"/>
    </font>
    <font>
      <b/>
      <sz val="10"/>
      <color rgb="FF1F4E78"/>
      <name val="Arial"/>
      <charset val="1"/>
    </font>
    <font>
      <b/>
      <sz val="9"/>
      <color rgb="FF7030A0"/>
      <name val="Arial"/>
      <charset val="1"/>
    </font>
    <font>
      <sz val="9"/>
      <color rgb="FF008000"/>
      <name val="Arial"/>
      <charset val="1"/>
    </font>
    <font>
      <b/>
      <sz val="9"/>
      <color rgb="FF0000FF"/>
      <name val="Arial"/>
      <charset val="1"/>
    </font>
    <font>
      <b/>
      <sz val="11"/>
      <color rgb="FFC00000"/>
      <name val="Arial"/>
      <charset val="1"/>
    </font>
    <font>
      <i/>
      <sz val="8"/>
      <color rgb="FF808080"/>
      <name val="Arial"/>
      <charset val="1"/>
    </font>
    <font>
      <sz val="8"/>
      <color rgb="FF808080"/>
      <name val="Arial"/>
      <charset val="1"/>
    </font>
    <font>
      <sz val="8"/>
      <color rgb="FF000000"/>
      <name val="Arial"/>
      <charset val="1"/>
    </font>
    <font>
      <b/>
      <sz val="14"/>
      <color rgb="FFC00000"/>
      <name val="Arial"/>
      <charset val="1"/>
    </font>
    <font>
      <sz val="9"/>
      <color rgb="FFC00000"/>
      <name val="Arial"/>
      <charset val="1"/>
    </font>
    <font>
      <b/>
      <sz val="11"/>
      <color rgb="FF1F4E78"/>
      <name val="Arial"/>
      <charset val="1"/>
    </font>
    <font>
      <sz val="9"/>
      <color rgb="FF40404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FF66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6" fillId="0" borderId="0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/>
    <xf numFmtId="165" fontId="11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/>
    <xf numFmtId="0" fontId="7" fillId="0" borderId="0" xfId="0" applyFont="1"/>
    <xf numFmtId="164" fontId="13" fillId="3" borderId="1" xfId="0" applyNumberFormat="1" applyFont="1" applyFill="1" applyBorder="1" applyAlignment="1">
      <alignment horizontal="right" vertical="center"/>
    </xf>
    <xf numFmtId="165" fontId="13" fillId="3" borderId="1" xfId="0" applyNumberFormat="1" applyFont="1" applyFill="1" applyBorder="1" applyAlignment="1">
      <alignment horizontal="right" vertical="center"/>
    </xf>
    <xf numFmtId="164" fontId="14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left" vertical="center" wrapText="1"/>
    </xf>
    <xf numFmtId="0" fontId="7" fillId="0" borderId="0" xfId="0" applyFont="1" applyAlignment="1"/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3" fontId="11" fillId="3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" fontId="19" fillId="6" borderId="1" xfId="0" applyNumberFormat="1" applyFont="1" applyFill="1" applyBorder="1" applyAlignment="1">
      <alignment horizontal="right" vertical="center"/>
    </xf>
    <xf numFmtId="164" fontId="13" fillId="3" borderId="1" xfId="0" applyNumberFormat="1" applyFont="1" applyFill="1" applyBorder="1" applyAlignment="1">
      <alignment horizontal="right" vertical="center"/>
    </xf>
    <xf numFmtId="0" fontId="2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" fontId="13" fillId="3" borderId="1" xfId="0" applyNumberFormat="1" applyFont="1" applyFill="1" applyBorder="1" applyAlignment="1">
      <alignment horizontal="right" vertical="center"/>
    </xf>
    <xf numFmtId="0" fontId="0" fillId="7" borderId="1" xfId="0" applyFill="1" applyBorder="1" applyAlignment="1"/>
    <xf numFmtId="0" fontId="21" fillId="7" borderId="1" xfId="0" applyFont="1" applyFill="1" applyBorder="1" applyAlignment="1"/>
    <xf numFmtId="164" fontId="14" fillId="7" borderId="1" xfId="0" applyNumberFormat="1" applyFont="1" applyFill="1" applyBorder="1" applyAlignment="1">
      <alignment horizontal="right" vertical="center"/>
    </xf>
    <xf numFmtId="0" fontId="0" fillId="2" borderId="1" xfId="0" applyFill="1" applyBorder="1" applyAlignment="1"/>
    <xf numFmtId="0" fontId="22" fillId="2" borderId="1" xfId="0" applyFont="1" applyFill="1" applyBorder="1" applyAlignment="1"/>
    <xf numFmtId="164" fontId="22" fillId="2" borderId="1" xfId="0" applyNumberFormat="1" applyFont="1" applyFill="1" applyBorder="1" applyAlignment="1">
      <alignment horizontal="right" vertical="center"/>
    </xf>
    <xf numFmtId="0" fontId="23" fillId="0" borderId="0" xfId="0" applyFont="1" applyAlignment="1"/>
    <xf numFmtId="0" fontId="2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/>
    <xf numFmtId="164" fontId="4" fillId="2" borderId="1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164" fontId="23" fillId="0" borderId="0" xfId="0" applyNumberFormat="1" applyFont="1" applyAlignment="1">
      <alignment horizontal="righ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right" vertical="center"/>
    </xf>
    <xf numFmtId="164" fontId="27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29" fillId="0" borderId="0" xfId="0" applyFont="1" applyAlignment="1"/>
    <xf numFmtId="0" fontId="30" fillId="0" borderId="0" xfId="0" applyFont="1" applyAlignment="1"/>
    <xf numFmtId="0" fontId="24" fillId="2" borderId="0" xfId="0" applyFont="1" applyFill="1" applyAlignment="1"/>
    <xf numFmtId="0" fontId="24" fillId="4" borderId="0" xfId="0" applyFont="1" applyFill="1" applyAlignment="1"/>
    <xf numFmtId="0" fontId="31" fillId="0" borderId="0" xfId="0" applyFont="1" applyAlignment="1"/>
    <xf numFmtId="0" fontId="5" fillId="0" borderId="0" xfId="0" applyFont="1" applyAlignment="1"/>
    <xf numFmtId="0" fontId="32" fillId="0" borderId="0" xfId="0" applyFont="1" applyAlignment="1"/>
    <xf numFmtId="0" fontId="33" fillId="0" borderId="0" xfId="0" applyFont="1" applyAlignment="1"/>
    <xf numFmtId="0" fontId="16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66"/>
      <rgbColor rgb="FFA6A6A6"/>
      <rgbColor rgb="FF003366"/>
      <rgbColor rgb="FF548235"/>
      <rgbColor rgb="FF0061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3"/>
  <sheetViews>
    <sheetView showGridLines="0" zoomScaleNormal="100" workbookViewId="0">
      <pane ySplit="5" topLeftCell="A505" activePane="bottomLeft" state="frozen"/>
      <selection pane="bottomLeft" activeCell="D537" sqref="D537"/>
    </sheetView>
  </sheetViews>
  <sheetFormatPr defaultColWidth="8.7109375" defaultRowHeight="15" x14ac:dyDescent="0.25"/>
  <cols>
    <col min="1" max="1" width="6" style="4" customWidth="1"/>
    <col min="2" max="2" width="17" style="4" customWidth="1"/>
    <col min="3" max="3" width="11" style="4" customWidth="1"/>
    <col min="4" max="4" width="28" style="4" customWidth="1"/>
    <col min="5" max="5" width="27" style="4" customWidth="1"/>
    <col min="6" max="6" width="30" style="4" customWidth="1"/>
    <col min="7" max="7" width="10" style="4" customWidth="1"/>
    <col min="8" max="8" width="9" style="4" customWidth="1"/>
    <col min="9" max="9" width="58" style="4" customWidth="1"/>
    <col min="10" max="10" width="4" style="4" hidden="1" customWidth="1"/>
  </cols>
  <sheetData>
    <row r="1" spans="1:10" ht="18" customHeight="1" x14ac:dyDescent="0.3">
      <c r="A1" s="5" t="s">
        <v>0</v>
      </c>
    </row>
    <row r="2" spans="1:10" ht="15" customHeight="1" x14ac:dyDescent="0.25">
      <c r="A2" s="6" t="s">
        <v>1</v>
      </c>
    </row>
    <row r="3" spans="1:10" ht="15" customHeight="1" x14ac:dyDescent="0.25">
      <c r="A3" s="7" t="s">
        <v>2</v>
      </c>
    </row>
    <row r="5" spans="1:10" ht="23.25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</row>
    <row r="6" spans="1:10" ht="15" customHeight="1" x14ac:dyDescent="0.25">
      <c r="A6" s="9">
        <v>1</v>
      </c>
      <c r="B6" s="10" t="s">
        <v>13</v>
      </c>
      <c r="C6" s="11" t="s">
        <v>14</v>
      </c>
      <c r="D6" s="12" t="s">
        <v>15</v>
      </c>
      <c r="E6" s="12" t="s">
        <v>16</v>
      </c>
      <c r="F6" s="12" t="s">
        <v>17</v>
      </c>
      <c r="G6" s="9" t="s">
        <v>18</v>
      </c>
      <c r="H6" s="9">
        <v>1</v>
      </c>
      <c r="I6" s="12" t="s">
        <v>19</v>
      </c>
      <c r="J6" s="13" t="s">
        <v>20</v>
      </c>
    </row>
    <row r="7" spans="1:10" ht="15" customHeight="1" x14ac:dyDescent="0.25">
      <c r="A7" s="9">
        <v>2</v>
      </c>
      <c r="B7" s="10" t="s">
        <v>13</v>
      </c>
      <c r="C7" s="11" t="s">
        <v>14</v>
      </c>
      <c r="D7" s="12" t="s">
        <v>15</v>
      </c>
      <c r="E7" s="12" t="s">
        <v>16</v>
      </c>
      <c r="F7" s="12" t="s">
        <v>21</v>
      </c>
      <c r="G7" s="9" t="s">
        <v>22</v>
      </c>
      <c r="H7" s="9">
        <v>1</v>
      </c>
      <c r="I7" s="12" t="s">
        <v>23</v>
      </c>
      <c r="J7" s="13" t="s">
        <v>24</v>
      </c>
    </row>
    <row r="8" spans="1:10" ht="15" customHeight="1" x14ac:dyDescent="0.25">
      <c r="A8" s="9">
        <v>3</v>
      </c>
      <c r="B8" s="10" t="s">
        <v>13</v>
      </c>
      <c r="C8" s="11" t="s">
        <v>14</v>
      </c>
      <c r="D8" s="12" t="s">
        <v>15</v>
      </c>
      <c r="E8" s="12" t="s">
        <v>16</v>
      </c>
      <c r="F8" s="12" t="s">
        <v>25</v>
      </c>
      <c r="G8" s="9" t="s">
        <v>22</v>
      </c>
      <c r="H8" s="9">
        <v>1</v>
      </c>
      <c r="I8" s="12" t="s">
        <v>26</v>
      </c>
      <c r="J8" s="13" t="s">
        <v>27</v>
      </c>
    </row>
    <row r="9" spans="1:10" ht="15" customHeight="1" x14ac:dyDescent="0.25">
      <c r="A9" s="9">
        <v>4</v>
      </c>
      <c r="B9" s="10" t="s">
        <v>13</v>
      </c>
      <c r="C9" s="11" t="s">
        <v>14</v>
      </c>
      <c r="D9" s="12" t="s">
        <v>15</v>
      </c>
      <c r="E9" s="12" t="s">
        <v>16</v>
      </c>
      <c r="F9" s="12" t="s">
        <v>28</v>
      </c>
      <c r="G9" s="9" t="s">
        <v>22</v>
      </c>
      <c r="H9" s="9">
        <v>1</v>
      </c>
      <c r="I9" s="12" t="s">
        <v>29</v>
      </c>
      <c r="J9" s="13" t="s">
        <v>30</v>
      </c>
    </row>
    <row r="10" spans="1:10" ht="15" customHeight="1" x14ac:dyDescent="0.25">
      <c r="A10" s="9">
        <v>5</v>
      </c>
      <c r="B10" s="10" t="s">
        <v>13</v>
      </c>
      <c r="C10" s="11" t="s">
        <v>14</v>
      </c>
      <c r="D10" s="12" t="s">
        <v>15</v>
      </c>
      <c r="E10" s="12" t="s">
        <v>16</v>
      </c>
      <c r="F10" s="12" t="s">
        <v>31</v>
      </c>
      <c r="G10" s="9" t="s">
        <v>18</v>
      </c>
      <c r="H10" s="9">
        <v>1</v>
      </c>
      <c r="I10" s="12" t="s">
        <v>32</v>
      </c>
      <c r="J10" s="13" t="s">
        <v>33</v>
      </c>
    </row>
    <row r="11" spans="1:10" ht="15" customHeight="1" x14ac:dyDescent="0.25">
      <c r="A11" s="9">
        <v>6</v>
      </c>
      <c r="B11" s="10" t="s">
        <v>13</v>
      </c>
      <c r="C11" s="11" t="s">
        <v>14</v>
      </c>
      <c r="D11" s="12" t="s">
        <v>15</v>
      </c>
      <c r="E11" s="12" t="s">
        <v>16</v>
      </c>
      <c r="F11" s="12" t="s">
        <v>34</v>
      </c>
      <c r="G11" s="9" t="s">
        <v>35</v>
      </c>
      <c r="H11" s="9">
        <v>1</v>
      </c>
      <c r="I11" s="12" t="s">
        <v>36</v>
      </c>
      <c r="J11" s="13" t="s">
        <v>37</v>
      </c>
    </row>
    <row r="12" spans="1:10" ht="15" customHeight="1" x14ac:dyDescent="0.25">
      <c r="A12" s="9">
        <v>7</v>
      </c>
      <c r="B12" s="10" t="s">
        <v>13</v>
      </c>
      <c r="C12" s="11" t="s">
        <v>14</v>
      </c>
      <c r="D12" s="12" t="s">
        <v>15</v>
      </c>
      <c r="E12" s="12" t="s">
        <v>16</v>
      </c>
      <c r="F12" s="12" t="s">
        <v>38</v>
      </c>
      <c r="G12" s="9" t="s">
        <v>18</v>
      </c>
      <c r="H12" s="9">
        <v>1</v>
      </c>
      <c r="I12" s="12" t="s">
        <v>39</v>
      </c>
      <c r="J12" s="13" t="s">
        <v>40</v>
      </c>
    </row>
    <row r="13" spans="1:10" ht="15" customHeight="1" x14ac:dyDescent="0.25">
      <c r="A13" s="9">
        <v>8</v>
      </c>
      <c r="B13" s="10" t="s">
        <v>13</v>
      </c>
      <c r="C13" s="11" t="s">
        <v>41</v>
      </c>
      <c r="D13" s="12" t="s">
        <v>15</v>
      </c>
      <c r="E13" s="12" t="s">
        <v>42</v>
      </c>
      <c r="F13" s="12" t="s">
        <v>43</v>
      </c>
      <c r="G13" s="9" t="s">
        <v>18</v>
      </c>
      <c r="H13" s="9">
        <v>1</v>
      </c>
      <c r="I13" s="12" t="s">
        <v>44</v>
      </c>
      <c r="J13" s="13" t="s">
        <v>45</v>
      </c>
    </row>
    <row r="14" spans="1:10" ht="15" customHeight="1" x14ac:dyDescent="0.25">
      <c r="A14" s="9">
        <v>9</v>
      </c>
      <c r="B14" s="10" t="s">
        <v>13</v>
      </c>
      <c r="C14" s="11" t="s">
        <v>41</v>
      </c>
      <c r="D14" s="12" t="s">
        <v>15</v>
      </c>
      <c r="E14" s="12" t="s">
        <v>42</v>
      </c>
      <c r="F14" s="12" t="s">
        <v>46</v>
      </c>
      <c r="G14" s="9" t="s">
        <v>18</v>
      </c>
      <c r="H14" s="9">
        <v>1</v>
      </c>
      <c r="I14" s="12" t="s">
        <v>47</v>
      </c>
      <c r="J14" s="13" t="s">
        <v>48</v>
      </c>
    </row>
    <row r="15" spans="1:10" ht="15" customHeight="1" x14ac:dyDescent="0.25">
      <c r="A15" s="9">
        <v>10</v>
      </c>
      <c r="B15" s="10" t="s">
        <v>13</v>
      </c>
      <c r="C15" s="11" t="s">
        <v>41</v>
      </c>
      <c r="D15" s="12" t="s">
        <v>15</v>
      </c>
      <c r="E15" s="12" t="s">
        <v>42</v>
      </c>
      <c r="F15" s="12" t="s">
        <v>49</v>
      </c>
      <c r="G15" s="9" t="s">
        <v>18</v>
      </c>
      <c r="H15" s="9">
        <v>1</v>
      </c>
      <c r="I15" s="12" t="s">
        <v>50</v>
      </c>
      <c r="J15" s="13" t="s">
        <v>51</v>
      </c>
    </row>
    <row r="16" spans="1:10" ht="15" customHeight="1" x14ac:dyDescent="0.25">
      <c r="A16" s="9">
        <v>11</v>
      </c>
      <c r="B16" s="10" t="s">
        <v>13</v>
      </c>
      <c r="C16" s="11" t="s">
        <v>41</v>
      </c>
      <c r="D16" s="12" t="s">
        <v>15</v>
      </c>
      <c r="E16" s="12" t="s">
        <v>42</v>
      </c>
      <c r="F16" s="12" t="s">
        <v>52</v>
      </c>
      <c r="G16" s="9" t="s">
        <v>53</v>
      </c>
      <c r="H16" s="9">
        <v>1</v>
      </c>
      <c r="I16" s="12" t="s">
        <v>54</v>
      </c>
      <c r="J16" s="13" t="s">
        <v>55</v>
      </c>
    </row>
    <row r="17" spans="1:10" ht="15" customHeight="1" x14ac:dyDescent="0.25">
      <c r="A17" s="9">
        <v>12</v>
      </c>
      <c r="B17" s="10" t="s">
        <v>13</v>
      </c>
      <c r="C17" s="11" t="s">
        <v>41</v>
      </c>
      <c r="D17" s="12" t="s">
        <v>15</v>
      </c>
      <c r="E17" s="12" t="s">
        <v>42</v>
      </c>
      <c r="F17" s="12" t="s">
        <v>56</v>
      </c>
      <c r="G17" s="9" t="s">
        <v>57</v>
      </c>
      <c r="H17" s="9">
        <v>1</v>
      </c>
      <c r="I17" s="12" t="s">
        <v>58</v>
      </c>
      <c r="J17" s="13" t="s">
        <v>59</v>
      </c>
    </row>
    <row r="18" spans="1:10" ht="15" customHeight="1" x14ac:dyDescent="0.25">
      <c r="A18" s="9">
        <v>13</v>
      </c>
      <c r="B18" s="10" t="s">
        <v>13</v>
      </c>
      <c r="C18" s="11" t="s">
        <v>41</v>
      </c>
      <c r="D18" s="12" t="s">
        <v>15</v>
      </c>
      <c r="E18" s="12" t="s">
        <v>42</v>
      </c>
      <c r="F18" s="12" t="s">
        <v>60</v>
      </c>
      <c r="G18" s="9" t="s">
        <v>61</v>
      </c>
      <c r="H18" s="9">
        <v>1</v>
      </c>
      <c r="I18" s="12" t="s">
        <v>62</v>
      </c>
      <c r="J18" s="13" t="s">
        <v>63</v>
      </c>
    </row>
    <row r="19" spans="1:10" ht="15" customHeight="1" x14ac:dyDescent="0.25">
      <c r="A19" s="9">
        <v>14</v>
      </c>
      <c r="B19" s="10" t="s">
        <v>13</v>
      </c>
      <c r="C19" s="11" t="s">
        <v>64</v>
      </c>
      <c r="D19" s="12" t="s">
        <v>15</v>
      </c>
      <c r="E19" s="12" t="s">
        <v>65</v>
      </c>
      <c r="F19" s="12" t="s">
        <v>66</v>
      </c>
      <c r="G19" s="9" t="s">
        <v>61</v>
      </c>
      <c r="H19" s="9">
        <v>2</v>
      </c>
      <c r="I19" s="12" t="s">
        <v>67</v>
      </c>
      <c r="J19" s="13" t="s">
        <v>68</v>
      </c>
    </row>
    <row r="20" spans="1:10" ht="15" customHeight="1" x14ac:dyDescent="0.25">
      <c r="A20" s="9">
        <v>15</v>
      </c>
      <c r="B20" s="10" t="s">
        <v>13</v>
      </c>
      <c r="C20" s="11" t="s">
        <v>64</v>
      </c>
      <c r="D20" s="12" t="s">
        <v>15</v>
      </c>
      <c r="E20" s="12" t="s">
        <v>65</v>
      </c>
      <c r="F20" s="12" t="s">
        <v>69</v>
      </c>
      <c r="G20" s="9" t="s">
        <v>22</v>
      </c>
      <c r="H20" s="9">
        <v>4</v>
      </c>
      <c r="I20" s="12" t="s">
        <v>70</v>
      </c>
      <c r="J20" s="13" t="s">
        <v>71</v>
      </c>
    </row>
    <row r="21" spans="1:10" ht="15" customHeight="1" x14ac:dyDescent="0.25">
      <c r="A21" s="9">
        <v>16</v>
      </c>
      <c r="B21" s="10" t="s">
        <v>13</v>
      </c>
      <c r="C21" s="11" t="s">
        <v>64</v>
      </c>
      <c r="D21" s="12" t="s">
        <v>15</v>
      </c>
      <c r="E21" s="12" t="s">
        <v>65</v>
      </c>
      <c r="F21" s="12" t="s">
        <v>72</v>
      </c>
      <c r="G21" s="9" t="s">
        <v>53</v>
      </c>
      <c r="H21" s="9">
        <v>9</v>
      </c>
      <c r="I21" s="12" t="s">
        <v>73</v>
      </c>
      <c r="J21" s="13" t="s">
        <v>74</v>
      </c>
    </row>
    <row r="22" spans="1:10" ht="15" customHeight="1" x14ac:dyDescent="0.25">
      <c r="A22" s="9">
        <v>17</v>
      </c>
      <c r="B22" s="10" t="s">
        <v>13</v>
      </c>
      <c r="C22" s="11" t="s">
        <v>64</v>
      </c>
      <c r="D22" s="12" t="s">
        <v>15</v>
      </c>
      <c r="E22" s="12" t="s">
        <v>65</v>
      </c>
      <c r="F22" s="12" t="s">
        <v>75</v>
      </c>
      <c r="G22" s="9" t="s">
        <v>53</v>
      </c>
      <c r="H22" s="9">
        <v>1</v>
      </c>
      <c r="I22" s="12" t="s">
        <v>76</v>
      </c>
      <c r="J22" s="13" t="s">
        <v>77</v>
      </c>
    </row>
    <row r="23" spans="1:10" ht="15" customHeight="1" x14ac:dyDescent="0.25">
      <c r="A23" s="9">
        <v>18</v>
      </c>
      <c r="B23" s="10" t="s">
        <v>13</v>
      </c>
      <c r="C23" s="11" t="s">
        <v>64</v>
      </c>
      <c r="D23" s="12" t="s">
        <v>15</v>
      </c>
      <c r="E23" s="12" t="s">
        <v>65</v>
      </c>
      <c r="F23" s="12" t="s">
        <v>78</v>
      </c>
      <c r="G23" s="9" t="s">
        <v>53</v>
      </c>
      <c r="H23" s="9">
        <v>1</v>
      </c>
      <c r="I23" s="12" t="s">
        <v>79</v>
      </c>
      <c r="J23" s="13" t="s">
        <v>80</v>
      </c>
    </row>
    <row r="24" spans="1:10" ht="15" customHeight="1" x14ac:dyDescent="0.25">
      <c r="A24" s="9">
        <v>19</v>
      </c>
      <c r="B24" s="10" t="s">
        <v>13</v>
      </c>
      <c r="C24" s="11" t="s">
        <v>64</v>
      </c>
      <c r="D24" s="12" t="s">
        <v>15</v>
      </c>
      <c r="E24" s="12" t="s">
        <v>65</v>
      </c>
      <c r="F24" s="12" t="s">
        <v>81</v>
      </c>
      <c r="G24" s="9" t="s">
        <v>35</v>
      </c>
      <c r="H24" s="9">
        <v>1</v>
      </c>
      <c r="I24" s="12" t="s">
        <v>82</v>
      </c>
      <c r="J24" s="13" t="s">
        <v>83</v>
      </c>
    </row>
    <row r="25" spans="1:10" ht="15" customHeight="1" x14ac:dyDescent="0.25">
      <c r="A25" s="9">
        <v>20</v>
      </c>
      <c r="B25" s="10" t="s">
        <v>13</v>
      </c>
      <c r="C25" s="11" t="s">
        <v>64</v>
      </c>
      <c r="D25" s="12" t="s">
        <v>15</v>
      </c>
      <c r="E25" s="12" t="s">
        <v>65</v>
      </c>
      <c r="F25" s="12" t="s">
        <v>84</v>
      </c>
      <c r="G25" s="9" t="s">
        <v>57</v>
      </c>
      <c r="H25" s="9">
        <v>2</v>
      </c>
      <c r="I25" s="12" t="s">
        <v>85</v>
      </c>
      <c r="J25" s="13" t="s">
        <v>86</v>
      </c>
    </row>
    <row r="26" spans="1:10" ht="15" customHeight="1" x14ac:dyDescent="0.25">
      <c r="A26" s="9">
        <v>21</v>
      </c>
      <c r="B26" s="10" t="s">
        <v>13</v>
      </c>
      <c r="C26" s="11" t="s">
        <v>64</v>
      </c>
      <c r="D26" s="12" t="s">
        <v>15</v>
      </c>
      <c r="E26" s="12" t="s">
        <v>65</v>
      </c>
      <c r="F26" s="12" t="s">
        <v>87</v>
      </c>
      <c r="G26" s="9" t="s">
        <v>57</v>
      </c>
      <c r="H26" s="9">
        <v>2</v>
      </c>
      <c r="I26" s="12" t="s">
        <v>88</v>
      </c>
      <c r="J26" s="13" t="s">
        <v>89</v>
      </c>
    </row>
    <row r="27" spans="1:10" ht="15" customHeight="1" x14ac:dyDescent="0.25">
      <c r="A27" s="9">
        <v>22</v>
      </c>
      <c r="B27" s="10" t="s">
        <v>13</v>
      </c>
      <c r="C27" s="11" t="s">
        <v>64</v>
      </c>
      <c r="D27" s="12" t="s">
        <v>15</v>
      </c>
      <c r="E27" s="12" t="s">
        <v>65</v>
      </c>
      <c r="F27" s="12" t="s">
        <v>90</v>
      </c>
      <c r="G27" s="9" t="s">
        <v>57</v>
      </c>
      <c r="H27" s="9">
        <v>2</v>
      </c>
      <c r="I27" s="12" t="s">
        <v>91</v>
      </c>
      <c r="J27" s="13" t="s">
        <v>92</v>
      </c>
    </row>
    <row r="28" spans="1:10" ht="15" customHeight="1" x14ac:dyDescent="0.25">
      <c r="A28" s="9">
        <v>23</v>
      </c>
      <c r="B28" s="10" t="s">
        <v>13</v>
      </c>
      <c r="C28" s="11" t="s">
        <v>64</v>
      </c>
      <c r="D28" s="12" t="s">
        <v>15</v>
      </c>
      <c r="E28" s="12" t="s">
        <v>65</v>
      </c>
      <c r="F28" s="12" t="s">
        <v>93</v>
      </c>
      <c r="G28" s="9" t="s">
        <v>57</v>
      </c>
      <c r="H28" s="9">
        <v>2</v>
      </c>
      <c r="I28" s="12" t="s">
        <v>94</v>
      </c>
      <c r="J28" s="13" t="s">
        <v>95</v>
      </c>
    </row>
    <row r="29" spans="1:10" ht="15" customHeight="1" x14ac:dyDescent="0.25">
      <c r="A29" s="9">
        <v>24</v>
      </c>
      <c r="B29" s="10" t="s">
        <v>13</v>
      </c>
      <c r="C29" s="11" t="s">
        <v>64</v>
      </c>
      <c r="D29" s="12" t="s">
        <v>15</v>
      </c>
      <c r="E29" s="12" t="s">
        <v>65</v>
      </c>
      <c r="F29" s="12" t="s">
        <v>96</v>
      </c>
      <c r="G29" s="9" t="s">
        <v>57</v>
      </c>
      <c r="H29" s="9">
        <v>1</v>
      </c>
      <c r="I29" s="12" t="s">
        <v>97</v>
      </c>
      <c r="J29" s="13" t="s">
        <v>98</v>
      </c>
    </row>
    <row r="30" spans="1:10" ht="15" customHeight="1" x14ac:dyDescent="0.25">
      <c r="A30" s="9">
        <v>25</v>
      </c>
      <c r="B30" s="10" t="s">
        <v>13</v>
      </c>
      <c r="C30" s="11" t="s">
        <v>64</v>
      </c>
      <c r="D30" s="12" t="s">
        <v>15</v>
      </c>
      <c r="E30" s="12" t="s">
        <v>65</v>
      </c>
      <c r="F30" s="12" t="s">
        <v>99</v>
      </c>
      <c r="G30" s="9" t="s">
        <v>57</v>
      </c>
      <c r="H30" s="9">
        <v>1</v>
      </c>
      <c r="I30" s="12" t="s">
        <v>100</v>
      </c>
      <c r="J30" s="13" t="s">
        <v>101</v>
      </c>
    </row>
    <row r="31" spans="1:10" ht="15" customHeight="1" x14ac:dyDescent="0.25">
      <c r="A31" s="9">
        <v>26</v>
      </c>
      <c r="B31" s="10" t="s">
        <v>13</v>
      </c>
      <c r="C31" s="11" t="s">
        <v>64</v>
      </c>
      <c r="D31" s="12" t="s">
        <v>15</v>
      </c>
      <c r="E31" s="12" t="s">
        <v>102</v>
      </c>
      <c r="F31" s="12" t="s">
        <v>103</v>
      </c>
      <c r="G31" s="9" t="s">
        <v>61</v>
      </c>
      <c r="H31" s="9">
        <v>1</v>
      </c>
      <c r="I31" s="12" t="s">
        <v>104</v>
      </c>
      <c r="J31" s="13" t="s">
        <v>105</v>
      </c>
    </row>
    <row r="32" spans="1:10" ht="15" customHeight="1" x14ac:dyDescent="0.25">
      <c r="A32" s="9">
        <v>27</v>
      </c>
      <c r="B32" s="10" t="s">
        <v>13</v>
      </c>
      <c r="C32" s="11" t="s">
        <v>64</v>
      </c>
      <c r="D32" s="12" t="s">
        <v>15</v>
      </c>
      <c r="E32" s="12" t="s">
        <v>102</v>
      </c>
      <c r="F32" s="12" t="s">
        <v>106</v>
      </c>
      <c r="G32" s="9" t="s">
        <v>61</v>
      </c>
      <c r="H32" s="9">
        <v>1</v>
      </c>
      <c r="I32" s="12" t="s">
        <v>107</v>
      </c>
      <c r="J32" s="13" t="s">
        <v>108</v>
      </c>
    </row>
    <row r="33" spans="1:10" ht="15" customHeight="1" x14ac:dyDescent="0.25">
      <c r="A33" s="9">
        <v>28</v>
      </c>
      <c r="B33" s="10" t="s">
        <v>13</v>
      </c>
      <c r="C33" s="11" t="s">
        <v>64</v>
      </c>
      <c r="D33" s="12" t="s">
        <v>15</v>
      </c>
      <c r="E33" s="12" t="s">
        <v>102</v>
      </c>
      <c r="F33" s="12" t="s">
        <v>109</v>
      </c>
      <c r="G33" s="9" t="s">
        <v>57</v>
      </c>
      <c r="H33" s="9">
        <v>1</v>
      </c>
      <c r="I33" s="12" t="s">
        <v>110</v>
      </c>
      <c r="J33" s="13" t="s">
        <v>111</v>
      </c>
    </row>
    <row r="34" spans="1:10" ht="15" customHeight="1" x14ac:dyDescent="0.25">
      <c r="A34" s="9">
        <v>29</v>
      </c>
      <c r="B34" s="10" t="s">
        <v>13</v>
      </c>
      <c r="C34" s="11" t="s">
        <v>64</v>
      </c>
      <c r="D34" s="12" t="s">
        <v>15</v>
      </c>
      <c r="E34" s="12" t="s">
        <v>102</v>
      </c>
      <c r="F34" s="12" t="s">
        <v>112</v>
      </c>
      <c r="G34" s="9" t="s">
        <v>57</v>
      </c>
      <c r="H34" s="9">
        <v>1</v>
      </c>
      <c r="I34" s="12" t="s">
        <v>113</v>
      </c>
      <c r="J34" s="13" t="s">
        <v>114</v>
      </c>
    </row>
    <row r="35" spans="1:10" ht="15" customHeight="1" x14ac:dyDescent="0.25">
      <c r="A35" s="9">
        <v>30</v>
      </c>
      <c r="B35" s="10" t="s">
        <v>13</v>
      </c>
      <c r="C35" s="11" t="s">
        <v>64</v>
      </c>
      <c r="D35" s="12" t="s">
        <v>15</v>
      </c>
      <c r="E35" s="12" t="s">
        <v>102</v>
      </c>
      <c r="F35" s="12" t="s">
        <v>93</v>
      </c>
      <c r="G35" s="9" t="s">
        <v>57</v>
      </c>
      <c r="H35" s="9">
        <v>2</v>
      </c>
      <c r="I35" s="12" t="s">
        <v>94</v>
      </c>
      <c r="J35" s="13" t="s">
        <v>115</v>
      </c>
    </row>
    <row r="36" spans="1:10" ht="15" customHeight="1" x14ac:dyDescent="0.25">
      <c r="A36" s="9">
        <v>31</v>
      </c>
      <c r="B36" s="10" t="s">
        <v>13</v>
      </c>
      <c r="C36" s="11" t="s">
        <v>116</v>
      </c>
      <c r="D36" s="12" t="s">
        <v>15</v>
      </c>
      <c r="E36" s="12" t="s">
        <v>117</v>
      </c>
      <c r="F36" s="12" t="s">
        <v>118</v>
      </c>
      <c r="G36" s="9" t="s">
        <v>22</v>
      </c>
      <c r="H36" s="9">
        <v>3</v>
      </c>
      <c r="I36" s="12" t="s">
        <v>119</v>
      </c>
      <c r="J36" s="13" t="s">
        <v>120</v>
      </c>
    </row>
    <row r="37" spans="1:10" ht="15" customHeight="1" x14ac:dyDescent="0.25">
      <c r="A37" s="9">
        <v>32</v>
      </c>
      <c r="B37" s="10" t="s">
        <v>13</v>
      </c>
      <c r="C37" s="11" t="s">
        <v>116</v>
      </c>
      <c r="D37" s="12" t="s">
        <v>15</v>
      </c>
      <c r="E37" s="12" t="s">
        <v>117</v>
      </c>
      <c r="F37" s="12" t="s">
        <v>121</v>
      </c>
      <c r="G37" s="9" t="s">
        <v>18</v>
      </c>
      <c r="H37" s="9">
        <v>1</v>
      </c>
      <c r="I37" s="12" t="s">
        <v>122</v>
      </c>
      <c r="J37" s="13" t="s">
        <v>123</v>
      </c>
    </row>
    <row r="38" spans="1:10" ht="15" customHeight="1" x14ac:dyDescent="0.25">
      <c r="A38" s="9">
        <v>33</v>
      </c>
      <c r="B38" s="10" t="s">
        <v>13</v>
      </c>
      <c r="C38" s="11" t="s">
        <v>116</v>
      </c>
      <c r="D38" s="12" t="s">
        <v>15</v>
      </c>
      <c r="E38" s="12" t="s">
        <v>117</v>
      </c>
      <c r="F38" s="12" t="s">
        <v>124</v>
      </c>
      <c r="G38" s="9" t="s">
        <v>22</v>
      </c>
      <c r="H38" s="9">
        <v>2</v>
      </c>
      <c r="I38" s="12" t="s">
        <v>125</v>
      </c>
      <c r="J38" s="13" t="s">
        <v>126</v>
      </c>
    </row>
    <row r="39" spans="1:10" ht="15" customHeight="1" x14ac:dyDescent="0.25">
      <c r="A39" s="9">
        <v>34</v>
      </c>
      <c r="B39" s="10" t="s">
        <v>13</v>
      </c>
      <c r="C39" s="11" t="s">
        <v>116</v>
      </c>
      <c r="D39" s="12" t="s">
        <v>15</v>
      </c>
      <c r="E39" s="12" t="s">
        <v>117</v>
      </c>
      <c r="F39" s="12" t="s">
        <v>127</v>
      </c>
      <c r="G39" s="9" t="s">
        <v>22</v>
      </c>
      <c r="H39" s="9">
        <v>1</v>
      </c>
      <c r="I39" s="12" t="s">
        <v>128</v>
      </c>
      <c r="J39" s="13" t="s">
        <v>129</v>
      </c>
    </row>
    <row r="40" spans="1:10" ht="15" customHeight="1" x14ac:dyDescent="0.25">
      <c r="A40" s="9">
        <v>35</v>
      </c>
      <c r="B40" s="10" t="s">
        <v>13</v>
      </c>
      <c r="C40" s="11" t="s">
        <v>116</v>
      </c>
      <c r="D40" s="12" t="s">
        <v>15</v>
      </c>
      <c r="E40" s="12" t="s">
        <v>117</v>
      </c>
      <c r="F40" s="12" t="s">
        <v>69</v>
      </c>
      <c r="G40" s="9" t="s">
        <v>22</v>
      </c>
      <c r="H40" s="9">
        <v>4</v>
      </c>
      <c r="I40" s="12" t="s">
        <v>70</v>
      </c>
      <c r="J40" s="13" t="s">
        <v>130</v>
      </c>
    </row>
    <row r="41" spans="1:10" ht="15" customHeight="1" x14ac:dyDescent="0.25">
      <c r="A41" s="9">
        <v>36</v>
      </c>
      <c r="B41" s="10" t="s">
        <v>13</v>
      </c>
      <c r="C41" s="11" t="s">
        <v>116</v>
      </c>
      <c r="D41" s="12" t="s">
        <v>15</v>
      </c>
      <c r="E41" s="12" t="s">
        <v>117</v>
      </c>
      <c r="F41" s="12" t="s">
        <v>131</v>
      </c>
      <c r="G41" s="9" t="s">
        <v>18</v>
      </c>
      <c r="H41" s="9">
        <v>3</v>
      </c>
      <c r="I41" s="12" t="s">
        <v>131</v>
      </c>
      <c r="J41" s="13" t="s">
        <v>132</v>
      </c>
    </row>
    <row r="42" spans="1:10" ht="15" customHeight="1" x14ac:dyDescent="0.25">
      <c r="A42" s="9">
        <v>37</v>
      </c>
      <c r="B42" s="10" t="s">
        <v>13</v>
      </c>
      <c r="C42" s="11" t="s">
        <v>116</v>
      </c>
      <c r="D42" s="12" t="s">
        <v>15</v>
      </c>
      <c r="E42" s="12" t="s">
        <v>117</v>
      </c>
      <c r="F42" s="12" t="s">
        <v>72</v>
      </c>
      <c r="G42" s="9" t="s">
        <v>53</v>
      </c>
      <c r="H42" s="9">
        <v>9</v>
      </c>
      <c r="I42" s="12" t="s">
        <v>73</v>
      </c>
      <c r="J42" s="13" t="s">
        <v>133</v>
      </c>
    </row>
    <row r="43" spans="1:10" ht="15" customHeight="1" x14ac:dyDescent="0.25">
      <c r="A43" s="9">
        <v>38</v>
      </c>
      <c r="B43" s="10" t="s">
        <v>13</v>
      </c>
      <c r="C43" s="11" t="s">
        <v>116</v>
      </c>
      <c r="D43" s="12" t="s">
        <v>15</v>
      </c>
      <c r="E43" s="12" t="s">
        <v>117</v>
      </c>
      <c r="F43" s="12" t="s">
        <v>75</v>
      </c>
      <c r="G43" s="9" t="s">
        <v>53</v>
      </c>
      <c r="H43" s="9">
        <v>1</v>
      </c>
      <c r="I43" s="12" t="s">
        <v>76</v>
      </c>
      <c r="J43" s="13" t="s">
        <v>134</v>
      </c>
    </row>
    <row r="44" spans="1:10" ht="15" customHeight="1" x14ac:dyDescent="0.25">
      <c r="A44" s="9">
        <v>39</v>
      </c>
      <c r="B44" s="10" t="s">
        <v>13</v>
      </c>
      <c r="C44" s="11" t="s">
        <v>116</v>
      </c>
      <c r="D44" s="12" t="s">
        <v>15</v>
      </c>
      <c r="E44" s="12" t="s">
        <v>117</v>
      </c>
      <c r="F44" s="12" t="s">
        <v>135</v>
      </c>
      <c r="G44" s="9" t="s">
        <v>61</v>
      </c>
      <c r="H44" s="9">
        <v>1</v>
      </c>
      <c r="I44" s="12" t="s">
        <v>136</v>
      </c>
      <c r="J44" s="13" t="s">
        <v>137</v>
      </c>
    </row>
    <row r="45" spans="1:10" ht="15" customHeight="1" x14ac:dyDescent="0.25">
      <c r="A45" s="9">
        <v>40</v>
      </c>
      <c r="B45" s="10" t="s">
        <v>13</v>
      </c>
      <c r="C45" s="11" t="s">
        <v>116</v>
      </c>
      <c r="D45" s="12" t="s">
        <v>15</v>
      </c>
      <c r="E45" s="12" t="s">
        <v>117</v>
      </c>
      <c r="F45" s="12" t="s">
        <v>138</v>
      </c>
      <c r="G45" s="9" t="s">
        <v>18</v>
      </c>
      <c r="H45" s="9">
        <v>3</v>
      </c>
      <c r="I45" s="12" t="s">
        <v>139</v>
      </c>
      <c r="J45" s="13" t="s">
        <v>140</v>
      </c>
    </row>
    <row r="46" spans="1:10" ht="15" customHeight="1" x14ac:dyDescent="0.25">
      <c r="A46" s="9">
        <v>41</v>
      </c>
      <c r="B46" s="10" t="s">
        <v>13</v>
      </c>
      <c r="C46" s="11" t="s">
        <v>116</v>
      </c>
      <c r="D46" s="12" t="s">
        <v>15</v>
      </c>
      <c r="E46" s="12" t="s">
        <v>117</v>
      </c>
      <c r="F46" s="12" t="s">
        <v>141</v>
      </c>
      <c r="G46" s="9" t="s">
        <v>18</v>
      </c>
      <c r="H46" s="9">
        <v>1</v>
      </c>
      <c r="I46" s="12" t="s">
        <v>142</v>
      </c>
      <c r="J46" s="13" t="s">
        <v>143</v>
      </c>
    </row>
    <row r="47" spans="1:10" ht="15" customHeight="1" x14ac:dyDescent="0.25">
      <c r="A47" s="9">
        <v>42</v>
      </c>
      <c r="B47" s="10" t="s">
        <v>13</v>
      </c>
      <c r="C47" s="11" t="s">
        <v>116</v>
      </c>
      <c r="D47" s="12" t="s">
        <v>15</v>
      </c>
      <c r="E47" s="12" t="s">
        <v>144</v>
      </c>
      <c r="F47" s="12" t="s">
        <v>118</v>
      </c>
      <c r="G47" s="9" t="s">
        <v>22</v>
      </c>
      <c r="H47" s="9">
        <v>3</v>
      </c>
      <c r="I47" s="12" t="s">
        <v>119</v>
      </c>
      <c r="J47" s="13" t="s">
        <v>145</v>
      </c>
    </row>
    <row r="48" spans="1:10" ht="15" customHeight="1" x14ac:dyDescent="0.25">
      <c r="A48" s="9">
        <v>43</v>
      </c>
      <c r="B48" s="10" t="s">
        <v>13</v>
      </c>
      <c r="C48" s="11" t="s">
        <v>116</v>
      </c>
      <c r="D48" s="12" t="s">
        <v>15</v>
      </c>
      <c r="E48" s="12" t="s">
        <v>144</v>
      </c>
      <c r="F48" s="12" t="s">
        <v>121</v>
      </c>
      <c r="G48" s="9" t="s">
        <v>18</v>
      </c>
      <c r="H48" s="9">
        <v>1</v>
      </c>
      <c r="I48" s="12" t="s">
        <v>122</v>
      </c>
      <c r="J48" s="13" t="s">
        <v>146</v>
      </c>
    </row>
    <row r="49" spans="1:10" ht="15" customHeight="1" x14ac:dyDescent="0.25">
      <c r="A49" s="9">
        <v>44</v>
      </c>
      <c r="B49" s="10" t="s">
        <v>13</v>
      </c>
      <c r="C49" s="11" t="s">
        <v>116</v>
      </c>
      <c r="D49" s="12" t="s">
        <v>15</v>
      </c>
      <c r="E49" s="12" t="s">
        <v>144</v>
      </c>
      <c r="F49" s="12" t="s">
        <v>124</v>
      </c>
      <c r="G49" s="9" t="s">
        <v>22</v>
      </c>
      <c r="H49" s="9">
        <v>2</v>
      </c>
      <c r="I49" s="12" t="s">
        <v>125</v>
      </c>
      <c r="J49" s="13" t="s">
        <v>147</v>
      </c>
    </row>
    <row r="50" spans="1:10" ht="15" customHeight="1" x14ac:dyDescent="0.25">
      <c r="A50" s="9">
        <v>45</v>
      </c>
      <c r="B50" s="10" t="s">
        <v>13</v>
      </c>
      <c r="C50" s="11" t="s">
        <v>116</v>
      </c>
      <c r="D50" s="12" t="s">
        <v>15</v>
      </c>
      <c r="E50" s="12" t="s">
        <v>144</v>
      </c>
      <c r="F50" s="12" t="s">
        <v>127</v>
      </c>
      <c r="G50" s="9" t="s">
        <v>22</v>
      </c>
      <c r="H50" s="9">
        <v>1</v>
      </c>
      <c r="I50" s="12" t="s">
        <v>128</v>
      </c>
      <c r="J50" s="13" t="s">
        <v>148</v>
      </c>
    </row>
    <row r="51" spans="1:10" ht="15" customHeight="1" x14ac:dyDescent="0.25">
      <c r="A51" s="9">
        <v>46</v>
      </c>
      <c r="B51" s="10" t="s">
        <v>13</v>
      </c>
      <c r="C51" s="11" t="s">
        <v>116</v>
      </c>
      <c r="D51" s="12" t="s">
        <v>15</v>
      </c>
      <c r="E51" s="12" t="s">
        <v>144</v>
      </c>
      <c r="F51" s="12" t="s">
        <v>69</v>
      </c>
      <c r="G51" s="9" t="s">
        <v>22</v>
      </c>
      <c r="H51" s="9">
        <v>4</v>
      </c>
      <c r="I51" s="12" t="s">
        <v>70</v>
      </c>
      <c r="J51" s="13" t="s">
        <v>149</v>
      </c>
    </row>
    <row r="52" spans="1:10" ht="15" customHeight="1" x14ac:dyDescent="0.25">
      <c r="A52" s="9">
        <v>47</v>
      </c>
      <c r="B52" s="10" t="s">
        <v>13</v>
      </c>
      <c r="C52" s="11" t="s">
        <v>116</v>
      </c>
      <c r="D52" s="12" t="s">
        <v>15</v>
      </c>
      <c r="E52" s="12" t="s">
        <v>144</v>
      </c>
      <c r="F52" s="12" t="s">
        <v>131</v>
      </c>
      <c r="G52" s="9" t="s">
        <v>18</v>
      </c>
      <c r="H52" s="9">
        <v>2</v>
      </c>
      <c r="I52" s="12" t="s">
        <v>150</v>
      </c>
      <c r="J52" s="13" t="s">
        <v>151</v>
      </c>
    </row>
    <row r="53" spans="1:10" ht="15" customHeight="1" x14ac:dyDescent="0.25">
      <c r="A53" s="9">
        <v>48</v>
      </c>
      <c r="B53" s="10" t="s">
        <v>13</v>
      </c>
      <c r="C53" s="11" t="s">
        <v>116</v>
      </c>
      <c r="D53" s="12" t="s">
        <v>15</v>
      </c>
      <c r="E53" s="12" t="s">
        <v>144</v>
      </c>
      <c r="F53" s="12" t="s">
        <v>72</v>
      </c>
      <c r="G53" s="9" t="s">
        <v>53</v>
      </c>
      <c r="H53" s="9">
        <v>9</v>
      </c>
      <c r="I53" s="12" t="s">
        <v>73</v>
      </c>
      <c r="J53" s="13" t="s">
        <v>152</v>
      </c>
    </row>
    <row r="54" spans="1:10" ht="15" customHeight="1" x14ac:dyDescent="0.25">
      <c r="A54" s="9">
        <v>49</v>
      </c>
      <c r="B54" s="10" t="s">
        <v>13</v>
      </c>
      <c r="C54" s="11" t="s">
        <v>116</v>
      </c>
      <c r="D54" s="12" t="s">
        <v>15</v>
      </c>
      <c r="E54" s="12" t="s">
        <v>144</v>
      </c>
      <c r="F54" s="12" t="s">
        <v>75</v>
      </c>
      <c r="G54" s="9" t="s">
        <v>53</v>
      </c>
      <c r="H54" s="9">
        <v>1</v>
      </c>
      <c r="I54" s="12" t="s">
        <v>76</v>
      </c>
      <c r="J54" s="13" t="s">
        <v>153</v>
      </c>
    </row>
    <row r="55" spans="1:10" ht="15" customHeight="1" x14ac:dyDescent="0.25">
      <c r="A55" s="9">
        <v>50</v>
      </c>
      <c r="B55" s="10" t="s">
        <v>13</v>
      </c>
      <c r="C55" s="11" t="s">
        <v>116</v>
      </c>
      <c r="D55" s="12" t="s">
        <v>15</v>
      </c>
      <c r="E55" s="12" t="s">
        <v>144</v>
      </c>
      <c r="F55" s="12" t="s">
        <v>135</v>
      </c>
      <c r="G55" s="9" t="s">
        <v>61</v>
      </c>
      <c r="H55" s="9">
        <v>1</v>
      </c>
      <c r="I55" s="12" t="s">
        <v>136</v>
      </c>
      <c r="J55" s="13" t="s">
        <v>154</v>
      </c>
    </row>
    <row r="56" spans="1:10" ht="15" customHeight="1" x14ac:dyDescent="0.25">
      <c r="A56" s="9">
        <v>51</v>
      </c>
      <c r="B56" s="10" t="s">
        <v>13</v>
      </c>
      <c r="C56" s="11" t="s">
        <v>116</v>
      </c>
      <c r="D56" s="12" t="s">
        <v>15</v>
      </c>
      <c r="E56" s="12" t="s">
        <v>144</v>
      </c>
      <c r="F56" s="12" t="s">
        <v>138</v>
      </c>
      <c r="G56" s="9" t="s">
        <v>18</v>
      </c>
      <c r="H56" s="9">
        <v>3</v>
      </c>
      <c r="I56" s="12" t="s">
        <v>139</v>
      </c>
      <c r="J56" s="13" t="s">
        <v>155</v>
      </c>
    </row>
    <row r="57" spans="1:10" ht="15" customHeight="1" x14ac:dyDescent="0.25">
      <c r="A57" s="9">
        <v>52</v>
      </c>
      <c r="B57" s="10" t="s">
        <v>13</v>
      </c>
      <c r="C57" s="11" t="s">
        <v>116</v>
      </c>
      <c r="D57" s="12" t="s">
        <v>15</v>
      </c>
      <c r="E57" s="12" t="s">
        <v>144</v>
      </c>
      <c r="F57" s="12" t="s">
        <v>141</v>
      </c>
      <c r="G57" s="9" t="s">
        <v>18</v>
      </c>
      <c r="H57" s="9">
        <v>1</v>
      </c>
      <c r="I57" s="12" t="s">
        <v>142</v>
      </c>
      <c r="J57" s="13" t="s">
        <v>156</v>
      </c>
    </row>
    <row r="58" spans="1:10" ht="15" customHeight="1" x14ac:dyDescent="0.25">
      <c r="A58" s="9">
        <v>53</v>
      </c>
      <c r="B58" s="10" t="s">
        <v>13</v>
      </c>
      <c r="C58" s="11" t="s">
        <v>116</v>
      </c>
      <c r="D58" s="12" t="s">
        <v>15</v>
      </c>
      <c r="E58" s="12" t="s">
        <v>157</v>
      </c>
      <c r="F58" s="12" t="s">
        <v>118</v>
      </c>
      <c r="G58" s="9" t="s">
        <v>22</v>
      </c>
      <c r="H58" s="9">
        <v>3</v>
      </c>
      <c r="I58" s="12" t="s">
        <v>119</v>
      </c>
      <c r="J58" s="13" t="s">
        <v>158</v>
      </c>
    </row>
    <row r="59" spans="1:10" ht="15" customHeight="1" x14ac:dyDescent="0.25">
      <c r="A59" s="9">
        <v>54</v>
      </c>
      <c r="B59" s="10" t="s">
        <v>13</v>
      </c>
      <c r="C59" s="11" t="s">
        <v>116</v>
      </c>
      <c r="D59" s="12" t="s">
        <v>15</v>
      </c>
      <c r="E59" s="12" t="s">
        <v>157</v>
      </c>
      <c r="F59" s="12" t="s">
        <v>127</v>
      </c>
      <c r="G59" s="9" t="s">
        <v>22</v>
      </c>
      <c r="H59" s="9">
        <v>1</v>
      </c>
      <c r="I59" s="12" t="s">
        <v>128</v>
      </c>
      <c r="J59" s="13" t="s">
        <v>159</v>
      </c>
    </row>
    <row r="60" spans="1:10" ht="15" customHeight="1" x14ac:dyDescent="0.25">
      <c r="A60" s="9">
        <v>55</v>
      </c>
      <c r="B60" s="10" t="s">
        <v>13</v>
      </c>
      <c r="C60" s="11" t="s">
        <v>116</v>
      </c>
      <c r="D60" s="12" t="s">
        <v>15</v>
      </c>
      <c r="E60" s="12" t="s">
        <v>157</v>
      </c>
      <c r="F60" s="12" t="s">
        <v>69</v>
      </c>
      <c r="G60" s="9" t="s">
        <v>22</v>
      </c>
      <c r="H60" s="9">
        <v>4</v>
      </c>
      <c r="I60" s="12" t="s">
        <v>70</v>
      </c>
      <c r="J60" s="13" t="s">
        <v>160</v>
      </c>
    </row>
    <row r="61" spans="1:10" ht="15" customHeight="1" x14ac:dyDescent="0.25">
      <c r="A61" s="9">
        <v>56</v>
      </c>
      <c r="B61" s="10" t="s">
        <v>13</v>
      </c>
      <c r="C61" s="11" t="s">
        <v>116</v>
      </c>
      <c r="D61" s="12" t="s">
        <v>15</v>
      </c>
      <c r="E61" s="12" t="s">
        <v>157</v>
      </c>
      <c r="F61" s="12" t="s">
        <v>131</v>
      </c>
      <c r="G61" s="9" t="s">
        <v>18</v>
      </c>
      <c r="H61" s="9">
        <v>2</v>
      </c>
      <c r="I61" s="12" t="s">
        <v>150</v>
      </c>
      <c r="J61" s="13" t="s">
        <v>161</v>
      </c>
    </row>
    <row r="62" spans="1:10" ht="15" customHeight="1" x14ac:dyDescent="0.25">
      <c r="A62" s="9">
        <v>57</v>
      </c>
      <c r="B62" s="10" t="s">
        <v>13</v>
      </c>
      <c r="C62" s="11" t="s">
        <v>116</v>
      </c>
      <c r="D62" s="12" t="s">
        <v>15</v>
      </c>
      <c r="E62" s="12" t="s">
        <v>157</v>
      </c>
      <c r="F62" s="12" t="s">
        <v>72</v>
      </c>
      <c r="G62" s="9" t="s">
        <v>53</v>
      </c>
      <c r="H62" s="9">
        <v>9</v>
      </c>
      <c r="I62" s="12" t="s">
        <v>73</v>
      </c>
      <c r="J62" s="13" t="s">
        <v>162</v>
      </c>
    </row>
    <row r="63" spans="1:10" ht="15" customHeight="1" x14ac:dyDescent="0.25">
      <c r="A63" s="9">
        <v>58</v>
      </c>
      <c r="B63" s="10" t="s">
        <v>13</v>
      </c>
      <c r="C63" s="11" t="s">
        <v>116</v>
      </c>
      <c r="D63" s="12" t="s">
        <v>15</v>
      </c>
      <c r="E63" s="12" t="s">
        <v>157</v>
      </c>
      <c r="F63" s="12" t="s">
        <v>75</v>
      </c>
      <c r="G63" s="9" t="s">
        <v>53</v>
      </c>
      <c r="H63" s="9">
        <v>1</v>
      </c>
      <c r="I63" s="12" t="s">
        <v>76</v>
      </c>
      <c r="J63" s="13" t="s">
        <v>163</v>
      </c>
    </row>
    <row r="64" spans="1:10" ht="15" customHeight="1" x14ac:dyDescent="0.25">
      <c r="A64" s="9">
        <v>59</v>
      </c>
      <c r="B64" s="10" t="s">
        <v>13</v>
      </c>
      <c r="C64" s="11" t="s">
        <v>116</v>
      </c>
      <c r="D64" s="12" t="s">
        <v>15</v>
      </c>
      <c r="E64" s="12" t="s">
        <v>157</v>
      </c>
      <c r="F64" s="12" t="s">
        <v>138</v>
      </c>
      <c r="G64" s="9" t="s">
        <v>18</v>
      </c>
      <c r="H64" s="9">
        <v>3</v>
      </c>
      <c r="I64" s="12" t="s">
        <v>139</v>
      </c>
      <c r="J64" s="13" t="s">
        <v>164</v>
      </c>
    </row>
    <row r="65" spans="1:10" ht="15" customHeight="1" x14ac:dyDescent="0.25">
      <c r="A65" s="9">
        <v>60</v>
      </c>
      <c r="B65" s="10" t="s">
        <v>13</v>
      </c>
      <c r="C65" s="11" t="s">
        <v>116</v>
      </c>
      <c r="D65" s="12" t="s">
        <v>15</v>
      </c>
      <c r="E65" s="12" t="s">
        <v>165</v>
      </c>
      <c r="F65" s="12" t="s">
        <v>121</v>
      </c>
      <c r="G65" s="9" t="s">
        <v>18</v>
      </c>
      <c r="H65" s="9">
        <v>1</v>
      </c>
      <c r="I65" s="12" t="s">
        <v>122</v>
      </c>
      <c r="J65" s="13" t="s">
        <v>166</v>
      </c>
    </row>
    <row r="66" spans="1:10" ht="15" customHeight="1" x14ac:dyDescent="0.25">
      <c r="A66" s="9">
        <v>61</v>
      </c>
      <c r="B66" s="10" t="s">
        <v>13</v>
      </c>
      <c r="C66" s="11" t="s">
        <v>116</v>
      </c>
      <c r="D66" s="12" t="s">
        <v>15</v>
      </c>
      <c r="E66" s="12" t="s">
        <v>165</v>
      </c>
      <c r="F66" s="12" t="s">
        <v>124</v>
      </c>
      <c r="G66" s="9" t="s">
        <v>22</v>
      </c>
      <c r="H66" s="9">
        <v>2</v>
      </c>
      <c r="I66" s="12" t="s">
        <v>125</v>
      </c>
      <c r="J66" s="13" t="s">
        <v>167</v>
      </c>
    </row>
    <row r="67" spans="1:10" ht="15" customHeight="1" x14ac:dyDescent="0.25">
      <c r="A67" s="9">
        <v>62</v>
      </c>
      <c r="B67" s="10" t="s">
        <v>13</v>
      </c>
      <c r="C67" s="11" t="s">
        <v>116</v>
      </c>
      <c r="D67" s="12" t="s">
        <v>15</v>
      </c>
      <c r="E67" s="12" t="s">
        <v>165</v>
      </c>
      <c r="F67" s="12" t="s">
        <v>141</v>
      </c>
      <c r="G67" s="9" t="s">
        <v>18</v>
      </c>
      <c r="H67" s="9">
        <v>1</v>
      </c>
      <c r="I67" s="12" t="s">
        <v>142</v>
      </c>
      <c r="J67" s="13" t="s">
        <v>168</v>
      </c>
    </row>
    <row r="68" spans="1:10" ht="15" customHeight="1" x14ac:dyDescent="0.25">
      <c r="A68" s="9">
        <v>63</v>
      </c>
      <c r="B68" s="10" t="s">
        <v>13</v>
      </c>
      <c r="C68" s="11" t="s">
        <v>116</v>
      </c>
      <c r="D68" s="12" t="s">
        <v>15</v>
      </c>
      <c r="E68" s="12" t="s">
        <v>165</v>
      </c>
      <c r="F68" s="12" t="s">
        <v>169</v>
      </c>
      <c r="G68" s="9" t="s">
        <v>18</v>
      </c>
      <c r="H68" s="9">
        <v>1</v>
      </c>
      <c r="I68" s="12" t="s">
        <v>170</v>
      </c>
      <c r="J68" s="13" t="s">
        <v>171</v>
      </c>
    </row>
    <row r="69" spans="1:10" ht="15" customHeight="1" x14ac:dyDescent="0.25">
      <c r="A69" s="9">
        <v>64</v>
      </c>
      <c r="B69" s="10" t="s">
        <v>13</v>
      </c>
      <c r="C69" s="11" t="s">
        <v>116</v>
      </c>
      <c r="D69" s="12" t="s">
        <v>15</v>
      </c>
      <c r="E69" s="12" t="s">
        <v>165</v>
      </c>
      <c r="F69" s="12" t="s">
        <v>127</v>
      </c>
      <c r="G69" s="9" t="s">
        <v>22</v>
      </c>
      <c r="H69" s="9">
        <v>1</v>
      </c>
      <c r="I69" s="12" t="s">
        <v>128</v>
      </c>
      <c r="J69" s="13" t="s">
        <v>172</v>
      </c>
    </row>
    <row r="70" spans="1:10" ht="15" customHeight="1" x14ac:dyDescent="0.25">
      <c r="A70" s="9">
        <v>65</v>
      </c>
      <c r="B70" s="10" t="s">
        <v>13</v>
      </c>
      <c r="C70" s="11" t="s">
        <v>116</v>
      </c>
      <c r="D70" s="12" t="s">
        <v>15</v>
      </c>
      <c r="E70" s="12" t="s">
        <v>165</v>
      </c>
      <c r="F70" s="12" t="s">
        <v>69</v>
      </c>
      <c r="G70" s="9" t="s">
        <v>22</v>
      </c>
      <c r="H70" s="9">
        <v>4</v>
      </c>
      <c r="I70" s="12" t="s">
        <v>70</v>
      </c>
      <c r="J70" s="13" t="s">
        <v>173</v>
      </c>
    </row>
    <row r="71" spans="1:10" ht="15" customHeight="1" x14ac:dyDescent="0.25">
      <c r="A71" s="9">
        <v>66</v>
      </c>
      <c r="B71" s="10" t="s">
        <v>13</v>
      </c>
      <c r="C71" s="11" t="s">
        <v>116</v>
      </c>
      <c r="D71" s="12" t="s">
        <v>15</v>
      </c>
      <c r="E71" s="12" t="s">
        <v>165</v>
      </c>
      <c r="F71" s="12" t="s">
        <v>131</v>
      </c>
      <c r="G71" s="9" t="s">
        <v>18</v>
      </c>
      <c r="H71" s="9">
        <v>2</v>
      </c>
      <c r="I71" s="12" t="s">
        <v>150</v>
      </c>
      <c r="J71" s="13" t="s">
        <v>174</v>
      </c>
    </row>
    <row r="72" spans="1:10" ht="15" customHeight="1" x14ac:dyDescent="0.25">
      <c r="A72" s="9">
        <v>67</v>
      </c>
      <c r="B72" s="10" t="s">
        <v>13</v>
      </c>
      <c r="C72" s="11" t="s">
        <v>116</v>
      </c>
      <c r="D72" s="12" t="s">
        <v>15</v>
      </c>
      <c r="E72" s="12" t="s">
        <v>165</v>
      </c>
      <c r="F72" s="12" t="s">
        <v>72</v>
      </c>
      <c r="G72" s="9" t="s">
        <v>53</v>
      </c>
      <c r="H72" s="9">
        <v>9</v>
      </c>
      <c r="I72" s="12" t="s">
        <v>73</v>
      </c>
      <c r="J72" s="13" t="s">
        <v>175</v>
      </c>
    </row>
    <row r="73" spans="1:10" ht="15" customHeight="1" x14ac:dyDescent="0.25">
      <c r="A73" s="9">
        <v>68</v>
      </c>
      <c r="B73" s="10" t="s">
        <v>13</v>
      </c>
      <c r="C73" s="11" t="s">
        <v>116</v>
      </c>
      <c r="D73" s="12" t="s">
        <v>15</v>
      </c>
      <c r="E73" s="12" t="s">
        <v>165</v>
      </c>
      <c r="F73" s="12" t="s">
        <v>75</v>
      </c>
      <c r="G73" s="9" t="s">
        <v>53</v>
      </c>
      <c r="H73" s="9">
        <v>1</v>
      </c>
      <c r="I73" s="12" t="s">
        <v>76</v>
      </c>
      <c r="J73" s="13" t="s">
        <v>176</v>
      </c>
    </row>
    <row r="74" spans="1:10" ht="15" customHeight="1" x14ac:dyDescent="0.25">
      <c r="A74" s="9">
        <v>69</v>
      </c>
      <c r="B74" s="10" t="s">
        <v>13</v>
      </c>
      <c r="C74" s="11" t="s">
        <v>116</v>
      </c>
      <c r="D74" s="12" t="s">
        <v>15</v>
      </c>
      <c r="E74" s="12" t="s">
        <v>165</v>
      </c>
      <c r="F74" s="12" t="s">
        <v>138</v>
      </c>
      <c r="G74" s="9" t="s">
        <v>18</v>
      </c>
      <c r="H74" s="9">
        <v>3</v>
      </c>
      <c r="I74" s="12" t="s">
        <v>139</v>
      </c>
      <c r="J74" s="13" t="s">
        <v>177</v>
      </c>
    </row>
    <row r="75" spans="1:10" ht="15" customHeight="1" x14ac:dyDescent="0.25">
      <c r="A75" s="9">
        <v>70</v>
      </c>
      <c r="B75" s="10" t="s">
        <v>13</v>
      </c>
      <c r="C75" s="11" t="s">
        <v>116</v>
      </c>
      <c r="D75" s="12" t="s">
        <v>15</v>
      </c>
      <c r="E75" s="12" t="s">
        <v>178</v>
      </c>
      <c r="F75" s="12" t="s">
        <v>118</v>
      </c>
      <c r="G75" s="9" t="s">
        <v>22</v>
      </c>
      <c r="H75" s="9">
        <v>3</v>
      </c>
      <c r="I75" s="12" t="s">
        <v>119</v>
      </c>
      <c r="J75" s="13" t="s">
        <v>179</v>
      </c>
    </row>
    <row r="76" spans="1:10" ht="15" customHeight="1" x14ac:dyDescent="0.25">
      <c r="A76" s="9">
        <v>71</v>
      </c>
      <c r="B76" s="10" t="s">
        <v>13</v>
      </c>
      <c r="C76" s="11" t="s">
        <v>116</v>
      </c>
      <c r="D76" s="12" t="s">
        <v>15</v>
      </c>
      <c r="E76" s="12" t="s">
        <v>178</v>
      </c>
      <c r="F76" s="12" t="s">
        <v>121</v>
      </c>
      <c r="G76" s="9" t="s">
        <v>18</v>
      </c>
      <c r="H76" s="9">
        <v>1</v>
      </c>
      <c r="I76" s="12" t="s">
        <v>122</v>
      </c>
      <c r="J76" s="13" t="s">
        <v>180</v>
      </c>
    </row>
    <row r="77" spans="1:10" ht="15" customHeight="1" x14ac:dyDescent="0.25">
      <c r="A77" s="9">
        <v>72</v>
      </c>
      <c r="B77" s="10" t="s">
        <v>13</v>
      </c>
      <c r="C77" s="11" t="s">
        <v>116</v>
      </c>
      <c r="D77" s="12" t="s">
        <v>15</v>
      </c>
      <c r="E77" s="12" t="s">
        <v>178</v>
      </c>
      <c r="F77" s="12" t="s">
        <v>124</v>
      </c>
      <c r="G77" s="9" t="s">
        <v>22</v>
      </c>
      <c r="H77" s="9">
        <v>2</v>
      </c>
      <c r="I77" s="12" t="s">
        <v>125</v>
      </c>
      <c r="J77" s="13" t="s">
        <v>181</v>
      </c>
    </row>
    <row r="78" spans="1:10" ht="15" customHeight="1" x14ac:dyDescent="0.25">
      <c r="A78" s="9">
        <v>73</v>
      </c>
      <c r="B78" s="10" t="s">
        <v>13</v>
      </c>
      <c r="C78" s="11" t="s">
        <v>116</v>
      </c>
      <c r="D78" s="12" t="s">
        <v>15</v>
      </c>
      <c r="E78" s="12" t="s">
        <v>178</v>
      </c>
      <c r="F78" s="12" t="s">
        <v>127</v>
      </c>
      <c r="G78" s="9" t="s">
        <v>22</v>
      </c>
      <c r="H78" s="9">
        <v>1</v>
      </c>
      <c r="I78" s="12" t="s">
        <v>128</v>
      </c>
      <c r="J78" s="13" t="s">
        <v>182</v>
      </c>
    </row>
    <row r="79" spans="1:10" ht="15" customHeight="1" x14ac:dyDescent="0.25">
      <c r="A79" s="9">
        <v>74</v>
      </c>
      <c r="B79" s="10" t="s">
        <v>13</v>
      </c>
      <c r="C79" s="11" t="s">
        <v>116</v>
      </c>
      <c r="D79" s="12" t="s">
        <v>15</v>
      </c>
      <c r="E79" s="12" t="s">
        <v>178</v>
      </c>
      <c r="F79" s="12" t="s">
        <v>69</v>
      </c>
      <c r="G79" s="9" t="s">
        <v>22</v>
      </c>
      <c r="H79" s="9">
        <v>4</v>
      </c>
      <c r="I79" s="12" t="s">
        <v>70</v>
      </c>
      <c r="J79" s="13" t="s">
        <v>183</v>
      </c>
    </row>
    <row r="80" spans="1:10" ht="15" customHeight="1" x14ac:dyDescent="0.25">
      <c r="A80" s="9">
        <v>75</v>
      </c>
      <c r="B80" s="10" t="s">
        <v>13</v>
      </c>
      <c r="C80" s="11" t="s">
        <v>116</v>
      </c>
      <c r="D80" s="12" t="s">
        <v>15</v>
      </c>
      <c r="E80" s="12" t="s">
        <v>178</v>
      </c>
      <c r="F80" s="12" t="s">
        <v>131</v>
      </c>
      <c r="G80" s="9" t="s">
        <v>18</v>
      </c>
      <c r="H80" s="9">
        <v>2</v>
      </c>
      <c r="I80" s="12" t="s">
        <v>150</v>
      </c>
      <c r="J80" s="13" t="s">
        <v>184</v>
      </c>
    </row>
    <row r="81" spans="1:10" ht="15" customHeight="1" x14ac:dyDescent="0.25">
      <c r="A81" s="9">
        <v>76</v>
      </c>
      <c r="B81" s="10" t="s">
        <v>13</v>
      </c>
      <c r="C81" s="11" t="s">
        <v>116</v>
      </c>
      <c r="D81" s="12" t="s">
        <v>15</v>
      </c>
      <c r="E81" s="12" t="s">
        <v>178</v>
      </c>
      <c r="F81" s="12" t="s">
        <v>72</v>
      </c>
      <c r="G81" s="9" t="s">
        <v>53</v>
      </c>
      <c r="H81" s="9">
        <v>9</v>
      </c>
      <c r="I81" s="12" t="s">
        <v>73</v>
      </c>
      <c r="J81" s="13" t="s">
        <v>185</v>
      </c>
    </row>
    <row r="82" spans="1:10" ht="15" customHeight="1" x14ac:dyDescent="0.25">
      <c r="A82" s="9">
        <v>77</v>
      </c>
      <c r="B82" s="10" t="s">
        <v>13</v>
      </c>
      <c r="C82" s="11" t="s">
        <v>116</v>
      </c>
      <c r="D82" s="12" t="s">
        <v>15</v>
      </c>
      <c r="E82" s="12" t="s">
        <v>178</v>
      </c>
      <c r="F82" s="12" t="s">
        <v>75</v>
      </c>
      <c r="G82" s="9" t="s">
        <v>53</v>
      </c>
      <c r="H82" s="9">
        <v>1</v>
      </c>
      <c r="I82" s="12" t="s">
        <v>76</v>
      </c>
      <c r="J82" s="13" t="s">
        <v>186</v>
      </c>
    </row>
    <row r="83" spans="1:10" ht="15" customHeight="1" x14ac:dyDescent="0.25">
      <c r="A83" s="9">
        <v>78</v>
      </c>
      <c r="B83" s="10" t="s">
        <v>13</v>
      </c>
      <c r="C83" s="11" t="s">
        <v>116</v>
      </c>
      <c r="D83" s="12" t="s">
        <v>15</v>
      </c>
      <c r="E83" s="12" t="s">
        <v>178</v>
      </c>
      <c r="F83" s="12" t="s">
        <v>135</v>
      </c>
      <c r="G83" s="9" t="s">
        <v>61</v>
      </c>
      <c r="H83" s="9">
        <v>1</v>
      </c>
      <c r="I83" s="12" t="s">
        <v>136</v>
      </c>
      <c r="J83" s="13" t="s">
        <v>187</v>
      </c>
    </row>
    <row r="84" spans="1:10" ht="15" customHeight="1" x14ac:dyDescent="0.25">
      <c r="A84" s="9">
        <v>79</v>
      </c>
      <c r="B84" s="10" t="s">
        <v>13</v>
      </c>
      <c r="C84" s="11" t="s">
        <v>116</v>
      </c>
      <c r="D84" s="12" t="s">
        <v>15</v>
      </c>
      <c r="E84" s="12" t="s">
        <v>178</v>
      </c>
      <c r="F84" s="12" t="s">
        <v>138</v>
      </c>
      <c r="G84" s="9" t="s">
        <v>18</v>
      </c>
      <c r="H84" s="9">
        <v>3</v>
      </c>
      <c r="I84" s="12" t="s">
        <v>139</v>
      </c>
      <c r="J84" s="13" t="s">
        <v>188</v>
      </c>
    </row>
    <row r="85" spans="1:10" ht="15" customHeight="1" x14ac:dyDescent="0.25">
      <c r="A85" s="9">
        <v>80</v>
      </c>
      <c r="B85" s="10" t="s">
        <v>13</v>
      </c>
      <c r="C85" s="11" t="s">
        <v>116</v>
      </c>
      <c r="D85" s="12" t="s">
        <v>15</v>
      </c>
      <c r="E85" s="12" t="s">
        <v>178</v>
      </c>
      <c r="F85" s="12" t="s">
        <v>141</v>
      </c>
      <c r="G85" s="9" t="s">
        <v>18</v>
      </c>
      <c r="H85" s="9">
        <v>1</v>
      </c>
      <c r="I85" s="12" t="s">
        <v>142</v>
      </c>
      <c r="J85" s="13" t="s">
        <v>189</v>
      </c>
    </row>
    <row r="86" spans="1:10" ht="15" customHeight="1" x14ac:dyDescent="0.25">
      <c r="A86" s="9">
        <v>81</v>
      </c>
      <c r="B86" s="10" t="s">
        <v>13</v>
      </c>
      <c r="C86" s="11" t="s">
        <v>116</v>
      </c>
      <c r="D86" s="12" t="s">
        <v>15</v>
      </c>
      <c r="E86" s="12" t="s">
        <v>190</v>
      </c>
      <c r="F86" s="12" t="s">
        <v>118</v>
      </c>
      <c r="G86" s="9" t="s">
        <v>22</v>
      </c>
      <c r="H86" s="9">
        <v>3</v>
      </c>
      <c r="I86" s="12" t="s">
        <v>119</v>
      </c>
      <c r="J86" s="13" t="s">
        <v>191</v>
      </c>
    </row>
    <row r="87" spans="1:10" ht="15" customHeight="1" x14ac:dyDescent="0.25">
      <c r="A87" s="9">
        <v>82</v>
      </c>
      <c r="B87" s="10" t="s">
        <v>13</v>
      </c>
      <c r="C87" s="11" t="s">
        <v>116</v>
      </c>
      <c r="D87" s="12" t="s">
        <v>15</v>
      </c>
      <c r="E87" s="12" t="s">
        <v>190</v>
      </c>
      <c r="F87" s="12" t="s">
        <v>121</v>
      </c>
      <c r="G87" s="9" t="s">
        <v>18</v>
      </c>
      <c r="H87" s="9">
        <v>1</v>
      </c>
      <c r="I87" s="12" t="s">
        <v>122</v>
      </c>
      <c r="J87" s="13" t="s">
        <v>192</v>
      </c>
    </row>
    <row r="88" spans="1:10" ht="15" customHeight="1" x14ac:dyDescent="0.25">
      <c r="A88" s="9">
        <v>83</v>
      </c>
      <c r="B88" s="10" t="s">
        <v>13</v>
      </c>
      <c r="C88" s="11" t="s">
        <v>116</v>
      </c>
      <c r="D88" s="12" t="s">
        <v>15</v>
      </c>
      <c r="E88" s="12" t="s">
        <v>190</v>
      </c>
      <c r="F88" s="12" t="s">
        <v>124</v>
      </c>
      <c r="G88" s="9" t="s">
        <v>22</v>
      </c>
      <c r="H88" s="9">
        <v>2</v>
      </c>
      <c r="I88" s="12" t="s">
        <v>125</v>
      </c>
      <c r="J88" s="13" t="s">
        <v>193</v>
      </c>
    </row>
    <row r="89" spans="1:10" ht="15" customHeight="1" x14ac:dyDescent="0.25">
      <c r="A89" s="9">
        <v>84</v>
      </c>
      <c r="B89" s="10" t="s">
        <v>13</v>
      </c>
      <c r="C89" s="11" t="s">
        <v>116</v>
      </c>
      <c r="D89" s="12" t="s">
        <v>15</v>
      </c>
      <c r="E89" s="12" t="s">
        <v>190</v>
      </c>
      <c r="F89" s="12" t="s">
        <v>127</v>
      </c>
      <c r="G89" s="9" t="s">
        <v>22</v>
      </c>
      <c r="H89" s="9">
        <v>1</v>
      </c>
      <c r="I89" s="12" t="s">
        <v>128</v>
      </c>
      <c r="J89" s="13" t="s">
        <v>194</v>
      </c>
    </row>
    <row r="90" spans="1:10" ht="15" customHeight="1" x14ac:dyDescent="0.25">
      <c r="A90" s="9">
        <v>85</v>
      </c>
      <c r="B90" s="10" t="s">
        <v>13</v>
      </c>
      <c r="C90" s="11" t="s">
        <v>116</v>
      </c>
      <c r="D90" s="12" t="s">
        <v>15</v>
      </c>
      <c r="E90" s="12" t="s">
        <v>190</v>
      </c>
      <c r="F90" s="12" t="s">
        <v>69</v>
      </c>
      <c r="G90" s="9" t="s">
        <v>22</v>
      </c>
      <c r="H90" s="9">
        <v>4</v>
      </c>
      <c r="I90" s="12" t="s">
        <v>70</v>
      </c>
      <c r="J90" s="13" t="s">
        <v>195</v>
      </c>
    </row>
    <row r="91" spans="1:10" ht="15" customHeight="1" x14ac:dyDescent="0.25">
      <c r="A91" s="9">
        <v>86</v>
      </c>
      <c r="B91" s="10" t="s">
        <v>13</v>
      </c>
      <c r="C91" s="11" t="s">
        <v>116</v>
      </c>
      <c r="D91" s="12" t="s">
        <v>15</v>
      </c>
      <c r="E91" s="12" t="s">
        <v>190</v>
      </c>
      <c r="F91" s="12" t="s">
        <v>131</v>
      </c>
      <c r="G91" s="9" t="s">
        <v>18</v>
      </c>
      <c r="H91" s="9">
        <v>2</v>
      </c>
      <c r="I91" s="12" t="s">
        <v>150</v>
      </c>
      <c r="J91" s="13" t="s">
        <v>196</v>
      </c>
    </row>
    <row r="92" spans="1:10" ht="15" customHeight="1" x14ac:dyDescent="0.25">
      <c r="A92" s="9">
        <v>87</v>
      </c>
      <c r="B92" s="10" t="s">
        <v>13</v>
      </c>
      <c r="C92" s="11" t="s">
        <v>116</v>
      </c>
      <c r="D92" s="12" t="s">
        <v>15</v>
      </c>
      <c r="E92" s="12" t="s">
        <v>190</v>
      </c>
      <c r="F92" s="12" t="s">
        <v>72</v>
      </c>
      <c r="G92" s="9" t="s">
        <v>53</v>
      </c>
      <c r="H92" s="9">
        <v>9</v>
      </c>
      <c r="I92" s="12" t="s">
        <v>73</v>
      </c>
      <c r="J92" s="13" t="s">
        <v>197</v>
      </c>
    </row>
    <row r="93" spans="1:10" ht="15" customHeight="1" x14ac:dyDescent="0.25">
      <c r="A93" s="9">
        <v>88</v>
      </c>
      <c r="B93" s="10" t="s">
        <v>13</v>
      </c>
      <c r="C93" s="11" t="s">
        <v>116</v>
      </c>
      <c r="D93" s="12" t="s">
        <v>15</v>
      </c>
      <c r="E93" s="12" t="s">
        <v>190</v>
      </c>
      <c r="F93" s="12" t="s">
        <v>75</v>
      </c>
      <c r="G93" s="9" t="s">
        <v>53</v>
      </c>
      <c r="H93" s="9">
        <v>1</v>
      </c>
      <c r="I93" s="12" t="s">
        <v>76</v>
      </c>
      <c r="J93" s="13" t="s">
        <v>198</v>
      </c>
    </row>
    <row r="94" spans="1:10" ht="15" customHeight="1" x14ac:dyDescent="0.25">
      <c r="A94" s="9">
        <v>89</v>
      </c>
      <c r="B94" s="10" t="s">
        <v>13</v>
      </c>
      <c r="C94" s="11" t="s">
        <v>116</v>
      </c>
      <c r="D94" s="12" t="s">
        <v>15</v>
      </c>
      <c r="E94" s="12" t="s">
        <v>190</v>
      </c>
      <c r="F94" s="12" t="s">
        <v>135</v>
      </c>
      <c r="G94" s="9" t="s">
        <v>61</v>
      </c>
      <c r="H94" s="9">
        <v>1</v>
      </c>
      <c r="I94" s="12" t="s">
        <v>136</v>
      </c>
      <c r="J94" s="13" t="s">
        <v>199</v>
      </c>
    </row>
    <row r="95" spans="1:10" ht="15" customHeight="1" x14ac:dyDescent="0.25">
      <c r="A95" s="9">
        <v>90</v>
      </c>
      <c r="B95" s="10" t="s">
        <v>13</v>
      </c>
      <c r="C95" s="11" t="s">
        <v>116</v>
      </c>
      <c r="D95" s="12" t="s">
        <v>15</v>
      </c>
      <c r="E95" s="12" t="s">
        <v>190</v>
      </c>
      <c r="F95" s="12" t="s">
        <v>138</v>
      </c>
      <c r="G95" s="9" t="s">
        <v>18</v>
      </c>
      <c r="H95" s="9">
        <v>3</v>
      </c>
      <c r="I95" s="12" t="s">
        <v>139</v>
      </c>
      <c r="J95" s="13" t="s">
        <v>200</v>
      </c>
    </row>
    <row r="96" spans="1:10" ht="15" customHeight="1" x14ac:dyDescent="0.25">
      <c r="A96" s="9">
        <v>91</v>
      </c>
      <c r="B96" s="10" t="s">
        <v>13</v>
      </c>
      <c r="C96" s="11" t="s">
        <v>116</v>
      </c>
      <c r="D96" s="12" t="s">
        <v>15</v>
      </c>
      <c r="E96" s="12" t="s">
        <v>190</v>
      </c>
      <c r="F96" s="12" t="s">
        <v>141</v>
      </c>
      <c r="G96" s="9" t="s">
        <v>18</v>
      </c>
      <c r="H96" s="9">
        <v>1</v>
      </c>
      <c r="I96" s="12" t="s">
        <v>142</v>
      </c>
      <c r="J96" s="13" t="s">
        <v>201</v>
      </c>
    </row>
    <row r="97" spans="1:10" ht="15" customHeight="1" x14ac:dyDescent="0.25">
      <c r="A97" s="9">
        <v>92</v>
      </c>
      <c r="B97" s="10" t="s">
        <v>13</v>
      </c>
      <c r="C97" s="11" t="s">
        <v>116</v>
      </c>
      <c r="D97" s="12" t="s">
        <v>15</v>
      </c>
      <c r="E97" s="12" t="s">
        <v>202</v>
      </c>
      <c r="F97" s="12" t="s">
        <v>118</v>
      </c>
      <c r="G97" s="9" t="s">
        <v>22</v>
      </c>
      <c r="H97" s="9">
        <v>3</v>
      </c>
      <c r="I97" s="12" t="s">
        <v>119</v>
      </c>
      <c r="J97" s="13" t="s">
        <v>203</v>
      </c>
    </row>
    <row r="98" spans="1:10" ht="15" customHeight="1" x14ac:dyDescent="0.25">
      <c r="A98" s="9">
        <v>93</v>
      </c>
      <c r="B98" s="10" t="s">
        <v>13</v>
      </c>
      <c r="C98" s="11" t="s">
        <v>116</v>
      </c>
      <c r="D98" s="12" t="s">
        <v>15</v>
      </c>
      <c r="E98" s="12" t="s">
        <v>202</v>
      </c>
      <c r="F98" s="12" t="s">
        <v>127</v>
      </c>
      <c r="G98" s="9" t="s">
        <v>22</v>
      </c>
      <c r="H98" s="9">
        <v>1</v>
      </c>
      <c r="I98" s="12" t="s">
        <v>128</v>
      </c>
      <c r="J98" s="13" t="s">
        <v>204</v>
      </c>
    </row>
    <row r="99" spans="1:10" ht="15" customHeight="1" x14ac:dyDescent="0.25">
      <c r="A99" s="9">
        <v>94</v>
      </c>
      <c r="B99" s="10" t="s">
        <v>13</v>
      </c>
      <c r="C99" s="11" t="s">
        <v>116</v>
      </c>
      <c r="D99" s="12" t="s">
        <v>15</v>
      </c>
      <c r="E99" s="12" t="s">
        <v>202</v>
      </c>
      <c r="F99" s="12" t="s">
        <v>69</v>
      </c>
      <c r="G99" s="9" t="s">
        <v>22</v>
      </c>
      <c r="H99" s="9">
        <v>4</v>
      </c>
      <c r="I99" s="12" t="s">
        <v>70</v>
      </c>
      <c r="J99" s="13" t="s">
        <v>205</v>
      </c>
    </row>
    <row r="100" spans="1:10" ht="15" customHeight="1" x14ac:dyDescent="0.25">
      <c r="A100" s="9">
        <v>95</v>
      </c>
      <c r="B100" s="10" t="s">
        <v>13</v>
      </c>
      <c r="C100" s="11" t="s">
        <v>116</v>
      </c>
      <c r="D100" s="12" t="s">
        <v>15</v>
      </c>
      <c r="E100" s="12" t="s">
        <v>202</v>
      </c>
      <c r="F100" s="12" t="s">
        <v>131</v>
      </c>
      <c r="G100" s="9" t="s">
        <v>18</v>
      </c>
      <c r="H100" s="9">
        <v>2</v>
      </c>
      <c r="I100" s="12" t="s">
        <v>150</v>
      </c>
      <c r="J100" s="13" t="s">
        <v>206</v>
      </c>
    </row>
    <row r="101" spans="1:10" ht="15" customHeight="1" x14ac:dyDescent="0.25">
      <c r="A101" s="9">
        <v>96</v>
      </c>
      <c r="B101" s="10" t="s">
        <v>13</v>
      </c>
      <c r="C101" s="11" t="s">
        <v>116</v>
      </c>
      <c r="D101" s="12" t="s">
        <v>15</v>
      </c>
      <c r="E101" s="12" t="s">
        <v>202</v>
      </c>
      <c r="F101" s="12" t="s">
        <v>72</v>
      </c>
      <c r="G101" s="9" t="s">
        <v>53</v>
      </c>
      <c r="H101" s="9">
        <v>9</v>
      </c>
      <c r="I101" s="12" t="s">
        <v>73</v>
      </c>
      <c r="J101" s="13" t="s">
        <v>207</v>
      </c>
    </row>
    <row r="102" spans="1:10" ht="15" customHeight="1" x14ac:dyDescent="0.25">
      <c r="A102" s="9">
        <v>97</v>
      </c>
      <c r="B102" s="10" t="s">
        <v>13</v>
      </c>
      <c r="C102" s="11" t="s">
        <v>116</v>
      </c>
      <c r="D102" s="12" t="s">
        <v>15</v>
      </c>
      <c r="E102" s="12" t="s">
        <v>202</v>
      </c>
      <c r="F102" s="12" t="s">
        <v>75</v>
      </c>
      <c r="G102" s="9" t="s">
        <v>53</v>
      </c>
      <c r="H102" s="9">
        <v>1</v>
      </c>
      <c r="I102" s="12" t="s">
        <v>76</v>
      </c>
      <c r="J102" s="13" t="s">
        <v>208</v>
      </c>
    </row>
    <row r="103" spans="1:10" ht="15" customHeight="1" x14ac:dyDescent="0.25">
      <c r="A103" s="9">
        <v>98</v>
      </c>
      <c r="B103" s="10" t="s">
        <v>13</v>
      </c>
      <c r="C103" s="11" t="s">
        <v>116</v>
      </c>
      <c r="D103" s="12" t="s">
        <v>15</v>
      </c>
      <c r="E103" s="12" t="s">
        <v>202</v>
      </c>
      <c r="F103" s="12" t="s">
        <v>135</v>
      </c>
      <c r="G103" s="9" t="s">
        <v>61</v>
      </c>
      <c r="H103" s="9">
        <v>1</v>
      </c>
      <c r="I103" s="12" t="s">
        <v>136</v>
      </c>
      <c r="J103" s="13" t="s">
        <v>209</v>
      </c>
    </row>
    <row r="104" spans="1:10" ht="15" customHeight="1" x14ac:dyDescent="0.25">
      <c r="A104" s="9">
        <v>99</v>
      </c>
      <c r="B104" s="10" t="s">
        <v>13</v>
      </c>
      <c r="C104" s="11" t="s">
        <v>116</v>
      </c>
      <c r="D104" s="12" t="s">
        <v>15</v>
      </c>
      <c r="E104" s="12" t="s">
        <v>202</v>
      </c>
      <c r="F104" s="12" t="s">
        <v>138</v>
      </c>
      <c r="G104" s="9" t="s">
        <v>18</v>
      </c>
      <c r="H104" s="9">
        <v>3</v>
      </c>
      <c r="I104" s="12" t="s">
        <v>139</v>
      </c>
      <c r="J104" s="13" t="s">
        <v>210</v>
      </c>
    </row>
    <row r="105" spans="1:10" ht="15" customHeight="1" x14ac:dyDescent="0.25">
      <c r="A105" s="9">
        <v>100</v>
      </c>
      <c r="B105" s="10" t="s">
        <v>13</v>
      </c>
      <c r="C105" s="11" t="s">
        <v>41</v>
      </c>
      <c r="D105" s="12" t="s">
        <v>15</v>
      </c>
      <c r="E105" s="12" t="s">
        <v>211</v>
      </c>
      <c r="F105" s="12" t="s">
        <v>118</v>
      </c>
      <c r="G105" s="9" t="s">
        <v>22</v>
      </c>
      <c r="H105" s="9">
        <v>3</v>
      </c>
      <c r="I105" s="12" t="s">
        <v>119</v>
      </c>
      <c r="J105" s="13" t="s">
        <v>212</v>
      </c>
    </row>
    <row r="106" spans="1:10" ht="15" customHeight="1" x14ac:dyDescent="0.25">
      <c r="A106" s="9">
        <v>101</v>
      </c>
      <c r="B106" s="10" t="s">
        <v>13</v>
      </c>
      <c r="C106" s="11" t="s">
        <v>41</v>
      </c>
      <c r="D106" s="12" t="s">
        <v>15</v>
      </c>
      <c r="E106" s="12" t="s">
        <v>211</v>
      </c>
      <c r="F106" s="12" t="s">
        <v>69</v>
      </c>
      <c r="G106" s="9" t="s">
        <v>22</v>
      </c>
      <c r="H106" s="9">
        <v>4</v>
      </c>
      <c r="I106" s="12" t="s">
        <v>70</v>
      </c>
      <c r="J106" s="13" t="s">
        <v>213</v>
      </c>
    </row>
    <row r="107" spans="1:10" ht="15" customHeight="1" x14ac:dyDescent="0.25">
      <c r="A107" s="9">
        <v>102</v>
      </c>
      <c r="B107" s="10" t="s">
        <v>13</v>
      </c>
      <c r="C107" s="11" t="s">
        <v>41</v>
      </c>
      <c r="D107" s="12" t="s">
        <v>15</v>
      </c>
      <c r="E107" s="12" t="s">
        <v>211</v>
      </c>
      <c r="F107" s="12" t="s">
        <v>131</v>
      </c>
      <c r="G107" s="9" t="s">
        <v>18</v>
      </c>
      <c r="H107" s="9">
        <v>2</v>
      </c>
      <c r="I107" s="12" t="s">
        <v>150</v>
      </c>
      <c r="J107" s="13" t="s">
        <v>214</v>
      </c>
    </row>
    <row r="108" spans="1:10" ht="15" customHeight="1" x14ac:dyDescent="0.25">
      <c r="A108" s="9">
        <v>103</v>
      </c>
      <c r="B108" s="10" t="s">
        <v>13</v>
      </c>
      <c r="C108" s="11" t="s">
        <v>41</v>
      </c>
      <c r="D108" s="12" t="s">
        <v>15</v>
      </c>
      <c r="E108" s="12" t="s">
        <v>211</v>
      </c>
      <c r="F108" s="12" t="s">
        <v>72</v>
      </c>
      <c r="G108" s="9" t="s">
        <v>53</v>
      </c>
      <c r="H108" s="9">
        <v>9</v>
      </c>
      <c r="I108" s="12" t="s">
        <v>73</v>
      </c>
      <c r="J108" s="13" t="s">
        <v>215</v>
      </c>
    </row>
    <row r="109" spans="1:10" ht="15" customHeight="1" x14ac:dyDescent="0.25">
      <c r="A109" s="9">
        <v>104</v>
      </c>
      <c r="B109" s="10" t="s">
        <v>13</v>
      </c>
      <c r="C109" s="11" t="s">
        <v>41</v>
      </c>
      <c r="D109" s="12" t="s">
        <v>15</v>
      </c>
      <c r="E109" s="12" t="s">
        <v>211</v>
      </c>
      <c r="F109" s="12" t="s">
        <v>75</v>
      </c>
      <c r="G109" s="9" t="s">
        <v>53</v>
      </c>
      <c r="H109" s="9">
        <v>1</v>
      </c>
      <c r="I109" s="12" t="s">
        <v>76</v>
      </c>
      <c r="J109" s="13" t="s">
        <v>216</v>
      </c>
    </row>
    <row r="110" spans="1:10" ht="15" customHeight="1" x14ac:dyDescent="0.25">
      <c r="A110" s="9">
        <v>105</v>
      </c>
      <c r="B110" s="10" t="s">
        <v>13</v>
      </c>
      <c r="C110" s="11" t="s">
        <v>41</v>
      </c>
      <c r="D110" s="12" t="s">
        <v>15</v>
      </c>
      <c r="E110" s="12" t="s">
        <v>211</v>
      </c>
      <c r="F110" s="12" t="s">
        <v>135</v>
      </c>
      <c r="G110" s="9" t="s">
        <v>61</v>
      </c>
      <c r="H110" s="9">
        <v>1</v>
      </c>
      <c r="I110" s="12" t="s">
        <v>136</v>
      </c>
      <c r="J110" s="13" t="s">
        <v>217</v>
      </c>
    </row>
    <row r="111" spans="1:10" ht="15" customHeight="1" x14ac:dyDescent="0.25">
      <c r="A111" s="9">
        <v>106</v>
      </c>
      <c r="B111" s="10" t="s">
        <v>13</v>
      </c>
      <c r="C111" s="11" t="s">
        <v>41</v>
      </c>
      <c r="D111" s="12" t="s">
        <v>15</v>
      </c>
      <c r="E111" s="12" t="s">
        <v>211</v>
      </c>
      <c r="F111" s="12" t="s">
        <v>138</v>
      </c>
      <c r="G111" s="9" t="s">
        <v>18</v>
      </c>
      <c r="H111" s="9">
        <v>3</v>
      </c>
      <c r="I111" s="12" t="s">
        <v>139</v>
      </c>
      <c r="J111" s="13" t="s">
        <v>218</v>
      </c>
    </row>
    <row r="112" spans="1:10" ht="15" customHeight="1" x14ac:dyDescent="0.25">
      <c r="A112" s="9">
        <v>107</v>
      </c>
      <c r="B112" s="10" t="s">
        <v>13</v>
      </c>
      <c r="C112" s="11" t="s">
        <v>41</v>
      </c>
      <c r="D112" s="12" t="s">
        <v>15</v>
      </c>
      <c r="E112" s="12" t="s">
        <v>211</v>
      </c>
      <c r="F112" s="12" t="s">
        <v>219</v>
      </c>
      <c r="G112" s="9" t="s">
        <v>18</v>
      </c>
      <c r="H112" s="9">
        <v>1</v>
      </c>
      <c r="I112" s="12" t="s">
        <v>220</v>
      </c>
      <c r="J112" s="13" t="s">
        <v>221</v>
      </c>
    </row>
    <row r="113" spans="1:10" ht="15" customHeight="1" x14ac:dyDescent="0.25">
      <c r="A113" s="9">
        <v>108</v>
      </c>
      <c r="B113" s="10" t="s">
        <v>13</v>
      </c>
      <c r="C113" s="11" t="s">
        <v>41</v>
      </c>
      <c r="D113" s="12" t="s">
        <v>15</v>
      </c>
      <c r="E113" s="12" t="s">
        <v>211</v>
      </c>
      <c r="F113" s="12" t="s">
        <v>222</v>
      </c>
      <c r="G113" s="9" t="s">
        <v>18</v>
      </c>
      <c r="H113" s="9">
        <v>1</v>
      </c>
      <c r="I113" s="12" t="s">
        <v>223</v>
      </c>
      <c r="J113" s="13" t="s">
        <v>224</v>
      </c>
    </row>
    <row r="114" spans="1:10" ht="15" customHeight="1" x14ac:dyDescent="0.25">
      <c r="A114" s="9">
        <v>109</v>
      </c>
      <c r="B114" s="10" t="s">
        <v>13</v>
      </c>
      <c r="C114" s="11" t="s">
        <v>225</v>
      </c>
      <c r="D114" s="12" t="s">
        <v>226</v>
      </c>
      <c r="E114" s="12" t="s">
        <v>227</v>
      </c>
      <c r="F114" s="12" t="s">
        <v>69</v>
      </c>
      <c r="G114" s="9" t="s">
        <v>22</v>
      </c>
      <c r="H114" s="9">
        <v>4</v>
      </c>
      <c r="I114" s="12" t="s">
        <v>70</v>
      </c>
      <c r="J114" s="13" t="s">
        <v>228</v>
      </c>
    </row>
    <row r="115" spans="1:10" ht="15" customHeight="1" x14ac:dyDescent="0.25">
      <c r="A115" s="9">
        <v>110</v>
      </c>
      <c r="B115" s="10" t="s">
        <v>13</v>
      </c>
      <c r="C115" s="11" t="s">
        <v>225</v>
      </c>
      <c r="D115" s="12" t="s">
        <v>226</v>
      </c>
      <c r="E115" s="12" t="s">
        <v>227</v>
      </c>
      <c r="F115" s="12" t="s">
        <v>131</v>
      </c>
      <c r="G115" s="9" t="s">
        <v>18</v>
      </c>
      <c r="H115" s="9">
        <v>2</v>
      </c>
      <c r="I115" s="12" t="s">
        <v>150</v>
      </c>
      <c r="J115" s="13" t="s">
        <v>229</v>
      </c>
    </row>
    <row r="116" spans="1:10" ht="15" customHeight="1" x14ac:dyDescent="0.25">
      <c r="A116" s="9">
        <v>111</v>
      </c>
      <c r="B116" s="10" t="s">
        <v>13</v>
      </c>
      <c r="C116" s="11" t="s">
        <v>225</v>
      </c>
      <c r="D116" s="12" t="s">
        <v>226</v>
      </c>
      <c r="E116" s="12" t="s">
        <v>227</v>
      </c>
      <c r="F116" s="12" t="s">
        <v>72</v>
      </c>
      <c r="G116" s="9" t="s">
        <v>53</v>
      </c>
      <c r="H116" s="9">
        <v>9</v>
      </c>
      <c r="I116" s="12" t="s">
        <v>73</v>
      </c>
      <c r="J116" s="13" t="s">
        <v>230</v>
      </c>
    </row>
    <row r="117" spans="1:10" ht="15" customHeight="1" x14ac:dyDescent="0.25">
      <c r="A117" s="9">
        <v>112</v>
      </c>
      <c r="B117" s="10" t="s">
        <v>13</v>
      </c>
      <c r="C117" s="11" t="s">
        <v>225</v>
      </c>
      <c r="D117" s="12" t="s">
        <v>226</v>
      </c>
      <c r="E117" s="12" t="s">
        <v>227</v>
      </c>
      <c r="F117" s="12" t="s">
        <v>75</v>
      </c>
      <c r="G117" s="9" t="s">
        <v>53</v>
      </c>
      <c r="H117" s="9">
        <v>1</v>
      </c>
      <c r="I117" s="12" t="s">
        <v>76</v>
      </c>
      <c r="J117" s="13" t="s">
        <v>231</v>
      </c>
    </row>
    <row r="118" spans="1:10" ht="15" customHeight="1" x14ac:dyDescent="0.25">
      <c r="A118" s="9">
        <v>113</v>
      </c>
      <c r="B118" s="10" t="s">
        <v>13</v>
      </c>
      <c r="C118" s="11" t="s">
        <v>225</v>
      </c>
      <c r="D118" s="12" t="s">
        <v>226</v>
      </c>
      <c r="E118" s="12" t="s">
        <v>227</v>
      </c>
      <c r="F118" s="12" t="s">
        <v>232</v>
      </c>
      <c r="G118" s="9" t="s">
        <v>53</v>
      </c>
      <c r="H118" s="9">
        <v>1</v>
      </c>
      <c r="I118" s="12" t="s">
        <v>233</v>
      </c>
      <c r="J118" s="13" t="s">
        <v>234</v>
      </c>
    </row>
    <row r="119" spans="1:10" ht="15" customHeight="1" x14ac:dyDescent="0.25">
      <c r="A119" s="9">
        <v>114</v>
      </c>
      <c r="B119" s="10" t="s">
        <v>13</v>
      </c>
      <c r="C119" s="11" t="s">
        <v>225</v>
      </c>
      <c r="D119" s="12" t="s">
        <v>226</v>
      </c>
      <c r="E119" s="12" t="s">
        <v>227</v>
      </c>
      <c r="F119" s="12" t="s">
        <v>235</v>
      </c>
      <c r="G119" s="9" t="s">
        <v>57</v>
      </c>
      <c r="H119" s="9">
        <v>1</v>
      </c>
      <c r="I119" s="12" t="s">
        <v>236</v>
      </c>
      <c r="J119" s="13" t="s">
        <v>237</v>
      </c>
    </row>
    <row r="120" spans="1:10" ht="15" customHeight="1" x14ac:dyDescent="0.25">
      <c r="A120" s="9">
        <v>115</v>
      </c>
      <c r="B120" s="10" t="s">
        <v>13</v>
      </c>
      <c r="C120" s="11" t="s">
        <v>225</v>
      </c>
      <c r="D120" s="12" t="s">
        <v>226</v>
      </c>
      <c r="E120" s="12" t="s">
        <v>238</v>
      </c>
      <c r="F120" s="12" t="s">
        <v>69</v>
      </c>
      <c r="G120" s="9" t="s">
        <v>22</v>
      </c>
      <c r="H120" s="9">
        <v>4</v>
      </c>
      <c r="I120" s="12" t="s">
        <v>70</v>
      </c>
      <c r="J120" s="13" t="s">
        <v>239</v>
      </c>
    </row>
    <row r="121" spans="1:10" ht="15" customHeight="1" x14ac:dyDescent="0.25">
      <c r="A121" s="9">
        <v>116</v>
      </c>
      <c r="B121" s="10" t="s">
        <v>13</v>
      </c>
      <c r="C121" s="11" t="s">
        <v>225</v>
      </c>
      <c r="D121" s="12" t="s">
        <v>226</v>
      </c>
      <c r="E121" s="12" t="s">
        <v>238</v>
      </c>
      <c r="F121" s="12" t="s">
        <v>131</v>
      </c>
      <c r="G121" s="9" t="s">
        <v>18</v>
      </c>
      <c r="H121" s="9">
        <v>2</v>
      </c>
      <c r="I121" s="12" t="s">
        <v>150</v>
      </c>
      <c r="J121" s="13" t="s">
        <v>240</v>
      </c>
    </row>
    <row r="122" spans="1:10" ht="15" customHeight="1" x14ac:dyDescent="0.25">
      <c r="A122" s="9">
        <v>117</v>
      </c>
      <c r="B122" s="10" t="s">
        <v>13</v>
      </c>
      <c r="C122" s="11" t="s">
        <v>225</v>
      </c>
      <c r="D122" s="12" t="s">
        <v>226</v>
      </c>
      <c r="E122" s="12" t="s">
        <v>238</v>
      </c>
      <c r="F122" s="12" t="s">
        <v>72</v>
      </c>
      <c r="G122" s="9" t="s">
        <v>53</v>
      </c>
      <c r="H122" s="9">
        <v>9</v>
      </c>
      <c r="I122" s="12" t="s">
        <v>73</v>
      </c>
      <c r="J122" s="13" t="s">
        <v>241</v>
      </c>
    </row>
    <row r="123" spans="1:10" ht="15" customHeight="1" x14ac:dyDescent="0.25">
      <c r="A123" s="9">
        <v>118</v>
      </c>
      <c r="B123" s="10" t="s">
        <v>13</v>
      </c>
      <c r="C123" s="11" t="s">
        <v>225</v>
      </c>
      <c r="D123" s="12" t="s">
        <v>226</v>
      </c>
      <c r="E123" s="12" t="s">
        <v>238</v>
      </c>
      <c r="F123" s="12" t="s">
        <v>75</v>
      </c>
      <c r="G123" s="9" t="s">
        <v>53</v>
      </c>
      <c r="H123" s="9">
        <v>1</v>
      </c>
      <c r="I123" s="12" t="s">
        <v>76</v>
      </c>
      <c r="J123" s="13" t="s">
        <v>242</v>
      </c>
    </row>
    <row r="124" spans="1:10" ht="15" customHeight="1" x14ac:dyDescent="0.25">
      <c r="A124" s="9">
        <v>119</v>
      </c>
      <c r="B124" s="10" t="s">
        <v>13</v>
      </c>
      <c r="C124" s="11" t="s">
        <v>225</v>
      </c>
      <c r="D124" s="12" t="s">
        <v>226</v>
      </c>
      <c r="E124" s="12" t="s">
        <v>243</v>
      </c>
      <c r="F124" s="12" t="s">
        <v>69</v>
      </c>
      <c r="G124" s="9" t="s">
        <v>22</v>
      </c>
      <c r="H124" s="9">
        <v>4</v>
      </c>
      <c r="I124" s="12" t="s">
        <v>70</v>
      </c>
      <c r="J124" s="13" t="s">
        <v>244</v>
      </c>
    </row>
    <row r="125" spans="1:10" ht="15" customHeight="1" x14ac:dyDescent="0.25">
      <c r="A125" s="9">
        <v>120</v>
      </c>
      <c r="B125" s="10" t="s">
        <v>13</v>
      </c>
      <c r="C125" s="11" t="s">
        <v>225</v>
      </c>
      <c r="D125" s="12" t="s">
        <v>226</v>
      </c>
      <c r="E125" s="12" t="s">
        <v>243</v>
      </c>
      <c r="F125" s="12" t="s">
        <v>131</v>
      </c>
      <c r="G125" s="9" t="s">
        <v>18</v>
      </c>
      <c r="H125" s="9">
        <v>2</v>
      </c>
      <c r="I125" s="12" t="s">
        <v>150</v>
      </c>
      <c r="J125" s="13" t="s">
        <v>245</v>
      </c>
    </row>
    <row r="126" spans="1:10" ht="15" customHeight="1" x14ac:dyDescent="0.25">
      <c r="A126" s="9">
        <v>121</v>
      </c>
      <c r="B126" s="10" t="s">
        <v>13</v>
      </c>
      <c r="C126" s="11" t="s">
        <v>225</v>
      </c>
      <c r="D126" s="12" t="s">
        <v>226</v>
      </c>
      <c r="E126" s="12" t="s">
        <v>243</v>
      </c>
      <c r="F126" s="12" t="s">
        <v>72</v>
      </c>
      <c r="G126" s="9" t="s">
        <v>53</v>
      </c>
      <c r="H126" s="9">
        <v>9</v>
      </c>
      <c r="I126" s="12" t="s">
        <v>73</v>
      </c>
      <c r="J126" s="13" t="s">
        <v>246</v>
      </c>
    </row>
    <row r="127" spans="1:10" ht="15" customHeight="1" x14ac:dyDescent="0.25">
      <c r="A127" s="9">
        <v>122</v>
      </c>
      <c r="B127" s="10" t="s">
        <v>13</v>
      </c>
      <c r="C127" s="11" t="s">
        <v>225</v>
      </c>
      <c r="D127" s="12" t="s">
        <v>226</v>
      </c>
      <c r="E127" s="12" t="s">
        <v>243</v>
      </c>
      <c r="F127" s="12" t="s">
        <v>75</v>
      </c>
      <c r="G127" s="9" t="s">
        <v>53</v>
      </c>
      <c r="H127" s="9">
        <v>1</v>
      </c>
      <c r="I127" s="12" t="s">
        <v>76</v>
      </c>
      <c r="J127" s="13" t="s">
        <v>247</v>
      </c>
    </row>
    <row r="128" spans="1:10" ht="15" customHeight="1" x14ac:dyDescent="0.25">
      <c r="A128" s="9">
        <v>123</v>
      </c>
      <c r="B128" s="10" t="s">
        <v>13</v>
      </c>
      <c r="C128" s="11" t="s">
        <v>225</v>
      </c>
      <c r="D128" s="12" t="s">
        <v>226</v>
      </c>
      <c r="E128" s="12" t="s">
        <v>243</v>
      </c>
      <c r="F128" s="12" t="s">
        <v>248</v>
      </c>
      <c r="G128" s="9" t="s">
        <v>53</v>
      </c>
      <c r="H128" s="9">
        <v>1</v>
      </c>
      <c r="I128" s="12" t="s">
        <v>249</v>
      </c>
      <c r="J128" s="13" t="s">
        <v>250</v>
      </c>
    </row>
    <row r="129" spans="1:10" ht="15" customHeight="1" x14ac:dyDescent="0.25">
      <c r="A129" s="9">
        <v>124</v>
      </c>
      <c r="B129" s="10" t="s">
        <v>13</v>
      </c>
      <c r="C129" s="11" t="s">
        <v>225</v>
      </c>
      <c r="D129" s="12" t="s">
        <v>226</v>
      </c>
      <c r="E129" s="12" t="s">
        <v>243</v>
      </c>
      <c r="F129" s="12" t="s">
        <v>251</v>
      </c>
      <c r="G129" s="9" t="s">
        <v>18</v>
      </c>
      <c r="H129" s="9">
        <v>1</v>
      </c>
      <c r="I129" s="12" t="s">
        <v>252</v>
      </c>
      <c r="J129" s="13" t="s">
        <v>253</v>
      </c>
    </row>
    <row r="130" spans="1:10" ht="15" customHeight="1" x14ac:dyDescent="0.25">
      <c r="A130" s="9">
        <v>125</v>
      </c>
      <c r="B130" s="10" t="s">
        <v>13</v>
      </c>
      <c r="C130" s="11" t="s">
        <v>225</v>
      </c>
      <c r="D130" s="12" t="s">
        <v>226</v>
      </c>
      <c r="E130" s="12" t="s">
        <v>254</v>
      </c>
      <c r="F130" s="12" t="s">
        <v>69</v>
      </c>
      <c r="G130" s="9" t="s">
        <v>22</v>
      </c>
      <c r="H130" s="9">
        <v>4</v>
      </c>
      <c r="I130" s="12" t="s">
        <v>70</v>
      </c>
      <c r="J130" s="13" t="s">
        <v>255</v>
      </c>
    </row>
    <row r="131" spans="1:10" ht="15" customHeight="1" x14ac:dyDescent="0.25">
      <c r="A131" s="9">
        <v>126</v>
      </c>
      <c r="B131" s="10" t="s">
        <v>13</v>
      </c>
      <c r="C131" s="11" t="s">
        <v>225</v>
      </c>
      <c r="D131" s="12" t="s">
        <v>226</v>
      </c>
      <c r="E131" s="12" t="s">
        <v>254</v>
      </c>
      <c r="F131" s="12" t="s">
        <v>131</v>
      </c>
      <c r="G131" s="9" t="s">
        <v>18</v>
      </c>
      <c r="H131" s="9">
        <v>2</v>
      </c>
      <c r="I131" s="12" t="s">
        <v>150</v>
      </c>
      <c r="J131" s="13" t="s">
        <v>256</v>
      </c>
    </row>
    <row r="132" spans="1:10" ht="15" customHeight="1" x14ac:dyDescent="0.25">
      <c r="A132" s="9">
        <v>127</v>
      </c>
      <c r="B132" s="10" t="s">
        <v>13</v>
      </c>
      <c r="C132" s="11" t="s">
        <v>225</v>
      </c>
      <c r="D132" s="12" t="s">
        <v>226</v>
      </c>
      <c r="E132" s="12" t="s">
        <v>254</v>
      </c>
      <c r="F132" s="12" t="s">
        <v>72</v>
      </c>
      <c r="G132" s="9" t="s">
        <v>53</v>
      </c>
      <c r="H132" s="9">
        <v>9</v>
      </c>
      <c r="I132" s="12" t="s">
        <v>73</v>
      </c>
      <c r="J132" s="13" t="s">
        <v>257</v>
      </c>
    </row>
    <row r="133" spans="1:10" ht="15" customHeight="1" x14ac:dyDescent="0.25">
      <c r="A133" s="9">
        <v>128</v>
      </c>
      <c r="B133" s="10" t="s">
        <v>13</v>
      </c>
      <c r="C133" s="11" t="s">
        <v>225</v>
      </c>
      <c r="D133" s="12" t="s">
        <v>226</v>
      </c>
      <c r="E133" s="12" t="s">
        <v>254</v>
      </c>
      <c r="F133" s="12" t="s">
        <v>75</v>
      </c>
      <c r="G133" s="9" t="s">
        <v>53</v>
      </c>
      <c r="H133" s="9">
        <v>1</v>
      </c>
      <c r="I133" s="12" t="s">
        <v>76</v>
      </c>
      <c r="J133" s="13" t="s">
        <v>258</v>
      </c>
    </row>
    <row r="134" spans="1:10" ht="15" customHeight="1" x14ac:dyDescent="0.25">
      <c r="A134" s="9">
        <v>129</v>
      </c>
      <c r="B134" s="10" t="s">
        <v>13</v>
      </c>
      <c r="C134" s="11" t="s">
        <v>225</v>
      </c>
      <c r="D134" s="12" t="s">
        <v>226</v>
      </c>
      <c r="E134" s="12" t="s">
        <v>254</v>
      </c>
      <c r="F134" s="12" t="s">
        <v>135</v>
      </c>
      <c r="G134" s="9" t="s">
        <v>61</v>
      </c>
      <c r="H134" s="9">
        <v>1</v>
      </c>
      <c r="I134" s="12" t="s">
        <v>136</v>
      </c>
      <c r="J134" s="13" t="s">
        <v>259</v>
      </c>
    </row>
    <row r="135" spans="1:10" ht="15" customHeight="1" x14ac:dyDescent="0.25">
      <c r="A135" s="9">
        <v>130</v>
      </c>
      <c r="B135" s="10" t="s">
        <v>13</v>
      </c>
      <c r="C135" s="11" t="s">
        <v>225</v>
      </c>
      <c r="D135" s="12" t="s">
        <v>226</v>
      </c>
      <c r="E135" s="12" t="s">
        <v>260</v>
      </c>
      <c r="F135" s="12" t="s">
        <v>69</v>
      </c>
      <c r="G135" s="9" t="s">
        <v>22</v>
      </c>
      <c r="H135" s="9">
        <v>4</v>
      </c>
      <c r="I135" s="12" t="s">
        <v>70</v>
      </c>
      <c r="J135" s="13" t="s">
        <v>261</v>
      </c>
    </row>
    <row r="136" spans="1:10" ht="15" customHeight="1" x14ac:dyDescent="0.25">
      <c r="A136" s="9">
        <v>131</v>
      </c>
      <c r="B136" s="10" t="s">
        <v>13</v>
      </c>
      <c r="C136" s="11" t="s">
        <v>225</v>
      </c>
      <c r="D136" s="12" t="s">
        <v>226</v>
      </c>
      <c r="E136" s="12" t="s">
        <v>260</v>
      </c>
      <c r="F136" s="12" t="s">
        <v>131</v>
      </c>
      <c r="G136" s="9" t="s">
        <v>18</v>
      </c>
      <c r="H136" s="9">
        <v>2</v>
      </c>
      <c r="I136" s="12" t="s">
        <v>150</v>
      </c>
      <c r="J136" s="13" t="s">
        <v>262</v>
      </c>
    </row>
    <row r="137" spans="1:10" ht="15" customHeight="1" x14ac:dyDescent="0.25">
      <c r="A137" s="9">
        <v>132</v>
      </c>
      <c r="B137" s="10" t="s">
        <v>13</v>
      </c>
      <c r="C137" s="11" t="s">
        <v>225</v>
      </c>
      <c r="D137" s="12" t="s">
        <v>226</v>
      </c>
      <c r="E137" s="12" t="s">
        <v>260</v>
      </c>
      <c r="F137" s="12" t="s">
        <v>72</v>
      </c>
      <c r="G137" s="9" t="s">
        <v>53</v>
      </c>
      <c r="H137" s="9">
        <v>9</v>
      </c>
      <c r="I137" s="12" t="s">
        <v>73</v>
      </c>
      <c r="J137" s="13" t="s">
        <v>263</v>
      </c>
    </row>
    <row r="138" spans="1:10" ht="15" customHeight="1" x14ac:dyDescent="0.25">
      <c r="A138" s="9">
        <v>133</v>
      </c>
      <c r="B138" s="10" t="s">
        <v>13</v>
      </c>
      <c r="C138" s="11" t="s">
        <v>225</v>
      </c>
      <c r="D138" s="12" t="s">
        <v>226</v>
      </c>
      <c r="E138" s="12" t="s">
        <v>260</v>
      </c>
      <c r="F138" s="12" t="s">
        <v>75</v>
      </c>
      <c r="G138" s="9" t="s">
        <v>53</v>
      </c>
      <c r="H138" s="9">
        <v>1</v>
      </c>
      <c r="I138" s="12" t="s">
        <v>76</v>
      </c>
      <c r="J138" s="13" t="s">
        <v>264</v>
      </c>
    </row>
    <row r="139" spans="1:10" ht="15" customHeight="1" x14ac:dyDescent="0.25">
      <c r="A139" s="9">
        <v>134</v>
      </c>
      <c r="B139" s="10" t="s">
        <v>13</v>
      </c>
      <c r="C139" s="11" t="s">
        <v>225</v>
      </c>
      <c r="D139" s="12" t="s">
        <v>226</v>
      </c>
      <c r="E139" s="12" t="s">
        <v>265</v>
      </c>
      <c r="F139" s="12" t="s">
        <v>69</v>
      </c>
      <c r="G139" s="9" t="s">
        <v>22</v>
      </c>
      <c r="H139" s="9">
        <v>4</v>
      </c>
      <c r="I139" s="12" t="s">
        <v>70</v>
      </c>
      <c r="J139" s="13" t="s">
        <v>266</v>
      </c>
    </row>
    <row r="140" spans="1:10" ht="15" customHeight="1" x14ac:dyDescent="0.25">
      <c r="A140" s="9">
        <v>135</v>
      </c>
      <c r="B140" s="10" t="s">
        <v>13</v>
      </c>
      <c r="C140" s="11" t="s">
        <v>225</v>
      </c>
      <c r="D140" s="12" t="s">
        <v>226</v>
      </c>
      <c r="E140" s="12" t="s">
        <v>265</v>
      </c>
      <c r="F140" s="12" t="s">
        <v>131</v>
      </c>
      <c r="G140" s="9" t="s">
        <v>18</v>
      </c>
      <c r="H140" s="9">
        <v>2</v>
      </c>
      <c r="I140" s="12" t="s">
        <v>150</v>
      </c>
      <c r="J140" s="13" t="s">
        <v>267</v>
      </c>
    </row>
    <row r="141" spans="1:10" ht="15" customHeight="1" x14ac:dyDescent="0.25">
      <c r="A141" s="9">
        <v>136</v>
      </c>
      <c r="B141" s="10" t="s">
        <v>13</v>
      </c>
      <c r="C141" s="11" t="s">
        <v>225</v>
      </c>
      <c r="D141" s="12" t="s">
        <v>226</v>
      </c>
      <c r="E141" s="12" t="s">
        <v>265</v>
      </c>
      <c r="F141" s="12" t="s">
        <v>72</v>
      </c>
      <c r="G141" s="9" t="s">
        <v>53</v>
      </c>
      <c r="H141" s="9">
        <v>9</v>
      </c>
      <c r="I141" s="12" t="s">
        <v>73</v>
      </c>
      <c r="J141" s="13" t="s">
        <v>268</v>
      </c>
    </row>
    <row r="142" spans="1:10" ht="15" customHeight="1" x14ac:dyDescent="0.25">
      <c r="A142" s="9">
        <v>137</v>
      </c>
      <c r="B142" s="10" t="s">
        <v>13</v>
      </c>
      <c r="C142" s="11" t="s">
        <v>225</v>
      </c>
      <c r="D142" s="12" t="s">
        <v>226</v>
      </c>
      <c r="E142" s="12" t="s">
        <v>265</v>
      </c>
      <c r="F142" s="12" t="s">
        <v>75</v>
      </c>
      <c r="G142" s="9" t="s">
        <v>53</v>
      </c>
      <c r="H142" s="9">
        <v>1</v>
      </c>
      <c r="I142" s="12" t="s">
        <v>76</v>
      </c>
      <c r="J142" s="13" t="s">
        <v>269</v>
      </c>
    </row>
    <row r="143" spans="1:10" ht="15" customHeight="1" x14ac:dyDescent="0.25">
      <c r="A143" s="9">
        <v>138</v>
      </c>
      <c r="B143" s="10" t="s">
        <v>13</v>
      </c>
      <c r="C143" s="11" t="s">
        <v>225</v>
      </c>
      <c r="D143" s="12" t="s">
        <v>226</v>
      </c>
      <c r="E143" s="12" t="s">
        <v>270</v>
      </c>
      <c r="F143" s="12" t="s">
        <v>69</v>
      </c>
      <c r="G143" s="9" t="s">
        <v>22</v>
      </c>
      <c r="H143" s="9">
        <v>4</v>
      </c>
      <c r="I143" s="12" t="s">
        <v>70</v>
      </c>
      <c r="J143" s="13" t="s">
        <v>271</v>
      </c>
    </row>
    <row r="144" spans="1:10" ht="15" customHeight="1" x14ac:dyDescent="0.25">
      <c r="A144" s="9">
        <v>139</v>
      </c>
      <c r="B144" s="10" t="s">
        <v>13</v>
      </c>
      <c r="C144" s="11" t="s">
        <v>225</v>
      </c>
      <c r="D144" s="12" t="s">
        <v>226</v>
      </c>
      <c r="E144" s="12" t="s">
        <v>270</v>
      </c>
      <c r="F144" s="12" t="s">
        <v>131</v>
      </c>
      <c r="G144" s="9" t="s">
        <v>18</v>
      </c>
      <c r="H144" s="9">
        <v>2</v>
      </c>
      <c r="I144" s="12" t="s">
        <v>150</v>
      </c>
      <c r="J144" s="13" t="s">
        <v>272</v>
      </c>
    </row>
    <row r="145" spans="1:10" ht="15" customHeight="1" x14ac:dyDescent="0.25">
      <c r="A145" s="9">
        <v>140</v>
      </c>
      <c r="B145" s="10" t="s">
        <v>13</v>
      </c>
      <c r="C145" s="11" t="s">
        <v>225</v>
      </c>
      <c r="D145" s="12" t="s">
        <v>226</v>
      </c>
      <c r="E145" s="12" t="s">
        <v>270</v>
      </c>
      <c r="F145" s="12" t="s">
        <v>72</v>
      </c>
      <c r="G145" s="9" t="s">
        <v>53</v>
      </c>
      <c r="H145" s="9">
        <v>9</v>
      </c>
      <c r="I145" s="12" t="s">
        <v>73</v>
      </c>
      <c r="J145" s="13" t="s">
        <v>273</v>
      </c>
    </row>
    <row r="146" spans="1:10" ht="15" customHeight="1" x14ac:dyDescent="0.25">
      <c r="A146" s="9">
        <v>141</v>
      </c>
      <c r="B146" s="10" t="s">
        <v>13</v>
      </c>
      <c r="C146" s="11" t="s">
        <v>225</v>
      </c>
      <c r="D146" s="12" t="s">
        <v>226</v>
      </c>
      <c r="E146" s="12" t="s">
        <v>270</v>
      </c>
      <c r="F146" s="12" t="s">
        <v>75</v>
      </c>
      <c r="G146" s="9" t="s">
        <v>53</v>
      </c>
      <c r="H146" s="9">
        <v>1</v>
      </c>
      <c r="I146" s="12" t="s">
        <v>76</v>
      </c>
      <c r="J146" s="13" t="s">
        <v>274</v>
      </c>
    </row>
    <row r="147" spans="1:10" ht="15" customHeight="1" x14ac:dyDescent="0.25">
      <c r="A147" s="9">
        <v>142</v>
      </c>
      <c r="B147" s="10" t="s">
        <v>13</v>
      </c>
      <c r="C147" s="11" t="s">
        <v>225</v>
      </c>
      <c r="D147" s="12" t="s">
        <v>226</v>
      </c>
      <c r="E147" s="12" t="s">
        <v>270</v>
      </c>
      <c r="F147" s="12" t="s">
        <v>135</v>
      </c>
      <c r="G147" s="9" t="s">
        <v>61</v>
      </c>
      <c r="H147" s="9">
        <v>1</v>
      </c>
      <c r="I147" s="12" t="s">
        <v>136</v>
      </c>
      <c r="J147" s="13" t="s">
        <v>275</v>
      </c>
    </row>
    <row r="148" spans="1:10" ht="15" customHeight="1" x14ac:dyDescent="0.25">
      <c r="A148" s="9">
        <v>143</v>
      </c>
      <c r="B148" s="10" t="s">
        <v>13</v>
      </c>
      <c r="C148" s="11" t="s">
        <v>225</v>
      </c>
      <c r="D148" s="12" t="s">
        <v>226</v>
      </c>
      <c r="E148" s="12" t="s">
        <v>276</v>
      </c>
      <c r="F148" s="12" t="s">
        <v>69</v>
      </c>
      <c r="G148" s="9" t="s">
        <v>22</v>
      </c>
      <c r="H148" s="9">
        <v>4</v>
      </c>
      <c r="I148" s="12" t="s">
        <v>70</v>
      </c>
      <c r="J148" s="13" t="s">
        <v>277</v>
      </c>
    </row>
    <row r="149" spans="1:10" ht="15" customHeight="1" x14ac:dyDescent="0.25">
      <c r="A149" s="9">
        <v>144</v>
      </c>
      <c r="B149" s="10" t="s">
        <v>13</v>
      </c>
      <c r="C149" s="11" t="s">
        <v>225</v>
      </c>
      <c r="D149" s="12" t="s">
        <v>226</v>
      </c>
      <c r="E149" s="12" t="s">
        <v>276</v>
      </c>
      <c r="F149" s="12" t="s">
        <v>131</v>
      </c>
      <c r="G149" s="9" t="s">
        <v>18</v>
      </c>
      <c r="H149" s="9">
        <v>2</v>
      </c>
      <c r="I149" s="12" t="s">
        <v>150</v>
      </c>
      <c r="J149" s="13" t="s">
        <v>278</v>
      </c>
    </row>
    <row r="150" spans="1:10" ht="15" customHeight="1" x14ac:dyDescent="0.25">
      <c r="A150" s="9">
        <v>145</v>
      </c>
      <c r="B150" s="10" t="s">
        <v>13</v>
      </c>
      <c r="C150" s="11" t="s">
        <v>225</v>
      </c>
      <c r="D150" s="12" t="s">
        <v>226</v>
      </c>
      <c r="E150" s="12" t="s">
        <v>276</v>
      </c>
      <c r="F150" s="12" t="s">
        <v>72</v>
      </c>
      <c r="G150" s="9" t="s">
        <v>53</v>
      </c>
      <c r="H150" s="9">
        <v>9</v>
      </c>
      <c r="I150" s="12" t="s">
        <v>73</v>
      </c>
      <c r="J150" s="13" t="s">
        <v>279</v>
      </c>
    </row>
    <row r="151" spans="1:10" ht="15" customHeight="1" x14ac:dyDescent="0.25">
      <c r="A151" s="9">
        <v>146</v>
      </c>
      <c r="B151" s="10" t="s">
        <v>13</v>
      </c>
      <c r="C151" s="11" t="s">
        <v>225</v>
      </c>
      <c r="D151" s="12" t="s">
        <v>226</v>
      </c>
      <c r="E151" s="12" t="s">
        <v>276</v>
      </c>
      <c r="F151" s="12" t="s">
        <v>75</v>
      </c>
      <c r="G151" s="9" t="s">
        <v>53</v>
      </c>
      <c r="H151" s="9">
        <v>1</v>
      </c>
      <c r="I151" s="12" t="s">
        <v>76</v>
      </c>
      <c r="J151" s="13" t="s">
        <v>280</v>
      </c>
    </row>
    <row r="152" spans="1:10" ht="15" customHeight="1" x14ac:dyDescent="0.25">
      <c r="A152" s="9">
        <v>147</v>
      </c>
      <c r="B152" s="10" t="s">
        <v>13</v>
      </c>
      <c r="C152" s="11" t="s">
        <v>225</v>
      </c>
      <c r="D152" s="12" t="s">
        <v>226</v>
      </c>
      <c r="E152" s="12" t="s">
        <v>281</v>
      </c>
      <c r="F152" s="12" t="s">
        <v>282</v>
      </c>
      <c r="G152" s="9" t="s">
        <v>53</v>
      </c>
      <c r="H152" s="9">
        <v>1</v>
      </c>
      <c r="I152" s="12" t="s">
        <v>283</v>
      </c>
      <c r="J152" s="13" t="s">
        <v>284</v>
      </c>
    </row>
    <row r="153" spans="1:10" ht="15" customHeight="1" x14ac:dyDescent="0.25">
      <c r="A153" s="9">
        <v>148</v>
      </c>
      <c r="B153" s="10" t="s">
        <v>13</v>
      </c>
      <c r="C153" s="11" t="s">
        <v>225</v>
      </c>
      <c r="D153" s="12" t="s">
        <v>226</v>
      </c>
      <c r="E153" s="12" t="s">
        <v>281</v>
      </c>
      <c r="F153" s="12" t="s">
        <v>285</v>
      </c>
      <c r="G153" s="9" t="s">
        <v>53</v>
      </c>
      <c r="H153" s="9">
        <v>1</v>
      </c>
      <c r="I153" s="12" t="s">
        <v>286</v>
      </c>
      <c r="J153" s="13" t="s">
        <v>287</v>
      </c>
    </row>
    <row r="154" spans="1:10" ht="15" customHeight="1" x14ac:dyDescent="0.25">
      <c r="A154" s="9">
        <v>149</v>
      </c>
      <c r="B154" s="10" t="s">
        <v>13</v>
      </c>
      <c r="C154" s="11" t="s">
        <v>225</v>
      </c>
      <c r="D154" s="12" t="s">
        <v>226</v>
      </c>
      <c r="E154" s="12" t="s">
        <v>281</v>
      </c>
      <c r="F154" s="12" t="s">
        <v>288</v>
      </c>
      <c r="G154" s="9" t="s">
        <v>53</v>
      </c>
      <c r="H154" s="9">
        <v>1</v>
      </c>
      <c r="I154" s="12" t="s">
        <v>289</v>
      </c>
      <c r="J154" s="13" t="s">
        <v>290</v>
      </c>
    </row>
    <row r="155" spans="1:10" ht="15" customHeight="1" x14ac:dyDescent="0.25">
      <c r="A155" s="9">
        <v>150</v>
      </c>
      <c r="B155" s="10" t="s">
        <v>13</v>
      </c>
      <c r="C155" s="11" t="s">
        <v>225</v>
      </c>
      <c r="D155" s="12" t="s">
        <v>226</v>
      </c>
      <c r="E155" s="12" t="s">
        <v>281</v>
      </c>
      <c r="F155" s="12" t="s">
        <v>291</v>
      </c>
      <c r="G155" s="9" t="s">
        <v>53</v>
      </c>
      <c r="H155" s="9">
        <v>1</v>
      </c>
      <c r="I155" s="12" t="s">
        <v>292</v>
      </c>
      <c r="J155" s="13" t="s">
        <v>293</v>
      </c>
    </row>
    <row r="156" spans="1:10" ht="15" customHeight="1" x14ac:dyDescent="0.25">
      <c r="A156" s="9">
        <v>151</v>
      </c>
      <c r="B156" s="10" t="s">
        <v>13</v>
      </c>
      <c r="C156" s="11" t="s">
        <v>225</v>
      </c>
      <c r="D156" s="12" t="s">
        <v>226</v>
      </c>
      <c r="E156" s="12" t="s">
        <v>281</v>
      </c>
      <c r="F156" s="12" t="s">
        <v>294</v>
      </c>
      <c r="G156" s="9" t="s">
        <v>53</v>
      </c>
      <c r="H156" s="9">
        <v>1</v>
      </c>
      <c r="I156" s="12" t="s">
        <v>295</v>
      </c>
      <c r="J156" s="13" t="s">
        <v>296</v>
      </c>
    </row>
    <row r="157" spans="1:10" ht="15" customHeight="1" x14ac:dyDescent="0.25">
      <c r="A157" s="9">
        <v>152</v>
      </c>
      <c r="B157" s="10" t="s">
        <v>13</v>
      </c>
      <c r="C157" s="11" t="s">
        <v>225</v>
      </c>
      <c r="D157" s="12" t="s">
        <v>226</v>
      </c>
      <c r="E157" s="12" t="s">
        <v>281</v>
      </c>
      <c r="F157" s="12" t="s">
        <v>297</v>
      </c>
      <c r="G157" s="9" t="s">
        <v>53</v>
      </c>
      <c r="H157" s="9">
        <v>1</v>
      </c>
      <c r="I157" s="12" t="s">
        <v>298</v>
      </c>
      <c r="J157" s="13" t="s">
        <v>299</v>
      </c>
    </row>
    <row r="158" spans="1:10" ht="15" customHeight="1" x14ac:dyDescent="0.25">
      <c r="A158" s="9">
        <v>153</v>
      </c>
      <c r="B158" s="10" t="s">
        <v>13</v>
      </c>
      <c r="C158" s="11" t="s">
        <v>225</v>
      </c>
      <c r="D158" s="12" t="s">
        <v>226</v>
      </c>
      <c r="E158" s="12" t="s">
        <v>281</v>
      </c>
      <c r="F158" s="12" t="s">
        <v>300</v>
      </c>
      <c r="G158" s="9" t="s">
        <v>53</v>
      </c>
      <c r="H158" s="9">
        <v>1</v>
      </c>
      <c r="I158" s="12" t="s">
        <v>301</v>
      </c>
      <c r="J158" s="13" t="s">
        <v>302</v>
      </c>
    </row>
    <row r="159" spans="1:10" ht="15" customHeight="1" x14ac:dyDescent="0.25">
      <c r="A159" s="9">
        <v>154</v>
      </c>
      <c r="B159" s="10" t="s">
        <v>13</v>
      </c>
      <c r="C159" s="11" t="s">
        <v>225</v>
      </c>
      <c r="D159" s="12" t="s">
        <v>226</v>
      </c>
      <c r="E159" s="12" t="s">
        <v>281</v>
      </c>
      <c r="F159" s="12" t="s">
        <v>303</v>
      </c>
      <c r="G159" s="9" t="s">
        <v>53</v>
      </c>
      <c r="H159" s="9">
        <v>1</v>
      </c>
      <c r="I159" s="12" t="s">
        <v>304</v>
      </c>
      <c r="J159" s="13" t="s">
        <v>305</v>
      </c>
    </row>
    <row r="160" spans="1:10" ht="15" customHeight="1" x14ac:dyDescent="0.25">
      <c r="A160" s="9">
        <v>155</v>
      </c>
      <c r="B160" s="10" t="s">
        <v>13</v>
      </c>
      <c r="C160" s="11" t="s">
        <v>225</v>
      </c>
      <c r="D160" s="12" t="s">
        <v>226</v>
      </c>
      <c r="E160" s="12" t="s">
        <v>281</v>
      </c>
      <c r="F160" s="12" t="s">
        <v>306</v>
      </c>
      <c r="G160" s="9" t="s">
        <v>57</v>
      </c>
      <c r="H160" s="9">
        <v>1</v>
      </c>
      <c r="I160" s="12" t="s">
        <v>307</v>
      </c>
      <c r="J160" s="13" t="s">
        <v>308</v>
      </c>
    </row>
    <row r="161" spans="1:10" ht="15" customHeight="1" x14ac:dyDescent="0.25">
      <c r="A161" s="9">
        <v>156</v>
      </c>
      <c r="B161" s="10" t="s">
        <v>13</v>
      </c>
      <c r="C161" s="11" t="s">
        <v>225</v>
      </c>
      <c r="D161" s="12" t="s">
        <v>226</v>
      </c>
      <c r="E161" s="12" t="s">
        <v>281</v>
      </c>
      <c r="F161" s="12" t="s">
        <v>309</v>
      </c>
      <c r="G161" s="9" t="s">
        <v>57</v>
      </c>
      <c r="H161" s="9">
        <v>1</v>
      </c>
      <c r="I161" s="12" t="s">
        <v>310</v>
      </c>
      <c r="J161" s="13" t="s">
        <v>311</v>
      </c>
    </row>
    <row r="162" spans="1:10" ht="15" customHeight="1" x14ac:dyDescent="0.25">
      <c r="A162" s="9">
        <v>157</v>
      </c>
      <c r="B162" s="10" t="s">
        <v>13</v>
      </c>
      <c r="C162" s="11" t="s">
        <v>225</v>
      </c>
      <c r="D162" s="12" t="s">
        <v>226</v>
      </c>
      <c r="E162" s="12" t="s">
        <v>281</v>
      </c>
      <c r="F162" s="12" t="s">
        <v>312</v>
      </c>
      <c r="G162" s="9" t="s">
        <v>57</v>
      </c>
      <c r="H162" s="9">
        <v>1</v>
      </c>
      <c r="I162" s="12" t="s">
        <v>313</v>
      </c>
      <c r="J162" s="13" t="s">
        <v>314</v>
      </c>
    </row>
    <row r="163" spans="1:10" ht="15" customHeight="1" x14ac:dyDescent="0.25">
      <c r="A163" s="9">
        <v>158</v>
      </c>
      <c r="B163" s="10" t="s">
        <v>13</v>
      </c>
      <c r="C163" s="11" t="s">
        <v>225</v>
      </c>
      <c r="D163" s="12" t="s">
        <v>226</v>
      </c>
      <c r="E163" s="12" t="s">
        <v>281</v>
      </c>
      <c r="F163" s="12" t="s">
        <v>315</v>
      </c>
      <c r="G163" s="9" t="s">
        <v>61</v>
      </c>
      <c r="H163" s="9">
        <v>1</v>
      </c>
      <c r="I163" s="12" t="s">
        <v>316</v>
      </c>
      <c r="J163" s="13" t="s">
        <v>317</v>
      </c>
    </row>
    <row r="164" spans="1:10" ht="15" customHeight="1" x14ac:dyDescent="0.25">
      <c r="A164" s="9">
        <v>159</v>
      </c>
      <c r="B164" s="10" t="s">
        <v>13</v>
      </c>
      <c r="C164" s="11" t="s">
        <v>225</v>
      </c>
      <c r="D164" s="12" t="s">
        <v>226</v>
      </c>
      <c r="E164" s="12" t="s">
        <v>281</v>
      </c>
      <c r="F164" s="12" t="s">
        <v>318</v>
      </c>
      <c r="G164" s="9" t="s">
        <v>18</v>
      </c>
      <c r="H164" s="9">
        <v>2</v>
      </c>
      <c r="I164" s="12" t="s">
        <v>319</v>
      </c>
      <c r="J164" s="13" t="s">
        <v>320</v>
      </c>
    </row>
    <row r="165" spans="1:10" ht="15" customHeight="1" x14ac:dyDescent="0.25">
      <c r="A165" s="9">
        <v>160</v>
      </c>
      <c r="B165" s="10" t="s">
        <v>13</v>
      </c>
      <c r="C165" s="11" t="s">
        <v>225</v>
      </c>
      <c r="D165" s="12" t="s">
        <v>226</v>
      </c>
      <c r="E165" s="12" t="s">
        <v>281</v>
      </c>
      <c r="F165" s="12" t="s">
        <v>321</v>
      </c>
      <c r="G165" s="9" t="s">
        <v>18</v>
      </c>
      <c r="H165" s="9">
        <v>1</v>
      </c>
      <c r="I165" s="12" t="s">
        <v>322</v>
      </c>
      <c r="J165" s="13" t="s">
        <v>323</v>
      </c>
    </row>
    <row r="166" spans="1:10" ht="15" customHeight="1" x14ac:dyDescent="0.25">
      <c r="A166" s="9">
        <v>161</v>
      </c>
      <c r="B166" s="10" t="s">
        <v>13</v>
      </c>
      <c r="C166" s="11" t="s">
        <v>225</v>
      </c>
      <c r="D166" s="12" t="s">
        <v>226</v>
      </c>
      <c r="E166" s="12" t="s">
        <v>324</v>
      </c>
      <c r="F166" s="12" t="s">
        <v>325</v>
      </c>
      <c r="G166" s="9" t="s">
        <v>53</v>
      </c>
      <c r="H166" s="9">
        <v>1</v>
      </c>
      <c r="I166" s="12" t="s">
        <v>326</v>
      </c>
      <c r="J166" s="13" t="s">
        <v>327</v>
      </c>
    </row>
    <row r="167" spans="1:10" ht="15" customHeight="1" x14ac:dyDescent="0.25">
      <c r="A167" s="9">
        <v>162</v>
      </c>
      <c r="B167" s="10" t="s">
        <v>13</v>
      </c>
      <c r="C167" s="11" t="s">
        <v>225</v>
      </c>
      <c r="D167" s="12" t="s">
        <v>226</v>
      </c>
      <c r="E167" s="12" t="s">
        <v>324</v>
      </c>
      <c r="F167" s="12" t="s">
        <v>291</v>
      </c>
      <c r="G167" s="9" t="s">
        <v>53</v>
      </c>
      <c r="H167" s="9">
        <v>1</v>
      </c>
      <c r="I167" s="12" t="s">
        <v>292</v>
      </c>
      <c r="J167" s="13" t="s">
        <v>328</v>
      </c>
    </row>
    <row r="168" spans="1:10" ht="15" customHeight="1" x14ac:dyDescent="0.25">
      <c r="A168" s="9">
        <v>163</v>
      </c>
      <c r="B168" s="10" t="s">
        <v>13</v>
      </c>
      <c r="C168" s="11" t="s">
        <v>225</v>
      </c>
      <c r="D168" s="12" t="s">
        <v>226</v>
      </c>
      <c r="E168" s="12" t="s">
        <v>324</v>
      </c>
      <c r="F168" s="12" t="s">
        <v>294</v>
      </c>
      <c r="G168" s="9" t="s">
        <v>53</v>
      </c>
      <c r="H168" s="9">
        <v>1</v>
      </c>
      <c r="I168" s="12" t="s">
        <v>295</v>
      </c>
      <c r="J168" s="13" t="s">
        <v>329</v>
      </c>
    </row>
    <row r="169" spans="1:10" ht="15" customHeight="1" x14ac:dyDescent="0.25">
      <c r="A169" s="9">
        <v>164</v>
      </c>
      <c r="B169" s="10" t="s">
        <v>13</v>
      </c>
      <c r="C169" s="11" t="s">
        <v>225</v>
      </c>
      <c r="D169" s="12" t="s">
        <v>226</v>
      </c>
      <c r="E169" s="12" t="s">
        <v>324</v>
      </c>
      <c r="F169" s="12" t="s">
        <v>297</v>
      </c>
      <c r="G169" s="9" t="s">
        <v>53</v>
      </c>
      <c r="H169" s="9">
        <v>1</v>
      </c>
      <c r="I169" s="12" t="s">
        <v>298</v>
      </c>
      <c r="J169" s="13" t="s">
        <v>330</v>
      </c>
    </row>
    <row r="170" spans="1:10" ht="15" customHeight="1" x14ac:dyDescent="0.25">
      <c r="A170" s="9">
        <v>165</v>
      </c>
      <c r="B170" s="10" t="s">
        <v>13</v>
      </c>
      <c r="C170" s="11" t="s">
        <v>225</v>
      </c>
      <c r="D170" s="12" t="s">
        <v>226</v>
      </c>
      <c r="E170" s="12" t="s">
        <v>324</v>
      </c>
      <c r="F170" s="12" t="s">
        <v>331</v>
      </c>
      <c r="G170" s="9" t="s">
        <v>18</v>
      </c>
      <c r="H170" s="9">
        <v>1</v>
      </c>
      <c r="I170" s="12" t="s">
        <v>332</v>
      </c>
      <c r="J170" s="13" t="s">
        <v>333</v>
      </c>
    </row>
    <row r="171" spans="1:10" ht="15" customHeight="1" x14ac:dyDescent="0.25">
      <c r="A171" s="9">
        <v>166</v>
      </c>
      <c r="B171" s="10" t="s">
        <v>13</v>
      </c>
      <c r="C171" s="11" t="s">
        <v>225</v>
      </c>
      <c r="D171" s="12" t="s">
        <v>226</v>
      </c>
      <c r="E171" s="12" t="s">
        <v>324</v>
      </c>
      <c r="F171" s="12" t="s">
        <v>334</v>
      </c>
      <c r="G171" s="9" t="s">
        <v>61</v>
      </c>
      <c r="H171" s="9">
        <v>1</v>
      </c>
      <c r="I171" s="12" t="s">
        <v>335</v>
      </c>
      <c r="J171" s="13" t="s">
        <v>336</v>
      </c>
    </row>
    <row r="172" spans="1:10" ht="15" customHeight="1" x14ac:dyDescent="0.25">
      <c r="A172" s="9">
        <v>167</v>
      </c>
      <c r="B172" s="10" t="s">
        <v>13</v>
      </c>
      <c r="C172" s="11" t="s">
        <v>225</v>
      </c>
      <c r="D172" s="12" t="s">
        <v>226</v>
      </c>
      <c r="E172" s="12" t="s">
        <v>324</v>
      </c>
      <c r="F172" s="12" t="s">
        <v>309</v>
      </c>
      <c r="G172" s="9" t="s">
        <v>57</v>
      </c>
      <c r="H172" s="9">
        <v>1</v>
      </c>
      <c r="I172" s="12" t="s">
        <v>310</v>
      </c>
      <c r="J172" s="13" t="s">
        <v>337</v>
      </c>
    </row>
    <row r="173" spans="1:10" ht="15" customHeight="1" x14ac:dyDescent="0.25">
      <c r="A173" s="9">
        <v>168</v>
      </c>
      <c r="B173" s="10" t="s">
        <v>13</v>
      </c>
      <c r="C173" s="11" t="s">
        <v>225</v>
      </c>
      <c r="D173" s="12" t="s">
        <v>226</v>
      </c>
      <c r="E173" s="12" t="s">
        <v>324</v>
      </c>
      <c r="F173" s="12" t="s">
        <v>318</v>
      </c>
      <c r="G173" s="9" t="s">
        <v>18</v>
      </c>
      <c r="H173" s="9">
        <v>2</v>
      </c>
      <c r="I173" s="12" t="s">
        <v>319</v>
      </c>
      <c r="J173" s="13" t="s">
        <v>338</v>
      </c>
    </row>
    <row r="174" spans="1:10" ht="15" customHeight="1" x14ac:dyDescent="0.25">
      <c r="A174" s="9">
        <v>169</v>
      </c>
      <c r="B174" s="10" t="s">
        <v>13</v>
      </c>
      <c r="C174" s="11" t="s">
        <v>225</v>
      </c>
      <c r="D174" s="12" t="s">
        <v>226</v>
      </c>
      <c r="E174" s="12" t="s">
        <v>339</v>
      </c>
      <c r="F174" s="12" t="s">
        <v>99</v>
      </c>
      <c r="G174" s="9" t="s">
        <v>57</v>
      </c>
      <c r="H174" s="9">
        <v>1</v>
      </c>
      <c r="I174" s="12" t="s">
        <v>100</v>
      </c>
      <c r="J174" s="13" t="s">
        <v>340</v>
      </c>
    </row>
    <row r="175" spans="1:10" ht="15" customHeight="1" x14ac:dyDescent="0.25">
      <c r="A175" s="9">
        <v>170</v>
      </c>
      <c r="B175" s="10" t="s">
        <v>13</v>
      </c>
      <c r="C175" s="11" t="s">
        <v>225</v>
      </c>
      <c r="D175" s="12" t="s">
        <v>226</v>
      </c>
      <c r="E175" s="12" t="s">
        <v>339</v>
      </c>
      <c r="F175" s="12" t="s">
        <v>96</v>
      </c>
      <c r="G175" s="9" t="s">
        <v>57</v>
      </c>
      <c r="H175" s="9">
        <v>1</v>
      </c>
      <c r="I175" s="12" t="s">
        <v>97</v>
      </c>
      <c r="J175" s="13" t="s">
        <v>341</v>
      </c>
    </row>
    <row r="176" spans="1:10" ht="15" customHeight="1" x14ac:dyDescent="0.25">
      <c r="A176" s="9">
        <v>171</v>
      </c>
      <c r="B176" s="10" t="s">
        <v>13</v>
      </c>
      <c r="C176" s="11" t="s">
        <v>225</v>
      </c>
      <c r="D176" s="12" t="s">
        <v>226</v>
      </c>
      <c r="E176" s="12" t="s">
        <v>339</v>
      </c>
      <c r="F176" s="12" t="s">
        <v>342</v>
      </c>
      <c r="G176" s="9" t="s">
        <v>57</v>
      </c>
      <c r="H176" s="9">
        <v>1</v>
      </c>
      <c r="I176" s="12" t="s">
        <v>343</v>
      </c>
      <c r="J176" s="13" t="s">
        <v>344</v>
      </c>
    </row>
    <row r="177" spans="1:10" ht="15" customHeight="1" x14ac:dyDescent="0.25">
      <c r="A177" s="9">
        <v>172</v>
      </c>
      <c r="B177" s="10" t="s">
        <v>13</v>
      </c>
      <c r="C177" s="11" t="s">
        <v>225</v>
      </c>
      <c r="D177" s="12" t="s">
        <v>226</v>
      </c>
      <c r="E177" s="12" t="s">
        <v>339</v>
      </c>
      <c r="F177" s="12" t="s">
        <v>345</v>
      </c>
      <c r="G177" s="9" t="s">
        <v>35</v>
      </c>
      <c r="H177" s="9">
        <v>1</v>
      </c>
      <c r="I177" s="12" t="s">
        <v>346</v>
      </c>
      <c r="J177" s="13" t="s">
        <v>347</v>
      </c>
    </row>
    <row r="178" spans="1:10" ht="15" customHeight="1" x14ac:dyDescent="0.25">
      <c r="A178" s="9">
        <v>173</v>
      </c>
      <c r="B178" s="14" t="s">
        <v>348</v>
      </c>
      <c r="C178" s="15" t="s">
        <v>349</v>
      </c>
      <c r="D178" s="12" t="s">
        <v>350</v>
      </c>
      <c r="E178" s="12" t="s">
        <v>351</v>
      </c>
      <c r="F178" s="12" t="s">
        <v>352</v>
      </c>
      <c r="G178" s="9" t="s">
        <v>18</v>
      </c>
      <c r="H178" s="9">
        <v>1</v>
      </c>
      <c r="I178" s="12" t="s">
        <v>353</v>
      </c>
      <c r="J178" s="13" t="s">
        <v>354</v>
      </c>
    </row>
    <row r="179" spans="1:10" ht="15" customHeight="1" x14ac:dyDescent="0.25">
      <c r="A179" s="9">
        <v>174</v>
      </c>
      <c r="B179" s="14" t="s">
        <v>348</v>
      </c>
      <c r="C179" s="15" t="s">
        <v>349</v>
      </c>
      <c r="D179" s="12" t="s">
        <v>350</v>
      </c>
      <c r="E179" s="12" t="s">
        <v>351</v>
      </c>
      <c r="F179" s="12" t="s">
        <v>355</v>
      </c>
      <c r="G179" s="9" t="s">
        <v>18</v>
      </c>
      <c r="H179" s="9">
        <v>1</v>
      </c>
      <c r="I179" s="12" t="s">
        <v>356</v>
      </c>
      <c r="J179" s="13" t="s">
        <v>357</v>
      </c>
    </row>
    <row r="180" spans="1:10" ht="15" customHeight="1" x14ac:dyDescent="0.25">
      <c r="A180" s="9">
        <v>175</v>
      </c>
      <c r="B180" s="14" t="s">
        <v>348</v>
      </c>
      <c r="C180" s="15" t="s">
        <v>349</v>
      </c>
      <c r="D180" s="12" t="s">
        <v>350</v>
      </c>
      <c r="E180" s="12" t="s">
        <v>351</v>
      </c>
      <c r="F180" s="12" t="s">
        <v>358</v>
      </c>
      <c r="G180" s="9" t="s">
        <v>18</v>
      </c>
      <c r="H180" s="9">
        <v>1</v>
      </c>
      <c r="I180" s="12" t="s">
        <v>359</v>
      </c>
      <c r="J180" s="13" t="s">
        <v>360</v>
      </c>
    </row>
    <row r="181" spans="1:10" ht="15" customHeight="1" x14ac:dyDescent="0.25">
      <c r="A181" s="9">
        <v>176</v>
      </c>
      <c r="B181" s="14" t="s">
        <v>348</v>
      </c>
      <c r="C181" s="15" t="s">
        <v>349</v>
      </c>
      <c r="D181" s="12" t="s">
        <v>350</v>
      </c>
      <c r="E181" s="12" t="s">
        <v>351</v>
      </c>
      <c r="F181" s="12" t="s">
        <v>361</v>
      </c>
      <c r="G181" s="9" t="s">
        <v>18</v>
      </c>
      <c r="H181" s="9">
        <v>1</v>
      </c>
      <c r="I181" s="12" t="s">
        <v>362</v>
      </c>
      <c r="J181" s="13" t="s">
        <v>363</v>
      </c>
    </row>
    <row r="182" spans="1:10" ht="15" customHeight="1" x14ac:dyDescent="0.25">
      <c r="A182" s="9">
        <v>177</v>
      </c>
      <c r="B182" s="14" t="s">
        <v>348</v>
      </c>
      <c r="C182" s="15" t="s">
        <v>349</v>
      </c>
      <c r="D182" s="12" t="s">
        <v>350</v>
      </c>
      <c r="E182" s="12" t="s">
        <v>351</v>
      </c>
      <c r="F182" s="12" t="s">
        <v>364</v>
      </c>
      <c r="G182" s="9" t="s">
        <v>18</v>
      </c>
      <c r="H182" s="9">
        <v>1</v>
      </c>
      <c r="I182" s="12" t="s">
        <v>365</v>
      </c>
      <c r="J182" s="13" t="s">
        <v>366</v>
      </c>
    </row>
    <row r="183" spans="1:10" ht="15" customHeight="1" x14ac:dyDescent="0.25">
      <c r="A183" s="9">
        <v>178</v>
      </c>
      <c r="B183" s="14" t="s">
        <v>348</v>
      </c>
      <c r="C183" s="15" t="s">
        <v>349</v>
      </c>
      <c r="D183" s="12" t="s">
        <v>350</v>
      </c>
      <c r="E183" s="12" t="s">
        <v>367</v>
      </c>
      <c r="F183" s="12" t="s">
        <v>368</v>
      </c>
      <c r="G183" s="9" t="s">
        <v>18</v>
      </c>
      <c r="H183" s="9">
        <v>1</v>
      </c>
      <c r="I183" s="12" t="s">
        <v>369</v>
      </c>
      <c r="J183" s="13" t="s">
        <v>370</v>
      </c>
    </row>
    <row r="184" spans="1:10" ht="15" customHeight="1" x14ac:dyDescent="0.25">
      <c r="A184" s="9">
        <v>179</v>
      </c>
      <c r="B184" s="14" t="s">
        <v>348</v>
      </c>
      <c r="C184" s="15" t="s">
        <v>349</v>
      </c>
      <c r="D184" s="12" t="s">
        <v>350</v>
      </c>
      <c r="E184" s="12" t="s">
        <v>367</v>
      </c>
      <c r="F184" s="12" t="s">
        <v>371</v>
      </c>
      <c r="G184" s="9" t="s">
        <v>18</v>
      </c>
      <c r="H184" s="9">
        <v>1</v>
      </c>
      <c r="I184" s="12" t="s">
        <v>372</v>
      </c>
      <c r="J184" s="13" t="s">
        <v>373</v>
      </c>
    </row>
    <row r="185" spans="1:10" ht="15" customHeight="1" x14ac:dyDescent="0.25">
      <c r="A185" s="9">
        <v>180</v>
      </c>
      <c r="B185" s="14" t="s">
        <v>348</v>
      </c>
      <c r="C185" s="15" t="s">
        <v>349</v>
      </c>
      <c r="D185" s="12" t="s">
        <v>350</v>
      </c>
      <c r="E185" s="12" t="s">
        <v>367</v>
      </c>
      <c r="F185" s="12" t="s">
        <v>374</v>
      </c>
      <c r="G185" s="9" t="s">
        <v>18</v>
      </c>
      <c r="H185" s="9">
        <v>1</v>
      </c>
      <c r="I185" s="12" t="s">
        <v>375</v>
      </c>
      <c r="J185" s="13" t="s">
        <v>376</v>
      </c>
    </row>
    <row r="186" spans="1:10" ht="15" customHeight="1" x14ac:dyDescent="0.25">
      <c r="A186" s="9">
        <v>181</v>
      </c>
      <c r="B186" s="14" t="s">
        <v>348</v>
      </c>
      <c r="C186" s="15" t="s">
        <v>349</v>
      </c>
      <c r="D186" s="12" t="s">
        <v>350</v>
      </c>
      <c r="E186" s="12" t="s">
        <v>377</v>
      </c>
      <c r="F186" s="12" t="s">
        <v>378</v>
      </c>
      <c r="G186" s="9" t="s">
        <v>18</v>
      </c>
      <c r="H186" s="9">
        <v>1</v>
      </c>
      <c r="I186" s="12" t="s">
        <v>379</v>
      </c>
      <c r="J186" s="13" t="s">
        <v>380</v>
      </c>
    </row>
    <row r="187" spans="1:10" ht="15" customHeight="1" x14ac:dyDescent="0.25">
      <c r="A187" s="9">
        <v>182</v>
      </c>
      <c r="B187" s="14" t="s">
        <v>348</v>
      </c>
      <c r="C187" s="15" t="s">
        <v>349</v>
      </c>
      <c r="D187" s="12" t="s">
        <v>350</v>
      </c>
      <c r="E187" s="12" t="s">
        <v>377</v>
      </c>
      <c r="F187" s="12" t="s">
        <v>381</v>
      </c>
      <c r="G187" s="9" t="s">
        <v>18</v>
      </c>
      <c r="H187" s="9">
        <v>1</v>
      </c>
      <c r="I187" s="12" t="s">
        <v>382</v>
      </c>
      <c r="J187" s="13" t="s">
        <v>383</v>
      </c>
    </row>
    <row r="188" spans="1:10" ht="15" customHeight="1" x14ac:dyDescent="0.25">
      <c r="A188" s="9">
        <v>183</v>
      </c>
      <c r="B188" s="14" t="s">
        <v>348</v>
      </c>
      <c r="C188" s="15" t="s">
        <v>349</v>
      </c>
      <c r="D188" s="12" t="s">
        <v>350</v>
      </c>
      <c r="E188" s="12" t="s">
        <v>377</v>
      </c>
      <c r="F188" s="12" t="s">
        <v>384</v>
      </c>
      <c r="G188" s="9" t="s">
        <v>18</v>
      </c>
      <c r="H188" s="9">
        <v>1</v>
      </c>
      <c r="I188" s="12" t="s">
        <v>385</v>
      </c>
      <c r="J188" s="13" t="s">
        <v>386</v>
      </c>
    </row>
    <row r="189" spans="1:10" ht="15" customHeight="1" x14ac:dyDescent="0.25">
      <c r="A189" s="9">
        <v>184</v>
      </c>
      <c r="B189" s="14" t="s">
        <v>348</v>
      </c>
      <c r="C189" s="15" t="s">
        <v>349</v>
      </c>
      <c r="D189" s="12" t="s">
        <v>350</v>
      </c>
      <c r="E189" s="12" t="s">
        <v>387</v>
      </c>
      <c r="F189" s="12" t="s">
        <v>388</v>
      </c>
      <c r="G189" s="9" t="s">
        <v>18</v>
      </c>
      <c r="H189" s="9">
        <v>1</v>
      </c>
      <c r="I189" s="12" t="s">
        <v>389</v>
      </c>
      <c r="J189" s="13" t="s">
        <v>390</v>
      </c>
    </row>
    <row r="190" spans="1:10" ht="15" customHeight="1" x14ac:dyDescent="0.25">
      <c r="A190" s="9">
        <v>185</v>
      </c>
      <c r="B190" s="14" t="s">
        <v>348</v>
      </c>
      <c r="C190" s="15" t="s">
        <v>349</v>
      </c>
      <c r="D190" s="12" t="s">
        <v>350</v>
      </c>
      <c r="E190" s="12" t="s">
        <v>387</v>
      </c>
      <c r="F190" s="12" t="s">
        <v>391</v>
      </c>
      <c r="G190" s="9" t="s">
        <v>61</v>
      </c>
      <c r="H190" s="9">
        <v>1</v>
      </c>
      <c r="I190" s="12" t="s">
        <v>392</v>
      </c>
      <c r="J190" s="13" t="s">
        <v>393</v>
      </c>
    </row>
    <row r="191" spans="1:10" ht="15" customHeight="1" x14ac:dyDescent="0.25">
      <c r="A191" s="9">
        <v>186</v>
      </c>
      <c r="B191" s="14" t="s">
        <v>348</v>
      </c>
      <c r="C191" s="15" t="s">
        <v>349</v>
      </c>
      <c r="D191" s="12" t="s">
        <v>350</v>
      </c>
      <c r="E191" s="12" t="s">
        <v>394</v>
      </c>
      <c r="F191" s="12" t="s">
        <v>394</v>
      </c>
      <c r="G191" s="9" t="s">
        <v>18</v>
      </c>
      <c r="H191" s="9">
        <v>2</v>
      </c>
      <c r="I191" s="12" t="s">
        <v>395</v>
      </c>
      <c r="J191" s="13" t="s">
        <v>396</v>
      </c>
    </row>
    <row r="192" spans="1:10" ht="15" customHeight="1" x14ac:dyDescent="0.25">
      <c r="A192" s="9">
        <v>187</v>
      </c>
      <c r="B192" s="14" t="s">
        <v>348</v>
      </c>
      <c r="C192" s="15" t="s">
        <v>349</v>
      </c>
      <c r="D192" s="12" t="s">
        <v>350</v>
      </c>
      <c r="E192" s="12" t="s">
        <v>394</v>
      </c>
      <c r="F192" s="12" t="s">
        <v>397</v>
      </c>
      <c r="G192" s="9" t="s">
        <v>18</v>
      </c>
      <c r="H192" s="9">
        <v>1</v>
      </c>
      <c r="I192" s="12" t="s">
        <v>398</v>
      </c>
      <c r="J192" s="13" t="s">
        <v>399</v>
      </c>
    </row>
    <row r="193" spans="1:10" ht="15" customHeight="1" x14ac:dyDescent="0.25">
      <c r="A193" s="9">
        <v>188</v>
      </c>
      <c r="B193" s="14" t="s">
        <v>348</v>
      </c>
      <c r="C193" s="15" t="s">
        <v>349</v>
      </c>
      <c r="D193" s="12" t="s">
        <v>350</v>
      </c>
      <c r="E193" s="12" t="s">
        <v>394</v>
      </c>
      <c r="F193" s="12" t="s">
        <v>400</v>
      </c>
      <c r="G193" s="9" t="s">
        <v>18</v>
      </c>
      <c r="H193" s="9">
        <v>1</v>
      </c>
      <c r="I193" s="12" t="s">
        <v>401</v>
      </c>
      <c r="J193" s="13" t="s">
        <v>402</v>
      </c>
    </row>
    <row r="194" spans="1:10" ht="15" customHeight="1" x14ac:dyDescent="0.25">
      <c r="A194" s="9">
        <v>189</v>
      </c>
      <c r="B194" s="14" t="s">
        <v>348</v>
      </c>
      <c r="C194" s="15" t="s">
        <v>349</v>
      </c>
      <c r="D194" s="12" t="s">
        <v>350</v>
      </c>
      <c r="E194" s="12" t="s">
        <v>394</v>
      </c>
      <c r="F194" s="12" t="s">
        <v>403</v>
      </c>
      <c r="G194" s="9" t="s">
        <v>18</v>
      </c>
      <c r="H194" s="9">
        <v>1</v>
      </c>
      <c r="I194" s="12" t="s">
        <v>404</v>
      </c>
      <c r="J194" s="13" t="s">
        <v>405</v>
      </c>
    </row>
    <row r="195" spans="1:10" ht="15" customHeight="1" x14ac:dyDescent="0.25">
      <c r="A195" s="9">
        <v>190</v>
      </c>
      <c r="B195" s="14" t="s">
        <v>348</v>
      </c>
      <c r="C195" s="15" t="s">
        <v>406</v>
      </c>
      <c r="D195" s="12" t="s">
        <v>407</v>
      </c>
      <c r="E195" s="12" t="s">
        <v>408</v>
      </c>
      <c r="F195" s="12" t="s">
        <v>408</v>
      </c>
      <c r="G195" s="9" t="s">
        <v>18</v>
      </c>
      <c r="H195" s="9">
        <v>2</v>
      </c>
      <c r="I195" s="12" t="s">
        <v>409</v>
      </c>
      <c r="J195" s="13" t="s">
        <v>410</v>
      </c>
    </row>
    <row r="196" spans="1:10" ht="15" customHeight="1" x14ac:dyDescent="0.25">
      <c r="A196" s="9">
        <v>191</v>
      </c>
      <c r="B196" s="14" t="s">
        <v>348</v>
      </c>
      <c r="C196" s="15" t="s">
        <v>406</v>
      </c>
      <c r="D196" s="12" t="s">
        <v>407</v>
      </c>
      <c r="E196" s="12" t="s">
        <v>408</v>
      </c>
      <c r="F196" s="12" t="s">
        <v>411</v>
      </c>
      <c r="G196" s="9" t="s">
        <v>18</v>
      </c>
      <c r="H196" s="9">
        <v>1</v>
      </c>
      <c r="I196" s="12" t="s">
        <v>412</v>
      </c>
      <c r="J196" s="13" t="s">
        <v>413</v>
      </c>
    </row>
    <row r="197" spans="1:10" ht="15" customHeight="1" x14ac:dyDescent="0.25">
      <c r="A197" s="9">
        <v>192</v>
      </c>
      <c r="B197" s="14" t="s">
        <v>348</v>
      </c>
      <c r="C197" s="15" t="s">
        <v>406</v>
      </c>
      <c r="D197" s="12" t="s">
        <v>407</v>
      </c>
      <c r="E197" s="12" t="s">
        <v>408</v>
      </c>
      <c r="F197" s="12" t="s">
        <v>414</v>
      </c>
      <c r="G197" s="9" t="s">
        <v>61</v>
      </c>
      <c r="H197" s="9">
        <v>1</v>
      </c>
      <c r="I197" s="12" t="s">
        <v>415</v>
      </c>
      <c r="J197" s="13" t="s">
        <v>416</v>
      </c>
    </row>
    <row r="198" spans="1:10" ht="15" customHeight="1" x14ac:dyDescent="0.25">
      <c r="A198" s="9">
        <v>193</v>
      </c>
      <c r="B198" s="14" t="s">
        <v>348</v>
      </c>
      <c r="C198" s="15" t="s">
        <v>406</v>
      </c>
      <c r="D198" s="12" t="s">
        <v>407</v>
      </c>
      <c r="E198" s="12" t="s">
        <v>417</v>
      </c>
      <c r="F198" s="12" t="s">
        <v>417</v>
      </c>
      <c r="G198" s="9" t="s">
        <v>18</v>
      </c>
      <c r="H198" s="9">
        <v>3</v>
      </c>
      <c r="I198" s="12" t="s">
        <v>417</v>
      </c>
      <c r="J198" s="13" t="s">
        <v>418</v>
      </c>
    </row>
    <row r="199" spans="1:10" ht="15" customHeight="1" x14ac:dyDescent="0.25">
      <c r="A199" s="9">
        <v>194</v>
      </c>
      <c r="B199" s="14" t="s">
        <v>348</v>
      </c>
      <c r="C199" s="15" t="s">
        <v>406</v>
      </c>
      <c r="D199" s="12" t="s">
        <v>407</v>
      </c>
      <c r="E199" s="12" t="s">
        <v>417</v>
      </c>
      <c r="F199" s="12" t="s">
        <v>419</v>
      </c>
      <c r="G199" s="9" t="s">
        <v>18</v>
      </c>
      <c r="H199" s="9">
        <v>1</v>
      </c>
      <c r="I199" s="12" t="s">
        <v>420</v>
      </c>
      <c r="J199" s="13" t="s">
        <v>421</v>
      </c>
    </row>
    <row r="200" spans="1:10" ht="15" customHeight="1" x14ac:dyDescent="0.25">
      <c r="A200" s="9">
        <v>195</v>
      </c>
      <c r="B200" s="14" t="s">
        <v>348</v>
      </c>
      <c r="C200" s="15" t="s">
        <v>406</v>
      </c>
      <c r="D200" s="12" t="s">
        <v>407</v>
      </c>
      <c r="E200" s="12" t="s">
        <v>417</v>
      </c>
      <c r="F200" s="12" t="s">
        <v>422</v>
      </c>
      <c r="G200" s="9" t="s">
        <v>18</v>
      </c>
      <c r="H200" s="9">
        <v>1</v>
      </c>
      <c r="I200" s="12" t="s">
        <v>423</v>
      </c>
      <c r="J200" s="13" t="s">
        <v>424</v>
      </c>
    </row>
    <row r="201" spans="1:10" ht="15" customHeight="1" x14ac:dyDescent="0.25">
      <c r="A201" s="9">
        <v>196</v>
      </c>
      <c r="B201" s="14" t="s">
        <v>348</v>
      </c>
      <c r="C201" s="15" t="s">
        <v>406</v>
      </c>
      <c r="D201" s="12" t="s">
        <v>407</v>
      </c>
      <c r="E201" s="12" t="s">
        <v>425</v>
      </c>
      <c r="F201" s="12" t="s">
        <v>425</v>
      </c>
      <c r="G201" s="9" t="s">
        <v>18</v>
      </c>
      <c r="H201" s="9">
        <v>1</v>
      </c>
      <c r="I201" s="12" t="s">
        <v>426</v>
      </c>
      <c r="J201" s="13" t="s">
        <v>427</v>
      </c>
    </row>
    <row r="202" spans="1:10" ht="15" customHeight="1" x14ac:dyDescent="0.25">
      <c r="A202" s="9">
        <v>197</v>
      </c>
      <c r="B202" s="14" t="s">
        <v>348</v>
      </c>
      <c r="C202" s="15" t="s">
        <v>406</v>
      </c>
      <c r="D202" s="12" t="s">
        <v>407</v>
      </c>
      <c r="E202" s="12" t="s">
        <v>425</v>
      </c>
      <c r="F202" s="12" t="s">
        <v>428</v>
      </c>
      <c r="G202" s="9" t="s">
        <v>18</v>
      </c>
      <c r="H202" s="9">
        <v>1</v>
      </c>
      <c r="I202" s="12" t="s">
        <v>429</v>
      </c>
      <c r="J202" s="13" t="s">
        <v>430</v>
      </c>
    </row>
    <row r="203" spans="1:10" ht="15" customHeight="1" x14ac:dyDescent="0.25">
      <c r="A203" s="9">
        <v>198</v>
      </c>
      <c r="B203" s="14" t="s">
        <v>348</v>
      </c>
      <c r="C203" s="15" t="s">
        <v>406</v>
      </c>
      <c r="D203" s="12" t="s">
        <v>407</v>
      </c>
      <c r="E203" s="12" t="s">
        <v>431</v>
      </c>
      <c r="F203" s="12" t="s">
        <v>431</v>
      </c>
      <c r="G203" s="9" t="s">
        <v>61</v>
      </c>
      <c r="H203" s="9">
        <v>1</v>
      </c>
      <c r="I203" s="12" t="s">
        <v>432</v>
      </c>
      <c r="J203" s="13" t="s">
        <v>433</v>
      </c>
    </row>
    <row r="204" spans="1:10" ht="15" customHeight="1" x14ac:dyDescent="0.25">
      <c r="A204" s="9">
        <v>199</v>
      </c>
      <c r="B204" s="14" t="s">
        <v>348</v>
      </c>
      <c r="C204" s="15" t="s">
        <v>406</v>
      </c>
      <c r="D204" s="12" t="s">
        <v>407</v>
      </c>
      <c r="E204" s="12" t="s">
        <v>431</v>
      </c>
      <c r="F204" s="12" t="s">
        <v>434</v>
      </c>
      <c r="G204" s="9" t="s">
        <v>61</v>
      </c>
      <c r="H204" s="9">
        <v>1</v>
      </c>
      <c r="I204" s="12" t="s">
        <v>435</v>
      </c>
      <c r="J204" s="13" t="s">
        <v>436</v>
      </c>
    </row>
    <row r="205" spans="1:10" ht="15" customHeight="1" x14ac:dyDescent="0.25">
      <c r="A205" s="9">
        <v>200</v>
      </c>
      <c r="B205" s="14" t="s">
        <v>348</v>
      </c>
      <c r="C205" s="15" t="s">
        <v>437</v>
      </c>
      <c r="D205" s="12" t="s">
        <v>438</v>
      </c>
      <c r="E205" s="12" t="s">
        <v>439</v>
      </c>
      <c r="F205" s="12" t="s">
        <v>439</v>
      </c>
      <c r="G205" s="9" t="s">
        <v>57</v>
      </c>
      <c r="H205" s="9">
        <v>1</v>
      </c>
      <c r="I205" s="12" t="s">
        <v>440</v>
      </c>
      <c r="J205" s="13" t="s">
        <v>441</v>
      </c>
    </row>
    <row r="206" spans="1:10" ht="15" customHeight="1" x14ac:dyDescent="0.25">
      <c r="A206" s="9">
        <v>201</v>
      </c>
      <c r="B206" s="14" t="s">
        <v>348</v>
      </c>
      <c r="C206" s="15" t="s">
        <v>437</v>
      </c>
      <c r="D206" s="12" t="s">
        <v>438</v>
      </c>
      <c r="E206" s="12" t="s">
        <v>439</v>
      </c>
      <c r="F206" s="12" t="s">
        <v>442</v>
      </c>
      <c r="G206" s="9" t="s">
        <v>57</v>
      </c>
      <c r="H206" s="9">
        <v>1</v>
      </c>
      <c r="I206" s="12" t="s">
        <v>443</v>
      </c>
      <c r="J206" s="13" t="s">
        <v>444</v>
      </c>
    </row>
    <row r="207" spans="1:10" ht="15" customHeight="1" x14ac:dyDescent="0.25">
      <c r="A207" s="9">
        <v>202</v>
      </c>
      <c r="B207" s="14" t="s">
        <v>348</v>
      </c>
      <c r="C207" s="15" t="s">
        <v>437</v>
      </c>
      <c r="D207" s="12" t="s">
        <v>438</v>
      </c>
      <c r="E207" s="12" t="s">
        <v>445</v>
      </c>
      <c r="F207" s="12" t="s">
        <v>445</v>
      </c>
      <c r="G207" s="9" t="s">
        <v>57</v>
      </c>
      <c r="H207" s="9">
        <v>1</v>
      </c>
      <c r="I207" s="12" t="s">
        <v>446</v>
      </c>
      <c r="J207" s="13" t="s">
        <v>447</v>
      </c>
    </row>
    <row r="208" spans="1:10" ht="15" customHeight="1" x14ac:dyDescent="0.25">
      <c r="A208" s="9">
        <v>203</v>
      </c>
      <c r="B208" s="14" t="s">
        <v>348</v>
      </c>
      <c r="C208" s="15" t="s">
        <v>437</v>
      </c>
      <c r="D208" s="12" t="s">
        <v>438</v>
      </c>
      <c r="E208" s="12" t="s">
        <v>445</v>
      </c>
      <c r="F208" s="12" t="s">
        <v>448</v>
      </c>
      <c r="G208" s="9" t="s">
        <v>57</v>
      </c>
      <c r="H208" s="9">
        <v>1</v>
      </c>
      <c r="I208" s="12" t="s">
        <v>449</v>
      </c>
      <c r="J208" s="13" t="s">
        <v>450</v>
      </c>
    </row>
    <row r="209" spans="1:10" ht="15" customHeight="1" x14ac:dyDescent="0.25">
      <c r="A209" s="9">
        <v>204</v>
      </c>
      <c r="B209" s="14" t="s">
        <v>348</v>
      </c>
      <c r="C209" s="15" t="s">
        <v>437</v>
      </c>
      <c r="D209" s="12" t="s">
        <v>438</v>
      </c>
      <c r="E209" s="12" t="s">
        <v>451</v>
      </c>
      <c r="F209" s="12" t="s">
        <v>452</v>
      </c>
      <c r="G209" s="9" t="s">
        <v>57</v>
      </c>
      <c r="H209" s="9">
        <v>1</v>
      </c>
      <c r="I209" s="12" t="s">
        <v>453</v>
      </c>
      <c r="J209" s="13" t="s">
        <v>454</v>
      </c>
    </row>
    <row r="210" spans="1:10" ht="15" customHeight="1" x14ac:dyDescent="0.25">
      <c r="A210" s="9">
        <v>205</v>
      </c>
      <c r="B210" s="14" t="s">
        <v>348</v>
      </c>
      <c r="C210" s="15" t="s">
        <v>437</v>
      </c>
      <c r="D210" s="12" t="s">
        <v>438</v>
      </c>
      <c r="E210" s="12" t="s">
        <v>451</v>
      </c>
      <c r="F210" s="12" t="s">
        <v>455</v>
      </c>
      <c r="G210" s="9" t="s">
        <v>57</v>
      </c>
      <c r="H210" s="9">
        <v>1</v>
      </c>
      <c r="I210" s="12" t="s">
        <v>456</v>
      </c>
      <c r="J210" s="13" t="s">
        <v>457</v>
      </c>
    </row>
    <row r="211" spans="1:10" ht="15" customHeight="1" x14ac:dyDescent="0.25">
      <c r="A211" s="9">
        <v>206</v>
      </c>
      <c r="B211" s="14" t="s">
        <v>348</v>
      </c>
      <c r="C211" s="15" t="s">
        <v>437</v>
      </c>
      <c r="D211" s="12" t="s">
        <v>438</v>
      </c>
      <c r="E211" s="12" t="s">
        <v>458</v>
      </c>
      <c r="F211" s="12" t="s">
        <v>458</v>
      </c>
      <c r="G211" s="9" t="s">
        <v>18</v>
      </c>
      <c r="H211" s="9">
        <v>1</v>
      </c>
      <c r="I211" s="12" t="s">
        <v>459</v>
      </c>
      <c r="J211" s="13" t="s">
        <v>460</v>
      </c>
    </row>
    <row r="212" spans="1:10" ht="15" customHeight="1" x14ac:dyDescent="0.25">
      <c r="A212" s="9">
        <v>207</v>
      </c>
      <c r="B212" s="14" t="s">
        <v>348</v>
      </c>
      <c r="C212" s="15" t="s">
        <v>437</v>
      </c>
      <c r="D212" s="12" t="s">
        <v>438</v>
      </c>
      <c r="E212" s="12" t="s">
        <v>458</v>
      </c>
      <c r="F212" s="12" t="s">
        <v>461</v>
      </c>
      <c r="G212" s="9" t="s">
        <v>57</v>
      </c>
      <c r="H212" s="9">
        <v>1</v>
      </c>
      <c r="I212" s="12" t="s">
        <v>462</v>
      </c>
      <c r="J212" s="13" t="s">
        <v>463</v>
      </c>
    </row>
    <row r="213" spans="1:10" ht="15" customHeight="1" x14ac:dyDescent="0.25">
      <c r="A213" s="9">
        <v>208</v>
      </c>
      <c r="B213" s="14" t="s">
        <v>348</v>
      </c>
      <c r="C213" s="15" t="s">
        <v>437</v>
      </c>
      <c r="D213" s="12" t="s">
        <v>438</v>
      </c>
      <c r="E213" s="12" t="s">
        <v>464</v>
      </c>
      <c r="F213" s="12" t="s">
        <v>465</v>
      </c>
      <c r="G213" s="9" t="s">
        <v>57</v>
      </c>
      <c r="H213" s="9">
        <v>1</v>
      </c>
      <c r="I213" s="12" t="s">
        <v>466</v>
      </c>
      <c r="J213" s="13" t="s">
        <v>467</v>
      </c>
    </row>
    <row r="214" spans="1:10" ht="15" customHeight="1" x14ac:dyDescent="0.25">
      <c r="A214" s="9">
        <v>209</v>
      </c>
      <c r="B214" s="14" t="s">
        <v>348</v>
      </c>
      <c r="C214" s="15" t="s">
        <v>437</v>
      </c>
      <c r="D214" s="12" t="s">
        <v>438</v>
      </c>
      <c r="E214" s="12" t="s">
        <v>464</v>
      </c>
      <c r="F214" s="12" t="s">
        <v>468</v>
      </c>
      <c r="G214" s="9" t="s">
        <v>57</v>
      </c>
      <c r="H214" s="9">
        <v>1</v>
      </c>
      <c r="I214" s="12" t="s">
        <v>469</v>
      </c>
      <c r="J214" s="13" t="s">
        <v>470</v>
      </c>
    </row>
    <row r="215" spans="1:10" ht="15" customHeight="1" x14ac:dyDescent="0.25">
      <c r="A215" s="9">
        <v>210</v>
      </c>
      <c r="B215" s="14" t="s">
        <v>348</v>
      </c>
      <c r="C215" s="15" t="s">
        <v>437</v>
      </c>
      <c r="D215" s="12" t="s">
        <v>438</v>
      </c>
      <c r="E215" s="12" t="s">
        <v>464</v>
      </c>
      <c r="F215" s="12" t="s">
        <v>471</v>
      </c>
      <c r="G215" s="9" t="s">
        <v>57</v>
      </c>
      <c r="H215" s="9">
        <v>1</v>
      </c>
      <c r="I215" s="12" t="s">
        <v>472</v>
      </c>
      <c r="J215" s="13" t="s">
        <v>473</v>
      </c>
    </row>
    <row r="216" spans="1:10" ht="15" customHeight="1" x14ac:dyDescent="0.25">
      <c r="A216" s="9">
        <v>211</v>
      </c>
      <c r="B216" s="14" t="s">
        <v>348</v>
      </c>
      <c r="C216" s="15" t="s">
        <v>437</v>
      </c>
      <c r="D216" s="12" t="s">
        <v>438</v>
      </c>
      <c r="E216" s="12" t="s">
        <v>464</v>
      </c>
      <c r="F216" s="12" t="s">
        <v>474</v>
      </c>
      <c r="G216" s="9" t="s">
        <v>57</v>
      </c>
      <c r="H216" s="9">
        <v>1</v>
      </c>
      <c r="I216" s="12" t="s">
        <v>475</v>
      </c>
      <c r="J216" s="13" t="s">
        <v>476</v>
      </c>
    </row>
    <row r="217" spans="1:10" ht="15" customHeight="1" x14ac:dyDescent="0.25">
      <c r="A217" s="9">
        <v>212</v>
      </c>
      <c r="B217" s="14" t="s">
        <v>348</v>
      </c>
      <c r="C217" s="15" t="s">
        <v>477</v>
      </c>
      <c r="D217" s="12" t="s">
        <v>478</v>
      </c>
      <c r="E217" s="12" t="s">
        <v>479</v>
      </c>
      <c r="F217" s="12" t="s">
        <v>479</v>
      </c>
      <c r="G217" s="9" t="s">
        <v>57</v>
      </c>
      <c r="H217" s="9">
        <v>10</v>
      </c>
      <c r="I217" s="12" t="s">
        <v>480</v>
      </c>
      <c r="J217" s="13" t="s">
        <v>481</v>
      </c>
    </row>
    <row r="218" spans="1:10" ht="15" customHeight="1" x14ac:dyDescent="0.25">
      <c r="A218" s="9">
        <v>213</v>
      </c>
      <c r="B218" s="14" t="s">
        <v>348</v>
      </c>
      <c r="C218" s="15" t="s">
        <v>477</v>
      </c>
      <c r="D218" s="12" t="s">
        <v>478</v>
      </c>
      <c r="E218" s="12" t="s">
        <v>479</v>
      </c>
      <c r="F218" s="12" t="s">
        <v>482</v>
      </c>
      <c r="G218" s="9" t="s">
        <v>18</v>
      </c>
      <c r="H218" s="9">
        <v>1</v>
      </c>
      <c r="I218" s="12" t="s">
        <v>483</v>
      </c>
      <c r="J218" s="13" t="s">
        <v>484</v>
      </c>
    </row>
    <row r="219" spans="1:10" ht="15" customHeight="1" x14ac:dyDescent="0.25">
      <c r="A219" s="9">
        <v>214</v>
      </c>
      <c r="B219" s="14" t="s">
        <v>348</v>
      </c>
      <c r="C219" s="15" t="s">
        <v>477</v>
      </c>
      <c r="D219" s="12" t="s">
        <v>478</v>
      </c>
      <c r="E219" s="12" t="s">
        <v>479</v>
      </c>
      <c r="F219" s="12" t="s">
        <v>485</v>
      </c>
      <c r="G219" s="9" t="s">
        <v>18</v>
      </c>
      <c r="H219" s="9">
        <v>1</v>
      </c>
      <c r="I219" s="12" t="s">
        <v>486</v>
      </c>
      <c r="J219" s="13" t="s">
        <v>487</v>
      </c>
    </row>
    <row r="220" spans="1:10" ht="15" customHeight="1" x14ac:dyDescent="0.25">
      <c r="A220" s="9">
        <v>215</v>
      </c>
      <c r="B220" s="14" t="s">
        <v>348</v>
      </c>
      <c r="C220" s="15" t="s">
        <v>477</v>
      </c>
      <c r="D220" s="12" t="s">
        <v>478</v>
      </c>
      <c r="E220" s="12" t="s">
        <v>479</v>
      </c>
      <c r="F220" s="12" t="s">
        <v>488</v>
      </c>
      <c r="G220" s="9" t="s">
        <v>18</v>
      </c>
      <c r="H220" s="9">
        <v>1</v>
      </c>
      <c r="I220" s="12" t="s">
        <v>489</v>
      </c>
      <c r="J220" s="13" t="s">
        <v>490</v>
      </c>
    </row>
    <row r="221" spans="1:10" ht="15" customHeight="1" x14ac:dyDescent="0.25">
      <c r="A221" s="9">
        <v>216</v>
      </c>
      <c r="B221" s="14" t="s">
        <v>348</v>
      </c>
      <c r="C221" s="15" t="s">
        <v>477</v>
      </c>
      <c r="D221" s="12" t="s">
        <v>478</v>
      </c>
      <c r="E221" s="12" t="s">
        <v>491</v>
      </c>
      <c r="F221" s="12" t="s">
        <v>491</v>
      </c>
      <c r="G221" s="9" t="s">
        <v>18</v>
      </c>
      <c r="H221" s="9">
        <v>1</v>
      </c>
      <c r="I221" s="12" t="s">
        <v>492</v>
      </c>
      <c r="J221" s="13" t="s">
        <v>493</v>
      </c>
    </row>
    <row r="222" spans="1:10" ht="15" customHeight="1" x14ac:dyDescent="0.25">
      <c r="A222" s="9">
        <v>217</v>
      </c>
      <c r="B222" s="14" t="s">
        <v>348</v>
      </c>
      <c r="C222" s="15" t="s">
        <v>477</v>
      </c>
      <c r="D222" s="12" t="s">
        <v>478</v>
      </c>
      <c r="E222" s="12" t="s">
        <v>491</v>
      </c>
      <c r="F222" s="12" t="s">
        <v>494</v>
      </c>
      <c r="G222" s="9" t="s">
        <v>18</v>
      </c>
      <c r="H222" s="9">
        <v>1</v>
      </c>
      <c r="I222" s="12" t="s">
        <v>495</v>
      </c>
      <c r="J222" s="13" t="s">
        <v>496</v>
      </c>
    </row>
    <row r="223" spans="1:10" ht="15" customHeight="1" x14ac:dyDescent="0.25">
      <c r="A223" s="9">
        <v>218</v>
      </c>
      <c r="B223" s="14" t="s">
        <v>348</v>
      </c>
      <c r="C223" s="15" t="s">
        <v>477</v>
      </c>
      <c r="D223" s="12" t="s">
        <v>478</v>
      </c>
      <c r="E223" s="12" t="s">
        <v>497</v>
      </c>
      <c r="F223" s="12" t="s">
        <v>498</v>
      </c>
      <c r="G223" s="9" t="s">
        <v>18</v>
      </c>
      <c r="H223" s="9">
        <v>1</v>
      </c>
      <c r="I223" s="12" t="s">
        <v>499</v>
      </c>
      <c r="J223" s="13" t="s">
        <v>500</v>
      </c>
    </row>
    <row r="224" spans="1:10" ht="15" customHeight="1" x14ac:dyDescent="0.25">
      <c r="A224" s="9">
        <v>219</v>
      </c>
      <c r="B224" s="14" t="s">
        <v>348</v>
      </c>
      <c r="C224" s="15" t="s">
        <v>477</v>
      </c>
      <c r="D224" s="12" t="s">
        <v>478</v>
      </c>
      <c r="E224" s="12" t="s">
        <v>497</v>
      </c>
      <c r="F224" s="12" t="s">
        <v>501</v>
      </c>
      <c r="G224" s="9" t="s">
        <v>18</v>
      </c>
      <c r="H224" s="9">
        <v>1</v>
      </c>
      <c r="I224" s="12" t="s">
        <v>502</v>
      </c>
      <c r="J224" s="13" t="s">
        <v>503</v>
      </c>
    </row>
    <row r="225" spans="1:10" ht="15" customHeight="1" x14ac:dyDescent="0.25">
      <c r="A225" s="9">
        <v>220</v>
      </c>
      <c r="B225" s="14" t="s">
        <v>348</v>
      </c>
      <c r="C225" s="15" t="s">
        <v>477</v>
      </c>
      <c r="D225" s="12" t="s">
        <v>478</v>
      </c>
      <c r="E225" s="12" t="s">
        <v>497</v>
      </c>
      <c r="F225" s="12" t="s">
        <v>434</v>
      </c>
      <c r="G225" s="9" t="s">
        <v>61</v>
      </c>
      <c r="H225" s="9">
        <v>1</v>
      </c>
      <c r="I225" s="12" t="s">
        <v>435</v>
      </c>
      <c r="J225" s="13" t="s">
        <v>504</v>
      </c>
    </row>
    <row r="226" spans="1:10" ht="15" customHeight="1" x14ac:dyDescent="0.25">
      <c r="A226" s="9">
        <v>221</v>
      </c>
      <c r="B226" s="14" t="s">
        <v>348</v>
      </c>
      <c r="C226" s="15" t="s">
        <v>477</v>
      </c>
      <c r="D226" s="12" t="s">
        <v>478</v>
      </c>
      <c r="E226" s="12" t="s">
        <v>497</v>
      </c>
      <c r="F226" s="12" t="s">
        <v>505</v>
      </c>
      <c r="G226" s="9" t="s">
        <v>61</v>
      </c>
      <c r="H226" s="9">
        <v>1</v>
      </c>
      <c r="I226" s="12" t="s">
        <v>506</v>
      </c>
      <c r="J226" s="13" t="s">
        <v>507</v>
      </c>
    </row>
    <row r="227" spans="1:10" ht="15" customHeight="1" x14ac:dyDescent="0.25">
      <c r="A227" s="9">
        <v>222</v>
      </c>
      <c r="B227" s="14" t="s">
        <v>348</v>
      </c>
      <c r="C227" s="15" t="s">
        <v>508</v>
      </c>
      <c r="D227" s="12" t="s">
        <v>509</v>
      </c>
      <c r="E227" s="12" t="s">
        <v>510</v>
      </c>
      <c r="F227" s="12" t="s">
        <v>510</v>
      </c>
      <c r="G227" s="9" t="s">
        <v>18</v>
      </c>
      <c r="H227" s="9">
        <v>1</v>
      </c>
      <c r="I227" s="12" t="s">
        <v>511</v>
      </c>
      <c r="J227" s="13" t="s">
        <v>512</v>
      </c>
    </row>
    <row r="228" spans="1:10" ht="15" customHeight="1" x14ac:dyDescent="0.25">
      <c r="A228" s="9">
        <v>223</v>
      </c>
      <c r="B228" s="14" t="s">
        <v>348</v>
      </c>
      <c r="C228" s="15" t="s">
        <v>508</v>
      </c>
      <c r="D228" s="12" t="s">
        <v>509</v>
      </c>
      <c r="E228" s="12" t="s">
        <v>510</v>
      </c>
      <c r="F228" s="12" t="s">
        <v>513</v>
      </c>
      <c r="G228" s="9" t="s">
        <v>18</v>
      </c>
      <c r="H228" s="9">
        <v>1</v>
      </c>
      <c r="I228" s="12" t="s">
        <v>514</v>
      </c>
      <c r="J228" s="13" t="s">
        <v>515</v>
      </c>
    </row>
    <row r="229" spans="1:10" ht="15" customHeight="1" x14ac:dyDescent="0.25">
      <c r="A229" s="9">
        <v>224</v>
      </c>
      <c r="B229" s="14" t="s">
        <v>348</v>
      </c>
      <c r="C229" s="15" t="s">
        <v>508</v>
      </c>
      <c r="D229" s="12" t="s">
        <v>509</v>
      </c>
      <c r="E229" s="12" t="s">
        <v>516</v>
      </c>
      <c r="F229" s="12" t="s">
        <v>516</v>
      </c>
      <c r="G229" s="9" t="s">
        <v>18</v>
      </c>
      <c r="H229" s="9">
        <v>2</v>
      </c>
      <c r="I229" s="12" t="s">
        <v>517</v>
      </c>
      <c r="J229" s="13" t="s">
        <v>518</v>
      </c>
    </row>
    <row r="230" spans="1:10" ht="15" customHeight="1" x14ac:dyDescent="0.25">
      <c r="A230" s="9">
        <v>225</v>
      </c>
      <c r="B230" s="14" t="s">
        <v>348</v>
      </c>
      <c r="C230" s="15" t="s">
        <v>508</v>
      </c>
      <c r="D230" s="12" t="s">
        <v>509</v>
      </c>
      <c r="E230" s="12" t="s">
        <v>516</v>
      </c>
      <c r="F230" s="12" t="s">
        <v>519</v>
      </c>
      <c r="G230" s="9" t="s">
        <v>18</v>
      </c>
      <c r="H230" s="9">
        <v>1</v>
      </c>
      <c r="I230" s="12" t="s">
        <v>520</v>
      </c>
      <c r="J230" s="13" t="s">
        <v>521</v>
      </c>
    </row>
    <row r="231" spans="1:10" ht="15" customHeight="1" x14ac:dyDescent="0.25">
      <c r="A231" s="9">
        <v>226</v>
      </c>
      <c r="B231" s="14" t="s">
        <v>348</v>
      </c>
      <c r="C231" s="15" t="s">
        <v>508</v>
      </c>
      <c r="D231" s="12" t="s">
        <v>509</v>
      </c>
      <c r="E231" s="12" t="s">
        <v>138</v>
      </c>
      <c r="F231" s="12" t="s">
        <v>138</v>
      </c>
      <c r="G231" s="9" t="s">
        <v>18</v>
      </c>
      <c r="H231" s="9">
        <v>3</v>
      </c>
      <c r="I231" s="12" t="s">
        <v>139</v>
      </c>
      <c r="J231" s="13" t="s">
        <v>522</v>
      </c>
    </row>
    <row r="232" spans="1:10" ht="15" customHeight="1" x14ac:dyDescent="0.25">
      <c r="A232" s="9">
        <v>227</v>
      </c>
      <c r="B232" s="14" t="s">
        <v>348</v>
      </c>
      <c r="C232" s="15" t="s">
        <v>508</v>
      </c>
      <c r="D232" s="12" t="s">
        <v>509</v>
      </c>
      <c r="E232" s="12" t="s">
        <v>138</v>
      </c>
      <c r="F232" s="12" t="s">
        <v>523</v>
      </c>
      <c r="G232" s="9" t="s">
        <v>18</v>
      </c>
      <c r="H232" s="9">
        <v>1</v>
      </c>
      <c r="I232" s="12" t="s">
        <v>524</v>
      </c>
      <c r="J232" s="13" t="s">
        <v>525</v>
      </c>
    </row>
    <row r="233" spans="1:10" ht="15" customHeight="1" x14ac:dyDescent="0.25">
      <c r="A233" s="9">
        <v>228</v>
      </c>
      <c r="B233" s="14" t="s">
        <v>348</v>
      </c>
      <c r="C233" s="15" t="s">
        <v>526</v>
      </c>
      <c r="D233" s="12" t="s">
        <v>527</v>
      </c>
      <c r="E233" s="12" t="s">
        <v>528</v>
      </c>
      <c r="F233" s="12" t="s">
        <v>408</v>
      </c>
      <c r="G233" s="9" t="s">
        <v>18</v>
      </c>
      <c r="H233" s="9">
        <v>2</v>
      </c>
      <c r="I233" s="12" t="s">
        <v>409</v>
      </c>
      <c r="J233" s="13" t="s">
        <v>529</v>
      </c>
    </row>
    <row r="234" spans="1:10" ht="15" customHeight="1" x14ac:dyDescent="0.25">
      <c r="A234" s="9">
        <v>229</v>
      </c>
      <c r="B234" s="14" t="s">
        <v>348</v>
      </c>
      <c r="C234" s="15" t="s">
        <v>526</v>
      </c>
      <c r="D234" s="12" t="s">
        <v>527</v>
      </c>
      <c r="E234" s="12" t="s">
        <v>528</v>
      </c>
      <c r="F234" s="12" t="s">
        <v>417</v>
      </c>
      <c r="G234" s="9" t="s">
        <v>18</v>
      </c>
      <c r="H234" s="9">
        <v>3</v>
      </c>
      <c r="I234" s="12" t="s">
        <v>417</v>
      </c>
      <c r="J234" s="13" t="s">
        <v>530</v>
      </c>
    </row>
    <row r="235" spans="1:10" ht="15" customHeight="1" x14ac:dyDescent="0.25">
      <c r="A235" s="9">
        <v>230</v>
      </c>
      <c r="B235" s="14" t="s">
        <v>348</v>
      </c>
      <c r="C235" s="15" t="s">
        <v>526</v>
      </c>
      <c r="D235" s="12" t="s">
        <v>527</v>
      </c>
      <c r="E235" s="12" t="s">
        <v>528</v>
      </c>
      <c r="F235" s="12" t="s">
        <v>531</v>
      </c>
      <c r="G235" s="9" t="s">
        <v>18</v>
      </c>
      <c r="H235" s="9">
        <v>1</v>
      </c>
      <c r="I235" s="12" t="s">
        <v>532</v>
      </c>
      <c r="J235" s="13" t="s">
        <v>533</v>
      </c>
    </row>
    <row r="236" spans="1:10" ht="15" customHeight="1" x14ac:dyDescent="0.25">
      <c r="A236" s="9">
        <v>231</v>
      </c>
      <c r="B236" s="14" t="s">
        <v>348</v>
      </c>
      <c r="C236" s="15" t="s">
        <v>534</v>
      </c>
      <c r="D236" s="12" t="s">
        <v>535</v>
      </c>
      <c r="E236" s="12" t="s">
        <v>536</v>
      </c>
      <c r="F236" s="12" t="s">
        <v>537</v>
      </c>
      <c r="G236" s="9" t="s">
        <v>18</v>
      </c>
      <c r="H236" s="9">
        <v>1</v>
      </c>
      <c r="I236" s="12" t="s">
        <v>538</v>
      </c>
      <c r="J236" s="13" t="s">
        <v>539</v>
      </c>
    </row>
    <row r="237" spans="1:10" ht="15" customHeight="1" x14ac:dyDescent="0.25">
      <c r="A237" s="9">
        <v>232</v>
      </c>
      <c r="B237" s="14" t="s">
        <v>348</v>
      </c>
      <c r="C237" s="15" t="s">
        <v>534</v>
      </c>
      <c r="D237" s="12" t="s">
        <v>535</v>
      </c>
      <c r="E237" s="12" t="s">
        <v>536</v>
      </c>
      <c r="F237" s="12" t="s">
        <v>540</v>
      </c>
      <c r="G237" s="9" t="s">
        <v>18</v>
      </c>
      <c r="H237" s="9">
        <v>1</v>
      </c>
      <c r="I237" s="12" t="s">
        <v>541</v>
      </c>
      <c r="J237" s="13" t="s">
        <v>542</v>
      </c>
    </row>
    <row r="238" spans="1:10" ht="15" customHeight="1" x14ac:dyDescent="0.25">
      <c r="A238" s="9">
        <v>233</v>
      </c>
      <c r="B238" s="14" t="s">
        <v>348</v>
      </c>
      <c r="C238" s="15" t="s">
        <v>534</v>
      </c>
      <c r="D238" s="12" t="s">
        <v>535</v>
      </c>
      <c r="E238" s="12" t="s">
        <v>536</v>
      </c>
      <c r="F238" s="12" t="s">
        <v>543</v>
      </c>
      <c r="G238" s="9" t="s">
        <v>61</v>
      </c>
      <c r="H238" s="9">
        <v>1</v>
      </c>
      <c r="I238" s="12" t="s">
        <v>544</v>
      </c>
      <c r="J238" s="13" t="s">
        <v>545</v>
      </c>
    </row>
    <row r="239" spans="1:10" ht="15" customHeight="1" x14ac:dyDescent="0.25">
      <c r="A239" s="9">
        <v>234</v>
      </c>
      <c r="B239" s="14" t="s">
        <v>348</v>
      </c>
      <c r="C239" s="15" t="s">
        <v>534</v>
      </c>
      <c r="D239" s="12" t="s">
        <v>535</v>
      </c>
      <c r="E239" s="12" t="s">
        <v>536</v>
      </c>
      <c r="F239" s="12" t="s">
        <v>546</v>
      </c>
      <c r="G239" s="9" t="s">
        <v>18</v>
      </c>
      <c r="H239" s="9">
        <v>1</v>
      </c>
      <c r="I239" s="12" t="s">
        <v>547</v>
      </c>
      <c r="J239" s="13" t="s">
        <v>548</v>
      </c>
    </row>
    <row r="240" spans="1:10" ht="15" customHeight="1" x14ac:dyDescent="0.25">
      <c r="A240" s="9">
        <v>235</v>
      </c>
      <c r="B240" s="14" t="s">
        <v>348</v>
      </c>
      <c r="C240" s="15" t="s">
        <v>534</v>
      </c>
      <c r="D240" s="12" t="s">
        <v>535</v>
      </c>
      <c r="E240" s="12" t="s">
        <v>549</v>
      </c>
      <c r="F240" s="12" t="s">
        <v>550</v>
      </c>
      <c r="G240" s="9" t="s">
        <v>61</v>
      </c>
      <c r="H240" s="9">
        <v>1</v>
      </c>
      <c r="I240" s="12" t="s">
        <v>551</v>
      </c>
      <c r="J240" s="13" t="s">
        <v>552</v>
      </c>
    </row>
    <row r="241" spans="1:10" ht="15" customHeight="1" x14ac:dyDescent="0.25">
      <c r="A241" s="9">
        <v>236</v>
      </c>
      <c r="B241" s="14" t="s">
        <v>348</v>
      </c>
      <c r="C241" s="15" t="s">
        <v>534</v>
      </c>
      <c r="D241" s="12" t="s">
        <v>535</v>
      </c>
      <c r="E241" s="12" t="s">
        <v>549</v>
      </c>
      <c r="F241" s="12" t="s">
        <v>553</v>
      </c>
      <c r="G241" s="9" t="s">
        <v>61</v>
      </c>
      <c r="H241" s="9">
        <v>1</v>
      </c>
      <c r="I241" s="12" t="s">
        <v>554</v>
      </c>
      <c r="J241" s="13" t="s">
        <v>555</v>
      </c>
    </row>
    <row r="242" spans="1:10" ht="15" customHeight="1" x14ac:dyDescent="0.25">
      <c r="A242" s="9">
        <v>237</v>
      </c>
      <c r="B242" s="14" t="s">
        <v>348</v>
      </c>
      <c r="C242" s="15" t="s">
        <v>534</v>
      </c>
      <c r="D242" s="12" t="s">
        <v>535</v>
      </c>
      <c r="E242" s="12" t="s">
        <v>549</v>
      </c>
      <c r="F242" s="12" t="s">
        <v>556</v>
      </c>
      <c r="G242" s="9" t="s">
        <v>61</v>
      </c>
      <c r="H242" s="9">
        <v>1</v>
      </c>
      <c r="I242" s="12" t="s">
        <v>557</v>
      </c>
      <c r="J242" s="13" t="s">
        <v>558</v>
      </c>
    </row>
    <row r="243" spans="1:10" ht="15" customHeight="1" x14ac:dyDescent="0.25">
      <c r="A243" s="9">
        <v>238</v>
      </c>
      <c r="B243" s="14" t="s">
        <v>348</v>
      </c>
      <c r="C243" s="15" t="s">
        <v>559</v>
      </c>
      <c r="D243" s="12" t="s">
        <v>560</v>
      </c>
      <c r="E243" s="12" t="s">
        <v>561</v>
      </c>
      <c r="F243" s="12" t="s">
        <v>562</v>
      </c>
      <c r="G243" s="9" t="s">
        <v>18</v>
      </c>
      <c r="H243" s="9">
        <v>1</v>
      </c>
      <c r="I243" s="12" t="s">
        <v>563</v>
      </c>
      <c r="J243" s="13" t="s">
        <v>564</v>
      </c>
    </row>
    <row r="244" spans="1:10" ht="15" customHeight="1" x14ac:dyDescent="0.25">
      <c r="A244" s="9">
        <v>239</v>
      </c>
      <c r="B244" s="14" t="s">
        <v>348</v>
      </c>
      <c r="C244" s="15" t="s">
        <v>559</v>
      </c>
      <c r="D244" s="12" t="s">
        <v>560</v>
      </c>
      <c r="E244" s="12" t="s">
        <v>561</v>
      </c>
      <c r="F244" s="12" t="s">
        <v>565</v>
      </c>
      <c r="G244" s="9" t="s">
        <v>18</v>
      </c>
      <c r="H244" s="9">
        <v>1</v>
      </c>
      <c r="I244" s="12" t="s">
        <v>566</v>
      </c>
      <c r="J244" s="13" t="s">
        <v>567</v>
      </c>
    </row>
    <row r="245" spans="1:10" ht="15" customHeight="1" x14ac:dyDescent="0.25">
      <c r="A245" s="9">
        <v>240</v>
      </c>
      <c r="B245" s="14" t="s">
        <v>348</v>
      </c>
      <c r="C245" s="15" t="s">
        <v>559</v>
      </c>
      <c r="D245" s="12" t="s">
        <v>560</v>
      </c>
      <c r="E245" s="12" t="s">
        <v>561</v>
      </c>
      <c r="F245" s="12" t="s">
        <v>568</v>
      </c>
      <c r="G245" s="9" t="s">
        <v>18</v>
      </c>
      <c r="H245" s="9">
        <v>1</v>
      </c>
      <c r="I245" s="12" t="s">
        <v>569</v>
      </c>
      <c r="J245" s="13" t="s">
        <v>570</v>
      </c>
    </row>
    <row r="246" spans="1:10" ht="15" customHeight="1" x14ac:dyDescent="0.25">
      <c r="A246" s="9">
        <v>241</v>
      </c>
      <c r="B246" s="14" t="s">
        <v>348</v>
      </c>
      <c r="C246" s="15" t="s">
        <v>559</v>
      </c>
      <c r="D246" s="12" t="s">
        <v>560</v>
      </c>
      <c r="E246" s="12" t="s">
        <v>561</v>
      </c>
      <c r="F246" s="12" t="s">
        <v>571</v>
      </c>
      <c r="G246" s="9" t="s">
        <v>61</v>
      </c>
      <c r="H246" s="9">
        <v>1</v>
      </c>
      <c r="I246" s="12" t="s">
        <v>572</v>
      </c>
      <c r="J246" s="13" t="s">
        <v>573</v>
      </c>
    </row>
    <row r="247" spans="1:10" ht="15" customHeight="1" x14ac:dyDescent="0.25">
      <c r="A247" s="9">
        <v>242</v>
      </c>
      <c r="B247" s="14" t="s">
        <v>348</v>
      </c>
      <c r="C247" s="15" t="s">
        <v>559</v>
      </c>
      <c r="D247" s="12" t="s">
        <v>560</v>
      </c>
      <c r="E247" s="12" t="s">
        <v>574</v>
      </c>
      <c r="F247" s="12" t="s">
        <v>575</v>
      </c>
      <c r="G247" s="9" t="s">
        <v>18</v>
      </c>
      <c r="H247" s="9">
        <v>1</v>
      </c>
      <c r="I247" s="12" t="s">
        <v>576</v>
      </c>
      <c r="J247" s="13" t="s">
        <v>577</v>
      </c>
    </row>
    <row r="248" spans="1:10" ht="15" customHeight="1" x14ac:dyDescent="0.25">
      <c r="A248" s="9">
        <v>243</v>
      </c>
      <c r="B248" s="14" t="s">
        <v>348</v>
      </c>
      <c r="C248" s="15" t="s">
        <v>559</v>
      </c>
      <c r="D248" s="12" t="s">
        <v>560</v>
      </c>
      <c r="E248" s="12" t="s">
        <v>574</v>
      </c>
      <c r="F248" s="12" t="s">
        <v>578</v>
      </c>
      <c r="G248" s="9" t="s">
        <v>18</v>
      </c>
      <c r="H248" s="9">
        <v>1</v>
      </c>
      <c r="I248" s="12" t="s">
        <v>579</v>
      </c>
      <c r="J248" s="13" t="s">
        <v>580</v>
      </c>
    </row>
    <row r="249" spans="1:10" ht="15" customHeight="1" x14ac:dyDescent="0.25">
      <c r="A249" s="9">
        <v>244</v>
      </c>
      <c r="B249" s="14" t="s">
        <v>348</v>
      </c>
      <c r="C249" s="15" t="s">
        <v>559</v>
      </c>
      <c r="D249" s="12" t="s">
        <v>560</v>
      </c>
      <c r="E249" s="12" t="s">
        <v>574</v>
      </c>
      <c r="F249" s="12" t="s">
        <v>581</v>
      </c>
      <c r="G249" s="9" t="s">
        <v>18</v>
      </c>
      <c r="H249" s="9">
        <v>1</v>
      </c>
      <c r="I249" s="12" t="s">
        <v>582</v>
      </c>
      <c r="J249" s="13" t="s">
        <v>583</v>
      </c>
    </row>
    <row r="250" spans="1:10" ht="15" customHeight="1" x14ac:dyDescent="0.25">
      <c r="A250" s="9">
        <v>245</v>
      </c>
      <c r="B250" s="14" t="s">
        <v>348</v>
      </c>
      <c r="C250" s="15" t="s">
        <v>559</v>
      </c>
      <c r="D250" s="12" t="s">
        <v>560</v>
      </c>
      <c r="E250" s="12" t="s">
        <v>574</v>
      </c>
      <c r="F250" s="12" t="s">
        <v>523</v>
      </c>
      <c r="G250" s="9" t="s">
        <v>18</v>
      </c>
      <c r="H250" s="9">
        <v>1</v>
      </c>
      <c r="I250" s="12" t="s">
        <v>524</v>
      </c>
      <c r="J250" s="13" t="s">
        <v>584</v>
      </c>
    </row>
    <row r="251" spans="1:10" ht="15" customHeight="1" x14ac:dyDescent="0.25">
      <c r="A251" s="9">
        <v>246</v>
      </c>
      <c r="B251" s="14" t="s">
        <v>348</v>
      </c>
      <c r="C251" s="15" t="s">
        <v>559</v>
      </c>
      <c r="D251" s="12" t="s">
        <v>560</v>
      </c>
      <c r="E251" s="12" t="s">
        <v>585</v>
      </c>
      <c r="F251" s="12" t="s">
        <v>586</v>
      </c>
      <c r="G251" s="9" t="s">
        <v>61</v>
      </c>
      <c r="H251" s="9">
        <v>1</v>
      </c>
      <c r="I251" s="12" t="s">
        <v>587</v>
      </c>
      <c r="J251" s="13" t="s">
        <v>588</v>
      </c>
    </row>
    <row r="252" spans="1:10" ht="15" customHeight="1" x14ac:dyDescent="0.25">
      <c r="A252" s="9">
        <v>247</v>
      </c>
      <c r="B252" s="14" t="s">
        <v>348</v>
      </c>
      <c r="C252" s="15" t="s">
        <v>559</v>
      </c>
      <c r="D252" s="12" t="s">
        <v>560</v>
      </c>
      <c r="E252" s="12" t="s">
        <v>585</v>
      </c>
      <c r="F252" s="12" t="s">
        <v>589</v>
      </c>
      <c r="G252" s="9" t="s">
        <v>61</v>
      </c>
      <c r="H252" s="9">
        <v>1</v>
      </c>
      <c r="I252" s="12" t="s">
        <v>590</v>
      </c>
      <c r="J252" s="13" t="s">
        <v>591</v>
      </c>
    </row>
    <row r="253" spans="1:10" ht="15" customHeight="1" x14ac:dyDescent="0.25">
      <c r="A253" s="9">
        <v>248</v>
      </c>
      <c r="B253" s="14" t="s">
        <v>348</v>
      </c>
      <c r="C253" s="15" t="s">
        <v>559</v>
      </c>
      <c r="D253" s="12" t="s">
        <v>560</v>
      </c>
      <c r="E253" s="12" t="s">
        <v>585</v>
      </c>
      <c r="F253" s="12" t="s">
        <v>592</v>
      </c>
      <c r="G253" s="9" t="s">
        <v>57</v>
      </c>
      <c r="H253" s="9">
        <v>1</v>
      </c>
      <c r="I253" s="12" t="s">
        <v>593</v>
      </c>
      <c r="J253" s="13" t="s">
        <v>594</v>
      </c>
    </row>
    <row r="254" spans="1:10" ht="15" customHeight="1" x14ac:dyDescent="0.25">
      <c r="A254" s="9">
        <v>249</v>
      </c>
      <c r="B254" s="14" t="s">
        <v>348</v>
      </c>
      <c r="C254" s="15" t="s">
        <v>559</v>
      </c>
      <c r="D254" s="12" t="s">
        <v>560</v>
      </c>
      <c r="E254" s="12" t="s">
        <v>585</v>
      </c>
      <c r="F254" s="12" t="s">
        <v>334</v>
      </c>
      <c r="G254" s="9" t="s">
        <v>61</v>
      </c>
      <c r="H254" s="9">
        <v>1</v>
      </c>
      <c r="I254" s="12" t="s">
        <v>335</v>
      </c>
      <c r="J254" s="13" t="s">
        <v>595</v>
      </c>
    </row>
    <row r="255" spans="1:10" ht="15" customHeight="1" x14ac:dyDescent="0.25">
      <c r="A255" s="9">
        <v>250</v>
      </c>
      <c r="B255" s="14" t="s">
        <v>348</v>
      </c>
      <c r="C255" s="15" t="s">
        <v>559</v>
      </c>
      <c r="D255" s="12" t="s">
        <v>560</v>
      </c>
      <c r="E255" s="12" t="s">
        <v>596</v>
      </c>
      <c r="F255" s="12" t="s">
        <v>597</v>
      </c>
      <c r="G255" s="9" t="s">
        <v>18</v>
      </c>
      <c r="H255" s="9">
        <v>1</v>
      </c>
      <c r="I255" s="12" t="s">
        <v>598</v>
      </c>
      <c r="J255" s="13" t="s">
        <v>599</v>
      </c>
    </row>
    <row r="256" spans="1:10" ht="15" customHeight="1" x14ac:dyDescent="0.25">
      <c r="A256" s="9">
        <v>251</v>
      </c>
      <c r="B256" s="14" t="s">
        <v>348</v>
      </c>
      <c r="C256" s="15" t="s">
        <v>559</v>
      </c>
      <c r="D256" s="12" t="s">
        <v>560</v>
      </c>
      <c r="E256" s="12" t="s">
        <v>596</v>
      </c>
      <c r="F256" s="12" t="s">
        <v>600</v>
      </c>
      <c r="G256" s="9" t="s">
        <v>57</v>
      </c>
      <c r="H256" s="9">
        <v>1</v>
      </c>
      <c r="I256" s="12" t="s">
        <v>601</v>
      </c>
      <c r="J256" s="13" t="s">
        <v>602</v>
      </c>
    </row>
    <row r="257" spans="1:10" ht="15" customHeight="1" x14ac:dyDescent="0.25">
      <c r="A257" s="9">
        <v>252</v>
      </c>
      <c r="B257" s="14" t="s">
        <v>348</v>
      </c>
      <c r="C257" s="15" t="s">
        <v>559</v>
      </c>
      <c r="D257" s="12" t="s">
        <v>560</v>
      </c>
      <c r="E257" s="12" t="s">
        <v>596</v>
      </c>
      <c r="F257" s="12" t="s">
        <v>603</v>
      </c>
      <c r="G257" s="9" t="s">
        <v>57</v>
      </c>
      <c r="H257" s="9">
        <v>1</v>
      </c>
      <c r="I257" s="12" t="s">
        <v>604</v>
      </c>
      <c r="J257" s="13" t="s">
        <v>605</v>
      </c>
    </row>
    <row r="258" spans="1:10" ht="15" customHeight="1" x14ac:dyDescent="0.25">
      <c r="A258" s="9">
        <v>253</v>
      </c>
      <c r="B258" s="14" t="s">
        <v>348</v>
      </c>
      <c r="C258" s="15" t="s">
        <v>559</v>
      </c>
      <c r="D258" s="12" t="s">
        <v>560</v>
      </c>
      <c r="E258" s="12" t="s">
        <v>596</v>
      </c>
      <c r="F258" s="12" t="s">
        <v>606</v>
      </c>
      <c r="G258" s="9" t="s">
        <v>57</v>
      </c>
      <c r="H258" s="9">
        <v>1</v>
      </c>
      <c r="I258" s="12" t="s">
        <v>607</v>
      </c>
      <c r="J258" s="13" t="s">
        <v>608</v>
      </c>
    </row>
    <row r="259" spans="1:10" ht="15" customHeight="1" x14ac:dyDescent="0.25">
      <c r="A259" s="9">
        <v>254</v>
      </c>
      <c r="B259" s="14" t="s">
        <v>348</v>
      </c>
      <c r="C259" s="15" t="s">
        <v>609</v>
      </c>
      <c r="D259" s="12" t="s">
        <v>610</v>
      </c>
      <c r="E259" s="12" t="s">
        <v>351</v>
      </c>
      <c r="F259" s="12" t="s">
        <v>352</v>
      </c>
      <c r="G259" s="9" t="s">
        <v>18</v>
      </c>
      <c r="H259" s="9">
        <v>1</v>
      </c>
      <c r="I259" s="12" t="s">
        <v>611</v>
      </c>
      <c r="J259" s="13" t="s">
        <v>612</v>
      </c>
    </row>
    <row r="260" spans="1:10" ht="15" customHeight="1" x14ac:dyDescent="0.25">
      <c r="A260" s="9">
        <v>255</v>
      </c>
      <c r="B260" s="14" t="s">
        <v>348</v>
      </c>
      <c r="C260" s="15" t="s">
        <v>609</v>
      </c>
      <c r="D260" s="12" t="s">
        <v>610</v>
      </c>
      <c r="E260" s="12" t="s">
        <v>351</v>
      </c>
      <c r="F260" s="12" t="s">
        <v>355</v>
      </c>
      <c r="G260" s="9" t="s">
        <v>18</v>
      </c>
      <c r="H260" s="9">
        <v>1</v>
      </c>
      <c r="I260" s="12" t="s">
        <v>613</v>
      </c>
      <c r="J260" s="13" t="s">
        <v>614</v>
      </c>
    </row>
    <row r="261" spans="1:10" ht="15" customHeight="1" x14ac:dyDescent="0.25">
      <c r="A261" s="9">
        <v>256</v>
      </c>
      <c r="B261" s="14" t="s">
        <v>348</v>
      </c>
      <c r="C261" s="15" t="s">
        <v>609</v>
      </c>
      <c r="D261" s="12" t="s">
        <v>610</v>
      </c>
      <c r="E261" s="12" t="s">
        <v>615</v>
      </c>
      <c r="F261" s="12" t="s">
        <v>616</v>
      </c>
      <c r="G261" s="9" t="s">
        <v>18</v>
      </c>
      <c r="H261" s="9">
        <v>1</v>
      </c>
      <c r="I261" s="12" t="s">
        <v>617</v>
      </c>
      <c r="J261" s="13" t="s">
        <v>618</v>
      </c>
    </row>
    <row r="262" spans="1:10" ht="15" customHeight="1" x14ac:dyDescent="0.25">
      <c r="A262" s="9">
        <v>257</v>
      </c>
      <c r="B262" s="14" t="s">
        <v>348</v>
      </c>
      <c r="C262" s="15" t="s">
        <v>609</v>
      </c>
      <c r="D262" s="12" t="s">
        <v>610</v>
      </c>
      <c r="E262" s="12" t="s">
        <v>615</v>
      </c>
      <c r="F262" s="12" t="s">
        <v>619</v>
      </c>
      <c r="G262" s="9" t="s">
        <v>18</v>
      </c>
      <c r="H262" s="9">
        <v>1</v>
      </c>
      <c r="I262" s="12" t="s">
        <v>620</v>
      </c>
      <c r="J262" s="13" t="s">
        <v>621</v>
      </c>
    </row>
    <row r="263" spans="1:10" ht="15" customHeight="1" x14ac:dyDescent="0.25">
      <c r="A263" s="9">
        <v>258</v>
      </c>
      <c r="B263" s="14" t="s">
        <v>348</v>
      </c>
      <c r="C263" s="15" t="s">
        <v>609</v>
      </c>
      <c r="D263" s="12" t="s">
        <v>610</v>
      </c>
      <c r="E263" s="12" t="s">
        <v>615</v>
      </c>
      <c r="F263" s="12" t="s">
        <v>622</v>
      </c>
      <c r="G263" s="9" t="s">
        <v>18</v>
      </c>
      <c r="H263" s="9">
        <v>1</v>
      </c>
      <c r="I263" s="12" t="s">
        <v>623</v>
      </c>
      <c r="J263" s="13" t="s">
        <v>624</v>
      </c>
    </row>
    <row r="264" spans="1:10" ht="15" customHeight="1" x14ac:dyDescent="0.25">
      <c r="A264" s="9">
        <v>259</v>
      </c>
      <c r="B264" s="14" t="s">
        <v>348</v>
      </c>
      <c r="C264" s="15" t="s">
        <v>609</v>
      </c>
      <c r="D264" s="12" t="s">
        <v>610</v>
      </c>
      <c r="E264" s="12" t="s">
        <v>615</v>
      </c>
      <c r="F264" s="12" t="s">
        <v>625</v>
      </c>
      <c r="G264" s="9" t="s">
        <v>18</v>
      </c>
      <c r="H264" s="9">
        <v>1</v>
      </c>
      <c r="I264" s="12" t="s">
        <v>626</v>
      </c>
      <c r="J264" s="13" t="s">
        <v>627</v>
      </c>
    </row>
    <row r="265" spans="1:10" ht="15" customHeight="1" x14ac:dyDescent="0.25">
      <c r="A265" s="9">
        <v>260</v>
      </c>
      <c r="B265" s="14" t="s">
        <v>348</v>
      </c>
      <c r="C265" s="15" t="s">
        <v>609</v>
      </c>
      <c r="D265" s="12" t="s">
        <v>610</v>
      </c>
      <c r="E265" s="12" t="s">
        <v>628</v>
      </c>
      <c r="F265" s="12" t="s">
        <v>629</v>
      </c>
      <c r="G265" s="9" t="s">
        <v>18</v>
      </c>
      <c r="H265" s="9">
        <v>1</v>
      </c>
      <c r="I265" s="12" t="s">
        <v>630</v>
      </c>
      <c r="J265" s="13" t="s">
        <v>631</v>
      </c>
    </row>
    <row r="266" spans="1:10" ht="15" customHeight="1" x14ac:dyDescent="0.25">
      <c r="A266" s="9">
        <v>261</v>
      </c>
      <c r="B266" s="14" t="s">
        <v>348</v>
      </c>
      <c r="C266" s="15" t="s">
        <v>609</v>
      </c>
      <c r="D266" s="12" t="s">
        <v>610</v>
      </c>
      <c r="E266" s="12" t="s">
        <v>628</v>
      </c>
      <c r="F266" s="12" t="s">
        <v>632</v>
      </c>
      <c r="G266" s="9" t="s">
        <v>18</v>
      </c>
      <c r="H266" s="9">
        <v>1</v>
      </c>
      <c r="I266" s="12" t="s">
        <v>633</v>
      </c>
      <c r="J266" s="13" t="s">
        <v>634</v>
      </c>
    </row>
    <row r="267" spans="1:10" ht="15" customHeight="1" x14ac:dyDescent="0.25">
      <c r="A267" s="9">
        <v>262</v>
      </c>
      <c r="B267" s="14" t="s">
        <v>348</v>
      </c>
      <c r="C267" s="15" t="s">
        <v>609</v>
      </c>
      <c r="D267" s="12" t="s">
        <v>610</v>
      </c>
      <c r="E267" s="12" t="s">
        <v>635</v>
      </c>
      <c r="F267" s="12" t="s">
        <v>635</v>
      </c>
      <c r="G267" s="9" t="s">
        <v>57</v>
      </c>
      <c r="H267" s="9">
        <v>1</v>
      </c>
      <c r="I267" s="12" t="s">
        <v>636</v>
      </c>
      <c r="J267" s="13" t="s">
        <v>637</v>
      </c>
    </row>
    <row r="268" spans="1:10" ht="15" customHeight="1" x14ac:dyDescent="0.25">
      <c r="A268" s="9">
        <v>263</v>
      </c>
      <c r="B268" s="14" t="s">
        <v>348</v>
      </c>
      <c r="C268" s="15" t="s">
        <v>609</v>
      </c>
      <c r="D268" s="12" t="s">
        <v>610</v>
      </c>
      <c r="E268" s="12" t="s">
        <v>635</v>
      </c>
      <c r="F268" s="12" t="s">
        <v>638</v>
      </c>
      <c r="G268" s="9" t="s">
        <v>57</v>
      </c>
      <c r="H268" s="9">
        <v>1</v>
      </c>
      <c r="I268" s="12" t="s">
        <v>639</v>
      </c>
      <c r="J268" s="13" t="s">
        <v>640</v>
      </c>
    </row>
    <row r="269" spans="1:10" ht="15" customHeight="1" x14ac:dyDescent="0.25">
      <c r="A269" s="9">
        <v>264</v>
      </c>
      <c r="B269" s="14" t="s">
        <v>348</v>
      </c>
      <c r="C269" s="15" t="s">
        <v>609</v>
      </c>
      <c r="D269" s="12" t="s">
        <v>610</v>
      </c>
      <c r="E269" s="12" t="s">
        <v>550</v>
      </c>
      <c r="F269" s="12" t="s">
        <v>550</v>
      </c>
      <c r="G269" s="9" t="s">
        <v>61</v>
      </c>
      <c r="H269" s="9">
        <v>1</v>
      </c>
      <c r="I269" s="12" t="s">
        <v>551</v>
      </c>
      <c r="J269" s="13" t="s">
        <v>641</v>
      </c>
    </row>
    <row r="270" spans="1:10" ht="15" customHeight="1" x14ac:dyDescent="0.25">
      <c r="A270" s="9">
        <v>265</v>
      </c>
      <c r="B270" s="14" t="s">
        <v>348</v>
      </c>
      <c r="C270" s="15" t="s">
        <v>609</v>
      </c>
      <c r="D270" s="12" t="s">
        <v>610</v>
      </c>
      <c r="E270" s="12" t="s">
        <v>550</v>
      </c>
      <c r="F270" s="12" t="s">
        <v>642</v>
      </c>
      <c r="G270" s="9" t="s">
        <v>61</v>
      </c>
      <c r="H270" s="9">
        <v>1</v>
      </c>
      <c r="I270" s="12" t="s">
        <v>643</v>
      </c>
      <c r="J270" s="13" t="s">
        <v>644</v>
      </c>
    </row>
    <row r="271" spans="1:10" ht="15" customHeight="1" x14ac:dyDescent="0.25">
      <c r="A271" s="9">
        <v>266</v>
      </c>
      <c r="B271" s="14" t="s">
        <v>348</v>
      </c>
      <c r="C271" s="15" t="s">
        <v>609</v>
      </c>
      <c r="D271" s="12" t="s">
        <v>610</v>
      </c>
      <c r="E271" s="12" t="s">
        <v>550</v>
      </c>
      <c r="F271" s="12" t="s">
        <v>645</v>
      </c>
      <c r="G271" s="9" t="s">
        <v>61</v>
      </c>
      <c r="H271" s="9">
        <v>1</v>
      </c>
      <c r="I271" s="12" t="s">
        <v>646</v>
      </c>
      <c r="J271" s="13" t="s">
        <v>647</v>
      </c>
    </row>
    <row r="272" spans="1:10" ht="15" customHeight="1" x14ac:dyDescent="0.25">
      <c r="A272" s="9">
        <v>267</v>
      </c>
      <c r="B272" s="14" t="s">
        <v>348</v>
      </c>
      <c r="C272" s="15" t="s">
        <v>648</v>
      </c>
      <c r="D272" s="12" t="s">
        <v>649</v>
      </c>
      <c r="E272" s="12" t="s">
        <v>650</v>
      </c>
      <c r="F272" s="12" t="s">
        <v>650</v>
      </c>
      <c r="G272" s="9" t="s">
        <v>57</v>
      </c>
      <c r="H272" s="9">
        <v>6</v>
      </c>
      <c r="I272" s="12" t="s">
        <v>651</v>
      </c>
      <c r="J272" s="13" t="s">
        <v>652</v>
      </c>
    </row>
    <row r="273" spans="1:10" ht="15" customHeight="1" x14ac:dyDescent="0.25">
      <c r="A273" s="9">
        <v>268</v>
      </c>
      <c r="B273" s="14" t="s">
        <v>348</v>
      </c>
      <c r="C273" s="15" t="s">
        <v>648</v>
      </c>
      <c r="D273" s="12" t="s">
        <v>649</v>
      </c>
      <c r="E273" s="12" t="s">
        <v>650</v>
      </c>
      <c r="F273" s="12" t="s">
        <v>653</v>
      </c>
      <c r="G273" s="9" t="s">
        <v>57</v>
      </c>
      <c r="H273" s="9">
        <v>1</v>
      </c>
      <c r="I273" s="12" t="s">
        <v>654</v>
      </c>
      <c r="J273" s="13" t="s">
        <v>655</v>
      </c>
    </row>
    <row r="274" spans="1:10" ht="15" customHeight="1" x14ac:dyDescent="0.25">
      <c r="A274" s="9">
        <v>269</v>
      </c>
      <c r="B274" s="14" t="s">
        <v>348</v>
      </c>
      <c r="C274" s="15" t="s">
        <v>648</v>
      </c>
      <c r="D274" s="12" t="s">
        <v>649</v>
      </c>
      <c r="E274" s="12" t="s">
        <v>656</v>
      </c>
      <c r="F274" s="12" t="s">
        <v>656</v>
      </c>
      <c r="G274" s="9" t="s">
        <v>57</v>
      </c>
      <c r="H274" s="9">
        <v>6</v>
      </c>
      <c r="I274" s="12" t="s">
        <v>657</v>
      </c>
      <c r="J274" s="13" t="s">
        <v>658</v>
      </c>
    </row>
    <row r="275" spans="1:10" ht="15" customHeight="1" x14ac:dyDescent="0.25">
      <c r="A275" s="9">
        <v>270</v>
      </c>
      <c r="B275" s="14" t="s">
        <v>348</v>
      </c>
      <c r="C275" s="15" t="s">
        <v>648</v>
      </c>
      <c r="D275" s="12" t="s">
        <v>649</v>
      </c>
      <c r="E275" s="12" t="s">
        <v>439</v>
      </c>
      <c r="F275" s="12" t="s">
        <v>439</v>
      </c>
      <c r="G275" s="9" t="s">
        <v>57</v>
      </c>
      <c r="H275" s="9">
        <v>2</v>
      </c>
      <c r="I275" s="12" t="s">
        <v>659</v>
      </c>
      <c r="J275" s="13" t="s">
        <v>660</v>
      </c>
    </row>
    <row r="276" spans="1:10" ht="15" customHeight="1" x14ac:dyDescent="0.25">
      <c r="A276" s="9">
        <v>271</v>
      </c>
      <c r="B276" s="14" t="s">
        <v>348</v>
      </c>
      <c r="C276" s="15" t="s">
        <v>648</v>
      </c>
      <c r="D276" s="12" t="s">
        <v>649</v>
      </c>
      <c r="E276" s="12" t="s">
        <v>439</v>
      </c>
      <c r="F276" s="12" t="s">
        <v>661</v>
      </c>
      <c r="G276" s="9" t="s">
        <v>57</v>
      </c>
      <c r="H276" s="9">
        <v>1</v>
      </c>
      <c r="I276" s="12" t="s">
        <v>662</v>
      </c>
      <c r="J276" s="13" t="s">
        <v>663</v>
      </c>
    </row>
    <row r="277" spans="1:10" ht="15" customHeight="1" x14ac:dyDescent="0.25">
      <c r="A277" s="9">
        <v>272</v>
      </c>
      <c r="B277" s="14" t="s">
        <v>348</v>
      </c>
      <c r="C277" s="15" t="s">
        <v>648</v>
      </c>
      <c r="D277" s="12" t="s">
        <v>649</v>
      </c>
      <c r="E277" s="12" t="s">
        <v>664</v>
      </c>
      <c r="F277" s="12" t="s">
        <v>445</v>
      </c>
      <c r="G277" s="9" t="s">
        <v>57</v>
      </c>
      <c r="H277" s="9">
        <v>1</v>
      </c>
      <c r="I277" s="12" t="s">
        <v>446</v>
      </c>
      <c r="J277" s="13" t="s">
        <v>665</v>
      </c>
    </row>
    <row r="278" spans="1:10" ht="15" customHeight="1" x14ac:dyDescent="0.25">
      <c r="A278" s="9">
        <v>273</v>
      </c>
      <c r="B278" s="14" t="s">
        <v>348</v>
      </c>
      <c r="C278" s="15" t="s">
        <v>648</v>
      </c>
      <c r="D278" s="12" t="s">
        <v>649</v>
      </c>
      <c r="E278" s="12" t="s">
        <v>664</v>
      </c>
      <c r="F278" s="12" t="s">
        <v>451</v>
      </c>
      <c r="G278" s="9" t="s">
        <v>57</v>
      </c>
      <c r="H278" s="9">
        <v>1</v>
      </c>
      <c r="I278" s="12" t="s">
        <v>666</v>
      </c>
      <c r="J278" s="13" t="s">
        <v>667</v>
      </c>
    </row>
    <row r="279" spans="1:10" ht="15" customHeight="1" x14ac:dyDescent="0.25">
      <c r="A279" s="9">
        <v>274</v>
      </c>
      <c r="B279" s="14" t="s">
        <v>348</v>
      </c>
      <c r="C279" s="15" t="s">
        <v>648</v>
      </c>
      <c r="D279" s="12" t="s">
        <v>649</v>
      </c>
      <c r="E279" s="12" t="s">
        <v>464</v>
      </c>
      <c r="F279" s="12" t="s">
        <v>465</v>
      </c>
      <c r="G279" s="9" t="s">
        <v>57</v>
      </c>
      <c r="H279" s="9">
        <v>1</v>
      </c>
      <c r="I279" s="12" t="s">
        <v>466</v>
      </c>
      <c r="J279" s="13" t="s">
        <v>668</v>
      </c>
    </row>
    <row r="280" spans="1:10" ht="15" customHeight="1" x14ac:dyDescent="0.25">
      <c r="A280" s="9">
        <v>275</v>
      </c>
      <c r="B280" s="14" t="s">
        <v>348</v>
      </c>
      <c r="C280" s="15" t="s">
        <v>648</v>
      </c>
      <c r="D280" s="12" t="s">
        <v>649</v>
      </c>
      <c r="E280" s="12" t="s">
        <v>464</v>
      </c>
      <c r="F280" s="12" t="s">
        <v>468</v>
      </c>
      <c r="G280" s="9" t="s">
        <v>57</v>
      </c>
      <c r="H280" s="9">
        <v>1</v>
      </c>
      <c r="I280" s="12" t="s">
        <v>469</v>
      </c>
      <c r="J280" s="13" t="s">
        <v>669</v>
      </c>
    </row>
    <row r="281" spans="1:10" ht="15" customHeight="1" x14ac:dyDescent="0.25">
      <c r="A281" s="9">
        <v>276</v>
      </c>
      <c r="B281" s="14" t="s">
        <v>348</v>
      </c>
      <c r="C281" s="15" t="s">
        <v>648</v>
      </c>
      <c r="D281" s="12" t="s">
        <v>649</v>
      </c>
      <c r="E281" s="12" t="s">
        <v>464</v>
      </c>
      <c r="F281" s="12" t="s">
        <v>471</v>
      </c>
      <c r="G281" s="9" t="s">
        <v>57</v>
      </c>
      <c r="H281" s="9">
        <v>1</v>
      </c>
      <c r="I281" s="12" t="s">
        <v>472</v>
      </c>
      <c r="J281" s="13" t="s">
        <v>670</v>
      </c>
    </row>
    <row r="282" spans="1:10" ht="15" customHeight="1" x14ac:dyDescent="0.25">
      <c r="A282" s="9">
        <v>277</v>
      </c>
      <c r="B282" s="14" t="s">
        <v>348</v>
      </c>
      <c r="C282" s="15" t="s">
        <v>648</v>
      </c>
      <c r="D282" s="12" t="s">
        <v>649</v>
      </c>
      <c r="E282" s="12" t="s">
        <v>464</v>
      </c>
      <c r="F282" s="12" t="s">
        <v>474</v>
      </c>
      <c r="G282" s="9" t="s">
        <v>57</v>
      </c>
      <c r="H282" s="9">
        <v>1</v>
      </c>
      <c r="I282" s="12" t="s">
        <v>475</v>
      </c>
      <c r="J282" s="13" t="s">
        <v>671</v>
      </c>
    </row>
    <row r="283" spans="1:10" ht="15" customHeight="1" x14ac:dyDescent="0.25">
      <c r="A283" s="9">
        <v>278</v>
      </c>
      <c r="B283" s="14" t="s">
        <v>348</v>
      </c>
      <c r="C283" s="15" t="s">
        <v>648</v>
      </c>
      <c r="D283" s="12" t="s">
        <v>649</v>
      </c>
      <c r="E283" s="12" t="s">
        <v>464</v>
      </c>
      <c r="F283" s="12" t="s">
        <v>672</v>
      </c>
      <c r="G283" s="9" t="s">
        <v>57</v>
      </c>
      <c r="H283" s="9">
        <v>1</v>
      </c>
      <c r="I283" s="12" t="s">
        <v>673</v>
      </c>
      <c r="J283" s="13" t="s">
        <v>674</v>
      </c>
    </row>
    <row r="284" spans="1:10" ht="15" customHeight="1" x14ac:dyDescent="0.25">
      <c r="A284" s="9">
        <v>279</v>
      </c>
      <c r="B284" s="14" t="s">
        <v>348</v>
      </c>
      <c r="C284" s="15" t="s">
        <v>648</v>
      </c>
      <c r="D284" s="12" t="s">
        <v>649</v>
      </c>
      <c r="E284" s="12" t="s">
        <v>675</v>
      </c>
      <c r="F284" s="12" t="s">
        <v>676</v>
      </c>
      <c r="G284" s="9" t="s">
        <v>57</v>
      </c>
      <c r="H284" s="9">
        <v>1</v>
      </c>
      <c r="I284" s="12" t="s">
        <v>677</v>
      </c>
      <c r="J284" s="13" t="s">
        <v>678</v>
      </c>
    </row>
    <row r="285" spans="1:10" ht="15" customHeight="1" x14ac:dyDescent="0.25">
      <c r="A285" s="9">
        <v>280</v>
      </c>
      <c r="B285" s="14" t="s">
        <v>348</v>
      </c>
      <c r="C285" s="15" t="s">
        <v>648</v>
      </c>
      <c r="D285" s="12" t="s">
        <v>649</v>
      </c>
      <c r="E285" s="12" t="s">
        <v>675</v>
      </c>
      <c r="F285" s="12" t="s">
        <v>679</v>
      </c>
      <c r="G285" s="9" t="s">
        <v>18</v>
      </c>
      <c r="H285" s="9">
        <v>1</v>
      </c>
      <c r="I285" s="12" t="s">
        <v>680</v>
      </c>
      <c r="J285" s="13" t="s">
        <v>681</v>
      </c>
    </row>
    <row r="286" spans="1:10" ht="15" customHeight="1" x14ac:dyDescent="0.25">
      <c r="A286" s="9">
        <v>281</v>
      </c>
      <c r="B286" s="14" t="s">
        <v>348</v>
      </c>
      <c r="C286" s="15" t="s">
        <v>682</v>
      </c>
      <c r="D286" s="12" t="s">
        <v>683</v>
      </c>
      <c r="E286" s="12" t="s">
        <v>684</v>
      </c>
      <c r="F286" s="12" t="s">
        <v>685</v>
      </c>
      <c r="G286" s="9" t="s">
        <v>35</v>
      </c>
      <c r="H286" s="9">
        <v>1</v>
      </c>
      <c r="I286" s="12" t="s">
        <v>686</v>
      </c>
      <c r="J286" s="13" t="s">
        <v>687</v>
      </c>
    </row>
    <row r="287" spans="1:10" ht="15" customHeight="1" x14ac:dyDescent="0.25">
      <c r="A287" s="9">
        <v>282</v>
      </c>
      <c r="B287" s="14" t="s">
        <v>348</v>
      </c>
      <c r="C287" s="15" t="s">
        <v>682</v>
      </c>
      <c r="D287" s="12" t="s">
        <v>683</v>
      </c>
      <c r="E287" s="12" t="s">
        <v>684</v>
      </c>
      <c r="F287" s="12" t="s">
        <v>688</v>
      </c>
      <c r="G287" s="9" t="s">
        <v>57</v>
      </c>
      <c r="H287" s="9">
        <v>1</v>
      </c>
      <c r="I287" s="12" t="s">
        <v>689</v>
      </c>
      <c r="J287" s="13" t="s">
        <v>690</v>
      </c>
    </row>
    <row r="288" spans="1:10" ht="15" customHeight="1" x14ac:dyDescent="0.25">
      <c r="A288" s="9">
        <v>283</v>
      </c>
      <c r="B288" s="14" t="s">
        <v>348</v>
      </c>
      <c r="C288" s="15" t="s">
        <v>691</v>
      </c>
      <c r="D288" s="12" t="s">
        <v>692</v>
      </c>
      <c r="E288" s="12" t="s">
        <v>408</v>
      </c>
      <c r="F288" s="12" t="s">
        <v>408</v>
      </c>
      <c r="G288" s="9" t="s">
        <v>18</v>
      </c>
      <c r="H288" s="9">
        <v>2</v>
      </c>
      <c r="I288" s="12" t="s">
        <v>409</v>
      </c>
      <c r="J288" s="13" t="s">
        <v>693</v>
      </c>
    </row>
    <row r="289" spans="1:10" ht="15" customHeight="1" x14ac:dyDescent="0.25">
      <c r="A289" s="9">
        <v>284</v>
      </c>
      <c r="B289" s="14" t="s">
        <v>348</v>
      </c>
      <c r="C289" s="15" t="s">
        <v>691</v>
      </c>
      <c r="D289" s="12" t="s">
        <v>692</v>
      </c>
      <c r="E289" s="12" t="s">
        <v>408</v>
      </c>
      <c r="F289" s="12" t="s">
        <v>411</v>
      </c>
      <c r="G289" s="9" t="s">
        <v>18</v>
      </c>
      <c r="H289" s="9">
        <v>1</v>
      </c>
      <c r="I289" s="12" t="s">
        <v>412</v>
      </c>
      <c r="J289" s="13" t="s">
        <v>694</v>
      </c>
    </row>
    <row r="290" spans="1:10" ht="15" customHeight="1" x14ac:dyDescent="0.25">
      <c r="A290" s="9">
        <v>285</v>
      </c>
      <c r="B290" s="14" t="s">
        <v>348</v>
      </c>
      <c r="C290" s="15" t="s">
        <v>691</v>
      </c>
      <c r="D290" s="12" t="s">
        <v>692</v>
      </c>
      <c r="E290" s="12" t="s">
        <v>417</v>
      </c>
      <c r="F290" s="12" t="s">
        <v>417</v>
      </c>
      <c r="G290" s="9" t="s">
        <v>18</v>
      </c>
      <c r="H290" s="9">
        <v>3</v>
      </c>
      <c r="I290" s="12" t="s">
        <v>417</v>
      </c>
      <c r="J290" s="13" t="s">
        <v>695</v>
      </c>
    </row>
    <row r="291" spans="1:10" ht="15" customHeight="1" x14ac:dyDescent="0.25">
      <c r="A291" s="9">
        <v>286</v>
      </c>
      <c r="B291" s="14" t="s">
        <v>348</v>
      </c>
      <c r="C291" s="15" t="s">
        <v>691</v>
      </c>
      <c r="D291" s="12" t="s">
        <v>692</v>
      </c>
      <c r="E291" s="12" t="s">
        <v>417</v>
      </c>
      <c r="F291" s="12" t="s">
        <v>419</v>
      </c>
      <c r="G291" s="9" t="s">
        <v>18</v>
      </c>
      <c r="H291" s="9">
        <v>1</v>
      </c>
      <c r="I291" s="12" t="s">
        <v>420</v>
      </c>
      <c r="J291" s="13" t="s">
        <v>696</v>
      </c>
    </row>
    <row r="292" spans="1:10" ht="15" customHeight="1" x14ac:dyDescent="0.25">
      <c r="A292" s="9">
        <v>287</v>
      </c>
      <c r="B292" s="14" t="s">
        <v>348</v>
      </c>
      <c r="C292" s="15" t="s">
        <v>691</v>
      </c>
      <c r="D292" s="12" t="s">
        <v>692</v>
      </c>
      <c r="E292" s="12" t="s">
        <v>425</v>
      </c>
      <c r="F292" s="12" t="s">
        <v>425</v>
      </c>
      <c r="G292" s="9" t="s">
        <v>18</v>
      </c>
      <c r="H292" s="9">
        <v>1</v>
      </c>
      <c r="I292" s="12" t="s">
        <v>426</v>
      </c>
      <c r="J292" s="13" t="s">
        <v>697</v>
      </c>
    </row>
    <row r="293" spans="1:10" ht="15" customHeight="1" x14ac:dyDescent="0.25">
      <c r="A293" s="9">
        <v>288</v>
      </c>
      <c r="B293" s="14" t="s">
        <v>348</v>
      </c>
      <c r="C293" s="15" t="s">
        <v>691</v>
      </c>
      <c r="D293" s="12" t="s">
        <v>692</v>
      </c>
      <c r="E293" s="12" t="s">
        <v>425</v>
      </c>
      <c r="F293" s="12" t="s">
        <v>698</v>
      </c>
      <c r="G293" s="9" t="s">
        <v>18</v>
      </c>
      <c r="H293" s="9">
        <v>1</v>
      </c>
      <c r="I293" s="12" t="s">
        <v>699</v>
      </c>
      <c r="J293" s="13" t="s">
        <v>700</v>
      </c>
    </row>
    <row r="294" spans="1:10" ht="15" customHeight="1" x14ac:dyDescent="0.25">
      <c r="A294" s="9">
        <v>289</v>
      </c>
      <c r="B294" s="14" t="s">
        <v>348</v>
      </c>
      <c r="C294" s="15" t="s">
        <v>691</v>
      </c>
      <c r="D294" s="12" t="s">
        <v>692</v>
      </c>
      <c r="E294" s="12" t="s">
        <v>701</v>
      </c>
      <c r="F294" s="12" t="s">
        <v>701</v>
      </c>
      <c r="G294" s="9" t="s">
        <v>18</v>
      </c>
      <c r="H294" s="9">
        <v>1</v>
      </c>
      <c r="I294" s="12" t="s">
        <v>702</v>
      </c>
      <c r="J294" s="13" t="s">
        <v>703</v>
      </c>
    </row>
    <row r="295" spans="1:10" ht="15" customHeight="1" x14ac:dyDescent="0.25">
      <c r="A295" s="9">
        <v>290</v>
      </c>
      <c r="B295" s="14" t="s">
        <v>348</v>
      </c>
      <c r="C295" s="15" t="s">
        <v>691</v>
      </c>
      <c r="D295" s="12" t="s">
        <v>692</v>
      </c>
      <c r="E295" s="12" t="s">
        <v>701</v>
      </c>
      <c r="F295" s="12" t="s">
        <v>704</v>
      </c>
      <c r="G295" s="9" t="s">
        <v>18</v>
      </c>
      <c r="H295" s="9">
        <v>1</v>
      </c>
      <c r="I295" s="12" t="s">
        <v>705</v>
      </c>
      <c r="J295" s="13" t="s">
        <v>706</v>
      </c>
    </row>
    <row r="296" spans="1:10" ht="15" customHeight="1" x14ac:dyDescent="0.25">
      <c r="A296" s="9">
        <v>291</v>
      </c>
      <c r="B296" s="14" t="s">
        <v>348</v>
      </c>
      <c r="C296" s="15" t="s">
        <v>691</v>
      </c>
      <c r="D296" s="12" t="s">
        <v>692</v>
      </c>
      <c r="E296" s="12" t="s">
        <v>701</v>
      </c>
      <c r="F296" s="12" t="s">
        <v>707</v>
      </c>
      <c r="G296" s="9" t="s">
        <v>18</v>
      </c>
      <c r="H296" s="9">
        <v>1</v>
      </c>
      <c r="I296" s="12" t="s">
        <v>708</v>
      </c>
      <c r="J296" s="13" t="s">
        <v>709</v>
      </c>
    </row>
    <row r="297" spans="1:10" ht="15" customHeight="1" x14ac:dyDescent="0.25">
      <c r="A297" s="9">
        <v>292</v>
      </c>
      <c r="B297" s="14" t="s">
        <v>348</v>
      </c>
      <c r="C297" s="15" t="s">
        <v>691</v>
      </c>
      <c r="D297" s="12" t="s">
        <v>692</v>
      </c>
      <c r="E297" s="12" t="s">
        <v>701</v>
      </c>
      <c r="F297" s="12" t="s">
        <v>710</v>
      </c>
      <c r="G297" s="9" t="s">
        <v>18</v>
      </c>
      <c r="H297" s="9">
        <v>1</v>
      </c>
      <c r="I297" s="12" t="s">
        <v>711</v>
      </c>
      <c r="J297" s="13" t="s">
        <v>712</v>
      </c>
    </row>
    <row r="298" spans="1:10" ht="15" customHeight="1" x14ac:dyDescent="0.25">
      <c r="A298" s="9">
        <v>293</v>
      </c>
      <c r="B298" s="14" t="s">
        <v>348</v>
      </c>
      <c r="C298" s="15" t="s">
        <v>691</v>
      </c>
      <c r="D298" s="12" t="s">
        <v>692</v>
      </c>
      <c r="E298" s="12" t="s">
        <v>713</v>
      </c>
      <c r="F298" s="12" t="s">
        <v>713</v>
      </c>
      <c r="G298" s="9" t="s">
        <v>61</v>
      </c>
      <c r="H298" s="9">
        <v>1</v>
      </c>
      <c r="I298" s="12" t="s">
        <v>714</v>
      </c>
      <c r="J298" s="13" t="s">
        <v>715</v>
      </c>
    </row>
    <row r="299" spans="1:10" ht="15" customHeight="1" x14ac:dyDescent="0.25">
      <c r="A299" s="9">
        <v>294</v>
      </c>
      <c r="B299" s="14" t="s">
        <v>348</v>
      </c>
      <c r="C299" s="15" t="s">
        <v>716</v>
      </c>
      <c r="D299" s="12" t="s">
        <v>717</v>
      </c>
      <c r="E299" s="12" t="s">
        <v>510</v>
      </c>
      <c r="F299" s="12" t="s">
        <v>510</v>
      </c>
      <c r="G299" s="9" t="s">
        <v>18</v>
      </c>
      <c r="H299" s="9">
        <v>1</v>
      </c>
      <c r="I299" s="12" t="s">
        <v>511</v>
      </c>
      <c r="J299" s="13" t="s">
        <v>718</v>
      </c>
    </row>
    <row r="300" spans="1:10" ht="15" customHeight="1" x14ac:dyDescent="0.25">
      <c r="A300" s="9">
        <v>295</v>
      </c>
      <c r="B300" s="14" t="s">
        <v>348</v>
      </c>
      <c r="C300" s="15" t="s">
        <v>716</v>
      </c>
      <c r="D300" s="12" t="s">
        <v>717</v>
      </c>
      <c r="E300" s="12" t="s">
        <v>510</v>
      </c>
      <c r="F300" s="12" t="s">
        <v>719</v>
      </c>
      <c r="G300" s="9" t="s">
        <v>18</v>
      </c>
      <c r="H300" s="9">
        <v>1</v>
      </c>
      <c r="I300" s="12" t="s">
        <v>720</v>
      </c>
      <c r="J300" s="13" t="s">
        <v>721</v>
      </c>
    </row>
    <row r="301" spans="1:10" ht="15" customHeight="1" x14ac:dyDescent="0.25">
      <c r="A301" s="9">
        <v>296</v>
      </c>
      <c r="B301" s="14" t="s">
        <v>348</v>
      </c>
      <c r="C301" s="15" t="s">
        <v>716</v>
      </c>
      <c r="D301" s="12" t="s">
        <v>717</v>
      </c>
      <c r="E301" s="12" t="s">
        <v>516</v>
      </c>
      <c r="F301" s="12" t="s">
        <v>516</v>
      </c>
      <c r="G301" s="9" t="s">
        <v>18</v>
      </c>
      <c r="H301" s="9">
        <v>2</v>
      </c>
      <c r="I301" s="12" t="s">
        <v>517</v>
      </c>
      <c r="J301" s="13" t="s">
        <v>722</v>
      </c>
    </row>
    <row r="302" spans="1:10" ht="15" customHeight="1" x14ac:dyDescent="0.25">
      <c r="A302" s="9">
        <v>297</v>
      </c>
      <c r="B302" s="14" t="s">
        <v>348</v>
      </c>
      <c r="C302" s="15" t="s">
        <v>716</v>
      </c>
      <c r="D302" s="12" t="s">
        <v>717</v>
      </c>
      <c r="E302" s="12" t="s">
        <v>516</v>
      </c>
      <c r="F302" s="12" t="s">
        <v>723</v>
      </c>
      <c r="G302" s="9" t="s">
        <v>18</v>
      </c>
      <c r="H302" s="9">
        <v>1</v>
      </c>
      <c r="I302" s="12" t="s">
        <v>724</v>
      </c>
      <c r="J302" s="13" t="s">
        <v>725</v>
      </c>
    </row>
    <row r="303" spans="1:10" ht="15" customHeight="1" x14ac:dyDescent="0.25">
      <c r="A303" s="9">
        <v>298</v>
      </c>
      <c r="B303" s="14" t="s">
        <v>348</v>
      </c>
      <c r="C303" s="15" t="s">
        <v>716</v>
      </c>
      <c r="D303" s="12" t="s">
        <v>717</v>
      </c>
      <c r="E303" s="12" t="s">
        <v>516</v>
      </c>
      <c r="F303" s="12" t="s">
        <v>726</v>
      </c>
      <c r="G303" s="9" t="s">
        <v>18</v>
      </c>
      <c r="H303" s="9">
        <v>1</v>
      </c>
      <c r="I303" s="12" t="s">
        <v>727</v>
      </c>
      <c r="J303" s="13" t="s">
        <v>728</v>
      </c>
    </row>
    <row r="304" spans="1:10" ht="15" customHeight="1" x14ac:dyDescent="0.25">
      <c r="A304" s="9">
        <v>299</v>
      </c>
      <c r="B304" s="14" t="s">
        <v>348</v>
      </c>
      <c r="C304" s="15" t="s">
        <v>716</v>
      </c>
      <c r="D304" s="12" t="s">
        <v>717</v>
      </c>
      <c r="E304" s="12" t="s">
        <v>729</v>
      </c>
      <c r="F304" s="12" t="s">
        <v>730</v>
      </c>
      <c r="G304" s="9" t="s">
        <v>18</v>
      </c>
      <c r="H304" s="9">
        <v>1</v>
      </c>
      <c r="I304" s="12" t="s">
        <v>730</v>
      </c>
      <c r="J304" s="13" t="s">
        <v>731</v>
      </c>
    </row>
    <row r="305" spans="1:10" ht="15" customHeight="1" x14ac:dyDescent="0.25">
      <c r="A305" s="9">
        <v>300</v>
      </c>
      <c r="B305" s="14" t="s">
        <v>348</v>
      </c>
      <c r="C305" s="15" t="s">
        <v>716</v>
      </c>
      <c r="D305" s="12" t="s">
        <v>717</v>
      </c>
      <c r="E305" s="12" t="s">
        <v>729</v>
      </c>
      <c r="F305" s="12" t="s">
        <v>732</v>
      </c>
      <c r="G305" s="9" t="s">
        <v>18</v>
      </c>
      <c r="H305" s="9">
        <v>1</v>
      </c>
      <c r="I305" s="12" t="s">
        <v>733</v>
      </c>
      <c r="J305" s="13" t="s">
        <v>734</v>
      </c>
    </row>
    <row r="306" spans="1:10" ht="15" customHeight="1" x14ac:dyDescent="0.25">
      <c r="A306" s="9">
        <v>301</v>
      </c>
      <c r="B306" s="14" t="s">
        <v>348</v>
      </c>
      <c r="C306" s="15" t="s">
        <v>716</v>
      </c>
      <c r="D306" s="12" t="s">
        <v>717</v>
      </c>
      <c r="E306" s="12" t="s">
        <v>729</v>
      </c>
      <c r="F306" s="12" t="s">
        <v>735</v>
      </c>
      <c r="G306" s="9" t="s">
        <v>18</v>
      </c>
      <c r="H306" s="9">
        <v>1</v>
      </c>
      <c r="I306" s="12" t="s">
        <v>736</v>
      </c>
      <c r="J306" s="13" t="s">
        <v>737</v>
      </c>
    </row>
    <row r="307" spans="1:10" ht="15" customHeight="1" x14ac:dyDescent="0.25">
      <c r="A307" s="9">
        <v>302</v>
      </c>
      <c r="B307" s="14" t="s">
        <v>348</v>
      </c>
      <c r="C307" s="15" t="s">
        <v>716</v>
      </c>
      <c r="D307" s="12" t="s">
        <v>717</v>
      </c>
      <c r="E307" s="12" t="s">
        <v>738</v>
      </c>
      <c r="F307" s="12" t="s">
        <v>739</v>
      </c>
      <c r="G307" s="9" t="s">
        <v>18</v>
      </c>
      <c r="H307" s="9">
        <v>1</v>
      </c>
      <c r="I307" s="12" t="s">
        <v>740</v>
      </c>
      <c r="J307" s="13" t="s">
        <v>741</v>
      </c>
    </row>
    <row r="308" spans="1:10" ht="15" customHeight="1" x14ac:dyDescent="0.25">
      <c r="A308" s="9">
        <v>303</v>
      </c>
      <c r="B308" s="14" t="s">
        <v>348</v>
      </c>
      <c r="C308" s="15" t="s">
        <v>716</v>
      </c>
      <c r="D308" s="12" t="s">
        <v>717</v>
      </c>
      <c r="E308" s="12" t="s">
        <v>738</v>
      </c>
      <c r="F308" s="12" t="s">
        <v>742</v>
      </c>
      <c r="G308" s="9" t="s">
        <v>18</v>
      </c>
      <c r="H308" s="9">
        <v>1</v>
      </c>
      <c r="I308" s="12" t="s">
        <v>743</v>
      </c>
      <c r="J308" s="13" t="s">
        <v>744</v>
      </c>
    </row>
    <row r="309" spans="1:10" ht="15" customHeight="1" x14ac:dyDescent="0.25">
      <c r="A309" s="9">
        <v>304</v>
      </c>
      <c r="B309" s="14" t="s">
        <v>348</v>
      </c>
      <c r="C309" s="15" t="s">
        <v>716</v>
      </c>
      <c r="D309" s="12" t="s">
        <v>717</v>
      </c>
      <c r="E309" s="12" t="s">
        <v>738</v>
      </c>
      <c r="F309" s="12" t="s">
        <v>745</v>
      </c>
      <c r="G309" s="9" t="s">
        <v>18</v>
      </c>
      <c r="H309" s="9">
        <v>1</v>
      </c>
      <c r="I309" s="12" t="s">
        <v>746</v>
      </c>
      <c r="J309" s="13" t="s">
        <v>747</v>
      </c>
    </row>
    <row r="310" spans="1:10" ht="15" customHeight="1" x14ac:dyDescent="0.25">
      <c r="A310" s="9">
        <v>305</v>
      </c>
      <c r="B310" s="14" t="s">
        <v>348</v>
      </c>
      <c r="C310" s="15" t="s">
        <v>716</v>
      </c>
      <c r="D310" s="12" t="s">
        <v>717</v>
      </c>
      <c r="E310" s="12" t="s">
        <v>738</v>
      </c>
      <c r="F310" s="12" t="s">
        <v>748</v>
      </c>
      <c r="G310" s="9" t="s">
        <v>18</v>
      </c>
      <c r="H310" s="9">
        <v>1</v>
      </c>
      <c r="I310" s="12" t="s">
        <v>749</v>
      </c>
      <c r="J310" s="13" t="s">
        <v>750</v>
      </c>
    </row>
    <row r="311" spans="1:10" ht="15" customHeight="1" x14ac:dyDescent="0.25">
      <c r="A311" s="9">
        <v>306</v>
      </c>
      <c r="B311" s="14" t="s">
        <v>348</v>
      </c>
      <c r="C311" s="15" t="s">
        <v>716</v>
      </c>
      <c r="D311" s="12" t="s">
        <v>717</v>
      </c>
      <c r="E311" s="12" t="s">
        <v>738</v>
      </c>
      <c r="F311" s="12" t="s">
        <v>751</v>
      </c>
      <c r="G311" s="9" t="s">
        <v>18</v>
      </c>
      <c r="H311" s="9">
        <v>1</v>
      </c>
      <c r="I311" s="12" t="s">
        <v>752</v>
      </c>
      <c r="J311" s="13" t="s">
        <v>753</v>
      </c>
    </row>
    <row r="312" spans="1:10" ht="15" customHeight="1" x14ac:dyDescent="0.25">
      <c r="A312" s="9">
        <v>307</v>
      </c>
      <c r="B312" s="14" t="s">
        <v>348</v>
      </c>
      <c r="C312" s="15" t="s">
        <v>716</v>
      </c>
      <c r="D312" s="12" t="s">
        <v>717</v>
      </c>
      <c r="E312" s="12" t="s">
        <v>138</v>
      </c>
      <c r="F312" s="12" t="s">
        <v>138</v>
      </c>
      <c r="G312" s="9" t="s">
        <v>18</v>
      </c>
      <c r="H312" s="9">
        <v>3</v>
      </c>
      <c r="I312" s="12" t="s">
        <v>139</v>
      </c>
      <c r="J312" s="13" t="s">
        <v>754</v>
      </c>
    </row>
    <row r="313" spans="1:10" ht="15" customHeight="1" x14ac:dyDescent="0.25">
      <c r="A313" s="9">
        <v>308</v>
      </c>
      <c r="B313" s="14" t="s">
        <v>348</v>
      </c>
      <c r="C313" s="15" t="s">
        <v>716</v>
      </c>
      <c r="D313" s="12" t="s">
        <v>717</v>
      </c>
      <c r="E313" s="12" t="s">
        <v>138</v>
      </c>
      <c r="F313" s="12" t="s">
        <v>755</v>
      </c>
      <c r="G313" s="9" t="s">
        <v>18</v>
      </c>
      <c r="H313" s="9">
        <v>1</v>
      </c>
      <c r="I313" s="12" t="s">
        <v>755</v>
      </c>
      <c r="J313" s="13" t="s">
        <v>756</v>
      </c>
    </row>
    <row r="314" spans="1:10" ht="15" customHeight="1" x14ac:dyDescent="0.25">
      <c r="A314" s="9">
        <v>309</v>
      </c>
      <c r="B314" s="14" t="s">
        <v>348</v>
      </c>
      <c r="C314" s="15" t="s">
        <v>716</v>
      </c>
      <c r="D314" s="12" t="s">
        <v>717</v>
      </c>
      <c r="E314" s="12" t="s">
        <v>757</v>
      </c>
      <c r="F314" s="12" t="s">
        <v>713</v>
      </c>
      <c r="G314" s="9" t="s">
        <v>61</v>
      </c>
      <c r="H314" s="9">
        <v>1</v>
      </c>
      <c r="I314" s="12" t="s">
        <v>714</v>
      </c>
      <c r="J314" s="13" t="s">
        <v>758</v>
      </c>
    </row>
    <row r="315" spans="1:10" ht="15" customHeight="1" x14ac:dyDescent="0.25">
      <c r="A315" s="9">
        <v>310</v>
      </c>
      <c r="B315" s="14" t="s">
        <v>348</v>
      </c>
      <c r="C315" s="15" t="s">
        <v>716</v>
      </c>
      <c r="D315" s="12" t="s">
        <v>717</v>
      </c>
      <c r="E315" s="12" t="s">
        <v>757</v>
      </c>
      <c r="F315" s="12" t="s">
        <v>543</v>
      </c>
      <c r="G315" s="9" t="s">
        <v>61</v>
      </c>
      <c r="H315" s="9">
        <v>1</v>
      </c>
      <c r="I315" s="12" t="s">
        <v>544</v>
      </c>
      <c r="J315" s="13" t="s">
        <v>759</v>
      </c>
    </row>
    <row r="316" spans="1:10" ht="15" customHeight="1" x14ac:dyDescent="0.25">
      <c r="A316" s="9">
        <v>311</v>
      </c>
      <c r="B316" s="14" t="s">
        <v>348</v>
      </c>
      <c r="C316" s="15" t="s">
        <v>716</v>
      </c>
      <c r="D316" s="12" t="s">
        <v>717</v>
      </c>
      <c r="E316" s="12" t="s">
        <v>757</v>
      </c>
      <c r="F316" s="12" t="s">
        <v>760</v>
      </c>
      <c r="G316" s="9" t="s">
        <v>61</v>
      </c>
      <c r="H316" s="9">
        <v>1</v>
      </c>
      <c r="I316" s="12" t="s">
        <v>761</v>
      </c>
      <c r="J316" s="13" t="s">
        <v>762</v>
      </c>
    </row>
    <row r="317" spans="1:10" ht="15" customHeight="1" x14ac:dyDescent="0.25">
      <c r="A317" s="9">
        <v>312</v>
      </c>
      <c r="B317" s="14" t="s">
        <v>348</v>
      </c>
      <c r="C317" s="15" t="s">
        <v>763</v>
      </c>
      <c r="D317" s="12" t="s">
        <v>764</v>
      </c>
      <c r="E317" s="12" t="s">
        <v>765</v>
      </c>
      <c r="F317" s="12" t="s">
        <v>765</v>
      </c>
      <c r="G317" s="9" t="s">
        <v>18</v>
      </c>
      <c r="H317" s="9">
        <v>1</v>
      </c>
      <c r="I317" s="12" t="s">
        <v>766</v>
      </c>
      <c r="J317" s="13" t="s">
        <v>767</v>
      </c>
    </row>
    <row r="318" spans="1:10" ht="15" customHeight="1" x14ac:dyDescent="0.25">
      <c r="A318" s="9">
        <v>313</v>
      </c>
      <c r="B318" s="14" t="s">
        <v>348</v>
      </c>
      <c r="C318" s="15" t="s">
        <v>763</v>
      </c>
      <c r="D318" s="12" t="s">
        <v>764</v>
      </c>
      <c r="E318" s="12" t="s">
        <v>765</v>
      </c>
      <c r="F318" s="12" t="s">
        <v>768</v>
      </c>
      <c r="G318" s="9" t="s">
        <v>18</v>
      </c>
      <c r="H318" s="9">
        <v>1</v>
      </c>
      <c r="I318" s="12" t="s">
        <v>769</v>
      </c>
      <c r="J318" s="13" t="s">
        <v>770</v>
      </c>
    </row>
    <row r="319" spans="1:10" ht="15" customHeight="1" x14ac:dyDescent="0.25">
      <c r="A319" s="9">
        <v>314</v>
      </c>
      <c r="B319" s="14" t="s">
        <v>348</v>
      </c>
      <c r="C319" s="15" t="s">
        <v>763</v>
      </c>
      <c r="D319" s="12" t="s">
        <v>764</v>
      </c>
      <c r="E319" s="12" t="s">
        <v>765</v>
      </c>
      <c r="F319" s="12" t="s">
        <v>771</v>
      </c>
      <c r="G319" s="9" t="s">
        <v>18</v>
      </c>
      <c r="H319" s="9">
        <v>1</v>
      </c>
      <c r="I319" s="12" t="s">
        <v>772</v>
      </c>
      <c r="J319" s="13" t="s">
        <v>773</v>
      </c>
    </row>
    <row r="320" spans="1:10" ht="15" customHeight="1" x14ac:dyDescent="0.25">
      <c r="A320" s="9">
        <v>315</v>
      </c>
      <c r="B320" s="14" t="s">
        <v>348</v>
      </c>
      <c r="C320" s="15" t="s">
        <v>763</v>
      </c>
      <c r="D320" s="12" t="s">
        <v>764</v>
      </c>
      <c r="E320" s="12" t="s">
        <v>774</v>
      </c>
      <c r="F320" s="12" t="s">
        <v>775</v>
      </c>
      <c r="G320" s="9" t="s">
        <v>18</v>
      </c>
      <c r="H320" s="9">
        <v>1</v>
      </c>
      <c r="I320" s="12" t="s">
        <v>776</v>
      </c>
      <c r="J320" s="13" t="s">
        <v>777</v>
      </c>
    </row>
    <row r="321" spans="1:10" ht="15" customHeight="1" x14ac:dyDescent="0.25">
      <c r="A321" s="9">
        <v>316</v>
      </c>
      <c r="B321" s="14" t="s">
        <v>348</v>
      </c>
      <c r="C321" s="15" t="s">
        <v>763</v>
      </c>
      <c r="D321" s="12" t="s">
        <v>764</v>
      </c>
      <c r="E321" s="12" t="s">
        <v>774</v>
      </c>
      <c r="F321" s="12" t="s">
        <v>778</v>
      </c>
      <c r="G321" s="9" t="s">
        <v>18</v>
      </c>
      <c r="H321" s="9">
        <v>1</v>
      </c>
      <c r="I321" s="12" t="s">
        <v>779</v>
      </c>
      <c r="J321" s="13" t="s">
        <v>780</v>
      </c>
    </row>
    <row r="322" spans="1:10" ht="15" customHeight="1" x14ac:dyDescent="0.25">
      <c r="A322" s="9">
        <v>317</v>
      </c>
      <c r="B322" s="14" t="s">
        <v>348</v>
      </c>
      <c r="C322" s="15" t="s">
        <v>763</v>
      </c>
      <c r="D322" s="12" t="s">
        <v>764</v>
      </c>
      <c r="E322" s="12" t="s">
        <v>781</v>
      </c>
      <c r="F322" s="12" t="s">
        <v>782</v>
      </c>
      <c r="G322" s="9" t="s">
        <v>18</v>
      </c>
      <c r="H322" s="9">
        <v>1</v>
      </c>
      <c r="I322" s="12" t="s">
        <v>783</v>
      </c>
      <c r="J322" s="13" t="s">
        <v>784</v>
      </c>
    </row>
    <row r="323" spans="1:10" ht="15" customHeight="1" x14ac:dyDescent="0.25">
      <c r="A323" s="9">
        <v>318</v>
      </c>
      <c r="B323" s="14" t="s">
        <v>348</v>
      </c>
      <c r="C323" s="15" t="s">
        <v>763</v>
      </c>
      <c r="D323" s="12" t="s">
        <v>764</v>
      </c>
      <c r="E323" s="12" t="s">
        <v>781</v>
      </c>
      <c r="F323" s="12" t="s">
        <v>785</v>
      </c>
      <c r="G323" s="9" t="s">
        <v>18</v>
      </c>
      <c r="H323" s="9">
        <v>1</v>
      </c>
      <c r="I323" s="12" t="s">
        <v>786</v>
      </c>
      <c r="J323" s="13" t="s">
        <v>787</v>
      </c>
    </row>
    <row r="324" spans="1:10" ht="15" customHeight="1" x14ac:dyDescent="0.25">
      <c r="A324" s="9">
        <v>319</v>
      </c>
      <c r="B324" s="14" t="s">
        <v>348</v>
      </c>
      <c r="C324" s="15" t="s">
        <v>763</v>
      </c>
      <c r="D324" s="12" t="s">
        <v>764</v>
      </c>
      <c r="E324" s="12" t="s">
        <v>788</v>
      </c>
      <c r="F324" s="12" t="s">
        <v>789</v>
      </c>
      <c r="G324" s="9" t="s">
        <v>57</v>
      </c>
      <c r="H324" s="9">
        <v>1</v>
      </c>
      <c r="I324" s="12" t="s">
        <v>790</v>
      </c>
      <c r="J324" s="13" t="s">
        <v>791</v>
      </c>
    </row>
    <row r="325" spans="1:10" ht="15" customHeight="1" x14ac:dyDescent="0.25">
      <c r="A325" s="9">
        <v>320</v>
      </c>
      <c r="B325" s="14" t="s">
        <v>348</v>
      </c>
      <c r="C325" s="15" t="s">
        <v>763</v>
      </c>
      <c r="D325" s="12" t="s">
        <v>764</v>
      </c>
      <c r="E325" s="12" t="s">
        <v>788</v>
      </c>
      <c r="F325" s="12" t="s">
        <v>792</v>
      </c>
      <c r="G325" s="9" t="s">
        <v>61</v>
      </c>
      <c r="H325" s="9">
        <v>1</v>
      </c>
      <c r="I325" s="12" t="s">
        <v>793</v>
      </c>
      <c r="J325" s="13" t="s">
        <v>794</v>
      </c>
    </row>
    <row r="326" spans="1:10" ht="15" customHeight="1" x14ac:dyDescent="0.25">
      <c r="A326" s="9">
        <v>321</v>
      </c>
      <c r="B326" s="14" t="s">
        <v>348</v>
      </c>
      <c r="C326" s="15" t="s">
        <v>763</v>
      </c>
      <c r="D326" s="12" t="s">
        <v>764</v>
      </c>
      <c r="E326" s="12" t="s">
        <v>788</v>
      </c>
      <c r="F326" s="12" t="s">
        <v>795</v>
      </c>
      <c r="G326" s="9" t="s">
        <v>61</v>
      </c>
      <c r="H326" s="9">
        <v>1</v>
      </c>
      <c r="I326" s="12" t="s">
        <v>796</v>
      </c>
      <c r="J326" s="13" t="s">
        <v>797</v>
      </c>
    </row>
    <row r="327" spans="1:10" ht="15" customHeight="1" x14ac:dyDescent="0.25">
      <c r="A327" s="9">
        <v>322</v>
      </c>
      <c r="B327" s="14" t="s">
        <v>348</v>
      </c>
      <c r="C327" s="15" t="s">
        <v>763</v>
      </c>
      <c r="D327" s="12" t="s">
        <v>764</v>
      </c>
      <c r="E327" s="12" t="s">
        <v>788</v>
      </c>
      <c r="F327" s="12" t="s">
        <v>798</v>
      </c>
      <c r="G327" s="9" t="s">
        <v>18</v>
      </c>
      <c r="H327" s="9">
        <v>1</v>
      </c>
      <c r="I327" s="12" t="s">
        <v>799</v>
      </c>
      <c r="J327" s="13" t="s">
        <v>800</v>
      </c>
    </row>
    <row r="328" spans="1:10" ht="15" customHeight="1" x14ac:dyDescent="0.25">
      <c r="A328" s="9">
        <v>323</v>
      </c>
      <c r="B328" s="14" t="s">
        <v>348</v>
      </c>
      <c r="C328" s="15" t="s">
        <v>763</v>
      </c>
      <c r="D328" s="12" t="s">
        <v>764</v>
      </c>
      <c r="E328" s="12" t="s">
        <v>788</v>
      </c>
      <c r="F328" s="12" t="s">
        <v>801</v>
      </c>
      <c r="G328" s="9" t="s">
        <v>61</v>
      </c>
      <c r="H328" s="9">
        <v>1</v>
      </c>
      <c r="I328" s="12" t="s">
        <v>802</v>
      </c>
      <c r="J328" s="13" t="s">
        <v>803</v>
      </c>
    </row>
    <row r="329" spans="1:10" ht="15" customHeight="1" x14ac:dyDescent="0.25">
      <c r="A329" s="9">
        <v>324</v>
      </c>
      <c r="B329" s="14" t="s">
        <v>348</v>
      </c>
      <c r="C329" s="15" t="s">
        <v>804</v>
      </c>
      <c r="D329" s="12" t="s">
        <v>805</v>
      </c>
      <c r="E329" s="12" t="s">
        <v>806</v>
      </c>
      <c r="F329" s="12" t="s">
        <v>807</v>
      </c>
      <c r="G329" s="9" t="s">
        <v>808</v>
      </c>
      <c r="H329" s="9">
        <v>1</v>
      </c>
      <c r="I329" s="12" t="s">
        <v>809</v>
      </c>
      <c r="J329" s="13" t="s">
        <v>810</v>
      </c>
    </row>
    <row r="330" spans="1:10" ht="15" customHeight="1" x14ac:dyDescent="0.25">
      <c r="A330" s="9">
        <v>325</v>
      </c>
      <c r="B330" s="14" t="s">
        <v>348</v>
      </c>
      <c r="C330" s="15" t="s">
        <v>804</v>
      </c>
      <c r="D330" s="12" t="s">
        <v>805</v>
      </c>
      <c r="E330" s="12" t="s">
        <v>806</v>
      </c>
      <c r="F330" s="12" t="s">
        <v>710</v>
      </c>
      <c r="G330" s="9" t="s">
        <v>57</v>
      </c>
      <c r="H330" s="9">
        <v>1</v>
      </c>
      <c r="I330" s="12" t="s">
        <v>711</v>
      </c>
      <c r="J330" s="13" t="s">
        <v>811</v>
      </c>
    </row>
    <row r="331" spans="1:10" ht="15" customHeight="1" x14ac:dyDescent="0.25">
      <c r="A331" s="9">
        <v>326</v>
      </c>
      <c r="B331" s="14" t="s">
        <v>348</v>
      </c>
      <c r="C331" s="15" t="s">
        <v>804</v>
      </c>
      <c r="D331" s="12" t="s">
        <v>805</v>
      </c>
      <c r="E331" s="12" t="s">
        <v>806</v>
      </c>
      <c r="F331" s="12" t="s">
        <v>812</v>
      </c>
      <c r="G331" s="9" t="s">
        <v>61</v>
      </c>
      <c r="H331" s="9">
        <v>1</v>
      </c>
      <c r="I331" s="12" t="s">
        <v>813</v>
      </c>
      <c r="J331" s="13" t="s">
        <v>814</v>
      </c>
    </row>
    <row r="332" spans="1:10" ht="15" customHeight="1" x14ac:dyDescent="0.25">
      <c r="A332" s="9">
        <v>327</v>
      </c>
      <c r="B332" s="14" t="s">
        <v>348</v>
      </c>
      <c r="C332" s="15" t="s">
        <v>804</v>
      </c>
      <c r="D332" s="12" t="s">
        <v>805</v>
      </c>
      <c r="E332" s="12" t="s">
        <v>806</v>
      </c>
      <c r="F332" s="12" t="s">
        <v>815</v>
      </c>
      <c r="G332" s="9" t="s">
        <v>57</v>
      </c>
      <c r="H332" s="9">
        <v>1</v>
      </c>
      <c r="I332" s="12" t="s">
        <v>816</v>
      </c>
      <c r="J332" s="13" t="s">
        <v>817</v>
      </c>
    </row>
    <row r="333" spans="1:10" ht="15" customHeight="1" x14ac:dyDescent="0.25">
      <c r="A333" s="9">
        <v>328</v>
      </c>
      <c r="B333" s="14" t="s">
        <v>348</v>
      </c>
      <c r="C333" s="15" t="s">
        <v>804</v>
      </c>
      <c r="D333" s="12" t="s">
        <v>805</v>
      </c>
      <c r="E333" s="12" t="s">
        <v>806</v>
      </c>
      <c r="F333" s="12" t="s">
        <v>818</v>
      </c>
      <c r="G333" s="9" t="s">
        <v>61</v>
      </c>
      <c r="H333" s="9">
        <v>1</v>
      </c>
      <c r="I333" s="12" t="s">
        <v>819</v>
      </c>
      <c r="J333" s="13" t="s">
        <v>820</v>
      </c>
    </row>
    <row r="334" spans="1:10" ht="15" customHeight="1" x14ac:dyDescent="0.25">
      <c r="A334" s="9">
        <v>329</v>
      </c>
      <c r="B334" s="14" t="s">
        <v>348</v>
      </c>
      <c r="C334" s="15" t="s">
        <v>804</v>
      </c>
      <c r="D334" s="12" t="s">
        <v>805</v>
      </c>
      <c r="E334" s="12" t="s">
        <v>806</v>
      </c>
      <c r="F334" s="12" t="s">
        <v>821</v>
      </c>
      <c r="G334" s="9" t="s">
        <v>18</v>
      </c>
      <c r="H334" s="9">
        <v>1</v>
      </c>
      <c r="I334" s="12" t="s">
        <v>822</v>
      </c>
      <c r="J334" s="13" t="s">
        <v>823</v>
      </c>
    </row>
    <row r="335" spans="1:10" ht="15" customHeight="1" x14ac:dyDescent="0.25">
      <c r="A335" s="9">
        <v>330</v>
      </c>
      <c r="B335" s="14" t="s">
        <v>348</v>
      </c>
      <c r="C335" s="15" t="s">
        <v>804</v>
      </c>
      <c r="D335" s="12" t="s">
        <v>805</v>
      </c>
      <c r="E335" s="12" t="s">
        <v>806</v>
      </c>
      <c r="F335" s="12" t="s">
        <v>824</v>
      </c>
      <c r="G335" s="9" t="s">
        <v>57</v>
      </c>
      <c r="H335" s="9">
        <v>1</v>
      </c>
      <c r="I335" s="12" t="s">
        <v>825</v>
      </c>
      <c r="J335" s="13" t="s">
        <v>826</v>
      </c>
    </row>
    <row r="336" spans="1:10" ht="15" customHeight="1" x14ac:dyDescent="0.25">
      <c r="A336" s="9">
        <v>331</v>
      </c>
      <c r="B336" s="14" t="s">
        <v>348</v>
      </c>
      <c r="C336" s="15" t="s">
        <v>827</v>
      </c>
      <c r="D336" s="12" t="s">
        <v>805</v>
      </c>
      <c r="E336" s="12" t="s">
        <v>828</v>
      </c>
      <c r="F336" s="12" t="s">
        <v>829</v>
      </c>
      <c r="G336" s="9" t="s">
        <v>61</v>
      </c>
      <c r="H336" s="9">
        <v>1</v>
      </c>
      <c r="I336" s="12" t="s">
        <v>830</v>
      </c>
      <c r="J336" s="13" t="s">
        <v>831</v>
      </c>
    </row>
    <row r="337" spans="1:10" ht="15" customHeight="1" x14ac:dyDescent="0.25">
      <c r="A337" s="9">
        <v>332</v>
      </c>
      <c r="B337" s="14" t="s">
        <v>348</v>
      </c>
      <c r="C337" s="15" t="s">
        <v>827</v>
      </c>
      <c r="D337" s="12" t="s">
        <v>805</v>
      </c>
      <c r="E337" s="12" t="s">
        <v>828</v>
      </c>
      <c r="F337" s="12" t="s">
        <v>812</v>
      </c>
      <c r="G337" s="9" t="s">
        <v>61</v>
      </c>
      <c r="H337" s="9">
        <v>1</v>
      </c>
      <c r="I337" s="12" t="s">
        <v>813</v>
      </c>
      <c r="J337" s="13" t="s">
        <v>832</v>
      </c>
    </row>
    <row r="338" spans="1:10" ht="15" customHeight="1" x14ac:dyDescent="0.25">
      <c r="A338" s="9">
        <v>333</v>
      </c>
      <c r="B338" s="14" t="s">
        <v>348</v>
      </c>
      <c r="C338" s="15" t="s">
        <v>827</v>
      </c>
      <c r="D338" s="12" t="s">
        <v>805</v>
      </c>
      <c r="E338" s="12" t="s">
        <v>828</v>
      </c>
      <c r="F338" s="12" t="s">
        <v>833</v>
      </c>
      <c r="G338" s="9" t="s">
        <v>57</v>
      </c>
      <c r="H338" s="9">
        <v>1</v>
      </c>
      <c r="I338" s="12" t="s">
        <v>834</v>
      </c>
      <c r="J338" s="13" t="s">
        <v>835</v>
      </c>
    </row>
    <row r="339" spans="1:10" ht="15" customHeight="1" x14ac:dyDescent="0.25">
      <c r="A339" s="9">
        <v>334</v>
      </c>
      <c r="B339" s="14" t="s">
        <v>348</v>
      </c>
      <c r="C339" s="15" t="s">
        <v>836</v>
      </c>
      <c r="D339" s="12" t="s">
        <v>805</v>
      </c>
      <c r="E339" s="12" t="s">
        <v>837</v>
      </c>
      <c r="F339" s="12" t="s">
        <v>838</v>
      </c>
      <c r="G339" s="9" t="s">
        <v>61</v>
      </c>
      <c r="H339" s="9">
        <v>1</v>
      </c>
      <c r="I339" s="12" t="s">
        <v>839</v>
      </c>
      <c r="J339" s="13" t="s">
        <v>840</v>
      </c>
    </row>
    <row r="340" spans="1:10" ht="15" customHeight="1" x14ac:dyDescent="0.25">
      <c r="A340" s="9">
        <v>335</v>
      </c>
      <c r="B340" s="14" t="s">
        <v>348</v>
      </c>
      <c r="C340" s="15" t="s">
        <v>836</v>
      </c>
      <c r="D340" s="12" t="s">
        <v>805</v>
      </c>
      <c r="E340" s="12" t="s">
        <v>837</v>
      </c>
      <c r="F340" s="12" t="s">
        <v>841</v>
      </c>
      <c r="G340" s="9" t="s">
        <v>61</v>
      </c>
      <c r="H340" s="9">
        <v>1</v>
      </c>
      <c r="I340" s="12" t="s">
        <v>842</v>
      </c>
      <c r="J340" s="13" t="s">
        <v>843</v>
      </c>
    </row>
    <row r="341" spans="1:10" ht="15" customHeight="1" x14ac:dyDescent="0.25">
      <c r="A341" s="9">
        <v>336</v>
      </c>
      <c r="B341" s="14" t="s">
        <v>348</v>
      </c>
      <c r="C341" s="15" t="s">
        <v>836</v>
      </c>
      <c r="D341" s="12" t="s">
        <v>805</v>
      </c>
      <c r="E341" s="12" t="s">
        <v>837</v>
      </c>
      <c r="F341" s="12" t="s">
        <v>844</v>
      </c>
      <c r="G341" s="9" t="s">
        <v>35</v>
      </c>
      <c r="H341" s="9">
        <v>1</v>
      </c>
      <c r="I341" s="12" t="s">
        <v>845</v>
      </c>
      <c r="J341" s="13" t="s">
        <v>846</v>
      </c>
    </row>
    <row r="342" spans="1:10" ht="15" customHeight="1" x14ac:dyDescent="0.25">
      <c r="A342" s="9">
        <v>337</v>
      </c>
      <c r="B342" s="14" t="s">
        <v>348</v>
      </c>
      <c r="C342" s="15" t="s">
        <v>847</v>
      </c>
      <c r="D342" s="12" t="s">
        <v>805</v>
      </c>
      <c r="E342" s="12" t="s">
        <v>848</v>
      </c>
      <c r="F342" s="12" t="s">
        <v>848</v>
      </c>
      <c r="G342" s="9" t="s">
        <v>57</v>
      </c>
      <c r="H342" s="9">
        <v>1</v>
      </c>
      <c r="I342" s="12" t="s">
        <v>848</v>
      </c>
      <c r="J342" s="13" t="s">
        <v>849</v>
      </c>
    </row>
    <row r="343" spans="1:10" ht="15" customHeight="1" x14ac:dyDescent="0.25">
      <c r="A343" s="9">
        <v>338</v>
      </c>
      <c r="B343" s="14" t="s">
        <v>348</v>
      </c>
      <c r="C343" s="15" t="s">
        <v>847</v>
      </c>
      <c r="D343" s="12" t="s">
        <v>805</v>
      </c>
      <c r="E343" s="12" t="s">
        <v>848</v>
      </c>
      <c r="F343" s="12" t="s">
        <v>850</v>
      </c>
      <c r="G343" s="9" t="s">
        <v>18</v>
      </c>
      <c r="H343" s="9">
        <v>1</v>
      </c>
      <c r="I343" s="12" t="s">
        <v>851</v>
      </c>
      <c r="J343" s="13" t="s">
        <v>852</v>
      </c>
    </row>
    <row r="344" spans="1:10" ht="15" customHeight="1" x14ac:dyDescent="0.25">
      <c r="A344" s="9">
        <v>339</v>
      </c>
      <c r="B344" s="14" t="s">
        <v>348</v>
      </c>
      <c r="C344" s="15" t="s">
        <v>847</v>
      </c>
      <c r="D344" s="12" t="s">
        <v>805</v>
      </c>
      <c r="E344" s="12" t="s">
        <v>848</v>
      </c>
      <c r="F344" s="12" t="s">
        <v>853</v>
      </c>
      <c r="G344" s="9" t="s">
        <v>35</v>
      </c>
      <c r="H344" s="9">
        <v>1</v>
      </c>
      <c r="I344" s="12" t="s">
        <v>854</v>
      </c>
      <c r="J344" s="13" t="s">
        <v>855</v>
      </c>
    </row>
    <row r="345" spans="1:10" ht="15" customHeight="1" x14ac:dyDescent="0.25">
      <c r="A345" s="9">
        <v>340</v>
      </c>
      <c r="B345" s="14" t="s">
        <v>348</v>
      </c>
      <c r="C345" s="15" t="s">
        <v>847</v>
      </c>
      <c r="D345" s="12" t="s">
        <v>805</v>
      </c>
      <c r="E345" s="12" t="s">
        <v>848</v>
      </c>
      <c r="F345" s="12" t="s">
        <v>856</v>
      </c>
      <c r="G345" s="9" t="s">
        <v>57</v>
      </c>
      <c r="H345" s="9">
        <v>1</v>
      </c>
      <c r="I345" s="12" t="s">
        <v>857</v>
      </c>
      <c r="J345" s="13" t="s">
        <v>858</v>
      </c>
    </row>
    <row r="346" spans="1:10" ht="15" customHeight="1" x14ac:dyDescent="0.25">
      <c r="A346" s="9">
        <v>341</v>
      </c>
      <c r="B346" s="14" t="s">
        <v>348</v>
      </c>
      <c r="C346" s="15" t="s">
        <v>847</v>
      </c>
      <c r="D346" s="12" t="s">
        <v>805</v>
      </c>
      <c r="E346" s="12" t="s">
        <v>848</v>
      </c>
      <c r="F346" s="12" t="s">
        <v>859</v>
      </c>
      <c r="G346" s="9" t="s">
        <v>57</v>
      </c>
      <c r="H346" s="9">
        <v>1</v>
      </c>
      <c r="I346" s="12" t="s">
        <v>860</v>
      </c>
      <c r="J346" s="13" t="s">
        <v>861</v>
      </c>
    </row>
    <row r="347" spans="1:10" ht="15" customHeight="1" x14ac:dyDescent="0.25">
      <c r="A347" s="9">
        <v>342</v>
      </c>
      <c r="B347" s="14" t="s">
        <v>348</v>
      </c>
      <c r="C347" s="15" t="s">
        <v>847</v>
      </c>
      <c r="D347" s="12" t="s">
        <v>805</v>
      </c>
      <c r="E347" s="12" t="s">
        <v>848</v>
      </c>
      <c r="F347" s="12" t="s">
        <v>862</v>
      </c>
      <c r="G347" s="9" t="s">
        <v>57</v>
      </c>
      <c r="H347" s="9">
        <v>1</v>
      </c>
      <c r="I347" s="12" t="s">
        <v>863</v>
      </c>
      <c r="J347" s="13" t="s">
        <v>864</v>
      </c>
    </row>
    <row r="348" spans="1:10" ht="15" customHeight="1" x14ac:dyDescent="0.25">
      <c r="A348" s="9">
        <v>343</v>
      </c>
      <c r="B348" s="16" t="s">
        <v>865</v>
      </c>
      <c r="C348" s="17" t="s">
        <v>866</v>
      </c>
      <c r="D348" s="12" t="s">
        <v>867</v>
      </c>
      <c r="E348" s="12" t="s">
        <v>868</v>
      </c>
      <c r="F348" s="12" t="s">
        <v>869</v>
      </c>
      <c r="G348" s="9" t="s">
        <v>57</v>
      </c>
      <c r="H348" s="9">
        <v>1</v>
      </c>
      <c r="I348" s="12" t="s">
        <v>870</v>
      </c>
      <c r="J348" s="13" t="s">
        <v>871</v>
      </c>
    </row>
    <row r="349" spans="1:10" ht="15" customHeight="1" x14ac:dyDescent="0.25">
      <c r="A349" s="9">
        <v>344</v>
      </c>
      <c r="B349" s="16" t="s">
        <v>865</v>
      </c>
      <c r="C349" s="17" t="s">
        <v>866</v>
      </c>
      <c r="D349" s="12" t="s">
        <v>867</v>
      </c>
      <c r="E349" s="12" t="s">
        <v>868</v>
      </c>
      <c r="F349" s="12" t="s">
        <v>872</v>
      </c>
      <c r="G349" s="9" t="s">
        <v>57</v>
      </c>
      <c r="H349" s="9">
        <v>1</v>
      </c>
      <c r="I349" s="12" t="s">
        <v>873</v>
      </c>
      <c r="J349" s="13" t="s">
        <v>874</v>
      </c>
    </row>
    <row r="350" spans="1:10" ht="15" customHeight="1" x14ac:dyDescent="0.25">
      <c r="A350" s="9">
        <v>345</v>
      </c>
      <c r="B350" s="16" t="s">
        <v>865</v>
      </c>
      <c r="C350" s="17" t="s">
        <v>866</v>
      </c>
      <c r="D350" s="12" t="s">
        <v>867</v>
      </c>
      <c r="E350" s="12" t="s">
        <v>868</v>
      </c>
      <c r="F350" s="12" t="s">
        <v>875</v>
      </c>
      <c r="G350" s="9" t="s">
        <v>57</v>
      </c>
      <c r="H350" s="9">
        <v>1</v>
      </c>
      <c r="I350" s="12" t="s">
        <v>876</v>
      </c>
      <c r="J350" s="13" t="s">
        <v>877</v>
      </c>
    </row>
    <row r="351" spans="1:10" ht="15" customHeight="1" x14ac:dyDescent="0.25">
      <c r="A351" s="9">
        <v>346</v>
      </c>
      <c r="B351" s="16" t="s">
        <v>865</v>
      </c>
      <c r="C351" s="17" t="s">
        <v>866</v>
      </c>
      <c r="D351" s="12" t="s">
        <v>867</v>
      </c>
      <c r="E351" s="12" t="s">
        <v>868</v>
      </c>
      <c r="F351" s="12" t="s">
        <v>878</v>
      </c>
      <c r="G351" s="9" t="s">
        <v>57</v>
      </c>
      <c r="H351" s="9">
        <v>1</v>
      </c>
      <c r="I351" s="12" t="s">
        <v>879</v>
      </c>
      <c r="J351" s="13" t="s">
        <v>880</v>
      </c>
    </row>
    <row r="352" spans="1:10" ht="15" customHeight="1" x14ac:dyDescent="0.25">
      <c r="A352" s="9">
        <v>347</v>
      </c>
      <c r="B352" s="16" t="s">
        <v>865</v>
      </c>
      <c r="C352" s="17" t="s">
        <v>866</v>
      </c>
      <c r="D352" s="12" t="s">
        <v>867</v>
      </c>
      <c r="E352" s="12" t="s">
        <v>868</v>
      </c>
      <c r="F352" s="12" t="s">
        <v>881</v>
      </c>
      <c r="G352" s="9" t="s">
        <v>57</v>
      </c>
      <c r="H352" s="9">
        <v>1</v>
      </c>
      <c r="I352" s="12" t="s">
        <v>882</v>
      </c>
      <c r="J352" s="13" t="s">
        <v>883</v>
      </c>
    </row>
    <row r="353" spans="1:10" ht="15" customHeight="1" x14ac:dyDescent="0.25">
      <c r="A353" s="9">
        <v>348</v>
      </c>
      <c r="B353" s="16" t="s">
        <v>865</v>
      </c>
      <c r="C353" s="17" t="s">
        <v>866</v>
      </c>
      <c r="D353" s="12" t="s">
        <v>867</v>
      </c>
      <c r="E353" s="12" t="s">
        <v>868</v>
      </c>
      <c r="F353" s="12" t="s">
        <v>833</v>
      </c>
      <c r="G353" s="9" t="s">
        <v>57</v>
      </c>
      <c r="H353" s="9">
        <v>1</v>
      </c>
      <c r="I353" s="12" t="s">
        <v>834</v>
      </c>
      <c r="J353" s="13" t="s">
        <v>884</v>
      </c>
    </row>
    <row r="354" spans="1:10" ht="15" customHeight="1" x14ac:dyDescent="0.25">
      <c r="A354" s="9">
        <v>349</v>
      </c>
      <c r="B354" s="16" t="s">
        <v>865</v>
      </c>
      <c r="C354" s="17" t="s">
        <v>866</v>
      </c>
      <c r="D354" s="12" t="s">
        <v>867</v>
      </c>
      <c r="E354" s="12" t="s">
        <v>885</v>
      </c>
      <c r="F354" s="12" t="s">
        <v>886</v>
      </c>
      <c r="G354" s="9" t="s">
        <v>57</v>
      </c>
      <c r="H354" s="9">
        <v>1</v>
      </c>
      <c r="I354" s="12" t="s">
        <v>887</v>
      </c>
      <c r="J354" s="13" t="s">
        <v>888</v>
      </c>
    </row>
    <row r="355" spans="1:10" ht="15" customHeight="1" x14ac:dyDescent="0.25">
      <c r="A355" s="9">
        <v>350</v>
      </c>
      <c r="B355" s="16" t="s">
        <v>865</v>
      </c>
      <c r="C355" s="17" t="s">
        <v>866</v>
      </c>
      <c r="D355" s="12" t="s">
        <v>867</v>
      </c>
      <c r="E355" s="12" t="s">
        <v>885</v>
      </c>
      <c r="F355" s="12" t="s">
        <v>889</v>
      </c>
      <c r="G355" s="9" t="s">
        <v>57</v>
      </c>
      <c r="H355" s="9">
        <v>1</v>
      </c>
      <c r="I355" s="12" t="s">
        <v>890</v>
      </c>
      <c r="J355" s="13" t="s">
        <v>891</v>
      </c>
    </row>
    <row r="356" spans="1:10" ht="15" customHeight="1" x14ac:dyDescent="0.25">
      <c r="A356" s="9">
        <v>351</v>
      </c>
      <c r="B356" s="16" t="s">
        <v>865</v>
      </c>
      <c r="C356" s="17" t="s">
        <v>866</v>
      </c>
      <c r="D356" s="12" t="s">
        <v>867</v>
      </c>
      <c r="E356" s="12" t="s">
        <v>885</v>
      </c>
      <c r="F356" s="12" t="s">
        <v>892</v>
      </c>
      <c r="G356" s="9" t="s">
        <v>57</v>
      </c>
      <c r="H356" s="9">
        <v>1</v>
      </c>
      <c r="I356" s="12" t="s">
        <v>893</v>
      </c>
      <c r="J356" s="13" t="s">
        <v>894</v>
      </c>
    </row>
    <row r="357" spans="1:10" ht="15" customHeight="1" x14ac:dyDescent="0.25">
      <c r="A357" s="9">
        <v>352</v>
      </c>
      <c r="B357" s="16" t="s">
        <v>865</v>
      </c>
      <c r="C357" s="17" t="s">
        <v>866</v>
      </c>
      <c r="D357" s="12" t="s">
        <v>867</v>
      </c>
      <c r="E357" s="12" t="s">
        <v>885</v>
      </c>
      <c r="F357" s="12" t="s">
        <v>895</v>
      </c>
      <c r="G357" s="9" t="s">
        <v>57</v>
      </c>
      <c r="H357" s="9">
        <v>1</v>
      </c>
      <c r="I357" s="12" t="s">
        <v>896</v>
      </c>
      <c r="J357" s="13" t="s">
        <v>897</v>
      </c>
    </row>
    <row r="358" spans="1:10" ht="15" customHeight="1" x14ac:dyDescent="0.25">
      <c r="A358" s="9">
        <v>353</v>
      </c>
      <c r="B358" s="16" t="s">
        <v>865</v>
      </c>
      <c r="C358" s="17" t="s">
        <v>866</v>
      </c>
      <c r="D358" s="12" t="s">
        <v>867</v>
      </c>
      <c r="E358" s="12" t="s">
        <v>885</v>
      </c>
      <c r="F358" s="12" t="s">
        <v>898</v>
      </c>
      <c r="G358" s="9" t="s">
        <v>57</v>
      </c>
      <c r="H358" s="9">
        <v>1</v>
      </c>
      <c r="I358" s="12" t="s">
        <v>899</v>
      </c>
      <c r="J358" s="13" t="s">
        <v>900</v>
      </c>
    </row>
    <row r="359" spans="1:10" ht="15" customHeight="1" x14ac:dyDescent="0.25">
      <c r="A359" s="9">
        <v>354</v>
      </c>
      <c r="B359" s="16" t="s">
        <v>865</v>
      </c>
      <c r="C359" s="17" t="s">
        <v>866</v>
      </c>
      <c r="D359" s="12" t="s">
        <v>867</v>
      </c>
      <c r="E359" s="12" t="s">
        <v>885</v>
      </c>
      <c r="F359" s="12" t="s">
        <v>901</v>
      </c>
      <c r="G359" s="9" t="s">
        <v>57</v>
      </c>
      <c r="H359" s="9">
        <v>1</v>
      </c>
      <c r="I359" s="12" t="s">
        <v>902</v>
      </c>
      <c r="J359" s="13" t="s">
        <v>903</v>
      </c>
    </row>
    <row r="360" spans="1:10" ht="15" customHeight="1" x14ac:dyDescent="0.25">
      <c r="A360" s="9">
        <v>355</v>
      </c>
      <c r="B360" s="16" t="s">
        <v>865</v>
      </c>
      <c r="C360" s="17" t="s">
        <v>866</v>
      </c>
      <c r="D360" s="12" t="s">
        <v>867</v>
      </c>
      <c r="E360" s="12" t="s">
        <v>904</v>
      </c>
      <c r="F360" s="12" t="s">
        <v>905</v>
      </c>
      <c r="G360" s="9" t="s">
        <v>57</v>
      </c>
      <c r="H360" s="9">
        <v>1</v>
      </c>
      <c r="I360" s="12" t="s">
        <v>906</v>
      </c>
      <c r="J360" s="13" t="s">
        <v>907</v>
      </c>
    </row>
    <row r="361" spans="1:10" ht="15" customHeight="1" x14ac:dyDescent="0.25">
      <c r="A361" s="9">
        <v>356</v>
      </c>
      <c r="B361" s="16" t="s">
        <v>865</v>
      </c>
      <c r="C361" s="17" t="s">
        <v>866</v>
      </c>
      <c r="D361" s="12" t="s">
        <v>867</v>
      </c>
      <c r="E361" s="12" t="s">
        <v>904</v>
      </c>
      <c r="F361" s="12" t="s">
        <v>908</v>
      </c>
      <c r="G361" s="9" t="s">
        <v>57</v>
      </c>
      <c r="H361" s="9">
        <v>1</v>
      </c>
      <c r="I361" s="12" t="s">
        <v>909</v>
      </c>
      <c r="J361" s="13" t="s">
        <v>910</v>
      </c>
    </row>
    <row r="362" spans="1:10" ht="15" customHeight="1" x14ac:dyDescent="0.25">
      <c r="A362" s="9">
        <v>357</v>
      </c>
      <c r="B362" s="16" t="s">
        <v>865</v>
      </c>
      <c r="C362" s="17" t="s">
        <v>866</v>
      </c>
      <c r="D362" s="12" t="s">
        <v>867</v>
      </c>
      <c r="E362" s="12" t="s">
        <v>904</v>
      </c>
      <c r="F362" s="12" t="s">
        <v>911</v>
      </c>
      <c r="G362" s="9" t="s">
        <v>57</v>
      </c>
      <c r="H362" s="9">
        <v>1</v>
      </c>
      <c r="I362" s="12" t="s">
        <v>912</v>
      </c>
      <c r="J362" s="13" t="s">
        <v>913</v>
      </c>
    </row>
    <row r="363" spans="1:10" ht="15" customHeight="1" x14ac:dyDescent="0.25">
      <c r="A363" s="9">
        <v>358</v>
      </c>
      <c r="B363" s="16" t="s">
        <v>865</v>
      </c>
      <c r="C363" s="17" t="s">
        <v>866</v>
      </c>
      <c r="D363" s="12" t="s">
        <v>867</v>
      </c>
      <c r="E363" s="12" t="s">
        <v>904</v>
      </c>
      <c r="F363" s="12" t="s">
        <v>914</v>
      </c>
      <c r="G363" s="9" t="s">
        <v>57</v>
      </c>
      <c r="H363" s="9">
        <v>1</v>
      </c>
      <c r="I363" s="12" t="s">
        <v>915</v>
      </c>
      <c r="J363" s="13" t="s">
        <v>916</v>
      </c>
    </row>
    <row r="364" spans="1:10" ht="15" customHeight="1" x14ac:dyDescent="0.25">
      <c r="A364" s="9">
        <v>359</v>
      </c>
      <c r="B364" s="16" t="s">
        <v>865</v>
      </c>
      <c r="C364" s="17" t="s">
        <v>917</v>
      </c>
      <c r="D364" s="12" t="s">
        <v>918</v>
      </c>
      <c r="E364" s="12" t="s">
        <v>919</v>
      </c>
      <c r="F364" s="12" t="s">
        <v>920</v>
      </c>
      <c r="G364" s="9" t="s">
        <v>57</v>
      </c>
      <c r="H364" s="9">
        <v>1</v>
      </c>
      <c r="I364" s="12" t="s">
        <v>921</v>
      </c>
      <c r="J364" s="13" t="s">
        <v>922</v>
      </c>
    </row>
    <row r="365" spans="1:10" ht="15" customHeight="1" x14ac:dyDescent="0.25">
      <c r="A365" s="9">
        <v>360</v>
      </c>
      <c r="B365" s="16" t="s">
        <v>865</v>
      </c>
      <c r="C365" s="17" t="s">
        <v>917</v>
      </c>
      <c r="D365" s="12" t="s">
        <v>918</v>
      </c>
      <c r="E365" s="12" t="s">
        <v>919</v>
      </c>
      <c r="F365" s="12" t="s">
        <v>923</v>
      </c>
      <c r="G365" s="9" t="s">
        <v>57</v>
      </c>
      <c r="H365" s="9">
        <v>1</v>
      </c>
      <c r="I365" s="12" t="s">
        <v>924</v>
      </c>
      <c r="J365" s="13" t="s">
        <v>925</v>
      </c>
    </row>
    <row r="366" spans="1:10" ht="15" customHeight="1" x14ac:dyDescent="0.25">
      <c r="A366" s="9">
        <v>361</v>
      </c>
      <c r="B366" s="16" t="s">
        <v>865</v>
      </c>
      <c r="C366" s="17" t="s">
        <v>917</v>
      </c>
      <c r="D366" s="12" t="s">
        <v>918</v>
      </c>
      <c r="E366" s="12" t="s">
        <v>919</v>
      </c>
      <c r="F366" s="12" t="s">
        <v>926</v>
      </c>
      <c r="G366" s="9" t="s">
        <v>57</v>
      </c>
      <c r="H366" s="9">
        <v>1</v>
      </c>
      <c r="I366" s="12" t="s">
        <v>927</v>
      </c>
      <c r="J366" s="13" t="s">
        <v>928</v>
      </c>
    </row>
    <row r="367" spans="1:10" ht="15" customHeight="1" x14ac:dyDescent="0.25">
      <c r="A367" s="9">
        <v>362</v>
      </c>
      <c r="B367" s="16" t="s">
        <v>865</v>
      </c>
      <c r="C367" s="17" t="s">
        <v>917</v>
      </c>
      <c r="D367" s="12" t="s">
        <v>918</v>
      </c>
      <c r="E367" s="12" t="s">
        <v>929</v>
      </c>
      <c r="F367" s="12" t="s">
        <v>930</v>
      </c>
      <c r="G367" s="9" t="s">
        <v>57</v>
      </c>
      <c r="H367" s="9">
        <v>1</v>
      </c>
      <c r="I367" s="12" t="s">
        <v>931</v>
      </c>
      <c r="J367" s="13" t="s">
        <v>932</v>
      </c>
    </row>
    <row r="368" spans="1:10" ht="15" customHeight="1" x14ac:dyDescent="0.25">
      <c r="A368" s="9">
        <v>363</v>
      </c>
      <c r="B368" s="16" t="s">
        <v>865</v>
      </c>
      <c r="C368" s="17" t="s">
        <v>917</v>
      </c>
      <c r="D368" s="12" t="s">
        <v>918</v>
      </c>
      <c r="E368" s="12" t="s">
        <v>929</v>
      </c>
      <c r="F368" s="12" t="s">
        <v>933</v>
      </c>
      <c r="G368" s="9" t="s">
        <v>57</v>
      </c>
      <c r="H368" s="9">
        <v>1</v>
      </c>
      <c r="I368" s="12" t="s">
        <v>934</v>
      </c>
      <c r="J368" s="13" t="s">
        <v>935</v>
      </c>
    </row>
    <row r="369" spans="1:10" ht="15" customHeight="1" x14ac:dyDescent="0.25">
      <c r="A369" s="9">
        <v>364</v>
      </c>
      <c r="B369" s="16" t="s">
        <v>865</v>
      </c>
      <c r="C369" s="17" t="s">
        <v>917</v>
      </c>
      <c r="D369" s="12" t="s">
        <v>918</v>
      </c>
      <c r="E369" s="12" t="s">
        <v>929</v>
      </c>
      <c r="F369" s="12" t="s">
        <v>936</v>
      </c>
      <c r="G369" s="9" t="s">
        <v>57</v>
      </c>
      <c r="H369" s="9">
        <v>1</v>
      </c>
      <c r="I369" s="12" t="s">
        <v>937</v>
      </c>
      <c r="J369" s="13" t="s">
        <v>938</v>
      </c>
    </row>
    <row r="370" spans="1:10" ht="15" customHeight="1" x14ac:dyDescent="0.25">
      <c r="A370" s="9">
        <v>365</v>
      </c>
      <c r="B370" s="16" t="s">
        <v>865</v>
      </c>
      <c r="C370" s="17" t="s">
        <v>917</v>
      </c>
      <c r="D370" s="12" t="s">
        <v>918</v>
      </c>
      <c r="E370" s="12" t="s">
        <v>939</v>
      </c>
      <c r="F370" s="12" t="s">
        <v>940</v>
      </c>
      <c r="G370" s="9" t="s">
        <v>57</v>
      </c>
      <c r="H370" s="9">
        <v>1</v>
      </c>
      <c r="I370" s="12" t="s">
        <v>941</v>
      </c>
      <c r="J370" s="13" t="s">
        <v>942</v>
      </c>
    </row>
    <row r="371" spans="1:10" ht="15" customHeight="1" x14ac:dyDescent="0.25">
      <c r="A371" s="9">
        <v>366</v>
      </c>
      <c r="B371" s="16" t="s">
        <v>865</v>
      </c>
      <c r="C371" s="17" t="s">
        <v>917</v>
      </c>
      <c r="D371" s="12" t="s">
        <v>918</v>
      </c>
      <c r="E371" s="12" t="s">
        <v>939</v>
      </c>
      <c r="F371" s="12" t="s">
        <v>943</v>
      </c>
      <c r="G371" s="9" t="s">
        <v>57</v>
      </c>
      <c r="H371" s="9">
        <v>1</v>
      </c>
      <c r="I371" s="12" t="s">
        <v>944</v>
      </c>
      <c r="J371" s="13" t="s">
        <v>945</v>
      </c>
    </row>
    <row r="372" spans="1:10" ht="15" customHeight="1" x14ac:dyDescent="0.25">
      <c r="A372" s="9">
        <v>367</v>
      </c>
      <c r="B372" s="16" t="s">
        <v>865</v>
      </c>
      <c r="C372" s="17" t="s">
        <v>917</v>
      </c>
      <c r="D372" s="12" t="s">
        <v>918</v>
      </c>
      <c r="E372" s="12" t="s">
        <v>939</v>
      </c>
      <c r="F372" s="12" t="s">
        <v>946</v>
      </c>
      <c r="G372" s="9" t="s">
        <v>57</v>
      </c>
      <c r="H372" s="9">
        <v>1</v>
      </c>
      <c r="I372" s="12" t="s">
        <v>947</v>
      </c>
      <c r="J372" s="13" t="s">
        <v>948</v>
      </c>
    </row>
    <row r="373" spans="1:10" ht="15" customHeight="1" x14ac:dyDescent="0.25">
      <c r="A373" s="9">
        <v>368</v>
      </c>
      <c r="B373" s="16" t="s">
        <v>865</v>
      </c>
      <c r="C373" s="17" t="s">
        <v>917</v>
      </c>
      <c r="D373" s="12" t="s">
        <v>918</v>
      </c>
      <c r="E373" s="12" t="s">
        <v>939</v>
      </c>
      <c r="F373" s="12" t="s">
        <v>949</v>
      </c>
      <c r="G373" s="9" t="s">
        <v>57</v>
      </c>
      <c r="H373" s="9">
        <v>1</v>
      </c>
      <c r="I373" s="12" t="s">
        <v>950</v>
      </c>
      <c r="J373" s="13" t="s">
        <v>951</v>
      </c>
    </row>
    <row r="374" spans="1:10" ht="15" customHeight="1" x14ac:dyDescent="0.25">
      <c r="A374" s="9">
        <v>369</v>
      </c>
      <c r="B374" s="16" t="s">
        <v>865</v>
      </c>
      <c r="C374" s="17" t="s">
        <v>917</v>
      </c>
      <c r="D374" s="12" t="s">
        <v>918</v>
      </c>
      <c r="E374" s="12" t="s">
        <v>939</v>
      </c>
      <c r="F374" s="12" t="s">
        <v>952</v>
      </c>
      <c r="G374" s="9" t="s">
        <v>57</v>
      </c>
      <c r="H374" s="9">
        <v>1</v>
      </c>
      <c r="I374" s="12" t="s">
        <v>953</v>
      </c>
      <c r="J374" s="13" t="s">
        <v>954</v>
      </c>
    </row>
    <row r="375" spans="1:10" ht="15" customHeight="1" x14ac:dyDescent="0.25">
      <c r="A375" s="9">
        <v>370</v>
      </c>
      <c r="B375" s="16" t="s">
        <v>865</v>
      </c>
      <c r="C375" s="17" t="s">
        <v>917</v>
      </c>
      <c r="D375" s="12" t="s">
        <v>918</v>
      </c>
      <c r="E375" s="12" t="s">
        <v>955</v>
      </c>
      <c r="F375" s="12" t="s">
        <v>956</v>
      </c>
      <c r="G375" s="9" t="s">
        <v>61</v>
      </c>
      <c r="H375" s="9">
        <v>1</v>
      </c>
      <c r="I375" s="12" t="s">
        <v>957</v>
      </c>
      <c r="J375" s="13" t="s">
        <v>958</v>
      </c>
    </row>
    <row r="376" spans="1:10" ht="15" customHeight="1" x14ac:dyDescent="0.25">
      <c r="A376" s="9">
        <v>371</v>
      </c>
      <c r="B376" s="16" t="s">
        <v>865</v>
      </c>
      <c r="C376" s="17" t="s">
        <v>917</v>
      </c>
      <c r="D376" s="12" t="s">
        <v>918</v>
      </c>
      <c r="E376" s="12" t="s">
        <v>955</v>
      </c>
      <c r="F376" s="12" t="s">
        <v>959</v>
      </c>
      <c r="G376" s="9" t="s">
        <v>61</v>
      </c>
      <c r="H376" s="9">
        <v>1</v>
      </c>
      <c r="I376" s="12" t="s">
        <v>960</v>
      </c>
      <c r="J376" s="13" t="s">
        <v>961</v>
      </c>
    </row>
    <row r="377" spans="1:10" ht="15" customHeight="1" x14ac:dyDescent="0.25">
      <c r="A377" s="9">
        <v>372</v>
      </c>
      <c r="B377" s="16" t="s">
        <v>865</v>
      </c>
      <c r="C377" s="17" t="s">
        <v>917</v>
      </c>
      <c r="D377" s="12" t="s">
        <v>918</v>
      </c>
      <c r="E377" s="12" t="s">
        <v>955</v>
      </c>
      <c r="F377" s="12" t="s">
        <v>962</v>
      </c>
      <c r="G377" s="9" t="s">
        <v>61</v>
      </c>
      <c r="H377" s="9">
        <v>1</v>
      </c>
      <c r="I377" s="12" t="s">
        <v>963</v>
      </c>
      <c r="J377" s="13" t="s">
        <v>964</v>
      </c>
    </row>
    <row r="378" spans="1:10" ht="15" customHeight="1" x14ac:dyDescent="0.25">
      <c r="A378" s="9">
        <v>373</v>
      </c>
      <c r="B378" s="16" t="s">
        <v>865</v>
      </c>
      <c r="C378" s="17" t="s">
        <v>917</v>
      </c>
      <c r="D378" s="12" t="s">
        <v>918</v>
      </c>
      <c r="E378" s="12" t="s">
        <v>955</v>
      </c>
      <c r="F378" s="12" t="s">
        <v>965</v>
      </c>
      <c r="G378" s="9" t="s">
        <v>61</v>
      </c>
      <c r="H378" s="9">
        <v>1</v>
      </c>
      <c r="I378" s="12" t="s">
        <v>966</v>
      </c>
      <c r="J378" s="13" t="s">
        <v>967</v>
      </c>
    </row>
    <row r="379" spans="1:10" ht="15" customHeight="1" x14ac:dyDescent="0.25">
      <c r="A379" s="9">
        <v>374</v>
      </c>
      <c r="B379" s="16" t="s">
        <v>865</v>
      </c>
      <c r="C379" s="17" t="s">
        <v>917</v>
      </c>
      <c r="D379" s="12" t="s">
        <v>918</v>
      </c>
      <c r="E379" s="12" t="s">
        <v>955</v>
      </c>
      <c r="F379" s="12" t="s">
        <v>968</v>
      </c>
      <c r="G379" s="9" t="s">
        <v>57</v>
      </c>
      <c r="H379" s="9">
        <v>1</v>
      </c>
      <c r="I379" s="12" t="s">
        <v>969</v>
      </c>
      <c r="J379" s="13" t="s">
        <v>970</v>
      </c>
    </row>
    <row r="380" spans="1:10" ht="15" customHeight="1" x14ac:dyDescent="0.25">
      <c r="A380" s="9">
        <v>375</v>
      </c>
      <c r="B380" s="16" t="s">
        <v>865</v>
      </c>
      <c r="C380" s="17" t="s">
        <v>971</v>
      </c>
      <c r="D380" s="12" t="s">
        <v>972</v>
      </c>
      <c r="E380" s="12" t="s">
        <v>973</v>
      </c>
      <c r="F380" s="12" t="s">
        <v>974</v>
      </c>
      <c r="G380" s="9" t="s">
        <v>57</v>
      </c>
      <c r="H380" s="9">
        <v>1</v>
      </c>
      <c r="I380" s="12" t="s">
        <v>975</v>
      </c>
      <c r="J380" s="13" t="s">
        <v>976</v>
      </c>
    </row>
    <row r="381" spans="1:10" ht="15" customHeight="1" x14ac:dyDescent="0.25">
      <c r="A381" s="9">
        <v>376</v>
      </c>
      <c r="B381" s="16" t="s">
        <v>865</v>
      </c>
      <c r="C381" s="17" t="s">
        <v>971</v>
      </c>
      <c r="D381" s="12" t="s">
        <v>972</v>
      </c>
      <c r="E381" s="12" t="s">
        <v>973</v>
      </c>
      <c r="F381" s="12" t="s">
        <v>977</v>
      </c>
      <c r="G381" s="9" t="s">
        <v>57</v>
      </c>
      <c r="H381" s="9">
        <v>1</v>
      </c>
      <c r="I381" s="12" t="s">
        <v>978</v>
      </c>
      <c r="J381" s="13" t="s">
        <v>979</v>
      </c>
    </row>
    <row r="382" spans="1:10" ht="15" customHeight="1" x14ac:dyDescent="0.25">
      <c r="A382" s="9">
        <v>377</v>
      </c>
      <c r="B382" s="16" t="s">
        <v>865</v>
      </c>
      <c r="C382" s="17" t="s">
        <v>971</v>
      </c>
      <c r="D382" s="12" t="s">
        <v>972</v>
      </c>
      <c r="E382" s="12" t="s">
        <v>973</v>
      </c>
      <c r="F382" s="12" t="s">
        <v>980</v>
      </c>
      <c r="G382" s="9" t="s">
        <v>57</v>
      </c>
      <c r="H382" s="9">
        <v>1</v>
      </c>
      <c r="I382" s="12" t="s">
        <v>981</v>
      </c>
      <c r="J382" s="13" t="s">
        <v>982</v>
      </c>
    </row>
    <row r="383" spans="1:10" ht="15" customHeight="1" x14ac:dyDescent="0.25">
      <c r="A383" s="9">
        <v>378</v>
      </c>
      <c r="B383" s="16" t="s">
        <v>865</v>
      </c>
      <c r="C383" s="17" t="s">
        <v>971</v>
      </c>
      <c r="D383" s="12" t="s">
        <v>972</v>
      </c>
      <c r="E383" s="12" t="s">
        <v>973</v>
      </c>
      <c r="F383" s="12" t="s">
        <v>983</v>
      </c>
      <c r="G383" s="9" t="s">
        <v>57</v>
      </c>
      <c r="H383" s="9">
        <v>1</v>
      </c>
      <c r="I383" s="12" t="s">
        <v>984</v>
      </c>
      <c r="J383" s="13" t="s">
        <v>985</v>
      </c>
    </row>
    <row r="384" spans="1:10" ht="15" customHeight="1" x14ac:dyDescent="0.25">
      <c r="A384" s="9">
        <v>379</v>
      </c>
      <c r="B384" s="16" t="s">
        <v>865</v>
      </c>
      <c r="C384" s="17" t="s">
        <v>971</v>
      </c>
      <c r="D384" s="12" t="s">
        <v>972</v>
      </c>
      <c r="E384" s="12" t="s">
        <v>973</v>
      </c>
      <c r="F384" s="12" t="s">
        <v>986</v>
      </c>
      <c r="G384" s="9" t="s">
        <v>57</v>
      </c>
      <c r="H384" s="9">
        <v>1</v>
      </c>
      <c r="I384" s="12" t="s">
        <v>987</v>
      </c>
      <c r="J384" s="13" t="s">
        <v>988</v>
      </c>
    </row>
    <row r="385" spans="1:10" ht="15" customHeight="1" x14ac:dyDescent="0.25">
      <c r="A385" s="9">
        <v>380</v>
      </c>
      <c r="B385" s="16" t="s">
        <v>865</v>
      </c>
      <c r="C385" s="17" t="s">
        <v>971</v>
      </c>
      <c r="D385" s="12" t="s">
        <v>972</v>
      </c>
      <c r="E385" s="12" t="s">
        <v>989</v>
      </c>
      <c r="F385" s="12" t="s">
        <v>990</v>
      </c>
      <c r="G385" s="9" t="s">
        <v>57</v>
      </c>
      <c r="H385" s="9">
        <v>1</v>
      </c>
      <c r="I385" s="12" t="s">
        <v>991</v>
      </c>
      <c r="J385" s="13" t="s">
        <v>992</v>
      </c>
    </row>
    <row r="386" spans="1:10" ht="15" customHeight="1" x14ac:dyDescent="0.25">
      <c r="A386" s="9">
        <v>381</v>
      </c>
      <c r="B386" s="16" t="s">
        <v>865</v>
      </c>
      <c r="C386" s="17" t="s">
        <v>971</v>
      </c>
      <c r="D386" s="12" t="s">
        <v>972</v>
      </c>
      <c r="E386" s="12" t="s">
        <v>989</v>
      </c>
      <c r="F386" s="12" t="s">
        <v>993</v>
      </c>
      <c r="G386" s="9" t="s">
        <v>57</v>
      </c>
      <c r="H386" s="9">
        <v>1</v>
      </c>
      <c r="I386" s="12" t="s">
        <v>994</v>
      </c>
      <c r="J386" s="13" t="s">
        <v>995</v>
      </c>
    </row>
    <row r="387" spans="1:10" ht="15" customHeight="1" x14ac:dyDescent="0.25">
      <c r="A387" s="9">
        <v>382</v>
      </c>
      <c r="B387" s="16" t="s">
        <v>865</v>
      </c>
      <c r="C387" s="17" t="s">
        <v>971</v>
      </c>
      <c r="D387" s="12" t="s">
        <v>972</v>
      </c>
      <c r="E387" s="12" t="s">
        <v>989</v>
      </c>
      <c r="F387" s="12" t="s">
        <v>996</v>
      </c>
      <c r="G387" s="9" t="s">
        <v>57</v>
      </c>
      <c r="H387" s="9">
        <v>1</v>
      </c>
      <c r="I387" s="12" t="s">
        <v>997</v>
      </c>
      <c r="J387" s="13" t="s">
        <v>998</v>
      </c>
    </row>
    <row r="388" spans="1:10" ht="15" customHeight="1" x14ac:dyDescent="0.25">
      <c r="A388" s="9">
        <v>383</v>
      </c>
      <c r="B388" s="16" t="s">
        <v>865</v>
      </c>
      <c r="C388" s="17" t="s">
        <v>999</v>
      </c>
      <c r="D388" s="12" t="s">
        <v>1000</v>
      </c>
      <c r="E388" s="12" t="s">
        <v>1001</v>
      </c>
      <c r="F388" s="12" t="s">
        <v>1002</v>
      </c>
      <c r="G388" s="9" t="s">
        <v>53</v>
      </c>
      <c r="H388" s="9">
        <v>1</v>
      </c>
      <c r="I388" s="12" t="s">
        <v>1003</v>
      </c>
      <c r="J388" s="13" t="s">
        <v>1004</v>
      </c>
    </row>
    <row r="389" spans="1:10" ht="15" customHeight="1" x14ac:dyDescent="0.25">
      <c r="A389" s="9">
        <v>384</v>
      </c>
      <c r="B389" s="16" t="s">
        <v>865</v>
      </c>
      <c r="C389" s="17" t="s">
        <v>999</v>
      </c>
      <c r="D389" s="12" t="s">
        <v>1000</v>
      </c>
      <c r="E389" s="12" t="s">
        <v>1001</v>
      </c>
      <c r="F389" s="12" t="s">
        <v>1005</v>
      </c>
      <c r="G389" s="9" t="s">
        <v>61</v>
      </c>
      <c r="H389" s="9">
        <v>1</v>
      </c>
      <c r="I389" s="12" t="s">
        <v>1006</v>
      </c>
      <c r="J389" s="13" t="s">
        <v>1007</v>
      </c>
    </row>
    <row r="390" spans="1:10" ht="15" customHeight="1" x14ac:dyDescent="0.25">
      <c r="A390" s="9">
        <v>385</v>
      </c>
      <c r="B390" s="16" t="s">
        <v>865</v>
      </c>
      <c r="C390" s="17" t="s">
        <v>999</v>
      </c>
      <c r="D390" s="12" t="s">
        <v>1000</v>
      </c>
      <c r="E390" s="12" t="s">
        <v>1001</v>
      </c>
      <c r="F390" s="12" t="s">
        <v>1008</v>
      </c>
      <c r="G390" s="9" t="s">
        <v>18</v>
      </c>
      <c r="H390" s="9">
        <v>1</v>
      </c>
      <c r="I390" s="12" t="s">
        <v>1009</v>
      </c>
      <c r="J390" s="13" t="s">
        <v>1010</v>
      </c>
    </row>
    <row r="391" spans="1:10" ht="15" customHeight="1" x14ac:dyDescent="0.25">
      <c r="A391" s="9">
        <v>386</v>
      </c>
      <c r="B391" s="16" t="s">
        <v>865</v>
      </c>
      <c r="C391" s="17" t="s">
        <v>999</v>
      </c>
      <c r="D391" s="12" t="s">
        <v>1000</v>
      </c>
      <c r="E391" s="12" t="s">
        <v>1001</v>
      </c>
      <c r="F391" s="12" t="s">
        <v>1011</v>
      </c>
      <c r="G391" s="9" t="s">
        <v>35</v>
      </c>
      <c r="H391" s="9">
        <v>1</v>
      </c>
      <c r="I391" s="12" t="s">
        <v>1012</v>
      </c>
      <c r="J391" s="13" t="s">
        <v>1013</v>
      </c>
    </row>
    <row r="392" spans="1:10" ht="15" customHeight="1" x14ac:dyDescent="0.25">
      <c r="A392" s="9">
        <v>387</v>
      </c>
      <c r="B392" s="16" t="s">
        <v>865</v>
      </c>
      <c r="C392" s="17" t="s">
        <v>999</v>
      </c>
      <c r="D392" s="12" t="s">
        <v>1000</v>
      </c>
      <c r="E392" s="12" t="s">
        <v>1014</v>
      </c>
      <c r="F392" s="12" t="s">
        <v>1015</v>
      </c>
      <c r="G392" s="9" t="s">
        <v>57</v>
      </c>
      <c r="H392" s="9">
        <v>1</v>
      </c>
      <c r="I392" s="12" t="s">
        <v>1016</v>
      </c>
      <c r="J392" s="13" t="s">
        <v>1017</v>
      </c>
    </row>
    <row r="393" spans="1:10" ht="15" customHeight="1" x14ac:dyDescent="0.25">
      <c r="A393" s="9">
        <v>388</v>
      </c>
      <c r="B393" s="16" t="s">
        <v>865</v>
      </c>
      <c r="C393" s="17" t="s">
        <v>999</v>
      </c>
      <c r="D393" s="12" t="s">
        <v>1000</v>
      </c>
      <c r="E393" s="12" t="s">
        <v>1014</v>
      </c>
      <c r="F393" s="12" t="s">
        <v>1018</v>
      </c>
      <c r="G393" s="9" t="s">
        <v>57</v>
      </c>
      <c r="H393" s="9">
        <v>1</v>
      </c>
      <c r="I393" s="12" t="s">
        <v>1019</v>
      </c>
      <c r="J393" s="13" t="s">
        <v>1020</v>
      </c>
    </row>
    <row r="394" spans="1:10" ht="15" customHeight="1" x14ac:dyDescent="0.25">
      <c r="A394" s="9">
        <v>389</v>
      </c>
      <c r="B394" s="16" t="s">
        <v>865</v>
      </c>
      <c r="C394" s="17" t="s">
        <v>999</v>
      </c>
      <c r="D394" s="12" t="s">
        <v>1000</v>
      </c>
      <c r="E394" s="12" t="s">
        <v>1014</v>
      </c>
      <c r="F394" s="12" t="s">
        <v>1021</v>
      </c>
      <c r="G394" s="9" t="s">
        <v>57</v>
      </c>
      <c r="H394" s="9">
        <v>1</v>
      </c>
      <c r="I394" s="12" t="s">
        <v>1022</v>
      </c>
      <c r="J394" s="13" t="s">
        <v>1023</v>
      </c>
    </row>
    <row r="395" spans="1:10" ht="15" customHeight="1" x14ac:dyDescent="0.25">
      <c r="A395" s="9">
        <v>390</v>
      </c>
      <c r="B395" s="16" t="s">
        <v>865</v>
      </c>
      <c r="C395" s="17" t="s">
        <v>999</v>
      </c>
      <c r="D395" s="12" t="s">
        <v>1000</v>
      </c>
      <c r="E395" s="12" t="s">
        <v>1014</v>
      </c>
      <c r="F395" s="12" t="s">
        <v>1024</v>
      </c>
      <c r="G395" s="9" t="s">
        <v>57</v>
      </c>
      <c r="H395" s="9">
        <v>1</v>
      </c>
      <c r="I395" s="12" t="s">
        <v>1025</v>
      </c>
      <c r="J395" s="13" t="s">
        <v>1026</v>
      </c>
    </row>
    <row r="396" spans="1:10" ht="15" customHeight="1" x14ac:dyDescent="0.25">
      <c r="A396" s="9">
        <v>391</v>
      </c>
      <c r="B396" s="16" t="s">
        <v>865</v>
      </c>
      <c r="C396" s="17" t="s">
        <v>999</v>
      </c>
      <c r="D396" s="12" t="s">
        <v>1000</v>
      </c>
      <c r="E396" s="12" t="s">
        <v>1027</v>
      </c>
      <c r="F396" s="12" t="s">
        <v>1028</v>
      </c>
      <c r="G396" s="9" t="s">
        <v>57</v>
      </c>
      <c r="H396" s="9">
        <v>1</v>
      </c>
      <c r="I396" s="12" t="s">
        <v>1029</v>
      </c>
      <c r="J396" s="13" t="s">
        <v>1030</v>
      </c>
    </row>
    <row r="397" spans="1:10" ht="15" customHeight="1" x14ac:dyDescent="0.25">
      <c r="A397" s="9">
        <v>392</v>
      </c>
      <c r="B397" s="16" t="s">
        <v>865</v>
      </c>
      <c r="C397" s="17" t="s">
        <v>999</v>
      </c>
      <c r="D397" s="12" t="s">
        <v>1000</v>
      </c>
      <c r="E397" s="12" t="s">
        <v>1027</v>
      </c>
      <c r="F397" s="12" t="s">
        <v>1031</v>
      </c>
      <c r="G397" s="9" t="s">
        <v>57</v>
      </c>
      <c r="H397" s="9">
        <v>1</v>
      </c>
      <c r="I397" s="12" t="s">
        <v>1032</v>
      </c>
      <c r="J397" s="13" t="s">
        <v>1033</v>
      </c>
    </row>
    <row r="398" spans="1:10" ht="15" customHeight="1" x14ac:dyDescent="0.25">
      <c r="A398" s="9">
        <v>393</v>
      </c>
      <c r="B398" s="16" t="s">
        <v>865</v>
      </c>
      <c r="C398" s="17" t="s">
        <v>999</v>
      </c>
      <c r="D398" s="12" t="s">
        <v>1000</v>
      </c>
      <c r="E398" s="12" t="s">
        <v>1027</v>
      </c>
      <c r="F398" s="12" t="s">
        <v>1034</v>
      </c>
      <c r="G398" s="9" t="s">
        <v>57</v>
      </c>
      <c r="H398" s="9">
        <v>1</v>
      </c>
      <c r="I398" s="12" t="s">
        <v>1035</v>
      </c>
      <c r="J398" s="13" t="s">
        <v>1036</v>
      </c>
    </row>
    <row r="399" spans="1:10" ht="15" customHeight="1" x14ac:dyDescent="0.25">
      <c r="A399" s="9">
        <v>394</v>
      </c>
      <c r="B399" s="16" t="s">
        <v>865</v>
      </c>
      <c r="C399" s="17" t="s">
        <v>999</v>
      </c>
      <c r="D399" s="12" t="s">
        <v>1000</v>
      </c>
      <c r="E399" s="12" t="s">
        <v>1027</v>
      </c>
      <c r="F399" s="12" t="s">
        <v>1037</v>
      </c>
      <c r="G399" s="9" t="s">
        <v>35</v>
      </c>
      <c r="H399" s="9">
        <v>1</v>
      </c>
      <c r="I399" s="12" t="s">
        <v>1038</v>
      </c>
      <c r="J399" s="13" t="s">
        <v>1039</v>
      </c>
    </row>
    <row r="400" spans="1:10" ht="15" customHeight="1" x14ac:dyDescent="0.25">
      <c r="A400" s="9">
        <v>395</v>
      </c>
      <c r="B400" s="16" t="s">
        <v>865</v>
      </c>
      <c r="C400" s="17" t="s">
        <v>1040</v>
      </c>
      <c r="D400" s="12" t="s">
        <v>1041</v>
      </c>
      <c r="E400" s="12" t="s">
        <v>1042</v>
      </c>
      <c r="F400" s="12" t="s">
        <v>1043</v>
      </c>
      <c r="G400" s="9" t="s">
        <v>57</v>
      </c>
      <c r="H400" s="9">
        <v>1</v>
      </c>
      <c r="I400" s="12" t="s">
        <v>1044</v>
      </c>
      <c r="J400" s="13" t="s">
        <v>1045</v>
      </c>
    </row>
    <row r="401" spans="1:10" ht="15" customHeight="1" x14ac:dyDescent="0.25">
      <c r="A401" s="9">
        <v>396</v>
      </c>
      <c r="B401" s="16" t="s">
        <v>865</v>
      </c>
      <c r="C401" s="17" t="s">
        <v>1040</v>
      </c>
      <c r="D401" s="12" t="s">
        <v>1041</v>
      </c>
      <c r="E401" s="12" t="s">
        <v>1042</v>
      </c>
      <c r="F401" s="12" t="s">
        <v>1046</v>
      </c>
      <c r="G401" s="9" t="s">
        <v>57</v>
      </c>
      <c r="H401" s="9">
        <v>1</v>
      </c>
      <c r="I401" s="12" t="s">
        <v>1047</v>
      </c>
      <c r="J401" s="13" t="s">
        <v>1048</v>
      </c>
    </row>
    <row r="402" spans="1:10" ht="15" customHeight="1" x14ac:dyDescent="0.25">
      <c r="A402" s="9">
        <v>397</v>
      </c>
      <c r="B402" s="16" t="s">
        <v>865</v>
      </c>
      <c r="C402" s="17" t="s">
        <v>1040</v>
      </c>
      <c r="D402" s="12" t="s">
        <v>1041</v>
      </c>
      <c r="E402" s="12" t="s">
        <v>1042</v>
      </c>
      <c r="F402" s="12" t="s">
        <v>1049</v>
      </c>
      <c r="G402" s="9" t="s">
        <v>61</v>
      </c>
      <c r="H402" s="9">
        <v>1</v>
      </c>
      <c r="I402" s="12" t="s">
        <v>1050</v>
      </c>
      <c r="J402" s="13" t="s">
        <v>1051</v>
      </c>
    </row>
    <row r="403" spans="1:10" ht="15" customHeight="1" x14ac:dyDescent="0.25">
      <c r="A403" s="9">
        <v>398</v>
      </c>
      <c r="B403" s="16" t="s">
        <v>865</v>
      </c>
      <c r="C403" s="17" t="s">
        <v>1040</v>
      </c>
      <c r="D403" s="12" t="s">
        <v>1041</v>
      </c>
      <c r="E403" s="12" t="s">
        <v>1042</v>
      </c>
      <c r="F403" s="12" t="s">
        <v>1052</v>
      </c>
      <c r="G403" s="9" t="s">
        <v>57</v>
      </c>
      <c r="H403" s="9">
        <v>1</v>
      </c>
      <c r="I403" s="12" t="s">
        <v>1053</v>
      </c>
      <c r="J403" s="13" t="s">
        <v>1054</v>
      </c>
    </row>
    <row r="404" spans="1:10" ht="15" customHeight="1" x14ac:dyDescent="0.25">
      <c r="A404" s="9">
        <v>399</v>
      </c>
      <c r="B404" s="16" t="s">
        <v>865</v>
      </c>
      <c r="C404" s="17" t="s">
        <v>1040</v>
      </c>
      <c r="D404" s="12" t="s">
        <v>1041</v>
      </c>
      <c r="E404" s="12" t="s">
        <v>1042</v>
      </c>
      <c r="F404" s="12" t="s">
        <v>1055</v>
      </c>
      <c r="G404" s="9" t="s">
        <v>57</v>
      </c>
      <c r="H404" s="9">
        <v>1</v>
      </c>
      <c r="I404" s="12" t="s">
        <v>1056</v>
      </c>
      <c r="J404" s="13" t="s">
        <v>1057</v>
      </c>
    </row>
    <row r="405" spans="1:10" ht="15" customHeight="1" x14ac:dyDescent="0.25">
      <c r="A405" s="9">
        <v>400</v>
      </c>
      <c r="B405" s="16" t="s">
        <v>865</v>
      </c>
      <c r="C405" s="17" t="s">
        <v>1040</v>
      </c>
      <c r="D405" s="12" t="s">
        <v>1041</v>
      </c>
      <c r="E405" s="12" t="s">
        <v>1042</v>
      </c>
      <c r="F405" s="12" t="s">
        <v>1058</v>
      </c>
      <c r="G405" s="9" t="s">
        <v>57</v>
      </c>
      <c r="H405" s="9">
        <v>1</v>
      </c>
      <c r="I405" s="12" t="s">
        <v>1059</v>
      </c>
      <c r="J405" s="13" t="s">
        <v>1060</v>
      </c>
    </row>
    <row r="406" spans="1:10" ht="15" customHeight="1" x14ac:dyDescent="0.25">
      <c r="A406" s="9">
        <v>401</v>
      </c>
      <c r="B406" s="16" t="s">
        <v>865</v>
      </c>
      <c r="C406" s="17" t="s">
        <v>1040</v>
      </c>
      <c r="D406" s="12" t="s">
        <v>1041</v>
      </c>
      <c r="E406" s="12" t="s">
        <v>1061</v>
      </c>
      <c r="F406" s="12" t="s">
        <v>1062</v>
      </c>
      <c r="G406" s="9" t="s">
        <v>61</v>
      </c>
      <c r="H406" s="9">
        <v>1</v>
      </c>
      <c r="I406" s="12" t="s">
        <v>1063</v>
      </c>
      <c r="J406" s="13" t="s">
        <v>1064</v>
      </c>
    </row>
    <row r="407" spans="1:10" ht="15" customHeight="1" x14ac:dyDescent="0.25">
      <c r="A407" s="9">
        <v>402</v>
      </c>
      <c r="B407" s="16" t="s">
        <v>865</v>
      </c>
      <c r="C407" s="17" t="s">
        <v>1040</v>
      </c>
      <c r="D407" s="12" t="s">
        <v>1041</v>
      </c>
      <c r="E407" s="12" t="s">
        <v>1061</v>
      </c>
      <c r="F407" s="12" t="s">
        <v>1065</v>
      </c>
      <c r="G407" s="9" t="s">
        <v>61</v>
      </c>
      <c r="H407" s="9">
        <v>1</v>
      </c>
      <c r="I407" s="12" t="s">
        <v>1066</v>
      </c>
      <c r="J407" s="13" t="s">
        <v>1067</v>
      </c>
    </row>
    <row r="408" spans="1:10" ht="15" customHeight="1" x14ac:dyDescent="0.25">
      <c r="A408" s="9">
        <v>403</v>
      </c>
      <c r="B408" s="16" t="s">
        <v>865</v>
      </c>
      <c r="C408" s="17" t="s">
        <v>1040</v>
      </c>
      <c r="D408" s="12" t="s">
        <v>1041</v>
      </c>
      <c r="E408" s="12" t="s">
        <v>1061</v>
      </c>
      <c r="F408" s="12" t="s">
        <v>1068</v>
      </c>
      <c r="G408" s="9" t="s">
        <v>61</v>
      </c>
      <c r="H408" s="9">
        <v>1</v>
      </c>
      <c r="I408" s="12" t="s">
        <v>1069</v>
      </c>
      <c r="J408" s="13" t="s">
        <v>1070</v>
      </c>
    </row>
    <row r="409" spans="1:10" ht="15" customHeight="1" x14ac:dyDescent="0.25">
      <c r="A409" s="9">
        <v>404</v>
      </c>
      <c r="B409" s="16" t="s">
        <v>865</v>
      </c>
      <c r="C409" s="17" t="s">
        <v>1040</v>
      </c>
      <c r="D409" s="12" t="s">
        <v>1041</v>
      </c>
      <c r="E409" s="12" t="s">
        <v>1061</v>
      </c>
      <c r="F409" s="12" t="s">
        <v>1071</v>
      </c>
      <c r="G409" s="9" t="s">
        <v>61</v>
      </c>
      <c r="H409" s="9">
        <v>1</v>
      </c>
      <c r="I409" s="12" t="s">
        <v>1072</v>
      </c>
      <c r="J409" s="13" t="s">
        <v>1073</v>
      </c>
    </row>
    <row r="410" spans="1:10" ht="15" customHeight="1" x14ac:dyDescent="0.25">
      <c r="A410" s="9">
        <v>405</v>
      </c>
      <c r="B410" s="16" t="s">
        <v>865</v>
      </c>
      <c r="C410" s="17" t="s">
        <v>1040</v>
      </c>
      <c r="D410" s="12" t="s">
        <v>1041</v>
      </c>
      <c r="E410" s="12" t="s">
        <v>1061</v>
      </c>
      <c r="F410" s="12" t="s">
        <v>1074</v>
      </c>
      <c r="G410" s="9" t="s">
        <v>61</v>
      </c>
      <c r="H410" s="9">
        <v>1</v>
      </c>
      <c r="I410" s="12" t="s">
        <v>1075</v>
      </c>
      <c r="J410" s="13" t="s">
        <v>1076</v>
      </c>
    </row>
    <row r="411" spans="1:10" ht="15" customHeight="1" x14ac:dyDescent="0.25">
      <c r="A411" s="9">
        <v>406</v>
      </c>
      <c r="B411" s="16" t="s">
        <v>865</v>
      </c>
      <c r="C411" s="17" t="s">
        <v>1040</v>
      </c>
      <c r="D411" s="12" t="s">
        <v>1041</v>
      </c>
      <c r="E411" s="12" t="s">
        <v>1061</v>
      </c>
      <c r="F411" s="12" t="s">
        <v>1077</v>
      </c>
      <c r="G411" s="9" t="s">
        <v>61</v>
      </c>
      <c r="H411" s="9">
        <v>1</v>
      </c>
      <c r="I411" s="12" t="s">
        <v>1078</v>
      </c>
      <c r="J411" s="13" t="s">
        <v>1079</v>
      </c>
    </row>
    <row r="412" spans="1:10" ht="15" customHeight="1" x14ac:dyDescent="0.25">
      <c r="A412" s="9">
        <v>407</v>
      </c>
      <c r="B412" s="16" t="s">
        <v>865</v>
      </c>
      <c r="C412" s="17" t="s">
        <v>1040</v>
      </c>
      <c r="D412" s="12" t="s">
        <v>1041</v>
      </c>
      <c r="E412" s="12" t="s">
        <v>1080</v>
      </c>
      <c r="F412" s="12" t="s">
        <v>1081</v>
      </c>
      <c r="G412" s="9" t="s">
        <v>1082</v>
      </c>
      <c r="H412" s="9">
        <v>1</v>
      </c>
      <c r="I412" s="12" t="s">
        <v>1083</v>
      </c>
      <c r="J412" s="13" t="s">
        <v>1084</v>
      </c>
    </row>
    <row r="413" spans="1:10" ht="15" customHeight="1" x14ac:dyDescent="0.25">
      <c r="A413" s="9">
        <v>408</v>
      </c>
      <c r="B413" s="16" t="s">
        <v>865</v>
      </c>
      <c r="C413" s="17" t="s">
        <v>1040</v>
      </c>
      <c r="D413" s="12" t="s">
        <v>1041</v>
      </c>
      <c r="E413" s="12" t="s">
        <v>1080</v>
      </c>
      <c r="F413" s="12" t="s">
        <v>1085</v>
      </c>
      <c r="G413" s="9" t="s">
        <v>1082</v>
      </c>
      <c r="H413" s="9">
        <v>1</v>
      </c>
      <c r="I413" s="12" t="s">
        <v>1086</v>
      </c>
      <c r="J413" s="13" t="s">
        <v>1087</v>
      </c>
    </row>
    <row r="414" spans="1:10" ht="15" customHeight="1" x14ac:dyDescent="0.25">
      <c r="A414" s="9">
        <v>409</v>
      </c>
      <c r="B414" s="16" t="s">
        <v>865</v>
      </c>
      <c r="C414" s="17" t="s">
        <v>1040</v>
      </c>
      <c r="D414" s="12" t="s">
        <v>1041</v>
      </c>
      <c r="E414" s="12" t="s">
        <v>1080</v>
      </c>
      <c r="F414" s="12" t="s">
        <v>1088</v>
      </c>
      <c r="G414" s="9" t="s">
        <v>57</v>
      </c>
      <c r="H414" s="9">
        <v>1</v>
      </c>
      <c r="I414" s="12" t="s">
        <v>1089</v>
      </c>
      <c r="J414" s="13" t="s">
        <v>1090</v>
      </c>
    </row>
    <row r="415" spans="1:10" ht="15" customHeight="1" x14ac:dyDescent="0.25">
      <c r="A415" s="9">
        <v>410</v>
      </c>
      <c r="B415" s="16" t="s">
        <v>865</v>
      </c>
      <c r="C415" s="17" t="s">
        <v>1040</v>
      </c>
      <c r="D415" s="12" t="s">
        <v>1041</v>
      </c>
      <c r="E415" s="12" t="s">
        <v>1080</v>
      </c>
      <c r="F415" s="12" t="s">
        <v>1091</v>
      </c>
      <c r="G415" s="9" t="s">
        <v>1082</v>
      </c>
      <c r="H415" s="9">
        <v>1</v>
      </c>
      <c r="I415" s="12" t="s">
        <v>1092</v>
      </c>
      <c r="J415" s="13" t="s">
        <v>1093</v>
      </c>
    </row>
    <row r="416" spans="1:10" ht="15" customHeight="1" x14ac:dyDescent="0.25">
      <c r="A416" s="9">
        <v>411</v>
      </c>
      <c r="B416" s="16" t="s">
        <v>865</v>
      </c>
      <c r="C416" s="17" t="s">
        <v>1040</v>
      </c>
      <c r="D416" s="12" t="s">
        <v>1041</v>
      </c>
      <c r="E416" s="12" t="s">
        <v>1094</v>
      </c>
      <c r="F416" s="12" t="s">
        <v>1095</v>
      </c>
      <c r="G416" s="9" t="s">
        <v>57</v>
      </c>
      <c r="H416" s="9">
        <v>1</v>
      </c>
      <c r="I416" s="12" t="s">
        <v>1096</v>
      </c>
      <c r="J416" s="13" t="s">
        <v>1097</v>
      </c>
    </row>
    <row r="417" spans="1:10" ht="15" customHeight="1" x14ac:dyDescent="0.25">
      <c r="A417" s="9">
        <v>412</v>
      </c>
      <c r="B417" s="16" t="s">
        <v>865</v>
      </c>
      <c r="C417" s="17" t="s">
        <v>1040</v>
      </c>
      <c r="D417" s="12" t="s">
        <v>1041</v>
      </c>
      <c r="E417" s="12" t="s">
        <v>1094</v>
      </c>
      <c r="F417" s="12" t="s">
        <v>1098</v>
      </c>
      <c r="G417" s="9" t="s">
        <v>57</v>
      </c>
      <c r="H417" s="9">
        <v>1</v>
      </c>
      <c r="I417" s="12" t="s">
        <v>1099</v>
      </c>
      <c r="J417" s="13" t="s">
        <v>1100</v>
      </c>
    </row>
    <row r="418" spans="1:10" ht="15" customHeight="1" x14ac:dyDescent="0.25">
      <c r="A418" s="9">
        <v>413</v>
      </c>
      <c r="B418" s="16" t="s">
        <v>865</v>
      </c>
      <c r="C418" s="17" t="s">
        <v>1040</v>
      </c>
      <c r="D418" s="12" t="s">
        <v>1041</v>
      </c>
      <c r="E418" s="12" t="s">
        <v>1094</v>
      </c>
      <c r="F418" s="12" t="s">
        <v>1101</v>
      </c>
      <c r="G418" s="9" t="s">
        <v>57</v>
      </c>
      <c r="H418" s="9">
        <v>1</v>
      </c>
      <c r="I418" s="12" t="s">
        <v>1102</v>
      </c>
      <c r="J418" s="13" t="s">
        <v>1103</v>
      </c>
    </row>
    <row r="419" spans="1:10" ht="15" customHeight="1" x14ac:dyDescent="0.25">
      <c r="A419" s="9">
        <v>414</v>
      </c>
      <c r="B419" s="16" t="s">
        <v>865</v>
      </c>
      <c r="C419" s="17" t="s">
        <v>1040</v>
      </c>
      <c r="D419" s="12" t="s">
        <v>1041</v>
      </c>
      <c r="E419" s="12" t="s">
        <v>1094</v>
      </c>
      <c r="F419" s="12" t="s">
        <v>1104</v>
      </c>
      <c r="G419" s="9" t="s">
        <v>57</v>
      </c>
      <c r="H419" s="9">
        <v>1</v>
      </c>
      <c r="I419" s="12" t="s">
        <v>1105</v>
      </c>
      <c r="J419" s="13" t="s">
        <v>1106</v>
      </c>
    </row>
    <row r="420" spans="1:10" ht="15" customHeight="1" x14ac:dyDescent="0.25">
      <c r="A420" s="9">
        <v>415</v>
      </c>
      <c r="B420" s="16" t="s">
        <v>865</v>
      </c>
      <c r="C420" s="17" t="s">
        <v>1040</v>
      </c>
      <c r="D420" s="12" t="s">
        <v>1041</v>
      </c>
      <c r="E420" s="12" t="s">
        <v>1094</v>
      </c>
      <c r="F420" s="12" t="s">
        <v>1107</v>
      </c>
      <c r="G420" s="9" t="s">
        <v>57</v>
      </c>
      <c r="H420" s="9">
        <v>1</v>
      </c>
      <c r="I420" s="12" t="s">
        <v>1108</v>
      </c>
      <c r="J420" s="13" t="s">
        <v>1109</v>
      </c>
    </row>
    <row r="421" spans="1:10" ht="15" customHeight="1" x14ac:dyDescent="0.25">
      <c r="A421" s="9">
        <v>416</v>
      </c>
      <c r="B421" s="16" t="s">
        <v>865</v>
      </c>
      <c r="C421" s="17" t="s">
        <v>1040</v>
      </c>
      <c r="D421" s="12" t="s">
        <v>1041</v>
      </c>
      <c r="E421" s="12" t="s">
        <v>1110</v>
      </c>
      <c r="F421" s="12" t="s">
        <v>1111</v>
      </c>
      <c r="G421" s="9" t="s">
        <v>35</v>
      </c>
      <c r="H421" s="9">
        <v>1</v>
      </c>
      <c r="I421" s="12" t="s">
        <v>1112</v>
      </c>
      <c r="J421" s="13" t="s">
        <v>1113</v>
      </c>
    </row>
    <row r="422" spans="1:10" ht="15" customHeight="1" x14ac:dyDescent="0.25">
      <c r="A422" s="9">
        <v>417</v>
      </c>
      <c r="B422" s="16" t="s">
        <v>865</v>
      </c>
      <c r="C422" s="17" t="s">
        <v>1040</v>
      </c>
      <c r="D422" s="12" t="s">
        <v>1041</v>
      </c>
      <c r="E422" s="12" t="s">
        <v>1110</v>
      </c>
      <c r="F422" s="12" t="s">
        <v>1114</v>
      </c>
      <c r="G422" s="9" t="s">
        <v>57</v>
      </c>
      <c r="H422" s="9">
        <v>1</v>
      </c>
      <c r="I422" s="12" t="s">
        <v>1115</v>
      </c>
      <c r="J422" s="13" t="s">
        <v>1116</v>
      </c>
    </row>
    <row r="423" spans="1:10" ht="15" customHeight="1" x14ac:dyDescent="0.25">
      <c r="A423" s="9">
        <v>418</v>
      </c>
      <c r="B423" s="16" t="s">
        <v>865</v>
      </c>
      <c r="C423" s="17" t="s">
        <v>1040</v>
      </c>
      <c r="D423" s="12" t="s">
        <v>1041</v>
      </c>
      <c r="E423" s="12" t="s">
        <v>1110</v>
      </c>
      <c r="F423" s="12" t="s">
        <v>1117</v>
      </c>
      <c r="G423" s="9" t="s">
        <v>57</v>
      </c>
      <c r="H423" s="9">
        <v>1</v>
      </c>
      <c r="I423" s="12" t="s">
        <v>1118</v>
      </c>
      <c r="J423" s="13" t="s">
        <v>1119</v>
      </c>
    </row>
    <row r="424" spans="1:10" ht="15" customHeight="1" x14ac:dyDescent="0.25">
      <c r="A424" s="9">
        <v>419</v>
      </c>
      <c r="B424" s="16" t="s">
        <v>865</v>
      </c>
      <c r="C424" s="17" t="s">
        <v>1040</v>
      </c>
      <c r="D424" s="12" t="s">
        <v>1041</v>
      </c>
      <c r="E424" s="12" t="s">
        <v>1110</v>
      </c>
      <c r="F424" s="12" t="s">
        <v>1120</v>
      </c>
      <c r="G424" s="9" t="s">
        <v>61</v>
      </c>
      <c r="H424" s="9">
        <v>1</v>
      </c>
      <c r="I424" s="12" t="s">
        <v>1121</v>
      </c>
      <c r="J424" s="13" t="s">
        <v>1122</v>
      </c>
    </row>
    <row r="425" spans="1:10" ht="15" customHeight="1" x14ac:dyDescent="0.25">
      <c r="A425" s="9">
        <v>420</v>
      </c>
      <c r="B425" s="16" t="s">
        <v>865</v>
      </c>
      <c r="C425" s="17" t="s">
        <v>1040</v>
      </c>
      <c r="D425" s="12" t="s">
        <v>1041</v>
      </c>
      <c r="E425" s="12" t="s">
        <v>1123</v>
      </c>
      <c r="F425" s="12" t="s">
        <v>1124</v>
      </c>
      <c r="G425" s="9" t="s">
        <v>57</v>
      </c>
      <c r="H425" s="9">
        <v>1</v>
      </c>
      <c r="I425" s="12" t="s">
        <v>1125</v>
      </c>
      <c r="J425" s="13" t="s">
        <v>1126</v>
      </c>
    </row>
    <row r="426" spans="1:10" ht="15" customHeight="1" x14ac:dyDescent="0.25">
      <c r="A426" s="9">
        <v>421</v>
      </c>
      <c r="B426" s="16" t="s">
        <v>865</v>
      </c>
      <c r="C426" s="17" t="s">
        <v>1040</v>
      </c>
      <c r="D426" s="12" t="s">
        <v>1041</v>
      </c>
      <c r="E426" s="12" t="s">
        <v>1123</v>
      </c>
      <c r="F426" s="12" t="s">
        <v>1127</v>
      </c>
      <c r="G426" s="9" t="s">
        <v>57</v>
      </c>
      <c r="H426" s="9">
        <v>1</v>
      </c>
      <c r="I426" s="12" t="s">
        <v>1128</v>
      </c>
      <c r="J426" s="13" t="s">
        <v>1129</v>
      </c>
    </row>
    <row r="427" spans="1:10" ht="15" customHeight="1" x14ac:dyDescent="0.25">
      <c r="A427" s="9">
        <v>422</v>
      </c>
      <c r="B427" s="16" t="s">
        <v>865</v>
      </c>
      <c r="C427" s="17" t="s">
        <v>1040</v>
      </c>
      <c r="D427" s="12" t="s">
        <v>1041</v>
      </c>
      <c r="E427" s="12" t="s">
        <v>1123</v>
      </c>
      <c r="F427" s="12" t="s">
        <v>1130</v>
      </c>
      <c r="G427" s="9" t="s">
        <v>57</v>
      </c>
      <c r="H427" s="9">
        <v>1</v>
      </c>
      <c r="I427" s="12" t="s">
        <v>1131</v>
      </c>
      <c r="J427" s="13" t="s">
        <v>1132</v>
      </c>
    </row>
    <row r="428" spans="1:10" ht="15" customHeight="1" x14ac:dyDescent="0.25">
      <c r="A428" s="9">
        <v>423</v>
      </c>
      <c r="B428" s="16" t="s">
        <v>865</v>
      </c>
      <c r="C428" s="17" t="s">
        <v>1040</v>
      </c>
      <c r="D428" s="12" t="s">
        <v>1041</v>
      </c>
      <c r="E428" s="12" t="s">
        <v>1123</v>
      </c>
      <c r="F428" s="12" t="s">
        <v>1133</v>
      </c>
      <c r="G428" s="9" t="s">
        <v>35</v>
      </c>
      <c r="H428" s="9">
        <v>1</v>
      </c>
      <c r="I428" s="12" t="s">
        <v>1134</v>
      </c>
      <c r="J428" s="13" t="s">
        <v>1135</v>
      </c>
    </row>
    <row r="429" spans="1:10" ht="15" customHeight="1" x14ac:dyDescent="0.25">
      <c r="A429" s="9">
        <v>424</v>
      </c>
      <c r="B429" s="16" t="s">
        <v>865</v>
      </c>
      <c r="C429" s="17" t="s">
        <v>1136</v>
      </c>
      <c r="D429" s="12" t="s">
        <v>1137</v>
      </c>
      <c r="E429" s="12" t="s">
        <v>1138</v>
      </c>
      <c r="F429" s="12" t="s">
        <v>1139</v>
      </c>
      <c r="G429" s="9" t="s">
        <v>57</v>
      </c>
      <c r="H429" s="9">
        <v>1</v>
      </c>
      <c r="I429" s="12" t="s">
        <v>1140</v>
      </c>
      <c r="J429" s="13" t="s">
        <v>1141</v>
      </c>
    </row>
    <row r="430" spans="1:10" ht="15" customHeight="1" x14ac:dyDescent="0.25">
      <c r="A430" s="9">
        <v>425</v>
      </c>
      <c r="B430" s="16" t="s">
        <v>865</v>
      </c>
      <c r="C430" s="17" t="s">
        <v>1136</v>
      </c>
      <c r="D430" s="12" t="s">
        <v>1137</v>
      </c>
      <c r="E430" s="12" t="s">
        <v>1138</v>
      </c>
      <c r="F430" s="12" t="s">
        <v>1142</v>
      </c>
      <c r="G430" s="9" t="s">
        <v>57</v>
      </c>
      <c r="H430" s="9">
        <v>1</v>
      </c>
      <c r="I430" s="12" t="s">
        <v>1143</v>
      </c>
      <c r="J430" s="13" t="s">
        <v>1144</v>
      </c>
    </row>
    <row r="431" spans="1:10" ht="15" customHeight="1" x14ac:dyDescent="0.25">
      <c r="A431" s="9">
        <v>426</v>
      </c>
      <c r="B431" s="16" t="s">
        <v>865</v>
      </c>
      <c r="C431" s="17" t="s">
        <v>1136</v>
      </c>
      <c r="D431" s="12" t="s">
        <v>1137</v>
      </c>
      <c r="E431" s="12" t="s">
        <v>1138</v>
      </c>
      <c r="F431" s="12" t="s">
        <v>1145</v>
      </c>
      <c r="G431" s="9" t="s">
        <v>57</v>
      </c>
      <c r="H431" s="9">
        <v>1</v>
      </c>
      <c r="I431" s="12" t="s">
        <v>1146</v>
      </c>
      <c r="J431" s="13" t="s">
        <v>1147</v>
      </c>
    </row>
    <row r="432" spans="1:10" ht="15" customHeight="1" x14ac:dyDescent="0.25">
      <c r="A432" s="9">
        <v>427</v>
      </c>
      <c r="B432" s="16" t="s">
        <v>865</v>
      </c>
      <c r="C432" s="17" t="s">
        <v>1136</v>
      </c>
      <c r="D432" s="12" t="s">
        <v>1137</v>
      </c>
      <c r="E432" s="12" t="s">
        <v>1138</v>
      </c>
      <c r="F432" s="12" t="s">
        <v>1148</v>
      </c>
      <c r="G432" s="9" t="s">
        <v>57</v>
      </c>
      <c r="H432" s="9">
        <v>1</v>
      </c>
      <c r="I432" s="12" t="s">
        <v>1149</v>
      </c>
      <c r="J432" s="13" t="s">
        <v>1150</v>
      </c>
    </row>
    <row r="433" spans="1:10" ht="15" customHeight="1" x14ac:dyDescent="0.25">
      <c r="A433" s="9">
        <v>428</v>
      </c>
      <c r="B433" s="16" t="s">
        <v>865</v>
      </c>
      <c r="C433" s="17" t="s">
        <v>1136</v>
      </c>
      <c r="D433" s="12" t="s">
        <v>1137</v>
      </c>
      <c r="E433" s="12" t="s">
        <v>1151</v>
      </c>
      <c r="F433" s="12" t="s">
        <v>1152</v>
      </c>
      <c r="G433" s="9" t="s">
        <v>57</v>
      </c>
      <c r="H433" s="9">
        <v>1</v>
      </c>
      <c r="I433" s="12" t="s">
        <v>1153</v>
      </c>
      <c r="J433" s="13" t="s">
        <v>1154</v>
      </c>
    </row>
    <row r="434" spans="1:10" ht="15" customHeight="1" x14ac:dyDescent="0.25">
      <c r="A434" s="9">
        <v>429</v>
      </c>
      <c r="B434" s="16" t="s">
        <v>865</v>
      </c>
      <c r="C434" s="17" t="s">
        <v>1136</v>
      </c>
      <c r="D434" s="12" t="s">
        <v>1137</v>
      </c>
      <c r="E434" s="12" t="s">
        <v>1151</v>
      </c>
      <c r="F434" s="12" t="s">
        <v>1155</v>
      </c>
      <c r="G434" s="9" t="s">
        <v>57</v>
      </c>
      <c r="H434" s="9">
        <v>1</v>
      </c>
      <c r="I434" s="12" t="s">
        <v>1156</v>
      </c>
      <c r="J434" s="13" t="s">
        <v>1157</v>
      </c>
    </row>
    <row r="435" spans="1:10" ht="15" customHeight="1" x14ac:dyDescent="0.25">
      <c r="A435" s="9">
        <v>430</v>
      </c>
      <c r="B435" s="16" t="s">
        <v>865</v>
      </c>
      <c r="C435" s="17" t="s">
        <v>1136</v>
      </c>
      <c r="D435" s="12" t="s">
        <v>1137</v>
      </c>
      <c r="E435" s="12" t="s">
        <v>1151</v>
      </c>
      <c r="F435" s="12" t="s">
        <v>1158</v>
      </c>
      <c r="G435" s="9" t="s">
        <v>57</v>
      </c>
      <c r="H435" s="9">
        <v>1</v>
      </c>
      <c r="I435" s="12" t="s">
        <v>1159</v>
      </c>
      <c r="J435" s="13" t="s">
        <v>1160</v>
      </c>
    </row>
    <row r="436" spans="1:10" ht="15" customHeight="1" x14ac:dyDescent="0.25">
      <c r="A436" s="9">
        <v>431</v>
      </c>
      <c r="B436" s="16" t="s">
        <v>865</v>
      </c>
      <c r="C436" s="17" t="s">
        <v>1136</v>
      </c>
      <c r="D436" s="12" t="s">
        <v>1137</v>
      </c>
      <c r="E436" s="12" t="s">
        <v>1151</v>
      </c>
      <c r="F436" s="12" t="s">
        <v>1161</v>
      </c>
      <c r="G436" s="9" t="s">
        <v>57</v>
      </c>
      <c r="H436" s="9">
        <v>1</v>
      </c>
      <c r="I436" s="12" t="s">
        <v>1162</v>
      </c>
      <c r="J436" s="13" t="s">
        <v>1163</v>
      </c>
    </row>
    <row r="437" spans="1:10" ht="15" customHeight="1" x14ac:dyDescent="0.25">
      <c r="A437" s="9">
        <v>432</v>
      </c>
      <c r="B437" s="16" t="s">
        <v>865</v>
      </c>
      <c r="C437" s="17" t="s">
        <v>1136</v>
      </c>
      <c r="D437" s="12" t="s">
        <v>1137</v>
      </c>
      <c r="E437" s="12" t="s">
        <v>1164</v>
      </c>
      <c r="F437" s="12" t="s">
        <v>1165</v>
      </c>
      <c r="G437" s="9" t="s">
        <v>1082</v>
      </c>
      <c r="H437" s="9">
        <v>1</v>
      </c>
      <c r="I437" s="12" t="s">
        <v>1166</v>
      </c>
      <c r="J437" s="13" t="s">
        <v>1167</v>
      </c>
    </row>
    <row r="438" spans="1:10" ht="15" customHeight="1" x14ac:dyDescent="0.25">
      <c r="A438" s="9">
        <v>433</v>
      </c>
      <c r="B438" s="16" t="s">
        <v>865</v>
      </c>
      <c r="C438" s="17" t="s">
        <v>1136</v>
      </c>
      <c r="D438" s="12" t="s">
        <v>1137</v>
      </c>
      <c r="E438" s="12" t="s">
        <v>1164</v>
      </c>
      <c r="F438" s="12" t="s">
        <v>1168</v>
      </c>
      <c r="G438" s="9" t="s">
        <v>57</v>
      </c>
      <c r="H438" s="9">
        <v>1</v>
      </c>
      <c r="I438" s="12" t="s">
        <v>1169</v>
      </c>
      <c r="J438" s="13" t="s">
        <v>1170</v>
      </c>
    </row>
    <row r="439" spans="1:10" ht="15" customHeight="1" x14ac:dyDescent="0.25">
      <c r="A439" s="9">
        <v>434</v>
      </c>
      <c r="B439" s="16" t="s">
        <v>865</v>
      </c>
      <c r="C439" s="17" t="s">
        <v>1136</v>
      </c>
      <c r="D439" s="12" t="s">
        <v>1137</v>
      </c>
      <c r="E439" s="12" t="s">
        <v>1164</v>
      </c>
      <c r="F439" s="12" t="s">
        <v>1171</v>
      </c>
      <c r="G439" s="9" t="s">
        <v>57</v>
      </c>
      <c r="H439" s="9">
        <v>1</v>
      </c>
      <c r="I439" s="12" t="s">
        <v>1172</v>
      </c>
      <c r="J439" s="13" t="s">
        <v>1173</v>
      </c>
    </row>
    <row r="440" spans="1:10" ht="15" customHeight="1" x14ac:dyDescent="0.25">
      <c r="A440" s="9">
        <v>435</v>
      </c>
      <c r="B440" s="16" t="s">
        <v>865</v>
      </c>
      <c r="C440" s="17" t="s">
        <v>1136</v>
      </c>
      <c r="D440" s="12" t="s">
        <v>1137</v>
      </c>
      <c r="E440" s="12" t="s">
        <v>1164</v>
      </c>
      <c r="F440" s="12" t="s">
        <v>1174</v>
      </c>
      <c r="G440" s="9" t="s">
        <v>1082</v>
      </c>
      <c r="H440" s="9">
        <v>1</v>
      </c>
      <c r="I440" s="12" t="s">
        <v>1175</v>
      </c>
      <c r="J440" s="13" t="s">
        <v>1176</v>
      </c>
    </row>
    <row r="441" spans="1:10" ht="15" customHeight="1" x14ac:dyDescent="0.25">
      <c r="A441" s="9">
        <v>436</v>
      </c>
      <c r="B441" s="16" t="s">
        <v>865</v>
      </c>
      <c r="C441" s="17" t="s">
        <v>1136</v>
      </c>
      <c r="D441" s="12" t="s">
        <v>1137</v>
      </c>
      <c r="E441" s="12" t="s">
        <v>1164</v>
      </c>
      <c r="F441" s="12" t="s">
        <v>1177</v>
      </c>
      <c r="G441" s="9" t="s">
        <v>57</v>
      </c>
      <c r="H441" s="9">
        <v>1</v>
      </c>
      <c r="I441" s="12" t="s">
        <v>1178</v>
      </c>
      <c r="J441" s="13" t="s">
        <v>1179</v>
      </c>
    </row>
    <row r="442" spans="1:10" ht="15" customHeight="1" x14ac:dyDescent="0.25">
      <c r="A442" s="9">
        <v>437</v>
      </c>
      <c r="B442" s="16" t="s">
        <v>865</v>
      </c>
      <c r="C442" s="17" t="s">
        <v>1136</v>
      </c>
      <c r="D442" s="12" t="s">
        <v>1137</v>
      </c>
      <c r="E442" s="12" t="s">
        <v>1180</v>
      </c>
      <c r="F442" s="12" t="s">
        <v>1181</v>
      </c>
      <c r="G442" s="9" t="s">
        <v>35</v>
      </c>
      <c r="H442" s="9">
        <v>1</v>
      </c>
      <c r="I442" s="12" t="s">
        <v>1182</v>
      </c>
      <c r="J442" s="13" t="s">
        <v>1183</v>
      </c>
    </row>
    <row r="443" spans="1:10" ht="15" customHeight="1" x14ac:dyDescent="0.25">
      <c r="A443" s="9">
        <v>438</v>
      </c>
      <c r="B443" s="16" t="s">
        <v>865</v>
      </c>
      <c r="C443" s="17" t="s">
        <v>1136</v>
      </c>
      <c r="D443" s="12" t="s">
        <v>1137</v>
      </c>
      <c r="E443" s="12" t="s">
        <v>1180</v>
      </c>
      <c r="F443" s="12" t="s">
        <v>1184</v>
      </c>
      <c r="G443" s="9" t="s">
        <v>57</v>
      </c>
      <c r="H443" s="9">
        <v>1</v>
      </c>
      <c r="I443" s="12" t="s">
        <v>1185</v>
      </c>
      <c r="J443" s="13" t="s">
        <v>1186</v>
      </c>
    </row>
    <row r="444" spans="1:10" ht="15" customHeight="1" x14ac:dyDescent="0.25">
      <c r="A444" s="9">
        <v>439</v>
      </c>
      <c r="B444" s="16" t="s">
        <v>865</v>
      </c>
      <c r="C444" s="17" t="s">
        <v>1136</v>
      </c>
      <c r="D444" s="12" t="s">
        <v>1137</v>
      </c>
      <c r="E444" s="12" t="s">
        <v>1180</v>
      </c>
      <c r="F444" s="12" t="s">
        <v>1187</v>
      </c>
      <c r="G444" s="9" t="s">
        <v>35</v>
      </c>
      <c r="H444" s="9">
        <v>1</v>
      </c>
      <c r="I444" s="12" t="s">
        <v>1188</v>
      </c>
      <c r="J444" s="13" t="s">
        <v>1189</v>
      </c>
    </row>
    <row r="445" spans="1:10" ht="15" customHeight="1" x14ac:dyDescent="0.25">
      <c r="A445" s="9">
        <v>440</v>
      </c>
      <c r="B445" s="16" t="s">
        <v>865</v>
      </c>
      <c r="C445" s="17" t="s">
        <v>1136</v>
      </c>
      <c r="D445" s="12" t="s">
        <v>1137</v>
      </c>
      <c r="E445" s="12" t="s">
        <v>1180</v>
      </c>
      <c r="F445" s="12" t="s">
        <v>1190</v>
      </c>
      <c r="G445" s="9" t="s">
        <v>57</v>
      </c>
      <c r="H445" s="9">
        <v>1</v>
      </c>
      <c r="I445" s="12" t="s">
        <v>1191</v>
      </c>
      <c r="J445" s="13" t="s">
        <v>1192</v>
      </c>
    </row>
    <row r="446" spans="1:10" ht="15" customHeight="1" x14ac:dyDescent="0.25">
      <c r="A446" s="9">
        <v>441</v>
      </c>
      <c r="B446" s="16" t="s">
        <v>865</v>
      </c>
      <c r="C446" s="17" t="s">
        <v>1136</v>
      </c>
      <c r="D446" s="12" t="s">
        <v>1137</v>
      </c>
      <c r="E446" s="12" t="s">
        <v>1180</v>
      </c>
      <c r="F446" s="12" t="s">
        <v>1193</v>
      </c>
      <c r="G446" s="9" t="s">
        <v>35</v>
      </c>
      <c r="H446" s="9">
        <v>1</v>
      </c>
      <c r="I446" s="12" t="s">
        <v>1194</v>
      </c>
      <c r="J446" s="13" t="s">
        <v>1195</v>
      </c>
    </row>
    <row r="447" spans="1:10" ht="15" customHeight="1" x14ac:dyDescent="0.25">
      <c r="A447" s="9">
        <v>442</v>
      </c>
      <c r="B447" s="16" t="s">
        <v>865</v>
      </c>
      <c r="C447" s="17" t="s">
        <v>1136</v>
      </c>
      <c r="D447" s="12" t="s">
        <v>1137</v>
      </c>
      <c r="E447" s="12" t="s">
        <v>1196</v>
      </c>
      <c r="F447" s="12" t="s">
        <v>1197</v>
      </c>
      <c r="G447" s="9" t="s">
        <v>57</v>
      </c>
      <c r="H447" s="9">
        <v>1</v>
      </c>
      <c r="I447" s="12" t="s">
        <v>1198</v>
      </c>
      <c r="J447" s="13" t="s">
        <v>1199</v>
      </c>
    </row>
    <row r="448" spans="1:10" ht="15" customHeight="1" x14ac:dyDescent="0.25">
      <c r="A448" s="9">
        <v>443</v>
      </c>
      <c r="B448" s="16" t="s">
        <v>865</v>
      </c>
      <c r="C448" s="17" t="s">
        <v>1136</v>
      </c>
      <c r="D448" s="12" t="s">
        <v>1137</v>
      </c>
      <c r="E448" s="12" t="s">
        <v>1196</v>
      </c>
      <c r="F448" s="12" t="s">
        <v>1200</v>
      </c>
      <c r="G448" s="9" t="s">
        <v>57</v>
      </c>
      <c r="H448" s="9">
        <v>1</v>
      </c>
      <c r="I448" s="12" t="s">
        <v>1201</v>
      </c>
      <c r="J448" s="13" t="s">
        <v>1202</v>
      </c>
    </row>
    <row r="449" spans="1:10" ht="15" customHeight="1" x14ac:dyDescent="0.25">
      <c r="A449" s="9">
        <v>444</v>
      </c>
      <c r="B449" s="16" t="s">
        <v>865</v>
      </c>
      <c r="C449" s="17" t="s">
        <v>1203</v>
      </c>
      <c r="D449" s="12" t="s">
        <v>1204</v>
      </c>
      <c r="E449" s="12" t="s">
        <v>1205</v>
      </c>
      <c r="F449" s="12" t="s">
        <v>1206</v>
      </c>
      <c r="G449" s="9" t="s">
        <v>61</v>
      </c>
      <c r="H449" s="9">
        <v>1</v>
      </c>
      <c r="I449" s="12" t="s">
        <v>1207</v>
      </c>
      <c r="J449" s="13" t="s">
        <v>1208</v>
      </c>
    </row>
    <row r="450" spans="1:10" ht="15" customHeight="1" x14ac:dyDescent="0.25">
      <c r="A450" s="9">
        <v>445</v>
      </c>
      <c r="B450" s="16" t="s">
        <v>865</v>
      </c>
      <c r="C450" s="17" t="s">
        <v>1203</v>
      </c>
      <c r="D450" s="12" t="s">
        <v>1204</v>
      </c>
      <c r="E450" s="12" t="s">
        <v>1205</v>
      </c>
      <c r="F450" s="12" t="s">
        <v>1209</v>
      </c>
      <c r="G450" s="9" t="s">
        <v>61</v>
      </c>
      <c r="H450" s="9">
        <v>1</v>
      </c>
      <c r="I450" s="12" t="s">
        <v>1210</v>
      </c>
      <c r="J450" s="13" t="s">
        <v>1211</v>
      </c>
    </row>
    <row r="451" spans="1:10" ht="15" customHeight="1" x14ac:dyDescent="0.25">
      <c r="A451" s="9">
        <v>446</v>
      </c>
      <c r="B451" s="16" t="s">
        <v>865</v>
      </c>
      <c r="C451" s="17" t="s">
        <v>1203</v>
      </c>
      <c r="D451" s="12" t="s">
        <v>1204</v>
      </c>
      <c r="E451" s="12" t="s">
        <v>1205</v>
      </c>
      <c r="F451" s="12" t="s">
        <v>965</v>
      </c>
      <c r="G451" s="9" t="s">
        <v>61</v>
      </c>
      <c r="H451" s="9">
        <v>1</v>
      </c>
      <c r="I451" s="12" t="s">
        <v>966</v>
      </c>
      <c r="J451" s="13" t="s">
        <v>1212</v>
      </c>
    </row>
    <row r="452" spans="1:10" ht="15" customHeight="1" x14ac:dyDescent="0.25">
      <c r="A452" s="9">
        <v>447</v>
      </c>
      <c r="B452" s="16" t="s">
        <v>865</v>
      </c>
      <c r="C452" s="17" t="s">
        <v>1203</v>
      </c>
      <c r="D452" s="12" t="s">
        <v>1204</v>
      </c>
      <c r="E452" s="12" t="s">
        <v>1205</v>
      </c>
      <c r="F452" s="12" t="s">
        <v>1213</v>
      </c>
      <c r="G452" s="9" t="s">
        <v>57</v>
      </c>
      <c r="H452" s="9">
        <v>1</v>
      </c>
      <c r="I452" s="12" t="s">
        <v>1214</v>
      </c>
      <c r="J452" s="13" t="s">
        <v>1215</v>
      </c>
    </row>
    <row r="453" spans="1:10" ht="15" customHeight="1" x14ac:dyDescent="0.25">
      <c r="A453" s="9">
        <v>448</v>
      </c>
      <c r="B453" s="16" t="s">
        <v>865</v>
      </c>
      <c r="C453" s="17" t="s">
        <v>1203</v>
      </c>
      <c r="D453" s="12" t="s">
        <v>1204</v>
      </c>
      <c r="E453" s="12" t="s">
        <v>1205</v>
      </c>
      <c r="F453" s="12" t="s">
        <v>1216</v>
      </c>
      <c r="G453" s="9" t="s">
        <v>57</v>
      </c>
      <c r="H453" s="9">
        <v>1</v>
      </c>
      <c r="I453" s="12" t="s">
        <v>1217</v>
      </c>
      <c r="J453" s="13" t="s">
        <v>1218</v>
      </c>
    </row>
    <row r="454" spans="1:10" ht="15" customHeight="1" x14ac:dyDescent="0.25">
      <c r="A454" s="9">
        <v>449</v>
      </c>
      <c r="B454" s="16" t="s">
        <v>865</v>
      </c>
      <c r="C454" s="17" t="s">
        <v>1203</v>
      </c>
      <c r="D454" s="12" t="s">
        <v>1204</v>
      </c>
      <c r="E454" s="12" t="s">
        <v>1219</v>
      </c>
      <c r="F454" s="12" t="s">
        <v>1220</v>
      </c>
      <c r="G454" s="9" t="s">
        <v>57</v>
      </c>
      <c r="H454" s="9">
        <v>1</v>
      </c>
      <c r="I454" s="12" t="s">
        <v>1221</v>
      </c>
      <c r="J454" s="13" t="s">
        <v>1222</v>
      </c>
    </row>
    <row r="455" spans="1:10" ht="15" customHeight="1" x14ac:dyDescent="0.25">
      <c r="A455" s="9">
        <v>450</v>
      </c>
      <c r="B455" s="16" t="s">
        <v>865</v>
      </c>
      <c r="C455" s="17" t="s">
        <v>1203</v>
      </c>
      <c r="D455" s="12" t="s">
        <v>1204</v>
      </c>
      <c r="E455" s="12" t="s">
        <v>1219</v>
      </c>
      <c r="F455" s="12" t="s">
        <v>1223</v>
      </c>
      <c r="G455" s="9" t="s">
        <v>57</v>
      </c>
      <c r="H455" s="9">
        <v>1</v>
      </c>
      <c r="I455" s="12" t="s">
        <v>1224</v>
      </c>
      <c r="J455" s="13" t="s">
        <v>1225</v>
      </c>
    </row>
    <row r="456" spans="1:10" ht="15" customHeight="1" x14ac:dyDescent="0.25">
      <c r="A456" s="9">
        <v>451</v>
      </c>
      <c r="B456" s="16" t="s">
        <v>865</v>
      </c>
      <c r="C456" s="17" t="s">
        <v>1203</v>
      </c>
      <c r="D456" s="12" t="s">
        <v>1204</v>
      </c>
      <c r="E456" s="12" t="s">
        <v>1219</v>
      </c>
      <c r="F456" s="12" t="s">
        <v>1226</v>
      </c>
      <c r="G456" s="9" t="s">
        <v>57</v>
      </c>
      <c r="H456" s="9">
        <v>1</v>
      </c>
      <c r="I456" s="12" t="s">
        <v>1227</v>
      </c>
      <c r="J456" s="13" t="s">
        <v>1228</v>
      </c>
    </row>
    <row r="457" spans="1:10" ht="15" customHeight="1" x14ac:dyDescent="0.25">
      <c r="A457" s="9">
        <v>452</v>
      </c>
      <c r="B457" s="16" t="s">
        <v>865</v>
      </c>
      <c r="C457" s="17" t="s">
        <v>1203</v>
      </c>
      <c r="D457" s="12" t="s">
        <v>1204</v>
      </c>
      <c r="E457" s="12" t="s">
        <v>1219</v>
      </c>
      <c r="F457" s="12" t="s">
        <v>1229</v>
      </c>
      <c r="G457" s="9" t="s">
        <v>57</v>
      </c>
      <c r="H457" s="9">
        <v>1</v>
      </c>
      <c r="I457" s="12" t="s">
        <v>1230</v>
      </c>
      <c r="J457" s="13" t="s">
        <v>1231</v>
      </c>
    </row>
    <row r="458" spans="1:10" ht="15" customHeight="1" x14ac:dyDescent="0.25">
      <c r="A458" s="9">
        <v>453</v>
      </c>
      <c r="B458" s="16" t="s">
        <v>865</v>
      </c>
      <c r="C458" s="17" t="s">
        <v>1203</v>
      </c>
      <c r="D458" s="12" t="s">
        <v>1204</v>
      </c>
      <c r="E458" s="12" t="s">
        <v>1219</v>
      </c>
      <c r="F458" s="12" t="s">
        <v>1232</v>
      </c>
      <c r="G458" s="9" t="s">
        <v>35</v>
      </c>
      <c r="H458" s="9">
        <v>1</v>
      </c>
      <c r="I458" s="12" t="s">
        <v>1233</v>
      </c>
      <c r="J458" s="13" t="s">
        <v>1234</v>
      </c>
    </row>
    <row r="459" spans="1:10" ht="15" customHeight="1" x14ac:dyDescent="0.25">
      <c r="A459" s="9">
        <v>454</v>
      </c>
      <c r="B459" s="16" t="s">
        <v>865</v>
      </c>
      <c r="C459" s="17" t="s">
        <v>1203</v>
      </c>
      <c r="D459" s="12" t="s">
        <v>1204</v>
      </c>
      <c r="E459" s="12" t="s">
        <v>1235</v>
      </c>
      <c r="F459" s="12" t="s">
        <v>1236</v>
      </c>
      <c r="G459" s="9" t="s">
        <v>61</v>
      </c>
      <c r="H459" s="9">
        <v>1</v>
      </c>
      <c r="I459" s="12" t="s">
        <v>1237</v>
      </c>
      <c r="J459" s="13" t="s">
        <v>1238</v>
      </c>
    </row>
    <row r="460" spans="1:10" ht="15" customHeight="1" x14ac:dyDescent="0.25">
      <c r="A460" s="9">
        <v>455</v>
      </c>
      <c r="B460" s="16" t="s">
        <v>865</v>
      </c>
      <c r="C460" s="17" t="s">
        <v>1203</v>
      </c>
      <c r="D460" s="12" t="s">
        <v>1204</v>
      </c>
      <c r="E460" s="12" t="s">
        <v>1235</v>
      </c>
      <c r="F460" s="12" t="s">
        <v>1239</v>
      </c>
      <c r="G460" s="9" t="s">
        <v>61</v>
      </c>
      <c r="H460" s="9">
        <v>1</v>
      </c>
      <c r="I460" s="12" t="s">
        <v>1240</v>
      </c>
      <c r="J460" s="13" t="s">
        <v>1241</v>
      </c>
    </row>
    <row r="461" spans="1:10" ht="15" customHeight="1" x14ac:dyDescent="0.25">
      <c r="A461" s="9">
        <v>456</v>
      </c>
      <c r="B461" s="16" t="s">
        <v>865</v>
      </c>
      <c r="C461" s="17" t="s">
        <v>1203</v>
      </c>
      <c r="D461" s="12" t="s">
        <v>1204</v>
      </c>
      <c r="E461" s="12" t="s">
        <v>1235</v>
      </c>
      <c r="F461" s="12" t="s">
        <v>1242</v>
      </c>
      <c r="G461" s="9" t="s">
        <v>61</v>
      </c>
      <c r="H461" s="9">
        <v>1</v>
      </c>
      <c r="I461" s="12" t="s">
        <v>1243</v>
      </c>
      <c r="J461" s="13" t="s">
        <v>1244</v>
      </c>
    </row>
    <row r="462" spans="1:10" ht="15" customHeight="1" x14ac:dyDescent="0.25">
      <c r="A462" s="9">
        <v>457</v>
      </c>
      <c r="B462" s="16" t="s">
        <v>865</v>
      </c>
      <c r="C462" s="17" t="s">
        <v>1203</v>
      </c>
      <c r="D462" s="12" t="s">
        <v>1204</v>
      </c>
      <c r="E462" s="12" t="s">
        <v>1235</v>
      </c>
      <c r="F462" s="12" t="s">
        <v>1245</v>
      </c>
      <c r="G462" s="9" t="s">
        <v>61</v>
      </c>
      <c r="H462" s="9">
        <v>1</v>
      </c>
      <c r="I462" s="12" t="s">
        <v>1246</v>
      </c>
      <c r="J462" s="13" t="s">
        <v>1247</v>
      </c>
    </row>
    <row r="463" spans="1:10" ht="15" customHeight="1" x14ac:dyDescent="0.25">
      <c r="A463" s="9">
        <v>458</v>
      </c>
      <c r="B463" s="16" t="s">
        <v>865</v>
      </c>
      <c r="C463" s="17" t="s">
        <v>1203</v>
      </c>
      <c r="D463" s="12" t="s">
        <v>1204</v>
      </c>
      <c r="E463" s="12" t="s">
        <v>1235</v>
      </c>
      <c r="F463" s="12" t="s">
        <v>1248</v>
      </c>
      <c r="G463" s="9" t="s">
        <v>57</v>
      </c>
      <c r="H463" s="9">
        <v>1</v>
      </c>
      <c r="I463" s="12" t="s">
        <v>1249</v>
      </c>
      <c r="J463" s="13" t="s">
        <v>1250</v>
      </c>
    </row>
    <row r="464" spans="1:10" ht="15" customHeight="1" x14ac:dyDescent="0.25">
      <c r="A464" s="9">
        <v>459</v>
      </c>
      <c r="B464" s="16" t="s">
        <v>865</v>
      </c>
      <c r="C464" s="17" t="s">
        <v>1203</v>
      </c>
      <c r="D464" s="12" t="s">
        <v>1204</v>
      </c>
      <c r="E464" s="12" t="s">
        <v>1235</v>
      </c>
      <c r="F464" s="12" t="s">
        <v>1251</v>
      </c>
      <c r="G464" s="9" t="s">
        <v>57</v>
      </c>
      <c r="H464" s="9">
        <v>1</v>
      </c>
      <c r="I464" s="12" t="s">
        <v>1252</v>
      </c>
      <c r="J464" s="13" t="s">
        <v>1253</v>
      </c>
    </row>
    <row r="465" spans="1:10" ht="15" customHeight="1" x14ac:dyDescent="0.25">
      <c r="A465" s="9">
        <v>460</v>
      </c>
      <c r="B465" s="16" t="s">
        <v>865</v>
      </c>
      <c r="C465" s="17" t="s">
        <v>1203</v>
      </c>
      <c r="D465" s="12" t="s">
        <v>1204</v>
      </c>
      <c r="E465" s="12" t="s">
        <v>1254</v>
      </c>
      <c r="F465" s="12" t="s">
        <v>1255</v>
      </c>
      <c r="G465" s="9" t="s">
        <v>57</v>
      </c>
      <c r="H465" s="9">
        <v>1</v>
      </c>
      <c r="I465" s="12" t="s">
        <v>1256</v>
      </c>
      <c r="J465" s="13" t="s">
        <v>1257</v>
      </c>
    </row>
    <row r="466" spans="1:10" ht="15" customHeight="1" x14ac:dyDescent="0.25">
      <c r="A466" s="9">
        <v>461</v>
      </c>
      <c r="B466" s="16" t="s">
        <v>865</v>
      </c>
      <c r="C466" s="17" t="s">
        <v>1203</v>
      </c>
      <c r="D466" s="12" t="s">
        <v>1204</v>
      </c>
      <c r="E466" s="12" t="s">
        <v>1254</v>
      </c>
      <c r="F466" s="12" t="s">
        <v>1258</v>
      </c>
      <c r="G466" s="9" t="s">
        <v>35</v>
      </c>
      <c r="H466" s="9">
        <v>1</v>
      </c>
      <c r="I466" s="12" t="s">
        <v>1259</v>
      </c>
      <c r="J466" s="13" t="s">
        <v>1260</v>
      </c>
    </row>
    <row r="467" spans="1:10" ht="15" customHeight="1" x14ac:dyDescent="0.25">
      <c r="A467" s="9">
        <v>462</v>
      </c>
      <c r="B467" s="16" t="s">
        <v>865</v>
      </c>
      <c r="C467" s="17" t="s">
        <v>1203</v>
      </c>
      <c r="D467" s="12" t="s">
        <v>1204</v>
      </c>
      <c r="E467" s="12" t="s">
        <v>1254</v>
      </c>
      <c r="F467" s="12" t="s">
        <v>1261</v>
      </c>
      <c r="G467" s="9" t="s">
        <v>35</v>
      </c>
      <c r="H467" s="9">
        <v>1</v>
      </c>
      <c r="I467" s="12" t="s">
        <v>1262</v>
      </c>
      <c r="J467" s="13" t="s">
        <v>1263</v>
      </c>
    </row>
    <row r="468" spans="1:10" ht="15" customHeight="1" x14ac:dyDescent="0.25">
      <c r="A468" s="9">
        <v>463</v>
      </c>
      <c r="B468" s="16" t="s">
        <v>865</v>
      </c>
      <c r="C468" s="17" t="s">
        <v>1264</v>
      </c>
      <c r="D468" s="12" t="s">
        <v>1265</v>
      </c>
      <c r="E468" s="12" t="s">
        <v>1266</v>
      </c>
      <c r="F468" s="12" t="s">
        <v>1267</v>
      </c>
      <c r="G468" s="9" t="s">
        <v>57</v>
      </c>
      <c r="H468" s="9">
        <v>1</v>
      </c>
      <c r="I468" s="12" t="s">
        <v>1268</v>
      </c>
      <c r="J468" s="13" t="s">
        <v>1269</v>
      </c>
    </row>
    <row r="469" spans="1:10" ht="15" customHeight="1" x14ac:dyDescent="0.25">
      <c r="A469" s="9">
        <v>464</v>
      </c>
      <c r="B469" s="16" t="s">
        <v>865</v>
      </c>
      <c r="C469" s="17" t="s">
        <v>1264</v>
      </c>
      <c r="D469" s="12" t="s">
        <v>1265</v>
      </c>
      <c r="E469" s="12" t="s">
        <v>1266</v>
      </c>
      <c r="F469" s="12" t="s">
        <v>1270</v>
      </c>
      <c r="G469" s="9" t="s">
        <v>57</v>
      </c>
      <c r="H469" s="9">
        <v>1</v>
      </c>
      <c r="I469" s="12" t="s">
        <v>1271</v>
      </c>
      <c r="J469" s="13" t="s">
        <v>1272</v>
      </c>
    </row>
    <row r="470" spans="1:10" ht="15" customHeight="1" x14ac:dyDescent="0.25">
      <c r="A470" s="9">
        <v>465</v>
      </c>
      <c r="B470" s="16" t="s">
        <v>865</v>
      </c>
      <c r="C470" s="17" t="s">
        <v>1264</v>
      </c>
      <c r="D470" s="12" t="s">
        <v>1265</v>
      </c>
      <c r="E470" s="12" t="s">
        <v>1266</v>
      </c>
      <c r="F470" s="12" t="s">
        <v>1273</v>
      </c>
      <c r="G470" s="9" t="s">
        <v>57</v>
      </c>
      <c r="H470" s="9">
        <v>1</v>
      </c>
      <c r="I470" s="12" t="s">
        <v>1274</v>
      </c>
      <c r="J470" s="13" t="s">
        <v>1275</v>
      </c>
    </row>
    <row r="471" spans="1:10" ht="15" customHeight="1" x14ac:dyDescent="0.25">
      <c r="A471" s="9">
        <v>466</v>
      </c>
      <c r="B471" s="16" t="s">
        <v>865</v>
      </c>
      <c r="C471" s="17" t="s">
        <v>1264</v>
      </c>
      <c r="D471" s="12" t="s">
        <v>1265</v>
      </c>
      <c r="E471" s="12" t="s">
        <v>1266</v>
      </c>
      <c r="F471" s="12" t="s">
        <v>1276</v>
      </c>
      <c r="G471" s="9" t="s">
        <v>61</v>
      </c>
      <c r="H471" s="9">
        <v>1</v>
      </c>
      <c r="I471" s="12" t="s">
        <v>1277</v>
      </c>
      <c r="J471" s="13" t="s">
        <v>1278</v>
      </c>
    </row>
    <row r="472" spans="1:10" ht="15" customHeight="1" x14ac:dyDescent="0.25">
      <c r="A472" s="9">
        <v>467</v>
      </c>
      <c r="B472" s="16" t="s">
        <v>865</v>
      </c>
      <c r="C472" s="17" t="s">
        <v>1264</v>
      </c>
      <c r="D472" s="12" t="s">
        <v>1265</v>
      </c>
      <c r="E472" s="12" t="s">
        <v>1279</v>
      </c>
      <c r="F472" s="12" t="s">
        <v>1280</v>
      </c>
      <c r="G472" s="9" t="s">
        <v>57</v>
      </c>
      <c r="H472" s="9">
        <v>1</v>
      </c>
      <c r="I472" s="12" t="s">
        <v>1281</v>
      </c>
      <c r="J472" s="13" t="s">
        <v>1282</v>
      </c>
    </row>
    <row r="473" spans="1:10" ht="15" customHeight="1" x14ac:dyDescent="0.25">
      <c r="A473" s="9">
        <v>468</v>
      </c>
      <c r="B473" s="16" t="s">
        <v>865</v>
      </c>
      <c r="C473" s="17" t="s">
        <v>1264</v>
      </c>
      <c r="D473" s="12" t="s">
        <v>1265</v>
      </c>
      <c r="E473" s="12" t="s">
        <v>1279</v>
      </c>
      <c r="F473" s="12" t="s">
        <v>1283</v>
      </c>
      <c r="G473" s="9" t="s">
        <v>61</v>
      </c>
      <c r="H473" s="9">
        <v>1</v>
      </c>
      <c r="I473" s="12" t="s">
        <v>1284</v>
      </c>
      <c r="J473" s="13" t="s">
        <v>1285</v>
      </c>
    </row>
    <row r="474" spans="1:10" ht="15" customHeight="1" x14ac:dyDescent="0.25">
      <c r="A474" s="9">
        <v>469</v>
      </c>
      <c r="B474" s="16" t="s">
        <v>865</v>
      </c>
      <c r="C474" s="17" t="s">
        <v>1264</v>
      </c>
      <c r="D474" s="12" t="s">
        <v>1265</v>
      </c>
      <c r="E474" s="12" t="s">
        <v>1279</v>
      </c>
      <c r="F474" s="12" t="s">
        <v>1286</v>
      </c>
      <c r="G474" s="9" t="s">
        <v>57</v>
      </c>
      <c r="H474" s="9">
        <v>1</v>
      </c>
      <c r="I474" s="12" t="s">
        <v>1287</v>
      </c>
      <c r="J474" s="13" t="s">
        <v>1288</v>
      </c>
    </row>
    <row r="475" spans="1:10" ht="15" customHeight="1" x14ac:dyDescent="0.25">
      <c r="A475" s="9">
        <v>470</v>
      </c>
      <c r="B475" s="16" t="s">
        <v>865</v>
      </c>
      <c r="C475" s="17" t="s">
        <v>1264</v>
      </c>
      <c r="D475" s="12" t="s">
        <v>1265</v>
      </c>
      <c r="E475" s="12" t="s">
        <v>1279</v>
      </c>
      <c r="F475" s="12" t="s">
        <v>1289</v>
      </c>
      <c r="G475" s="9" t="s">
        <v>57</v>
      </c>
      <c r="H475" s="9">
        <v>1</v>
      </c>
      <c r="I475" s="12" t="s">
        <v>1290</v>
      </c>
      <c r="J475" s="13" t="s">
        <v>1291</v>
      </c>
    </row>
    <row r="476" spans="1:10" ht="15" customHeight="1" x14ac:dyDescent="0.25">
      <c r="A476" s="9">
        <v>471</v>
      </c>
      <c r="B476" s="16" t="s">
        <v>865</v>
      </c>
      <c r="C476" s="17" t="s">
        <v>1264</v>
      </c>
      <c r="D476" s="12" t="s">
        <v>1265</v>
      </c>
      <c r="E476" s="12" t="s">
        <v>1292</v>
      </c>
      <c r="F476" s="12" t="s">
        <v>1293</v>
      </c>
      <c r="G476" s="9" t="s">
        <v>57</v>
      </c>
      <c r="H476" s="9">
        <v>1</v>
      </c>
      <c r="I476" s="12" t="s">
        <v>1294</v>
      </c>
      <c r="J476" s="13" t="s">
        <v>1295</v>
      </c>
    </row>
    <row r="477" spans="1:10" ht="15" customHeight="1" x14ac:dyDescent="0.25">
      <c r="A477" s="9">
        <v>472</v>
      </c>
      <c r="B477" s="16" t="s">
        <v>865</v>
      </c>
      <c r="C477" s="17" t="s">
        <v>1264</v>
      </c>
      <c r="D477" s="12" t="s">
        <v>1265</v>
      </c>
      <c r="E477" s="12" t="s">
        <v>1292</v>
      </c>
      <c r="F477" s="12" t="s">
        <v>1296</v>
      </c>
      <c r="G477" s="9" t="s">
        <v>57</v>
      </c>
      <c r="H477" s="9">
        <v>1</v>
      </c>
      <c r="I477" s="12" t="s">
        <v>1297</v>
      </c>
      <c r="J477" s="13" t="s">
        <v>1298</v>
      </c>
    </row>
    <row r="478" spans="1:10" ht="15" customHeight="1" x14ac:dyDescent="0.25">
      <c r="A478" s="9">
        <v>473</v>
      </c>
      <c r="B478" s="16" t="s">
        <v>865</v>
      </c>
      <c r="C478" s="17" t="s">
        <v>1264</v>
      </c>
      <c r="D478" s="12" t="s">
        <v>1265</v>
      </c>
      <c r="E478" s="12" t="s">
        <v>1292</v>
      </c>
      <c r="F478" s="12" t="s">
        <v>1299</v>
      </c>
      <c r="G478" s="9" t="s">
        <v>57</v>
      </c>
      <c r="H478" s="9">
        <v>1</v>
      </c>
      <c r="I478" s="12" t="s">
        <v>1300</v>
      </c>
      <c r="J478" s="13" t="s">
        <v>1301</v>
      </c>
    </row>
    <row r="479" spans="1:10" ht="15" customHeight="1" x14ac:dyDescent="0.25">
      <c r="A479" s="9">
        <v>474</v>
      </c>
      <c r="B479" s="16" t="s">
        <v>865</v>
      </c>
      <c r="C479" s="17" t="s">
        <v>1264</v>
      </c>
      <c r="D479" s="12" t="s">
        <v>1265</v>
      </c>
      <c r="E479" s="12" t="s">
        <v>1302</v>
      </c>
      <c r="F479" s="12" t="s">
        <v>1303</v>
      </c>
      <c r="G479" s="9" t="s">
        <v>57</v>
      </c>
      <c r="H479" s="9">
        <v>1</v>
      </c>
      <c r="I479" s="12" t="s">
        <v>1304</v>
      </c>
      <c r="J479" s="13" t="s">
        <v>1305</v>
      </c>
    </row>
    <row r="480" spans="1:10" ht="15" customHeight="1" x14ac:dyDescent="0.25">
      <c r="A480" s="9">
        <v>475</v>
      </c>
      <c r="B480" s="16" t="s">
        <v>865</v>
      </c>
      <c r="C480" s="17" t="s">
        <v>1264</v>
      </c>
      <c r="D480" s="12" t="s">
        <v>1265</v>
      </c>
      <c r="E480" s="12" t="s">
        <v>1302</v>
      </c>
      <c r="F480" s="12" t="s">
        <v>1306</v>
      </c>
      <c r="G480" s="9" t="s">
        <v>57</v>
      </c>
      <c r="H480" s="9">
        <v>1</v>
      </c>
      <c r="I480" s="12" t="s">
        <v>1307</v>
      </c>
      <c r="J480" s="13" t="s">
        <v>1308</v>
      </c>
    </row>
    <row r="481" spans="1:10" ht="15" customHeight="1" x14ac:dyDescent="0.25">
      <c r="A481" s="9">
        <v>476</v>
      </c>
      <c r="B481" s="16" t="s">
        <v>865</v>
      </c>
      <c r="C481" s="17" t="s">
        <v>1264</v>
      </c>
      <c r="D481" s="12" t="s">
        <v>1265</v>
      </c>
      <c r="E481" s="12" t="s">
        <v>1302</v>
      </c>
      <c r="F481" s="12" t="s">
        <v>1309</v>
      </c>
      <c r="G481" s="9" t="s">
        <v>35</v>
      </c>
      <c r="H481" s="9">
        <v>1</v>
      </c>
      <c r="I481" s="12" t="s">
        <v>1310</v>
      </c>
      <c r="J481" s="13" t="s">
        <v>1311</v>
      </c>
    </row>
    <row r="482" spans="1:10" ht="15" customHeight="1" x14ac:dyDescent="0.25">
      <c r="A482" s="9">
        <v>477</v>
      </c>
      <c r="B482" s="16" t="s">
        <v>865</v>
      </c>
      <c r="C482" s="17" t="s">
        <v>1264</v>
      </c>
      <c r="D482" s="12" t="s">
        <v>1265</v>
      </c>
      <c r="E482" s="12" t="s">
        <v>1302</v>
      </c>
      <c r="F482" s="12" t="s">
        <v>1312</v>
      </c>
      <c r="G482" s="9" t="s">
        <v>35</v>
      </c>
      <c r="H482" s="9">
        <v>1</v>
      </c>
      <c r="I482" s="12" t="s">
        <v>1313</v>
      </c>
      <c r="J482" s="13" t="s">
        <v>1314</v>
      </c>
    </row>
    <row r="483" spans="1:10" ht="15" customHeight="1" x14ac:dyDescent="0.25">
      <c r="A483" s="9">
        <v>478</v>
      </c>
      <c r="B483" s="16" t="s">
        <v>865</v>
      </c>
      <c r="C483" s="17" t="s">
        <v>1315</v>
      </c>
      <c r="D483" s="12" t="s">
        <v>1316</v>
      </c>
      <c r="E483" s="12" t="s">
        <v>1317</v>
      </c>
      <c r="F483" s="12" t="s">
        <v>1318</v>
      </c>
      <c r="G483" s="9" t="s">
        <v>35</v>
      </c>
      <c r="H483" s="9">
        <v>1</v>
      </c>
      <c r="I483" s="12" t="s">
        <v>1319</v>
      </c>
      <c r="J483" s="13" t="s">
        <v>1320</v>
      </c>
    </row>
    <row r="484" spans="1:10" ht="15" customHeight="1" x14ac:dyDescent="0.25">
      <c r="A484" s="9">
        <v>479</v>
      </c>
      <c r="B484" s="16" t="s">
        <v>865</v>
      </c>
      <c r="C484" s="17" t="s">
        <v>1315</v>
      </c>
      <c r="D484" s="12" t="s">
        <v>1316</v>
      </c>
      <c r="E484" s="12" t="s">
        <v>1317</v>
      </c>
      <c r="F484" s="12" t="s">
        <v>1321</v>
      </c>
      <c r="G484" s="9" t="s">
        <v>35</v>
      </c>
      <c r="H484" s="9">
        <v>1</v>
      </c>
      <c r="I484" s="12" t="s">
        <v>1322</v>
      </c>
      <c r="J484" s="13" t="s">
        <v>1323</v>
      </c>
    </row>
    <row r="485" spans="1:10" ht="15" customHeight="1" x14ac:dyDescent="0.25">
      <c r="A485" s="9">
        <v>480</v>
      </c>
      <c r="B485" s="16" t="s">
        <v>865</v>
      </c>
      <c r="C485" s="17" t="s">
        <v>1315</v>
      </c>
      <c r="D485" s="12" t="s">
        <v>1316</v>
      </c>
      <c r="E485" s="12" t="s">
        <v>1317</v>
      </c>
      <c r="F485" s="12" t="s">
        <v>1324</v>
      </c>
      <c r="G485" s="9" t="s">
        <v>35</v>
      </c>
      <c r="H485" s="9">
        <v>1</v>
      </c>
      <c r="I485" s="12" t="s">
        <v>1325</v>
      </c>
      <c r="J485" s="13" t="s">
        <v>1326</v>
      </c>
    </row>
    <row r="486" spans="1:10" ht="15" customHeight="1" x14ac:dyDescent="0.25">
      <c r="A486" s="9">
        <v>481</v>
      </c>
      <c r="B486" s="16" t="s">
        <v>865</v>
      </c>
      <c r="C486" s="17" t="s">
        <v>1315</v>
      </c>
      <c r="D486" s="12" t="s">
        <v>1316</v>
      </c>
      <c r="E486" s="12" t="s">
        <v>1317</v>
      </c>
      <c r="F486" s="12" t="s">
        <v>1327</v>
      </c>
      <c r="G486" s="9" t="s">
        <v>35</v>
      </c>
      <c r="H486" s="9">
        <v>1</v>
      </c>
      <c r="I486" s="12" t="s">
        <v>1328</v>
      </c>
      <c r="J486" s="13" t="s">
        <v>1329</v>
      </c>
    </row>
    <row r="487" spans="1:10" ht="15" customHeight="1" x14ac:dyDescent="0.25">
      <c r="A487" s="9">
        <v>482</v>
      </c>
      <c r="B487" s="16" t="s">
        <v>865</v>
      </c>
      <c r="C487" s="17" t="s">
        <v>1330</v>
      </c>
      <c r="D487" s="12" t="s">
        <v>1331</v>
      </c>
      <c r="E487" s="12" t="s">
        <v>1332</v>
      </c>
      <c r="F487" s="12" t="s">
        <v>1333</v>
      </c>
      <c r="G487" s="9" t="s">
        <v>57</v>
      </c>
      <c r="H487" s="9">
        <v>1</v>
      </c>
      <c r="I487" s="12" t="s">
        <v>1334</v>
      </c>
      <c r="J487" s="13" t="s">
        <v>1335</v>
      </c>
    </row>
    <row r="488" spans="1:10" ht="15" customHeight="1" x14ac:dyDescent="0.25">
      <c r="A488" s="9">
        <v>483</v>
      </c>
      <c r="B488" s="16" t="s">
        <v>865</v>
      </c>
      <c r="C488" s="17" t="s">
        <v>1330</v>
      </c>
      <c r="D488" s="12" t="s">
        <v>1331</v>
      </c>
      <c r="E488" s="12" t="s">
        <v>1332</v>
      </c>
      <c r="F488" s="12" t="s">
        <v>1336</v>
      </c>
      <c r="G488" s="9" t="s">
        <v>57</v>
      </c>
      <c r="H488" s="9">
        <v>1</v>
      </c>
      <c r="I488" s="12" t="s">
        <v>1337</v>
      </c>
      <c r="J488" s="13" t="s">
        <v>1338</v>
      </c>
    </row>
    <row r="489" spans="1:10" ht="15" customHeight="1" x14ac:dyDescent="0.25">
      <c r="A489" s="9">
        <v>484</v>
      </c>
      <c r="B489" s="16" t="s">
        <v>865</v>
      </c>
      <c r="C489" s="17" t="s">
        <v>1330</v>
      </c>
      <c r="D489" s="12" t="s">
        <v>1331</v>
      </c>
      <c r="E489" s="12" t="s">
        <v>1332</v>
      </c>
      <c r="F489" s="12" t="s">
        <v>1339</v>
      </c>
      <c r="G489" s="9" t="s">
        <v>57</v>
      </c>
      <c r="H489" s="9">
        <v>1</v>
      </c>
      <c r="I489" s="12" t="s">
        <v>1340</v>
      </c>
      <c r="J489" s="13" t="s">
        <v>1341</v>
      </c>
    </row>
    <row r="490" spans="1:10" ht="15" customHeight="1" x14ac:dyDescent="0.25">
      <c r="A490" s="9">
        <v>485</v>
      </c>
      <c r="B490" s="16" t="s">
        <v>865</v>
      </c>
      <c r="C490" s="17" t="s">
        <v>1330</v>
      </c>
      <c r="D490" s="12" t="s">
        <v>1331</v>
      </c>
      <c r="E490" s="12" t="s">
        <v>1332</v>
      </c>
      <c r="F490" s="12" t="s">
        <v>1342</v>
      </c>
      <c r="G490" s="9" t="s">
        <v>57</v>
      </c>
      <c r="H490" s="9">
        <v>1</v>
      </c>
      <c r="I490" s="12" t="s">
        <v>1343</v>
      </c>
      <c r="J490" s="13" t="s">
        <v>1344</v>
      </c>
    </row>
    <row r="491" spans="1:10" ht="15" customHeight="1" x14ac:dyDescent="0.25">
      <c r="A491" s="9">
        <v>486</v>
      </c>
      <c r="B491" s="16" t="s">
        <v>865</v>
      </c>
      <c r="C491" s="17" t="s">
        <v>1330</v>
      </c>
      <c r="D491" s="12" t="s">
        <v>1331</v>
      </c>
      <c r="E491" s="12" t="s">
        <v>1345</v>
      </c>
      <c r="F491" s="12" t="s">
        <v>1345</v>
      </c>
      <c r="G491" s="9" t="s">
        <v>57</v>
      </c>
      <c r="H491" s="9">
        <v>1</v>
      </c>
      <c r="I491" s="12" t="s">
        <v>1346</v>
      </c>
      <c r="J491" s="13" t="s">
        <v>1347</v>
      </c>
    </row>
    <row r="492" spans="1:10" ht="15" customHeight="1" x14ac:dyDescent="0.25">
      <c r="A492" s="9">
        <v>487</v>
      </c>
      <c r="B492" s="16" t="s">
        <v>865</v>
      </c>
      <c r="C492" s="17" t="s">
        <v>1330</v>
      </c>
      <c r="D492" s="12" t="s">
        <v>1331</v>
      </c>
      <c r="E492" s="12" t="s">
        <v>1348</v>
      </c>
      <c r="F492" s="12" t="s">
        <v>1349</v>
      </c>
      <c r="G492" s="9" t="s">
        <v>57</v>
      </c>
      <c r="H492" s="9">
        <v>1</v>
      </c>
      <c r="I492" s="12" t="s">
        <v>1350</v>
      </c>
      <c r="J492" s="13" t="s">
        <v>1351</v>
      </c>
    </row>
    <row r="493" spans="1:10" ht="15" customHeight="1" x14ac:dyDescent="0.25">
      <c r="A493" s="9">
        <v>488</v>
      </c>
      <c r="B493" s="16" t="s">
        <v>865</v>
      </c>
      <c r="C493" s="17" t="s">
        <v>1330</v>
      </c>
      <c r="D493" s="12" t="s">
        <v>1331</v>
      </c>
      <c r="E493" s="12" t="s">
        <v>1348</v>
      </c>
      <c r="F493" s="12" t="s">
        <v>1352</v>
      </c>
      <c r="G493" s="9" t="s">
        <v>35</v>
      </c>
      <c r="H493" s="9">
        <v>1</v>
      </c>
      <c r="I493" s="12" t="s">
        <v>1353</v>
      </c>
      <c r="J493" s="13" t="s">
        <v>1354</v>
      </c>
    </row>
    <row r="494" spans="1:10" ht="15" customHeight="1" x14ac:dyDescent="0.25">
      <c r="A494" s="9">
        <v>489</v>
      </c>
      <c r="B494" s="16" t="s">
        <v>865</v>
      </c>
      <c r="C494" s="17" t="s">
        <v>1330</v>
      </c>
      <c r="D494" s="12" t="s">
        <v>1331</v>
      </c>
      <c r="E494" s="12" t="s">
        <v>1348</v>
      </c>
      <c r="F494" s="12" t="s">
        <v>1355</v>
      </c>
      <c r="G494" s="9" t="s">
        <v>35</v>
      </c>
      <c r="H494" s="9">
        <v>1</v>
      </c>
      <c r="I494" s="12" t="s">
        <v>1356</v>
      </c>
      <c r="J494" s="13" t="s">
        <v>1357</v>
      </c>
    </row>
    <row r="495" spans="1:10" ht="15" customHeight="1" x14ac:dyDescent="0.25">
      <c r="A495" s="9">
        <v>490</v>
      </c>
      <c r="B495" s="16" t="s">
        <v>865</v>
      </c>
      <c r="C495" s="17" t="s">
        <v>1358</v>
      </c>
      <c r="D495" s="12" t="s">
        <v>1359</v>
      </c>
      <c r="E495" s="12" t="s">
        <v>1360</v>
      </c>
      <c r="F495" s="12" t="s">
        <v>1361</v>
      </c>
      <c r="G495" s="9" t="s">
        <v>35</v>
      </c>
      <c r="H495" s="9">
        <v>1</v>
      </c>
      <c r="I495" s="12" t="s">
        <v>1362</v>
      </c>
      <c r="J495" s="13" t="s">
        <v>1363</v>
      </c>
    </row>
    <row r="496" spans="1:10" ht="15" customHeight="1" x14ac:dyDescent="0.25">
      <c r="A496" s="9">
        <v>491</v>
      </c>
      <c r="B496" s="16" t="s">
        <v>865</v>
      </c>
      <c r="C496" s="17" t="s">
        <v>1358</v>
      </c>
      <c r="D496" s="12" t="s">
        <v>1359</v>
      </c>
      <c r="E496" s="12" t="s">
        <v>1360</v>
      </c>
      <c r="F496" s="12" t="s">
        <v>1364</v>
      </c>
      <c r="G496" s="9" t="s">
        <v>35</v>
      </c>
      <c r="H496" s="9">
        <v>1</v>
      </c>
      <c r="I496" s="12" t="s">
        <v>1365</v>
      </c>
      <c r="J496" s="13" t="s">
        <v>1366</v>
      </c>
    </row>
    <row r="497" spans="1:10" ht="15" customHeight="1" x14ac:dyDescent="0.25">
      <c r="A497" s="9">
        <v>492</v>
      </c>
      <c r="B497" s="16" t="s">
        <v>865</v>
      </c>
      <c r="C497" s="17" t="s">
        <v>1358</v>
      </c>
      <c r="D497" s="12" t="s">
        <v>1359</v>
      </c>
      <c r="E497" s="12" t="s">
        <v>1360</v>
      </c>
      <c r="F497" s="12" t="s">
        <v>1367</v>
      </c>
      <c r="G497" s="9" t="s">
        <v>35</v>
      </c>
      <c r="H497" s="9">
        <v>1</v>
      </c>
      <c r="I497" s="12" t="s">
        <v>1368</v>
      </c>
      <c r="J497" s="13" t="s">
        <v>1369</v>
      </c>
    </row>
    <row r="498" spans="1:10" ht="15" customHeight="1" x14ac:dyDescent="0.25">
      <c r="A498" s="9">
        <v>493</v>
      </c>
      <c r="B498" s="16" t="s">
        <v>865</v>
      </c>
      <c r="C498" s="17" t="s">
        <v>1358</v>
      </c>
      <c r="D498" s="12" t="s">
        <v>1359</v>
      </c>
      <c r="E498" s="12" t="s">
        <v>1360</v>
      </c>
      <c r="F498" s="12" t="s">
        <v>1370</v>
      </c>
      <c r="G498" s="9" t="s">
        <v>35</v>
      </c>
      <c r="H498" s="9">
        <v>1</v>
      </c>
      <c r="I498" s="12" t="s">
        <v>1371</v>
      </c>
      <c r="J498" s="13" t="s">
        <v>1372</v>
      </c>
    </row>
    <row r="499" spans="1:10" ht="15" customHeight="1" x14ac:dyDescent="0.25">
      <c r="A499" s="9">
        <v>494</v>
      </c>
      <c r="B499" s="16" t="s">
        <v>865</v>
      </c>
      <c r="C499" s="17" t="s">
        <v>1358</v>
      </c>
      <c r="D499" s="12" t="s">
        <v>1359</v>
      </c>
      <c r="E499" s="12" t="s">
        <v>1360</v>
      </c>
      <c r="F499" s="12" t="s">
        <v>1373</v>
      </c>
      <c r="G499" s="9" t="s">
        <v>35</v>
      </c>
      <c r="H499" s="9">
        <v>1</v>
      </c>
      <c r="I499" s="12" t="s">
        <v>1374</v>
      </c>
      <c r="J499" s="13" t="s">
        <v>1375</v>
      </c>
    </row>
    <row r="500" spans="1:10" ht="15" customHeight="1" x14ac:dyDescent="0.25">
      <c r="A500" s="9">
        <v>495</v>
      </c>
      <c r="B500" s="18" t="s">
        <v>1376</v>
      </c>
      <c r="C500" s="19" t="s">
        <v>1377</v>
      </c>
      <c r="D500" s="12" t="s">
        <v>1378</v>
      </c>
      <c r="E500" s="12" t="s">
        <v>1379</v>
      </c>
      <c r="F500" s="12" t="s">
        <v>1380</v>
      </c>
      <c r="G500" s="9" t="s">
        <v>18</v>
      </c>
      <c r="H500" s="9">
        <v>1</v>
      </c>
      <c r="I500" s="12" t="s">
        <v>1381</v>
      </c>
      <c r="J500" s="13" t="s">
        <v>1382</v>
      </c>
    </row>
    <row r="501" spans="1:10" ht="15" customHeight="1" x14ac:dyDescent="0.25">
      <c r="A501" s="9">
        <v>496</v>
      </c>
      <c r="B501" s="18" t="s">
        <v>1376</v>
      </c>
      <c r="C501" s="19" t="s">
        <v>1377</v>
      </c>
      <c r="D501" s="12" t="s">
        <v>1378</v>
      </c>
      <c r="E501" s="12" t="s">
        <v>1379</v>
      </c>
      <c r="F501" s="12" t="s">
        <v>1383</v>
      </c>
      <c r="G501" s="9" t="s">
        <v>22</v>
      </c>
      <c r="H501" s="9">
        <v>1</v>
      </c>
      <c r="I501" s="12" t="s">
        <v>1384</v>
      </c>
      <c r="J501" s="13" t="s">
        <v>1385</v>
      </c>
    </row>
    <row r="502" spans="1:10" ht="15" customHeight="1" x14ac:dyDescent="0.25">
      <c r="A502" s="9">
        <v>497</v>
      </c>
      <c r="B502" s="18" t="s">
        <v>1376</v>
      </c>
      <c r="C502" s="19" t="s">
        <v>1377</v>
      </c>
      <c r="D502" s="12" t="s">
        <v>1378</v>
      </c>
      <c r="E502" s="12" t="s">
        <v>1379</v>
      </c>
      <c r="F502" s="12" t="s">
        <v>31</v>
      </c>
      <c r="G502" s="9" t="s">
        <v>18</v>
      </c>
      <c r="H502" s="9">
        <v>1</v>
      </c>
      <c r="I502" s="12" t="s">
        <v>32</v>
      </c>
      <c r="J502" s="13" t="s">
        <v>1386</v>
      </c>
    </row>
    <row r="503" spans="1:10" ht="15" customHeight="1" x14ac:dyDescent="0.25">
      <c r="A503" s="9">
        <v>498</v>
      </c>
      <c r="B503" s="18" t="s">
        <v>1376</v>
      </c>
      <c r="C503" s="19" t="s">
        <v>1387</v>
      </c>
      <c r="D503" s="12" t="s">
        <v>1378</v>
      </c>
      <c r="E503" s="12" t="s">
        <v>1388</v>
      </c>
      <c r="F503" s="12" t="s">
        <v>1389</v>
      </c>
      <c r="G503" s="9" t="s">
        <v>18</v>
      </c>
      <c r="H503" s="9">
        <v>1</v>
      </c>
      <c r="I503" s="12" t="s">
        <v>1390</v>
      </c>
      <c r="J503" s="13" t="s">
        <v>1391</v>
      </c>
    </row>
    <row r="504" spans="1:10" ht="15" customHeight="1" x14ac:dyDescent="0.25">
      <c r="A504" s="9">
        <v>499</v>
      </c>
      <c r="B504" s="18" t="s">
        <v>1376</v>
      </c>
      <c r="C504" s="19" t="s">
        <v>1387</v>
      </c>
      <c r="D504" s="12" t="s">
        <v>1378</v>
      </c>
      <c r="E504" s="12" t="s">
        <v>1388</v>
      </c>
      <c r="F504" s="12" t="s">
        <v>1392</v>
      </c>
      <c r="G504" s="9" t="s">
        <v>18</v>
      </c>
      <c r="H504" s="9">
        <v>1</v>
      </c>
      <c r="I504" s="12" t="s">
        <v>1393</v>
      </c>
      <c r="J504" s="13" t="s">
        <v>1394</v>
      </c>
    </row>
    <row r="505" spans="1:10" ht="15" customHeight="1" x14ac:dyDescent="0.25">
      <c r="A505" s="9">
        <v>500</v>
      </c>
      <c r="B505" s="18" t="s">
        <v>1376</v>
      </c>
      <c r="C505" s="19" t="s">
        <v>1387</v>
      </c>
      <c r="D505" s="12" t="s">
        <v>1378</v>
      </c>
      <c r="E505" s="12" t="s">
        <v>1388</v>
      </c>
      <c r="F505" s="12" t="s">
        <v>1395</v>
      </c>
      <c r="G505" s="9" t="s">
        <v>18</v>
      </c>
      <c r="H505" s="9">
        <v>1</v>
      </c>
      <c r="I505" s="12" t="s">
        <v>1396</v>
      </c>
      <c r="J505" s="13" t="s">
        <v>1397</v>
      </c>
    </row>
    <row r="506" spans="1:10" ht="15" customHeight="1" x14ac:dyDescent="0.25">
      <c r="A506" s="9">
        <v>501</v>
      </c>
      <c r="B506" s="18" t="s">
        <v>1376</v>
      </c>
      <c r="C506" s="19" t="s">
        <v>1387</v>
      </c>
      <c r="D506" s="12" t="s">
        <v>1378</v>
      </c>
      <c r="E506" s="12" t="s">
        <v>1388</v>
      </c>
      <c r="F506" s="12" t="s">
        <v>1398</v>
      </c>
      <c r="G506" s="9" t="s">
        <v>61</v>
      </c>
      <c r="H506" s="9">
        <v>1</v>
      </c>
      <c r="I506" s="12" t="s">
        <v>1399</v>
      </c>
      <c r="J506" s="13" t="s">
        <v>1400</v>
      </c>
    </row>
    <row r="507" spans="1:10" ht="15" customHeight="1" x14ac:dyDescent="0.25">
      <c r="A507" s="9">
        <v>502</v>
      </c>
      <c r="B507" s="18" t="s">
        <v>1376</v>
      </c>
      <c r="C507" s="19" t="s">
        <v>1387</v>
      </c>
      <c r="D507" s="12" t="s">
        <v>1378</v>
      </c>
      <c r="E507" s="12" t="s">
        <v>1388</v>
      </c>
      <c r="F507" s="12" t="s">
        <v>1401</v>
      </c>
      <c r="G507" s="9" t="s">
        <v>61</v>
      </c>
      <c r="H507" s="9">
        <v>1</v>
      </c>
      <c r="I507" s="12" t="s">
        <v>1402</v>
      </c>
      <c r="J507" s="13" t="s">
        <v>1403</v>
      </c>
    </row>
    <row r="508" spans="1:10" ht="15" customHeight="1" x14ac:dyDescent="0.25">
      <c r="A508" s="9">
        <v>503</v>
      </c>
      <c r="B508" s="18" t="s">
        <v>1376</v>
      </c>
      <c r="C508" s="19" t="s">
        <v>1387</v>
      </c>
      <c r="D508" s="12" t="s">
        <v>1378</v>
      </c>
      <c r="E508" s="12" t="s">
        <v>1388</v>
      </c>
      <c r="F508" s="12" t="s">
        <v>1404</v>
      </c>
      <c r="G508" s="9" t="s">
        <v>18</v>
      </c>
      <c r="H508" s="9">
        <v>1</v>
      </c>
      <c r="I508" s="12" t="s">
        <v>1405</v>
      </c>
      <c r="J508" s="13" t="s">
        <v>1406</v>
      </c>
    </row>
    <row r="509" spans="1:10" ht="15" customHeight="1" x14ac:dyDescent="0.25">
      <c r="A509" s="9">
        <v>504</v>
      </c>
      <c r="B509" s="18" t="s">
        <v>1376</v>
      </c>
      <c r="C509" s="19" t="s">
        <v>1407</v>
      </c>
      <c r="D509" s="12" t="s">
        <v>1378</v>
      </c>
      <c r="E509" s="12" t="s">
        <v>1408</v>
      </c>
      <c r="F509" s="12" t="s">
        <v>1409</v>
      </c>
      <c r="G509" s="9" t="s">
        <v>22</v>
      </c>
      <c r="H509" s="9">
        <v>1</v>
      </c>
      <c r="I509" s="12" t="s">
        <v>1410</v>
      </c>
      <c r="J509" s="13" t="s">
        <v>1411</v>
      </c>
    </row>
    <row r="510" spans="1:10" ht="15" customHeight="1" x14ac:dyDescent="0.25">
      <c r="A510" s="9">
        <v>505</v>
      </c>
      <c r="B510" s="18" t="s">
        <v>1376</v>
      </c>
      <c r="C510" s="19" t="s">
        <v>1407</v>
      </c>
      <c r="D510" s="12" t="s">
        <v>1378</v>
      </c>
      <c r="E510" s="12" t="s">
        <v>1408</v>
      </c>
      <c r="F510" s="12" t="s">
        <v>1412</v>
      </c>
      <c r="G510" s="9" t="s">
        <v>18</v>
      </c>
      <c r="H510" s="9">
        <v>1</v>
      </c>
      <c r="I510" s="12" t="s">
        <v>1413</v>
      </c>
      <c r="J510" s="13" t="s">
        <v>1414</v>
      </c>
    </row>
    <row r="511" spans="1:10" ht="15" customHeight="1" x14ac:dyDescent="0.25">
      <c r="A511" s="9">
        <v>506</v>
      </c>
      <c r="B511" s="18" t="s">
        <v>1376</v>
      </c>
      <c r="C511" s="19" t="s">
        <v>1407</v>
      </c>
      <c r="D511" s="12" t="s">
        <v>1378</v>
      </c>
      <c r="E511" s="12" t="s">
        <v>1408</v>
      </c>
      <c r="F511" s="12" t="s">
        <v>1415</v>
      </c>
      <c r="G511" s="9" t="s">
        <v>57</v>
      </c>
      <c r="H511" s="9">
        <v>1</v>
      </c>
      <c r="I511" s="12" t="s">
        <v>1416</v>
      </c>
      <c r="J511" s="13" t="s">
        <v>1417</v>
      </c>
    </row>
    <row r="512" spans="1:10" ht="15" customHeight="1" x14ac:dyDescent="0.25">
      <c r="A512" s="9">
        <v>507</v>
      </c>
      <c r="B512" s="18" t="s">
        <v>1376</v>
      </c>
      <c r="C512" s="19" t="s">
        <v>1407</v>
      </c>
      <c r="D512" s="12" t="s">
        <v>1378</v>
      </c>
      <c r="E512" s="12" t="s">
        <v>1408</v>
      </c>
      <c r="F512" s="12" t="s">
        <v>1418</v>
      </c>
      <c r="G512" s="9" t="s">
        <v>57</v>
      </c>
      <c r="H512" s="9">
        <v>1</v>
      </c>
      <c r="I512" s="12" t="s">
        <v>1419</v>
      </c>
      <c r="J512" s="13" t="s">
        <v>1420</v>
      </c>
    </row>
    <row r="513" spans="1:10" ht="15" customHeight="1" x14ac:dyDescent="0.25">
      <c r="A513" s="9">
        <v>508</v>
      </c>
      <c r="B513" s="18" t="s">
        <v>1376</v>
      </c>
      <c r="C513" s="19" t="s">
        <v>1407</v>
      </c>
      <c r="D513" s="12" t="s">
        <v>1378</v>
      </c>
      <c r="E513" s="12" t="s">
        <v>1408</v>
      </c>
      <c r="F513" s="12" t="s">
        <v>1421</v>
      </c>
      <c r="G513" s="9" t="s">
        <v>35</v>
      </c>
      <c r="H513" s="9">
        <v>1</v>
      </c>
      <c r="I513" s="12" t="s">
        <v>1422</v>
      </c>
      <c r="J513" s="13" t="s">
        <v>1423</v>
      </c>
    </row>
    <row r="514" spans="1:10" ht="15" customHeight="1" x14ac:dyDescent="0.25">
      <c r="A514" s="9">
        <v>509</v>
      </c>
      <c r="B514" s="18" t="s">
        <v>1376</v>
      </c>
      <c r="C514" s="19" t="s">
        <v>1424</v>
      </c>
      <c r="D514" s="12" t="s">
        <v>1378</v>
      </c>
      <c r="E514" s="12" t="s">
        <v>1425</v>
      </c>
      <c r="F514" s="12" t="s">
        <v>1426</v>
      </c>
      <c r="G514" s="9" t="s">
        <v>61</v>
      </c>
      <c r="H514" s="9">
        <v>1</v>
      </c>
      <c r="I514" s="12" t="s">
        <v>1427</v>
      </c>
      <c r="J514" s="13" t="s">
        <v>1428</v>
      </c>
    </row>
    <row r="515" spans="1:10" ht="15" customHeight="1" x14ac:dyDescent="0.25">
      <c r="A515" s="9">
        <v>510</v>
      </c>
      <c r="B515" s="18" t="s">
        <v>1376</v>
      </c>
      <c r="C515" s="19" t="s">
        <v>1424</v>
      </c>
      <c r="D515" s="12" t="s">
        <v>1378</v>
      </c>
      <c r="E515" s="12" t="s">
        <v>1425</v>
      </c>
      <c r="F515" s="12" t="s">
        <v>1429</v>
      </c>
      <c r="G515" s="9" t="s">
        <v>57</v>
      </c>
      <c r="H515" s="9">
        <v>1</v>
      </c>
      <c r="I515" s="12" t="s">
        <v>1430</v>
      </c>
      <c r="J515" s="13" t="s">
        <v>1431</v>
      </c>
    </row>
    <row r="516" spans="1:10" ht="15" customHeight="1" x14ac:dyDescent="0.25">
      <c r="A516" s="9">
        <v>511</v>
      </c>
      <c r="B516" s="18" t="s">
        <v>1376</v>
      </c>
      <c r="C516" s="19" t="s">
        <v>1424</v>
      </c>
      <c r="D516" s="12" t="s">
        <v>1378</v>
      </c>
      <c r="E516" s="12" t="s">
        <v>1425</v>
      </c>
      <c r="F516" s="12" t="s">
        <v>556</v>
      </c>
      <c r="G516" s="9" t="s">
        <v>61</v>
      </c>
      <c r="H516" s="9">
        <v>1</v>
      </c>
      <c r="I516" s="12" t="s">
        <v>557</v>
      </c>
      <c r="J516" s="13" t="s">
        <v>1432</v>
      </c>
    </row>
    <row r="517" spans="1:10" ht="15" customHeight="1" x14ac:dyDescent="0.25">
      <c r="A517" s="9">
        <v>512</v>
      </c>
      <c r="B517" s="18" t="s">
        <v>1376</v>
      </c>
      <c r="C517" s="19" t="s">
        <v>1424</v>
      </c>
      <c r="D517" s="12" t="s">
        <v>1378</v>
      </c>
      <c r="E517" s="12" t="s">
        <v>1425</v>
      </c>
      <c r="F517" s="12" t="s">
        <v>1433</v>
      </c>
      <c r="G517" s="9" t="s">
        <v>18</v>
      </c>
      <c r="H517" s="9">
        <v>1</v>
      </c>
      <c r="I517" s="12" t="s">
        <v>1434</v>
      </c>
      <c r="J517" s="13" t="s">
        <v>1435</v>
      </c>
    </row>
    <row r="518" spans="1:10" ht="15" customHeight="1" x14ac:dyDescent="0.25">
      <c r="A518" s="9">
        <v>513</v>
      </c>
      <c r="B518" s="18" t="s">
        <v>1376</v>
      </c>
      <c r="C518" s="19" t="s">
        <v>1436</v>
      </c>
      <c r="D518" s="12" t="s">
        <v>1378</v>
      </c>
      <c r="E518" s="12" t="s">
        <v>1437</v>
      </c>
      <c r="F518" s="12" t="s">
        <v>1438</v>
      </c>
      <c r="G518" s="9" t="s">
        <v>57</v>
      </c>
      <c r="H518" s="9">
        <v>1</v>
      </c>
      <c r="I518" s="12" t="s">
        <v>1439</v>
      </c>
      <c r="J518" s="13" t="s">
        <v>1440</v>
      </c>
    </row>
    <row r="519" spans="1:10" ht="15" customHeight="1" x14ac:dyDescent="0.25">
      <c r="A519" s="9">
        <v>514</v>
      </c>
      <c r="B519" s="18" t="s">
        <v>1376</v>
      </c>
      <c r="C519" s="19" t="s">
        <v>1436</v>
      </c>
      <c r="D519" s="12" t="s">
        <v>1378</v>
      </c>
      <c r="E519" s="12" t="s">
        <v>1437</v>
      </c>
      <c r="F519" s="12" t="s">
        <v>1441</v>
      </c>
      <c r="G519" s="9" t="s">
        <v>57</v>
      </c>
      <c r="H519" s="9">
        <v>1</v>
      </c>
      <c r="I519" s="12" t="s">
        <v>1442</v>
      </c>
      <c r="J519" s="13" t="s">
        <v>1443</v>
      </c>
    </row>
    <row r="520" spans="1:10" ht="15" customHeight="1" x14ac:dyDescent="0.25">
      <c r="A520" s="9">
        <v>515</v>
      </c>
      <c r="B520" s="18" t="s">
        <v>1376</v>
      </c>
      <c r="C520" s="19" t="s">
        <v>1436</v>
      </c>
      <c r="D520" s="12" t="s">
        <v>1378</v>
      </c>
      <c r="E520" s="12" t="s">
        <v>1437</v>
      </c>
      <c r="F520" s="12" t="s">
        <v>1444</v>
      </c>
      <c r="G520" s="9" t="s">
        <v>57</v>
      </c>
      <c r="H520" s="9">
        <v>1</v>
      </c>
      <c r="I520" s="12" t="s">
        <v>1445</v>
      </c>
      <c r="J520" s="13" t="s">
        <v>1446</v>
      </c>
    </row>
    <row r="521" spans="1:10" ht="15" customHeight="1" x14ac:dyDescent="0.25">
      <c r="A521" s="9">
        <v>516</v>
      </c>
      <c r="B521" s="18" t="s">
        <v>1376</v>
      </c>
      <c r="C521" s="19" t="s">
        <v>1436</v>
      </c>
      <c r="D521" s="12" t="s">
        <v>1378</v>
      </c>
      <c r="E521" s="12" t="s">
        <v>1437</v>
      </c>
      <c r="F521" s="12" t="s">
        <v>1447</v>
      </c>
      <c r="G521" s="9" t="s">
        <v>18</v>
      </c>
      <c r="H521" s="9">
        <v>1</v>
      </c>
      <c r="I521" s="12" t="s">
        <v>1448</v>
      </c>
      <c r="J521" s="13" t="s">
        <v>1449</v>
      </c>
    </row>
    <row r="522" spans="1:10" ht="15" customHeight="1" x14ac:dyDescent="0.25">
      <c r="A522" s="9">
        <v>517</v>
      </c>
      <c r="B522" s="18" t="s">
        <v>1376</v>
      </c>
      <c r="C522" s="19" t="s">
        <v>1436</v>
      </c>
      <c r="D522" s="12" t="s">
        <v>1378</v>
      </c>
      <c r="E522" s="12" t="s">
        <v>1437</v>
      </c>
      <c r="F522" s="12" t="s">
        <v>1450</v>
      </c>
      <c r="G522" s="9" t="s">
        <v>57</v>
      </c>
      <c r="H522" s="9">
        <v>1</v>
      </c>
      <c r="I522" s="12" t="s">
        <v>1451</v>
      </c>
      <c r="J522" s="13" t="s">
        <v>1452</v>
      </c>
    </row>
    <row r="523" spans="1:10" ht="15" customHeight="1" x14ac:dyDescent="0.25">
      <c r="A523" s="9">
        <v>518</v>
      </c>
      <c r="B523" s="18" t="s">
        <v>1376</v>
      </c>
      <c r="C523" s="19" t="s">
        <v>1436</v>
      </c>
      <c r="D523" s="12" t="s">
        <v>1378</v>
      </c>
      <c r="E523" s="12" t="s">
        <v>1437</v>
      </c>
      <c r="F523" s="12" t="s">
        <v>1453</v>
      </c>
      <c r="G523" s="9" t="s">
        <v>35</v>
      </c>
      <c r="H523" s="9">
        <v>1</v>
      </c>
      <c r="I523" s="12" t="s">
        <v>1454</v>
      </c>
      <c r="J523" s="13" t="s">
        <v>1455</v>
      </c>
    </row>
  </sheetData>
  <autoFilter ref="A5:I523" xr:uid="{00000000-0009-0000-0000-000000000000}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8"/>
  <sheetViews>
    <sheetView showGridLines="0" tabSelected="1" zoomScaleNormal="100" workbookViewId="0">
      <pane ySplit="5" topLeftCell="A808" activePane="bottomLeft" state="frozen"/>
      <selection pane="bottomLeft" activeCell="A6" sqref="A6:XFD808"/>
    </sheetView>
  </sheetViews>
  <sheetFormatPr defaultColWidth="8.7109375" defaultRowHeight="15" x14ac:dyDescent="0.25"/>
  <cols>
    <col min="1" max="1" width="6" style="4" customWidth="1"/>
    <col min="2" max="2" width="17" style="4" customWidth="1"/>
    <col min="3" max="3" width="11" style="4" customWidth="1"/>
    <col min="4" max="4" width="26" style="4" customWidth="1"/>
    <col min="5" max="5" width="25" style="4" customWidth="1"/>
    <col min="6" max="6" width="28" style="4" customWidth="1"/>
    <col min="7" max="7" width="66" style="4" customWidth="1"/>
    <col min="8" max="8" width="8" style="4" customWidth="1"/>
    <col min="9" max="9" width="11" style="4" customWidth="1"/>
    <col min="10" max="10" width="13" style="4" customWidth="1"/>
    <col min="11" max="11" width="4" style="4" hidden="1" customWidth="1"/>
  </cols>
  <sheetData>
    <row r="1" spans="1:11" ht="18" customHeight="1" x14ac:dyDescent="0.3">
      <c r="A1" s="5" t="s">
        <v>1456</v>
      </c>
    </row>
    <row r="2" spans="1:11" ht="15" customHeight="1" x14ac:dyDescent="0.25">
      <c r="A2" s="6" t="s">
        <v>1457</v>
      </c>
    </row>
    <row r="3" spans="1:11" ht="15" customHeight="1" x14ac:dyDescent="0.25">
      <c r="A3" s="7" t="s">
        <v>1458</v>
      </c>
    </row>
    <row r="5" spans="1:11" ht="23.25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1459</v>
      </c>
      <c r="H5" s="8" t="s">
        <v>1460</v>
      </c>
      <c r="I5" s="8" t="s">
        <v>1461</v>
      </c>
      <c r="J5" s="8" t="s">
        <v>1462</v>
      </c>
      <c r="K5" s="8" t="s">
        <v>12</v>
      </c>
    </row>
    <row r="6" spans="1:11" ht="15" customHeight="1" x14ac:dyDescent="0.25">
      <c r="A6" s="9">
        <v>1</v>
      </c>
      <c r="B6" s="10" t="s">
        <v>13</v>
      </c>
      <c r="C6" s="11" t="s">
        <v>14</v>
      </c>
      <c r="D6" s="12" t="s">
        <v>15</v>
      </c>
      <c r="E6" s="12" t="s">
        <v>16</v>
      </c>
      <c r="F6" s="12" t="s">
        <v>17</v>
      </c>
      <c r="G6" s="12" t="s">
        <v>19</v>
      </c>
      <c r="H6" s="9" t="s">
        <v>18</v>
      </c>
      <c r="I6" s="9" t="str">
        <f>IFERROR(INDEX('Price List Library'!$P$6:$P$437,MATCH(TRIM($G6)&amp;"|"&amp;TRIM($H6),'Price List Library'!$S$6:$S$437,0)),"")</f>
        <v>Benchmark</v>
      </c>
      <c r="J6" s="20">
        <f>IFERROR(INDEX('Price List Library'!$O$6:$O$437,MATCH(TRIM($G6)&amp;"|"&amp;TRIM($H6),'Price List Library'!$S$6:$S$437,0)),0)</f>
        <v>0.82800000000000007</v>
      </c>
      <c r="K6" s="13" t="s">
        <v>1463</v>
      </c>
    </row>
    <row r="7" spans="1:11" ht="15" customHeight="1" x14ac:dyDescent="0.25">
      <c r="A7" s="9">
        <v>2</v>
      </c>
      <c r="B7" s="10" t="s">
        <v>13</v>
      </c>
      <c r="C7" s="11" t="s">
        <v>14</v>
      </c>
      <c r="D7" s="12" t="s">
        <v>15</v>
      </c>
      <c r="E7" s="12" t="s">
        <v>16</v>
      </c>
      <c r="F7" s="12" t="s">
        <v>21</v>
      </c>
      <c r="G7" s="12" t="s">
        <v>23</v>
      </c>
      <c r="H7" s="9" t="s">
        <v>22</v>
      </c>
      <c r="I7" s="9" t="str">
        <f>IFERROR(INDEX('Price List Library'!$P$6:$P$437,MATCH(TRIM($G7)&amp;"|"&amp;TRIM($H7),'Price List Library'!$S$6:$S$437,0)),"")</f>
        <v>Benchmark</v>
      </c>
      <c r="J7" s="20">
        <f>IFERROR(INDEX('Price List Library'!$O$6:$O$437,MATCH(TRIM($G7)&amp;"|"&amp;TRIM($H7),'Price List Library'!$S$6:$S$437,0)),0)</f>
        <v>3.448</v>
      </c>
      <c r="K7" s="13" t="s">
        <v>1464</v>
      </c>
    </row>
    <row r="8" spans="1:11" ht="15" customHeight="1" x14ac:dyDescent="0.25">
      <c r="A8" s="9">
        <v>3</v>
      </c>
      <c r="B8" s="10" t="s">
        <v>13</v>
      </c>
      <c r="C8" s="11" t="s">
        <v>14</v>
      </c>
      <c r="D8" s="12" t="s">
        <v>15</v>
      </c>
      <c r="E8" s="12" t="s">
        <v>16</v>
      </c>
      <c r="F8" s="12" t="s">
        <v>25</v>
      </c>
      <c r="G8" s="12" t="s">
        <v>26</v>
      </c>
      <c r="H8" s="9" t="s">
        <v>22</v>
      </c>
      <c r="I8" s="9" t="str">
        <f>IFERROR(INDEX('Price List Library'!$P$6:$P$437,MATCH(TRIM($G8)&amp;"|"&amp;TRIM($H8),'Price List Library'!$S$6:$S$437,0)),"")</f>
        <v>Benchmark</v>
      </c>
      <c r="J8" s="20">
        <f>IFERROR(INDEX('Price List Library'!$O$6:$O$437,MATCH(TRIM($G8)&amp;"|"&amp;TRIM($H8),'Price List Library'!$S$6:$S$437,0)),0)</f>
        <v>4.8479999999999999</v>
      </c>
      <c r="K8" s="13" t="s">
        <v>1465</v>
      </c>
    </row>
    <row r="9" spans="1:11" ht="15" customHeight="1" x14ac:dyDescent="0.25">
      <c r="A9" s="9">
        <v>4</v>
      </c>
      <c r="B9" s="10" t="s">
        <v>13</v>
      </c>
      <c r="C9" s="11" t="s">
        <v>14</v>
      </c>
      <c r="D9" s="12" t="s">
        <v>15</v>
      </c>
      <c r="E9" s="12" t="s">
        <v>16</v>
      </c>
      <c r="F9" s="12" t="s">
        <v>28</v>
      </c>
      <c r="G9" s="12" t="s">
        <v>29</v>
      </c>
      <c r="H9" s="9" t="s">
        <v>22</v>
      </c>
      <c r="I9" s="9" t="str">
        <f>IFERROR(INDEX('Price List Library'!$P$6:$P$437,MATCH(TRIM($G9)&amp;"|"&amp;TRIM($H9),'Price List Library'!$S$6:$S$437,0)),"")</f>
        <v>Benchmark</v>
      </c>
      <c r="J9" s="20">
        <f>IFERROR(INDEX('Price List Library'!$O$6:$O$437,MATCH(TRIM($G9)&amp;"|"&amp;TRIM($H9),'Price List Library'!$S$6:$S$437,0)),0)</f>
        <v>4.8639999999999999</v>
      </c>
      <c r="K9" s="13" t="s">
        <v>1466</v>
      </c>
    </row>
    <row r="10" spans="1:11" ht="15" customHeight="1" x14ac:dyDescent="0.25">
      <c r="A10" s="9">
        <v>5</v>
      </c>
      <c r="B10" s="10" t="s">
        <v>13</v>
      </c>
      <c r="C10" s="11" t="s">
        <v>14</v>
      </c>
      <c r="D10" s="12" t="s">
        <v>15</v>
      </c>
      <c r="E10" s="12" t="s">
        <v>16</v>
      </c>
      <c r="F10" s="12" t="s">
        <v>31</v>
      </c>
      <c r="G10" s="12" t="s">
        <v>32</v>
      </c>
      <c r="H10" s="9" t="s">
        <v>18</v>
      </c>
      <c r="I10" s="9" t="str">
        <f>IFERROR(INDEX('Price List Library'!$P$6:$P$437,MATCH(TRIM($G10)&amp;"|"&amp;TRIM($H10),'Price List Library'!$S$6:$S$437,0)),"")</f>
        <v>Benchmark</v>
      </c>
      <c r="J10" s="20">
        <f>IFERROR(INDEX('Price List Library'!$O$6:$O$437,MATCH(TRIM($G10)&amp;"|"&amp;TRIM($H10),'Price List Library'!$S$6:$S$437,0)),0)</f>
        <v>1.6</v>
      </c>
      <c r="K10" s="13" t="s">
        <v>1467</v>
      </c>
    </row>
    <row r="11" spans="1:11" ht="15" customHeight="1" x14ac:dyDescent="0.25">
      <c r="A11" s="9">
        <v>6</v>
      </c>
      <c r="B11" s="10" t="s">
        <v>13</v>
      </c>
      <c r="C11" s="11" t="s">
        <v>14</v>
      </c>
      <c r="D11" s="12" t="s">
        <v>15</v>
      </c>
      <c r="E11" s="12" t="s">
        <v>16</v>
      </c>
      <c r="F11" s="12" t="s">
        <v>34</v>
      </c>
      <c r="G11" s="12" t="s">
        <v>36</v>
      </c>
      <c r="H11" s="9" t="s">
        <v>35</v>
      </c>
      <c r="I11" s="9" t="str">
        <f>IFERROR(INDEX('Price List Library'!$P$6:$P$437,MATCH(TRIM($G11)&amp;"|"&amp;TRIM($H11),'Price List Library'!$S$6:$S$437,0)),"")</f>
        <v>Benchmark</v>
      </c>
      <c r="J11" s="20">
        <f>IFERROR(INDEX('Price List Library'!$O$6:$O$437,MATCH(TRIM($G11)&amp;"|"&amp;TRIM($H11),'Price List Library'!$S$6:$S$437,0)),0)</f>
        <v>3504</v>
      </c>
      <c r="K11" s="13" t="s">
        <v>1468</v>
      </c>
    </row>
    <row r="12" spans="1:11" ht="15" customHeight="1" x14ac:dyDescent="0.25">
      <c r="A12" s="9">
        <v>7</v>
      </c>
      <c r="B12" s="10" t="s">
        <v>13</v>
      </c>
      <c r="C12" s="11" t="s">
        <v>14</v>
      </c>
      <c r="D12" s="12" t="s">
        <v>15</v>
      </c>
      <c r="E12" s="12" t="s">
        <v>16</v>
      </c>
      <c r="F12" s="12" t="s">
        <v>38</v>
      </c>
      <c r="G12" s="12" t="s">
        <v>39</v>
      </c>
      <c r="H12" s="9" t="s">
        <v>18</v>
      </c>
      <c r="I12" s="9" t="str">
        <f>IFERROR(INDEX('Price List Library'!$P$6:$P$437,MATCH(TRIM($G12)&amp;"|"&amp;TRIM($H12),'Price List Library'!$S$6:$S$437,0)),"")</f>
        <v>Benchmark</v>
      </c>
      <c r="J12" s="20">
        <f>IFERROR(INDEX('Price List Library'!$O$6:$O$437,MATCH(TRIM($G12)&amp;"|"&amp;TRIM($H12),'Price List Library'!$S$6:$S$437,0)),0)</f>
        <v>1.008</v>
      </c>
      <c r="K12" s="13" t="s">
        <v>1469</v>
      </c>
    </row>
    <row r="13" spans="1:11" ht="15" customHeight="1" x14ac:dyDescent="0.25">
      <c r="A13" s="9">
        <v>8</v>
      </c>
      <c r="B13" s="10" t="s">
        <v>13</v>
      </c>
      <c r="C13" s="11" t="s">
        <v>41</v>
      </c>
      <c r="D13" s="12" t="s">
        <v>15</v>
      </c>
      <c r="E13" s="12" t="s">
        <v>42</v>
      </c>
      <c r="F13" s="12" t="s">
        <v>43</v>
      </c>
      <c r="G13" s="12" t="s">
        <v>44</v>
      </c>
      <c r="H13" s="9" t="s">
        <v>18</v>
      </c>
      <c r="I13" s="9" t="str">
        <f>IFERROR(INDEX('Price List Library'!$P$6:$P$437,MATCH(TRIM($G13)&amp;"|"&amp;TRIM($H13),'Price List Library'!$S$6:$S$437,0)),"")</f>
        <v>Benchmark</v>
      </c>
      <c r="J13" s="20">
        <f>IFERROR(INDEX('Price List Library'!$O$6:$O$437,MATCH(TRIM($G13)&amp;"|"&amp;TRIM($H13),'Price List Library'!$S$6:$S$437,0)),0)</f>
        <v>64.960000000000008</v>
      </c>
      <c r="K13" s="13" t="s">
        <v>1470</v>
      </c>
    </row>
    <row r="14" spans="1:11" ht="15" customHeight="1" x14ac:dyDescent="0.25">
      <c r="A14" s="9">
        <v>9</v>
      </c>
      <c r="B14" s="10" t="s">
        <v>13</v>
      </c>
      <c r="C14" s="11" t="s">
        <v>41</v>
      </c>
      <c r="D14" s="12" t="s">
        <v>15</v>
      </c>
      <c r="E14" s="12" t="s">
        <v>42</v>
      </c>
      <c r="F14" s="12" t="s">
        <v>46</v>
      </c>
      <c r="G14" s="12" t="s">
        <v>47</v>
      </c>
      <c r="H14" s="9" t="s">
        <v>18</v>
      </c>
      <c r="I14" s="9" t="str">
        <f>IFERROR(INDEX('Price List Library'!$P$6:$P$437,MATCH(TRIM($G14)&amp;"|"&amp;TRIM($H14),'Price List Library'!$S$6:$S$437,0)),"")</f>
        <v>Benchmark</v>
      </c>
      <c r="J14" s="20">
        <f>IFERROR(INDEX('Price List Library'!$O$6:$O$437,MATCH(TRIM($G14)&amp;"|"&amp;TRIM($H14),'Price List Library'!$S$6:$S$437,0)),0)</f>
        <v>23.520000000000003</v>
      </c>
      <c r="K14" s="13" t="s">
        <v>1471</v>
      </c>
    </row>
    <row r="15" spans="1:11" ht="15" customHeight="1" x14ac:dyDescent="0.25">
      <c r="A15" s="9">
        <v>10</v>
      </c>
      <c r="B15" s="10" t="s">
        <v>13</v>
      </c>
      <c r="C15" s="11" t="s">
        <v>41</v>
      </c>
      <c r="D15" s="12" t="s">
        <v>15</v>
      </c>
      <c r="E15" s="12" t="s">
        <v>42</v>
      </c>
      <c r="F15" s="12" t="s">
        <v>49</v>
      </c>
      <c r="G15" s="12" t="s">
        <v>50</v>
      </c>
      <c r="H15" s="9" t="s">
        <v>18</v>
      </c>
      <c r="I15" s="9" t="str">
        <f>IFERROR(INDEX('Price List Library'!$P$6:$P$437,MATCH(TRIM($G15)&amp;"|"&amp;TRIM($H15),'Price List Library'!$S$6:$S$437,0)),"")</f>
        <v>Benchmark</v>
      </c>
      <c r="J15" s="20">
        <f>IFERROR(INDEX('Price List Library'!$O$6:$O$437,MATCH(TRIM($G15)&amp;"|"&amp;TRIM($H15),'Price List Library'!$S$6:$S$437,0)),0)</f>
        <v>14.16</v>
      </c>
      <c r="K15" s="13" t="s">
        <v>1472</v>
      </c>
    </row>
    <row r="16" spans="1:11" ht="15" customHeight="1" x14ac:dyDescent="0.25">
      <c r="A16" s="9">
        <v>11</v>
      </c>
      <c r="B16" s="10" t="s">
        <v>13</v>
      </c>
      <c r="C16" s="11" t="s">
        <v>41</v>
      </c>
      <c r="D16" s="12" t="s">
        <v>15</v>
      </c>
      <c r="E16" s="12" t="s">
        <v>42</v>
      </c>
      <c r="F16" s="12" t="s">
        <v>52</v>
      </c>
      <c r="G16" s="12" t="s">
        <v>54</v>
      </c>
      <c r="H16" s="9" t="s">
        <v>53</v>
      </c>
      <c r="I16" s="9" t="str">
        <f>IFERROR(INDEX('Price List Library'!$P$6:$P$437,MATCH(TRIM($G16)&amp;"|"&amp;TRIM($H16),'Price List Library'!$S$6:$S$437,0)),"")</f>
        <v>Benchmark</v>
      </c>
      <c r="J16" s="20">
        <f>IFERROR(INDEX('Price List Library'!$O$6:$O$437,MATCH(TRIM($G16)&amp;"|"&amp;TRIM($H16),'Price List Library'!$S$6:$S$437,0)),0)</f>
        <v>1.6480000000000001</v>
      </c>
      <c r="K16" s="13" t="s">
        <v>1473</v>
      </c>
    </row>
    <row r="17" spans="1:11" ht="15" customHeight="1" x14ac:dyDescent="0.25">
      <c r="A17" s="9">
        <v>12</v>
      </c>
      <c r="B17" s="10" t="s">
        <v>13</v>
      </c>
      <c r="C17" s="11" t="s">
        <v>41</v>
      </c>
      <c r="D17" s="12" t="s">
        <v>15</v>
      </c>
      <c r="E17" s="12" t="s">
        <v>42</v>
      </c>
      <c r="F17" s="12" t="s">
        <v>56</v>
      </c>
      <c r="G17" s="12" t="s">
        <v>58</v>
      </c>
      <c r="H17" s="9" t="s">
        <v>57</v>
      </c>
      <c r="I17" s="9" t="str">
        <f>IFERROR(INDEX('Price List Library'!$P$6:$P$437,MATCH(TRIM($G17)&amp;"|"&amp;TRIM($H17),'Price List Library'!$S$6:$S$437,0)),"")</f>
        <v>Benchmark</v>
      </c>
      <c r="J17" s="20">
        <f>IFERROR(INDEX('Price List Library'!$O$6:$O$437,MATCH(TRIM($G17)&amp;"|"&amp;TRIM($H17),'Price List Library'!$S$6:$S$437,0)),0)</f>
        <v>528</v>
      </c>
      <c r="K17" s="13" t="s">
        <v>1474</v>
      </c>
    </row>
    <row r="18" spans="1:11" ht="15" customHeight="1" x14ac:dyDescent="0.25">
      <c r="A18" s="9">
        <v>13</v>
      </c>
      <c r="B18" s="10" t="s">
        <v>13</v>
      </c>
      <c r="C18" s="11" t="s">
        <v>41</v>
      </c>
      <c r="D18" s="12" t="s">
        <v>15</v>
      </c>
      <c r="E18" s="12" t="s">
        <v>42</v>
      </c>
      <c r="F18" s="12" t="s">
        <v>60</v>
      </c>
      <c r="G18" s="12" t="s">
        <v>62</v>
      </c>
      <c r="H18" s="9" t="s">
        <v>61</v>
      </c>
      <c r="I18" s="9" t="str">
        <f>IFERROR(INDEX('Price List Library'!$P$6:$P$437,MATCH(TRIM($G18)&amp;"|"&amp;TRIM($H18),'Price List Library'!$S$6:$S$437,0)),"")</f>
        <v>Benchmark</v>
      </c>
      <c r="J18" s="20">
        <f>IFERROR(INDEX('Price List Library'!$O$6:$O$437,MATCH(TRIM($G18)&amp;"|"&amp;TRIM($H18),'Price List Library'!$S$6:$S$437,0)),0)</f>
        <v>73.44</v>
      </c>
      <c r="K18" s="13" t="s">
        <v>1475</v>
      </c>
    </row>
    <row r="19" spans="1:11" ht="15" customHeight="1" x14ac:dyDescent="0.25">
      <c r="A19" s="9">
        <v>14</v>
      </c>
      <c r="B19" s="10" t="s">
        <v>13</v>
      </c>
      <c r="C19" s="11" t="s">
        <v>64</v>
      </c>
      <c r="D19" s="12" t="s">
        <v>15</v>
      </c>
      <c r="E19" s="12" t="s">
        <v>65</v>
      </c>
      <c r="F19" s="12" t="s">
        <v>66</v>
      </c>
      <c r="G19" s="12" t="s">
        <v>67</v>
      </c>
      <c r="H19" s="9" t="s">
        <v>61</v>
      </c>
      <c r="I19" s="9" t="str">
        <f>IFERROR(INDEX('Price List Library'!$P$6:$P$437,MATCH(TRIM($G19)&amp;"|"&amp;TRIM($H19),'Price List Library'!$S$6:$S$437,0)),"")</f>
        <v>Benchmark</v>
      </c>
      <c r="J19" s="20">
        <f>IFERROR(INDEX('Price List Library'!$O$6:$O$437,MATCH(TRIM($G19)&amp;"|"&amp;TRIM($H19),'Price List Library'!$S$6:$S$437,0)),0)</f>
        <v>50.24</v>
      </c>
      <c r="K19" s="13" t="s">
        <v>1476</v>
      </c>
    </row>
    <row r="20" spans="1:11" ht="15" customHeight="1" x14ac:dyDescent="0.25">
      <c r="A20" s="9">
        <v>15</v>
      </c>
      <c r="B20" s="10" t="s">
        <v>13</v>
      </c>
      <c r="C20" s="11" t="s">
        <v>64</v>
      </c>
      <c r="D20" s="12" t="s">
        <v>15</v>
      </c>
      <c r="E20" s="12" t="s">
        <v>65</v>
      </c>
      <c r="F20" s="12" t="s">
        <v>66</v>
      </c>
      <c r="G20" s="12" t="s">
        <v>1477</v>
      </c>
      <c r="H20" s="9" t="s">
        <v>61</v>
      </c>
      <c r="I20" s="9" t="str">
        <f>IFERROR(INDEX('Price List Library'!$P$6:$P$437,MATCH(TRIM($G20)&amp;"|"&amp;TRIM($H20),'Price List Library'!$S$6:$S$437,0)),"")</f>
        <v>Benchmark</v>
      </c>
      <c r="J20" s="20">
        <f>IFERROR(INDEX('Price List Library'!$O$6:$O$437,MATCH(TRIM($G20)&amp;"|"&amp;TRIM($H20),'Price List Library'!$S$6:$S$437,0)),0)</f>
        <v>38.56</v>
      </c>
      <c r="K20" s="13" t="s">
        <v>1478</v>
      </c>
    </row>
    <row r="21" spans="1:11" ht="15" customHeight="1" x14ac:dyDescent="0.25">
      <c r="A21" s="9">
        <v>16</v>
      </c>
      <c r="B21" s="10" t="s">
        <v>13</v>
      </c>
      <c r="C21" s="11" t="s">
        <v>64</v>
      </c>
      <c r="D21" s="12" t="s">
        <v>15</v>
      </c>
      <c r="E21" s="12" t="s">
        <v>65</v>
      </c>
      <c r="F21" s="12" t="s">
        <v>69</v>
      </c>
      <c r="G21" s="12" t="s">
        <v>70</v>
      </c>
      <c r="H21" s="9" t="s">
        <v>22</v>
      </c>
      <c r="I21" s="9" t="str">
        <f>IFERROR(INDEX('Price List Library'!$P$6:$P$437,MATCH(TRIM($G21)&amp;"|"&amp;TRIM($H21),'Price List Library'!$S$6:$S$437,0)),"")</f>
        <v>Priced</v>
      </c>
      <c r="J21" s="20">
        <f>IFERROR(INDEX('Price List Library'!$O$6:$O$437,MATCH(TRIM($G21)&amp;"|"&amp;TRIM($H21),'Price List Library'!$S$6:$S$437,0)),0)</f>
        <v>121.76</v>
      </c>
      <c r="K21" s="13" t="s">
        <v>1479</v>
      </c>
    </row>
    <row r="22" spans="1:11" ht="15" customHeight="1" x14ac:dyDescent="0.25">
      <c r="A22" s="9">
        <v>17</v>
      </c>
      <c r="B22" s="10" t="s">
        <v>13</v>
      </c>
      <c r="C22" s="11" t="s">
        <v>64</v>
      </c>
      <c r="D22" s="12" t="s">
        <v>15</v>
      </c>
      <c r="E22" s="12" t="s">
        <v>65</v>
      </c>
      <c r="F22" s="12" t="s">
        <v>69</v>
      </c>
      <c r="G22" s="12" t="s">
        <v>1480</v>
      </c>
      <c r="H22" s="9" t="s">
        <v>22</v>
      </c>
      <c r="I22" s="9" t="str">
        <f>IFERROR(INDEX('Price List Library'!$P$6:$P$437,MATCH(TRIM($G22)&amp;"|"&amp;TRIM($H22),'Price List Library'!$S$6:$S$437,0)),"")</f>
        <v>Priced</v>
      </c>
      <c r="J22" s="20">
        <f>IFERROR(INDEX('Price List Library'!$O$6:$O$437,MATCH(TRIM($G22)&amp;"|"&amp;TRIM($H22),'Price List Library'!$S$6:$S$437,0)),0)</f>
        <v>119.36</v>
      </c>
      <c r="K22" s="13" t="s">
        <v>1481</v>
      </c>
    </row>
    <row r="23" spans="1:11" ht="15" customHeight="1" x14ac:dyDescent="0.25">
      <c r="A23" s="9">
        <v>18</v>
      </c>
      <c r="B23" s="10" t="s">
        <v>13</v>
      </c>
      <c r="C23" s="11" t="s">
        <v>64</v>
      </c>
      <c r="D23" s="12" t="s">
        <v>15</v>
      </c>
      <c r="E23" s="12" t="s">
        <v>65</v>
      </c>
      <c r="F23" s="12" t="s">
        <v>69</v>
      </c>
      <c r="G23" s="12" t="s">
        <v>1482</v>
      </c>
      <c r="H23" s="9" t="s">
        <v>22</v>
      </c>
      <c r="I23" s="9" t="str">
        <f>IFERROR(INDEX('Price List Library'!$P$6:$P$437,MATCH(TRIM($G23)&amp;"|"&amp;TRIM($H23),'Price List Library'!$S$6:$S$437,0)),"")</f>
        <v>Benchmark</v>
      </c>
      <c r="J23" s="20">
        <f>IFERROR(INDEX('Price List Library'!$O$6:$O$437,MATCH(TRIM($G23)&amp;"|"&amp;TRIM($H23),'Price List Library'!$S$6:$S$437,0)),0)</f>
        <v>108.16</v>
      </c>
      <c r="K23" s="13" t="s">
        <v>1483</v>
      </c>
    </row>
    <row r="24" spans="1:11" ht="15" customHeight="1" x14ac:dyDescent="0.25">
      <c r="A24" s="9">
        <v>19</v>
      </c>
      <c r="B24" s="10" t="s">
        <v>13</v>
      </c>
      <c r="C24" s="11" t="s">
        <v>64</v>
      </c>
      <c r="D24" s="12" t="s">
        <v>15</v>
      </c>
      <c r="E24" s="12" t="s">
        <v>65</v>
      </c>
      <c r="F24" s="12" t="s">
        <v>69</v>
      </c>
      <c r="G24" s="12" t="s">
        <v>1484</v>
      </c>
      <c r="H24" s="9" t="s">
        <v>22</v>
      </c>
      <c r="I24" s="9" t="str">
        <f>IFERROR(INDEX('Price List Library'!$P$6:$P$437,MATCH(TRIM($G24)&amp;"|"&amp;TRIM($H24),'Price List Library'!$S$6:$S$437,0)),"")</f>
        <v>Benchmark</v>
      </c>
      <c r="J24" s="20">
        <f>IFERROR(INDEX('Price List Library'!$O$6:$O$437,MATCH(TRIM($G24)&amp;"|"&amp;TRIM($H24),'Price List Library'!$S$6:$S$437,0)),0)</f>
        <v>114.96000000000001</v>
      </c>
      <c r="K24" s="13" t="s">
        <v>1485</v>
      </c>
    </row>
    <row r="25" spans="1:11" ht="15" customHeight="1" x14ac:dyDescent="0.25">
      <c r="A25" s="9">
        <v>20</v>
      </c>
      <c r="B25" s="10" t="s">
        <v>13</v>
      </c>
      <c r="C25" s="11" t="s">
        <v>64</v>
      </c>
      <c r="D25" s="12" t="s">
        <v>15</v>
      </c>
      <c r="E25" s="12" t="s">
        <v>65</v>
      </c>
      <c r="F25" s="12" t="s">
        <v>72</v>
      </c>
      <c r="G25" s="12" t="s">
        <v>73</v>
      </c>
      <c r="H25" s="9" t="s">
        <v>53</v>
      </c>
      <c r="I25" s="9" t="str">
        <f>IFERROR(INDEX('Price List Library'!$P$6:$P$437,MATCH(TRIM($G25)&amp;"|"&amp;TRIM($H25),'Price List Library'!$S$6:$S$437,0)),"")</f>
        <v>Priced</v>
      </c>
      <c r="J25" s="20">
        <f>IFERROR(INDEX('Price List Library'!$O$6:$O$437,MATCH(TRIM($G25)&amp;"|"&amp;TRIM($H25),'Price List Library'!$S$6:$S$437,0)),0)</f>
        <v>1.0176000000000001</v>
      </c>
      <c r="K25" s="13" t="s">
        <v>1486</v>
      </c>
    </row>
    <row r="26" spans="1:11" ht="15" customHeight="1" x14ac:dyDescent="0.25">
      <c r="A26" s="9">
        <v>21</v>
      </c>
      <c r="B26" s="10" t="s">
        <v>13</v>
      </c>
      <c r="C26" s="11" t="s">
        <v>64</v>
      </c>
      <c r="D26" s="12" t="s">
        <v>15</v>
      </c>
      <c r="E26" s="12" t="s">
        <v>65</v>
      </c>
      <c r="F26" s="12" t="s">
        <v>72</v>
      </c>
      <c r="G26" s="12" t="s">
        <v>1487</v>
      </c>
      <c r="H26" s="9" t="s">
        <v>53</v>
      </c>
      <c r="I26" s="9" t="str">
        <f>IFERROR(INDEX('Price List Library'!$P$6:$P$437,MATCH(TRIM($G26)&amp;"|"&amp;TRIM($H26),'Price List Library'!$S$6:$S$437,0)),"")</f>
        <v>Priced</v>
      </c>
      <c r="J26" s="20">
        <f>IFERROR(INDEX('Price List Library'!$O$6:$O$437,MATCH(TRIM($G26)&amp;"|"&amp;TRIM($H26),'Price List Library'!$S$6:$S$437,0)),0)</f>
        <v>0.98320000000000007</v>
      </c>
      <c r="K26" s="13" t="s">
        <v>1488</v>
      </c>
    </row>
    <row r="27" spans="1:11" ht="15" customHeight="1" x14ac:dyDescent="0.25">
      <c r="A27" s="9">
        <v>22</v>
      </c>
      <c r="B27" s="10" t="s">
        <v>13</v>
      </c>
      <c r="C27" s="11" t="s">
        <v>64</v>
      </c>
      <c r="D27" s="12" t="s">
        <v>15</v>
      </c>
      <c r="E27" s="12" t="s">
        <v>65</v>
      </c>
      <c r="F27" s="12" t="s">
        <v>72</v>
      </c>
      <c r="G27" s="12" t="s">
        <v>1489</v>
      </c>
      <c r="H27" s="9" t="s">
        <v>53</v>
      </c>
      <c r="I27" s="9" t="str">
        <f>IFERROR(INDEX('Price List Library'!$P$6:$P$437,MATCH(TRIM($G27)&amp;"|"&amp;TRIM($H27),'Price List Library'!$S$6:$S$437,0)),"")</f>
        <v>Priced</v>
      </c>
      <c r="J27" s="20">
        <f>IFERROR(INDEX('Price List Library'!$O$6:$O$437,MATCH(TRIM($G27)&amp;"|"&amp;TRIM($H27),'Price List Library'!$S$6:$S$437,0)),0)</f>
        <v>0.96000000000000008</v>
      </c>
      <c r="K27" s="13" t="s">
        <v>1490</v>
      </c>
    </row>
    <row r="28" spans="1:11" ht="15" customHeight="1" x14ac:dyDescent="0.25">
      <c r="A28" s="9">
        <v>23</v>
      </c>
      <c r="B28" s="10" t="s">
        <v>13</v>
      </c>
      <c r="C28" s="11" t="s">
        <v>64</v>
      </c>
      <c r="D28" s="12" t="s">
        <v>15</v>
      </c>
      <c r="E28" s="12" t="s">
        <v>65</v>
      </c>
      <c r="F28" s="12" t="s">
        <v>72</v>
      </c>
      <c r="G28" s="12" t="s">
        <v>1491</v>
      </c>
      <c r="H28" s="9" t="s">
        <v>53</v>
      </c>
      <c r="I28" s="9" t="str">
        <f>IFERROR(INDEX('Price List Library'!$P$6:$P$437,MATCH(TRIM($G28)&amp;"|"&amp;TRIM($H28),'Price List Library'!$S$6:$S$437,0)),"")</f>
        <v>Priced</v>
      </c>
      <c r="J28" s="20">
        <f>IFERROR(INDEX('Price List Library'!$O$6:$O$437,MATCH(TRIM($G28)&amp;"|"&amp;TRIM($H28),'Price List Library'!$S$6:$S$437,0)),0)</f>
        <v>0.94880000000000009</v>
      </c>
      <c r="K28" s="13" t="s">
        <v>1492</v>
      </c>
    </row>
    <row r="29" spans="1:11" ht="15" customHeight="1" x14ac:dyDescent="0.25">
      <c r="A29" s="9">
        <v>24</v>
      </c>
      <c r="B29" s="10" t="s">
        <v>13</v>
      </c>
      <c r="C29" s="11" t="s">
        <v>64</v>
      </c>
      <c r="D29" s="12" t="s">
        <v>15</v>
      </c>
      <c r="E29" s="12" t="s">
        <v>65</v>
      </c>
      <c r="F29" s="12" t="s">
        <v>72</v>
      </c>
      <c r="G29" s="12" t="s">
        <v>1493</v>
      </c>
      <c r="H29" s="9" t="s">
        <v>53</v>
      </c>
      <c r="I29" s="9" t="str">
        <f>IFERROR(INDEX('Price List Library'!$P$6:$P$437,MATCH(TRIM($G29)&amp;"|"&amp;TRIM($H29),'Price List Library'!$S$6:$S$437,0)),"")</f>
        <v>Priced</v>
      </c>
      <c r="J29" s="20">
        <f>IFERROR(INDEX('Price List Library'!$O$6:$O$437,MATCH(TRIM($G29)&amp;"|"&amp;TRIM($H29),'Price List Library'!$S$6:$S$437,0)),0)</f>
        <v>0.92560000000000009</v>
      </c>
      <c r="K29" s="13" t="s">
        <v>1494</v>
      </c>
    </row>
    <row r="30" spans="1:11" ht="15" customHeight="1" x14ac:dyDescent="0.25">
      <c r="A30" s="9">
        <v>25</v>
      </c>
      <c r="B30" s="10" t="s">
        <v>13</v>
      </c>
      <c r="C30" s="11" t="s">
        <v>64</v>
      </c>
      <c r="D30" s="12" t="s">
        <v>15</v>
      </c>
      <c r="E30" s="12" t="s">
        <v>65</v>
      </c>
      <c r="F30" s="12" t="s">
        <v>72</v>
      </c>
      <c r="G30" s="12" t="s">
        <v>1495</v>
      </c>
      <c r="H30" s="9" t="s">
        <v>53</v>
      </c>
      <c r="I30" s="9" t="str">
        <f>IFERROR(INDEX('Price List Library'!$P$6:$P$437,MATCH(TRIM($G30)&amp;"|"&amp;TRIM($H30),'Price List Library'!$S$6:$S$437,0)),"")</f>
        <v>Priced</v>
      </c>
      <c r="J30" s="20">
        <f>IFERROR(INDEX('Price List Library'!$O$6:$O$437,MATCH(TRIM($G30)&amp;"|"&amp;TRIM($H30),'Price List Library'!$S$6:$S$437,0)),0)</f>
        <v>0.90239999999999998</v>
      </c>
      <c r="K30" s="13" t="s">
        <v>1496</v>
      </c>
    </row>
    <row r="31" spans="1:11" ht="15" customHeight="1" x14ac:dyDescent="0.25">
      <c r="A31" s="9">
        <v>26</v>
      </c>
      <c r="B31" s="10" t="s">
        <v>13</v>
      </c>
      <c r="C31" s="11" t="s">
        <v>64</v>
      </c>
      <c r="D31" s="12" t="s">
        <v>15</v>
      </c>
      <c r="E31" s="12" t="s">
        <v>65</v>
      </c>
      <c r="F31" s="12" t="s">
        <v>72</v>
      </c>
      <c r="G31" s="12" t="s">
        <v>1497</v>
      </c>
      <c r="H31" s="9" t="s">
        <v>53</v>
      </c>
      <c r="I31" s="9" t="str">
        <f>IFERROR(INDEX('Price List Library'!$P$6:$P$437,MATCH(TRIM($G31)&amp;"|"&amp;TRIM($H31),'Price List Library'!$S$6:$S$437,0)),"")</f>
        <v>Priced</v>
      </c>
      <c r="J31" s="20">
        <f>IFERROR(INDEX('Price List Library'!$O$6:$O$437,MATCH(TRIM($G31)&amp;"|"&amp;TRIM($H31),'Price List Library'!$S$6:$S$437,0)),0)</f>
        <v>0.89119999999999999</v>
      </c>
      <c r="K31" s="13" t="s">
        <v>1498</v>
      </c>
    </row>
    <row r="32" spans="1:11" ht="15" customHeight="1" x14ac:dyDescent="0.25">
      <c r="A32" s="9">
        <v>27</v>
      </c>
      <c r="B32" s="10" t="s">
        <v>13</v>
      </c>
      <c r="C32" s="11" t="s">
        <v>64</v>
      </c>
      <c r="D32" s="12" t="s">
        <v>15</v>
      </c>
      <c r="E32" s="12" t="s">
        <v>65</v>
      </c>
      <c r="F32" s="12" t="s">
        <v>72</v>
      </c>
      <c r="G32" s="12" t="s">
        <v>1499</v>
      </c>
      <c r="H32" s="9" t="s">
        <v>53</v>
      </c>
      <c r="I32" s="9" t="str">
        <f>IFERROR(INDEX('Price List Library'!$P$6:$P$437,MATCH(TRIM($G32)&amp;"|"&amp;TRIM($H32),'Price List Library'!$S$6:$S$437,0)),"")</f>
        <v>Priced</v>
      </c>
      <c r="J32" s="20">
        <f>IFERROR(INDEX('Price List Library'!$O$6:$O$437,MATCH(TRIM($G32)&amp;"|"&amp;TRIM($H32),'Price List Library'!$S$6:$S$437,0)),0)</f>
        <v>1.0064</v>
      </c>
      <c r="K32" s="13" t="s">
        <v>1500</v>
      </c>
    </row>
    <row r="33" spans="1:11" ht="15" customHeight="1" x14ac:dyDescent="0.25">
      <c r="A33" s="9">
        <v>28</v>
      </c>
      <c r="B33" s="10" t="s">
        <v>13</v>
      </c>
      <c r="C33" s="11" t="s">
        <v>64</v>
      </c>
      <c r="D33" s="12" t="s">
        <v>15</v>
      </c>
      <c r="E33" s="12" t="s">
        <v>65</v>
      </c>
      <c r="F33" s="12" t="s">
        <v>72</v>
      </c>
      <c r="G33" s="12" t="s">
        <v>1501</v>
      </c>
      <c r="H33" s="9" t="s">
        <v>53</v>
      </c>
      <c r="I33" s="9" t="str">
        <f>IFERROR(INDEX('Price List Library'!$P$6:$P$437,MATCH(TRIM($G33)&amp;"|"&amp;TRIM($H33),'Price List Library'!$S$6:$S$437,0)),"")</f>
        <v>Benchmark</v>
      </c>
      <c r="J33" s="20">
        <f>IFERROR(INDEX('Price List Library'!$O$6:$O$437,MATCH(TRIM($G33)&amp;"|"&amp;TRIM($H33),'Price List Library'!$S$6:$S$437,0)),0)</f>
        <v>1.0296000000000001</v>
      </c>
      <c r="K33" s="13" t="s">
        <v>1502</v>
      </c>
    </row>
    <row r="34" spans="1:11" ht="15" customHeight="1" x14ac:dyDescent="0.25">
      <c r="A34" s="9">
        <v>29</v>
      </c>
      <c r="B34" s="10" t="s">
        <v>13</v>
      </c>
      <c r="C34" s="11" t="s">
        <v>64</v>
      </c>
      <c r="D34" s="12" t="s">
        <v>15</v>
      </c>
      <c r="E34" s="12" t="s">
        <v>65</v>
      </c>
      <c r="F34" s="12" t="s">
        <v>75</v>
      </c>
      <c r="G34" s="12" t="s">
        <v>76</v>
      </c>
      <c r="H34" s="9" t="s">
        <v>53</v>
      </c>
      <c r="I34" s="9" t="str">
        <f>IFERROR(INDEX('Price List Library'!$P$6:$P$437,MATCH(TRIM($G34)&amp;"|"&amp;TRIM($H34),'Price List Library'!$S$6:$S$437,0)),"")</f>
        <v>Priced</v>
      </c>
      <c r="J34" s="20">
        <f>IFERROR(INDEX('Price List Library'!$O$6:$O$437,MATCH(TRIM($G34)&amp;"|"&amp;TRIM($H34),'Price List Library'!$S$6:$S$437,0)),0)</f>
        <v>1.4040000000000001</v>
      </c>
      <c r="K34" s="13" t="s">
        <v>1503</v>
      </c>
    </row>
    <row r="35" spans="1:11" ht="15" customHeight="1" x14ac:dyDescent="0.25">
      <c r="A35" s="9">
        <v>30</v>
      </c>
      <c r="B35" s="10" t="s">
        <v>13</v>
      </c>
      <c r="C35" s="11" t="s">
        <v>64</v>
      </c>
      <c r="D35" s="12" t="s">
        <v>15</v>
      </c>
      <c r="E35" s="12" t="s">
        <v>65</v>
      </c>
      <c r="F35" s="12" t="s">
        <v>78</v>
      </c>
      <c r="G35" s="12" t="s">
        <v>79</v>
      </c>
      <c r="H35" s="9" t="s">
        <v>61</v>
      </c>
      <c r="I35" s="9" t="str">
        <f>IFERROR(INDEX('Price List Library'!$P$6:$P$437,MATCH(TRIM($G35)&amp;"|"&amp;TRIM($H35),'Price List Library'!$S$6:$S$437,0)),"")</f>
        <v>Priced</v>
      </c>
      <c r="J35" s="20">
        <f>IFERROR(INDEX('Price List Library'!$O$6:$O$437,MATCH(TRIM($G35)&amp;"|"&amp;TRIM($H35),'Price List Library'!$S$6:$S$437,0)),0)</f>
        <v>6.8400000000000007</v>
      </c>
      <c r="K35" s="13" t="s">
        <v>1504</v>
      </c>
    </row>
    <row r="36" spans="1:11" ht="15" customHeight="1" x14ac:dyDescent="0.25">
      <c r="A36" s="9">
        <v>31</v>
      </c>
      <c r="B36" s="10" t="s">
        <v>13</v>
      </c>
      <c r="C36" s="11" t="s">
        <v>64</v>
      </c>
      <c r="D36" s="12" t="s">
        <v>15</v>
      </c>
      <c r="E36" s="12" t="s">
        <v>65</v>
      </c>
      <c r="F36" s="12" t="s">
        <v>81</v>
      </c>
      <c r="G36" s="12" t="s">
        <v>82</v>
      </c>
      <c r="H36" s="9" t="s">
        <v>35</v>
      </c>
      <c r="I36" s="9" t="str">
        <f>IFERROR(INDEX('Price List Library'!$P$6:$P$437,MATCH(TRIM($G36)&amp;"|"&amp;TRIM($H36),'Price List Library'!$S$6:$S$437,0)),"")</f>
        <v>Benchmark</v>
      </c>
      <c r="J36" s="20">
        <f>IFERROR(INDEX('Price List Library'!$O$6:$O$437,MATCH(TRIM($G36)&amp;"|"&amp;TRIM($H36),'Price List Library'!$S$6:$S$437,0)),0)</f>
        <v>7344</v>
      </c>
      <c r="K36" s="13" t="s">
        <v>1505</v>
      </c>
    </row>
    <row r="37" spans="1:11" ht="15" customHeight="1" x14ac:dyDescent="0.25">
      <c r="A37" s="9">
        <v>32</v>
      </c>
      <c r="B37" s="10" t="s">
        <v>13</v>
      </c>
      <c r="C37" s="11" t="s">
        <v>64</v>
      </c>
      <c r="D37" s="12" t="s">
        <v>15</v>
      </c>
      <c r="E37" s="12" t="s">
        <v>65</v>
      </c>
      <c r="F37" s="12" t="s">
        <v>84</v>
      </c>
      <c r="G37" s="12" t="s">
        <v>85</v>
      </c>
      <c r="H37" s="9" t="s">
        <v>57</v>
      </c>
      <c r="I37" s="9" t="str">
        <f>IFERROR(INDEX('Price List Library'!$P$6:$P$437,MATCH(TRIM($G37)&amp;"|"&amp;TRIM($H37),'Price List Library'!$S$6:$S$437,0)),"")</f>
        <v>Priced</v>
      </c>
      <c r="J37" s="20">
        <f>IFERROR(INDEX('Price List Library'!$O$6:$O$437,MATCH(TRIM($G37)&amp;"|"&amp;TRIM($H37),'Price List Library'!$S$6:$S$437,0)),0)</f>
        <v>66</v>
      </c>
      <c r="K37" s="13" t="s">
        <v>1506</v>
      </c>
    </row>
    <row r="38" spans="1:11" ht="15" customHeight="1" x14ac:dyDescent="0.25">
      <c r="A38" s="9">
        <v>33</v>
      </c>
      <c r="B38" s="10" t="s">
        <v>13</v>
      </c>
      <c r="C38" s="11" t="s">
        <v>64</v>
      </c>
      <c r="D38" s="12" t="s">
        <v>15</v>
      </c>
      <c r="E38" s="12" t="s">
        <v>65</v>
      </c>
      <c r="F38" s="12" t="s">
        <v>84</v>
      </c>
      <c r="G38" s="12" t="s">
        <v>1507</v>
      </c>
      <c r="H38" s="9" t="s">
        <v>57</v>
      </c>
      <c r="I38" s="9" t="str">
        <f>IFERROR(INDEX('Price List Library'!$P$6:$P$437,MATCH(TRIM($G38)&amp;"|"&amp;TRIM($H38),'Price List Library'!$S$6:$S$437,0)),"")</f>
        <v>Priced</v>
      </c>
      <c r="J38" s="20">
        <f>IFERROR(INDEX('Price List Library'!$O$6:$O$437,MATCH(TRIM($G38)&amp;"|"&amp;TRIM($H38),'Price List Library'!$S$6:$S$437,0)),0)</f>
        <v>48</v>
      </c>
      <c r="K38" s="13" t="s">
        <v>1508</v>
      </c>
    </row>
    <row r="39" spans="1:11" ht="15" customHeight="1" x14ac:dyDescent="0.25">
      <c r="A39" s="9">
        <v>34</v>
      </c>
      <c r="B39" s="10" t="s">
        <v>13</v>
      </c>
      <c r="C39" s="11" t="s">
        <v>64</v>
      </c>
      <c r="D39" s="12" t="s">
        <v>15</v>
      </c>
      <c r="E39" s="12" t="s">
        <v>65</v>
      </c>
      <c r="F39" s="12" t="s">
        <v>87</v>
      </c>
      <c r="G39" s="12" t="s">
        <v>88</v>
      </c>
      <c r="H39" s="9" t="s">
        <v>57</v>
      </c>
      <c r="I39" s="9" t="str">
        <f>IFERROR(INDEX('Price List Library'!$P$6:$P$437,MATCH(TRIM($G39)&amp;"|"&amp;TRIM($H39),'Price List Library'!$S$6:$S$437,0)),"")</f>
        <v>Priced</v>
      </c>
      <c r="J39" s="20">
        <f>IFERROR(INDEX('Price List Library'!$O$6:$O$437,MATCH(TRIM($G39)&amp;"|"&amp;TRIM($H39),'Price List Library'!$S$6:$S$437,0)),0)</f>
        <v>55.000000000000007</v>
      </c>
      <c r="K39" s="13" t="s">
        <v>1509</v>
      </c>
    </row>
    <row r="40" spans="1:11" ht="15" customHeight="1" x14ac:dyDescent="0.25">
      <c r="A40" s="9">
        <v>35</v>
      </c>
      <c r="B40" s="10" t="s">
        <v>13</v>
      </c>
      <c r="C40" s="11" t="s">
        <v>64</v>
      </c>
      <c r="D40" s="12" t="s">
        <v>15</v>
      </c>
      <c r="E40" s="12" t="s">
        <v>65</v>
      </c>
      <c r="F40" s="12" t="s">
        <v>87</v>
      </c>
      <c r="G40" s="12" t="s">
        <v>1510</v>
      </c>
      <c r="H40" s="9" t="s">
        <v>57</v>
      </c>
      <c r="I40" s="9" t="str">
        <f>IFERROR(INDEX('Price List Library'!$P$6:$P$437,MATCH(TRIM($G40)&amp;"|"&amp;TRIM($H40),'Price List Library'!$S$6:$S$437,0)),"")</f>
        <v>Benchmark</v>
      </c>
      <c r="J40" s="20">
        <f>IFERROR(INDEX('Price List Library'!$O$6:$O$437,MATCH(TRIM($G40)&amp;"|"&amp;TRIM($H40),'Price List Library'!$S$6:$S$437,0)),0)</f>
        <v>49.500000000000007</v>
      </c>
      <c r="K40" s="13" t="s">
        <v>1511</v>
      </c>
    </row>
    <row r="41" spans="1:11" ht="15" customHeight="1" x14ac:dyDescent="0.25">
      <c r="A41" s="9">
        <v>36</v>
      </c>
      <c r="B41" s="10" t="s">
        <v>13</v>
      </c>
      <c r="C41" s="11" t="s">
        <v>64</v>
      </c>
      <c r="D41" s="12" t="s">
        <v>15</v>
      </c>
      <c r="E41" s="12" t="s">
        <v>65</v>
      </c>
      <c r="F41" s="12" t="s">
        <v>90</v>
      </c>
      <c r="G41" s="12" t="s">
        <v>91</v>
      </c>
      <c r="H41" s="9" t="s">
        <v>57</v>
      </c>
      <c r="I41" s="9" t="str">
        <f>IFERROR(INDEX('Price List Library'!$P$6:$P$437,MATCH(TRIM($G41)&amp;"|"&amp;TRIM($H41),'Price List Library'!$S$6:$S$437,0)),"")</f>
        <v>Priced</v>
      </c>
      <c r="J41" s="20">
        <f>IFERROR(INDEX('Price List Library'!$O$6:$O$437,MATCH(TRIM($G41)&amp;"|"&amp;TRIM($H41),'Price List Library'!$S$6:$S$437,0)),0)</f>
        <v>385.00000000000006</v>
      </c>
      <c r="K41" s="13" t="s">
        <v>1512</v>
      </c>
    </row>
    <row r="42" spans="1:11" ht="15" customHeight="1" x14ac:dyDescent="0.25">
      <c r="A42" s="9">
        <v>37</v>
      </c>
      <c r="B42" s="10" t="s">
        <v>13</v>
      </c>
      <c r="C42" s="11" t="s">
        <v>64</v>
      </c>
      <c r="D42" s="12" t="s">
        <v>15</v>
      </c>
      <c r="E42" s="12" t="s">
        <v>65</v>
      </c>
      <c r="F42" s="12" t="s">
        <v>90</v>
      </c>
      <c r="G42" s="12" t="s">
        <v>1513</v>
      </c>
      <c r="H42" s="9" t="s">
        <v>57</v>
      </c>
      <c r="I42" s="9" t="str">
        <f>IFERROR(INDEX('Price List Library'!$P$6:$P$437,MATCH(TRIM($G42)&amp;"|"&amp;TRIM($H42),'Price List Library'!$S$6:$S$437,0)),"")</f>
        <v>Priced</v>
      </c>
      <c r="J42" s="20">
        <f>IFERROR(INDEX('Price List Library'!$O$6:$O$437,MATCH(TRIM($G42)&amp;"|"&amp;TRIM($H42),'Price List Library'!$S$6:$S$437,0)),0)</f>
        <v>330</v>
      </c>
      <c r="K42" s="13" t="s">
        <v>1514</v>
      </c>
    </row>
    <row r="43" spans="1:11" ht="15" customHeight="1" x14ac:dyDescent="0.25">
      <c r="A43" s="9">
        <v>38</v>
      </c>
      <c r="B43" s="10" t="s">
        <v>13</v>
      </c>
      <c r="C43" s="11" t="s">
        <v>64</v>
      </c>
      <c r="D43" s="12" t="s">
        <v>15</v>
      </c>
      <c r="E43" s="12" t="s">
        <v>65</v>
      </c>
      <c r="F43" s="12" t="s">
        <v>93</v>
      </c>
      <c r="G43" s="12" t="s">
        <v>94</v>
      </c>
      <c r="H43" s="9" t="s">
        <v>57</v>
      </c>
      <c r="I43" s="9" t="str">
        <f>IFERROR(INDEX('Price List Library'!$P$6:$P$437,MATCH(TRIM($G43)&amp;"|"&amp;TRIM($H43),'Price List Library'!$S$6:$S$437,0)),"")</f>
        <v>Benchmark</v>
      </c>
      <c r="J43" s="20">
        <f>IFERROR(INDEX('Price List Library'!$O$6:$O$437,MATCH(TRIM($G43)&amp;"|"&amp;TRIM($H43),'Price List Library'!$S$6:$S$437,0)),0)</f>
        <v>2640</v>
      </c>
      <c r="K43" s="13" t="s">
        <v>1515</v>
      </c>
    </row>
    <row r="44" spans="1:11" ht="15" customHeight="1" x14ac:dyDescent="0.25">
      <c r="A44" s="9">
        <v>39</v>
      </c>
      <c r="B44" s="10" t="s">
        <v>13</v>
      </c>
      <c r="C44" s="11" t="s">
        <v>64</v>
      </c>
      <c r="D44" s="12" t="s">
        <v>15</v>
      </c>
      <c r="E44" s="12" t="s">
        <v>65</v>
      </c>
      <c r="F44" s="12" t="s">
        <v>93</v>
      </c>
      <c r="G44" s="12" t="s">
        <v>1516</v>
      </c>
      <c r="H44" s="9" t="s">
        <v>57</v>
      </c>
      <c r="I44" s="9" t="str">
        <f>IFERROR(INDEX('Price List Library'!$P$6:$P$437,MATCH(TRIM($G44)&amp;"|"&amp;TRIM($H44),'Price List Library'!$S$6:$S$437,0)),"")</f>
        <v>Benchmark</v>
      </c>
      <c r="J44" s="20">
        <f>IFERROR(INDEX('Price List Library'!$O$6:$O$437,MATCH(TRIM($G44)&amp;"|"&amp;TRIM($H44),'Price List Library'!$S$6:$S$437,0)),0)</f>
        <v>10450</v>
      </c>
      <c r="K44" s="13" t="s">
        <v>1517</v>
      </c>
    </row>
    <row r="45" spans="1:11" ht="15" customHeight="1" x14ac:dyDescent="0.25">
      <c r="A45" s="9">
        <v>40</v>
      </c>
      <c r="B45" s="10" t="s">
        <v>13</v>
      </c>
      <c r="C45" s="11" t="s">
        <v>64</v>
      </c>
      <c r="D45" s="12" t="s">
        <v>15</v>
      </c>
      <c r="E45" s="12" t="s">
        <v>65</v>
      </c>
      <c r="F45" s="12" t="s">
        <v>96</v>
      </c>
      <c r="G45" s="12" t="s">
        <v>97</v>
      </c>
      <c r="H45" s="9" t="s">
        <v>35</v>
      </c>
      <c r="I45" s="9" t="str">
        <f>IFERROR(INDEX('Price List Library'!$P$6:$P$437,MATCH(TRIM($G45)&amp;"|"&amp;TRIM($H45),'Price List Library'!$S$6:$S$437,0)),"")</f>
        <v>Priced</v>
      </c>
      <c r="J45" s="20">
        <f>IFERROR(INDEX('Price List Library'!$O$6:$O$437,MATCH(TRIM($G45)&amp;"|"&amp;TRIM($H45),'Price List Library'!$S$6:$S$437,0)),0)</f>
        <v>220.00000000000003</v>
      </c>
      <c r="K45" s="13" t="s">
        <v>1518</v>
      </c>
    </row>
    <row r="46" spans="1:11" ht="15" customHeight="1" x14ac:dyDescent="0.25">
      <c r="A46" s="9">
        <v>41</v>
      </c>
      <c r="B46" s="10" t="s">
        <v>13</v>
      </c>
      <c r="C46" s="11" t="s">
        <v>64</v>
      </c>
      <c r="D46" s="12" t="s">
        <v>15</v>
      </c>
      <c r="E46" s="12" t="s">
        <v>65</v>
      </c>
      <c r="F46" s="12" t="s">
        <v>99</v>
      </c>
      <c r="G46" s="12" t="s">
        <v>100</v>
      </c>
      <c r="H46" s="9" t="s">
        <v>57</v>
      </c>
      <c r="I46" s="9" t="str">
        <f>IFERROR(INDEX('Price List Library'!$P$6:$P$437,MATCH(TRIM($G46)&amp;"|"&amp;TRIM($H46),'Price List Library'!$S$6:$S$437,0)),"")</f>
        <v>Benchmark</v>
      </c>
      <c r="J46" s="20">
        <f>IFERROR(INDEX('Price List Library'!$O$6:$O$437,MATCH(TRIM($G46)&amp;"|"&amp;TRIM($H46),'Price List Library'!$S$6:$S$437,0)),0)</f>
        <v>38.5</v>
      </c>
      <c r="K46" s="13" t="s">
        <v>1519</v>
      </c>
    </row>
    <row r="47" spans="1:11" ht="15" customHeight="1" x14ac:dyDescent="0.25">
      <c r="A47" s="9">
        <v>42</v>
      </c>
      <c r="B47" s="10" t="s">
        <v>13</v>
      </c>
      <c r="C47" s="11" t="s">
        <v>64</v>
      </c>
      <c r="D47" s="12" t="s">
        <v>15</v>
      </c>
      <c r="E47" s="12" t="s">
        <v>102</v>
      </c>
      <c r="F47" s="12" t="s">
        <v>103</v>
      </c>
      <c r="G47" s="12" t="s">
        <v>104</v>
      </c>
      <c r="H47" s="9" t="s">
        <v>61</v>
      </c>
      <c r="I47" s="9" t="str">
        <f>IFERROR(INDEX('Price List Library'!$P$6:$P$437,MATCH(TRIM($G47)&amp;"|"&amp;TRIM($H47),'Price List Library'!$S$6:$S$437,0)),"")</f>
        <v>Benchmark</v>
      </c>
      <c r="J47" s="20">
        <f>IFERROR(INDEX('Price List Library'!$O$6:$O$437,MATCH(TRIM($G47)&amp;"|"&amp;TRIM($H47),'Price List Library'!$S$6:$S$437,0)),0)</f>
        <v>24.64</v>
      </c>
      <c r="K47" s="13" t="s">
        <v>1520</v>
      </c>
    </row>
    <row r="48" spans="1:11" ht="15" customHeight="1" x14ac:dyDescent="0.25">
      <c r="A48" s="9">
        <v>43</v>
      </c>
      <c r="B48" s="10" t="s">
        <v>13</v>
      </c>
      <c r="C48" s="11" t="s">
        <v>64</v>
      </c>
      <c r="D48" s="12" t="s">
        <v>15</v>
      </c>
      <c r="E48" s="12" t="s">
        <v>102</v>
      </c>
      <c r="F48" s="12" t="s">
        <v>106</v>
      </c>
      <c r="G48" s="12" t="s">
        <v>107</v>
      </c>
      <c r="H48" s="9" t="s">
        <v>61</v>
      </c>
      <c r="I48" s="9" t="str">
        <f>IFERROR(INDEX('Price List Library'!$P$6:$P$437,MATCH(TRIM($G48)&amp;"|"&amp;TRIM($H48),'Price List Library'!$S$6:$S$437,0)),"")</f>
        <v>Benchmark</v>
      </c>
      <c r="J48" s="20">
        <f>IFERROR(INDEX('Price List Library'!$O$6:$O$437,MATCH(TRIM($G48)&amp;"|"&amp;TRIM($H48),'Price List Library'!$S$6:$S$437,0)),0)</f>
        <v>15.28</v>
      </c>
      <c r="K48" s="13" t="s">
        <v>1521</v>
      </c>
    </row>
    <row r="49" spans="1:11" ht="15" customHeight="1" x14ac:dyDescent="0.25">
      <c r="A49" s="9">
        <v>44</v>
      </c>
      <c r="B49" s="10" t="s">
        <v>13</v>
      </c>
      <c r="C49" s="11" t="s">
        <v>64</v>
      </c>
      <c r="D49" s="12" t="s">
        <v>15</v>
      </c>
      <c r="E49" s="12" t="s">
        <v>102</v>
      </c>
      <c r="F49" s="12" t="s">
        <v>109</v>
      </c>
      <c r="G49" s="12" t="s">
        <v>110</v>
      </c>
      <c r="H49" s="9" t="s">
        <v>57</v>
      </c>
      <c r="I49" s="9" t="str">
        <f>IFERROR(INDEX('Price List Library'!$P$6:$P$437,MATCH(TRIM($G49)&amp;"|"&amp;TRIM($H49),'Price List Library'!$S$6:$S$437,0)),"")</f>
        <v>Benchmark</v>
      </c>
      <c r="J49" s="20">
        <f>IFERROR(INDEX('Price List Library'!$O$6:$O$437,MATCH(TRIM($G49)&amp;"|"&amp;TRIM($H49),'Price List Library'!$S$6:$S$437,0)),0)</f>
        <v>92.4</v>
      </c>
      <c r="K49" s="13" t="s">
        <v>1522</v>
      </c>
    </row>
    <row r="50" spans="1:11" ht="15" customHeight="1" x14ac:dyDescent="0.25">
      <c r="A50" s="9">
        <v>45</v>
      </c>
      <c r="B50" s="10" t="s">
        <v>13</v>
      </c>
      <c r="C50" s="11" t="s">
        <v>64</v>
      </c>
      <c r="D50" s="12" t="s">
        <v>15</v>
      </c>
      <c r="E50" s="12" t="s">
        <v>102</v>
      </c>
      <c r="F50" s="12" t="s">
        <v>112</v>
      </c>
      <c r="G50" s="12" t="s">
        <v>113</v>
      </c>
      <c r="H50" s="9" t="s">
        <v>57</v>
      </c>
      <c r="I50" s="9" t="str">
        <f>IFERROR(INDEX('Price List Library'!$P$6:$P$437,MATCH(TRIM($G50)&amp;"|"&amp;TRIM($H50),'Price List Library'!$S$6:$S$437,0)),"")</f>
        <v>Benchmark</v>
      </c>
      <c r="J50" s="20">
        <f>IFERROR(INDEX('Price List Library'!$O$6:$O$437,MATCH(TRIM($G50)&amp;"|"&amp;TRIM($H50),'Price List Library'!$S$6:$S$437,0)),0)</f>
        <v>45.6</v>
      </c>
      <c r="K50" s="13" t="s">
        <v>1523</v>
      </c>
    </row>
    <row r="51" spans="1:11" ht="15" customHeight="1" x14ac:dyDescent="0.25">
      <c r="A51" s="9">
        <v>46</v>
      </c>
      <c r="B51" s="10" t="s">
        <v>13</v>
      </c>
      <c r="C51" s="11" t="s">
        <v>64</v>
      </c>
      <c r="D51" s="12" t="s">
        <v>15</v>
      </c>
      <c r="E51" s="12" t="s">
        <v>102</v>
      </c>
      <c r="F51" s="12" t="s">
        <v>93</v>
      </c>
      <c r="G51" s="12" t="s">
        <v>94</v>
      </c>
      <c r="H51" s="9" t="s">
        <v>57</v>
      </c>
      <c r="I51" s="9" t="str">
        <f>IFERROR(INDEX('Price List Library'!$P$6:$P$437,MATCH(TRIM($G51)&amp;"|"&amp;TRIM($H51),'Price List Library'!$S$6:$S$437,0)),"")</f>
        <v>Benchmark</v>
      </c>
      <c r="J51" s="20">
        <f>IFERROR(INDEX('Price List Library'!$O$6:$O$437,MATCH(TRIM($G51)&amp;"|"&amp;TRIM($H51),'Price List Library'!$S$6:$S$437,0)),0)</f>
        <v>2640</v>
      </c>
      <c r="K51" s="13" t="s">
        <v>1524</v>
      </c>
    </row>
    <row r="52" spans="1:11" ht="15" customHeight="1" x14ac:dyDescent="0.25">
      <c r="A52" s="9">
        <v>47</v>
      </c>
      <c r="B52" s="10" t="s">
        <v>13</v>
      </c>
      <c r="C52" s="11" t="s">
        <v>64</v>
      </c>
      <c r="D52" s="12" t="s">
        <v>15</v>
      </c>
      <c r="E52" s="12" t="s">
        <v>102</v>
      </c>
      <c r="F52" s="12" t="s">
        <v>93</v>
      </c>
      <c r="G52" s="12" t="s">
        <v>1516</v>
      </c>
      <c r="H52" s="9" t="s">
        <v>57</v>
      </c>
      <c r="I52" s="9" t="str">
        <f>IFERROR(INDEX('Price List Library'!$P$6:$P$437,MATCH(TRIM($G52)&amp;"|"&amp;TRIM($H52),'Price List Library'!$S$6:$S$437,0)),"")</f>
        <v>Benchmark</v>
      </c>
      <c r="J52" s="20">
        <f>IFERROR(INDEX('Price List Library'!$O$6:$O$437,MATCH(TRIM($G52)&amp;"|"&amp;TRIM($H52),'Price List Library'!$S$6:$S$437,0)),0)</f>
        <v>10450</v>
      </c>
      <c r="K52" s="13" t="s">
        <v>1525</v>
      </c>
    </row>
    <row r="53" spans="1:11" ht="15" customHeight="1" x14ac:dyDescent="0.25">
      <c r="A53" s="9">
        <v>48</v>
      </c>
      <c r="B53" s="10" t="s">
        <v>13</v>
      </c>
      <c r="C53" s="11" t="s">
        <v>116</v>
      </c>
      <c r="D53" s="12" t="s">
        <v>15</v>
      </c>
      <c r="E53" s="12" t="s">
        <v>117</v>
      </c>
      <c r="F53" s="12" t="s">
        <v>118</v>
      </c>
      <c r="G53" s="12" t="s">
        <v>119</v>
      </c>
      <c r="H53" s="9" t="s">
        <v>22</v>
      </c>
      <c r="I53" s="9" t="str">
        <f>IFERROR(INDEX('Price List Library'!$P$6:$P$437,MATCH(TRIM($G53)&amp;"|"&amp;TRIM($H53),'Price List Library'!$S$6:$S$437,0)),"")</f>
        <v>Priced</v>
      </c>
      <c r="J53" s="20">
        <f>IFERROR(INDEX('Price List Library'!$O$6:$O$437,MATCH(TRIM($G53)&amp;"|"&amp;TRIM($H53),'Price List Library'!$S$6:$S$437,0)),0)</f>
        <v>4.8</v>
      </c>
      <c r="K53" s="13" t="s">
        <v>1526</v>
      </c>
    </row>
    <row r="54" spans="1:11" ht="15" customHeight="1" x14ac:dyDescent="0.25">
      <c r="A54" s="9">
        <v>49</v>
      </c>
      <c r="B54" s="10" t="s">
        <v>13</v>
      </c>
      <c r="C54" s="11" t="s">
        <v>116</v>
      </c>
      <c r="D54" s="12" t="s">
        <v>15</v>
      </c>
      <c r="E54" s="12" t="s">
        <v>117</v>
      </c>
      <c r="F54" s="12" t="s">
        <v>118</v>
      </c>
      <c r="G54" s="12" t="s">
        <v>28</v>
      </c>
      <c r="H54" s="9" t="s">
        <v>22</v>
      </c>
      <c r="I54" s="9" t="str">
        <f>IFERROR(INDEX('Price List Library'!$P$6:$P$437,MATCH(TRIM($G54)&amp;"|"&amp;TRIM($H54),'Price List Library'!$S$6:$S$437,0)),"")</f>
        <v>Priced</v>
      </c>
      <c r="J54" s="20">
        <f>IFERROR(INDEX('Price List Library'!$O$6:$O$437,MATCH(TRIM($G54)&amp;"|"&amp;TRIM($H54),'Price List Library'!$S$6:$S$437,0)),0)</f>
        <v>4.8</v>
      </c>
      <c r="K54" s="13" t="s">
        <v>1527</v>
      </c>
    </row>
    <row r="55" spans="1:11" ht="15" customHeight="1" x14ac:dyDescent="0.25">
      <c r="A55" s="9">
        <v>50</v>
      </c>
      <c r="B55" s="10" t="s">
        <v>13</v>
      </c>
      <c r="C55" s="11" t="s">
        <v>116</v>
      </c>
      <c r="D55" s="12" t="s">
        <v>15</v>
      </c>
      <c r="E55" s="12" t="s">
        <v>117</v>
      </c>
      <c r="F55" s="12" t="s">
        <v>118</v>
      </c>
      <c r="G55" s="12" t="s">
        <v>1528</v>
      </c>
      <c r="H55" s="9" t="s">
        <v>22</v>
      </c>
      <c r="I55" s="9" t="str">
        <f>IFERROR(INDEX('Price List Library'!$P$6:$P$437,MATCH(TRIM($G55)&amp;"|"&amp;TRIM($H55),'Price List Library'!$S$6:$S$437,0)),"")</f>
        <v>Priced</v>
      </c>
      <c r="J55" s="20">
        <f>IFERROR(INDEX('Price List Library'!$O$6:$O$437,MATCH(TRIM($G55)&amp;"|"&amp;TRIM($H55),'Price List Library'!$S$6:$S$437,0)),0)</f>
        <v>3.5999999999999996</v>
      </c>
      <c r="K55" s="13" t="s">
        <v>1529</v>
      </c>
    </row>
    <row r="56" spans="1:11" ht="15" customHeight="1" x14ac:dyDescent="0.25">
      <c r="A56" s="9">
        <v>51</v>
      </c>
      <c r="B56" s="10" t="s">
        <v>13</v>
      </c>
      <c r="C56" s="11" t="s">
        <v>116</v>
      </c>
      <c r="D56" s="12" t="s">
        <v>15</v>
      </c>
      <c r="E56" s="12" t="s">
        <v>117</v>
      </c>
      <c r="F56" s="12" t="s">
        <v>121</v>
      </c>
      <c r="G56" s="12" t="s">
        <v>122</v>
      </c>
      <c r="H56" s="9" t="s">
        <v>18</v>
      </c>
      <c r="I56" s="9" t="str">
        <f>IFERROR(INDEX('Price List Library'!$P$6:$P$437,MATCH(TRIM($G56)&amp;"|"&amp;TRIM($H56),'Price List Library'!$S$6:$S$437,0)),"")</f>
        <v>Priced</v>
      </c>
      <c r="J56" s="20">
        <f>IFERROR(INDEX('Price List Library'!$O$6:$O$437,MATCH(TRIM($G56)&amp;"|"&amp;TRIM($H56),'Price List Library'!$S$6:$S$437,0)),0)</f>
        <v>2.4</v>
      </c>
      <c r="K56" s="13" t="s">
        <v>1530</v>
      </c>
    </row>
    <row r="57" spans="1:11" ht="15" customHeight="1" x14ac:dyDescent="0.25">
      <c r="A57" s="9">
        <v>52</v>
      </c>
      <c r="B57" s="10" t="s">
        <v>13</v>
      </c>
      <c r="C57" s="11" t="s">
        <v>116</v>
      </c>
      <c r="D57" s="12" t="s">
        <v>15</v>
      </c>
      <c r="E57" s="12" t="s">
        <v>117</v>
      </c>
      <c r="F57" s="12" t="s">
        <v>124</v>
      </c>
      <c r="G57" s="12" t="s">
        <v>125</v>
      </c>
      <c r="H57" s="9" t="s">
        <v>22</v>
      </c>
      <c r="I57" s="9" t="str">
        <f>IFERROR(INDEX('Price List Library'!$P$6:$P$437,MATCH(TRIM($G57)&amp;"|"&amp;TRIM($H57),'Price List Library'!$S$6:$S$437,0)),"")</f>
        <v>Priced</v>
      </c>
      <c r="J57" s="20">
        <f>IFERROR(INDEX('Price List Library'!$O$6:$O$437,MATCH(TRIM($G57)&amp;"|"&amp;TRIM($H57),'Price List Library'!$S$6:$S$437,0)),0)</f>
        <v>23.760000000000005</v>
      </c>
      <c r="K57" s="13" t="s">
        <v>1531</v>
      </c>
    </row>
    <row r="58" spans="1:11" ht="15" customHeight="1" x14ac:dyDescent="0.25">
      <c r="A58" s="9">
        <v>53</v>
      </c>
      <c r="B58" s="10" t="s">
        <v>13</v>
      </c>
      <c r="C58" s="11" t="s">
        <v>116</v>
      </c>
      <c r="D58" s="12" t="s">
        <v>15</v>
      </c>
      <c r="E58" s="12" t="s">
        <v>117</v>
      </c>
      <c r="F58" s="12" t="s">
        <v>124</v>
      </c>
      <c r="G58" s="12" t="s">
        <v>1532</v>
      </c>
      <c r="H58" s="9" t="s">
        <v>22</v>
      </c>
      <c r="I58" s="9" t="str">
        <f>IFERROR(INDEX('Price List Library'!$P$6:$P$437,MATCH(TRIM($G58)&amp;"|"&amp;TRIM($H58),'Price List Library'!$S$6:$S$437,0)),"")</f>
        <v>Priced</v>
      </c>
      <c r="J58" s="20">
        <f>IFERROR(INDEX('Price List Library'!$O$6:$O$437,MATCH(TRIM($G58)&amp;"|"&amp;TRIM($H58),'Price List Library'!$S$6:$S$437,0)),0)</f>
        <v>23.760000000000005</v>
      </c>
      <c r="K58" s="13" t="s">
        <v>1533</v>
      </c>
    </row>
    <row r="59" spans="1:11" ht="15" customHeight="1" x14ac:dyDescent="0.25">
      <c r="A59" s="9">
        <v>54</v>
      </c>
      <c r="B59" s="10" t="s">
        <v>13</v>
      </c>
      <c r="C59" s="11" t="s">
        <v>116</v>
      </c>
      <c r="D59" s="12" t="s">
        <v>15</v>
      </c>
      <c r="E59" s="12" t="s">
        <v>117</v>
      </c>
      <c r="F59" s="12" t="s">
        <v>127</v>
      </c>
      <c r="G59" s="12" t="s">
        <v>128</v>
      </c>
      <c r="H59" s="9" t="s">
        <v>22</v>
      </c>
      <c r="I59" s="9" t="str">
        <f>IFERROR(INDEX('Price List Library'!$P$6:$P$437,MATCH(TRIM($G59)&amp;"|"&amp;TRIM($H59),'Price List Library'!$S$6:$S$437,0)),"")</f>
        <v>Priced</v>
      </c>
      <c r="J59" s="20">
        <f>IFERROR(INDEX('Price List Library'!$O$6:$O$437,MATCH(TRIM($G59)&amp;"|"&amp;TRIM($H59),'Price List Library'!$S$6:$S$437,0)),0)</f>
        <v>92.40000000000002</v>
      </c>
      <c r="K59" s="13" t="s">
        <v>1534</v>
      </c>
    </row>
    <row r="60" spans="1:11" ht="15" customHeight="1" x14ac:dyDescent="0.25">
      <c r="A60" s="9">
        <v>55</v>
      </c>
      <c r="B60" s="10" t="s">
        <v>13</v>
      </c>
      <c r="C60" s="11" t="s">
        <v>116</v>
      </c>
      <c r="D60" s="12" t="s">
        <v>15</v>
      </c>
      <c r="E60" s="12" t="s">
        <v>117</v>
      </c>
      <c r="F60" s="12" t="s">
        <v>69</v>
      </c>
      <c r="G60" s="12" t="s">
        <v>70</v>
      </c>
      <c r="H60" s="9" t="s">
        <v>22</v>
      </c>
      <c r="I60" s="9" t="str">
        <f>IFERROR(INDEX('Price List Library'!$P$6:$P$437,MATCH(TRIM($G60)&amp;"|"&amp;TRIM($H60),'Price List Library'!$S$6:$S$437,0)),"")</f>
        <v>Priced</v>
      </c>
      <c r="J60" s="20">
        <f>IFERROR(INDEX('Price List Library'!$O$6:$O$437,MATCH(TRIM($G60)&amp;"|"&amp;TRIM($H60),'Price List Library'!$S$6:$S$437,0)),0)</f>
        <v>121.76</v>
      </c>
      <c r="K60" s="13" t="s">
        <v>1535</v>
      </c>
    </row>
    <row r="61" spans="1:11" ht="15" customHeight="1" x14ac:dyDescent="0.25">
      <c r="A61" s="9">
        <v>56</v>
      </c>
      <c r="B61" s="10" t="s">
        <v>13</v>
      </c>
      <c r="C61" s="11" t="s">
        <v>116</v>
      </c>
      <c r="D61" s="12" t="s">
        <v>15</v>
      </c>
      <c r="E61" s="12" t="s">
        <v>117</v>
      </c>
      <c r="F61" s="12" t="s">
        <v>69</v>
      </c>
      <c r="G61" s="12" t="s">
        <v>1480</v>
      </c>
      <c r="H61" s="9" t="s">
        <v>22</v>
      </c>
      <c r="I61" s="9" t="str">
        <f>IFERROR(INDEX('Price List Library'!$P$6:$P$437,MATCH(TRIM($G61)&amp;"|"&amp;TRIM($H61),'Price List Library'!$S$6:$S$437,0)),"")</f>
        <v>Priced</v>
      </c>
      <c r="J61" s="20">
        <f>IFERROR(INDEX('Price List Library'!$O$6:$O$437,MATCH(TRIM($G61)&amp;"|"&amp;TRIM($H61),'Price List Library'!$S$6:$S$437,0)),0)</f>
        <v>119.36</v>
      </c>
      <c r="K61" s="13" t="s">
        <v>1536</v>
      </c>
    </row>
    <row r="62" spans="1:11" ht="15" customHeight="1" x14ac:dyDescent="0.25">
      <c r="A62" s="9">
        <v>57</v>
      </c>
      <c r="B62" s="10" t="s">
        <v>13</v>
      </c>
      <c r="C62" s="11" t="s">
        <v>116</v>
      </c>
      <c r="D62" s="12" t="s">
        <v>15</v>
      </c>
      <c r="E62" s="12" t="s">
        <v>117</v>
      </c>
      <c r="F62" s="12" t="s">
        <v>69</v>
      </c>
      <c r="G62" s="12" t="s">
        <v>1482</v>
      </c>
      <c r="H62" s="9" t="s">
        <v>22</v>
      </c>
      <c r="I62" s="9" t="str">
        <f>IFERROR(INDEX('Price List Library'!$P$6:$P$437,MATCH(TRIM($G62)&amp;"|"&amp;TRIM($H62),'Price List Library'!$S$6:$S$437,0)),"")</f>
        <v>Benchmark</v>
      </c>
      <c r="J62" s="20">
        <f>IFERROR(INDEX('Price List Library'!$O$6:$O$437,MATCH(TRIM($G62)&amp;"|"&amp;TRIM($H62),'Price List Library'!$S$6:$S$437,0)),0)</f>
        <v>108.16</v>
      </c>
      <c r="K62" s="13" t="s">
        <v>1537</v>
      </c>
    </row>
    <row r="63" spans="1:11" ht="15" customHeight="1" x14ac:dyDescent="0.25">
      <c r="A63" s="9">
        <v>58</v>
      </c>
      <c r="B63" s="10" t="s">
        <v>13</v>
      </c>
      <c r="C63" s="11" t="s">
        <v>116</v>
      </c>
      <c r="D63" s="12" t="s">
        <v>15</v>
      </c>
      <c r="E63" s="12" t="s">
        <v>117</v>
      </c>
      <c r="F63" s="12" t="s">
        <v>69</v>
      </c>
      <c r="G63" s="12" t="s">
        <v>1484</v>
      </c>
      <c r="H63" s="9" t="s">
        <v>22</v>
      </c>
      <c r="I63" s="9" t="str">
        <f>IFERROR(INDEX('Price List Library'!$P$6:$P$437,MATCH(TRIM($G63)&amp;"|"&amp;TRIM($H63),'Price List Library'!$S$6:$S$437,0)),"")</f>
        <v>Benchmark</v>
      </c>
      <c r="J63" s="20">
        <f>IFERROR(INDEX('Price List Library'!$O$6:$O$437,MATCH(TRIM($G63)&amp;"|"&amp;TRIM($H63),'Price List Library'!$S$6:$S$437,0)),0)</f>
        <v>114.96000000000001</v>
      </c>
      <c r="K63" s="13" t="s">
        <v>1538</v>
      </c>
    </row>
    <row r="64" spans="1:11" ht="15" customHeight="1" x14ac:dyDescent="0.25">
      <c r="A64" s="9">
        <v>59</v>
      </c>
      <c r="B64" s="10" t="s">
        <v>13</v>
      </c>
      <c r="C64" s="11" t="s">
        <v>116</v>
      </c>
      <c r="D64" s="12" t="s">
        <v>15</v>
      </c>
      <c r="E64" s="12" t="s">
        <v>117</v>
      </c>
      <c r="F64" s="12" t="s">
        <v>131</v>
      </c>
      <c r="G64" s="12" t="s">
        <v>131</v>
      </c>
      <c r="H64" s="9" t="s">
        <v>18</v>
      </c>
      <c r="I64" s="9" t="str">
        <f>IFERROR(INDEX('Price List Library'!$P$6:$P$437,MATCH(TRIM($G64)&amp;"|"&amp;TRIM($H64),'Price List Library'!$S$6:$S$437,0)),"")</f>
        <v>Priced</v>
      </c>
      <c r="J64" s="20">
        <f>IFERROR(INDEX('Price List Library'!$O$6:$O$437,MATCH(TRIM($G64)&amp;"|"&amp;TRIM($H64),'Price List Library'!$S$6:$S$437,0)),0)</f>
        <v>12.8</v>
      </c>
      <c r="K64" s="13" t="s">
        <v>1539</v>
      </c>
    </row>
    <row r="65" spans="1:11" ht="15" customHeight="1" x14ac:dyDescent="0.25">
      <c r="A65" s="9">
        <v>60</v>
      </c>
      <c r="B65" s="10" t="s">
        <v>13</v>
      </c>
      <c r="C65" s="11" t="s">
        <v>116</v>
      </c>
      <c r="D65" s="12" t="s">
        <v>15</v>
      </c>
      <c r="E65" s="12" t="s">
        <v>117</v>
      </c>
      <c r="F65" s="12" t="s">
        <v>131</v>
      </c>
      <c r="G65" s="12" t="s">
        <v>150</v>
      </c>
      <c r="H65" s="9" t="s">
        <v>18</v>
      </c>
      <c r="I65" s="9" t="str">
        <f>IFERROR(INDEX('Price List Library'!$P$6:$P$437,MATCH(TRIM($G65)&amp;"|"&amp;TRIM($H65),'Price List Library'!$S$6:$S$437,0)),"")</f>
        <v>Benchmark</v>
      </c>
      <c r="J65" s="20">
        <f>IFERROR(INDEX('Price List Library'!$O$6:$O$437,MATCH(TRIM($G65)&amp;"|"&amp;TRIM($H65),'Price List Library'!$S$6:$S$437,0)),0)</f>
        <v>18.64</v>
      </c>
      <c r="K65" s="13" t="s">
        <v>1540</v>
      </c>
    </row>
    <row r="66" spans="1:11" ht="15" customHeight="1" x14ac:dyDescent="0.25">
      <c r="A66" s="9">
        <v>61</v>
      </c>
      <c r="B66" s="10" t="s">
        <v>13</v>
      </c>
      <c r="C66" s="11" t="s">
        <v>116</v>
      </c>
      <c r="D66" s="12" t="s">
        <v>15</v>
      </c>
      <c r="E66" s="12" t="s">
        <v>117</v>
      </c>
      <c r="F66" s="12" t="s">
        <v>131</v>
      </c>
      <c r="G66" s="12" t="s">
        <v>1541</v>
      </c>
      <c r="H66" s="9" t="s">
        <v>18</v>
      </c>
      <c r="I66" s="9" t="str">
        <f>IFERROR(INDEX('Price List Library'!$P$6:$P$437,MATCH(TRIM($G66)&amp;"|"&amp;TRIM($H66),'Price List Library'!$S$6:$S$437,0)),"")</f>
        <v>Benchmark</v>
      </c>
      <c r="J66" s="20">
        <f>IFERROR(INDEX('Price List Library'!$O$6:$O$437,MATCH(TRIM($G66)&amp;"|"&amp;TRIM($H66),'Price List Library'!$S$6:$S$437,0)),0)</f>
        <v>12.8</v>
      </c>
      <c r="K66" s="13" t="s">
        <v>1542</v>
      </c>
    </row>
    <row r="67" spans="1:11" ht="15" customHeight="1" x14ac:dyDescent="0.25">
      <c r="A67" s="9">
        <v>62</v>
      </c>
      <c r="B67" s="10" t="s">
        <v>13</v>
      </c>
      <c r="C67" s="11" t="s">
        <v>116</v>
      </c>
      <c r="D67" s="12" t="s">
        <v>15</v>
      </c>
      <c r="E67" s="12" t="s">
        <v>117</v>
      </c>
      <c r="F67" s="12" t="s">
        <v>72</v>
      </c>
      <c r="G67" s="12" t="s">
        <v>73</v>
      </c>
      <c r="H67" s="9" t="s">
        <v>53</v>
      </c>
      <c r="I67" s="9" t="str">
        <f>IFERROR(INDEX('Price List Library'!$P$6:$P$437,MATCH(TRIM($G67)&amp;"|"&amp;TRIM($H67),'Price List Library'!$S$6:$S$437,0)),"")</f>
        <v>Priced</v>
      </c>
      <c r="J67" s="20">
        <f>IFERROR(INDEX('Price List Library'!$O$6:$O$437,MATCH(TRIM($G67)&amp;"|"&amp;TRIM($H67),'Price List Library'!$S$6:$S$437,0)),0)</f>
        <v>1.0176000000000001</v>
      </c>
      <c r="K67" s="13" t="s">
        <v>1543</v>
      </c>
    </row>
    <row r="68" spans="1:11" ht="15" customHeight="1" x14ac:dyDescent="0.25">
      <c r="A68" s="9">
        <v>63</v>
      </c>
      <c r="B68" s="10" t="s">
        <v>13</v>
      </c>
      <c r="C68" s="11" t="s">
        <v>116</v>
      </c>
      <c r="D68" s="12" t="s">
        <v>15</v>
      </c>
      <c r="E68" s="12" t="s">
        <v>117</v>
      </c>
      <c r="F68" s="12" t="s">
        <v>72</v>
      </c>
      <c r="G68" s="12" t="s">
        <v>1487</v>
      </c>
      <c r="H68" s="9" t="s">
        <v>53</v>
      </c>
      <c r="I68" s="9" t="str">
        <f>IFERROR(INDEX('Price List Library'!$P$6:$P$437,MATCH(TRIM($G68)&amp;"|"&amp;TRIM($H68),'Price List Library'!$S$6:$S$437,0)),"")</f>
        <v>Priced</v>
      </c>
      <c r="J68" s="20">
        <f>IFERROR(INDEX('Price List Library'!$O$6:$O$437,MATCH(TRIM($G68)&amp;"|"&amp;TRIM($H68),'Price List Library'!$S$6:$S$437,0)),0)</f>
        <v>0.98320000000000007</v>
      </c>
      <c r="K68" s="13" t="s">
        <v>1544</v>
      </c>
    </row>
    <row r="69" spans="1:11" ht="15" customHeight="1" x14ac:dyDescent="0.25">
      <c r="A69" s="9">
        <v>64</v>
      </c>
      <c r="B69" s="10" t="s">
        <v>13</v>
      </c>
      <c r="C69" s="11" t="s">
        <v>116</v>
      </c>
      <c r="D69" s="12" t="s">
        <v>15</v>
      </c>
      <c r="E69" s="12" t="s">
        <v>117</v>
      </c>
      <c r="F69" s="12" t="s">
        <v>72</v>
      </c>
      <c r="G69" s="12" t="s">
        <v>1489</v>
      </c>
      <c r="H69" s="9" t="s">
        <v>53</v>
      </c>
      <c r="I69" s="9" t="str">
        <f>IFERROR(INDEX('Price List Library'!$P$6:$P$437,MATCH(TRIM($G69)&amp;"|"&amp;TRIM($H69),'Price List Library'!$S$6:$S$437,0)),"")</f>
        <v>Priced</v>
      </c>
      <c r="J69" s="20">
        <f>IFERROR(INDEX('Price List Library'!$O$6:$O$437,MATCH(TRIM($G69)&amp;"|"&amp;TRIM($H69),'Price List Library'!$S$6:$S$437,0)),0)</f>
        <v>0.96000000000000008</v>
      </c>
      <c r="K69" s="13" t="s">
        <v>1545</v>
      </c>
    </row>
    <row r="70" spans="1:11" ht="15" customHeight="1" x14ac:dyDescent="0.25">
      <c r="A70" s="9">
        <v>65</v>
      </c>
      <c r="B70" s="10" t="s">
        <v>13</v>
      </c>
      <c r="C70" s="11" t="s">
        <v>116</v>
      </c>
      <c r="D70" s="12" t="s">
        <v>15</v>
      </c>
      <c r="E70" s="12" t="s">
        <v>117</v>
      </c>
      <c r="F70" s="12" t="s">
        <v>72</v>
      </c>
      <c r="G70" s="12" t="s">
        <v>1491</v>
      </c>
      <c r="H70" s="9" t="s">
        <v>53</v>
      </c>
      <c r="I70" s="9" t="str">
        <f>IFERROR(INDEX('Price List Library'!$P$6:$P$437,MATCH(TRIM($G70)&amp;"|"&amp;TRIM($H70),'Price List Library'!$S$6:$S$437,0)),"")</f>
        <v>Priced</v>
      </c>
      <c r="J70" s="20">
        <f>IFERROR(INDEX('Price List Library'!$O$6:$O$437,MATCH(TRIM($G70)&amp;"|"&amp;TRIM($H70),'Price List Library'!$S$6:$S$437,0)),0)</f>
        <v>0.94880000000000009</v>
      </c>
      <c r="K70" s="13" t="s">
        <v>1546</v>
      </c>
    </row>
    <row r="71" spans="1:11" ht="15" customHeight="1" x14ac:dyDescent="0.25">
      <c r="A71" s="9">
        <v>66</v>
      </c>
      <c r="B71" s="10" t="s">
        <v>13</v>
      </c>
      <c r="C71" s="11" t="s">
        <v>116</v>
      </c>
      <c r="D71" s="12" t="s">
        <v>15</v>
      </c>
      <c r="E71" s="12" t="s">
        <v>117</v>
      </c>
      <c r="F71" s="12" t="s">
        <v>72</v>
      </c>
      <c r="G71" s="12" t="s">
        <v>1493</v>
      </c>
      <c r="H71" s="9" t="s">
        <v>53</v>
      </c>
      <c r="I71" s="9" t="str">
        <f>IFERROR(INDEX('Price List Library'!$P$6:$P$437,MATCH(TRIM($G71)&amp;"|"&amp;TRIM($H71),'Price List Library'!$S$6:$S$437,0)),"")</f>
        <v>Priced</v>
      </c>
      <c r="J71" s="20">
        <f>IFERROR(INDEX('Price List Library'!$O$6:$O$437,MATCH(TRIM($G71)&amp;"|"&amp;TRIM($H71),'Price List Library'!$S$6:$S$437,0)),0)</f>
        <v>0.92560000000000009</v>
      </c>
      <c r="K71" s="13" t="s">
        <v>1547</v>
      </c>
    </row>
    <row r="72" spans="1:11" ht="15" customHeight="1" x14ac:dyDescent="0.25">
      <c r="A72" s="9">
        <v>67</v>
      </c>
      <c r="B72" s="10" t="s">
        <v>13</v>
      </c>
      <c r="C72" s="11" t="s">
        <v>116</v>
      </c>
      <c r="D72" s="12" t="s">
        <v>15</v>
      </c>
      <c r="E72" s="12" t="s">
        <v>117</v>
      </c>
      <c r="F72" s="12" t="s">
        <v>72</v>
      </c>
      <c r="G72" s="12" t="s">
        <v>1495</v>
      </c>
      <c r="H72" s="9" t="s">
        <v>53</v>
      </c>
      <c r="I72" s="9" t="str">
        <f>IFERROR(INDEX('Price List Library'!$P$6:$P$437,MATCH(TRIM($G72)&amp;"|"&amp;TRIM($H72),'Price List Library'!$S$6:$S$437,0)),"")</f>
        <v>Priced</v>
      </c>
      <c r="J72" s="20">
        <f>IFERROR(INDEX('Price List Library'!$O$6:$O$437,MATCH(TRIM($G72)&amp;"|"&amp;TRIM($H72),'Price List Library'!$S$6:$S$437,0)),0)</f>
        <v>0.90239999999999998</v>
      </c>
      <c r="K72" s="13" t="s">
        <v>1548</v>
      </c>
    </row>
    <row r="73" spans="1:11" ht="15" customHeight="1" x14ac:dyDescent="0.25">
      <c r="A73" s="9">
        <v>68</v>
      </c>
      <c r="B73" s="10" t="s">
        <v>13</v>
      </c>
      <c r="C73" s="11" t="s">
        <v>116</v>
      </c>
      <c r="D73" s="12" t="s">
        <v>15</v>
      </c>
      <c r="E73" s="12" t="s">
        <v>117</v>
      </c>
      <c r="F73" s="12" t="s">
        <v>72</v>
      </c>
      <c r="G73" s="12" t="s">
        <v>1497</v>
      </c>
      <c r="H73" s="9" t="s">
        <v>53</v>
      </c>
      <c r="I73" s="9" t="str">
        <f>IFERROR(INDEX('Price List Library'!$P$6:$P$437,MATCH(TRIM($G73)&amp;"|"&amp;TRIM($H73),'Price List Library'!$S$6:$S$437,0)),"")</f>
        <v>Priced</v>
      </c>
      <c r="J73" s="20">
        <f>IFERROR(INDEX('Price List Library'!$O$6:$O$437,MATCH(TRIM($G73)&amp;"|"&amp;TRIM($H73),'Price List Library'!$S$6:$S$437,0)),0)</f>
        <v>0.89119999999999999</v>
      </c>
      <c r="K73" s="13" t="s">
        <v>1549</v>
      </c>
    </row>
    <row r="74" spans="1:11" ht="15" customHeight="1" x14ac:dyDescent="0.25">
      <c r="A74" s="9">
        <v>69</v>
      </c>
      <c r="B74" s="10" t="s">
        <v>13</v>
      </c>
      <c r="C74" s="11" t="s">
        <v>116</v>
      </c>
      <c r="D74" s="12" t="s">
        <v>15</v>
      </c>
      <c r="E74" s="12" t="s">
        <v>117</v>
      </c>
      <c r="F74" s="12" t="s">
        <v>72</v>
      </c>
      <c r="G74" s="12" t="s">
        <v>1499</v>
      </c>
      <c r="H74" s="9" t="s">
        <v>53</v>
      </c>
      <c r="I74" s="9" t="str">
        <f>IFERROR(INDEX('Price List Library'!$P$6:$P$437,MATCH(TRIM($G74)&amp;"|"&amp;TRIM($H74),'Price List Library'!$S$6:$S$437,0)),"")</f>
        <v>Priced</v>
      </c>
      <c r="J74" s="20">
        <f>IFERROR(INDEX('Price List Library'!$O$6:$O$437,MATCH(TRIM($G74)&amp;"|"&amp;TRIM($H74),'Price List Library'!$S$6:$S$437,0)),0)</f>
        <v>1.0064</v>
      </c>
      <c r="K74" s="13" t="s">
        <v>1550</v>
      </c>
    </row>
    <row r="75" spans="1:11" ht="15" customHeight="1" x14ac:dyDescent="0.25">
      <c r="A75" s="9">
        <v>70</v>
      </c>
      <c r="B75" s="10" t="s">
        <v>13</v>
      </c>
      <c r="C75" s="11" t="s">
        <v>116</v>
      </c>
      <c r="D75" s="12" t="s">
        <v>15</v>
      </c>
      <c r="E75" s="12" t="s">
        <v>117</v>
      </c>
      <c r="F75" s="12" t="s">
        <v>72</v>
      </c>
      <c r="G75" s="12" t="s">
        <v>1501</v>
      </c>
      <c r="H75" s="9" t="s">
        <v>53</v>
      </c>
      <c r="I75" s="9" t="str">
        <f>IFERROR(INDEX('Price List Library'!$P$6:$P$437,MATCH(TRIM($G75)&amp;"|"&amp;TRIM($H75),'Price List Library'!$S$6:$S$437,0)),"")</f>
        <v>Benchmark</v>
      </c>
      <c r="J75" s="20">
        <f>IFERROR(INDEX('Price List Library'!$O$6:$O$437,MATCH(TRIM($G75)&amp;"|"&amp;TRIM($H75),'Price List Library'!$S$6:$S$437,0)),0)</f>
        <v>1.0296000000000001</v>
      </c>
      <c r="K75" s="13" t="s">
        <v>1551</v>
      </c>
    </row>
    <row r="76" spans="1:11" ht="15" customHeight="1" x14ac:dyDescent="0.25">
      <c r="A76" s="9">
        <v>71</v>
      </c>
      <c r="B76" s="10" t="s">
        <v>13</v>
      </c>
      <c r="C76" s="11" t="s">
        <v>116</v>
      </c>
      <c r="D76" s="12" t="s">
        <v>15</v>
      </c>
      <c r="E76" s="12" t="s">
        <v>117</v>
      </c>
      <c r="F76" s="12" t="s">
        <v>75</v>
      </c>
      <c r="G76" s="12" t="s">
        <v>76</v>
      </c>
      <c r="H76" s="9" t="s">
        <v>53</v>
      </c>
      <c r="I76" s="9" t="str">
        <f>IFERROR(INDEX('Price List Library'!$P$6:$P$437,MATCH(TRIM($G76)&amp;"|"&amp;TRIM($H76),'Price List Library'!$S$6:$S$437,0)),"")</f>
        <v>Priced</v>
      </c>
      <c r="J76" s="20">
        <f>IFERROR(INDEX('Price List Library'!$O$6:$O$437,MATCH(TRIM($G76)&amp;"|"&amp;TRIM($H76),'Price List Library'!$S$6:$S$437,0)),0)</f>
        <v>1.4040000000000001</v>
      </c>
      <c r="K76" s="13" t="s">
        <v>1552</v>
      </c>
    </row>
    <row r="77" spans="1:11" ht="15" customHeight="1" x14ac:dyDescent="0.25">
      <c r="A77" s="9">
        <v>72</v>
      </c>
      <c r="B77" s="10" t="s">
        <v>13</v>
      </c>
      <c r="C77" s="11" t="s">
        <v>116</v>
      </c>
      <c r="D77" s="12" t="s">
        <v>15</v>
      </c>
      <c r="E77" s="12" t="s">
        <v>117</v>
      </c>
      <c r="F77" s="12" t="s">
        <v>135</v>
      </c>
      <c r="G77" s="12" t="s">
        <v>136</v>
      </c>
      <c r="H77" s="9" t="s">
        <v>61</v>
      </c>
      <c r="I77" s="9" t="str">
        <f>IFERROR(INDEX('Price List Library'!$P$6:$P$437,MATCH(TRIM($G77)&amp;"|"&amp;TRIM($H77),'Price List Library'!$S$6:$S$437,0)),"")</f>
        <v>Priced</v>
      </c>
      <c r="J77" s="20">
        <f>IFERROR(INDEX('Price List Library'!$O$6:$O$437,MATCH(TRIM($G77)&amp;"|"&amp;TRIM($H77),'Price List Library'!$S$6:$S$437,0)),0)</f>
        <v>6.28</v>
      </c>
      <c r="K77" s="13" t="s">
        <v>1553</v>
      </c>
    </row>
    <row r="78" spans="1:11" ht="15" customHeight="1" x14ac:dyDescent="0.25">
      <c r="A78" s="9">
        <v>73</v>
      </c>
      <c r="B78" s="10" t="s">
        <v>13</v>
      </c>
      <c r="C78" s="11" t="s">
        <v>116</v>
      </c>
      <c r="D78" s="12" t="s">
        <v>15</v>
      </c>
      <c r="E78" s="12" t="s">
        <v>117</v>
      </c>
      <c r="F78" s="12" t="s">
        <v>138</v>
      </c>
      <c r="G78" s="12" t="s">
        <v>139</v>
      </c>
      <c r="H78" s="9" t="s">
        <v>18</v>
      </c>
      <c r="I78" s="9" t="str">
        <f>IFERROR(INDEX('Price List Library'!$P$6:$P$437,MATCH(TRIM($G78)&amp;"|"&amp;TRIM($H78),'Price List Library'!$S$6:$S$437,0)),"")</f>
        <v>Priced</v>
      </c>
      <c r="J78" s="20">
        <f>IFERROR(INDEX('Price List Library'!$O$6:$O$437,MATCH(TRIM($G78)&amp;"|"&amp;TRIM($H78),'Price List Library'!$S$6:$S$437,0)),0)</f>
        <v>9.6800000000000015</v>
      </c>
      <c r="K78" s="13" t="s">
        <v>1554</v>
      </c>
    </row>
    <row r="79" spans="1:11" ht="15" customHeight="1" x14ac:dyDescent="0.25">
      <c r="A79" s="9">
        <v>74</v>
      </c>
      <c r="B79" s="10" t="s">
        <v>13</v>
      </c>
      <c r="C79" s="11" t="s">
        <v>116</v>
      </c>
      <c r="D79" s="12" t="s">
        <v>15</v>
      </c>
      <c r="E79" s="12" t="s">
        <v>117</v>
      </c>
      <c r="F79" s="12" t="s">
        <v>138</v>
      </c>
      <c r="G79" s="12" t="s">
        <v>1555</v>
      </c>
      <c r="H79" s="9" t="s">
        <v>18</v>
      </c>
      <c r="I79" s="9" t="str">
        <f>IFERROR(INDEX('Price List Library'!$P$6:$P$437,MATCH(TRIM($G79)&amp;"|"&amp;TRIM($H79),'Price List Library'!$S$6:$S$437,0)),"")</f>
        <v>Priced</v>
      </c>
      <c r="J79" s="20">
        <f>IFERROR(INDEX('Price List Library'!$O$6:$O$437,MATCH(TRIM($G79)&amp;"|"&amp;TRIM($H79),'Price List Library'!$S$6:$S$437,0)),0)</f>
        <v>9.120000000000001</v>
      </c>
      <c r="K79" s="13" t="s">
        <v>1556</v>
      </c>
    </row>
    <row r="80" spans="1:11" ht="15" customHeight="1" x14ac:dyDescent="0.25">
      <c r="A80" s="9">
        <v>75</v>
      </c>
      <c r="B80" s="10" t="s">
        <v>13</v>
      </c>
      <c r="C80" s="11" t="s">
        <v>116</v>
      </c>
      <c r="D80" s="12" t="s">
        <v>15</v>
      </c>
      <c r="E80" s="12" t="s">
        <v>117</v>
      </c>
      <c r="F80" s="12" t="s">
        <v>138</v>
      </c>
      <c r="G80" s="12" t="s">
        <v>1557</v>
      </c>
      <c r="H80" s="9" t="s">
        <v>18</v>
      </c>
      <c r="I80" s="9" t="str">
        <f>IFERROR(INDEX('Price List Library'!$P$6:$P$437,MATCH(TRIM($G80)&amp;"|"&amp;TRIM($H80),'Price List Library'!$S$6:$S$437,0)),"")</f>
        <v>Benchmark</v>
      </c>
      <c r="J80" s="20">
        <f>IFERROR(INDEX('Price List Library'!$O$6:$O$437,MATCH(TRIM($G80)&amp;"|"&amp;TRIM($H80),'Price List Library'!$S$6:$S$437,0)),0)</f>
        <v>8.8000000000000007</v>
      </c>
      <c r="K80" s="13" t="s">
        <v>1558</v>
      </c>
    </row>
    <row r="81" spans="1:11" ht="15" customHeight="1" x14ac:dyDescent="0.25">
      <c r="A81" s="9">
        <v>76</v>
      </c>
      <c r="B81" s="10" t="s">
        <v>13</v>
      </c>
      <c r="C81" s="11" t="s">
        <v>116</v>
      </c>
      <c r="D81" s="12" t="s">
        <v>15</v>
      </c>
      <c r="E81" s="12" t="s">
        <v>117</v>
      </c>
      <c r="F81" s="12" t="s">
        <v>141</v>
      </c>
      <c r="G81" s="12" t="s">
        <v>142</v>
      </c>
      <c r="H81" s="9" t="s">
        <v>18</v>
      </c>
      <c r="I81" s="9" t="str">
        <f>IFERROR(INDEX('Price List Library'!$P$6:$P$437,MATCH(TRIM($G81)&amp;"|"&amp;TRIM($H81),'Price List Library'!$S$6:$S$437,0)),"")</f>
        <v>Priced</v>
      </c>
      <c r="J81" s="20">
        <f>IFERROR(INDEX('Price List Library'!$O$6:$O$437,MATCH(TRIM($G81)&amp;"|"&amp;TRIM($H81),'Price List Library'!$S$6:$S$437,0)),0)</f>
        <v>4</v>
      </c>
      <c r="K81" s="13" t="s">
        <v>1559</v>
      </c>
    </row>
    <row r="82" spans="1:11" ht="15" customHeight="1" x14ac:dyDescent="0.25">
      <c r="A82" s="9">
        <v>77</v>
      </c>
      <c r="B82" s="10" t="s">
        <v>13</v>
      </c>
      <c r="C82" s="11" t="s">
        <v>116</v>
      </c>
      <c r="D82" s="12" t="s">
        <v>15</v>
      </c>
      <c r="E82" s="12" t="s">
        <v>144</v>
      </c>
      <c r="F82" s="12" t="s">
        <v>118</v>
      </c>
      <c r="G82" s="12" t="s">
        <v>119</v>
      </c>
      <c r="H82" s="9" t="s">
        <v>22</v>
      </c>
      <c r="I82" s="9" t="str">
        <f>IFERROR(INDEX('Price List Library'!$P$6:$P$437,MATCH(TRIM($G82)&amp;"|"&amp;TRIM($H82),'Price List Library'!$S$6:$S$437,0)),"")</f>
        <v>Priced</v>
      </c>
      <c r="J82" s="20">
        <f>IFERROR(INDEX('Price List Library'!$O$6:$O$437,MATCH(TRIM($G82)&amp;"|"&amp;TRIM($H82),'Price List Library'!$S$6:$S$437,0)),0)</f>
        <v>4.8</v>
      </c>
      <c r="K82" s="13" t="s">
        <v>1560</v>
      </c>
    </row>
    <row r="83" spans="1:11" ht="15" customHeight="1" x14ac:dyDescent="0.25">
      <c r="A83" s="9">
        <v>78</v>
      </c>
      <c r="B83" s="10" t="s">
        <v>13</v>
      </c>
      <c r="C83" s="11" t="s">
        <v>116</v>
      </c>
      <c r="D83" s="12" t="s">
        <v>15</v>
      </c>
      <c r="E83" s="12" t="s">
        <v>144</v>
      </c>
      <c r="F83" s="12" t="s">
        <v>118</v>
      </c>
      <c r="G83" s="12" t="s">
        <v>28</v>
      </c>
      <c r="H83" s="9" t="s">
        <v>22</v>
      </c>
      <c r="I83" s="9" t="str">
        <f>IFERROR(INDEX('Price List Library'!$P$6:$P$437,MATCH(TRIM($G83)&amp;"|"&amp;TRIM($H83),'Price List Library'!$S$6:$S$437,0)),"")</f>
        <v>Priced</v>
      </c>
      <c r="J83" s="20">
        <f>IFERROR(INDEX('Price List Library'!$O$6:$O$437,MATCH(TRIM($G83)&amp;"|"&amp;TRIM($H83),'Price List Library'!$S$6:$S$437,0)),0)</f>
        <v>4.8</v>
      </c>
      <c r="K83" s="13" t="s">
        <v>1561</v>
      </c>
    </row>
    <row r="84" spans="1:11" ht="15" customHeight="1" x14ac:dyDescent="0.25">
      <c r="A84" s="9">
        <v>79</v>
      </c>
      <c r="B84" s="10" t="s">
        <v>13</v>
      </c>
      <c r="C84" s="11" t="s">
        <v>116</v>
      </c>
      <c r="D84" s="12" t="s">
        <v>15</v>
      </c>
      <c r="E84" s="12" t="s">
        <v>144</v>
      </c>
      <c r="F84" s="12" t="s">
        <v>118</v>
      </c>
      <c r="G84" s="12" t="s">
        <v>1528</v>
      </c>
      <c r="H84" s="9" t="s">
        <v>22</v>
      </c>
      <c r="I84" s="9" t="str">
        <f>IFERROR(INDEX('Price List Library'!$P$6:$P$437,MATCH(TRIM($G84)&amp;"|"&amp;TRIM($H84),'Price List Library'!$S$6:$S$437,0)),"")</f>
        <v>Priced</v>
      </c>
      <c r="J84" s="20">
        <f>IFERROR(INDEX('Price List Library'!$O$6:$O$437,MATCH(TRIM($G84)&amp;"|"&amp;TRIM($H84),'Price List Library'!$S$6:$S$437,0)),0)</f>
        <v>3.5999999999999996</v>
      </c>
      <c r="K84" s="13" t="s">
        <v>1562</v>
      </c>
    </row>
    <row r="85" spans="1:11" ht="15" customHeight="1" x14ac:dyDescent="0.25">
      <c r="A85" s="9">
        <v>80</v>
      </c>
      <c r="B85" s="10" t="s">
        <v>13</v>
      </c>
      <c r="C85" s="11" t="s">
        <v>116</v>
      </c>
      <c r="D85" s="12" t="s">
        <v>15</v>
      </c>
      <c r="E85" s="12" t="s">
        <v>144</v>
      </c>
      <c r="F85" s="12" t="s">
        <v>121</v>
      </c>
      <c r="G85" s="12" t="s">
        <v>122</v>
      </c>
      <c r="H85" s="9" t="s">
        <v>18</v>
      </c>
      <c r="I85" s="9" t="str">
        <f>IFERROR(INDEX('Price List Library'!$P$6:$P$437,MATCH(TRIM($G85)&amp;"|"&amp;TRIM($H85),'Price List Library'!$S$6:$S$437,0)),"")</f>
        <v>Priced</v>
      </c>
      <c r="J85" s="20">
        <f>IFERROR(INDEX('Price List Library'!$O$6:$O$437,MATCH(TRIM($G85)&amp;"|"&amp;TRIM($H85),'Price List Library'!$S$6:$S$437,0)),0)</f>
        <v>2.4</v>
      </c>
      <c r="K85" s="13" t="s">
        <v>1563</v>
      </c>
    </row>
    <row r="86" spans="1:11" ht="15" customHeight="1" x14ac:dyDescent="0.25">
      <c r="A86" s="9">
        <v>81</v>
      </c>
      <c r="B86" s="10" t="s">
        <v>13</v>
      </c>
      <c r="C86" s="11" t="s">
        <v>116</v>
      </c>
      <c r="D86" s="12" t="s">
        <v>15</v>
      </c>
      <c r="E86" s="12" t="s">
        <v>144</v>
      </c>
      <c r="F86" s="12" t="s">
        <v>124</v>
      </c>
      <c r="G86" s="12" t="s">
        <v>125</v>
      </c>
      <c r="H86" s="9" t="s">
        <v>22</v>
      </c>
      <c r="I86" s="9" t="str">
        <f>IFERROR(INDEX('Price List Library'!$P$6:$P$437,MATCH(TRIM($G86)&amp;"|"&amp;TRIM($H86),'Price List Library'!$S$6:$S$437,0)),"")</f>
        <v>Priced</v>
      </c>
      <c r="J86" s="20">
        <f>IFERROR(INDEX('Price List Library'!$O$6:$O$437,MATCH(TRIM($G86)&amp;"|"&amp;TRIM($H86),'Price List Library'!$S$6:$S$437,0)),0)</f>
        <v>23.760000000000005</v>
      </c>
      <c r="K86" s="13" t="s">
        <v>1564</v>
      </c>
    </row>
    <row r="87" spans="1:11" ht="15" customHeight="1" x14ac:dyDescent="0.25">
      <c r="A87" s="9">
        <v>82</v>
      </c>
      <c r="B87" s="10" t="s">
        <v>13</v>
      </c>
      <c r="C87" s="11" t="s">
        <v>116</v>
      </c>
      <c r="D87" s="12" t="s">
        <v>15</v>
      </c>
      <c r="E87" s="12" t="s">
        <v>144</v>
      </c>
      <c r="F87" s="12" t="s">
        <v>124</v>
      </c>
      <c r="G87" s="12" t="s">
        <v>1532</v>
      </c>
      <c r="H87" s="9" t="s">
        <v>22</v>
      </c>
      <c r="I87" s="9" t="str">
        <f>IFERROR(INDEX('Price List Library'!$P$6:$P$437,MATCH(TRIM($G87)&amp;"|"&amp;TRIM($H87),'Price List Library'!$S$6:$S$437,0)),"")</f>
        <v>Priced</v>
      </c>
      <c r="J87" s="20">
        <f>IFERROR(INDEX('Price List Library'!$O$6:$O$437,MATCH(TRIM($G87)&amp;"|"&amp;TRIM($H87),'Price List Library'!$S$6:$S$437,0)),0)</f>
        <v>23.760000000000005</v>
      </c>
      <c r="K87" s="13" t="s">
        <v>1565</v>
      </c>
    </row>
    <row r="88" spans="1:11" ht="15" customHeight="1" x14ac:dyDescent="0.25">
      <c r="A88" s="9">
        <v>83</v>
      </c>
      <c r="B88" s="10" t="s">
        <v>13</v>
      </c>
      <c r="C88" s="11" t="s">
        <v>116</v>
      </c>
      <c r="D88" s="12" t="s">
        <v>15</v>
      </c>
      <c r="E88" s="12" t="s">
        <v>144</v>
      </c>
      <c r="F88" s="12" t="s">
        <v>127</v>
      </c>
      <c r="G88" s="12" t="s">
        <v>128</v>
      </c>
      <c r="H88" s="9" t="s">
        <v>22</v>
      </c>
      <c r="I88" s="9" t="str">
        <f>IFERROR(INDEX('Price List Library'!$P$6:$P$437,MATCH(TRIM($G88)&amp;"|"&amp;TRIM($H88),'Price List Library'!$S$6:$S$437,0)),"")</f>
        <v>Priced</v>
      </c>
      <c r="J88" s="20">
        <f>IFERROR(INDEX('Price List Library'!$O$6:$O$437,MATCH(TRIM($G88)&amp;"|"&amp;TRIM($H88),'Price List Library'!$S$6:$S$437,0)),0)</f>
        <v>92.40000000000002</v>
      </c>
      <c r="K88" s="13" t="s">
        <v>1566</v>
      </c>
    </row>
    <row r="89" spans="1:11" ht="15" customHeight="1" x14ac:dyDescent="0.25">
      <c r="A89" s="9">
        <v>84</v>
      </c>
      <c r="B89" s="10" t="s">
        <v>13</v>
      </c>
      <c r="C89" s="11" t="s">
        <v>116</v>
      </c>
      <c r="D89" s="12" t="s">
        <v>15</v>
      </c>
      <c r="E89" s="12" t="s">
        <v>144</v>
      </c>
      <c r="F89" s="12" t="s">
        <v>69</v>
      </c>
      <c r="G89" s="12" t="s">
        <v>70</v>
      </c>
      <c r="H89" s="9" t="s">
        <v>22</v>
      </c>
      <c r="I89" s="9" t="str">
        <f>IFERROR(INDEX('Price List Library'!$P$6:$P$437,MATCH(TRIM($G89)&amp;"|"&amp;TRIM($H89),'Price List Library'!$S$6:$S$437,0)),"")</f>
        <v>Priced</v>
      </c>
      <c r="J89" s="20">
        <f>IFERROR(INDEX('Price List Library'!$O$6:$O$437,MATCH(TRIM($G89)&amp;"|"&amp;TRIM($H89),'Price List Library'!$S$6:$S$437,0)),0)</f>
        <v>121.76</v>
      </c>
      <c r="K89" s="13" t="s">
        <v>1567</v>
      </c>
    </row>
    <row r="90" spans="1:11" ht="15" customHeight="1" x14ac:dyDescent="0.25">
      <c r="A90" s="9">
        <v>85</v>
      </c>
      <c r="B90" s="10" t="s">
        <v>13</v>
      </c>
      <c r="C90" s="11" t="s">
        <v>116</v>
      </c>
      <c r="D90" s="12" t="s">
        <v>15</v>
      </c>
      <c r="E90" s="12" t="s">
        <v>144</v>
      </c>
      <c r="F90" s="12" t="s">
        <v>69</v>
      </c>
      <c r="G90" s="12" t="s">
        <v>1480</v>
      </c>
      <c r="H90" s="9" t="s">
        <v>22</v>
      </c>
      <c r="I90" s="9" t="str">
        <f>IFERROR(INDEX('Price List Library'!$P$6:$P$437,MATCH(TRIM($G90)&amp;"|"&amp;TRIM($H90),'Price List Library'!$S$6:$S$437,0)),"")</f>
        <v>Priced</v>
      </c>
      <c r="J90" s="20">
        <f>IFERROR(INDEX('Price List Library'!$O$6:$O$437,MATCH(TRIM($G90)&amp;"|"&amp;TRIM($H90),'Price List Library'!$S$6:$S$437,0)),0)</f>
        <v>119.36</v>
      </c>
      <c r="K90" s="13" t="s">
        <v>1568</v>
      </c>
    </row>
    <row r="91" spans="1:11" ht="15" customHeight="1" x14ac:dyDescent="0.25">
      <c r="A91" s="9">
        <v>86</v>
      </c>
      <c r="B91" s="10" t="s">
        <v>13</v>
      </c>
      <c r="C91" s="11" t="s">
        <v>116</v>
      </c>
      <c r="D91" s="12" t="s">
        <v>15</v>
      </c>
      <c r="E91" s="12" t="s">
        <v>144</v>
      </c>
      <c r="F91" s="12" t="s">
        <v>69</v>
      </c>
      <c r="G91" s="12" t="s">
        <v>1482</v>
      </c>
      <c r="H91" s="9" t="s">
        <v>22</v>
      </c>
      <c r="I91" s="9" t="str">
        <f>IFERROR(INDEX('Price List Library'!$P$6:$P$437,MATCH(TRIM($G91)&amp;"|"&amp;TRIM($H91),'Price List Library'!$S$6:$S$437,0)),"")</f>
        <v>Benchmark</v>
      </c>
      <c r="J91" s="20">
        <f>IFERROR(INDEX('Price List Library'!$O$6:$O$437,MATCH(TRIM($G91)&amp;"|"&amp;TRIM($H91),'Price List Library'!$S$6:$S$437,0)),0)</f>
        <v>108.16</v>
      </c>
      <c r="K91" s="13" t="s">
        <v>1569</v>
      </c>
    </row>
    <row r="92" spans="1:11" ht="15" customHeight="1" x14ac:dyDescent="0.25">
      <c r="A92" s="9">
        <v>87</v>
      </c>
      <c r="B92" s="10" t="s">
        <v>13</v>
      </c>
      <c r="C92" s="11" t="s">
        <v>116</v>
      </c>
      <c r="D92" s="12" t="s">
        <v>15</v>
      </c>
      <c r="E92" s="12" t="s">
        <v>144</v>
      </c>
      <c r="F92" s="12" t="s">
        <v>69</v>
      </c>
      <c r="G92" s="12" t="s">
        <v>1484</v>
      </c>
      <c r="H92" s="9" t="s">
        <v>22</v>
      </c>
      <c r="I92" s="9" t="str">
        <f>IFERROR(INDEX('Price List Library'!$P$6:$P$437,MATCH(TRIM($G92)&amp;"|"&amp;TRIM($H92),'Price List Library'!$S$6:$S$437,0)),"")</f>
        <v>Benchmark</v>
      </c>
      <c r="J92" s="20">
        <f>IFERROR(INDEX('Price List Library'!$O$6:$O$437,MATCH(TRIM($G92)&amp;"|"&amp;TRIM($H92),'Price List Library'!$S$6:$S$437,0)),0)</f>
        <v>114.96000000000001</v>
      </c>
      <c r="K92" s="13" t="s">
        <v>1570</v>
      </c>
    </row>
    <row r="93" spans="1:11" ht="15" customHeight="1" x14ac:dyDescent="0.25">
      <c r="A93" s="9">
        <v>88</v>
      </c>
      <c r="B93" s="10" t="s">
        <v>13</v>
      </c>
      <c r="C93" s="11" t="s">
        <v>116</v>
      </c>
      <c r="D93" s="12" t="s">
        <v>15</v>
      </c>
      <c r="E93" s="12" t="s">
        <v>144</v>
      </c>
      <c r="F93" s="12" t="s">
        <v>131</v>
      </c>
      <c r="G93" s="12" t="s">
        <v>150</v>
      </c>
      <c r="H93" s="9" t="s">
        <v>18</v>
      </c>
      <c r="I93" s="9" t="str">
        <f>IFERROR(INDEX('Price List Library'!$P$6:$P$437,MATCH(TRIM($G93)&amp;"|"&amp;TRIM($H93),'Price List Library'!$S$6:$S$437,0)),"")</f>
        <v>Benchmark</v>
      </c>
      <c r="J93" s="20">
        <f>IFERROR(INDEX('Price List Library'!$O$6:$O$437,MATCH(TRIM($G93)&amp;"|"&amp;TRIM($H93),'Price List Library'!$S$6:$S$437,0)),0)</f>
        <v>18.64</v>
      </c>
      <c r="K93" s="13" t="s">
        <v>1571</v>
      </c>
    </row>
    <row r="94" spans="1:11" ht="15" customHeight="1" x14ac:dyDescent="0.25">
      <c r="A94" s="9">
        <v>89</v>
      </c>
      <c r="B94" s="10" t="s">
        <v>13</v>
      </c>
      <c r="C94" s="11" t="s">
        <v>116</v>
      </c>
      <c r="D94" s="12" t="s">
        <v>15</v>
      </c>
      <c r="E94" s="12" t="s">
        <v>144</v>
      </c>
      <c r="F94" s="12" t="s">
        <v>131</v>
      </c>
      <c r="G94" s="12" t="s">
        <v>1541</v>
      </c>
      <c r="H94" s="9" t="s">
        <v>18</v>
      </c>
      <c r="I94" s="9" t="str">
        <f>IFERROR(INDEX('Price List Library'!$P$6:$P$437,MATCH(TRIM($G94)&amp;"|"&amp;TRIM($H94),'Price List Library'!$S$6:$S$437,0)),"")</f>
        <v>Benchmark</v>
      </c>
      <c r="J94" s="20">
        <f>IFERROR(INDEX('Price List Library'!$O$6:$O$437,MATCH(TRIM($G94)&amp;"|"&amp;TRIM($H94),'Price List Library'!$S$6:$S$437,0)),0)</f>
        <v>12.8</v>
      </c>
      <c r="K94" s="13" t="s">
        <v>1572</v>
      </c>
    </row>
    <row r="95" spans="1:11" ht="15" customHeight="1" x14ac:dyDescent="0.25">
      <c r="A95" s="9">
        <v>90</v>
      </c>
      <c r="B95" s="10" t="s">
        <v>13</v>
      </c>
      <c r="C95" s="11" t="s">
        <v>116</v>
      </c>
      <c r="D95" s="12" t="s">
        <v>15</v>
      </c>
      <c r="E95" s="12" t="s">
        <v>144</v>
      </c>
      <c r="F95" s="12" t="s">
        <v>72</v>
      </c>
      <c r="G95" s="12" t="s">
        <v>73</v>
      </c>
      <c r="H95" s="9" t="s">
        <v>53</v>
      </c>
      <c r="I95" s="9" t="str">
        <f>IFERROR(INDEX('Price List Library'!$P$6:$P$437,MATCH(TRIM($G95)&amp;"|"&amp;TRIM($H95),'Price List Library'!$S$6:$S$437,0)),"")</f>
        <v>Priced</v>
      </c>
      <c r="J95" s="20">
        <f>IFERROR(INDEX('Price List Library'!$O$6:$O$437,MATCH(TRIM($G95)&amp;"|"&amp;TRIM($H95),'Price List Library'!$S$6:$S$437,0)),0)</f>
        <v>1.0176000000000001</v>
      </c>
      <c r="K95" s="13" t="s">
        <v>1573</v>
      </c>
    </row>
    <row r="96" spans="1:11" ht="15" customHeight="1" x14ac:dyDescent="0.25">
      <c r="A96" s="9">
        <v>91</v>
      </c>
      <c r="B96" s="10" t="s">
        <v>13</v>
      </c>
      <c r="C96" s="11" t="s">
        <v>116</v>
      </c>
      <c r="D96" s="12" t="s">
        <v>15</v>
      </c>
      <c r="E96" s="12" t="s">
        <v>144</v>
      </c>
      <c r="F96" s="12" t="s">
        <v>72</v>
      </c>
      <c r="G96" s="12" t="s">
        <v>1487</v>
      </c>
      <c r="H96" s="9" t="s">
        <v>53</v>
      </c>
      <c r="I96" s="9" t="str">
        <f>IFERROR(INDEX('Price List Library'!$P$6:$P$437,MATCH(TRIM($G96)&amp;"|"&amp;TRIM($H96),'Price List Library'!$S$6:$S$437,0)),"")</f>
        <v>Priced</v>
      </c>
      <c r="J96" s="20">
        <f>IFERROR(INDEX('Price List Library'!$O$6:$O$437,MATCH(TRIM($G96)&amp;"|"&amp;TRIM($H96),'Price List Library'!$S$6:$S$437,0)),0)</f>
        <v>0.98320000000000007</v>
      </c>
      <c r="K96" s="13" t="s">
        <v>1574</v>
      </c>
    </row>
    <row r="97" spans="1:11" ht="15" customHeight="1" x14ac:dyDescent="0.25">
      <c r="A97" s="9">
        <v>92</v>
      </c>
      <c r="B97" s="10" t="s">
        <v>13</v>
      </c>
      <c r="C97" s="11" t="s">
        <v>116</v>
      </c>
      <c r="D97" s="12" t="s">
        <v>15</v>
      </c>
      <c r="E97" s="12" t="s">
        <v>144</v>
      </c>
      <c r="F97" s="12" t="s">
        <v>72</v>
      </c>
      <c r="G97" s="12" t="s">
        <v>1489</v>
      </c>
      <c r="H97" s="9" t="s">
        <v>53</v>
      </c>
      <c r="I97" s="9" t="str">
        <f>IFERROR(INDEX('Price List Library'!$P$6:$P$437,MATCH(TRIM($G97)&amp;"|"&amp;TRIM($H97),'Price List Library'!$S$6:$S$437,0)),"")</f>
        <v>Priced</v>
      </c>
      <c r="J97" s="20">
        <f>IFERROR(INDEX('Price List Library'!$O$6:$O$437,MATCH(TRIM($G97)&amp;"|"&amp;TRIM($H97),'Price List Library'!$S$6:$S$437,0)),0)</f>
        <v>0.96000000000000008</v>
      </c>
      <c r="K97" s="13" t="s">
        <v>1575</v>
      </c>
    </row>
    <row r="98" spans="1:11" ht="15" customHeight="1" x14ac:dyDescent="0.25">
      <c r="A98" s="9">
        <v>93</v>
      </c>
      <c r="B98" s="10" t="s">
        <v>13</v>
      </c>
      <c r="C98" s="11" t="s">
        <v>116</v>
      </c>
      <c r="D98" s="12" t="s">
        <v>15</v>
      </c>
      <c r="E98" s="12" t="s">
        <v>144</v>
      </c>
      <c r="F98" s="12" t="s">
        <v>72</v>
      </c>
      <c r="G98" s="12" t="s">
        <v>1491</v>
      </c>
      <c r="H98" s="9" t="s">
        <v>53</v>
      </c>
      <c r="I98" s="9" t="str">
        <f>IFERROR(INDEX('Price List Library'!$P$6:$P$437,MATCH(TRIM($G98)&amp;"|"&amp;TRIM($H98),'Price List Library'!$S$6:$S$437,0)),"")</f>
        <v>Priced</v>
      </c>
      <c r="J98" s="20">
        <f>IFERROR(INDEX('Price List Library'!$O$6:$O$437,MATCH(TRIM($G98)&amp;"|"&amp;TRIM($H98),'Price List Library'!$S$6:$S$437,0)),0)</f>
        <v>0.94880000000000009</v>
      </c>
      <c r="K98" s="13" t="s">
        <v>1576</v>
      </c>
    </row>
    <row r="99" spans="1:11" ht="15" customHeight="1" x14ac:dyDescent="0.25">
      <c r="A99" s="9">
        <v>94</v>
      </c>
      <c r="B99" s="10" t="s">
        <v>13</v>
      </c>
      <c r="C99" s="11" t="s">
        <v>116</v>
      </c>
      <c r="D99" s="12" t="s">
        <v>15</v>
      </c>
      <c r="E99" s="12" t="s">
        <v>144</v>
      </c>
      <c r="F99" s="12" t="s">
        <v>72</v>
      </c>
      <c r="G99" s="12" t="s">
        <v>1493</v>
      </c>
      <c r="H99" s="9" t="s">
        <v>53</v>
      </c>
      <c r="I99" s="9" t="str">
        <f>IFERROR(INDEX('Price List Library'!$P$6:$P$437,MATCH(TRIM($G99)&amp;"|"&amp;TRIM($H99),'Price List Library'!$S$6:$S$437,0)),"")</f>
        <v>Priced</v>
      </c>
      <c r="J99" s="20">
        <f>IFERROR(INDEX('Price List Library'!$O$6:$O$437,MATCH(TRIM($G99)&amp;"|"&amp;TRIM($H99),'Price List Library'!$S$6:$S$437,0)),0)</f>
        <v>0.92560000000000009</v>
      </c>
      <c r="K99" s="13" t="s">
        <v>1577</v>
      </c>
    </row>
    <row r="100" spans="1:11" ht="15" customHeight="1" x14ac:dyDescent="0.25">
      <c r="A100" s="9">
        <v>95</v>
      </c>
      <c r="B100" s="10" t="s">
        <v>13</v>
      </c>
      <c r="C100" s="11" t="s">
        <v>116</v>
      </c>
      <c r="D100" s="12" t="s">
        <v>15</v>
      </c>
      <c r="E100" s="12" t="s">
        <v>144</v>
      </c>
      <c r="F100" s="12" t="s">
        <v>72</v>
      </c>
      <c r="G100" s="12" t="s">
        <v>1495</v>
      </c>
      <c r="H100" s="9" t="s">
        <v>53</v>
      </c>
      <c r="I100" s="9" t="str">
        <f>IFERROR(INDEX('Price List Library'!$P$6:$P$437,MATCH(TRIM($G100)&amp;"|"&amp;TRIM($H100),'Price List Library'!$S$6:$S$437,0)),"")</f>
        <v>Priced</v>
      </c>
      <c r="J100" s="20">
        <f>IFERROR(INDEX('Price List Library'!$O$6:$O$437,MATCH(TRIM($G100)&amp;"|"&amp;TRIM($H100),'Price List Library'!$S$6:$S$437,0)),0)</f>
        <v>0.90239999999999998</v>
      </c>
      <c r="K100" s="13" t="s">
        <v>1578</v>
      </c>
    </row>
    <row r="101" spans="1:11" ht="15" customHeight="1" x14ac:dyDescent="0.25">
      <c r="A101" s="9">
        <v>96</v>
      </c>
      <c r="B101" s="10" t="s">
        <v>13</v>
      </c>
      <c r="C101" s="11" t="s">
        <v>116</v>
      </c>
      <c r="D101" s="12" t="s">
        <v>15</v>
      </c>
      <c r="E101" s="12" t="s">
        <v>144</v>
      </c>
      <c r="F101" s="12" t="s">
        <v>72</v>
      </c>
      <c r="G101" s="12" t="s">
        <v>1497</v>
      </c>
      <c r="H101" s="9" t="s">
        <v>53</v>
      </c>
      <c r="I101" s="9" t="str">
        <f>IFERROR(INDEX('Price List Library'!$P$6:$P$437,MATCH(TRIM($G101)&amp;"|"&amp;TRIM($H101),'Price List Library'!$S$6:$S$437,0)),"")</f>
        <v>Priced</v>
      </c>
      <c r="J101" s="20">
        <f>IFERROR(INDEX('Price List Library'!$O$6:$O$437,MATCH(TRIM($G101)&amp;"|"&amp;TRIM($H101),'Price List Library'!$S$6:$S$437,0)),0)</f>
        <v>0.89119999999999999</v>
      </c>
      <c r="K101" s="13" t="s">
        <v>1579</v>
      </c>
    </row>
    <row r="102" spans="1:11" ht="15" customHeight="1" x14ac:dyDescent="0.25">
      <c r="A102" s="9">
        <v>97</v>
      </c>
      <c r="B102" s="10" t="s">
        <v>13</v>
      </c>
      <c r="C102" s="11" t="s">
        <v>116</v>
      </c>
      <c r="D102" s="12" t="s">
        <v>15</v>
      </c>
      <c r="E102" s="12" t="s">
        <v>144</v>
      </c>
      <c r="F102" s="12" t="s">
        <v>72</v>
      </c>
      <c r="G102" s="12" t="s">
        <v>1499</v>
      </c>
      <c r="H102" s="9" t="s">
        <v>53</v>
      </c>
      <c r="I102" s="9" t="str">
        <f>IFERROR(INDEX('Price List Library'!$P$6:$P$437,MATCH(TRIM($G102)&amp;"|"&amp;TRIM($H102),'Price List Library'!$S$6:$S$437,0)),"")</f>
        <v>Priced</v>
      </c>
      <c r="J102" s="20">
        <f>IFERROR(INDEX('Price List Library'!$O$6:$O$437,MATCH(TRIM($G102)&amp;"|"&amp;TRIM($H102),'Price List Library'!$S$6:$S$437,0)),0)</f>
        <v>1.0064</v>
      </c>
      <c r="K102" s="13" t="s">
        <v>1580</v>
      </c>
    </row>
    <row r="103" spans="1:11" ht="15" customHeight="1" x14ac:dyDescent="0.25">
      <c r="A103" s="9">
        <v>98</v>
      </c>
      <c r="B103" s="10" t="s">
        <v>13</v>
      </c>
      <c r="C103" s="11" t="s">
        <v>116</v>
      </c>
      <c r="D103" s="12" t="s">
        <v>15</v>
      </c>
      <c r="E103" s="12" t="s">
        <v>144</v>
      </c>
      <c r="F103" s="12" t="s">
        <v>72</v>
      </c>
      <c r="G103" s="12" t="s">
        <v>1501</v>
      </c>
      <c r="H103" s="9" t="s">
        <v>53</v>
      </c>
      <c r="I103" s="9" t="str">
        <f>IFERROR(INDEX('Price List Library'!$P$6:$P$437,MATCH(TRIM($G103)&amp;"|"&amp;TRIM($H103),'Price List Library'!$S$6:$S$437,0)),"")</f>
        <v>Benchmark</v>
      </c>
      <c r="J103" s="20">
        <f>IFERROR(INDEX('Price List Library'!$O$6:$O$437,MATCH(TRIM($G103)&amp;"|"&amp;TRIM($H103),'Price List Library'!$S$6:$S$437,0)),0)</f>
        <v>1.0296000000000001</v>
      </c>
      <c r="K103" s="13" t="s">
        <v>1581</v>
      </c>
    </row>
    <row r="104" spans="1:11" ht="15" customHeight="1" x14ac:dyDescent="0.25">
      <c r="A104" s="9">
        <v>99</v>
      </c>
      <c r="B104" s="10" t="s">
        <v>13</v>
      </c>
      <c r="C104" s="11" t="s">
        <v>116</v>
      </c>
      <c r="D104" s="12" t="s">
        <v>15</v>
      </c>
      <c r="E104" s="12" t="s">
        <v>144</v>
      </c>
      <c r="F104" s="12" t="s">
        <v>75</v>
      </c>
      <c r="G104" s="12" t="s">
        <v>76</v>
      </c>
      <c r="H104" s="9" t="s">
        <v>53</v>
      </c>
      <c r="I104" s="9" t="str">
        <f>IFERROR(INDEX('Price List Library'!$P$6:$P$437,MATCH(TRIM($G104)&amp;"|"&amp;TRIM($H104),'Price List Library'!$S$6:$S$437,0)),"")</f>
        <v>Priced</v>
      </c>
      <c r="J104" s="20">
        <f>IFERROR(INDEX('Price List Library'!$O$6:$O$437,MATCH(TRIM($G104)&amp;"|"&amp;TRIM($H104),'Price List Library'!$S$6:$S$437,0)),0)</f>
        <v>1.4040000000000001</v>
      </c>
      <c r="K104" s="13" t="s">
        <v>1582</v>
      </c>
    </row>
    <row r="105" spans="1:11" ht="15" customHeight="1" x14ac:dyDescent="0.25">
      <c r="A105" s="9">
        <v>100</v>
      </c>
      <c r="B105" s="10" t="s">
        <v>13</v>
      </c>
      <c r="C105" s="11" t="s">
        <v>116</v>
      </c>
      <c r="D105" s="12" t="s">
        <v>15</v>
      </c>
      <c r="E105" s="12" t="s">
        <v>144</v>
      </c>
      <c r="F105" s="12" t="s">
        <v>135</v>
      </c>
      <c r="G105" s="12" t="s">
        <v>136</v>
      </c>
      <c r="H105" s="9" t="s">
        <v>61</v>
      </c>
      <c r="I105" s="9" t="str">
        <f>IFERROR(INDEX('Price List Library'!$P$6:$P$437,MATCH(TRIM($G105)&amp;"|"&amp;TRIM($H105),'Price List Library'!$S$6:$S$437,0)),"")</f>
        <v>Priced</v>
      </c>
      <c r="J105" s="20">
        <f>IFERROR(INDEX('Price List Library'!$O$6:$O$437,MATCH(TRIM($G105)&amp;"|"&amp;TRIM($H105),'Price List Library'!$S$6:$S$437,0)),0)</f>
        <v>6.28</v>
      </c>
      <c r="K105" s="13" t="s">
        <v>1583</v>
      </c>
    </row>
    <row r="106" spans="1:11" ht="15" customHeight="1" x14ac:dyDescent="0.25">
      <c r="A106" s="9">
        <v>101</v>
      </c>
      <c r="B106" s="10" t="s">
        <v>13</v>
      </c>
      <c r="C106" s="11" t="s">
        <v>116</v>
      </c>
      <c r="D106" s="12" t="s">
        <v>15</v>
      </c>
      <c r="E106" s="12" t="s">
        <v>144</v>
      </c>
      <c r="F106" s="12" t="s">
        <v>138</v>
      </c>
      <c r="G106" s="12" t="s">
        <v>139</v>
      </c>
      <c r="H106" s="9" t="s">
        <v>18</v>
      </c>
      <c r="I106" s="9" t="str">
        <f>IFERROR(INDEX('Price List Library'!$P$6:$P$437,MATCH(TRIM($G106)&amp;"|"&amp;TRIM($H106),'Price List Library'!$S$6:$S$437,0)),"")</f>
        <v>Priced</v>
      </c>
      <c r="J106" s="20">
        <f>IFERROR(INDEX('Price List Library'!$O$6:$O$437,MATCH(TRIM($G106)&amp;"|"&amp;TRIM($H106),'Price List Library'!$S$6:$S$437,0)),0)</f>
        <v>9.6800000000000015</v>
      </c>
      <c r="K106" s="13" t="s">
        <v>1584</v>
      </c>
    </row>
    <row r="107" spans="1:11" ht="15" customHeight="1" x14ac:dyDescent="0.25">
      <c r="A107" s="9">
        <v>102</v>
      </c>
      <c r="B107" s="10" t="s">
        <v>13</v>
      </c>
      <c r="C107" s="11" t="s">
        <v>116</v>
      </c>
      <c r="D107" s="12" t="s">
        <v>15</v>
      </c>
      <c r="E107" s="12" t="s">
        <v>144</v>
      </c>
      <c r="F107" s="12" t="s">
        <v>138</v>
      </c>
      <c r="G107" s="12" t="s">
        <v>1555</v>
      </c>
      <c r="H107" s="9" t="s">
        <v>18</v>
      </c>
      <c r="I107" s="9" t="str">
        <f>IFERROR(INDEX('Price List Library'!$P$6:$P$437,MATCH(TRIM($G107)&amp;"|"&amp;TRIM($H107),'Price List Library'!$S$6:$S$437,0)),"")</f>
        <v>Priced</v>
      </c>
      <c r="J107" s="20">
        <f>IFERROR(INDEX('Price List Library'!$O$6:$O$437,MATCH(TRIM($G107)&amp;"|"&amp;TRIM($H107),'Price List Library'!$S$6:$S$437,0)),0)</f>
        <v>9.120000000000001</v>
      </c>
      <c r="K107" s="13" t="s">
        <v>1585</v>
      </c>
    </row>
    <row r="108" spans="1:11" ht="15" customHeight="1" x14ac:dyDescent="0.25">
      <c r="A108" s="9">
        <v>103</v>
      </c>
      <c r="B108" s="10" t="s">
        <v>13</v>
      </c>
      <c r="C108" s="11" t="s">
        <v>116</v>
      </c>
      <c r="D108" s="12" t="s">
        <v>15</v>
      </c>
      <c r="E108" s="12" t="s">
        <v>144</v>
      </c>
      <c r="F108" s="12" t="s">
        <v>138</v>
      </c>
      <c r="G108" s="12" t="s">
        <v>1557</v>
      </c>
      <c r="H108" s="9" t="s">
        <v>18</v>
      </c>
      <c r="I108" s="9" t="str">
        <f>IFERROR(INDEX('Price List Library'!$P$6:$P$437,MATCH(TRIM($G108)&amp;"|"&amp;TRIM($H108),'Price List Library'!$S$6:$S$437,0)),"")</f>
        <v>Benchmark</v>
      </c>
      <c r="J108" s="20">
        <f>IFERROR(INDEX('Price List Library'!$O$6:$O$437,MATCH(TRIM($G108)&amp;"|"&amp;TRIM($H108),'Price List Library'!$S$6:$S$437,0)),0)</f>
        <v>8.8000000000000007</v>
      </c>
      <c r="K108" s="13" t="s">
        <v>1586</v>
      </c>
    </row>
    <row r="109" spans="1:11" ht="15" customHeight="1" x14ac:dyDescent="0.25">
      <c r="A109" s="9">
        <v>104</v>
      </c>
      <c r="B109" s="10" t="s">
        <v>13</v>
      </c>
      <c r="C109" s="11" t="s">
        <v>116</v>
      </c>
      <c r="D109" s="12" t="s">
        <v>15</v>
      </c>
      <c r="E109" s="12" t="s">
        <v>144</v>
      </c>
      <c r="F109" s="12" t="s">
        <v>141</v>
      </c>
      <c r="G109" s="12" t="s">
        <v>142</v>
      </c>
      <c r="H109" s="9" t="s">
        <v>18</v>
      </c>
      <c r="I109" s="9" t="str">
        <f>IFERROR(INDEX('Price List Library'!$P$6:$P$437,MATCH(TRIM($G109)&amp;"|"&amp;TRIM($H109),'Price List Library'!$S$6:$S$437,0)),"")</f>
        <v>Priced</v>
      </c>
      <c r="J109" s="20">
        <f>IFERROR(INDEX('Price List Library'!$O$6:$O$437,MATCH(TRIM($G109)&amp;"|"&amp;TRIM($H109),'Price List Library'!$S$6:$S$437,0)),0)</f>
        <v>4</v>
      </c>
      <c r="K109" s="13" t="s">
        <v>1587</v>
      </c>
    </row>
    <row r="110" spans="1:11" ht="15" customHeight="1" x14ac:dyDescent="0.25">
      <c r="A110" s="9">
        <v>105</v>
      </c>
      <c r="B110" s="10" t="s">
        <v>13</v>
      </c>
      <c r="C110" s="11" t="s">
        <v>116</v>
      </c>
      <c r="D110" s="12" t="s">
        <v>15</v>
      </c>
      <c r="E110" s="12" t="s">
        <v>157</v>
      </c>
      <c r="F110" s="12" t="s">
        <v>118</v>
      </c>
      <c r="G110" s="12" t="s">
        <v>119</v>
      </c>
      <c r="H110" s="9" t="s">
        <v>22</v>
      </c>
      <c r="I110" s="9" t="str">
        <f>IFERROR(INDEX('Price List Library'!$P$6:$P$437,MATCH(TRIM($G110)&amp;"|"&amp;TRIM($H110),'Price List Library'!$S$6:$S$437,0)),"")</f>
        <v>Priced</v>
      </c>
      <c r="J110" s="20">
        <f>IFERROR(INDEX('Price List Library'!$O$6:$O$437,MATCH(TRIM($G110)&amp;"|"&amp;TRIM($H110),'Price List Library'!$S$6:$S$437,0)),0)</f>
        <v>4.8</v>
      </c>
      <c r="K110" s="13" t="s">
        <v>1588</v>
      </c>
    </row>
    <row r="111" spans="1:11" ht="15" customHeight="1" x14ac:dyDescent="0.25">
      <c r="A111" s="9">
        <v>106</v>
      </c>
      <c r="B111" s="10" t="s">
        <v>13</v>
      </c>
      <c r="C111" s="11" t="s">
        <v>116</v>
      </c>
      <c r="D111" s="12" t="s">
        <v>15</v>
      </c>
      <c r="E111" s="12" t="s">
        <v>157</v>
      </c>
      <c r="F111" s="12" t="s">
        <v>118</v>
      </c>
      <c r="G111" s="12" t="s">
        <v>28</v>
      </c>
      <c r="H111" s="9" t="s">
        <v>22</v>
      </c>
      <c r="I111" s="9" t="str">
        <f>IFERROR(INDEX('Price List Library'!$P$6:$P$437,MATCH(TRIM($G111)&amp;"|"&amp;TRIM($H111),'Price List Library'!$S$6:$S$437,0)),"")</f>
        <v>Priced</v>
      </c>
      <c r="J111" s="20">
        <f>IFERROR(INDEX('Price List Library'!$O$6:$O$437,MATCH(TRIM($G111)&amp;"|"&amp;TRIM($H111),'Price List Library'!$S$6:$S$437,0)),0)</f>
        <v>4.8</v>
      </c>
      <c r="K111" s="13" t="s">
        <v>1589</v>
      </c>
    </row>
    <row r="112" spans="1:11" ht="15" customHeight="1" x14ac:dyDescent="0.25">
      <c r="A112" s="9">
        <v>107</v>
      </c>
      <c r="B112" s="10" t="s">
        <v>13</v>
      </c>
      <c r="C112" s="11" t="s">
        <v>116</v>
      </c>
      <c r="D112" s="12" t="s">
        <v>15</v>
      </c>
      <c r="E112" s="12" t="s">
        <v>157</v>
      </c>
      <c r="F112" s="12" t="s">
        <v>118</v>
      </c>
      <c r="G112" s="12" t="s">
        <v>1528</v>
      </c>
      <c r="H112" s="9" t="s">
        <v>22</v>
      </c>
      <c r="I112" s="9" t="str">
        <f>IFERROR(INDEX('Price List Library'!$P$6:$P$437,MATCH(TRIM($G112)&amp;"|"&amp;TRIM($H112),'Price List Library'!$S$6:$S$437,0)),"")</f>
        <v>Priced</v>
      </c>
      <c r="J112" s="20">
        <f>IFERROR(INDEX('Price List Library'!$O$6:$O$437,MATCH(TRIM($G112)&amp;"|"&amp;TRIM($H112),'Price List Library'!$S$6:$S$437,0)),0)</f>
        <v>3.5999999999999996</v>
      </c>
      <c r="K112" s="13" t="s">
        <v>1590</v>
      </c>
    </row>
    <row r="113" spans="1:11" ht="15" customHeight="1" x14ac:dyDescent="0.25">
      <c r="A113" s="9">
        <v>108</v>
      </c>
      <c r="B113" s="10" t="s">
        <v>13</v>
      </c>
      <c r="C113" s="11" t="s">
        <v>116</v>
      </c>
      <c r="D113" s="12" t="s">
        <v>15</v>
      </c>
      <c r="E113" s="12" t="s">
        <v>157</v>
      </c>
      <c r="F113" s="12" t="s">
        <v>127</v>
      </c>
      <c r="G113" s="12" t="s">
        <v>128</v>
      </c>
      <c r="H113" s="9" t="s">
        <v>22</v>
      </c>
      <c r="I113" s="9" t="str">
        <f>IFERROR(INDEX('Price List Library'!$P$6:$P$437,MATCH(TRIM($G113)&amp;"|"&amp;TRIM($H113),'Price List Library'!$S$6:$S$437,0)),"")</f>
        <v>Priced</v>
      </c>
      <c r="J113" s="20">
        <f>IFERROR(INDEX('Price List Library'!$O$6:$O$437,MATCH(TRIM($G113)&amp;"|"&amp;TRIM($H113),'Price List Library'!$S$6:$S$437,0)),0)</f>
        <v>92.40000000000002</v>
      </c>
      <c r="K113" s="13" t="s">
        <v>1591</v>
      </c>
    </row>
    <row r="114" spans="1:11" ht="15" customHeight="1" x14ac:dyDescent="0.25">
      <c r="A114" s="9">
        <v>109</v>
      </c>
      <c r="B114" s="10" t="s">
        <v>13</v>
      </c>
      <c r="C114" s="11" t="s">
        <v>116</v>
      </c>
      <c r="D114" s="12" t="s">
        <v>15</v>
      </c>
      <c r="E114" s="12" t="s">
        <v>157</v>
      </c>
      <c r="F114" s="12" t="s">
        <v>69</v>
      </c>
      <c r="G114" s="12" t="s">
        <v>70</v>
      </c>
      <c r="H114" s="9" t="s">
        <v>22</v>
      </c>
      <c r="I114" s="9" t="str">
        <f>IFERROR(INDEX('Price List Library'!$P$6:$P$437,MATCH(TRIM($G114)&amp;"|"&amp;TRIM($H114),'Price List Library'!$S$6:$S$437,0)),"")</f>
        <v>Priced</v>
      </c>
      <c r="J114" s="20">
        <f>IFERROR(INDEX('Price List Library'!$O$6:$O$437,MATCH(TRIM($G114)&amp;"|"&amp;TRIM($H114),'Price List Library'!$S$6:$S$437,0)),0)</f>
        <v>121.76</v>
      </c>
      <c r="K114" s="13" t="s">
        <v>1592</v>
      </c>
    </row>
    <row r="115" spans="1:11" ht="15" customHeight="1" x14ac:dyDescent="0.25">
      <c r="A115" s="9">
        <v>110</v>
      </c>
      <c r="B115" s="10" t="s">
        <v>13</v>
      </c>
      <c r="C115" s="11" t="s">
        <v>116</v>
      </c>
      <c r="D115" s="12" t="s">
        <v>15</v>
      </c>
      <c r="E115" s="12" t="s">
        <v>157</v>
      </c>
      <c r="F115" s="12" t="s">
        <v>69</v>
      </c>
      <c r="G115" s="12" t="s">
        <v>1480</v>
      </c>
      <c r="H115" s="9" t="s">
        <v>22</v>
      </c>
      <c r="I115" s="9" t="str">
        <f>IFERROR(INDEX('Price List Library'!$P$6:$P$437,MATCH(TRIM($G115)&amp;"|"&amp;TRIM($H115),'Price List Library'!$S$6:$S$437,0)),"")</f>
        <v>Priced</v>
      </c>
      <c r="J115" s="20">
        <f>IFERROR(INDEX('Price List Library'!$O$6:$O$437,MATCH(TRIM($G115)&amp;"|"&amp;TRIM($H115),'Price List Library'!$S$6:$S$437,0)),0)</f>
        <v>119.36</v>
      </c>
      <c r="K115" s="13" t="s">
        <v>1593</v>
      </c>
    </row>
    <row r="116" spans="1:11" ht="15" customHeight="1" x14ac:dyDescent="0.25">
      <c r="A116" s="9">
        <v>111</v>
      </c>
      <c r="B116" s="10" t="s">
        <v>13</v>
      </c>
      <c r="C116" s="11" t="s">
        <v>116</v>
      </c>
      <c r="D116" s="12" t="s">
        <v>15</v>
      </c>
      <c r="E116" s="12" t="s">
        <v>157</v>
      </c>
      <c r="F116" s="12" t="s">
        <v>69</v>
      </c>
      <c r="G116" s="12" t="s">
        <v>1482</v>
      </c>
      <c r="H116" s="9" t="s">
        <v>22</v>
      </c>
      <c r="I116" s="9" t="str">
        <f>IFERROR(INDEX('Price List Library'!$P$6:$P$437,MATCH(TRIM($G116)&amp;"|"&amp;TRIM($H116),'Price List Library'!$S$6:$S$437,0)),"")</f>
        <v>Benchmark</v>
      </c>
      <c r="J116" s="20">
        <f>IFERROR(INDEX('Price List Library'!$O$6:$O$437,MATCH(TRIM($G116)&amp;"|"&amp;TRIM($H116),'Price List Library'!$S$6:$S$437,0)),0)</f>
        <v>108.16</v>
      </c>
      <c r="K116" s="13" t="s">
        <v>1594</v>
      </c>
    </row>
    <row r="117" spans="1:11" ht="15" customHeight="1" x14ac:dyDescent="0.25">
      <c r="A117" s="9">
        <v>112</v>
      </c>
      <c r="B117" s="10" t="s">
        <v>13</v>
      </c>
      <c r="C117" s="11" t="s">
        <v>116</v>
      </c>
      <c r="D117" s="12" t="s">
        <v>15</v>
      </c>
      <c r="E117" s="12" t="s">
        <v>157</v>
      </c>
      <c r="F117" s="12" t="s">
        <v>69</v>
      </c>
      <c r="G117" s="12" t="s">
        <v>1484</v>
      </c>
      <c r="H117" s="9" t="s">
        <v>22</v>
      </c>
      <c r="I117" s="9" t="str">
        <f>IFERROR(INDEX('Price List Library'!$P$6:$P$437,MATCH(TRIM($G117)&amp;"|"&amp;TRIM($H117),'Price List Library'!$S$6:$S$437,0)),"")</f>
        <v>Benchmark</v>
      </c>
      <c r="J117" s="20">
        <f>IFERROR(INDEX('Price List Library'!$O$6:$O$437,MATCH(TRIM($G117)&amp;"|"&amp;TRIM($H117),'Price List Library'!$S$6:$S$437,0)),0)</f>
        <v>114.96000000000001</v>
      </c>
      <c r="K117" s="13" t="s">
        <v>1595</v>
      </c>
    </row>
    <row r="118" spans="1:11" ht="15" customHeight="1" x14ac:dyDescent="0.25">
      <c r="A118" s="9">
        <v>113</v>
      </c>
      <c r="B118" s="10" t="s">
        <v>13</v>
      </c>
      <c r="C118" s="11" t="s">
        <v>116</v>
      </c>
      <c r="D118" s="12" t="s">
        <v>15</v>
      </c>
      <c r="E118" s="12" t="s">
        <v>157</v>
      </c>
      <c r="F118" s="12" t="s">
        <v>131</v>
      </c>
      <c r="G118" s="12" t="s">
        <v>150</v>
      </c>
      <c r="H118" s="9" t="s">
        <v>18</v>
      </c>
      <c r="I118" s="9" t="str">
        <f>IFERROR(INDEX('Price List Library'!$P$6:$P$437,MATCH(TRIM($G118)&amp;"|"&amp;TRIM($H118),'Price List Library'!$S$6:$S$437,0)),"")</f>
        <v>Benchmark</v>
      </c>
      <c r="J118" s="20">
        <f>IFERROR(INDEX('Price List Library'!$O$6:$O$437,MATCH(TRIM($G118)&amp;"|"&amp;TRIM($H118),'Price List Library'!$S$6:$S$437,0)),0)</f>
        <v>18.64</v>
      </c>
      <c r="K118" s="13" t="s">
        <v>1596</v>
      </c>
    </row>
    <row r="119" spans="1:11" ht="15" customHeight="1" x14ac:dyDescent="0.25">
      <c r="A119" s="9">
        <v>114</v>
      </c>
      <c r="B119" s="10" t="s">
        <v>13</v>
      </c>
      <c r="C119" s="11" t="s">
        <v>116</v>
      </c>
      <c r="D119" s="12" t="s">
        <v>15</v>
      </c>
      <c r="E119" s="12" t="s">
        <v>157</v>
      </c>
      <c r="F119" s="12" t="s">
        <v>131</v>
      </c>
      <c r="G119" s="12" t="s">
        <v>1541</v>
      </c>
      <c r="H119" s="9" t="s">
        <v>18</v>
      </c>
      <c r="I119" s="9" t="str">
        <f>IFERROR(INDEX('Price List Library'!$P$6:$P$437,MATCH(TRIM($G119)&amp;"|"&amp;TRIM($H119),'Price List Library'!$S$6:$S$437,0)),"")</f>
        <v>Benchmark</v>
      </c>
      <c r="J119" s="20">
        <f>IFERROR(INDEX('Price List Library'!$O$6:$O$437,MATCH(TRIM($G119)&amp;"|"&amp;TRIM($H119),'Price List Library'!$S$6:$S$437,0)),0)</f>
        <v>12.8</v>
      </c>
      <c r="K119" s="13" t="s">
        <v>1597</v>
      </c>
    </row>
    <row r="120" spans="1:11" ht="15" customHeight="1" x14ac:dyDescent="0.25">
      <c r="A120" s="9">
        <v>115</v>
      </c>
      <c r="B120" s="10" t="s">
        <v>13</v>
      </c>
      <c r="C120" s="11" t="s">
        <v>116</v>
      </c>
      <c r="D120" s="12" t="s">
        <v>15</v>
      </c>
      <c r="E120" s="12" t="s">
        <v>157</v>
      </c>
      <c r="F120" s="12" t="s">
        <v>72</v>
      </c>
      <c r="G120" s="12" t="s">
        <v>73</v>
      </c>
      <c r="H120" s="9" t="s">
        <v>53</v>
      </c>
      <c r="I120" s="9" t="str">
        <f>IFERROR(INDEX('Price List Library'!$P$6:$P$437,MATCH(TRIM($G120)&amp;"|"&amp;TRIM($H120),'Price List Library'!$S$6:$S$437,0)),"")</f>
        <v>Priced</v>
      </c>
      <c r="J120" s="20">
        <f>IFERROR(INDEX('Price List Library'!$O$6:$O$437,MATCH(TRIM($G120)&amp;"|"&amp;TRIM($H120),'Price List Library'!$S$6:$S$437,0)),0)</f>
        <v>1.0176000000000001</v>
      </c>
      <c r="K120" s="13" t="s">
        <v>1598</v>
      </c>
    </row>
    <row r="121" spans="1:11" ht="15" customHeight="1" x14ac:dyDescent="0.25">
      <c r="A121" s="9">
        <v>116</v>
      </c>
      <c r="B121" s="10" t="s">
        <v>13</v>
      </c>
      <c r="C121" s="11" t="s">
        <v>116</v>
      </c>
      <c r="D121" s="12" t="s">
        <v>15</v>
      </c>
      <c r="E121" s="12" t="s">
        <v>157</v>
      </c>
      <c r="F121" s="12" t="s">
        <v>72</v>
      </c>
      <c r="G121" s="12" t="s">
        <v>1487</v>
      </c>
      <c r="H121" s="9" t="s">
        <v>53</v>
      </c>
      <c r="I121" s="9" t="str">
        <f>IFERROR(INDEX('Price List Library'!$P$6:$P$437,MATCH(TRIM($G121)&amp;"|"&amp;TRIM($H121),'Price List Library'!$S$6:$S$437,0)),"")</f>
        <v>Priced</v>
      </c>
      <c r="J121" s="20">
        <f>IFERROR(INDEX('Price List Library'!$O$6:$O$437,MATCH(TRIM($G121)&amp;"|"&amp;TRIM($H121),'Price List Library'!$S$6:$S$437,0)),0)</f>
        <v>0.98320000000000007</v>
      </c>
      <c r="K121" s="13" t="s">
        <v>1599</v>
      </c>
    </row>
    <row r="122" spans="1:11" ht="15" customHeight="1" x14ac:dyDescent="0.25">
      <c r="A122" s="9">
        <v>117</v>
      </c>
      <c r="B122" s="10" t="s">
        <v>13</v>
      </c>
      <c r="C122" s="11" t="s">
        <v>116</v>
      </c>
      <c r="D122" s="12" t="s">
        <v>15</v>
      </c>
      <c r="E122" s="12" t="s">
        <v>157</v>
      </c>
      <c r="F122" s="12" t="s">
        <v>72</v>
      </c>
      <c r="G122" s="12" t="s">
        <v>1489</v>
      </c>
      <c r="H122" s="9" t="s">
        <v>53</v>
      </c>
      <c r="I122" s="9" t="str">
        <f>IFERROR(INDEX('Price List Library'!$P$6:$P$437,MATCH(TRIM($G122)&amp;"|"&amp;TRIM($H122),'Price List Library'!$S$6:$S$437,0)),"")</f>
        <v>Priced</v>
      </c>
      <c r="J122" s="20">
        <f>IFERROR(INDEX('Price List Library'!$O$6:$O$437,MATCH(TRIM($G122)&amp;"|"&amp;TRIM($H122),'Price List Library'!$S$6:$S$437,0)),0)</f>
        <v>0.96000000000000008</v>
      </c>
      <c r="K122" s="13" t="s">
        <v>1600</v>
      </c>
    </row>
    <row r="123" spans="1:11" ht="15" customHeight="1" x14ac:dyDescent="0.25">
      <c r="A123" s="9">
        <v>118</v>
      </c>
      <c r="B123" s="10" t="s">
        <v>13</v>
      </c>
      <c r="C123" s="11" t="s">
        <v>116</v>
      </c>
      <c r="D123" s="12" t="s">
        <v>15</v>
      </c>
      <c r="E123" s="12" t="s">
        <v>157</v>
      </c>
      <c r="F123" s="12" t="s">
        <v>72</v>
      </c>
      <c r="G123" s="12" t="s">
        <v>1491</v>
      </c>
      <c r="H123" s="9" t="s">
        <v>53</v>
      </c>
      <c r="I123" s="9" t="str">
        <f>IFERROR(INDEX('Price List Library'!$P$6:$P$437,MATCH(TRIM($G123)&amp;"|"&amp;TRIM($H123),'Price List Library'!$S$6:$S$437,0)),"")</f>
        <v>Priced</v>
      </c>
      <c r="J123" s="20">
        <f>IFERROR(INDEX('Price List Library'!$O$6:$O$437,MATCH(TRIM($G123)&amp;"|"&amp;TRIM($H123),'Price List Library'!$S$6:$S$437,0)),0)</f>
        <v>0.94880000000000009</v>
      </c>
      <c r="K123" s="13" t="s">
        <v>1601</v>
      </c>
    </row>
    <row r="124" spans="1:11" ht="15" customHeight="1" x14ac:dyDescent="0.25">
      <c r="A124" s="9">
        <v>119</v>
      </c>
      <c r="B124" s="10" t="s">
        <v>13</v>
      </c>
      <c r="C124" s="11" t="s">
        <v>116</v>
      </c>
      <c r="D124" s="12" t="s">
        <v>15</v>
      </c>
      <c r="E124" s="12" t="s">
        <v>157</v>
      </c>
      <c r="F124" s="12" t="s">
        <v>72</v>
      </c>
      <c r="G124" s="12" t="s">
        <v>1493</v>
      </c>
      <c r="H124" s="9" t="s">
        <v>53</v>
      </c>
      <c r="I124" s="9" t="str">
        <f>IFERROR(INDEX('Price List Library'!$P$6:$P$437,MATCH(TRIM($G124)&amp;"|"&amp;TRIM($H124),'Price List Library'!$S$6:$S$437,0)),"")</f>
        <v>Priced</v>
      </c>
      <c r="J124" s="20">
        <f>IFERROR(INDEX('Price List Library'!$O$6:$O$437,MATCH(TRIM($G124)&amp;"|"&amp;TRIM($H124),'Price List Library'!$S$6:$S$437,0)),0)</f>
        <v>0.92560000000000009</v>
      </c>
      <c r="K124" s="13" t="s">
        <v>1602</v>
      </c>
    </row>
    <row r="125" spans="1:11" ht="15" customHeight="1" x14ac:dyDescent="0.25">
      <c r="A125" s="9">
        <v>120</v>
      </c>
      <c r="B125" s="10" t="s">
        <v>13</v>
      </c>
      <c r="C125" s="11" t="s">
        <v>116</v>
      </c>
      <c r="D125" s="12" t="s">
        <v>15</v>
      </c>
      <c r="E125" s="12" t="s">
        <v>157</v>
      </c>
      <c r="F125" s="12" t="s">
        <v>72</v>
      </c>
      <c r="G125" s="12" t="s">
        <v>1495</v>
      </c>
      <c r="H125" s="9" t="s">
        <v>53</v>
      </c>
      <c r="I125" s="9" t="str">
        <f>IFERROR(INDEX('Price List Library'!$P$6:$P$437,MATCH(TRIM($G125)&amp;"|"&amp;TRIM($H125),'Price List Library'!$S$6:$S$437,0)),"")</f>
        <v>Priced</v>
      </c>
      <c r="J125" s="20">
        <f>IFERROR(INDEX('Price List Library'!$O$6:$O$437,MATCH(TRIM($G125)&amp;"|"&amp;TRIM($H125),'Price List Library'!$S$6:$S$437,0)),0)</f>
        <v>0.90239999999999998</v>
      </c>
      <c r="K125" s="13" t="s">
        <v>1603</v>
      </c>
    </row>
    <row r="126" spans="1:11" ht="15" customHeight="1" x14ac:dyDescent="0.25">
      <c r="A126" s="9">
        <v>121</v>
      </c>
      <c r="B126" s="10" t="s">
        <v>13</v>
      </c>
      <c r="C126" s="11" t="s">
        <v>116</v>
      </c>
      <c r="D126" s="12" t="s">
        <v>15</v>
      </c>
      <c r="E126" s="12" t="s">
        <v>157</v>
      </c>
      <c r="F126" s="12" t="s">
        <v>72</v>
      </c>
      <c r="G126" s="12" t="s">
        <v>1497</v>
      </c>
      <c r="H126" s="9" t="s">
        <v>53</v>
      </c>
      <c r="I126" s="9" t="str">
        <f>IFERROR(INDEX('Price List Library'!$P$6:$P$437,MATCH(TRIM($G126)&amp;"|"&amp;TRIM($H126),'Price List Library'!$S$6:$S$437,0)),"")</f>
        <v>Priced</v>
      </c>
      <c r="J126" s="20">
        <f>IFERROR(INDEX('Price List Library'!$O$6:$O$437,MATCH(TRIM($G126)&amp;"|"&amp;TRIM($H126),'Price List Library'!$S$6:$S$437,0)),0)</f>
        <v>0.89119999999999999</v>
      </c>
      <c r="K126" s="13" t="s">
        <v>1604</v>
      </c>
    </row>
    <row r="127" spans="1:11" ht="15" customHeight="1" x14ac:dyDescent="0.25">
      <c r="A127" s="9">
        <v>122</v>
      </c>
      <c r="B127" s="10" t="s">
        <v>13</v>
      </c>
      <c r="C127" s="11" t="s">
        <v>116</v>
      </c>
      <c r="D127" s="12" t="s">
        <v>15</v>
      </c>
      <c r="E127" s="12" t="s">
        <v>157</v>
      </c>
      <c r="F127" s="12" t="s">
        <v>72</v>
      </c>
      <c r="G127" s="12" t="s">
        <v>1499</v>
      </c>
      <c r="H127" s="9" t="s">
        <v>53</v>
      </c>
      <c r="I127" s="9" t="str">
        <f>IFERROR(INDEX('Price List Library'!$P$6:$P$437,MATCH(TRIM($G127)&amp;"|"&amp;TRIM($H127),'Price List Library'!$S$6:$S$437,0)),"")</f>
        <v>Priced</v>
      </c>
      <c r="J127" s="20">
        <f>IFERROR(INDEX('Price List Library'!$O$6:$O$437,MATCH(TRIM($G127)&amp;"|"&amp;TRIM($H127),'Price List Library'!$S$6:$S$437,0)),0)</f>
        <v>1.0064</v>
      </c>
      <c r="K127" s="13" t="s">
        <v>1605</v>
      </c>
    </row>
    <row r="128" spans="1:11" ht="15" customHeight="1" x14ac:dyDescent="0.25">
      <c r="A128" s="9">
        <v>123</v>
      </c>
      <c r="B128" s="10" t="s">
        <v>13</v>
      </c>
      <c r="C128" s="11" t="s">
        <v>116</v>
      </c>
      <c r="D128" s="12" t="s">
        <v>15</v>
      </c>
      <c r="E128" s="12" t="s">
        <v>157</v>
      </c>
      <c r="F128" s="12" t="s">
        <v>72</v>
      </c>
      <c r="G128" s="12" t="s">
        <v>1501</v>
      </c>
      <c r="H128" s="9" t="s">
        <v>53</v>
      </c>
      <c r="I128" s="9" t="str">
        <f>IFERROR(INDEX('Price List Library'!$P$6:$P$437,MATCH(TRIM($G128)&amp;"|"&amp;TRIM($H128),'Price List Library'!$S$6:$S$437,0)),"")</f>
        <v>Benchmark</v>
      </c>
      <c r="J128" s="20">
        <f>IFERROR(INDEX('Price List Library'!$O$6:$O$437,MATCH(TRIM($G128)&amp;"|"&amp;TRIM($H128),'Price List Library'!$S$6:$S$437,0)),0)</f>
        <v>1.0296000000000001</v>
      </c>
      <c r="K128" s="13" t="s">
        <v>1606</v>
      </c>
    </row>
    <row r="129" spans="1:11" ht="15" customHeight="1" x14ac:dyDescent="0.25">
      <c r="A129" s="9">
        <v>124</v>
      </c>
      <c r="B129" s="10" t="s">
        <v>13</v>
      </c>
      <c r="C129" s="11" t="s">
        <v>116</v>
      </c>
      <c r="D129" s="12" t="s">
        <v>15</v>
      </c>
      <c r="E129" s="12" t="s">
        <v>157</v>
      </c>
      <c r="F129" s="12" t="s">
        <v>75</v>
      </c>
      <c r="G129" s="12" t="s">
        <v>76</v>
      </c>
      <c r="H129" s="9" t="s">
        <v>53</v>
      </c>
      <c r="I129" s="9" t="str">
        <f>IFERROR(INDEX('Price List Library'!$P$6:$P$437,MATCH(TRIM($G129)&amp;"|"&amp;TRIM($H129),'Price List Library'!$S$6:$S$437,0)),"")</f>
        <v>Priced</v>
      </c>
      <c r="J129" s="20">
        <f>IFERROR(INDEX('Price List Library'!$O$6:$O$437,MATCH(TRIM($G129)&amp;"|"&amp;TRIM($H129),'Price List Library'!$S$6:$S$437,0)),0)</f>
        <v>1.4040000000000001</v>
      </c>
      <c r="K129" s="13" t="s">
        <v>1607</v>
      </c>
    </row>
    <row r="130" spans="1:11" ht="15" customHeight="1" x14ac:dyDescent="0.25">
      <c r="A130" s="9">
        <v>125</v>
      </c>
      <c r="B130" s="10" t="s">
        <v>13</v>
      </c>
      <c r="C130" s="11" t="s">
        <v>116</v>
      </c>
      <c r="D130" s="12" t="s">
        <v>15</v>
      </c>
      <c r="E130" s="12" t="s">
        <v>157</v>
      </c>
      <c r="F130" s="12" t="s">
        <v>138</v>
      </c>
      <c r="G130" s="12" t="s">
        <v>139</v>
      </c>
      <c r="H130" s="9" t="s">
        <v>18</v>
      </c>
      <c r="I130" s="9" t="str">
        <f>IFERROR(INDEX('Price List Library'!$P$6:$P$437,MATCH(TRIM($G130)&amp;"|"&amp;TRIM($H130),'Price List Library'!$S$6:$S$437,0)),"")</f>
        <v>Priced</v>
      </c>
      <c r="J130" s="20">
        <f>IFERROR(INDEX('Price List Library'!$O$6:$O$437,MATCH(TRIM($G130)&amp;"|"&amp;TRIM($H130),'Price List Library'!$S$6:$S$437,0)),0)</f>
        <v>9.6800000000000015</v>
      </c>
      <c r="K130" s="13" t="s">
        <v>1608</v>
      </c>
    </row>
    <row r="131" spans="1:11" ht="15" customHeight="1" x14ac:dyDescent="0.25">
      <c r="A131" s="9">
        <v>126</v>
      </c>
      <c r="B131" s="10" t="s">
        <v>13</v>
      </c>
      <c r="C131" s="11" t="s">
        <v>116</v>
      </c>
      <c r="D131" s="12" t="s">
        <v>15</v>
      </c>
      <c r="E131" s="12" t="s">
        <v>157</v>
      </c>
      <c r="F131" s="12" t="s">
        <v>138</v>
      </c>
      <c r="G131" s="12" t="s">
        <v>1555</v>
      </c>
      <c r="H131" s="9" t="s">
        <v>18</v>
      </c>
      <c r="I131" s="9" t="str">
        <f>IFERROR(INDEX('Price List Library'!$P$6:$P$437,MATCH(TRIM($G131)&amp;"|"&amp;TRIM($H131),'Price List Library'!$S$6:$S$437,0)),"")</f>
        <v>Priced</v>
      </c>
      <c r="J131" s="20">
        <f>IFERROR(INDEX('Price List Library'!$O$6:$O$437,MATCH(TRIM($G131)&amp;"|"&amp;TRIM($H131),'Price List Library'!$S$6:$S$437,0)),0)</f>
        <v>9.120000000000001</v>
      </c>
      <c r="K131" s="13" t="s">
        <v>1609</v>
      </c>
    </row>
    <row r="132" spans="1:11" ht="15" customHeight="1" x14ac:dyDescent="0.25">
      <c r="A132" s="9">
        <v>127</v>
      </c>
      <c r="B132" s="10" t="s">
        <v>13</v>
      </c>
      <c r="C132" s="11" t="s">
        <v>116</v>
      </c>
      <c r="D132" s="12" t="s">
        <v>15</v>
      </c>
      <c r="E132" s="12" t="s">
        <v>157</v>
      </c>
      <c r="F132" s="12" t="s">
        <v>138</v>
      </c>
      <c r="G132" s="12" t="s">
        <v>1557</v>
      </c>
      <c r="H132" s="9" t="s">
        <v>18</v>
      </c>
      <c r="I132" s="9" t="str">
        <f>IFERROR(INDEX('Price List Library'!$P$6:$P$437,MATCH(TRIM($G132)&amp;"|"&amp;TRIM($H132),'Price List Library'!$S$6:$S$437,0)),"")</f>
        <v>Benchmark</v>
      </c>
      <c r="J132" s="20">
        <f>IFERROR(INDEX('Price List Library'!$O$6:$O$437,MATCH(TRIM($G132)&amp;"|"&amp;TRIM($H132),'Price List Library'!$S$6:$S$437,0)),0)</f>
        <v>8.8000000000000007</v>
      </c>
      <c r="K132" s="13" t="s">
        <v>1610</v>
      </c>
    </row>
    <row r="133" spans="1:11" ht="15" customHeight="1" x14ac:dyDescent="0.25">
      <c r="A133" s="9">
        <v>128</v>
      </c>
      <c r="B133" s="10" t="s">
        <v>13</v>
      </c>
      <c r="C133" s="11" t="s">
        <v>116</v>
      </c>
      <c r="D133" s="12" t="s">
        <v>15</v>
      </c>
      <c r="E133" s="12" t="s">
        <v>165</v>
      </c>
      <c r="F133" s="12" t="s">
        <v>121</v>
      </c>
      <c r="G133" s="12" t="s">
        <v>122</v>
      </c>
      <c r="H133" s="9" t="s">
        <v>18</v>
      </c>
      <c r="I133" s="9" t="str">
        <f>IFERROR(INDEX('Price List Library'!$P$6:$P$437,MATCH(TRIM($G133)&amp;"|"&amp;TRIM($H133),'Price List Library'!$S$6:$S$437,0)),"")</f>
        <v>Priced</v>
      </c>
      <c r="J133" s="20">
        <f>IFERROR(INDEX('Price List Library'!$O$6:$O$437,MATCH(TRIM($G133)&amp;"|"&amp;TRIM($H133),'Price List Library'!$S$6:$S$437,0)),0)</f>
        <v>2.4</v>
      </c>
      <c r="K133" s="13" t="s">
        <v>1611</v>
      </c>
    </row>
    <row r="134" spans="1:11" ht="15" customHeight="1" x14ac:dyDescent="0.25">
      <c r="A134" s="9">
        <v>129</v>
      </c>
      <c r="B134" s="10" t="s">
        <v>13</v>
      </c>
      <c r="C134" s="11" t="s">
        <v>116</v>
      </c>
      <c r="D134" s="12" t="s">
        <v>15</v>
      </c>
      <c r="E134" s="12" t="s">
        <v>165</v>
      </c>
      <c r="F134" s="12" t="s">
        <v>124</v>
      </c>
      <c r="G134" s="12" t="s">
        <v>125</v>
      </c>
      <c r="H134" s="9" t="s">
        <v>22</v>
      </c>
      <c r="I134" s="9" t="str">
        <f>IFERROR(INDEX('Price List Library'!$P$6:$P$437,MATCH(TRIM($G134)&amp;"|"&amp;TRIM($H134),'Price List Library'!$S$6:$S$437,0)),"")</f>
        <v>Priced</v>
      </c>
      <c r="J134" s="20">
        <f>IFERROR(INDEX('Price List Library'!$O$6:$O$437,MATCH(TRIM($G134)&amp;"|"&amp;TRIM($H134),'Price List Library'!$S$6:$S$437,0)),0)</f>
        <v>23.760000000000005</v>
      </c>
      <c r="K134" s="13" t="s">
        <v>1612</v>
      </c>
    </row>
    <row r="135" spans="1:11" ht="15" customHeight="1" x14ac:dyDescent="0.25">
      <c r="A135" s="9">
        <v>130</v>
      </c>
      <c r="B135" s="10" t="s">
        <v>13</v>
      </c>
      <c r="C135" s="11" t="s">
        <v>116</v>
      </c>
      <c r="D135" s="12" t="s">
        <v>15</v>
      </c>
      <c r="E135" s="12" t="s">
        <v>165</v>
      </c>
      <c r="F135" s="12" t="s">
        <v>124</v>
      </c>
      <c r="G135" s="12" t="s">
        <v>1532</v>
      </c>
      <c r="H135" s="9" t="s">
        <v>22</v>
      </c>
      <c r="I135" s="9" t="str">
        <f>IFERROR(INDEX('Price List Library'!$P$6:$P$437,MATCH(TRIM($G135)&amp;"|"&amp;TRIM($H135),'Price List Library'!$S$6:$S$437,0)),"")</f>
        <v>Priced</v>
      </c>
      <c r="J135" s="20">
        <f>IFERROR(INDEX('Price List Library'!$O$6:$O$437,MATCH(TRIM($G135)&amp;"|"&amp;TRIM($H135),'Price List Library'!$S$6:$S$437,0)),0)</f>
        <v>23.760000000000005</v>
      </c>
      <c r="K135" s="13" t="s">
        <v>1613</v>
      </c>
    </row>
    <row r="136" spans="1:11" ht="15" customHeight="1" x14ac:dyDescent="0.25">
      <c r="A136" s="9">
        <v>131</v>
      </c>
      <c r="B136" s="10" t="s">
        <v>13</v>
      </c>
      <c r="C136" s="11" t="s">
        <v>116</v>
      </c>
      <c r="D136" s="12" t="s">
        <v>15</v>
      </c>
      <c r="E136" s="12" t="s">
        <v>165</v>
      </c>
      <c r="F136" s="12" t="s">
        <v>141</v>
      </c>
      <c r="G136" s="12" t="s">
        <v>142</v>
      </c>
      <c r="H136" s="9" t="s">
        <v>18</v>
      </c>
      <c r="I136" s="9" t="str">
        <f>IFERROR(INDEX('Price List Library'!$P$6:$P$437,MATCH(TRIM($G136)&amp;"|"&amp;TRIM($H136),'Price List Library'!$S$6:$S$437,0)),"")</f>
        <v>Priced</v>
      </c>
      <c r="J136" s="20">
        <f>IFERROR(INDEX('Price List Library'!$O$6:$O$437,MATCH(TRIM($G136)&amp;"|"&amp;TRIM($H136),'Price List Library'!$S$6:$S$437,0)),0)</f>
        <v>4</v>
      </c>
      <c r="K136" s="13" t="s">
        <v>1614</v>
      </c>
    </row>
    <row r="137" spans="1:11" ht="15" customHeight="1" x14ac:dyDescent="0.25">
      <c r="A137" s="9">
        <v>132</v>
      </c>
      <c r="B137" s="10" t="s">
        <v>13</v>
      </c>
      <c r="C137" s="11" t="s">
        <v>116</v>
      </c>
      <c r="D137" s="12" t="s">
        <v>15</v>
      </c>
      <c r="E137" s="12" t="s">
        <v>165</v>
      </c>
      <c r="F137" s="12" t="s">
        <v>169</v>
      </c>
      <c r="G137" s="12" t="s">
        <v>170</v>
      </c>
      <c r="H137" s="9" t="s">
        <v>18</v>
      </c>
      <c r="I137" s="9" t="str">
        <f>IFERROR(INDEX('Price List Library'!$P$6:$P$437,MATCH(TRIM($G137)&amp;"|"&amp;TRIM($H137),'Price List Library'!$S$6:$S$437,0)),"")</f>
        <v>Benchmark</v>
      </c>
      <c r="J137" s="20">
        <f>IFERROR(INDEX('Price List Library'!$O$6:$O$437,MATCH(TRIM($G137)&amp;"|"&amp;TRIM($H137),'Price List Library'!$S$6:$S$437,0)),0)</f>
        <v>1.7120000000000002</v>
      </c>
      <c r="K137" s="13" t="s">
        <v>1615</v>
      </c>
    </row>
    <row r="138" spans="1:11" ht="15" customHeight="1" x14ac:dyDescent="0.25">
      <c r="A138" s="9">
        <v>133</v>
      </c>
      <c r="B138" s="10" t="s">
        <v>13</v>
      </c>
      <c r="C138" s="11" t="s">
        <v>116</v>
      </c>
      <c r="D138" s="12" t="s">
        <v>15</v>
      </c>
      <c r="E138" s="12" t="s">
        <v>165</v>
      </c>
      <c r="F138" s="12" t="s">
        <v>127</v>
      </c>
      <c r="G138" s="12" t="s">
        <v>128</v>
      </c>
      <c r="H138" s="9" t="s">
        <v>22</v>
      </c>
      <c r="I138" s="9" t="str">
        <f>IFERROR(INDEX('Price List Library'!$P$6:$P$437,MATCH(TRIM($G138)&amp;"|"&amp;TRIM($H138),'Price List Library'!$S$6:$S$437,0)),"")</f>
        <v>Priced</v>
      </c>
      <c r="J138" s="20">
        <f>IFERROR(INDEX('Price List Library'!$O$6:$O$437,MATCH(TRIM($G138)&amp;"|"&amp;TRIM($H138),'Price List Library'!$S$6:$S$437,0)),0)</f>
        <v>92.40000000000002</v>
      </c>
      <c r="K138" s="13" t="s">
        <v>1616</v>
      </c>
    </row>
    <row r="139" spans="1:11" ht="15" customHeight="1" x14ac:dyDescent="0.25">
      <c r="A139" s="9">
        <v>134</v>
      </c>
      <c r="B139" s="10" t="s">
        <v>13</v>
      </c>
      <c r="C139" s="11" t="s">
        <v>116</v>
      </c>
      <c r="D139" s="12" t="s">
        <v>15</v>
      </c>
      <c r="E139" s="12" t="s">
        <v>165</v>
      </c>
      <c r="F139" s="12" t="s">
        <v>69</v>
      </c>
      <c r="G139" s="12" t="s">
        <v>70</v>
      </c>
      <c r="H139" s="9" t="s">
        <v>22</v>
      </c>
      <c r="I139" s="9" t="str">
        <f>IFERROR(INDEX('Price List Library'!$P$6:$P$437,MATCH(TRIM($G139)&amp;"|"&amp;TRIM($H139),'Price List Library'!$S$6:$S$437,0)),"")</f>
        <v>Priced</v>
      </c>
      <c r="J139" s="20">
        <f>IFERROR(INDEX('Price List Library'!$O$6:$O$437,MATCH(TRIM($G139)&amp;"|"&amp;TRIM($H139),'Price List Library'!$S$6:$S$437,0)),0)</f>
        <v>121.76</v>
      </c>
      <c r="K139" s="13" t="s">
        <v>1617</v>
      </c>
    </row>
    <row r="140" spans="1:11" ht="15" customHeight="1" x14ac:dyDescent="0.25">
      <c r="A140" s="9">
        <v>135</v>
      </c>
      <c r="B140" s="10" t="s">
        <v>13</v>
      </c>
      <c r="C140" s="11" t="s">
        <v>116</v>
      </c>
      <c r="D140" s="12" t="s">
        <v>15</v>
      </c>
      <c r="E140" s="12" t="s">
        <v>165</v>
      </c>
      <c r="F140" s="12" t="s">
        <v>69</v>
      </c>
      <c r="G140" s="12" t="s">
        <v>1480</v>
      </c>
      <c r="H140" s="9" t="s">
        <v>22</v>
      </c>
      <c r="I140" s="9" t="str">
        <f>IFERROR(INDEX('Price List Library'!$P$6:$P$437,MATCH(TRIM($G140)&amp;"|"&amp;TRIM($H140),'Price List Library'!$S$6:$S$437,0)),"")</f>
        <v>Priced</v>
      </c>
      <c r="J140" s="20">
        <f>IFERROR(INDEX('Price List Library'!$O$6:$O$437,MATCH(TRIM($G140)&amp;"|"&amp;TRIM($H140),'Price List Library'!$S$6:$S$437,0)),0)</f>
        <v>119.36</v>
      </c>
      <c r="K140" s="13" t="s">
        <v>1618</v>
      </c>
    </row>
    <row r="141" spans="1:11" ht="15" customHeight="1" x14ac:dyDescent="0.25">
      <c r="A141" s="9">
        <v>136</v>
      </c>
      <c r="B141" s="10" t="s">
        <v>13</v>
      </c>
      <c r="C141" s="11" t="s">
        <v>116</v>
      </c>
      <c r="D141" s="12" t="s">
        <v>15</v>
      </c>
      <c r="E141" s="12" t="s">
        <v>165</v>
      </c>
      <c r="F141" s="12" t="s">
        <v>69</v>
      </c>
      <c r="G141" s="12" t="s">
        <v>1482</v>
      </c>
      <c r="H141" s="9" t="s">
        <v>22</v>
      </c>
      <c r="I141" s="9" t="str">
        <f>IFERROR(INDEX('Price List Library'!$P$6:$P$437,MATCH(TRIM($G141)&amp;"|"&amp;TRIM($H141),'Price List Library'!$S$6:$S$437,0)),"")</f>
        <v>Benchmark</v>
      </c>
      <c r="J141" s="20">
        <f>IFERROR(INDEX('Price List Library'!$O$6:$O$437,MATCH(TRIM($G141)&amp;"|"&amp;TRIM($H141),'Price List Library'!$S$6:$S$437,0)),0)</f>
        <v>108.16</v>
      </c>
      <c r="K141" s="13" t="s">
        <v>1619</v>
      </c>
    </row>
    <row r="142" spans="1:11" ht="15" customHeight="1" x14ac:dyDescent="0.25">
      <c r="A142" s="9">
        <v>137</v>
      </c>
      <c r="B142" s="10" t="s">
        <v>13</v>
      </c>
      <c r="C142" s="11" t="s">
        <v>116</v>
      </c>
      <c r="D142" s="12" t="s">
        <v>15</v>
      </c>
      <c r="E142" s="12" t="s">
        <v>165</v>
      </c>
      <c r="F142" s="12" t="s">
        <v>69</v>
      </c>
      <c r="G142" s="12" t="s">
        <v>1484</v>
      </c>
      <c r="H142" s="9" t="s">
        <v>22</v>
      </c>
      <c r="I142" s="9" t="str">
        <f>IFERROR(INDEX('Price List Library'!$P$6:$P$437,MATCH(TRIM($G142)&amp;"|"&amp;TRIM($H142),'Price List Library'!$S$6:$S$437,0)),"")</f>
        <v>Benchmark</v>
      </c>
      <c r="J142" s="20">
        <f>IFERROR(INDEX('Price List Library'!$O$6:$O$437,MATCH(TRIM($G142)&amp;"|"&amp;TRIM($H142),'Price List Library'!$S$6:$S$437,0)),0)</f>
        <v>114.96000000000001</v>
      </c>
      <c r="K142" s="13" t="s">
        <v>1620</v>
      </c>
    </row>
    <row r="143" spans="1:11" ht="15" customHeight="1" x14ac:dyDescent="0.25">
      <c r="A143" s="9">
        <v>138</v>
      </c>
      <c r="B143" s="10" t="s">
        <v>13</v>
      </c>
      <c r="C143" s="11" t="s">
        <v>116</v>
      </c>
      <c r="D143" s="12" t="s">
        <v>15</v>
      </c>
      <c r="E143" s="12" t="s">
        <v>165</v>
      </c>
      <c r="F143" s="12" t="s">
        <v>131</v>
      </c>
      <c r="G143" s="12" t="s">
        <v>150</v>
      </c>
      <c r="H143" s="9" t="s">
        <v>18</v>
      </c>
      <c r="I143" s="9" t="str">
        <f>IFERROR(INDEX('Price List Library'!$P$6:$P$437,MATCH(TRIM($G143)&amp;"|"&amp;TRIM($H143),'Price List Library'!$S$6:$S$437,0)),"")</f>
        <v>Benchmark</v>
      </c>
      <c r="J143" s="20">
        <f>IFERROR(INDEX('Price List Library'!$O$6:$O$437,MATCH(TRIM($G143)&amp;"|"&amp;TRIM($H143),'Price List Library'!$S$6:$S$437,0)),0)</f>
        <v>18.64</v>
      </c>
      <c r="K143" s="13" t="s">
        <v>1621</v>
      </c>
    </row>
    <row r="144" spans="1:11" ht="15" customHeight="1" x14ac:dyDescent="0.25">
      <c r="A144" s="9">
        <v>139</v>
      </c>
      <c r="B144" s="10" t="s">
        <v>13</v>
      </c>
      <c r="C144" s="11" t="s">
        <v>116</v>
      </c>
      <c r="D144" s="12" t="s">
        <v>15</v>
      </c>
      <c r="E144" s="12" t="s">
        <v>165</v>
      </c>
      <c r="F144" s="12" t="s">
        <v>131</v>
      </c>
      <c r="G144" s="12" t="s">
        <v>1541</v>
      </c>
      <c r="H144" s="9" t="s">
        <v>18</v>
      </c>
      <c r="I144" s="9" t="str">
        <f>IFERROR(INDEX('Price List Library'!$P$6:$P$437,MATCH(TRIM($G144)&amp;"|"&amp;TRIM($H144),'Price List Library'!$S$6:$S$437,0)),"")</f>
        <v>Benchmark</v>
      </c>
      <c r="J144" s="20">
        <f>IFERROR(INDEX('Price List Library'!$O$6:$O$437,MATCH(TRIM($G144)&amp;"|"&amp;TRIM($H144),'Price List Library'!$S$6:$S$437,0)),0)</f>
        <v>12.8</v>
      </c>
      <c r="K144" s="13" t="s">
        <v>1622</v>
      </c>
    </row>
    <row r="145" spans="1:11" ht="15" customHeight="1" x14ac:dyDescent="0.25">
      <c r="A145" s="9">
        <v>140</v>
      </c>
      <c r="B145" s="10" t="s">
        <v>13</v>
      </c>
      <c r="C145" s="11" t="s">
        <v>116</v>
      </c>
      <c r="D145" s="12" t="s">
        <v>15</v>
      </c>
      <c r="E145" s="12" t="s">
        <v>165</v>
      </c>
      <c r="F145" s="12" t="s">
        <v>72</v>
      </c>
      <c r="G145" s="12" t="s">
        <v>73</v>
      </c>
      <c r="H145" s="9" t="s">
        <v>53</v>
      </c>
      <c r="I145" s="9" t="str">
        <f>IFERROR(INDEX('Price List Library'!$P$6:$P$437,MATCH(TRIM($G145)&amp;"|"&amp;TRIM($H145),'Price List Library'!$S$6:$S$437,0)),"")</f>
        <v>Priced</v>
      </c>
      <c r="J145" s="20">
        <f>IFERROR(INDEX('Price List Library'!$O$6:$O$437,MATCH(TRIM($G145)&amp;"|"&amp;TRIM($H145),'Price List Library'!$S$6:$S$437,0)),0)</f>
        <v>1.0176000000000001</v>
      </c>
      <c r="K145" s="13" t="s">
        <v>1623</v>
      </c>
    </row>
    <row r="146" spans="1:11" ht="15" customHeight="1" x14ac:dyDescent="0.25">
      <c r="A146" s="9">
        <v>141</v>
      </c>
      <c r="B146" s="10" t="s">
        <v>13</v>
      </c>
      <c r="C146" s="11" t="s">
        <v>116</v>
      </c>
      <c r="D146" s="12" t="s">
        <v>15</v>
      </c>
      <c r="E146" s="12" t="s">
        <v>165</v>
      </c>
      <c r="F146" s="12" t="s">
        <v>72</v>
      </c>
      <c r="G146" s="12" t="s">
        <v>1487</v>
      </c>
      <c r="H146" s="9" t="s">
        <v>53</v>
      </c>
      <c r="I146" s="9" t="str">
        <f>IFERROR(INDEX('Price List Library'!$P$6:$P$437,MATCH(TRIM($G146)&amp;"|"&amp;TRIM($H146),'Price List Library'!$S$6:$S$437,0)),"")</f>
        <v>Priced</v>
      </c>
      <c r="J146" s="20">
        <f>IFERROR(INDEX('Price List Library'!$O$6:$O$437,MATCH(TRIM($G146)&amp;"|"&amp;TRIM($H146),'Price List Library'!$S$6:$S$437,0)),0)</f>
        <v>0.98320000000000007</v>
      </c>
      <c r="K146" s="13" t="s">
        <v>1624</v>
      </c>
    </row>
    <row r="147" spans="1:11" ht="15" customHeight="1" x14ac:dyDescent="0.25">
      <c r="A147" s="9">
        <v>142</v>
      </c>
      <c r="B147" s="10" t="s">
        <v>13</v>
      </c>
      <c r="C147" s="11" t="s">
        <v>116</v>
      </c>
      <c r="D147" s="12" t="s">
        <v>15</v>
      </c>
      <c r="E147" s="12" t="s">
        <v>165</v>
      </c>
      <c r="F147" s="12" t="s">
        <v>72</v>
      </c>
      <c r="G147" s="12" t="s">
        <v>1489</v>
      </c>
      <c r="H147" s="9" t="s">
        <v>53</v>
      </c>
      <c r="I147" s="9" t="str">
        <f>IFERROR(INDEX('Price List Library'!$P$6:$P$437,MATCH(TRIM($G147)&amp;"|"&amp;TRIM($H147),'Price List Library'!$S$6:$S$437,0)),"")</f>
        <v>Priced</v>
      </c>
      <c r="J147" s="20">
        <f>IFERROR(INDEX('Price List Library'!$O$6:$O$437,MATCH(TRIM($G147)&amp;"|"&amp;TRIM($H147),'Price List Library'!$S$6:$S$437,0)),0)</f>
        <v>0.96000000000000008</v>
      </c>
      <c r="K147" s="13" t="s">
        <v>1625</v>
      </c>
    </row>
    <row r="148" spans="1:11" ht="15" customHeight="1" x14ac:dyDescent="0.25">
      <c r="A148" s="9">
        <v>143</v>
      </c>
      <c r="B148" s="10" t="s">
        <v>13</v>
      </c>
      <c r="C148" s="11" t="s">
        <v>116</v>
      </c>
      <c r="D148" s="12" t="s">
        <v>15</v>
      </c>
      <c r="E148" s="12" t="s">
        <v>165</v>
      </c>
      <c r="F148" s="12" t="s">
        <v>72</v>
      </c>
      <c r="G148" s="12" t="s">
        <v>1491</v>
      </c>
      <c r="H148" s="9" t="s">
        <v>53</v>
      </c>
      <c r="I148" s="9" t="str">
        <f>IFERROR(INDEX('Price List Library'!$P$6:$P$437,MATCH(TRIM($G148)&amp;"|"&amp;TRIM($H148),'Price List Library'!$S$6:$S$437,0)),"")</f>
        <v>Priced</v>
      </c>
      <c r="J148" s="20">
        <f>IFERROR(INDEX('Price List Library'!$O$6:$O$437,MATCH(TRIM($G148)&amp;"|"&amp;TRIM($H148),'Price List Library'!$S$6:$S$437,0)),0)</f>
        <v>0.94880000000000009</v>
      </c>
      <c r="K148" s="13" t="s">
        <v>1626</v>
      </c>
    </row>
    <row r="149" spans="1:11" ht="15" customHeight="1" x14ac:dyDescent="0.25">
      <c r="A149" s="9">
        <v>144</v>
      </c>
      <c r="B149" s="10" t="s">
        <v>13</v>
      </c>
      <c r="C149" s="11" t="s">
        <v>116</v>
      </c>
      <c r="D149" s="12" t="s">
        <v>15</v>
      </c>
      <c r="E149" s="12" t="s">
        <v>165</v>
      </c>
      <c r="F149" s="12" t="s">
        <v>72</v>
      </c>
      <c r="G149" s="12" t="s">
        <v>1493</v>
      </c>
      <c r="H149" s="9" t="s">
        <v>53</v>
      </c>
      <c r="I149" s="9" t="str">
        <f>IFERROR(INDEX('Price List Library'!$P$6:$P$437,MATCH(TRIM($G149)&amp;"|"&amp;TRIM($H149),'Price List Library'!$S$6:$S$437,0)),"")</f>
        <v>Priced</v>
      </c>
      <c r="J149" s="20">
        <f>IFERROR(INDEX('Price List Library'!$O$6:$O$437,MATCH(TRIM($G149)&amp;"|"&amp;TRIM($H149),'Price List Library'!$S$6:$S$437,0)),0)</f>
        <v>0.92560000000000009</v>
      </c>
      <c r="K149" s="13" t="s">
        <v>1627</v>
      </c>
    </row>
    <row r="150" spans="1:11" ht="15" customHeight="1" x14ac:dyDescent="0.25">
      <c r="A150" s="9">
        <v>145</v>
      </c>
      <c r="B150" s="10" t="s">
        <v>13</v>
      </c>
      <c r="C150" s="11" t="s">
        <v>116</v>
      </c>
      <c r="D150" s="12" t="s">
        <v>15</v>
      </c>
      <c r="E150" s="12" t="s">
        <v>165</v>
      </c>
      <c r="F150" s="12" t="s">
        <v>72</v>
      </c>
      <c r="G150" s="12" t="s">
        <v>1495</v>
      </c>
      <c r="H150" s="9" t="s">
        <v>53</v>
      </c>
      <c r="I150" s="9" t="str">
        <f>IFERROR(INDEX('Price List Library'!$P$6:$P$437,MATCH(TRIM($G150)&amp;"|"&amp;TRIM($H150),'Price List Library'!$S$6:$S$437,0)),"")</f>
        <v>Priced</v>
      </c>
      <c r="J150" s="20">
        <f>IFERROR(INDEX('Price List Library'!$O$6:$O$437,MATCH(TRIM($G150)&amp;"|"&amp;TRIM($H150),'Price List Library'!$S$6:$S$437,0)),0)</f>
        <v>0.90239999999999998</v>
      </c>
      <c r="K150" s="13" t="s">
        <v>1628</v>
      </c>
    </row>
    <row r="151" spans="1:11" ht="15" customHeight="1" x14ac:dyDescent="0.25">
      <c r="A151" s="9">
        <v>146</v>
      </c>
      <c r="B151" s="10" t="s">
        <v>13</v>
      </c>
      <c r="C151" s="11" t="s">
        <v>116</v>
      </c>
      <c r="D151" s="12" t="s">
        <v>15</v>
      </c>
      <c r="E151" s="12" t="s">
        <v>165</v>
      </c>
      <c r="F151" s="12" t="s">
        <v>72</v>
      </c>
      <c r="G151" s="12" t="s">
        <v>1497</v>
      </c>
      <c r="H151" s="9" t="s">
        <v>53</v>
      </c>
      <c r="I151" s="9" t="str">
        <f>IFERROR(INDEX('Price List Library'!$P$6:$P$437,MATCH(TRIM($G151)&amp;"|"&amp;TRIM($H151),'Price List Library'!$S$6:$S$437,0)),"")</f>
        <v>Priced</v>
      </c>
      <c r="J151" s="20">
        <f>IFERROR(INDEX('Price List Library'!$O$6:$O$437,MATCH(TRIM($G151)&amp;"|"&amp;TRIM($H151),'Price List Library'!$S$6:$S$437,0)),0)</f>
        <v>0.89119999999999999</v>
      </c>
      <c r="K151" s="13" t="s">
        <v>1629</v>
      </c>
    </row>
    <row r="152" spans="1:11" ht="15" customHeight="1" x14ac:dyDescent="0.25">
      <c r="A152" s="9">
        <v>147</v>
      </c>
      <c r="B152" s="10" t="s">
        <v>13</v>
      </c>
      <c r="C152" s="11" t="s">
        <v>116</v>
      </c>
      <c r="D152" s="12" t="s">
        <v>15</v>
      </c>
      <c r="E152" s="12" t="s">
        <v>165</v>
      </c>
      <c r="F152" s="12" t="s">
        <v>72</v>
      </c>
      <c r="G152" s="12" t="s">
        <v>1499</v>
      </c>
      <c r="H152" s="9" t="s">
        <v>53</v>
      </c>
      <c r="I152" s="9" t="str">
        <f>IFERROR(INDEX('Price List Library'!$P$6:$P$437,MATCH(TRIM($G152)&amp;"|"&amp;TRIM($H152),'Price List Library'!$S$6:$S$437,0)),"")</f>
        <v>Priced</v>
      </c>
      <c r="J152" s="20">
        <f>IFERROR(INDEX('Price List Library'!$O$6:$O$437,MATCH(TRIM($G152)&amp;"|"&amp;TRIM($H152),'Price List Library'!$S$6:$S$437,0)),0)</f>
        <v>1.0064</v>
      </c>
      <c r="K152" s="13" t="s">
        <v>1630</v>
      </c>
    </row>
    <row r="153" spans="1:11" ht="15" customHeight="1" x14ac:dyDescent="0.25">
      <c r="A153" s="9">
        <v>148</v>
      </c>
      <c r="B153" s="10" t="s">
        <v>13</v>
      </c>
      <c r="C153" s="11" t="s">
        <v>116</v>
      </c>
      <c r="D153" s="12" t="s">
        <v>15</v>
      </c>
      <c r="E153" s="12" t="s">
        <v>165</v>
      </c>
      <c r="F153" s="12" t="s">
        <v>72</v>
      </c>
      <c r="G153" s="12" t="s">
        <v>1501</v>
      </c>
      <c r="H153" s="9" t="s">
        <v>53</v>
      </c>
      <c r="I153" s="9" t="str">
        <f>IFERROR(INDEX('Price List Library'!$P$6:$P$437,MATCH(TRIM($G153)&amp;"|"&amp;TRIM($H153),'Price List Library'!$S$6:$S$437,0)),"")</f>
        <v>Benchmark</v>
      </c>
      <c r="J153" s="20">
        <f>IFERROR(INDEX('Price List Library'!$O$6:$O$437,MATCH(TRIM($G153)&amp;"|"&amp;TRIM($H153),'Price List Library'!$S$6:$S$437,0)),0)</f>
        <v>1.0296000000000001</v>
      </c>
      <c r="K153" s="13" t="s">
        <v>1631</v>
      </c>
    </row>
    <row r="154" spans="1:11" ht="15" customHeight="1" x14ac:dyDescent="0.25">
      <c r="A154" s="9">
        <v>149</v>
      </c>
      <c r="B154" s="10" t="s">
        <v>13</v>
      </c>
      <c r="C154" s="11" t="s">
        <v>116</v>
      </c>
      <c r="D154" s="12" t="s">
        <v>15</v>
      </c>
      <c r="E154" s="12" t="s">
        <v>165</v>
      </c>
      <c r="F154" s="12" t="s">
        <v>75</v>
      </c>
      <c r="G154" s="12" t="s">
        <v>76</v>
      </c>
      <c r="H154" s="9" t="s">
        <v>53</v>
      </c>
      <c r="I154" s="9" t="str">
        <f>IFERROR(INDEX('Price List Library'!$P$6:$P$437,MATCH(TRIM($G154)&amp;"|"&amp;TRIM($H154),'Price List Library'!$S$6:$S$437,0)),"")</f>
        <v>Priced</v>
      </c>
      <c r="J154" s="20">
        <f>IFERROR(INDEX('Price List Library'!$O$6:$O$437,MATCH(TRIM($G154)&amp;"|"&amp;TRIM($H154),'Price List Library'!$S$6:$S$437,0)),0)</f>
        <v>1.4040000000000001</v>
      </c>
      <c r="K154" s="13" t="s">
        <v>1632</v>
      </c>
    </row>
    <row r="155" spans="1:11" ht="15" customHeight="1" x14ac:dyDescent="0.25">
      <c r="A155" s="9">
        <v>150</v>
      </c>
      <c r="B155" s="10" t="s">
        <v>13</v>
      </c>
      <c r="C155" s="11" t="s">
        <v>116</v>
      </c>
      <c r="D155" s="12" t="s">
        <v>15</v>
      </c>
      <c r="E155" s="12" t="s">
        <v>165</v>
      </c>
      <c r="F155" s="12" t="s">
        <v>138</v>
      </c>
      <c r="G155" s="12" t="s">
        <v>139</v>
      </c>
      <c r="H155" s="9" t="s">
        <v>18</v>
      </c>
      <c r="I155" s="9" t="str">
        <f>IFERROR(INDEX('Price List Library'!$P$6:$P$437,MATCH(TRIM($G155)&amp;"|"&amp;TRIM($H155),'Price List Library'!$S$6:$S$437,0)),"")</f>
        <v>Priced</v>
      </c>
      <c r="J155" s="20">
        <f>IFERROR(INDEX('Price List Library'!$O$6:$O$437,MATCH(TRIM($G155)&amp;"|"&amp;TRIM($H155),'Price List Library'!$S$6:$S$437,0)),0)</f>
        <v>9.6800000000000015</v>
      </c>
      <c r="K155" s="13" t="s">
        <v>1633</v>
      </c>
    </row>
    <row r="156" spans="1:11" ht="15" customHeight="1" x14ac:dyDescent="0.25">
      <c r="A156" s="9">
        <v>151</v>
      </c>
      <c r="B156" s="10" t="s">
        <v>13</v>
      </c>
      <c r="C156" s="11" t="s">
        <v>116</v>
      </c>
      <c r="D156" s="12" t="s">
        <v>15</v>
      </c>
      <c r="E156" s="12" t="s">
        <v>165</v>
      </c>
      <c r="F156" s="12" t="s">
        <v>138</v>
      </c>
      <c r="G156" s="12" t="s">
        <v>1555</v>
      </c>
      <c r="H156" s="9" t="s">
        <v>18</v>
      </c>
      <c r="I156" s="9" t="str">
        <f>IFERROR(INDEX('Price List Library'!$P$6:$P$437,MATCH(TRIM($G156)&amp;"|"&amp;TRIM($H156),'Price List Library'!$S$6:$S$437,0)),"")</f>
        <v>Priced</v>
      </c>
      <c r="J156" s="20">
        <f>IFERROR(INDEX('Price List Library'!$O$6:$O$437,MATCH(TRIM($G156)&amp;"|"&amp;TRIM($H156),'Price List Library'!$S$6:$S$437,0)),0)</f>
        <v>9.120000000000001</v>
      </c>
      <c r="K156" s="13" t="s">
        <v>1634</v>
      </c>
    </row>
    <row r="157" spans="1:11" ht="15" customHeight="1" x14ac:dyDescent="0.25">
      <c r="A157" s="9">
        <v>152</v>
      </c>
      <c r="B157" s="10" t="s">
        <v>13</v>
      </c>
      <c r="C157" s="11" t="s">
        <v>116</v>
      </c>
      <c r="D157" s="12" t="s">
        <v>15</v>
      </c>
      <c r="E157" s="12" t="s">
        <v>165</v>
      </c>
      <c r="F157" s="12" t="s">
        <v>138</v>
      </c>
      <c r="G157" s="12" t="s">
        <v>1557</v>
      </c>
      <c r="H157" s="9" t="s">
        <v>18</v>
      </c>
      <c r="I157" s="9" t="str">
        <f>IFERROR(INDEX('Price List Library'!$P$6:$P$437,MATCH(TRIM($G157)&amp;"|"&amp;TRIM($H157),'Price List Library'!$S$6:$S$437,0)),"")</f>
        <v>Benchmark</v>
      </c>
      <c r="J157" s="20">
        <f>IFERROR(INDEX('Price List Library'!$O$6:$O$437,MATCH(TRIM($G157)&amp;"|"&amp;TRIM($H157),'Price List Library'!$S$6:$S$437,0)),0)</f>
        <v>8.8000000000000007</v>
      </c>
      <c r="K157" s="13" t="s">
        <v>1635</v>
      </c>
    </row>
    <row r="158" spans="1:11" ht="15" customHeight="1" x14ac:dyDescent="0.25">
      <c r="A158" s="9">
        <v>153</v>
      </c>
      <c r="B158" s="10" t="s">
        <v>13</v>
      </c>
      <c r="C158" s="11" t="s">
        <v>116</v>
      </c>
      <c r="D158" s="12" t="s">
        <v>15</v>
      </c>
      <c r="E158" s="12" t="s">
        <v>178</v>
      </c>
      <c r="F158" s="12" t="s">
        <v>118</v>
      </c>
      <c r="G158" s="12" t="s">
        <v>119</v>
      </c>
      <c r="H158" s="9" t="s">
        <v>22</v>
      </c>
      <c r="I158" s="9" t="str">
        <f>IFERROR(INDEX('Price List Library'!$P$6:$P$437,MATCH(TRIM($G158)&amp;"|"&amp;TRIM($H158),'Price List Library'!$S$6:$S$437,0)),"")</f>
        <v>Priced</v>
      </c>
      <c r="J158" s="20">
        <f>IFERROR(INDEX('Price List Library'!$O$6:$O$437,MATCH(TRIM($G158)&amp;"|"&amp;TRIM($H158),'Price List Library'!$S$6:$S$437,0)),0)</f>
        <v>4.8</v>
      </c>
      <c r="K158" s="13" t="s">
        <v>1636</v>
      </c>
    </row>
    <row r="159" spans="1:11" ht="15" customHeight="1" x14ac:dyDescent="0.25">
      <c r="A159" s="9">
        <v>154</v>
      </c>
      <c r="B159" s="10" t="s">
        <v>13</v>
      </c>
      <c r="C159" s="11" t="s">
        <v>116</v>
      </c>
      <c r="D159" s="12" t="s">
        <v>15</v>
      </c>
      <c r="E159" s="12" t="s">
        <v>178</v>
      </c>
      <c r="F159" s="12" t="s">
        <v>118</v>
      </c>
      <c r="G159" s="12" t="s">
        <v>28</v>
      </c>
      <c r="H159" s="9" t="s">
        <v>22</v>
      </c>
      <c r="I159" s="9" t="str">
        <f>IFERROR(INDEX('Price List Library'!$P$6:$P$437,MATCH(TRIM($G159)&amp;"|"&amp;TRIM($H159),'Price List Library'!$S$6:$S$437,0)),"")</f>
        <v>Priced</v>
      </c>
      <c r="J159" s="20">
        <f>IFERROR(INDEX('Price List Library'!$O$6:$O$437,MATCH(TRIM($G159)&amp;"|"&amp;TRIM($H159),'Price List Library'!$S$6:$S$437,0)),0)</f>
        <v>4.8</v>
      </c>
      <c r="K159" s="13" t="s">
        <v>1637</v>
      </c>
    </row>
    <row r="160" spans="1:11" ht="15" customHeight="1" x14ac:dyDescent="0.25">
      <c r="A160" s="9">
        <v>155</v>
      </c>
      <c r="B160" s="10" t="s">
        <v>13</v>
      </c>
      <c r="C160" s="11" t="s">
        <v>116</v>
      </c>
      <c r="D160" s="12" t="s">
        <v>15</v>
      </c>
      <c r="E160" s="12" t="s">
        <v>178</v>
      </c>
      <c r="F160" s="12" t="s">
        <v>118</v>
      </c>
      <c r="G160" s="12" t="s">
        <v>1528</v>
      </c>
      <c r="H160" s="9" t="s">
        <v>22</v>
      </c>
      <c r="I160" s="9" t="str">
        <f>IFERROR(INDEX('Price List Library'!$P$6:$P$437,MATCH(TRIM($G160)&amp;"|"&amp;TRIM($H160),'Price List Library'!$S$6:$S$437,0)),"")</f>
        <v>Priced</v>
      </c>
      <c r="J160" s="20">
        <f>IFERROR(INDEX('Price List Library'!$O$6:$O$437,MATCH(TRIM($G160)&amp;"|"&amp;TRIM($H160),'Price List Library'!$S$6:$S$437,0)),0)</f>
        <v>3.5999999999999996</v>
      </c>
      <c r="K160" s="13" t="s">
        <v>1638</v>
      </c>
    </row>
    <row r="161" spans="1:11" ht="15" customHeight="1" x14ac:dyDescent="0.25">
      <c r="A161" s="9">
        <v>156</v>
      </c>
      <c r="B161" s="10" t="s">
        <v>13</v>
      </c>
      <c r="C161" s="11" t="s">
        <v>116</v>
      </c>
      <c r="D161" s="12" t="s">
        <v>15</v>
      </c>
      <c r="E161" s="12" t="s">
        <v>178</v>
      </c>
      <c r="F161" s="12" t="s">
        <v>121</v>
      </c>
      <c r="G161" s="12" t="s">
        <v>122</v>
      </c>
      <c r="H161" s="9" t="s">
        <v>18</v>
      </c>
      <c r="I161" s="9" t="str">
        <f>IFERROR(INDEX('Price List Library'!$P$6:$P$437,MATCH(TRIM($G161)&amp;"|"&amp;TRIM($H161),'Price List Library'!$S$6:$S$437,0)),"")</f>
        <v>Priced</v>
      </c>
      <c r="J161" s="20">
        <f>IFERROR(INDEX('Price List Library'!$O$6:$O$437,MATCH(TRIM($G161)&amp;"|"&amp;TRIM($H161),'Price List Library'!$S$6:$S$437,0)),0)</f>
        <v>2.4</v>
      </c>
      <c r="K161" s="13" t="s">
        <v>1639</v>
      </c>
    </row>
    <row r="162" spans="1:11" ht="15" customHeight="1" x14ac:dyDescent="0.25">
      <c r="A162" s="9">
        <v>157</v>
      </c>
      <c r="B162" s="10" t="s">
        <v>13</v>
      </c>
      <c r="C162" s="11" t="s">
        <v>116</v>
      </c>
      <c r="D162" s="12" t="s">
        <v>15</v>
      </c>
      <c r="E162" s="12" t="s">
        <v>178</v>
      </c>
      <c r="F162" s="12" t="s">
        <v>124</v>
      </c>
      <c r="G162" s="12" t="s">
        <v>125</v>
      </c>
      <c r="H162" s="9" t="s">
        <v>22</v>
      </c>
      <c r="I162" s="9" t="str">
        <f>IFERROR(INDEX('Price List Library'!$P$6:$P$437,MATCH(TRIM($G162)&amp;"|"&amp;TRIM($H162),'Price List Library'!$S$6:$S$437,0)),"")</f>
        <v>Priced</v>
      </c>
      <c r="J162" s="20">
        <f>IFERROR(INDEX('Price List Library'!$O$6:$O$437,MATCH(TRIM($G162)&amp;"|"&amp;TRIM($H162),'Price List Library'!$S$6:$S$437,0)),0)</f>
        <v>23.760000000000005</v>
      </c>
      <c r="K162" s="13" t="s">
        <v>1640</v>
      </c>
    </row>
    <row r="163" spans="1:11" ht="15" customHeight="1" x14ac:dyDescent="0.25">
      <c r="A163" s="9">
        <v>158</v>
      </c>
      <c r="B163" s="10" t="s">
        <v>13</v>
      </c>
      <c r="C163" s="11" t="s">
        <v>116</v>
      </c>
      <c r="D163" s="12" t="s">
        <v>15</v>
      </c>
      <c r="E163" s="12" t="s">
        <v>178</v>
      </c>
      <c r="F163" s="12" t="s">
        <v>124</v>
      </c>
      <c r="G163" s="12" t="s">
        <v>1532</v>
      </c>
      <c r="H163" s="9" t="s">
        <v>22</v>
      </c>
      <c r="I163" s="9" t="str">
        <f>IFERROR(INDEX('Price List Library'!$P$6:$P$437,MATCH(TRIM($G163)&amp;"|"&amp;TRIM($H163),'Price List Library'!$S$6:$S$437,0)),"")</f>
        <v>Priced</v>
      </c>
      <c r="J163" s="20">
        <f>IFERROR(INDEX('Price List Library'!$O$6:$O$437,MATCH(TRIM($G163)&amp;"|"&amp;TRIM($H163),'Price List Library'!$S$6:$S$437,0)),0)</f>
        <v>23.760000000000005</v>
      </c>
      <c r="K163" s="13" t="s">
        <v>1641</v>
      </c>
    </row>
    <row r="164" spans="1:11" ht="15" customHeight="1" x14ac:dyDescent="0.25">
      <c r="A164" s="9">
        <v>159</v>
      </c>
      <c r="B164" s="10" t="s">
        <v>13</v>
      </c>
      <c r="C164" s="11" t="s">
        <v>116</v>
      </c>
      <c r="D164" s="12" t="s">
        <v>15</v>
      </c>
      <c r="E164" s="12" t="s">
        <v>178</v>
      </c>
      <c r="F164" s="12" t="s">
        <v>127</v>
      </c>
      <c r="G164" s="12" t="s">
        <v>128</v>
      </c>
      <c r="H164" s="9" t="s">
        <v>22</v>
      </c>
      <c r="I164" s="9" t="str">
        <f>IFERROR(INDEX('Price List Library'!$P$6:$P$437,MATCH(TRIM($G164)&amp;"|"&amp;TRIM($H164),'Price List Library'!$S$6:$S$437,0)),"")</f>
        <v>Priced</v>
      </c>
      <c r="J164" s="20">
        <f>IFERROR(INDEX('Price List Library'!$O$6:$O$437,MATCH(TRIM($G164)&amp;"|"&amp;TRIM($H164),'Price List Library'!$S$6:$S$437,0)),0)</f>
        <v>92.40000000000002</v>
      </c>
      <c r="K164" s="13" t="s">
        <v>1642</v>
      </c>
    </row>
    <row r="165" spans="1:11" ht="15" customHeight="1" x14ac:dyDescent="0.25">
      <c r="A165" s="9">
        <v>160</v>
      </c>
      <c r="B165" s="10" t="s">
        <v>13</v>
      </c>
      <c r="C165" s="11" t="s">
        <v>116</v>
      </c>
      <c r="D165" s="12" t="s">
        <v>15</v>
      </c>
      <c r="E165" s="12" t="s">
        <v>178</v>
      </c>
      <c r="F165" s="12" t="s">
        <v>69</v>
      </c>
      <c r="G165" s="12" t="s">
        <v>70</v>
      </c>
      <c r="H165" s="9" t="s">
        <v>22</v>
      </c>
      <c r="I165" s="9" t="str">
        <f>IFERROR(INDEX('Price List Library'!$P$6:$P$437,MATCH(TRIM($G165)&amp;"|"&amp;TRIM($H165),'Price List Library'!$S$6:$S$437,0)),"")</f>
        <v>Priced</v>
      </c>
      <c r="J165" s="20">
        <f>IFERROR(INDEX('Price List Library'!$O$6:$O$437,MATCH(TRIM($G165)&amp;"|"&amp;TRIM($H165),'Price List Library'!$S$6:$S$437,0)),0)</f>
        <v>121.76</v>
      </c>
      <c r="K165" s="13" t="s">
        <v>1643</v>
      </c>
    </row>
    <row r="166" spans="1:11" ht="15" customHeight="1" x14ac:dyDescent="0.25">
      <c r="A166" s="9">
        <v>161</v>
      </c>
      <c r="B166" s="10" t="s">
        <v>13</v>
      </c>
      <c r="C166" s="11" t="s">
        <v>116</v>
      </c>
      <c r="D166" s="12" t="s">
        <v>15</v>
      </c>
      <c r="E166" s="12" t="s">
        <v>178</v>
      </c>
      <c r="F166" s="12" t="s">
        <v>69</v>
      </c>
      <c r="G166" s="12" t="s">
        <v>1480</v>
      </c>
      <c r="H166" s="9" t="s">
        <v>22</v>
      </c>
      <c r="I166" s="9" t="str">
        <f>IFERROR(INDEX('Price List Library'!$P$6:$P$437,MATCH(TRIM($G166)&amp;"|"&amp;TRIM($H166),'Price List Library'!$S$6:$S$437,0)),"")</f>
        <v>Priced</v>
      </c>
      <c r="J166" s="20">
        <f>IFERROR(INDEX('Price List Library'!$O$6:$O$437,MATCH(TRIM($G166)&amp;"|"&amp;TRIM($H166),'Price List Library'!$S$6:$S$437,0)),0)</f>
        <v>119.36</v>
      </c>
      <c r="K166" s="13" t="s">
        <v>1644</v>
      </c>
    </row>
    <row r="167" spans="1:11" ht="15" customHeight="1" x14ac:dyDescent="0.25">
      <c r="A167" s="9">
        <v>162</v>
      </c>
      <c r="B167" s="10" t="s">
        <v>13</v>
      </c>
      <c r="C167" s="11" t="s">
        <v>116</v>
      </c>
      <c r="D167" s="12" t="s">
        <v>15</v>
      </c>
      <c r="E167" s="12" t="s">
        <v>178</v>
      </c>
      <c r="F167" s="12" t="s">
        <v>69</v>
      </c>
      <c r="G167" s="12" t="s">
        <v>1482</v>
      </c>
      <c r="H167" s="9" t="s">
        <v>22</v>
      </c>
      <c r="I167" s="9" t="str">
        <f>IFERROR(INDEX('Price List Library'!$P$6:$P$437,MATCH(TRIM($G167)&amp;"|"&amp;TRIM($H167),'Price List Library'!$S$6:$S$437,0)),"")</f>
        <v>Benchmark</v>
      </c>
      <c r="J167" s="20">
        <f>IFERROR(INDEX('Price List Library'!$O$6:$O$437,MATCH(TRIM($G167)&amp;"|"&amp;TRIM($H167),'Price List Library'!$S$6:$S$437,0)),0)</f>
        <v>108.16</v>
      </c>
      <c r="K167" s="13" t="s">
        <v>1645</v>
      </c>
    </row>
    <row r="168" spans="1:11" ht="15" customHeight="1" x14ac:dyDescent="0.25">
      <c r="A168" s="9">
        <v>163</v>
      </c>
      <c r="B168" s="10" t="s">
        <v>13</v>
      </c>
      <c r="C168" s="11" t="s">
        <v>116</v>
      </c>
      <c r="D168" s="12" t="s">
        <v>15</v>
      </c>
      <c r="E168" s="12" t="s">
        <v>178</v>
      </c>
      <c r="F168" s="12" t="s">
        <v>69</v>
      </c>
      <c r="G168" s="12" t="s">
        <v>1484</v>
      </c>
      <c r="H168" s="9" t="s">
        <v>22</v>
      </c>
      <c r="I168" s="9" t="str">
        <f>IFERROR(INDEX('Price List Library'!$P$6:$P$437,MATCH(TRIM($G168)&amp;"|"&amp;TRIM($H168),'Price List Library'!$S$6:$S$437,0)),"")</f>
        <v>Benchmark</v>
      </c>
      <c r="J168" s="20">
        <f>IFERROR(INDEX('Price List Library'!$O$6:$O$437,MATCH(TRIM($G168)&amp;"|"&amp;TRIM($H168),'Price List Library'!$S$6:$S$437,0)),0)</f>
        <v>114.96000000000001</v>
      </c>
      <c r="K168" s="13" t="s">
        <v>1646</v>
      </c>
    </row>
    <row r="169" spans="1:11" ht="15" customHeight="1" x14ac:dyDescent="0.25">
      <c r="A169" s="9">
        <v>164</v>
      </c>
      <c r="B169" s="10" t="s">
        <v>13</v>
      </c>
      <c r="C169" s="11" t="s">
        <v>116</v>
      </c>
      <c r="D169" s="12" t="s">
        <v>15</v>
      </c>
      <c r="E169" s="12" t="s">
        <v>178</v>
      </c>
      <c r="F169" s="12" t="s">
        <v>131</v>
      </c>
      <c r="G169" s="12" t="s">
        <v>150</v>
      </c>
      <c r="H169" s="9" t="s">
        <v>18</v>
      </c>
      <c r="I169" s="9" t="str">
        <f>IFERROR(INDEX('Price List Library'!$P$6:$P$437,MATCH(TRIM($G169)&amp;"|"&amp;TRIM($H169),'Price List Library'!$S$6:$S$437,0)),"")</f>
        <v>Benchmark</v>
      </c>
      <c r="J169" s="20">
        <f>IFERROR(INDEX('Price List Library'!$O$6:$O$437,MATCH(TRIM($G169)&amp;"|"&amp;TRIM($H169),'Price List Library'!$S$6:$S$437,0)),0)</f>
        <v>18.64</v>
      </c>
      <c r="K169" s="13" t="s">
        <v>1647</v>
      </c>
    </row>
    <row r="170" spans="1:11" ht="15" customHeight="1" x14ac:dyDescent="0.25">
      <c r="A170" s="9">
        <v>165</v>
      </c>
      <c r="B170" s="10" t="s">
        <v>13</v>
      </c>
      <c r="C170" s="11" t="s">
        <v>116</v>
      </c>
      <c r="D170" s="12" t="s">
        <v>15</v>
      </c>
      <c r="E170" s="12" t="s">
        <v>178</v>
      </c>
      <c r="F170" s="12" t="s">
        <v>131</v>
      </c>
      <c r="G170" s="12" t="s">
        <v>1541</v>
      </c>
      <c r="H170" s="9" t="s">
        <v>18</v>
      </c>
      <c r="I170" s="9" t="str">
        <f>IFERROR(INDEX('Price List Library'!$P$6:$P$437,MATCH(TRIM($G170)&amp;"|"&amp;TRIM($H170),'Price List Library'!$S$6:$S$437,0)),"")</f>
        <v>Benchmark</v>
      </c>
      <c r="J170" s="20">
        <f>IFERROR(INDEX('Price List Library'!$O$6:$O$437,MATCH(TRIM($G170)&amp;"|"&amp;TRIM($H170),'Price List Library'!$S$6:$S$437,0)),0)</f>
        <v>12.8</v>
      </c>
      <c r="K170" s="13" t="s">
        <v>1648</v>
      </c>
    </row>
    <row r="171" spans="1:11" ht="15" customHeight="1" x14ac:dyDescent="0.25">
      <c r="A171" s="9">
        <v>166</v>
      </c>
      <c r="B171" s="10" t="s">
        <v>13</v>
      </c>
      <c r="C171" s="11" t="s">
        <v>116</v>
      </c>
      <c r="D171" s="12" t="s">
        <v>15</v>
      </c>
      <c r="E171" s="12" t="s">
        <v>178</v>
      </c>
      <c r="F171" s="12" t="s">
        <v>72</v>
      </c>
      <c r="G171" s="12" t="s">
        <v>73</v>
      </c>
      <c r="H171" s="9" t="s">
        <v>53</v>
      </c>
      <c r="I171" s="9" t="str">
        <f>IFERROR(INDEX('Price List Library'!$P$6:$P$437,MATCH(TRIM($G171)&amp;"|"&amp;TRIM($H171),'Price List Library'!$S$6:$S$437,0)),"")</f>
        <v>Priced</v>
      </c>
      <c r="J171" s="20">
        <f>IFERROR(INDEX('Price List Library'!$O$6:$O$437,MATCH(TRIM($G171)&amp;"|"&amp;TRIM($H171),'Price List Library'!$S$6:$S$437,0)),0)</f>
        <v>1.0176000000000001</v>
      </c>
      <c r="K171" s="13" t="s">
        <v>1649</v>
      </c>
    </row>
    <row r="172" spans="1:11" ht="15" customHeight="1" x14ac:dyDescent="0.25">
      <c r="A172" s="9">
        <v>167</v>
      </c>
      <c r="B172" s="10" t="s">
        <v>13</v>
      </c>
      <c r="C172" s="11" t="s">
        <v>116</v>
      </c>
      <c r="D172" s="12" t="s">
        <v>15</v>
      </c>
      <c r="E172" s="12" t="s">
        <v>178</v>
      </c>
      <c r="F172" s="12" t="s">
        <v>72</v>
      </c>
      <c r="G172" s="12" t="s">
        <v>1487</v>
      </c>
      <c r="H172" s="9" t="s">
        <v>53</v>
      </c>
      <c r="I172" s="9" t="str">
        <f>IFERROR(INDEX('Price List Library'!$P$6:$P$437,MATCH(TRIM($G172)&amp;"|"&amp;TRIM($H172),'Price List Library'!$S$6:$S$437,0)),"")</f>
        <v>Priced</v>
      </c>
      <c r="J172" s="20">
        <f>IFERROR(INDEX('Price List Library'!$O$6:$O$437,MATCH(TRIM($G172)&amp;"|"&amp;TRIM($H172),'Price List Library'!$S$6:$S$437,0)),0)</f>
        <v>0.98320000000000007</v>
      </c>
      <c r="K172" s="13" t="s">
        <v>1650</v>
      </c>
    </row>
    <row r="173" spans="1:11" ht="15" customHeight="1" x14ac:dyDescent="0.25">
      <c r="A173" s="9">
        <v>168</v>
      </c>
      <c r="B173" s="10" t="s">
        <v>13</v>
      </c>
      <c r="C173" s="11" t="s">
        <v>116</v>
      </c>
      <c r="D173" s="12" t="s">
        <v>15</v>
      </c>
      <c r="E173" s="12" t="s">
        <v>178</v>
      </c>
      <c r="F173" s="12" t="s">
        <v>72</v>
      </c>
      <c r="G173" s="12" t="s">
        <v>1489</v>
      </c>
      <c r="H173" s="9" t="s">
        <v>53</v>
      </c>
      <c r="I173" s="9" t="str">
        <f>IFERROR(INDEX('Price List Library'!$P$6:$P$437,MATCH(TRIM($G173)&amp;"|"&amp;TRIM($H173),'Price List Library'!$S$6:$S$437,0)),"")</f>
        <v>Priced</v>
      </c>
      <c r="J173" s="20">
        <f>IFERROR(INDEX('Price List Library'!$O$6:$O$437,MATCH(TRIM($G173)&amp;"|"&amp;TRIM($H173),'Price List Library'!$S$6:$S$437,0)),0)</f>
        <v>0.96000000000000008</v>
      </c>
      <c r="K173" s="13" t="s">
        <v>1651</v>
      </c>
    </row>
    <row r="174" spans="1:11" ht="15" customHeight="1" x14ac:dyDescent="0.25">
      <c r="A174" s="9">
        <v>169</v>
      </c>
      <c r="B174" s="10" t="s">
        <v>13</v>
      </c>
      <c r="C174" s="11" t="s">
        <v>116</v>
      </c>
      <c r="D174" s="12" t="s">
        <v>15</v>
      </c>
      <c r="E174" s="12" t="s">
        <v>178</v>
      </c>
      <c r="F174" s="12" t="s">
        <v>72</v>
      </c>
      <c r="G174" s="12" t="s">
        <v>1491</v>
      </c>
      <c r="H174" s="9" t="s">
        <v>53</v>
      </c>
      <c r="I174" s="9" t="str">
        <f>IFERROR(INDEX('Price List Library'!$P$6:$P$437,MATCH(TRIM($G174)&amp;"|"&amp;TRIM($H174),'Price List Library'!$S$6:$S$437,0)),"")</f>
        <v>Priced</v>
      </c>
      <c r="J174" s="20">
        <f>IFERROR(INDEX('Price List Library'!$O$6:$O$437,MATCH(TRIM($G174)&amp;"|"&amp;TRIM($H174),'Price List Library'!$S$6:$S$437,0)),0)</f>
        <v>0.94880000000000009</v>
      </c>
      <c r="K174" s="13" t="s">
        <v>1652</v>
      </c>
    </row>
    <row r="175" spans="1:11" ht="15" customHeight="1" x14ac:dyDescent="0.25">
      <c r="A175" s="9">
        <v>170</v>
      </c>
      <c r="B175" s="10" t="s">
        <v>13</v>
      </c>
      <c r="C175" s="11" t="s">
        <v>116</v>
      </c>
      <c r="D175" s="12" t="s">
        <v>15</v>
      </c>
      <c r="E175" s="12" t="s">
        <v>178</v>
      </c>
      <c r="F175" s="12" t="s">
        <v>72</v>
      </c>
      <c r="G175" s="12" t="s">
        <v>1493</v>
      </c>
      <c r="H175" s="9" t="s">
        <v>53</v>
      </c>
      <c r="I175" s="9" t="str">
        <f>IFERROR(INDEX('Price List Library'!$P$6:$P$437,MATCH(TRIM($G175)&amp;"|"&amp;TRIM($H175),'Price List Library'!$S$6:$S$437,0)),"")</f>
        <v>Priced</v>
      </c>
      <c r="J175" s="20">
        <f>IFERROR(INDEX('Price List Library'!$O$6:$O$437,MATCH(TRIM($G175)&amp;"|"&amp;TRIM($H175),'Price List Library'!$S$6:$S$437,0)),0)</f>
        <v>0.92560000000000009</v>
      </c>
      <c r="K175" s="13" t="s">
        <v>1653</v>
      </c>
    </row>
    <row r="176" spans="1:11" ht="15" customHeight="1" x14ac:dyDescent="0.25">
      <c r="A176" s="9">
        <v>171</v>
      </c>
      <c r="B176" s="10" t="s">
        <v>13</v>
      </c>
      <c r="C176" s="11" t="s">
        <v>116</v>
      </c>
      <c r="D176" s="12" t="s">
        <v>15</v>
      </c>
      <c r="E176" s="12" t="s">
        <v>178</v>
      </c>
      <c r="F176" s="12" t="s">
        <v>72</v>
      </c>
      <c r="G176" s="12" t="s">
        <v>1495</v>
      </c>
      <c r="H176" s="9" t="s">
        <v>53</v>
      </c>
      <c r="I176" s="9" t="str">
        <f>IFERROR(INDEX('Price List Library'!$P$6:$P$437,MATCH(TRIM($G176)&amp;"|"&amp;TRIM($H176),'Price List Library'!$S$6:$S$437,0)),"")</f>
        <v>Priced</v>
      </c>
      <c r="J176" s="20">
        <f>IFERROR(INDEX('Price List Library'!$O$6:$O$437,MATCH(TRIM($G176)&amp;"|"&amp;TRIM($H176),'Price List Library'!$S$6:$S$437,0)),0)</f>
        <v>0.90239999999999998</v>
      </c>
      <c r="K176" s="13" t="s">
        <v>1654</v>
      </c>
    </row>
    <row r="177" spans="1:11" ht="15" customHeight="1" x14ac:dyDescent="0.25">
      <c r="A177" s="9">
        <v>172</v>
      </c>
      <c r="B177" s="10" t="s">
        <v>13</v>
      </c>
      <c r="C177" s="11" t="s">
        <v>116</v>
      </c>
      <c r="D177" s="12" t="s">
        <v>15</v>
      </c>
      <c r="E177" s="12" t="s">
        <v>178</v>
      </c>
      <c r="F177" s="12" t="s">
        <v>72</v>
      </c>
      <c r="G177" s="12" t="s">
        <v>1497</v>
      </c>
      <c r="H177" s="9" t="s">
        <v>53</v>
      </c>
      <c r="I177" s="9" t="str">
        <f>IFERROR(INDEX('Price List Library'!$P$6:$P$437,MATCH(TRIM($G177)&amp;"|"&amp;TRIM($H177),'Price List Library'!$S$6:$S$437,0)),"")</f>
        <v>Priced</v>
      </c>
      <c r="J177" s="20">
        <f>IFERROR(INDEX('Price List Library'!$O$6:$O$437,MATCH(TRIM($G177)&amp;"|"&amp;TRIM($H177),'Price List Library'!$S$6:$S$437,0)),0)</f>
        <v>0.89119999999999999</v>
      </c>
      <c r="K177" s="13" t="s">
        <v>1655</v>
      </c>
    </row>
    <row r="178" spans="1:11" ht="15" customHeight="1" x14ac:dyDescent="0.25">
      <c r="A178" s="9">
        <v>173</v>
      </c>
      <c r="B178" s="10" t="s">
        <v>13</v>
      </c>
      <c r="C178" s="11" t="s">
        <v>116</v>
      </c>
      <c r="D178" s="12" t="s">
        <v>15</v>
      </c>
      <c r="E178" s="12" t="s">
        <v>178</v>
      </c>
      <c r="F178" s="12" t="s">
        <v>72</v>
      </c>
      <c r="G178" s="12" t="s">
        <v>1499</v>
      </c>
      <c r="H178" s="9" t="s">
        <v>53</v>
      </c>
      <c r="I178" s="9" t="str">
        <f>IFERROR(INDEX('Price List Library'!$P$6:$P$437,MATCH(TRIM($G178)&amp;"|"&amp;TRIM($H178),'Price List Library'!$S$6:$S$437,0)),"")</f>
        <v>Priced</v>
      </c>
      <c r="J178" s="20">
        <f>IFERROR(INDEX('Price List Library'!$O$6:$O$437,MATCH(TRIM($G178)&amp;"|"&amp;TRIM($H178),'Price List Library'!$S$6:$S$437,0)),0)</f>
        <v>1.0064</v>
      </c>
      <c r="K178" s="13" t="s">
        <v>1656</v>
      </c>
    </row>
    <row r="179" spans="1:11" ht="15" customHeight="1" x14ac:dyDescent="0.25">
      <c r="A179" s="9">
        <v>174</v>
      </c>
      <c r="B179" s="10" t="s">
        <v>13</v>
      </c>
      <c r="C179" s="11" t="s">
        <v>116</v>
      </c>
      <c r="D179" s="12" t="s">
        <v>15</v>
      </c>
      <c r="E179" s="12" t="s">
        <v>178</v>
      </c>
      <c r="F179" s="12" t="s">
        <v>72</v>
      </c>
      <c r="G179" s="12" t="s">
        <v>1501</v>
      </c>
      <c r="H179" s="9" t="s">
        <v>53</v>
      </c>
      <c r="I179" s="9" t="str">
        <f>IFERROR(INDEX('Price List Library'!$P$6:$P$437,MATCH(TRIM($G179)&amp;"|"&amp;TRIM($H179),'Price List Library'!$S$6:$S$437,0)),"")</f>
        <v>Benchmark</v>
      </c>
      <c r="J179" s="20">
        <f>IFERROR(INDEX('Price List Library'!$O$6:$O$437,MATCH(TRIM($G179)&amp;"|"&amp;TRIM($H179),'Price List Library'!$S$6:$S$437,0)),0)</f>
        <v>1.0296000000000001</v>
      </c>
      <c r="K179" s="13" t="s">
        <v>1657</v>
      </c>
    </row>
    <row r="180" spans="1:11" ht="15" customHeight="1" x14ac:dyDescent="0.25">
      <c r="A180" s="9">
        <v>175</v>
      </c>
      <c r="B180" s="10" t="s">
        <v>13</v>
      </c>
      <c r="C180" s="11" t="s">
        <v>116</v>
      </c>
      <c r="D180" s="12" t="s">
        <v>15</v>
      </c>
      <c r="E180" s="12" t="s">
        <v>178</v>
      </c>
      <c r="F180" s="12" t="s">
        <v>75</v>
      </c>
      <c r="G180" s="12" t="s">
        <v>76</v>
      </c>
      <c r="H180" s="9" t="s">
        <v>53</v>
      </c>
      <c r="I180" s="9" t="str">
        <f>IFERROR(INDEX('Price List Library'!$P$6:$P$437,MATCH(TRIM($G180)&amp;"|"&amp;TRIM($H180),'Price List Library'!$S$6:$S$437,0)),"")</f>
        <v>Priced</v>
      </c>
      <c r="J180" s="20">
        <f>IFERROR(INDEX('Price List Library'!$O$6:$O$437,MATCH(TRIM($G180)&amp;"|"&amp;TRIM($H180),'Price List Library'!$S$6:$S$437,0)),0)</f>
        <v>1.4040000000000001</v>
      </c>
      <c r="K180" s="13" t="s">
        <v>1658</v>
      </c>
    </row>
    <row r="181" spans="1:11" ht="15" customHeight="1" x14ac:dyDescent="0.25">
      <c r="A181" s="9">
        <v>176</v>
      </c>
      <c r="B181" s="10" t="s">
        <v>13</v>
      </c>
      <c r="C181" s="11" t="s">
        <v>116</v>
      </c>
      <c r="D181" s="12" t="s">
        <v>15</v>
      </c>
      <c r="E181" s="12" t="s">
        <v>178</v>
      </c>
      <c r="F181" s="12" t="s">
        <v>135</v>
      </c>
      <c r="G181" s="12" t="s">
        <v>136</v>
      </c>
      <c r="H181" s="9" t="s">
        <v>61</v>
      </c>
      <c r="I181" s="9" t="str">
        <f>IFERROR(INDEX('Price List Library'!$P$6:$P$437,MATCH(TRIM($G181)&amp;"|"&amp;TRIM($H181),'Price List Library'!$S$6:$S$437,0)),"")</f>
        <v>Priced</v>
      </c>
      <c r="J181" s="20">
        <f>IFERROR(INDEX('Price List Library'!$O$6:$O$437,MATCH(TRIM($G181)&amp;"|"&amp;TRIM($H181),'Price List Library'!$S$6:$S$437,0)),0)</f>
        <v>6.28</v>
      </c>
      <c r="K181" s="13" t="s">
        <v>1659</v>
      </c>
    </row>
    <row r="182" spans="1:11" ht="15" customHeight="1" x14ac:dyDescent="0.25">
      <c r="A182" s="9">
        <v>177</v>
      </c>
      <c r="B182" s="10" t="s">
        <v>13</v>
      </c>
      <c r="C182" s="11" t="s">
        <v>116</v>
      </c>
      <c r="D182" s="12" t="s">
        <v>15</v>
      </c>
      <c r="E182" s="12" t="s">
        <v>178</v>
      </c>
      <c r="F182" s="12" t="s">
        <v>138</v>
      </c>
      <c r="G182" s="12" t="s">
        <v>139</v>
      </c>
      <c r="H182" s="9" t="s">
        <v>18</v>
      </c>
      <c r="I182" s="9" t="str">
        <f>IFERROR(INDEX('Price List Library'!$P$6:$P$437,MATCH(TRIM($G182)&amp;"|"&amp;TRIM($H182),'Price List Library'!$S$6:$S$437,0)),"")</f>
        <v>Priced</v>
      </c>
      <c r="J182" s="20">
        <f>IFERROR(INDEX('Price List Library'!$O$6:$O$437,MATCH(TRIM($G182)&amp;"|"&amp;TRIM($H182),'Price List Library'!$S$6:$S$437,0)),0)</f>
        <v>9.6800000000000015</v>
      </c>
      <c r="K182" s="13" t="s">
        <v>1660</v>
      </c>
    </row>
    <row r="183" spans="1:11" ht="15" customHeight="1" x14ac:dyDescent="0.25">
      <c r="A183" s="9">
        <v>178</v>
      </c>
      <c r="B183" s="10" t="s">
        <v>13</v>
      </c>
      <c r="C183" s="11" t="s">
        <v>116</v>
      </c>
      <c r="D183" s="12" t="s">
        <v>15</v>
      </c>
      <c r="E183" s="12" t="s">
        <v>178</v>
      </c>
      <c r="F183" s="12" t="s">
        <v>138</v>
      </c>
      <c r="G183" s="12" t="s">
        <v>1555</v>
      </c>
      <c r="H183" s="9" t="s">
        <v>18</v>
      </c>
      <c r="I183" s="9" t="str">
        <f>IFERROR(INDEX('Price List Library'!$P$6:$P$437,MATCH(TRIM($G183)&amp;"|"&amp;TRIM($H183),'Price List Library'!$S$6:$S$437,0)),"")</f>
        <v>Priced</v>
      </c>
      <c r="J183" s="20">
        <f>IFERROR(INDEX('Price List Library'!$O$6:$O$437,MATCH(TRIM($G183)&amp;"|"&amp;TRIM($H183),'Price List Library'!$S$6:$S$437,0)),0)</f>
        <v>9.120000000000001</v>
      </c>
      <c r="K183" s="13" t="s">
        <v>1661</v>
      </c>
    </row>
    <row r="184" spans="1:11" ht="15" customHeight="1" x14ac:dyDescent="0.25">
      <c r="A184" s="9">
        <v>179</v>
      </c>
      <c r="B184" s="10" t="s">
        <v>13</v>
      </c>
      <c r="C184" s="11" t="s">
        <v>116</v>
      </c>
      <c r="D184" s="12" t="s">
        <v>15</v>
      </c>
      <c r="E184" s="12" t="s">
        <v>178</v>
      </c>
      <c r="F184" s="12" t="s">
        <v>138</v>
      </c>
      <c r="G184" s="12" t="s">
        <v>1557</v>
      </c>
      <c r="H184" s="9" t="s">
        <v>18</v>
      </c>
      <c r="I184" s="9" t="str">
        <f>IFERROR(INDEX('Price List Library'!$P$6:$P$437,MATCH(TRIM($G184)&amp;"|"&amp;TRIM($H184),'Price List Library'!$S$6:$S$437,0)),"")</f>
        <v>Benchmark</v>
      </c>
      <c r="J184" s="20">
        <f>IFERROR(INDEX('Price List Library'!$O$6:$O$437,MATCH(TRIM($G184)&amp;"|"&amp;TRIM($H184),'Price List Library'!$S$6:$S$437,0)),0)</f>
        <v>8.8000000000000007</v>
      </c>
      <c r="K184" s="13" t="s">
        <v>1662</v>
      </c>
    </row>
    <row r="185" spans="1:11" ht="15" customHeight="1" x14ac:dyDescent="0.25">
      <c r="A185" s="9">
        <v>180</v>
      </c>
      <c r="B185" s="10" t="s">
        <v>13</v>
      </c>
      <c r="C185" s="11" t="s">
        <v>116</v>
      </c>
      <c r="D185" s="12" t="s">
        <v>15</v>
      </c>
      <c r="E185" s="12" t="s">
        <v>178</v>
      </c>
      <c r="F185" s="12" t="s">
        <v>141</v>
      </c>
      <c r="G185" s="12" t="s">
        <v>142</v>
      </c>
      <c r="H185" s="9" t="s">
        <v>18</v>
      </c>
      <c r="I185" s="9" t="str">
        <f>IFERROR(INDEX('Price List Library'!$P$6:$P$437,MATCH(TRIM($G185)&amp;"|"&amp;TRIM($H185),'Price List Library'!$S$6:$S$437,0)),"")</f>
        <v>Priced</v>
      </c>
      <c r="J185" s="20">
        <f>IFERROR(INDEX('Price List Library'!$O$6:$O$437,MATCH(TRIM($G185)&amp;"|"&amp;TRIM($H185),'Price List Library'!$S$6:$S$437,0)),0)</f>
        <v>4</v>
      </c>
      <c r="K185" s="13" t="s">
        <v>1663</v>
      </c>
    </row>
    <row r="186" spans="1:11" ht="15" customHeight="1" x14ac:dyDescent="0.25">
      <c r="A186" s="9">
        <v>181</v>
      </c>
      <c r="B186" s="10" t="s">
        <v>13</v>
      </c>
      <c r="C186" s="11" t="s">
        <v>116</v>
      </c>
      <c r="D186" s="12" t="s">
        <v>15</v>
      </c>
      <c r="E186" s="12" t="s">
        <v>190</v>
      </c>
      <c r="F186" s="12" t="s">
        <v>118</v>
      </c>
      <c r="G186" s="12" t="s">
        <v>119</v>
      </c>
      <c r="H186" s="9" t="s">
        <v>22</v>
      </c>
      <c r="I186" s="9" t="str">
        <f>IFERROR(INDEX('Price List Library'!$P$6:$P$437,MATCH(TRIM($G186)&amp;"|"&amp;TRIM($H186),'Price List Library'!$S$6:$S$437,0)),"")</f>
        <v>Priced</v>
      </c>
      <c r="J186" s="20">
        <f>IFERROR(INDEX('Price List Library'!$O$6:$O$437,MATCH(TRIM($G186)&amp;"|"&amp;TRIM($H186),'Price List Library'!$S$6:$S$437,0)),0)</f>
        <v>4.8</v>
      </c>
      <c r="K186" s="13" t="s">
        <v>1664</v>
      </c>
    </row>
    <row r="187" spans="1:11" ht="15" customHeight="1" x14ac:dyDescent="0.25">
      <c r="A187" s="9">
        <v>182</v>
      </c>
      <c r="B187" s="10" t="s">
        <v>13</v>
      </c>
      <c r="C187" s="11" t="s">
        <v>116</v>
      </c>
      <c r="D187" s="12" t="s">
        <v>15</v>
      </c>
      <c r="E187" s="12" t="s">
        <v>190</v>
      </c>
      <c r="F187" s="12" t="s">
        <v>118</v>
      </c>
      <c r="G187" s="12" t="s">
        <v>28</v>
      </c>
      <c r="H187" s="9" t="s">
        <v>22</v>
      </c>
      <c r="I187" s="9" t="str">
        <f>IFERROR(INDEX('Price List Library'!$P$6:$P$437,MATCH(TRIM($G187)&amp;"|"&amp;TRIM($H187),'Price List Library'!$S$6:$S$437,0)),"")</f>
        <v>Priced</v>
      </c>
      <c r="J187" s="20">
        <f>IFERROR(INDEX('Price List Library'!$O$6:$O$437,MATCH(TRIM($G187)&amp;"|"&amp;TRIM($H187),'Price List Library'!$S$6:$S$437,0)),0)</f>
        <v>4.8</v>
      </c>
      <c r="K187" s="13" t="s">
        <v>1665</v>
      </c>
    </row>
    <row r="188" spans="1:11" ht="15" customHeight="1" x14ac:dyDescent="0.25">
      <c r="A188" s="9">
        <v>183</v>
      </c>
      <c r="B188" s="10" t="s">
        <v>13</v>
      </c>
      <c r="C188" s="11" t="s">
        <v>116</v>
      </c>
      <c r="D188" s="12" t="s">
        <v>15</v>
      </c>
      <c r="E188" s="12" t="s">
        <v>190</v>
      </c>
      <c r="F188" s="12" t="s">
        <v>118</v>
      </c>
      <c r="G188" s="12" t="s">
        <v>1528</v>
      </c>
      <c r="H188" s="9" t="s">
        <v>22</v>
      </c>
      <c r="I188" s="9" t="str">
        <f>IFERROR(INDEX('Price List Library'!$P$6:$P$437,MATCH(TRIM($G188)&amp;"|"&amp;TRIM($H188),'Price List Library'!$S$6:$S$437,0)),"")</f>
        <v>Priced</v>
      </c>
      <c r="J188" s="20">
        <f>IFERROR(INDEX('Price List Library'!$O$6:$O$437,MATCH(TRIM($G188)&amp;"|"&amp;TRIM($H188),'Price List Library'!$S$6:$S$437,0)),0)</f>
        <v>3.5999999999999996</v>
      </c>
      <c r="K188" s="13" t="s">
        <v>1666</v>
      </c>
    </row>
    <row r="189" spans="1:11" ht="15" customHeight="1" x14ac:dyDescent="0.25">
      <c r="A189" s="9">
        <v>184</v>
      </c>
      <c r="B189" s="10" t="s">
        <v>13</v>
      </c>
      <c r="C189" s="11" t="s">
        <v>116</v>
      </c>
      <c r="D189" s="12" t="s">
        <v>15</v>
      </c>
      <c r="E189" s="12" t="s">
        <v>190</v>
      </c>
      <c r="F189" s="12" t="s">
        <v>121</v>
      </c>
      <c r="G189" s="12" t="s">
        <v>122</v>
      </c>
      <c r="H189" s="9" t="s">
        <v>18</v>
      </c>
      <c r="I189" s="9" t="str">
        <f>IFERROR(INDEX('Price List Library'!$P$6:$P$437,MATCH(TRIM($G189)&amp;"|"&amp;TRIM($H189),'Price List Library'!$S$6:$S$437,0)),"")</f>
        <v>Priced</v>
      </c>
      <c r="J189" s="20">
        <f>IFERROR(INDEX('Price List Library'!$O$6:$O$437,MATCH(TRIM($G189)&amp;"|"&amp;TRIM($H189),'Price List Library'!$S$6:$S$437,0)),0)</f>
        <v>2.4</v>
      </c>
      <c r="K189" s="13" t="s">
        <v>1667</v>
      </c>
    </row>
    <row r="190" spans="1:11" ht="15" customHeight="1" x14ac:dyDescent="0.25">
      <c r="A190" s="9">
        <v>185</v>
      </c>
      <c r="B190" s="10" t="s">
        <v>13</v>
      </c>
      <c r="C190" s="11" t="s">
        <v>116</v>
      </c>
      <c r="D190" s="12" t="s">
        <v>15</v>
      </c>
      <c r="E190" s="12" t="s">
        <v>190</v>
      </c>
      <c r="F190" s="12" t="s">
        <v>124</v>
      </c>
      <c r="G190" s="12" t="s">
        <v>125</v>
      </c>
      <c r="H190" s="9" t="s">
        <v>22</v>
      </c>
      <c r="I190" s="9" t="str">
        <f>IFERROR(INDEX('Price List Library'!$P$6:$P$437,MATCH(TRIM($G190)&amp;"|"&amp;TRIM($H190),'Price List Library'!$S$6:$S$437,0)),"")</f>
        <v>Priced</v>
      </c>
      <c r="J190" s="20">
        <f>IFERROR(INDEX('Price List Library'!$O$6:$O$437,MATCH(TRIM($G190)&amp;"|"&amp;TRIM($H190),'Price List Library'!$S$6:$S$437,0)),0)</f>
        <v>23.760000000000005</v>
      </c>
      <c r="K190" s="13" t="s">
        <v>1668</v>
      </c>
    </row>
    <row r="191" spans="1:11" ht="15" customHeight="1" x14ac:dyDescent="0.25">
      <c r="A191" s="9">
        <v>186</v>
      </c>
      <c r="B191" s="10" t="s">
        <v>13</v>
      </c>
      <c r="C191" s="11" t="s">
        <v>116</v>
      </c>
      <c r="D191" s="12" t="s">
        <v>15</v>
      </c>
      <c r="E191" s="12" t="s">
        <v>190</v>
      </c>
      <c r="F191" s="12" t="s">
        <v>124</v>
      </c>
      <c r="G191" s="12" t="s">
        <v>1532</v>
      </c>
      <c r="H191" s="9" t="s">
        <v>22</v>
      </c>
      <c r="I191" s="9" t="str">
        <f>IFERROR(INDEX('Price List Library'!$P$6:$P$437,MATCH(TRIM($G191)&amp;"|"&amp;TRIM($H191),'Price List Library'!$S$6:$S$437,0)),"")</f>
        <v>Priced</v>
      </c>
      <c r="J191" s="20">
        <f>IFERROR(INDEX('Price List Library'!$O$6:$O$437,MATCH(TRIM($G191)&amp;"|"&amp;TRIM($H191),'Price List Library'!$S$6:$S$437,0)),0)</f>
        <v>23.760000000000005</v>
      </c>
      <c r="K191" s="13" t="s">
        <v>1669</v>
      </c>
    </row>
    <row r="192" spans="1:11" ht="15" customHeight="1" x14ac:dyDescent="0.25">
      <c r="A192" s="9">
        <v>187</v>
      </c>
      <c r="B192" s="10" t="s">
        <v>13</v>
      </c>
      <c r="C192" s="11" t="s">
        <v>116</v>
      </c>
      <c r="D192" s="12" t="s">
        <v>15</v>
      </c>
      <c r="E192" s="12" t="s">
        <v>190</v>
      </c>
      <c r="F192" s="12" t="s">
        <v>127</v>
      </c>
      <c r="G192" s="12" t="s">
        <v>128</v>
      </c>
      <c r="H192" s="9" t="s">
        <v>22</v>
      </c>
      <c r="I192" s="9" t="str">
        <f>IFERROR(INDEX('Price List Library'!$P$6:$P$437,MATCH(TRIM($G192)&amp;"|"&amp;TRIM($H192),'Price List Library'!$S$6:$S$437,0)),"")</f>
        <v>Priced</v>
      </c>
      <c r="J192" s="20">
        <f>IFERROR(INDEX('Price List Library'!$O$6:$O$437,MATCH(TRIM($G192)&amp;"|"&amp;TRIM($H192),'Price List Library'!$S$6:$S$437,0)),0)</f>
        <v>92.40000000000002</v>
      </c>
      <c r="K192" s="13" t="s">
        <v>1670</v>
      </c>
    </row>
    <row r="193" spans="1:11" ht="15" customHeight="1" x14ac:dyDescent="0.25">
      <c r="A193" s="9">
        <v>188</v>
      </c>
      <c r="B193" s="10" t="s">
        <v>13</v>
      </c>
      <c r="C193" s="11" t="s">
        <v>116</v>
      </c>
      <c r="D193" s="12" t="s">
        <v>15</v>
      </c>
      <c r="E193" s="12" t="s">
        <v>190</v>
      </c>
      <c r="F193" s="12" t="s">
        <v>69</v>
      </c>
      <c r="G193" s="12" t="s">
        <v>70</v>
      </c>
      <c r="H193" s="9" t="s">
        <v>22</v>
      </c>
      <c r="I193" s="9" t="str">
        <f>IFERROR(INDEX('Price List Library'!$P$6:$P$437,MATCH(TRIM($G193)&amp;"|"&amp;TRIM($H193),'Price List Library'!$S$6:$S$437,0)),"")</f>
        <v>Priced</v>
      </c>
      <c r="J193" s="20">
        <f>IFERROR(INDEX('Price List Library'!$O$6:$O$437,MATCH(TRIM($G193)&amp;"|"&amp;TRIM($H193),'Price List Library'!$S$6:$S$437,0)),0)</f>
        <v>121.76</v>
      </c>
      <c r="K193" s="13" t="s">
        <v>1671</v>
      </c>
    </row>
    <row r="194" spans="1:11" ht="15" customHeight="1" x14ac:dyDescent="0.25">
      <c r="A194" s="9">
        <v>189</v>
      </c>
      <c r="B194" s="10" t="s">
        <v>13</v>
      </c>
      <c r="C194" s="11" t="s">
        <v>116</v>
      </c>
      <c r="D194" s="12" t="s">
        <v>15</v>
      </c>
      <c r="E194" s="12" t="s">
        <v>190</v>
      </c>
      <c r="F194" s="12" t="s">
        <v>69</v>
      </c>
      <c r="G194" s="12" t="s">
        <v>1480</v>
      </c>
      <c r="H194" s="9" t="s">
        <v>22</v>
      </c>
      <c r="I194" s="9" t="str">
        <f>IFERROR(INDEX('Price List Library'!$P$6:$P$437,MATCH(TRIM($G194)&amp;"|"&amp;TRIM($H194),'Price List Library'!$S$6:$S$437,0)),"")</f>
        <v>Priced</v>
      </c>
      <c r="J194" s="20">
        <f>IFERROR(INDEX('Price List Library'!$O$6:$O$437,MATCH(TRIM($G194)&amp;"|"&amp;TRIM($H194),'Price List Library'!$S$6:$S$437,0)),0)</f>
        <v>119.36</v>
      </c>
      <c r="K194" s="13" t="s">
        <v>1672</v>
      </c>
    </row>
    <row r="195" spans="1:11" ht="15" customHeight="1" x14ac:dyDescent="0.25">
      <c r="A195" s="9">
        <v>190</v>
      </c>
      <c r="B195" s="10" t="s">
        <v>13</v>
      </c>
      <c r="C195" s="11" t="s">
        <v>116</v>
      </c>
      <c r="D195" s="12" t="s">
        <v>15</v>
      </c>
      <c r="E195" s="12" t="s">
        <v>190</v>
      </c>
      <c r="F195" s="12" t="s">
        <v>69</v>
      </c>
      <c r="G195" s="12" t="s">
        <v>1482</v>
      </c>
      <c r="H195" s="9" t="s">
        <v>22</v>
      </c>
      <c r="I195" s="9" t="str">
        <f>IFERROR(INDEX('Price List Library'!$P$6:$P$437,MATCH(TRIM($G195)&amp;"|"&amp;TRIM($H195),'Price List Library'!$S$6:$S$437,0)),"")</f>
        <v>Benchmark</v>
      </c>
      <c r="J195" s="20">
        <f>IFERROR(INDEX('Price List Library'!$O$6:$O$437,MATCH(TRIM($G195)&amp;"|"&amp;TRIM($H195),'Price List Library'!$S$6:$S$437,0)),0)</f>
        <v>108.16</v>
      </c>
      <c r="K195" s="13" t="s">
        <v>1673</v>
      </c>
    </row>
    <row r="196" spans="1:11" ht="15" customHeight="1" x14ac:dyDescent="0.25">
      <c r="A196" s="9">
        <v>191</v>
      </c>
      <c r="B196" s="10" t="s">
        <v>13</v>
      </c>
      <c r="C196" s="11" t="s">
        <v>116</v>
      </c>
      <c r="D196" s="12" t="s">
        <v>15</v>
      </c>
      <c r="E196" s="12" t="s">
        <v>190</v>
      </c>
      <c r="F196" s="12" t="s">
        <v>69</v>
      </c>
      <c r="G196" s="12" t="s">
        <v>1484</v>
      </c>
      <c r="H196" s="9" t="s">
        <v>22</v>
      </c>
      <c r="I196" s="9" t="str">
        <f>IFERROR(INDEX('Price List Library'!$P$6:$P$437,MATCH(TRIM($G196)&amp;"|"&amp;TRIM($H196),'Price List Library'!$S$6:$S$437,0)),"")</f>
        <v>Benchmark</v>
      </c>
      <c r="J196" s="20">
        <f>IFERROR(INDEX('Price List Library'!$O$6:$O$437,MATCH(TRIM($G196)&amp;"|"&amp;TRIM($H196),'Price List Library'!$S$6:$S$437,0)),0)</f>
        <v>114.96000000000001</v>
      </c>
      <c r="K196" s="13" t="s">
        <v>1674</v>
      </c>
    </row>
    <row r="197" spans="1:11" ht="15" customHeight="1" x14ac:dyDescent="0.25">
      <c r="A197" s="9">
        <v>192</v>
      </c>
      <c r="B197" s="10" t="s">
        <v>13</v>
      </c>
      <c r="C197" s="11" t="s">
        <v>116</v>
      </c>
      <c r="D197" s="12" t="s">
        <v>15</v>
      </c>
      <c r="E197" s="12" t="s">
        <v>190</v>
      </c>
      <c r="F197" s="12" t="s">
        <v>131</v>
      </c>
      <c r="G197" s="12" t="s">
        <v>150</v>
      </c>
      <c r="H197" s="9" t="s">
        <v>18</v>
      </c>
      <c r="I197" s="9" t="str">
        <f>IFERROR(INDEX('Price List Library'!$P$6:$P$437,MATCH(TRIM($G197)&amp;"|"&amp;TRIM($H197),'Price List Library'!$S$6:$S$437,0)),"")</f>
        <v>Benchmark</v>
      </c>
      <c r="J197" s="20">
        <f>IFERROR(INDEX('Price List Library'!$O$6:$O$437,MATCH(TRIM($G197)&amp;"|"&amp;TRIM($H197),'Price List Library'!$S$6:$S$437,0)),0)</f>
        <v>18.64</v>
      </c>
      <c r="K197" s="13" t="s">
        <v>1675</v>
      </c>
    </row>
    <row r="198" spans="1:11" ht="15" customHeight="1" x14ac:dyDescent="0.25">
      <c r="A198" s="9">
        <v>193</v>
      </c>
      <c r="B198" s="10" t="s">
        <v>13</v>
      </c>
      <c r="C198" s="11" t="s">
        <v>116</v>
      </c>
      <c r="D198" s="12" t="s">
        <v>15</v>
      </c>
      <c r="E198" s="12" t="s">
        <v>190</v>
      </c>
      <c r="F198" s="12" t="s">
        <v>131</v>
      </c>
      <c r="G198" s="12" t="s">
        <v>1541</v>
      </c>
      <c r="H198" s="9" t="s">
        <v>18</v>
      </c>
      <c r="I198" s="9" t="str">
        <f>IFERROR(INDEX('Price List Library'!$P$6:$P$437,MATCH(TRIM($G198)&amp;"|"&amp;TRIM($H198),'Price List Library'!$S$6:$S$437,0)),"")</f>
        <v>Benchmark</v>
      </c>
      <c r="J198" s="20">
        <f>IFERROR(INDEX('Price List Library'!$O$6:$O$437,MATCH(TRIM($G198)&amp;"|"&amp;TRIM($H198),'Price List Library'!$S$6:$S$437,0)),0)</f>
        <v>12.8</v>
      </c>
      <c r="K198" s="13" t="s">
        <v>1676</v>
      </c>
    </row>
    <row r="199" spans="1:11" ht="15" customHeight="1" x14ac:dyDescent="0.25">
      <c r="A199" s="9">
        <v>194</v>
      </c>
      <c r="B199" s="10" t="s">
        <v>13</v>
      </c>
      <c r="C199" s="11" t="s">
        <v>116</v>
      </c>
      <c r="D199" s="12" t="s">
        <v>15</v>
      </c>
      <c r="E199" s="12" t="s">
        <v>190</v>
      </c>
      <c r="F199" s="12" t="s">
        <v>72</v>
      </c>
      <c r="G199" s="12" t="s">
        <v>73</v>
      </c>
      <c r="H199" s="9" t="s">
        <v>53</v>
      </c>
      <c r="I199" s="9" t="str">
        <f>IFERROR(INDEX('Price List Library'!$P$6:$P$437,MATCH(TRIM($G199)&amp;"|"&amp;TRIM($H199),'Price List Library'!$S$6:$S$437,0)),"")</f>
        <v>Priced</v>
      </c>
      <c r="J199" s="20">
        <f>IFERROR(INDEX('Price List Library'!$O$6:$O$437,MATCH(TRIM($G199)&amp;"|"&amp;TRIM($H199),'Price List Library'!$S$6:$S$437,0)),0)</f>
        <v>1.0176000000000001</v>
      </c>
      <c r="K199" s="13" t="s">
        <v>1677</v>
      </c>
    </row>
    <row r="200" spans="1:11" ht="15" customHeight="1" x14ac:dyDescent="0.25">
      <c r="A200" s="9">
        <v>195</v>
      </c>
      <c r="B200" s="10" t="s">
        <v>13</v>
      </c>
      <c r="C200" s="11" t="s">
        <v>116</v>
      </c>
      <c r="D200" s="12" t="s">
        <v>15</v>
      </c>
      <c r="E200" s="12" t="s">
        <v>190</v>
      </c>
      <c r="F200" s="12" t="s">
        <v>72</v>
      </c>
      <c r="G200" s="12" t="s">
        <v>1487</v>
      </c>
      <c r="H200" s="9" t="s">
        <v>53</v>
      </c>
      <c r="I200" s="9" t="str">
        <f>IFERROR(INDEX('Price List Library'!$P$6:$P$437,MATCH(TRIM($G200)&amp;"|"&amp;TRIM($H200),'Price List Library'!$S$6:$S$437,0)),"")</f>
        <v>Priced</v>
      </c>
      <c r="J200" s="20">
        <f>IFERROR(INDEX('Price List Library'!$O$6:$O$437,MATCH(TRIM($G200)&amp;"|"&amp;TRIM($H200),'Price List Library'!$S$6:$S$437,0)),0)</f>
        <v>0.98320000000000007</v>
      </c>
      <c r="K200" s="13" t="s">
        <v>1678</v>
      </c>
    </row>
    <row r="201" spans="1:11" ht="15" customHeight="1" x14ac:dyDescent="0.25">
      <c r="A201" s="9">
        <v>196</v>
      </c>
      <c r="B201" s="10" t="s">
        <v>13</v>
      </c>
      <c r="C201" s="11" t="s">
        <v>116</v>
      </c>
      <c r="D201" s="12" t="s">
        <v>15</v>
      </c>
      <c r="E201" s="12" t="s">
        <v>190</v>
      </c>
      <c r="F201" s="12" t="s">
        <v>72</v>
      </c>
      <c r="G201" s="12" t="s">
        <v>1489</v>
      </c>
      <c r="H201" s="9" t="s">
        <v>53</v>
      </c>
      <c r="I201" s="9" t="str">
        <f>IFERROR(INDEX('Price List Library'!$P$6:$P$437,MATCH(TRIM($G201)&amp;"|"&amp;TRIM($H201),'Price List Library'!$S$6:$S$437,0)),"")</f>
        <v>Priced</v>
      </c>
      <c r="J201" s="20">
        <f>IFERROR(INDEX('Price List Library'!$O$6:$O$437,MATCH(TRIM($G201)&amp;"|"&amp;TRIM($H201),'Price List Library'!$S$6:$S$437,0)),0)</f>
        <v>0.96000000000000008</v>
      </c>
      <c r="K201" s="13" t="s">
        <v>1679</v>
      </c>
    </row>
    <row r="202" spans="1:11" ht="15" customHeight="1" x14ac:dyDescent="0.25">
      <c r="A202" s="9">
        <v>197</v>
      </c>
      <c r="B202" s="10" t="s">
        <v>13</v>
      </c>
      <c r="C202" s="11" t="s">
        <v>116</v>
      </c>
      <c r="D202" s="12" t="s">
        <v>15</v>
      </c>
      <c r="E202" s="12" t="s">
        <v>190</v>
      </c>
      <c r="F202" s="12" t="s">
        <v>72</v>
      </c>
      <c r="G202" s="12" t="s">
        <v>1491</v>
      </c>
      <c r="H202" s="9" t="s">
        <v>53</v>
      </c>
      <c r="I202" s="9" t="str">
        <f>IFERROR(INDEX('Price List Library'!$P$6:$P$437,MATCH(TRIM($G202)&amp;"|"&amp;TRIM($H202),'Price List Library'!$S$6:$S$437,0)),"")</f>
        <v>Priced</v>
      </c>
      <c r="J202" s="20">
        <f>IFERROR(INDEX('Price List Library'!$O$6:$O$437,MATCH(TRIM($G202)&amp;"|"&amp;TRIM($H202),'Price List Library'!$S$6:$S$437,0)),0)</f>
        <v>0.94880000000000009</v>
      </c>
      <c r="K202" s="13" t="s">
        <v>1680</v>
      </c>
    </row>
    <row r="203" spans="1:11" ht="15" customHeight="1" x14ac:dyDescent="0.25">
      <c r="A203" s="9">
        <v>198</v>
      </c>
      <c r="B203" s="10" t="s">
        <v>13</v>
      </c>
      <c r="C203" s="11" t="s">
        <v>116</v>
      </c>
      <c r="D203" s="12" t="s">
        <v>15</v>
      </c>
      <c r="E203" s="12" t="s">
        <v>190</v>
      </c>
      <c r="F203" s="12" t="s">
        <v>72</v>
      </c>
      <c r="G203" s="12" t="s">
        <v>1493</v>
      </c>
      <c r="H203" s="9" t="s">
        <v>53</v>
      </c>
      <c r="I203" s="9" t="str">
        <f>IFERROR(INDEX('Price List Library'!$P$6:$P$437,MATCH(TRIM($G203)&amp;"|"&amp;TRIM($H203),'Price List Library'!$S$6:$S$437,0)),"")</f>
        <v>Priced</v>
      </c>
      <c r="J203" s="20">
        <f>IFERROR(INDEX('Price List Library'!$O$6:$O$437,MATCH(TRIM($G203)&amp;"|"&amp;TRIM($H203),'Price List Library'!$S$6:$S$437,0)),0)</f>
        <v>0.92560000000000009</v>
      </c>
      <c r="K203" s="13" t="s">
        <v>1681</v>
      </c>
    </row>
    <row r="204" spans="1:11" ht="15" customHeight="1" x14ac:dyDescent="0.25">
      <c r="A204" s="9">
        <v>199</v>
      </c>
      <c r="B204" s="10" t="s">
        <v>13</v>
      </c>
      <c r="C204" s="11" t="s">
        <v>116</v>
      </c>
      <c r="D204" s="12" t="s">
        <v>15</v>
      </c>
      <c r="E204" s="12" t="s">
        <v>190</v>
      </c>
      <c r="F204" s="12" t="s">
        <v>72</v>
      </c>
      <c r="G204" s="12" t="s">
        <v>1495</v>
      </c>
      <c r="H204" s="9" t="s">
        <v>53</v>
      </c>
      <c r="I204" s="9" t="str">
        <f>IFERROR(INDEX('Price List Library'!$P$6:$P$437,MATCH(TRIM($G204)&amp;"|"&amp;TRIM($H204),'Price List Library'!$S$6:$S$437,0)),"")</f>
        <v>Priced</v>
      </c>
      <c r="J204" s="20">
        <f>IFERROR(INDEX('Price List Library'!$O$6:$O$437,MATCH(TRIM($G204)&amp;"|"&amp;TRIM($H204),'Price List Library'!$S$6:$S$437,0)),0)</f>
        <v>0.90239999999999998</v>
      </c>
      <c r="K204" s="13" t="s">
        <v>1682</v>
      </c>
    </row>
    <row r="205" spans="1:11" ht="15" customHeight="1" x14ac:dyDescent="0.25">
      <c r="A205" s="9">
        <v>200</v>
      </c>
      <c r="B205" s="10" t="s">
        <v>13</v>
      </c>
      <c r="C205" s="11" t="s">
        <v>116</v>
      </c>
      <c r="D205" s="12" t="s">
        <v>15</v>
      </c>
      <c r="E205" s="12" t="s">
        <v>190</v>
      </c>
      <c r="F205" s="12" t="s">
        <v>72</v>
      </c>
      <c r="G205" s="12" t="s">
        <v>1497</v>
      </c>
      <c r="H205" s="9" t="s">
        <v>53</v>
      </c>
      <c r="I205" s="9" t="str">
        <f>IFERROR(INDEX('Price List Library'!$P$6:$P$437,MATCH(TRIM($G205)&amp;"|"&amp;TRIM($H205),'Price List Library'!$S$6:$S$437,0)),"")</f>
        <v>Priced</v>
      </c>
      <c r="J205" s="20">
        <f>IFERROR(INDEX('Price List Library'!$O$6:$O$437,MATCH(TRIM($G205)&amp;"|"&amp;TRIM($H205),'Price List Library'!$S$6:$S$437,0)),0)</f>
        <v>0.89119999999999999</v>
      </c>
      <c r="K205" s="13" t="s">
        <v>1683</v>
      </c>
    </row>
    <row r="206" spans="1:11" ht="15" customHeight="1" x14ac:dyDescent="0.25">
      <c r="A206" s="9">
        <v>201</v>
      </c>
      <c r="B206" s="10" t="s">
        <v>13</v>
      </c>
      <c r="C206" s="11" t="s">
        <v>116</v>
      </c>
      <c r="D206" s="12" t="s">
        <v>15</v>
      </c>
      <c r="E206" s="12" t="s">
        <v>190</v>
      </c>
      <c r="F206" s="12" t="s">
        <v>72</v>
      </c>
      <c r="G206" s="12" t="s">
        <v>1499</v>
      </c>
      <c r="H206" s="9" t="s">
        <v>53</v>
      </c>
      <c r="I206" s="9" t="str">
        <f>IFERROR(INDEX('Price List Library'!$P$6:$P$437,MATCH(TRIM($G206)&amp;"|"&amp;TRIM($H206),'Price List Library'!$S$6:$S$437,0)),"")</f>
        <v>Priced</v>
      </c>
      <c r="J206" s="20">
        <f>IFERROR(INDEX('Price List Library'!$O$6:$O$437,MATCH(TRIM($G206)&amp;"|"&amp;TRIM($H206),'Price List Library'!$S$6:$S$437,0)),0)</f>
        <v>1.0064</v>
      </c>
      <c r="K206" s="13" t="s">
        <v>1684</v>
      </c>
    </row>
    <row r="207" spans="1:11" ht="15" customHeight="1" x14ac:dyDescent="0.25">
      <c r="A207" s="9">
        <v>202</v>
      </c>
      <c r="B207" s="10" t="s">
        <v>13</v>
      </c>
      <c r="C207" s="11" t="s">
        <v>116</v>
      </c>
      <c r="D207" s="12" t="s">
        <v>15</v>
      </c>
      <c r="E207" s="12" t="s">
        <v>190</v>
      </c>
      <c r="F207" s="12" t="s">
        <v>72</v>
      </c>
      <c r="G207" s="12" t="s">
        <v>1501</v>
      </c>
      <c r="H207" s="9" t="s">
        <v>53</v>
      </c>
      <c r="I207" s="9" t="str">
        <f>IFERROR(INDEX('Price List Library'!$P$6:$P$437,MATCH(TRIM($G207)&amp;"|"&amp;TRIM($H207),'Price List Library'!$S$6:$S$437,0)),"")</f>
        <v>Benchmark</v>
      </c>
      <c r="J207" s="20">
        <f>IFERROR(INDEX('Price List Library'!$O$6:$O$437,MATCH(TRIM($G207)&amp;"|"&amp;TRIM($H207),'Price List Library'!$S$6:$S$437,0)),0)</f>
        <v>1.0296000000000001</v>
      </c>
      <c r="K207" s="13" t="s">
        <v>1685</v>
      </c>
    </row>
    <row r="208" spans="1:11" ht="15" customHeight="1" x14ac:dyDescent="0.25">
      <c r="A208" s="9">
        <v>203</v>
      </c>
      <c r="B208" s="10" t="s">
        <v>13</v>
      </c>
      <c r="C208" s="11" t="s">
        <v>116</v>
      </c>
      <c r="D208" s="12" t="s">
        <v>15</v>
      </c>
      <c r="E208" s="12" t="s">
        <v>190</v>
      </c>
      <c r="F208" s="12" t="s">
        <v>75</v>
      </c>
      <c r="G208" s="12" t="s">
        <v>76</v>
      </c>
      <c r="H208" s="9" t="s">
        <v>53</v>
      </c>
      <c r="I208" s="9" t="str">
        <f>IFERROR(INDEX('Price List Library'!$P$6:$P$437,MATCH(TRIM($G208)&amp;"|"&amp;TRIM($H208),'Price List Library'!$S$6:$S$437,0)),"")</f>
        <v>Priced</v>
      </c>
      <c r="J208" s="20">
        <f>IFERROR(INDEX('Price List Library'!$O$6:$O$437,MATCH(TRIM($G208)&amp;"|"&amp;TRIM($H208),'Price List Library'!$S$6:$S$437,0)),0)</f>
        <v>1.4040000000000001</v>
      </c>
      <c r="K208" s="13" t="s">
        <v>1686</v>
      </c>
    </row>
    <row r="209" spans="1:11" ht="15" customHeight="1" x14ac:dyDescent="0.25">
      <c r="A209" s="9">
        <v>204</v>
      </c>
      <c r="B209" s="10" t="s">
        <v>13</v>
      </c>
      <c r="C209" s="11" t="s">
        <v>116</v>
      </c>
      <c r="D209" s="12" t="s">
        <v>15</v>
      </c>
      <c r="E209" s="12" t="s">
        <v>190</v>
      </c>
      <c r="F209" s="12" t="s">
        <v>135</v>
      </c>
      <c r="G209" s="12" t="s">
        <v>136</v>
      </c>
      <c r="H209" s="9" t="s">
        <v>61</v>
      </c>
      <c r="I209" s="9" t="str">
        <f>IFERROR(INDEX('Price List Library'!$P$6:$P$437,MATCH(TRIM($G209)&amp;"|"&amp;TRIM($H209),'Price List Library'!$S$6:$S$437,0)),"")</f>
        <v>Priced</v>
      </c>
      <c r="J209" s="20">
        <f>IFERROR(INDEX('Price List Library'!$O$6:$O$437,MATCH(TRIM($G209)&amp;"|"&amp;TRIM($H209),'Price List Library'!$S$6:$S$437,0)),0)</f>
        <v>6.28</v>
      </c>
      <c r="K209" s="13" t="s">
        <v>1687</v>
      </c>
    </row>
    <row r="210" spans="1:11" ht="15" customHeight="1" x14ac:dyDescent="0.25">
      <c r="A210" s="9">
        <v>205</v>
      </c>
      <c r="B210" s="10" t="s">
        <v>13</v>
      </c>
      <c r="C210" s="11" t="s">
        <v>116</v>
      </c>
      <c r="D210" s="12" t="s">
        <v>15</v>
      </c>
      <c r="E210" s="12" t="s">
        <v>190</v>
      </c>
      <c r="F210" s="12" t="s">
        <v>138</v>
      </c>
      <c r="G210" s="12" t="s">
        <v>139</v>
      </c>
      <c r="H210" s="9" t="s">
        <v>18</v>
      </c>
      <c r="I210" s="9" t="str">
        <f>IFERROR(INDEX('Price List Library'!$P$6:$P$437,MATCH(TRIM($G210)&amp;"|"&amp;TRIM($H210),'Price List Library'!$S$6:$S$437,0)),"")</f>
        <v>Priced</v>
      </c>
      <c r="J210" s="20">
        <f>IFERROR(INDEX('Price List Library'!$O$6:$O$437,MATCH(TRIM($G210)&amp;"|"&amp;TRIM($H210),'Price List Library'!$S$6:$S$437,0)),0)</f>
        <v>9.6800000000000015</v>
      </c>
      <c r="K210" s="13" t="s">
        <v>1688</v>
      </c>
    </row>
    <row r="211" spans="1:11" ht="15" customHeight="1" x14ac:dyDescent="0.25">
      <c r="A211" s="9">
        <v>206</v>
      </c>
      <c r="B211" s="10" t="s">
        <v>13</v>
      </c>
      <c r="C211" s="11" t="s">
        <v>116</v>
      </c>
      <c r="D211" s="12" t="s">
        <v>15</v>
      </c>
      <c r="E211" s="12" t="s">
        <v>190</v>
      </c>
      <c r="F211" s="12" t="s">
        <v>138</v>
      </c>
      <c r="G211" s="12" t="s">
        <v>1555</v>
      </c>
      <c r="H211" s="9" t="s">
        <v>18</v>
      </c>
      <c r="I211" s="9" t="str">
        <f>IFERROR(INDEX('Price List Library'!$P$6:$P$437,MATCH(TRIM($G211)&amp;"|"&amp;TRIM($H211),'Price List Library'!$S$6:$S$437,0)),"")</f>
        <v>Priced</v>
      </c>
      <c r="J211" s="20">
        <f>IFERROR(INDEX('Price List Library'!$O$6:$O$437,MATCH(TRIM($G211)&amp;"|"&amp;TRIM($H211),'Price List Library'!$S$6:$S$437,0)),0)</f>
        <v>9.120000000000001</v>
      </c>
      <c r="K211" s="13" t="s">
        <v>1689</v>
      </c>
    </row>
    <row r="212" spans="1:11" ht="15" customHeight="1" x14ac:dyDescent="0.25">
      <c r="A212" s="9">
        <v>207</v>
      </c>
      <c r="B212" s="10" t="s">
        <v>13</v>
      </c>
      <c r="C212" s="11" t="s">
        <v>116</v>
      </c>
      <c r="D212" s="12" t="s">
        <v>15</v>
      </c>
      <c r="E212" s="12" t="s">
        <v>190</v>
      </c>
      <c r="F212" s="12" t="s">
        <v>138</v>
      </c>
      <c r="G212" s="12" t="s">
        <v>1557</v>
      </c>
      <c r="H212" s="9" t="s">
        <v>18</v>
      </c>
      <c r="I212" s="9" t="str">
        <f>IFERROR(INDEX('Price List Library'!$P$6:$P$437,MATCH(TRIM($G212)&amp;"|"&amp;TRIM($H212),'Price List Library'!$S$6:$S$437,0)),"")</f>
        <v>Benchmark</v>
      </c>
      <c r="J212" s="20">
        <f>IFERROR(INDEX('Price List Library'!$O$6:$O$437,MATCH(TRIM($G212)&amp;"|"&amp;TRIM($H212),'Price List Library'!$S$6:$S$437,0)),0)</f>
        <v>8.8000000000000007</v>
      </c>
      <c r="K212" s="13" t="s">
        <v>1690</v>
      </c>
    </row>
    <row r="213" spans="1:11" ht="15" customHeight="1" x14ac:dyDescent="0.25">
      <c r="A213" s="9">
        <v>208</v>
      </c>
      <c r="B213" s="10" t="s">
        <v>13</v>
      </c>
      <c r="C213" s="11" t="s">
        <v>116</v>
      </c>
      <c r="D213" s="12" t="s">
        <v>15</v>
      </c>
      <c r="E213" s="12" t="s">
        <v>190</v>
      </c>
      <c r="F213" s="12" t="s">
        <v>141</v>
      </c>
      <c r="G213" s="12" t="s">
        <v>142</v>
      </c>
      <c r="H213" s="9" t="s">
        <v>18</v>
      </c>
      <c r="I213" s="9" t="str">
        <f>IFERROR(INDEX('Price List Library'!$P$6:$P$437,MATCH(TRIM($G213)&amp;"|"&amp;TRIM($H213),'Price List Library'!$S$6:$S$437,0)),"")</f>
        <v>Priced</v>
      </c>
      <c r="J213" s="20">
        <f>IFERROR(INDEX('Price List Library'!$O$6:$O$437,MATCH(TRIM($G213)&amp;"|"&amp;TRIM($H213),'Price List Library'!$S$6:$S$437,0)),0)</f>
        <v>4</v>
      </c>
      <c r="K213" s="13" t="s">
        <v>1691</v>
      </c>
    </row>
    <row r="214" spans="1:11" ht="15" customHeight="1" x14ac:dyDescent="0.25">
      <c r="A214" s="9">
        <v>209</v>
      </c>
      <c r="B214" s="10" t="s">
        <v>13</v>
      </c>
      <c r="C214" s="11" t="s">
        <v>116</v>
      </c>
      <c r="D214" s="12" t="s">
        <v>15</v>
      </c>
      <c r="E214" s="12" t="s">
        <v>202</v>
      </c>
      <c r="F214" s="12" t="s">
        <v>118</v>
      </c>
      <c r="G214" s="12" t="s">
        <v>119</v>
      </c>
      <c r="H214" s="9" t="s">
        <v>22</v>
      </c>
      <c r="I214" s="9" t="str">
        <f>IFERROR(INDEX('Price List Library'!$P$6:$P$437,MATCH(TRIM($G214)&amp;"|"&amp;TRIM($H214),'Price List Library'!$S$6:$S$437,0)),"")</f>
        <v>Priced</v>
      </c>
      <c r="J214" s="20">
        <f>IFERROR(INDEX('Price List Library'!$O$6:$O$437,MATCH(TRIM($G214)&amp;"|"&amp;TRIM($H214),'Price List Library'!$S$6:$S$437,0)),0)</f>
        <v>4.8</v>
      </c>
      <c r="K214" s="13" t="s">
        <v>1692</v>
      </c>
    </row>
    <row r="215" spans="1:11" ht="15" customHeight="1" x14ac:dyDescent="0.25">
      <c r="A215" s="9">
        <v>210</v>
      </c>
      <c r="B215" s="10" t="s">
        <v>13</v>
      </c>
      <c r="C215" s="11" t="s">
        <v>116</v>
      </c>
      <c r="D215" s="12" t="s">
        <v>15</v>
      </c>
      <c r="E215" s="12" t="s">
        <v>202</v>
      </c>
      <c r="F215" s="12" t="s">
        <v>118</v>
      </c>
      <c r="G215" s="12" t="s">
        <v>28</v>
      </c>
      <c r="H215" s="9" t="s">
        <v>22</v>
      </c>
      <c r="I215" s="9" t="str">
        <f>IFERROR(INDEX('Price List Library'!$P$6:$P$437,MATCH(TRIM($G215)&amp;"|"&amp;TRIM($H215),'Price List Library'!$S$6:$S$437,0)),"")</f>
        <v>Priced</v>
      </c>
      <c r="J215" s="20">
        <f>IFERROR(INDEX('Price List Library'!$O$6:$O$437,MATCH(TRIM($G215)&amp;"|"&amp;TRIM($H215),'Price List Library'!$S$6:$S$437,0)),0)</f>
        <v>4.8</v>
      </c>
      <c r="K215" s="13" t="s">
        <v>1693</v>
      </c>
    </row>
    <row r="216" spans="1:11" ht="15" customHeight="1" x14ac:dyDescent="0.25">
      <c r="A216" s="9">
        <v>211</v>
      </c>
      <c r="B216" s="10" t="s">
        <v>13</v>
      </c>
      <c r="C216" s="11" t="s">
        <v>116</v>
      </c>
      <c r="D216" s="12" t="s">
        <v>15</v>
      </c>
      <c r="E216" s="12" t="s">
        <v>202</v>
      </c>
      <c r="F216" s="12" t="s">
        <v>118</v>
      </c>
      <c r="G216" s="12" t="s">
        <v>1528</v>
      </c>
      <c r="H216" s="9" t="s">
        <v>22</v>
      </c>
      <c r="I216" s="9" t="str">
        <f>IFERROR(INDEX('Price List Library'!$P$6:$P$437,MATCH(TRIM($G216)&amp;"|"&amp;TRIM($H216),'Price List Library'!$S$6:$S$437,0)),"")</f>
        <v>Priced</v>
      </c>
      <c r="J216" s="20">
        <f>IFERROR(INDEX('Price List Library'!$O$6:$O$437,MATCH(TRIM($G216)&amp;"|"&amp;TRIM($H216),'Price List Library'!$S$6:$S$437,0)),0)</f>
        <v>3.5999999999999996</v>
      </c>
      <c r="K216" s="13" t="s">
        <v>1694</v>
      </c>
    </row>
    <row r="217" spans="1:11" ht="15" customHeight="1" x14ac:dyDescent="0.25">
      <c r="A217" s="9">
        <v>212</v>
      </c>
      <c r="B217" s="10" t="s">
        <v>13</v>
      </c>
      <c r="C217" s="11" t="s">
        <v>116</v>
      </c>
      <c r="D217" s="12" t="s">
        <v>15</v>
      </c>
      <c r="E217" s="12" t="s">
        <v>202</v>
      </c>
      <c r="F217" s="12" t="s">
        <v>127</v>
      </c>
      <c r="G217" s="12" t="s">
        <v>128</v>
      </c>
      <c r="H217" s="9" t="s">
        <v>22</v>
      </c>
      <c r="I217" s="9" t="str">
        <f>IFERROR(INDEX('Price List Library'!$P$6:$P$437,MATCH(TRIM($G217)&amp;"|"&amp;TRIM($H217),'Price List Library'!$S$6:$S$437,0)),"")</f>
        <v>Priced</v>
      </c>
      <c r="J217" s="20">
        <f>IFERROR(INDEX('Price List Library'!$O$6:$O$437,MATCH(TRIM($G217)&amp;"|"&amp;TRIM($H217),'Price List Library'!$S$6:$S$437,0)),0)</f>
        <v>92.40000000000002</v>
      </c>
      <c r="K217" s="13" t="s">
        <v>1695</v>
      </c>
    </row>
    <row r="218" spans="1:11" ht="15" customHeight="1" x14ac:dyDescent="0.25">
      <c r="A218" s="9">
        <v>213</v>
      </c>
      <c r="B218" s="10" t="s">
        <v>13</v>
      </c>
      <c r="C218" s="11" t="s">
        <v>116</v>
      </c>
      <c r="D218" s="12" t="s">
        <v>15</v>
      </c>
      <c r="E218" s="12" t="s">
        <v>202</v>
      </c>
      <c r="F218" s="12" t="s">
        <v>69</v>
      </c>
      <c r="G218" s="12" t="s">
        <v>70</v>
      </c>
      <c r="H218" s="9" t="s">
        <v>22</v>
      </c>
      <c r="I218" s="9" t="str">
        <f>IFERROR(INDEX('Price List Library'!$P$6:$P$437,MATCH(TRIM($G218)&amp;"|"&amp;TRIM($H218),'Price List Library'!$S$6:$S$437,0)),"")</f>
        <v>Priced</v>
      </c>
      <c r="J218" s="20">
        <f>IFERROR(INDEX('Price List Library'!$O$6:$O$437,MATCH(TRIM($G218)&amp;"|"&amp;TRIM($H218),'Price List Library'!$S$6:$S$437,0)),0)</f>
        <v>121.76</v>
      </c>
      <c r="K218" s="13" t="s">
        <v>1696</v>
      </c>
    </row>
    <row r="219" spans="1:11" ht="15" customHeight="1" x14ac:dyDescent="0.25">
      <c r="A219" s="9">
        <v>214</v>
      </c>
      <c r="B219" s="10" t="s">
        <v>13</v>
      </c>
      <c r="C219" s="11" t="s">
        <v>116</v>
      </c>
      <c r="D219" s="12" t="s">
        <v>15</v>
      </c>
      <c r="E219" s="12" t="s">
        <v>202</v>
      </c>
      <c r="F219" s="12" t="s">
        <v>69</v>
      </c>
      <c r="G219" s="12" t="s">
        <v>1480</v>
      </c>
      <c r="H219" s="9" t="s">
        <v>22</v>
      </c>
      <c r="I219" s="9" t="str">
        <f>IFERROR(INDEX('Price List Library'!$P$6:$P$437,MATCH(TRIM($G219)&amp;"|"&amp;TRIM($H219),'Price List Library'!$S$6:$S$437,0)),"")</f>
        <v>Priced</v>
      </c>
      <c r="J219" s="20">
        <f>IFERROR(INDEX('Price List Library'!$O$6:$O$437,MATCH(TRIM($G219)&amp;"|"&amp;TRIM($H219),'Price List Library'!$S$6:$S$437,0)),0)</f>
        <v>119.36</v>
      </c>
      <c r="K219" s="13" t="s">
        <v>1697</v>
      </c>
    </row>
    <row r="220" spans="1:11" ht="15" customHeight="1" x14ac:dyDescent="0.25">
      <c r="A220" s="9">
        <v>215</v>
      </c>
      <c r="B220" s="10" t="s">
        <v>13</v>
      </c>
      <c r="C220" s="11" t="s">
        <v>116</v>
      </c>
      <c r="D220" s="12" t="s">
        <v>15</v>
      </c>
      <c r="E220" s="12" t="s">
        <v>202</v>
      </c>
      <c r="F220" s="12" t="s">
        <v>69</v>
      </c>
      <c r="G220" s="12" t="s">
        <v>1482</v>
      </c>
      <c r="H220" s="9" t="s">
        <v>22</v>
      </c>
      <c r="I220" s="9" t="str">
        <f>IFERROR(INDEX('Price List Library'!$P$6:$P$437,MATCH(TRIM($G220)&amp;"|"&amp;TRIM($H220),'Price List Library'!$S$6:$S$437,0)),"")</f>
        <v>Benchmark</v>
      </c>
      <c r="J220" s="20">
        <f>IFERROR(INDEX('Price List Library'!$O$6:$O$437,MATCH(TRIM($G220)&amp;"|"&amp;TRIM($H220),'Price List Library'!$S$6:$S$437,0)),0)</f>
        <v>108.16</v>
      </c>
      <c r="K220" s="13" t="s">
        <v>1698</v>
      </c>
    </row>
    <row r="221" spans="1:11" ht="15" customHeight="1" x14ac:dyDescent="0.25">
      <c r="A221" s="9">
        <v>216</v>
      </c>
      <c r="B221" s="10" t="s">
        <v>13</v>
      </c>
      <c r="C221" s="11" t="s">
        <v>116</v>
      </c>
      <c r="D221" s="12" t="s">
        <v>15</v>
      </c>
      <c r="E221" s="12" t="s">
        <v>202</v>
      </c>
      <c r="F221" s="12" t="s">
        <v>69</v>
      </c>
      <c r="G221" s="12" t="s">
        <v>1484</v>
      </c>
      <c r="H221" s="9" t="s">
        <v>22</v>
      </c>
      <c r="I221" s="9" t="str">
        <f>IFERROR(INDEX('Price List Library'!$P$6:$P$437,MATCH(TRIM($G221)&amp;"|"&amp;TRIM($H221),'Price List Library'!$S$6:$S$437,0)),"")</f>
        <v>Benchmark</v>
      </c>
      <c r="J221" s="20">
        <f>IFERROR(INDEX('Price List Library'!$O$6:$O$437,MATCH(TRIM($G221)&amp;"|"&amp;TRIM($H221),'Price List Library'!$S$6:$S$437,0)),0)</f>
        <v>114.96000000000001</v>
      </c>
      <c r="K221" s="13" t="s">
        <v>1699</v>
      </c>
    </row>
    <row r="222" spans="1:11" ht="15" customHeight="1" x14ac:dyDescent="0.25">
      <c r="A222" s="9">
        <v>217</v>
      </c>
      <c r="B222" s="10" t="s">
        <v>13</v>
      </c>
      <c r="C222" s="11" t="s">
        <v>116</v>
      </c>
      <c r="D222" s="12" t="s">
        <v>15</v>
      </c>
      <c r="E222" s="12" t="s">
        <v>202</v>
      </c>
      <c r="F222" s="12" t="s">
        <v>131</v>
      </c>
      <c r="G222" s="12" t="s">
        <v>150</v>
      </c>
      <c r="H222" s="9" t="s">
        <v>18</v>
      </c>
      <c r="I222" s="9" t="str">
        <f>IFERROR(INDEX('Price List Library'!$P$6:$P$437,MATCH(TRIM($G222)&amp;"|"&amp;TRIM($H222),'Price List Library'!$S$6:$S$437,0)),"")</f>
        <v>Benchmark</v>
      </c>
      <c r="J222" s="20">
        <f>IFERROR(INDEX('Price List Library'!$O$6:$O$437,MATCH(TRIM($G222)&amp;"|"&amp;TRIM($H222),'Price List Library'!$S$6:$S$437,0)),0)</f>
        <v>18.64</v>
      </c>
      <c r="K222" s="13" t="s">
        <v>1700</v>
      </c>
    </row>
    <row r="223" spans="1:11" ht="15" customHeight="1" x14ac:dyDescent="0.25">
      <c r="A223" s="9">
        <v>218</v>
      </c>
      <c r="B223" s="10" t="s">
        <v>13</v>
      </c>
      <c r="C223" s="11" t="s">
        <v>116</v>
      </c>
      <c r="D223" s="12" t="s">
        <v>15</v>
      </c>
      <c r="E223" s="12" t="s">
        <v>202</v>
      </c>
      <c r="F223" s="12" t="s">
        <v>131</v>
      </c>
      <c r="G223" s="12" t="s">
        <v>1541</v>
      </c>
      <c r="H223" s="9" t="s">
        <v>18</v>
      </c>
      <c r="I223" s="9" t="str">
        <f>IFERROR(INDEX('Price List Library'!$P$6:$P$437,MATCH(TRIM($G223)&amp;"|"&amp;TRIM($H223),'Price List Library'!$S$6:$S$437,0)),"")</f>
        <v>Benchmark</v>
      </c>
      <c r="J223" s="20">
        <f>IFERROR(INDEX('Price List Library'!$O$6:$O$437,MATCH(TRIM($G223)&amp;"|"&amp;TRIM($H223),'Price List Library'!$S$6:$S$437,0)),0)</f>
        <v>12.8</v>
      </c>
      <c r="K223" s="13" t="s">
        <v>1701</v>
      </c>
    </row>
    <row r="224" spans="1:11" ht="15" customHeight="1" x14ac:dyDescent="0.25">
      <c r="A224" s="9">
        <v>219</v>
      </c>
      <c r="B224" s="10" t="s">
        <v>13</v>
      </c>
      <c r="C224" s="11" t="s">
        <v>116</v>
      </c>
      <c r="D224" s="12" t="s">
        <v>15</v>
      </c>
      <c r="E224" s="12" t="s">
        <v>202</v>
      </c>
      <c r="F224" s="12" t="s">
        <v>72</v>
      </c>
      <c r="G224" s="12" t="s">
        <v>73</v>
      </c>
      <c r="H224" s="9" t="s">
        <v>53</v>
      </c>
      <c r="I224" s="9" t="str">
        <f>IFERROR(INDEX('Price List Library'!$P$6:$P$437,MATCH(TRIM($G224)&amp;"|"&amp;TRIM($H224),'Price List Library'!$S$6:$S$437,0)),"")</f>
        <v>Priced</v>
      </c>
      <c r="J224" s="20">
        <f>IFERROR(INDEX('Price List Library'!$O$6:$O$437,MATCH(TRIM($G224)&amp;"|"&amp;TRIM($H224),'Price List Library'!$S$6:$S$437,0)),0)</f>
        <v>1.0176000000000001</v>
      </c>
      <c r="K224" s="13" t="s">
        <v>1702</v>
      </c>
    </row>
    <row r="225" spans="1:11" ht="15" customHeight="1" x14ac:dyDescent="0.25">
      <c r="A225" s="9">
        <v>220</v>
      </c>
      <c r="B225" s="10" t="s">
        <v>13</v>
      </c>
      <c r="C225" s="11" t="s">
        <v>116</v>
      </c>
      <c r="D225" s="12" t="s">
        <v>15</v>
      </c>
      <c r="E225" s="12" t="s">
        <v>202</v>
      </c>
      <c r="F225" s="12" t="s">
        <v>72</v>
      </c>
      <c r="G225" s="12" t="s">
        <v>1487</v>
      </c>
      <c r="H225" s="9" t="s">
        <v>53</v>
      </c>
      <c r="I225" s="9" t="str">
        <f>IFERROR(INDEX('Price List Library'!$P$6:$P$437,MATCH(TRIM($G225)&amp;"|"&amp;TRIM($H225),'Price List Library'!$S$6:$S$437,0)),"")</f>
        <v>Priced</v>
      </c>
      <c r="J225" s="20">
        <f>IFERROR(INDEX('Price List Library'!$O$6:$O$437,MATCH(TRIM($G225)&amp;"|"&amp;TRIM($H225),'Price List Library'!$S$6:$S$437,0)),0)</f>
        <v>0.98320000000000007</v>
      </c>
      <c r="K225" s="13" t="s">
        <v>1703</v>
      </c>
    </row>
    <row r="226" spans="1:11" ht="15" customHeight="1" x14ac:dyDescent="0.25">
      <c r="A226" s="9">
        <v>221</v>
      </c>
      <c r="B226" s="10" t="s">
        <v>13</v>
      </c>
      <c r="C226" s="11" t="s">
        <v>116</v>
      </c>
      <c r="D226" s="12" t="s">
        <v>15</v>
      </c>
      <c r="E226" s="12" t="s">
        <v>202</v>
      </c>
      <c r="F226" s="12" t="s">
        <v>72</v>
      </c>
      <c r="G226" s="12" t="s">
        <v>1489</v>
      </c>
      <c r="H226" s="9" t="s">
        <v>53</v>
      </c>
      <c r="I226" s="9" t="str">
        <f>IFERROR(INDEX('Price List Library'!$P$6:$P$437,MATCH(TRIM($G226)&amp;"|"&amp;TRIM($H226),'Price List Library'!$S$6:$S$437,0)),"")</f>
        <v>Priced</v>
      </c>
      <c r="J226" s="20">
        <f>IFERROR(INDEX('Price List Library'!$O$6:$O$437,MATCH(TRIM($G226)&amp;"|"&amp;TRIM($H226),'Price List Library'!$S$6:$S$437,0)),0)</f>
        <v>0.96000000000000008</v>
      </c>
      <c r="K226" s="13" t="s">
        <v>1704</v>
      </c>
    </row>
    <row r="227" spans="1:11" ht="15" customHeight="1" x14ac:dyDescent="0.25">
      <c r="A227" s="9">
        <v>222</v>
      </c>
      <c r="B227" s="10" t="s">
        <v>13</v>
      </c>
      <c r="C227" s="11" t="s">
        <v>116</v>
      </c>
      <c r="D227" s="12" t="s">
        <v>15</v>
      </c>
      <c r="E227" s="12" t="s">
        <v>202</v>
      </c>
      <c r="F227" s="12" t="s">
        <v>72</v>
      </c>
      <c r="G227" s="12" t="s">
        <v>1491</v>
      </c>
      <c r="H227" s="9" t="s">
        <v>53</v>
      </c>
      <c r="I227" s="9" t="str">
        <f>IFERROR(INDEX('Price List Library'!$P$6:$P$437,MATCH(TRIM($G227)&amp;"|"&amp;TRIM($H227),'Price List Library'!$S$6:$S$437,0)),"")</f>
        <v>Priced</v>
      </c>
      <c r="J227" s="20">
        <f>IFERROR(INDEX('Price List Library'!$O$6:$O$437,MATCH(TRIM($G227)&amp;"|"&amp;TRIM($H227),'Price List Library'!$S$6:$S$437,0)),0)</f>
        <v>0.94880000000000009</v>
      </c>
      <c r="K227" s="13" t="s">
        <v>1705</v>
      </c>
    </row>
    <row r="228" spans="1:11" ht="15" customHeight="1" x14ac:dyDescent="0.25">
      <c r="A228" s="9">
        <v>223</v>
      </c>
      <c r="B228" s="10" t="s">
        <v>13</v>
      </c>
      <c r="C228" s="11" t="s">
        <v>116</v>
      </c>
      <c r="D228" s="12" t="s">
        <v>15</v>
      </c>
      <c r="E228" s="12" t="s">
        <v>202</v>
      </c>
      <c r="F228" s="12" t="s">
        <v>72</v>
      </c>
      <c r="G228" s="12" t="s">
        <v>1493</v>
      </c>
      <c r="H228" s="9" t="s">
        <v>53</v>
      </c>
      <c r="I228" s="9" t="str">
        <f>IFERROR(INDEX('Price List Library'!$P$6:$P$437,MATCH(TRIM($G228)&amp;"|"&amp;TRIM($H228),'Price List Library'!$S$6:$S$437,0)),"")</f>
        <v>Priced</v>
      </c>
      <c r="J228" s="20">
        <f>IFERROR(INDEX('Price List Library'!$O$6:$O$437,MATCH(TRIM($G228)&amp;"|"&amp;TRIM($H228),'Price List Library'!$S$6:$S$437,0)),0)</f>
        <v>0.92560000000000009</v>
      </c>
      <c r="K228" s="13" t="s">
        <v>1706</v>
      </c>
    </row>
    <row r="229" spans="1:11" ht="15" customHeight="1" x14ac:dyDescent="0.25">
      <c r="A229" s="9">
        <v>224</v>
      </c>
      <c r="B229" s="10" t="s">
        <v>13</v>
      </c>
      <c r="C229" s="11" t="s">
        <v>116</v>
      </c>
      <c r="D229" s="12" t="s">
        <v>15</v>
      </c>
      <c r="E229" s="12" t="s">
        <v>202</v>
      </c>
      <c r="F229" s="12" t="s">
        <v>72</v>
      </c>
      <c r="G229" s="12" t="s">
        <v>1495</v>
      </c>
      <c r="H229" s="9" t="s">
        <v>53</v>
      </c>
      <c r="I229" s="9" t="str">
        <f>IFERROR(INDEX('Price List Library'!$P$6:$P$437,MATCH(TRIM($G229)&amp;"|"&amp;TRIM($H229),'Price List Library'!$S$6:$S$437,0)),"")</f>
        <v>Priced</v>
      </c>
      <c r="J229" s="20">
        <f>IFERROR(INDEX('Price List Library'!$O$6:$O$437,MATCH(TRIM($G229)&amp;"|"&amp;TRIM($H229),'Price List Library'!$S$6:$S$437,0)),0)</f>
        <v>0.90239999999999998</v>
      </c>
      <c r="K229" s="13" t="s">
        <v>1707</v>
      </c>
    </row>
    <row r="230" spans="1:11" ht="15" customHeight="1" x14ac:dyDescent="0.25">
      <c r="A230" s="9">
        <v>225</v>
      </c>
      <c r="B230" s="10" t="s">
        <v>13</v>
      </c>
      <c r="C230" s="11" t="s">
        <v>116</v>
      </c>
      <c r="D230" s="12" t="s">
        <v>15</v>
      </c>
      <c r="E230" s="12" t="s">
        <v>202</v>
      </c>
      <c r="F230" s="12" t="s">
        <v>72</v>
      </c>
      <c r="G230" s="12" t="s">
        <v>1497</v>
      </c>
      <c r="H230" s="9" t="s">
        <v>53</v>
      </c>
      <c r="I230" s="9" t="str">
        <f>IFERROR(INDEX('Price List Library'!$P$6:$P$437,MATCH(TRIM($G230)&amp;"|"&amp;TRIM($H230),'Price List Library'!$S$6:$S$437,0)),"")</f>
        <v>Priced</v>
      </c>
      <c r="J230" s="20">
        <f>IFERROR(INDEX('Price List Library'!$O$6:$O$437,MATCH(TRIM($G230)&amp;"|"&amp;TRIM($H230),'Price List Library'!$S$6:$S$437,0)),0)</f>
        <v>0.89119999999999999</v>
      </c>
      <c r="K230" s="13" t="s">
        <v>1708</v>
      </c>
    </row>
    <row r="231" spans="1:11" ht="15" customHeight="1" x14ac:dyDescent="0.25">
      <c r="A231" s="9">
        <v>226</v>
      </c>
      <c r="B231" s="10" t="s">
        <v>13</v>
      </c>
      <c r="C231" s="11" t="s">
        <v>116</v>
      </c>
      <c r="D231" s="12" t="s">
        <v>15</v>
      </c>
      <c r="E231" s="12" t="s">
        <v>202</v>
      </c>
      <c r="F231" s="12" t="s">
        <v>72</v>
      </c>
      <c r="G231" s="12" t="s">
        <v>1499</v>
      </c>
      <c r="H231" s="9" t="s">
        <v>53</v>
      </c>
      <c r="I231" s="9" t="str">
        <f>IFERROR(INDEX('Price List Library'!$P$6:$P$437,MATCH(TRIM($G231)&amp;"|"&amp;TRIM($H231),'Price List Library'!$S$6:$S$437,0)),"")</f>
        <v>Priced</v>
      </c>
      <c r="J231" s="20">
        <f>IFERROR(INDEX('Price List Library'!$O$6:$O$437,MATCH(TRIM($G231)&amp;"|"&amp;TRIM($H231),'Price List Library'!$S$6:$S$437,0)),0)</f>
        <v>1.0064</v>
      </c>
      <c r="K231" s="13" t="s">
        <v>1709</v>
      </c>
    </row>
    <row r="232" spans="1:11" ht="15" customHeight="1" x14ac:dyDescent="0.25">
      <c r="A232" s="9">
        <v>227</v>
      </c>
      <c r="B232" s="10" t="s">
        <v>13</v>
      </c>
      <c r="C232" s="11" t="s">
        <v>116</v>
      </c>
      <c r="D232" s="12" t="s">
        <v>15</v>
      </c>
      <c r="E232" s="12" t="s">
        <v>202</v>
      </c>
      <c r="F232" s="12" t="s">
        <v>72</v>
      </c>
      <c r="G232" s="12" t="s">
        <v>1501</v>
      </c>
      <c r="H232" s="9" t="s">
        <v>53</v>
      </c>
      <c r="I232" s="9" t="str">
        <f>IFERROR(INDEX('Price List Library'!$P$6:$P$437,MATCH(TRIM($G232)&amp;"|"&amp;TRIM($H232),'Price List Library'!$S$6:$S$437,0)),"")</f>
        <v>Benchmark</v>
      </c>
      <c r="J232" s="20">
        <f>IFERROR(INDEX('Price List Library'!$O$6:$O$437,MATCH(TRIM($G232)&amp;"|"&amp;TRIM($H232),'Price List Library'!$S$6:$S$437,0)),0)</f>
        <v>1.0296000000000001</v>
      </c>
      <c r="K232" s="13" t="s">
        <v>1710</v>
      </c>
    </row>
    <row r="233" spans="1:11" ht="15" customHeight="1" x14ac:dyDescent="0.25">
      <c r="A233" s="9">
        <v>228</v>
      </c>
      <c r="B233" s="10" t="s">
        <v>13</v>
      </c>
      <c r="C233" s="11" t="s">
        <v>116</v>
      </c>
      <c r="D233" s="12" t="s">
        <v>15</v>
      </c>
      <c r="E233" s="12" t="s">
        <v>202</v>
      </c>
      <c r="F233" s="12" t="s">
        <v>75</v>
      </c>
      <c r="G233" s="12" t="s">
        <v>76</v>
      </c>
      <c r="H233" s="9" t="s">
        <v>53</v>
      </c>
      <c r="I233" s="9" t="str">
        <f>IFERROR(INDEX('Price List Library'!$P$6:$P$437,MATCH(TRIM($G233)&amp;"|"&amp;TRIM($H233),'Price List Library'!$S$6:$S$437,0)),"")</f>
        <v>Priced</v>
      </c>
      <c r="J233" s="20">
        <f>IFERROR(INDEX('Price List Library'!$O$6:$O$437,MATCH(TRIM($G233)&amp;"|"&amp;TRIM($H233),'Price List Library'!$S$6:$S$437,0)),0)</f>
        <v>1.4040000000000001</v>
      </c>
      <c r="K233" s="13" t="s">
        <v>1711</v>
      </c>
    </row>
    <row r="234" spans="1:11" ht="15" customHeight="1" x14ac:dyDescent="0.25">
      <c r="A234" s="9">
        <v>229</v>
      </c>
      <c r="B234" s="10" t="s">
        <v>13</v>
      </c>
      <c r="C234" s="11" t="s">
        <v>116</v>
      </c>
      <c r="D234" s="12" t="s">
        <v>15</v>
      </c>
      <c r="E234" s="12" t="s">
        <v>202</v>
      </c>
      <c r="F234" s="12" t="s">
        <v>135</v>
      </c>
      <c r="G234" s="12" t="s">
        <v>136</v>
      </c>
      <c r="H234" s="9" t="s">
        <v>61</v>
      </c>
      <c r="I234" s="9" t="str">
        <f>IFERROR(INDEX('Price List Library'!$P$6:$P$437,MATCH(TRIM($G234)&amp;"|"&amp;TRIM($H234),'Price List Library'!$S$6:$S$437,0)),"")</f>
        <v>Priced</v>
      </c>
      <c r="J234" s="20">
        <f>IFERROR(INDEX('Price List Library'!$O$6:$O$437,MATCH(TRIM($G234)&amp;"|"&amp;TRIM($H234),'Price List Library'!$S$6:$S$437,0)),0)</f>
        <v>6.28</v>
      </c>
      <c r="K234" s="13" t="s">
        <v>1712</v>
      </c>
    </row>
    <row r="235" spans="1:11" ht="15" customHeight="1" x14ac:dyDescent="0.25">
      <c r="A235" s="9">
        <v>230</v>
      </c>
      <c r="B235" s="10" t="s">
        <v>13</v>
      </c>
      <c r="C235" s="11" t="s">
        <v>116</v>
      </c>
      <c r="D235" s="12" t="s">
        <v>15</v>
      </c>
      <c r="E235" s="12" t="s">
        <v>202</v>
      </c>
      <c r="F235" s="12" t="s">
        <v>138</v>
      </c>
      <c r="G235" s="12" t="s">
        <v>139</v>
      </c>
      <c r="H235" s="9" t="s">
        <v>18</v>
      </c>
      <c r="I235" s="9" t="str">
        <f>IFERROR(INDEX('Price List Library'!$P$6:$P$437,MATCH(TRIM($G235)&amp;"|"&amp;TRIM($H235),'Price List Library'!$S$6:$S$437,0)),"")</f>
        <v>Priced</v>
      </c>
      <c r="J235" s="20">
        <f>IFERROR(INDEX('Price List Library'!$O$6:$O$437,MATCH(TRIM($G235)&amp;"|"&amp;TRIM($H235),'Price List Library'!$S$6:$S$437,0)),0)</f>
        <v>9.6800000000000015</v>
      </c>
      <c r="K235" s="13" t="s">
        <v>1713</v>
      </c>
    </row>
    <row r="236" spans="1:11" ht="15" customHeight="1" x14ac:dyDescent="0.25">
      <c r="A236" s="9">
        <v>231</v>
      </c>
      <c r="B236" s="10" t="s">
        <v>13</v>
      </c>
      <c r="C236" s="11" t="s">
        <v>116</v>
      </c>
      <c r="D236" s="12" t="s">
        <v>15</v>
      </c>
      <c r="E236" s="12" t="s">
        <v>202</v>
      </c>
      <c r="F236" s="12" t="s">
        <v>138</v>
      </c>
      <c r="G236" s="12" t="s">
        <v>1555</v>
      </c>
      <c r="H236" s="9" t="s">
        <v>18</v>
      </c>
      <c r="I236" s="9" t="str">
        <f>IFERROR(INDEX('Price List Library'!$P$6:$P$437,MATCH(TRIM($G236)&amp;"|"&amp;TRIM($H236),'Price List Library'!$S$6:$S$437,0)),"")</f>
        <v>Priced</v>
      </c>
      <c r="J236" s="20">
        <f>IFERROR(INDEX('Price List Library'!$O$6:$O$437,MATCH(TRIM($G236)&amp;"|"&amp;TRIM($H236),'Price List Library'!$S$6:$S$437,0)),0)</f>
        <v>9.120000000000001</v>
      </c>
      <c r="K236" s="13" t="s">
        <v>1714</v>
      </c>
    </row>
    <row r="237" spans="1:11" ht="15" customHeight="1" x14ac:dyDescent="0.25">
      <c r="A237" s="9">
        <v>232</v>
      </c>
      <c r="B237" s="10" t="s">
        <v>13</v>
      </c>
      <c r="C237" s="11" t="s">
        <v>116</v>
      </c>
      <c r="D237" s="12" t="s">
        <v>15</v>
      </c>
      <c r="E237" s="12" t="s">
        <v>202</v>
      </c>
      <c r="F237" s="12" t="s">
        <v>138</v>
      </c>
      <c r="G237" s="12" t="s">
        <v>1557</v>
      </c>
      <c r="H237" s="9" t="s">
        <v>18</v>
      </c>
      <c r="I237" s="9" t="str">
        <f>IFERROR(INDEX('Price List Library'!$P$6:$P$437,MATCH(TRIM($G237)&amp;"|"&amp;TRIM($H237),'Price List Library'!$S$6:$S$437,0)),"")</f>
        <v>Benchmark</v>
      </c>
      <c r="J237" s="20">
        <f>IFERROR(INDEX('Price List Library'!$O$6:$O$437,MATCH(TRIM($G237)&amp;"|"&amp;TRIM($H237),'Price List Library'!$S$6:$S$437,0)),0)</f>
        <v>8.8000000000000007</v>
      </c>
      <c r="K237" s="13" t="s">
        <v>1715</v>
      </c>
    </row>
    <row r="238" spans="1:11" ht="15" customHeight="1" x14ac:dyDescent="0.25">
      <c r="A238" s="9">
        <v>233</v>
      </c>
      <c r="B238" s="10" t="s">
        <v>13</v>
      </c>
      <c r="C238" s="11" t="s">
        <v>41</v>
      </c>
      <c r="D238" s="12" t="s">
        <v>15</v>
      </c>
      <c r="E238" s="12" t="s">
        <v>211</v>
      </c>
      <c r="F238" s="12" t="s">
        <v>118</v>
      </c>
      <c r="G238" s="12" t="s">
        <v>119</v>
      </c>
      <c r="H238" s="9" t="s">
        <v>22</v>
      </c>
      <c r="I238" s="9" t="str">
        <f>IFERROR(INDEX('Price List Library'!$P$6:$P$437,MATCH(TRIM($G238)&amp;"|"&amp;TRIM($H238),'Price List Library'!$S$6:$S$437,0)),"")</f>
        <v>Priced</v>
      </c>
      <c r="J238" s="20">
        <f>IFERROR(INDEX('Price List Library'!$O$6:$O$437,MATCH(TRIM($G238)&amp;"|"&amp;TRIM($H238),'Price List Library'!$S$6:$S$437,0)),0)</f>
        <v>4.8</v>
      </c>
      <c r="K238" s="13" t="s">
        <v>1716</v>
      </c>
    </row>
    <row r="239" spans="1:11" ht="15" customHeight="1" x14ac:dyDescent="0.25">
      <c r="A239" s="9">
        <v>234</v>
      </c>
      <c r="B239" s="10" t="s">
        <v>13</v>
      </c>
      <c r="C239" s="11" t="s">
        <v>41</v>
      </c>
      <c r="D239" s="12" t="s">
        <v>15</v>
      </c>
      <c r="E239" s="12" t="s">
        <v>211</v>
      </c>
      <c r="F239" s="12" t="s">
        <v>118</v>
      </c>
      <c r="G239" s="12" t="s">
        <v>28</v>
      </c>
      <c r="H239" s="9" t="s">
        <v>22</v>
      </c>
      <c r="I239" s="9" t="str">
        <f>IFERROR(INDEX('Price List Library'!$P$6:$P$437,MATCH(TRIM($G239)&amp;"|"&amp;TRIM($H239),'Price List Library'!$S$6:$S$437,0)),"")</f>
        <v>Priced</v>
      </c>
      <c r="J239" s="20">
        <f>IFERROR(INDEX('Price List Library'!$O$6:$O$437,MATCH(TRIM($G239)&amp;"|"&amp;TRIM($H239),'Price List Library'!$S$6:$S$437,0)),0)</f>
        <v>4.8</v>
      </c>
      <c r="K239" s="13" t="s">
        <v>1717</v>
      </c>
    </row>
    <row r="240" spans="1:11" ht="15" customHeight="1" x14ac:dyDescent="0.25">
      <c r="A240" s="9">
        <v>235</v>
      </c>
      <c r="B240" s="10" t="s">
        <v>13</v>
      </c>
      <c r="C240" s="11" t="s">
        <v>41</v>
      </c>
      <c r="D240" s="12" t="s">
        <v>15</v>
      </c>
      <c r="E240" s="12" t="s">
        <v>211</v>
      </c>
      <c r="F240" s="12" t="s">
        <v>118</v>
      </c>
      <c r="G240" s="12" t="s">
        <v>1528</v>
      </c>
      <c r="H240" s="9" t="s">
        <v>22</v>
      </c>
      <c r="I240" s="9" t="str">
        <f>IFERROR(INDEX('Price List Library'!$P$6:$P$437,MATCH(TRIM($G240)&amp;"|"&amp;TRIM($H240),'Price List Library'!$S$6:$S$437,0)),"")</f>
        <v>Priced</v>
      </c>
      <c r="J240" s="20">
        <f>IFERROR(INDEX('Price List Library'!$O$6:$O$437,MATCH(TRIM($G240)&amp;"|"&amp;TRIM($H240),'Price List Library'!$S$6:$S$437,0)),0)</f>
        <v>3.5999999999999996</v>
      </c>
      <c r="K240" s="13" t="s">
        <v>1718</v>
      </c>
    </row>
    <row r="241" spans="1:11" ht="15" customHeight="1" x14ac:dyDescent="0.25">
      <c r="A241" s="9">
        <v>236</v>
      </c>
      <c r="B241" s="10" t="s">
        <v>13</v>
      </c>
      <c r="C241" s="11" t="s">
        <v>41</v>
      </c>
      <c r="D241" s="12" t="s">
        <v>15</v>
      </c>
      <c r="E241" s="12" t="s">
        <v>211</v>
      </c>
      <c r="F241" s="12" t="s">
        <v>69</v>
      </c>
      <c r="G241" s="12" t="s">
        <v>70</v>
      </c>
      <c r="H241" s="9" t="s">
        <v>22</v>
      </c>
      <c r="I241" s="9" t="str">
        <f>IFERROR(INDEX('Price List Library'!$P$6:$P$437,MATCH(TRIM($G241)&amp;"|"&amp;TRIM($H241),'Price List Library'!$S$6:$S$437,0)),"")</f>
        <v>Priced</v>
      </c>
      <c r="J241" s="20">
        <f>IFERROR(INDEX('Price List Library'!$O$6:$O$437,MATCH(TRIM($G241)&amp;"|"&amp;TRIM($H241),'Price List Library'!$S$6:$S$437,0)),0)</f>
        <v>121.76</v>
      </c>
      <c r="K241" s="13" t="s">
        <v>1719</v>
      </c>
    </row>
    <row r="242" spans="1:11" ht="15" customHeight="1" x14ac:dyDescent="0.25">
      <c r="A242" s="9">
        <v>237</v>
      </c>
      <c r="B242" s="10" t="s">
        <v>13</v>
      </c>
      <c r="C242" s="11" t="s">
        <v>41</v>
      </c>
      <c r="D242" s="12" t="s">
        <v>15</v>
      </c>
      <c r="E242" s="12" t="s">
        <v>211</v>
      </c>
      <c r="F242" s="12" t="s">
        <v>69</v>
      </c>
      <c r="G242" s="12" t="s">
        <v>1480</v>
      </c>
      <c r="H242" s="9" t="s">
        <v>22</v>
      </c>
      <c r="I242" s="9" t="str">
        <f>IFERROR(INDEX('Price List Library'!$P$6:$P$437,MATCH(TRIM($G242)&amp;"|"&amp;TRIM($H242),'Price List Library'!$S$6:$S$437,0)),"")</f>
        <v>Priced</v>
      </c>
      <c r="J242" s="20">
        <f>IFERROR(INDEX('Price List Library'!$O$6:$O$437,MATCH(TRIM($G242)&amp;"|"&amp;TRIM($H242),'Price List Library'!$S$6:$S$437,0)),0)</f>
        <v>119.36</v>
      </c>
      <c r="K242" s="13" t="s">
        <v>1720</v>
      </c>
    </row>
    <row r="243" spans="1:11" ht="15" customHeight="1" x14ac:dyDescent="0.25">
      <c r="A243" s="9">
        <v>238</v>
      </c>
      <c r="B243" s="10" t="s">
        <v>13</v>
      </c>
      <c r="C243" s="11" t="s">
        <v>41</v>
      </c>
      <c r="D243" s="12" t="s">
        <v>15</v>
      </c>
      <c r="E243" s="12" t="s">
        <v>211</v>
      </c>
      <c r="F243" s="12" t="s">
        <v>69</v>
      </c>
      <c r="G243" s="12" t="s">
        <v>1482</v>
      </c>
      <c r="H243" s="9" t="s">
        <v>22</v>
      </c>
      <c r="I243" s="9" t="str">
        <f>IFERROR(INDEX('Price List Library'!$P$6:$P$437,MATCH(TRIM($G243)&amp;"|"&amp;TRIM($H243),'Price List Library'!$S$6:$S$437,0)),"")</f>
        <v>Benchmark</v>
      </c>
      <c r="J243" s="20">
        <f>IFERROR(INDEX('Price List Library'!$O$6:$O$437,MATCH(TRIM($G243)&amp;"|"&amp;TRIM($H243),'Price List Library'!$S$6:$S$437,0)),0)</f>
        <v>108.16</v>
      </c>
      <c r="K243" s="13" t="s">
        <v>1721</v>
      </c>
    </row>
    <row r="244" spans="1:11" ht="15" customHeight="1" x14ac:dyDescent="0.25">
      <c r="A244" s="9">
        <v>239</v>
      </c>
      <c r="B244" s="10" t="s">
        <v>13</v>
      </c>
      <c r="C244" s="11" t="s">
        <v>41</v>
      </c>
      <c r="D244" s="12" t="s">
        <v>15</v>
      </c>
      <c r="E244" s="12" t="s">
        <v>211</v>
      </c>
      <c r="F244" s="12" t="s">
        <v>69</v>
      </c>
      <c r="G244" s="12" t="s">
        <v>1484</v>
      </c>
      <c r="H244" s="9" t="s">
        <v>22</v>
      </c>
      <c r="I244" s="9" t="str">
        <f>IFERROR(INDEX('Price List Library'!$P$6:$P$437,MATCH(TRIM($G244)&amp;"|"&amp;TRIM($H244),'Price List Library'!$S$6:$S$437,0)),"")</f>
        <v>Benchmark</v>
      </c>
      <c r="J244" s="20">
        <f>IFERROR(INDEX('Price List Library'!$O$6:$O$437,MATCH(TRIM($G244)&amp;"|"&amp;TRIM($H244),'Price List Library'!$S$6:$S$437,0)),0)</f>
        <v>114.96000000000001</v>
      </c>
      <c r="K244" s="13" t="s">
        <v>1722</v>
      </c>
    </row>
    <row r="245" spans="1:11" ht="15" customHeight="1" x14ac:dyDescent="0.25">
      <c r="A245" s="9">
        <v>240</v>
      </c>
      <c r="B245" s="10" t="s">
        <v>13</v>
      </c>
      <c r="C245" s="11" t="s">
        <v>41</v>
      </c>
      <c r="D245" s="12" t="s">
        <v>15</v>
      </c>
      <c r="E245" s="12" t="s">
        <v>211</v>
      </c>
      <c r="F245" s="12" t="s">
        <v>131</v>
      </c>
      <c r="G245" s="12" t="s">
        <v>150</v>
      </c>
      <c r="H245" s="9" t="s">
        <v>18</v>
      </c>
      <c r="I245" s="9" t="str">
        <f>IFERROR(INDEX('Price List Library'!$P$6:$P$437,MATCH(TRIM($G245)&amp;"|"&amp;TRIM($H245),'Price List Library'!$S$6:$S$437,0)),"")</f>
        <v>Benchmark</v>
      </c>
      <c r="J245" s="20">
        <f>IFERROR(INDEX('Price List Library'!$O$6:$O$437,MATCH(TRIM($G245)&amp;"|"&amp;TRIM($H245),'Price List Library'!$S$6:$S$437,0)),0)</f>
        <v>18.64</v>
      </c>
      <c r="K245" s="13" t="s">
        <v>1723</v>
      </c>
    </row>
    <row r="246" spans="1:11" ht="15" customHeight="1" x14ac:dyDescent="0.25">
      <c r="A246" s="9">
        <v>241</v>
      </c>
      <c r="B246" s="10" t="s">
        <v>13</v>
      </c>
      <c r="C246" s="11" t="s">
        <v>41</v>
      </c>
      <c r="D246" s="12" t="s">
        <v>15</v>
      </c>
      <c r="E246" s="12" t="s">
        <v>211</v>
      </c>
      <c r="F246" s="12" t="s">
        <v>131</v>
      </c>
      <c r="G246" s="12" t="s">
        <v>1541</v>
      </c>
      <c r="H246" s="9" t="s">
        <v>18</v>
      </c>
      <c r="I246" s="9" t="str">
        <f>IFERROR(INDEX('Price List Library'!$P$6:$P$437,MATCH(TRIM($G246)&amp;"|"&amp;TRIM($H246),'Price List Library'!$S$6:$S$437,0)),"")</f>
        <v>Benchmark</v>
      </c>
      <c r="J246" s="20">
        <f>IFERROR(INDEX('Price List Library'!$O$6:$O$437,MATCH(TRIM($G246)&amp;"|"&amp;TRIM($H246),'Price List Library'!$S$6:$S$437,0)),0)</f>
        <v>12.8</v>
      </c>
      <c r="K246" s="13" t="s">
        <v>1724</v>
      </c>
    </row>
    <row r="247" spans="1:11" ht="15" customHeight="1" x14ac:dyDescent="0.25">
      <c r="A247" s="9">
        <v>242</v>
      </c>
      <c r="B247" s="10" t="s">
        <v>13</v>
      </c>
      <c r="C247" s="11" t="s">
        <v>41</v>
      </c>
      <c r="D247" s="12" t="s">
        <v>15</v>
      </c>
      <c r="E247" s="12" t="s">
        <v>211</v>
      </c>
      <c r="F247" s="12" t="s">
        <v>72</v>
      </c>
      <c r="G247" s="12" t="s">
        <v>73</v>
      </c>
      <c r="H247" s="9" t="s">
        <v>53</v>
      </c>
      <c r="I247" s="9" t="str">
        <f>IFERROR(INDEX('Price List Library'!$P$6:$P$437,MATCH(TRIM($G247)&amp;"|"&amp;TRIM($H247),'Price List Library'!$S$6:$S$437,0)),"")</f>
        <v>Priced</v>
      </c>
      <c r="J247" s="20">
        <f>IFERROR(INDEX('Price List Library'!$O$6:$O$437,MATCH(TRIM($G247)&amp;"|"&amp;TRIM($H247),'Price List Library'!$S$6:$S$437,0)),0)</f>
        <v>1.0176000000000001</v>
      </c>
      <c r="K247" s="13" t="s">
        <v>1725</v>
      </c>
    </row>
    <row r="248" spans="1:11" ht="15" customHeight="1" x14ac:dyDescent="0.25">
      <c r="A248" s="9">
        <v>243</v>
      </c>
      <c r="B248" s="10" t="s">
        <v>13</v>
      </c>
      <c r="C248" s="11" t="s">
        <v>41</v>
      </c>
      <c r="D248" s="12" t="s">
        <v>15</v>
      </c>
      <c r="E248" s="12" t="s">
        <v>211</v>
      </c>
      <c r="F248" s="12" t="s">
        <v>72</v>
      </c>
      <c r="G248" s="12" t="s">
        <v>1487</v>
      </c>
      <c r="H248" s="9" t="s">
        <v>53</v>
      </c>
      <c r="I248" s="9" t="str">
        <f>IFERROR(INDEX('Price List Library'!$P$6:$P$437,MATCH(TRIM($G248)&amp;"|"&amp;TRIM($H248),'Price List Library'!$S$6:$S$437,0)),"")</f>
        <v>Priced</v>
      </c>
      <c r="J248" s="20">
        <f>IFERROR(INDEX('Price List Library'!$O$6:$O$437,MATCH(TRIM($G248)&amp;"|"&amp;TRIM($H248),'Price List Library'!$S$6:$S$437,0)),0)</f>
        <v>0.98320000000000007</v>
      </c>
      <c r="K248" s="13" t="s">
        <v>1726</v>
      </c>
    </row>
    <row r="249" spans="1:11" ht="15" customHeight="1" x14ac:dyDescent="0.25">
      <c r="A249" s="9">
        <v>244</v>
      </c>
      <c r="B249" s="10" t="s">
        <v>13</v>
      </c>
      <c r="C249" s="11" t="s">
        <v>41</v>
      </c>
      <c r="D249" s="12" t="s">
        <v>15</v>
      </c>
      <c r="E249" s="12" t="s">
        <v>211</v>
      </c>
      <c r="F249" s="12" t="s">
        <v>72</v>
      </c>
      <c r="G249" s="12" t="s">
        <v>1489</v>
      </c>
      <c r="H249" s="9" t="s">
        <v>53</v>
      </c>
      <c r="I249" s="9" t="str">
        <f>IFERROR(INDEX('Price List Library'!$P$6:$P$437,MATCH(TRIM($G249)&amp;"|"&amp;TRIM($H249),'Price List Library'!$S$6:$S$437,0)),"")</f>
        <v>Priced</v>
      </c>
      <c r="J249" s="20">
        <f>IFERROR(INDEX('Price List Library'!$O$6:$O$437,MATCH(TRIM($G249)&amp;"|"&amp;TRIM($H249),'Price List Library'!$S$6:$S$437,0)),0)</f>
        <v>0.96000000000000008</v>
      </c>
      <c r="K249" s="13" t="s">
        <v>1727</v>
      </c>
    </row>
    <row r="250" spans="1:11" ht="15" customHeight="1" x14ac:dyDescent="0.25">
      <c r="A250" s="9">
        <v>245</v>
      </c>
      <c r="B250" s="10" t="s">
        <v>13</v>
      </c>
      <c r="C250" s="11" t="s">
        <v>41</v>
      </c>
      <c r="D250" s="12" t="s">
        <v>15</v>
      </c>
      <c r="E250" s="12" t="s">
        <v>211</v>
      </c>
      <c r="F250" s="12" t="s">
        <v>72</v>
      </c>
      <c r="G250" s="12" t="s">
        <v>1491</v>
      </c>
      <c r="H250" s="9" t="s">
        <v>53</v>
      </c>
      <c r="I250" s="9" t="str">
        <f>IFERROR(INDEX('Price List Library'!$P$6:$P$437,MATCH(TRIM($G250)&amp;"|"&amp;TRIM($H250),'Price List Library'!$S$6:$S$437,0)),"")</f>
        <v>Priced</v>
      </c>
      <c r="J250" s="20">
        <f>IFERROR(INDEX('Price List Library'!$O$6:$O$437,MATCH(TRIM($G250)&amp;"|"&amp;TRIM($H250),'Price List Library'!$S$6:$S$437,0)),0)</f>
        <v>0.94880000000000009</v>
      </c>
      <c r="K250" s="13" t="s">
        <v>1728</v>
      </c>
    </row>
    <row r="251" spans="1:11" ht="15" customHeight="1" x14ac:dyDescent="0.25">
      <c r="A251" s="9">
        <v>246</v>
      </c>
      <c r="B251" s="10" t="s">
        <v>13</v>
      </c>
      <c r="C251" s="11" t="s">
        <v>41</v>
      </c>
      <c r="D251" s="12" t="s">
        <v>15</v>
      </c>
      <c r="E251" s="12" t="s">
        <v>211</v>
      </c>
      <c r="F251" s="12" t="s">
        <v>72</v>
      </c>
      <c r="G251" s="12" t="s">
        <v>1493</v>
      </c>
      <c r="H251" s="9" t="s">
        <v>53</v>
      </c>
      <c r="I251" s="9" t="str">
        <f>IFERROR(INDEX('Price List Library'!$P$6:$P$437,MATCH(TRIM($G251)&amp;"|"&amp;TRIM($H251),'Price List Library'!$S$6:$S$437,0)),"")</f>
        <v>Priced</v>
      </c>
      <c r="J251" s="20">
        <f>IFERROR(INDEX('Price List Library'!$O$6:$O$437,MATCH(TRIM($G251)&amp;"|"&amp;TRIM($H251),'Price List Library'!$S$6:$S$437,0)),0)</f>
        <v>0.92560000000000009</v>
      </c>
      <c r="K251" s="13" t="s">
        <v>1729</v>
      </c>
    </row>
    <row r="252" spans="1:11" ht="15" customHeight="1" x14ac:dyDescent="0.25">
      <c r="A252" s="9">
        <v>247</v>
      </c>
      <c r="B252" s="10" t="s">
        <v>13</v>
      </c>
      <c r="C252" s="11" t="s">
        <v>41</v>
      </c>
      <c r="D252" s="12" t="s">
        <v>15</v>
      </c>
      <c r="E252" s="12" t="s">
        <v>211</v>
      </c>
      <c r="F252" s="12" t="s">
        <v>72</v>
      </c>
      <c r="G252" s="12" t="s">
        <v>1495</v>
      </c>
      <c r="H252" s="9" t="s">
        <v>53</v>
      </c>
      <c r="I252" s="9" t="str">
        <f>IFERROR(INDEX('Price List Library'!$P$6:$P$437,MATCH(TRIM($G252)&amp;"|"&amp;TRIM($H252),'Price List Library'!$S$6:$S$437,0)),"")</f>
        <v>Priced</v>
      </c>
      <c r="J252" s="20">
        <f>IFERROR(INDEX('Price List Library'!$O$6:$O$437,MATCH(TRIM($G252)&amp;"|"&amp;TRIM($H252),'Price List Library'!$S$6:$S$437,0)),0)</f>
        <v>0.90239999999999998</v>
      </c>
      <c r="K252" s="13" t="s">
        <v>1730</v>
      </c>
    </row>
    <row r="253" spans="1:11" ht="15" customHeight="1" x14ac:dyDescent="0.25">
      <c r="A253" s="9">
        <v>248</v>
      </c>
      <c r="B253" s="10" t="s">
        <v>13</v>
      </c>
      <c r="C253" s="11" t="s">
        <v>41</v>
      </c>
      <c r="D253" s="12" t="s">
        <v>15</v>
      </c>
      <c r="E253" s="12" t="s">
        <v>211</v>
      </c>
      <c r="F253" s="12" t="s">
        <v>72</v>
      </c>
      <c r="G253" s="12" t="s">
        <v>1497</v>
      </c>
      <c r="H253" s="9" t="s">
        <v>53</v>
      </c>
      <c r="I253" s="9" t="str">
        <f>IFERROR(INDEX('Price List Library'!$P$6:$P$437,MATCH(TRIM($G253)&amp;"|"&amp;TRIM($H253),'Price List Library'!$S$6:$S$437,0)),"")</f>
        <v>Priced</v>
      </c>
      <c r="J253" s="20">
        <f>IFERROR(INDEX('Price List Library'!$O$6:$O$437,MATCH(TRIM($G253)&amp;"|"&amp;TRIM($H253),'Price List Library'!$S$6:$S$437,0)),0)</f>
        <v>0.89119999999999999</v>
      </c>
      <c r="K253" s="13" t="s">
        <v>1731</v>
      </c>
    </row>
    <row r="254" spans="1:11" ht="15" customHeight="1" x14ac:dyDescent="0.25">
      <c r="A254" s="9">
        <v>249</v>
      </c>
      <c r="B254" s="10" t="s">
        <v>13</v>
      </c>
      <c r="C254" s="11" t="s">
        <v>41</v>
      </c>
      <c r="D254" s="12" t="s">
        <v>15</v>
      </c>
      <c r="E254" s="12" t="s">
        <v>211</v>
      </c>
      <c r="F254" s="12" t="s">
        <v>72</v>
      </c>
      <c r="G254" s="12" t="s">
        <v>1499</v>
      </c>
      <c r="H254" s="9" t="s">
        <v>53</v>
      </c>
      <c r="I254" s="9" t="str">
        <f>IFERROR(INDEX('Price List Library'!$P$6:$P$437,MATCH(TRIM($G254)&amp;"|"&amp;TRIM($H254),'Price List Library'!$S$6:$S$437,0)),"")</f>
        <v>Priced</v>
      </c>
      <c r="J254" s="20">
        <f>IFERROR(INDEX('Price List Library'!$O$6:$O$437,MATCH(TRIM($G254)&amp;"|"&amp;TRIM($H254),'Price List Library'!$S$6:$S$437,0)),0)</f>
        <v>1.0064</v>
      </c>
      <c r="K254" s="13" t="s">
        <v>1732</v>
      </c>
    </row>
    <row r="255" spans="1:11" ht="15" customHeight="1" x14ac:dyDescent="0.25">
      <c r="A255" s="9">
        <v>250</v>
      </c>
      <c r="B255" s="10" t="s">
        <v>13</v>
      </c>
      <c r="C255" s="11" t="s">
        <v>41</v>
      </c>
      <c r="D255" s="12" t="s">
        <v>15</v>
      </c>
      <c r="E255" s="12" t="s">
        <v>211</v>
      </c>
      <c r="F255" s="12" t="s">
        <v>72</v>
      </c>
      <c r="G255" s="12" t="s">
        <v>1501</v>
      </c>
      <c r="H255" s="9" t="s">
        <v>53</v>
      </c>
      <c r="I255" s="9" t="str">
        <f>IFERROR(INDEX('Price List Library'!$P$6:$P$437,MATCH(TRIM($G255)&amp;"|"&amp;TRIM($H255),'Price List Library'!$S$6:$S$437,0)),"")</f>
        <v>Benchmark</v>
      </c>
      <c r="J255" s="20">
        <f>IFERROR(INDEX('Price List Library'!$O$6:$O$437,MATCH(TRIM($G255)&amp;"|"&amp;TRIM($H255),'Price List Library'!$S$6:$S$437,0)),0)</f>
        <v>1.0296000000000001</v>
      </c>
      <c r="K255" s="13" t="s">
        <v>1733</v>
      </c>
    </row>
    <row r="256" spans="1:11" ht="15" customHeight="1" x14ac:dyDescent="0.25">
      <c r="A256" s="9">
        <v>251</v>
      </c>
      <c r="B256" s="10" t="s">
        <v>13</v>
      </c>
      <c r="C256" s="11" t="s">
        <v>41</v>
      </c>
      <c r="D256" s="12" t="s">
        <v>15</v>
      </c>
      <c r="E256" s="12" t="s">
        <v>211</v>
      </c>
      <c r="F256" s="12" t="s">
        <v>75</v>
      </c>
      <c r="G256" s="12" t="s">
        <v>76</v>
      </c>
      <c r="H256" s="9" t="s">
        <v>53</v>
      </c>
      <c r="I256" s="9" t="str">
        <f>IFERROR(INDEX('Price List Library'!$P$6:$P$437,MATCH(TRIM($G256)&amp;"|"&amp;TRIM($H256),'Price List Library'!$S$6:$S$437,0)),"")</f>
        <v>Priced</v>
      </c>
      <c r="J256" s="20">
        <f>IFERROR(INDEX('Price List Library'!$O$6:$O$437,MATCH(TRIM($G256)&amp;"|"&amp;TRIM($H256),'Price List Library'!$S$6:$S$437,0)),0)</f>
        <v>1.4040000000000001</v>
      </c>
      <c r="K256" s="13" t="s">
        <v>1734</v>
      </c>
    </row>
    <row r="257" spans="1:11" ht="15" customHeight="1" x14ac:dyDescent="0.25">
      <c r="A257" s="9">
        <v>252</v>
      </c>
      <c r="B257" s="10" t="s">
        <v>13</v>
      </c>
      <c r="C257" s="11" t="s">
        <v>41</v>
      </c>
      <c r="D257" s="12" t="s">
        <v>15</v>
      </c>
      <c r="E257" s="12" t="s">
        <v>211</v>
      </c>
      <c r="F257" s="12" t="s">
        <v>135</v>
      </c>
      <c r="G257" s="12" t="s">
        <v>136</v>
      </c>
      <c r="H257" s="9" t="s">
        <v>61</v>
      </c>
      <c r="I257" s="9" t="str">
        <f>IFERROR(INDEX('Price List Library'!$P$6:$P$437,MATCH(TRIM($G257)&amp;"|"&amp;TRIM($H257),'Price List Library'!$S$6:$S$437,0)),"")</f>
        <v>Priced</v>
      </c>
      <c r="J257" s="20">
        <f>IFERROR(INDEX('Price List Library'!$O$6:$O$437,MATCH(TRIM($G257)&amp;"|"&amp;TRIM($H257),'Price List Library'!$S$6:$S$437,0)),0)</f>
        <v>6.28</v>
      </c>
      <c r="K257" s="13" t="s">
        <v>1735</v>
      </c>
    </row>
    <row r="258" spans="1:11" ht="15" customHeight="1" x14ac:dyDescent="0.25">
      <c r="A258" s="9">
        <v>253</v>
      </c>
      <c r="B258" s="10" t="s">
        <v>13</v>
      </c>
      <c r="C258" s="11" t="s">
        <v>41</v>
      </c>
      <c r="D258" s="12" t="s">
        <v>15</v>
      </c>
      <c r="E258" s="12" t="s">
        <v>211</v>
      </c>
      <c r="F258" s="12" t="s">
        <v>138</v>
      </c>
      <c r="G258" s="12" t="s">
        <v>139</v>
      </c>
      <c r="H258" s="9" t="s">
        <v>18</v>
      </c>
      <c r="I258" s="9" t="str">
        <f>IFERROR(INDEX('Price List Library'!$P$6:$P$437,MATCH(TRIM($G258)&amp;"|"&amp;TRIM($H258),'Price List Library'!$S$6:$S$437,0)),"")</f>
        <v>Priced</v>
      </c>
      <c r="J258" s="20">
        <f>IFERROR(INDEX('Price List Library'!$O$6:$O$437,MATCH(TRIM($G258)&amp;"|"&amp;TRIM($H258),'Price List Library'!$S$6:$S$437,0)),0)</f>
        <v>9.6800000000000015</v>
      </c>
      <c r="K258" s="13" t="s">
        <v>1736</v>
      </c>
    </row>
    <row r="259" spans="1:11" ht="15" customHeight="1" x14ac:dyDescent="0.25">
      <c r="A259" s="9">
        <v>254</v>
      </c>
      <c r="B259" s="10" t="s">
        <v>13</v>
      </c>
      <c r="C259" s="11" t="s">
        <v>41</v>
      </c>
      <c r="D259" s="12" t="s">
        <v>15</v>
      </c>
      <c r="E259" s="12" t="s">
        <v>211</v>
      </c>
      <c r="F259" s="12" t="s">
        <v>138</v>
      </c>
      <c r="G259" s="12" t="s">
        <v>1555</v>
      </c>
      <c r="H259" s="9" t="s">
        <v>18</v>
      </c>
      <c r="I259" s="9" t="str">
        <f>IFERROR(INDEX('Price List Library'!$P$6:$P$437,MATCH(TRIM($G259)&amp;"|"&amp;TRIM($H259),'Price List Library'!$S$6:$S$437,0)),"")</f>
        <v>Priced</v>
      </c>
      <c r="J259" s="20">
        <f>IFERROR(INDEX('Price List Library'!$O$6:$O$437,MATCH(TRIM($G259)&amp;"|"&amp;TRIM($H259),'Price List Library'!$S$6:$S$437,0)),0)</f>
        <v>9.120000000000001</v>
      </c>
      <c r="K259" s="13" t="s">
        <v>1737</v>
      </c>
    </row>
    <row r="260" spans="1:11" ht="15" customHeight="1" x14ac:dyDescent="0.25">
      <c r="A260" s="9">
        <v>255</v>
      </c>
      <c r="B260" s="10" t="s">
        <v>13</v>
      </c>
      <c r="C260" s="11" t="s">
        <v>41</v>
      </c>
      <c r="D260" s="12" t="s">
        <v>15</v>
      </c>
      <c r="E260" s="12" t="s">
        <v>211</v>
      </c>
      <c r="F260" s="12" t="s">
        <v>138</v>
      </c>
      <c r="G260" s="12" t="s">
        <v>1557</v>
      </c>
      <c r="H260" s="9" t="s">
        <v>18</v>
      </c>
      <c r="I260" s="9" t="str">
        <f>IFERROR(INDEX('Price List Library'!$P$6:$P$437,MATCH(TRIM($G260)&amp;"|"&amp;TRIM($H260),'Price List Library'!$S$6:$S$437,0)),"")</f>
        <v>Benchmark</v>
      </c>
      <c r="J260" s="20">
        <f>IFERROR(INDEX('Price List Library'!$O$6:$O$437,MATCH(TRIM($G260)&amp;"|"&amp;TRIM($H260),'Price List Library'!$S$6:$S$437,0)),0)</f>
        <v>8.8000000000000007</v>
      </c>
      <c r="K260" s="13" t="s">
        <v>1738</v>
      </c>
    </row>
    <row r="261" spans="1:11" ht="15" customHeight="1" x14ac:dyDescent="0.25">
      <c r="A261" s="9">
        <v>256</v>
      </c>
      <c r="B261" s="10" t="s">
        <v>13</v>
      </c>
      <c r="C261" s="11" t="s">
        <v>41</v>
      </c>
      <c r="D261" s="12" t="s">
        <v>15</v>
      </c>
      <c r="E261" s="12" t="s">
        <v>211</v>
      </c>
      <c r="F261" s="12" t="s">
        <v>219</v>
      </c>
      <c r="G261" s="12" t="s">
        <v>220</v>
      </c>
      <c r="H261" s="9" t="s">
        <v>18</v>
      </c>
      <c r="I261" s="9" t="str">
        <f>IFERROR(INDEX('Price List Library'!$P$6:$P$437,MATCH(TRIM($G261)&amp;"|"&amp;TRIM($H261),'Price List Library'!$S$6:$S$437,0)),"")</f>
        <v>Benchmark</v>
      </c>
      <c r="J261" s="20">
        <f>IFERROR(INDEX('Price List Library'!$O$6:$O$437,MATCH(TRIM($G261)&amp;"|"&amp;TRIM($H261),'Price List Library'!$S$6:$S$437,0)),0)</f>
        <v>5.0240000000000009</v>
      </c>
      <c r="K261" s="13" t="s">
        <v>1739</v>
      </c>
    </row>
    <row r="262" spans="1:11" ht="15" customHeight="1" x14ac:dyDescent="0.25">
      <c r="A262" s="9">
        <v>257</v>
      </c>
      <c r="B262" s="10" t="s">
        <v>13</v>
      </c>
      <c r="C262" s="11" t="s">
        <v>41</v>
      </c>
      <c r="D262" s="12" t="s">
        <v>15</v>
      </c>
      <c r="E262" s="12" t="s">
        <v>211</v>
      </c>
      <c r="F262" s="12" t="s">
        <v>222</v>
      </c>
      <c r="G262" s="12" t="s">
        <v>223</v>
      </c>
      <c r="H262" s="9" t="s">
        <v>18</v>
      </c>
      <c r="I262" s="9" t="str">
        <f>IFERROR(INDEX('Price List Library'!$P$6:$P$437,MATCH(TRIM($G262)&amp;"|"&amp;TRIM($H262),'Price List Library'!$S$6:$S$437,0)),"")</f>
        <v>Benchmark</v>
      </c>
      <c r="J262" s="20">
        <f>IFERROR(INDEX('Price List Library'!$O$6:$O$437,MATCH(TRIM($G262)&amp;"|"&amp;TRIM($H262),'Price List Library'!$S$6:$S$437,0)),0)</f>
        <v>9.4400000000000013</v>
      </c>
      <c r="K262" s="13" t="s">
        <v>1740</v>
      </c>
    </row>
    <row r="263" spans="1:11" ht="15" customHeight="1" x14ac:dyDescent="0.25">
      <c r="A263" s="9">
        <v>258</v>
      </c>
      <c r="B263" s="10" t="s">
        <v>13</v>
      </c>
      <c r="C263" s="11" t="s">
        <v>225</v>
      </c>
      <c r="D263" s="12" t="s">
        <v>226</v>
      </c>
      <c r="E263" s="12" t="s">
        <v>227</v>
      </c>
      <c r="F263" s="12" t="s">
        <v>69</v>
      </c>
      <c r="G263" s="12" t="s">
        <v>70</v>
      </c>
      <c r="H263" s="9" t="s">
        <v>22</v>
      </c>
      <c r="I263" s="9" t="str">
        <f>IFERROR(INDEX('Price List Library'!$P$6:$P$437,MATCH(TRIM($G263)&amp;"|"&amp;TRIM($H263),'Price List Library'!$S$6:$S$437,0)),"")</f>
        <v>Priced</v>
      </c>
      <c r="J263" s="20">
        <f>IFERROR(INDEX('Price List Library'!$O$6:$O$437,MATCH(TRIM($G263)&amp;"|"&amp;TRIM($H263),'Price List Library'!$S$6:$S$437,0)),0)</f>
        <v>121.76</v>
      </c>
      <c r="K263" s="13" t="s">
        <v>1741</v>
      </c>
    </row>
    <row r="264" spans="1:11" ht="15" customHeight="1" x14ac:dyDescent="0.25">
      <c r="A264" s="9">
        <v>259</v>
      </c>
      <c r="B264" s="10" t="s">
        <v>13</v>
      </c>
      <c r="C264" s="11" t="s">
        <v>225</v>
      </c>
      <c r="D264" s="12" t="s">
        <v>226</v>
      </c>
      <c r="E264" s="12" t="s">
        <v>227</v>
      </c>
      <c r="F264" s="12" t="s">
        <v>69</v>
      </c>
      <c r="G264" s="12" t="s">
        <v>1480</v>
      </c>
      <c r="H264" s="9" t="s">
        <v>22</v>
      </c>
      <c r="I264" s="9" t="str">
        <f>IFERROR(INDEX('Price List Library'!$P$6:$P$437,MATCH(TRIM($G264)&amp;"|"&amp;TRIM($H264),'Price List Library'!$S$6:$S$437,0)),"")</f>
        <v>Priced</v>
      </c>
      <c r="J264" s="20">
        <f>IFERROR(INDEX('Price List Library'!$O$6:$O$437,MATCH(TRIM($G264)&amp;"|"&amp;TRIM($H264),'Price List Library'!$S$6:$S$437,0)),0)</f>
        <v>119.36</v>
      </c>
      <c r="K264" s="13" t="s">
        <v>1742</v>
      </c>
    </row>
    <row r="265" spans="1:11" ht="15" customHeight="1" x14ac:dyDescent="0.25">
      <c r="A265" s="9">
        <v>260</v>
      </c>
      <c r="B265" s="10" t="s">
        <v>13</v>
      </c>
      <c r="C265" s="11" t="s">
        <v>225</v>
      </c>
      <c r="D265" s="12" t="s">
        <v>226</v>
      </c>
      <c r="E265" s="12" t="s">
        <v>227</v>
      </c>
      <c r="F265" s="12" t="s">
        <v>69</v>
      </c>
      <c r="G265" s="12" t="s">
        <v>1482</v>
      </c>
      <c r="H265" s="9" t="s">
        <v>22</v>
      </c>
      <c r="I265" s="9" t="str">
        <f>IFERROR(INDEX('Price List Library'!$P$6:$P$437,MATCH(TRIM($G265)&amp;"|"&amp;TRIM($H265),'Price List Library'!$S$6:$S$437,0)),"")</f>
        <v>Benchmark</v>
      </c>
      <c r="J265" s="20">
        <f>IFERROR(INDEX('Price List Library'!$O$6:$O$437,MATCH(TRIM($G265)&amp;"|"&amp;TRIM($H265),'Price List Library'!$S$6:$S$437,0)),0)</f>
        <v>108.16</v>
      </c>
      <c r="K265" s="13" t="s">
        <v>1743</v>
      </c>
    </row>
    <row r="266" spans="1:11" ht="15" customHeight="1" x14ac:dyDescent="0.25">
      <c r="A266" s="9">
        <v>261</v>
      </c>
      <c r="B266" s="10" t="s">
        <v>13</v>
      </c>
      <c r="C266" s="11" t="s">
        <v>225</v>
      </c>
      <c r="D266" s="12" t="s">
        <v>226</v>
      </c>
      <c r="E266" s="12" t="s">
        <v>227</v>
      </c>
      <c r="F266" s="12" t="s">
        <v>69</v>
      </c>
      <c r="G266" s="12" t="s">
        <v>1484</v>
      </c>
      <c r="H266" s="9" t="s">
        <v>22</v>
      </c>
      <c r="I266" s="9" t="str">
        <f>IFERROR(INDEX('Price List Library'!$P$6:$P$437,MATCH(TRIM($G266)&amp;"|"&amp;TRIM($H266),'Price List Library'!$S$6:$S$437,0)),"")</f>
        <v>Benchmark</v>
      </c>
      <c r="J266" s="20">
        <f>IFERROR(INDEX('Price List Library'!$O$6:$O$437,MATCH(TRIM($G266)&amp;"|"&amp;TRIM($H266),'Price List Library'!$S$6:$S$437,0)),0)</f>
        <v>114.96000000000001</v>
      </c>
      <c r="K266" s="13" t="s">
        <v>1744</v>
      </c>
    </row>
    <row r="267" spans="1:11" ht="15" customHeight="1" x14ac:dyDescent="0.25">
      <c r="A267" s="9">
        <v>262</v>
      </c>
      <c r="B267" s="10" t="s">
        <v>13</v>
      </c>
      <c r="C267" s="11" t="s">
        <v>225</v>
      </c>
      <c r="D267" s="12" t="s">
        <v>226</v>
      </c>
      <c r="E267" s="12" t="s">
        <v>227</v>
      </c>
      <c r="F267" s="12" t="s">
        <v>131</v>
      </c>
      <c r="G267" s="12" t="s">
        <v>150</v>
      </c>
      <c r="H267" s="9" t="s">
        <v>18</v>
      </c>
      <c r="I267" s="9" t="str">
        <f>IFERROR(INDEX('Price List Library'!$P$6:$P$437,MATCH(TRIM($G267)&amp;"|"&amp;TRIM($H267),'Price List Library'!$S$6:$S$437,0)),"")</f>
        <v>Benchmark</v>
      </c>
      <c r="J267" s="20">
        <f>IFERROR(INDEX('Price List Library'!$O$6:$O$437,MATCH(TRIM($G267)&amp;"|"&amp;TRIM($H267),'Price List Library'!$S$6:$S$437,0)),0)</f>
        <v>18.64</v>
      </c>
      <c r="K267" s="13" t="s">
        <v>1745</v>
      </c>
    </row>
    <row r="268" spans="1:11" ht="15" customHeight="1" x14ac:dyDescent="0.25">
      <c r="A268" s="9">
        <v>263</v>
      </c>
      <c r="B268" s="10" t="s">
        <v>13</v>
      </c>
      <c r="C268" s="11" t="s">
        <v>225</v>
      </c>
      <c r="D268" s="12" t="s">
        <v>226</v>
      </c>
      <c r="E268" s="12" t="s">
        <v>227</v>
      </c>
      <c r="F268" s="12" t="s">
        <v>131</v>
      </c>
      <c r="G268" s="12" t="s">
        <v>1541</v>
      </c>
      <c r="H268" s="9" t="s">
        <v>18</v>
      </c>
      <c r="I268" s="9" t="str">
        <f>IFERROR(INDEX('Price List Library'!$P$6:$P$437,MATCH(TRIM($G268)&amp;"|"&amp;TRIM($H268),'Price List Library'!$S$6:$S$437,0)),"")</f>
        <v>Benchmark</v>
      </c>
      <c r="J268" s="20">
        <f>IFERROR(INDEX('Price List Library'!$O$6:$O$437,MATCH(TRIM($G268)&amp;"|"&amp;TRIM($H268),'Price List Library'!$S$6:$S$437,0)),0)</f>
        <v>12.8</v>
      </c>
      <c r="K268" s="13" t="s">
        <v>1746</v>
      </c>
    </row>
    <row r="269" spans="1:11" ht="15" customHeight="1" x14ac:dyDescent="0.25">
      <c r="A269" s="9">
        <v>264</v>
      </c>
      <c r="B269" s="10" t="s">
        <v>13</v>
      </c>
      <c r="C269" s="11" t="s">
        <v>225</v>
      </c>
      <c r="D269" s="12" t="s">
        <v>226</v>
      </c>
      <c r="E269" s="12" t="s">
        <v>227</v>
      </c>
      <c r="F269" s="12" t="s">
        <v>72</v>
      </c>
      <c r="G269" s="12" t="s">
        <v>73</v>
      </c>
      <c r="H269" s="9" t="s">
        <v>53</v>
      </c>
      <c r="I269" s="9" t="str">
        <f>IFERROR(INDEX('Price List Library'!$P$6:$P$437,MATCH(TRIM($G269)&amp;"|"&amp;TRIM($H269),'Price List Library'!$S$6:$S$437,0)),"")</f>
        <v>Priced</v>
      </c>
      <c r="J269" s="20">
        <f>IFERROR(INDEX('Price List Library'!$O$6:$O$437,MATCH(TRIM($G269)&amp;"|"&amp;TRIM($H269),'Price List Library'!$S$6:$S$437,0)),0)</f>
        <v>1.0176000000000001</v>
      </c>
      <c r="K269" s="13" t="s">
        <v>1747</v>
      </c>
    </row>
    <row r="270" spans="1:11" ht="15" customHeight="1" x14ac:dyDescent="0.25">
      <c r="A270" s="9">
        <v>265</v>
      </c>
      <c r="B270" s="10" t="s">
        <v>13</v>
      </c>
      <c r="C270" s="11" t="s">
        <v>225</v>
      </c>
      <c r="D270" s="12" t="s">
        <v>226</v>
      </c>
      <c r="E270" s="12" t="s">
        <v>227</v>
      </c>
      <c r="F270" s="12" t="s">
        <v>72</v>
      </c>
      <c r="G270" s="12" t="s">
        <v>1487</v>
      </c>
      <c r="H270" s="9" t="s">
        <v>53</v>
      </c>
      <c r="I270" s="9" t="str">
        <f>IFERROR(INDEX('Price List Library'!$P$6:$P$437,MATCH(TRIM($G270)&amp;"|"&amp;TRIM($H270),'Price List Library'!$S$6:$S$437,0)),"")</f>
        <v>Priced</v>
      </c>
      <c r="J270" s="20">
        <f>IFERROR(INDEX('Price List Library'!$O$6:$O$437,MATCH(TRIM($G270)&amp;"|"&amp;TRIM($H270),'Price List Library'!$S$6:$S$437,0)),0)</f>
        <v>0.98320000000000007</v>
      </c>
      <c r="K270" s="13" t="s">
        <v>1748</v>
      </c>
    </row>
    <row r="271" spans="1:11" ht="15" customHeight="1" x14ac:dyDescent="0.25">
      <c r="A271" s="9">
        <v>266</v>
      </c>
      <c r="B271" s="10" t="s">
        <v>13</v>
      </c>
      <c r="C271" s="11" t="s">
        <v>225</v>
      </c>
      <c r="D271" s="12" t="s">
        <v>226</v>
      </c>
      <c r="E271" s="12" t="s">
        <v>227</v>
      </c>
      <c r="F271" s="12" t="s">
        <v>72</v>
      </c>
      <c r="G271" s="12" t="s">
        <v>1489</v>
      </c>
      <c r="H271" s="9" t="s">
        <v>53</v>
      </c>
      <c r="I271" s="9" t="str">
        <f>IFERROR(INDEX('Price List Library'!$P$6:$P$437,MATCH(TRIM($G271)&amp;"|"&amp;TRIM($H271),'Price List Library'!$S$6:$S$437,0)),"")</f>
        <v>Priced</v>
      </c>
      <c r="J271" s="20">
        <f>IFERROR(INDEX('Price List Library'!$O$6:$O$437,MATCH(TRIM($G271)&amp;"|"&amp;TRIM($H271),'Price List Library'!$S$6:$S$437,0)),0)</f>
        <v>0.96000000000000008</v>
      </c>
      <c r="K271" s="13" t="s">
        <v>1749</v>
      </c>
    </row>
    <row r="272" spans="1:11" ht="15" customHeight="1" x14ac:dyDescent="0.25">
      <c r="A272" s="9">
        <v>267</v>
      </c>
      <c r="B272" s="10" t="s">
        <v>13</v>
      </c>
      <c r="C272" s="11" t="s">
        <v>225</v>
      </c>
      <c r="D272" s="12" t="s">
        <v>226</v>
      </c>
      <c r="E272" s="12" t="s">
        <v>227</v>
      </c>
      <c r="F272" s="12" t="s">
        <v>72</v>
      </c>
      <c r="G272" s="12" t="s">
        <v>1491</v>
      </c>
      <c r="H272" s="9" t="s">
        <v>53</v>
      </c>
      <c r="I272" s="9" t="str">
        <f>IFERROR(INDEX('Price List Library'!$P$6:$P$437,MATCH(TRIM($G272)&amp;"|"&amp;TRIM($H272),'Price List Library'!$S$6:$S$437,0)),"")</f>
        <v>Priced</v>
      </c>
      <c r="J272" s="20">
        <f>IFERROR(INDEX('Price List Library'!$O$6:$O$437,MATCH(TRIM($G272)&amp;"|"&amp;TRIM($H272),'Price List Library'!$S$6:$S$437,0)),0)</f>
        <v>0.94880000000000009</v>
      </c>
      <c r="K272" s="13" t="s">
        <v>1750</v>
      </c>
    </row>
    <row r="273" spans="1:11" ht="15" customHeight="1" x14ac:dyDescent="0.25">
      <c r="A273" s="9">
        <v>268</v>
      </c>
      <c r="B273" s="10" t="s">
        <v>13</v>
      </c>
      <c r="C273" s="11" t="s">
        <v>225</v>
      </c>
      <c r="D273" s="12" t="s">
        <v>226</v>
      </c>
      <c r="E273" s="12" t="s">
        <v>227</v>
      </c>
      <c r="F273" s="12" t="s">
        <v>72</v>
      </c>
      <c r="G273" s="12" t="s">
        <v>1493</v>
      </c>
      <c r="H273" s="9" t="s">
        <v>53</v>
      </c>
      <c r="I273" s="9" t="str">
        <f>IFERROR(INDEX('Price List Library'!$P$6:$P$437,MATCH(TRIM($G273)&amp;"|"&amp;TRIM($H273),'Price List Library'!$S$6:$S$437,0)),"")</f>
        <v>Priced</v>
      </c>
      <c r="J273" s="20">
        <f>IFERROR(INDEX('Price List Library'!$O$6:$O$437,MATCH(TRIM($G273)&amp;"|"&amp;TRIM($H273),'Price List Library'!$S$6:$S$437,0)),0)</f>
        <v>0.92560000000000009</v>
      </c>
      <c r="K273" s="13" t="s">
        <v>1751</v>
      </c>
    </row>
    <row r="274" spans="1:11" ht="15" customHeight="1" x14ac:dyDescent="0.25">
      <c r="A274" s="9">
        <v>269</v>
      </c>
      <c r="B274" s="10" t="s">
        <v>13</v>
      </c>
      <c r="C274" s="11" t="s">
        <v>225</v>
      </c>
      <c r="D274" s="12" t="s">
        <v>226</v>
      </c>
      <c r="E274" s="12" t="s">
        <v>227</v>
      </c>
      <c r="F274" s="12" t="s">
        <v>72</v>
      </c>
      <c r="G274" s="12" t="s">
        <v>1495</v>
      </c>
      <c r="H274" s="9" t="s">
        <v>53</v>
      </c>
      <c r="I274" s="9" t="str">
        <f>IFERROR(INDEX('Price List Library'!$P$6:$P$437,MATCH(TRIM($G274)&amp;"|"&amp;TRIM($H274),'Price List Library'!$S$6:$S$437,0)),"")</f>
        <v>Priced</v>
      </c>
      <c r="J274" s="20">
        <f>IFERROR(INDEX('Price List Library'!$O$6:$O$437,MATCH(TRIM($G274)&amp;"|"&amp;TRIM($H274),'Price List Library'!$S$6:$S$437,0)),0)</f>
        <v>0.90239999999999998</v>
      </c>
      <c r="K274" s="13" t="s">
        <v>1752</v>
      </c>
    </row>
    <row r="275" spans="1:11" ht="15" customHeight="1" x14ac:dyDescent="0.25">
      <c r="A275" s="9">
        <v>270</v>
      </c>
      <c r="B275" s="10" t="s">
        <v>13</v>
      </c>
      <c r="C275" s="11" t="s">
        <v>225</v>
      </c>
      <c r="D275" s="12" t="s">
        <v>226</v>
      </c>
      <c r="E275" s="12" t="s">
        <v>227</v>
      </c>
      <c r="F275" s="12" t="s">
        <v>72</v>
      </c>
      <c r="G275" s="12" t="s">
        <v>1497</v>
      </c>
      <c r="H275" s="9" t="s">
        <v>53</v>
      </c>
      <c r="I275" s="9" t="str">
        <f>IFERROR(INDEX('Price List Library'!$P$6:$P$437,MATCH(TRIM($G275)&amp;"|"&amp;TRIM($H275),'Price List Library'!$S$6:$S$437,0)),"")</f>
        <v>Priced</v>
      </c>
      <c r="J275" s="20">
        <f>IFERROR(INDEX('Price List Library'!$O$6:$O$437,MATCH(TRIM($G275)&amp;"|"&amp;TRIM($H275),'Price List Library'!$S$6:$S$437,0)),0)</f>
        <v>0.89119999999999999</v>
      </c>
      <c r="K275" s="13" t="s">
        <v>1753</v>
      </c>
    </row>
    <row r="276" spans="1:11" ht="15" customHeight="1" x14ac:dyDescent="0.25">
      <c r="A276" s="9">
        <v>271</v>
      </c>
      <c r="B276" s="10" t="s">
        <v>13</v>
      </c>
      <c r="C276" s="11" t="s">
        <v>225</v>
      </c>
      <c r="D276" s="12" t="s">
        <v>226</v>
      </c>
      <c r="E276" s="12" t="s">
        <v>227</v>
      </c>
      <c r="F276" s="12" t="s">
        <v>72</v>
      </c>
      <c r="G276" s="12" t="s">
        <v>1499</v>
      </c>
      <c r="H276" s="9" t="s">
        <v>53</v>
      </c>
      <c r="I276" s="9" t="str">
        <f>IFERROR(INDEX('Price List Library'!$P$6:$P$437,MATCH(TRIM($G276)&amp;"|"&amp;TRIM($H276),'Price List Library'!$S$6:$S$437,0)),"")</f>
        <v>Priced</v>
      </c>
      <c r="J276" s="20">
        <f>IFERROR(INDEX('Price List Library'!$O$6:$O$437,MATCH(TRIM($G276)&amp;"|"&amp;TRIM($H276),'Price List Library'!$S$6:$S$437,0)),0)</f>
        <v>1.0064</v>
      </c>
      <c r="K276" s="13" t="s">
        <v>1754</v>
      </c>
    </row>
    <row r="277" spans="1:11" ht="15" customHeight="1" x14ac:dyDescent="0.25">
      <c r="A277" s="9">
        <v>272</v>
      </c>
      <c r="B277" s="10" t="s">
        <v>13</v>
      </c>
      <c r="C277" s="11" t="s">
        <v>225</v>
      </c>
      <c r="D277" s="12" t="s">
        <v>226</v>
      </c>
      <c r="E277" s="12" t="s">
        <v>227</v>
      </c>
      <c r="F277" s="12" t="s">
        <v>72</v>
      </c>
      <c r="G277" s="12" t="s">
        <v>1501</v>
      </c>
      <c r="H277" s="9" t="s">
        <v>53</v>
      </c>
      <c r="I277" s="9" t="str">
        <f>IFERROR(INDEX('Price List Library'!$P$6:$P$437,MATCH(TRIM($G277)&amp;"|"&amp;TRIM($H277),'Price List Library'!$S$6:$S$437,0)),"")</f>
        <v>Benchmark</v>
      </c>
      <c r="J277" s="20">
        <f>IFERROR(INDEX('Price List Library'!$O$6:$O$437,MATCH(TRIM($G277)&amp;"|"&amp;TRIM($H277),'Price List Library'!$S$6:$S$437,0)),0)</f>
        <v>1.0296000000000001</v>
      </c>
      <c r="K277" s="13" t="s">
        <v>1755</v>
      </c>
    </row>
    <row r="278" spans="1:11" ht="15" customHeight="1" x14ac:dyDescent="0.25">
      <c r="A278" s="9">
        <v>273</v>
      </c>
      <c r="B278" s="10" t="s">
        <v>13</v>
      </c>
      <c r="C278" s="11" t="s">
        <v>225</v>
      </c>
      <c r="D278" s="12" t="s">
        <v>226</v>
      </c>
      <c r="E278" s="12" t="s">
        <v>227</v>
      </c>
      <c r="F278" s="12" t="s">
        <v>75</v>
      </c>
      <c r="G278" s="12" t="s">
        <v>76</v>
      </c>
      <c r="H278" s="9" t="s">
        <v>53</v>
      </c>
      <c r="I278" s="9" t="str">
        <f>IFERROR(INDEX('Price List Library'!$P$6:$P$437,MATCH(TRIM($G278)&amp;"|"&amp;TRIM($H278),'Price List Library'!$S$6:$S$437,0)),"")</f>
        <v>Priced</v>
      </c>
      <c r="J278" s="20">
        <f>IFERROR(INDEX('Price List Library'!$O$6:$O$437,MATCH(TRIM($G278)&amp;"|"&amp;TRIM($H278),'Price List Library'!$S$6:$S$437,0)),0)</f>
        <v>1.4040000000000001</v>
      </c>
      <c r="K278" s="13" t="s">
        <v>1756</v>
      </c>
    </row>
    <row r="279" spans="1:11" ht="15" customHeight="1" x14ac:dyDescent="0.25">
      <c r="A279" s="9">
        <v>274</v>
      </c>
      <c r="B279" s="10" t="s">
        <v>13</v>
      </c>
      <c r="C279" s="11" t="s">
        <v>225</v>
      </c>
      <c r="D279" s="12" t="s">
        <v>226</v>
      </c>
      <c r="E279" s="12" t="s">
        <v>227</v>
      </c>
      <c r="F279" s="12" t="s">
        <v>232</v>
      </c>
      <c r="G279" s="12" t="s">
        <v>233</v>
      </c>
      <c r="H279" s="9" t="s">
        <v>53</v>
      </c>
      <c r="I279" s="9" t="str">
        <f>IFERROR(INDEX('Price List Library'!$P$6:$P$437,MATCH(TRIM($G279)&amp;"|"&amp;TRIM($H279),'Price List Library'!$S$6:$S$437,0)),"")</f>
        <v>Benchmark</v>
      </c>
      <c r="J279" s="20">
        <f>IFERROR(INDEX('Price List Library'!$O$6:$O$437,MATCH(TRIM($G279)&amp;"|"&amp;TRIM($H279),'Price List Library'!$S$6:$S$437,0)),0)</f>
        <v>0.9840000000000001</v>
      </c>
      <c r="K279" s="13" t="s">
        <v>1757</v>
      </c>
    </row>
    <row r="280" spans="1:11" ht="15" customHeight="1" x14ac:dyDescent="0.25">
      <c r="A280" s="9">
        <v>275</v>
      </c>
      <c r="B280" s="10" t="s">
        <v>13</v>
      </c>
      <c r="C280" s="11" t="s">
        <v>225</v>
      </c>
      <c r="D280" s="12" t="s">
        <v>226</v>
      </c>
      <c r="E280" s="12" t="s">
        <v>227</v>
      </c>
      <c r="F280" s="12" t="s">
        <v>235</v>
      </c>
      <c r="G280" s="12" t="s">
        <v>236</v>
      </c>
      <c r="H280" s="9" t="s">
        <v>57</v>
      </c>
      <c r="I280" s="9" t="str">
        <f>IFERROR(INDEX('Price List Library'!$P$6:$P$437,MATCH(TRIM($G280)&amp;"|"&amp;TRIM($H280),'Price List Library'!$S$6:$S$437,0)),"")</f>
        <v>Benchmark</v>
      </c>
      <c r="J280" s="20">
        <f>IFERROR(INDEX('Price List Library'!$O$6:$O$437,MATCH(TRIM($G280)&amp;"|"&amp;TRIM($H280),'Price List Library'!$S$6:$S$437,0)),0)</f>
        <v>14.880000000000003</v>
      </c>
      <c r="K280" s="13" t="s">
        <v>1758</v>
      </c>
    </row>
    <row r="281" spans="1:11" ht="15" customHeight="1" x14ac:dyDescent="0.25">
      <c r="A281" s="9">
        <v>276</v>
      </c>
      <c r="B281" s="10" t="s">
        <v>13</v>
      </c>
      <c r="C281" s="11" t="s">
        <v>225</v>
      </c>
      <c r="D281" s="12" t="s">
        <v>226</v>
      </c>
      <c r="E281" s="12" t="s">
        <v>238</v>
      </c>
      <c r="F281" s="12" t="s">
        <v>69</v>
      </c>
      <c r="G281" s="12" t="s">
        <v>70</v>
      </c>
      <c r="H281" s="9" t="s">
        <v>22</v>
      </c>
      <c r="I281" s="9" t="str">
        <f>IFERROR(INDEX('Price List Library'!$P$6:$P$437,MATCH(TRIM($G281)&amp;"|"&amp;TRIM($H281),'Price List Library'!$S$6:$S$437,0)),"")</f>
        <v>Priced</v>
      </c>
      <c r="J281" s="20">
        <f>IFERROR(INDEX('Price List Library'!$O$6:$O$437,MATCH(TRIM($G281)&amp;"|"&amp;TRIM($H281),'Price List Library'!$S$6:$S$437,0)),0)</f>
        <v>121.76</v>
      </c>
      <c r="K281" s="13" t="s">
        <v>1759</v>
      </c>
    </row>
    <row r="282" spans="1:11" ht="15" customHeight="1" x14ac:dyDescent="0.25">
      <c r="A282" s="9">
        <v>277</v>
      </c>
      <c r="B282" s="10" t="s">
        <v>13</v>
      </c>
      <c r="C282" s="11" t="s">
        <v>225</v>
      </c>
      <c r="D282" s="12" t="s">
        <v>226</v>
      </c>
      <c r="E282" s="12" t="s">
        <v>238</v>
      </c>
      <c r="F282" s="12" t="s">
        <v>69</v>
      </c>
      <c r="G282" s="12" t="s">
        <v>1480</v>
      </c>
      <c r="H282" s="9" t="s">
        <v>22</v>
      </c>
      <c r="I282" s="9" t="str">
        <f>IFERROR(INDEX('Price List Library'!$P$6:$P$437,MATCH(TRIM($G282)&amp;"|"&amp;TRIM($H282),'Price List Library'!$S$6:$S$437,0)),"")</f>
        <v>Priced</v>
      </c>
      <c r="J282" s="20">
        <f>IFERROR(INDEX('Price List Library'!$O$6:$O$437,MATCH(TRIM($G282)&amp;"|"&amp;TRIM($H282),'Price List Library'!$S$6:$S$437,0)),0)</f>
        <v>119.36</v>
      </c>
      <c r="K282" s="13" t="s">
        <v>1760</v>
      </c>
    </row>
    <row r="283" spans="1:11" ht="15" customHeight="1" x14ac:dyDescent="0.25">
      <c r="A283" s="9">
        <v>278</v>
      </c>
      <c r="B283" s="10" t="s">
        <v>13</v>
      </c>
      <c r="C283" s="11" t="s">
        <v>225</v>
      </c>
      <c r="D283" s="12" t="s">
        <v>226</v>
      </c>
      <c r="E283" s="12" t="s">
        <v>238</v>
      </c>
      <c r="F283" s="12" t="s">
        <v>69</v>
      </c>
      <c r="G283" s="12" t="s">
        <v>1482</v>
      </c>
      <c r="H283" s="9" t="s">
        <v>22</v>
      </c>
      <c r="I283" s="9" t="str">
        <f>IFERROR(INDEX('Price List Library'!$P$6:$P$437,MATCH(TRIM($G283)&amp;"|"&amp;TRIM($H283),'Price List Library'!$S$6:$S$437,0)),"")</f>
        <v>Benchmark</v>
      </c>
      <c r="J283" s="20">
        <f>IFERROR(INDEX('Price List Library'!$O$6:$O$437,MATCH(TRIM($G283)&amp;"|"&amp;TRIM($H283),'Price List Library'!$S$6:$S$437,0)),0)</f>
        <v>108.16</v>
      </c>
      <c r="K283" s="13" t="s">
        <v>1761</v>
      </c>
    </row>
    <row r="284" spans="1:11" ht="15" customHeight="1" x14ac:dyDescent="0.25">
      <c r="A284" s="9">
        <v>279</v>
      </c>
      <c r="B284" s="10" t="s">
        <v>13</v>
      </c>
      <c r="C284" s="11" t="s">
        <v>225</v>
      </c>
      <c r="D284" s="12" t="s">
        <v>226</v>
      </c>
      <c r="E284" s="12" t="s">
        <v>238</v>
      </c>
      <c r="F284" s="12" t="s">
        <v>69</v>
      </c>
      <c r="G284" s="12" t="s">
        <v>1484</v>
      </c>
      <c r="H284" s="9" t="s">
        <v>22</v>
      </c>
      <c r="I284" s="9" t="str">
        <f>IFERROR(INDEX('Price List Library'!$P$6:$P$437,MATCH(TRIM($G284)&amp;"|"&amp;TRIM($H284),'Price List Library'!$S$6:$S$437,0)),"")</f>
        <v>Benchmark</v>
      </c>
      <c r="J284" s="20">
        <f>IFERROR(INDEX('Price List Library'!$O$6:$O$437,MATCH(TRIM($G284)&amp;"|"&amp;TRIM($H284),'Price List Library'!$S$6:$S$437,0)),0)</f>
        <v>114.96000000000001</v>
      </c>
      <c r="K284" s="13" t="s">
        <v>1762</v>
      </c>
    </row>
    <row r="285" spans="1:11" ht="15" customHeight="1" x14ac:dyDescent="0.25">
      <c r="A285" s="9">
        <v>280</v>
      </c>
      <c r="B285" s="10" t="s">
        <v>13</v>
      </c>
      <c r="C285" s="11" t="s">
        <v>225</v>
      </c>
      <c r="D285" s="12" t="s">
        <v>226</v>
      </c>
      <c r="E285" s="12" t="s">
        <v>238</v>
      </c>
      <c r="F285" s="12" t="s">
        <v>131</v>
      </c>
      <c r="G285" s="12" t="s">
        <v>150</v>
      </c>
      <c r="H285" s="9" t="s">
        <v>18</v>
      </c>
      <c r="I285" s="9" t="str">
        <f>IFERROR(INDEX('Price List Library'!$P$6:$P$437,MATCH(TRIM($G285)&amp;"|"&amp;TRIM($H285),'Price List Library'!$S$6:$S$437,0)),"")</f>
        <v>Benchmark</v>
      </c>
      <c r="J285" s="20">
        <f>IFERROR(INDEX('Price List Library'!$O$6:$O$437,MATCH(TRIM($G285)&amp;"|"&amp;TRIM($H285),'Price List Library'!$S$6:$S$437,0)),0)</f>
        <v>18.64</v>
      </c>
      <c r="K285" s="13" t="s">
        <v>1763</v>
      </c>
    </row>
    <row r="286" spans="1:11" ht="15" customHeight="1" x14ac:dyDescent="0.25">
      <c r="A286" s="9">
        <v>281</v>
      </c>
      <c r="B286" s="10" t="s">
        <v>13</v>
      </c>
      <c r="C286" s="11" t="s">
        <v>225</v>
      </c>
      <c r="D286" s="12" t="s">
        <v>226</v>
      </c>
      <c r="E286" s="12" t="s">
        <v>238</v>
      </c>
      <c r="F286" s="12" t="s">
        <v>131</v>
      </c>
      <c r="G286" s="12" t="s">
        <v>1541</v>
      </c>
      <c r="H286" s="9" t="s">
        <v>18</v>
      </c>
      <c r="I286" s="9" t="str">
        <f>IFERROR(INDEX('Price List Library'!$P$6:$P$437,MATCH(TRIM($G286)&amp;"|"&amp;TRIM($H286),'Price List Library'!$S$6:$S$437,0)),"")</f>
        <v>Benchmark</v>
      </c>
      <c r="J286" s="20">
        <f>IFERROR(INDEX('Price List Library'!$O$6:$O$437,MATCH(TRIM($G286)&amp;"|"&amp;TRIM($H286),'Price List Library'!$S$6:$S$437,0)),0)</f>
        <v>12.8</v>
      </c>
      <c r="K286" s="13" t="s">
        <v>1764</v>
      </c>
    </row>
    <row r="287" spans="1:11" ht="15" customHeight="1" x14ac:dyDescent="0.25">
      <c r="A287" s="9">
        <v>282</v>
      </c>
      <c r="B287" s="10" t="s">
        <v>13</v>
      </c>
      <c r="C287" s="11" t="s">
        <v>225</v>
      </c>
      <c r="D287" s="12" t="s">
        <v>226</v>
      </c>
      <c r="E287" s="12" t="s">
        <v>238</v>
      </c>
      <c r="F287" s="12" t="s">
        <v>72</v>
      </c>
      <c r="G287" s="12" t="s">
        <v>73</v>
      </c>
      <c r="H287" s="9" t="s">
        <v>53</v>
      </c>
      <c r="I287" s="9" t="str">
        <f>IFERROR(INDEX('Price List Library'!$P$6:$P$437,MATCH(TRIM($G287)&amp;"|"&amp;TRIM($H287),'Price List Library'!$S$6:$S$437,0)),"")</f>
        <v>Priced</v>
      </c>
      <c r="J287" s="20">
        <f>IFERROR(INDEX('Price List Library'!$O$6:$O$437,MATCH(TRIM($G287)&amp;"|"&amp;TRIM($H287),'Price List Library'!$S$6:$S$437,0)),0)</f>
        <v>1.0176000000000001</v>
      </c>
      <c r="K287" s="13" t="s">
        <v>1765</v>
      </c>
    </row>
    <row r="288" spans="1:11" ht="15" customHeight="1" x14ac:dyDescent="0.25">
      <c r="A288" s="9">
        <v>283</v>
      </c>
      <c r="B288" s="10" t="s">
        <v>13</v>
      </c>
      <c r="C288" s="11" t="s">
        <v>225</v>
      </c>
      <c r="D288" s="12" t="s">
        <v>226</v>
      </c>
      <c r="E288" s="12" t="s">
        <v>238</v>
      </c>
      <c r="F288" s="12" t="s">
        <v>72</v>
      </c>
      <c r="G288" s="12" t="s">
        <v>1487</v>
      </c>
      <c r="H288" s="9" t="s">
        <v>53</v>
      </c>
      <c r="I288" s="9" t="str">
        <f>IFERROR(INDEX('Price List Library'!$P$6:$P$437,MATCH(TRIM($G288)&amp;"|"&amp;TRIM($H288),'Price List Library'!$S$6:$S$437,0)),"")</f>
        <v>Priced</v>
      </c>
      <c r="J288" s="20">
        <f>IFERROR(INDEX('Price List Library'!$O$6:$O$437,MATCH(TRIM($G288)&amp;"|"&amp;TRIM($H288),'Price List Library'!$S$6:$S$437,0)),0)</f>
        <v>0.98320000000000007</v>
      </c>
      <c r="K288" s="13" t="s">
        <v>1766</v>
      </c>
    </row>
    <row r="289" spans="1:11" ht="15" customHeight="1" x14ac:dyDescent="0.25">
      <c r="A289" s="9">
        <v>284</v>
      </c>
      <c r="B289" s="10" t="s">
        <v>13</v>
      </c>
      <c r="C289" s="11" t="s">
        <v>225</v>
      </c>
      <c r="D289" s="12" t="s">
        <v>226</v>
      </c>
      <c r="E289" s="12" t="s">
        <v>238</v>
      </c>
      <c r="F289" s="12" t="s">
        <v>72</v>
      </c>
      <c r="G289" s="12" t="s">
        <v>1489</v>
      </c>
      <c r="H289" s="9" t="s">
        <v>53</v>
      </c>
      <c r="I289" s="9" t="str">
        <f>IFERROR(INDEX('Price List Library'!$P$6:$P$437,MATCH(TRIM($G289)&amp;"|"&amp;TRIM($H289),'Price List Library'!$S$6:$S$437,0)),"")</f>
        <v>Priced</v>
      </c>
      <c r="J289" s="20">
        <f>IFERROR(INDEX('Price List Library'!$O$6:$O$437,MATCH(TRIM($G289)&amp;"|"&amp;TRIM($H289),'Price List Library'!$S$6:$S$437,0)),0)</f>
        <v>0.96000000000000008</v>
      </c>
      <c r="K289" s="13" t="s">
        <v>1767</v>
      </c>
    </row>
    <row r="290" spans="1:11" ht="15" customHeight="1" x14ac:dyDescent="0.25">
      <c r="A290" s="9">
        <v>285</v>
      </c>
      <c r="B290" s="10" t="s">
        <v>13</v>
      </c>
      <c r="C290" s="11" t="s">
        <v>225</v>
      </c>
      <c r="D290" s="12" t="s">
        <v>226</v>
      </c>
      <c r="E290" s="12" t="s">
        <v>238</v>
      </c>
      <c r="F290" s="12" t="s">
        <v>72</v>
      </c>
      <c r="G290" s="12" t="s">
        <v>1491</v>
      </c>
      <c r="H290" s="9" t="s">
        <v>53</v>
      </c>
      <c r="I290" s="9" t="str">
        <f>IFERROR(INDEX('Price List Library'!$P$6:$P$437,MATCH(TRIM($G290)&amp;"|"&amp;TRIM($H290),'Price List Library'!$S$6:$S$437,0)),"")</f>
        <v>Priced</v>
      </c>
      <c r="J290" s="20">
        <f>IFERROR(INDEX('Price List Library'!$O$6:$O$437,MATCH(TRIM($G290)&amp;"|"&amp;TRIM($H290),'Price List Library'!$S$6:$S$437,0)),0)</f>
        <v>0.94880000000000009</v>
      </c>
      <c r="K290" s="13" t="s">
        <v>1768</v>
      </c>
    </row>
    <row r="291" spans="1:11" ht="15" customHeight="1" x14ac:dyDescent="0.25">
      <c r="A291" s="9">
        <v>286</v>
      </c>
      <c r="B291" s="10" t="s">
        <v>13</v>
      </c>
      <c r="C291" s="11" t="s">
        <v>225</v>
      </c>
      <c r="D291" s="12" t="s">
        <v>226</v>
      </c>
      <c r="E291" s="12" t="s">
        <v>238</v>
      </c>
      <c r="F291" s="12" t="s">
        <v>72</v>
      </c>
      <c r="G291" s="12" t="s">
        <v>1493</v>
      </c>
      <c r="H291" s="9" t="s">
        <v>53</v>
      </c>
      <c r="I291" s="9" t="str">
        <f>IFERROR(INDEX('Price List Library'!$P$6:$P$437,MATCH(TRIM($G291)&amp;"|"&amp;TRIM($H291),'Price List Library'!$S$6:$S$437,0)),"")</f>
        <v>Priced</v>
      </c>
      <c r="J291" s="20">
        <f>IFERROR(INDEX('Price List Library'!$O$6:$O$437,MATCH(TRIM($G291)&amp;"|"&amp;TRIM($H291),'Price List Library'!$S$6:$S$437,0)),0)</f>
        <v>0.92560000000000009</v>
      </c>
      <c r="K291" s="13" t="s">
        <v>1769</v>
      </c>
    </row>
    <row r="292" spans="1:11" ht="15" customHeight="1" x14ac:dyDescent="0.25">
      <c r="A292" s="9">
        <v>287</v>
      </c>
      <c r="B292" s="10" t="s">
        <v>13</v>
      </c>
      <c r="C292" s="11" t="s">
        <v>225</v>
      </c>
      <c r="D292" s="12" t="s">
        <v>226</v>
      </c>
      <c r="E292" s="12" t="s">
        <v>238</v>
      </c>
      <c r="F292" s="12" t="s">
        <v>72</v>
      </c>
      <c r="G292" s="12" t="s">
        <v>1495</v>
      </c>
      <c r="H292" s="9" t="s">
        <v>53</v>
      </c>
      <c r="I292" s="9" t="str">
        <f>IFERROR(INDEX('Price List Library'!$P$6:$P$437,MATCH(TRIM($G292)&amp;"|"&amp;TRIM($H292),'Price List Library'!$S$6:$S$437,0)),"")</f>
        <v>Priced</v>
      </c>
      <c r="J292" s="20">
        <f>IFERROR(INDEX('Price List Library'!$O$6:$O$437,MATCH(TRIM($G292)&amp;"|"&amp;TRIM($H292),'Price List Library'!$S$6:$S$437,0)),0)</f>
        <v>0.90239999999999998</v>
      </c>
      <c r="K292" s="13" t="s">
        <v>1770</v>
      </c>
    </row>
    <row r="293" spans="1:11" ht="15" customHeight="1" x14ac:dyDescent="0.25">
      <c r="A293" s="9">
        <v>288</v>
      </c>
      <c r="B293" s="10" t="s">
        <v>13</v>
      </c>
      <c r="C293" s="11" t="s">
        <v>225</v>
      </c>
      <c r="D293" s="12" t="s">
        <v>226</v>
      </c>
      <c r="E293" s="12" t="s">
        <v>238</v>
      </c>
      <c r="F293" s="12" t="s">
        <v>72</v>
      </c>
      <c r="G293" s="12" t="s">
        <v>1497</v>
      </c>
      <c r="H293" s="9" t="s">
        <v>53</v>
      </c>
      <c r="I293" s="9" t="str">
        <f>IFERROR(INDEX('Price List Library'!$P$6:$P$437,MATCH(TRIM($G293)&amp;"|"&amp;TRIM($H293),'Price List Library'!$S$6:$S$437,0)),"")</f>
        <v>Priced</v>
      </c>
      <c r="J293" s="20">
        <f>IFERROR(INDEX('Price List Library'!$O$6:$O$437,MATCH(TRIM($G293)&amp;"|"&amp;TRIM($H293),'Price List Library'!$S$6:$S$437,0)),0)</f>
        <v>0.89119999999999999</v>
      </c>
      <c r="K293" s="13" t="s">
        <v>1771</v>
      </c>
    </row>
    <row r="294" spans="1:11" ht="15" customHeight="1" x14ac:dyDescent="0.25">
      <c r="A294" s="9">
        <v>289</v>
      </c>
      <c r="B294" s="10" t="s">
        <v>13</v>
      </c>
      <c r="C294" s="11" t="s">
        <v>225</v>
      </c>
      <c r="D294" s="12" t="s">
        <v>226</v>
      </c>
      <c r="E294" s="12" t="s">
        <v>238</v>
      </c>
      <c r="F294" s="12" t="s">
        <v>72</v>
      </c>
      <c r="G294" s="12" t="s">
        <v>1499</v>
      </c>
      <c r="H294" s="9" t="s">
        <v>53</v>
      </c>
      <c r="I294" s="9" t="str">
        <f>IFERROR(INDEX('Price List Library'!$P$6:$P$437,MATCH(TRIM($G294)&amp;"|"&amp;TRIM($H294),'Price List Library'!$S$6:$S$437,0)),"")</f>
        <v>Priced</v>
      </c>
      <c r="J294" s="20">
        <f>IFERROR(INDEX('Price List Library'!$O$6:$O$437,MATCH(TRIM($G294)&amp;"|"&amp;TRIM($H294),'Price List Library'!$S$6:$S$437,0)),0)</f>
        <v>1.0064</v>
      </c>
      <c r="K294" s="13" t="s">
        <v>1772</v>
      </c>
    </row>
    <row r="295" spans="1:11" ht="15" customHeight="1" x14ac:dyDescent="0.25">
      <c r="A295" s="9">
        <v>290</v>
      </c>
      <c r="B295" s="10" t="s">
        <v>13</v>
      </c>
      <c r="C295" s="11" t="s">
        <v>225</v>
      </c>
      <c r="D295" s="12" t="s">
        <v>226</v>
      </c>
      <c r="E295" s="12" t="s">
        <v>238</v>
      </c>
      <c r="F295" s="12" t="s">
        <v>72</v>
      </c>
      <c r="G295" s="12" t="s">
        <v>1501</v>
      </c>
      <c r="H295" s="9" t="s">
        <v>53</v>
      </c>
      <c r="I295" s="9" t="str">
        <f>IFERROR(INDEX('Price List Library'!$P$6:$P$437,MATCH(TRIM($G295)&amp;"|"&amp;TRIM($H295),'Price List Library'!$S$6:$S$437,0)),"")</f>
        <v>Benchmark</v>
      </c>
      <c r="J295" s="20">
        <f>IFERROR(INDEX('Price List Library'!$O$6:$O$437,MATCH(TRIM($G295)&amp;"|"&amp;TRIM($H295),'Price List Library'!$S$6:$S$437,0)),0)</f>
        <v>1.0296000000000001</v>
      </c>
      <c r="K295" s="13" t="s">
        <v>1773</v>
      </c>
    </row>
    <row r="296" spans="1:11" ht="15" customHeight="1" x14ac:dyDescent="0.25">
      <c r="A296" s="9">
        <v>291</v>
      </c>
      <c r="B296" s="10" t="s">
        <v>13</v>
      </c>
      <c r="C296" s="11" t="s">
        <v>225</v>
      </c>
      <c r="D296" s="12" t="s">
        <v>226</v>
      </c>
      <c r="E296" s="12" t="s">
        <v>238</v>
      </c>
      <c r="F296" s="12" t="s">
        <v>75</v>
      </c>
      <c r="G296" s="12" t="s">
        <v>76</v>
      </c>
      <c r="H296" s="9" t="s">
        <v>53</v>
      </c>
      <c r="I296" s="9" t="str">
        <f>IFERROR(INDEX('Price List Library'!$P$6:$P$437,MATCH(TRIM($G296)&amp;"|"&amp;TRIM($H296),'Price List Library'!$S$6:$S$437,0)),"")</f>
        <v>Priced</v>
      </c>
      <c r="J296" s="20">
        <f>IFERROR(INDEX('Price List Library'!$O$6:$O$437,MATCH(TRIM($G296)&amp;"|"&amp;TRIM($H296),'Price List Library'!$S$6:$S$437,0)),0)</f>
        <v>1.4040000000000001</v>
      </c>
      <c r="K296" s="13" t="s">
        <v>1774</v>
      </c>
    </row>
    <row r="297" spans="1:11" ht="15" customHeight="1" x14ac:dyDescent="0.25">
      <c r="A297" s="9">
        <v>292</v>
      </c>
      <c r="B297" s="10" t="s">
        <v>13</v>
      </c>
      <c r="C297" s="11" t="s">
        <v>225</v>
      </c>
      <c r="D297" s="12" t="s">
        <v>226</v>
      </c>
      <c r="E297" s="12" t="s">
        <v>243</v>
      </c>
      <c r="F297" s="12" t="s">
        <v>69</v>
      </c>
      <c r="G297" s="12" t="s">
        <v>70</v>
      </c>
      <c r="H297" s="9" t="s">
        <v>22</v>
      </c>
      <c r="I297" s="9" t="str">
        <f>IFERROR(INDEX('Price List Library'!$P$6:$P$437,MATCH(TRIM($G297)&amp;"|"&amp;TRIM($H297),'Price List Library'!$S$6:$S$437,0)),"")</f>
        <v>Priced</v>
      </c>
      <c r="J297" s="20">
        <f>IFERROR(INDEX('Price List Library'!$O$6:$O$437,MATCH(TRIM($G297)&amp;"|"&amp;TRIM($H297),'Price List Library'!$S$6:$S$437,0)),0)</f>
        <v>121.76</v>
      </c>
      <c r="K297" s="13" t="s">
        <v>1775</v>
      </c>
    </row>
    <row r="298" spans="1:11" ht="15" customHeight="1" x14ac:dyDescent="0.25">
      <c r="A298" s="9">
        <v>293</v>
      </c>
      <c r="B298" s="10" t="s">
        <v>13</v>
      </c>
      <c r="C298" s="11" t="s">
        <v>225</v>
      </c>
      <c r="D298" s="12" t="s">
        <v>226</v>
      </c>
      <c r="E298" s="12" t="s">
        <v>243</v>
      </c>
      <c r="F298" s="12" t="s">
        <v>69</v>
      </c>
      <c r="G298" s="12" t="s">
        <v>1480</v>
      </c>
      <c r="H298" s="9" t="s">
        <v>22</v>
      </c>
      <c r="I298" s="9" t="str">
        <f>IFERROR(INDEX('Price List Library'!$P$6:$P$437,MATCH(TRIM($G298)&amp;"|"&amp;TRIM($H298),'Price List Library'!$S$6:$S$437,0)),"")</f>
        <v>Priced</v>
      </c>
      <c r="J298" s="20">
        <f>IFERROR(INDEX('Price List Library'!$O$6:$O$437,MATCH(TRIM($G298)&amp;"|"&amp;TRIM($H298),'Price List Library'!$S$6:$S$437,0)),0)</f>
        <v>119.36</v>
      </c>
      <c r="K298" s="13" t="s">
        <v>1776</v>
      </c>
    </row>
    <row r="299" spans="1:11" ht="15" customHeight="1" x14ac:dyDescent="0.25">
      <c r="A299" s="9">
        <v>294</v>
      </c>
      <c r="B299" s="10" t="s">
        <v>13</v>
      </c>
      <c r="C299" s="11" t="s">
        <v>225</v>
      </c>
      <c r="D299" s="12" t="s">
        <v>226</v>
      </c>
      <c r="E299" s="12" t="s">
        <v>243</v>
      </c>
      <c r="F299" s="12" t="s">
        <v>69</v>
      </c>
      <c r="G299" s="12" t="s">
        <v>1482</v>
      </c>
      <c r="H299" s="9" t="s">
        <v>22</v>
      </c>
      <c r="I299" s="9" t="str">
        <f>IFERROR(INDEX('Price List Library'!$P$6:$P$437,MATCH(TRIM($G299)&amp;"|"&amp;TRIM($H299),'Price List Library'!$S$6:$S$437,0)),"")</f>
        <v>Benchmark</v>
      </c>
      <c r="J299" s="20">
        <f>IFERROR(INDEX('Price List Library'!$O$6:$O$437,MATCH(TRIM($G299)&amp;"|"&amp;TRIM($H299),'Price List Library'!$S$6:$S$437,0)),0)</f>
        <v>108.16</v>
      </c>
      <c r="K299" s="13" t="s">
        <v>1777</v>
      </c>
    </row>
    <row r="300" spans="1:11" ht="15" customHeight="1" x14ac:dyDescent="0.25">
      <c r="A300" s="9">
        <v>295</v>
      </c>
      <c r="B300" s="10" t="s">
        <v>13</v>
      </c>
      <c r="C300" s="11" t="s">
        <v>225</v>
      </c>
      <c r="D300" s="12" t="s">
        <v>226</v>
      </c>
      <c r="E300" s="12" t="s">
        <v>243</v>
      </c>
      <c r="F300" s="12" t="s">
        <v>69</v>
      </c>
      <c r="G300" s="12" t="s">
        <v>1484</v>
      </c>
      <c r="H300" s="9" t="s">
        <v>22</v>
      </c>
      <c r="I300" s="9" t="str">
        <f>IFERROR(INDEX('Price List Library'!$P$6:$P$437,MATCH(TRIM($G300)&amp;"|"&amp;TRIM($H300),'Price List Library'!$S$6:$S$437,0)),"")</f>
        <v>Benchmark</v>
      </c>
      <c r="J300" s="20">
        <f>IFERROR(INDEX('Price List Library'!$O$6:$O$437,MATCH(TRIM($G300)&amp;"|"&amp;TRIM($H300),'Price List Library'!$S$6:$S$437,0)),0)</f>
        <v>114.96000000000001</v>
      </c>
      <c r="K300" s="13" t="s">
        <v>1778</v>
      </c>
    </row>
    <row r="301" spans="1:11" ht="15" customHeight="1" x14ac:dyDescent="0.25">
      <c r="A301" s="9">
        <v>296</v>
      </c>
      <c r="B301" s="10" t="s">
        <v>13</v>
      </c>
      <c r="C301" s="11" t="s">
        <v>225</v>
      </c>
      <c r="D301" s="12" t="s">
        <v>226</v>
      </c>
      <c r="E301" s="12" t="s">
        <v>243</v>
      </c>
      <c r="F301" s="12" t="s">
        <v>131</v>
      </c>
      <c r="G301" s="12" t="s">
        <v>150</v>
      </c>
      <c r="H301" s="9" t="s">
        <v>18</v>
      </c>
      <c r="I301" s="9" t="str">
        <f>IFERROR(INDEX('Price List Library'!$P$6:$P$437,MATCH(TRIM($G301)&amp;"|"&amp;TRIM($H301),'Price List Library'!$S$6:$S$437,0)),"")</f>
        <v>Benchmark</v>
      </c>
      <c r="J301" s="20">
        <f>IFERROR(INDEX('Price List Library'!$O$6:$O$437,MATCH(TRIM($G301)&amp;"|"&amp;TRIM($H301),'Price List Library'!$S$6:$S$437,0)),0)</f>
        <v>18.64</v>
      </c>
      <c r="K301" s="13" t="s">
        <v>1779</v>
      </c>
    </row>
    <row r="302" spans="1:11" ht="15" customHeight="1" x14ac:dyDescent="0.25">
      <c r="A302" s="9">
        <v>297</v>
      </c>
      <c r="B302" s="10" t="s">
        <v>13</v>
      </c>
      <c r="C302" s="11" t="s">
        <v>225</v>
      </c>
      <c r="D302" s="12" t="s">
        <v>226</v>
      </c>
      <c r="E302" s="12" t="s">
        <v>243</v>
      </c>
      <c r="F302" s="12" t="s">
        <v>131</v>
      </c>
      <c r="G302" s="12" t="s">
        <v>1541</v>
      </c>
      <c r="H302" s="9" t="s">
        <v>18</v>
      </c>
      <c r="I302" s="9" t="str">
        <f>IFERROR(INDEX('Price List Library'!$P$6:$P$437,MATCH(TRIM($G302)&amp;"|"&amp;TRIM($H302),'Price List Library'!$S$6:$S$437,0)),"")</f>
        <v>Benchmark</v>
      </c>
      <c r="J302" s="20">
        <f>IFERROR(INDEX('Price List Library'!$O$6:$O$437,MATCH(TRIM($G302)&amp;"|"&amp;TRIM($H302),'Price List Library'!$S$6:$S$437,0)),0)</f>
        <v>12.8</v>
      </c>
      <c r="K302" s="13" t="s">
        <v>1780</v>
      </c>
    </row>
    <row r="303" spans="1:11" ht="15" customHeight="1" x14ac:dyDescent="0.25">
      <c r="A303" s="9">
        <v>298</v>
      </c>
      <c r="B303" s="10" t="s">
        <v>13</v>
      </c>
      <c r="C303" s="11" t="s">
        <v>225</v>
      </c>
      <c r="D303" s="12" t="s">
        <v>226</v>
      </c>
      <c r="E303" s="12" t="s">
        <v>243</v>
      </c>
      <c r="F303" s="12" t="s">
        <v>72</v>
      </c>
      <c r="G303" s="12" t="s">
        <v>73</v>
      </c>
      <c r="H303" s="9" t="s">
        <v>53</v>
      </c>
      <c r="I303" s="9" t="str">
        <f>IFERROR(INDEX('Price List Library'!$P$6:$P$437,MATCH(TRIM($G303)&amp;"|"&amp;TRIM($H303),'Price List Library'!$S$6:$S$437,0)),"")</f>
        <v>Priced</v>
      </c>
      <c r="J303" s="20">
        <f>IFERROR(INDEX('Price List Library'!$O$6:$O$437,MATCH(TRIM($G303)&amp;"|"&amp;TRIM($H303),'Price List Library'!$S$6:$S$437,0)),0)</f>
        <v>1.0176000000000001</v>
      </c>
      <c r="K303" s="13" t="s">
        <v>1781</v>
      </c>
    </row>
    <row r="304" spans="1:11" ht="15" customHeight="1" x14ac:dyDescent="0.25">
      <c r="A304" s="9">
        <v>299</v>
      </c>
      <c r="B304" s="10" t="s">
        <v>13</v>
      </c>
      <c r="C304" s="11" t="s">
        <v>225</v>
      </c>
      <c r="D304" s="12" t="s">
        <v>226</v>
      </c>
      <c r="E304" s="12" t="s">
        <v>243</v>
      </c>
      <c r="F304" s="12" t="s">
        <v>72</v>
      </c>
      <c r="G304" s="12" t="s">
        <v>1487</v>
      </c>
      <c r="H304" s="9" t="s">
        <v>53</v>
      </c>
      <c r="I304" s="9" t="str">
        <f>IFERROR(INDEX('Price List Library'!$P$6:$P$437,MATCH(TRIM($G304)&amp;"|"&amp;TRIM($H304),'Price List Library'!$S$6:$S$437,0)),"")</f>
        <v>Priced</v>
      </c>
      <c r="J304" s="20">
        <f>IFERROR(INDEX('Price List Library'!$O$6:$O$437,MATCH(TRIM($G304)&amp;"|"&amp;TRIM($H304),'Price List Library'!$S$6:$S$437,0)),0)</f>
        <v>0.98320000000000007</v>
      </c>
      <c r="K304" s="13" t="s">
        <v>1782</v>
      </c>
    </row>
    <row r="305" spans="1:11" ht="15" customHeight="1" x14ac:dyDescent="0.25">
      <c r="A305" s="9">
        <v>300</v>
      </c>
      <c r="B305" s="10" t="s">
        <v>13</v>
      </c>
      <c r="C305" s="11" t="s">
        <v>225</v>
      </c>
      <c r="D305" s="12" t="s">
        <v>226</v>
      </c>
      <c r="E305" s="12" t="s">
        <v>243</v>
      </c>
      <c r="F305" s="12" t="s">
        <v>72</v>
      </c>
      <c r="G305" s="12" t="s">
        <v>1489</v>
      </c>
      <c r="H305" s="9" t="s">
        <v>53</v>
      </c>
      <c r="I305" s="9" t="str">
        <f>IFERROR(INDEX('Price List Library'!$P$6:$P$437,MATCH(TRIM($G305)&amp;"|"&amp;TRIM($H305),'Price List Library'!$S$6:$S$437,0)),"")</f>
        <v>Priced</v>
      </c>
      <c r="J305" s="20">
        <f>IFERROR(INDEX('Price List Library'!$O$6:$O$437,MATCH(TRIM($G305)&amp;"|"&amp;TRIM($H305),'Price List Library'!$S$6:$S$437,0)),0)</f>
        <v>0.96000000000000008</v>
      </c>
      <c r="K305" s="13" t="s">
        <v>1783</v>
      </c>
    </row>
    <row r="306" spans="1:11" ht="15" customHeight="1" x14ac:dyDescent="0.25">
      <c r="A306" s="9">
        <v>301</v>
      </c>
      <c r="B306" s="10" t="s">
        <v>13</v>
      </c>
      <c r="C306" s="11" t="s">
        <v>225</v>
      </c>
      <c r="D306" s="12" t="s">
        <v>226</v>
      </c>
      <c r="E306" s="12" t="s">
        <v>243</v>
      </c>
      <c r="F306" s="12" t="s">
        <v>72</v>
      </c>
      <c r="G306" s="12" t="s">
        <v>1491</v>
      </c>
      <c r="H306" s="9" t="s">
        <v>53</v>
      </c>
      <c r="I306" s="9" t="str">
        <f>IFERROR(INDEX('Price List Library'!$P$6:$P$437,MATCH(TRIM($G306)&amp;"|"&amp;TRIM($H306),'Price List Library'!$S$6:$S$437,0)),"")</f>
        <v>Priced</v>
      </c>
      <c r="J306" s="20">
        <f>IFERROR(INDEX('Price List Library'!$O$6:$O$437,MATCH(TRIM($G306)&amp;"|"&amp;TRIM($H306),'Price List Library'!$S$6:$S$437,0)),0)</f>
        <v>0.94880000000000009</v>
      </c>
      <c r="K306" s="13" t="s">
        <v>1784</v>
      </c>
    </row>
    <row r="307" spans="1:11" ht="15" customHeight="1" x14ac:dyDescent="0.25">
      <c r="A307" s="9">
        <v>302</v>
      </c>
      <c r="B307" s="10" t="s">
        <v>13</v>
      </c>
      <c r="C307" s="11" t="s">
        <v>225</v>
      </c>
      <c r="D307" s="12" t="s">
        <v>226</v>
      </c>
      <c r="E307" s="12" t="s">
        <v>243</v>
      </c>
      <c r="F307" s="12" t="s">
        <v>72</v>
      </c>
      <c r="G307" s="12" t="s">
        <v>1493</v>
      </c>
      <c r="H307" s="9" t="s">
        <v>53</v>
      </c>
      <c r="I307" s="9" t="str">
        <f>IFERROR(INDEX('Price List Library'!$P$6:$P$437,MATCH(TRIM($G307)&amp;"|"&amp;TRIM($H307),'Price List Library'!$S$6:$S$437,0)),"")</f>
        <v>Priced</v>
      </c>
      <c r="J307" s="20">
        <f>IFERROR(INDEX('Price List Library'!$O$6:$O$437,MATCH(TRIM($G307)&amp;"|"&amp;TRIM($H307),'Price List Library'!$S$6:$S$437,0)),0)</f>
        <v>0.92560000000000009</v>
      </c>
      <c r="K307" s="13" t="s">
        <v>1785</v>
      </c>
    </row>
    <row r="308" spans="1:11" ht="15" customHeight="1" x14ac:dyDescent="0.25">
      <c r="A308" s="9">
        <v>303</v>
      </c>
      <c r="B308" s="10" t="s">
        <v>13</v>
      </c>
      <c r="C308" s="11" t="s">
        <v>225</v>
      </c>
      <c r="D308" s="12" t="s">
        <v>226</v>
      </c>
      <c r="E308" s="12" t="s">
        <v>243</v>
      </c>
      <c r="F308" s="12" t="s">
        <v>72</v>
      </c>
      <c r="G308" s="12" t="s">
        <v>1495</v>
      </c>
      <c r="H308" s="9" t="s">
        <v>53</v>
      </c>
      <c r="I308" s="9" t="str">
        <f>IFERROR(INDEX('Price List Library'!$P$6:$P$437,MATCH(TRIM($G308)&amp;"|"&amp;TRIM($H308),'Price List Library'!$S$6:$S$437,0)),"")</f>
        <v>Priced</v>
      </c>
      <c r="J308" s="20">
        <f>IFERROR(INDEX('Price List Library'!$O$6:$O$437,MATCH(TRIM($G308)&amp;"|"&amp;TRIM($H308),'Price List Library'!$S$6:$S$437,0)),0)</f>
        <v>0.90239999999999998</v>
      </c>
      <c r="K308" s="13" t="s">
        <v>1786</v>
      </c>
    </row>
    <row r="309" spans="1:11" ht="15" customHeight="1" x14ac:dyDescent="0.25">
      <c r="A309" s="9">
        <v>304</v>
      </c>
      <c r="B309" s="10" t="s">
        <v>13</v>
      </c>
      <c r="C309" s="11" t="s">
        <v>225</v>
      </c>
      <c r="D309" s="12" t="s">
        <v>226</v>
      </c>
      <c r="E309" s="12" t="s">
        <v>243</v>
      </c>
      <c r="F309" s="12" t="s">
        <v>72</v>
      </c>
      <c r="G309" s="12" t="s">
        <v>1497</v>
      </c>
      <c r="H309" s="9" t="s">
        <v>53</v>
      </c>
      <c r="I309" s="9" t="str">
        <f>IFERROR(INDEX('Price List Library'!$P$6:$P$437,MATCH(TRIM($G309)&amp;"|"&amp;TRIM($H309),'Price List Library'!$S$6:$S$437,0)),"")</f>
        <v>Priced</v>
      </c>
      <c r="J309" s="20">
        <f>IFERROR(INDEX('Price List Library'!$O$6:$O$437,MATCH(TRIM($G309)&amp;"|"&amp;TRIM($H309),'Price List Library'!$S$6:$S$437,0)),0)</f>
        <v>0.89119999999999999</v>
      </c>
      <c r="K309" s="13" t="s">
        <v>1787</v>
      </c>
    </row>
    <row r="310" spans="1:11" ht="15" customHeight="1" x14ac:dyDescent="0.25">
      <c r="A310" s="9">
        <v>305</v>
      </c>
      <c r="B310" s="10" t="s">
        <v>13</v>
      </c>
      <c r="C310" s="11" t="s">
        <v>225</v>
      </c>
      <c r="D310" s="12" t="s">
        <v>226</v>
      </c>
      <c r="E310" s="12" t="s">
        <v>243</v>
      </c>
      <c r="F310" s="12" t="s">
        <v>72</v>
      </c>
      <c r="G310" s="12" t="s">
        <v>1499</v>
      </c>
      <c r="H310" s="9" t="s">
        <v>53</v>
      </c>
      <c r="I310" s="9" t="str">
        <f>IFERROR(INDEX('Price List Library'!$P$6:$P$437,MATCH(TRIM($G310)&amp;"|"&amp;TRIM($H310),'Price List Library'!$S$6:$S$437,0)),"")</f>
        <v>Priced</v>
      </c>
      <c r="J310" s="20">
        <f>IFERROR(INDEX('Price List Library'!$O$6:$O$437,MATCH(TRIM($G310)&amp;"|"&amp;TRIM($H310),'Price List Library'!$S$6:$S$437,0)),0)</f>
        <v>1.0064</v>
      </c>
      <c r="K310" s="13" t="s">
        <v>1788</v>
      </c>
    </row>
    <row r="311" spans="1:11" ht="15" customHeight="1" x14ac:dyDescent="0.25">
      <c r="A311" s="9">
        <v>306</v>
      </c>
      <c r="B311" s="10" t="s">
        <v>13</v>
      </c>
      <c r="C311" s="11" t="s">
        <v>225</v>
      </c>
      <c r="D311" s="12" t="s">
        <v>226</v>
      </c>
      <c r="E311" s="12" t="s">
        <v>243</v>
      </c>
      <c r="F311" s="12" t="s">
        <v>72</v>
      </c>
      <c r="G311" s="12" t="s">
        <v>1501</v>
      </c>
      <c r="H311" s="9" t="s">
        <v>53</v>
      </c>
      <c r="I311" s="9" t="str">
        <f>IFERROR(INDEX('Price List Library'!$P$6:$P$437,MATCH(TRIM($G311)&amp;"|"&amp;TRIM($H311),'Price List Library'!$S$6:$S$437,0)),"")</f>
        <v>Benchmark</v>
      </c>
      <c r="J311" s="20">
        <f>IFERROR(INDEX('Price List Library'!$O$6:$O$437,MATCH(TRIM($G311)&amp;"|"&amp;TRIM($H311),'Price List Library'!$S$6:$S$437,0)),0)</f>
        <v>1.0296000000000001</v>
      </c>
      <c r="K311" s="13" t="s">
        <v>1789</v>
      </c>
    </row>
    <row r="312" spans="1:11" ht="15" customHeight="1" x14ac:dyDescent="0.25">
      <c r="A312" s="9">
        <v>307</v>
      </c>
      <c r="B312" s="10" t="s">
        <v>13</v>
      </c>
      <c r="C312" s="11" t="s">
        <v>225</v>
      </c>
      <c r="D312" s="12" t="s">
        <v>226</v>
      </c>
      <c r="E312" s="12" t="s">
        <v>243</v>
      </c>
      <c r="F312" s="12" t="s">
        <v>75</v>
      </c>
      <c r="G312" s="12" t="s">
        <v>76</v>
      </c>
      <c r="H312" s="9" t="s">
        <v>53</v>
      </c>
      <c r="I312" s="9" t="str">
        <f>IFERROR(INDEX('Price List Library'!$P$6:$P$437,MATCH(TRIM($G312)&amp;"|"&amp;TRIM($H312),'Price List Library'!$S$6:$S$437,0)),"")</f>
        <v>Priced</v>
      </c>
      <c r="J312" s="20">
        <f>IFERROR(INDEX('Price List Library'!$O$6:$O$437,MATCH(TRIM($G312)&amp;"|"&amp;TRIM($H312),'Price List Library'!$S$6:$S$437,0)),0)</f>
        <v>1.4040000000000001</v>
      </c>
      <c r="K312" s="13" t="s">
        <v>1790</v>
      </c>
    </row>
    <row r="313" spans="1:11" ht="15" customHeight="1" x14ac:dyDescent="0.25">
      <c r="A313" s="9">
        <v>308</v>
      </c>
      <c r="B313" s="10" t="s">
        <v>13</v>
      </c>
      <c r="C313" s="11" t="s">
        <v>225</v>
      </c>
      <c r="D313" s="12" t="s">
        <v>226</v>
      </c>
      <c r="E313" s="12" t="s">
        <v>243</v>
      </c>
      <c r="F313" s="12" t="s">
        <v>248</v>
      </c>
      <c r="G313" s="12" t="s">
        <v>249</v>
      </c>
      <c r="H313" s="9" t="s">
        <v>53</v>
      </c>
      <c r="I313" s="9" t="str">
        <f>IFERROR(INDEX('Price List Library'!$P$6:$P$437,MATCH(TRIM($G313)&amp;"|"&amp;TRIM($H313),'Price List Library'!$S$6:$S$437,0)),"")</f>
        <v>Benchmark</v>
      </c>
      <c r="J313" s="20">
        <f>IFERROR(INDEX('Price List Library'!$O$6:$O$437,MATCH(TRIM($G313)&amp;"|"&amp;TRIM($H313),'Price List Library'!$S$6:$S$437,0)),0)</f>
        <v>2.7320000000000007</v>
      </c>
      <c r="K313" s="13" t="s">
        <v>1791</v>
      </c>
    </row>
    <row r="314" spans="1:11" ht="15" customHeight="1" x14ac:dyDescent="0.25">
      <c r="A314" s="9">
        <v>309</v>
      </c>
      <c r="B314" s="10" t="s">
        <v>13</v>
      </c>
      <c r="C314" s="11" t="s">
        <v>225</v>
      </c>
      <c r="D314" s="12" t="s">
        <v>226</v>
      </c>
      <c r="E314" s="12" t="s">
        <v>243</v>
      </c>
      <c r="F314" s="12" t="s">
        <v>251</v>
      </c>
      <c r="G314" s="12" t="s">
        <v>252</v>
      </c>
      <c r="H314" s="9" t="s">
        <v>18</v>
      </c>
      <c r="I314" s="9" t="str">
        <f>IFERROR(INDEX('Price List Library'!$P$6:$P$437,MATCH(TRIM($G314)&amp;"|"&amp;TRIM($H314),'Price List Library'!$S$6:$S$437,0)),"")</f>
        <v>Benchmark</v>
      </c>
      <c r="J314" s="20">
        <f>IFERROR(INDEX('Price List Library'!$O$6:$O$437,MATCH(TRIM($G314)&amp;"|"&amp;TRIM($H314),'Price List Library'!$S$6:$S$437,0)),0)</f>
        <v>23.32</v>
      </c>
      <c r="K314" s="13" t="s">
        <v>1792</v>
      </c>
    </row>
    <row r="315" spans="1:11" ht="15" customHeight="1" x14ac:dyDescent="0.25">
      <c r="A315" s="9">
        <v>310</v>
      </c>
      <c r="B315" s="10" t="s">
        <v>13</v>
      </c>
      <c r="C315" s="11" t="s">
        <v>225</v>
      </c>
      <c r="D315" s="12" t="s">
        <v>226</v>
      </c>
      <c r="E315" s="12" t="s">
        <v>254</v>
      </c>
      <c r="F315" s="12" t="s">
        <v>69</v>
      </c>
      <c r="G315" s="12" t="s">
        <v>70</v>
      </c>
      <c r="H315" s="9" t="s">
        <v>22</v>
      </c>
      <c r="I315" s="9" t="str">
        <f>IFERROR(INDEX('Price List Library'!$P$6:$P$437,MATCH(TRIM($G315)&amp;"|"&amp;TRIM($H315),'Price List Library'!$S$6:$S$437,0)),"")</f>
        <v>Priced</v>
      </c>
      <c r="J315" s="20">
        <f>IFERROR(INDEX('Price List Library'!$O$6:$O$437,MATCH(TRIM($G315)&amp;"|"&amp;TRIM($H315),'Price List Library'!$S$6:$S$437,0)),0)</f>
        <v>121.76</v>
      </c>
      <c r="K315" s="13" t="s">
        <v>1793</v>
      </c>
    </row>
    <row r="316" spans="1:11" ht="15" customHeight="1" x14ac:dyDescent="0.25">
      <c r="A316" s="9">
        <v>311</v>
      </c>
      <c r="B316" s="10" t="s">
        <v>13</v>
      </c>
      <c r="C316" s="11" t="s">
        <v>225</v>
      </c>
      <c r="D316" s="12" t="s">
        <v>226</v>
      </c>
      <c r="E316" s="12" t="s">
        <v>254</v>
      </c>
      <c r="F316" s="12" t="s">
        <v>69</v>
      </c>
      <c r="G316" s="12" t="s">
        <v>1480</v>
      </c>
      <c r="H316" s="9" t="s">
        <v>22</v>
      </c>
      <c r="I316" s="9" t="str">
        <f>IFERROR(INDEX('Price List Library'!$P$6:$P$437,MATCH(TRIM($G316)&amp;"|"&amp;TRIM($H316),'Price List Library'!$S$6:$S$437,0)),"")</f>
        <v>Priced</v>
      </c>
      <c r="J316" s="20">
        <f>IFERROR(INDEX('Price List Library'!$O$6:$O$437,MATCH(TRIM($G316)&amp;"|"&amp;TRIM($H316),'Price List Library'!$S$6:$S$437,0)),0)</f>
        <v>119.36</v>
      </c>
      <c r="K316" s="13" t="s">
        <v>1794</v>
      </c>
    </row>
    <row r="317" spans="1:11" ht="15" customHeight="1" x14ac:dyDescent="0.25">
      <c r="A317" s="9">
        <v>312</v>
      </c>
      <c r="B317" s="10" t="s">
        <v>13</v>
      </c>
      <c r="C317" s="11" t="s">
        <v>225</v>
      </c>
      <c r="D317" s="12" t="s">
        <v>226</v>
      </c>
      <c r="E317" s="12" t="s">
        <v>254</v>
      </c>
      <c r="F317" s="12" t="s">
        <v>69</v>
      </c>
      <c r="G317" s="12" t="s">
        <v>1482</v>
      </c>
      <c r="H317" s="9" t="s">
        <v>22</v>
      </c>
      <c r="I317" s="9" t="str">
        <f>IFERROR(INDEX('Price List Library'!$P$6:$P$437,MATCH(TRIM($G317)&amp;"|"&amp;TRIM($H317),'Price List Library'!$S$6:$S$437,0)),"")</f>
        <v>Benchmark</v>
      </c>
      <c r="J317" s="20">
        <f>IFERROR(INDEX('Price List Library'!$O$6:$O$437,MATCH(TRIM($G317)&amp;"|"&amp;TRIM($H317),'Price List Library'!$S$6:$S$437,0)),0)</f>
        <v>108.16</v>
      </c>
      <c r="K317" s="13" t="s">
        <v>1795</v>
      </c>
    </row>
    <row r="318" spans="1:11" ht="15" customHeight="1" x14ac:dyDescent="0.25">
      <c r="A318" s="9">
        <v>313</v>
      </c>
      <c r="B318" s="10" t="s">
        <v>13</v>
      </c>
      <c r="C318" s="11" t="s">
        <v>225</v>
      </c>
      <c r="D318" s="12" t="s">
        <v>226</v>
      </c>
      <c r="E318" s="12" t="s">
        <v>254</v>
      </c>
      <c r="F318" s="12" t="s">
        <v>69</v>
      </c>
      <c r="G318" s="12" t="s">
        <v>1484</v>
      </c>
      <c r="H318" s="9" t="s">
        <v>22</v>
      </c>
      <c r="I318" s="9" t="str">
        <f>IFERROR(INDEX('Price List Library'!$P$6:$P$437,MATCH(TRIM($G318)&amp;"|"&amp;TRIM($H318),'Price List Library'!$S$6:$S$437,0)),"")</f>
        <v>Benchmark</v>
      </c>
      <c r="J318" s="20">
        <f>IFERROR(INDEX('Price List Library'!$O$6:$O$437,MATCH(TRIM($G318)&amp;"|"&amp;TRIM($H318),'Price List Library'!$S$6:$S$437,0)),0)</f>
        <v>114.96000000000001</v>
      </c>
      <c r="K318" s="13" t="s">
        <v>1796</v>
      </c>
    </row>
    <row r="319" spans="1:11" ht="15" customHeight="1" x14ac:dyDescent="0.25">
      <c r="A319" s="9">
        <v>314</v>
      </c>
      <c r="B319" s="10" t="s">
        <v>13</v>
      </c>
      <c r="C319" s="11" t="s">
        <v>225</v>
      </c>
      <c r="D319" s="12" t="s">
        <v>226</v>
      </c>
      <c r="E319" s="12" t="s">
        <v>254</v>
      </c>
      <c r="F319" s="12" t="s">
        <v>131</v>
      </c>
      <c r="G319" s="12" t="s">
        <v>150</v>
      </c>
      <c r="H319" s="9" t="s">
        <v>18</v>
      </c>
      <c r="I319" s="9" t="str">
        <f>IFERROR(INDEX('Price List Library'!$P$6:$P$437,MATCH(TRIM($G319)&amp;"|"&amp;TRIM($H319),'Price List Library'!$S$6:$S$437,0)),"")</f>
        <v>Benchmark</v>
      </c>
      <c r="J319" s="20">
        <f>IFERROR(INDEX('Price List Library'!$O$6:$O$437,MATCH(TRIM($G319)&amp;"|"&amp;TRIM($H319),'Price List Library'!$S$6:$S$437,0)),0)</f>
        <v>18.64</v>
      </c>
      <c r="K319" s="13" t="s">
        <v>1797</v>
      </c>
    </row>
    <row r="320" spans="1:11" ht="15" customHeight="1" x14ac:dyDescent="0.25">
      <c r="A320" s="9">
        <v>315</v>
      </c>
      <c r="B320" s="10" t="s">
        <v>13</v>
      </c>
      <c r="C320" s="11" t="s">
        <v>225</v>
      </c>
      <c r="D320" s="12" t="s">
        <v>226</v>
      </c>
      <c r="E320" s="12" t="s">
        <v>254</v>
      </c>
      <c r="F320" s="12" t="s">
        <v>131</v>
      </c>
      <c r="G320" s="12" t="s">
        <v>1541</v>
      </c>
      <c r="H320" s="9" t="s">
        <v>18</v>
      </c>
      <c r="I320" s="9" t="str">
        <f>IFERROR(INDEX('Price List Library'!$P$6:$P$437,MATCH(TRIM($G320)&amp;"|"&amp;TRIM($H320),'Price List Library'!$S$6:$S$437,0)),"")</f>
        <v>Benchmark</v>
      </c>
      <c r="J320" s="20">
        <f>IFERROR(INDEX('Price List Library'!$O$6:$O$437,MATCH(TRIM($G320)&amp;"|"&amp;TRIM($H320),'Price List Library'!$S$6:$S$437,0)),0)</f>
        <v>12.8</v>
      </c>
      <c r="K320" s="13" t="s">
        <v>1798</v>
      </c>
    </row>
    <row r="321" spans="1:11" ht="15" customHeight="1" x14ac:dyDescent="0.25">
      <c r="A321" s="9">
        <v>316</v>
      </c>
      <c r="B321" s="10" t="s">
        <v>13</v>
      </c>
      <c r="C321" s="11" t="s">
        <v>225</v>
      </c>
      <c r="D321" s="12" t="s">
        <v>226</v>
      </c>
      <c r="E321" s="12" t="s">
        <v>254</v>
      </c>
      <c r="F321" s="12" t="s">
        <v>72</v>
      </c>
      <c r="G321" s="12" t="s">
        <v>73</v>
      </c>
      <c r="H321" s="9" t="s">
        <v>53</v>
      </c>
      <c r="I321" s="9" t="str">
        <f>IFERROR(INDEX('Price List Library'!$P$6:$P$437,MATCH(TRIM($G321)&amp;"|"&amp;TRIM($H321),'Price List Library'!$S$6:$S$437,0)),"")</f>
        <v>Priced</v>
      </c>
      <c r="J321" s="20">
        <f>IFERROR(INDEX('Price List Library'!$O$6:$O$437,MATCH(TRIM($G321)&amp;"|"&amp;TRIM($H321),'Price List Library'!$S$6:$S$437,0)),0)</f>
        <v>1.0176000000000001</v>
      </c>
      <c r="K321" s="13" t="s">
        <v>1799</v>
      </c>
    </row>
    <row r="322" spans="1:11" ht="15" customHeight="1" x14ac:dyDescent="0.25">
      <c r="A322" s="9">
        <v>317</v>
      </c>
      <c r="B322" s="10" t="s">
        <v>13</v>
      </c>
      <c r="C322" s="11" t="s">
        <v>225</v>
      </c>
      <c r="D322" s="12" t="s">
        <v>226</v>
      </c>
      <c r="E322" s="12" t="s">
        <v>254</v>
      </c>
      <c r="F322" s="12" t="s">
        <v>72</v>
      </c>
      <c r="G322" s="12" t="s">
        <v>1487</v>
      </c>
      <c r="H322" s="9" t="s">
        <v>53</v>
      </c>
      <c r="I322" s="9" t="str">
        <f>IFERROR(INDEX('Price List Library'!$P$6:$P$437,MATCH(TRIM($G322)&amp;"|"&amp;TRIM($H322),'Price List Library'!$S$6:$S$437,0)),"")</f>
        <v>Priced</v>
      </c>
      <c r="J322" s="20">
        <f>IFERROR(INDEX('Price List Library'!$O$6:$O$437,MATCH(TRIM($G322)&amp;"|"&amp;TRIM($H322),'Price List Library'!$S$6:$S$437,0)),0)</f>
        <v>0.98320000000000007</v>
      </c>
      <c r="K322" s="13" t="s">
        <v>1800</v>
      </c>
    </row>
    <row r="323" spans="1:11" ht="15" customHeight="1" x14ac:dyDescent="0.25">
      <c r="A323" s="9">
        <v>318</v>
      </c>
      <c r="B323" s="10" t="s">
        <v>13</v>
      </c>
      <c r="C323" s="11" t="s">
        <v>225</v>
      </c>
      <c r="D323" s="12" t="s">
        <v>226</v>
      </c>
      <c r="E323" s="12" t="s">
        <v>254</v>
      </c>
      <c r="F323" s="12" t="s">
        <v>72</v>
      </c>
      <c r="G323" s="12" t="s">
        <v>1489</v>
      </c>
      <c r="H323" s="9" t="s">
        <v>53</v>
      </c>
      <c r="I323" s="9" t="str">
        <f>IFERROR(INDEX('Price List Library'!$P$6:$P$437,MATCH(TRIM($G323)&amp;"|"&amp;TRIM($H323),'Price List Library'!$S$6:$S$437,0)),"")</f>
        <v>Priced</v>
      </c>
      <c r="J323" s="20">
        <f>IFERROR(INDEX('Price List Library'!$O$6:$O$437,MATCH(TRIM($G323)&amp;"|"&amp;TRIM($H323),'Price List Library'!$S$6:$S$437,0)),0)</f>
        <v>0.96000000000000008</v>
      </c>
      <c r="K323" s="13" t="s">
        <v>1801</v>
      </c>
    </row>
    <row r="324" spans="1:11" ht="15" customHeight="1" x14ac:dyDescent="0.25">
      <c r="A324" s="9">
        <v>319</v>
      </c>
      <c r="B324" s="10" t="s">
        <v>13</v>
      </c>
      <c r="C324" s="11" t="s">
        <v>225</v>
      </c>
      <c r="D324" s="12" t="s">
        <v>226</v>
      </c>
      <c r="E324" s="12" t="s">
        <v>254</v>
      </c>
      <c r="F324" s="12" t="s">
        <v>72</v>
      </c>
      <c r="G324" s="12" t="s">
        <v>1491</v>
      </c>
      <c r="H324" s="9" t="s">
        <v>53</v>
      </c>
      <c r="I324" s="9" t="str">
        <f>IFERROR(INDEX('Price List Library'!$P$6:$P$437,MATCH(TRIM($G324)&amp;"|"&amp;TRIM($H324),'Price List Library'!$S$6:$S$437,0)),"")</f>
        <v>Priced</v>
      </c>
      <c r="J324" s="20">
        <f>IFERROR(INDEX('Price List Library'!$O$6:$O$437,MATCH(TRIM($G324)&amp;"|"&amp;TRIM($H324),'Price List Library'!$S$6:$S$437,0)),0)</f>
        <v>0.94880000000000009</v>
      </c>
      <c r="K324" s="13" t="s">
        <v>1802</v>
      </c>
    </row>
    <row r="325" spans="1:11" ht="15" customHeight="1" x14ac:dyDescent="0.25">
      <c r="A325" s="9">
        <v>320</v>
      </c>
      <c r="B325" s="10" t="s">
        <v>13</v>
      </c>
      <c r="C325" s="11" t="s">
        <v>225</v>
      </c>
      <c r="D325" s="12" t="s">
        <v>226</v>
      </c>
      <c r="E325" s="12" t="s">
        <v>254</v>
      </c>
      <c r="F325" s="12" t="s">
        <v>72</v>
      </c>
      <c r="G325" s="12" t="s">
        <v>1493</v>
      </c>
      <c r="H325" s="9" t="s">
        <v>53</v>
      </c>
      <c r="I325" s="9" t="str">
        <f>IFERROR(INDEX('Price List Library'!$P$6:$P$437,MATCH(TRIM($G325)&amp;"|"&amp;TRIM($H325),'Price List Library'!$S$6:$S$437,0)),"")</f>
        <v>Priced</v>
      </c>
      <c r="J325" s="20">
        <f>IFERROR(INDEX('Price List Library'!$O$6:$O$437,MATCH(TRIM($G325)&amp;"|"&amp;TRIM($H325),'Price List Library'!$S$6:$S$437,0)),0)</f>
        <v>0.92560000000000009</v>
      </c>
      <c r="K325" s="13" t="s">
        <v>1803</v>
      </c>
    </row>
    <row r="326" spans="1:11" ht="15" customHeight="1" x14ac:dyDescent="0.25">
      <c r="A326" s="9">
        <v>321</v>
      </c>
      <c r="B326" s="10" t="s">
        <v>13</v>
      </c>
      <c r="C326" s="11" t="s">
        <v>225</v>
      </c>
      <c r="D326" s="12" t="s">
        <v>226</v>
      </c>
      <c r="E326" s="12" t="s">
        <v>254</v>
      </c>
      <c r="F326" s="12" t="s">
        <v>72</v>
      </c>
      <c r="G326" s="12" t="s">
        <v>1495</v>
      </c>
      <c r="H326" s="9" t="s">
        <v>53</v>
      </c>
      <c r="I326" s="9" t="str">
        <f>IFERROR(INDEX('Price List Library'!$P$6:$P$437,MATCH(TRIM($G326)&amp;"|"&amp;TRIM($H326),'Price List Library'!$S$6:$S$437,0)),"")</f>
        <v>Priced</v>
      </c>
      <c r="J326" s="20">
        <f>IFERROR(INDEX('Price List Library'!$O$6:$O$437,MATCH(TRIM($G326)&amp;"|"&amp;TRIM($H326),'Price List Library'!$S$6:$S$437,0)),0)</f>
        <v>0.90239999999999998</v>
      </c>
      <c r="K326" s="13" t="s">
        <v>1804</v>
      </c>
    </row>
    <row r="327" spans="1:11" ht="15" customHeight="1" x14ac:dyDescent="0.25">
      <c r="A327" s="9">
        <v>322</v>
      </c>
      <c r="B327" s="10" t="s">
        <v>13</v>
      </c>
      <c r="C327" s="11" t="s">
        <v>225</v>
      </c>
      <c r="D327" s="12" t="s">
        <v>226</v>
      </c>
      <c r="E327" s="12" t="s">
        <v>254</v>
      </c>
      <c r="F327" s="12" t="s">
        <v>72</v>
      </c>
      <c r="G327" s="12" t="s">
        <v>1497</v>
      </c>
      <c r="H327" s="9" t="s">
        <v>53</v>
      </c>
      <c r="I327" s="9" t="str">
        <f>IFERROR(INDEX('Price List Library'!$P$6:$P$437,MATCH(TRIM($G327)&amp;"|"&amp;TRIM($H327),'Price List Library'!$S$6:$S$437,0)),"")</f>
        <v>Priced</v>
      </c>
      <c r="J327" s="20">
        <f>IFERROR(INDEX('Price List Library'!$O$6:$O$437,MATCH(TRIM($G327)&amp;"|"&amp;TRIM($H327),'Price List Library'!$S$6:$S$437,0)),0)</f>
        <v>0.89119999999999999</v>
      </c>
      <c r="K327" s="13" t="s">
        <v>1805</v>
      </c>
    </row>
    <row r="328" spans="1:11" ht="15" customHeight="1" x14ac:dyDescent="0.25">
      <c r="A328" s="9">
        <v>323</v>
      </c>
      <c r="B328" s="10" t="s">
        <v>13</v>
      </c>
      <c r="C328" s="11" t="s">
        <v>225</v>
      </c>
      <c r="D328" s="12" t="s">
        <v>226</v>
      </c>
      <c r="E328" s="12" t="s">
        <v>254</v>
      </c>
      <c r="F328" s="12" t="s">
        <v>72</v>
      </c>
      <c r="G328" s="12" t="s">
        <v>1499</v>
      </c>
      <c r="H328" s="9" t="s">
        <v>53</v>
      </c>
      <c r="I328" s="9" t="str">
        <f>IFERROR(INDEX('Price List Library'!$P$6:$P$437,MATCH(TRIM($G328)&amp;"|"&amp;TRIM($H328),'Price List Library'!$S$6:$S$437,0)),"")</f>
        <v>Priced</v>
      </c>
      <c r="J328" s="20">
        <f>IFERROR(INDEX('Price List Library'!$O$6:$O$437,MATCH(TRIM($G328)&amp;"|"&amp;TRIM($H328),'Price List Library'!$S$6:$S$437,0)),0)</f>
        <v>1.0064</v>
      </c>
      <c r="K328" s="13" t="s">
        <v>1806</v>
      </c>
    </row>
    <row r="329" spans="1:11" ht="15" customHeight="1" x14ac:dyDescent="0.25">
      <c r="A329" s="9">
        <v>324</v>
      </c>
      <c r="B329" s="10" t="s">
        <v>13</v>
      </c>
      <c r="C329" s="11" t="s">
        <v>225</v>
      </c>
      <c r="D329" s="12" t="s">
        <v>226</v>
      </c>
      <c r="E329" s="12" t="s">
        <v>254</v>
      </c>
      <c r="F329" s="12" t="s">
        <v>72</v>
      </c>
      <c r="G329" s="12" t="s">
        <v>1501</v>
      </c>
      <c r="H329" s="9" t="s">
        <v>53</v>
      </c>
      <c r="I329" s="9" t="str">
        <f>IFERROR(INDEX('Price List Library'!$P$6:$P$437,MATCH(TRIM($G329)&amp;"|"&amp;TRIM($H329),'Price List Library'!$S$6:$S$437,0)),"")</f>
        <v>Benchmark</v>
      </c>
      <c r="J329" s="20">
        <f>IFERROR(INDEX('Price List Library'!$O$6:$O$437,MATCH(TRIM($G329)&amp;"|"&amp;TRIM($H329),'Price List Library'!$S$6:$S$437,0)),0)</f>
        <v>1.0296000000000001</v>
      </c>
      <c r="K329" s="13" t="s">
        <v>1807</v>
      </c>
    </row>
    <row r="330" spans="1:11" ht="15" customHeight="1" x14ac:dyDescent="0.25">
      <c r="A330" s="9">
        <v>325</v>
      </c>
      <c r="B330" s="10" t="s">
        <v>13</v>
      </c>
      <c r="C330" s="11" t="s">
        <v>225</v>
      </c>
      <c r="D330" s="12" t="s">
        <v>226</v>
      </c>
      <c r="E330" s="12" t="s">
        <v>254</v>
      </c>
      <c r="F330" s="12" t="s">
        <v>75</v>
      </c>
      <c r="G330" s="12" t="s">
        <v>76</v>
      </c>
      <c r="H330" s="9" t="s">
        <v>53</v>
      </c>
      <c r="I330" s="9" t="str">
        <f>IFERROR(INDEX('Price List Library'!$P$6:$P$437,MATCH(TRIM($G330)&amp;"|"&amp;TRIM($H330),'Price List Library'!$S$6:$S$437,0)),"")</f>
        <v>Priced</v>
      </c>
      <c r="J330" s="20">
        <f>IFERROR(INDEX('Price List Library'!$O$6:$O$437,MATCH(TRIM($G330)&amp;"|"&amp;TRIM($H330),'Price List Library'!$S$6:$S$437,0)),0)</f>
        <v>1.4040000000000001</v>
      </c>
      <c r="K330" s="13" t="s">
        <v>1808</v>
      </c>
    </row>
    <row r="331" spans="1:11" ht="15" customHeight="1" x14ac:dyDescent="0.25">
      <c r="A331" s="9">
        <v>326</v>
      </c>
      <c r="B331" s="10" t="s">
        <v>13</v>
      </c>
      <c r="C331" s="11" t="s">
        <v>225</v>
      </c>
      <c r="D331" s="12" t="s">
        <v>226</v>
      </c>
      <c r="E331" s="12" t="s">
        <v>254</v>
      </c>
      <c r="F331" s="12" t="s">
        <v>135</v>
      </c>
      <c r="G331" s="12" t="s">
        <v>136</v>
      </c>
      <c r="H331" s="9" t="s">
        <v>61</v>
      </c>
      <c r="I331" s="9" t="str">
        <f>IFERROR(INDEX('Price List Library'!$P$6:$P$437,MATCH(TRIM($G331)&amp;"|"&amp;TRIM($H331),'Price List Library'!$S$6:$S$437,0)),"")</f>
        <v>Priced</v>
      </c>
      <c r="J331" s="20">
        <f>IFERROR(INDEX('Price List Library'!$O$6:$O$437,MATCH(TRIM($G331)&amp;"|"&amp;TRIM($H331),'Price List Library'!$S$6:$S$437,0)),0)</f>
        <v>6.28</v>
      </c>
      <c r="K331" s="13" t="s">
        <v>1809</v>
      </c>
    </row>
    <row r="332" spans="1:11" ht="15" customHeight="1" x14ac:dyDescent="0.25">
      <c r="A332" s="9">
        <v>327</v>
      </c>
      <c r="B332" s="10" t="s">
        <v>13</v>
      </c>
      <c r="C332" s="11" t="s">
        <v>225</v>
      </c>
      <c r="D332" s="12" t="s">
        <v>226</v>
      </c>
      <c r="E332" s="12" t="s">
        <v>260</v>
      </c>
      <c r="F332" s="12" t="s">
        <v>69</v>
      </c>
      <c r="G332" s="12" t="s">
        <v>70</v>
      </c>
      <c r="H332" s="9" t="s">
        <v>22</v>
      </c>
      <c r="I332" s="9" t="str">
        <f>IFERROR(INDEX('Price List Library'!$P$6:$P$437,MATCH(TRIM($G332)&amp;"|"&amp;TRIM($H332),'Price List Library'!$S$6:$S$437,0)),"")</f>
        <v>Priced</v>
      </c>
      <c r="J332" s="20">
        <f>IFERROR(INDEX('Price List Library'!$O$6:$O$437,MATCH(TRIM($G332)&amp;"|"&amp;TRIM($H332),'Price List Library'!$S$6:$S$437,0)),0)</f>
        <v>121.76</v>
      </c>
      <c r="K332" s="13" t="s">
        <v>1810</v>
      </c>
    </row>
    <row r="333" spans="1:11" ht="15" customHeight="1" x14ac:dyDescent="0.25">
      <c r="A333" s="9">
        <v>328</v>
      </c>
      <c r="B333" s="10" t="s">
        <v>13</v>
      </c>
      <c r="C333" s="11" t="s">
        <v>225</v>
      </c>
      <c r="D333" s="12" t="s">
        <v>226</v>
      </c>
      <c r="E333" s="12" t="s">
        <v>260</v>
      </c>
      <c r="F333" s="12" t="s">
        <v>69</v>
      </c>
      <c r="G333" s="12" t="s">
        <v>1480</v>
      </c>
      <c r="H333" s="9" t="s">
        <v>22</v>
      </c>
      <c r="I333" s="9" t="str">
        <f>IFERROR(INDEX('Price List Library'!$P$6:$P$437,MATCH(TRIM($G333)&amp;"|"&amp;TRIM($H333),'Price List Library'!$S$6:$S$437,0)),"")</f>
        <v>Priced</v>
      </c>
      <c r="J333" s="20">
        <f>IFERROR(INDEX('Price List Library'!$O$6:$O$437,MATCH(TRIM($G333)&amp;"|"&amp;TRIM($H333),'Price List Library'!$S$6:$S$437,0)),0)</f>
        <v>119.36</v>
      </c>
      <c r="K333" s="13" t="s">
        <v>1811</v>
      </c>
    </row>
    <row r="334" spans="1:11" ht="15" customHeight="1" x14ac:dyDescent="0.25">
      <c r="A334" s="9">
        <v>329</v>
      </c>
      <c r="B334" s="10" t="s">
        <v>13</v>
      </c>
      <c r="C334" s="11" t="s">
        <v>225</v>
      </c>
      <c r="D334" s="12" t="s">
        <v>226</v>
      </c>
      <c r="E334" s="12" t="s">
        <v>260</v>
      </c>
      <c r="F334" s="12" t="s">
        <v>69</v>
      </c>
      <c r="G334" s="12" t="s">
        <v>1482</v>
      </c>
      <c r="H334" s="9" t="s">
        <v>22</v>
      </c>
      <c r="I334" s="9" t="str">
        <f>IFERROR(INDEX('Price List Library'!$P$6:$P$437,MATCH(TRIM($G334)&amp;"|"&amp;TRIM($H334),'Price List Library'!$S$6:$S$437,0)),"")</f>
        <v>Benchmark</v>
      </c>
      <c r="J334" s="20">
        <f>IFERROR(INDEX('Price List Library'!$O$6:$O$437,MATCH(TRIM($G334)&amp;"|"&amp;TRIM($H334),'Price List Library'!$S$6:$S$437,0)),0)</f>
        <v>108.16</v>
      </c>
      <c r="K334" s="13" t="s">
        <v>1812</v>
      </c>
    </row>
    <row r="335" spans="1:11" ht="15" customHeight="1" x14ac:dyDescent="0.25">
      <c r="A335" s="9">
        <v>330</v>
      </c>
      <c r="B335" s="10" t="s">
        <v>13</v>
      </c>
      <c r="C335" s="11" t="s">
        <v>225</v>
      </c>
      <c r="D335" s="12" t="s">
        <v>226</v>
      </c>
      <c r="E335" s="12" t="s">
        <v>260</v>
      </c>
      <c r="F335" s="12" t="s">
        <v>69</v>
      </c>
      <c r="G335" s="12" t="s">
        <v>1484</v>
      </c>
      <c r="H335" s="9" t="s">
        <v>22</v>
      </c>
      <c r="I335" s="9" t="str">
        <f>IFERROR(INDEX('Price List Library'!$P$6:$P$437,MATCH(TRIM($G335)&amp;"|"&amp;TRIM($H335),'Price List Library'!$S$6:$S$437,0)),"")</f>
        <v>Benchmark</v>
      </c>
      <c r="J335" s="20">
        <f>IFERROR(INDEX('Price List Library'!$O$6:$O$437,MATCH(TRIM($G335)&amp;"|"&amp;TRIM($H335),'Price List Library'!$S$6:$S$437,0)),0)</f>
        <v>114.96000000000001</v>
      </c>
      <c r="K335" s="13" t="s">
        <v>1813</v>
      </c>
    </row>
    <row r="336" spans="1:11" ht="15" customHeight="1" x14ac:dyDescent="0.25">
      <c r="A336" s="9">
        <v>331</v>
      </c>
      <c r="B336" s="10" t="s">
        <v>13</v>
      </c>
      <c r="C336" s="11" t="s">
        <v>225</v>
      </c>
      <c r="D336" s="12" t="s">
        <v>226</v>
      </c>
      <c r="E336" s="12" t="s">
        <v>260</v>
      </c>
      <c r="F336" s="12" t="s">
        <v>131</v>
      </c>
      <c r="G336" s="12" t="s">
        <v>150</v>
      </c>
      <c r="H336" s="9" t="s">
        <v>18</v>
      </c>
      <c r="I336" s="9" t="str">
        <f>IFERROR(INDEX('Price List Library'!$P$6:$P$437,MATCH(TRIM($G336)&amp;"|"&amp;TRIM($H336),'Price List Library'!$S$6:$S$437,0)),"")</f>
        <v>Benchmark</v>
      </c>
      <c r="J336" s="20">
        <f>IFERROR(INDEX('Price List Library'!$O$6:$O$437,MATCH(TRIM($G336)&amp;"|"&amp;TRIM($H336),'Price List Library'!$S$6:$S$437,0)),0)</f>
        <v>18.64</v>
      </c>
      <c r="K336" s="13" t="s">
        <v>1814</v>
      </c>
    </row>
    <row r="337" spans="1:11" ht="15" customHeight="1" x14ac:dyDescent="0.25">
      <c r="A337" s="9">
        <v>332</v>
      </c>
      <c r="B337" s="10" t="s">
        <v>13</v>
      </c>
      <c r="C337" s="11" t="s">
        <v>225</v>
      </c>
      <c r="D337" s="12" t="s">
        <v>226</v>
      </c>
      <c r="E337" s="12" t="s">
        <v>260</v>
      </c>
      <c r="F337" s="12" t="s">
        <v>131</v>
      </c>
      <c r="G337" s="12" t="s">
        <v>1541</v>
      </c>
      <c r="H337" s="9" t="s">
        <v>18</v>
      </c>
      <c r="I337" s="9" t="str">
        <f>IFERROR(INDEX('Price List Library'!$P$6:$P$437,MATCH(TRIM($G337)&amp;"|"&amp;TRIM($H337),'Price List Library'!$S$6:$S$437,0)),"")</f>
        <v>Benchmark</v>
      </c>
      <c r="J337" s="20">
        <f>IFERROR(INDEX('Price List Library'!$O$6:$O$437,MATCH(TRIM($G337)&amp;"|"&amp;TRIM($H337),'Price List Library'!$S$6:$S$437,0)),0)</f>
        <v>12.8</v>
      </c>
      <c r="K337" s="13" t="s">
        <v>1815</v>
      </c>
    </row>
    <row r="338" spans="1:11" ht="15" customHeight="1" x14ac:dyDescent="0.25">
      <c r="A338" s="9">
        <v>333</v>
      </c>
      <c r="B338" s="10" t="s">
        <v>13</v>
      </c>
      <c r="C338" s="11" t="s">
        <v>225</v>
      </c>
      <c r="D338" s="12" t="s">
        <v>226</v>
      </c>
      <c r="E338" s="12" t="s">
        <v>260</v>
      </c>
      <c r="F338" s="12" t="s">
        <v>72</v>
      </c>
      <c r="G338" s="12" t="s">
        <v>73</v>
      </c>
      <c r="H338" s="9" t="s">
        <v>53</v>
      </c>
      <c r="I338" s="9" t="str">
        <f>IFERROR(INDEX('Price List Library'!$P$6:$P$437,MATCH(TRIM($G338)&amp;"|"&amp;TRIM($H338),'Price List Library'!$S$6:$S$437,0)),"")</f>
        <v>Priced</v>
      </c>
      <c r="J338" s="20">
        <f>IFERROR(INDEX('Price List Library'!$O$6:$O$437,MATCH(TRIM($G338)&amp;"|"&amp;TRIM($H338),'Price List Library'!$S$6:$S$437,0)),0)</f>
        <v>1.0176000000000001</v>
      </c>
      <c r="K338" s="13" t="s">
        <v>1816</v>
      </c>
    </row>
    <row r="339" spans="1:11" ht="15" customHeight="1" x14ac:dyDescent="0.25">
      <c r="A339" s="9">
        <v>334</v>
      </c>
      <c r="B339" s="10" t="s">
        <v>13</v>
      </c>
      <c r="C339" s="11" t="s">
        <v>225</v>
      </c>
      <c r="D339" s="12" t="s">
        <v>226</v>
      </c>
      <c r="E339" s="12" t="s">
        <v>260</v>
      </c>
      <c r="F339" s="12" t="s">
        <v>72</v>
      </c>
      <c r="G339" s="12" t="s">
        <v>1487</v>
      </c>
      <c r="H339" s="9" t="s">
        <v>53</v>
      </c>
      <c r="I339" s="9" t="str">
        <f>IFERROR(INDEX('Price List Library'!$P$6:$P$437,MATCH(TRIM($G339)&amp;"|"&amp;TRIM($H339),'Price List Library'!$S$6:$S$437,0)),"")</f>
        <v>Priced</v>
      </c>
      <c r="J339" s="20">
        <f>IFERROR(INDEX('Price List Library'!$O$6:$O$437,MATCH(TRIM($G339)&amp;"|"&amp;TRIM($H339),'Price List Library'!$S$6:$S$437,0)),0)</f>
        <v>0.98320000000000007</v>
      </c>
      <c r="K339" s="13" t="s">
        <v>1817</v>
      </c>
    </row>
    <row r="340" spans="1:11" ht="15" customHeight="1" x14ac:dyDescent="0.25">
      <c r="A340" s="9">
        <v>335</v>
      </c>
      <c r="B340" s="10" t="s">
        <v>13</v>
      </c>
      <c r="C340" s="11" t="s">
        <v>225</v>
      </c>
      <c r="D340" s="12" t="s">
        <v>226</v>
      </c>
      <c r="E340" s="12" t="s">
        <v>260</v>
      </c>
      <c r="F340" s="12" t="s">
        <v>72</v>
      </c>
      <c r="G340" s="12" t="s">
        <v>1489</v>
      </c>
      <c r="H340" s="9" t="s">
        <v>53</v>
      </c>
      <c r="I340" s="9" t="str">
        <f>IFERROR(INDEX('Price List Library'!$P$6:$P$437,MATCH(TRIM($G340)&amp;"|"&amp;TRIM($H340),'Price List Library'!$S$6:$S$437,0)),"")</f>
        <v>Priced</v>
      </c>
      <c r="J340" s="20">
        <f>IFERROR(INDEX('Price List Library'!$O$6:$O$437,MATCH(TRIM($G340)&amp;"|"&amp;TRIM($H340),'Price List Library'!$S$6:$S$437,0)),0)</f>
        <v>0.96000000000000008</v>
      </c>
      <c r="K340" s="13" t="s">
        <v>1818</v>
      </c>
    </row>
    <row r="341" spans="1:11" ht="15" customHeight="1" x14ac:dyDescent="0.25">
      <c r="A341" s="9">
        <v>336</v>
      </c>
      <c r="B341" s="10" t="s">
        <v>13</v>
      </c>
      <c r="C341" s="11" t="s">
        <v>225</v>
      </c>
      <c r="D341" s="12" t="s">
        <v>226</v>
      </c>
      <c r="E341" s="12" t="s">
        <v>260</v>
      </c>
      <c r="F341" s="12" t="s">
        <v>72</v>
      </c>
      <c r="G341" s="12" t="s">
        <v>1491</v>
      </c>
      <c r="H341" s="9" t="s">
        <v>53</v>
      </c>
      <c r="I341" s="9" t="str">
        <f>IFERROR(INDEX('Price List Library'!$P$6:$P$437,MATCH(TRIM($G341)&amp;"|"&amp;TRIM($H341),'Price List Library'!$S$6:$S$437,0)),"")</f>
        <v>Priced</v>
      </c>
      <c r="J341" s="20">
        <f>IFERROR(INDEX('Price List Library'!$O$6:$O$437,MATCH(TRIM($G341)&amp;"|"&amp;TRIM($H341),'Price List Library'!$S$6:$S$437,0)),0)</f>
        <v>0.94880000000000009</v>
      </c>
      <c r="K341" s="13" t="s">
        <v>1819</v>
      </c>
    </row>
    <row r="342" spans="1:11" ht="15" customHeight="1" x14ac:dyDescent="0.25">
      <c r="A342" s="9">
        <v>337</v>
      </c>
      <c r="B342" s="10" t="s">
        <v>13</v>
      </c>
      <c r="C342" s="11" t="s">
        <v>225</v>
      </c>
      <c r="D342" s="12" t="s">
        <v>226</v>
      </c>
      <c r="E342" s="12" t="s">
        <v>260</v>
      </c>
      <c r="F342" s="12" t="s">
        <v>72</v>
      </c>
      <c r="G342" s="12" t="s">
        <v>1493</v>
      </c>
      <c r="H342" s="9" t="s">
        <v>53</v>
      </c>
      <c r="I342" s="9" t="str">
        <f>IFERROR(INDEX('Price List Library'!$P$6:$P$437,MATCH(TRIM($G342)&amp;"|"&amp;TRIM($H342),'Price List Library'!$S$6:$S$437,0)),"")</f>
        <v>Priced</v>
      </c>
      <c r="J342" s="20">
        <f>IFERROR(INDEX('Price List Library'!$O$6:$O$437,MATCH(TRIM($G342)&amp;"|"&amp;TRIM($H342),'Price List Library'!$S$6:$S$437,0)),0)</f>
        <v>0.92560000000000009</v>
      </c>
      <c r="K342" s="13" t="s">
        <v>1820</v>
      </c>
    </row>
    <row r="343" spans="1:11" ht="15" customHeight="1" x14ac:dyDescent="0.25">
      <c r="A343" s="9">
        <v>338</v>
      </c>
      <c r="B343" s="10" t="s">
        <v>13</v>
      </c>
      <c r="C343" s="11" t="s">
        <v>225</v>
      </c>
      <c r="D343" s="12" t="s">
        <v>226</v>
      </c>
      <c r="E343" s="12" t="s">
        <v>260</v>
      </c>
      <c r="F343" s="12" t="s">
        <v>72</v>
      </c>
      <c r="G343" s="12" t="s">
        <v>1495</v>
      </c>
      <c r="H343" s="9" t="s">
        <v>53</v>
      </c>
      <c r="I343" s="9" t="str">
        <f>IFERROR(INDEX('Price List Library'!$P$6:$P$437,MATCH(TRIM($G343)&amp;"|"&amp;TRIM($H343),'Price List Library'!$S$6:$S$437,0)),"")</f>
        <v>Priced</v>
      </c>
      <c r="J343" s="20">
        <f>IFERROR(INDEX('Price List Library'!$O$6:$O$437,MATCH(TRIM($G343)&amp;"|"&amp;TRIM($H343),'Price List Library'!$S$6:$S$437,0)),0)</f>
        <v>0.90239999999999998</v>
      </c>
      <c r="K343" s="13" t="s">
        <v>1821</v>
      </c>
    </row>
    <row r="344" spans="1:11" ht="15" customHeight="1" x14ac:dyDescent="0.25">
      <c r="A344" s="9">
        <v>339</v>
      </c>
      <c r="B344" s="10" t="s">
        <v>13</v>
      </c>
      <c r="C344" s="11" t="s">
        <v>225</v>
      </c>
      <c r="D344" s="12" t="s">
        <v>226</v>
      </c>
      <c r="E344" s="12" t="s">
        <v>260</v>
      </c>
      <c r="F344" s="12" t="s">
        <v>72</v>
      </c>
      <c r="G344" s="12" t="s">
        <v>1497</v>
      </c>
      <c r="H344" s="9" t="s">
        <v>53</v>
      </c>
      <c r="I344" s="9" t="str">
        <f>IFERROR(INDEX('Price List Library'!$P$6:$P$437,MATCH(TRIM($G344)&amp;"|"&amp;TRIM($H344),'Price List Library'!$S$6:$S$437,0)),"")</f>
        <v>Priced</v>
      </c>
      <c r="J344" s="20">
        <f>IFERROR(INDEX('Price List Library'!$O$6:$O$437,MATCH(TRIM($G344)&amp;"|"&amp;TRIM($H344),'Price List Library'!$S$6:$S$437,0)),0)</f>
        <v>0.89119999999999999</v>
      </c>
      <c r="K344" s="13" t="s">
        <v>1822</v>
      </c>
    </row>
    <row r="345" spans="1:11" ht="15" customHeight="1" x14ac:dyDescent="0.25">
      <c r="A345" s="9">
        <v>340</v>
      </c>
      <c r="B345" s="10" t="s">
        <v>13</v>
      </c>
      <c r="C345" s="11" t="s">
        <v>225</v>
      </c>
      <c r="D345" s="12" t="s">
        <v>226</v>
      </c>
      <c r="E345" s="12" t="s">
        <v>260</v>
      </c>
      <c r="F345" s="12" t="s">
        <v>72</v>
      </c>
      <c r="G345" s="12" t="s">
        <v>1499</v>
      </c>
      <c r="H345" s="9" t="s">
        <v>53</v>
      </c>
      <c r="I345" s="9" t="str">
        <f>IFERROR(INDEX('Price List Library'!$P$6:$P$437,MATCH(TRIM($G345)&amp;"|"&amp;TRIM($H345),'Price List Library'!$S$6:$S$437,0)),"")</f>
        <v>Priced</v>
      </c>
      <c r="J345" s="20">
        <f>IFERROR(INDEX('Price List Library'!$O$6:$O$437,MATCH(TRIM($G345)&amp;"|"&amp;TRIM($H345),'Price List Library'!$S$6:$S$437,0)),0)</f>
        <v>1.0064</v>
      </c>
      <c r="K345" s="13" t="s">
        <v>1823</v>
      </c>
    </row>
    <row r="346" spans="1:11" ht="15" customHeight="1" x14ac:dyDescent="0.25">
      <c r="A346" s="9">
        <v>341</v>
      </c>
      <c r="B346" s="10" t="s">
        <v>13</v>
      </c>
      <c r="C346" s="11" t="s">
        <v>225</v>
      </c>
      <c r="D346" s="12" t="s">
        <v>226</v>
      </c>
      <c r="E346" s="12" t="s">
        <v>260</v>
      </c>
      <c r="F346" s="12" t="s">
        <v>72</v>
      </c>
      <c r="G346" s="12" t="s">
        <v>1501</v>
      </c>
      <c r="H346" s="9" t="s">
        <v>53</v>
      </c>
      <c r="I346" s="9" t="str">
        <f>IFERROR(INDEX('Price List Library'!$P$6:$P$437,MATCH(TRIM($G346)&amp;"|"&amp;TRIM($H346),'Price List Library'!$S$6:$S$437,0)),"")</f>
        <v>Benchmark</v>
      </c>
      <c r="J346" s="20">
        <f>IFERROR(INDEX('Price List Library'!$O$6:$O$437,MATCH(TRIM($G346)&amp;"|"&amp;TRIM($H346),'Price List Library'!$S$6:$S$437,0)),0)</f>
        <v>1.0296000000000001</v>
      </c>
      <c r="K346" s="13" t="s">
        <v>1824</v>
      </c>
    </row>
    <row r="347" spans="1:11" ht="15" customHeight="1" x14ac:dyDescent="0.25">
      <c r="A347" s="9">
        <v>342</v>
      </c>
      <c r="B347" s="10" t="s">
        <v>13</v>
      </c>
      <c r="C347" s="11" t="s">
        <v>225</v>
      </c>
      <c r="D347" s="12" t="s">
        <v>226</v>
      </c>
      <c r="E347" s="12" t="s">
        <v>260</v>
      </c>
      <c r="F347" s="12" t="s">
        <v>75</v>
      </c>
      <c r="G347" s="12" t="s">
        <v>76</v>
      </c>
      <c r="H347" s="9" t="s">
        <v>53</v>
      </c>
      <c r="I347" s="9" t="str">
        <f>IFERROR(INDEX('Price List Library'!$P$6:$P$437,MATCH(TRIM($G347)&amp;"|"&amp;TRIM($H347),'Price List Library'!$S$6:$S$437,0)),"")</f>
        <v>Priced</v>
      </c>
      <c r="J347" s="20">
        <f>IFERROR(INDEX('Price List Library'!$O$6:$O$437,MATCH(TRIM($G347)&amp;"|"&amp;TRIM($H347),'Price List Library'!$S$6:$S$437,0)),0)</f>
        <v>1.4040000000000001</v>
      </c>
      <c r="K347" s="13" t="s">
        <v>1825</v>
      </c>
    </row>
    <row r="348" spans="1:11" ht="15" customHeight="1" x14ac:dyDescent="0.25">
      <c r="A348" s="9">
        <v>343</v>
      </c>
      <c r="B348" s="10" t="s">
        <v>13</v>
      </c>
      <c r="C348" s="11" t="s">
        <v>225</v>
      </c>
      <c r="D348" s="12" t="s">
        <v>226</v>
      </c>
      <c r="E348" s="12" t="s">
        <v>265</v>
      </c>
      <c r="F348" s="12" t="s">
        <v>69</v>
      </c>
      <c r="G348" s="12" t="s">
        <v>70</v>
      </c>
      <c r="H348" s="9" t="s">
        <v>22</v>
      </c>
      <c r="I348" s="9" t="str">
        <f>IFERROR(INDEX('Price List Library'!$P$6:$P$437,MATCH(TRIM($G348)&amp;"|"&amp;TRIM($H348),'Price List Library'!$S$6:$S$437,0)),"")</f>
        <v>Priced</v>
      </c>
      <c r="J348" s="20">
        <f>IFERROR(INDEX('Price List Library'!$O$6:$O$437,MATCH(TRIM($G348)&amp;"|"&amp;TRIM($H348),'Price List Library'!$S$6:$S$437,0)),0)</f>
        <v>121.76</v>
      </c>
      <c r="K348" s="13" t="s">
        <v>1826</v>
      </c>
    </row>
    <row r="349" spans="1:11" ht="15" customHeight="1" x14ac:dyDescent="0.25">
      <c r="A349" s="9">
        <v>344</v>
      </c>
      <c r="B349" s="10" t="s">
        <v>13</v>
      </c>
      <c r="C349" s="11" t="s">
        <v>225</v>
      </c>
      <c r="D349" s="12" t="s">
        <v>226</v>
      </c>
      <c r="E349" s="12" t="s">
        <v>265</v>
      </c>
      <c r="F349" s="12" t="s">
        <v>69</v>
      </c>
      <c r="G349" s="12" t="s">
        <v>1480</v>
      </c>
      <c r="H349" s="9" t="s">
        <v>22</v>
      </c>
      <c r="I349" s="9" t="str">
        <f>IFERROR(INDEX('Price List Library'!$P$6:$P$437,MATCH(TRIM($G349)&amp;"|"&amp;TRIM($H349),'Price List Library'!$S$6:$S$437,0)),"")</f>
        <v>Priced</v>
      </c>
      <c r="J349" s="20">
        <f>IFERROR(INDEX('Price List Library'!$O$6:$O$437,MATCH(TRIM($G349)&amp;"|"&amp;TRIM($H349),'Price List Library'!$S$6:$S$437,0)),0)</f>
        <v>119.36</v>
      </c>
      <c r="K349" s="13" t="s">
        <v>1827</v>
      </c>
    </row>
    <row r="350" spans="1:11" ht="15" customHeight="1" x14ac:dyDescent="0.25">
      <c r="A350" s="9">
        <v>345</v>
      </c>
      <c r="B350" s="10" t="s">
        <v>13</v>
      </c>
      <c r="C350" s="11" t="s">
        <v>225</v>
      </c>
      <c r="D350" s="12" t="s">
        <v>226</v>
      </c>
      <c r="E350" s="12" t="s">
        <v>265</v>
      </c>
      <c r="F350" s="12" t="s">
        <v>69</v>
      </c>
      <c r="G350" s="12" t="s">
        <v>1482</v>
      </c>
      <c r="H350" s="9" t="s">
        <v>22</v>
      </c>
      <c r="I350" s="9" t="str">
        <f>IFERROR(INDEX('Price List Library'!$P$6:$P$437,MATCH(TRIM($G350)&amp;"|"&amp;TRIM($H350),'Price List Library'!$S$6:$S$437,0)),"")</f>
        <v>Benchmark</v>
      </c>
      <c r="J350" s="20">
        <f>IFERROR(INDEX('Price List Library'!$O$6:$O$437,MATCH(TRIM($G350)&amp;"|"&amp;TRIM($H350),'Price List Library'!$S$6:$S$437,0)),0)</f>
        <v>108.16</v>
      </c>
      <c r="K350" s="13" t="s">
        <v>1828</v>
      </c>
    </row>
    <row r="351" spans="1:11" ht="15" customHeight="1" x14ac:dyDescent="0.25">
      <c r="A351" s="9">
        <v>346</v>
      </c>
      <c r="B351" s="10" t="s">
        <v>13</v>
      </c>
      <c r="C351" s="11" t="s">
        <v>225</v>
      </c>
      <c r="D351" s="12" t="s">
        <v>226</v>
      </c>
      <c r="E351" s="12" t="s">
        <v>265</v>
      </c>
      <c r="F351" s="12" t="s">
        <v>69</v>
      </c>
      <c r="G351" s="12" t="s">
        <v>1484</v>
      </c>
      <c r="H351" s="9" t="s">
        <v>22</v>
      </c>
      <c r="I351" s="9" t="str">
        <f>IFERROR(INDEX('Price List Library'!$P$6:$P$437,MATCH(TRIM($G351)&amp;"|"&amp;TRIM($H351),'Price List Library'!$S$6:$S$437,0)),"")</f>
        <v>Benchmark</v>
      </c>
      <c r="J351" s="20">
        <f>IFERROR(INDEX('Price List Library'!$O$6:$O$437,MATCH(TRIM($G351)&amp;"|"&amp;TRIM($H351),'Price List Library'!$S$6:$S$437,0)),0)</f>
        <v>114.96000000000001</v>
      </c>
      <c r="K351" s="13" t="s">
        <v>1829</v>
      </c>
    </row>
    <row r="352" spans="1:11" ht="15" customHeight="1" x14ac:dyDescent="0.25">
      <c r="A352" s="9">
        <v>347</v>
      </c>
      <c r="B352" s="10" t="s">
        <v>13</v>
      </c>
      <c r="C352" s="11" t="s">
        <v>225</v>
      </c>
      <c r="D352" s="12" t="s">
        <v>226</v>
      </c>
      <c r="E352" s="12" t="s">
        <v>265</v>
      </c>
      <c r="F352" s="12" t="s">
        <v>131</v>
      </c>
      <c r="G352" s="12" t="s">
        <v>150</v>
      </c>
      <c r="H352" s="9" t="s">
        <v>18</v>
      </c>
      <c r="I352" s="9" t="str">
        <f>IFERROR(INDEX('Price List Library'!$P$6:$P$437,MATCH(TRIM($G352)&amp;"|"&amp;TRIM($H352),'Price List Library'!$S$6:$S$437,0)),"")</f>
        <v>Benchmark</v>
      </c>
      <c r="J352" s="20">
        <f>IFERROR(INDEX('Price List Library'!$O$6:$O$437,MATCH(TRIM($G352)&amp;"|"&amp;TRIM($H352),'Price List Library'!$S$6:$S$437,0)),0)</f>
        <v>18.64</v>
      </c>
      <c r="K352" s="13" t="s">
        <v>1830</v>
      </c>
    </row>
    <row r="353" spans="1:11" ht="15" customHeight="1" x14ac:dyDescent="0.25">
      <c r="A353" s="9">
        <v>348</v>
      </c>
      <c r="B353" s="10" t="s">
        <v>13</v>
      </c>
      <c r="C353" s="11" t="s">
        <v>225</v>
      </c>
      <c r="D353" s="12" t="s">
        <v>226</v>
      </c>
      <c r="E353" s="12" t="s">
        <v>265</v>
      </c>
      <c r="F353" s="12" t="s">
        <v>131</v>
      </c>
      <c r="G353" s="12" t="s">
        <v>1541</v>
      </c>
      <c r="H353" s="9" t="s">
        <v>18</v>
      </c>
      <c r="I353" s="9" t="str">
        <f>IFERROR(INDEX('Price List Library'!$P$6:$P$437,MATCH(TRIM($G353)&amp;"|"&amp;TRIM($H353),'Price List Library'!$S$6:$S$437,0)),"")</f>
        <v>Benchmark</v>
      </c>
      <c r="J353" s="20">
        <f>IFERROR(INDEX('Price List Library'!$O$6:$O$437,MATCH(TRIM($G353)&amp;"|"&amp;TRIM($H353),'Price List Library'!$S$6:$S$437,0)),0)</f>
        <v>12.8</v>
      </c>
      <c r="K353" s="13" t="s">
        <v>1831</v>
      </c>
    </row>
    <row r="354" spans="1:11" ht="15" customHeight="1" x14ac:dyDescent="0.25">
      <c r="A354" s="9">
        <v>349</v>
      </c>
      <c r="B354" s="10" t="s">
        <v>13</v>
      </c>
      <c r="C354" s="11" t="s">
        <v>225</v>
      </c>
      <c r="D354" s="12" t="s">
        <v>226</v>
      </c>
      <c r="E354" s="12" t="s">
        <v>265</v>
      </c>
      <c r="F354" s="12" t="s">
        <v>72</v>
      </c>
      <c r="G354" s="12" t="s">
        <v>73</v>
      </c>
      <c r="H354" s="9" t="s">
        <v>53</v>
      </c>
      <c r="I354" s="9" t="str">
        <f>IFERROR(INDEX('Price List Library'!$P$6:$P$437,MATCH(TRIM($G354)&amp;"|"&amp;TRIM($H354),'Price List Library'!$S$6:$S$437,0)),"")</f>
        <v>Priced</v>
      </c>
      <c r="J354" s="20">
        <f>IFERROR(INDEX('Price List Library'!$O$6:$O$437,MATCH(TRIM($G354)&amp;"|"&amp;TRIM($H354),'Price List Library'!$S$6:$S$437,0)),0)</f>
        <v>1.0176000000000001</v>
      </c>
      <c r="K354" s="13" t="s">
        <v>1832</v>
      </c>
    </row>
    <row r="355" spans="1:11" ht="15" customHeight="1" x14ac:dyDescent="0.25">
      <c r="A355" s="9">
        <v>350</v>
      </c>
      <c r="B355" s="10" t="s">
        <v>13</v>
      </c>
      <c r="C355" s="11" t="s">
        <v>225</v>
      </c>
      <c r="D355" s="12" t="s">
        <v>226</v>
      </c>
      <c r="E355" s="12" t="s">
        <v>265</v>
      </c>
      <c r="F355" s="12" t="s">
        <v>72</v>
      </c>
      <c r="G355" s="12" t="s">
        <v>1487</v>
      </c>
      <c r="H355" s="9" t="s">
        <v>53</v>
      </c>
      <c r="I355" s="9" t="str">
        <f>IFERROR(INDEX('Price List Library'!$P$6:$P$437,MATCH(TRIM($G355)&amp;"|"&amp;TRIM($H355),'Price List Library'!$S$6:$S$437,0)),"")</f>
        <v>Priced</v>
      </c>
      <c r="J355" s="20">
        <f>IFERROR(INDEX('Price List Library'!$O$6:$O$437,MATCH(TRIM($G355)&amp;"|"&amp;TRIM($H355),'Price List Library'!$S$6:$S$437,0)),0)</f>
        <v>0.98320000000000007</v>
      </c>
      <c r="K355" s="13" t="s">
        <v>1833</v>
      </c>
    </row>
    <row r="356" spans="1:11" ht="15" customHeight="1" x14ac:dyDescent="0.25">
      <c r="A356" s="9">
        <v>351</v>
      </c>
      <c r="B356" s="10" t="s">
        <v>13</v>
      </c>
      <c r="C356" s="11" t="s">
        <v>225</v>
      </c>
      <c r="D356" s="12" t="s">
        <v>226</v>
      </c>
      <c r="E356" s="12" t="s">
        <v>265</v>
      </c>
      <c r="F356" s="12" t="s">
        <v>72</v>
      </c>
      <c r="G356" s="12" t="s">
        <v>1489</v>
      </c>
      <c r="H356" s="9" t="s">
        <v>53</v>
      </c>
      <c r="I356" s="9" t="str">
        <f>IFERROR(INDEX('Price List Library'!$P$6:$P$437,MATCH(TRIM($G356)&amp;"|"&amp;TRIM($H356),'Price List Library'!$S$6:$S$437,0)),"")</f>
        <v>Priced</v>
      </c>
      <c r="J356" s="20">
        <f>IFERROR(INDEX('Price List Library'!$O$6:$O$437,MATCH(TRIM($G356)&amp;"|"&amp;TRIM($H356),'Price List Library'!$S$6:$S$437,0)),0)</f>
        <v>0.96000000000000008</v>
      </c>
      <c r="K356" s="13" t="s">
        <v>1834</v>
      </c>
    </row>
    <row r="357" spans="1:11" ht="15" customHeight="1" x14ac:dyDescent="0.25">
      <c r="A357" s="9">
        <v>352</v>
      </c>
      <c r="B357" s="10" t="s">
        <v>13</v>
      </c>
      <c r="C357" s="11" t="s">
        <v>225</v>
      </c>
      <c r="D357" s="12" t="s">
        <v>226</v>
      </c>
      <c r="E357" s="12" t="s">
        <v>265</v>
      </c>
      <c r="F357" s="12" t="s">
        <v>72</v>
      </c>
      <c r="G357" s="12" t="s">
        <v>1491</v>
      </c>
      <c r="H357" s="9" t="s">
        <v>53</v>
      </c>
      <c r="I357" s="9" t="str">
        <f>IFERROR(INDEX('Price List Library'!$P$6:$P$437,MATCH(TRIM($G357)&amp;"|"&amp;TRIM($H357),'Price List Library'!$S$6:$S$437,0)),"")</f>
        <v>Priced</v>
      </c>
      <c r="J357" s="20">
        <f>IFERROR(INDEX('Price List Library'!$O$6:$O$437,MATCH(TRIM($G357)&amp;"|"&amp;TRIM($H357),'Price List Library'!$S$6:$S$437,0)),0)</f>
        <v>0.94880000000000009</v>
      </c>
      <c r="K357" s="13" t="s">
        <v>1835</v>
      </c>
    </row>
    <row r="358" spans="1:11" ht="15" customHeight="1" x14ac:dyDescent="0.25">
      <c r="A358" s="9">
        <v>353</v>
      </c>
      <c r="B358" s="10" t="s">
        <v>13</v>
      </c>
      <c r="C358" s="11" t="s">
        <v>225</v>
      </c>
      <c r="D358" s="12" t="s">
        <v>226</v>
      </c>
      <c r="E358" s="12" t="s">
        <v>265</v>
      </c>
      <c r="F358" s="12" t="s">
        <v>72</v>
      </c>
      <c r="G358" s="12" t="s">
        <v>1493</v>
      </c>
      <c r="H358" s="9" t="s">
        <v>53</v>
      </c>
      <c r="I358" s="9" t="str">
        <f>IFERROR(INDEX('Price List Library'!$P$6:$P$437,MATCH(TRIM($G358)&amp;"|"&amp;TRIM($H358),'Price List Library'!$S$6:$S$437,0)),"")</f>
        <v>Priced</v>
      </c>
      <c r="J358" s="20">
        <f>IFERROR(INDEX('Price List Library'!$O$6:$O$437,MATCH(TRIM($G358)&amp;"|"&amp;TRIM($H358),'Price List Library'!$S$6:$S$437,0)),0)</f>
        <v>0.92560000000000009</v>
      </c>
      <c r="K358" s="13" t="s">
        <v>1836</v>
      </c>
    </row>
    <row r="359" spans="1:11" ht="15" customHeight="1" x14ac:dyDescent="0.25">
      <c r="A359" s="9">
        <v>354</v>
      </c>
      <c r="B359" s="10" t="s">
        <v>13</v>
      </c>
      <c r="C359" s="11" t="s">
        <v>225</v>
      </c>
      <c r="D359" s="12" t="s">
        <v>226</v>
      </c>
      <c r="E359" s="12" t="s">
        <v>265</v>
      </c>
      <c r="F359" s="12" t="s">
        <v>72</v>
      </c>
      <c r="G359" s="12" t="s">
        <v>1495</v>
      </c>
      <c r="H359" s="9" t="s">
        <v>53</v>
      </c>
      <c r="I359" s="9" t="str">
        <f>IFERROR(INDEX('Price List Library'!$P$6:$P$437,MATCH(TRIM($G359)&amp;"|"&amp;TRIM($H359),'Price List Library'!$S$6:$S$437,0)),"")</f>
        <v>Priced</v>
      </c>
      <c r="J359" s="20">
        <f>IFERROR(INDEX('Price List Library'!$O$6:$O$437,MATCH(TRIM($G359)&amp;"|"&amp;TRIM($H359),'Price List Library'!$S$6:$S$437,0)),0)</f>
        <v>0.90239999999999998</v>
      </c>
      <c r="K359" s="13" t="s">
        <v>1837</v>
      </c>
    </row>
    <row r="360" spans="1:11" ht="15" customHeight="1" x14ac:dyDescent="0.25">
      <c r="A360" s="9">
        <v>355</v>
      </c>
      <c r="B360" s="10" t="s">
        <v>13</v>
      </c>
      <c r="C360" s="11" t="s">
        <v>225</v>
      </c>
      <c r="D360" s="12" t="s">
        <v>226</v>
      </c>
      <c r="E360" s="12" t="s">
        <v>265</v>
      </c>
      <c r="F360" s="12" t="s">
        <v>72</v>
      </c>
      <c r="G360" s="12" t="s">
        <v>1497</v>
      </c>
      <c r="H360" s="9" t="s">
        <v>53</v>
      </c>
      <c r="I360" s="9" t="str">
        <f>IFERROR(INDEX('Price List Library'!$P$6:$P$437,MATCH(TRIM($G360)&amp;"|"&amp;TRIM($H360),'Price List Library'!$S$6:$S$437,0)),"")</f>
        <v>Priced</v>
      </c>
      <c r="J360" s="20">
        <f>IFERROR(INDEX('Price List Library'!$O$6:$O$437,MATCH(TRIM($G360)&amp;"|"&amp;TRIM($H360),'Price List Library'!$S$6:$S$437,0)),0)</f>
        <v>0.89119999999999999</v>
      </c>
      <c r="K360" s="13" t="s">
        <v>1838</v>
      </c>
    </row>
    <row r="361" spans="1:11" ht="15" customHeight="1" x14ac:dyDescent="0.25">
      <c r="A361" s="9">
        <v>356</v>
      </c>
      <c r="B361" s="10" t="s">
        <v>13</v>
      </c>
      <c r="C361" s="11" t="s">
        <v>225</v>
      </c>
      <c r="D361" s="12" t="s">
        <v>226</v>
      </c>
      <c r="E361" s="12" t="s">
        <v>265</v>
      </c>
      <c r="F361" s="12" t="s">
        <v>72</v>
      </c>
      <c r="G361" s="12" t="s">
        <v>1499</v>
      </c>
      <c r="H361" s="9" t="s">
        <v>53</v>
      </c>
      <c r="I361" s="9" t="str">
        <f>IFERROR(INDEX('Price List Library'!$P$6:$P$437,MATCH(TRIM($G361)&amp;"|"&amp;TRIM($H361),'Price List Library'!$S$6:$S$437,0)),"")</f>
        <v>Priced</v>
      </c>
      <c r="J361" s="20">
        <f>IFERROR(INDEX('Price List Library'!$O$6:$O$437,MATCH(TRIM($G361)&amp;"|"&amp;TRIM($H361),'Price List Library'!$S$6:$S$437,0)),0)</f>
        <v>1.0064</v>
      </c>
      <c r="K361" s="13" t="s">
        <v>1839</v>
      </c>
    </row>
    <row r="362" spans="1:11" ht="15" customHeight="1" x14ac:dyDescent="0.25">
      <c r="A362" s="9">
        <v>357</v>
      </c>
      <c r="B362" s="10" t="s">
        <v>13</v>
      </c>
      <c r="C362" s="11" t="s">
        <v>225</v>
      </c>
      <c r="D362" s="12" t="s">
        <v>226</v>
      </c>
      <c r="E362" s="12" t="s">
        <v>265</v>
      </c>
      <c r="F362" s="12" t="s">
        <v>72</v>
      </c>
      <c r="G362" s="12" t="s">
        <v>1501</v>
      </c>
      <c r="H362" s="9" t="s">
        <v>53</v>
      </c>
      <c r="I362" s="9" t="str">
        <f>IFERROR(INDEX('Price List Library'!$P$6:$P$437,MATCH(TRIM($G362)&amp;"|"&amp;TRIM($H362),'Price List Library'!$S$6:$S$437,0)),"")</f>
        <v>Benchmark</v>
      </c>
      <c r="J362" s="20">
        <f>IFERROR(INDEX('Price List Library'!$O$6:$O$437,MATCH(TRIM($G362)&amp;"|"&amp;TRIM($H362),'Price List Library'!$S$6:$S$437,0)),0)</f>
        <v>1.0296000000000001</v>
      </c>
      <c r="K362" s="13" t="s">
        <v>1840</v>
      </c>
    </row>
    <row r="363" spans="1:11" ht="15" customHeight="1" x14ac:dyDescent="0.25">
      <c r="A363" s="9">
        <v>358</v>
      </c>
      <c r="B363" s="10" t="s">
        <v>13</v>
      </c>
      <c r="C363" s="11" t="s">
        <v>225</v>
      </c>
      <c r="D363" s="12" t="s">
        <v>226</v>
      </c>
      <c r="E363" s="12" t="s">
        <v>265</v>
      </c>
      <c r="F363" s="12" t="s">
        <v>75</v>
      </c>
      <c r="G363" s="12" t="s">
        <v>76</v>
      </c>
      <c r="H363" s="9" t="s">
        <v>53</v>
      </c>
      <c r="I363" s="9" t="str">
        <f>IFERROR(INDEX('Price List Library'!$P$6:$P$437,MATCH(TRIM($G363)&amp;"|"&amp;TRIM($H363),'Price List Library'!$S$6:$S$437,0)),"")</f>
        <v>Priced</v>
      </c>
      <c r="J363" s="20">
        <f>IFERROR(INDEX('Price List Library'!$O$6:$O$437,MATCH(TRIM($G363)&amp;"|"&amp;TRIM($H363),'Price List Library'!$S$6:$S$437,0)),0)</f>
        <v>1.4040000000000001</v>
      </c>
      <c r="K363" s="13" t="s">
        <v>1841</v>
      </c>
    </row>
    <row r="364" spans="1:11" ht="15" customHeight="1" x14ac:dyDescent="0.25">
      <c r="A364" s="9">
        <v>359</v>
      </c>
      <c r="B364" s="10" t="s">
        <v>13</v>
      </c>
      <c r="C364" s="11" t="s">
        <v>225</v>
      </c>
      <c r="D364" s="12" t="s">
        <v>226</v>
      </c>
      <c r="E364" s="12" t="s">
        <v>270</v>
      </c>
      <c r="F364" s="12" t="s">
        <v>69</v>
      </c>
      <c r="G364" s="12" t="s">
        <v>70</v>
      </c>
      <c r="H364" s="9" t="s">
        <v>22</v>
      </c>
      <c r="I364" s="9" t="str">
        <f>IFERROR(INDEX('Price List Library'!$P$6:$P$437,MATCH(TRIM($G364)&amp;"|"&amp;TRIM($H364),'Price List Library'!$S$6:$S$437,0)),"")</f>
        <v>Priced</v>
      </c>
      <c r="J364" s="20">
        <f>IFERROR(INDEX('Price List Library'!$O$6:$O$437,MATCH(TRIM($G364)&amp;"|"&amp;TRIM($H364),'Price List Library'!$S$6:$S$437,0)),0)</f>
        <v>121.76</v>
      </c>
      <c r="K364" s="13" t="s">
        <v>1842</v>
      </c>
    </row>
    <row r="365" spans="1:11" ht="15" customHeight="1" x14ac:dyDescent="0.25">
      <c r="A365" s="9">
        <v>360</v>
      </c>
      <c r="B365" s="10" t="s">
        <v>13</v>
      </c>
      <c r="C365" s="11" t="s">
        <v>225</v>
      </c>
      <c r="D365" s="12" t="s">
        <v>226</v>
      </c>
      <c r="E365" s="12" t="s">
        <v>270</v>
      </c>
      <c r="F365" s="12" t="s">
        <v>69</v>
      </c>
      <c r="G365" s="12" t="s">
        <v>1480</v>
      </c>
      <c r="H365" s="9" t="s">
        <v>22</v>
      </c>
      <c r="I365" s="9" t="str">
        <f>IFERROR(INDEX('Price List Library'!$P$6:$P$437,MATCH(TRIM($G365)&amp;"|"&amp;TRIM($H365),'Price List Library'!$S$6:$S$437,0)),"")</f>
        <v>Priced</v>
      </c>
      <c r="J365" s="20">
        <f>IFERROR(INDEX('Price List Library'!$O$6:$O$437,MATCH(TRIM($G365)&amp;"|"&amp;TRIM($H365),'Price List Library'!$S$6:$S$437,0)),0)</f>
        <v>119.36</v>
      </c>
      <c r="K365" s="13" t="s">
        <v>1843</v>
      </c>
    </row>
    <row r="366" spans="1:11" ht="15" customHeight="1" x14ac:dyDescent="0.25">
      <c r="A366" s="9">
        <v>361</v>
      </c>
      <c r="B366" s="10" t="s">
        <v>13</v>
      </c>
      <c r="C366" s="11" t="s">
        <v>225</v>
      </c>
      <c r="D366" s="12" t="s">
        <v>226</v>
      </c>
      <c r="E366" s="12" t="s">
        <v>270</v>
      </c>
      <c r="F366" s="12" t="s">
        <v>69</v>
      </c>
      <c r="G366" s="12" t="s">
        <v>1482</v>
      </c>
      <c r="H366" s="9" t="s">
        <v>22</v>
      </c>
      <c r="I366" s="9" t="str">
        <f>IFERROR(INDEX('Price List Library'!$P$6:$P$437,MATCH(TRIM($G366)&amp;"|"&amp;TRIM($H366),'Price List Library'!$S$6:$S$437,0)),"")</f>
        <v>Benchmark</v>
      </c>
      <c r="J366" s="20">
        <f>IFERROR(INDEX('Price List Library'!$O$6:$O$437,MATCH(TRIM($G366)&amp;"|"&amp;TRIM($H366),'Price List Library'!$S$6:$S$437,0)),0)</f>
        <v>108.16</v>
      </c>
      <c r="K366" s="13" t="s">
        <v>1844</v>
      </c>
    </row>
    <row r="367" spans="1:11" ht="15" customHeight="1" x14ac:dyDescent="0.25">
      <c r="A367" s="9">
        <v>362</v>
      </c>
      <c r="B367" s="10" t="s">
        <v>13</v>
      </c>
      <c r="C367" s="11" t="s">
        <v>225</v>
      </c>
      <c r="D367" s="12" t="s">
        <v>226</v>
      </c>
      <c r="E367" s="12" t="s">
        <v>270</v>
      </c>
      <c r="F367" s="12" t="s">
        <v>69</v>
      </c>
      <c r="G367" s="12" t="s">
        <v>1484</v>
      </c>
      <c r="H367" s="9" t="s">
        <v>22</v>
      </c>
      <c r="I367" s="9" t="str">
        <f>IFERROR(INDEX('Price List Library'!$P$6:$P$437,MATCH(TRIM($G367)&amp;"|"&amp;TRIM($H367),'Price List Library'!$S$6:$S$437,0)),"")</f>
        <v>Benchmark</v>
      </c>
      <c r="J367" s="20">
        <f>IFERROR(INDEX('Price List Library'!$O$6:$O$437,MATCH(TRIM($G367)&amp;"|"&amp;TRIM($H367),'Price List Library'!$S$6:$S$437,0)),0)</f>
        <v>114.96000000000001</v>
      </c>
      <c r="K367" s="13" t="s">
        <v>1845</v>
      </c>
    </row>
    <row r="368" spans="1:11" ht="15" customHeight="1" x14ac:dyDescent="0.25">
      <c r="A368" s="9">
        <v>363</v>
      </c>
      <c r="B368" s="10" t="s">
        <v>13</v>
      </c>
      <c r="C368" s="11" t="s">
        <v>225</v>
      </c>
      <c r="D368" s="12" t="s">
        <v>226</v>
      </c>
      <c r="E368" s="12" t="s">
        <v>270</v>
      </c>
      <c r="F368" s="12" t="s">
        <v>131</v>
      </c>
      <c r="G368" s="12" t="s">
        <v>150</v>
      </c>
      <c r="H368" s="9" t="s">
        <v>18</v>
      </c>
      <c r="I368" s="9" t="str">
        <f>IFERROR(INDEX('Price List Library'!$P$6:$P$437,MATCH(TRIM($G368)&amp;"|"&amp;TRIM($H368),'Price List Library'!$S$6:$S$437,0)),"")</f>
        <v>Benchmark</v>
      </c>
      <c r="J368" s="20">
        <f>IFERROR(INDEX('Price List Library'!$O$6:$O$437,MATCH(TRIM($G368)&amp;"|"&amp;TRIM($H368),'Price List Library'!$S$6:$S$437,0)),0)</f>
        <v>18.64</v>
      </c>
      <c r="K368" s="13" t="s">
        <v>1846</v>
      </c>
    </row>
    <row r="369" spans="1:11" ht="15" customHeight="1" x14ac:dyDescent="0.25">
      <c r="A369" s="9">
        <v>364</v>
      </c>
      <c r="B369" s="10" t="s">
        <v>13</v>
      </c>
      <c r="C369" s="11" t="s">
        <v>225</v>
      </c>
      <c r="D369" s="12" t="s">
        <v>226</v>
      </c>
      <c r="E369" s="12" t="s">
        <v>270</v>
      </c>
      <c r="F369" s="12" t="s">
        <v>131</v>
      </c>
      <c r="G369" s="12" t="s">
        <v>1541</v>
      </c>
      <c r="H369" s="9" t="s">
        <v>18</v>
      </c>
      <c r="I369" s="9" t="str">
        <f>IFERROR(INDEX('Price List Library'!$P$6:$P$437,MATCH(TRIM($G369)&amp;"|"&amp;TRIM($H369),'Price List Library'!$S$6:$S$437,0)),"")</f>
        <v>Benchmark</v>
      </c>
      <c r="J369" s="20">
        <f>IFERROR(INDEX('Price List Library'!$O$6:$O$437,MATCH(TRIM($G369)&amp;"|"&amp;TRIM($H369),'Price List Library'!$S$6:$S$437,0)),0)</f>
        <v>12.8</v>
      </c>
      <c r="K369" s="13" t="s">
        <v>1847</v>
      </c>
    </row>
    <row r="370" spans="1:11" ht="15" customHeight="1" x14ac:dyDescent="0.25">
      <c r="A370" s="9">
        <v>365</v>
      </c>
      <c r="B370" s="10" t="s">
        <v>13</v>
      </c>
      <c r="C370" s="11" t="s">
        <v>225</v>
      </c>
      <c r="D370" s="12" t="s">
        <v>226</v>
      </c>
      <c r="E370" s="12" t="s">
        <v>270</v>
      </c>
      <c r="F370" s="12" t="s">
        <v>72</v>
      </c>
      <c r="G370" s="12" t="s">
        <v>73</v>
      </c>
      <c r="H370" s="9" t="s">
        <v>53</v>
      </c>
      <c r="I370" s="9" t="str">
        <f>IFERROR(INDEX('Price List Library'!$P$6:$P$437,MATCH(TRIM($G370)&amp;"|"&amp;TRIM($H370),'Price List Library'!$S$6:$S$437,0)),"")</f>
        <v>Priced</v>
      </c>
      <c r="J370" s="20">
        <f>IFERROR(INDEX('Price List Library'!$O$6:$O$437,MATCH(TRIM($G370)&amp;"|"&amp;TRIM($H370),'Price List Library'!$S$6:$S$437,0)),0)</f>
        <v>1.0176000000000001</v>
      </c>
      <c r="K370" s="13" t="s">
        <v>1848</v>
      </c>
    </row>
    <row r="371" spans="1:11" ht="15" customHeight="1" x14ac:dyDescent="0.25">
      <c r="A371" s="9">
        <v>366</v>
      </c>
      <c r="B371" s="10" t="s">
        <v>13</v>
      </c>
      <c r="C371" s="11" t="s">
        <v>225</v>
      </c>
      <c r="D371" s="12" t="s">
        <v>226</v>
      </c>
      <c r="E371" s="12" t="s">
        <v>270</v>
      </c>
      <c r="F371" s="12" t="s">
        <v>72</v>
      </c>
      <c r="G371" s="12" t="s">
        <v>1487</v>
      </c>
      <c r="H371" s="9" t="s">
        <v>53</v>
      </c>
      <c r="I371" s="9" t="str">
        <f>IFERROR(INDEX('Price List Library'!$P$6:$P$437,MATCH(TRIM($G371)&amp;"|"&amp;TRIM($H371),'Price List Library'!$S$6:$S$437,0)),"")</f>
        <v>Priced</v>
      </c>
      <c r="J371" s="20">
        <f>IFERROR(INDEX('Price List Library'!$O$6:$O$437,MATCH(TRIM($G371)&amp;"|"&amp;TRIM($H371),'Price List Library'!$S$6:$S$437,0)),0)</f>
        <v>0.98320000000000007</v>
      </c>
      <c r="K371" s="13" t="s">
        <v>1849</v>
      </c>
    </row>
    <row r="372" spans="1:11" ht="15" customHeight="1" x14ac:dyDescent="0.25">
      <c r="A372" s="9">
        <v>367</v>
      </c>
      <c r="B372" s="10" t="s">
        <v>13</v>
      </c>
      <c r="C372" s="11" t="s">
        <v>225</v>
      </c>
      <c r="D372" s="12" t="s">
        <v>226</v>
      </c>
      <c r="E372" s="12" t="s">
        <v>270</v>
      </c>
      <c r="F372" s="12" t="s">
        <v>72</v>
      </c>
      <c r="G372" s="12" t="s">
        <v>1489</v>
      </c>
      <c r="H372" s="9" t="s">
        <v>53</v>
      </c>
      <c r="I372" s="9" t="str">
        <f>IFERROR(INDEX('Price List Library'!$P$6:$P$437,MATCH(TRIM($G372)&amp;"|"&amp;TRIM($H372),'Price List Library'!$S$6:$S$437,0)),"")</f>
        <v>Priced</v>
      </c>
      <c r="J372" s="20">
        <f>IFERROR(INDEX('Price List Library'!$O$6:$O$437,MATCH(TRIM($G372)&amp;"|"&amp;TRIM($H372),'Price List Library'!$S$6:$S$437,0)),0)</f>
        <v>0.96000000000000008</v>
      </c>
      <c r="K372" s="13" t="s">
        <v>1850</v>
      </c>
    </row>
    <row r="373" spans="1:11" ht="15" customHeight="1" x14ac:dyDescent="0.25">
      <c r="A373" s="9">
        <v>368</v>
      </c>
      <c r="B373" s="10" t="s">
        <v>13</v>
      </c>
      <c r="C373" s="11" t="s">
        <v>225</v>
      </c>
      <c r="D373" s="12" t="s">
        <v>226</v>
      </c>
      <c r="E373" s="12" t="s">
        <v>270</v>
      </c>
      <c r="F373" s="12" t="s">
        <v>72</v>
      </c>
      <c r="G373" s="12" t="s">
        <v>1491</v>
      </c>
      <c r="H373" s="9" t="s">
        <v>53</v>
      </c>
      <c r="I373" s="9" t="str">
        <f>IFERROR(INDEX('Price List Library'!$P$6:$P$437,MATCH(TRIM($G373)&amp;"|"&amp;TRIM($H373),'Price List Library'!$S$6:$S$437,0)),"")</f>
        <v>Priced</v>
      </c>
      <c r="J373" s="20">
        <f>IFERROR(INDEX('Price List Library'!$O$6:$O$437,MATCH(TRIM($G373)&amp;"|"&amp;TRIM($H373),'Price List Library'!$S$6:$S$437,0)),0)</f>
        <v>0.94880000000000009</v>
      </c>
      <c r="K373" s="13" t="s">
        <v>1851</v>
      </c>
    </row>
    <row r="374" spans="1:11" ht="15" customHeight="1" x14ac:dyDescent="0.25">
      <c r="A374" s="9">
        <v>369</v>
      </c>
      <c r="B374" s="10" t="s">
        <v>13</v>
      </c>
      <c r="C374" s="11" t="s">
        <v>225</v>
      </c>
      <c r="D374" s="12" t="s">
        <v>226</v>
      </c>
      <c r="E374" s="12" t="s">
        <v>270</v>
      </c>
      <c r="F374" s="12" t="s">
        <v>72</v>
      </c>
      <c r="G374" s="12" t="s">
        <v>1493</v>
      </c>
      <c r="H374" s="9" t="s">
        <v>53</v>
      </c>
      <c r="I374" s="9" t="str">
        <f>IFERROR(INDEX('Price List Library'!$P$6:$P$437,MATCH(TRIM($G374)&amp;"|"&amp;TRIM($H374),'Price List Library'!$S$6:$S$437,0)),"")</f>
        <v>Priced</v>
      </c>
      <c r="J374" s="20">
        <f>IFERROR(INDEX('Price List Library'!$O$6:$O$437,MATCH(TRIM($G374)&amp;"|"&amp;TRIM($H374),'Price List Library'!$S$6:$S$437,0)),0)</f>
        <v>0.92560000000000009</v>
      </c>
      <c r="K374" s="13" t="s">
        <v>1852</v>
      </c>
    </row>
    <row r="375" spans="1:11" ht="15" customHeight="1" x14ac:dyDescent="0.25">
      <c r="A375" s="9">
        <v>370</v>
      </c>
      <c r="B375" s="10" t="s">
        <v>13</v>
      </c>
      <c r="C375" s="11" t="s">
        <v>225</v>
      </c>
      <c r="D375" s="12" t="s">
        <v>226</v>
      </c>
      <c r="E375" s="12" t="s">
        <v>270</v>
      </c>
      <c r="F375" s="12" t="s">
        <v>72</v>
      </c>
      <c r="G375" s="12" t="s">
        <v>1495</v>
      </c>
      <c r="H375" s="9" t="s">
        <v>53</v>
      </c>
      <c r="I375" s="9" t="str">
        <f>IFERROR(INDEX('Price List Library'!$P$6:$P$437,MATCH(TRIM($G375)&amp;"|"&amp;TRIM($H375),'Price List Library'!$S$6:$S$437,0)),"")</f>
        <v>Priced</v>
      </c>
      <c r="J375" s="20">
        <f>IFERROR(INDEX('Price List Library'!$O$6:$O$437,MATCH(TRIM($G375)&amp;"|"&amp;TRIM($H375),'Price List Library'!$S$6:$S$437,0)),0)</f>
        <v>0.90239999999999998</v>
      </c>
      <c r="K375" s="13" t="s">
        <v>1853</v>
      </c>
    </row>
    <row r="376" spans="1:11" ht="15" customHeight="1" x14ac:dyDescent="0.25">
      <c r="A376" s="9">
        <v>371</v>
      </c>
      <c r="B376" s="10" t="s">
        <v>13</v>
      </c>
      <c r="C376" s="11" t="s">
        <v>225</v>
      </c>
      <c r="D376" s="12" t="s">
        <v>226</v>
      </c>
      <c r="E376" s="12" t="s">
        <v>270</v>
      </c>
      <c r="F376" s="12" t="s">
        <v>72</v>
      </c>
      <c r="G376" s="12" t="s">
        <v>1497</v>
      </c>
      <c r="H376" s="9" t="s">
        <v>53</v>
      </c>
      <c r="I376" s="9" t="str">
        <f>IFERROR(INDEX('Price List Library'!$P$6:$P$437,MATCH(TRIM($G376)&amp;"|"&amp;TRIM($H376),'Price List Library'!$S$6:$S$437,0)),"")</f>
        <v>Priced</v>
      </c>
      <c r="J376" s="20">
        <f>IFERROR(INDEX('Price List Library'!$O$6:$O$437,MATCH(TRIM($G376)&amp;"|"&amp;TRIM($H376),'Price List Library'!$S$6:$S$437,0)),0)</f>
        <v>0.89119999999999999</v>
      </c>
      <c r="K376" s="13" t="s">
        <v>1854</v>
      </c>
    </row>
    <row r="377" spans="1:11" ht="15" customHeight="1" x14ac:dyDescent="0.25">
      <c r="A377" s="9">
        <v>372</v>
      </c>
      <c r="B377" s="10" t="s">
        <v>13</v>
      </c>
      <c r="C377" s="11" t="s">
        <v>225</v>
      </c>
      <c r="D377" s="12" t="s">
        <v>226</v>
      </c>
      <c r="E377" s="12" t="s">
        <v>270</v>
      </c>
      <c r="F377" s="12" t="s">
        <v>72</v>
      </c>
      <c r="G377" s="12" t="s">
        <v>1499</v>
      </c>
      <c r="H377" s="9" t="s">
        <v>53</v>
      </c>
      <c r="I377" s="9" t="str">
        <f>IFERROR(INDEX('Price List Library'!$P$6:$P$437,MATCH(TRIM($G377)&amp;"|"&amp;TRIM($H377),'Price List Library'!$S$6:$S$437,0)),"")</f>
        <v>Priced</v>
      </c>
      <c r="J377" s="20">
        <f>IFERROR(INDEX('Price List Library'!$O$6:$O$437,MATCH(TRIM($G377)&amp;"|"&amp;TRIM($H377),'Price List Library'!$S$6:$S$437,0)),0)</f>
        <v>1.0064</v>
      </c>
      <c r="K377" s="13" t="s">
        <v>1855</v>
      </c>
    </row>
    <row r="378" spans="1:11" ht="15" customHeight="1" x14ac:dyDescent="0.25">
      <c r="A378" s="9">
        <v>373</v>
      </c>
      <c r="B378" s="10" t="s">
        <v>13</v>
      </c>
      <c r="C378" s="11" t="s">
        <v>225</v>
      </c>
      <c r="D378" s="12" t="s">
        <v>226</v>
      </c>
      <c r="E378" s="12" t="s">
        <v>270</v>
      </c>
      <c r="F378" s="12" t="s">
        <v>72</v>
      </c>
      <c r="G378" s="12" t="s">
        <v>1501</v>
      </c>
      <c r="H378" s="9" t="s">
        <v>53</v>
      </c>
      <c r="I378" s="9" t="str">
        <f>IFERROR(INDEX('Price List Library'!$P$6:$P$437,MATCH(TRIM($G378)&amp;"|"&amp;TRIM($H378),'Price List Library'!$S$6:$S$437,0)),"")</f>
        <v>Benchmark</v>
      </c>
      <c r="J378" s="20">
        <f>IFERROR(INDEX('Price List Library'!$O$6:$O$437,MATCH(TRIM($G378)&amp;"|"&amp;TRIM($H378),'Price List Library'!$S$6:$S$437,0)),0)</f>
        <v>1.0296000000000001</v>
      </c>
      <c r="K378" s="13" t="s">
        <v>1856</v>
      </c>
    </row>
    <row r="379" spans="1:11" ht="15" customHeight="1" x14ac:dyDescent="0.25">
      <c r="A379" s="9">
        <v>374</v>
      </c>
      <c r="B379" s="10" t="s">
        <v>13</v>
      </c>
      <c r="C379" s="11" t="s">
        <v>225</v>
      </c>
      <c r="D379" s="12" t="s">
        <v>226</v>
      </c>
      <c r="E379" s="12" t="s">
        <v>270</v>
      </c>
      <c r="F379" s="12" t="s">
        <v>75</v>
      </c>
      <c r="G379" s="12" t="s">
        <v>76</v>
      </c>
      <c r="H379" s="9" t="s">
        <v>53</v>
      </c>
      <c r="I379" s="9" t="str">
        <f>IFERROR(INDEX('Price List Library'!$P$6:$P$437,MATCH(TRIM($G379)&amp;"|"&amp;TRIM($H379),'Price List Library'!$S$6:$S$437,0)),"")</f>
        <v>Priced</v>
      </c>
      <c r="J379" s="20">
        <f>IFERROR(INDEX('Price List Library'!$O$6:$O$437,MATCH(TRIM($G379)&amp;"|"&amp;TRIM($H379),'Price List Library'!$S$6:$S$437,0)),0)</f>
        <v>1.4040000000000001</v>
      </c>
      <c r="K379" s="13" t="s">
        <v>1857</v>
      </c>
    </row>
    <row r="380" spans="1:11" ht="15" customHeight="1" x14ac:dyDescent="0.25">
      <c r="A380" s="9">
        <v>375</v>
      </c>
      <c r="B380" s="10" t="s">
        <v>13</v>
      </c>
      <c r="C380" s="11" t="s">
        <v>225</v>
      </c>
      <c r="D380" s="12" t="s">
        <v>226</v>
      </c>
      <c r="E380" s="12" t="s">
        <v>270</v>
      </c>
      <c r="F380" s="12" t="s">
        <v>135</v>
      </c>
      <c r="G380" s="12" t="s">
        <v>136</v>
      </c>
      <c r="H380" s="9" t="s">
        <v>61</v>
      </c>
      <c r="I380" s="9" t="str">
        <f>IFERROR(INDEX('Price List Library'!$P$6:$P$437,MATCH(TRIM($G380)&amp;"|"&amp;TRIM($H380),'Price List Library'!$S$6:$S$437,0)),"")</f>
        <v>Priced</v>
      </c>
      <c r="J380" s="20">
        <f>IFERROR(INDEX('Price List Library'!$O$6:$O$437,MATCH(TRIM($G380)&amp;"|"&amp;TRIM($H380),'Price List Library'!$S$6:$S$437,0)),0)</f>
        <v>6.28</v>
      </c>
      <c r="K380" s="13" t="s">
        <v>1858</v>
      </c>
    </row>
    <row r="381" spans="1:11" ht="15" customHeight="1" x14ac:dyDescent="0.25">
      <c r="A381" s="9">
        <v>376</v>
      </c>
      <c r="B381" s="10" t="s">
        <v>13</v>
      </c>
      <c r="C381" s="11" t="s">
        <v>225</v>
      </c>
      <c r="D381" s="12" t="s">
        <v>226</v>
      </c>
      <c r="E381" s="12" t="s">
        <v>276</v>
      </c>
      <c r="F381" s="12" t="s">
        <v>69</v>
      </c>
      <c r="G381" s="12" t="s">
        <v>70</v>
      </c>
      <c r="H381" s="9" t="s">
        <v>22</v>
      </c>
      <c r="I381" s="9" t="str">
        <f>IFERROR(INDEX('Price List Library'!$P$6:$P$437,MATCH(TRIM($G381)&amp;"|"&amp;TRIM($H381),'Price List Library'!$S$6:$S$437,0)),"")</f>
        <v>Priced</v>
      </c>
      <c r="J381" s="20">
        <f>IFERROR(INDEX('Price List Library'!$O$6:$O$437,MATCH(TRIM($G381)&amp;"|"&amp;TRIM($H381),'Price List Library'!$S$6:$S$437,0)),0)</f>
        <v>121.76</v>
      </c>
      <c r="K381" s="13" t="s">
        <v>1859</v>
      </c>
    </row>
    <row r="382" spans="1:11" ht="15" customHeight="1" x14ac:dyDescent="0.25">
      <c r="A382" s="9">
        <v>377</v>
      </c>
      <c r="B382" s="10" t="s">
        <v>13</v>
      </c>
      <c r="C382" s="11" t="s">
        <v>225</v>
      </c>
      <c r="D382" s="12" t="s">
        <v>226</v>
      </c>
      <c r="E382" s="12" t="s">
        <v>276</v>
      </c>
      <c r="F382" s="12" t="s">
        <v>69</v>
      </c>
      <c r="G382" s="12" t="s">
        <v>1480</v>
      </c>
      <c r="H382" s="9" t="s">
        <v>22</v>
      </c>
      <c r="I382" s="9" t="str">
        <f>IFERROR(INDEX('Price List Library'!$P$6:$P$437,MATCH(TRIM($G382)&amp;"|"&amp;TRIM($H382),'Price List Library'!$S$6:$S$437,0)),"")</f>
        <v>Priced</v>
      </c>
      <c r="J382" s="20">
        <f>IFERROR(INDEX('Price List Library'!$O$6:$O$437,MATCH(TRIM($G382)&amp;"|"&amp;TRIM($H382),'Price List Library'!$S$6:$S$437,0)),0)</f>
        <v>119.36</v>
      </c>
      <c r="K382" s="13" t="s">
        <v>1860</v>
      </c>
    </row>
    <row r="383" spans="1:11" ht="15" customHeight="1" x14ac:dyDescent="0.25">
      <c r="A383" s="9">
        <v>378</v>
      </c>
      <c r="B383" s="10" t="s">
        <v>13</v>
      </c>
      <c r="C383" s="11" t="s">
        <v>225</v>
      </c>
      <c r="D383" s="12" t="s">
        <v>226</v>
      </c>
      <c r="E383" s="12" t="s">
        <v>276</v>
      </c>
      <c r="F383" s="12" t="s">
        <v>69</v>
      </c>
      <c r="G383" s="12" t="s">
        <v>1482</v>
      </c>
      <c r="H383" s="9" t="s">
        <v>22</v>
      </c>
      <c r="I383" s="9" t="str">
        <f>IFERROR(INDEX('Price List Library'!$P$6:$P$437,MATCH(TRIM($G383)&amp;"|"&amp;TRIM($H383),'Price List Library'!$S$6:$S$437,0)),"")</f>
        <v>Benchmark</v>
      </c>
      <c r="J383" s="20">
        <f>IFERROR(INDEX('Price List Library'!$O$6:$O$437,MATCH(TRIM($G383)&amp;"|"&amp;TRIM($H383),'Price List Library'!$S$6:$S$437,0)),0)</f>
        <v>108.16</v>
      </c>
      <c r="K383" s="13" t="s">
        <v>1861</v>
      </c>
    </row>
    <row r="384" spans="1:11" ht="15" customHeight="1" x14ac:dyDescent="0.25">
      <c r="A384" s="9">
        <v>379</v>
      </c>
      <c r="B384" s="10" t="s">
        <v>13</v>
      </c>
      <c r="C384" s="11" t="s">
        <v>225</v>
      </c>
      <c r="D384" s="12" t="s">
        <v>226</v>
      </c>
      <c r="E384" s="12" t="s">
        <v>276</v>
      </c>
      <c r="F384" s="12" t="s">
        <v>69</v>
      </c>
      <c r="G384" s="12" t="s">
        <v>1484</v>
      </c>
      <c r="H384" s="9" t="s">
        <v>22</v>
      </c>
      <c r="I384" s="9" t="str">
        <f>IFERROR(INDEX('Price List Library'!$P$6:$P$437,MATCH(TRIM($G384)&amp;"|"&amp;TRIM($H384),'Price List Library'!$S$6:$S$437,0)),"")</f>
        <v>Benchmark</v>
      </c>
      <c r="J384" s="20">
        <f>IFERROR(INDEX('Price List Library'!$O$6:$O$437,MATCH(TRIM($G384)&amp;"|"&amp;TRIM($H384),'Price List Library'!$S$6:$S$437,0)),0)</f>
        <v>114.96000000000001</v>
      </c>
      <c r="K384" s="13" t="s">
        <v>1862</v>
      </c>
    </row>
    <row r="385" spans="1:11" ht="15" customHeight="1" x14ac:dyDescent="0.25">
      <c r="A385" s="9">
        <v>380</v>
      </c>
      <c r="B385" s="10" t="s">
        <v>13</v>
      </c>
      <c r="C385" s="11" t="s">
        <v>225</v>
      </c>
      <c r="D385" s="12" t="s">
        <v>226</v>
      </c>
      <c r="E385" s="12" t="s">
        <v>276</v>
      </c>
      <c r="F385" s="12" t="s">
        <v>131</v>
      </c>
      <c r="G385" s="12" t="s">
        <v>150</v>
      </c>
      <c r="H385" s="9" t="s">
        <v>18</v>
      </c>
      <c r="I385" s="9" t="str">
        <f>IFERROR(INDEX('Price List Library'!$P$6:$P$437,MATCH(TRIM($G385)&amp;"|"&amp;TRIM($H385),'Price List Library'!$S$6:$S$437,0)),"")</f>
        <v>Benchmark</v>
      </c>
      <c r="J385" s="20">
        <f>IFERROR(INDEX('Price List Library'!$O$6:$O$437,MATCH(TRIM($G385)&amp;"|"&amp;TRIM($H385),'Price List Library'!$S$6:$S$437,0)),0)</f>
        <v>18.64</v>
      </c>
      <c r="K385" s="13" t="s">
        <v>1863</v>
      </c>
    </row>
    <row r="386" spans="1:11" ht="15" customHeight="1" x14ac:dyDescent="0.25">
      <c r="A386" s="9">
        <v>381</v>
      </c>
      <c r="B386" s="10" t="s">
        <v>13</v>
      </c>
      <c r="C386" s="11" t="s">
        <v>225</v>
      </c>
      <c r="D386" s="12" t="s">
        <v>226</v>
      </c>
      <c r="E386" s="12" t="s">
        <v>276</v>
      </c>
      <c r="F386" s="12" t="s">
        <v>131</v>
      </c>
      <c r="G386" s="12" t="s">
        <v>1541</v>
      </c>
      <c r="H386" s="9" t="s">
        <v>18</v>
      </c>
      <c r="I386" s="9" t="str">
        <f>IFERROR(INDEX('Price List Library'!$P$6:$P$437,MATCH(TRIM($G386)&amp;"|"&amp;TRIM($H386),'Price List Library'!$S$6:$S$437,0)),"")</f>
        <v>Benchmark</v>
      </c>
      <c r="J386" s="20">
        <f>IFERROR(INDEX('Price List Library'!$O$6:$O$437,MATCH(TRIM($G386)&amp;"|"&amp;TRIM($H386),'Price List Library'!$S$6:$S$437,0)),0)</f>
        <v>12.8</v>
      </c>
      <c r="K386" s="13" t="s">
        <v>1864</v>
      </c>
    </row>
    <row r="387" spans="1:11" ht="15" customHeight="1" x14ac:dyDescent="0.25">
      <c r="A387" s="9">
        <v>382</v>
      </c>
      <c r="B387" s="10" t="s">
        <v>13</v>
      </c>
      <c r="C387" s="11" t="s">
        <v>225</v>
      </c>
      <c r="D387" s="12" t="s">
        <v>226</v>
      </c>
      <c r="E387" s="12" t="s">
        <v>276</v>
      </c>
      <c r="F387" s="12" t="s">
        <v>72</v>
      </c>
      <c r="G387" s="12" t="s">
        <v>73</v>
      </c>
      <c r="H387" s="9" t="s">
        <v>53</v>
      </c>
      <c r="I387" s="9" t="str">
        <f>IFERROR(INDEX('Price List Library'!$P$6:$P$437,MATCH(TRIM($G387)&amp;"|"&amp;TRIM($H387),'Price List Library'!$S$6:$S$437,0)),"")</f>
        <v>Priced</v>
      </c>
      <c r="J387" s="20">
        <f>IFERROR(INDEX('Price List Library'!$O$6:$O$437,MATCH(TRIM($G387)&amp;"|"&amp;TRIM($H387),'Price List Library'!$S$6:$S$437,0)),0)</f>
        <v>1.0176000000000001</v>
      </c>
      <c r="K387" s="13" t="s">
        <v>1865</v>
      </c>
    </row>
    <row r="388" spans="1:11" ht="15" customHeight="1" x14ac:dyDescent="0.25">
      <c r="A388" s="9">
        <v>383</v>
      </c>
      <c r="B388" s="10" t="s">
        <v>13</v>
      </c>
      <c r="C388" s="11" t="s">
        <v>225</v>
      </c>
      <c r="D388" s="12" t="s">
        <v>226</v>
      </c>
      <c r="E388" s="12" t="s">
        <v>276</v>
      </c>
      <c r="F388" s="12" t="s">
        <v>72</v>
      </c>
      <c r="G388" s="12" t="s">
        <v>1487</v>
      </c>
      <c r="H388" s="9" t="s">
        <v>53</v>
      </c>
      <c r="I388" s="9" t="str">
        <f>IFERROR(INDEX('Price List Library'!$P$6:$P$437,MATCH(TRIM($G388)&amp;"|"&amp;TRIM($H388),'Price List Library'!$S$6:$S$437,0)),"")</f>
        <v>Priced</v>
      </c>
      <c r="J388" s="20">
        <f>IFERROR(INDEX('Price List Library'!$O$6:$O$437,MATCH(TRIM($G388)&amp;"|"&amp;TRIM($H388),'Price List Library'!$S$6:$S$437,0)),0)</f>
        <v>0.98320000000000007</v>
      </c>
      <c r="K388" s="13" t="s">
        <v>1866</v>
      </c>
    </row>
    <row r="389" spans="1:11" ht="15" customHeight="1" x14ac:dyDescent="0.25">
      <c r="A389" s="9">
        <v>384</v>
      </c>
      <c r="B389" s="10" t="s">
        <v>13</v>
      </c>
      <c r="C389" s="11" t="s">
        <v>225</v>
      </c>
      <c r="D389" s="12" t="s">
        <v>226</v>
      </c>
      <c r="E389" s="12" t="s">
        <v>276</v>
      </c>
      <c r="F389" s="12" t="s">
        <v>72</v>
      </c>
      <c r="G389" s="12" t="s">
        <v>1489</v>
      </c>
      <c r="H389" s="9" t="s">
        <v>53</v>
      </c>
      <c r="I389" s="9" t="str">
        <f>IFERROR(INDEX('Price List Library'!$P$6:$P$437,MATCH(TRIM($G389)&amp;"|"&amp;TRIM($H389),'Price List Library'!$S$6:$S$437,0)),"")</f>
        <v>Priced</v>
      </c>
      <c r="J389" s="20">
        <f>IFERROR(INDEX('Price List Library'!$O$6:$O$437,MATCH(TRIM($G389)&amp;"|"&amp;TRIM($H389),'Price List Library'!$S$6:$S$437,0)),0)</f>
        <v>0.96000000000000008</v>
      </c>
      <c r="K389" s="13" t="s">
        <v>1867</v>
      </c>
    </row>
    <row r="390" spans="1:11" ht="15" customHeight="1" x14ac:dyDescent="0.25">
      <c r="A390" s="9">
        <v>385</v>
      </c>
      <c r="B390" s="10" t="s">
        <v>13</v>
      </c>
      <c r="C390" s="11" t="s">
        <v>225</v>
      </c>
      <c r="D390" s="12" t="s">
        <v>226</v>
      </c>
      <c r="E390" s="12" t="s">
        <v>276</v>
      </c>
      <c r="F390" s="12" t="s">
        <v>72</v>
      </c>
      <c r="G390" s="12" t="s">
        <v>1491</v>
      </c>
      <c r="H390" s="9" t="s">
        <v>53</v>
      </c>
      <c r="I390" s="9" t="str">
        <f>IFERROR(INDEX('Price List Library'!$P$6:$P$437,MATCH(TRIM($G390)&amp;"|"&amp;TRIM($H390),'Price List Library'!$S$6:$S$437,0)),"")</f>
        <v>Priced</v>
      </c>
      <c r="J390" s="20">
        <f>IFERROR(INDEX('Price List Library'!$O$6:$O$437,MATCH(TRIM($G390)&amp;"|"&amp;TRIM($H390),'Price List Library'!$S$6:$S$437,0)),0)</f>
        <v>0.94880000000000009</v>
      </c>
      <c r="K390" s="13" t="s">
        <v>1868</v>
      </c>
    </row>
    <row r="391" spans="1:11" ht="15" customHeight="1" x14ac:dyDescent="0.25">
      <c r="A391" s="9">
        <v>386</v>
      </c>
      <c r="B391" s="10" t="s">
        <v>13</v>
      </c>
      <c r="C391" s="11" t="s">
        <v>225</v>
      </c>
      <c r="D391" s="12" t="s">
        <v>226</v>
      </c>
      <c r="E391" s="12" t="s">
        <v>276</v>
      </c>
      <c r="F391" s="12" t="s">
        <v>72</v>
      </c>
      <c r="G391" s="12" t="s">
        <v>1493</v>
      </c>
      <c r="H391" s="9" t="s">
        <v>53</v>
      </c>
      <c r="I391" s="9" t="str">
        <f>IFERROR(INDEX('Price List Library'!$P$6:$P$437,MATCH(TRIM($G391)&amp;"|"&amp;TRIM($H391),'Price List Library'!$S$6:$S$437,0)),"")</f>
        <v>Priced</v>
      </c>
      <c r="J391" s="20">
        <f>IFERROR(INDEX('Price List Library'!$O$6:$O$437,MATCH(TRIM($G391)&amp;"|"&amp;TRIM($H391),'Price List Library'!$S$6:$S$437,0)),0)</f>
        <v>0.92560000000000009</v>
      </c>
      <c r="K391" s="13" t="s">
        <v>1869</v>
      </c>
    </row>
    <row r="392" spans="1:11" ht="15" customHeight="1" x14ac:dyDescent="0.25">
      <c r="A392" s="9">
        <v>387</v>
      </c>
      <c r="B392" s="10" t="s">
        <v>13</v>
      </c>
      <c r="C392" s="11" t="s">
        <v>225</v>
      </c>
      <c r="D392" s="12" t="s">
        <v>226</v>
      </c>
      <c r="E392" s="12" t="s">
        <v>276</v>
      </c>
      <c r="F392" s="12" t="s">
        <v>72</v>
      </c>
      <c r="G392" s="12" t="s">
        <v>1495</v>
      </c>
      <c r="H392" s="9" t="s">
        <v>53</v>
      </c>
      <c r="I392" s="9" t="str">
        <f>IFERROR(INDEX('Price List Library'!$P$6:$P$437,MATCH(TRIM($G392)&amp;"|"&amp;TRIM($H392),'Price List Library'!$S$6:$S$437,0)),"")</f>
        <v>Priced</v>
      </c>
      <c r="J392" s="20">
        <f>IFERROR(INDEX('Price List Library'!$O$6:$O$437,MATCH(TRIM($G392)&amp;"|"&amp;TRIM($H392),'Price List Library'!$S$6:$S$437,0)),0)</f>
        <v>0.90239999999999998</v>
      </c>
      <c r="K392" s="13" t="s">
        <v>1870</v>
      </c>
    </row>
    <row r="393" spans="1:11" ht="15" customHeight="1" x14ac:dyDescent="0.25">
      <c r="A393" s="9">
        <v>388</v>
      </c>
      <c r="B393" s="10" t="s">
        <v>13</v>
      </c>
      <c r="C393" s="11" t="s">
        <v>225</v>
      </c>
      <c r="D393" s="12" t="s">
        <v>226</v>
      </c>
      <c r="E393" s="12" t="s">
        <v>276</v>
      </c>
      <c r="F393" s="12" t="s">
        <v>72</v>
      </c>
      <c r="G393" s="12" t="s">
        <v>1497</v>
      </c>
      <c r="H393" s="9" t="s">
        <v>53</v>
      </c>
      <c r="I393" s="9" t="str">
        <f>IFERROR(INDEX('Price List Library'!$P$6:$P$437,MATCH(TRIM($G393)&amp;"|"&amp;TRIM($H393),'Price List Library'!$S$6:$S$437,0)),"")</f>
        <v>Priced</v>
      </c>
      <c r="J393" s="20">
        <f>IFERROR(INDEX('Price List Library'!$O$6:$O$437,MATCH(TRIM($G393)&amp;"|"&amp;TRIM($H393),'Price List Library'!$S$6:$S$437,0)),0)</f>
        <v>0.89119999999999999</v>
      </c>
      <c r="K393" s="13" t="s">
        <v>1871</v>
      </c>
    </row>
    <row r="394" spans="1:11" ht="15" customHeight="1" x14ac:dyDescent="0.25">
      <c r="A394" s="9">
        <v>389</v>
      </c>
      <c r="B394" s="10" t="s">
        <v>13</v>
      </c>
      <c r="C394" s="11" t="s">
        <v>225</v>
      </c>
      <c r="D394" s="12" t="s">
        <v>226</v>
      </c>
      <c r="E394" s="12" t="s">
        <v>276</v>
      </c>
      <c r="F394" s="12" t="s">
        <v>72</v>
      </c>
      <c r="G394" s="12" t="s">
        <v>1499</v>
      </c>
      <c r="H394" s="9" t="s">
        <v>53</v>
      </c>
      <c r="I394" s="9" t="str">
        <f>IFERROR(INDEX('Price List Library'!$P$6:$P$437,MATCH(TRIM($G394)&amp;"|"&amp;TRIM($H394),'Price List Library'!$S$6:$S$437,0)),"")</f>
        <v>Priced</v>
      </c>
      <c r="J394" s="20">
        <f>IFERROR(INDEX('Price List Library'!$O$6:$O$437,MATCH(TRIM($G394)&amp;"|"&amp;TRIM($H394),'Price List Library'!$S$6:$S$437,0)),0)</f>
        <v>1.0064</v>
      </c>
      <c r="K394" s="13" t="s">
        <v>1872</v>
      </c>
    </row>
    <row r="395" spans="1:11" ht="15" customHeight="1" x14ac:dyDescent="0.25">
      <c r="A395" s="9">
        <v>390</v>
      </c>
      <c r="B395" s="10" t="s">
        <v>13</v>
      </c>
      <c r="C395" s="11" t="s">
        <v>225</v>
      </c>
      <c r="D395" s="12" t="s">
        <v>226</v>
      </c>
      <c r="E395" s="12" t="s">
        <v>276</v>
      </c>
      <c r="F395" s="12" t="s">
        <v>72</v>
      </c>
      <c r="G395" s="12" t="s">
        <v>1501</v>
      </c>
      <c r="H395" s="9" t="s">
        <v>53</v>
      </c>
      <c r="I395" s="9" t="str">
        <f>IFERROR(INDEX('Price List Library'!$P$6:$P$437,MATCH(TRIM($G395)&amp;"|"&amp;TRIM($H395),'Price List Library'!$S$6:$S$437,0)),"")</f>
        <v>Benchmark</v>
      </c>
      <c r="J395" s="20">
        <f>IFERROR(INDEX('Price List Library'!$O$6:$O$437,MATCH(TRIM($G395)&amp;"|"&amp;TRIM($H395),'Price List Library'!$S$6:$S$437,0)),0)</f>
        <v>1.0296000000000001</v>
      </c>
      <c r="K395" s="13" t="s">
        <v>1873</v>
      </c>
    </row>
    <row r="396" spans="1:11" ht="15" customHeight="1" x14ac:dyDescent="0.25">
      <c r="A396" s="9">
        <v>391</v>
      </c>
      <c r="B396" s="10" t="s">
        <v>13</v>
      </c>
      <c r="C396" s="11" t="s">
        <v>225</v>
      </c>
      <c r="D396" s="12" t="s">
        <v>226</v>
      </c>
      <c r="E396" s="12" t="s">
        <v>276</v>
      </c>
      <c r="F396" s="12" t="s">
        <v>75</v>
      </c>
      <c r="G396" s="12" t="s">
        <v>76</v>
      </c>
      <c r="H396" s="9" t="s">
        <v>53</v>
      </c>
      <c r="I396" s="9" t="str">
        <f>IFERROR(INDEX('Price List Library'!$P$6:$P$437,MATCH(TRIM($G396)&amp;"|"&amp;TRIM($H396),'Price List Library'!$S$6:$S$437,0)),"")</f>
        <v>Priced</v>
      </c>
      <c r="J396" s="20">
        <f>IFERROR(INDEX('Price List Library'!$O$6:$O$437,MATCH(TRIM($G396)&amp;"|"&amp;TRIM($H396),'Price List Library'!$S$6:$S$437,0)),0)</f>
        <v>1.4040000000000001</v>
      </c>
      <c r="K396" s="13" t="s">
        <v>1874</v>
      </c>
    </row>
    <row r="397" spans="1:11" ht="15" customHeight="1" x14ac:dyDescent="0.25">
      <c r="A397" s="9">
        <v>392</v>
      </c>
      <c r="B397" s="10" t="s">
        <v>13</v>
      </c>
      <c r="C397" s="11" t="s">
        <v>225</v>
      </c>
      <c r="D397" s="12" t="s">
        <v>226</v>
      </c>
      <c r="E397" s="12" t="s">
        <v>281</v>
      </c>
      <c r="F397" s="12" t="s">
        <v>282</v>
      </c>
      <c r="G397" s="12" t="s">
        <v>283</v>
      </c>
      <c r="H397" s="9" t="s">
        <v>53</v>
      </c>
      <c r="I397" s="9" t="str">
        <f>IFERROR(INDEX('Price List Library'!$P$6:$P$437,MATCH(TRIM($G397)&amp;"|"&amp;TRIM($H397),'Price List Library'!$S$6:$S$437,0)),"")</f>
        <v>Benchmark</v>
      </c>
      <c r="J397" s="20">
        <f>IFERROR(INDEX('Price List Library'!$O$6:$O$437,MATCH(TRIM($G397)&amp;"|"&amp;TRIM($H397),'Price List Library'!$S$6:$S$437,0)),0)</f>
        <v>1.9400000000000002</v>
      </c>
      <c r="K397" s="13" t="s">
        <v>1875</v>
      </c>
    </row>
    <row r="398" spans="1:11" ht="15" customHeight="1" x14ac:dyDescent="0.25">
      <c r="A398" s="9">
        <v>393</v>
      </c>
      <c r="B398" s="10" t="s">
        <v>13</v>
      </c>
      <c r="C398" s="11" t="s">
        <v>225</v>
      </c>
      <c r="D398" s="12" t="s">
        <v>226</v>
      </c>
      <c r="E398" s="12" t="s">
        <v>281</v>
      </c>
      <c r="F398" s="12" t="s">
        <v>285</v>
      </c>
      <c r="G398" s="12" t="s">
        <v>286</v>
      </c>
      <c r="H398" s="9" t="s">
        <v>61</v>
      </c>
      <c r="I398" s="9" t="str">
        <f>IFERROR(INDEX('Price List Library'!$P$6:$P$437,MATCH(TRIM($G398)&amp;"|"&amp;TRIM($H398),'Price List Library'!$S$6:$S$437,0)),"")</f>
        <v>Priced</v>
      </c>
      <c r="J398" s="20">
        <f>IFERROR(INDEX('Price List Library'!$O$6:$O$437,MATCH(TRIM($G398)&amp;"|"&amp;TRIM($H398),'Price List Library'!$S$6:$S$437,0)),0)</f>
        <v>13.120000000000001</v>
      </c>
      <c r="K398" s="13" t="s">
        <v>1876</v>
      </c>
    </row>
    <row r="399" spans="1:11" ht="15" customHeight="1" x14ac:dyDescent="0.25">
      <c r="A399" s="9">
        <v>394</v>
      </c>
      <c r="B399" s="10" t="s">
        <v>13</v>
      </c>
      <c r="C399" s="11" t="s">
        <v>225</v>
      </c>
      <c r="D399" s="12" t="s">
        <v>226</v>
      </c>
      <c r="E399" s="12" t="s">
        <v>281</v>
      </c>
      <c r="F399" s="12" t="s">
        <v>288</v>
      </c>
      <c r="G399" s="12" t="s">
        <v>289</v>
      </c>
      <c r="H399" s="9" t="s">
        <v>61</v>
      </c>
      <c r="I399" s="9" t="str">
        <f>IFERROR(INDEX('Price List Library'!$P$6:$P$437,MATCH(TRIM($G399)&amp;"|"&amp;TRIM($H399),'Price List Library'!$S$6:$S$437,0)),"")</f>
        <v>Priced</v>
      </c>
      <c r="J399" s="20">
        <f>IFERROR(INDEX('Price List Library'!$O$6:$O$437,MATCH(TRIM($G399)&amp;"|"&amp;TRIM($H399),'Price List Library'!$S$6:$S$437,0)),0)</f>
        <v>9.16</v>
      </c>
      <c r="K399" s="13" t="s">
        <v>1877</v>
      </c>
    </row>
    <row r="400" spans="1:11" ht="15" customHeight="1" x14ac:dyDescent="0.25">
      <c r="A400" s="9">
        <v>395</v>
      </c>
      <c r="B400" s="10" t="s">
        <v>13</v>
      </c>
      <c r="C400" s="11" t="s">
        <v>225</v>
      </c>
      <c r="D400" s="12" t="s">
        <v>226</v>
      </c>
      <c r="E400" s="12" t="s">
        <v>281</v>
      </c>
      <c r="F400" s="12" t="s">
        <v>291</v>
      </c>
      <c r="G400" s="12" t="s">
        <v>292</v>
      </c>
      <c r="H400" s="9" t="s">
        <v>53</v>
      </c>
      <c r="I400" s="9" t="str">
        <f>IFERROR(INDEX('Price List Library'!$P$6:$P$437,MATCH(TRIM($G400)&amp;"|"&amp;TRIM($H400),'Price List Library'!$S$6:$S$437,0)),"")</f>
        <v>Benchmark</v>
      </c>
      <c r="J400" s="20">
        <f>IFERROR(INDEX('Price List Library'!$O$6:$O$437,MATCH(TRIM($G400)&amp;"|"&amp;TRIM($H400),'Price List Library'!$S$6:$S$437,0)),0)</f>
        <v>1.8240000000000001</v>
      </c>
      <c r="K400" s="13" t="s">
        <v>1878</v>
      </c>
    </row>
    <row r="401" spans="1:11" ht="15" customHeight="1" x14ac:dyDescent="0.25">
      <c r="A401" s="9">
        <v>396</v>
      </c>
      <c r="B401" s="10" t="s">
        <v>13</v>
      </c>
      <c r="C401" s="11" t="s">
        <v>225</v>
      </c>
      <c r="D401" s="12" t="s">
        <v>226</v>
      </c>
      <c r="E401" s="12" t="s">
        <v>281</v>
      </c>
      <c r="F401" s="12" t="s">
        <v>294</v>
      </c>
      <c r="G401" s="12" t="s">
        <v>295</v>
      </c>
      <c r="H401" s="9" t="s">
        <v>61</v>
      </c>
      <c r="I401" s="9" t="str">
        <f>IFERROR(INDEX('Price List Library'!$P$6:$P$437,MATCH(TRIM($G401)&amp;"|"&amp;TRIM($H401),'Price List Library'!$S$6:$S$437,0)),"")</f>
        <v>Priced</v>
      </c>
      <c r="J401" s="20">
        <f>IFERROR(INDEX('Price List Library'!$O$6:$O$437,MATCH(TRIM($G401)&amp;"|"&amp;TRIM($H401),'Price List Library'!$S$6:$S$437,0)),0)</f>
        <v>1.944</v>
      </c>
      <c r="K401" s="13" t="s">
        <v>1879</v>
      </c>
    </row>
    <row r="402" spans="1:11" ht="15" customHeight="1" x14ac:dyDescent="0.25">
      <c r="A402" s="9">
        <v>397</v>
      </c>
      <c r="B402" s="10" t="s">
        <v>13</v>
      </c>
      <c r="C402" s="11" t="s">
        <v>225</v>
      </c>
      <c r="D402" s="12" t="s">
        <v>226</v>
      </c>
      <c r="E402" s="12" t="s">
        <v>281</v>
      </c>
      <c r="F402" s="12" t="s">
        <v>297</v>
      </c>
      <c r="G402" s="12" t="s">
        <v>298</v>
      </c>
      <c r="H402" s="9" t="s">
        <v>53</v>
      </c>
      <c r="I402" s="9" t="str">
        <f>IFERROR(INDEX('Price List Library'!$P$6:$P$437,MATCH(TRIM($G402)&amp;"|"&amp;TRIM($H402),'Price List Library'!$S$6:$S$437,0)),"")</f>
        <v>Benchmark</v>
      </c>
      <c r="J402" s="20">
        <f>IFERROR(INDEX('Price List Library'!$O$6:$O$437,MATCH(TRIM($G402)&amp;"|"&amp;TRIM($H402),'Price List Library'!$S$6:$S$437,0)),0)</f>
        <v>2</v>
      </c>
      <c r="K402" s="13" t="s">
        <v>1880</v>
      </c>
    </row>
    <row r="403" spans="1:11" ht="15" customHeight="1" x14ac:dyDescent="0.25">
      <c r="A403" s="9">
        <v>398</v>
      </c>
      <c r="B403" s="10" t="s">
        <v>13</v>
      </c>
      <c r="C403" s="11" t="s">
        <v>225</v>
      </c>
      <c r="D403" s="12" t="s">
        <v>226</v>
      </c>
      <c r="E403" s="12" t="s">
        <v>281</v>
      </c>
      <c r="F403" s="12" t="s">
        <v>300</v>
      </c>
      <c r="G403" s="12" t="s">
        <v>301</v>
      </c>
      <c r="H403" s="9" t="s">
        <v>53</v>
      </c>
      <c r="I403" s="9" t="str">
        <f>IFERROR(INDEX('Price List Library'!$P$6:$P$437,MATCH(TRIM($G403)&amp;"|"&amp;TRIM($H403),'Price List Library'!$S$6:$S$437,0)),"")</f>
        <v>Benchmark</v>
      </c>
      <c r="J403" s="20">
        <f>IFERROR(INDEX('Price List Library'!$O$6:$O$437,MATCH(TRIM($G403)&amp;"|"&amp;TRIM($H403),'Price List Library'!$S$6:$S$437,0)),0)</f>
        <v>2.1160000000000001</v>
      </c>
      <c r="K403" s="13" t="s">
        <v>1881</v>
      </c>
    </row>
    <row r="404" spans="1:11" ht="15" customHeight="1" x14ac:dyDescent="0.25">
      <c r="A404" s="9">
        <v>399</v>
      </c>
      <c r="B404" s="10" t="s">
        <v>13</v>
      </c>
      <c r="C404" s="11" t="s">
        <v>225</v>
      </c>
      <c r="D404" s="12" t="s">
        <v>226</v>
      </c>
      <c r="E404" s="12" t="s">
        <v>281</v>
      </c>
      <c r="F404" s="12" t="s">
        <v>303</v>
      </c>
      <c r="G404" s="12" t="s">
        <v>304</v>
      </c>
      <c r="H404" s="9" t="s">
        <v>1882</v>
      </c>
      <c r="I404" s="9" t="str">
        <f>IFERROR(INDEX('Price List Library'!$P$6:$P$437,MATCH(TRIM($G404)&amp;"|"&amp;TRIM($H404),'Price List Library'!$S$6:$S$437,0)),"")</f>
        <v>Priced</v>
      </c>
      <c r="J404" s="20">
        <f>IFERROR(INDEX('Price List Library'!$O$6:$O$437,MATCH(TRIM($G404)&amp;"|"&amp;TRIM($H404),'Price List Library'!$S$6:$S$437,0)),0)</f>
        <v>8.56</v>
      </c>
      <c r="K404" s="13" t="s">
        <v>1883</v>
      </c>
    </row>
    <row r="405" spans="1:11" ht="15" customHeight="1" x14ac:dyDescent="0.25">
      <c r="A405" s="9">
        <v>400</v>
      </c>
      <c r="B405" s="10" t="s">
        <v>13</v>
      </c>
      <c r="C405" s="11" t="s">
        <v>225</v>
      </c>
      <c r="D405" s="12" t="s">
        <v>226</v>
      </c>
      <c r="E405" s="12" t="s">
        <v>281</v>
      </c>
      <c r="F405" s="12" t="s">
        <v>306</v>
      </c>
      <c r="G405" s="12" t="s">
        <v>307</v>
      </c>
      <c r="H405" s="9" t="s">
        <v>1882</v>
      </c>
      <c r="I405" s="9" t="str">
        <f>IFERROR(INDEX('Price List Library'!$P$6:$P$437,MATCH(TRIM($G405)&amp;"|"&amp;TRIM($H405),'Price List Library'!$S$6:$S$437,0)),"")</f>
        <v>Priced</v>
      </c>
      <c r="J405" s="20">
        <f>IFERROR(INDEX('Price List Library'!$O$6:$O$437,MATCH(TRIM($G405)&amp;"|"&amp;TRIM($H405),'Price List Library'!$S$6:$S$437,0)),0)</f>
        <v>2.8400000000000003</v>
      </c>
      <c r="K405" s="13" t="s">
        <v>1884</v>
      </c>
    </row>
    <row r="406" spans="1:11" ht="15" customHeight="1" x14ac:dyDescent="0.25">
      <c r="A406" s="9">
        <v>401</v>
      </c>
      <c r="B406" s="10" t="s">
        <v>13</v>
      </c>
      <c r="C406" s="11" t="s">
        <v>225</v>
      </c>
      <c r="D406" s="12" t="s">
        <v>226</v>
      </c>
      <c r="E406" s="12" t="s">
        <v>281</v>
      </c>
      <c r="F406" s="12" t="s">
        <v>309</v>
      </c>
      <c r="G406" s="12" t="s">
        <v>310</v>
      </c>
      <c r="H406" s="9" t="s">
        <v>57</v>
      </c>
      <c r="I406" s="9" t="str">
        <f>IFERROR(INDEX('Price List Library'!$P$6:$P$437,MATCH(TRIM($G406)&amp;"|"&amp;TRIM($H406),'Price List Library'!$S$6:$S$437,0)),"")</f>
        <v>Benchmark</v>
      </c>
      <c r="J406" s="20">
        <f>IFERROR(INDEX('Price List Library'!$O$6:$O$437,MATCH(TRIM($G406)&amp;"|"&amp;TRIM($H406),'Price List Library'!$S$6:$S$437,0)),0)</f>
        <v>8.0400000000000009</v>
      </c>
      <c r="K406" s="13" t="s">
        <v>1885</v>
      </c>
    </row>
    <row r="407" spans="1:11" ht="15" customHeight="1" x14ac:dyDescent="0.25">
      <c r="A407" s="9">
        <v>402</v>
      </c>
      <c r="B407" s="10" t="s">
        <v>13</v>
      </c>
      <c r="C407" s="11" t="s">
        <v>225</v>
      </c>
      <c r="D407" s="12" t="s">
        <v>226</v>
      </c>
      <c r="E407" s="12" t="s">
        <v>281</v>
      </c>
      <c r="F407" s="12" t="s">
        <v>312</v>
      </c>
      <c r="G407" s="12" t="s">
        <v>313</v>
      </c>
      <c r="H407" s="9" t="s">
        <v>57</v>
      </c>
      <c r="I407" s="9" t="str">
        <f>IFERROR(INDEX('Price List Library'!$P$6:$P$437,MATCH(TRIM($G407)&amp;"|"&amp;TRIM($H407),'Price List Library'!$S$6:$S$437,0)),"")</f>
        <v>Benchmark</v>
      </c>
      <c r="J407" s="20">
        <f>IFERROR(INDEX('Price List Library'!$O$6:$O$437,MATCH(TRIM($G407)&amp;"|"&amp;TRIM($H407),'Price List Library'!$S$6:$S$437,0)),0)</f>
        <v>1.4280000000000002</v>
      </c>
      <c r="K407" s="13" t="s">
        <v>1886</v>
      </c>
    </row>
    <row r="408" spans="1:11" ht="15" customHeight="1" x14ac:dyDescent="0.25">
      <c r="A408" s="9">
        <v>403</v>
      </c>
      <c r="B408" s="10" t="s">
        <v>13</v>
      </c>
      <c r="C408" s="11" t="s">
        <v>225</v>
      </c>
      <c r="D408" s="12" t="s">
        <v>226</v>
      </c>
      <c r="E408" s="12" t="s">
        <v>281</v>
      </c>
      <c r="F408" s="12" t="s">
        <v>315</v>
      </c>
      <c r="G408" s="12" t="s">
        <v>316</v>
      </c>
      <c r="H408" s="9" t="s">
        <v>61</v>
      </c>
      <c r="I408" s="9" t="str">
        <f>IFERROR(INDEX('Price List Library'!$P$6:$P$437,MATCH(TRIM($G408)&amp;"|"&amp;TRIM($H408),'Price List Library'!$S$6:$S$437,0)),"")</f>
        <v>Benchmark</v>
      </c>
      <c r="J408" s="20">
        <f>IFERROR(INDEX('Price List Library'!$O$6:$O$437,MATCH(TRIM($G408)&amp;"|"&amp;TRIM($H408),'Price List Library'!$S$6:$S$437,0)),0)</f>
        <v>10</v>
      </c>
      <c r="K408" s="13" t="s">
        <v>1887</v>
      </c>
    </row>
    <row r="409" spans="1:11" ht="15" customHeight="1" x14ac:dyDescent="0.25">
      <c r="A409" s="9">
        <v>404</v>
      </c>
      <c r="B409" s="10" t="s">
        <v>13</v>
      </c>
      <c r="C409" s="11" t="s">
        <v>225</v>
      </c>
      <c r="D409" s="12" t="s">
        <v>226</v>
      </c>
      <c r="E409" s="12" t="s">
        <v>281</v>
      </c>
      <c r="F409" s="12" t="s">
        <v>318</v>
      </c>
      <c r="G409" s="12" t="s">
        <v>319</v>
      </c>
      <c r="H409" s="9" t="s">
        <v>18</v>
      </c>
      <c r="I409" s="9" t="str">
        <f>IFERROR(INDEX('Price List Library'!$P$6:$P$437,MATCH(TRIM($G409)&amp;"|"&amp;TRIM($H409),'Price List Library'!$S$6:$S$437,0)),"")</f>
        <v>Benchmark</v>
      </c>
      <c r="J409" s="20">
        <f>IFERROR(INDEX('Price List Library'!$O$6:$O$437,MATCH(TRIM($G409)&amp;"|"&amp;TRIM($H409),'Price List Library'!$S$6:$S$437,0)),0)</f>
        <v>6.2240000000000002</v>
      </c>
      <c r="K409" s="13" t="s">
        <v>1888</v>
      </c>
    </row>
    <row r="410" spans="1:11" ht="15" customHeight="1" x14ac:dyDescent="0.25">
      <c r="A410" s="9">
        <v>405</v>
      </c>
      <c r="B410" s="10" t="s">
        <v>13</v>
      </c>
      <c r="C410" s="11" t="s">
        <v>225</v>
      </c>
      <c r="D410" s="12" t="s">
        <v>226</v>
      </c>
      <c r="E410" s="12" t="s">
        <v>281</v>
      </c>
      <c r="F410" s="12" t="s">
        <v>318</v>
      </c>
      <c r="G410" s="12" t="s">
        <v>1889</v>
      </c>
      <c r="H410" s="9" t="s">
        <v>18</v>
      </c>
      <c r="I410" s="9" t="str">
        <f>IFERROR(INDEX('Price List Library'!$P$6:$P$437,MATCH(TRIM($G410)&amp;"|"&amp;TRIM($H410),'Price List Library'!$S$6:$S$437,0)),"")</f>
        <v>Benchmark</v>
      </c>
      <c r="J410" s="20">
        <f>IFERROR(INDEX('Price List Library'!$O$6:$O$437,MATCH(TRIM($G410)&amp;"|"&amp;TRIM($H410),'Price List Library'!$S$6:$S$437,0)),0)</f>
        <v>10.64</v>
      </c>
      <c r="K410" s="13" t="s">
        <v>1890</v>
      </c>
    </row>
    <row r="411" spans="1:11" ht="15" customHeight="1" x14ac:dyDescent="0.25">
      <c r="A411" s="9">
        <v>406</v>
      </c>
      <c r="B411" s="10" t="s">
        <v>13</v>
      </c>
      <c r="C411" s="11" t="s">
        <v>225</v>
      </c>
      <c r="D411" s="12" t="s">
        <v>226</v>
      </c>
      <c r="E411" s="12" t="s">
        <v>281</v>
      </c>
      <c r="F411" s="12" t="s">
        <v>321</v>
      </c>
      <c r="G411" s="12" t="s">
        <v>322</v>
      </c>
      <c r="H411" s="9" t="s">
        <v>18</v>
      </c>
      <c r="I411" s="9" t="str">
        <f>IFERROR(INDEX('Price List Library'!$P$6:$P$437,MATCH(TRIM($G411)&amp;"|"&amp;TRIM($H411),'Price List Library'!$S$6:$S$437,0)),"")</f>
        <v>Benchmark</v>
      </c>
      <c r="J411" s="20">
        <f>IFERROR(INDEX('Price List Library'!$O$6:$O$437,MATCH(TRIM($G411)&amp;"|"&amp;TRIM($H411),'Price List Library'!$S$6:$S$437,0)),0)</f>
        <v>23.32</v>
      </c>
      <c r="K411" s="13" t="s">
        <v>1891</v>
      </c>
    </row>
    <row r="412" spans="1:11" ht="15" customHeight="1" x14ac:dyDescent="0.25">
      <c r="A412" s="9">
        <v>407</v>
      </c>
      <c r="B412" s="10" t="s">
        <v>13</v>
      </c>
      <c r="C412" s="11" t="s">
        <v>225</v>
      </c>
      <c r="D412" s="12" t="s">
        <v>226</v>
      </c>
      <c r="E412" s="12" t="s">
        <v>324</v>
      </c>
      <c r="F412" s="12" t="s">
        <v>325</v>
      </c>
      <c r="G412" s="12" t="s">
        <v>326</v>
      </c>
      <c r="H412" s="9" t="s">
        <v>53</v>
      </c>
      <c r="I412" s="9" t="str">
        <f>IFERROR(INDEX('Price List Library'!$P$6:$P$437,MATCH(TRIM($G412)&amp;"|"&amp;TRIM($H412),'Price List Library'!$S$6:$S$437,0)),"")</f>
        <v>Benchmark</v>
      </c>
      <c r="J412" s="20">
        <f>IFERROR(INDEX('Price List Library'!$O$6:$O$437,MATCH(TRIM($G412)&amp;"|"&amp;TRIM($H412),'Price List Library'!$S$6:$S$437,0)),0)</f>
        <v>2.1160000000000001</v>
      </c>
      <c r="K412" s="13" t="s">
        <v>1892</v>
      </c>
    </row>
    <row r="413" spans="1:11" ht="15" customHeight="1" x14ac:dyDescent="0.25">
      <c r="A413" s="9">
        <v>408</v>
      </c>
      <c r="B413" s="10" t="s">
        <v>13</v>
      </c>
      <c r="C413" s="11" t="s">
        <v>225</v>
      </c>
      <c r="D413" s="12" t="s">
        <v>226</v>
      </c>
      <c r="E413" s="12" t="s">
        <v>324</v>
      </c>
      <c r="F413" s="12" t="s">
        <v>291</v>
      </c>
      <c r="G413" s="12" t="s">
        <v>292</v>
      </c>
      <c r="H413" s="9" t="s">
        <v>53</v>
      </c>
      <c r="I413" s="9" t="str">
        <f>IFERROR(INDEX('Price List Library'!$P$6:$P$437,MATCH(TRIM($G413)&amp;"|"&amp;TRIM($H413),'Price List Library'!$S$6:$S$437,0)),"")</f>
        <v>Benchmark</v>
      </c>
      <c r="J413" s="20">
        <f>IFERROR(INDEX('Price List Library'!$O$6:$O$437,MATCH(TRIM($G413)&amp;"|"&amp;TRIM($H413),'Price List Library'!$S$6:$S$437,0)),0)</f>
        <v>1.8240000000000001</v>
      </c>
      <c r="K413" s="13" t="s">
        <v>1893</v>
      </c>
    </row>
    <row r="414" spans="1:11" ht="15" customHeight="1" x14ac:dyDescent="0.25">
      <c r="A414" s="9">
        <v>409</v>
      </c>
      <c r="B414" s="10" t="s">
        <v>13</v>
      </c>
      <c r="C414" s="11" t="s">
        <v>225</v>
      </c>
      <c r="D414" s="12" t="s">
        <v>226</v>
      </c>
      <c r="E414" s="12" t="s">
        <v>324</v>
      </c>
      <c r="F414" s="12" t="s">
        <v>294</v>
      </c>
      <c r="G414" s="12" t="s">
        <v>295</v>
      </c>
      <c r="H414" s="9" t="s">
        <v>61</v>
      </c>
      <c r="I414" s="9" t="str">
        <f>IFERROR(INDEX('Price List Library'!$P$6:$P$437,MATCH(TRIM($G414)&amp;"|"&amp;TRIM($H414),'Price List Library'!$S$6:$S$437,0)),"")</f>
        <v>Priced</v>
      </c>
      <c r="J414" s="20">
        <f>IFERROR(INDEX('Price List Library'!$O$6:$O$437,MATCH(TRIM($G414)&amp;"|"&amp;TRIM($H414),'Price List Library'!$S$6:$S$437,0)),0)</f>
        <v>1.944</v>
      </c>
      <c r="K414" s="13" t="s">
        <v>1894</v>
      </c>
    </row>
    <row r="415" spans="1:11" ht="15" customHeight="1" x14ac:dyDescent="0.25">
      <c r="A415" s="9">
        <v>410</v>
      </c>
      <c r="B415" s="10" t="s">
        <v>13</v>
      </c>
      <c r="C415" s="11" t="s">
        <v>225</v>
      </c>
      <c r="D415" s="12" t="s">
        <v>226</v>
      </c>
      <c r="E415" s="12" t="s">
        <v>324</v>
      </c>
      <c r="F415" s="12" t="s">
        <v>297</v>
      </c>
      <c r="G415" s="12" t="s">
        <v>298</v>
      </c>
      <c r="H415" s="9" t="s">
        <v>53</v>
      </c>
      <c r="I415" s="9" t="str">
        <f>IFERROR(INDEX('Price List Library'!$P$6:$P$437,MATCH(TRIM($G415)&amp;"|"&amp;TRIM($H415),'Price List Library'!$S$6:$S$437,0)),"")</f>
        <v>Benchmark</v>
      </c>
      <c r="J415" s="20">
        <f>IFERROR(INDEX('Price List Library'!$O$6:$O$437,MATCH(TRIM($G415)&amp;"|"&amp;TRIM($H415),'Price List Library'!$S$6:$S$437,0)),0)</f>
        <v>2</v>
      </c>
      <c r="K415" s="13" t="s">
        <v>1895</v>
      </c>
    </row>
    <row r="416" spans="1:11" ht="15" customHeight="1" x14ac:dyDescent="0.25">
      <c r="A416" s="9">
        <v>411</v>
      </c>
      <c r="B416" s="10" t="s">
        <v>13</v>
      </c>
      <c r="C416" s="11" t="s">
        <v>225</v>
      </c>
      <c r="D416" s="12" t="s">
        <v>226</v>
      </c>
      <c r="E416" s="12" t="s">
        <v>324</v>
      </c>
      <c r="F416" s="12" t="s">
        <v>331</v>
      </c>
      <c r="G416" s="12" t="s">
        <v>332</v>
      </c>
      <c r="H416" s="9" t="s">
        <v>18</v>
      </c>
      <c r="I416" s="9" t="str">
        <f>IFERROR(INDEX('Price List Library'!$P$6:$P$437,MATCH(TRIM($G416)&amp;"|"&amp;TRIM($H416),'Price List Library'!$S$6:$S$437,0)),"")</f>
        <v>Priced</v>
      </c>
      <c r="J416" s="20">
        <f>IFERROR(INDEX('Price List Library'!$O$6:$O$437,MATCH(TRIM($G416)&amp;"|"&amp;TRIM($H416),'Price List Library'!$S$6:$S$437,0)),0)</f>
        <v>8.56</v>
      </c>
      <c r="K416" s="13" t="s">
        <v>1896</v>
      </c>
    </row>
    <row r="417" spans="1:11" ht="15" customHeight="1" x14ac:dyDescent="0.25">
      <c r="A417" s="9">
        <v>412</v>
      </c>
      <c r="B417" s="10" t="s">
        <v>13</v>
      </c>
      <c r="C417" s="11" t="s">
        <v>225</v>
      </c>
      <c r="D417" s="12" t="s">
        <v>226</v>
      </c>
      <c r="E417" s="12" t="s">
        <v>324</v>
      </c>
      <c r="F417" s="12" t="s">
        <v>334</v>
      </c>
      <c r="G417" s="12" t="s">
        <v>335</v>
      </c>
      <c r="H417" s="9" t="s">
        <v>61</v>
      </c>
      <c r="I417" s="9" t="str">
        <f>IFERROR(INDEX('Price List Library'!$P$6:$P$437,MATCH(TRIM($G417)&amp;"|"&amp;TRIM($H417),'Price List Library'!$S$6:$S$437,0)),"")</f>
        <v>Priced</v>
      </c>
      <c r="J417" s="20">
        <f>IFERROR(INDEX('Price List Library'!$O$6:$O$437,MATCH(TRIM($G417)&amp;"|"&amp;TRIM($H417),'Price List Library'!$S$6:$S$437,0)),0)</f>
        <v>4</v>
      </c>
      <c r="K417" s="13" t="s">
        <v>1897</v>
      </c>
    </row>
    <row r="418" spans="1:11" ht="15" customHeight="1" x14ac:dyDescent="0.25">
      <c r="A418" s="9">
        <v>413</v>
      </c>
      <c r="B418" s="10" t="s">
        <v>13</v>
      </c>
      <c r="C418" s="11" t="s">
        <v>225</v>
      </c>
      <c r="D418" s="12" t="s">
        <v>226</v>
      </c>
      <c r="E418" s="12" t="s">
        <v>324</v>
      </c>
      <c r="F418" s="12" t="s">
        <v>309</v>
      </c>
      <c r="G418" s="12" t="s">
        <v>310</v>
      </c>
      <c r="H418" s="9" t="s">
        <v>57</v>
      </c>
      <c r="I418" s="9" t="str">
        <f>IFERROR(INDEX('Price List Library'!$P$6:$P$437,MATCH(TRIM($G418)&amp;"|"&amp;TRIM($H418),'Price List Library'!$S$6:$S$437,0)),"")</f>
        <v>Benchmark</v>
      </c>
      <c r="J418" s="20">
        <f>IFERROR(INDEX('Price List Library'!$O$6:$O$437,MATCH(TRIM($G418)&amp;"|"&amp;TRIM($H418),'Price List Library'!$S$6:$S$437,0)),0)</f>
        <v>8.0400000000000009</v>
      </c>
      <c r="K418" s="13" t="s">
        <v>1898</v>
      </c>
    </row>
    <row r="419" spans="1:11" ht="15" customHeight="1" x14ac:dyDescent="0.25">
      <c r="A419" s="9">
        <v>414</v>
      </c>
      <c r="B419" s="10" t="s">
        <v>13</v>
      </c>
      <c r="C419" s="11" t="s">
        <v>225</v>
      </c>
      <c r="D419" s="12" t="s">
        <v>226</v>
      </c>
      <c r="E419" s="12" t="s">
        <v>324</v>
      </c>
      <c r="F419" s="12" t="s">
        <v>318</v>
      </c>
      <c r="G419" s="12" t="s">
        <v>319</v>
      </c>
      <c r="H419" s="9" t="s">
        <v>18</v>
      </c>
      <c r="I419" s="9" t="str">
        <f>IFERROR(INDEX('Price List Library'!$P$6:$P$437,MATCH(TRIM($G419)&amp;"|"&amp;TRIM($H419),'Price List Library'!$S$6:$S$437,0)),"")</f>
        <v>Benchmark</v>
      </c>
      <c r="J419" s="20">
        <f>IFERROR(INDEX('Price List Library'!$O$6:$O$437,MATCH(TRIM($G419)&amp;"|"&amp;TRIM($H419),'Price List Library'!$S$6:$S$437,0)),0)</f>
        <v>6.2240000000000002</v>
      </c>
      <c r="K419" s="13" t="s">
        <v>1899</v>
      </c>
    </row>
    <row r="420" spans="1:11" ht="15" customHeight="1" x14ac:dyDescent="0.25">
      <c r="A420" s="9">
        <v>415</v>
      </c>
      <c r="B420" s="10" t="s">
        <v>13</v>
      </c>
      <c r="C420" s="11" t="s">
        <v>225</v>
      </c>
      <c r="D420" s="12" t="s">
        <v>226</v>
      </c>
      <c r="E420" s="12" t="s">
        <v>324</v>
      </c>
      <c r="F420" s="12" t="s">
        <v>318</v>
      </c>
      <c r="G420" s="12" t="s">
        <v>1889</v>
      </c>
      <c r="H420" s="9" t="s">
        <v>18</v>
      </c>
      <c r="I420" s="9" t="str">
        <f>IFERROR(INDEX('Price List Library'!$P$6:$P$437,MATCH(TRIM($G420)&amp;"|"&amp;TRIM($H420),'Price List Library'!$S$6:$S$437,0)),"")</f>
        <v>Benchmark</v>
      </c>
      <c r="J420" s="20">
        <f>IFERROR(INDEX('Price List Library'!$O$6:$O$437,MATCH(TRIM($G420)&amp;"|"&amp;TRIM($H420),'Price List Library'!$S$6:$S$437,0)),0)</f>
        <v>10.64</v>
      </c>
      <c r="K420" s="13" t="s">
        <v>1900</v>
      </c>
    </row>
    <row r="421" spans="1:11" ht="15" customHeight="1" x14ac:dyDescent="0.25">
      <c r="A421" s="9">
        <v>416</v>
      </c>
      <c r="B421" s="10" t="s">
        <v>13</v>
      </c>
      <c r="C421" s="11" t="s">
        <v>225</v>
      </c>
      <c r="D421" s="12" t="s">
        <v>226</v>
      </c>
      <c r="E421" s="12" t="s">
        <v>339</v>
      </c>
      <c r="F421" s="12" t="s">
        <v>99</v>
      </c>
      <c r="G421" s="12" t="s">
        <v>100</v>
      </c>
      <c r="H421" s="9" t="s">
        <v>57</v>
      </c>
      <c r="I421" s="9" t="str">
        <f>IFERROR(INDEX('Price List Library'!$P$6:$P$437,MATCH(TRIM($G421)&amp;"|"&amp;TRIM($H421),'Price List Library'!$S$6:$S$437,0)),"")</f>
        <v>Benchmark</v>
      </c>
      <c r="J421" s="20">
        <f>IFERROR(INDEX('Price List Library'!$O$6:$O$437,MATCH(TRIM($G421)&amp;"|"&amp;TRIM($H421),'Price List Library'!$S$6:$S$437,0)),0)</f>
        <v>38.5</v>
      </c>
      <c r="K421" s="13" t="s">
        <v>1901</v>
      </c>
    </row>
    <row r="422" spans="1:11" ht="15" customHeight="1" x14ac:dyDescent="0.25">
      <c r="A422" s="9">
        <v>417</v>
      </c>
      <c r="B422" s="10" t="s">
        <v>13</v>
      </c>
      <c r="C422" s="11" t="s">
        <v>225</v>
      </c>
      <c r="D422" s="12" t="s">
        <v>226</v>
      </c>
      <c r="E422" s="12" t="s">
        <v>339</v>
      </c>
      <c r="F422" s="12" t="s">
        <v>96</v>
      </c>
      <c r="G422" s="12" t="s">
        <v>97</v>
      </c>
      <c r="H422" s="9" t="s">
        <v>35</v>
      </c>
      <c r="I422" s="9" t="str">
        <f>IFERROR(INDEX('Price List Library'!$P$6:$P$437,MATCH(TRIM($G422)&amp;"|"&amp;TRIM($H422),'Price List Library'!$S$6:$S$437,0)),"")</f>
        <v>Priced</v>
      </c>
      <c r="J422" s="20">
        <f>IFERROR(INDEX('Price List Library'!$O$6:$O$437,MATCH(TRIM($G422)&amp;"|"&amp;TRIM($H422),'Price List Library'!$S$6:$S$437,0)),0)</f>
        <v>220.00000000000003</v>
      </c>
      <c r="K422" s="13" t="s">
        <v>1902</v>
      </c>
    </row>
    <row r="423" spans="1:11" ht="15" customHeight="1" x14ac:dyDescent="0.25">
      <c r="A423" s="9">
        <v>418</v>
      </c>
      <c r="B423" s="10" t="s">
        <v>13</v>
      </c>
      <c r="C423" s="11" t="s">
        <v>225</v>
      </c>
      <c r="D423" s="12" t="s">
        <v>226</v>
      </c>
      <c r="E423" s="12" t="s">
        <v>339</v>
      </c>
      <c r="F423" s="12" t="s">
        <v>342</v>
      </c>
      <c r="G423" s="12" t="s">
        <v>343</v>
      </c>
      <c r="H423" s="9" t="s">
        <v>57</v>
      </c>
      <c r="I423" s="9" t="str">
        <f>IFERROR(INDEX('Price List Library'!$P$6:$P$437,MATCH(TRIM($G423)&amp;"|"&amp;TRIM($H423),'Price List Library'!$S$6:$S$437,0)),"")</f>
        <v>Benchmark</v>
      </c>
      <c r="J423" s="20">
        <f>IFERROR(INDEX('Price List Library'!$O$6:$O$437,MATCH(TRIM($G423)&amp;"|"&amp;TRIM($H423),'Price List Library'!$S$6:$S$437,0)),0)</f>
        <v>132</v>
      </c>
      <c r="K423" s="13" t="s">
        <v>1903</v>
      </c>
    </row>
    <row r="424" spans="1:11" ht="15" customHeight="1" x14ac:dyDescent="0.25">
      <c r="A424" s="9">
        <v>419</v>
      </c>
      <c r="B424" s="10" t="s">
        <v>13</v>
      </c>
      <c r="C424" s="11" t="s">
        <v>225</v>
      </c>
      <c r="D424" s="12" t="s">
        <v>226</v>
      </c>
      <c r="E424" s="12" t="s">
        <v>339</v>
      </c>
      <c r="F424" s="12" t="s">
        <v>345</v>
      </c>
      <c r="G424" s="12" t="s">
        <v>346</v>
      </c>
      <c r="H424" s="9" t="s">
        <v>35</v>
      </c>
      <c r="I424" s="9" t="str">
        <f>IFERROR(INDEX('Price List Library'!$P$6:$P$437,MATCH(TRIM($G424)&amp;"|"&amp;TRIM($H424),'Price List Library'!$S$6:$S$437,0)),"")</f>
        <v>Benchmark</v>
      </c>
      <c r="J424" s="20">
        <f>IFERROR(INDEX('Price List Library'!$O$6:$O$437,MATCH(TRIM($G424)&amp;"|"&amp;TRIM($H424),'Price List Library'!$S$6:$S$437,0)),0)</f>
        <v>2472</v>
      </c>
      <c r="K424" s="13" t="s">
        <v>1904</v>
      </c>
    </row>
    <row r="425" spans="1:11" ht="15" customHeight="1" x14ac:dyDescent="0.25">
      <c r="A425" s="9">
        <v>420</v>
      </c>
      <c r="B425" s="14" t="s">
        <v>348</v>
      </c>
      <c r="C425" s="15" t="s">
        <v>349</v>
      </c>
      <c r="D425" s="12" t="s">
        <v>350</v>
      </c>
      <c r="E425" s="12" t="s">
        <v>351</v>
      </c>
      <c r="F425" s="12" t="s">
        <v>352</v>
      </c>
      <c r="G425" s="12" t="s">
        <v>353</v>
      </c>
      <c r="H425" s="9" t="s">
        <v>18</v>
      </c>
      <c r="I425" s="9" t="str">
        <f>IFERROR(INDEX('Price List Library'!$P$6:$P$437,MATCH(TRIM($G425)&amp;"|"&amp;TRIM($H425),'Price List Library'!$S$6:$S$437,0)),"")</f>
        <v>Benchmark</v>
      </c>
      <c r="J425" s="20">
        <f>IFERROR(INDEX('Price List Library'!$O$6:$O$437,MATCH(TRIM($G425)&amp;"|"&amp;TRIM($H425),'Price List Library'!$S$6:$S$437,0)),0)</f>
        <v>10.32</v>
      </c>
      <c r="K425" s="13" t="s">
        <v>1905</v>
      </c>
    </row>
    <row r="426" spans="1:11" ht="15" customHeight="1" x14ac:dyDescent="0.25">
      <c r="A426" s="9">
        <v>421</v>
      </c>
      <c r="B426" s="14" t="s">
        <v>348</v>
      </c>
      <c r="C426" s="15" t="s">
        <v>349</v>
      </c>
      <c r="D426" s="12" t="s">
        <v>350</v>
      </c>
      <c r="E426" s="12" t="s">
        <v>351</v>
      </c>
      <c r="F426" s="12" t="s">
        <v>355</v>
      </c>
      <c r="G426" s="12" t="s">
        <v>356</v>
      </c>
      <c r="H426" s="9" t="s">
        <v>18</v>
      </c>
      <c r="I426" s="9" t="str">
        <f>IFERROR(INDEX('Price List Library'!$P$6:$P$437,MATCH(TRIM($G426)&amp;"|"&amp;TRIM($H426),'Price List Library'!$S$6:$S$437,0)),"")</f>
        <v>Priced</v>
      </c>
      <c r="J426" s="20">
        <f>IFERROR(INDEX('Price List Library'!$O$6:$O$437,MATCH(TRIM($G426)&amp;"|"&amp;TRIM($H426),'Price List Library'!$S$6:$S$437,0)),0)</f>
        <v>17.72</v>
      </c>
      <c r="K426" s="13" t="s">
        <v>1906</v>
      </c>
    </row>
    <row r="427" spans="1:11" ht="15" customHeight="1" x14ac:dyDescent="0.25">
      <c r="A427" s="9">
        <v>422</v>
      </c>
      <c r="B427" s="14" t="s">
        <v>348</v>
      </c>
      <c r="C427" s="15" t="s">
        <v>349</v>
      </c>
      <c r="D427" s="12" t="s">
        <v>350</v>
      </c>
      <c r="E427" s="12" t="s">
        <v>351</v>
      </c>
      <c r="F427" s="12" t="s">
        <v>358</v>
      </c>
      <c r="G427" s="12" t="s">
        <v>359</v>
      </c>
      <c r="H427" s="9" t="s">
        <v>18</v>
      </c>
      <c r="I427" s="9" t="str">
        <f>IFERROR(INDEX('Price List Library'!$P$6:$P$437,MATCH(TRIM($G427)&amp;"|"&amp;TRIM($H427),'Price List Library'!$S$6:$S$437,0)),"")</f>
        <v>Priced</v>
      </c>
      <c r="J427" s="20">
        <f>IFERROR(INDEX('Price List Library'!$O$6:$O$437,MATCH(TRIM($G427)&amp;"|"&amp;TRIM($H427),'Price List Library'!$S$6:$S$437,0)),0)</f>
        <v>30.800000000000004</v>
      </c>
      <c r="K427" s="13" t="s">
        <v>1907</v>
      </c>
    </row>
    <row r="428" spans="1:11" ht="15" customHeight="1" x14ac:dyDescent="0.25">
      <c r="A428" s="9">
        <v>423</v>
      </c>
      <c r="B428" s="14" t="s">
        <v>348</v>
      </c>
      <c r="C428" s="15" t="s">
        <v>349</v>
      </c>
      <c r="D428" s="12" t="s">
        <v>350</v>
      </c>
      <c r="E428" s="12" t="s">
        <v>351</v>
      </c>
      <c r="F428" s="12" t="s">
        <v>361</v>
      </c>
      <c r="G428" s="12" t="s">
        <v>362</v>
      </c>
      <c r="H428" s="9" t="s">
        <v>18</v>
      </c>
      <c r="I428" s="9" t="str">
        <f>IFERROR(INDEX('Price List Library'!$P$6:$P$437,MATCH(TRIM($G428)&amp;"|"&amp;TRIM($H428),'Price List Library'!$S$6:$S$437,0)),"")</f>
        <v>Priced</v>
      </c>
      <c r="J428" s="20">
        <f>IFERROR(INDEX('Price List Library'!$O$6:$O$437,MATCH(TRIM($G428)&amp;"|"&amp;TRIM($H428),'Price List Library'!$S$6:$S$437,0)),0)</f>
        <v>38.200000000000003</v>
      </c>
      <c r="K428" s="13" t="s">
        <v>1908</v>
      </c>
    </row>
    <row r="429" spans="1:11" ht="15" customHeight="1" x14ac:dyDescent="0.25">
      <c r="A429" s="9">
        <v>424</v>
      </c>
      <c r="B429" s="14" t="s">
        <v>348</v>
      </c>
      <c r="C429" s="15" t="s">
        <v>349</v>
      </c>
      <c r="D429" s="12" t="s">
        <v>350</v>
      </c>
      <c r="E429" s="12" t="s">
        <v>351</v>
      </c>
      <c r="F429" s="12" t="s">
        <v>364</v>
      </c>
      <c r="G429" s="12" t="s">
        <v>365</v>
      </c>
      <c r="H429" s="9" t="s">
        <v>18</v>
      </c>
      <c r="I429" s="9" t="str">
        <f>IFERROR(INDEX('Price List Library'!$P$6:$P$437,MATCH(TRIM($G429)&amp;"|"&amp;TRIM($H429),'Price List Library'!$S$6:$S$437,0)),"")</f>
        <v>Priced</v>
      </c>
      <c r="J429" s="20">
        <f>IFERROR(INDEX('Price List Library'!$O$6:$O$437,MATCH(TRIM($G429)&amp;"|"&amp;TRIM($H429),'Price List Library'!$S$6:$S$437,0)),0)</f>
        <v>56.96</v>
      </c>
      <c r="K429" s="13" t="s">
        <v>1909</v>
      </c>
    </row>
    <row r="430" spans="1:11" ht="15" customHeight="1" x14ac:dyDescent="0.25">
      <c r="A430" s="9">
        <v>425</v>
      </c>
      <c r="B430" s="14" t="s">
        <v>348</v>
      </c>
      <c r="C430" s="15" t="s">
        <v>349</v>
      </c>
      <c r="D430" s="12" t="s">
        <v>350</v>
      </c>
      <c r="E430" s="12" t="s">
        <v>367</v>
      </c>
      <c r="F430" s="12" t="s">
        <v>368</v>
      </c>
      <c r="G430" s="12" t="s">
        <v>369</v>
      </c>
      <c r="H430" s="9" t="s">
        <v>18</v>
      </c>
      <c r="I430" s="9" t="str">
        <f>IFERROR(INDEX('Price List Library'!$P$6:$P$437,MATCH(TRIM($G430)&amp;"|"&amp;TRIM($H430),'Price List Library'!$S$6:$S$437,0)),"")</f>
        <v>Benchmark</v>
      </c>
      <c r="J430" s="20">
        <f>IFERROR(INDEX('Price List Library'!$O$6:$O$437,MATCH(TRIM($G430)&amp;"|"&amp;TRIM($H430),'Price List Library'!$S$6:$S$437,0)),0)</f>
        <v>11.120000000000001</v>
      </c>
      <c r="K430" s="13" t="s">
        <v>1910</v>
      </c>
    </row>
    <row r="431" spans="1:11" ht="15" customHeight="1" x14ac:dyDescent="0.25">
      <c r="A431" s="9">
        <v>426</v>
      </c>
      <c r="B431" s="14" t="s">
        <v>348</v>
      </c>
      <c r="C431" s="15" t="s">
        <v>349</v>
      </c>
      <c r="D431" s="12" t="s">
        <v>350</v>
      </c>
      <c r="E431" s="12" t="s">
        <v>367</v>
      </c>
      <c r="F431" s="12" t="s">
        <v>371</v>
      </c>
      <c r="G431" s="12" t="s">
        <v>372</v>
      </c>
      <c r="H431" s="9" t="s">
        <v>18</v>
      </c>
      <c r="I431" s="9" t="str">
        <f>IFERROR(INDEX('Price List Library'!$P$6:$P$437,MATCH(TRIM($G431)&amp;"|"&amp;TRIM($H431),'Price List Library'!$S$6:$S$437,0)),"")</f>
        <v>Benchmark</v>
      </c>
      <c r="J431" s="20">
        <f>IFERROR(INDEX('Price List Library'!$O$6:$O$437,MATCH(TRIM($G431)&amp;"|"&amp;TRIM($H431),'Price List Library'!$S$6:$S$437,0)),0)</f>
        <v>14.080000000000002</v>
      </c>
      <c r="K431" s="13" t="s">
        <v>1911</v>
      </c>
    </row>
    <row r="432" spans="1:11" ht="15" customHeight="1" x14ac:dyDescent="0.25">
      <c r="A432" s="9">
        <v>427</v>
      </c>
      <c r="B432" s="14" t="s">
        <v>348</v>
      </c>
      <c r="C432" s="15" t="s">
        <v>349</v>
      </c>
      <c r="D432" s="12" t="s">
        <v>350</v>
      </c>
      <c r="E432" s="12" t="s">
        <v>367</v>
      </c>
      <c r="F432" s="12" t="s">
        <v>374</v>
      </c>
      <c r="G432" s="12" t="s">
        <v>375</v>
      </c>
      <c r="H432" s="9" t="s">
        <v>18</v>
      </c>
      <c r="I432" s="9" t="str">
        <f>IFERROR(INDEX('Price List Library'!$P$6:$P$437,MATCH(TRIM($G432)&amp;"|"&amp;TRIM($H432),'Price List Library'!$S$6:$S$437,0)),"")</f>
        <v>Benchmark</v>
      </c>
      <c r="J432" s="20">
        <f>IFERROR(INDEX('Price List Library'!$O$6:$O$437,MATCH(TRIM($G432)&amp;"|"&amp;TRIM($H432),'Price List Library'!$S$6:$S$437,0)),0)</f>
        <v>16.8</v>
      </c>
      <c r="K432" s="13" t="s">
        <v>1912</v>
      </c>
    </row>
    <row r="433" spans="1:11" ht="15" customHeight="1" x14ac:dyDescent="0.25">
      <c r="A433" s="9">
        <v>428</v>
      </c>
      <c r="B433" s="14" t="s">
        <v>348</v>
      </c>
      <c r="C433" s="15" t="s">
        <v>349</v>
      </c>
      <c r="D433" s="12" t="s">
        <v>350</v>
      </c>
      <c r="E433" s="12" t="s">
        <v>377</v>
      </c>
      <c r="F433" s="12" t="s">
        <v>378</v>
      </c>
      <c r="G433" s="12" t="s">
        <v>379</v>
      </c>
      <c r="H433" s="9" t="s">
        <v>18</v>
      </c>
      <c r="I433" s="9" t="str">
        <f>IFERROR(INDEX('Price List Library'!$P$6:$P$437,MATCH(TRIM($G433)&amp;"|"&amp;TRIM($H433),'Price List Library'!$S$6:$S$437,0)),"")</f>
        <v>Benchmark</v>
      </c>
      <c r="J433" s="20">
        <f>IFERROR(INDEX('Price List Library'!$O$6:$O$437,MATCH(TRIM($G433)&amp;"|"&amp;TRIM($H433),'Price List Library'!$S$6:$S$437,0)),0)</f>
        <v>14.84</v>
      </c>
      <c r="K433" s="13" t="s">
        <v>1913</v>
      </c>
    </row>
    <row r="434" spans="1:11" ht="15" customHeight="1" x14ac:dyDescent="0.25">
      <c r="A434" s="9">
        <v>429</v>
      </c>
      <c r="B434" s="14" t="s">
        <v>348</v>
      </c>
      <c r="C434" s="15" t="s">
        <v>349</v>
      </c>
      <c r="D434" s="12" t="s">
        <v>350</v>
      </c>
      <c r="E434" s="12" t="s">
        <v>377</v>
      </c>
      <c r="F434" s="12" t="s">
        <v>381</v>
      </c>
      <c r="G434" s="12" t="s">
        <v>382</v>
      </c>
      <c r="H434" s="9" t="s">
        <v>18</v>
      </c>
      <c r="I434" s="9" t="str">
        <f>IFERROR(INDEX('Price List Library'!$P$6:$P$437,MATCH(TRIM($G434)&amp;"|"&amp;TRIM($H434),'Price List Library'!$S$6:$S$437,0)),"")</f>
        <v>Benchmark</v>
      </c>
      <c r="J434" s="20">
        <f>IFERROR(INDEX('Price List Library'!$O$6:$O$437,MATCH(TRIM($G434)&amp;"|"&amp;TRIM($H434),'Price List Library'!$S$6:$S$437,0)),0)</f>
        <v>19.360000000000003</v>
      </c>
      <c r="K434" s="13" t="s">
        <v>1914</v>
      </c>
    </row>
    <row r="435" spans="1:11" ht="15" customHeight="1" x14ac:dyDescent="0.25">
      <c r="A435" s="9">
        <v>430</v>
      </c>
      <c r="B435" s="14" t="s">
        <v>348</v>
      </c>
      <c r="C435" s="15" t="s">
        <v>349</v>
      </c>
      <c r="D435" s="12" t="s">
        <v>350</v>
      </c>
      <c r="E435" s="12" t="s">
        <v>377</v>
      </c>
      <c r="F435" s="12" t="s">
        <v>384</v>
      </c>
      <c r="G435" s="12" t="s">
        <v>385</v>
      </c>
      <c r="H435" s="9" t="s">
        <v>18</v>
      </c>
      <c r="I435" s="9" t="str">
        <f>IFERROR(INDEX('Price List Library'!$P$6:$P$437,MATCH(TRIM($G435)&amp;"|"&amp;TRIM($H435),'Price List Library'!$S$6:$S$437,0)),"")</f>
        <v>Benchmark</v>
      </c>
      <c r="J435" s="20">
        <f>IFERROR(INDEX('Price List Library'!$O$6:$O$437,MATCH(TRIM($G435)&amp;"|"&amp;TRIM($H435),'Price List Library'!$S$6:$S$437,0)),0)</f>
        <v>23.88</v>
      </c>
      <c r="K435" s="13" t="s">
        <v>1915</v>
      </c>
    </row>
    <row r="436" spans="1:11" ht="15" customHeight="1" x14ac:dyDescent="0.25">
      <c r="A436" s="9">
        <v>431</v>
      </c>
      <c r="B436" s="14" t="s">
        <v>348</v>
      </c>
      <c r="C436" s="15" t="s">
        <v>349</v>
      </c>
      <c r="D436" s="12" t="s">
        <v>350</v>
      </c>
      <c r="E436" s="12" t="s">
        <v>387</v>
      </c>
      <c r="F436" s="12" t="s">
        <v>388</v>
      </c>
      <c r="G436" s="12" t="s">
        <v>389</v>
      </c>
      <c r="H436" s="9" t="s">
        <v>18</v>
      </c>
      <c r="I436" s="9" t="str">
        <f>IFERROR(INDEX('Price List Library'!$P$6:$P$437,MATCH(TRIM($G436)&amp;"|"&amp;TRIM($H436),'Price List Library'!$S$6:$S$437,0)),"")</f>
        <v>Benchmark</v>
      </c>
      <c r="J436" s="20">
        <f>IFERROR(INDEX('Price List Library'!$O$6:$O$437,MATCH(TRIM($G436)&amp;"|"&amp;TRIM($H436),'Price List Library'!$S$6:$S$437,0)),0)</f>
        <v>43.040000000000006</v>
      </c>
      <c r="K436" s="13" t="s">
        <v>1916</v>
      </c>
    </row>
    <row r="437" spans="1:11" ht="15" customHeight="1" x14ac:dyDescent="0.25">
      <c r="A437" s="9">
        <v>432</v>
      </c>
      <c r="B437" s="14" t="s">
        <v>348</v>
      </c>
      <c r="C437" s="15" t="s">
        <v>349</v>
      </c>
      <c r="D437" s="12" t="s">
        <v>350</v>
      </c>
      <c r="E437" s="12" t="s">
        <v>387</v>
      </c>
      <c r="F437" s="12" t="s">
        <v>391</v>
      </c>
      <c r="G437" s="12" t="s">
        <v>392</v>
      </c>
      <c r="H437" s="9" t="s">
        <v>61</v>
      </c>
      <c r="I437" s="9" t="str">
        <f>IFERROR(INDEX('Price List Library'!$P$6:$P$437,MATCH(TRIM($G437)&amp;"|"&amp;TRIM($H437),'Price List Library'!$S$6:$S$437,0)),"")</f>
        <v>Benchmark</v>
      </c>
      <c r="J437" s="20">
        <f>IFERROR(INDEX('Price List Library'!$O$6:$O$437,MATCH(TRIM($G437)&amp;"|"&amp;TRIM($H437),'Price List Library'!$S$6:$S$437,0)),0)</f>
        <v>3.68</v>
      </c>
      <c r="K437" s="13" t="s">
        <v>1917</v>
      </c>
    </row>
    <row r="438" spans="1:11" ht="15" customHeight="1" x14ac:dyDescent="0.25">
      <c r="A438" s="9">
        <v>433</v>
      </c>
      <c r="B438" s="14" t="s">
        <v>348</v>
      </c>
      <c r="C438" s="15" t="s">
        <v>349</v>
      </c>
      <c r="D438" s="12" t="s">
        <v>350</v>
      </c>
      <c r="E438" s="12" t="s">
        <v>394</v>
      </c>
      <c r="F438" s="12" t="s">
        <v>394</v>
      </c>
      <c r="G438" s="12" t="s">
        <v>395</v>
      </c>
      <c r="H438" s="9" t="s">
        <v>18</v>
      </c>
      <c r="I438" s="9" t="str">
        <f>IFERROR(INDEX('Price List Library'!$P$6:$P$437,MATCH(TRIM($G438)&amp;"|"&amp;TRIM($H438),'Price List Library'!$S$6:$S$437,0)),"")</f>
        <v>Priced</v>
      </c>
      <c r="J438" s="20">
        <f>IFERROR(INDEX('Price List Library'!$O$6:$O$437,MATCH(TRIM($G438)&amp;"|"&amp;TRIM($H438),'Price List Library'!$S$6:$S$437,0)),0)</f>
        <v>14.880000000000003</v>
      </c>
      <c r="K438" s="13" t="s">
        <v>1918</v>
      </c>
    </row>
    <row r="439" spans="1:11" ht="15" customHeight="1" x14ac:dyDescent="0.25">
      <c r="A439" s="9">
        <v>434</v>
      </c>
      <c r="B439" s="14" t="s">
        <v>348</v>
      </c>
      <c r="C439" s="15" t="s">
        <v>349</v>
      </c>
      <c r="D439" s="12" t="s">
        <v>350</v>
      </c>
      <c r="E439" s="12" t="s">
        <v>394</v>
      </c>
      <c r="F439" s="12" t="s">
        <v>394</v>
      </c>
      <c r="G439" s="12" t="s">
        <v>394</v>
      </c>
      <c r="H439" s="9" t="s">
        <v>18</v>
      </c>
      <c r="I439" s="9" t="str">
        <f>IFERROR(INDEX('Price List Library'!$P$6:$P$437,MATCH(TRIM($G439)&amp;"|"&amp;TRIM($H439),'Price List Library'!$S$6:$S$437,0)),"")</f>
        <v>Benchmark</v>
      </c>
      <c r="J439" s="20">
        <f>IFERROR(INDEX('Price List Library'!$O$6:$O$437,MATCH(TRIM($G439)&amp;"|"&amp;TRIM($H439),'Price List Library'!$S$6:$S$437,0)),0)</f>
        <v>60.000000000000007</v>
      </c>
      <c r="K439" s="13" t="s">
        <v>1919</v>
      </c>
    </row>
    <row r="440" spans="1:11" ht="15" customHeight="1" x14ac:dyDescent="0.25">
      <c r="A440" s="9">
        <v>435</v>
      </c>
      <c r="B440" s="14" t="s">
        <v>348</v>
      </c>
      <c r="C440" s="15" t="s">
        <v>349</v>
      </c>
      <c r="D440" s="12" t="s">
        <v>350</v>
      </c>
      <c r="E440" s="12" t="s">
        <v>394</v>
      </c>
      <c r="F440" s="12" t="s">
        <v>397</v>
      </c>
      <c r="G440" s="12" t="s">
        <v>398</v>
      </c>
      <c r="H440" s="9" t="s">
        <v>18</v>
      </c>
      <c r="I440" s="9" t="str">
        <f>IFERROR(INDEX('Price List Library'!$P$6:$P$437,MATCH(TRIM($G440)&amp;"|"&amp;TRIM($H440),'Price List Library'!$S$6:$S$437,0)),"")</f>
        <v>Benchmark</v>
      </c>
      <c r="J440" s="20">
        <f>IFERROR(INDEX('Price List Library'!$O$6:$O$437,MATCH(TRIM($G440)&amp;"|"&amp;TRIM($H440),'Price List Library'!$S$6:$S$437,0)),0)</f>
        <v>128</v>
      </c>
      <c r="K440" s="13" t="s">
        <v>1920</v>
      </c>
    </row>
    <row r="441" spans="1:11" ht="15" customHeight="1" x14ac:dyDescent="0.25">
      <c r="A441" s="9">
        <v>436</v>
      </c>
      <c r="B441" s="14" t="s">
        <v>348</v>
      </c>
      <c r="C441" s="15" t="s">
        <v>349</v>
      </c>
      <c r="D441" s="12" t="s">
        <v>350</v>
      </c>
      <c r="E441" s="12" t="s">
        <v>394</v>
      </c>
      <c r="F441" s="12" t="s">
        <v>400</v>
      </c>
      <c r="G441" s="12" t="s">
        <v>401</v>
      </c>
      <c r="H441" s="9" t="s">
        <v>18</v>
      </c>
      <c r="I441" s="9" t="str">
        <f>IFERROR(INDEX('Price List Library'!$P$6:$P$437,MATCH(TRIM($G441)&amp;"|"&amp;TRIM($H441),'Price List Library'!$S$6:$S$437,0)),"")</f>
        <v>Benchmark</v>
      </c>
      <c r="J441" s="20">
        <f>IFERROR(INDEX('Price List Library'!$O$6:$O$437,MATCH(TRIM($G441)&amp;"|"&amp;TRIM($H441),'Price List Library'!$S$6:$S$437,0)),0)</f>
        <v>64.800000000000011</v>
      </c>
      <c r="K441" s="13" t="s">
        <v>1921</v>
      </c>
    </row>
    <row r="442" spans="1:11" ht="15" customHeight="1" x14ac:dyDescent="0.25">
      <c r="A442" s="9">
        <v>437</v>
      </c>
      <c r="B442" s="14" t="s">
        <v>348</v>
      </c>
      <c r="C442" s="15" t="s">
        <v>349</v>
      </c>
      <c r="D442" s="12" t="s">
        <v>350</v>
      </c>
      <c r="E442" s="12" t="s">
        <v>394</v>
      </c>
      <c r="F442" s="12" t="s">
        <v>403</v>
      </c>
      <c r="G442" s="12" t="s">
        <v>404</v>
      </c>
      <c r="H442" s="9" t="s">
        <v>18</v>
      </c>
      <c r="I442" s="9" t="str">
        <f>IFERROR(INDEX('Price List Library'!$P$6:$P$437,MATCH(TRIM($G442)&amp;"|"&amp;TRIM($H442),'Price List Library'!$S$6:$S$437,0)),"")</f>
        <v>Benchmark</v>
      </c>
      <c r="J442" s="20">
        <f>IFERROR(INDEX('Price List Library'!$O$6:$O$437,MATCH(TRIM($G442)&amp;"|"&amp;TRIM($H442),'Price List Library'!$S$6:$S$437,0)),0)</f>
        <v>57.84</v>
      </c>
      <c r="K442" s="13" t="s">
        <v>1922</v>
      </c>
    </row>
    <row r="443" spans="1:11" ht="15" customHeight="1" x14ac:dyDescent="0.25">
      <c r="A443" s="9">
        <v>438</v>
      </c>
      <c r="B443" s="14" t="s">
        <v>348</v>
      </c>
      <c r="C443" s="15" t="s">
        <v>406</v>
      </c>
      <c r="D443" s="12" t="s">
        <v>407</v>
      </c>
      <c r="E443" s="12" t="s">
        <v>408</v>
      </c>
      <c r="F443" s="12" t="s">
        <v>408</v>
      </c>
      <c r="G443" s="12" t="s">
        <v>409</v>
      </c>
      <c r="H443" s="9" t="s">
        <v>18</v>
      </c>
      <c r="I443" s="9" t="str">
        <f>IFERROR(INDEX('Price List Library'!$P$6:$P$437,MATCH(TRIM($G443)&amp;"|"&amp;TRIM($H443),'Price List Library'!$S$6:$S$437,0)),"")</f>
        <v>Priced</v>
      </c>
      <c r="J443" s="20">
        <f>IFERROR(INDEX('Price List Library'!$O$6:$O$437,MATCH(TRIM($G443)&amp;"|"&amp;TRIM($H443),'Price List Library'!$S$6:$S$437,0)),0)</f>
        <v>5.24</v>
      </c>
      <c r="K443" s="13" t="s">
        <v>1923</v>
      </c>
    </row>
    <row r="444" spans="1:11" ht="15" customHeight="1" x14ac:dyDescent="0.25">
      <c r="A444" s="9">
        <v>439</v>
      </c>
      <c r="B444" s="14" t="s">
        <v>348</v>
      </c>
      <c r="C444" s="15" t="s">
        <v>406</v>
      </c>
      <c r="D444" s="12" t="s">
        <v>407</v>
      </c>
      <c r="E444" s="12" t="s">
        <v>408</v>
      </c>
      <c r="F444" s="12" t="s">
        <v>408</v>
      </c>
      <c r="G444" s="12" t="s">
        <v>1924</v>
      </c>
      <c r="H444" s="9" t="s">
        <v>18</v>
      </c>
      <c r="I444" s="9" t="str">
        <f>IFERROR(INDEX('Price List Library'!$P$6:$P$437,MATCH(TRIM($G444)&amp;"|"&amp;TRIM($H444),'Price List Library'!$S$6:$S$437,0)),"")</f>
        <v>Benchmark</v>
      </c>
      <c r="J444" s="20">
        <f>IFERROR(INDEX('Price List Library'!$O$6:$O$437,MATCH(TRIM($G444)&amp;"|"&amp;TRIM($H444),'Price List Library'!$S$6:$S$437,0)),0)</f>
        <v>4.5440000000000005</v>
      </c>
      <c r="K444" s="13" t="s">
        <v>1925</v>
      </c>
    </row>
    <row r="445" spans="1:11" ht="15" customHeight="1" x14ac:dyDescent="0.25">
      <c r="A445" s="9">
        <v>440</v>
      </c>
      <c r="B445" s="14" t="s">
        <v>348</v>
      </c>
      <c r="C445" s="15" t="s">
        <v>406</v>
      </c>
      <c r="D445" s="12" t="s">
        <v>407</v>
      </c>
      <c r="E445" s="12" t="s">
        <v>408</v>
      </c>
      <c r="F445" s="12" t="s">
        <v>411</v>
      </c>
      <c r="G445" s="12" t="s">
        <v>412</v>
      </c>
      <c r="H445" s="9" t="s">
        <v>18</v>
      </c>
      <c r="I445" s="9" t="str">
        <f>IFERROR(INDEX('Price List Library'!$P$6:$P$437,MATCH(TRIM($G445)&amp;"|"&amp;TRIM($H445),'Price List Library'!$S$6:$S$437,0)),"")</f>
        <v>Benchmark</v>
      </c>
      <c r="J445" s="20">
        <f>IFERROR(INDEX('Price List Library'!$O$6:$O$437,MATCH(TRIM($G445)&amp;"|"&amp;TRIM($H445),'Price List Library'!$S$6:$S$437,0)),0)</f>
        <v>2.9119999999999999</v>
      </c>
      <c r="K445" s="13" t="s">
        <v>1926</v>
      </c>
    </row>
    <row r="446" spans="1:11" ht="15" customHeight="1" x14ac:dyDescent="0.25">
      <c r="A446" s="9">
        <v>441</v>
      </c>
      <c r="B446" s="14" t="s">
        <v>348</v>
      </c>
      <c r="C446" s="15" t="s">
        <v>406</v>
      </c>
      <c r="D446" s="12" t="s">
        <v>407</v>
      </c>
      <c r="E446" s="12" t="s">
        <v>408</v>
      </c>
      <c r="F446" s="12" t="s">
        <v>414</v>
      </c>
      <c r="G446" s="12" t="s">
        <v>415</v>
      </c>
      <c r="H446" s="9" t="s">
        <v>61</v>
      </c>
      <c r="I446" s="9" t="str">
        <f>IFERROR(INDEX('Price List Library'!$P$6:$P$437,MATCH(TRIM($G446)&amp;"|"&amp;TRIM($H446),'Price List Library'!$S$6:$S$437,0)),"")</f>
        <v>Benchmark</v>
      </c>
      <c r="J446" s="20">
        <f>IFERROR(INDEX('Price List Library'!$O$6:$O$437,MATCH(TRIM($G446)&amp;"|"&amp;TRIM($H446),'Price List Library'!$S$6:$S$437,0)),0)</f>
        <v>8.1999999999999993</v>
      </c>
      <c r="K446" s="13" t="s">
        <v>1927</v>
      </c>
    </row>
    <row r="447" spans="1:11" ht="15" customHeight="1" x14ac:dyDescent="0.25">
      <c r="A447" s="9">
        <v>442</v>
      </c>
      <c r="B447" s="14" t="s">
        <v>348</v>
      </c>
      <c r="C447" s="15" t="s">
        <v>406</v>
      </c>
      <c r="D447" s="12" t="s">
        <v>407</v>
      </c>
      <c r="E447" s="12" t="s">
        <v>417</v>
      </c>
      <c r="F447" s="12" t="s">
        <v>417</v>
      </c>
      <c r="G447" s="12" t="s">
        <v>417</v>
      </c>
      <c r="H447" s="9" t="s">
        <v>18</v>
      </c>
      <c r="I447" s="9" t="str">
        <f>IFERROR(INDEX('Price List Library'!$P$6:$P$437,MATCH(TRIM($G447)&amp;"|"&amp;TRIM($H447),'Price List Library'!$S$6:$S$437,0)),"")</f>
        <v>Priced</v>
      </c>
      <c r="J447" s="20">
        <f>IFERROR(INDEX('Price List Library'!$O$6:$O$437,MATCH(TRIM($G447)&amp;"|"&amp;TRIM($H447),'Price List Library'!$S$6:$S$437,0)),0)</f>
        <v>4.5999999999999996</v>
      </c>
      <c r="K447" s="13" t="s">
        <v>1928</v>
      </c>
    </row>
    <row r="448" spans="1:11" ht="15" customHeight="1" x14ac:dyDescent="0.25">
      <c r="A448" s="9">
        <v>443</v>
      </c>
      <c r="B448" s="14" t="s">
        <v>348</v>
      </c>
      <c r="C448" s="15" t="s">
        <v>406</v>
      </c>
      <c r="D448" s="12" t="s">
        <v>407</v>
      </c>
      <c r="E448" s="12" t="s">
        <v>417</v>
      </c>
      <c r="F448" s="12" t="s">
        <v>417</v>
      </c>
      <c r="G448" s="12" t="s">
        <v>1929</v>
      </c>
      <c r="H448" s="9" t="s">
        <v>18</v>
      </c>
      <c r="I448" s="9" t="str">
        <f>IFERROR(INDEX('Price List Library'!$P$6:$P$437,MATCH(TRIM($G448)&amp;"|"&amp;TRIM($H448),'Price List Library'!$S$6:$S$437,0)),"")</f>
        <v>Benchmark</v>
      </c>
      <c r="J448" s="20">
        <f>IFERROR(INDEX('Price List Library'!$O$6:$O$437,MATCH(TRIM($G448)&amp;"|"&amp;TRIM($H448),'Price List Library'!$S$6:$S$437,0)),0)</f>
        <v>4.1440000000000001</v>
      </c>
      <c r="K448" s="13" t="s">
        <v>1930</v>
      </c>
    </row>
    <row r="449" spans="1:11" ht="15" customHeight="1" x14ac:dyDescent="0.25">
      <c r="A449" s="9">
        <v>444</v>
      </c>
      <c r="B449" s="14" t="s">
        <v>348</v>
      </c>
      <c r="C449" s="15" t="s">
        <v>406</v>
      </c>
      <c r="D449" s="12" t="s">
        <v>407</v>
      </c>
      <c r="E449" s="12" t="s">
        <v>417</v>
      </c>
      <c r="F449" s="12" t="s">
        <v>417</v>
      </c>
      <c r="G449" s="12" t="s">
        <v>1931</v>
      </c>
      <c r="H449" s="9" t="s">
        <v>18</v>
      </c>
      <c r="I449" s="9" t="str">
        <f>IFERROR(INDEX('Price List Library'!$P$6:$P$437,MATCH(TRIM($G449)&amp;"|"&amp;TRIM($H449),'Price List Library'!$S$6:$S$437,0)),"")</f>
        <v>Benchmark</v>
      </c>
      <c r="J449" s="20">
        <f>IFERROR(INDEX('Price List Library'!$O$6:$O$437,MATCH(TRIM($G449)&amp;"|"&amp;TRIM($H449),'Price List Library'!$S$6:$S$437,0)),0)</f>
        <v>5.6240000000000006</v>
      </c>
      <c r="K449" s="13" t="s">
        <v>1932</v>
      </c>
    </row>
    <row r="450" spans="1:11" ht="15" customHeight="1" x14ac:dyDescent="0.25">
      <c r="A450" s="9">
        <v>445</v>
      </c>
      <c r="B450" s="14" t="s">
        <v>348</v>
      </c>
      <c r="C450" s="15" t="s">
        <v>406</v>
      </c>
      <c r="D450" s="12" t="s">
        <v>407</v>
      </c>
      <c r="E450" s="12" t="s">
        <v>417</v>
      </c>
      <c r="F450" s="12" t="s">
        <v>419</v>
      </c>
      <c r="G450" s="12" t="s">
        <v>420</v>
      </c>
      <c r="H450" s="9" t="s">
        <v>18</v>
      </c>
      <c r="I450" s="9" t="str">
        <f>IFERROR(INDEX('Price List Library'!$P$6:$P$437,MATCH(TRIM($G450)&amp;"|"&amp;TRIM($H450),'Price List Library'!$S$6:$S$437,0)),"")</f>
        <v>Benchmark</v>
      </c>
      <c r="J450" s="20">
        <f>IFERROR(INDEX('Price List Library'!$O$6:$O$437,MATCH(TRIM($G450)&amp;"|"&amp;TRIM($H450),'Price List Library'!$S$6:$S$437,0)),0)</f>
        <v>1.7280000000000002</v>
      </c>
      <c r="K450" s="13" t="s">
        <v>1933</v>
      </c>
    </row>
    <row r="451" spans="1:11" ht="15" customHeight="1" x14ac:dyDescent="0.25">
      <c r="A451" s="9">
        <v>446</v>
      </c>
      <c r="B451" s="14" t="s">
        <v>348</v>
      </c>
      <c r="C451" s="15" t="s">
        <v>406</v>
      </c>
      <c r="D451" s="12" t="s">
        <v>407</v>
      </c>
      <c r="E451" s="12" t="s">
        <v>417</v>
      </c>
      <c r="F451" s="12" t="s">
        <v>422</v>
      </c>
      <c r="G451" s="12" t="s">
        <v>423</v>
      </c>
      <c r="H451" s="9" t="s">
        <v>18</v>
      </c>
      <c r="I451" s="9" t="str">
        <f>IFERROR(INDEX('Price List Library'!$P$6:$P$437,MATCH(TRIM($G451)&amp;"|"&amp;TRIM($H451),'Price List Library'!$S$6:$S$437,0)),"")</f>
        <v>Benchmark</v>
      </c>
      <c r="J451" s="20">
        <f>IFERROR(INDEX('Price List Library'!$O$6:$O$437,MATCH(TRIM($G451)&amp;"|"&amp;TRIM($H451),'Price List Library'!$S$6:$S$437,0)),0)</f>
        <v>5.7360000000000007</v>
      </c>
      <c r="K451" s="13" t="s">
        <v>1934</v>
      </c>
    </row>
    <row r="452" spans="1:11" ht="15" customHeight="1" x14ac:dyDescent="0.25">
      <c r="A452" s="9">
        <v>447</v>
      </c>
      <c r="B452" s="14" t="s">
        <v>348</v>
      </c>
      <c r="C452" s="15" t="s">
        <v>406</v>
      </c>
      <c r="D452" s="12" t="s">
        <v>407</v>
      </c>
      <c r="E452" s="12" t="s">
        <v>425</v>
      </c>
      <c r="F452" s="12" t="s">
        <v>425</v>
      </c>
      <c r="G452" s="12" t="s">
        <v>426</v>
      </c>
      <c r="H452" s="9" t="s">
        <v>18</v>
      </c>
      <c r="I452" s="9" t="str">
        <f>IFERROR(INDEX('Price List Library'!$P$6:$P$437,MATCH(TRIM($G452)&amp;"|"&amp;TRIM($H452),'Price List Library'!$S$6:$S$437,0)),"")</f>
        <v>Priced</v>
      </c>
      <c r="J452" s="20">
        <f>IFERROR(INDEX('Price List Library'!$O$6:$O$437,MATCH(TRIM($G452)&amp;"|"&amp;TRIM($H452),'Price List Library'!$S$6:$S$437,0)),0)</f>
        <v>20.64</v>
      </c>
      <c r="K452" s="13" t="s">
        <v>1935</v>
      </c>
    </row>
    <row r="453" spans="1:11" ht="15" customHeight="1" x14ac:dyDescent="0.25">
      <c r="A453" s="9">
        <v>448</v>
      </c>
      <c r="B453" s="14" t="s">
        <v>348</v>
      </c>
      <c r="C453" s="15" t="s">
        <v>406</v>
      </c>
      <c r="D453" s="12" t="s">
        <v>407</v>
      </c>
      <c r="E453" s="12" t="s">
        <v>425</v>
      </c>
      <c r="F453" s="12" t="s">
        <v>428</v>
      </c>
      <c r="G453" s="12" t="s">
        <v>429</v>
      </c>
      <c r="H453" s="9" t="s">
        <v>18</v>
      </c>
      <c r="I453" s="9" t="str">
        <f>IFERROR(INDEX('Price List Library'!$P$6:$P$437,MATCH(TRIM($G453)&amp;"|"&amp;TRIM($H453),'Price List Library'!$S$6:$S$437,0)),"")</f>
        <v>Benchmark</v>
      </c>
      <c r="J453" s="20">
        <f>IFERROR(INDEX('Price List Library'!$O$6:$O$437,MATCH(TRIM($G453)&amp;"|"&amp;TRIM($H453),'Price List Library'!$S$6:$S$437,0)),0)</f>
        <v>56.96</v>
      </c>
      <c r="K453" s="13" t="s">
        <v>1936</v>
      </c>
    </row>
    <row r="454" spans="1:11" ht="15" customHeight="1" x14ac:dyDescent="0.25">
      <c r="A454" s="9">
        <v>449</v>
      </c>
      <c r="B454" s="14" t="s">
        <v>348</v>
      </c>
      <c r="C454" s="15" t="s">
        <v>406</v>
      </c>
      <c r="D454" s="12" t="s">
        <v>407</v>
      </c>
      <c r="E454" s="12" t="s">
        <v>431</v>
      </c>
      <c r="F454" s="12" t="s">
        <v>431</v>
      </c>
      <c r="G454" s="12" t="s">
        <v>432</v>
      </c>
      <c r="H454" s="9" t="s">
        <v>61</v>
      </c>
      <c r="I454" s="9" t="str">
        <f>IFERROR(INDEX('Price List Library'!$P$6:$P$437,MATCH(TRIM($G454)&amp;"|"&amp;TRIM($H454),'Price List Library'!$S$6:$S$437,0)),"")</f>
        <v>Benchmark</v>
      </c>
      <c r="J454" s="20">
        <f>IFERROR(INDEX('Price List Library'!$O$6:$O$437,MATCH(TRIM($G454)&amp;"|"&amp;TRIM($H454),'Price List Library'!$S$6:$S$437,0)),0)</f>
        <v>12.600000000000001</v>
      </c>
      <c r="K454" s="13" t="s">
        <v>1937</v>
      </c>
    </row>
    <row r="455" spans="1:11" ht="15" customHeight="1" x14ac:dyDescent="0.25">
      <c r="A455" s="9">
        <v>450</v>
      </c>
      <c r="B455" s="14" t="s">
        <v>348</v>
      </c>
      <c r="C455" s="15" t="s">
        <v>406</v>
      </c>
      <c r="D455" s="12" t="s">
        <v>407</v>
      </c>
      <c r="E455" s="12" t="s">
        <v>431</v>
      </c>
      <c r="F455" s="12" t="s">
        <v>434</v>
      </c>
      <c r="G455" s="12" t="s">
        <v>435</v>
      </c>
      <c r="H455" s="9" t="s">
        <v>61</v>
      </c>
      <c r="I455" s="9" t="str">
        <f>IFERROR(INDEX('Price List Library'!$P$6:$P$437,MATCH(TRIM($G455)&amp;"|"&amp;TRIM($H455),'Price List Library'!$S$6:$S$437,0)),"")</f>
        <v>Benchmark</v>
      </c>
      <c r="J455" s="20">
        <f>IFERROR(INDEX('Price List Library'!$O$6:$O$437,MATCH(TRIM($G455)&amp;"|"&amp;TRIM($H455),'Price List Library'!$S$6:$S$437,0)),0)</f>
        <v>3.68</v>
      </c>
      <c r="K455" s="13" t="s">
        <v>1938</v>
      </c>
    </row>
    <row r="456" spans="1:11" ht="15" customHeight="1" x14ac:dyDescent="0.25">
      <c r="A456" s="9">
        <v>451</v>
      </c>
      <c r="B456" s="14" t="s">
        <v>348</v>
      </c>
      <c r="C456" s="15" t="s">
        <v>437</v>
      </c>
      <c r="D456" s="12" t="s">
        <v>438</v>
      </c>
      <c r="E456" s="12" t="s">
        <v>439</v>
      </c>
      <c r="F456" s="12" t="s">
        <v>439</v>
      </c>
      <c r="G456" s="12" t="s">
        <v>440</v>
      </c>
      <c r="H456" s="9" t="s">
        <v>57</v>
      </c>
      <c r="I456" s="9" t="str">
        <f>IFERROR(INDEX('Price List Library'!$P$6:$P$437,MATCH(TRIM($G456)&amp;"|"&amp;TRIM($H456),'Price List Library'!$S$6:$S$437,0)),"")</f>
        <v>Benchmark</v>
      </c>
      <c r="J456" s="20">
        <f>IFERROR(INDEX('Price List Library'!$O$6:$O$437,MATCH(TRIM($G456)&amp;"|"&amp;TRIM($H456),'Price List Library'!$S$6:$S$437,0)),0)</f>
        <v>153.76000000000002</v>
      </c>
      <c r="K456" s="13" t="s">
        <v>1939</v>
      </c>
    </row>
    <row r="457" spans="1:11" ht="15" customHeight="1" x14ac:dyDescent="0.25">
      <c r="A457" s="9">
        <v>452</v>
      </c>
      <c r="B457" s="14" t="s">
        <v>348</v>
      </c>
      <c r="C457" s="15" t="s">
        <v>437</v>
      </c>
      <c r="D457" s="12" t="s">
        <v>438</v>
      </c>
      <c r="E457" s="12" t="s">
        <v>439</v>
      </c>
      <c r="F457" s="12" t="s">
        <v>442</v>
      </c>
      <c r="G457" s="12" t="s">
        <v>443</v>
      </c>
      <c r="H457" s="9" t="s">
        <v>57</v>
      </c>
      <c r="I457" s="9" t="str">
        <f>IFERROR(INDEX('Price List Library'!$P$6:$P$437,MATCH(TRIM($G457)&amp;"|"&amp;TRIM($H457),'Price List Library'!$S$6:$S$437,0)),"")</f>
        <v>Benchmark</v>
      </c>
      <c r="J457" s="20">
        <f>IFERROR(INDEX('Price List Library'!$O$6:$O$437,MATCH(TRIM($G457)&amp;"|"&amp;TRIM($H457),'Price List Library'!$S$6:$S$437,0)),0)</f>
        <v>293.20000000000005</v>
      </c>
      <c r="K457" s="13" t="s">
        <v>1940</v>
      </c>
    </row>
    <row r="458" spans="1:11" ht="15" customHeight="1" x14ac:dyDescent="0.25">
      <c r="A458" s="9">
        <v>453</v>
      </c>
      <c r="B458" s="14" t="s">
        <v>348</v>
      </c>
      <c r="C458" s="15" t="s">
        <v>437</v>
      </c>
      <c r="D458" s="12" t="s">
        <v>438</v>
      </c>
      <c r="E458" s="12" t="s">
        <v>445</v>
      </c>
      <c r="F458" s="12" t="s">
        <v>445</v>
      </c>
      <c r="G458" s="12" t="s">
        <v>446</v>
      </c>
      <c r="H458" s="9" t="s">
        <v>57</v>
      </c>
      <c r="I458" s="9" t="str">
        <f>IFERROR(INDEX('Price List Library'!$P$6:$P$437,MATCH(TRIM($G458)&amp;"|"&amp;TRIM($H458),'Price List Library'!$S$6:$S$437,0)),"")</f>
        <v>Benchmark</v>
      </c>
      <c r="J458" s="20">
        <f>IFERROR(INDEX('Price List Library'!$O$6:$O$437,MATCH(TRIM($G458)&amp;"|"&amp;TRIM($H458),'Price List Library'!$S$6:$S$437,0)),0)</f>
        <v>208.8</v>
      </c>
      <c r="K458" s="13" t="s">
        <v>1941</v>
      </c>
    </row>
    <row r="459" spans="1:11" ht="15" customHeight="1" x14ac:dyDescent="0.25">
      <c r="A459" s="9">
        <v>454</v>
      </c>
      <c r="B459" s="14" t="s">
        <v>348</v>
      </c>
      <c r="C459" s="15" t="s">
        <v>437</v>
      </c>
      <c r="D459" s="12" t="s">
        <v>438</v>
      </c>
      <c r="E459" s="12" t="s">
        <v>445</v>
      </c>
      <c r="F459" s="12" t="s">
        <v>448</v>
      </c>
      <c r="G459" s="12" t="s">
        <v>449</v>
      </c>
      <c r="H459" s="9" t="s">
        <v>57</v>
      </c>
      <c r="I459" s="9" t="str">
        <f>IFERROR(INDEX('Price List Library'!$P$6:$P$437,MATCH(TRIM($G459)&amp;"|"&amp;TRIM($H459),'Price List Library'!$S$6:$S$437,0)),"")</f>
        <v>Benchmark</v>
      </c>
      <c r="J459" s="20">
        <f>IFERROR(INDEX('Price List Library'!$O$6:$O$437,MATCH(TRIM($G459)&amp;"|"&amp;TRIM($H459),'Price List Library'!$S$6:$S$437,0)),0)</f>
        <v>244.80000000000004</v>
      </c>
      <c r="K459" s="13" t="s">
        <v>1942</v>
      </c>
    </row>
    <row r="460" spans="1:11" ht="15" customHeight="1" x14ac:dyDescent="0.25">
      <c r="A460" s="9">
        <v>455</v>
      </c>
      <c r="B460" s="14" t="s">
        <v>348</v>
      </c>
      <c r="C460" s="15" t="s">
        <v>437</v>
      </c>
      <c r="D460" s="12" t="s">
        <v>438</v>
      </c>
      <c r="E460" s="12" t="s">
        <v>451</v>
      </c>
      <c r="F460" s="12" t="s">
        <v>452</v>
      </c>
      <c r="G460" s="12" t="s">
        <v>453</v>
      </c>
      <c r="H460" s="9" t="s">
        <v>57</v>
      </c>
      <c r="I460" s="9" t="str">
        <f>IFERROR(INDEX('Price List Library'!$P$6:$P$437,MATCH(TRIM($G460)&amp;"|"&amp;TRIM($H460),'Price List Library'!$S$6:$S$437,0)),"")</f>
        <v>Benchmark</v>
      </c>
      <c r="J460" s="20">
        <f>IFERROR(INDEX('Price List Library'!$O$6:$O$437,MATCH(TRIM($G460)&amp;"|"&amp;TRIM($H460),'Price List Library'!$S$6:$S$437,0)),0)</f>
        <v>372.40000000000003</v>
      </c>
      <c r="K460" s="13" t="s">
        <v>1943</v>
      </c>
    </row>
    <row r="461" spans="1:11" ht="15" customHeight="1" x14ac:dyDescent="0.25">
      <c r="A461" s="9">
        <v>456</v>
      </c>
      <c r="B461" s="14" t="s">
        <v>348</v>
      </c>
      <c r="C461" s="15" t="s">
        <v>437</v>
      </c>
      <c r="D461" s="12" t="s">
        <v>438</v>
      </c>
      <c r="E461" s="12" t="s">
        <v>451</v>
      </c>
      <c r="F461" s="12" t="s">
        <v>455</v>
      </c>
      <c r="G461" s="12" t="s">
        <v>456</v>
      </c>
      <c r="H461" s="9" t="s">
        <v>57</v>
      </c>
      <c r="I461" s="9" t="str">
        <f>IFERROR(INDEX('Price List Library'!$P$6:$P$437,MATCH(TRIM($G461)&amp;"|"&amp;TRIM($H461),'Price List Library'!$S$6:$S$437,0)),"")</f>
        <v>Benchmark</v>
      </c>
      <c r="J461" s="20">
        <f>IFERROR(INDEX('Price List Library'!$O$6:$O$437,MATCH(TRIM($G461)&amp;"|"&amp;TRIM($H461),'Price List Library'!$S$6:$S$437,0)),0)</f>
        <v>214.4</v>
      </c>
      <c r="K461" s="13" t="s">
        <v>1944</v>
      </c>
    </row>
    <row r="462" spans="1:11" ht="15" customHeight="1" x14ac:dyDescent="0.25">
      <c r="A462" s="9">
        <v>457</v>
      </c>
      <c r="B462" s="14" t="s">
        <v>348</v>
      </c>
      <c r="C462" s="15" t="s">
        <v>437</v>
      </c>
      <c r="D462" s="12" t="s">
        <v>438</v>
      </c>
      <c r="E462" s="12" t="s">
        <v>458</v>
      </c>
      <c r="F462" s="12" t="s">
        <v>458</v>
      </c>
      <c r="G462" s="12" t="s">
        <v>459</v>
      </c>
      <c r="H462" s="9" t="s">
        <v>18</v>
      </c>
      <c r="I462" s="9" t="str">
        <f>IFERROR(INDEX('Price List Library'!$P$6:$P$437,MATCH(TRIM($G462)&amp;"|"&amp;TRIM($H462),'Price List Library'!$S$6:$S$437,0)),"")</f>
        <v>Benchmark</v>
      </c>
      <c r="J462" s="20">
        <f>IFERROR(INDEX('Price List Library'!$O$6:$O$437,MATCH(TRIM($G462)&amp;"|"&amp;TRIM($H462),'Price List Library'!$S$6:$S$437,0)),0)</f>
        <v>69.040000000000006</v>
      </c>
      <c r="K462" s="13" t="s">
        <v>1945</v>
      </c>
    </row>
    <row r="463" spans="1:11" ht="15" customHeight="1" x14ac:dyDescent="0.25">
      <c r="A463" s="9">
        <v>458</v>
      </c>
      <c r="B463" s="14" t="s">
        <v>348</v>
      </c>
      <c r="C463" s="15" t="s">
        <v>437</v>
      </c>
      <c r="D463" s="12" t="s">
        <v>438</v>
      </c>
      <c r="E463" s="12" t="s">
        <v>458</v>
      </c>
      <c r="F463" s="12" t="s">
        <v>461</v>
      </c>
      <c r="G463" s="12" t="s">
        <v>462</v>
      </c>
      <c r="H463" s="9" t="s">
        <v>57</v>
      </c>
      <c r="I463" s="9" t="str">
        <f>IFERROR(INDEX('Price List Library'!$P$6:$P$437,MATCH(TRIM($G463)&amp;"|"&amp;TRIM($H463),'Price List Library'!$S$6:$S$437,0)),"")</f>
        <v>Benchmark</v>
      </c>
      <c r="J463" s="20">
        <f>IFERROR(INDEX('Price List Library'!$O$6:$O$437,MATCH(TRIM($G463)&amp;"|"&amp;TRIM($H463),'Price List Library'!$S$6:$S$437,0)),0)</f>
        <v>400.40000000000003</v>
      </c>
      <c r="K463" s="13" t="s">
        <v>1946</v>
      </c>
    </row>
    <row r="464" spans="1:11" ht="15" customHeight="1" x14ac:dyDescent="0.25">
      <c r="A464" s="9">
        <v>459</v>
      </c>
      <c r="B464" s="14" t="s">
        <v>348</v>
      </c>
      <c r="C464" s="15" t="s">
        <v>437</v>
      </c>
      <c r="D464" s="12" t="s">
        <v>438</v>
      </c>
      <c r="E464" s="12" t="s">
        <v>464</v>
      </c>
      <c r="F464" s="12" t="s">
        <v>465</v>
      </c>
      <c r="G464" s="12" t="s">
        <v>466</v>
      </c>
      <c r="H464" s="9" t="s">
        <v>57</v>
      </c>
      <c r="I464" s="9" t="str">
        <f>IFERROR(INDEX('Price List Library'!$P$6:$P$437,MATCH(TRIM($G464)&amp;"|"&amp;TRIM($H464),'Price List Library'!$S$6:$S$437,0)),"")</f>
        <v>Benchmark</v>
      </c>
      <c r="J464" s="20">
        <f>IFERROR(INDEX('Price List Library'!$O$6:$O$437,MATCH(TRIM($G464)&amp;"|"&amp;TRIM($H464),'Price List Library'!$S$6:$S$437,0)),0)</f>
        <v>28.240000000000002</v>
      </c>
      <c r="K464" s="13" t="s">
        <v>1947</v>
      </c>
    </row>
    <row r="465" spans="1:11" ht="15" customHeight="1" x14ac:dyDescent="0.25">
      <c r="A465" s="9">
        <v>460</v>
      </c>
      <c r="B465" s="14" t="s">
        <v>348</v>
      </c>
      <c r="C465" s="15" t="s">
        <v>437</v>
      </c>
      <c r="D465" s="12" t="s">
        <v>438</v>
      </c>
      <c r="E465" s="12" t="s">
        <v>464</v>
      </c>
      <c r="F465" s="12" t="s">
        <v>468</v>
      </c>
      <c r="G465" s="12" t="s">
        <v>469</v>
      </c>
      <c r="H465" s="9" t="s">
        <v>57</v>
      </c>
      <c r="I465" s="9" t="str">
        <f>IFERROR(INDEX('Price List Library'!$P$6:$P$437,MATCH(TRIM($G465)&amp;"|"&amp;TRIM($H465),'Price List Library'!$S$6:$S$437,0)),"")</f>
        <v>Benchmark</v>
      </c>
      <c r="J465" s="20">
        <f>IFERROR(INDEX('Price List Library'!$O$6:$O$437,MATCH(TRIM($G465)&amp;"|"&amp;TRIM($H465),'Price List Library'!$S$6:$S$437,0)),0)</f>
        <v>32.720000000000006</v>
      </c>
      <c r="K465" s="13" t="s">
        <v>1948</v>
      </c>
    </row>
    <row r="466" spans="1:11" ht="15" customHeight="1" x14ac:dyDescent="0.25">
      <c r="A466" s="9">
        <v>461</v>
      </c>
      <c r="B466" s="14" t="s">
        <v>348</v>
      </c>
      <c r="C466" s="15" t="s">
        <v>437</v>
      </c>
      <c r="D466" s="12" t="s">
        <v>438</v>
      </c>
      <c r="E466" s="12" t="s">
        <v>464</v>
      </c>
      <c r="F466" s="12" t="s">
        <v>471</v>
      </c>
      <c r="G466" s="12" t="s">
        <v>472</v>
      </c>
      <c r="H466" s="9" t="s">
        <v>57</v>
      </c>
      <c r="I466" s="9" t="str">
        <f>IFERROR(INDEX('Price List Library'!$P$6:$P$437,MATCH(TRIM($G466)&amp;"|"&amp;TRIM($H466),'Price List Library'!$S$6:$S$437,0)),"")</f>
        <v>Benchmark</v>
      </c>
      <c r="J466" s="20">
        <f>IFERROR(INDEX('Price List Library'!$O$6:$O$437,MATCH(TRIM($G466)&amp;"|"&amp;TRIM($H466),'Price List Library'!$S$6:$S$437,0)),0)</f>
        <v>4.5440000000000005</v>
      </c>
      <c r="K466" s="13" t="s">
        <v>1949</v>
      </c>
    </row>
    <row r="467" spans="1:11" ht="15" customHeight="1" x14ac:dyDescent="0.25">
      <c r="A467" s="9">
        <v>462</v>
      </c>
      <c r="B467" s="14" t="s">
        <v>348</v>
      </c>
      <c r="C467" s="15" t="s">
        <v>437</v>
      </c>
      <c r="D467" s="12" t="s">
        <v>438</v>
      </c>
      <c r="E467" s="12" t="s">
        <v>464</v>
      </c>
      <c r="F467" s="12" t="s">
        <v>474</v>
      </c>
      <c r="G467" s="12" t="s">
        <v>475</v>
      </c>
      <c r="H467" s="9" t="s">
        <v>57</v>
      </c>
      <c r="I467" s="9" t="str">
        <f>IFERROR(INDEX('Price List Library'!$P$6:$P$437,MATCH(TRIM($G467)&amp;"|"&amp;TRIM($H467),'Price List Library'!$S$6:$S$437,0)),"")</f>
        <v>Benchmark</v>
      </c>
      <c r="J467" s="20">
        <f>IFERROR(INDEX('Price List Library'!$O$6:$O$437,MATCH(TRIM($G467)&amp;"|"&amp;TRIM($H467),'Price List Library'!$S$6:$S$437,0)),0)</f>
        <v>4.32</v>
      </c>
      <c r="K467" s="13" t="s">
        <v>1950</v>
      </c>
    </row>
    <row r="468" spans="1:11" ht="15" customHeight="1" x14ac:dyDescent="0.25">
      <c r="A468" s="9">
        <v>463</v>
      </c>
      <c r="B468" s="14" t="s">
        <v>348</v>
      </c>
      <c r="C468" s="15" t="s">
        <v>477</v>
      </c>
      <c r="D468" s="12" t="s">
        <v>478</v>
      </c>
      <c r="E468" s="12" t="s">
        <v>479</v>
      </c>
      <c r="F468" s="12" t="s">
        <v>479</v>
      </c>
      <c r="G468" s="12" t="s">
        <v>480</v>
      </c>
      <c r="H468" s="9" t="s">
        <v>1882</v>
      </c>
      <c r="I468" s="9" t="str">
        <f>IFERROR(INDEX('Price List Library'!$P$6:$P$437,MATCH(TRIM($G468)&amp;"|"&amp;TRIM($H468),'Price List Library'!$S$6:$S$437,0)),"")</f>
        <v>Priced</v>
      </c>
      <c r="J468" s="20">
        <f>IFERROR(INDEX('Price List Library'!$O$6:$O$437,MATCH(TRIM($G468)&amp;"|"&amp;TRIM($H468),'Price List Library'!$S$6:$S$437,0)),0)</f>
        <v>131.04000000000002</v>
      </c>
      <c r="K468" s="13" t="s">
        <v>1951</v>
      </c>
    </row>
    <row r="469" spans="1:11" ht="15" customHeight="1" x14ac:dyDescent="0.25">
      <c r="A469" s="9">
        <v>464</v>
      </c>
      <c r="B469" s="14" t="s">
        <v>348</v>
      </c>
      <c r="C469" s="15" t="s">
        <v>477</v>
      </c>
      <c r="D469" s="12" t="s">
        <v>478</v>
      </c>
      <c r="E469" s="12" t="s">
        <v>479</v>
      </c>
      <c r="F469" s="12" t="s">
        <v>479</v>
      </c>
      <c r="G469" s="12" t="s">
        <v>1952</v>
      </c>
      <c r="H469" s="9" t="s">
        <v>1882</v>
      </c>
      <c r="I469" s="9" t="str">
        <f>IFERROR(INDEX('Price List Library'!$P$6:$P$437,MATCH(TRIM($G469)&amp;"|"&amp;TRIM($H469),'Price List Library'!$S$6:$S$437,0)),"")</f>
        <v>Priced</v>
      </c>
      <c r="J469" s="20">
        <f>IFERROR(INDEX('Price List Library'!$O$6:$O$437,MATCH(TRIM($G469)&amp;"|"&amp;TRIM($H469),'Price List Library'!$S$6:$S$437,0)),0)</f>
        <v>55.440000000000005</v>
      </c>
      <c r="K469" s="13" t="s">
        <v>1953</v>
      </c>
    </row>
    <row r="470" spans="1:11" ht="15" customHeight="1" x14ac:dyDescent="0.25">
      <c r="A470" s="9">
        <v>465</v>
      </c>
      <c r="B470" s="14" t="s">
        <v>348</v>
      </c>
      <c r="C470" s="15" t="s">
        <v>477</v>
      </c>
      <c r="D470" s="12" t="s">
        <v>478</v>
      </c>
      <c r="E470" s="12" t="s">
        <v>479</v>
      </c>
      <c r="F470" s="12" t="s">
        <v>479</v>
      </c>
      <c r="G470" s="12" t="s">
        <v>1954</v>
      </c>
      <c r="H470" s="9" t="s">
        <v>1882</v>
      </c>
      <c r="I470" s="9" t="str">
        <f>IFERROR(INDEX('Price List Library'!$P$6:$P$437,MATCH(TRIM($G470)&amp;"|"&amp;TRIM($H470),'Price List Library'!$S$6:$S$437,0)),"")</f>
        <v>Priced</v>
      </c>
      <c r="J470" s="20">
        <f>IFERROR(INDEX('Price List Library'!$O$6:$O$437,MATCH(TRIM($G470)&amp;"|"&amp;TRIM($H470),'Price List Library'!$S$6:$S$437,0)),0)</f>
        <v>218.40000000000003</v>
      </c>
      <c r="K470" s="13" t="s">
        <v>1955</v>
      </c>
    </row>
    <row r="471" spans="1:11" ht="15" customHeight="1" x14ac:dyDescent="0.25">
      <c r="A471" s="9">
        <v>466</v>
      </c>
      <c r="B471" s="14" t="s">
        <v>348</v>
      </c>
      <c r="C471" s="15" t="s">
        <v>477</v>
      </c>
      <c r="D471" s="12" t="s">
        <v>478</v>
      </c>
      <c r="E471" s="12" t="s">
        <v>479</v>
      </c>
      <c r="F471" s="12" t="s">
        <v>479</v>
      </c>
      <c r="G471" s="12" t="s">
        <v>1956</v>
      </c>
      <c r="H471" s="9" t="s">
        <v>1882</v>
      </c>
      <c r="I471" s="9" t="str">
        <f>IFERROR(INDEX('Price List Library'!$P$6:$P$437,MATCH(TRIM($G471)&amp;"|"&amp;TRIM($H471),'Price List Library'!$S$6:$S$437,0)),"")</f>
        <v>Priced</v>
      </c>
      <c r="J471" s="20">
        <f>IFERROR(INDEX('Price List Library'!$O$6:$O$437,MATCH(TRIM($G471)&amp;"|"&amp;TRIM($H471),'Price List Library'!$S$6:$S$437,0)),0)</f>
        <v>223.10400000000001</v>
      </c>
      <c r="K471" s="13" t="s">
        <v>1957</v>
      </c>
    </row>
    <row r="472" spans="1:11" ht="15" customHeight="1" x14ac:dyDescent="0.25">
      <c r="A472" s="9">
        <v>467</v>
      </c>
      <c r="B472" s="14" t="s">
        <v>348</v>
      </c>
      <c r="C472" s="15" t="s">
        <v>477</v>
      </c>
      <c r="D472" s="12" t="s">
        <v>478</v>
      </c>
      <c r="E472" s="12" t="s">
        <v>479</v>
      </c>
      <c r="F472" s="12" t="s">
        <v>479</v>
      </c>
      <c r="G472" s="12" t="s">
        <v>1958</v>
      </c>
      <c r="H472" s="9" t="s">
        <v>1882</v>
      </c>
      <c r="I472" s="9" t="str">
        <f>IFERROR(INDEX('Price List Library'!$P$6:$P$437,MATCH(TRIM($G472)&amp;"|"&amp;TRIM($H472),'Price List Library'!$S$6:$S$437,0)),"")</f>
        <v>Priced</v>
      </c>
      <c r="J472" s="20">
        <f>IFERROR(INDEX('Price List Library'!$O$6:$O$437,MATCH(TRIM($G472)&amp;"|"&amp;TRIM($H472),'Price List Library'!$S$6:$S$437,0)),0)</f>
        <v>92.4</v>
      </c>
      <c r="K472" s="13" t="s">
        <v>1959</v>
      </c>
    </row>
    <row r="473" spans="1:11" ht="15" customHeight="1" x14ac:dyDescent="0.25">
      <c r="A473" s="9">
        <v>468</v>
      </c>
      <c r="B473" s="14" t="s">
        <v>348</v>
      </c>
      <c r="C473" s="15" t="s">
        <v>477</v>
      </c>
      <c r="D473" s="12" t="s">
        <v>478</v>
      </c>
      <c r="E473" s="12" t="s">
        <v>479</v>
      </c>
      <c r="F473" s="12" t="s">
        <v>479</v>
      </c>
      <c r="G473" s="12" t="s">
        <v>1960</v>
      </c>
      <c r="H473" s="9" t="s">
        <v>1882</v>
      </c>
      <c r="I473" s="9" t="str">
        <f>IFERROR(INDEX('Price List Library'!$P$6:$P$437,MATCH(TRIM($G473)&amp;"|"&amp;TRIM($H473),'Price List Library'!$S$6:$S$437,0)),"")</f>
        <v>Priced</v>
      </c>
      <c r="J473" s="20">
        <f>IFERROR(INDEX('Price List Library'!$O$6:$O$437,MATCH(TRIM($G473)&amp;"|"&amp;TRIM($H473),'Price List Library'!$S$6:$S$437,0)),0)</f>
        <v>327.60000000000002</v>
      </c>
      <c r="K473" s="13" t="s">
        <v>1961</v>
      </c>
    </row>
    <row r="474" spans="1:11" ht="15" customHeight="1" x14ac:dyDescent="0.25">
      <c r="A474" s="9">
        <v>469</v>
      </c>
      <c r="B474" s="14" t="s">
        <v>348</v>
      </c>
      <c r="C474" s="15" t="s">
        <v>477</v>
      </c>
      <c r="D474" s="12" t="s">
        <v>478</v>
      </c>
      <c r="E474" s="12" t="s">
        <v>479</v>
      </c>
      <c r="F474" s="12" t="s">
        <v>479</v>
      </c>
      <c r="G474" s="12" t="s">
        <v>1962</v>
      </c>
      <c r="H474" s="9" t="s">
        <v>1882</v>
      </c>
      <c r="I474" s="9" t="str">
        <f>IFERROR(INDEX('Price List Library'!$P$6:$P$437,MATCH(TRIM($G474)&amp;"|"&amp;TRIM($H474),'Price List Library'!$S$6:$S$437,0)),"")</f>
        <v>Priced</v>
      </c>
      <c r="J474" s="20">
        <f>IFERROR(INDEX('Price List Library'!$O$6:$O$437,MATCH(TRIM($G474)&amp;"|"&amp;TRIM($H474),'Price List Library'!$S$6:$S$437,0)),0)</f>
        <v>656.32</v>
      </c>
      <c r="K474" s="13" t="s">
        <v>1963</v>
      </c>
    </row>
    <row r="475" spans="1:11" ht="15" customHeight="1" x14ac:dyDescent="0.25">
      <c r="A475" s="9">
        <v>470</v>
      </c>
      <c r="B475" s="14" t="s">
        <v>348</v>
      </c>
      <c r="C475" s="15" t="s">
        <v>477</v>
      </c>
      <c r="D475" s="12" t="s">
        <v>478</v>
      </c>
      <c r="E475" s="12" t="s">
        <v>479</v>
      </c>
      <c r="F475" s="12" t="s">
        <v>479</v>
      </c>
      <c r="G475" s="12" t="s">
        <v>1964</v>
      </c>
      <c r="H475" s="9" t="s">
        <v>1882</v>
      </c>
      <c r="I475" s="9" t="str">
        <f>IFERROR(INDEX('Price List Library'!$P$6:$P$437,MATCH(TRIM($G475)&amp;"|"&amp;TRIM($H475),'Price List Library'!$S$6:$S$437,0)),"")</f>
        <v>Priced</v>
      </c>
      <c r="J475" s="20">
        <f>IFERROR(INDEX('Price List Library'!$O$6:$O$437,MATCH(TRIM($G475)&amp;"|"&amp;TRIM($H475),'Price List Library'!$S$6:$S$437,0)),0)</f>
        <v>55.440000000000005</v>
      </c>
      <c r="K475" s="13" t="s">
        <v>1965</v>
      </c>
    </row>
    <row r="476" spans="1:11" ht="15" customHeight="1" x14ac:dyDescent="0.25">
      <c r="A476" s="9">
        <v>471</v>
      </c>
      <c r="B476" s="14" t="s">
        <v>348</v>
      </c>
      <c r="C476" s="15" t="s">
        <v>477</v>
      </c>
      <c r="D476" s="12" t="s">
        <v>478</v>
      </c>
      <c r="E476" s="12" t="s">
        <v>479</v>
      </c>
      <c r="F476" s="12" t="s">
        <v>479</v>
      </c>
      <c r="G476" s="12" t="s">
        <v>1966</v>
      </c>
      <c r="H476" s="9" t="s">
        <v>57</v>
      </c>
      <c r="I476" s="9" t="str">
        <f>IFERROR(INDEX('Price List Library'!$P$6:$P$437,MATCH(TRIM($G476)&amp;"|"&amp;TRIM($H476),'Price List Library'!$S$6:$S$437,0)),"")</f>
        <v>Benchmark</v>
      </c>
      <c r="J476" s="20">
        <f>IFERROR(INDEX('Price List Library'!$O$6:$O$437,MATCH(TRIM($G476)&amp;"|"&amp;TRIM($H476),'Price List Library'!$S$6:$S$437,0)),0)</f>
        <v>218.40000000000003</v>
      </c>
      <c r="K476" s="13" t="s">
        <v>1967</v>
      </c>
    </row>
    <row r="477" spans="1:11" ht="15" customHeight="1" x14ac:dyDescent="0.25">
      <c r="A477" s="9">
        <v>472</v>
      </c>
      <c r="B477" s="14" t="s">
        <v>348</v>
      </c>
      <c r="C477" s="15" t="s">
        <v>477</v>
      </c>
      <c r="D477" s="12" t="s">
        <v>478</v>
      </c>
      <c r="E477" s="12" t="s">
        <v>479</v>
      </c>
      <c r="F477" s="12" t="s">
        <v>479</v>
      </c>
      <c r="G477" s="12" t="s">
        <v>1968</v>
      </c>
      <c r="H477" s="9" t="s">
        <v>57</v>
      </c>
      <c r="I477" s="9" t="str">
        <f>IFERROR(INDEX('Price List Library'!$P$6:$P$437,MATCH(TRIM($G477)&amp;"|"&amp;TRIM($H477),'Price List Library'!$S$6:$S$437,0)),"")</f>
        <v>Benchmark</v>
      </c>
      <c r="J477" s="20">
        <f>IFERROR(INDEX('Price List Library'!$O$6:$O$437,MATCH(TRIM($G477)&amp;"|"&amp;TRIM($H477),'Price List Library'!$S$6:$S$437,0)),0)</f>
        <v>168.00000000000003</v>
      </c>
      <c r="K477" s="13" t="s">
        <v>1969</v>
      </c>
    </row>
    <row r="478" spans="1:11" ht="15" customHeight="1" x14ac:dyDescent="0.25">
      <c r="A478" s="9">
        <v>473</v>
      </c>
      <c r="B478" s="14" t="s">
        <v>348</v>
      </c>
      <c r="C478" s="15" t="s">
        <v>477</v>
      </c>
      <c r="D478" s="12" t="s">
        <v>478</v>
      </c>
      <c r="E478" s="12" t="s">
        <v>479</v>
      </c>
      <c r="F478" s="12" t="s">
        <v>482</v>
      </c>
      <c r="G478" s="12" t="s">
        <v>483</v>
      </c>
      <c r="H478" s="9" t="s">
        <v>18</v>
      </c>
      <c r="I478" s="9" t="str">
        <f>IFERROR(INDEX('Price List Library'!$P$6:$P$437,MATCH(TRIM($G478)&amp;"|"&amp;TRIM($H478),'Price List Library'!$S$6:$S$437,0)),"")</f>
        <v>Benchmark</v>
      </c>
      <c r="J478" s="20">
        <f>IFERROR(INDEX('Price List Library'!$O$6:$O$437,MATCH(TRIM($G478)&amp;"|"&amp;TRIM($H478),'Price List Library'!$S$6:$S$437,0)),0)</f>
        <v>61.600000000000009</v>
      </c>
      <c r="K478" s="13" t="s">
        <v>1970</v>
      </c>
    </row>
    <row r="479" spans="1:11" ht="15" customHeight="1" x14ac:dyDescent="0.25">
      <c r="A479" s="9">
        <v>474</v>
      </c>
      <c r="B479" s="14" t="s">
        <v>348</v>
      </c>
      <c r="C479" s="15" t="s">
        <v>477</v>
      </c>
      <c r="D479" s="12" t="s">
        <v>478</v>
      </c>
      <c r="E479" s="12" t="s">
        <v>479</v>
      </c>
      <c r="F479" s="12" t="s">
        <v>485</v>
      </c>
      <c r="G479" s="12" t="s">
        <v>486</v>
      </c>
      <c r="H479" s="9" t="s">
        <v>18</v>
      </c>
      <c r="I479" s="9" t="str">
        <f>IFERROR(INDEX('Price List Library'!$P$6:$P$437,MATCH(TRIM($G479)&amp;"|"&amp;TRIM($H479),'Price List Library'!$S$6:$S$437,0)),"")</f>
        <v>Benchmark</v>
      </c>
      <c r="J479" s="20">
        <f>IFERROR(INDEX('Price List Library'!$O$6:$O$437,MATCH(TRIM($G479)&amp;"|"&amp;TRIM($H479),'Price List Library'!$S$6:$S$437,0)),0)</f>
        <v>78.400000000000006</v>
      </c>
      <c r="K479" s="13" t="s">
        <v>1971</v>
      </c>
    </row>
    <row r="480" spans="1:11" ht="15" customHeight="1" x14ac:dyDescent="0.25">
      <c r="A480" s="9">
        <v>475</v>
      </c>
      <c r="B480" s="14" t="s">
        <v>348</v>
      </c>
      <c r="C480" s="15" t="s">
        <v>477</v>
      </c>
      <c r="D480" s="12" t="s">
        <v>478</v>
      </c>
      <c r="E480" s="12" t="s">
        <v>479</v>
      </c>
      <c r="F480" s="12" t="s">
        <v>488</v>
      </c>
      <c r="G480" s="12" t="s">
        <v>489</v>
      </c>
      <c r="H480" s="9" t="s">
        <v>18</v>
      </c>
      <c r="I480" s="9" t="str">
        <f>IFERROR(INDEX('Price List Library'!$P$6:$P$437,MATCH(TRIM($G480)&amp;"|"&amp;TRIM($H480),'Price List Library'!$S$6:$S$437,0)),"")</f>
        <v>Benchmark</v>
      </c>
      <c r="J480" s="20">
        <f>IFERROR(INDEX('Price List Library'!$O$6:$O$437,MATCH(TRIM($G480)&amp;"|"&amp;TRIM($H480),'Price List Library'!$S$6:$S$437,0)),0)</f>
        <v>84.000000000000014</v>
      </c>
      <c r="K480" s="13" t="s">
        <v>1972</v>
      </c>
    </row>
    <row r="481" spans="1:11" ht="15" customHeight="1" x14ac:dyDescent="0.25">
      <c r="A481" s="9">
        <v>476</v>
      </c>
      <c r="B481" s="14" t="s">
        <v>348</v>
      </c>
      <c r="C481" s="15" t="s">
        <v>477</v>
      </c>
      <c r="D481" s="12" t="s">
        <v>478</v>
      </c>
      <c r="E481" s="12" t="s">
        <v>491</v>
      </c>
      <c r="F481" s="12" t="s">
        <v>491</v>
      </c>
      <c r="G481" s="12" t="s">
        <v>492</v>
      </c>
      <c r="H481" s="9" t="s">
        <v>18</v>
      </c>
      <c r="I481" s="9" t="str">
        <f>IFERROR(INDEX('Price List Library'!$P$6:$P$437,MATCH(TRIM($G481)&amp;"|"&amp;TRIM($H481),'Price List Library'!$S$6:$S$437,0)),"")</f>
        <v>Benchmark</v>
      </c>
      <c r="J481" s="20">
        <f>IFERROR(INDEX('Price List Library'!$O$6:$O$437,MATCH(TRIM($G481)&amp;"|"&amp;TRIM($H481),'Price List Library'!$S$6:$S$437,0)),0)</f>
        <v>49.760000000000005</v>
      </c>
      <c r="K481" s="13" t="s">
        <v>1973</v>
      </c>
    </row>
    <row r="482" spans="1:11" ht="15" customHeight="1" x14ac:dyDescent="0.25">
      <c r="A482" s="9">
        <v>477</v>
      </c>
      <c r="B482" s="14" t="s">
        <v>348</v>
      </c>
      <c r="C482" s="15" t="s">
        <v>477</v>
      </c>
      <c r="D482" s="12" t="s">
        <v>478</v>
      </c>
      <c r="E482" s="12" t="s">
        <v>491</v>
      </c>
      <c r="F482" s="12" t="s">
        <v>494</v>
      </c>
      <c r="G482" s="12" t="s">
        <v>495</v>
      </c>
      <c r="H482" s="9" t="s">
        <v>18</v>
      </c>
      <c r="I482" s="9" t="str">
        <f>IFERROR(INDEX('Price List Library'!$P$6:$P$437,MATCH(TRIM($G482)&amp;"|"&amp;TRIM($H482),'Price List Library'!$S$6:$S$437,0)),"")</f>
        <v>Benchmark</v>
      </c>
      <c r="J482" s="20">
        <f>IFERROR(INDEX('Price List Library'!$O$6:$O$437,MATCH(TRIM($G482)&amp;"|"&amp;TRIM($H482),'Price List Library'!$S$6:$S$437,0)),0)</f>
        <v>44.24</v>
      </c>
      <c r="K482" s="13" t="s">
        <v>1974</v>
      </c>
    </row>
    <row r="483" spans="1:11" ht="15" customHeight="1" x14ac:dyDescent="0.25">
      <c r="A483" s="9">
        <v>478</v>
      </c>
      <c r="B483" s="14" t="s">
        <v>348</v>
      </c>
      <c r="C483" s="15" t="s">
        <v>477</v>
      </c>
      <c r="D483" s="12" t="s">
        <v>478</v>
      </c>
      <c r="E483" s="12" t="s">
        <v>497</v>
      </c>
      <c r="F483" s="12" t="s">
        <v>498</v>
      </c>
      <c r="G483" s="12" t="s">
        <v>499</v>
      </c>
      <c r="H483" s="9" t="s">
        <v>18</v>
      </c>
      <c r="I483" s="9" t="str">
        <f>IFERROR(INDEX('Price List Library'!$P$6:$P$437,MATCH(TRIM($G483)&amp;"|"&amp;TRIM($H483),'Price List Library'!$S$6:$S$437,0)),"")</f>
        <v>Benchmark</v>
      </c>
      <c r="J483" s="20">
        <f>IFERROR(INDEX('Price List Library'!$O$6:$O$437,MATCH(TRIM($G483)&amp;"|"&amp;TRIM($H483),'Price List Library'!$S$6:$S$437,0)),0)</f>
        <v>37.520000000000003</v>
      </c>
      <c r="K483" s="13" t="s">
        <v>1975</v>
      </c>
    </row>
    <row r="484" spans="1:11" ht="15" customHeight="1" x14ac:dyDescent="0.25">
      <c r="A484" s="9">
        <v>479</v>
      </c>
      <c r="B484" s="14" t="s">
        <v>348</v>
      </c>
      <c r="C484" s="15" t="s">
        <v>477</v>
      </c>
      <c r="D484" s="12" t="s">
        <v>478</v>
      </c>
      <c r="E484" s="12" t="s">
        <v>497</v>
      </c>
      <c r="F484" s="12" t="s">
        <v>501</v>
      </c>
      <c r="G484" s="12" t="s">
        <v>502</v>
      </c>
      <c r="H484" s="9" t="s">
        <v>18</v>
      </c>
      <c r="I484" s="9" t="str">
        <f>IFERROR(INDEX('Price List Library'!$P$6:$P$437,MATCH(TRIM($G484)&amp;"|"&amp;TRIM($H484),'Price List Library'!$S$6:$S$437,0)),"")</f>
        <v>Benchmark</v>
      </c>
      <c r="J484" s="20">
        <f>IFERROR(INDEX('Price List Library'!$O$6:$O$437,MATCH(TRIM($G484)&amp;"|"&amp;TRIM($H484),'Price List Library'!$S$6:$S$437,0)),0)</f>
        <v>19.28</v>
      </c>
      <c r="K484" s="13" t="s">
        <v>1976</v>
      </c>
    </row>
    <row r="485" spans="1:11" ht="15" customHeight="1" x14ac:dyDescent="0.25">
      <c r="A485" s="9">
        <v>480</v>
      </c>
      <c r="B485" s="14" t="s">
        <v>348</v>
      </c>
      <c r="C485" s="15" t="s">
        <v>477</v>
      </c>
      <c r="D485" s="12" t="s">
        <v>478</v>
      </c>
      <c r="E485" s="12" t="s">
        <v>497</v>
      </c>
      <c r="F485" s="12" t="s">
        <v>434</v>
      </c>
      <c r="G485" s="12" t="s">
        <v>435</v>
      </c>
      <c r="H485" s="9" t="s">
        <v>61</v>
      </c>
      <c r="I485" s="9" t="str">
        <f>IFERROR(INDEX('Price List Library'!$P$6:$P$437,MATCH(TRIM($G485)&amp;"|"&amp;TRIM($H485),'Price List Library'!$S$6:$S$437,0)),"")</f>
        <v>Benchmark</v>
      </c>
      <c r="J485" s="20">
        <f>IFERROR(INDEX('Price List Library'!$O$6:$O$437,MATCH(TRIM($G485)&amp;"|"&amp;TRIM($H485),'Price List Library'!$S$6:$S$437,0)),0)</f>
        <v>3.68</v>
      </c>
      <c r="K485" s="13" t="s">
        <v>1977</v>
      </c>
    </row>
    <row r="486" spans="1:11" ht="15" customHeight="1" x14ac:dyDescent="0.25">
      <c r="A486" s="9">
        <v>481</v>
      </c>
      <c r="B486" s="14" t="s">
        <v>348</v>
      </c>
      <c r="C486" s="15" t="s">
        <v>477</v>
      </c>
      <c r="D486" s="12" t="s">
        <v>478</v>
      </c>
      <c r="E486" s="12" t="s">
        <v>497</v>
      </c>
      <c r="F486" s="12" t="s">
        <v>505</v>
      </c>
      <c r="G486" s="12" t="s">
        <v>506</v>
      </c>
      <c r="H486" s="9" t="s">
        <v>61</v>
      </c>
      <c r="I486" s="9" t="str">
        <f>IFERROR(INDEX('Price List Library'!$P$6:$P$437,MATCH(TRIM($G486)&amp;"|"&amp;TRIM($H486),'Price List Library'!$S$6:$S$437,0)),"")</f>
        <v>Benchmark</v>
      </c>
      <c r="J486" s="20">
        <f>IFERROR(INDEX('Price List Library'!$O$6:$O$437,MATCH(TRIM($G486)&amp;"|"&amp;TRIM($H486),'Price List Library'!$S$6:$S$437,0)),0)</f>
        <v>10.36</v>
      </c>
      <c r="K486" s="13" t="s">
        <v>1978</v>
      </c>
    </row>
    <row r="487" spans="1:11" ht="15" customHeight="1" x14ac:dyDescent="0.25">
      <c r="A487" s="9">
        <v>482</v>
      </c>
      <c r="B487" s="14" t="s">
        <v>348</v>
      </c>
      <c r="C487" s="15" t="s">
        <v>508</v>
      </c>
      <c r="D487" s="12" t="s">
        <v>509</v>
      </c>
      <c r="E487" s="12" t="s">
        <v>510</v>
      </c>
      <c r="F487" s="12" t="s">
        <v>510</v>
      </c>
      <c r="G487" s="12" t="s">
        <v>511</v>
      </c>
      <c r="H487" s="9" t="s">
        <v>18</v>
      </c>
      <c r="I487" s="9" t="str">
        <f>IFERROR(INDEX('Price List Library'!$P$6:$P$437,MATCH(TRIM($G487)&amp;"|"&amp;TRIM($H487),'Price List Library'!$S$6:$S$437,0)),"")</f>
        <v>Benchmark</v>
      </c>
      <c r="J487" s="20">
        <f>IFERROR(INDEX('Price List Library'!$O$6:$O$437,MATCH(TRIM($G487)&amp;"|"&amp;TRIM($H487),'Price List Library'!$S$6:$S$437,0)),0)</f>
        <v>6.9440000000000008</v>
      </c>
      <c r="K487" s="13" t="s">
        <v>1979</v>
      </c>
    </row>
    <row r="488" spans="1:11" ht="15" customHeight="1" x14ac:dyDescent="0.25">
      <c r="A488" s="9">
        <v>483</v>
      </c>
      <c r="B488" s="14" t="s">
        <v>348</v>
      </c>
      <c r="C488" s="15" t="s">
        <v>508</v>
      </c>
      <c r="D488" s="12" t="s">
        <v>509</v>
      </c>
      <c r="E488" s="12" t="s">
        <v>510</v>
      </c>
      <c r="F488" s="12" t="s">
        <v>513</v>
      </c>
      <c r="G488" s="12" t="s">
        <v>514</v>
      </c>
      <c r="H488" s="9" t="s">
        <v>18</v>
      </c>
      <c r="I488" s="9" t="str">
        <f>IFERROR(INDEX('Price List Library'!$P$6:$P$437,MATCH(TRIM($G488)&amp;"|"&amp;TRIM($H488),'Price List Library'!$S$6:$S$437,0)),"")</f>
        <v>Benchmark</v>
      </c>
      <c r="J488" s="20">
        <f>IFERROR(INDEX('Price List Library'!$O$6:$O$437,MATCH(TRIM($G488)&amp;"|"&amp;TRIM($H488),'Price List Library'!$S$6:$S$437,0)),0)</f>
        <v>4.3520000000000003</v>
      </c>
      <c r="K488" s="13" t="s">
        <v>1980</v>
      </c>
    </row>
    <row r="489" spans="1:11" ht="15" customHeight="1" x14ac:dyDescent="0.25">
      <c r="A489" s="9">
        <v>484</v>
      </c>
      <c r="B489" s="14" t="s">
        <v>348</v>
      </c>
      <c r="C489" s="15" t="s">
        <v>508</v>
      </c>
      <c r="D489" s="12" t="s">
        <v>509</v>
      </c>
      <c r="E489" s="12" t="s">
        <v>516</v>
      </c>
      <c r="F489" s="12" t="s">
        <v>516</v>
      </c>
      <c r="G489" s="12" t="s">
        <v>517</v>
      </c>
      <c r="H489" s="9" t="s">
        <v>18</v>
      </c>
      <c r="I489" s="9" t="str">
        <f>IFERROR(INDEX('Price List Library'!$P$6:$P$437,MATCH(TRIM($G489)&amp;"|"&amp;TRIM($H489),'Price List Library'!$S$6:$S$437,0)),"")</f>
        <v>Benchmark</v>
      </c>
      <c r="J489" s="20">
        <f>IFERROR(INDEX('Price List Library'!$O$6:$O$437,MATCH(TRIM($G489)&amp;"|"&amp;TRIM($H489),'Price List Library'!$S$6:$S$437,0)),0)</f>
        <v>14.96</v>
      </c>
      <c r="K489" s="13" t="s">
        <v>1981</v>
      </c>
    </row>
    <row r="490" spans="1:11" ht="15" customHeight="1" x14ac:dyDescent="0.25">
      <c r="A490" s="9">
        <v>485</v>
      </c>
      <c r="B490" s="14" t="s">
        <v>348</v>
      </c>
      <c r="C490" s="15" t="s">
        <v>508</v>
      </c>
      <c r="D490" s="12" t="s">
        <v>509</v>
      </c>
      <c r="E490" s="12" t="s">
        <v>516</v>
      </c>
      <c r="F490" s="12" t="s">
        <v>516</v>
      </c>
      <c r="G490" s="12" t="s">
        <v>1982</v>
      </c>
      <c r="H490" s="9" t="s">
        <v>18</v>
      </c>
      <c r="I490" s="9" t="str">
        <f>IFERROR(INDEX('Price List Library'!$P$6:$P$437,MATCH(TRIM($G490)&amp;"|"&amp;TRIM($H490),'Price List Library'!$S$6:$S$437,0)),"")</f>
        <v>Benchmark</v>
      </c>
      <c r="J490" s="20">
        <f>IFERROR(INDEX('Price List Library'!$O$6:$O$437,MATCH(TRIM($G490)&amp;"|"&amp;TRIM($H490),'Price List Library'!$S$6:$S$437,0)),0)</f>
        <v>18.920000000000002</v>
      </c>
      <c r="K490" s="13" t="s">
        <v>1983</v>
      </c>
    </row>
    <row r="491" spans="1:11" ht="15" customHeight="1" x14ac:dyDescent="0.25">
      <c r="A491" s="9">
        <v>486</v>
      </c>
      <c r="B491" s="14" t="s">
        <v>348</v>
      </c>
      <c r="C491" s="15" t="s">
        <v>508</v>
      </c>
      <c r="D491" s="12" t="s">
        <v>509</v>
      </c>
      <c r="E491" s="12" t="s">
        <v>516</v>
      </c>
      <c r="F491" s="12" t="s">
        <v>519</v>
      </c>
      <c r="G491" s="12" t="s">
        <v>520</v>
      </c>
      <c r="H491" s="9" t="s">
        <v>18</v>
      </c>
      <c r="I491" s="9" t="str">
        <f>IFERROR(INDEX('Price List Library'!$P$6:$P$437,MATCH(TRIM($G491)&amp;"|"&amp;TRIM($H491),'Price List Library'!$S$6:$S$437,0)),"")</f>
        <v>Benchmark</v>
      </c>
      <c r="J491" s="20">
        <f>IFERROR(INDEX('Price List Library'!$O$6:$O$437,MATCH(TRIM($G491)&amp;"|"&amp;TRIM($H491),'Price List Library'!$S$6:$S$437,0)),0)</f>
        <v>20.04</v>
      </c>
      <c r="K491" s="13" t="s">
        <v>1984</v>
      </c>
    </row>
    <row r="492" spans="1:11" ht="15" customHeight="1" x14ac:dyDescent="0.25">
      <c r="A492" s="9">
        <v>487</v>
      </c>
      <c r="B492" s="14" t="s">
        <v>348</v>
      </c>
      <c r="C492" s="15" t="s">
        <v>508</v>
      </c>
      <c r="D492" s="12" t="s">
        <v>509</v>
      </c>
      <c r="E492" s="12" t="s">
        <v>138</v>
      </c>
      <c r="F492" s="12" t="s">
        <v>138</v>
      </c>
      <c r="G492" s="12" t="s">
        <v>139</v>
      </c>
      <c r="H492" s="9" t="s">
        <v>18</v>
      </c>
      <c r="I492" s="9" t="str">
        <f>IFERROR(INDEX('Price List Library'!$P$6:$P$437,MATCH(TRIM($G492)&amp;"|"&amp;TRIM($H492),'Price List Library'!$S$6:$S$437,0)),"")</f>
        <v>Priced</v>
      </c>
      <c r="J492" s="20">
        <f>IFERROR(INDEX('Price List Library'!$O$6:$O$437,MATCH(TRIM($G492)&amp;"|"&amp;TRIM($H492),'Price List Library'!$S$6:$S$437,0)),0)</f>
        <v>9.6800000000000015</v>
      </c>
      <c r="K492" s="13" t="s">
        <v>1985</v>
      </c>
    </row>
    <row r="493" spans="1:11" ht="15" customHeight="1" x14ac:dyDescent="0.25">
      <c r="A493" s="9">
        <v>488</v>
      </c>
      <c r="B493" s="14" t="s">
        <v>348</v>
      </c>
      <c r="C493" s="15" t="s">
        <v>508</v>
      </c>
      <c r="D493" s="12" t="s">
        <v>509</v>
      </c>
      <c r="E493" s="12" t="s">
        <v>138</v>
      </c>
      <c r="F493" s="12" t="s">
        <v>138</v>
      </c>
      <c r="G493" s="12" t="s">
        <v>1555</v>
      </c>
      <c r="H493" s="9" t="s">
        <v>18</v>
      </c>
      <c r="I493" s="9" t="str">
        <f>IFERROR(INDEX('Price List Library'!$P$6:$P$437,MATCH(TRIM($G493)&amp;"|"&amp;TRIM($H493),'Price List Library'!$S$6:$S$437,0)),"")</f>
        <v>Priced</v>
      </c>
      <c r="J493" s="20">
        <f>IFERROR(INDEX('Price List Library'!$O$6:$O$437,MATCH(TRIM($G493)&amp;"|"&amp;TRIM($H493),'Price List Library'!$S$6:$S$437,0)),0)</f>
        <v>9.120000000000001</v>
      </c>
      <c r="K493" s="13" t="s">
        <v>1986</v>
      </c>
    </row>
    <row r="494" spans="1:11" ht="15" customHeight="1" x14ac:dyDescent="0.25">
      <c r="A494" s="9">
        <v>489</v>
      </c>
      <c r="B494" s="14" t="s">
        <v>348</v>
      </c>
      <c r="C494" s="15" t="s">
        <v>508</v>
      </c>
      <c r="D494" s="12" t="s">
        <v>509</v>
      </c>
      <c r="E494" s="12" t="s">
        <v>138</v>
      </c>
      <c r="F494" s="12" t="s">
        <v>138</v>
      </c>
      <c r="G494" s="12" t="s">
        <v>1557</v>
      </c>
      <c r="H494" s="9" t="s">
        <v>18</v>
      </c>
      <c r="I494" s="9" t="str">
        <f>IFERROR(INDEX('Price List Library'!$P$6:$P$437,MATCH(TRIM($G494)&amp;"|"&amp;TRIM($H494),'Price List Library'!$S$6:$S$437,0)),"")</f>
        <v>Benchmark</v>
      </c>
      <c r="J494" s="20">
        <f>IFERROR(INDEX('Price List Library'!$O$6:$O$437,MATCH(TRIM($G494)&amp;"|"&amp;TRIM($H494),'Price List Library'!$S$6:$S$437,0)),0)</f>
        <v>8.8000000000000007</v>
      </c>
      <c r="K494" s="13" t="s">
        <v>1987</v>
      </c>
    </row>
    <row r="495" spans="1:11" ht="15" customHeight="1" x14ac:dyDescent="0.25">
      <c r="A495" s="9">
        <v>490</v>
      </c>
      <c r="B495" s="14" t="s">
        <v>348</v>
      </c>
      <c r="C495" s="15" t="s">
        <v>508</v>
      </c>
      <c r="D495" s="12" t="s">
        <v>509</v>
      </c>
      <c r="E495" s="12" t="s">
        <v>138</v>
      </c>
      <c r="F495" s="12" t="s">
        <v>523</v>
      </c>
      <c r="G495" s="12" t="s">
        <v>524</v>
      </c>
      <c r="H495" s="9" t="s">
        <v>18</v>
      </c>
      <c r="I495" s="9" t="str">
        <f>IFERROR(INDEX('Price List Library'!$P$6:$P$437,MATCH(TRIM($G495)&amp;"|"&amp;TRIM($H495),'Price List Library'!$S$6:$S$437,0)),"")</f>
        <v>Benchmark</v>
      </c>
      <c r="J495" s="20">
        <f>IFERROR(INDEX('Price List Library'!$O$6:$O$437,MATCH(TRIM($G495)&amp;"|"&amp;TRIM($H495),'Price List Library'!$S$6:$S$437,0)),0)</f>
        <v>6.48</v>
      </c>
      <c r="K495" s="13" t="s">
        <v>1988</v>
      </c>
    </row>
    <row r="496" spans="1:11" ht="15" customHeight="1" x14ac:dyDescent="0.25">
      <c r="A496" s="9">
        <v>491</v>
      </c>
      <c r="B496" s="14" t="s">
        <v>348</v>
      </c>
      <c r="C496" s="15" t="s">
        <v>526</v>
      </c>
      <c r="D496" s="12" t="s">
        <v>527</v>
      </c>
      <c r="E496" s="12" t="s">
        <v>528</v>
      </c>
      <c r="F496" s="12" t="s">
        <v>408</v>
      </c>
      <c r="G496" s="12" t="s">
        <v>409</v>
      </c>
      <c r="H496" s="9" t="s">
        <v>18</v>
      </c>
      <c r="I496" s="9" t="str">
        <f>IFERROR(INDEX('Price List Library'!$P$6:$P$437,MATCH(TRIM($G496)&amp;"|"&amp;TRIM($H496),'Price List Library'!$S$6:$S$437,0)),"")</f>
        <v>Priced</v>
      </c>
      <c r="J496" s="20">
        <f>IFERROR(INDEX('Price List Library'!$O$6:$O$437,MATCH(TRIM($G496)&amp;"|"&amp;TRIM($H496),'Price List Library'!$S$6:$S$437,0)),0)</f>
        <v>5.24</v>
      </c>
      <c r="K496" s="13" t="s">
        <v>1989</v>
      </c>
    </row>
    <row r="497" spans="1:11" ht="15" customHeight="1" x14ac:dyDescent="0.25">
      <c r="A497" s="9">
        <v>492</v>
      </c>
      <c r="B497" s="14" t="s">
        <v>348</v>
      </c>
      <c r="C497" s="15" t="s">
        <v>526</v>
      </c>
      <c r="D497" s="12" t="s">
        <v>527</v>
      </c>
      <c r="E497" s="12" t="s">
        <v>528</v>
      </c>
      <c r="F497" s="12" t="s">
        <v>408</v>
      </c>
      <c r="G497" s="12" t="s">
        <v>1924</v>
      </c>
      <c r="H497" s="9" t="s">
        <v>18</v>
      </c>
      <c r="I497" s="9" t="str">
        <f>IFERROR(INDEX('Price List Library'!$P$6:$P$437,MATCH(TRIM($G497)&amp;"|"&amp;TRIM($H497),'Price List Library'!$S$6:$S$437,0)),"")</f>
        <v>Benchmark</v>
      </c>
      <c r="J497" s="20">
        <f>IFERROR(INDEX('Price List Library'!$O$6:$O$437,MATCH(TRIM($G497)&amp;"|"&amp;TRIM($H497),'Price List Library'!$S$6:$S$437,0)),0)</f>
        <v>4.5440000000000005</v>
      </c>
      <c r="K497" s="13" t="s">
        <v>1990</v>
      </c>
    </row>
    <row r="498" spans="1:11" ht="15" customHeight="1" x14ac:dyDescent="0.25">
      <c r="A498" s="9">
        <v>493</v>
      </c>
      <c r="B498" s="14" t="s">
        <v>348</v>
      </c>
      <c r="C498" s="15" t="s">
        <v>526</v>
      </c>
      <c r="D498" s="12" t="s">
        <v>527</v>
      </c>
      <c r="E498" s="12" t="s">
        <v>528</v>
      </c>
      <c r="F498" s="12" t="s">
        <v>417</v>
      </c>
      <c r="G498" s="12" t="s">
        <v>417</v>
      </c>
      <c r="H498" s="9" t="s">
        <v>18</v>
      </c>
      <c r="I498" s="9" t="str">
        <f>IFERROR(INDEX('Price List Library'!$P$6:$P$437,MATCH(TRIM($G498)&amp;"|"&amp;TRIM($H498),'Price List Library'!$S$6:$S$437,0)),"")</f>
        <v>Priced</v>
      </c>
      <c r="J498" s="20">
        <f>IFERROR(INDEX('Price List Library'!$O$6:$O$437,MATCH(TRIM($G498)&amp;"|"&amp;TRIM($H498),'Price List Library'!$S$6:$S$437,0)),0)</f>
        <v>4.5999999999999996</v>
      </c>
      <c r="K498" s="13" t="s">
        <v>1991</v>
      </c>
    </row>
    <row r="499" spans="1:11" ht="15" customHeight="1" x14ac:dyDescent="0.25">
      <c r="A499" s="9">
        <v>494</v>
      </c>
      <c r="B499" s="14" t="s">
        <v>348</v>
      </c>
      <c r="C499" s="15" t="s">
        <v>526</v>
      </c>
      <c r="D499" s="12" t="s">
        <v>527</v>
      </c>
      <c r="E499" s="12" t="s">
        <v>528</v>
      </c>
      <c r="F499" s="12" t="s">
        <v>417</v>
      </c>
      <c r="G499" s="12" t="s">
        <v>1929</v>
      </c>
      <c r="H499" s="9" t="s">
        <v>18</v>
      </c>
      <c r="I499" s="9" t="str">
        <f>IFERROR(INDEX('Price List Library'!$P$6:$P$437,MATCH(TRIM($G499)&amp;"|"&amp;TRIM($H499),'Price List Library'!$S$6:$S$437,0)),"")</f>
        <v>Benchmark</v>
      </c>
      <c r="J499" s="20">
        <f>IFERROR(INDEX('Price List Library'!$O$6:$O$437,MATCH(TRIM($G499)&amp;"|"&amp;TRIM($H499),'Price List Library'!$S$6:$S$437,0)),0)</f>
        <v>4.1440000000000001</v>
      </c>
      <c r="K499" s="13" t="s">
        <v>1992</v>
      </c>
    </row>
    <row r="500" spans="1:11" ht="15" customHeight="1" x14ac:dyDescent="0.25">
      <c r="A500" s="9">
        <v>495</v>
      </c>
      <c r="B500" s="14" t="s">
        <v>348</v>
      </c>
      <c r="C500" s="15" t="s">
        <v>526</v>
      </c>
      <c r="D500" s="12" t="s">
        <v>527</v>
      </c>
      <c r="E500" s="12" t="s">
        <v>528</v>
      </c>
      <c r="F500" s="12" t="s">
        <v>417</v>
      </c>
      <c r="G500" s="12" t="s">
        <v>1931</v>
      </c>
      <c r="H500" s="9" t="s">
        <v>18</v>
      </c>
      <c r="I500" s="9" t="str">
        <f>IFERROR(INDEX('Price List Library'!$P$6:$P$437,MATCH(TRIM($G500)&amp;"|"&amp;TRIM($H500),'Price List Library'!$S$6:$S$437,0)),"")</f>
        <v>Benchmark</v>
      </c>
      <c r="J500" s="20">
        <f>IFERROR(INDEX('Price List Library'!$O$6:$O$437,MATCH(TRIM($G500)&amp;"|"&amp;TRIM($H500),'Price List Library'!$S$6:$S$437,0)),0)</f>
        <v>5.6240000000000006</v>
      </c>
      <c r="K500" s="13" t="s">
        <v>1993</v>
      </c>
    </row>
    <row r="501" spans="1:11" ht="15" customHeight="1" x14ac:dyDescent="0.25">
      <c r="A501" s="9">
        <v>496</v>
      </c>
      <c r="B501" s="14" t="s">
        <v>348</v>
      </c>
      <c r="C501" s="15" t="s">
        <v>526</v>
      </c>
      <c r="D501" s="12" t="s">
        <v>527</v>
      </c>
      <c r="E501" s="12" t="s">
        <v>528</v>
      </c>
      <c r="F501" s="12" t="s">
        <v>531</v>
      </c>
      <c r="G501" s="12" t="s">
        <v>532</v>
      </c>
      <c r="H501" s="9" t="s">
        <v>18</v>
      </c>
      <c r="I501" s="9" t="str">
        <f>IFERROR(INDEX('Price List Library'!$P$6:$P$437,MATCH(TRIM($G501)&amp;"|"&amp;TRIM($H501),'Price List Library'!$S$6:$S$437,0)),"")</f>
        <v>Benchmark</v>
      </c>
      <c r="J501" s="20">
        <f>IFERROR(INDEX('Price List Library'!$O$6:$O$437,MATCH(TRIM($G501)&amp;"|"&amp;TRIM($H501),'Price List Library'!$S$6:$S$437,0)),0)</f>
        <v>24.080000000000002</v>
      </c>
      <c r="K501" s="13" t="s">
        <v>1994</v>
      </c>
    </row>
    <row r="502" spans="1:11" ht="15" customHeight="1" x14ac:dyDescent="0.25">
      <c r="A502" s="9">
        <v>497</v>
      </c>
      <c r="B502" s="14" t="s">
        <v>348</v>
      </c>
      <c r="C502" s="15" t="s">
        <v>534</v>
      </c>
      <c r="D502" s="12" t="s">
        <v>535</v>
      </c>
      <c r="E502" s="12" t="s">
        <v>536</v>
      </c>
      <c r="F502" s="12" t="s">
        <v>537</v>
      </c>
      <c r="G502" s="12" t="s">
        <v>538</v>
      </c>
      <c r="H502" s="9" t="s">
        <v>18</v>
      </c>
      <c r="I502" s="9" t="str">
        <f>IFERROR(INDEX('Price List Library'!$P$6:$P$437,MATCH(TRIM($G502)&amp;"|"&amp;TRIM($H502),'Price List Library'!$S$6:$S$437,0)),"")</f>
        <v>Benchmark</v>
      </c>
      <c r="J502" s="20">
        <f>IFERROR(INDEX('Price List Library'!$O$6:$O$437,MATCH(TRIM($G502)&amp;"|"&amp;TRIM($H502),'Price List Library'!$S$6:$S$437,0)),0)</f>
        <v>27.520000000000003</v>
      </c>
      <c r="K502" s="13" t="s">
        <v>1995</v>
      </c>
    </row>
    <row r="503" spans="1:11" ht="15" customHeight="1" x14ac:dyDescent="0.25">
      <c r="A503" s="9">
        <v>498</v>
      </c>
      <c r="B503" s="14" t="s">
        <v>348</v>
      </c>
      <c r="C503" s="15" t="s">
        <v>534</v>
      </c>
      <c r="D503" s="12" t="s">
        <v>535</v>
      </c>
      <c r="E503" s="12" t="s">
        <v>536</v>
      </c>
      <c r="F503" s="12" t="s">
        <v>540</v>
      </c>
      <c r="G503" s="12" t="s">
        <v>541</v>
      </c>
      <c r="H503" s="9" t="s">
        <v>18</v>
      </c>
      <c r="I503" s="9" t="str">
        <f>IFERROR(INDEX('Price List Library'!$P$6:$P$437,MATCH(TRIM($G503)&amp;"|"&amp;TRIM($H503),'Price List Library'!$S$6:$S$437,0)),"")</f>
        <v>Benchmark</v>
      </c>
      <c r="J503" s="20">
        <f>IFERROR(INDEX('Price List Library'!$O$6:$O$437,MATCH(TRIM($G503)&amp;"|"&amp;TRIM($H503),'Price List Library'!$S$6:$S$437,0)),0)</f>
        <v>21.76</v>
      </c>
      <c r="K503" s="13" t="s">
        <v>1996</v>
      </c>
    </row>
    <row r="504" spans="1:11" ht="15" customHeight="1" x14ac:dyDescent="0.25">
      <c r="A504" s="9">
        <v>499</v>
      </c>
      <c r="B504" s="14" t="s">
        <v>348</v>
      </c>
      <c r="C504" s="15" t="s">
        <v>534</v>
      </c>
      <c r="D504" s="12" t="s">
        <v>535</v>
      </c>
      <c r="E504" s="12" t="s">
        <v>536</v>
      </c>
      <c r="F504" s="12" t="s">
        <v>543</v>
      </c>
      <c r="G504" s="12" t="s">
        <v>544</v>
      </c>
      <c r="H504" s="9" t="s">
        <v>61</v>
      </c>
      <c r="I504" s="9" t="str">
        <f>IFERROR(INDEX('Price List Library'!$P$6:$P$437,MATCH(TRIM($G504)&amp;"|"&amp;TRIM($H504),'Price List Library'!$S$6:$S$437,0)),"")</f>
        <v>Benchmark</v>
      </c>
      <c r="J504" s="20">
        <f>IFERROR(INDEX('Price List Library'!$O$6:$O$437,MATCH(TRIM($G504)&amp;"|"&amp;TRIM($H504),'Price List Library'!$S$6:$S$437,0)),0)</f>
        <v>10.280000000000001</v>
      </c>
      <c r="K504" s="13" t="s">
        <v>1997</v>
      </c>
    </row>
    <row r="505" spans="1:11" ht="15" customHeight="1" x14ac:dyDescent="0.25">
      <c r="A505" s="9">
        <v>500</v>
      </c>
      <c r="B505" s="14" t="s">
        <v>348</v>
      </c>
      <c r="C505" s="15" t="s">
        <v>534</v>
      </c>
      <c r="D505" s="12" t="s">
        <v>535</v>
      </c>
      <c r="E505" s="12" t="s">
        <v>536</v>
      </c>
      <c r="F505" s="12" t="s">
        <v>546</v>
      </c>
      <c r="G505" s="12" t="s">
        <v>547</v>
      </c>
      <c r="H505" s="9" t="s">
        <v>18</v>
      </c>
      <c r="I505" s="9" t="str">
        <f>IFERROR(INDEX('Price List Library'!$P$6:$P$437,MATCH(TRIM($G505)&amp;"|"&amp;TRIM($H505),'Price List Library'!$S$6:$S$437,0)),"")</f>
        <v>Benchmark</v>
      </c>
      <c r="J505" s="20">
        <f>IFERROR(INDEX('Price List Library'!$O$6:$O$437,MATCH(TRIM($G505)&amp;"|"&amp;TRIM($H505),'Price List Library'!$S$6:$S$437,0)),0)</f>
        <v>25.040000000000003</v>
      </c>
      <c r="K505" s="13" t="s">
        <v>1998</v>
      </c>
    </row>
    <row r="506" spans="1:11" ht="15" customHeight="1" x14ac:dyDescent="0.25">
      <c r="A506" s="9">
        <v>501</v>
      </c>
      <c r="B506" s="14" t="s">
        <v>348</v>
      </c>
      <c r="C506" s="15" t="s">
        <v>534</v>
      </c>
      <c r="D506" s="12" t="s">
        <v>535</v>
      </c>
      <c r="E506" s="12" t="s">
        <v>549</v>
      </c>
      <c r="F506" s="12" t="s">
        <v>550</v>
      </c>
      <c r="G506" s="12" t="s">
        <v>551</v>
      </c>
      <c r="H506" s="9" t="s">
        <v>61</v>
      </c>
      <c r="I506" s="9" t="str">
        <f>IFERROR(INDEX('Price List Library'!$P$6:$P$437,MATCH(TRIM($G506)&amp;"|"&amp;TRIM($H506),'Price List Library'!$S$6:$S$437,0)),"")</f>
        <v>Priced</v>
      </c>
      <c r="J506" s="20">
        <f>IFERROR(INDEX('Price List Library'!$O$6:$O$437,MATCH(TRIM($G506)&amp;"|"&amp;TRIM($H506),'Price List Library'!$S$6:$S$437,0)),0)</f>
        <v>34.24</v>
      </c>
      <c r="K506" s="13" t="s">
        <v>1999</v>
      </c>
    </row>
    <row r="507" spans="1:11" ht="15" customHeight="1" x14ac:dyDescent="0.25">
      <c r="A507" s="9">
        <v>502</v>
      </c>
      <c r="B507" s="14" t="s">
        <v>348</v>
      </c>
      <c r="C507" s="15" t="s">
        <v>534</v>
      </c>
      <c r="D507" s="12" t="s">
        <v>535</v>
      </c>
      <c r="E507" s="12" t="s">
        <v>549</v>
      </c>
      <c r="F507" s="12" t="s">
        <v>553</v>
      </c>
      <c r="G507" s="12" t="s">
        <v>554</v>
      </c>
      <c r="H507" s="9" t="s">
        <v>61</v>
      </c>
      <c r="I507" s="9" t="str">
        <f>IFERROR(INDEX('Price List Library'!$P$6:$P$437,MATCH(TRIM($G507)&amp;"|"&amp;TRIM($H507),'Price List Library'!$S$6:$S$437,0)),"")</f>
        <v>Benchmark</v>
      </c>
      <c r="J507" s="20">
        <f>IFERROR(INDEX('Price List Library'!$O$6:$O$437,MATCH(TRIM($G507)&amp;"|"&amp;TRIM($H507),'Price List Library'!$S$6:$S$437,0)),0)</f>
        <v>105.60000000000001</v>
      </c>
      <c r="K507" s="13" t="s">
        <v>2000</v>
      </c>
    </row>
    <row r="508" spans="1:11" ht="15" customHeight="1" x14ac:dyDescent="0.25">
      <c r="A508" s="9">
        <v>503</v>
      </c>
      <c r="B508" s="14" t="s">
        <v>348</v>
      </c>
      <c r="C508" s="15" t="s">
        <v>534</v>
      </c>
      <c r="D508" s="12" t="s">
        <v>535</v>
      </c>
      <c r="E508" s="12" t="s">
        <v>549</v>
      </c>
      <c r="F508" s="12" t="s">
        <v>556</v>
      </c>
      <c r="G508" s="12" t="s">
        <v>557</v>
      </c>
      <c r="H508" s="9" t="s">
        <v>61</v>
      </c>
      <c r="I508" s="9" t="str">
        <f>IFERROR(INDEX('Price List Library'!$P$6:$P$437,MATCH(TRIM($G508)&amp;"|"&amp;TRIM($H508),'Price List Library'!$S$6:$S$437,0)),"")</f>
        <v>Benchmark</v>
      </c>
      <c r="J508" s="20">
        <f>IFERROR(INDEX('Price List Library'!$O$6:$O$437,MATCH(TRIM($G508)&amp;"|"&amp;TRIM($H508),'Price List Library'!$S$6:$S$437,0)),0)</f>
        <v>34.24</v>
      </c>
      <c r="K508" s="13" t="s">
        <v>2001</v>
      </c>
    </row>
    <row r="509" spans="1:11" ht="15" customHeight="1" x14ac:dyDescent="0.25">
      <c r="A509" s="9">
        <v>504</v>
      </c>
      <c r="B509" s="14" t="s">
        <v>348</v>
      </c>
      <c r="C509" s="15" t="s">
        <v>559</v>
      </c>
      <c r="D509" s="12" t="s">
        <v>560</v>
      </c>
      <c r="E509" s="12" t="s">
        <v>561</v>
      </c>
      <c r="F509" s="12" t="s">
        <v>562</v>
      </c>
      <c r="G509" s="12" t="s">
        <v>563</v>
      </c>
      <c r="H509" s="9" t="s">
        <v>18</v>
      </c>
      <c r="I509" s="9" t="str">
        <f>IFERROR(INDEX('Price List Library'!$P$6:$P$437,MATCH(TRIM($G509)&amp;"|"&amp;TRIM($H509),'Price List Library'!$S$6:$S$437,0)),"")</f>
        <v>Benchmark</v>
      </c>
      <c r="J509" s="20">
        <f>IFERROR(INDEX('Price List Library'!$O$6:$O$437,MATCH(TRIM($G509)&amp;"|"&amp;TRIM($H509),'Price List Library'!$S$6:$S$437,0)),0)</f>
        <v>14.84</v>
      </c>
      <c r="K509" s="13" t="s">
        <v>2002</v>
      </c>
    </row>
    <row r="510" spans="1:11" ht="15" customHeight="1" x14ac:dyDescent="0.25">
      <c r="A510" s="9">
        <v>505</v>
      </c>
      <c r="B510" s="14" t="s">
        <v>348</v>
      </c>
      <c r="C510" s="15" t="s">
        <v>559</v>
      </c>
      <c r="D510" s="12" t="s">
        <v>560</v>
      </c>
      <c r="E510" s="12" t="s">
        <v>561</v>
      </c>
      <c r="F510" s="12" t="s">
        <v>565</v>
      </c>
      <c r="G510" s="12" t="s">
        <v>566</v>
      </c>
      <c r="H510" s="9" t="s">
        <v>18</v>
      </c>
      <c r="I510" s="9" t="str">
        <f>IFERROR(INDEX('Price List Library'!$P$6:$P$437,MATCH(TRIM($G510)&amp;"|"&amp;TRIM($H510),'Price List Library'!$S$6:$S$437,0)),"")</f>
        <v>Benchmark</v>
      </c>
      <c r="J510" s="20">
        <f>IFERROR(INDEX('Price List Library'!$O$6:$O$437,MATCH(TRIM($G510)&amp;"|"&amp;TRIM($H510),'Price List Library'!$S$6:$S$437,0)),0)</f>
        <v>21.76</v>
      </c>
      <c r="K510" s="13" t="s">
        <v>2003</v>
      </c>
    </row>
    <row r="511" spans="1:11" ht="15" customHeight="1" x14ac:dyDescent="0.25">
      <c r="A511" s="9">
        <v>506</v>
      </c>
      <c r="B511" s="14" t="s">
        <v>348</v>
      </c>
      <c r="C511" s="15" t="s">
        <v>559</v>
      </c>
      <c r="D511" s="12" t="s">
        <v>560</v>
      </c>
      <c r="E511" s="12" t="s">
        <v>561</v>
      </c>
      <c r="F511" s="12" t="s">
        <v>568</v>
      </c>
      <c r="G511" s="12" t="s">
        <v>569</v>
      </c>
      <c r="H511" s="9" t="s">
        <v>18</v>
      </c>
      <c r="I511" s="9" t="str">
        <f>IFERROR(INDEX('Price List Library'!$P$6:$P$437,MATCH(TRIM($G511)&amp;"|"&amp;TRIM($H511),'Price List Library'!$S$6:$S$437,0)),"")</f>
        <v>Benchmark</v>
      </c>
      <c r="J511" s="20">
        <f>IFERROR(INDEX('Price List Library'!$O$6:$O$437,MATCH(TRIM($G511)&amp;"|"&amp;TRIM($H511),'Price List Library'!$S$6:$S$437,0)),0)</f>
        <v>23.840000000000003</v>
      </c>
      <c r="K511" s="13" t="s">
        <v>2004</v>
      </c>
    </row>
    <row r="512" spans="1:11" ht="15" customHeight="1" x14ac:dyDescent="0.25">
      <c r="A512" s="9">
        <v>507</v>
      </c>
      <c r="B512" s="14" t="s">
        <v>348</v>
      </c>
      <c r="C512" s="15" t="s">
        <v>559</v>
      </c>
      <c r="D512" s="12" t="s">
        <v>560</v>
      </c>
      <c r="E512" s="12" t="s">
        <v>561</v>
      </c>
      <c r="F512" s="12" t="s">
        <v>571</v>
      </c>
      <c r="G512" s="12" t="s">
        <v>572</v>
      </c>
      <c r="H512" s="9" t="s">
        <v>61</v>
      </c>
      <c r="I512" s="9" t="str">
        <f>IFERROR(INDEX('Price List Library'!$P$6:$P$437,MATCH(TRIM($G512)&amp;"|"&amp;TRIM($H512),'Price List Library'!$S$6:$S$437,0)),"")</f>
        <v>Benchmark</v>
      </c>
      <c r="J512" s="20">
        <f>IFERROR(INDEX('Price List Library'!$O$6:$O$437,MATCH(TRIM($G512)&amp;"|"&amp;TRIM($H512),'Price List Library'!$S$6:$S$437,0)),0)</f>
        <v>10.280000000000001</v>
      </c>
      <c r="K512" s="13" t="s">
        <v>2005</v>
      </c>
    </row>
    <row r="513" spans="1:11" ht="15" customHeight="1" x14ac:dyDescent="0.25">
      <c r="A513" s="9">
        <v>508</v>
      </c>
      <c r="B513" s="14" t="s">
        <v>348</v>
      </c>
      <c r="C513" s="15" t="s">
        <v>559</v>
      </c>
      <c r="D513" s="12" t="s">
        <v>560</v>
      </c>
      <c r="E513" s="12" t="s">
        <v>574</v>
      </c>
      <c r="F513" s="12" t="s">
        <v>575</v>
      </c>
      <c r="G513" s="12" t="s">
        <v>576</v>
      </c>
      <c r="H513" s="9" t="s">
        <v>18</v>
      </c>
      <c r="I513" s="9" t="str">
        <f>IFERROR(INDEX('Price List Library'!$P$6:$P$437,MATCH(TRIM($G513)&amp;"|"&amp;TRIM($H513),'Price List Library'!$S$6:$S$437,0)),"")</f>
        <v>Benchmark</v>
      </c>
      <c r="J513" s="20">
        <f>IFERROR(INDEX('Price List Library'!$O$6:$O$437,MATCH(TRIM($G513)&amp;"|"&amp;TRIM($H513),'Price List Library'!$S$6:$S$437,0)),0)</f>
        <v>14.84</v>
      </c>
      <c r="K513" s="13" t="s">
        <v>2006</v>
      </c>
    </row>
    <row r="514" spans="1:11" ht="15" customHeight="1" x14ac:dyDescent="0.25">
      <c r="A514" s="9">
        <v>509</v>
      </c>
      <c r="B514" s="14" t="s">
        <v>348</v>
      </c>
      <c r="C514" s="15" t="s">
        <v>559</v>
      </c>
      <c r="D514" s="12" t="s">
        <v>560</v>
      </c>
      <c r="E514" s="12" t="s">
        <v>574</v>
      </c>
      <c r="F514" s="12" t="s">
        <v>578</v>
      </c>
      <c r="G514" s="12" t="s">
        <v>579</v>
      </c>
      <c r="H514" s="9" t="s">
        <v>18</v>
      </c>
      <c r="I514" s="9" t="str">
        <f>IFERROR(INDEX('Price List Library'!$P$6:$P$437,MATCH(TRIM($G514)&amp;"|"&amp;TRIM($H514),'Price List Library'!$S$6:$S$437,0)),"")</f>
        <v>Benchmark</v>
      </c>
      <c r="J514" s="20">
        <f>IFERROR(INDEX('Price List Library'!$O$6:$O$437,MATCH(TRIM($G514)&amp;"|"&amp;TRIM($H514),'Price List Library'!$S$6:$S$437,0)),0)</f>
        <v>8.32</v>
      </c>
      <c r="K514" s="13" t="s">
        <v>2007</v>
      </c>
    </row>
    <row r="515" spans="1:11" ht="15" customHeight="1" x14ac:dyDescent="0.25">
      <c r="A515" s="9">
        <v>510</v>
      </c>
      <c r="B515" s="14" t="s">
        <v>348</v>
      </c>
      <c r="C515" s="15" t="s">
        <v>559</v>
      </c>
      <c r="D515" s="12" t="s">
        <v>560</v>
      </c>
      <c r="E515" s="12" t="s">
        <v>574</v>
      </c>
      <c r="F515" s="12" t="s">
        <v>581</v>
      </c>
      <c r="G515" s="12" t="s">
        <v>582</v>
      </c>
      <c r="H515" s="9" t="s">
        <v>18</v>
      </c>
      <c r="I515" s="9" t="str">
        <f>IFERROR(INDEX('Price List Library'!$P$6:$P$437,MATCH(TRIM($G515)&amp;"|"&amp;TRIM($H515),'Price List Library'!$S$6:$S$437,0)),"")</f>
        <v>Benchmark</v>
      </c>
      <c r="J515" s="20">
        <f>IFERROR(INDEX('Price List Library'!$O$6:$O$437,MATCH(TRIM($G515)&amp;"|"&amp;TRIM($H515),'Price List Library'!$S$6:$S$437,0)),0)</f>
        <v>2.2880000000000003</v>
      </c>
      <c r="K515" s="13" t="s">
        <v>2008</v>
      </c>
    </row>
    <row r="516" spans="1:11" ht="15" customHeight="1" x14ac:dyDescent="0.25">
      <c r="A516" s="9">
        <v>511</v>
      </c>
      <c r="B516" s="14" t="s">
        <v>348</v>
      </c>
      <c r="C516" s="15" t="s">
        <v>559</v>
      </c>
      <c r="D516" s="12" t="s">
        <v>560</v>
      </c>
      <c r="E516" s="12" t="s">
        <v>574</v>
      </c>
      <c r="F516" s="12" t="s">
        <v>523</v>
      </c>
      <c r="G516" s="12" t="s">
        <v>524</v>
      </c>
      <c r="H516" s="9" t="s">
        <v>18</v>
      </c>
      <c r="I516" s="9" t="str">
        <f>IFERROR(INDEX('Price List Library'!$P$6:$P$437,MATCH(TRIM($G516)&amp;"|"&amp;TRIM($H516),'Price List Library'!$S$6:$S$437,0)),"")</f>
        <v>Benchmark</v>
      </c>
      <c r="J516" s="20">
        <f>IFERROR(INDEX('Price List Library'!$O$6:$O$437,MATCH(TRIM($G516)&amp;"|"&amp;TRIM($H516),'Price List Library'!$S$6:$S$437,0)),0)</f>
        <v>6.48</v>
      </c>
      <c r="K516" s="13" t="s">
        <v>2009</v>
      </c>
    </row>
    <row r="517" spans="1:11" ht="15" customHeight="1" x14ac:dyDescent="0.25">
      <c r="A517" s="9">
        <v>512</v>
      </c>
      <c r="B517" s="14" t="s">
        <v>348</v>
      </c>
      <c r="C517" s="15" t="s">
        <v>559</v>
      </c>
      <c r="D517" s="12" t="s">
        <v>560</v>
      </c>
      <c r="E517" s="12" t="s">
        <v>585</v>
      </c>
      <c r="F517" s="12" t="s">
        <v>586</v>
      </c>
      <c r="G517" s="12" t="s">
        <v>587</v>
      </c>
      <c r="H517" s="9" t="s">
        <v>61</v>
      </c>
      <c r="I517" s="9" t="str">
        <f>IFERROR(INDEX('Price List Library'!$P$6:$P$437,MATCH(TRIM($G517)&amp;"|"&amp;TRIM($H517),'Price List Library'!$S$6:$S$437,0)),"")</f>
        <v>Benchmark</v>
      </c>
      <c r="J517" s="20">
        <f>IFERROR(INDEX('Price List Library'!$O$6:$O$437,MATCH(TRIM($G517)&amp;"|"&amp;TRIM($H517),'Price List Library'!$S$6:$S$437,0)),0)</f>
        <v>17.72</v>
      </c>
      <c r="K517" s="13" t="s">
        <v>2010</v>
      </c>
    </row>
    <row r="518" spans="1:11" ht="15" customHeight="1" x14ac:dyDescent="0.25">
      <c r="A518" s="9">
        <v>513</v>
      </c>
      <c r="B518" s="14" t="s">
        <v>348</v>
      </c>
      <c r="C518" s="15" t="s">
        <v>559</v>
      </c>
      <c r="D518" s="12" t="s">
        <v>560</v>
      </c>
      <c r="E518" s="12" t="s">
        <v>585</v>
      </c>
      <c r="F518" s="12" t="s">
        <v>589</v>
      </c>
      <c r="G518" s="12" t="s">
        <v>590</v>
      </c>
      <c r="H518" s="9" t="s">
        <v>61</v>
      </c>
      <c r="I518" s="9" t="str">
        <f>IFERROR(INDEX('Price List Library'!$P$6:$P$437,MATCH(TRIM($G518)&amp;"|"&amp;TRIM($H518),'Price List Library'!$S$6:$S$437,0)),"")</f>
        <v>Benchmark</v>
      </c>
      <c r="J518" s="20">
        <f>IFERROR(INDEX('Price List Library'!$O$6:$O$437,MATCH(TRIM($G518)&amp;"|"&amp;TRIM($H518),'Price List Library'!$S$6:$S$437,0)),0)</f>
        <v>10.88</v>
      </c>
      <c r="K518" s="13" t="s">
        <v>2011</v>
      </c>
    </row>
    <row r="519" spans="1:11" ht="15" customHeight="1" x14ac:dyDescent="0.25">
      <c r="A519" s="9">
        <v>514</v>
      </c>
      <c r="B519" s="14" t="s">
        <v>348</v>
      </c>
      <c r="C519" s="15" t="s">
        <v>559</v>
      </c>
      <c r="D519" s="12" t="s">
        <v>560</v>
      </c>
      <c r="E519" s="12" t="s">
        <v>585</v>
      </c>
      <c r="F519" s="12" t="s">
        <v>592</v>
      </c>
      <c r="G519" s="12" t="s">
        <v>593</v>
      </c>
      <c r="H519" s="9" t="s">
        <v>57</v>
      </c>
      <c r="I519" s="9" t="str">
        <f>IFERROR(INDEX('Price List Library'!$P$6:$P$437,MATCH(TRIM($G519)&amp;"|"&amp;TRIM($H519),'Price List Library'!$S$6:$S$437,0)),"")</f>
        <v>Benchmark</v>
      </c>
      <c r="J519" s="20">
        <f>IFERROR(INDEX('Price List Library'!$O$6:$O$437,MATCH(TRIM($G519)&amp;"|"&amp;TRIM($H519),'Price List Library'!$S$6:$S$437,0)),0)</f>
        <v>27.360000000000003</v>
      </c>
      <c r="K519" s="13" t="s">
        <v>2012</v>
      </c>
    </row>
    <row r="520" spans="1:11" ht="15" customHeight="1" x14ac:dyDescent="0.25">
      <c r="A520" s="9">
        <v>515</v>
      </c>
      <c r="B520" s="14" t="s">
        <v>348</v>
      </c>
      <c r="C520" s="15" t="s">
        <v>559</v>
      </c>
      <c r="D520" s="12" t="s">
        <v>560</v>
      </c>
      <c r="E520" s="12" t="s">
        <v>585</v>
      </c>
      <c r="F520" s="12" t="s">
        <v>334</v>
      </c>
      <c r="G520" s="12" t="s">
        <v>335</v>
      </c>
      <c r="H520" s="9" t="s">
        <v>61</v>
      </c>
      <c r="I520" s="9" t="str">
        <f>IFERROR(INDEX('Price List Library'!$P$6:$P$437,MATCH(TRIM($G520)&amp;"|"&amp;TRIM($H520),'Price List Library'!$S$6:$S$437,0)),"")</f>
        <v>Priced</v>
      </c>
      <c r="J520" s="20">
        <f>IFERROR(INDEX('Price List Library'!$O$6:$O$437,MATCH(TRIM($G520)&amp;"|"&amp;TRIM($H520),'Price List Library'!$S$6:$S$437,0)),0)</f>
        <v>4</v>
      </c>
      <c r="K520" s="13" t="s">
        <v>2013</v>
      </c>
    </row>
    <row r="521" spans="1:11" ht="15" customHeight="1" x14ac:dyDescent="0.25">
      <c r="A521" s="9">
        <v>516</v>
      </c>
      <c r="B521" s="14" t="s">
        <v>348</v>
      </c>
      <c r="C521" s="15" t="s">
        <v>559</v>
      </c>
      <c r="D521" s="12" t="s">
        <v>560</v>
      </c>
      <c r="E521" s="12" t="s">
        <v>596</v>
      </c>
      <c r="F521" s="12" t="s">
        <v>597</v>
      </c>
      <c r="G521" s="12" t="s">
        <v>598</v>
      </c>
      <c r="H521" s="9" t="s">
        <v>18</v>
      </c>
      <c r="I521" s="9" t="str">
        <f>IFERROR(INDEX('Price List Library'!$P$6:$P$437,MATCH(TRIM($G521)&amp;"|"&amp;TRIM($H521),'Price List Library'!$S$6:$S$437,0)),"")</f>
        <v>Benchmark</v>
      </c>
      <c r="J521" s="20">
        <f>IFERROR(INDEX('Price List Library'!$O$6:$O$437,MATCH(TRIM($G521)&amp;"|"&amp;TRIM($H521),'Price List Library'!$S$6:$S$437,0)),0)</f>
        <v>144.80000000000001</v>
      </c>
      <c r="K521" s="13" t="s">
        <v>2014</v>
      </c>
    </row>
    <row r="522" spans="1:11" ht="15" customHeight="1" x14ac:dyDescent="0.25">
      <c r="A522" s="9">
        <v>517</v>
      </c>
      <c r="B522" s="14" t="s">
        <v>348</v>
      </c>
      <c r="C522" s="15" t="s">
        <v>559</v>
      </c>
      <c r="D522" s="12" t="s">
        <v>560</v>
      </c>
      <c r="E522" s="12" t="s">
        <v>596</v>
      </c>
      <c r="F522" s="12" t="s">
        <v>600</v>
      </c>
      <c r="G522" s="12" t="s">
        <v>601</v>
      </c>
      <c r="H522" s="9" t="s">
        <v>57</v>
      </c>
      <c r="I522" s="9" t="str">
        <f>IFERROR(INDEX('Price List Library'!$P$6:$P$437,MATCH(TRIM($G522)&amp;"|"&amp;TRIM($H522),'Price List Library'!$S$6:$S$437,0)),"")</f>
        <v>Benchmark</v>
      </c>
      <c r="J522" s="20">
        <f>IFERROR(INDEX('Price List Library'!$O$6:$O$437,MATCH(TRIM($G522)&amp;"|"&amp;TRIM($H522),'Price List Library'!$S$6:$S$437,0)),0)</f>
        <v>231.60000000000002</v>
      </c>
      <c r="K522" s="13" t="s">
        <v>2015</v>
      </c>
    </row>
    <row r="523" spans="1:11" ht="15" customHeight="1" x14ac:dyDescent="0.25">
      <c r="A523" s="9">
        <v>518</v>
      </c>
      <c r="B523" s="14" t="s">
        <v>348</v>
      </c>
      <c r="C523" s="15" t="s">
        <v>559</v>
      </c>
      <c r="D523" s="12" t="s">
        <v>560</v>
      </c>
      <c r="E523" s="12" t="s">
        <v>596</v>
      </c>
      <c r="F523" s="12" t="s">
        <v>603</v>
      </c>
      <c r="G523" s="12" t="s">
        <v>604</v>
      </c>
      <c r="H523" s="9" t="s">
        <v>57</v>
      </c>
      <c r="I523" s="9" t="str">
        <f>IFERROR(INDEX('Price List Library'!$P$6:$P$437,MATCH(TRIM($G523)&amp;"|"&amp;TRIM($H523),'Price List Library'!$S$6:$S$437,0)),"")</f>
        <v>Benchmark</v>
      </c>
      <c r="J523" s="20">
        <f>IFERROR(INDEX('Price List Library'!$O$6:$O$437,MATCH(TRIM($G523)&amp;"|"&amp;TRIM($H523),'Price List Library'!$S$6:$S$437,0)),0)</f>
        <v>227.60000000000002</v>
      </c>
      <c r="K523" s="13" t="s">
        <v>2016</v>
      </c>
    </row>
    <row r="524" spans="1:11" ht="15" customHeight="1" x14ac:dyDescent="0.25">
      <c r="A524" s="9">
        <v>519</v>
      </c>
      <c r="B524" s="14" t="s">
        <v>348</v>
      </c>
      <c r="C524" s="15" t="s">
        <v>559</v>
      </c>
      <c r="D524" s="12" t="s">
        <v>560</v>
      </c>
      <c r="E524" s="12" t="s">
        <v>596</v>
      </c>
      <c r="F524" s="12" t="s">
        <v>606</v>
      </c>
      <c r="G524" s="12" t="s">
        <v>607</v>
      </c>
      <c r="H524" s="9" t="s">
        <v>57</v>
      </c>
      <c r="I524" s="9" t="str">
        <f>IFERROR(INDEX('Price List Library'!$P$6:$P$437,MATCH(TRIM($G524)&amp;"|"&amp;TRIM($H524),'Price List Library'!$S$6:$S$437,0)),"")</f>
        <v>Benchmark</v>
      </c>
      <c r="J524" s="20">
        <f>IFERROR(INDEX('Price List Library'!$O$6:$O$437,MATCH(TRIM($G524)&amp;"|"&amp;TRIM($H524),'Price List Library'!$S$6:$S$437,0)),0)</f>
        <v>53.6</v>
      </c>
      <c r="K524" s="13" t="s">
        <v>2017</v>
      </c>
    </row>
    <row r="525" spans="1:11" ht="15" customHeight="1" x14ac:dyDescent="0.25">
      <c r="A525" s="9">
        <v>520</v>
      </c>
      <c r="B525" s="14" t="s">
        <v>348</v>
      </c>
      <c r="C525" s="15" t="s">
        <v>609</v>
      </c>
      <c r="D525" s="12" t="s">
        <v>610</v>
      </c>
      <c r="E525" s="12" t="s">
        <v>351</v>
      </c>
      <c r="F525" s="12" t="s">
        <v>352</v>
      </c>
      <c r="G525" s="12" t="s">
        <v>611</v>
      </c>
      <c r="H525" s="9" t="s">
        <v>18</v>
      </c>
      <c r="I525" s="9" t="str">
        <f>IFERROR(INDEX('Price List Library'!$P$6:$P$437,MATCH(TRIM($G525)&amp;"|"&amp;TRIM($H525),'Price List Library'!$S$6:$S$437,0)),"")</f>
        <v>Priced</v>
      </c>
      <c r="J525" s="20">
        <f>IFERROR(INDEX('Price List Library'!$O$6:$O$437,MATCH(TRIM($G525)&amp;"|"&amp;TRIM($H525),'Price List Library'!$S$6:$S$437,0)),0)</f>
        <v>10.32</v>
      </c>
      <c r="K525" s="13" t="s">
        <v>2018</v>
      </c>
    </row>
    <row r="526" spans="1:11" ht="15" customHeight="1" x14ac:dyDescent="0.25">
      <c r="A526" s="9">
        <v>521</v>
      </c>
      <c r="B526" s="14" t="s">
        <v>348</v>
      </c>
      <c r="C526" s="15" t="s">
        <v>609</v>
      </c>
      <c r="D526" s="12" t="s">
        <v>610</v>
      </c>
      <c r="E526" s="12" t="s">
        <v>351</v>
      </c>
      <c r="F526" s="12" t="s">
        <v>355</v>
      </c>
      <c r="G526" s="12" t="s">
        <v>613</v>
      </c>
      <c r="H526" s="9" t="s">
        <v>18</v>
      </c>
      <c r="I526" s="9" t="str">
        <f>IFERROR(INDEX('Price List Library'!$P$6:$P$437,MATCH(TRIM($G526)&amp;"|"&amp;TRIM($H526),'Price List Library'!$S$6:$S$437,0)),"")</f>
        <v>Benchmark</v>
      </c>
      <c r="J526" s="20">
        <f>IFERROR(INDEX('Price List Library'!$O$6:$O$437,MATCH(TRIM($G526)&amp;"|"&amp;TRIM($H526),'Price List Library'!$S$6:$S$437,0)),0)</f>
        <v>17.72</v>
      </c>
      <c r="K526" s="13" t="s">
        <v>2019</v>
      </c>
    </row>
    <row r="527" spans="1:11" ht="15" customHeight="1" x14ac:dyDescent="0.25">
      <c r="A527" s="9">
        <v>522</v>
      </c>
      <c r="B527" s="14" t="s">
        <v>348</v>
      </c>
      <c r="C527" s="15" t="s">
        <v>609</v>
      </c>
      <c r="D527" s="12" t="s">
        <v>610</v>
      </c>
      <c r="E527" s="12" t="s">
        <v>615</v>
      </c>
      <c r="F527" s="12" t="s">
        <v>616</v>
      </c>
      <c r="G527" s="12" t="s">
        <v>617</v>
      </c>
      <c r="H527" s="9" t="s">
        <v>18</v>
      </c>
      <c r="I527" s="9" t="str">
        <f>IFERROR(INDEX('Price List Library'!$P$6:$P$437,MATCH(TRIM($G527)&amp;"|"&amp;TRIM($H527),'Price List Library'!$S$6:$S$437,0)),"")</f>
        <v>Benchmark</v>
      </c>
      <c r="J527" s="20">
        <f>IFERROR(INDEX('Price List Library'!$O$6:$O$437,MATCH(TRIM($G527)&amp;"|"&amp;TRIM($H527),'Price List Library'!$S$6:$S$437,0)),0)</f>
        <v>26.32</v>
      </c>
      <c r="K527" s="13" t="s">
        <v>2020</v>
      </c>
    </row>
    <row r="528" spans="1:11" ht="15" customHeight="1" x14ac:dyDescent="0.25">
      <c r="A528" s="9">
        <v>523</v>
      </c>
      <c r="B528" s="14" t="s">
        <v>348</v>
      </c>
      <c r="C528" s="15" t="s">
        <v>609</v>
      </c>
      <c r="D528" s="12" t="s">
        <v>610</v>
      </c>
      <c r="E528" s="12" t="s">
        <v>615</v>
      </c>
      <c r="F528" s="12" t="s">
        <v>619</v>
      </c>
      <c r="G528" s="12" t="s">
        <v>620</v>
      </c>
      <c r="H528" s="9" t="s">
        <v>18</v>
      </c>
      <c r="I528" s="9" t="str">
        <f>IFERROR(INDEX('Price List Library'!$P$6:$P$437,MATCH(TRIM($G528)&amp;"|"&amp;TRIM($H528),'Price List Library'!$S$6:$S$437,0)),"")</f>
        <v>Benchmark</v>
      </c>
      <c r="J528" s="20">
        <f>IFERROR(INDEX('Price List Library'!$O$6:$O$437,MATCH(TRIM($G528)&amp;"|"&amp;TRIM($H528),'Price List Library'!$S$6:$S$437,0)),0)</f>
        <v>29.160000000000004</v>
      </c>
      <c r="K528" s="13" t="s">
        <v>2021</v>
      </c>
    </row>
    <row r="529" spans="1:11" ht="15" customHeight="1" x14ac:dyDescent="0.25">
      <c r="A529" s="9">
        <v>524</v>
      </c>
      <c r="B529" s="14" t="s">
        <v>348</v>
      </c>
      <c r="C529" s="15" t="s">
        <v>609</v>
      </c>
      <c r="D529" s="12" t="s">
        <v>610</v>
      </c>
      <c r="E529" s="12" t="s">
        <v>615</v>
      </c>
      <c r="F529" s="12" t="s">
        <v>622</v>
      </c>
      <c r="G529" s="12" t="s">
        <v>623</v>
      </c>
      <c r="H529" s="9" t="s">
        <v>18</v>
      </c>
      <c r="I529" s="9" t="str">
        <f>IFERROR(INDEX('Price List Library'!$P$6:$P$437,MATCH(TRIM($G529)&amp;"|"&amp;TRIM($H529),'Price List Library'!$S$6:$S$437,0)),"")</f>
        <v>Benchmark</v>
      </c>
      <c r="J529" s="20">
        <f>IFERROR(INDEX('Price List Library'!$O$6:$O$437,MATCH(TRIM($G529)&amp;"|"&amp;TRIM($H529),'Price List Library'!$S$6:$S$437,0)),0)</f>
        <v>11.440000000000001</v>
      </c>
      <c r="K529" s="13" t="s">
        <v>2022</v>
      </c>
    </row>
    <row r="530" spans="1:11" ht="15" customHeight="1" x14ac:dyDescent="0.25">
      <c r="A530" s="9">
        <v>525</v>
      </c>
      <c r="B530" s="14" t="s">
        <v>348</v>
      </c>
      <c r="C530" s="15" t="s">
        <v>609</v>
      </c>
      <c r="D530" s="12" t="s">
        <v>610</v>
      </c>
      <c r="E530" s="12" t="s">
        <v>615</v>
      </c>
      <c r="F530" s="12" t="s">
        <v>625</v>
      </c>
      <c r="G530" s="12" t="s">
        <v>626</v>
      </c>
      <c r="H530" s="9" t="s">
        <v>18</v>
      </c>
      <c r="I530" s="9" t="str">
        <f>IFERROR(INDEX('Price List Library'!$P$6:$P$437,MATCH(TRIM($G530)&amp;"|"&amp;TRIM($H530),'Price List Library'!$S$6:$S$437,0)),"")</f>
        <v>Benchmark</v>
      </c>
      <c r="J530" s="20">
        <f>IFERROR(INDEX('Price List Library'!$O$6:$O$437,MATCH(TRIM($G530)&amp;"|"&amp;TRIM($H530),'Price List Library'!$S$6:$S$437,0)),0)</f>
        <v>6.8400000000000007</v>
      </c>
      <c r="K530" s="13" t="s">
        <v>2023</v>
      </c>
    </row>
    <row r="531" spans="1:11" ht="15" customHeight="1" x14ac:dyDescent="0.25">
      <c r="A531" s="9">
        <v>526</v>
      </c>
      <c r="B531" s="14" t="s">
        <v>348</v>
      </c>
      <c r="C531" s="15" t="s">
        <v>609</v>
      </c>
      <c r="D531" s="12" t="s">
        <v>610</v>
      </c>
      <c r="E531" s="12" t="s">
        <v>628</v>
      </c>
      <c r="F531" s="12" t="s">
        <v>629</v>
      </c>
      <c r="G531" s="12" t="s">
        <v>630</v>
      </c>
      <c r="H531" s="9" t="s">
        <v>18</v>
      </c>
      <c r="I531" s="9" t="str">
        <f>IFERROR(INDEX('Price List Library'!$P$6:$P$437,MATCH(TRIM($G531)&amp;"|"&amp;TRIM($H531),'Price List Library'!$S$6:$S$437,0)),"")</f>
        <v>Benchmark</v>
      </c>
      <c r="J531" s="20">
        <f>IFERROR(INDEX('Price List Library'!$O$6:$O$437,MATCH(TRIM($G531)&amp;"|"&amp;TRIM($H531),'Price List Library'!$S$6:$S$437,0)),0)</f>
        <v>104.16000000000001</v>
      </c>
      <c r="K531" s="13" t="s">
        <v>2024</v>
      </c>
    </row>
    <row r="532" spans="1:11" ht="15" customHeight="1" x14ac:dyDescent="0.25">
      <c r="A532" s="9">
        <v>527</v>
      </c>
      <c r="B532" s="14" t="s">
        <v>348</v>
      </c>
      <c r="C532" s="15" t="s">
        <v>609</v>
      </c>
      <c r="D532" s="12" t="s">
        <v>610</v>
      </c>
      <c r="E532" s="12" t="s">
        <v>628</v>
      </c>
      <c r="F532" s="12" t="s">
        <v>632</v>
      </c>
      <c r="G532" s="12" t="s">
        <v>633</v>
      </c>
      <c r="H532" s="9" t="s">
        <v>18</v>
      </c>
      <c r="I532" s="9" t="str">
        <f>IFERROR(INDEX('Price List Library'!$P$6:$P$437,MATCH(TRIM($G532)&amp;"|"&amp;TRIM($H532),'Price List Library'!$S$6:$S$437,0)),"")</f>
        <v>Benchmark</v>
      </c>
      <c r="J532" s="20">
        <f>IFERROR(INDEX('Price List Library'!$O$6:$O$437,MATCH(TRIM($G532)&amp;"|"&amp;TRIM($H532),'Price List Library'!$S$6:$S$437,0)),0)</f>
        <v>70.240000000000009</v>
      </c>
      <c r="K532" s="13" t="s">
        <v>2025</v>
      </c>
    </row>
    <row r="533" spans="1:11" ht="15" customHeight="1" x14ac:dyDescent="0.25">
      <c r="A533" s="9">
        <v>528</v>
      </c>
      <c r="B533" s="14" t="s">
        <v>348</v>
      </c>
      <c r="C533" s="15" t="s">
        <v>609</v>
      </c>
      <c r="D533" s="12" t="s">
        <v>610</v>
      </c>
      <c r="E533" s="12" t="s">
        <v>635</v>
      </c>
      <c r="F533" s="12" t="s">
        <v>635</v>
      </c>
      <c r="G533" s="12" t="s">
        <v>636</v>
      </c>
      <c r="H533" s="9" t="s">
        <v>57</v>
      </c>
      <c r="I533" s="9" t="str">
        <f>IFERROR(INDEX('Price List Library'!$P$6:$P$437,MATCH(TRIM($G533)&amp;"|"&amp;TRIM($H533),'Price List Library'!$S$6:$S$437,0)),"")</f>
        <v>Benchmark</v>
      </c>
      <c r="J533" s="20">
        <f>IFERROR(INDEX('Price List Library'!$O$6:$O$437,MATCH(TRIM($G533)&amp;"|"&amp;TRIM($H533),'Price List Library'!$S$6:$S$437,0)),0)</f>
        <v>252.00000000000003</v>
      </c>
      <c r="K533" s="13" t="s">
        <v>2026</v>
      </c>
    </row>
    <row r="534" spans="1:11" ht="15" customHeight="1" x14ac:dyDescent="0.25">
      <c r="A534" s="9">
        <v>529</v>
      </c>
      <c r="B534" s="14" t="s">
        <v>348</v>
      </c>
      <c r="C534" s="15" t="s">
        <v>609</v>
      </c>
      <c r="D534" s="12" t="s">
        <v>610</v>
      </c>
      <c r="E534" s="12" t="s">
        <v>635</v>
      </c>
      <c r="F534" s="12" t="s">
        <v>638</v>
      </c>
      <c r="G534" s="12" t="s">
        <v>639</v>
      </c>
      <c r="H534" s="9" t="s">
        <v>57</v>
      </c>
      <c r="I534" s="9" t="str">
        <f>IFERROR(INDEX('Price List Library'!$P$6:$P$437,MATCH(TRIM($G534)&amp;"|"&amp;TRIM($H534),'Price List Library'!$S$6:$S$437,0)),"")</f>
        <v>Benchmark</v>
      </c>
      <c r="J534" s="20">
        <f>IFERROR(INDEX('Price List Library'!$O$6:$O$437,MATCH(TRIM($G534)&amp;"|"&amp;TRIM($H534),'Price List Library'!$S$6:$S$437,0)),0)</f>
        <v>98.4</v>
      </c>
      <c r="K534" s="13" t="s">
        <v>2027</v>
      </c>
    </row>
    <row r="535" spans="1:11" ht="15" customHeight="1" x14ac:dyDescent="0.25">
      <c r="A535" s="9">
        <v>530</v>
      </c>
      <c r="B535" s="14" t="s">
        <v>348</v>
      </c>
      <c r="C535" s="15" t="s">
        <v>609</v>
      </c>
      <c r="D535" s="12" t="s">
        <v>610</v>
      </c>
      <c r="E535" s="12" t="s">
        <v>550</v>
      </c>
      <c r="F535" s="12" t="s">
        <v>550</v>
      </c>
      <c r="G535" s="12" t="s">
        <v>551</v>
      </c>
      <c r="H535" s="9" t="s">
        <v>61</v>
      </c>
      <c r="I535" s="9" t="str">
        <f>IFERROR(INDEX('Price List Library'!$P$6:$P$437,MATCH(TRIM($G535)&amp;"|"&amp;TRIM($H535),'Price List Library'!$S$6:$S$437,0)),"")</f>
        <v>Priced</v>
      </c>
      <c r="J535" s="20">
        <f>IFERROR(INDEX('Price List Library'!$O$6:$O$437,MATCH(TRIM($G535)&amp;"|"&amp;TRIM($H535),'Price List Library'!$S$6:$S$437,0)),0)</f>
        <v>34.24</v>
      </c>
      <c r="K535" s="13" t="s">
        <v>2028</v>
      </c>
    </row>
    <row r="536" spans="1:11" ht="15" customHeight="1" x14ac:dyDescent="0.25">
      <c r="A536" s="9">
        <v>531</v>
      </c>
      <c r="B536" s="14" t="s">
        <v>348</v>
      </c>
      <c r="C536" s="15" t="s">
        <v>609</v>
      </c>
      <c r="D536" s="12" t="s">
        <v>610</v>
      </c>
      <c r="E536" s="12" t="s">
        <v>550</v>
      </c>
      <c r="F536" s="12" t="s">
        <v>642</v>
      </c>
      <c r="G536" s="12" t="s">
        <v>643</v>
      </c>
      <c r="H536" s="9" t="s">
        <v>61</v>
      </c>
      <c r="I536" s="9" t="str">
        <f>IFERROR(INDEX('Price List Library'!$P$6:$P$437,MATCH(TRIM($G536)&amp;"|"&amp;TRIM($H536),'Price List Library'!$S$6:$S$437,0)),"")</f>
        <v>Priced</v>
      </c>
      <c r="J536" s="20">
        <f>IFERROR(INDEX('Price List Library'!$O$6:$O$437,MATCH(TRIM($G536)&amp;"|"&amp;TRIM($H536),'Price List Library'!$S$6:$S$437,0)),0)</f>
        <v>35.44</v>
      </c>
      <c r="K536" s="13" t="s">
        <v>2029</v>
      </c>
    </row>
    <row r="537" spans="1:11" ht="15" customHeight="1" x14ac:dyDescent="0.25">
      <c r="A537" s="9">
        <v>532</v>
      </c>
      <c r="B537" s="14" t="s">
        <v>348</v>
      </c>
      <c r="C537" s="15" t="s">
        <v>609</v>
      </c>
      <c r="D537" s="12" t="s">
        <v>610</v>
      </c>
      <c r="E537" s="12" t="s">
        <v>550</v>
      </c>
      <c r="F537" s="12" t="s">
        <v>645</v>
      </c>
      <c r="G537" s="12" t="s">
        <v>646</v>
      </c>
      <c r="H537" s="9" t="s">
        <v>61</v>
      </c>
      <c r="I537" s="9" t="str">
        <f>IFERROR(INDEX('Price List Library'!$P$6:$P$437,MATCH(TRIM($G537)&amp;"|"&amp;TRIM($H537),'Price List Library'!$S$6:$S$437,0)),"")</f>
        <v>Benchmark</v>
      </c>
      <c r="J537" s="20">
        <f>IFERROR(INDEX('Price List Library'!$O$6:$O$437,MATCH(TRIM($G537)&amp;"|"&amp;TRIM($H537),'Price List Library'!$S$6:$S$437,0)),0)</f>
        <v>21.68</v>
      </c>
      <c r="K537" s="13" t="s">
        <v>2030</v>
      </c>
    </row>
    <row r="538" spans="1:11" ht="15" customHeight="1" x14ac:dyDescent="0.25">
      <c r="A538" s="9">
        <v>533</v>
      </c>
      <c r="B538" s="14" t="s">
        <v>348</v>
      </c>
      <c r="C538" s="15" t="s">
        <v>648</v>
      </c>
      <c r="D538" s="12" t="s">
        <v>649</v>
      </c>
      <c r="E538" s="12" t="s">
        <v>650</v>
      </c>
      <c r="F538" s="12" t="s">
        <v>650</v>
      </c>
      <c r="G538" s="12" t="s">
        <v>651</v>
      </c>
      <c r="H538" s="9" t="s">
        <v>1882</v>
      </c>
      <c r="I538" s="9" t="str">
        <f>IFERROR(INDEX('Price List Library'!$P$6:$P$437,MATCH(TRIM($G538)&amp;"|"&amp;TRIM($H538),'Price List Library'!$S$6:$S$437,0)),"")</f>
        <v>Priced</v>
      </c>
      <c r="J538" s="20">
        <f>IFERROR(INDEX('Price List Library'!$O$6:$O$437,MATCH(TRIM($G538)&amp;"|"&amp;TRIM($H538),'Price List Library'!$S$6:$S$437,0)),0)</f>
        <v>235.20000000000002</v>
      </c>
      <c r="K538" s="13" t="s">
        <v>2031</v>
      </c>
    </row>
    <row r="539" spans="1:11" ht="15" customHeight="1" x14ac:dyDescent="0.25">
      <c r="A539" s="9">
        <v>534</v>
      </c>
      <c r="B539" s="14" t="s">
        <v>348</v>
      </c>
      <c r="C539" s="15" t="s">
        <v>648</v>
      </c>
      <c r="D539" s="12" t="s">
        <v>649</v>
      </c>
      <c r="E539" s="12" t="s">
        <v>650</v>
      </c>
      <c r="F539" s="12" t="s">
        <v>650</v>
      </c>
      <c r="G539" s="12" t="s">
        <v>2032</v>
      </c>
      <c r="H539" s="9" t="s">
        <v>1882</v>
      </c>
      <c r="I539" s="9" t="str">
        <f>IFERROR(INDEX('Price List Library'!$P$6:$P$437,MATCH(TRIM($G539)&amp;"|"&amp;TRIM($H539),'Price List Library'!$S$6:$S$437,0)),"")</f>
        <v>Priced</v>
      </c>
      <c r="J539" s="20">
        <f>IFERROR(INDEX('Price List Library'!$O$6:$O$437,MATCH(TRIM($G539)&amp;"|"&amp;TRIM($H539),'Price List Library'!$S$6:$S$437,0)),0)</f>
        <v>123.20000000000002</v>
      </c>
      <c r="K539" s="13" t="s">
        <v>2033</v>
      </c>
    </row>
    <row r="540" spans="1:11" ht="15" customHeight="1" x14ac:dyDescent="0.25">
      <c r="A540" s="9">
        <v>535</v>
      </c>
      <c r="B540" s="14" t="s">
        <v>348</v>
      </c>
      <c r="C540" s="15" t="s">
        <v>648</v>
      </c>
      <c r="D540" s="12" t="s">
        <v>649</v>
      </c>
      <c r="E540" s="12" t="s">
        <v>650</v>
      </c>
      <c r="F540" s="12" t="s">
        <v>650</v>
      </c>
      <c r="G540" s="12" t="s">
        <v>2034</v>
      </c>
      <c r="H540" s="9" t="s">
        <v>1882</v>
      </c>
      <c r="I540" s="9" t="str">
        <f>IFERROR(INDEX('Price List Library'!$P$6:$P$437,MATCH(TRIM($G540)&amp;"|"&amp;TRIM($H540),'Price List Library'!$S$6:$S$437,0)),"")</f>
        <v>Priced</v>
      </c>
      <c r="J540" s="20">
        <f>IFERROR(INDEX('Price List Library'!$O$6:$O$437,MATCH(TRIM($G540)&amp;"|"&amp;TRIM($H540),'Price List Library'!$S$6:$S$437,0)),0)</f>
        <v>134.4</v>
      </c>
      <c r="K540" s="13" t="s">
        <v>2035</v>
      </c>
    </row>
    <row r="541" spans="1:11" ht="15" customHeight="1" x14ac:dyDescent="0.25">
      <c r="A541" s="9">
        <v>536</v>
      </c>
      <c r="B541" s="14" t="s">
        <v>348</v>
      </c>
      <c r="C541" s="15" t="s">
        <v>648</v>
      </c>
      <c r="D541" s="12" t="s">
        <v>649</v>
      </c>
      <c r="E541" s="12" t="s">
        <v>650</v>
      </c>
      <c r="F541" s="12" t="s">
        <v>650</v>
      </c>
      <c r="G541" s="12" t="s">
        <v>2036</v>
      </c>
      <c r="H541" s="9" t="s">
        <v>57</v>
      </c>
      <c r="I541" s="9" t="str">
        <f>IFERROR(INDEX('Price List Library'!$P$6:$P$437,MATCH(TRIM($G541)&amp;"|"&amp;TRIM($H541),'Price List Library'!$S$6:$S$437,0)),"")</f>
        <v>Benchmark</v>
      </c>
      <c r="J541" s="20">
        <f>IFERROR(INDEX('Price List Library'!$O$6:$O$437,MATCH(TRIM($G541)&amp;"|"&amp;TRIM($H541),'Price List Library'!$S$6:$S$437,0)),0)</f>
        <v>270.8</v>
      </c>
      <c r="K541" s="13" t="s">
        <v>2037</v>
      </c>
    </row>
    <row r="542" spans="1:11" ht="15" customHeight="1" x14ac:dyDescent="0.25">
      <c r="A542" s="9">
        <v>537</v>
      </c>
      <c r="B542" s="14" t="s">
        <v>348</v>
      </c>
      <c r="C542" s="15" t="s">
        <v>648</v>
      </c>
      <c r="D542" s="12" t="s">
        <v>649</v>
      </c>
      <c r="E542" s="12" t="s">
        <v>650</v>
      </c>
      <c r="F542" s="12" t="s">
        <v>650</v>
      </c>
      <c r="G542" s="12" t="s">
        <v>2038</v>
      </c>
      <c r="H542" s="9" t="s">
        <v>57</v>
      </c>
      <c r="I542" s="9" t="str">
        <f>IFERROR(INDEX('Price List Library'!$P$6:$P$437,MATCH(TRIM($G542)&amp;"|"&amp;TRIM($H542),'Price List Library'!$S$6:$S$437,0)),"")</f>
        <v>Benchmark</v>
      </c>
      <c r="J542" s="20">
        <f>IFERROR(INDEX('Price List Library'!$O$6:$O$437,MATCH(TRIM($G542)&amp;"|"&amp;TRIM($H542),'Price List Library'!$S$6:$S$437,0)),0)</f>
        <v>135.60000000000002</v>
      </c>
      <c r="K542" s="13" t="s">
        <v>2039</v>
      </c>
    </row>
    <row r="543" spans="1:11" ht="15" customHeight="1" x14ac:dyDescent="0.25">
      <c r="A543" s="9">
        <v>538</v>
      </c>
      <c r="B543" s="14" t="s">
        <v>348</v>
      </c>
      <c r="C543" s="15" t="s">
        <v>648</v>
      </c>
      <c r="D543" s="12" t="s">
        <v>649</v>
      </c>
      <c r="E543" s="12" t="s">
        <v>650</v>
      </c>
      <c r="F543" s="12" t="s">
        <v>650</v>
      </c>
      <c r="G543" s="12" t="s">
        <v>2040</v>
      </c>
      <c r="H543" s="9" t="s">
        <v>57</v>
      </c>
      <c r="I543" s="9" t="str">
        <f>IFERROR(INDEX('Price List Library'!$P$6:$P$437,MATCH(TRIM($G543)&amp;"|"&amp;TRIM($H543),'Price List Library'!$S$6:$S$437,0)),"")</f>
        <v>Benchmark</v>
      </c>
      <c r="J543" s="20">
        <f>IFERROR(INDEX('Price List Library'!$O$6:$O$437,MATCH(TRIM($G543)&amp;"|"&amp;TRIM($H543),'Price List Library'!$S$6:$S$437,0)),0)</f>
        <v>143.44</v>
      </c>
      <c r="K543" s="13" t="s">
        <v>2041</v>
      </c>
    </row>
    <row r="544" spans="1:11" ht="15" customHeight="1" x14ac:dyDescent="0.25">
      <c r="A544" s="9">
        <v>539</v>
      </c>
      <c r="B544" s="14" t="s">
        <v>348</v>
      </c>
      <c r="C544" s="15" t="s">
        <v>648</v>
      </c>
      <c r="D544" s="12" t="s">
        <v>649</v>
      </c>
      <c r="E544" s="12" t="s">
        <v>650</v>
      </c>
      <c r="F544" s="12" t="s">
        <v>653</v>
      </c>
      <c r="G544" s="12" t="s">
        <v>654</v>
      </c>
      <c r="H544" s="9" t="s">
        <v>57</v>
      </c>
      <c r="I544" s="9" t="str">
        <f>IFERROR(INDEX('Price List Library'!$P$6:$P$437,MATCH(TRIM($G544)&amp;"|"&amp;TRIM($H544),'Price List Library'!$S$6:$S$437,0)),"")</f>
        <v>Benchmark</v>
      </c>
      <c r="J544" s="20">
        <f>IFERROR(INDEX('Price List Library'!$O$6:$O$437,MATCH(TRIM($G544)&amp;"|"&amp;TRIM($H544),'Price List Library'!$S$6:$S$437,0)),0)</f>
        <v>206.4</v>
      </c>
      <c r="K544" s="13" t="s">
        <v>2042</v>
      </c>
    </row>
    <row r="545" spans="1:11" ht="15" customHeight="1" x14ac:dyDescent="0.25">
      <c r="A545" s="9">
        <v>540</v>
      </c>
      <c r="B545" s="14" t="s">
        <v>348</v>
      </c>
      <c r="C545" s="15" t="s">
        <v>648</v>
      </c>
      <c r="D545" s="12" t="s">
        <v>649</v>
      </c>
      <c r="E545" s="12" t="s">
        <v>656</v>
      </c>
      <c r="F545" s="12" t="s">
        <v>656</v>
      </c>
      <c r="G545" s="12" t="s">
        <v>657</v>
      </c>
      <c r="H545" s="9" t="s">
        <v>1882</v>
      </c>
      <c r="I545" s="9" t="str">
        <f>IFERROR(INDEX('Price List Library'!$P$6:$P$437,MATCH(TRIM($G545)&amp;"|"&amp;TRIM($H545),'Price List Library'!$S$6:$S$437,0)),"")</f>
        <v>Priced</v>
      </c>
      <c r="J545" s="20">
        <f>IFERROR(INDEX('Price List Library'!$O$6:$O$437,MATCH(TRIM($G545)&amp;"|"&amp;TRIM($H545),'Price List Library'!$S$6:$S$437,0)),0)</f>
        <v>44.800000000000004</v>
      </c>
      <c r="K545" s="13" t="s">
        <v>2043</v>
      </c>
    </row>
    <row r="546" spans="1:11" ht="15" customHeight="1" x14ac:dyDescent="0.25">
      <c r="A546" s="9">
        <v>541</v>
      </c>
      <c r="B546" s="14" t="s">
        <v>348</v>
      </c>
      <c r="C546" s="15" t="s">
        <v>648</v>
      </c>
      <c r="D546" s="12" t="s">
        <v>649</v>
      </c>
      <c r="E546" s="12" t="s">
        <v>656</v>
      </c>
      <c r="F546" s="12" t="s">
        <v>656</v>
      </c>
      <c r="G546" s="12" t="s">
        <v>2044</v>
      </c>
      <c r="H546" s="9" t="s">
        <v>1882</v>
      </c>
      <c r="I546" s="9" t="str">
        <f>IFERROR(INDEX('Price List Library'!$P$6:$P$437,MATCH(TRIM($G546)&amp;"|"&amp;TRIM($H546),'Price List Library'!$S$6:$S$437,0)),"")</f>
        <v>Priced</v>
      </c>
      <c r="J546" s="20">
        <f>IFERROR(INDEX('Price List Library'!$O$6:$O$437,MATCH(TRIM($G546)&amp;"|"&amp;TRIM($H546),'Price List Library'!$S$6:$S$437,0)),0)</f>
        <v>50.400000000000006</v>
      </c>
      <c r="K546" s="13" t="s">
        <v>2045</v>
      </c>
    </row>
    <row r="547" spans="1:11" ht="15" customHeight="1" x14ac:dyDescent="0.25">
      <c r="A547" s="9">
        <v>542</v>
      </c>
      <c r="B547" s="14" t="s">
        <v>348</v>
      </c>
      <c r="C547" s="15" t="s">
        <v>648</v>
      </c>
      <c r="D547" s="12" t="s">
        <v>649</v>
      </c>
      <c r="E547" s="12" t="s">
        <v>656</v>
      </c>
      <c r="F547" s="12" t="s">
        <v>656</v>
      </c>
      <c r="G547" s="12" t="s">
        <v>2046</v>
      </c>
      <c r="H547" s="9" t="s">
        <v>1882</v>
      </c>
      <c r="I547" s="9" t="str">
        <f>IFERROR(INDEX('Price List Library'!$P$6:$P$437,MATCH(TRIM($G547)&amp;"|"&amp;TRIM($H547),'Price List Library'!$S$6:$S$437,0)),"")</f>
        <v>Priced</v>
      </c>
      <c r="J547" s="20">
        <f>IFERROR(INDEX('Price List Library'!$O$6:$O$437,MATCH(TRIM($G547)&amp;"|"&amp;TRIM($H547),'Price List Library'!$S$6:$S$437,0)),0)</f>
        <v>56.000000000000007</v>
      </c>
      <c r="K547" s="13" t="s">
        <v>2047</v>
      </c>
    </row>
    <row r="548" spans="1:11" ht="15" customHeight="1" x14ac:dyDescent="0.25">
      <c r="A548" s="9">
        <v>543</v>
      </c>
      <c r="B548" s="14" t="s">
        <v>348</v>
      </c>
      <c r="C548" s="15" t="s">
        <v>648</v>
      </c>
      <c r="D548" s="12" t="s">
        <v>649</v>
      </c>
      <c r="E548" s="12" t="s">
        <v>656</v>
      </c>
      <c r="F548" s="12" t="s">
        <v>656</v>
      </c>
      <c r="G548" s="12" t="s">
        <v>2048</v>
      </c>
      <c r="H548" s="9" t="s">
        <v>57</v>
      </c>
      <c r="I548" s="9" t="str">
        <f>IFERROR(INDEX('Price List Library'!$P$6:$P$437,MATCH(TRIM($G548)&amp;"|"&amp;TRIM($H548),'Price List Library'!$S$6:$S$437,0)),"")</f>
        <v>Benchmark</v>
      </c>
      <c r="J548" s="20">
        <f>IFERROR(INDEX('Price List Library'!$O$6:$O$437,MATCH(TRIM($G548)&amp;"|"&amp;TRIM($H548),'Price List Library'!$S$6:$S$437,0)),0)</f>
        <v>49.920000000000009</v>
      </c>
      <c r="K548" s="13" t="s">
        <v>2049</v>
      </c>
    </row>
    <row r="549" spans="1:11" ht="15" customHeight="1" x14ac:dyDescent="0.25">
      <c r="A549" s="9">
        <v>544</v>
      </c>
      <c r="B549" s="14" t="s">
        <v>348</v>
      </c>
      <c r="C549" s="15" t="s">
        <v>648</v>
      </c>
      <c r="D549" s="12" t="s">
        <v>649</v>
      </c>
      <c r="E549" s="12" t="s">
        <v>656</v>
      </c>
      <c r="F549" s="12" t="s">
        <v>656</v>
      </c>
      <c r="G549" s="12" t="s">
        <v>2050</v>
      </c>
      <c r="H549" s="9" t="s">
        <v>57</v>
      </c>
      <c r="I549" s="9" t="str">
        <f>IFERROR(INDEX('Price List Library'!$P$6:$P$437,MATCH(TRIM($G549)&amp;"|"&amp;TRIM($H549),'Price List Library'!$S$6:$S$437,0)),"")</f>
        <v>Benchmark</v>
      </c>
      <c r="J549" s="20">
        <f>IFERROR(INDEX('Price List Library'!$O$6:$O$437,MATCH(TRIM($G549)&amp;"|"&amp;TRIM($H549),'Price List Library'!$S$6:$S$437,0)),0)</f>
        <v>54.400000000000006</v>
      </c>
      <c r="K549" s="13" t="s">
        <v>2051</v>
      </c>
    </row>
    <row r="550" spans="1:11" ht="15" customHeight="1" x14ac:dyDescent="0.25">
      <c r="A550" s="9">
        <v>545</v>
      </c>
      <c r="B550" s="14" t="s">
        <v>348</v>
      </c>
      <c r="C550" s="15" t="s">
        <v>648</v>
      </c>
      <c r="D550" s="12" t="s">
        <v>649</v>
      </c>
      <c r="E550" s="12" t="s">
        <v>656</v>
      </c>
      <c r="F550" s="12" t="s">
        <v>656</v>
      </c>
      <c r="G550" s="12" t="s">
        <v>2052</v>
      </c>
      <c r="H550" s="9" t="s">
        <v>57</v>
      </c>
      <c r="I550" s="9" t="str">
        <f>IFERROR(INDEX('Price List Library'!$P$6:$P$437,MATCH(TRIM($G550)&amp;"|"&amp;TRIM($H550),'Price List Library'!$S$6:$S$437,0)),"")</f>
        <v>Benchmark</v>
      </c>
      <c r="J550" s="20">
        <f>IFERROR(INDEX('Price List Library'!$O$6:$O$437,MATCH(TRIM($G550)&amp;"|"&amp;TRIM($H550),'Price List Library'!$S$6:$S$437,0)),0)</f>
        <v>60.000000000000007</v>
      </c>
      <c r="K550" s="13" t="s">
        <v>2053</v>
      </c>
    </row>
    <row r="551" spans="1:11" ht="15" customHeight="1" x14ac:dyDescent="0.25">
      <c r="A551" s="9">
        <v>546</v>
      </c>
      <c r="B551" s="14" t="s">
        <v>348</v>
      </c>
      <c r="C551" s="15" t="s">
        <v>648</v>
      </c>
      <c r="D551" s="12" t="s">
        <v>649</v>
      </c>
      <c r="E551" s="12" t="s">
        <v>439</v>
      </c>
      <c r="F551" s="12" t="s">
        <v>439</v>
      </c>
      <c r="G551" s="12" t="s">
        <v>659</v>
      </c>
      <c r="H551" s="9" t="s">
        <v>1882</v>
      </c>
      <c r="I551" s="9" t="str">
        <f>IFERROR(INDEX('Price List Library'!$P$6:$P$437,MATCH(TRIM($G551)&amp;"|"&amp;TRIM($H551),'Price List Library'!$S$6:$S$437,0)),"")</f>
        <v>Priced</v>
      </c>
      <c r="J551" s="20">
        <f>IFERROR(INDEX('Price List Library'!$O$6:$O$437,MATCH(TRIM($G551)&amp;"|"&amp;TRIM($H551),'Price List Library'!$S$6:$S$437,0)),0)</f>
        <v>151.20000000000002</v>
      </c>
      <c r="K551" s="13" t="s">
        <v>2054</v>
      </c>
    </row>
    <row r="552" spans="1:11" ht="15" customHeight="1" x14ac:dyDescent="0.25">
      <c r="A552" s="9">
        <v>547</v>
      </c>
      <c r="B552" s="14" t="s">
        <v>348</v>
      </c>
      <c r="C552" s="15" t="s">
        <v>648</v>
      </c>
      <c r="D552" s="12" t="s">
        <v>649</v>
      </c>
      <c r="E552" s="12" t="s">
        <v>439</v>
      </c>
      <c r="F552" s="12" t="s">
        <v>439</v>
      </c>
      <c r="G552" s="12" t="s">
        <v>440</v>
      </c>
      <c r="H552" s="9" t="s">
        <v>57</v>
      </c>
      <c r="I552" s="9" t="str">
        <f>IFERROR(INDEX('Price List Library'!$P$6:$P$437,MATCH(TRIM($G552)&amp;"|"&amp;TRIM($H552),'Price List Library'!$S$6:$S$437,0)),"")</f>
        <v>Benchmark</v>
      </c>
      <c r="J552" s="20">
        <f>IFERROR(INDEX('Price List Library'!$O$6:$O$437,MATCH(TRIM($G552)&amp;"|"&amp;TRIM($H552),'Price List Library'!$S$6:$S$437,0)),0)</f>
        <v>153.76000000000002</v>
      </c>
      <c r="K552" s="13" t="s">
        <v>2055</v>
      </c>
    </row>
    <row r="553" spans="1:11" ht="15" customHeight="1" x14ac:dyDescent="0.25">
      <c r="A553" s="9">
        <v>548</v>
      </c>
      <c r="B553" s="14" t="s">
        <v>348</v>
      </c>
      <c r="C553" s="15" t="s">
        <v>648</v>
      </c>
      <c r="D553" s="12" t="s">
        <v>649</v>
      </c>
      <c r="E553" s="12" t="s">
        <v>439</v>
      </c>
      <c r="F553" s="12" t="s">
        <v>661</v>
      </c>
      <c r="G553" s="12" t="s">
        <v>662</v>
      </c>
      <c r="H553" s="9" t="s">
        <v>57</v>
      </c>
      <c r="I553" s="9" t="str">
        <f>IFERROR(INDEX('Price List Library'!$P$6:$P$437,MATCH(TRIM($G553)&amp;"|"&amp;TRIM($H553),'Price List Library'!$S$6:$S$437,0)),"")</f>
        <v>Benchmark</v>
      </c>
      <c r="J553" s="20">
        <f>IFERROR(INDEX('Price List Library'!$O$6:$O$437,MATCH(TRIM($G553)&amp;"|"&amp;TRIM($H553),'Price List Library'!$S$6:$S$437,0)),0)</f>
        <v>233.60000000000002</v>
      </c>
      <c r="K553" s="13" t="s">
        <v>2056</v>
      </c>
    </row>
    <row r="554" spans="1:11" ht="15" customHeight="1" x14ac:dyDescent="0.25">
      <c r="A554" s="9">
        <v>549</v>
      </c>
      <c r="B554" s="14" t="s">
        <v>348</v>
      </c>
      <c r="C554" s="15" t="s">
        <v>648</v>
      </c>
      <c r="D554" s="12" t="s">
        <v>649</v>
      </c>
      <c r="E554" s="12" t="s">
        <v>664</v>
      </c>
      <c r="F554" s="12" t="s">
        <v>445</v>
      </c>
      <c r="G554" s="12" t="s">
        <v>446</v>
      </c>
      <c r="H554" s="9" t="s">
        <v>57</v>
      </c>
      <c r="I554" s="9" t="str">
        <f>IFERROR(INDEX('Price List Library'!$P$6:$P$437,MATCH(TRIM($G554)&amp;"|"&amp;TRIM($H554),'Price List Library'!$S$6:$S$437,0)),"")</f>
        <v>Benchmark</v>
      </c>
      <c r="J554" s="20">
        <f>IFERROR(INDEX('Price List Library'!$O$6:$O$437,MATCH(TRIM($G554)&amp;"|"&amp;TRIM($H554),'Price List Library'!$S$6:$S$437,0)),0)</f>
        <v>208.8</v>
      </c>
      <c r="K554" s="13" t="s">
        <v>2057</v>
      </c>
    </row>
    <row r="555" spans="1:11" ht="15" customHeight="1" x14ac:dyDescent="0.25">
      <c r="A555" s="9">
        <v>550</v>
      </c>
      <c r="B555" s="14" t="s">
        <v>348</v>
      </c>
      <c r="C555" s="15" t="s">
        <v>648</v>
      </c>
      <c r="D555" s="12" t="s">
        <v>649</v>
      </c>
      <c r="E555" s="12" t="s">
        <v>664</v>
      </c>
      <c r="F555" s="12" t="s">
        <v>451</v>
      </c>
      <c r="G555" s="12" t="s">
        <v>666</v>
      </c>
      <c r="H555" s="9" t="s">
        <v>57</v>
      </c>
      <c r="I555" s="9" t="str">
        <f>IFERROR(INDEX('Price List Library'!$P$6:$P$437,MATCH(TRIM($G555)&amp;"|"&amp;TRIM($H555),'Price List Library'!$S$6:$S$437,0)),"")</f>
        <v>Benchmark</v>
      </c>
      <c r="J555" s="20">
        <f>IFERROR(INDEX('Price List Library'!$O$6:$O$437,MATCH(TRIM($G555)&amp;"|"&amp;TRIM($H555),'Price List Library'!$S$6:$S$437,0)),0)</f>
        <v>372.40000000000003</v>
      </c>
      <c r="K555" s="13" t="s">
        <v>2058</v>
      </c>
    </row>
    <row r="556" spans="1:11" ht="15" customHeight="1" x14ac:dyDescent="0.25">
      <c r="A556" s="9">
        <v>551</v>
      </c>
      <c r="B556" s="14" t="s">
        <v>348</v>
      </c>
      <c r="C556" s="15" t="s">
        <v>648</v>
      </c>
      <c r="D556" s="12" t="s">
        <v>649</v>
      </c>
      <c r="E556" s="12" t="s">
        <v>464</v>
      </c>
      <c r="F556" s="12" t="s">
        <v>465</v>
      </c>
      <c r="G556" s="12" t="s">
        <v>466</v>
      </c>
      <c r="H556" s="9" t="s">
        <v>57</v>
      </c>
      <c r="I556" s="9" t="str">
        <f>IFERROR(INDEX('Price List Library'!$P$6:$P$437,MATCH(TRIM($G556)&amp;"|"&amp;TRIM($H556),'Price List Library'!$S$6:$S$437,0)),"")</f>
        <v>Benchmark</v>
      </c>
      <c r="J556" s="20">
        <f>IFERROR(INDEX('Price List Library'!$O$6:$O$437,MATCH(TRIM($G556)&amp;"|"&amp;TRIM($H556),'Price List Library'!$S$6:$S$437,0)),0)</f>
        <v>28.240000000000002</v>
      </c>
      <c r="K556" s="13" t="s">
        <v>2059</v>
      </c>
    </row>
    <row r="557" spans="1:11" ht="15" customHeight="1" x14ac:dyDescent="0.25">
      <c r="A557" s="9">
        <v>552</v>
      </c>
      <c r="B557" s="14" t="s">
        <v>348</v>
      </c>
      <c r="C557" s="15" t="s">
        <v>648</v>
      </c>
      <c r="D557" s="12" t="s">
        <v>649</v>
      </c>
      <c r="E557" s="12" t="s">
        <v>464</v>
      </c>
      <c r="F557" s="12" t="s">
        <v>468</v>
      </c>
      <c r="G557" s="12" t="s">
        <v>469</v>
      </c>
      <c r="H557" s="9" t="s">
        <v>57</v>
      </c>
      <c r="I557" s="9" t="str">
        <f>IFERROR(INDEX('Price List Library'!$P$6:$P$437,MATCH(TRIM($G557)&amp;"|"&amp;TRIM($H557),'Price List Library'!$S$6:$S$437,0)),"")</f>
        <v>Benchmark</v>
      </c>
      <c r="J557" s="20">
        <f>IFERROR(INDEX('Price List Library'!$O$6:$O$437,MATCH(TRIM($G557)&amp;"|"&amp;TRIM($H557),'Price List Library'!$S$6:$S$437,0)),0)</f>
        <v>32.720000000000006</v>
      </c>
      <c r="K557" s="13" t="s">
        <v>2060</v>
      </c>
    </row>
    <row r="558" spans="1:11" ht="15" customHeight="1" x14ac:dyDescent="0.25">
      <c r="A558" s="9">
        <v>553</v>
      </c>
      <c r="B558" s="14" t="s">
        <v>348</v>
      </c>
      <c r="C558" s="15" t="s">
        <v>648</v>
      </c>
      <c r="D558" s="12" t="s">
        <v>649</v>
      </c>
      <c r="E558" s="12" t="s">
        <v>464</v>
      </c>
      <c r="F558" s="12" t="s">
        <v>471</v>
      </c>
      <c r="G558" s="12" t="s">
        <v>472</v>
      </c>
      <c r="H558" s="9" t="s">
        <v>57</v>
      </c>
      <c r="I558" s="9" t="str">
        <f>IFERROR(INDEX('Price List Library'!$P$6:$P$437,MATCH(TRIM($G558)&amp;"|"&amp;TRIM($H558),'Price List Library'!$S$6:$S$437,0)),"")</f>
        <v>Benchmark</v>
      </c>
      <c r="J558" s="20">
        <f>IFERROR(INDEX('Price List Library'!$O$6:$O$437,MATCH(TRIM($G558)&amp;"|"&amp;TRIM($H558),'Price List Library'!$S$6:$S$437,0)),0)</f>
        <v>4.5440000000000005</v>
      </c>
      <c r="K558" s="13" t="s">
        <v>2061</v>
      </c>
    </row>
    <row r="559" spans="1:11" ht="15" customHeight="1" x14ac:dyDescent="0.25">
      <c r="A559" s="9">
        <v>554</v>
      </c>
      <c r="B559" s="14" t="s">
        <v>348</v>
      </c>
      <c r="C559" s="15" t="s">
        <v>648</v>
      </c>
      <c r="D559" s="12" t="s">
        <v>649</v>
      </c>
      <c r="E559" s="12" t="s">
        <v>464</v>
      </c>
      <c r="F559" s="12" t="s">
        <v>474</v>
      </c>
      <c r="G559" s="12" t="s">
        <v>475</v>
      </c>
      <c r="H559" s="9" t="s">
        <v>57</v>
      </c>
      <c r="I559" s="9" t="str">
        <f>IFERROR(INDEX('Price List Library'!$P$6:$P$437,MATCH(TRIM($G559)&amp;"|"&amp;TRIM($H559),'Price List Library'!$S$6:$S$437,0)),"")</f>
        <v>Benchmark</v>
      </c>
      <c r="J559" s="20">
        <f>IFERROR(INDEX('Price List Library'!$O$6:$O$437,MATCH(TRIM($G559)&amp;"|"&amp;TRIM($H559),'Price List Library'!$S$6:$S$437,0)),0)</f>
        <v>4.32</v>
      </c>
      <c r="K559" s="13" t="s">
        <v>2062</v>
      </c>
    </row>
    <row r="560" spans="1:11" ht="15" customHeight="1" x14ac:dyDescent="0.25">
      <c r="A560" s="9">
        <v>555</v>
      </c>
      <c r="B560" s="14" t="s">
        <v>348</v>
      </c>
      <c r="C560" s="15" t="s">
        <v>648</v>
      </c>
      <c r="D560" s="12" t="s">
        <v>649</v>
      </c>
      <c r="E560" s="12" t="s">
        <v>464</v>
      </c>
      <c r="F560" s="12" t="s">
        <v>672</v>
      </c>
      <c r="G560" s="12" t="s">
        <v>673</v>
      </c>
      <c r="H560" s="9" t="s">
        <v>57</v>
      </c>
      <c r="I560" s="9" t="str">
        <f>IFERROR(INDEX('Price List Library'!$P$6:$P$437,MATCH(TRIM($G560)&amp;"|"&amp;TRIM($H560),'Price List Library'!$S$6:$S$437,0)),"")</f>
        <v>Benchmark</v>
      </c>
      <c r="J560" s="20">
        <f>IFERROR(INDEX('Price List Library'!$O$6:$O$437,MATCH(TRIM($G560)&amp;"|"&amp;TRIM($H560),'Price List Library'!$S$6:$S$437,0)),0)</f>
        <v>102.4</v>
      </c>
      <c r="K560" s="13" t="s">
        <v>2063</v>
      </c>
    </row>
    <row r="561" spans="1:11" ht="15" customHeight="1" x14ac:dyDescent="0.25">
      <c r="A561" s="9">
        <v>556</v>
      </c>
      <c r="B561" s="14" t="s">
        <v>348</v>
      </c>
      <c r="C561" s="15" t="s">
        <v>648</v>
      </c>
      <c r="D561" s="12" t="s">
        <v>649</v>
      </c>
      <c r="E561" s="12" t="s">
        <v>675</v>
      </c>
      <c r="F561" s="12" t="s">
        <v>676</v>
      </c>
      <c r="G561" s="12" t="s">
        <v>677</v>
      </c>
      <c r="H561" s="9" t="s">
        <v>57</v>
      </c>
      <c r="I561" s="9" t="str">
        <f>IFERROR(INDEX('Price List Library'!$P$6:$P$437,MATCH(TRIM($G561)&amp;"|"&amp;TRIM($H561),'Price List Library'!$S$6:$S$437,0)),"")</f>
        <v>Benchmark</v>
      </c>
      <c r="J561" s="20">
        <f>IFERROR(INDEX('Price List Library'!$O$6:$O$437,MATCH(TRIM($G561)&amp;"|"&amp;TRIM($H561),'Price List Library'!$S$6:$S$437,0)),0)</f>
        <v>141.20000000000002</v>
      </c>
      <c r="K561" s="13" t="s">
        <v>2064</v>
      </c>
    </row>
    <row r="562" spans="1:11" ht="15" customHeight="1" x14ac:dyDescent="0.25">
      <c r="A562" s="9">
        <v>557</v>
      </c>
      <c r="B562" s="14" t="s">
        <v>348</v>
      </c>
      <c r="C562" s="15" t="s">
        <v>648</v>
      </c>
      <c r="D562" s="12" t="s">
        <v>649</v>
      </c>
      <c r="E562" s="12" t="s">
        <v>675</v>
      </c>
      <c r="F562" s="12" t="s">
        <v>679</v>
      </c>
      <c r="G562" s="12" t="s">
        <v>680</v>
      </c>
      <c r="H562" s="9" t="s">
        <v>18</v>
      </c>
      <c r="I562" s="9" t="str">
        <f>IFERROR(INDEX('Price List Library'!$P$6:$P$437,MATCH(TRIM($G562)&amp;"|"&amp;TRIM($H562),'Price List Library'!$S$6:$S$437,0)),"")</f>
        <v>Benchmark</v>
      </c>
      <c r="J562" s="20">
        <f>IFERROR(INDEX('Price List Library'!$O$6:$O$437,MATCH(TRIM($G562)&amp;"|"&amp;TRIM($H562),'Price List Library'!$S$6:$S$437,0)),0)</f>
        <v>41.84</v>
      </c>
      <c r="K562" s="13" t="s">
        <v>2065</v>
      </c>
    </row>
    <row r="563" spans="1:11" ht="15" customHeight="1" x14ac:dyDescent="0.25">
      <c r="A563" s="9">
        <v>558</v>
      </c>
      <c r="B563" s="14" t="s">
        <v>348</v>
      </c>
      <c r="C563" s="15" t="s">
        <v>682</v>
      </c>
      <c r="D563" s="12" t="s">
        <v>683</v>
      </c>
      <c r="E563" s="12" t="s">
        <v>684</v>
      </c>
      <c r="F563" s="12" t="s">
        <v>685</v>
      </c>
      <c r="G563" s="12" t="s">
        <v>686</v>
      </c>
      <c r="H563" s="9" t="s">
        <v>35</v>
      </c>
      <c r="I563" s="9" t="str">
        <f>IFERROR(INDEX('Price List Library'!$P$6:$P$437,MATCH(TRIM($G563)&amp;"|"&amp;TRIM($H563),'Price List Library'!$S$6:$S$437,0)),"")</f>
        <v>Benchmark</v>
      </c>
      <c r="J563" s="20">
        <f>IFERROR(INDEX('Price List Library'!$O$6:$O$437,MATCH(TRIM($G563)&amp;"|"&amp;TRIM($H563),'Price List Library'!$S$6:$S$437,0)),0)</f>
        <v>3708.0000000000005</v>
      </c>
      <c r="K563" s="13" t="s">
        <v>2066</v>
      </c>
    </row>
    <row r="564" spans="1:11" ht="15" customHeight="1" x14ac:dyDescent="0.25">
      <c r="A564" s="9">
        <v>559</v>
      </c>
      <c r="B564" s="14" t="s">
        <v>348</v>
      </c>
      <c r="C564" s="15" t="s">
        <v>682</v>
      </c>
      <c r="D564" s="12" t="s">
        <v>683</v>
      </c>
      <c r="E564" s="12" t="s">
        <v>684</v>
      </c>
      <c r="F564" s="12" t="s">
        <v>688</v>
      </c>
      <c r="G564" s="12" t="s">
        <v>689</v>
      </c>
      <c r="H564" s="9" t="s">
        <v>57</v>
      </c>
      <c r="I564" s="9" t="str">
        <f>IFERROR(INDEX('Price List Library'!$P$6:$P$437,MATCH(TRIM($G564)&amp;"|"&amp;TRIM($H564),'Price List Library'!$S$6:$S$437,0)),"")</f>
        <v>Benchmark</v>
      </c>
      <c r="J564" s="20">
        <f>IFERROR(INDEX('Price List Library'!$O$6:$O$437,MATCH(TRIM($G564)&amp;"|"&amp;TRIM($H564),'Price List Library'!$S$6:$S$437,0)),0)</f>
        <v>216.4</v>
      </c>
      <c r="K564" s="13" t="s">
        <v>2067</v>
      </c>
    </row>
    <row r="565" spans="1:11" ht="15" customHeight="1" x14ac:dyDescent="0.25">
      <c r="A565" s="9">
        <v>560</v>
      </c>
      <c r="B565" s="14" t="s">
        <v>348</v>
      </c>
      <c r="C565" s="15" t="s">
        <v>691</v>
      </c>
      <c r="D565" s="12" t="s">
        <v>692</v>
      </c>
      <c r="E565" s="12" t="s">
        <v>408</v>
      </c>
      <c r="F565" s="12" t="s">
        <v>408</v>
      </c>
      <c r="G565" s="12" t="s">
        <v>409</v>
      </c>
      <c r="H565" s="9" t="s">
        <v>18</v>
      </c>
      <c r="I565" s="9" t="str">
        <f>IFERROR(INDEX('Price List Library'!$P$6:$P$437,MATCH(TRIM($G565)&amp;"|"&amp;TRIM($H565),'Price List Library'!$S$6:$S$437,0)),"")</f>
        <v>Priced</v>
      </c>
      <c r="J565" s="20">
        <f>IFERROR(INDEX('Price List Library'!$O$6:$O$437,MATCH(TRIM($G565)&amp;"|"&amp;TRIM($H565),'Price List Library'!$S$6:$S$437,0)),0)</f>
        <v>5.24</v>
      </c>
      <c r="K565" s="13" t="s">
        <v>2068</v>
      </c>
    </row>
    <row r="566" spans="1:11" ht="15" customHeight="1" x14ac:dyDescent="0.25">
      <c r="A566" s="9">
        <v>561</v>
      </c>
      <c r="B566" s="14" t="s">
        <v>348</v>
      </c>
      <c r="C566" s="15" t="s">
        <v>691</v>
      </c>
      <c r="D566" s="12" t="s">
        <v>692</v>
      </c>
      <c r="E566" s="12" t="s">
        <v>408</v>
      </c>
      <c r="F566" s="12" t="s">
        <v>408</v>
      </c>
      <c r="G566" s="12" t="s">
        <v>1924</v>
      </c>
      <c r="H566" s="9" t="s">
        <v>18</v>
      </c>
      <c r="I566" s="9" t="str">
        <f>IFERROR(INDEX('Price List Library'!$P$6:$P$437,MATCH(TRIM($G566)&amp;"|"&amp;TRIM($H566),'Price List Library'!$S$6:$S$437,0)),"")</f>
        <v>Benchmark</v>
      </c>
      <c r="J566" s="20">
        <f>IFERROR(INDEX('Price List Library'!$O$6:$O$437,MATCH(TRIM($G566)&amp;"|"&amp;TRIM($H566),'Price List Library'!$S$6:$S$437,0)),0)</f>
        <v>4.5440000000000005</v>
      </c>
      <c r="K566" s="13" t="s">
        <v>2069</v>
      </c>
    </row>
    <row r="567" spans="1:11" ht="15" customHeight="1" x14ac:dyDescent="0.25">
      <c r="A567" s="9">
        <v>562</v>
      </c>
      <c r="B567" s="14" t="s">
        <v>348</v>
      </c>
      <c r="C567" s="15" t="s">
        <v>691</v>
      </c>
      <c r="D567" s="12" t="s">
        <v>692</v>
      </c>
      <c r="E567" s="12" t="s">
        <v>408</v>
      </c>
      <c r="F567" s="12" t="s">
        <v>411</v>
      </c>
      <c r="G567" s="12" t="s">
        <v>412</v>
      </c>
      <c r="H567" s="9" t="s">
        <v>18</v>
      </c>
      <c r="I567" s="9" t="str">
        <f>IFERROR(INDEX('Price List Library'!$P$6:$P$437,MATCH(TRIM($G567)&amp;"|"&amp;TRIM($H567),'Price List Library'!$S$6:$S$437,0)),"")</f>
        <v>Benchmark</v>
      </c>
      <c r="J567" s="20">
        <f>IFERROR(INDEX('Price List Library'!$O$6:$O$437,MATCH(TRIM($G567)&amp;"|"&amp;TRIM($H567),'Price List Library'!$S$6:$S$437,0)),0)</f>
        <v>2.9119999999999999</v>
      </c>
      <c r="K567" s="13" t="s">
        <v>2070</v>
      </c>
    </row>
    <row r="568" spans="1:11" ht="15" customHeight="1" x14ac:dyDescent="0.25">
      <c r="A568" s="9">
        <v>563</v>
      </c>
      <c r="B568" s="14" t="s">
        <v>348</v>
      </c>
      <c r="C568" s="15" t="s">
        <v>691</v>
      </c>
      <c r="D568" s="12" t="s">
        <v>692</v>
      </c>
      <c r="E568" s="12" t="s">
        <v>417</v>
      </c>
      <c r="F568" s="12" t="s">
        <v>417</v>
      </c>
      <c r="G568" s="12" t="s">
        <v>417</v>
      </c>
      <c r="H568" s="9" t="s">
        <v>18</v>
      </c>
      <c r="I568" s="9" t="str">
        <f>IFERROR(INDEX('Price List Library'!$P$6:$P$437,MATCH(TRIM($G568)&amp;"|"&amp;TRIM($H568),'Price List Library'!$S$6:$S$437,0)),"")</f>
        <v>Priced</v>
      </c>
      <c r="J568" s="20">
        <f>IFERROR(INDEX('Price List Library'!$O$6:$O$437,MATCH(TRIM($G568)&amp;"|"&amp;TRIM($H568),'Price List Library'!$S$6:$S$437,0)),0)</f>
        <v>4.5999999999999996</v>
      </c>
      <c r="K568" s="13" t="s">
        <v>2071</v>
      </c>
    </row>
    <row r="569" spans="1:11" ht="15" customHeight="1" x14ac:dyDescent="0.25">
      <c r="A569" s="9">
        <v>564</v>
      </c>
      <c r="B569" s="14" t="s">
        <v>348</v>
      </c>
      <c r="C569" s="15" t="s">
        <v>691</v>
      </c>
      <c r="D569" s="12" t="s">
        <v>692</v>
      </c>
      <c r="E569" s="12" t="s">
        <v>417</v>
      </c>
      <c r="F569" s="12" t="s">
        <v>417</v>
      </c>
      <c r="G569" s="12" t="s">
        <v>1929</v>
      </c>
      <c r="H569" s="9" t="s">
        <v>18</v>
      </c>
      <c r="I569" s="9" t="str">
        <f>IFERROR(INDEX('Price List Library'!$P$6:$P$437,MATCH(TRIM($G569)&amp;"|"&amp;TRIM($H569),'Price List Library'!$S$6:$S$437,0)),"")</f>
        <v>Benchmark</v>
      </c>
      <c r="J569" s="20">
        <f>IFERROR(INDEX('Price List Library'!$O$6:$O$437,MATCH(TRIM($G569)&amp;"|"&amp;TRIM($H569),'Price List Library'!$S$6:$S$437,0)),0)</f>
        <v>4.1440000000000001</v>
      </c>
      <c r="K569" s="13" t="s">
        <v>2072</v>
      </c>
    </row>
    <row r="570" spans="1:11" ht="15" customHeight="1" x14ac:dyDescent="0.25">
      <c r="A570" s="9">
        <v>565</v>
      </c>
      <c r="B570" s="14" t="s">
        <v>348</v>
      </c>
      <c r="C570" s="15" t="s">
        <v>691</v>
      </c>
      <c r="D570" s="12" t="s">
        <v>692</v>
      </c>
      <c r="E570" s="12" t="s">
        <v>417</v>
      </c>
      <c r="F570" s="12" t="s">
        <v>417</v>
      </c>
      <c r="G570" s="12" t="s">
        <v>1931</v>
      </c>
      <c r="H570" s="9" t="s">
        <v>18</v>
      </c>
      <c r="I570" s="9" t="str">
        <f>IFERROR(INDEX('Price List Library'!$P$6:$P$437,MATCH(TRIM($G570)&amp;"|"&amp;TRIM($H570),'Price List Library'!$S$6:$S$437,0)),"")</f>
        <v>Benchmark</v>
      </c>
      <c r="J570" s="20">
        <f>IFERROR(INDEX('Price List Library'!$O$6:$O$437,MATCH(TRIM($G570)&amp;"|"&amp;TRIM($H570),'Price List Library'!$S$6:$S$437,0)),0)</f>
        <v>5.6240000000000006</v>
      </c>
      <c r="K570" s="13" t="s">
        <v>2073</v>
      </c>
    </row>
    <row r="571" spans="1:11" ht="15" customHeight="1" x14ac:dyDescent="0.25">
      <c r="A571" s="9">
        <v>566</v>
      </c>
      <c r="B571" s="14" t="s">
        <v>348</v>
      </c>
      <c r="C571" s="15" t="s">
        <v>691</v>
      </c>
      <c r="D571" s="12" t="s">
        <v>692</v>
      </c>
      <c r="E571" s="12" t="s">
        <v>417</v>
      </c>
      <c r="F571" s="12" t="s">
        <v>419</v>
      </c>
      <c r="G571" s="12" t="s">
        <v>420</v>
      </c>
      <c r="H571" s="9" t="s">
        <v>18</v>
      </c>
      <c r="I571" s="9" t="str">
        <f>IFERROR(INDEX('Price List Library'!$P$6:$P$437,MATCH(TRIM($G571)&amp;"|"&amp;TRIM($H571),'Price List Library'!$S$6:$S$437,0)),"")</f>
        <v>Benchmark</v>
      </c>
      <c r="J571" s="20">
        <f>IFERROR(INDEX('Price List Library'!$O$6:$O$437,MATCH(TRIM($G571)&amp;"|"&amp;TRIM($H571),'Price List Library'!$S$6:$S$437,0)),0)</f>
        <v>1.7280000000000002</v>
      </c>
      <c r="K571" s="13" t="s">
        <v>2074</v>
      </c>
    </row>
    <row r="572" spans="1:11" ht="15" customHeight="1" x14ac:dyDescent="0.25">
      <c r="A572" s="9">
        <v>567</v>
      </c>
      <c r="B572" s="14" t="s">
        <v>348</v>
      </c>
      <c r="C572" s="15" t="s">
        <v>691</v>
      </c>
      <c r="D572" s="12" t="s">
        <v>692</v>
      </c>
      <c r="E572" s="12" t="s">
        <v>425</v>
      </c>
      <c r="F572" s="12" t="s">
        <v>425</v>
      </c>
      <c r="G572" s="12" t="s">
        <v>426</v>
      </c>
      <c r="H572" s="9" t="s">
        <v>18</v>
      </c>
      <c r="I572" s="9" t="str">
        <f>IFERROR(INDEX('Price List Library'!$P$6:$P$437,MATCH(TRIM($G572)&amp;"|"&amp;TRIM($H572),'Price List Library'!$S$6:$S$437,0)),"")</f>
        <v>Priced</v>
      </c>
      <c r="J572" s="20">
        <f>IFERROR(INDEX('Price List Library'!$O$6:$O$437,MATCH(TRIM($G572)&amp;"|"&amp;TRIM($H572),'Price List Library'!$S$6:$S$437,0)),0)</f>
        <v>20.64</v>
      </c>
      <c r="K572" s="13" t="s">
        <v>2075</v>
      </c>
    </row>
    <row r="573" spans="1:11" ht="15" customHeight="1" x14ac:dyDescent="0.25">
      <c r="A573" s="9">
        <v>568</v>
      </c>
      <c r="B573" s="14" t="s">
        <v>348</v>
      </c>
      <c r="C573" s="15" t="s">
        <v>691</v>
      </c>
      <c r="D573" s="12" t="s">
        <v>692</v>
      </c>
      <c r="E573" s="12" t="s">
        <v>425</v>
      </c>
      <c r="F573" s="12" t="s">
        <v>698</v>
      </c>
      <c r="G573" s="12" t="s">
        <v>699</v>
      </c>
      <c r="H573" s="9" t="s">
        <v>18</v>
      </c>
      <c r="I573" s="9" t="str">
        <f>IFERROR(INDEX('Price List Library'!$P$6:$P$437,MATCH(TRIM($G573)&amp;"|"&amp;TRIM($H573),'Price List Library'!$S$6:$S$437,0)),"")</f>
        <v>Benchmark</v>
      </c>
      <c r="J573" s="20">
        <f>IFERROR(INDEX('Price List Library'!$O$6:$O$437,MATCH(TRIM($G573)&amp;"|"&amp;TRIM($H573),'Price List Library'!$S$6:$S$437,0)),0)</f>
        <v>18.399999999999999</v>
      </c>
      <c r="K573" s="13" t="s">
        <v>2076</v>
      </c>
    </row>
    <row r="574" spans="1:11" ht="15" customHeight="1" x14ac:dyDescent="0.25">
      <c r="A574" s="9">
        <v>569</v>
      </c>
      <c r="B574" s="14" t="s">
        <v>348</v>
      </c>
      <c r="C574" s="15" t="s">
        <v>691</v>
      </c>
      <c r="D574" s="12" t="s">
        <v>692</v>
      </c>
      <c r="E574" s="12" t="s">
        <v>701</v>
      </c>
      <c r="F574" s="12" t="s">
        <v>701</v>
      </c>
      <c r="G574" s="12" t="s">
        <v>702</v>
      </c>
      <c r="H574" s="9" t="s">
        <v>18</v>
      </c>
      <c r="I574" s="9" t="str">
        <f>IFERROR(INDEX('Price List Library'!$P$6:$P$437,MATCH(TRIM($G574)&amp;"|"&amp;TRIM($H574),'Price List Library'!$S$6:$S$437,0)),"")</f>
        <v>Benchmark</v>
      </c>
      <c r="J574" s="20">
        <f>IFERROR(INDEX('Price List Library'!$O$6:$O$437,MATCH(TRIM($G574)&amp;"|"&amp;TRIM($H574),'Price List Library'!$S$6:$S$437,0)),0)</f>
        <v>39.760000000000005</v>
      </c>
      <c r="K574" s="13" t="s">
        <v>2077</v>
      </c>
    </row>
    <row r="575" spans="1:11" ht="15" customHeight="1" x14ac:dyDescent="0.25">
      <c r="A575" s="9">
        <v>570</v>
      </c>
      <c r="B575" s="14" t="s">
        <v>348</v>
      </c>
      <c r="C575" s="15" t="s">
        <v>691</v>
      </c>
      <c r="D575" s="12" t="s">
        <v>692</v>
      </c>
      <c r="E575" s="12" t="s">
        <v>701</v>
      </c>
      <c r="F575" s="12" t="s">
        <v>704</v>
      </c>
      <c r="G575" s="12" t="s">
        <v>705</v>
      </c>
      <c r="H575" s="9" t="s">
        <v>18</v>
      </c>
      <c r="I575" s="9" t="str">
        <f>IFERROR(INDEX('Price List Library'!$P$6:$P$437,MATCH(TRIM($G575)&amp;"|"&amp;TRIM($H575),'Price List Library'!$S$6:$S$437,0)),"")</f>
        <v>Benchmark</v>
      </c>
      <c r="J575" s="20">
        <f>IFERROR(INDEX('Price List Library'!$O$6:$O$437,MATCH(TRIM($G575)&amp;"|"&amp;TRIM($H575),'Price List Library'!$S$6:$S$437,0)),0)</f>
        <v>51.56</v>
      </c>
      <c r="K575" s="13" t="s">
        <v>2078</v>
      </c>
    </row>
    <row r="576" spans="1:11" ht="15" customHeight="1" x14ac:dyDescent="0.25">
      <c r="A576" s="9">
        <v>571</v>
      </c>
      <c r="B576" s="14" t="s">
        <v>348</v>
      </c>
      <c r="C576" s="15" t="s">
        <v>691</v>
      </c>
      <c r="D576" s="12" t="s">
        <v>692</v>
      </c>
      <c r="E576" s="12" t="s">
        <v>701</v>
      </c>
      <c r="F576" s="12" t="s">
        <v>707</v>
      </c>
      <c r="G576" s="12" t="s">
        <v>708</v>
      </c>
      <c r="H576" s="9" t="s">
        <v>18</v>
      </c>
      <c r="I576" s="9" t="str">
        <f>IFERROR(INDEX('Price List Library'!$P$6:$P$437,MATCH(TRIM($G576)&amp;"|"&amp;TRIM($H576),'Price List Library'!$S$6:$S$437,0)),"")</f>
        <v>Benchmark</v>
      </c>
      <c r="J576" s="20">
        <f>IFERROR(INDEX('Price List Library'!$O$6:$O$437,MATCH(TRIM($G576)&amp;"|"&amp;TRIM($H576),'Price List Library'!$S$6:$S$437,0)),0)</f>
        <v>13.680000000000001</v>
      </c>
      <c r="K576" s="13" t="s">
        <v>2079</v>
      </c>
    </row>
    <row r="577" spans="1:11" ht="15" customHeight="1" x14ac:dyDescent="0.25">
      <c r="A577" s="9">
        <v>572</v>
      </c>
      <c r="B577" s="14" t="s">
        <v>348</v>
      </c>
      <c r="C577" s="15" t="s">
        <v>691</v>
      </c>
      <c r="D577" s="12" t="s">
        <v>692</v>
      </c>
      <c r="E577" s="12" t="s">
        <v>701</v>
      </c>
      <c r="F577" s="12" t="s">
        <v>710</v>
      </c>
      <c r="G577" s="12" t="s">
        <v>711</v>
      </c>
      <c r="H577" s="9" t="s">
        <v>57</v>
      </c>
      <c r="I577" s="9" t="str">
        <f>IFERROR(INDEX('Price List Library'!$P$6:$P$437,MATCH(TRIM($G577)&amp;"|"&amp;TRIM($H577),'Price List Library'!$S$6:$S$437,0)),"")</f>
        <v>Benchmark</v>
      </c>
      <c r="J577" s="20">
        <f>IFERROR(INDEX('Price List Library'!$O$6:$O$437,MATCH(TRIM($G577)&amp;"|"&amp;TRIM($H577),'Price List Library'!$S$6:$S$437,0)),0)</f>
        <v>57.600000000000009</v>
      </c>
      <c r="K577" s="13" t="s">
        <v>2080</v>
      </c>
    </row>
    <row r="578" spans="1:11" ht="15" customHeight="1" x14ac:dyDescent="0.25">
      <c r="A578" s="9">
        <v>573</v>
      </c>
      <c r="B578" s="14" t="s">
        <v>348</v>
      </c>
      <c r="C578" s="15" t="s">
        <v>691</v>
      </c>
      <c r="D578" s="12" t="s">
        <v>692</v>
      </c>
      <c r="E578" s="12" t="s">
        <v>713</v>
      </c>
      <c r="F578" s="12" t="s">
        <v>713</v>
      </c>
      <c r="G578" s="12" t="s">
        <v>714</v>
      </c>
      <c r="H578" s="9" t="s">
        <v>61</v>
      </c>
      <c r="I578" s="9" t="str">
        <f>IFERROR(INDEX('Price List Library'!$P$6:$P$437,MATCH(TRIM($G578)&amp;"|"&amp;TRIM($H578),'Price List Library'!$S$6:$S$437,0)),"")</f>
        <v>Benchmark</v>
      </c>
      <c r="J578" s="20">
        <f>IFERROR(INDEX('Price List Library'!$O$6:$O$437,MATCH(TRIM($G578)&amp;"|"&amp;TRIM($H578),'Price List Library'!$S$6:$S$437,0)),0)</f>
        <v>5.072000000000001</v>
      </c>
      <c r="K578" s="13" t="s">
        <v>2081</v>
      </c>
    </row>
    <row r="579" spans="1:11" ht="15" customHeight="1" x14ac:dyDescent="0.25">
      <c r="A579" s="9">
        <v>574</v>
      </c>
      <c r="B579" s="14" t="s">
        <v>348</v>
      </c>
      <c r="C579" s="15" t="s">
        <v>716</v>
      </c>
      <c r="D579" s="12" t="s">
        <v>717</v>
      </c>
      <c r="E579" s="12" t="s">
        <v>510</v>
      </c>
      <c r="F579" s="12" t="s">
        <v>510</v>
      </c>
      <c r="G579" s="12" t="s">
        <v>511</v>
      </c>
      <c r="H579" s="9" t="s">
        <v>18</v>
      </c>
      <c r="I579" s="9" t="str">
        <f>IFERROR(INDEX('Price List Library'!$P$6:$P$437,MATCH(TRIM($G579)&amp;"|"&amp;TRIM($H579),'Price List Library'!$S$6:$S$437,0)),"")</f>
        <v>Benchmark</v>
      </c>
      <c r="J579" s="20">
        <f>IFERROR(INDEX('Price List Library'!$O$6:$O$437,MATCH(TRIM($G579)&amp;"|"&amp;TRIM($H579),'Price List Library'!$S$6:$S$437,0)),0)</f>
        <v>6.9440000000000008</v>
      </c>
      <c r="K579" s="13" t="s">
        <v>2082</v>
      </c>
    </row>
    <row r="580" spans="1:11" ht="15" customHeight="1" x14ac:dyDescent="0.25">
      <c r="A580" s="9">
        <v>575</v>
      </c>
      <c r="B580" s="14" t="s">
        <v>348</v>
      </c>
      <c r="C580" s="15" t="s">
        <v>716</v>
      </c>
      <c r="D580" s="12" t="s">
        <v>717</v>
      </c>
      <c r="E580" s="12" t="s">
        <v>510</v>
      </c>
      <c r="F580" s="12" t="s">
        <v>719</v>
      </c>
      <c r="G580" s="12" t="s">
        <v>720</v>
      </c>
      <c r="H580" s="9" t="s">
        <v>18</v>
      </c>
      <c r="I580" s="9" t="str">
        <f>IFERROR(INDEX('Price List Library'!$P$6:$P$437,MATCH(TRIM($G580)&amp;"|"&amp;TRIM($H580),'Price List Library'!$S$6:$S$437,0)),"")</f>
        <v>Benchmark</v>
      </c>
      <c r="J580" s="20">
        <f>IFERROR(INDEX('Price List Library'!$O$6:$O$437,MATCH(TRIM($G580)&amp;"|"&amp;TRIM($H580),'Price List Library'!$S$6:$S$437,0)),0)</f>
        <v>9.4400000000000013</v>
      </c>
      <c r="K580" s="13" t="s">
        <v>2083</v>
      </c>
    </row>
    <row r="581" spans="1:11" ht="15" customHeight="1" x14ac:dyDescent="0.25">
      <c r="A581" s="9">
        <v>576</v>
      </c>
      <c r="B581" s="14" t="s">
        <v>348</v>
      </c>
      <c r="C581" s="15" t="s">
        <v>716</v>
      </c>
      <c r="D581" s="12" t="s">
        <v>717</v>
      </c>
      <c r="E581" s="12" t="s">
        <v>516</v>
      </c>
      <c r="F581" s="12" t="s">
        <v>516</v>
      </c>
      <c r="G581" s="12" t="s">
        <v>517</v>
      </c>
      <c r="H581" s="9" t="s">
        <v>18</v>
      </c>
      <c r="I581" s="9" t="str">
        <f>IFERROR(INDEX('Price List Library'!$P$6:$P$437,MATCH(TRIM($G581)&amp;"|"&amp;TRIM($H581),'Price List Library'!$S$6:$S$437,0)),"")</f>
        <v>Benchmark</v>
      </c>
      <c r="J581" s="20">
        <f>IFERROR(INDEX('Price List Library'!$O$6:$O$437,MATCH(TRIM($G581)&amp;"|"&amp;TRIM($H581),'Price List Library'!$S$6:$S$437,0)),0)</f>
        <v>14.96</v>
      </c>
      <c r="K581" s="13" t="s">
        <v>2084</v>
      </c>
    </row>
    <row r="582" spans="1:11" ht="15" customHeight="1" x14ac:dyDescent="0.25">
      <c r="A582" s="9">
        <v>577</v>
      </c>
      <c r="B582" s="14" t="s">
        <v>348</v>
      </c>
      <c r="C582" s="15" t="s">
        <v>716</v>
      </c>
      <c r="D582" s="12" t="s">
        <v>717</v>
      </c>
      <c r="E582" s="12" t="s">
        <v>516</v>
      </c>
      <c r="F582" s="12" t="s">
        <v>516</v>
      </c>
      <c r="G582" s="12" t="s">
        <v>1982</v>
      </c>
      <c r="H582" s="9" t="s">
        <v>18</v>
      </c>
      <c r="I582" s="9" t="str">
        <f>IFERROR(INDEX('Price List Library'!$P$6:$P$437,MATCH(TRIM($G582)&amp;"|"&amp;TRIM($H582),'Price List Library'!$S$6:$S$437,0)),"")</f>
        <v>Benchmark</v>
      </c>
      <c r="J582" s="20">
        <f>IFERROR(INDEX('Price List Library'!$O$6:$O$437,MATCH(TRIM($G582)&amp;"|"&amp;TRIM($H582),'Price List Library'!$S$6:$S$437,0)),0)</f>
        <v>18.920000000000002</v>
      </c>
      <c r="K582" s="13" t="s">
        <v>2085</v>
      </c>
    </row>
    <row r="583" spans="1:11" ht="15" customHeight="1" x14ac:dyDescent="0.25">
      <c r="A583" s="9">
        <v>578</v>
      </c>
      <c r="B583" s="14" t="s">
        <v>348</v>
      </c>
      <c r="C583" s="15" t="s">
        <v>716</v>
      </c>
      <c r="D583" s="12" t="s">
        <v>717</v>
      </c>
      <c r="E583" s="12" t="s">
        <v>516</v>
      </c>
      <c r="F583" s="12" t="s">
        <v>723</v>
      </c>
      <c r="G583" s="12" t="s">
        <v>724</v>
      </c>
      <c r="H583" s="9" t="s">
        <v>18</v>
      </c>
      <c r="I583" s="9" t="str">
        <f>IFERROR(INDEX('Price List Library'!$P$6:$P$437,MATCH(TRIM($G583)&amp;"|"&amp;TRIM($H583),'Price List Library'!$S$6:$S$437,0)),"")</f>
        <v>Benchmark</v>
      </c>
      <c r="J583" s="20">
        <f>IFERROR(INDEX('Price List Library'!$O$6:$O$437,MATCH(TRIM($G583)&amp;"|"&amp;TRIM($H583),'Price List Library'!$S$6:$S$437,0)),0)</f>
        <v>14.96</v>
      </c>
      <c r="K583" s="13" t="s">
        <v>2086</v>
      </c>
    </row>
    <row r="584" spans="1:11" ht="15" customHeight="1" x14ac:dyDescent="0.25">
      <c r="A584" s="9">
        <v>579</v>
      </c>
      <c r="B584" s="14" t="s">
        <v>348</v>
      </c>
      <c r="C584" s="15" t="s">
        <v>716</v>
      </c>
      <c r="D584" s="12" t="s">
        <v>717</v>
      </c>
      <c r="E584" s="12" t="s">
        <v>516</v>
      </c>
      <c r="F584" s="12" t="s">
        <v>726</v>
      </c>
      <c r="G584" s="12" t="s">
        <v>727</v>
      </c>
      <c r="H584" s="9" t="s">
        <v>18</v>
      </c>
      <c r="I584" s="9" t="str">
        <f>IFERROR(INDEX('Price List Library'!$P$6:$P$437,MATCH(TRIM($G584)&amp;"|"&amp;TRIM($H584),'Price List Library'!$S$6:$S$437,0)),"")</f>
        <v>Benchmark</v>
      </c>
      <c r="J584" s="20">
        <f>IFERROR(INDEX('Price List Library'!$O$6:$O$437,MATCH(TRIM($G584)&amp;"|"&amp;TRIM($H584),'Price List Library'!$S$6:$S$437,0)),0)</f>
        <v>24</v>
      </c>
      <c r="K584" s="13" t="s">
        <v>2087</v>
      </c>
    </row>
    <row r="585" spans="1:11" ht="15" customHeight="1" x14ac:dyDescent="0.25">
      <c r="A585" s="9">
        <v>580</v>
      </c>
      <c r="B585" s="14" t="s">
        <v>348</v>
      </c>
      <c r="C585" s="15" t="s">
        <v>716</v>
      </c>
      <c r="D585" s="12" t="s">
        <v>717</v>
      </c>
      <c r="E585" s="12" t="s">
        <v>729</v>
      </c>
      <c r="F585" s="12" t="s">
        <v>730</v>
      </c>
      <c r="G585" s="12" t="s">
        <v>730</v>
      </c>
      <c r="H585" s="9" t="s">
        <v>18</v>
      </c>
      <c r="I585" s="9" t="str">
        <f>IFERROR(INDEX('Price List Library'!$P$6:$P$437,MATCH(TRIM($G585)&amp;"|"&amp;TRIM($H585),'Price List Library'!$S$6:$S$437,0)),"")</f>
        <v>Priced</v>
      </c>
      <c r="J585" s="20">
        <f>IFERROR(INDEX('Price List Library'!$O$6:$O$437,MATCH(TRIM($G585)&amp;"|"&amp;TRIM($H585),'Price List Library'!$S$6:$S$437,0)),0)</f>
        <v>71.2</v>
      </c>
      <c r="K585" s="13" t="s">
        <v>2088</v>
      </c>
    </row>
    <row r="586" spans="1:11" ht="15" customHeight="1" x14ac:dyDescent="0.25">
      <c r="A586" s="9">
        <v>581</v>
      </c>
      <c r="B586" s="14" t="s">
        <v>348</v>
      </c>
      <c r="C586" s="15" t="s">
        <v>716</v>
      </c>
      <c r="D586" s="12" t="s">
        <v>717</v>
      </c>
      <c r="E586" s="12" t="s">
        <v>729</v>
      </c>
      <c r="F586" s="12" t="s">
        <v>732</v>
      </c>
      <c r="G586" s="12" t="s">
        <v>733</v>
      </c>
      <c r="H586" s="9" t="s">
        <v>18</v>
      </c>
      <c r="I586" s="9" t="str">
        <f>IFERROR(INDEX('Price List Library'!$P$6:$P$437,MATCH(TRIM($G586)&amp;"|"&amp;TRIM($H586),'Price List Library'!$S$6:$S$437,0)),"")</f>
        <v>Benchmark</v>
      </c>
      <c r="J586" s="20">
        <f>IFERROR(INDEX('Price List Library'!$O$6:$O$437,MATCH(TRIM($G586)&amp;"|"&amp;TRIM($H586),'Price List Library'!$S$6:$S$437,0)),0)</f>
        <v>71.2</v>
      </c>
      <c r="K586" s="13" t="s">
        <v>2089</v>
      </c>
    </row>
    <row r="587" spans="1:11" ht="15" customHeight="1" x14ac:dyDescent="0.25">
      <c r="A587" s="9">
        <v>582</v>
      </c>
      <c r="B587" s="14" t="s">
        <v>348</v>
      </c>
      <c r="C587" s="15" t="s">
        <v>716</v>
      </c>
      <c r="D587" s="12" t="s">
        <v>717</v>
      </c>
      <c r="E587" s="12" t="s">
        <v>729</v>
      </c>
      <c r="F587" s="12" t="s">
        <v>735</v>
      </c>
      <c r="G587" s="12" t="s">
        <v>736</v>
      </c>
      <c r="H587" s="9" t="s">
        <v>18</v>
      </c>
      <c r="I587" s="9" t="str">
        <f>IFERROR(INDEX('Price List Library'!$P$6:$P$437,MATCH(TRIM($G587)&amp;"|"&amp;TRIM($H587),'Price List Library'!$S$6:$S$437,0)),"")</f>
        <v>Benchmark</v>
      </c>
      <c r="J587" s="20">
        <f>IFERROR(INDEX('Price List Library'!$O$6:$O$437,MATCH(TRIM($G587)&amp;"|"&amp;TRIM($H587),'Price List Library'!$S$6:$S$437,0)),0)</f>
        <v>79.640000000000015</v>
      </c>
      <c r="K587" s="13" t="s">
        <v>2090</v>
      </c>
    </row>
    <row r="588" spans="1:11" ht="15" customHeight="1" x14ac:dyDescent="0.25">
      <c r="A588" s="9">
        <v>583</v>
      </c>
      <c r="B588" s="14" t="s">
        <v>348</v>
      </c>
      <c r="C588" s="15" t="s">
        <v>716</v>
      </c>
      <c r="D588" s="12" t="s">
        <v>717</v>
      </c>
      <c r="E588" s="12" t="s">
        <v>738</v>
      </c>
      <c r="F588" s="12" t="s">
        <v>739</v>
      </c>
      <c r="G588" s="12" t="s">
        <v>740</v>
      </c>
      <c r="H588" s="9" t="s">
        <v>18</v>
      </c>
      <c r="I588" s="9" t="str">
        <f>IFERROR(INDEX('Price List Library'!$P$6:$P$437,MATCH(TRIM($G588)&amp;"|"&amp;TRIM($H588),'Price List Library'!$S$6:$S$437,0)),"")</f>
        <v>Benchmark</v>
      </c>
      <c r="J588" s="20">
        <f>IFERROR(INDEX('Price List Library'!$O$6:$O$437,MATCH(TRIM($G588)&amp;"|"&amp;TRIM($H588),'Price List Library'!$S$6:$S$437,0)),0)</f>
        <v>23.32</v>
      </c>
      <c r="K588" s="13" t="s">
        <v>2091</v>
      </c>
    </row>
    <row r="589" spans="1:11" ht="15" customHeight="1" x14ac:dyDescent="0.25">
      <c r="A589" s="9">
        <v>584</v>
      </c>
      <c r="B589" s="14" t="s">
        <v>348</v>
      </c>
      <c r="C589" s="15" t="s">
        <v>716</v>
      </c>
      <c r="D589" s="12" t="s">
        <v>717</v>
      </c>
      <c r="E589" s="12" t="s">
        <v>738</v>
      </c>
      <c r="F589" s="12" t="s">
        <v>742</v>
      </c>
      <c r="G589" s="12" t="s">
        <v>743</v>
      </c>
      <c r="H589" s="9" t="s">
        <v>18</v>
      </c>
      <c r="I589" s="9" t="str">
        <f>IFERROR(INDEX('Price List Library'!$P$6:$P$437,MATCH(TRIM($G589)&amp;"|"&amp;TRIM($H589),'Price List Library'!$S$6:$S$437,0)),"")</f>
        <v>Benchmark</v>
      </c>
      <c r="J589" s="20">
        <f>IFERROR(INDEX('Price List Library'!$O$6:$O$437,MATCH(TRIM($G589)&amp;"|"&amp;TRIM($H589),'Price List Library'!$S$6:$S$437,0)),0)</f>
        <v>17.64</v>
      </c>
      <c r="K589" s="13" t="s">
        <v>2092</v>
      </c>
    </row>
    <row r="590" spans="1:11" ht="15" customHeight="1" x14ac:dyDescent="0.25">
      <c r="A590" s="9">
        <v>585</v>
      </c>
      <c r="B590" s="14" t="s">
        <v>348</v>
      </c>
      <c r="C590" s="15" t="s">
        <v>716</v>
      </c>
      <c r="D590" s="12" t="s">
        <v>717</v>
      </c>
      <c r="E590" s="12" t="s">
        <v>738</v>
      </c>
      <c r="F590" s="12" t="s">
        <v>745</v>
      </c>
      <c r="G590" s="12" t="s">
        <v>746</v>
      </c>
      <c r="H590" s="9" t="s">
        <v>18</v>
      </c>
      <c r="I590" s="9" t="str">
        <f>IFERROR(INDEX('Price List Library'!$P$6:$P$437,MATCH(TRIM($G590)&amp;"|"&amp;TRIM($H590),'Price List Library'!$S$6:$S$437,0)),"")</f>
        <v>Benchmark</v>
      </c>
      <c r="J590" s="20">
        <f>IFERROR(INDEX('Price List Library'!$O$6:$O$437,MATCH(TRIM($G590)&amp;"|"&amp;TRIM($H590),'Price List Library'!$S$6:$S$437,0)),0)</f>
        <v>43.040000000000006</v>
      </c>
      <c r="K590" s="13" t="s">
        <v>2093</v>
      </c>
    </row>
    <row r="591" spans="1:11" ht="15" customHeight="1" x14ac:dyDescent="0.25">
      <c r="A591" s="9">
        <v>586</v>
      </c>
      <c r="B591" s="14" t="s">
        <v>348</v>
      </c>
      <c r="C591" s="15" t="s">
        <v>716</v>
      </c>
      <c r="D591" s="12" t="s">
        <v>717</v>
      </c>
      <c r="E591" s="12" t="s">
        <v>738</v>
      </c>
      <c r="F591" s="12" t="s">
        <v>748</v>
      </c>
      <c r="G591" s="12" t="s">
        <v>749</v>
      </c>
      <c r="H591" s="9" t="s">
        <v>18</v>
      </c>
      <c r="I591" s="9" t="str">
        <f>IFERROR(INDEX('Price List Library'!$P$6:$P$437,MATCH(TRIM($G591)&amp;"|"&amp;TRIM($H591),'Price List Library'!$S$6:$S$437,0)),"")</f>
        <v>Benchmark</v>
      </c>
      <c r="J591" s="20">
        <f>IFERROR(INDEX('Price List Library'!$O$6:$O$437,MATCH(TRIM($G591)&amp;"|"&amp;TRIM($H591),'Price List Library'!$S$6:$S$437,0)),0)</f>
        <v>23.760000000000005</v>
      </c>
      <c r="K591" s="13" t="s">
        <v>2094</v>
      </c>
    </row>
    <row r="592" spans="1:11" ht="15" customHeight="1" x14ac:dyDescent="0.25">
      <c r="A592" s="9">
        <v>587</v>
      </c>
      <c r="B592" s="14" t="s">
        <v>348</v>
      </c>
      <c r="C592" s="15" t="s">
        <v>716</v>
      </c>
      <c r="D592" s="12" t="s">
        <v>717</v>
      </c>
      <c r="E592" s="12" t="s">
        <v>738</v>
      </c>
      <c r="F592" s="12" t="s">
        <v>751</v>
      </c>
      <c r="G592" s="12" t="s">
        <v>752</v>
      </c>
      <c r="H592" s="9" t="s">
        <v>18</v>
      </c>
      <c r="I592" s="9" t="str">
        <f>IFERROR(INDEX('Price List Library'!$P$6:$P$437,MATCH(TRIM($G592)&amp;"|"&amp;TRIM($H592),'Price List Library'!$S$6:$S$437,0)),"")</f>
        <v>Benchmark</v>
      </c>
      <c r="J592" s="20">
        <f>IFERROR(INDEX('Price List Library'!$O$6:$O$437,MATCH(TRIM($G592)&amp;"|"&amp;TRIM($H592),'Price List Library'!$S$6:$S$437,0)),0)</f>
        <v>55.440000000000005</v>
      </c>
      <c r="K592" s="13" t="s">
        <v>2095</v>
      </c>
    </row>
    <row r="593" spans="1:11" ht="15" customHeight="1" x14ac:dyDescent="0.25">
      <c r="A593" s="9">
        <v>588</v>
      </c>
      <c r="B593" s="14" t="s">
        <v>348</v>
      </c>
      <c r="C593" s="15" t="s">
        <v>716</v>
      </c>
      <c r="D593" s="12" t="s">
        <v>717</v>
      </c>
      <c r="E593" s="12" t="s">
        <v>138</v>
      </c>
      <c r="F593" s="12" t="s">
        <v>138</v>
      </c>
      <c r="G593" s="12" t="s">
        <v>139</v>
      </c>
      <c r="H593" s="9" t="s">
        <v>18</v>
      </c>
      <c r="I593" s="9" t="str">
        <f>IFERROR(INDEX('Price List Library'!$P$6:$P$437,MATCH(TRIM($G593)&amp;"|"&amp;TRIM($H593),'Price List Library'!$S$6:$S$437,0)),"")</f>
        <v>Priced</v>
      </c>
      <c r="J593" s="20">
        <f>IFERROR(INDEX('Price List Library'!$O$6:$O$437,MATCH(TRIM($G593)&amp;"|"&amp;TRIM($H593),'Price List Library'!$S$6:$S$437,0)),0)</f>
        <v>9.6800000000000015</v>
      </c>
      <c r="K593" s="13" t="s">
        <v>2096</v>
      </c>
    </row>
    <row r="594" spans="1:11" ht="15" customHeight="1" x14ac:dyDescent="0.25">
      <c r="A594" s="9">
        <v>589</v>
      </c>
      <c r="B594" s="14" t="s">
        <v>348</v>
      </c>
      <c r="C594" s="15" t="s">
        <v>716</v>
      </c>
      <c r="D594" s="12" t="s">
        <v>717</v>
      </c>
      <c r="E594" s="12" t="s">
        <v>138</v>
      </c>
      <c r="F594" s="12" t="s">
        <v>138</v>
      </c>
      <c r="G594" s="12" t="s">
        <v>1555</v>
      </c>
      <c r="H594" s="9" t="s">
        <v>18</v>
      </c>
      <c r="I594" s="9" t="str">
        <f>IFERROR(INDEX('Price List Library'!$P$6:$P$437,MATCH(TRIM($G594)&amp;"|"&amp;TRIM($H594),'Price List Library'!$S$6:$S$437,0)),"")</f>
        <v>Priced</v>
      </c>
      <c r="J594" s="20">
        <f>IFERROR(INDEX('Price List Library'!$O$6:$O$437,MATCH(TRIM($G594)&amp;"|"&amp;TRIM($H594),'Price List Library'!$S$6:$S$437,0)),0)</f>
        <v>9.120000000000001</v>
      </c>
      <c r="K594" s="13" t="s">
        <v>2097</v>
      </c>
    </row>
    <row r="595" spans="1:11" ht="15" customHeight="1" x14ac:dyDescent="0.25">
      <c r="A595" s="9">
        <v>590</v>
      </c>
      <c r="B595" s="14" t="s">
        <v>348</v>
      </c>
      <c r="C595" s="15" t="s">
        <v>716</v>
      </c>
      <c r="D595" s="12" t="s">
        <v>717</v>
      </c>
      <c r="E595" s="12" t="s">
        <v>138</v>
      </c>
      <c r="F595" s="12" t="s">
        <v>138</v>
      </c>
      <c r="G595" s="12" t="s">
        <v>1557</v>
      </c>
      <c r="H595" s="9" t="s">
        <v>18</v>
      </c>
      <c r="I595" s="9" t="str">
        <f>IFERROR(INDEX('Price List Library'!$P$6:$P$437,MATCH(TRIM($G595)&amp;"|"&amp;TRIM($H595),'Price List Library'!$S$6:$S$437,0)),"")</f>
        <v>Benchmark</v>
      </c>
      <c r="J595" s="20">
        <f>IFERROR(INDEX('Price List Library'!$O$6:$O$437,MATCH(TRIM($G595)&amp;"|"&amp;TRIM($H595),'Price List Library'!$S$6:$S$437,0)),0)</f>
        <v>8.8000000000000007</v>
      </c>
      <c r="K595" s="13" t="s">
        <v>2098</v>
      </c>
    </row>
    <row r="596" spans="1:11" ht="15" customHeight="1" x14ac:dyDescent="0.25">
      <c r="A596" s="9">
        <v>591</v>
      </c>
      <c r="B596" s="14" t="s">
        <v>348</v>
      </c>
      <c r="C596" s="15" t="s">
        <v>716</v>
      </c>
      <c r="D596" s="12" t="s">
        <v>717</v>
      </c>
      <c r="E596" s="12" t="s">
        <v>138</v>
      </c>
      <c r="F596" s="12" t="s">
        <v>755</v>
      </c>
      <c r="G596" s="12" t="s">
        <v>755</v>
      </c>
      <c r="H596" s="9" t="s">
        <v>18</v>
      </c>
      <c r="I596" s="9" t="str">
        <f>IFERROR(INDEX('Price List Library'!$P$6:$P$437,MATCH(TRIM($G596)&amp;"|"&amp;TRIM($H596),'Price List Library'!$S$6:$S$437,0)),"")</f>
        <v>Priced</v>
      </c>
      <c r="J596" s="20">
        <f>IFERROR(INDEX('Price List Library'!$O$6:$O$437,MATCH(TRIM($G596)&amp;"|"&amp;TRIM($H596),'Price List Library'!$S$6:$S$437,0)),0)</f>
        <v>4</v>
      </c>
      <c r="K596" s="13" t="s">
        <v>2099</v>
      </c>
    </row>
    <row r="597" spans="1:11" ht="15" customHeight="1" x14ac:dyDescent="0.25">
      <c r="A597" s="9">
        <v>592</v>
      </c>
      <c r="B597" s="14" t="s">
        <v>348</v>
      </c>
      <c r="C597" s="15" t="s">
        <v>716</v>
      </c>
      <c r="D597" s="12" t="s">
        <v>717</v>
      </c>
      <c r="E597" s="12" t="s">
        <v>757</v>
      </c>
      <c r="F597" s="12" t="s">
        <v>713</v>
      </c>
      <c r="G597" s="12" t="s">
        <v>714</v>
      </c>
      <c r="H597" s="9" t="s">
        <v>61</v>
      </c>
      <c r="I597" s="9" t="str">
        <f>IFERROR(INDEX('Price List Library'!$P$6:$P$437,MATCH(TRIM($G597)&amp;"|"&amp;TRIM($H597),'Price List Library'!$S$6:$S$437,0)),"")</f>
        <v>Benchmark</v>
      </c>
      <c r="J597" s="20">
        <f>IFERROR(INDEX('Price List Library'!$O$6:$O$437,MATCH(TRIM($G597)&amp;"|"&amp;TRIM($H597),'Price List Library'!$S$6:$S$437,0)),0)</f>
        <v>5.072000000000001</v>
      </c>
      <c r="K597" s="13" t="s">
        <v>2100</v>
      </c>
    </row>
    <row r="598" spans="1:11" ht="15" customHeight="1" x14ac:dyDescent="0.25">
      <c r="A598" s="9">
        <v>593</v>
      </c>
      <c r="B598" s="14" t="s">
        <v>348</v>
      </c>
      <c r="C598" s="15" t="s">
        <v>716</v>
      </c>
      <c r="D598" s="12" t="s">
        <v>717</v>
      </c>
      <c r="E598" s="12" t="s">
        <v>757</v>
      </c>
      <c r="F598" s="12" t="s">
        <v>543</v>
      </c>
      <c r="G598" s="12" t="s">
        <v>544</v>
      </c>
      <c r="H598" s="9" t="s">
        <v>61</v>
      </c>
      <c r="I598" s="9" t="str">
        <f>IFERROR(INDEX('Price List Library'!$P$6:$P$437,MATCH(TRIM($G598)&amp;"|"&amp;TRIM($H598),'Price List Library'!$S$6:$S$437,0)),"")</f>
        <v>Benchmark</v>
      </c>
      <c r="J598" s="20">
        <f>IFERROR(INDEX('Price List Library'!$O$6:$O$437,MATCH(TRIM($G598)&amp;"|"&amp;TRIM($H598),'Price List Library'!$S$6:$S$437,0)),0)</f>
        <v>10.280000000000001</v>
      </c>
      <c r="K598" s="13" t="s">
        <v>2101</v>
      </c>
    </row>
    <row r="599" spans="1:11" ht="15" customHeight="1" x14ac:dyDescent="0.25">
      <c r="A599" s="9">
        <v>594</v>
      </c>
      <c r="B599" s="14" t="s">
        <v>348</v>
      </c>
      <c r="C599" s="15" t="s">
        <v>716</v>
      </c>
      <c r="D599" s="12" t="s">
        <v>717</v>
      </c>
      <c r="E599" s="12" t="s">
        <v>757</v>
      </c>
      <c r="F599" s="12" t="s">
        <v>760</v>
      </c>
      <c r="G599" s="12" t="s">
        <v>761</v>
      </c>
      <c r="H599" s="9" t="s">
        <v>61</v>
      </c>
      <c r="I599" s="9" t="str">
        <f>IFERROR(INDEX('Price List Library'!$P$6:$P$437,MATCH(TRIM($G599)&amp;"|"&amp;TRIM($H599),'Price List Library'!$S$6:$S$437,0)),"")</f>
        <v>Benchmark</v>
      </c>
      <c r="J599" s="20">
        <f>IFERROR(INDEX('Price List Library'!$O$6:$O$437,MATCH(TRIM($G599)&amp;"|"&amp;TRIM($H599),'Price List Library'!$S$6:$S$437,0)),0)</f>
        <v>7.4400000000000013</v>
      </c>
      <c r="K599" s="13" t="s">
        <v>2102</v>
      </c>
    </row>
    <row r="600" spans="1:11" ht="15" customHeight="1" x14ac:dyDescent="0.25">
      <c r="A600" s="9">
        <v>595</v>
      </c>
      <c r="B600" s="14" t="s">
        <v>348</v>
      </c>
      <c r="C600" s="15" t="s">
        <v>763</v>
      </c>
      <c r="D600" s="12" t="s">
        <v>764</v>
      </c>
      <c r="E600" s="12" t="s">
        <v>765</v>
      </c>
      <c r="F600" s="12" t="s">
        <v>765</v>
      </c>
      <c r="G600" s="12" t="s">
        <v>766</v>
      </c>
      <c r="H600" s="9" t="s">
        <v>18</v>
      </c>
      <c r="I600" s="9" t="str">
        <f>IFERROR(INDEX('Price List Library'!$P$6:$P$437,MATCH(TRIM($G600)&amp;"|"&amp;TRIM($H600),'Price List Library'!$S$6:$S$437,0)),"")</f>
        <v>Priced</v>
      </c>
      <c r="J600" s="20">
        <f>IFERROR(INDEX('Price List Library'!$O$6:$O$437,MATCH(TRIM($G600)&amp;"|"&amp;TRIM($H600),'Price List Library'!$S$6:$S$437,0)),0)</f>
        <v>11.440000000000001</v>
      </c>
      <c r="K600" s="13" t="s">
        <v>2103</v>
      </c>
    </row>
    <row r="601" spans="1:11" ht="15" customHeight="1" x14ac:dyDescent="0.25">
      <c r="A601" s="9">
        <v>596</v>
      </c>
      <c r="B601" s="14" t="s">
        <v>348</v>
      </c>
      <c r="C601" s="15" t="s">
        <v>763</v>
      </c>
      <c r="D601" s="12" t="s">
        <v>764</v>
      </c>
      <c r="E601" s="12" t="s">
        <v>765</v>
      </c>
      <c r="F601" s="12" t="s">
        <v>768</v>
      </c>
      <c r="G601" s="12" t="s">
        <v>769</v>
      </c>
      <c r="H601" s="9" t="s">
        <v>18</v>
      </c>
      <c r="I601" s="9" t="str">
        <f>IFERROR(INDEX('Price List Library'!$P$6:$P$437,MATCH(TRIM($G601)&amp;"|"&amp;TRIM($H601),'Price List Library'!$S$6:$S$437,0)),"")</f>
        <v>Benchmark</v>
      </c>
      <c r="J601" s="20">
        <f>IFERROR(INDEX('Price List Library'!$O$6:$O$437,MATCH(TRIM($G601)&amp;"|"&amp;TRIM($H601),'Price List Library'!$S$6:$S$437,0)),0)</f>
        <v>14.920000000000002</v>
      </c>
      <c r="K601" s="13" t="s">
        <v>2104</v>
      </c>
    </row>
    <row r="602" spans="1:11" ht="15" customHeight="1" x14ac:dyDescent="0.25">
      <c r="A602" s="9">
        <v>597</v>
      </c>
      <c r="B602" s="14" t="s">
        <v>348</v>
      </c>
      <c r="C602" s="15" t="s">
        <v>763</v>
      </c>
      <c r="D602" s="12" t="s">
        <v>764</v>
      </c>
      <c r="E602" s="12" t="s">
        <v>765</v>
      </c>
      <c r="F602" s="12" t="s">
        <v>771</v>
      </c>
      <c r="G602" s="12" t="s">
        <v>772</v>
      </c>
      <c r="H602" s="9" t="s">
        <v>18</v>
      </c>
      <c r="I602" s="9" t="str">
        <f>IFERROR(INDEX('Price List Library'!$P$6:$P$437,MATCH(TRIM($G602)&amp;"|"&amp;TRIM($H602),'Price List Library'!$S$6:$S$437,0)),"")</f>
        <v>Benchmark</v>
      </c>
      <c r="J602" s="20">
        <f>IFERROR(INDEX('Price List Library'!$O$6:$O$437,MATCH(TRIM($G602)&amp;"|"&amp;TRIM($H602),'Price List Library'!$S$6:$S$437,0)),0)</f>
        <v>16.04</v>
      </c>
      <c r="K602" s="13" t="s">
        <v>2105</v>
      </c>
    </row>
    <row r="603" spans="1:11" ht="15" customHeight="1" x14ac:dyDescent="0.25">
      <c r="A603" s="9">
        <v>598</v>
      </c>
      <c r="B603" s="14" t="s">
        <v>348</v>
      </c>
      <c r="C603" s="15" t="s">
        <v>763</v>
      </c>
      <c r="D603" s="12" t="s">
        <v>764</v>
      </c>
      <c r="E603" s="12" t="s">
        <v>774</v>
      </c>
      <c r="F603" s="12" t="s">
        <v>775</v>
      </c>
      <c r="G603" s="12" t="s">
        <v>776</v>
      </c>
      <c r="H603" s="9" t="s">
        <v>18</v>
      </c>
      <c r="I603" s="9" t="str">
        <f>IFERROR(INDEX('Price List Library'!$P$6:$P$437,MATCH(TRIM($G603)&amp;"|"&amp;TRIM($H603),'Price List Library'!$S$6:$S$437,0)),"")</f>
        <v>Benchmark</v>
      </c>
      <c r="J603" s="20">
        <f>IFERROR(INDEX('Price List Library'!$O$6:$O$437,MATCH(TRIM($G603)&amp;"|"&amp;TRIM($H603),'Price List Library'!$S$6:$S$437,0)),0)</f>
        <v>16.52</v>
      </c>
      <c r="K603" s="13" t="s">
        <v>2106</v>
      </c>
    </row>
    <row r="604" spans="1:11" ht="15" customHeight="1" x14ac:dyDescent="0.25">
      <c r="A604" s="9">
        <v>599</v>
      </c>
      <c r="B604" s="14" t="s">
        <v>348</v>
      </c>
      <c r="C604" s="15" t="s">
        <v>763</v>
      </c>
      <c r="D604" s="12" t="s">
        <v>764</v>
      </c>
      <c r="E604" s="12" t="s">
        <v>774</v>
      </c>
      <c r="F604" s="12" t="s">
        <v>778</v>
      </c>
      <c r="G604" s="12" t="s">
        <v>779</v>
      </c>
      <c r="H604" s="9" t="s">
        <v>18</v>
      </c>
      <c r="I604" s="9" t="str">
        <f>IFERROR(INDEX('Price List Library'!$P$6:$P$437,MATCH(TRIM($G604)&amp;"|"&amp;TRIM($H604),'Price List Library'!$S$6:$S$437,0)),"")</f>
        <v>Benchmark</v>
      </c>
      <c r="J604" s="20">
        <f>IFERROR(INDEX('Price List Library'!$O$6:$O$437,MATCH(TRIM($G604)&amp;"|"&amp;TRIM($H604),'Price List Library'!$S$6:$S$437,0)),0)</f>
        <v>17.64</v>
      </c>
      <c r="K604" s="13" t="s">
        <v>2107</v>
      </c>
    </row>
    <row r="605" spans="1:11" ht="15" customHeight="1" x14ac:dyDescent="0.25">
      <c r="A605" s="9">
        <v>600</v>
      </c>
      <c r="B605" s="14" t="s">
        <v>348</v>
      </c>
      <c r="C605" s="15" t="s">
        <v>763</v>
      </c>
      <c r="D605" s="12" t="s">
        <v>764</v>
      </c>
      <c r="E605" s="12" t="s">
        <v>781</v>
      </c>
      <c r="F605" s="12" t="s">
        <v>782</v>
      </c>
      <c r="G605" s="12" t="s">
        <v>783</v>
      </c>
      <c r="H605" s="9" t="s">
        <v>18</v>
      </c>
      <c r="I605" s="9" t="str">
        <f>IFERROR(INDEX('Price List Library'!$P$6:$P$437,MATCH(TRIM($G605)&amp;"|"&amp;TRIM($H605),'Price List Library'!$S$6:$S$437,0)),"")</f>
        <v>Benchmark</v>
      </c>
      <c r="J605" s="20">
        <f>IFERROR(INDEX('Price List Library'!$O$6:$O$437,MATCH(TRIM($G605)&amp;"|"&amp;TRIM($H605),'Price List Library'!$S$6:$S$437,0)),0)</f>
        <v>31.240000000000002</v>
      </c>
      <c r="K605" s="13" t="s">
        <v>2108</v>
      </c>
    </row>
    <row r="606" spans="1:11" ht="15" customHeight="1" x14ac:dyDescent="0.25">
      <c r="A606" s="9">
        <v>601</v>
      </c>
      <c r="B606" s="14" t="s">
        <v>348</v>
      </c>
      <c r="C606" s="15" t="s">
        <v>763</v>
      </c>
      <c r="D606" s="12" t="s">
        <v>764</v>
      </c>
      <c r="E606" s="12" t="s">
        <v>781</v>
      </c>
      <c r="F606" s="12" t="s">
        <v>785</v>
      </c>
      <c r="G606" s="12" t="s">
        <v>786</v>
      </c>
      <c r="H606" s="9" t="s">
        <v>18</v>
      </c>
      <c r="I606" s="9" t="str">
        <f>IFERROR(INDEX('Price List Library'!$P$6:$P$437,MATCH(TRIM($G606)&amp;"|"&amp;TRIM($H606),'Price List Library'!$S$6:$S$437,0)),"")</f>
        <v>Benchmark</v>
      </c>
      <c r="J606" s="20">
        <f>IFERROR(INDEX('Price List Library'!$O$6:$O$437,MATCH(TRIM($G606)&amp;"|"&amp;TRIM($H606),'Price List Library'!$S$6:$S$437,0)),0)</f>
        <v>35.120000000000005</v>
      </c>
      <c r="K606" s="13" t="s">
        <v>2109</v>
      </c>
    </row>
    <row r="607" spans="1:11" ht="15" customHeight="1" x14ac:dyDescent="0.25">
      <c r="A607" s="9">
        <v>602</v>
      </c>
      <c r="B607" s="14" t="s">
        <v>348</v>
      </c>
      <c r="C607" s="15" t="s">
        <v>763</v>
      </c>
      <c r="D607" s="12" t="s">
        <v>764</v>
      </c>
      <c r="E607" s="12" t="s">
        <v>788</v>
      </c>
      <c r="F607" s="12" t="s">
        <v>789</v>
      </c>
      <c r="G607" s="12" t="s">
        <v>790</v>
      </c>
      <c r="H607" s="9" t="s">
        <v>57</v>
      </c>
      <c r="I607" s="9" t="str">
        <f>IFERROR(INDEX('Price List Library'!$P$6:$P$437,MATCH(TRIM($G607)&amp;"|"&amp;TRIM($H607),'Price List Library'!$S$6:$S$437,0)),"")</f>
        <v>Benchmark</v>
      </c>
      <c r="J607" s="20">
        <f>IFERROR(INDEX('Price List Library'!$O$6:$O$437,MATCH(TRIM($G607)&amp;"|"&amp;TRIM($H607),'Price List Library'!$S$6:$S$437,0)),0)</f>
        <v>36.320000000000007</v>
      </c>
      <c r="K607" s="13" t="s">
        <v>2110</v>
      </c>
    </row>
    <row r="608" spans="1:11" ht="15" customHeight="1" x14ac:dyDescent="0.25">
      <c r="A608" s="9">
        <v>603</v>
      </c>
      <c r="B608" s="14" t="s">
        <v>348</v>
      </c>
      <c r="C608" s="15" t="s">
        <v>763</v>
      </c>
      <c r="D608" s="12" t="s">
        <v>764</v>
      </c>
      <c r="E608" s="12" t="s">
        <v>788</v>
      </c>
      <c r="F608" s="12" t="s">
        <v>792</v>
      </c>
      <c r="G608" s="12" t="s">
        <v>793</v>
      </c>
      <c r="H608" s="9" t="s">
        <v>61</v>
      </c>
      <c r="I608" s="9" t="str">
        <f>IFERROR(INDEX('Price List Library'!$P$6:$P$437,MATCH(TRIM($G608)&amp;"|"&amp;TRIM($H608),'Price List Library'!$S$6:$S$437,0)),"")</f>
        <v>Benchmark</v>
      </c>
      <c r="J608" s="20">
        <f>IFERROR(INDEX('Price List Library'!$O$6:$O$437,MATCH(TRIM($G608)&amp;"|"&amp;TRIM($H608),'Price List Library'!$S$6:$S$437,0)),0)</f>
        <v>8.0400000000000009</v>
      </c>
      <c r="K608" s="13" t="s">
        <v>2111</v>
      </c>
    </row>
    <row r="609" spans="1:11" ht="15" customHeight="1" x14ac:dyDescent="0.25">
      <c r="A609" s="9">
        <v>604</v>
      </c>
      <c r="B609" s="14" t="s">
        <v>348</v>
      </c>
      <c r="C609" s="15" t="s">
        <v>763</v>
      </c>
      <c r="D609" s="12" t="s">
        <v>764</v>
      </c>
      <c r="E609" s="12" t="s">
        <v>788</v>
      </c>
      <c r="F609" s="12" t="s">
        <v>795</v>
      </c>
      <c r="G609" s="12" t="s">
        <v>796</v>
      </c>
      <c r="H609" s="9" t="s">
        <v>61</v>
      </c>
      <c r="I609" s="9" t="str">
        <f>IFERROR(INDEX('Price List Library'!$P$6:$P$437,MATCH(TRIM($G609)&amp;"|"&amp;TRIM($H609),'Price List Library'!$S$6:$S$437,0)),"")</f>
        <v>Benchmark</v>
      </c>
      <c r="J609" s="20">
        <f>IFERROR(INDEX('Price List Library'!$O$6:$O$437,MATCH(TRIM($G609)&amp;"|"&amp;TRIM($H609),'Price List Library'!$S$6:$S$437,0)),0)</f>
        <v>20.64</v>
      </c>
      <c r="K609" s="13" t="s">
        <v>2112</v>
      </c>
    </row>
    <row r="610" spans="1:11" ht="15" customHeight="1" x14ac:dyDescent="0.25">
      <c r="A610" s="9">
        <v>605</v>
      </c>
      <c r="B610" s="14" t="s">
        <v>348</v>
      </c>
      <c r="C610" s="15" t="s">
        <v>763</v>
      </c>
      <c r="D610" s="12" t="s">
        <v>764</v>
      </c>
      <c r="E610" s="12" t="s">
        <v>788</v>
      </c>
      <c r="F610" s="12" t="s">
        <v>798</v>
      </c>
      <c r="G610" s="12" t="s">
        <v>799</v>
      </c>
      <c r="H610" s="9" t="s">
        <v>18</v>
      </c>
      <c r="I610" s="9" t="str">
        <f>IFERROR(INDEX('Price List Library'!$P$6:$P$437,MATCH(TRIM($G610)&amp;"|"&amp;TRIM($H610),'Price List Library'!$S$6:$S$437,0)),"")</f>
        <v>Benchmark</v>
      </c>
      <c r="J610" s="20">
        <f>IFERROR(INDEX('Price List Library'!$O$6:$O$437,MATCH(TRIM($G610)&amp;"|"&amp;TRIM($H610),'Price List Library'!$S$6:$S$437,0)),0)</f>
        <v>4.1440000000000001</v>
      </c>
      <c r="K610" s="13" t="s">
        <v>2113</v>
      </c>
    </row>
    <row r="611" spans="1:11" ht="15" customHeight="1" x14ac:dyDescent="0.25">
      <c r="A611" s="9">
        <v>606</v>
      </c>
      <c r="B611" s="14" t="s">
        <v>348</v>
      </c>
      <c r="C611" s="15" t="s">
        <v>763</v>
      </c>
      <c r="D611" s="12" t="s">
        <v>764</v>
      </c>
      <c r="E611" s="12" t="s">
        <v>788</v>
      </c>
      <c r="F611" s="12" t="s">
        <v>801</v>
      </c>
      <c r="G611" s="12" t="s">
        <v>802</v>
      </c>
      <c r="H611" s="9" t="s">
        <v>61</v>
      </c>
      <c r="I611" s="9" t="str">
        <f>IFERROR(INDEX('Price List Library'!$P$6:$P$437,MATCH(TRIM($G611)&amp;"|"&amp;TRIM($H611),'Price List Library'!$S$6:$S$437,0)),"")</f>
        <v>Benchmark</v>
      </c>
      <c r="J611" s="20">
        <f>IFERROR(INDEX('Price List Library'!$O$6:$O$437,MATCH(TRIM($G611)&amp;"|"&amp;TRIM($H611),'Price List Library'!$S$6:$S$437,0)),0)</f>
        <v>14.880000000000003</v>
      </c>
      <c r="K611" s="13" t="s">
        <v>2114</v>
      </c>
    </row>
    <row r="612" spans="1:11" ht="15" customHeight="1" x14ac:dyDescent="0.25">
      <c r="A612" s="9">
        <v>607</v>
      </c>
      <c r="B612" s="14" t="s">
        <v>348</v>
      </c>
      <c r="C612" s="15" t="s">
        <v>804</v>
      </c>
      <c r="D612" s="12" t="s">
        <v>805</v>
      </c>
      <c r="E612" s="12" t="s">
        <v>806</v>
      </c>
      <c r="F612" s="12" t="s">
        <v>807</v>
      </c>
      <c r="G612" s="12" t="s">
        <v>809</v>
      </c>
      <c r="H612" s="9" t="s">
        <v>808</v>
      </c>
      <c r="I612" s="9" t="str">
        <f>IFERROR(INDEX('Price List Library'!$P$6:$P$437,MATCH(TRIM($G612)&amp;"|"&amp;TRIM($H612),'Price List Library'!$S$6:$S$437,0)),"")</f>
        <v>Benchmark</v>
      </c>
      <c r="J612" s="20">
        <f>IFERROR(INDEX('Price List Library'!$O$6:$O$437,MATCH(TRIM($G612)&amp;"|"&amp;TRIM($H612),'Price List Library'!$S$6:$S$437,0)),0)</f>
        <v>90.56</v>
      </c>
      <c r="K612" s="13" t="s">
        <v>2115</v>
      </c>
    </row>
    <row r="613" spans="1:11" ht="15" customHeight="1" x14ac:dyDescent="0.25">
      <c r="A613" s="9">
        <v>608</v>
      </c>
      <c r="B613" s="14" t="s">
        <v>348</v>
      </c>
      <c r="C613" s="15" t="s">
        <v>804</v>
      </c>
      <c r="D613" s="12" t="s">
        <v>805</v>
      </c>
      <c r="E613" s="12" t="s">
        <v>806</v>
      </c>
      <c r="F613" s="12" t="s">
        <v>710</v>
      </c>
      <c r="G613" s="12" t="s">
        <v>711</v>
      </c>
      <c r="H613" s="9" t="s">
        <v>57</v>
      </c>
      <c r="I613" s="9" t="str">
        <f>IFERROR(INDEX('Price List Library'!$P$6:$P$437,MATCH(TRIM($G613)&amp;"|"&amp;TRIM($H613),'Price List Library'!$S$6:$S$437,0)),"")</f>
        <v>Benchmark</v>
      </c>
      <c r="J613" s="20">
        <f>IFERROR(INDEX('Price List Library'!$O$6:$O$437,MATCH(TRIM($G613)&amp;"|"&amp;TRIM($H613),'Price List Library'!$S$6:$S$437,0)),0)</f>
        <v>57.600000000000009</v>
      </c>
      <c r="K613" s="13" t="s">
        <v>2116</v>
      </c>
    </row>
    <row r="614" spans="1:11" ht="15" customHeight="1" x14ac:dyDescent="0.25">
      <c r="A614" s="9">
        <v>609</v>
      </c>
      <c r="B614" s="14" t="s">
        <v>348</v>
      </c>
      <c r="C614" s="15" t="s">
        <v>804</v>
      </c>
      <c r="D614" s="12" t="s">
        <v>805</v>
      </c>
      <c r="E614" s="12" t="s">
        <v>806</v>
      </c>
      <c r="F614" s="12" t="s">
        <v>812</v>
      </c>
      <c r="G614" s="12" t="s">
        <v>813</v>
      </c>
      <c r="H614" s="9" t="s">
        <v>61</v>
      </c>
      <c r="I614" s="9" t="str">
        <f>IFERROR(INDEX('Price List Library'!$P$6:$P$437,MATCH(TRIM($G614)&amp;"|"&amp;TRIM($H614),'Price List Library'!$S$6:$S$437,0)),"")</f>
        <v>Benchmark</v>
      </c>
      <c r="J614" s="20">
        <f>IFERROR(INDEX('Price List Library'!$O$6:$O$437,MATCH(TRIM($G614)&amp;"|"&amp;TRIM($H614),'Price List Library'!$S$6:$S$437,0)),0)</f>
        <v>120.80000000000001</v>
      </c>
      <c r="K614" s="13" t="s">
        <v>2117</v>
      </c>
    </row>
    <row r="615" spans="1:11" ht="15" customHeight="1" x14ac:dyDescent="0.25">
      <c r="A615" s="9">
        <v>610</v>
      </c>
      <c r="B615" s="14" t="s">
        <v>348</v>
      </c>
      <c r="C615" s="15" t="s">
        <v>804</v>
      </c>
      <c r="D615" s="12" t="s">
        <v>805</v>
      </c>
      <c r="E615" s="12" t="s">
        <v>806</v>
      </c>
      <c r="F615" s="12" t="s">
        <v>815</v>
      </c>
      <c r="G615" s="12" t="s">
        <v>816</v>
      </c>
      <c r="H615" s="9" t="s">
        <v>57</v>
      </c>
      <c r="I615" s="9" t="str">
        <f>IFERROR(INDEX('Price List Library'!$P$6:$P$437,MATCH(TRIM($G615)&amp;"|"&amp;TRIM($H615),'Price List Library'!$S$6:$S$437,0)),"")</f>
        <v>Benchmark</v>
      </c>
      <c r="J615" s="20">
        <f>IFERROR(INDEX('Price List Library'!$O$6:$O$437,MATCH(TRIM($G615)&amp;"|"&amp;TRIM($H615),'Price List Library'!$S$6:$S$437,0)),0)</f>
        <v>176.8</v>
      </c>
      <c r="K615" s="13" t="s">
        <v>2118</v>
      </c>
    </row>
    <row r="616" spans="1:11" ht="15" customHeight="1" x14ac:dyDescent="0.25">
      <c r="A616" s="9">
        <v>611</v>
      </c>
      <c r="B616" s="14" t="s">
        <v>348</v>
      </c>
      <c r="C616" s="15" t="s">
        <v>804</v>
      </c>
      <c r="D616" s="12" t="s">
        <v>805</v>
      </c>
      <c r="E616" s="12" t="s">
        <v>806</v>
      </c>
      <c r="F616" s="12" t="s">
        <v>818</v>
      </c>
      <c r="G616" s="12" t="s">
        <v>819</v>
      </c>
      <c r="H616" s="9" t="s">
        <v>61</v>
      </c>
      <c r="I616" s="9" t="str">
        <f>IFERROR(INDEX('Price List Library'!$P$6:$P$437,MATCH(TRIM($G616)&amp;"|"&amp;TRIM($H616),'Price List Library'!$S$6:$S$437,0)),"")</f>
        <v>Benchmark</v>
      </c>
      <c r="J616" s="20">
        <f>IFERROR(INDEX('Price List Library'!$O$6:$O$437,MATCH(TRIM($G616)&amp;"|"&amp;TRIM($H616),'Price List Library'!$S$6:$S$437,0)),0)</f>
        <v>56.640000000000008</v>
      </c>
      <c r="K616" s="13" t="s">
        <v>2119</v>
      </c>
    </row>
    <row r="617" spans="1:11" ht="15" customHeight="1" x14ac:dyDescent="0.25">
      <c r="A617" s="9">
        <v>612</v>
      </c>
      <c r="B617" s="14" t="s">
        <v>348</v>
      </c>
      <c r="C617" s="15" t="s">
        <v>804</v>
      </c>
      <c r="D617" s="12" t="s">
        <v>805</v>
      </c>
      <c r="E617" s="12" t="s">
        <v>806</v>
      </c>
      <c r="F617" s="12" t="s">
        <v>821</v>
      </c>
      <c r="G617" s="12" t="s">
        <v>822</v>
      </c>
      <c r="H617" s="9" t="s">
        <v>18</v>
      </c>
      <c r="I617" s="9" t="str">
        <f>IFERROR(INDEX('Price List Library'!$P$6:$P$437,MATCH(TRIM($G617)&amp;"|"&amp;TRIM($H617),'Price List Library'!$S$6:$S$437,0)),"")</f>
        <v>Benchmark</v>
      </c>
      <c r="J617" s="20">
        <f>IFERROR(INDEX('Price List Library'!$O$6:$O$437,MATCH(TRIM($G617)&amp;"|"&amp;TRIM($H617),'Price List Library'!$S$6:$S$437,0)),0)</f>
        <v>35.120000000000005</v>
      </c>
      <c r="K617" s="13" t="s">
        <v>2120</v>
      </c>
    </row>
    <row r="618" spans="1:11" ht="15" customHeight="1" x14ac:dyDescent="0.25">
      <c r="A618" s="9">
        <v>613</v>
      </c>
      <c r="B618" s="14" t="s">
        <v>348</v>
      </c>
      <c r="C618" s="15" t="s">
        <v>804</v>
      </c>
      <c r="D618" s="12" t="s">
        <v>805</v>
      </c>
      <c r="E618" s="12" t="s">
        <v>806</v>
      </c>
      <c r="F618" s="12" t="s">
        <v>824</v>
      </c>
      <c r="G618" s="12" t="s">
        <v>825</v>
      </c>
      <c r="H618" s="9" t="s">
        <v>57</v>
      </c>
      <c r="I618" s="9" t="str">
        <f>IFERROR(INDEX('Price List Library'!$P$6:$P$437,MATCH(TRIM($G618)&amp;"|"&amp;TRIM($H618),'Price List Library'!$S$6:$S$437,0)),"")</f>
        <v>Benchmark</v>
      </c>
      <c r="J618" s="20">
        <f>IFERROR(INDEX('Price List Library'!$O$6:$O$437,MATCH(TRIM($G618)&amp;"|"&amp;TRIM($H618),'Price List Library'!$S$6:$S$437,0)),0)</f>
        <v>148.80000000000001</v>
      </c>
      <c r="K618" s="13" t="s">
        <v>2121</v>
      </c>
    </row>
    <row r="619" spans="1:11" ht="15" customHeight="1" x14ac:dyDescent="0.25">
      <c r="A619" s="9">
        <v>614</v>
      </c>
      <c r="B619" s="14" t="s">
        <v>348</v>
      </c>
      <c r="C619" s="15" t="s">
        <v>827</v>
      </c>
      <c r="D619" s="12" t="s">
        <v>805</v>
      </c>
      <c r="E619" s="12" t="s">
        <v>828</v>
      </c>
      <c r="F619" s="12" t="s">
        <v>829</v>
      </c>
      <c r="G619" s="12" t="s">
        <v>830</v>
      </c>
      <c r="H619" s="9" t="s">
        <v>61</v>
      </c>
      <c r="I619" s="9" t="str">
        <f>IFERROR(INDEX('Price List Library'!$P$6:$P$437,MATCH(TRIM($G619)&amp;"|"&amp;TRIM($H619),'Price List Library'!$S$6:$S$437,0)),"")</f>
        <v>Benchmark</v>
      </c>
      <c r="J619" s="20">
        <f>IFERROR(INDEX('Price List Library'!$O$6:$O$437,MATCH(TRIM($G619)&amp;"|"&amp;TRIM($H619),'Price List Library'!$S$6:$S$437,0)),0)</f>
        <v>237.20000000000002</v>
      </c>
      <c r="K619" s="13" t="s">
        <v>2122</v>
      </c>
    </row>
    <row r="620" spans="1:11" ht="15" customHeight="1" x14ac:dyDescent="0.25">
      <c r="A620" s="9">
        <v>615</v>
      </c>
      <c r="B620" s="14" t="s">
        <v>348</v>
      </c>
      <c r="C620" s="15" t="s">
        <v>827</v>
      </c>
      <c r="D620" s="12" t="s">
        <v>805</v>
      </c>
      <c r="E620" s="12" t="s">
        <v>828</v>
      </c>
      <c r="F620" s="12" t="s">
        <v>812</v>
      </c>
      <c r="G620" s="12" t="s">
        <v>813</v>
      </c>
      <c r="H620" s="9" t="s">
        <v>61</v>
      </c>
      <c r="I620" s="9" t="str">
        <f>IFERROR(INDEX('Price List Library'!$P$6:$P$437,MATCH(TRIM($G620)&amp;"|"&amp;TRIM($H620),'Price List Library'!$S$6:$S$437,0)),"")</f>
        <v>Benchmark</v>
      </c>
      <c r="J620" s="20">
        <f>IFERROR(INDEX('Price List Library'!$O$6:$O$437,MATCH(TRIM($G620)&amp;"|"&amp;TRIM($H620),'Price List Library'!$S$6:$S$437,0)),0)</f>
        <v>120.80000000000001</v>
      </c>
      <c r="K620" s="13" t="s">
        <v>2123</v>
      </c>
    </row>
    <row r="621" spans="1:11" ht="15" customHeight="1" x14ac:dyDescent="0.25">
      <c r="A621" s="9">
        <v>616</v>
      </c>
      <c r="B621" s="14" t="s">
        <v>348</v>
      </c>
      <c r="C621" s="15" t="s">
        <v>827</v>
      </c>
      <c r="D621" s="12" t="s">
        <v>805</v>
      </c>
      <c r="E621" s="12" t="s">
        <v>828</v>
      </c>
      <c r="F621" s="12" t="s">
        <v>833</v>
      </c>
      <c r="G621" s="12" t="s">
        <v>834</v>
      </c>
      <c r="H621" s="9" t="s">
        <v>57</v>
      </c>
      <c r="I621" s="9" t="str">
        <f>IFERROR(INDEX('Price List Library'!$P$6:$P$437,MATCH(TRIM($G621)&amp;"|"&amp;TRIM($H621),'Price List Library'!$S$6:$S$437,0)),"")</f>
        <v>Benchmark</v>
      </c>
      <c r="J621" s="20">
        <f>IFERROR(INDEX('Price List Library'!$O$6:$O$437,MATCH(TRIM($G621)&amp;"|"&amp;TRIM($H621),'Price List Library'!$S$6:$S$437,0)),0)</f>
        <v>76</v>
      </c>
      <c r="K621" s="13" t="s">
        <v>2124</v>
      </c>
    </row>
    <row r="622" spans="1:11" ht="15" customHeight="1" x14ac:dyDescent="0.25">
      <c r="A622" s="9">
        <v>617</v>
      </c>
      <c r="B622" s="14" t="s">
        <v>348</v>
      </c>
      <c r="C622" s="15" t="s">
        <v>836</v>
      </c>
      <c r="D622" s="12" t="s">
        <v>805</v>
      </c>
      <c r="E622" s="12" t="s">
        <v>837</v>
      </c>
      <c r="F622" s="12" t="s">
        <v>838</v>
      </c>
      <c r="G622" s="12" t="s">
        <v>839</v>
      </c>
      <c r="H622" s="9" t="s">
        <v>61</v>
      </c>
      <c r="I622" s="9" t="str">
        <f>IFERROR(INDEX('Price List Library'!$P$6:$P$437,MATCH(TRIM($G622)&amp;"|"&amp;TRIM($H622),'Price List Library'!$S$6:$S$437,0)),"")</f>
        <v>Benchmark</v>
      </c>
      <c r="J622" s="20">
        <f>IFERROR(INDEX('Price List Library'!$O$6:$O$437,MATCH(TRIM($G622)&amp;"|"&amp;TRIM($H622),'Price List Library'!$S$6:$S$437,0)),0)</f>
        <v>361.20000000000005</v>
      </c>
      <c r="K622" s="13" t="s">
        <v>2125</v>
      </c>
    </row>
    <row r="623" spans="1:11" ht="15" customHeight="1" x14ac:dyDescent="0.25">
      <c r="A623" s="9">
        <v>618</v>
      </c>
      <c r="B623" s="14" t="s">
        <v>348</v>
      </c>
      <c r="C623" s="15" t="s">
        <v>836</v>
      </c>
      <c r="D623" s="12" t="s">
        <v>805</v>
      </c>
      <c r="E623" s="12" t="s">
        <v>837</v>
      </c>
      <c r="F623" s="12" t="s">
        <v>841</v>
      </c>
      <c r="G623" s="12" t="s">
        <v>842</v>
      </c>
      <c r="H623" s="9" t="s">
        <v>61</v>
      </c>
      <c r="I623" s="9" t="str">
        <f>IFERROR(INDEX('Price List Library'!$P$6:$P$437,MATCH(TRIM($G623)&amp;"|"&amp;TRIM($H623),'Price List Library'!$S$6:$S$437,0)),"")</f>
        <v>Benchmark</v>
      </c>
      <c r="J623" s="20">
        <f>IFERROR(INDEX('Price List Library'!$O$6:$O$437,MATCH(TRIM($G623)&amp;"|"&amp;TRIM($H623),'Price List Library'!$S$6:$S$437,0)),0)</f>
        <v>172.8</v>
      </c>
      <c r="K623" s="13" t="s">
        <v>2126</v>
      </c>
    </row>
    <row r="624" spans="1:11" ht="15" customHeight="1" x14ac:dyDescent="0.25">
      <c r="A624" s="9">
        <v>619</v>
      </c>
      <c r="B624" s="14" t="s">
        <v>348</v>
      </c>
      <c r="C624" s="15" t="s">
        <v>836</v>
      </c>
      <c r="D624" s="12" t="s">
        <v>805</v>
      </c>
      <c r="E624" s="12" t="s">
        <v>837</v>
      </c>
      <c r="F624" s="12" t="s">
        <v>844</v>
      </c>
      <c r="G624" s="12" t="s">
        <v>845</v>
      </c>
      <c r="H624" s="9" t="s">
        <v>35</v>
      </c>
      <c r="I624" s="9" t="str">
        <f>IFERROR(INDEX('Price List Library'!$P$6:$P$437,MATCH(TRIM($G624)&amp;"|"&amp;TRIM($H624),'Price List Library'!$S$6:$S$437,0)),"")</f>
        <v>Benchmark</v>
      </c>
      <c r="J624" s="20">
        <f>IFERROR(INDEX('Price List Library'!$O$6:$O$437,MATCH(TRIM($G624)&amp;"|"&amp;TRIM($H624),'Price List Library'!$S$6:$S$437,0)),0)</f>
        <v>8300</v>
      </c>
      <c r="K624" s="13" t="s">
        <v>2127</v>
      </c>
    </row>
    <row r="625" spans="1:11" ht="15" customHeight="1" x14ac:dyDescent="0.25">
      <c r="A625" s="9">
        <v>620</v>
      </c>
      <c r="B625" s="14" t="s">
        <v>348</v>
      </c>
      <c r="C625" s="15" t="s">
        <v>847</v>
      </c>
      <c r="D625" s="12" t="s">
        <v>805</v>
      </c>
      <c r="E625" s="12" t="s">
        <v>848</v>
      </c>
      <c r="F625" s="12" t="s">
        <v>848</v>
      </c>
      <c r="G625" s="12" t="s">
        <v>848</v>
      </c>
      <c r="H625" s="9" t="s">
        <v>57</v>
      </c>
      <c r="I625" s="9" t="str">
        <f>IFERROR(INDEX('Price List Library'!$P$6:$P$437,MATCH(TRIM($G625)&amp;"|"&amp;TRIM($H625),'Price List Library'!$S$6:$S$437,0)),"")</f>
        <v>Benchmark</v>
      </c>
      <c r="J625" s="20">
        <f>IFERROR(INDEX('Price List Library'!$O$6:$O$437,MATCH(TRIM($G625)&amp;"|"&amp;TRIM($H625),'Price List Library'!$S$6:$S$437,0)),0)</f>
        <v>113.2</v>
      </c>
      <c r="K625" s="13" t="s">
        <v>2128</v>
      </c>
    </row>
    <row r="626" spans="1:11" ht="15" customHeight="1" x14ac:dyDescent="0.25">
      <c r="A626" s="9">
        <v>621</v>
      </c>
      <c r="B626" s="14" t="s">
        <v>348</v>
      </c>
      <c r="C626" s="15" t="s">
        <v>847</v>
      </c>
      <c r="D626" s="12" t="s">
        <v>805</v>
      </c>
      <c r="E626" s="12" t="s">
        <v>848</v>
      </c>
      <c r="F626" s="12" t="s">
        <v>850</v>
      </c>
      <c r="G626" s="12" t="s">
        <v>851</v>
      </c>
      <c r="H626" s="9" t="s">
        <v>18</v>
      </c>
      <c r="I626" s="9" t="str">
        <f>IFERROR(INDEX('Price List Library'!$P$6:$P$437,MATCH(TRIM($G626)&amp;"|"&amp;TRIM($H626),'Price List Library'!$S$6:$S$437,0)),"")</f>
        <v>Priced</v>
      </c>
      <c r="J626" s="20">
        <f>IFERROR(INDEX('Price List Library'!$O$6:$O$437,MATCH(TRIM($G626)&amp;"|"&amp;TRIM($H626),'Price List Library'!$S$6:$S$437,0)),0)</f>
        <v>165</v>
      </c>
      <c r="K626" s="13" t="s">
        <v>2129</v>
      </c>
    </row>
    <row r="627" spans="1:11" ht="15" customHeight="1" x14ac:dyDescent="0.25">
      <c r="A627" s="9">
        <v>622</v>
      </c>
      <c r="B627" s="14" t="s">
        <v>348</v>
      </c>
      <c r="C627" s="15" t="s">
        <v>847</v>
      </c>
      <c r="D627" s="12" t="s">
        <v>805</v>
      </c>
      <c r="E627" s="12" t="s">
        <v>848</v>
      </c>
      <c r="F627" s="12" t="s">
        <v>853</v>
      </c>
      <c r="G627" s="12" t="s">
        <v>854</v>
      </c>
      <c r="H627" s="9" t="s">
        <v>2130</v>
      </c>
      <c r="I627" s="9" t="str">
        <f>IFERROR(INDEX('Price List Library'!$P$6:$P$437,MATCH(TRIM($G627)&amp;"|"&amp;TRIM($H627),'Price List Library'!$S$6:$S$437,0)),"")</f>
        <v>Priced</v>
      </c>
      <c r="J627" s="20">
        <f>IFERROR(INDEX('Price List Library'!$O$6:$O$437,MATCH(TRIM($G627)&amp;"|"&amp;TRIM($H627),'Price List Library'!$S$6:$S$437,0)),0)</f>
        <v>3300.0000000000005</v>
      </c>
      <c r="K627" s="13" t="s">
        <v>2131</v>
      </c>
    </row>
    <row r="628" spans="1:11" ht="15" customHeight="1" x14ac:dyDescent="0.25">
      <c r="A628" s="9">
        <v>623</v>
      </c>
      <c r="B628" s="14" t="s">
        <v>348</v>
      </c>
      <c r="C628" s="15" t="s">
        <v>847</v>
      </c>
      <c r="D628" s="12" t="s">
        <v>805</v>
      </c>
      <c r="E628" s="12" t="s">
        <v>848</v>
      </c>
      <c r="F628" s="12" t="s">
        <v>856</v>
      </c>
      <c r="G628" s="12" t="s">
        <v>857</v>
      </c>
      <c r="H628" s="9" t="s">
        <v>57</v>
      </c>
      <c r="I628" s="9" t="str">
        <f>IFERROR(INDEX('Price List Library'!$P$6:$P$437,MATCH(TRIM($G628)&amp;"|"&amp;TRIM($H628),'Price List Library'!$S$6:$S$437,0)),"")</f>
        <v>Benchmark</v>
      </c>
      <c r="J628" s="20">
        <f>IFERROR(INDEX('Price List Library'!$O$6:$O$437,MATCH(TRIM($G628)&amp;"|"&amp;TRIM($H628),'Price List Library'!$S$6:$S$437,0)),0)</f>
        <v>87.200000000000017</v>
      </c>
      <c r="K628" s="13" t="s">
        <v>2132</v>
      </c>
    </row>
    <row r="629" spans="1:11" ht="15" customHeight="1" x14ac:dyDescent="0.25">
      <c r="A629" s="9">
        <v>624</v>
      </c>
      <c r="B629" s="14" t="s">
        <v>348</v>
      </c>
      <c r="C629" s="15" t="s">
        <v>847</v>
      </c>
      <c r="D629" s="12" t="s">
        <v>805</v>
      </c>
      <c r="E629" s="12" t="s">
        <v>848</v>
      </c>
      <c r="F629" s="12" t="s">
        <v>859</v>
      </c>
      <c r="G629" s="12" t="s">
        <v>860</v>
      </c>
      <c r="H629" s="9" t="s">
        <v>57</v>
      </c>
      <c r="I629" s="9" t="str">
        <f>IFERROR(INDEX('Price List Library'!$P$6:$P$437,MATCH(TRIM($G629)&amp;"|"&amp;TRIM($H629),'Price List Library'!$S$6:$S$437,0)),"")</f>
        <v>Benchmark</v>
      </c>
      <c r="J629" s="20">
        <f>IFERROR(INDEX('Price List Library'!$O$6:$O$437,MATCH(TRIM($G629)&amp;"|"&amp;TRIM($H629),'Price List Library'!$S$6:$S$437,0)),0)</f>
        <v>31.84</v>
      </c>
      <c r="K629" s="13" t="s">
        <v>2133</v>
      </c>
    </row>
    <row r="630" spans="1:11" ht="15" customHeight="1" x14ac:dyDescent="0.25">
      <c r="A630" s="9">
        <v>625</v>
      </c>
      <c r="B630" s="14" t="s">
        <v>348</v>
      </c>
      <c r="C630" s="15" t="s">
        <v>847</v>
      </c>
      <c r="D630" s="12" t="s">
        <v>805</v>
      </c>
      <c r="E630" s="12" t="s">
        <v>848</v>
      </c>
      <c r="F630" s="12" t="s">
        <v>862</v>
      </c>
      <c r="G630" s="12" t="s">
        <v>863</v>
      </c>
      <c r="H630" s="9" t="s">
        <v>57</v>
      </c>
      <c r="I630" s="9" t="str">
        <f>IFERROR(INDEX('Price List Library'!$P$6:$P$437,MATCH(TRIM($G630)&amp;"|"&amp;TRIM($H630),'Price List Library'!$S$6:$S$437,0)),"")</f>
        <v>Benchmark</v>
      </c>
      <c r="J630" s="20">
        <f>IFERROR(INDEX('Price List Library'!$O$6:$O$437,MATCH(TRIM($G630)&amp;"|"&amp;TRIM($H630),'Price List Library'!$S$6:$S$437,0)),0)</f>
        <v>26.160000000000004</v>
      </c>
      <c r="K630" s="13" t="s">
        <v>2134</v>
      </c>
    </row>
    <row r="631" spans="1:11" ht="15" customHeight="1" x14ac:dyDescent="0.25">
      <c r="A631" s="9">
        <v>626</v>
      </c>
      <c r="B631" s="16" t="s">
        <v>865</v>
      </c>
      <c r="C631" s="17" t="s">
        <v>866</v>
      </c>
      <c r="D631" s="12" t="s">
        <v>867</v>
      </c>
      <c r="E631" s="12" t="s">
        <v>868</v>
      </c>
      <c r="F631" s="12" t="s">
        <v>869</v>
      </c>
      <c r="G631" s="12" t="s">
        <v>870</v>
      </c>
      <c r="H631" s="9" t="s">
        <v>57</v>
      </c>
      <c r="I631" s="9" t="str">
        <f>IFERROR(INDEX('Price List Library'!$P$6:$P$437,MATCH(TRIM($G631)&amp;"|"&amp;TRIM($H631),'Price List Library'!$S$6:$S$437,0)),"")</f>
        <v>Benchmark</v>
      </c>
      <c r="J631" s="20">
        <f>IFERROR(INDEX('Price List Library'!$O$6:$O$437,MATCH(TRIM($G631)&amp;"|"&amp;TRIM($H631),'Price List Library'!$S$6:$S$437,0)),0)</f>
        <v>128</v>
      </c>
      <c r="K631" s="13" t="s">
        <v>2135</v>
      </c>
    </row>
    <row r="632" spans="1:11" ht="15" customHeight="1" x14ac:dyDescent="0.25">
      <c r="A632" s="9">
        <v>627</v>
      </c>
      <c r="B632" s="16" t="s">
        <v>865</v>
      </c>
      <c r="C632" s="17" t="s">
        <v>866</v>
      </c>
      <c r="D632" s="12" t="s">
        <v>867</v>
      </c>
      <c r="E632" s="12" t="s">
        <v>868</v>
      </c>
      <c r="F632" s="12" t="s">
        <v>872</v>
      </c>
      <c r="G632" s="12" t="s">
        <v>873</v>
      </c>
      <c r="H632" s="9" t="s">
        <v>57</v>
      </c>
      <c r="I632" s="9" t="str">
        <f>IFERROR(INDEX('Price List Library'!$P$6:$P$437,MATCH(TRIM($G632)&amp;"|"&amp;TRIM($H632),'Price List Library'!$S$6:$S$437,0)),"")</f>
        <v>Benchmark</v>
      </c>
      <c r="J632" s="20">
        <f>IFERROR(INDEX('Price List Library'!$O$6:$O$437,MATCH(TRIM($G632)&amp;"|"&amp;TRIM($H632),'Price List Library'!$S$6:$S$437,0)),0)</f>
        <v>90.800000000000011</v>
      </c>
      <c r="K632" s="13" t="s">
        <v>2136</v>
      </c>
    </row>
    <row r="633" spans="1:11" ht="15" customHeight="1" x14ac:dyDescent="0.25">
      <c r="A633" s="9">
        <v>628</v>
      </c>
      <c r="B633" s="16" t="s">
        <v>865</v>
      </c>
      <c r="C633" s="17" t="s">
        <v>866</v>
      </c>
      <c r="D633" s="12" t="s">
        <v>867</v>
      </c>
      <c r="E633" s="12" t="s">
        <v>868</v>
      </c>
      <c r="F633" s="12" t="s">
        <v>875</v>
      </c>
      <c r="G633" s="12" t="s">
        <v>876</v>
      </c>
      <c r="H633" s="9" t="s">
        <v>57</v>
      </c>
      <c r="I633" s="9" t="str">
        <f>IFERROR(INDEX('Price List Library'!$P$6:$P$437,MATCH(TRIM($G633)&amp;"|"&amp;TRIM($H633),'Price List Library'!$S$6:$S$437,0)),"")</f>
        <v>Benchmark</v>
      </c>
      <c r="J633" s="20">
        <f>IFERROR(INDEX('Price List Library'!$O$6:$O$437,MATCH(TRIM($G633)&amp;"|"&amp;TRIM($H633),'Price List Library'!$S$6:$S$437,0)),0)</f>
        <v>113.2</v>
      </c>
      <c r="K633" s="13" t="s">
        <v>2137</v>
      </c>
    </row>
    <row r="634" spans="1:11" ht="15" customHeight="1" x14ac:dyDescent="0.25">
      <c r="A634" s="9">
        <v>629</v>
      </c>
      <c r="B634" s="16" t="s">
        <v>865</v>
      </c>
      <c r="C634" s="17" t="s">
        <v>866</v>
      </c>
      <c r="D634" s="12" t="s">
        <v>867</v>
      </c>
      <c r="E634" s="12" t="s">
        <v>868</v>
      </c>
      <c r="F634" s="12" t="s">
        <v>878</v>
      </c>
      <c r="G634" s="12" t="s">
        <v>879</v>
      </c>
      <c r="H634" s="9" t="s">
        <v>57</v>
      </c>
      <c r="I634" s="9" t="str">
        <f>IFERROR(INDEX('Price List Library'!$P$6:$P$437,MATCH(TRIM($G634)&amp;"|"&amp;TRIM($H634),'Price List Library'!$S$6:$S$437,0)),"")</f>
        <v>Benchmark</v>
      </c>
      <c r="J634" s="20">
        <f>IFERROR(INDEX('Price List Library'!$O$6:$O$437,MATCH(TRIM($G634)&amp;"|"&amp;TRIM($H634),'Price List Library'!$S$6:$S$437,0)),0)</f>
        <v>64.800000000000011</v>
      </c>
      <c r="K634" s="13" t="s">
        <v>2138</v>
      </c>
    </row>
    <row r="635" spans="1:11" ht="15" customHeight="1" x14ac:dyDescent="0.25">
      <c r="A635" s="9">
        <v>630</v>
      </c>
      <c r="B635" s="16" t="s">
        <v>865</v>
      </c>
      <c r="C635" s="17" t="s">
        <v>866</v>
      </c>
      <c r="D635" s="12" t="s">
        <v>867</v>
      </c>
      <c r="E635" s="12" t="s">
        <v>868</v>
      </c>
      <c r="F635" s="12" t="s">
        <v>881</v>
      </c>
      <c r="G635" s="12" t="s">
        <v>882</v>
      </c>
      <c r="H635" s="9" t="s">
        <v>57</v>
      </c>
      <c r="I635" s="9" t="str">
        <f>IFERROR(INDEX('Price List Library'!$P$6:$P$437,MATCH(TRIM($G635)&amp;"|"&amp;TRIM($H635),'Price List Library'!$S$6:$S$437,0)),"")</f>
        <v>Benchmark</v>
      </c>
      <c r="J635" s="20">
        <f>IFERROR(INDEX('Price List Library'!$O$6:$O$437,MATCH(TRIM($G635)&amp;"|"&amp;TRIM($H635),'Price List Library'!$S$6:$S$437,0)),0)</f>
        <v>53.6</v>
      </c>
      <c r="K635" s="13" t="s">
        <v>2139</v>
      </c>
    </row>
    <row r="636" spans="1:11" ht="15" customHeight="1" x14ac:dyDescent="0.25">
      <c r="A636" s="9">
        <v>631</v>
      </c>
      <c r="B636" s="16" t="s">
        <v>865</v>
      </c>
      <c r="C636" s="17" t="s">
        <v>866</v>
      </c>
      <c r="D636" s="12" t="s">
        <v>867</v>
      </c>
      <c r="E636" s="12" t="s">
        <v>868</v>
      </c>
      <c r="F636" s="12" t="s">
        <v>833</v>
      </c>
      <c r="G636" s="12" t="s">
        <v>834</v>
      </c>
      <c r="H636" s="9" t="s">
        <v>57</v>
      </c>
      <c r="I636" s="9" t="str">
        <f>IFERROR(INDEX('Price List Library'!$P$6:$P$437,MATCH(TRIM($G636)&amp;"|"&amp;TRIM($H636),'Price List Library'!$S$6:$S$437,0)),"")</f>
        <v>Benchmark</v>
      </c>
      <c r="J636" s="20">
        <f>IFERROR(INDEX('Price List Library'!$O$6:$O$437,MATCH(TRIM($G636)&amp;"|"&amp;TRIM($H636),'Price List Library'!$S$6:$S$437,0)),0)</f>
        <v>76</v>
      </c>
      <c r="K636" s="13" t="s">
        <v>2140</v>
      </c>
    </row>
    <row r="637" spans="1:11" ht="15" customHeight="1" x14ac:dyDescent="0.25">
      <c r="A637" s="9">
        <v>632</v>
      </c>
      <c r="B637" s="16" t="s">
        <v>865</v>
      </c>
      <c r="C637" s="17" t="s">
        <v>866</v>
      </c>
      <c r="D637" s="12" t="s">
        <v>867</v>
      </c>
      <c r="E637" s="12" t="s">
        <v>885</v>
      </c>
      <c r="F637" s="12" t="s">
        <v>886</v>
      </c>
      <c r="G637" s="12" t="s">
        <v>887</v>
      </c>
      <c r="H637" s="9" t="s">
        <v>57</v>
      </c>
      <c r="I637" s="9" t="str">
        <f>IFERROR(INDEX('Price List Library'!$P$6:$P$437,MATCH(TRIM($G637)&amp;"|"&amp;TRIM($H637),'Price List Library'!$S$6:$S$437,0)),"")</f>
        <v>Benchmark</v>
      </c>
      <c r="J637" s="20">
        <f>IFERROR(INDEX('Price List Library'!$O$6:$O$437,MATCH(TRIM($G637)&amp;"|"&amp;TRIM($H637),'Price List Library'!$S$6:$S$437,0)),0)</f>
        <v>24.960000000000004</v>
      </c>
      <c r="K637" s="13" t="s">
        <v>2141</v>
      </c>
    </row>
    <row r="638" spans="1:11" ht="15" customHeight="1" x14ac:dyDescent="0.25">
      <c r="A638" s="9">
        <v>633</v>
      </c>
      <c r="B638" s="16" t="s">
        <v>865</v>
      </c>
      <c r="C638" s="17" t="s">
        <v>866</v>
      </c>
      <c r="D638" s="12" t="s">
        <v>867</v>
      </c>
      <c r="E638" s="12" t="s">
        <v>885</v>
      </c>
      <c r="F638" s="12" t="s">
        <v>889</v>
      </c>
      <c r="G638" s="12" t="s">
        <v>890</v>
      </c>
      <c r="H638" s="9" t="s">
        <v>57</v>
      </c>
      <c r="I638" s="9" t="str">
        <f>IFERROR(INDEX('Price List Library'!$P$6:$P$437,MATCH(TRIM($G638)&amp;"|"&amp;TRIM($H638),'Price List Library'!$S$6:$S$437,0)),"")</f>
        <v>Benchmark</v>
      </c>
      <c r="J638" s="20">
        <f>IFERROR(INDEX('Price List Library'!$O$6:$O$437,MATCH(TRIM($G638)&amp;"|"&amp;TRIM($H638),'Price List Library'!$S$6:$S$437,0)),0)</f>
        <v>45.2</v>
      </c>
      <c r="K638" s="13" t="s">
        <v>2142</v>
      </c>
    </row>
    <row r="639" spans="1:11" ht="15" customHeight="1" x14ac:dyDescent="0.25">
      <c r="A639" s="9">
        <v>634</v>
      </c>
      <c r="B639" s="16" t="s">
        <v>865</v>
      </c>
      <c r="C639" s="17" t="s">
        <v>866</v>
      </c>
      <c r="D639" s="12" t="s">
        <v>867</v>
      </c>
      <c r="E639" s="12" t="s">
        <v>885</v>
      </c>
      <c r="F639" s="12" t="s">
        <v>892</v>
      </c>
      <c r="G639" s="12" t="s">
        <v>893</v>
      </c>
      <c r="H639" s="9" t="s">
        <v>57</v>
      </c>
      <c r="I639" s="9" t="str">
        <f>IFERROR(INDEX('Price List Library'!$P$6:$P$437,MATCH(TRIM($G639)&amp;"|"&amp;TRIM($H639),'Price List Library'!$S$6:$S$437,0)),"")</f>
        <v>Benchmark</v>
      </c>
      <c r="J639" s="20">
        <f>IFERROR(INDEX('Price List Library'!$O$6:$O$437,MATCH(TRIM($G639)&amp;"|"&amp;TRIM($H639),'Price List Library'!$S$6:$S$437,0)),0)</f>
        <v>10.24</v>
      </c>
      <c r="K639" s="13" t="s">
        <v>2143</v>
      </c>
    </row>
    <row r="640" spans="1:11" ht="15" customHeight="1" x14ac:dyDescent="0.25">
      <c r="A640" s="9">
        <v>635</v>
      </c>
      <c r="B640" s="16" t="s">
        <v>865</v>
      </c>
      <c r="C640" s="17" t="s">
        <v>866</v>
      </c>
      <c r="D640" s="12" t="s">
        <v>867</v>
      </c>
      <c r="E640" s="12" t="s">
        <v>885</v>
      </c>
      <c r="F640" s="12" t="s">
        <v>895</v>
      </c>
      <c r="G640" s="12" t="s">
        <v>896</v>
      </c>
      <c r="H640" s="9" t="s">
        <v>57</v>
      </c>
      <c r="I640" s="9" t="str">
        <f>IFERROR(INDEX('Price List Library'!$P$6:$P$437,MATCH(TRIM($G640)&amp;"|"&amp;TRIM($H640),'Price List Library'!$S$6:$S$437,0)),"")</f>
        <v>Benchmark</v>
      </c>
      <c r="J640" s="20">
        <f>IFERROR(INDEX('Price List Library'!$O$6:$O$437,MATCH(TRIM($G640)&amp;"|"&amp;TRIM($H640),'Price List Library'!$S$6:$S$437,0)),0)</f>
        <v>13.680000000000001</v>
      </c>
      <c r="K640" s="13" t="s">
        <v>2144</v>
      </c>
    </row>
    <row r="641" spans="1:11" ht="15" customHeight="1" x14ac:dyDescent="0.25">
      <c r="A641" s="9">
        <v>636</v>
      </c>
      <c r="B641" s="16" t="s">
        <v>865</v>
      </c>
      <c r="C641" s="17" t="s">
        <v>866</v>
      </c>
      <c r="D641" s="12" t="s">
        <v>867</v>
      </c>
      <c r="E641" s="12" t="s">
        <v>885</v>
      </c>
      <c r="F641" s="12" t="s">
        <v>898</v>
      </c>
      <c r="G641" s="12" t="s">
        <v>899</v>
      </c>
      <c r="H641" s="9" t="s">
        <v>57</v>
      </c>
      <c r="I641" s="9" t="str">
        <f>IFERROR(INDEX('Price List Library'!$P$6:$P$437,MATCH(TRIM($G641)&amp;"|"&amp;TRIM($H641),'Price List Library'!$S$6:$S$437,0)),"")</f>
        <v>Benchmark</v>
      </c>
      <c r="J641" s="20">
        <f>IFERROR(INDEX('Price List Library'!$O$6:$O$437,MATCH(TRIM($G641)&amp;"|"&amp;TRIM($H641),'Price List Library'!$S$6:$S$437,0)),0)</f>
        <v>12.56</v>
      </c>
      <c r="K641" s="13" t="s">
        <v>2145</v>
      </c>
    </row>
    <row r="642" spans="1:11" ht="15" customHeight="1" x14ac:dyDescent="0.25">
      <c r="A642" s="9">
        <v>637</v>
      </c>
      <c r="B642" s="16" t="s">
        <v>865</v>
      </c>
      <c r="C642" s="17" t="s">
        <v>866</v>
      </c>
      <c r="D642" s="12" t="s">
        <v>867</v>
      </c>
      <c r="E642" s="12" t="s">
        <v>885</v>
      </c>
      <c r="F642" s="12" t="s">
        <v>901</v>
      </c>
      <c r="G642" s="12" t="s">
        <v>902</v>
      </c>
      <c r="H642" s="9" t="s">
        <v>57</v>
      </c>
      <c r="I642" s="9" t="str">
        <f>IFERROR(INDEX('Price List Library'!$P$6:$P$437,MATCH(TRIM($G642)&amp;"|"&amp;TRIM($H642),'Price List Library'!$S$6:$S$437,0)),"")</f>
        <v>Benchmark</v>
      </c>
      <c r="J642" s="20">
        <f>IFERROR(INDEX('Price List Library'!$O$6:$O$437,MATCH(TRIM($G642)&amp;"|"&amp;TRIM($H642),'Price List Library'!$S$6:$S$437,0)),0)</f>
        <v>11.440000000000001</v>
      </c>
      <c r="K642" s="13" t="s">
        <v>2146</v>
      </c>
    </row>
    <row r="643" spans="1:11" ht="15" customHeight="1" x14ac:dyDescent="0.25">
      <c r="A643" s="9">
        <v>638</v>
      </c>
      <c r="B643" s="16" t="s">
        <v>865</v>
      </c>
      <c r="C643" s="17" t="s">
        <v>866</v>
      </c>
      <c r="D643" s="12" t="s">
        <v>867</v>
      </c>
      <c r="E643" s="12" t="s">
        <v>904</v>
      </c>
      <c r="F643" s="12" t="s">
        <v>905</v>
      </c>
      <c r="G643" s="12" t="s">
        <v>906</v>
      </c>
      <c r="H643" s="9" t="s">
        <v>57</v>
      </c>
      <c r="I643" s="9" t="str">
        <f>IFERROR(INDEX('Price List Library'!$P$6:$P$437,MATCH(TRIM($G643)&amp;"|"&amp;TRIM($H643),'Price List Library'!$S$6:$S$437,0)),"")</f>
        <v>Benchmark</v>
      </c>
      <c r="J643" s="20">
        <f>IFERROR(INDEX('Price List Library'!$O$6:$O$437,MATCH(TRIM($G643)&amp;"|"&amp;TRIM($H643),'Price List Library'!$S$6:$S$437,0)),0)</f>
        <v>12.480000000000002</v>
      </c>
      <c r="K643" s="13" t="s">
        <v>2147</v>
      </c>
    </row>
    <row r="644" spans="1:11" ht="15" customHeight="1" x14ac:dyDescent="0.25">
      <c r="A644" s="9">
        <v>639</v>
      </c>
      <c r="B644" s="16" t="s">
        <v>865</v>
      </c>
      <c r="C644" s="17" t="s">
        <v>866</v>
      </c>
      <c r="D644" s="12" t="s">
        <v>867</v>
      </c>
      <c r="E644" s="12" t="s">
        <v>904</v>
      </c>
      <c r="F644" s="12" t="s">
        <v>908</v>
      </c>
      <c r="G644" s="12" t="s">
        <v>909</v>
      </c>
      <c r="H644" s="9" t="s">
        <v>57</v>
      </c>
      <c r="I644" s="9" t="str">
        <f>IFERROR(INDEX('Price List Library'!$P$6:$P$437,MATCH(TRIM($G644)&amp;"|"&amp;TRIM($H644),'Price List Library'!$S$6:$S$437,0)),"")</f>
        <v>Benchmark</v>
      </c>
      <c r="J644" s="20">
        <f>IFERROR(INDEX('Price List Library'!$O$6:$O$437,MATCH(TRIM($G644)&amp;"|"&amp;TRIM($H644),'Price List Library'!$S$6:$S$437,0)),0)</f>
        <v>15.840000000000002</v>
      </c>
      <c r="K644" s="13" t="s">
        <v>2148</v>
      </c>
    </row>
    <row r="645" spans="1:11" ht="15" customHeight="1" x14ac:dyDescent="0.25">
      <c r="A645" s="9">
        <v>640</v>
      </c>
      <c r="B645" s="16" t="s">
        <v>865</v>
      </c>
      <c r="C645" s="17" t="s">
        <v>866</v>
      </c>
      <c r="D645" s="12" t="s">
        <v>867</v>
      </c>
      <c r="E645" s="12" t="s">
        <v>904</v>
      </c>
      <c r="F645" s="12" t="s">
        <v>911</v>
      </c>
      <c r="G645" s="12" t="s">
        <v>912</v>
      </c>
      <c r="H645" s="9" t="s">
        <v>57</v>
      </c>
      <c r="I645" s="9" t="str">
        <f>IFERROR(INDEX('Price List Library'!$P$6:$P$437,MATCH(TRIM($G645)&amp;"|"&amp;TRIM($H645),'Price List Library'!$S$6:$S$437,0)),"")</f>
        <v>Benchmark</v>
      </c>
      <c r="J645" s="20">
        <f>IFERROR(INDEX('Price List Library'!$O$6:$O$437,MATCH(TRIM($G645)&amp;"|"&amp;TRIM($H645),'Price List Library'!$S$6:$S$437,0)),0)</f>
        <v>36.160000000000004</v>
      </c>
      <c r="K645" s="13" t="s">
        <v>2149</v>
      </c>
    </row>
    <row r="646" spans="1:11" ht="15" customHeight="1" x14ac:dyDescent="0.25">
      <c r="A646" s="9">
        <v>641</v>
      </c>
      <c r="B646" s="16" t="s">
        <v>865</v>
      </c>
      <c r="C646" s="17" t="s">
        <v>866</v>
      </c>
      <c r="D646" s="12" t="s">
        <v>867</v>
      </c>
      <c r="E646" s="12" t="s">
        <v>904</v>
      </c>
      <c r="F646" s="12" t="s">
        <v>914</v>
      </c>
      <c r="G646" s="12" t="s">
        <v>915</v>
      </c>
      <c r="H646" s="9" t="s">
        <v>57</v>
      </c>
      <c r="I646" s="9" t="str">
        <f>IFERROR(INDEX('Price List Library'!$P$6:$P$437,MATCH(TRIM($G646)&amp;"|"&amp;TRIM($H646),'Price List Library'!$S$6:$S$437,0)),"")</f>
        <v>Benchmark</v>
      </c>
      <c r="J646" s="20">
        <f>IFERROR(INDEX('Price List Library'!$O$6:$O$437,MATCH(TRIM($G646)&amp;"|"&amp;TRIM($H646),'Price List Library'!$S$6:$S$437,0)),0)</f>
        <v>102.4</v>
      </c>
      <c r="K646" s="13" t="s">
        <v>2150</v>
      </c>
    </row>
    <row r="647" spans="1:11" ht="15" customHeight="1" x14ac:dyDescent="0.25">
      <c r="A647" s="9">
        <v>642</v>
      </c>
      <c r="B647" s="16" t="s">
        <v>865</v>
      </c>
      <c r="C647" s="17" t="s">
        <v>917</v>
      </c>
      <c r="D647" s="12" t="s">
        <v>918</v>
      </c>
      <c r="E647" s="12" t="s">
        <v>919</v>
      </c>
      <c r="F647" s="12" t="s">
        <v>920</v>
      </c>
      <c r="G647" s="12" t="s">
        <v>921</v>
      </c>
      <c r="H647" s="9" t="s">
        <v>57</v>
      </c>
      <c r="I647" s="9" t="str">
        <f>IFERROR(INDEX('Price List Library'!$P$6:$P$437,MATCH(TRIM($G647)&amp;"|"&amp;TRIM($H647),'Price List Library'!$S$6:$S$437,0)),"")</f>
        <v>Benchmark</v>
      </c>
      <c r="J647" s="20">
        <f>IFERROR(INDEX('Price List Library'!$O$6:$O$437,MATCH(TRIM($G647)&amp;"|"&amp;TRIM($H647),'Price List Library'!$S$6:$S$437,0)),0)</f>
        <v>524.40000000000009</v>
      </c>
      <c r="K647" s="13" t="s">
        <v>2151</v>
      </c>
    </row>
    <row r="648" spans="1:11" ht="15" customHeight="1" x14ac:dyDescent="0.25">
      <c r="A648" s="9">
        <v>643</v>
      </c>
      <c r="B648" s="16" t="s">
        <v>865</v>
      </c>
      <c r="C648" s="17" t="s">
        <v>917</v>
      </c>
      <c r="D648" s="12" t="s">
        <v>918</v>
      </c>
      <c r="E648" s="12" t="s">
        <v>919</v>
      </c>
      <c r="F648" s="12" t="s">
        <v>923</v>
      </c>
      <c r="G648" s="12" t="s">
        <v>924</v>
      </c>
      <c r="H648" s="9" t="s">
        <v>57</v>
      </c>
      <c r="I648" s="9" t="str">
        <f>IFERROR(INDEX('Price List Library'!$P$6:$P$437,MATCH(TRIM($G648)&amp;"|"&amp;TRIM($H648),'Price List Library'!$S$6:$S$437,0)),"")</f>
        <v>Benchmark</v>
      </c>
      <c r="J648" s="20">
        <f>IFERROR(INDEX('Price List Library'!$O$6:$O$437,MATCH(TRIM($G648)&amp;"|"&amp;TRIM($H648),'Price List Library'!$S$6:$S$437,0)),0)</f>
        <v>951.60000000000014</v>
      </c>
      <c r="K648" s="13" t="s">
        <v>2152</v>
      </c>
    </row>
    <row r="649" spans="1:11" ht="15" customHeight="1" x14ac:dyDescent="0.25">
      <c r="A649" s="9">
        <v>644</v>
      </c>
      <c r="B649" s="16" t="s">
        <v>865</v>
      </c>
      <c r="C649" s="17" t="s">
        <v>917</v>
      </c>
      <c r="D649" s="12" t="s">
        <v>918</v>
      </c>
      <c r="E649" s="12" t="s">
        <v>919</v>
      </c>
      <c r="F649" s="12" t="s">
        <v>926</v>
      </c>
      <c r="G649" s="12" t="s">
        <v>927</v>
      </c>
      <c r="H649" s="9" t="s">
        <v>57</v>
      </c>
      <c r="I649" s="9" t="str">
        <f>IFERROR(INDEX('Price List Library'!$P$6:$P$437,MATCH(TRIM($G649)&amp;"|"&amp;TRIM($H649),'Price List Library'!$S$6:$S$437,0)),"")</f>
        <v>Benchmark</v>
      </c>
      <c r="J649" s="20">
        <f>IFERROR(INDEX('Price List Library'!$O$6:$O$437,MATCH(TRIM($G649)&amp;"|"&amp;TRIM($H649),'Price List Library'!$S$6:$S$437,0)),0)</f>
        <v>636.40000000000009</v>
      </c>
      <c r="K649" s="13" t="s">
        <v>2153</v>
      </c>
    </row>
    <row r="650" spans="1:11" ht="15" customHeight="1" x14ac:dyDescent="0.25">
      <c r="A650" s="9">
        <v>645</v>
      </c>
      <c r="B650" s="16" t="s">
        <v>865</v>
      </c>
      <c r="C650" s="17" t="s">
        <v>917</v>
      </c>
      <c r="D650" s="12" t="s">
        <v>918</v>
      </c>
      <c r="E650" s="12" t="s">
        <v>929</v>
      </c>
      <c r="F650" s="12" t="s">
        <v>930</v>
      </c>
      <c r="G650" s="12" t="s">
        <v>931</v>
      </c>
      <c r="H650" s="9" t="s">
        <v>57</v>
      </c>
      <c r="I650" s="9" t="str">
        <f>IFERROR(INDEX('Price List Library'!$P$6:$P$437,MATCH(TRIM($G650)&amp;"|"&amp;TRIM($H650),'Price List Library'!$S$6:$S$437,0)),"")</f>
        <v>Benchmark</v>
      </c>
      <c r="J650" s="20">
        <f>IFERROR(INDEX('Price List Library'!$O$6:$O$437,MATCH(TRIM($G650)&amp;"|"&amp;TRIM($H650),'Price List Library'!$S$6:$S$437,0)),0)</f>
        <v>1036</v>
      </c>
      <c r="K650" s="13" t="s">
        <v>2154</v>
      </c>
    </row>
    <row r="651" spans="1:11" ht="15" customHeight="1" x14ac:dyDescent="0.25">
      <c r="A651" s="9">
        <v>646</v>
      </c>
      <c r="B651" s="16" t="s">
        <v>865</v>
      </c>
      <c r="C651" s="17" t="s">
        <v>917</v>
      </c>
      <c r="D651" s="12" t="s">
        <v>918</v>
      </c>
      <c r="E651" s="12" t="s">
        <v>929</v>
      </c>
      <c r="F651" s="12" t="s">
        <v>933</v>
      </c>
      <c r="G651" s="12" t="s">
        <v>934</v>
      </c>
      <c r="H651" s="9" t="s">
        <v>57</v>
      </c>
      <c r="I651" s="9" t="str">
        <f>IFERROR(INDEX('Price List Library'!$P$6:$P$437,MATCH(TRIM($G651)&amp;"|"&amp;TRIM($H651),'Price List Library'!$S$6:$S$437,0)),"")</f>
        <v>Benchmark</v>
      </c>
      <c r="J651" s="20">
        <f>IFERROR(INDEX('Price List Library'!$O$6:$O$437,MATCH(TRIM($G651)&amp;"|"&amp;TRIM($H651),'Price List Library'!$S$6:$S$437,0)),0)</f>
        <v>5004</v>
      </c>
      <c r="K651" s="13" t="s">
        <v>2155</v>
      </c>
    </row>
    <row r="652" spans="1:11" ht="15" customHeight="1" x14ac:dyDescent="0.25">
      <c r="A652" s="9">
        <v>647</v>
      </c>
      <c r="B652" s="16" t="s">
        <v>865</v>
      </c>
      <c r="C652" s="17" t="s">
        <v>917</v>
      </c>
      <c r="D652" s="12" t="s">
        <v>918</v>
      </c>
      <c r="E652" s="12" t="s">
        <v>929</v>
      </c>
      <c r="F652" s="12" t="s">
        <v>936</v>
      </c>
      <c r="G652" s="12" t="s">
        <v>937</v>
      </c>
      <c r="H652" s="9" t="s">
        <v>57</v>
      </c>
      <c r="I652" s="9" t="str">
        <f>IFERROR(INDEX('Price List Library'!$P$6:$P$437,MATCH(TRIM($G652)&amp;"|"&amp;TRIM($H652),'Price List Library'!$S$6:$S$437,0)),"")</f>
        <v>Benchmark</v>
      </c>
      <c r="J652" s="20">
        <f>IFERROR(INDEX('Price List Library'!$O$6:$O$437,MATCH(TRIM($G652)&amp;"|"&amp;TRIM($H652),'Price List Library'!$S$6:$S$437,0)),0)</f>
        <v>113.2</v>
      </c>
      <c r="K652" s="13" t="s">
        <v>2156</v>
      </c>
    </row>
    <row r="653" spans="1:11" ht="15" customHeight="1" x14ac:dyDescent="0.25">
      <c r="A653" s="9">
        <v>648</v>
      </c>
      <c r="B653" s="16" t="s">
        <v>865</v>
      </c>
      <c r="C653" s="17" t="s">
        <v>917</v>
      </c>
      <c r="D653" s="12" t="s">
        <v>918</v>
      </c>
      <c r="E653" s="12" t="s">
        <v>939</v>
      </c>
      <c r="F653" s="12" t="s">
        <v>940</v>
      </c>
      <c r="G653" s="12" t="s">
        <v>941</v>
      </c>
      <c r="H653" s="9" t="s">
        <v>57</v>
      </c>
      <c r="I653" s="9" t="str">
        <f>IFERROR(INDEX('Price List Library'!$P$6:$P$437,MATCH(TRIM($G653)&amp;"|"&amp;TRIM($H653),'Price List Library'!$S$6:$S$437,0)),"")</f>
        <v>Benchmark</v>
      </c>
      <c r="J653" s="20">
        <f>IFERROR(INDEX('Price List Library'!$O$6:$O$437,MATCH(TRIM($G653)&amp;"|"&amp;TRIM($H653),'Price List Library'!$S$6:$S$437,0)),0)</f>
        <v>41800</v>
      </c>
      <c r="K653" s="13" t="s">
        <v>2157</v>
      </c>
    </row>
    <row r="654" spans="1:11" ht="15" customHeight="1" x14ac:dyDescent="0.25">
      <c r="A654" s="9">
        <v>649</v>
      </c>
      <c r="B654" s="16" t="s">
        <v>865</v>
      </c>
      <c r="C654" s="17" t="s">
        <v>917</v>
      </c>
      <c r="D654" s="12" t="s">
        <v>918</v>
      </c>
      <c r="E654" s="12" t="s">
        <v>939</v>
      </c>
      <c r="F654" s="12" t="s">
        <v>943</v>
      </c>
      <c r="G654" s="12" t="s">
        <v>944</v>
      </c>
      <c r="H654" s="9" t="s">
        <v>57</v>
      </c>
      <c r="I654" s="9" t="str">
        <f>IFERROR(INDEX('Price List Library'!$P$6:$P$437,MATCH(TRIM($G654)&amp;"|"&amp;TRIM($H654),'Price List Library'!$S$6:$S$437,0)),"")</f>
        <v>Benchmark</v>
      </c>
      <c r="J654" s="20">
        <f>IFERROR(INDEX('Price List Library'!$O$6:$O$437,MATCH(TRIM($G654)&amp;"|"&amp;TRIM($H654),'Price List Library'!$S$6:$S$437,0)),0)</f>
        <v>4004.0000000000005</v>
      </c>
      <c r="K654" s="13" t="s">
        <v>2158</v>
      </c>
    </row>
    <row r="655" spans="1:11" ht="15" customHeight="1" x14ac:dyDescent="0.25">
      <c r="A655" s="9">
        <v>650</v>
      </c>
      <c r="B655" s="16" t="s">
        <v>865</v>
      </c>
      <c r="C655" s="17" t="s">
        <v>917</v>
      </c>
      <c r="D655" s="12" t="s">
        <v>918</v>
      </c>
      <c r="E655" s="12" t="s">
        <v>939</v>
      </c>
      <c r="F655" s="12" t="s">
        <v>946</v>
      </c>
      <c r="G655" s="12" t="s">
        <v>947</v>
      </c>
      <c r="H655" s="9" t="s">
        <v>57</v>
      </c>
      <c r="I655" s="9" t="str">
        <f>IFERROR(INDEX('Price List Library'!$P$6:$P$437,MATCH(TRIM($G655)&amp;"|"&amp;TRIM($H655),'Price List Library'!$S$6:$S$437,0)),"")</f>
        <v>Benchmark</v>
      </c>
      <c r="J655" s="20">
        <f>IFERROR(INDEX('Price List Library'!$O$6:$O$437,MATCH(TRIM($G655)&amp;"|"&amp;TRIM($H655),'Price List Library'!$S$6:$S$437,0)),0)</f>
        <v>830.00000000000011</v>
      </c>
      <c r="K655" s="13" t="s">
        <v>2159</v>
      </c>
    </row>
    <row r="656" spans="1:11" ht="15" customHeight="1" x14ac:dyDescent="0.25">
      <c r="A656" s="9">
        <v>651</v>
      </c>
      <c r="B656" s="16" t="s">
        <v>865</v>
      </c>
      <c r="C656" s="17" t="s">
        <v>917</v>
      </c>
      <c r="D656" s="12" t="s">
        <v>918</v>
      </c>
      <c r="E656" s="12" t="s">
        <v>939</v>
      </c>
      <c r="F656" s="12" t="s">
        <v>949</v>
      </c>
      <c r="G656" s="12" t="s">
        <v>950</v>
      </c>
      <c r="H656" s="9" t="s">
        <v>57</v>
      </c>
      <c r="I656" s="9" t="str">
        <f>IFERROR(INDEX('Price List Library'!$P$6:$P$437,MATCH(TRIM($G656)&amp;"|"&amp;TRIM($H656),'Price List Library'!$S$6:$S$437,0)),"")</f>
        <v>Benchmark</v>
      </c>
      <c r="J656" s="20">
        <f>IFERROR(INDEX('Price List Library'!$O$6:$O$437,MATCH(TRIM($G656)&amp;"|"&amp;TRIM($H656),'Price List Library'!$S$6:$S$437,0)),0)</f>
        <v>2764.0000000000005</v>
      </c>
      <c r="K656" s="13" t="s">
        <v>2160</v>
      </c>
    </row>
    <row r="657" spans="1:11" ht="15" customHeight="1" x14ac:dyDescent="0.25">
      <c r="A657" s="9">
        <v>652</v>
      </c>
      <c r="B657" s="16" t="s">
        <v>865</v>
      </c>
      <c r="C657" s="17" t="s">
        <v>917</v>
      </c>
      <c r="D657" s="12" t="s">
        <v>918</v>
      </c>
      <c r="E657" s="12" t="s">
        <v>939</v>
      </c>
      <c r="F657" s="12" t="s">
        <v>952</v>
      </c>
      <c r="G657" s="12" t="s">
        <v>953</v>
      </c>
      <c r="H657" s="9" t="s">
        <v>57</v>
      </c>
      <c r="I657" s="9" t="str">
        <f>IFERROR(INDEX('Price List Library'!$P$6:$P$437,MATCH(TRIM($G657)&amp;"|"&amp;TRIM($H657),'Price List Library'!$S$6:$S$437,0)),"")</f>
        <v>Benchmark</v>
      </c>
      <c r="J657" s="20">
        <f>IFERROR(INDEX('Price List Library'!$O$6:$O$437,MATCH(TRIM($G657)&amp;"|"&amp;TRIM($H657),'Price List Library'!$S$6:$S$437,0)),0)</f>
        <v>5520.0000000000009</v>
      </c>
      <c r="K657" s="13" t="s">
        <v>2161</v>
      </c>
    </row>
    <row r="658" spans="1:11" ht="15" customHeight="1" x14ac:dyDescent="0.25">
      <c r="A658" s="9">
        <v>653</v>
      </c>
      <c r="B658" s="16" t="s">
        <v>865</v>
      </c>
      <c r="C658" s="17" t="s">
        <v>917</v>
      </c>
      <c r="D658" s="12" t="s">
        <v>918</v>
      </c>
      <c r="E658" s="12" t="s">
        <v>955</v>
      </c>
      <c r="F658" s="12" t="s">
        <v>956</v>
      </c>
      <c r="G658" s="12" t="s">
        <v>957</v>
      </c>
      <c r="H658" s="9" t="s">
        <v>61</v>
      </c>
      <c r="I658" s="9" t="str">
        <f>IFERROR(INDEX('Price List Library'!$P$6:$P$437,MATCH(TRIM($G658)&amp;"|"&amp;TRIM($H658),'Price List Library'!$S$6:$S$437,0)),"")</f>
        <v>Benchmark</v>
      </c>
      <c r="J658" s="20">
        <f>IFERROR(INDEX('Price List Library'!$O$6:$O$437,MATCH(TRIM($G658)&amp;"|"&amp;TRIM($H658),'Price List Library'!$S$6:$S$437,0)),0)</f>
        <v>22.880000000000003</v>
      </c>
      <c r="K658" s="13" t="s">
        <v>2162</v>
      </c>
    </row>
    <row r="659" spans="1:11" ht="15" customHeight="1" x14ac:dyDescent="0.25">
      <c r="A659" s="9">
        <v>654</v>
      </c>
      <c r="B659" s="16" t="s">
        <v>865</v>
      </c>
      <c r="C659" s="17" t="s">
        <v>917</v>
      </c>
      <c r="D659" s="12" t="s">
        <v>918</v>
      </c>
      <c r="E659" s="12" t="s">
        <v>955</v>
      </c>
      <c r="F659" s="12" t="s">
        <v>959</v>
      </c>
      <c r="G659" s="12" t="s">
        <v>960</v>
      </c>
      <c r="H659" s="9" t="s">
        <v>61</v>
      </c>
      <c r="I659" s="9" t="str">
        <f>IFERROR(INDEX('Price List Library'!$P$6:$P$437,MATCH(TRIM($G659)&amp;"|"&amp;TRIM($H659),'Price List Library'!$S$6:$S$437,0)),"")</f>
        <v>Benchmark</v>
      </c>
      <c r="J659" s="20">
        <f>IFERROR(INDEX('Price List Library'!$O$6:$O$437,MATCH(TRIM($G659)&amp;"|"&amp;TRIM($H659),'Price List Library'!$S$6:$S$437,0)),0)</f>
        <v>35.44</v>
      </c>
      <c r="K659" s="13" t="s">
        <v>2163</v>
      </c>
    </row>
    <row r="660" spans="1:11" ht="15" customHeight="1" x14ac:dyDescent="0.25">
      <c r="A660" s="9">
        <v>655</v>
      </c>
      <c r="B660" s="16" t="s">
        <v>865</v>
      </c>
      <c r="C660" s="17" t="s">
        <v>917</v>
      </c>
      <c r="D660" s="12" t="s">
        <v>918</v>
      </c>
      <c r="E660" s="12" t="s">
        <v>955</v>
      </c>
      <c r="F660" s="12" t="s">
        <v>962</v>
      </c>
      <c r="G660" s="12" t="s">
        <v>963</v>
      </c>
      <c r="H660" s="9" t="s">
        <v>61</v>
      </c>
      <c r="I660" s="9" t="str">
        <f>IFERROR(INDEX('Price List Library'!$P$6:$P$437,MATCH(TRIM($G660)&amp;"|"&amp;TRIM($H660),'Price List Library'!$S$6:$S$437,0)),"")</f>
        <v>Benchmark</v>
      </c>
      <c r="J660" s="20">
        <f>IFERROR(INDEX('Price List Library'!$O$6:$O$437,MATCH(TRIM($G660)&amp;"|"&amp;TRIM($H660),'Price List Library'!$S$6:$S$437,0)),0)</f>
        <v>9.240000000000002</v>
      </c>
      <c r="K660" s="13" t="s">
        <v>2164</v>
      </c>
    </row>
    <row r="661" spans="1:11" ht="15" customHeight="1" x14ac:dyDescent="0.25">
      <c r="A661" s="9">
        <v>656</v>
      </c>
      <c r="B661" s="16" t="s">
        <v>865</v>
      </c>
      <c r="C661" s="17" t="s">
        <v>917</v>
      </c>
      <c r="D661" s="12" t="s">
        <v>918</v>
      </c>
      <c r="E661" s="12" t="s">
        <v>955</v>
      </c>
      <c r="F661" s="12" t="s">
        <v>965</v>
      </c>
      <c r="G661" s="12" t="s">
        <v>966</v>
      </c>
      <c r="H661" s="9" t="s">
        <v>61</v>
      </c>
      <c r="I661" s="9" t="str">
        <f>IFERROR(INDEX('Price List Library'!$P$6:$P$437,MATCH(TRIM($G661)&amp;"|"&amp;TRIM($H661),'Price List Library'!$S$6:$S$437,0)),"")</f>
        <v>Benchmark</v>
      </c>
      <c r="J661" s="20">
        <f>IFERROR(INDEX('Price List Library'!$O$6:$O$437,MATCH(TRIM($G661)&amp;"|"&amp;TRIM($H661),'Price List Library'!$S$6:$S$437,0)),0)</f>
        <v>9.16</v>
      </c>
      <c r="K661" s="13" t="s">
        <v>2165</v>
      </c>
    </row>
    <row r="662" spans="1:11" ht="15" customHeight="1" x14ac:dyDescent="0.25">
      <c r="A662" s="9">
        <v>657</v>
      </c>
      <c r="B662" s="16" t="s">
        <v>865</v>
      </c>
      <c r="C662" s="17" t="s">
        <v>917</v>
      </c>
      <c r="D662" s="12" t="s">
        <v>918</v>
      </c>
      <c r="E662" s="12" t="s">
        <v>955</v>
      </c>
      <c r="F662" s="12" t="s">
        <v>968</v>
      </c>
      <c r="G662" s="12" t="s">
        <v>969</v>
      </c>
      <c r="H662" s="9" t="s">
        <v>57</v>
      </c>
      <c r="I662" s="9" t="str">
        <f>IFERROR(INDEX('Price List Library'!$P$6:$P$437,MATCH(TRIM($G662)&amp;"|"&amp;TRIM($H662),'Price List Library'!$S$6:$S$437,0)),"")</f>
        <v>Benchmark</v>
      </c>
      <c r="J662" s="20">
        <f>IFERROR(INDEX('Price List Library'!$O$6:$O$437,MATCH(TRIM($G662)&amp;"|"&amp;TRIM($H662),'Price List Library'!$S$6:$S$437,0)),0)</f>
        <v>48.800000000000004</v>
      </c>
      <c r="K662" s="13" t="s">
        <v>2166</v>
      </c>
    </row>
    <row r="663" spans="1:11" ht="15" customHeight="1" x14ac:dyDescent="0.25">
      <c r="A663" s="9">
        <v>658</v>
      </c>
      <c r="B663" s="16" t="s">
        <v>865</v>
      </c>
      <c r="C663" s="17" t="s">
        <v>971</v>
      </c>
      <c r="D663" s="12" t="s">
        <v>972</v>
      </c>
      <c r="E663" s="12" t="s">
        <v>973</v>
      </c>
      <c r="F663" s="12" t="s">
        <v>974</v>
      </c>
      <c r="G663" s="12" t="s">
        <v>975</v>
      </c>
      <c r="H663" s="9" t="s">
        <v>57</v>
      </c>
      <c r="I663" s="9" t="str">
        <f>IFERROR(INDEX('Price List Library'!$P$6:$P$437,MATCH(TRIM($G663)&amp;"|"&amp;TRIM($H663),'Price List Library'!$S$6:$S$437,0)),"")</f>
        <v>Benchmark</v>
      </c>
      <c r="J663" s="20">
        <f>IFERROR(INDEX('Price List Library'!$O$6:$O$437,MATCH(TRIM($G663)&amp;"|"&amp;TRIM($H663),'Price List Library'!$S$6:$S$437,0)),0)</f>
        <v>76</v>
      </c>
      <c r="K663" s="13" t="s">
        <v>2167</v>
      </c>
    </row>
    <row r="664" spans="1:11" ht="15" customHeight="1" x14ac:dyDescent="0.25">
      <c r="A664" s="9">
        <v>659</v>
      </c>
      <c r="B664" s="16" t="s">
        <v>865</v>
      </c>
      <c r="C664" s="17" t="s">
        <v>971</v>
      </c>
      <c r="D664" s="12" t="s">
        <v>972</v>
      </c>
      <c r="E664" s="12" t="s">
        <v>973</v>
      </c>
      <c r="F664" s="12" t="s">
        <v>977</v>
      </c>
      <c r="G664" s="12" t="s">
        <v>978</v>
      </c>
      <c r="H664" s="9" t="s">
        <v>57</v>
      </c>
      <c r="I664" s="9" t="str">
        <f>IFERROR(INDEX('Price List Library'!$P$6:$P$437,MATCH(TRIM($G664)&amp;"|"&amp;TRIM($H664),'Price List Library'!$S$6:$S$437,0)),"")</f>
        <v>Benchmark</v>
      </c>
      <c r="J664" s="20">
        <f>IFERROR(INDEX('Price List Library'!$O$6:$O$437,MATCH(TRIM($G664)&amp;"|"&amp;TRIM($H664),'Price List Library'!$S$6:$S$437,0)),0)</f>
        <v>156</v>
      </c>
      <c r="K664" s="13" t="s">
        <v>2168</v>
      </c>
    </row>
    <row r="665" spans="1:11" ht="15" customHeight="1" x14ac:dyDescent="0.25">
      <c r="A665" s="9">
        <v>660</v>
      </c>
      <c r="B665" s="16" t="s">
        <v>865</v>
      </c>
      <c r="C665" s="17" t="s">
        <v>971</v>
      </c>
      <c r="D665" s="12" t="s">
        <v>972</v>
      </c>
      <c r="E665" s="12" t="s">
        <v>973</v>
      </c>
      <c r="F665" s="12" t="s">
        <v>980</v>
      </c>
      <c r="G665" s="12" t="s">
        <v>981</v>
      </c>
      <c r="H665" s="9" t="s">
        <v>57</v>
      </c>
      <c r="I665" s="9" t="str">
        <f>IFERROR(INDEX('Price List Library'!$P$6:$P$437,MATCH(TRIM($G665)&amp;"|"&amp;TRIM($H665),'Price List Library'!$S$6:$S$437,0)),"")</f>
        <v>Benchmark</v>
      </c>
      <c r="J665" s="20">
        <f>IFERROR(INDEX('Price List Library'!$O$6:$O$437,MATCH(TRIM($G665)&amp;"|"&amp;TRIM($H665),'Price List Library'!$S$6:$S$437,0)),0)</f>
        <v>1208</v>
      </c>
      <c r="K665" s="13" t="s">
        <v>2169</v>
      </c>
    </row>
    <row r="666" spans="1:11" ht="15" customHeight="1" x14ac:dyDescent="0.25">
      <c r="A666" s="9">
        <v>661</v>
      </c>
      <c r="B666" s="16" t="s">
        <v>865</v>
      </c>
      <c r="C666" s="17" t="s">
        <v>971</v>
      </c>
      <c r="D666" s="12" t="s">
        <v>972</v>
      </c>
      <c r="E666" s="12" t="s">
        <v>973</v>
      </c>
      <c r="F666" s="12" t="s">
        <v>983</v>
      </c>
      <c r="G666" s="12" t="s">
        <v>984</v>
      </c>
      <c r="H666" s="9" t="s">
        <v>57</v>
      </c>
      <c r="I666" s="9" t="str">
        <f>IFERROR(INDEX('Price List Library'!$P$6:$P$437,MATCH(TRIM($G666)&amp;"|"&amp;TRIM($H666),'Price List Library'!$S$6:$S$437,0)),"")</f>
        <v>Benchmark</v>
      </c>
      <c r="J666" s="20">
        <f>IFERROR(INDEX('Price List Library'!$O$6:$O$437,MATCH(TRIM($G666)&amp;"|"&amp;TRIM($H666),'Price List Library'!$S$6:$S$437,0)),0)</f>
        <v>412.40000000000003</v>
      </c>
      <c r="K666" s="13" t="s">
        <v>2170</v>
      </c>
    </row>
    <row r="667" spans="1:11" ht="15" customHeight="1" x14ac:dyDescent="0.25">
      <c r="A667" s="9">
        <v>662</v>
      </c>
      <c r="B667" s="16" t="s">
        <v>865</v>
      </c>
      <c r="C667" s="17" t="s">
        <v>971</v>
      </c>
      <c r="D667" s="12" t="s">
        <v>972</v>
      </c>
      <c r="E667" s="12" t="s">
        <v>973</v>
      </c>
      <c r="F667" s="12" t="s">
        <v>986</v>
      </c>
      <c r="G667" s="12" t="s">
        <v>987</v>
      </c>
      <c r="H667" s="9" t="s">
        <v>57</v>
      </c>
      <c r="I667" s="9" t="str">
        <f>IFERROR(INDEX('Price List Library'!$P$6:$P$437,MATCH(TRIM($G667)&amp;"|"&amp;TRIM($H667),'Price List Library'!$S$6:$S$437,0)),"")</f>
        <v>Benchmark</v>
      </c>
      <c r="J667" s="20">
        <f>IFERROR(INDEX('Price List Library'!$O$6:$O$437,MATCH(TRIM($G667)&amp;"|"&amp;TRIM($H667),'Price List Library'!$S$6:$S$437,0)),0)</f>
        <v>2064</v>
      </c>
      <c r="K667" s="13" t="s">
        <v>2171</v>
      </c>
    </row>
    <row r="668" spans="1:11" ht="15" customHeight="1" x14ac:dyDescent="0.25">
      <c r="A668" s="9">
        <v>663</v>
      </c>
      <c r="B668" s="16" t="s">
        <v>865</v>
      </c>
      <c r="C668" s="17" t="s">
        <v>971</v>
      </c>
      <c r="D668" s="12" t="s">
        <v>972</v>
      </c>
      <c r="E668" s="12" t="s">
        <v>989</v>
      </c>
      <c r="F668" s="12" t="s">
        <v>990</v>
      </c>
      <c r="G668" s="12" t="s">
        <v>991</v>
      </c>
      <c r="H668" s="9" t="s">
        <v>57</v>
      </c>
      <c r="I668" s="9" t="str">
        <f>IFERROR(INDEX('Price List Library'!$P$6:$P$437,MATCH(TRIM($G668)&amp;"|"&amp;TRIM($H668),'Price List Library'!$S$6:$S$437,0)),"")</f>
        <v>Benchmark</v>
      </c>
      <c r="J668" s="20">
        <f>IFERROR(INDEX('Price List Library'!$O$6:$O$437,MATCH(TRIM($G668)&amp;"|"&amp;TRIM($H668),'Price List Library'!$S$6:$S$437,0)),0)</f>
        <v>609.6</v>
      </c>
      <c r="K668" s="13" t="s">
        <v>2172</v>
      </c>
    </row>
    <row r="669" spans="1:11" ht="15" customHeight="1" x14ac:dyDescent="0.25">
      <c r="A669" s="9">
        <v>664</v>
      </c>
      <c r="B669" s="16" t="s">
        <v>865</v>
      </c>
      <c r="C669" s="17" t="s">
        <v>971</v>
      </c>
      <c r="D669" s="12" t="s">
        <v>972</v>
      </c>
      <c r="E669" s="12" t="s">
        <v>989</v>
      </c>
      <c r="F669" s="12" t="s">
        <v>993</v>
      </c>
      <c r="G669" s="12" t="s">
        <v>994</v>
      </c>
      <c r="H669" s="9" t="s">
        <v>57</v>
      </c>
      <c r="I669" s="9" t="str">
        <f>IFERROR(INDEX('Price List Library'!$P$6:$P$437,MATCH(TRIM($G669)&amp;"|"&amp;TRIM($H669),'Price List Library'!$S$6:$S$437,0)),"")</f>
        <v>Benchmark</v>
      </c>
      <c r="J669" s="20">
        <f>IFERROR(INDEX('Price List Library'!$O$6:$O$437,MATCH(TRIM($G669)&amp;"|"&amp;TRIM($H669),'Price List Library'!$S$6:$S$437,0)),0)</f>
        <v>2336</v>
      </c>
      <c r="K669" s="13" t="s">
        <v>2173</v>
      </c>
    </row>
    <row r="670" spans="1:11" ht="15" customHeight="1" x14ac:dyDescent="0.25">
      <c r="A670" s="9">
        <v>665</v>
      </c>
      <c r="B670" s="16" t="s">
        <v>865</v>
      </c>
      <c r="C670" s="17" t="s">
        <v>971</v>
      </c>
      <c r="D670" s="12" t="s">
        <v>972</v>
      </c>
      <c r="E670" s="12" t="s">
        <v>989</v>
      </c>
      <c r="F670" s="12" t="s">
        <v>996</v>
      </c>
      <c r="G670" s="12" t="s">
        <v>997</v>
      </c>
      <c r="H670" s="9" t="s">
        <v>57</v>
      </c>
      <c r="I670" s="9" t="str">
        <f>IFERROR(INDEX('Price List Library'!$P$6:$P$437,MATCH(TRIM($G670)&amp;"|"&amp;TRIM($H670),'Price List Library'!$S$6:$S$437,0)),"")</f>
        <v>Benchmark</v>
      </c>
      <c r="J670" s="20">
        <f>IFERROR(INDEX('Price List Library'!$O$6:$O$437,MATCH(TRIM($G670)&amp;"|"&amp;TRIM($H670),'Price List Library'!$S$6:$S$437,0)),0)</f>
        <v>1768.0000000000002</v>
      </c>
      <c r="K670" s="13" t="s">
        <v>2174</v>
      </c>
    </row>
    <row r="671" spans="1:11" ht="15" customHeight="1" x14ac:dyDescent="0.25">
      <c r="A671" s="9">
        <v>666</v>
      </c>
      <c r="B671" s="16" t="s">
        <v>865</v>
      </c>
      <c r="C671" s="17" t="s">
        <v>999</v>
      </c>
      <c r="D671" s="12" t="s">
        <v>1000</v>
      </c>
      <c r="E671" s="12" t="s">
        <v>1001</v>
      </c>
      <c r="F671" s="12" t="s">
        <v>1002</v>
      </c>
      <c r="G671" s="12" t="s">
        <v>1003</v>
      </c>
      <c r="H671" s="9" t="s">
        <v>53</v>
      </c>
      <c r="I671" s="9" t="str">
        <f>IFERROR(INDEX('Price List Library'!$P$6:$P$437,MATCH(TRIM($G671)&amp;"|"&amp;TRIM($H671),'Price List Library'!$S$6:$S$437,0)),"")</f>
        <v>Benchmark</v>
      </c>
      <c r="J671" s="20">
        <f>IFERROR(INDEX('Price List Library'!$O$6:$O$437,MATCH(TRIM($G671)&amp;"|"&amp;TRIM($H671),'Price List Library'!$S$6:$S$437,0)),0)</f>
        <v>4.2320000000000002</v>
      </c>
      <c r="K671" s="13" t="s">
        <v>2175</v>
      </c>
    </row>
    <row r="672" spans="1:11" ht="15" customHeight="1" x14ac:dyDescent="0.25">
      <c r="A672" s="9">
        <v>667</v>
      </c>
      <c r="B672" s="16" t="s">
        <v>865</v>
      </c>
      <c r="C672" s="17" t="s">
        <v>999</v>
      </c>
      <c r="D672" s="12" t="s">
        <v>1000</v>
      </c>
      <c r="E672" s="12" t="s">
        <v>1001</v>
      </c>
      <c r="F672" s="12" t="s">
        <v>1005</v>
      </c>
      <c r="G672" s="12" t="s">
        <v>1006</v>
      </c>
      <c r="H672" s="9" t="s">
        <v>61</v>
      </c>
      <c r="I672" s="9" t="str">
        <f>IFERROR(INDEX('Price List Library'!$P$6:$P$437,MATCH(TRIM($G672)&amp;"|"&amp;TRIM($H672),'Price List Library'!$S$6:$S$437,0)),"")</f>
        <v>Benchmark</v>
      </c>
      <c r="J672" s="20">
        <f>IFERROR(INDEX('Price List Library'!$O$6:$O$437,MATCH(TRIM($G672)&amp;"|"&amp;TRIM($H672),'Price List Library'!$S$6:$S$437,0)),0)</f>
        <v>10.280000000000001</v>
      </c>
      <c r="K672" s="13" t="s">
        <v>2176</v>
      </c>
    </row>
    <row r="673" spans="1:11" ht="15" customHeight="1" x14ac:dyDescent="0.25">
      <c r="A673" s="9">
        <v>668</v>
      </c>
      <c r="B673" s="16" t="s">
        <v>865</v>
      </c>
      <c r="C673" s="17" t="s">
        <v>999</v>
      </c>
      <c r="D673" s="12" t="s">
        <v>1000</v>
      </c>
      <c r="E673" s="12" t="s">
        <v>1001</v>
      </c>
      <c r="F673" s="12" t="s">
        <v>1008</v>
      </c>
      <c r="G673" s="12" t="s">
        <v>1009</v>
      </c>
      <c r="H673" s="9" t="s">
        <v>18</v>
      </c>
      <c r="I673" s="9" t="str">
        <f>IFERROR(INDEX('Price List Library'!$P$6:$P$437,MATCH(TRIM($G673)&amp;"|"&amp;TRIM($H673),'Price List Library'!$S$6:$S$437,0)),"")</f>
        <v>Benchmark</v>
      </c>
      <c r="J673" s="20">
        <f>IFERROR(INDEX('Price List Library'!$O$6:$O$437,MATCH(TRIM($G673)&amp;"|"&amp;TRIM($H673),'Price List Library'!$S$6:$S$437,0)),0)</f>
        <v>8.8000000000000007</v>
      </c>
      <c r="K673" s="13" t="s">
        <v>2177</v>
      </c>
    </row>
    <row r="674" spans="1:11" ht="15" customHeight="1" x14ac:dyDescent="0.25">
      <c r="A674" s="9">
        <v>669</v>
      </c>
      <c r="B674" s="16" t="s">
        <v>865</v>
      </c>
      <c r="C674" s="17" t="s">
        <v>999</v>
      </c>
      <c r="D674" s="12" t="s">
        <v>1000</v>
      </c>
      <c r="E674" s="12" t="s">
        <v>1001</v>
      </c>
      <c r="F674" s="12" t="s">
        <v>1011</v>
      </c>
      <c r="G674" s="12" t="s">
        <v>1012</v>
      </c>
      <c r="H674" s="9" t="s">
        <v>35</v>
      </c>
      <c r="I674" s="9" t="str">
        <f>IFERROR(INDEX('Price List Library'!$P$6:$P$437,MATCH(TRIM($G674)&amp;"|"&amp;TRIM($H674),'Price List Library'!$S$6:$S$437,0)),"")</f>
        <v>Benchmark</v>
      </c>
      <c r="J674" s="20">
        <f>IFERROR(INDEX('Price List Library'!$O$6:$O$437,MATCH(TRIM($G674)&amp;"|"&amp;TRIM($H674),'Price List Library'!$S$6:$S$437,0)),0)</f>
        <v>1268</v>
      </c>
      <c r="K674" s="13" t="s">
        <v>2178</v>
      </c>
    </row>
    <row r="675" spans="1:11" ht="15" customHeight="1" x14ac:dyDescent="0.25">
      <c r="A675" s="9">
        <v>670</v>
      </c>
      <c r="B675" s="16" t="s">
        <v>865</v>
      </c>
      <c r="C675" s="17" t="s">
        <v>999</v>
      </c>
      <c r="D675" s="12" t="s">
        <v>1000</v>
      </c>
      <c r="E675" s="12" t="s">
        <v>1014</v>
      </c>
      <c r="F675" s="12" t="s">
        <v>1015</v>
      </c>
      <c r="G675" s="12" t="s">
        <v>1016</v>
      </c>
      <c r="H675" s="9" t="s">
        <v>57</v>
      </c>
      <c r="I675" s="9" t="str">
        <f>IFERROR(INDEX('Price List Library'!$P$6:$P$437,MATCH(TRIM($G675)&amp;"|"&amp;TRIM($H675),'Price List Library'!$S$6:$S$437,0)),"")</f>
        <v>Benchmark</v>
      </c>
      <c r="J675" s="20">
        <f>IFERROR(INDEX('Price List Library'!$O$6:$O$437,MATCH(TRIM($G675)&amp;"|"&amp;TRIM($H675),'Price List Library'!$S$6:$S$437,0)),0)</f>
        <v>56.640000000000008</v>
      </c>
      <c r="K675" s="13" t="s">
        <v>2179</v>
      </c>
    </row>
    <row r="676" spans="1:11" ht="15" customHeight="1" x14ac:dyDescent="0.25">
      <c r="A676" s="9">
        <v>671</v>
      </c>
      <c r="B676" s="16" t="s">
        <v>865</v>
      </c>
      <c r="C676" s="17" t="s">
        <v>999</v>
      </c>
      <c r="D676" s="12" t="s">
        <v>1000</v>
      </c>
      <c r="E676" s="12" t="s">
        <v>1014</v>
      </c>
      <c r="F676" s="12" t="s">
        <v>1018</v>
      </c>
      <c r="G676" s="12" t="s">
        <v>1019</v>
      </c>
      <c r="H676" s="9" t="s">
        <v>57</v>
      </c>
      <c r="I676" s="9" t="str">
        <f>IFERROR(INDEX('Price List Library'!$P$6:$P$437,MATCH(TRIM($G676)&amp;"|"&amp;TRIM($H676),'Price List Library'!$S$6:$S$437,0)),"")</f>
        <v>Benchmark</v>
      </c>
      <c r="J676" s="20">
        <f>IFERROR(INDEX('Price List Library'!$O$6:$O$437,MATCH(TRIM($G676)&amp;"|"&amp;TRIM($H676),'Price List Library'!$S$6:$S$437,0)),0)</f>
        <v>47.6</v>
      </c>
      <c r="K676" s="13" t="s">
        <v>2180</v>
      </c>
    </row>
    <row r="677" spans="1:11" ht="15" customHeight="1" x14ac:dyDescent="0.25">
      <c r="A677" s="9">
        <v>672</v>
      </c>
      <c r="B677" s="16" t="s">
        <v>865</v>
      </c>
      <c r="C677" s="17" t="s">
        <v>999</v>
      </c>
      <c r="D677" s="12" t="s">
        <v>1000</v>
      </c>
      <c r="E677" s="12" t="s">
        <v>1014</v>
      </c>
      <c r="F677" s="12" t="s">
        <v>1021</v>
      </c>
      <c r="G677" s="12" t="s">
        <v>1022</v>
      </c>
      <c r="H677" s="9" t="s">
        <v>57</v>
      </c>
      <c r="I677" s="9" t="str">
        <f>IFERROR(INDEX('Price List Library'!$P$6:$P$437,MATCH(TRIM($G677)&amp;"|"&amp;TRIM($H677),'Price List Library'!$S$6:$S$437,0)),"")</f>
        <v>Benchmark</v>
      </c>
      <c r="J677" s="20">
        <f>IFERROR(INDEX('Price List Library'!$O$6:$O$437,MATCH(TRIM($G677)&amp;"|"&amp;TRIM($H677),'Price List Library'!$S$6:$S$437,0)),0)</f>
        <v>38.56</v>
      </c>
      <c r="K677" s="13" t="s">
        <v>2181</v>
      </c>
    </row>
    <row r="678" spans="1:11" ht="15" customHeight="1" x14ac:dyDescent="0.25">
      <c r="A678" s="9">
        <v>673</v>
      </c>
      <c r="B678" s="16" t="s">
        <v>865</v>
      </c>
      <c r="C678" s="17" t="s">
        <v>999</v>
      </c>
      <c r="D678" s="12" t="s">
        <v>1000</v>
      </c>
      <c r="E678" s="12" t="s">
        <v>1014</v>
      </c>
      <c r="F678" s="12" t="s">
        <v>1024</v>
      </c>
      <c r="G678" s="12" t="s">
        <v>1025</v>
      </c>
      <c r="H678" s="9" t="s">
        <v>57</v>
      </c>
      <c r="I678" s="9" t="str">
        <f>IFERROR(INDEX('Price List Library'!$P$6:$P$437,MATCH(TRIM($G678)&amp;"|"&amp;TRIM($H678),'Price List Library'!$S$6:$S$437,0)),"")</f>
        <v>Benchmark</v>
      </c>
      <c r="J678" s="20">
        <f>IFERROR(INDEX('Price List Library'!$O$6:$O$437,MATCH(TRIM($G678)&amp;"|"&amp;TRIM($H678),'Price List Library'!$S$6:$S$437,0)),0)</f>
        <v>61.2</v>
      </c>
      <c r="K678" s="13" t="s">
        <v>2182</v>
      </c>
    </row>
    <row r="679" spans="1:11" ht="15" customHeight="1" x14ac:dyDescent="0.25">
      <c r="A679" s="9">
        <v>674</v>
      </c>
      <c r="B679" s="16" t="s">
        <v>865</v>
      </c>
      <c r="C679" s="17" t="s">
        <v>999</v>
      </c>
      <c r="D679" s="12" t="s">
        <v>1000</v>
      </c>
      <c r="E679" s="12" t="s">
        <v>1027</v>
      </c>
      <c r="F679" s="12" t="s">
        <v>1028</v>
      </c>
      <c r="G679" s="12" t="s">
        <v>1029</v>
      </c>
      <c r="H679" s="9" t="s">
        <v>57</v>
      </c>
      <c r="I679" s="9" t="str">
        <f>IFERROR(INDEX('Price List Library'!$P$6:$P$437,MATCH(TRIM($G679)&amp;"|"&amp;TRIM($H679),'Price List Library'!$S$6:$S$437,0)),"")</f>
        <v>Benchmark</v>
      </c>
      <c r="J679" s="20">
        <f>IFERROR(INDEX('Price List Library'!$O$6:$O$437,MATCH(TRIM($G679)&amp;"|"&amp;TRIM($H679),'Price List Library'!$S$6:$S$437,0)),0)</f>
        <v>49.760000000000005</v>
      </c>
      <c r="K679" s="13" t="s">
        <v>2183</v>
      </c>
    </row>
    <row r="680" spans="1:11" ht="15" customHeight="1" x14ac:dyDescent="0.25">
      <c r="A680" s="9">
        <v>675</v>
      </c>
      <c r="B680" s="16" t="s">
        <v>865</v>
      </c>
      <c r="C680" s="17" t="s">
        <v>999</v>
      </c>
      <c r="D680" s="12" t="s">
        <v>1000</v>
      </c>
      <c r="E680" s="12" t="s">
        <v>1027</v>
      </c>
      <c r="F680" s="12" t="s">
        <v>1031</v>
      </c>
      <c r="G680" s="12" t="s">
        <v>1032</v>
      </c>
      <c r="H680" s="9" t="s">
        <v>57</v>
      </c>
      <c r="I680" s="9" t="str">
        <f>IFERROR(INDEX('Price List Library'!$P$6:$P$437,MATCH(TRIM($G680)&amp;"|"&amp;TRIM($H680),'Price List Library'!$S$6:$S$437,0)),"")</f>
        <v>Benchmark</v>
      </c>
      <c r="J680" s="20">
        <f>IFERROR(INDEX('Price List Library'!$O$6:$O$437,MATCH(TRIM($G680)&amp;"|"&amp;TRIM($H680),'Price List Library'!$S$6:$S$437,0)),0)</f>
        <v>141.20000000000002</v>
      </c>
      <c r="K680" s="13" t="s">
        <v>2184</v>
      </c>
    </row>
    <row r="681" spans="1:11" ht="15" customHeight="1" x14ac:dyDescent="0.25">
      <c r="A681" s="9">
        <v>676</v>
      </c>
      <c r="B681" s="16" t="s">
        <v>865</v>
      </c>
      <c r="C681" s="17" t="s">
        <v>999</v>
      </c>
      <c r="D681" s="12" t="s">
        <v>1000</v>
      </c>
      <c r="E681" s="12" t="s">
        <v>1027</v>
      </c>
      <c r="F681" s="12" t="s">
        <v>1034</v>
      </c>
      <c r="G681" s="12" t="s">
        <v>1035</v>
      </c>
      <c r="H681" s="9" t="s">
        <v>57</v>
      </c>
      <c r="I681" s="9" t="str">
        <f>IFERROR(INDEX('Price List Library'!$P$6:$P$437,MATCH(TRIM($G681)&amp;"|"&amp;TRIM($H681),'Price List Library'!$S$6:$S$437,0)),"")</f>
        <v>Benchmark</v>
      </c>
      <c r="J681" s="20">
        <f>IFERROR(INDEX('Price List Library'!$O$6:$O$437,MATCH(TRIM($G681)&amp;"|"&amp;TRIM($H681),'Price List Library'!$S$6:$S$437,0)),0)</f>
        <v>184</v>
      </c>
      <c r="K681" s="13" t="s">
        <v>2185</v>
      </c>
    </row>
    <row r="682" spans="1:11" ht="15" customHeight="1" x14ac:dyDescent="0.25">
      <c r="A682" s="9">
        <v>677</v>
      </c>
      <c r="B682" s="16" t="s">
        <v>865</v>
      </c>
      <c r="C682" s="17" t="s">
        <v>999</v>
      </c>
      <c r="D682" s="12" t="s">
        <v>1000</v>
      </c>
      <c r="E682" s="12" t="s">
        <v>1027</v>
      </c>
      <c r="F682" s="12" t="s">
        <v>1037</v>
      </c>
      <c r="G682" s="12" t="s">
        <v>1038</v>
      </c>
      <c r="H682" s="9" t="s">
        <v>35</v>
      </c>
      <c r="I682" s="9" t="str">
        <f>IFERROR(INDEX('Price List Library'!$P$6:$P$437,MATCH(TRIM($G682)&amp;"|"&amp;TRIM($H682),'Price List Library'!$S$6:$S$437,0)),"")</f>
        <v>Benchmark</v>
      </c>
      <c r="J682" s="20">
        <f>IFERROR(INDEX('Price List Library'!$O$6:$O$437,MATCH(TRIM($G682)&amp;"|"&amp;TRIM($H682),'Price List Library'!$S$6:$S$437,0)),0)</f>
        <v>3850.0000000000005</v>
      </c>
      <c r="K682" s="13" t="s">
        <v>2186</v>
      </c>
    </row>
    <row r="683" spans="1:11" ht="15" customHeight="1" x14ac:dyDescent="0.25">
      <c r="A683" s="9">
        <v>678</v>
      </c>
      <c r="B683" s="16" t="s">
        <v>865</v>
      </c>
      <c r="C683" s="17" t="s">
        <v>1040</v>
      </c>
      <c r="D683" s="12" t="s">
        <v>1041</v>
      </c>
      <c r="E683" s="12" t="s">
        <v>1042</v>
      </c>
      <c r="F683" s="12" t="s">
        <v>1043</v>
      </c>
      <c r="G683" s="12" t="s">
        <v>1044</v>
      </c>
      <c r="H683" s="9" t="s">
        <v>57</v>
      </c>
      <c r="I683" s="9" t="str">
        <f>IFERROR(INDEX('Price List Library'!$P$6:$P$437,MATCH(TRIM($G683)&amp;"|"&amp;TRIM($H683),'Price List Library'!$S$6:$S$437,0)),"")</f>
        <v>Benchmark</v>
      </c>
      <c r="J683" s="20">
        <f>IFERROR(INDEX('Price List Library'!$O$6:$O$437,MATCH(TRIM($G683)&amp;"|"&amp;TRIM($H683),'Price List Library'!$S$6:$S$437,0)),0)</f>
        <v>7820.0000000000009</v>
      </c>
      <c r="K683" s="13" t="s">
        <v>2187</v>
      </c>
    </row>
    <row r="684" spans="1:11" ht="15" customHeight="1" x14ac:dyDescent="0.25">
      <c r="A684" s="9">
        <v>679</v>
      </c>
      <c r="B684" s="16" t="s">
        <v>865</v>
      </c>
      <c r="C684" s="17" t="s">
        <v>1040</v>
      </c>
      <c r="D684" s="12" t="s">
        <v>1041</v>
      </c>
      <c r="E684" s="12" t="s">
        <v>1042</v>
      </c>
      <c r="F684" s="12" t="s">
        <v>1046</v>
      </c>
      <c r="G684" s="12" t="s">
        <v>1047</v>
      </c>
      <c r="H684" s="9" t="s">
        <v>57</v>
      </c>
      <c r="I684" s="9" t="str">
        <f>IFERROR(INDEX('Price List Library'!$P$6:$P$437,MATCH(TRIM($G684)&amp;"|"&amp;TRIM($H684),'Price List Library'!$S$6:$S$437,0)),"")</f>
        <v>Benchmark</v>
      </c>
      <c r="J684" s="20">
        <f>IFERROR(INDEX('Price List Library'!$O$6:$O$437,MATCH(TRIM($G684)&amp;"|"&amp;TRIM($H684),'Price List Library'!$S$6:$S$437,0)),0)</f>
        <v>1096</v>
      </c>
      <c r="K684" s="13" t="s">
        <v>2188</v>
      </c>
    </row>
    <row r="685" spans="1:11" ht="15" customHeight="1" x14ac:dyDescent="0.25">
      <c r="A685" s="9">
        <v>680</v>
      </c>
      <c r="B685" s="16" t="s">
        <v>865</v>
      </c>
      <c r="C685" s="17" t="s">
        <v>1040</v>
      </c>
      <c r="D685" s="12" t="s">
        <v>1041</v>
      </c>
      <c r="E685" s="12" t="s">
        <v>1042</v>
      </c>
      <c r="F685" s="12" t="s">
        <v>1049</v>
      </c>
      <c r="G685" s="12" t="s">
        <v>1050</v>
      </c>
      <c r="H685" s="9" t="s">
        <v>61</v>
      </c>
      <c r="I685" s="9" t="str">
        <f>IFERROR(INDEX('Price List Library'!$P$6:$P$437,MATCH(TRIM($G685)&amp;"|"&amp;TRIM($H685),'Price List Library'!$S$6:$S$437,0)),"")</f>
        <v>Benchmark</v>
      </c>
      <c r="J685" s="20">
        <f>IFERROR(INDEX('Price List Library'!$O$6:$O$437,MATCH(TRIM($G685)&amp;"|"&amp;TRIM($H685),'Price List Library'!$S$6:$S$437,0)),0)</f>
        <v>367.6</v>
      </c>
      <c r="K685" s="13" t="s">
        <v>2189</v>
      </c>
    </row>
    <row r="686" spans="1:11" ht="15" customHeight="1" x14ac:dyDescent="0.25">
      <c r="A686" s="9">
        <v>681</v>
      </c>
      <c r="B686" s="16" t="s">
        <v>865</v>
      </c>
      <c r="C686" s="17" t="s">
        <v>1040</v>
      </c>
      <c r="D686" s="12" t="s">
        <v>1041</v>
      </c>
      <c r="E686" s="12" t="s">
        <v>1042</v>
      </c>
      <c r="F686" s="12" t="s">
        <v>1052</v>
      </c>
      <c r="G686" s="12" t="s">
        <v>1053</v>
      </c>
      <c r="H686" s="9" t="s">
        <v>57</v>
      </c>
      <c r="I686" s="9" t="str">
        <f>IFERROR(INDEX('Price List Library'!$P$6:$P$437,MATCH(TRIM($G686)&amp;"|"&amp;TRIM($H686),'Price List Library'!$S$6:$S$437,0)),"")</f>
        <v>Benchmark</v>
      </c>
      <c r="J686" s="20">
        <f>IFERROR(INDEX('Price List Library'!$O$6:$O$437,MATCH(TRIM($G686)&amp;"|"&amp;TRIM($H686),'Price List Library'!$S$6:$S$437,0)),0)</f>
        <v>14520.000000000002</v>
      </c>
      <c r="K686" s="13" t="s">
        <v>2190</v>
      </c>
    </row>
    <row r="687" spans="1:11" ht="15" customHeight="1" x14ac:dyDescent="0.25">
      <c r="A687" s="9">
        <v>682</v>
      </c>
      <c r="B687" s="16" t="s">
        <v>865</v>
      </c>
      <c r="C687" s="17" t="s">
        <v>1040</v>
      </c>
      <c r="D687" s="12" t="s">
        <v>1041</v>
      </c>
      <c r="E687" s="12" t="s">
        <v>1042</v>
      </c>
      <c r="F687" s="12" t="s">
        <v>1055</v>
      </c>
      <c r="G687" s="12" t="s">
        <v>1056</v>
      </c>
      <c r="H687" s="9" t="s">
        <v>57</v>
      </c>
      <c r="I687" s="9" t="str">
        <f>IFERROR(INDEX('Price List Library'!$P$6:$P$437,MATCH(TRIM($G687)&amp;"|"&amp;TRIM($H687),'Price List Library'!$S$6:$S$437,0)),"")</f>
        <v>Benchmark</v>
      </c>
      <c r="J687" s="20">
        <f>IFERROR(INDEX('Price List Library'!$O$6:$O$437,MATCH(TRIM($G687)&amp;"|"&amp;TRIM($H687),'Price List Library'!$S$6:$S$437,0)),0)</f>
        <v>3436.0000000000005</v>
      </c>
      <c r="K687" s="13" t="s">
        <v>2191</v>
      </c>
    </row>
    <row r="688" spans="1:11" ht="15" customHeight="1" x14ac:dyDescent="0.25">
      <c r="A688" s="9">
        <v>683</v>
      </c>
      <c r="B688" s="16" t="s">
        <v>865</v>
      </c>
      <c r="C688" s="17" t="s">
        <v>1040</v>
      </c>
      <c r="D688" s="12" t="s">
        <v>1041</v>
      </c>
      <c r="E688" s="12" t="s">
        <v>1042</v>
      </c>
      <c r="F688" s="12" t="s">
        <v>1058</v>
      </c>
      <c r="G688" s="12" t="s">
        <v>1059</v>
      </c>
      <c r="H688" s="9" t="s">
        <v>57</v>
      </c>
      <c r="I688" s="9" t="str">
        <f>IFERROR(INDEX('Price List Library'!$P$6:$P$437,MATCH(TRIM($G688)&amp;"|"&amp;TRIM($H688),'Price List Library'!$S$6:$S$437,0)),"")</f>
        <v>Benchmark</v>
      </c>
      <c r="J688" s="20">
        <f>IFERROR(INDEX('Price List Library'!$O$6:$O$437,MATCH(TRIM($G688)&amp;"|"&amp;TRIM($H688),'Price List Library'!$S$6:$S$437,0)),0)</f>
        <v>1208</v>
      </c>
      <c r="K688" s="13" t="s">
        <v>2192</v>
      </c>
    </row>
    <row r="689" spans="1:11" ht="15" customHeight="1" x14ac:dyDescent="0.25">
      <c r="A689" s="9">
        <v>684</v>
      </c>
      <c r="B689" s="16" t="s">
        <v>865</v>
      </c>
      <c r="C689" s="17" t="s">
        <v>1040</v>
      </c>
      <c r="D689" s="12" t="s">
        <v>1041</v>
      </c>
      <c r="E689" s="12" t="s">
        <v>1061</v>
      </c>
      <c r="F689" s="12" t="s">
        <v>1062</v>
      </c>
      <c r="G689" s="12" t="s">
        <v>1063</v>
      </c>
      <c r="H689" s="9" t="s">
        <v>61</v>
      </c>
      <c r="I689" s="9" t="str">
        <f>IFERROR(INDEX('Price List Library'!$P$6:$P$437,MATCH(TRIM($G689)&amp;"|"&amp;TRIM($H689),'Price List Library'!$S$6:$S$437,0)),"")</f>
        <v>Benchmark</v>
      </c>
      <c r="J689" s="20">
        <f>IFERROR(INDEX('Price List Library'!$O$6:$O$437,MATCH(TRIM($G689)&amp;"|"&amp;TRIM($H689),'Price List Library'!$S$6:$S$437,0)),0)</f>
        <v>6.6240000000000006</v>
      </c>
      <c r="K689" s="13" t="s">
        <v>2193</v>
      </c>
    </row>
    <row r="690" spans="1:11" ht="15" customHeight="1" x14ac:dyDescent="0.25">
      <c r="A690" s="9">
        <v>685</v>
      </c>
      <c r="B690" s="16" t="s">
        <v>865</v>
      </c>
      <c r="C690" s="17" t="s">
        <v>1040</v>
      </c>
      <c r="D690" s="12" t="s">
        <v>1041</v>
      </c>
      <c r="E690" s="12" t="s">
        <v>1061</v>
      </c>
      <c r="F690" s="12" t="s">
        <v>1065</v>
      </c>
      <c r="G690" s="12" t="s">
        <v>1066</v>
      </c>
      <c r="H690" s="9" t="s">
        <v>61</v>
      </c>
      <c r="I690" s="9" t="str">
        <f>IFERROR(INDEX('Price List Library'!$P$6:$P$437,MATCH(TRIM($G690)&amp;"|"&amp;TRIM($H690),'Price List Library'!$S$6:$S$437,0)),"")</f>
        <v>Benchmark</v>
      </c>
      <c r="J690" s="20">
        <f>IFERROR(INDEX('Price List Library'!$O$6:$O$437,MATCH(TRIM($G690)&amp;"|"&amp;TRIM($H690),'Price List Library'!$S$6:$S$437,0)),0)</f>
        <v>3.3360000000000003</v>
      </c>
      <c r="K690" s="13" t="s">
        <v>2194</v>
      </c>
    </row>
    <row r="691" spans="1:11" ht="15" customHeight="1" x14ac:dyDescent="0.25">
      <c r="A691" s="9">
        <v>686</v>
      </c>
      <c r="B691" s="16" t="s">
        <v>865</v>
      </c>
      <c r="C691" s="17" t="s">
        <v>1040</v>
      </c>
      <c r="D691" s="12" t="s">
        <v>1041</v>
      </c>
      <c r="E691" s="12" t="s">
        <v>1061</v>
      </c>
      <c r="F691" s="12" t="s">
        <v>1068</v>
      </c>
      <c r="G691" s="12" t="s">
        <v>1069</v>
      </c>
      <c r="H691" s="9" t="s">
        <v>61</v>
      </c>
      <c r="I691" s="9" t="str">
        <f>IFERROR(INDEX('Price List Library'!$P$6:$P$437,MATCH(TRIM($G691)&amp;"|"&amp;TRIM($H691),'Price List Library'!$S$6:$S$437,0)),"")</f>
        <v>Benchmark</v>
      </c>
      <c r="J691" s="20">
        <f>IFERROR(INDEX('Price List Library'!$O$6:$O$437,MATCH(TRIM($G691)&amp;"|"&amp;TRIM($H691),'Price List Library'!$S$6:$S$437,0)),0)</f>
        <v>16.04</v>
      </c>
      <c r="K691" s="13" t="s">
        <v>2195</v>
      </c>
    </row>
    <row r="692" spans="1:11" ht="15" customHeight="1" x14ac:dyDescent="0.25">
      <c r="A692" s="9">
        <v>687</v>
      </c>
      <c r="B692" s="16" t="s">
        <v>865</v>
      </c>
      <c r="C692" s="17" t="s">
        <v>1040</v>
      </c>
      <c r="D692" s="12" t="s">
        <v>1041</v>
      </c>
      <c r="E692" s="12" t="s">
        <v>1061</v>
      </c>
      <c r="F692" s="12" t="s">
        <v>1071</v>
      </c>
      <c r="G692" s="12" t="s">
        <v>1072</v>
      </c>
      <c r="H692" s="9" t="s">
        <v>61</v>
      </c>
      <c r="I692" s="9" t="str">
        <f>IFERROR(INDEX('Price List Library'!$P$6:$P$437,MATCH(TRIM($G692)&amp;"|"&amp;TRIM($H692),'Price List Library'!$S$6:$S$437,0)),"")</f>
        <v>Benchmark</v>
      </c>
      <c r="J692" s="20">
        <f>IFERROR(INDEX('Price List Library'!$O$6:$O$437,MATCH(TRIM($G692)&amp;"|"&amp;TRIM($H692),'Price List Library'!$S$6:$S$437,0)),0)</f>
        <v>14.32</v>
      </c>
      <c r="K692" s="13" t="s">
        <v>2196</v>
      </c>
    </row>
    <row r="693" spans="1:11" ht="15" customHeight="1" x14ac:dyDescent="0.25">
      <c r="A693" s="9">
        <v>688</v>
      </c>
      <c r="B693" s="16" t="s">
        <v>865</v>
      </c>
      <c r="C693" s="17" t="s">
        <v>1040</v>
      </c>
      <c r="D693" s="12" t="s">
        <v>1041</v>
      </c>
      <c r="E693" s="12" t="s">
        <v>1061</v>
      </c>
      <c r="F693" s="12" t="s">
        <v>1074</v>
      </c>
      <c r="G693" s="12" t="s">
        <v>1075</v>
      </c>
      <c r="H693" s="9" t="s">
        <v>61</v>
      </c>
      <c r="I693" s="9" t="str">
        <f>IFERROR(INDEX('Price List Library'!$P$6:$P$437,MATCH(TRIM($G693)&amp;"|"&amp;TRIM($H693),'Price List Library'!$S$6:$S$437,0)),"")</f>
        <v>Benchmark</v>
      </c>
      <c r="J693" s="20">
        <f>IFERROR(INDEX('Price List Library'!$O$6:$O$437,MATCH(TRIM($G693)&amp;"|"&amp;TRIM($H693),'Price List Library'!$S$6:$S$437,0)),0)</f>
        <v>4.6240000000000006</v>
      </c>
      <c r="K693" s="13" t="s">
        <v>2197</v>
      </c>
    </row>
    <row r="694" spans="1:11" ht="15" customHeight="1" x14ac:dyDescent="0.25">
      <c r="A694" s="9">
        <v>689</v>
      </c>
      <c r="B694" s="16" t="s">
        <v>865</v>
      </c>
      <c r="C694" s="17" t="s">
        <v>1040</v>
      </c>
      <c r="D694" s="12" t="s">
        <v>1041</v>
      </c>
      <c r="E694" s="12" t="s">
        <v>1061</v>
      </c>
      <c r="F694" s="12" t="s">
        <v>1077</v>
      </c>
      <c r="G694" s="12" t="s">
        <v>1078</v>
      </c>
      <c r="H694" s="9" t="s">
        <v>61</v>
      </c>
      <c r="I694" s="9" t="str">
        <f>IFERROR(INDEX('Price List Library'!$P$6:$P$437,MATCH(TRIM($G694)&amp;"|"&amp;TRIM($H694),'Price List Library'!$S$6:$S$437,0)),"")</f>
        <v>Benchmark</v>
      </c>
      <c r="J694" s="20">
        <f>IFERROR(INDEX('Price List Library'!$O$6:$O$437,MATCH(TRIM($G694)&amp;"|"&amp;TRIM($H694),'Price List Library'!$S$6:$S$437,0)),0)</f>
        <v>19.440000000000001</v>
      </c>
      <c r="K694" s="13" t="s">
        <v>2198</v>
      </c>
    </row>
    <row r="695" spans="1:11" ht="15" customHeight="1" x14ac:dyDescent="0.25">
      <c r="A695" s="9">
        <v>690</v>
      </c>
      <c r="B695" s="16" t="s">
        <v>865</v>
      </c>
      <c r="C695" s="17" t="s">
        <v>1040</v>
      </c>
      <c r="D695" s="12" t="s">
        <v>1041</v>
      </c>
      <c r="E695" s="12" t="s">
        <v>1080</v>
      </c>
      <c r="F695" s="12" t="s">
        <v>1081</v>
      </c>
      <c r="G695" s="12" t="s">
        <v>1083</v>
      </c>
      <c r="H695" s="9" t="s">
        <v>1082</v>
      </c>
      <c r="I695" s="9" t="str">
        <f>IFERROR(INDEX('Price List Library'!$P$6:$P$437,MATCH(TRIM($G695)&amp;"|"&amp;TRIM($H695),'Price List Library'!$S$6:$S$437,0)),"")</f>
        <v>Benchmark</v>
      </c>
      <c r="J695" s="20">
        <f>IFERROR(INDEX('Price List Library'!$O$6:$O$437,MATCH(TRIM($G695)&amp;"|"&amp;TRIM($H695),'Price List Library'!$S$6:$S$437,0)),0)</f>
        <v>22.880000000000003</v>
      </c>
      <c r="K695" s="13" t="s">
        <v>2199</v>
      </c>
    </row>
    <row r="696" spans="1:11" ht="15" customHeight="1" x14ac:dyDescent="0.25">
      <c r="A696" s="9">
        <v>691</v>
      </c>
      <c r="B696" s="16" t="s">
        <v>865</v>
      </c>
      <c r="C696" s="17" t="s">
        <v>1040</v>
      </c>
      <c r="D696" s="12" t="s">
        <v>1041</v>
      </c>
      <c r="E696" s="12" t="s">
        <v>1080</v>
      </c>
      <c r="F696" s="12" t="s">
        <v>1085</v>
      </c>
      <c r="G696" s="12" t="s">
        <v>1086</v>
      </c>
      <c r="H696" s="9" t="s">
        <v>1082</v>
      </c>
      <c r="I696" s="9" t="str">
        <f>IFERROR(INDEX('Price List Library'!$P$6:$P$437,MATCH(TRIM($G696)&amp;"|"&amp;TRIM($H696),'Price List Library'!$S$6:$S$437,0)),"")</f>
        <v>Benchmark</v>
      </c>
      <c r="J696" s="20">
        <f>IFERROR(INDEX('Price List Library'!$O$6:$O$437,MATCH(TRIM($G696)&amp;"|"&amp;TRIM($H696),'Price List Library'!$S$6:$S$437,0)),0)</f>
        <v>18.32</v>
      </c>
      <c r="K696" s="13" t="s">
        <v>2200</v>
      </c>
    </row>
    <row r="697" spans="1:11" ht="15" customHeight="1" x14ac:dyDescent="0.25">
      <c r="A697" s="9">
        <v>692</v>
      </c>
      <c r="B697" s="16" t="s">
        <v>865</v>
      </c>
      <c r="C697" s="17" t="s">
        <v>1040</v>
      </c>
      <c r="D697" s="12" t="s">
        <v>1041</v>
      </c>
      <c r="E697" s="12" t="s">
        <v>1080</v>
      </c>
      <c r="F697" s="12" t="s">
        <v>1088</v>
      </c>
      <c r="G697" s="12" t="s">
        <v>1089</v>
      </c>
      <c r="H697" s="9" t="s">
        <v>57</v>
      </c>
      <c r="I697" s="9" t="str">
        <f>IFERROR(INDEX('Price List Library'!$P$6:$P$437,MATCH(TRIM($G697)&amp;"|"&amp;TRIM($H697),'Price List Library'!$S$6:$S$437,0)),"")</f>
        <v>Benchmark</v>
      </c>
      <c r="J697" s="20">
        <f>IFERROR(INDEX('Price List Library'!$O$6:$O$437,MATCH(TRIM($G697)&amp;"|"&amp;TRIM($H697),'Price List Library'!$S$6:$S$437,0)),0)</f>
        <v>33.04</v>
      </c>
      <c r="K697" s="13" t="s">
        <v>2201</v>
      </c>
    </row>
    <row r="698" spans="1:11" ht="15" customHeight="1" x14ac:dyDescent="0.25">
      <c r="A698" s="9">
        <v>693</v>
      </c>
      <c r="B698" s="16" t="s">
        <v>865</v>
      </c>
      <c r="C698" s="17" t="s">
        <v>1040</v>
      </c>
      <c r="D698" s="12" t="s">
        <v>1041</v>
      </c>
      <c r="E698" s="12" t="s">
        <v>1080</v>
      </c>
      <c r="F698" s="12" t="s">
        <v>1091</v>
      </c>
      <c r="G698" s="12" t="s">
        <v>1092</v>
      </c>
      <c r="H698" s="9" t="s">
        <v>1082</v>
      </c>
      <c r="I698" s="9" t="str">
        <f>IFERROR(INDEX('Price List Library'!$P$6:$P$437,MATCH(TRIM($G698)&amp;"|"&amp;TRIM($H698),'Price List Library'!$S$6:$S$437,0)),"")</f>
        <v>Benchmark</v>
      </c>
      <c r="J698" s="20">
        <f>IFERROR(INDEX('Price List Library'!$O$6:$O$437,MATCH(TRIM($G698)&amp;"|"&amp;TRIM($H698),'Price List Library'!$S$6:$S$437,0)),0)</f>
        <v>16.080000000000002</v>
      </c>
      <c r="K698" s="13" t="s">
        <v>2202</v>
      </c>
    </row>
    <row r="699" spans="1:11" ht="15" customHeight="1" x14ac:dyDescent="0.25">
      <c r="A699" s="9">
        <v>694</v>
      </c>
      <c r="B699" s="16" t="s">
        <v>865</v>
      </c>
      <c r="C699" s="17" t="s">
        <v>1040</v>
      </c>
      <c r="D699" s="12" t="s">
        <v>1041</v>
      </c>
      <c r="E699" s="12" t="s">
        <v>1094</v>
      </c>
      <c r="F699" s="12" t="s">
        <v>1095</v>
      </c>
      <c r="G699" s="12" t="s">
        <v>1096</v>
      </c>
      <c r="H699" s="9" t="s">
        <v>57</v>
      </c>
      <c r="I699" s="9" t="str">
        <f>IFERROR(INDEX('Price List Library'!$P$6:$P$437,MATCH(TRIM($G699)&amp;"|"&amp;TRIM($H699),'Price List Library'!$S$6:$S$437,0)),"")</f>
        <v>Benchmark</v>
      </c>
      <c r="J699" s="20">
        <f>IFERROR(INDEX('Price List Library'!$O$6:$O$437,MATCH(TRIM($G699)&amp;"|"&amp;TRIM($H699),'Price List Library'!$S$6:$S$437,0)),0)</f>
        <v>43.040000000000006</v>
      </c>
      <c r="K699" s="13" t="s">
        <v>2203</v>
      </c>
    </row>
    <row r="700" spans="1:11" ht="15" customHeight="1" x14ac:dyDescent="0.25">
      <c r="A700" s="9">
        <v>695</v>
      </c>
      <c r="B700" s="16" t="s">
        <v>865</v>
      </c>
      <c r="C700" s="17" t="s">
        <v>1040</v>
      </c>
      <c r="D700" s="12" t="s">
        <v>1041</v>
      </c>
      <c r="E700" s="12" t="s">
        <v>1094</v>
      </c>
      <c r="F700" s="12" t="s">
        <v>1098</v>
      </c>
      <c r="G700" s="12" t="s">
        <v>1099</v>
      </c>
      <c r="H700" s="9" t="s">
        <v>57</v>
      </c>
      <c r="I700" s="9" t="str">
        <f>IFERROR(INDEX('Price List Library'!$P$6:$P$437,MATCH(TRIM($G700)&amp;"|"&amp;TRIM($H700),'Price List Library'!$S$6:$S$437,0)),"")</f>
        <v>Benchmark</v>
      </c>
      <c r="J700" s="20">
        <f>IFERROR(INDEX('Price List Library'!$O$6:$O$437,MATCH(TRIM($G700)&amp;"|"&amp;TRIM($H700),'Price List Library'!$S$6:$S$437,0)),0)</f>
        <v>112</v>
      </c>
      <c r="K700" s="13" t="s">
        <v>2204</v>
      </c>
    </row>
    <row r="701" spans="1:11" ht="15" customHeight="1" x14ac:dyDescent="0.25">
      <c r="A701" s="9">
        <v>696</v>
      </c>
      <c r="B701" s="16" t="s">
        <v>865</v>
      </c>
      <c r="C701" s="17" t="s">
        <v>1040</v>
      </c>
      <c r="D701" s="12" t="s">
        <v>1041</v>
      </c>
      <c r="E701" s="12" t="s">
        <v>1094</v>
      </c>
      <c r="F701" s="12" t="s">
        <v>1101</v>
      </c>
      <c r="G701" s="12" t="s">
        <v>1102</v>
      </c>
      <c r="H701" s="9" t="s">
        <v>57</v>
      </c>
      <c r="I701" s="9" t="str">
        <f>IFERROR(INDEX('Price List Library'!$P$6:$P$437,MATCH(TRIM($G701)&amp;"|"&amp;TRIM($H701),'Price List Library'!$S$6:$S$437,0)),"")</f>
        <v>Benchmark</v>
      </c>
      <c r="J701" s="20">
        <f>IFERROR(INDEX('Price List Library'!$O$6:$O$437,MATCH(TRIM($G701)&amp;"|"&amp;TRIM($H701),'Price List Library'!$S$6:$S$437,0)),0)</f>
        <v>55.440000000000005</v>
      </c>
      <c r="K701" s="13" t="s">
        <v>2205</v>
      </c>
    </row>
    <row r="702" spans="1:11" ht="15" customHeight="1" x14ac:dyDescent="0.25">
      <c r="A702" s="9">
        <v>697</v>
      </c>
      <c r="B702" s="16" t="s">
        <v>865</v>
      </c>
      <c r="C702" s="17" t="s">
        <v>1040</v>
      </c>
      <c r="D702" s="12" t="s">
        <v>1041</v>
      </c>
      <c r="E702" s="12" t="s">
        <v>1094</v>
      </c>
      <c r="F702" s="12" t="s">
        <v>1104</v>
      </c>
      <c r="G702" s="12" t="s">
        <v>1105</v>
      </c>
      <c r="H702" s="9" t="s">
        <v>57</v>
      </c>
      <c r="I702" s="9" t="str">
        <f>IFERROR(INDEX('Price List Library'!$P$6:$P$437,MATCH(TRIM($G702)&amp;"|"&amp;TRIM($H702),'Price List Library'!$S$6:$S$437,0)),"")</f>
        <v>Benchmark</v>
      </c>
      <c r="J702" s="20">
        <f>IFERROR(INDEX('Price List Library'!$O$6:$O$437,MATCH(TRIM($G702)&amp;"|"&amp;TRIM($H702),'Price List Library'!$S$6:$S$437,0)),0)</f>
        <v>46.400000000000006</v>
      </c>
      <c r="K702" s="13" t="s">
        <v>2206</v>
      </c>
    </row>
    <row r="703" spans="1:11" ht="15" customHeight="1" x14ac:dyDescent="0.25">
      <c r="A703" s="9">
        <v>698</v>
      </c>
      <c r="B703" s="16" t="s">
        <v>865</v>
      </c>
      <c r="C703" s="17" t="s">
        <v>1040</v>
      </c>
      <c r="D703" s="12" t="s">
        <v>1041</v>
      </c>
      <c r="E703" s="12" t="s">
        <v>1094</v>
      </c>
      <c r="F703" s="12" t="s">
        <v>1107</v>
      </c>
      <c r="G703" s="12" t="s">
        <v>1108</v>
      </c>
      <c r="H703" s="9" t="s">
        <v>57</v>
      </c>
      <c r="I703" s="9" t="str">
        <f>IFERROR(INDEX('Price List Library'!$P$6:$P$437,MATCH(TRIM($G703)&amp;"|"&amp;TRIM($H703),'Price List Library'!$S$6:$S$437,0)),"")</f>
        <v>Benchmark</v>
      </c>
      <c r="J703" s="20">
        <f>IFERROR(INDEX('Price List Library'!$O$6:$O$437,MATCH(TRIM($G703)&amp;"|"&amp;TRIM($H703),'Price List Library'!$S$6:$S$437,0)),0)</f>
        <v>52.160000000000004</v>
      </c>
      <c r="K703" s="13" t="s">
        <v>2207</v>
      </c>
    </row>
    <row r="704" spans="1:11" ht="15" customHeight="1" x14ac:dyDescent="0.25">
      <c r="A704" s="9">
        <v>699</v>
      </c>
      <c r="B704" s="16" t="s">
        <v>865</v>
      </c>
      <c r="C704" s="17" t="s">
        <v>1040</v>
      </c>
      <c r="D704" s="12" t="s">
        <v>1041</v>
      </c>
      <c r="E704" s="12" t="s">
        <v>1110</v>
      </c>
      <c r="F704" s="12" t="s">
        <v>1111</v>
      </c>
      <c r="G704" s="12" t="s">
        <v>1112</v>
      </c>
      <c r="H704" s="9" t="s">
        <v>35</v>
      </c>
      <c r="I704" s="9" t="str">
        <f>IFERROR(INDEX('Price List Library'!$P$6:$P$437,MATCH(TRIM($G704)&amp;"|"&amp;TRIM($H704),'Price List Library'!$S$6:$S$437,0)),"")</f>
        <v>Benchmark</v>
      </c>
      <c r="J704" s="20">
        <f>IFERROR(INDEX('Price List Library'!$O$6:$O$437,MATCH(TRIM($G704)&amp;"|"&amp;TRIM($H704),'Price List Library'!$S$6:$S$437,0)),0)</f>
        <v>2124</v>
      </c>
      <c r="K704" s="13" t="s">
        <v>2208</v>
      </c>
    </row>
    <row r="705" spans="1:11" ht="15" customHeight="1" x14ac:dyDescent="0.25">
      <c r="A705" s="9">
        <v>700</v>
      </c>
      <c r="B705" s="16" t="s">
        <v>865</v>
      </c>
      <c r="C705" s="17" t="s">
        <v>1040</v>
      </c>
      <c r="D705" s="12" t="s">
        <v>1041</v>
      </c>
      <c r="E705" s="12" t="s">
        <v>1110</v>
      </c>
      <c r="F705" s="12" t="s">
        <v>1114</v>
      </c>
      <c r="G705" s="12" t="s">
        <v>1115</v>
      </c>
      <c r="H705" s="9" t="s">
        <v>57</v>
      </c>
      <c r="I705" s="9" t="str">
        <f>IFERROR(INDEX('Price List Library'!$P$6:$P$437,MATCH(TRIM($G705)&amp;"|"&amp;TRIM($H705),'Price List Library'!$S$6:$S$437,0)),"")</f>
        <v>Benchmark</v>
      </c>
      <c r="J705" s="20">
        <f>IFERROR(INDEX('Price List Library'!$O$6:$O$437,MATCH(TRIM($G705)&amp;"|"&amp;TRIM($H705),'Price List Library'!$S$6:$S$437,0)),0)</f>
        <v>102.80000000000001</v>
      </c>
      <c r="K705" s="13" t="s">
        <v>2209</v>
      </c>
    </row>
    <row r="706" spans="1:11" ht="15" customHeight="1" x14ac:dyDescent="0.25">
      <c r="A706" s="9">
        <v>701</v>
      </c>
      <c r="B706" s="16" t="s">
        <v>865</v>
      </c>
      <c r="C706" s="17" t="s">
        <v>1040</v>
      </c>
      <c r="D706" s="12" t="s">
        <v>1041</v>
      </c>
      <c r="E706" s="12" t="s">
        <v>1110</v>
      </c>
      <c r="F706" s="12" t="s">
        <v>1117</v>
      </c>
      <c r="G706" s="12" t="s">
        <v>1118</v>
      </c>
      <c r="H706" s="9" t="s">
        <v>57</v>
      </c>
      <c r="I706" s="9" t="str">
        <f>IFERROR(INDEX('Price List Library'!$P$6:$P$437,MATCH(TRIM($G706)&amp;"|"&amp;TRIM($H706),'Price List Library'!$S$6:$S$437,0)),"")</f>
        <v>Benchmark</v>
      </c>
      <c r="J706" s="20">
        <f>IFERROR(INDEX('Price List Library'!$O$6:$O$437,MATCH(TRIM($G706)&amp;"|"&amp;TRIM($H706),'Price List Library'!$S$6:$S$437,0)),0)</f>
        <v>176.4</v>
      </c>
      <c r="K706" s="13" t="s">
        <v>2210</v>
      </c>
    </row>
    <row r="707" spans="1:11" ht="15" customHeight="1" x14ac:dyDescent="0.25">
      <c r="A707" s="9">
        <v>702</v>
      </c>
      <c r="B707" s="16" t="s">
        <v>865</v>
      </c>
      <c r="C707" s="17" t="s">
        <v>1040</v>
      </c>
      <c r="D707" s="12" t="s">
        <v>1041</v>
      </c>
      <c r="E707" s="12" t="s">
        <v>1110</v>
      </c>
      <c r="F707" s="12" t="s">
        <v>1120</v>
      </c>
      <c r="G707" s="12" t="s">
        <v>1121</v>
      </c>
      <c r="H707" s="9" t="s">
        <v>61</v>
      </c>
      <c r="I707" s="9" t="str">
        <f>IFERROR(INDEX('Price List Library'!$P$6:$P$437,MATCH(TRIM($G707)&amp;"|"&amp;TRIM($H707),'Price List Library'!$S$6:$S$437,0)),"")</f>
        <v>Benchmark</v>
      </c>
      <c r="J707" s="20">
        <f>IFERROR(INDEX('Price List Library'!$O$6:$O$437,MATCH(TRIM($G707)&amp;"|"&amp;TRIM($H707),'Price List Library'!$S$6:$S$437,0)),0)</f>
        <v>14.880000000000003</v>
      </c>
      <c r="K707" s="13" t="s">
        <v>2211</v>
      </c>
    </row>
    <row r="708" spans="1:11" ht="15" customHeight="1" x14ac:dyDescent="0.25">
      <c r="A708" s="9">
        <v>703</v>
      </c>
      <c r="B708" s="16" t="s">
        <v>865</v>
      </c>
      <c r="C708" s="17" t="s">
        <v>1040</v>
      </c>
      <c r="D708" s="12" t="s">
        <v>1041</v>
      </c>
      <c r="E708" s="12" t="s">
        <v>1123</v>
      </c>
      <c r="F708" s="12" t="s">
        <v>1124</v>
      </c>
      <c r="G708" s="12" t="s">
        <v>1125</v>
      </c>
      <c r="H708" s="9" t="s">
        <v>57</v>
      </c>
      <c r="I708" s="9" t="str">
        <f>IFERROR(INDEX('Price List Library'!$P$6:$P$437,MATCH(TRIM($G708)&amp;"|"&amp;TRIM($H708),'Price List Library'!$S$6:$S$437,0)),"")</f>
        <v>Benchmark</v>
      </c>
      <c r="J708" s="20">
        <f>IFERROR(INDEX('Price List Library'!$O$6:$O$437,MATCH(TRIM($G708)&amp;"|"&amp;TRIM($H708),'Price List Library'!$S$6:$S$437,0)),0)</f>
        <v>35200</v>
      </c>
      <c r="K708" s="13" t="s">
        <v>2212</v>
      </c>
    </row>
    <row r="709" spans="1:11" ht="15" customHeight="1" x14ac:dyDescent="0.25">
      <c r="A709" s="9">
        <v>704</v>
      </c>
      <c r="B709" s="16" t="s">
        <v>865</v>
      </c>
      <c r="C709" s="17" t="s">
        <v>1040</v>
      </c>
      <c r="D709" s="12" t="s">
        <v>1041</v>
      </c>
      <c r="E709" s="12" t="s">
        <v>1123</v>
      </c>
      <c r="F709" s="12" t="s">
        <v>1127</v>
      </c>
      <c r="G709" s="12" t="s">
        <v>1128</v>
      </c>
      <c r="H709" s="9" t="s">
        <v>57</v>
      </c>
      <c r="I709" s="9" t="str">
        <f>IFERROR(INDEX('Price List Library'!$P$6:$P$437,MATCH(TRIM($G709)&amp;"|"&amp;TRIM($H709),'Price List Library'!$S$6:$S$437,0)),"")</f>
        <v>Benchmark</v>
      </c>
      <c r="J709" s="20">
        <f>IFERROR(INDEX('Price List Library'!$O$6:$O$437,MATCH(TRIM($G709)&amp;"|"&amp;TRIM($H709),'Price List Library'!$S$6:$S$437,0)),0)</f>
        <v>3080.0000000000005</v>
      </c>
      <c r="K709" s="13" t="s">
        <v>2213</v>
      </c>
    </row>
    <row r="710" spans="1:11" ht="15" customHeight="1" x14ac:dyDescent="0.25">
      <c r="A710" s="9">
        <v>705</v>
      </c>
      <c r="B710" s="16" t="s">
        <v>865</v>
      </c>
      <c r="C710" s="17" t="s">
        <v>1040</v>
      </c>
      <c r="D710" s="12" t="s">
        <v>1041</v>
      </c>
      <c r="E710" s="12" t="s">
        <v>1123</v>
      </c>
      <c r="F710" s="12" t="s">
        <v>1130</v>
      </c>
      <c r="G710" s="12" t="s">
        <v>1131</v>
      </c>
      <c r="H710" s="9" t="s">
        <v>57</v>
      </c>
      <c r="I710" s="9" t="str">
        <f>IFERROR(INDEX('Price List Library'!$P$6:$P$437,MATCH(TRIM($G710)&amp;"|"&amp;TRIM($H710),'Price List Library'!$S$6:$S$437,0)),"")</f>
        <v>Benchmark</v>
      </c>
      <c r="J710" s="20">
        <f>IFERROR(INDEX('Price List Library'!$O$6:$O$437,MATCH(TRIM($G710)&amp;"|"&amp;TRIM($H710),'Price List Library'!$S$6:$S$437,0)),0)</f>
        <v>3850.0000000000005</v>
      </c>
      <c r="K710" s="13" t="s">
        <v>2214</v>
      </c>
    </row>
    <row r="711" spans="1:11" ht="15" customHeight="1" x14ac:dyDescent="0.25">
      <c r="A711" s="9">
        <v>706</v>
      </c>
      <c r="B711" s="16" t="s">
        <v>865</v>
      </c>
      <c r="C711" s="17" t="s">
        <v>1040</v>
      </c>
      <c r="D711" s="12" t="s">
        <v>1041</v>
      </c>
      <c r="E711" s="12" t="s">
        <v>1123</v>
      </c>
      <c r="F711" s="12" t="s">
        <v>1133</v>
      </c>
      <c r="G711" s="12" t="s">
        <v>1134</v>
      </c>
      <c r="H711" s="9" t="s">
        <v>35</v>
      </c>
      <c r="I711" s="9" t="str">
        <f>IFERROR(INDEX('Price List Library'!$P$6:$P$437,MATCH(TRIM($G711)&amp;"|"&amp;TRIM($H711),'Price List Library'!$S$6:$S$437,0)),"")</f>
        <v>Benchmark</v>
      </c>
      <c r="J711" s="20">
        <f>IFERROR(INDEX('Price List Library'!$O$6:$O$437,MATCH(TRIM($G711)&amp;"|"&amp;TRIM($H711),'Price List Library'!$S$6:$S$437,0)),0)</f>
        <v>2268</v>
      </c>
      <c r="K711" s="13" t="s">
        <v>2215</v>
      </c>
    </row>
    <row r="712" spans="1:11" ht="15" customHeight="1" x14ac:dyDescent="0.25">
      <c r="A712" s="9">
        <v>707</v>
      </c>
      <c r="B712" s="16" t="s">
        <v>865</v>
      </c>
      <c r="C712" s="17" t="s">
        <v>1136</v>
      </c>
      <c r="D712" s="12" t="s">
        <v>1137</v>
      </c>
      <c r="E712" s="12" t="s">
        <v>1138</v>
      </c>
      <c r="F712" s="12" t="s">
        <v>1139</v>
      </c>
      <c r="G712" s="12" t="s">
        <v>1140</v>
      </c>
      <c r="H712" s="9" t="s">
        <v>57</v>
      </c>
      <c r="I712" s="9" t="str">
        <f>IFERROR(INDEX('Price List Library'!$P$6:$P$437,MATCH(TRIM($G712)&amp;"|"&amp;TRIM($H712),'Price List Library'!$S$6:$S$437,0)),"")</f>
        <v>Benchmark</v>
      </c>
      <c r="J712" s="20">
        <f>IFERROR(INDEX('Price List Library'!$O$6:$O$437,MATCH(TRIM($G712)&amp;"|"&amp;TRIM($H712),'Price List Library'!$S$6:$S$437,0)),0)</f>
        <v>2988.0000000000005</v>
      </c>
      <c r="K712" s="13" t="s">
        <v>2216</v>
      </c>
    </row>
    <row r="713" spans="1:11" ht="15" customHeight="1" x14ac:dyDescent="0.25">
      <c r="A713" s="9">
        <v>708</v>
      </c>
      <c r="B713" s="16" t="s">
        <v>865</v>
      </c>
      <c r="C713" s="17" t="s">
        <v>1136</v>
      </c>
      <c r="D713" s="12" t="s">
        <v>1137</v>
      </c>
      <c r="E713" s="12" t="s">
        <v>1138</v>
      </c>
      <c r="F713" s="12" t="s">
        <v>1142</v>
      </c>
      <c r="G713" s="12" t="s">
        <v>1143</v>
      </c>
      <c r="H713" s="9" t="s">
        <v>57</v>
      </c>
      <c r="I713" s="9" t="str">
        <f>IFERROR(INDEX('Price List Library'!$P$6:$P$437,MATCH(TRIM($G713)&amp;"|"&amp;TRIM($H713),'Price List Library'!$S$6:$S$437,0)),"")</f>
        <v>Benchmark</v>
      </c>
      <c r="J713" s="20">
        <f>IFERROR(INDEX('Price List Library'!$O$6:$O$437,MATCH(TRIM($G713)&amp;"|"&amp;TRIM($H713),'Price List Library'!$S$6:$S$437,0)),0)</f>
        <v>57.84</v>
      </c>
      <c r="K713" s="13" t="s">
        <v>2217</v>
      </c>
    </row>
    <row r="714" spans="1:11" ht="15" customHeight="1" x14ac:dyDescent="0.25">
      <c r="A714" s="9">
        <v>709</v>
      </c>
      <c r="B714" s="16" t="s">
        <v>865</v>
      </c>
      <c r="C714" s="17" t="s">
        <v>1136</v>
      </c>
      <c r="D714" s="12" t="s">
        <v>1137</v>
      </c>
      <c r="E714" s="12" t="s">
        <v>1138</v>
      </c>
      <c r="F714" s="12" t="s">
        <v>1145</v>
      </c>
      <c r="G714" s="12" t="s">
        <v>1146</v>
      </c>
      <c r="H714" s="9" t="s">
        <v>57</v>
      </c>
      <c r="I714" s="9" t="str">
        <f>IFERROR(INDEX('Price List Library'!$P$6:$P$437,MATCH(TRIM($G714)&amp;"|"&amp;TRIM($H714),'Price List Library'!$S$6:$S$437,0)),"")</f>
        <v>Benchmark</v>
      </c>
      <c r="J714" s="20">
        <f>IFERROR(INDEX('Price List Library'!$O$6:$O$437,MATCH(TRIM($G714)&amp;"|"&amp;TRIM($H714),'Price List Library'!$S$6:$S$437,0)),0)</f>
        <v>48.800000000000004</v>
      </c>
      <c r="K714" s="13" t="s">
        <v>2218</v>
      </c>
    </row>
    <row r="715" spans="1:11" ht="15" customHeight="1" x14ac:dyDescent="0.25">
      <c r="A715" s="9">
        <v>710</v>
      </c>
      <c r="B715" s="16" t="s">
        <v>865</v>
      </c>
      <c r="C715" s="17" t="s">
        <v>1136</v>
      </c>
      <c r="D715" s="12" t="s">
        <v>1137</v>
      </c>
      <c r="E715" s="12" t="s">
        <v>1138</v>
      </c>
      <c r="F715" s="12" t="s">
        <v>1148</v>
      </c>
      <c r="G715" s="12" t="s">
        <v>1149</v>
      </c>
      <c r="H715" s="9" t="s">
        <v>57</v>
      </c>
      <c r="I715" s="9" t="str">
        <f>IFERROR(INDEX('Price List Library'!$P$6:$P$437,MATCH(TRIM($G715)&amp;"|"&amp;TRIM($H715),'Price List Library'!$S$6:$S$437,0)),"")</f>
        <v>Benchmark</v>
      </c>
      <c r="J715" s="20">
        <f>IFERROR(INDEX('Price List Library'!$O$6:$O$437,MATCH(TRIM($G715)&amp;"|"&amp;TRIM($H715),'Price List Library'!$S$6:$S$437,0)),0)</f>
        <v>52.160000000000004</v>
      </c>
      <c r="K715" s="13" t="s">
        <v>2219</v>
      </c>
    </row>
    <row r="716" spans="1:11" ht="15" customHeight="1" x14ac:dyDescent="0.25">
      <c r="A716" s="9">
        <v>711</v>
      </c>
      <c r="B716" s="16" t="s">
        <v>865</v>
      </c>
      <c r="C716" s="17" t="s">
        <v>1136</v>
      </c>
      <c r="D716" s="12" t="s">
        <v>1137</v>
      </c>
      <c r="E716" s="12" t="s">
        <v>1151</v>
      </c>
      <c r="F716" s="12" t="s">
        <v>1152</v>
      </c>
      <c r="G716" s="12" t="s">
        <v>1153</v>
      </c>
      <c r="H716" s="9" t="s">
        <v>57</v>
      </c>
      <c r="I716" s="9" t="str">
        <f>IFERROR(INDEX('Price List Library'!$P$6:$P$437,MATCH(TRIM($G716)&amp;"|"&amp;TRIM($H716),'Price List Library'!$S$6:$S$437,0)),"")</f>
        <v>Benchmark</v>
      </c>
      <c r="J716" s="20">
        <f>IFERROR(INDEX('Price List Library'!$O$6:$O$437,MATCH(TRIM($G716)&amp;"|"&amp;TRIM($H716),'Price List Library'!$S$6:$S$437,0)),0)</f>
        <v>172.8</v>
      </c>
      <c r="K716" s="13" t="s">
        <v>2220</v>
      </c>
    </row>
    <row r="717" spans="1:11" ht="15" customHeight="1" x14ac:dyDescent="0.25">
      <c r="A717" s="9">
        <v>712</v>
      </c>
      <c r="B717" s="16" t="s">
        <v>865</v>
      </c>
      <c r="C717" s="17" t="s">
        <v>1136</v>
      </c>
      <c r="D717" s="12" t="s">
        <v>1137</v>
      </c>
      <c r="E717" s="12" t="s">
        <v>1151</v>
      </c>
      <c r="F717" s="12" t="s">
        <v>1155</v>
      </c>
      <c r="G717" s="12" t="s">
        <v>1156</v>
      </c>
      <c r="H717" s="9" t="s">
        <v>57</v>
      </c>
      <c r="I717" s="9" t="str">
        <f>IFERROR(INDEX('Price List Library'!$P$6:$P$437,MATCH(TRIM($G717)&amp;"|"&amp;TRIM($H717),'Price List Library'!$S$6:$S$437,0)),"")</f>
        <v>Benchmark</v>
      </c>
      <c r="J717" s="20">
        <f>IFERROR(INDEX('Price List Library'!$O$6:$O$437,MATCH(TRIM($G717)&amp;"|"&amp;TRIM($H717),'Price List Library'!$S$6:$S$437,0)),0)</f>
        <v>912.00000000000011</v>
      </c>
      <c r="K717" s="13" t="s">
        <v>2221</v>
      </c>
    </row>
    <row r="718" spans="1:11" ht="15" customHeight="1" x14ac:dyDescent="0.25">
      <c r="A718" s="9">
        <v>713</v>
      </c>
      <c r="B718" s="16" t="s">
        <v>865</v>
      </c>
      <c r="C718" s="17" t="s">
        <v>1136</v>
      </c>
      <c r="D718" s="12" t="s">
        <v>1137</v>
      </c>
      <c r="E718" s="12" t="s">
        <v>1151</v>
      </c>
      <c r="F718" s="12" t="s">
        <v>1158</v>
      </c>
      <c r="G718" s="12" t="s">
        <v>1159</v>
      </c>
      <c r="H718" s="9" t="s">
        <v>57</v>
      </c>
      <c r="I718" s="9" t="str">
        <f>IFERROR(INDEX('Price List Library'!$P$6:$P$437,MATCH(TRIM($G718)&amp;"|"&amp;TRIM($H718),'Price List Library'!$S$6:$S$437,0)),"")</f>
        <v>Benchmark</v>
      </c>
      <c r="J718" s="20">
        <f>IFERROR(INDEX('Price List Library'!$O$6:$O$437,MATCH(TRIM($G718)&amp;"|"&amp;TRIM($H718),'Price List Library'!$S$6:$S$437,0)),0)</f>
        <v>412.40000000000003</v>
      </c>
      <c r="K718" s="13" t="s">
        <v>2222</v>
      </c>
    </row>
    <row r="719" spans="1:11" ht="15" customHeight="1" x14ac:dyDescent="0.25">
      <c r="A719" s="9">
        <v>714</v>
      </c>
      <c r="B719" s="16" t="s">
        <v>865</v>
      </c>
      <c r="C719" s="17" t="s">
        <v>1136</v>
      </c>
      <c r="D719" s="12" t="s">
        <v>1137</v>
      </c>
      <c r="E719" s="12" t="s">
        <v>1151</v>
      </c>
      <c r="F719" s="12" t="s">
        <v>1161</v>
      </c>
      <c r="G719" s="12" t="s">
        <v>1162</v>
      </c>
      <c r="H719" s="9" t="s">
        <v>57</v>
      </c>
      <c r="I719" s="9" t="str">
        <f>IFERROR(INDEX('Price List Library'!$P$6:$P$437,MATCH(TRIM($G719)&amp;"|"&amp;TRIM($H719),'Price List Library'!$S$6:$S$437,0)),"")</f>
        <v>Benchmark</v>
      </c>
      <c r="J719" s="20">
        <f>IFERROR(INDEX('Price List Library'!$O$6:$O$437,MATCH(TRIM($G719)&amp;"|"&amp;TRIM($H719),'Price List Library'!$S$6:$S$437,0)),0)</f>
        <v>288.40000000000003</v>
      </c>
      <c r="K719" s="13" t="s">
        <v>2223</v>
      </c>
    </row>
    <row r="720" spans="1:11" ht="15" customHeight="1" x14ac:dyDescent="0.25">
      <c r="A720" s="9">
        <v>715</v>
      </c>
      <c r="B720" s="16" t="s">
        <v>865</v>
      </c>
      <c r="C720" s="17" t="s">
        <v>1136</v>
      </c>
      <c r="D720" s="12" t="s">
        <v>1137</v>
      </c>
      <c r="E720" s="12" t="s">
        <v>1164</v>
      </c>
      <c r="F720" s="12" t="s">
        <v>1165</v>
      </c>
      <c r="G720" s="12" t="s">
        <v>1166</v>
      </c>
      <c r="H720" s="9" t="s">
        <v>1082</v>
      </c>
      <c r="I720" s="9" t="str">
        <f>IFERROR(INDEX('Price List Library'!$P$6:$P$437,MATCH(TRIM($G720)&amp;"|"&amp;TRIM($H720),'Price List Library'!$S$6:$S$437,0)),"")</f>
        <v>Benchmark</v>
      </c>
      <c r="J720" s="20">
        <f>IFERROR(INDEX('Price List Library'!$O$6:$O$437,MATCH(TRIM($G720)&amp;"|"&amp;TRIM($H720),'Price List Library'!$S$6:$S$437,0)),0)</f>
        <v>42.160000000000004</v>
      </c>
      <c r="K720" s="13" t="s">
        <v>2224</v>
      </c>
    </row>
    <row r="721" spans="1:11" ht="15" customHeight="1" x14ac:dyDescent="0.25">
      <c r="A721" s="9">
        <v>716</v>
      </c>
      <c r="B721" s="16" t="s">
        <v>865</v>
      </c>
      <c r="C721" s="17" t="s">
        <v>1136</v>
      </c>
      <c r="D721" s="12" t="s">
        <v>1137</v>
      </c>
      <c r="E721" s="12" t="s">
        <v>1164</v>
      </c>
      <c r="F721" s="12" t="s">
        <v>1168</v>
      </c>
      <c r="G721" s="12" t="s">
        <v>1169</v>
      </c>
      <c r="H721" s="9" t="s">
        <v>57</v>
      </c>
      <c r="I721" s="9" t="str">
        <f>IFERROR(INDEX('Price List Library'!$P$6:$P$437,MATCH(TRIM($G721)&amp;"|"&amp;TRIM($H721),'Price List Library'!$S$6:$S$437,0)),"")</f>
        <v>Benchmark</v>
      </c>
      <c r="J721" s="20">
        <f>IFERROR(INDEX('Price List Library'!$O$6:$O$437,MATCH(TRIM($G721)&amp;"|"&amp;TRIM($H721),'Price List Library'!$S$6:$S$437,0)),0)</f>
        <v>1172</v>
      </c>
      <c r="K721" s="13" t="s">
        <v>2225</v>
      </c>
    </row>
    <row r="722" spans="1:11" ht="15" customHeight="1" x14ac:dyDescent="0.25">
      <c r="A722" s="9">
        <v>717</v>
      </c>
      <c r="B722" s="16" t="s">
        <v>865</v>
      </c>
      <c r="C722" s="17" t="s">
        <v>1136</v>
      </c>
      <c r="D722" s="12" t="s">
        <v>1137</v>
      </c>
      <c r="E722" s="12" t="s">
        <v>1164</v>
      </c>
      <c r="F722" s="12" t="s">
        <v>1171</v>
      </c>
      <c r="G722" s="12" t="s">
        <v>1172</v>
      </c>
      <c r="H722" s="9" t="s">
        <v>57</v>
      </c>
      <c r="I722" s="9" t="str">
        <f>IFERROR(INDEX('Price List Library'!$P$6:$P$437,MATCH(TRIM($G722)&amp;"|"&amp;TRIM($H722),'Price List Library'!$S$6:$S$437,0)),"")</f>
        <v>Benchmark</v>
      </c>
      <c r="J722" s="20">
        <f>IFERROR(INDEX('Price List Library'!$O$6:$O$437,MATCH(TRIM($G722)&amp;"|"&amp;TRIM($H722),'Price List Library'!$S$6:$S$437,0)),0)</f>
        <v>1692.0000000000002</v>
      </c>
      <c r="K722" s="13" t="s">
        <v>2226</v>
      </c>
    </row>
    <row r="723" spans="1:11" ht="15" customHeight="1" x14ac:dyDescent="0.25">
      <c r="A723" s="9">
        <v>718</v>
      </c>
      <c r="B723" s="16" t="s">
        <v>865</v>
      </c>
      <c r="C723" s="17" t="s">
        <v>1136</v>
      </c>
      <c r="D723" s="12" t="s">
        <v>1137</v>
      </c>
      <c r="E723" s="12" t="s">
        <v>1164</v>
      </c>
      <c r="F723" s="12" t="s">
        <v>1174</v>
      </c>
      <c r="G723" s="12" t="s">
        <v>1175</v>
      </c>
      <c r="H723" s="9" t="s">
        <v>1082</v>
      </c>
      <c r="I723" s="9" t="str">
        <f>IFERROR(INDEX('Price List Library'!$P$6:$P$437,MATCH(TRIM($G723)&amp;"|"&amp;TRIM($H723),'Price List Library'!$S$6:$S$437,0)),"")</f>
        <v>Benchmark</v>
      </c>
      <c r="J723" s="20">
        <f>IFERROR(INDEX('Price List Library'!$O$6:$O$437,MATCH(TRIM($G723)&amp;"|"&amp;TRIM($H723),'Price List Library'!$S$6:$S$437,0)),0)</f>
        <v>28.560000000000002</v>
      </c>
      <c r="K723" s="13" t="s">
        <v>2227</v>
      </c>
    </row>
    <row r="724" spans="1:11" ht="15" customHeight="1" x14ac:dyDescent="0.25">
      <c r="A724" s="9">
        <v>719</v>
      </c>
      <c r="B724" s="16" t="s">
        <v>865</v>
      </c>
      <c r="C724" s="17" t="s">
        <v>1136</v>
      </c>
      <c r="D724" s="12" t="s">
        <v>1137</v>
      </c>
      <c r="E724" s="12" t="s">
        <v>1164</v>
      </c>
      <c r="F724" s="12" t="s">
        <v>1177</v>
      </c>
      <c r="G724" s="12" t="s">
        <v>1178</v>
      </c>
      <c r="H724" s="9" t="s">
        <v>57</v>
      </c>
      <c r="I724" s="9" t="str">
        <f>IFERROR(INDEX('Price List Library'!$P$6:$P$437,MATCH(TRIM($G724)&amp;"|"&amp;TRIM($H724),'Price List Library'!$S$6:$S$437,0)),"")</f>
        <v>Benchmark</v>
      </c>
      <c r="J724" s="20">
        <f>IFERROR(INDEX('Price List Library'!$O$6:$O$437,MATCH(TRIM($G724)&amp;"|"&amp;TRIM($H724),'Price List Library'!$S$6:$S$437,0)),0)</f>
        <v>206.4</v>
      </c>
      <c r="K724" s="13" t="s">
        <v>2228</v>
      </c>
    </row>
    <row r="725" spans="1:11" ht="15" customHeight="1" x14ac:dyDescent="0.25">
      <c r="A725" s="9">
        <v>720</v>
      </c>
      <c r="B725" s="16" t="s">
        <v>865</v>
      </c>
      <c r="C725" s="17" t="s">
        <v>1136</v>
      </c>
      <c r="D725" s="12" t="s">
        <v>1137</v>
      </c>
      <c r="E725" s="12" t="s">
        <v>1180</v>
      </c>
      <c r="F725" s="12" t="s">
        <v>1181</v>
      </c>
      <c r="G725" s="12" t="s">
        <v>1182</v>
      </c>
      <c r="H725" s="9" t="s">
        <v>35</v>
      </c>
      <c r="I725" s="9" t="str">
        <f>IFERROR(INDEX('Price List Library'!$P$6:$P$437,MATCH(TRIM($G725)&amp;"|"&amp;TRIM($H725),'Price List Library'!$S$6:$S$437,0)),"")</f>
        <v>Benchmark</v>
      </c>
      <c r="J725" s="20">
        <f>IFERROR(INDEX('Price List Library'!$O$6:$O$437,MATCH(TRIM($G725)&amp;"|"&amp;TRIM($H725),'Price List Library'!$S$6:$S$437,0)),0)</f>
        <v>4124</v>
      </c>
      <c r="K725" s="13" t="s">
        <v>2229</v>
      </c>
    </row>
    <row r="726" spans="1:11" ht="15" customHeight="1" x14ac:dyDescent="0.25">
      <c r="A726" s="9">
        <v>721</v>
      </c>
      <c r="B726" s="16" t="s">
        <v>865</v>
      </c>
      <c r="C726" s="17" t="s">
        <v>1136</v>
      </c>
      <c r="D726" s="12" t="s">
        <v>1137</v>
      </c>
      <c r="E726" s="12" t="s">
        <v>1180</v>
      </c>
      <c r="F726" s="12" t="s">
        <v>1184</v>
      </c>
      <c r="G726" s="12" t="s">
        <v>1185</v>
      </c>
      <c r="H726" s="9" t="s">
        <v>57</v>
      </c>
      <c r="I726" s="9" t="str">
        <f>IFERROR(INDEX('Price List Library'!$P$6:$P$437,MATCH(TRIM($G726)&amp;"|"&amp;TRIM($H726),'Price List Library'!$S$6:$S$437,0)),"")</f>
        <v>Benchmark</v>
      </c>
      <c r="J726" s="20">
        <f>IFERROR(INDEX('Price List Library'!$O$6:$O$437,MATCH(TRIM($G726)&amp;"|"&amp;TRIM($H726),'Price List Library'!$S$6:$S$437,0)),0)</f>
        <v>61.2</v>
      </c>
      <c r="K726" s="13" t="s">
        <v>2230</v>
      </c>
    </row>
    <row r="727" spans="1:11" ht="15" customHeight="1" x14ac:dyDescent="0.25">
      <c r="A727" s="9">
        <v>722</v>
      </c>
      <c r="B727" s="16" t="s">
        <v>865</v>
      </c>
      <c r="C727" s="17" t="s">
        <v>1136</v>
      </c>
      <c r="D727" s="12" t="s">
        <v>1137</v>
      </c>
      <c r="E727" s="12" t="s">
        <v>1180</v>
      </c>
      <c r="F727" s="12" t="s">
        <v>1187</v>
      </c>
      <c r="G727" s="12" t="s">
        <v>1188</v>
      </c>
      <c r="H727" s="9" t="s">
        <v>35</v>
      </c>
      <c r="I727" s="9" t="str">
        <f>IFERROR(INDEX('Price List Library'!$P$6:$P$437,MATCH(TRIM($G727)&amp;"|"&amp;TRIM($H727),'Price List Library'!$S$6:$S$437,0)),"")</f>
        <v>Benchmark</v>
      </c>
      <c r="J727" s="20">
        <f>IFERROR(INDEX('Price List Library'!$O$6:$O$437,MATCH(TRIM($G727)&amp;"|"&amp;TRIM($H727),'Price List Library'!$S$6:$S$437,0)),0)</f>
        <v>3108.0000000000005</v>
      </c>
      <c r="K727" s="13" t="s">
        <v>2231</v>
      </c>
    </row>
    <row r="728" spans="1:11" ht="15" customHeight="1" x14ac:dyDescent="0.25">
      <c r="A728" s="9">
        <v>723</v>
      </c>
      <c r="B728" s="16" t="s">
        <v>865</v>
      </c>
      <c r="C728" s="17" t="s">
        <v>1136</v>
      </c>
      <c r="D728" s="12" t="s">
        <v>1137</v>
      </c>
      <c r="E728" s="12" t="s">
        <v>1180</v>
      </c>
      <c r="F728" s="12" t="s">
        <v>1190</v>
      </c>
      <c r="G728" s="12" t="s">
        <v>1191</v>
      </c>
      <c r="H728" s="9" t="s">
        <v>57</v>
      </c>
      <c r="I728" s="9" t="str">
        <f>IFERROR(INDEX('Price List Library'!$P$6:$P$437,MATCH(TRIM($G728)&amp;"|"&amp;TRIM($H728),'Price List Library'!$S$6:$S$437,0)),"")</f>
        <v>Benchmark</v>
      </c>
      <c r="J728" s="20">
        <f>IFERROR(INDEX('Price List Library'!$O$6:$O$437,MATCH(TRIM($G728)&amp;"|"&amp;TRIM($H728),'Price List Library'!$S$6:$S$437,0)),0)</f>
        <v>945.60000000000014</v>
      </c>
      <c r="K728" s="13" t="s">
        <v>2232</v>
      </c>
    </row>
    <row r="729" spans="1:11" ht="15" customHeight="1" x14ac:dyDescent="0.25">
      <c r="A729" s="9">
        <v>724</v>
      </c>
      <c r="B729" s="16" t="s">
        <v>865</v>
      </c>
      <c r="C729" s="17" t="s">
        <v>1136</v>
      </c>
      <c r="D729" s="12" t="s">
        <v>1137</v>
      </c>
      <c r="E729" s="12" t="s">
        <v>1180</v>
      </c>
      <c r="F729" s="12" t="s">
        <v>1193</v>
      </c>
      <c r="G729" s="12" t="s">
        <v>1194</v>
      </c>
      <c r="H729" s="9" t="s">
        <v>35</v>
      </c>
      <c r="I729" s="9" t="str">
        <f>IFERROR(INDEX('Price List Library'!$P$6:$P$437,MATCH(TRIM($G729)&amp;"|"&amp;TRIM($H729),'Price List Library'!$S$6:$S$437,0)),"")</f>
        <v>Benchmark</v>
      </c>
      <c r="J729" s="20">
        <f>IFERROR(INDEX('Price List Library'!$O$6:$O$437,MATCH(TRIM($G729)&amp;"|"&amp;TRIM($H729),'Price List Library'!$S$6:$S$437,0)),0)</f>
        <v>1208</v>
      </c>
      <c r="K729" s="13" t="s">
        <v>2233</v>
      </c>
    </row>
    <row r="730" spans="1:11" ht="15" customHeight="1" x14ac:dyDescent="0.25">
      <c r="A730" s="9">
        <v>725</v>
      </c>
      <c r="B730" s="16" t="s">
        <v>865</v>
      </c>
      <c r="C730" s="17" t="s">
        <v>1136</v>
      </c>
      <c r="D730" s="12" t="s">
        <v>1137</v>
      </c>
      <c r="E730" s="12" t="s">
        <v>1196</v>
      </c>
      <c r="F730" s="12" t="s">
        <v>1197</v>
      </c>
      <c r="G730" s="12" t="s">
        <v>1198</v>
      </c>
      <c r="H730" s="9" t="s">
        <v>57</v>
      </c>
      <c r="I730" s="9" t="str">
        <f>IFERROR(INDEX('Price List Library'!$P$6:$P$437,MATCH(TRIM($G730)&amp;"|"&amp;TRIM($H730),'Price List Library'!$S$6:$S$437,0)),"")</f>
        <v>Benchmark</v>
      </c>
      <c r="J730" s="20">
        <f>IFERROR(INDEX('Price List Library'!$O$6:$O$437,MATCH(TRIM($G730)&amp;"|"&amp;TRIM($H730),'Price List Library'!$S$6:$S$437,0)),0)</f>
        <v>5460.0000000000009</v>
      </c>
      <c r="K730" s="13" t="s">
        <v>2234</v>
      </c>
    </row>
    <row r="731" spans="1:11" ht="15" customHeight="1" x14ac:dyDescent="0.25">
      <c r="A731" s="9">
        <v>726</v>
      </c>
      <c r="B731" s="16" t="s">
        <v>865</v>
      </c>
      <c r="C731" s="17" t="s">
        <v>1136</v>
      </c>
      <c r="D731" s="12" t="s">
        <v>1137</v>
      </c>
      <c r="E731" s="12" t="s">
        <v>1196</v>
      </c>
      <c r="F731" s="12" t="s">
        <v>1200</v>
      </c>
      <c r="G731" s="12" t="s">
        <v>1201</v>
      </c>
      <c r="H731" s="9" t="s">
        <v>57</v>
      </c>
      <c r="I731" s="9" t="str">
        <f>IFERROR(INDEX('Price List Library'!$P$6:$P$437,MATCH(TRIM($G731)&amp;"|"&amp;TRIM($H731),'Price List Library'!$S$6:$S$437,0)),"")</f>
        <v>Benchmark</v>
      </c>
      <c r="J731" s="20">
        <f>IFERROR(INDEX('Price List Library'!$O$6:$O$437,MATCH(TRIM($G731)&amp;"|"&amp;TRIM($H731),'Price List Library'!$S$6:$S$437,0)),0)</f>
        <v>156</v>
      </c>
      <c r="K731" s="13" t="s">
        <v>2235</v>
      </c>
    </row>
    <row r="732" spans="1:11" ht="15" customHeight="1" x14ac:dyDescent="0.25">
      <c r="A732" s="9">
        <v>727</v>
      </c>
      <c r="B732" s="16" t="s">
        <v>865</v>
      </c>
      <c r="C732" s="17" t="s">
        <v>1203</v>
      </c>
      <c r="D732" s="12" t="s">
        <v>1204</v>
      </c>
      <c r="E732" s="12" t="s">
        <v>1205</v>
      </c>
      <c r="F732" s="12" t="s">
        <v>1206</v>
      </c>
      <c r="G732" s="12" t="s">
        <v>1207</v>
      </c>
      <c r="H732" s="9" t="s">
        <v>61</v>
      </c>
      <c r="I732" s="9" t="str">
        <f>IFERROR(INDEX('Price List Library'!$P$6:$P$437,MATCH(TRIM($G732)&amp;"|"&amp;TRIM($H732),'Price List Library'!$S$6:$S$437,0)),"")</f>
        <v>Benchmark</v>
      </c>
      <c r="J732" s="20">
        <f>IFERROR(INDEX('Price List Library'!$O$6:$O$437,MATCH(TRIM($G732)&amp;"|"&amp;TRIM($H732),'Price List Library'!$S$6:$S$437,0)),0)</f>
        <v>12.68</v>
      </c>
      <c r="K732" s="13" t="s">
        <v>2236</v>
      </c>
    </row>
    <row r="733" spans="1:11" ht="15" customHeight="1" x14ac:dyDescent="0.25">
      <c r="A733" s="9">
        <v>728</v>
      </c>
      <c r="B733" s="16" t="s">
        <v>865</v>
      </c>
      <c r="C733" s="17" t="s">
        <v>1203</v>
      </c>
      <c r="D733" s="12" t="s">
        <v>1204</v>
      </c>
      <c r="E733" s="12" t="s">
        <v>1205</v>
      </c>
      <c r="F733" s="12" t="s">
        <v>1209</v>
      </c>
      <c r="G733" s="12" t="s">
        <v>1210</v>
      </c>
      <c r="H733" s="9" t="s">
        <v>61</v>
      </c>
      <c r="I733" s="9" t="str">
        <f>IFERROR(INDEX('Price List Library'!$P$6:$P$437,MATCH(TRIM($G733)&amp;"|"&amp;TRIM($H733),'Price List Library'!$S$6:$S$437,0)),"")</f>
        <v>Benchmark</v>
      </c>
      <c r="J733" s="20">
        <f>IFERROR(INDEX('Price List Library'!$O$6:$O$437,MATCH(TRIM($G733)&amp;"|"&amp;TRIM($H733),'Price List Library'!$S$6:$S$437,0)),0)</f>
        <v>17.240000000000002</v>
      </c>
      <c r="K733" s="13" t="s">
        <v>2237</v>
      </c>
    </row>
    <row r="734" spans="1:11" ht="15" customHeight="1" x14ac:dyDescent="0.25">
      <c r="A734" s="9">
        <v>729</v>
      </c>
      <c r="B734" s="16" t="s">
        <v>865</v>
      </c>
      <c r="C734" s="17" t="s">
        <v>1203</v>
      </c>
      <c r="D734" s="12" t="s">
        <v>1204</v>
      </c>
      <c r="E734" s="12" t="s">
        <v>1205</v>
      </c>
      <c r="F734" s="12" t="s">
        <v>965</v>
      </c>
      <c r="G734" s="12" t="s">
        <v>966</v>
      </c>
      <c r="H734" s="9" t="s">
        <v>61</v>
      </c>
      <c r="I734" s="9" t="str">
        <f>IFERROR(INDEX('Price List Library'!$P$6:$P$437,MATCH(TRIM($G734)&amp;"|"&amp;TRIM($H734),'Price List Library'!$S$6:$S$437,0)),"")</f>
        <v>Benchmark</v>
      </c>
      <c r="J734" s="20">
        <f>IFERROR(INDEX('Price List Library'!$O$6:$O$437,MATCH(TRIM($G734)&amp;"|"&amp;TRIM($H734),'Price List Library'!$S$6:$S$437,0)),0)</f>
        <v>9.16</v>
      </c>
      <c r="K734" s="13" t="s">
        <v>2238</v>
      </c>
    </row>
    <row r="735" spans="1:11" ht="15" customHeight="1" x14ac:dyDescent="0.25">
      <c r="A735" s="9">
        <v>730</v>
      </c>
      <c r="B735" s="16" t="s">
        <v>865</v>
      </c>
      <c r="C735" s="17" t="s">
        <v>1203</v>
      </c>
      <c r="D735" s="12" t="s">
        <v>1204</v>
      </c>
      <c r="E735" s="12" t="s">
        <v>1205</v>
      </c>
      <c r="F735" s="12" t="s">
        <v>1213</v>
      </c>
      <c r="G735" s="12" t="s">
        <v>1214</v>
      </c>
      <c r="H735" s="9" t="s">
        <v>57</v>
      </c>
      <c r="I735" s="9" t="str">
        <f>IFERROR(INDEX('Price List Library'!$P$6:$P$437,MATCH(TRIM($G735)&amp;"|"&amp;TRIM($H735),'Price List Library'!$S$6:$S$437,0)),"")</f>
        <v>Benchmark</v>
      </c>
      <c r="J735" s="20">
        <f>IFERROR(INDEX('Price List Library'!$O$6:$O$437,MATCH(TRIM($G735)&amp;"|"&amp;TRIM($H735),'Price List Library'!$S$6:$S$437,0)),0)</f>
        <v>45.440000000000005</v>
      </c>
      <c r="K735" s="13" t="s">
        <v>2239</v>
      </c>
    </row>
    <row r="736" spans="1:11" ht="15" customHeight="1" x14ac:dyDescent="0.25">
      <c r="A736" s="9">
        <v>731</v>
      </c>
      <c r="B736" s="16" t="s">
        <v>865</v>
      </c>
      <c r="C736" s="17" t="s">
        <v>1203</v>
      </c>
      <c r="D736" s="12" t="s">
        <v>1204</v>
      </c>
      <c r="E736" s="12" t="s">
        <v>1205</v>
      </c>
      <c r="F736" s="12" t="s">
        <v>1216</v>
      </c>
      <c r="G736" s="12" t="s">
        <v>1217</v>
      </c>
      <c r="H736" s="9" t="s">
        <v>57</v>
      </c>
      <c r="I736" s="9" t="str">
        <f>IFERROR(INDEX('Price List Library'!$P$6:$P$437,MATCH(TRIM($G736)&amp;"|"&amp;TRIM($H736),'Price List Library'!$S$6:$S$437,0)),"")</f>
        <v>Benchmark</v>
      </c>
      <c r="J736" s="20">
        <f>IFERROR(INDEX('Price List Library'!$O$6:$O$437,MATCH(TRIM($G736)&amp;"|"&amp;TRIM($H736),'Price List Library'!$S$6:$S$437,0)),0)</f>
        <v>113.2</v>
      </c>
      <c r="K736" s="13" t="s">
        <v>2240</v>
      </c>
    </row>
    <row r="737" spans="1:11" ht="15" customHeight="1" x14ac:dyDescent="0.25">
      <c r="A737" s="9">
        <v>732</v>
      </c>
      <c r="B737" s="16" t="s">
        <v>865</v>
      </c>
      <c r="C737" s="17" t="s">
        <v>1203</v>
      </c>
      <c r="D737" s="12" t="s">
        <v>1204</v>
      </c>
      <c r="E737" s="12" t="s">
        <v>1219</v>
      </c>
      <c r="F737" s="12" t="s">
        <v>1220</v>
      </c>
      <c r="G737" s="12" t="s">
        <v>1221</v>
      </c>
      <c r="H737" s="9" t="s">
        <v>57</v>
      </c>
      <c r="I737" s="9" t="str">
        <f>IFERROR(INDEX('Price List Library'!$P$6:$P$437,MATCH(TRIM($G737)&amp;"|"&amp;TRIM($H737),'Price List Library'!$S$6:$S$437,0)),"")</f>
        <v>Benchmark</v>
      </c>
      <c r="J737" s="20">
        <f>IFERROR(INDEX('Price List Library'!$O$6:$O$437,MATCH(TRIM($G737)&amp;"|"&amp;TRIM($H737),'Price List Library'!$S$6:$S$437,0)),0)</f>
        <v>1208</v>
      </c>
      <c r="K737" s="13" t="s">
        <v>2241</v>
      </c>
    </row>
    <row r="738" spans="1:11" ht="15" customHeight="1" x14ac:dyDescent="0.25">
      <c r="A738" s="9">
        <v>733</v>
      </c>
      <c r="B738" s="16" t="s">
        <v>865</v>
      </c>
      <c r="C738" s="17" t="s">
        <v>1203</v>
      </c>
      <c r="D738" s="12" t="s">
        <v>1204</v>
      </c>
      <c r="E738" s="12" t="s">
        <v>1219</v>
      </c>
      <c r="F738" s="12" t="s">
        <v>1223</v>
      </c>
      <c r="G738" s="12" t="s">
        <v>1224</v>
      </c>
      <c r="H738" s="9" t="s">
        <v>57</v>
      </c>
      <c r="I738" s="9" t="str">
        <f>IFERROR(INDEX('Price List Library'!$P$6:$P$437,MATCH(TRIM($G738)&amp;"|"&amp;TRIM($H738),'Price List Library'!$S$6:$S$437,0)),"")</f>
        <v>Benchmark</v>
      </c>
      <c r="J738" s="20">
        <f>IFERROR(INDEX('Price List Library'!$O$6:$O$437,MATCH(TRIM($G738)&amp;"|"&amp;TRIM($H738),'Price List Library'!$S$6:$S$437,0)),0)</f>
        <v>1580.0000000000002</v>
      </c>
      <c r="K738" s="13" t="s">
        <v>2242</v>
      </c>
    </row>
    <row r="739" spans="1:11" ht="15" customHeight="1" x14ac:dyDescent="0.25">
      <c r="A739" s="9">
        <v>734</v>
      </c>
      <c r="B739" s="16" t="s">
        <v>865</v>
      </c>
      <c r="C739" s="17" t="s">
        <v>1203</v>
      </c>
      <c r="D739" s="12" t="s">
        <v>1204</v>
      </c>
      <c r="E739" s="12" t="s">
        <v>1219</v>
      </c>
      <c r="F739" s="12" t="s">
        <v>1226</v>
      </c>
      <c r="G739" s="12" t="s">
        <v>1227</v>
      </c>
      <c r="H739" s="9" t="s">
        <v>57</v>
      </c>
      <c r="I739" s="9" t="str">
        <f>IFERROR(INDEX('Price List Library'!$P$6:$P$437,MATCH(TRIM($G739)&amp;"|"&amp;TRIM($H739),'Price List Library'!$S$6:$S$437,0)),"")</f>
        <v>Benchmark</v>
      </c>
      <c r="J739" s="20">
        <f>IFERROR(INDEX('Price List Library'!$O$6:$O$437,MATCH(TRIM($G739)&amp;"|"&amp;TRIM($H739),'Price List Library'!$S$6:$S$437,0)),0)</f>
        <v>2288</v>
      </c>
      <c r="K739" s="13" t="s">
        <v>2243</v>
      </c>
    </row>
    <row r="740" spans="1:11" ht="15" customHeight="1" x14ac:dyDescent="0.25">
      <c r="A740" s="9">
        <v>735</v>
      </c>
      <c r="B740" s="16" t="s">
        <v>865</v>
      </c>
      <c r="C740" s="17" t="s">
        <v>1203</v>
      </c>
      <c r="D740" s="12" t="s">
        <v>1204</v>
      </c>
      <c r="E740" s="12" t="s">
        <v>1219</v>
      </c>
      <c r="F740" s="12" t="s">
        <v>1229</v>
      </c>
      <c r="G740" s="12" t="s">
        <v>1230</v>
      </c>
      <c r="H740" s="9" t="s">
        <v>57</v>
      </c>
      <c r="I740" s="9" t="str">
        <f>IFERROR(INDEX('Price List Library'!$P$6:$P$437,MATCH(TRIM($G740)&amp;"|"&amp;TRIM($H740),'Price List Library'!$S$6:$S$437,0)),"")</f>
        <v>Benchmark</v>
      </c>
      <c r="J740" s="20">
        <f>IFERROR(INDEX('Price List Library'!$O$6:$O$437,MATCH(TRIM($G740)&amp;"|"&amp;TRIM($H740),'Price List Library'!$S$6:$S$437,0)),0)</f>
        <v>192.4</v>
      </c>
      <c r="K740" s="13" t="s">
        <v>2244</v>
      </c>
    </row>
    <row r="741" spans="1:11" ht="15" customHeight="1" x14ac:dyDescent="0.25">
      <c r="A741" s="9">
        <v>736</v>
      </c>
      <c r="B741" s="16" t="s">
        <v>865</v>
      </c>
      <c r="C741" s="17" t="s">
        <v>1203</v>
      </c>
      <c r="D741" s="12" t="s">
        <v>1204</v>
      </c>
      <c r="E741" s="12" t="s">
        <v>1219</v>
      </c>
      <c r="F741" s="12" t="s">
        <v>1232</v>
      </c>
      <c r="G741" s="12" t="s">
        <v>1233</v>
      </c>
      <c r="H741" s="9" t="s">
        <v>35</v>
      </c>
      <c r="I741" s="9" t="str">
        <f>IFERROR(INDEX('Price List Library'!$P$6:$P$437,MATCH(TRIM($G741)&amp;"|"&amp;TRIM($H741),'Price List Library'!$S$6:$S$437,0)),"")</f>
        <v>Benchmark</v>
      </c>
      <c r="J741" s="20">
        <f>IFERROR(INDEX('Price List Library'!$O$6:$O$437,MATCH(TRIM($G741)&amp;"|"&amp;TRIM($H741),'Price List Library'!$S$6:$S$437,0)),0)</f>
        <v>569.6</v>
      </c>
      <c r="K741" s="13" t="s">
        <v>2245</v>
      </c>
    </row>
    <row r="742" spans="1:11" ht="15" customHeight="1" x14ac:dyDescent="0.25">
      <c r="A742" s="9">
        <v>737</v>
      </c>
      <c r="B742" s="16" t="s">
        <v>865</v>
      </c>
      <c r="C742" s="17" t="s">
        <v>1203</v>
      </c>
      <c r="D742" s="12" t="s">
        <v>1204</v>
      </c>
      <c r="E742" s="12" t="s">
        <v>1235</v>
      </c>
      <c r="F742" s="12" t="s">
        <v>1236</v>
      </c>
      <c r="G742" s="12" t="s">
        <v>1237</v>
      </c>
      <c r="H742" s="9" t="s">
        <v>61</v>
      </c>
      <c r="I742" s="9" t="str">
        <f>IFERROR(INDEX('Price List Library'!$P$6:$P$437,MATCH(TRIM($G742)&amp;"|"&amp;TRIM($H742),'Price List Library'!$S$6:$S$437,0)),"")</f>
        <v>Benchmark</v>
      </c>
      <c r="J742" s="20">
        <f>IFERROR(INDEX('Price List Library'!$O$6:$O$437,MATCH(TRIM($G742)&amp;"|"&amp;TRIM($H742),'Price List Library'!$S$6:$S$437,0)),0)</f>
        <v>13.8</v>
      </c>
      <c r="K742" s="13" t="s">
        <v>2246</v>
      </c>
    </row>
    <row r="743" spans="1:11" ht="15" customHeight="1" x14ac:dyDescent="0.25">
      <c r="A743" s="9">
        <v>738</v>
      </c>
      <c r="B743" s="16" t="s">
        <v>865</v>
      </c>
      <c r="C743" s="17" t="s">
        <v>1203</v>
      </c>
      <c r="D743" s="12" t="s">
        <v>1204</v>
      </c>
      <c r="E743" s="12" t="s">
        <v>1235</v>
      </c>
      <c r="F743" s="12" t="s">
        <v>1239</v>
      </c>
      <c r="G743" s="12" t="s">
        <v>1240</v>
      </c>
      <c r="H743" s="9" t="s">
        <v>61</v>
      </c>
      <c r="I743" s="9" t="str">
        <f>IFERROR(INDEX('Price List Library'!$P$6:$P$437,MATCH(TRIM($G743)&amp;"|"&amp;TRIM($H743),'Price List Library'!$S$6:$S$437,0)),"")</f>
        <v>Benchmark</v>
      </c>
      <c r="J743" s="20">
        <f>IFERROR(INDEX('Price List Library'!$O$6:$O$437,MATCH(TRIM($G743)&amp;"|"&amp;TRIM($H743),'Price List Library'!$S$6:$S$437,0)),0)</f>
        <v>10.96</v>
      </c>
      <c r="K743" s="13" t="s">
        <v>2247</v>
      </c>
    </row>
    <row r="744" spans="1:11" ht="15" customHeight="1" x14ac:dyDescent="0.25">
      <c r="A744" s="9">
        <v>739</v>
      </c>
      <c r="B744" s="16" t="s">
        <v>865</v>
      </c>
      <c r="C744" s="17" t="s">
        <v>1203</v>
      </c>
      <c r="D744" s="12" t="s">
        <v>1204</v>
      </c>
      <c r="E744" s="12" t="s">
        <v>1235</v>
      </c>
      <c r="F744" s="12" t="s">
        <v>1242</v>
      </c>
      <c r="G744" s="12" t="s">
        <v>1243</v>
      </c>
      <c r="H744" s="9" t="s">
        <v>61</v>
      </c>
      <c r="I744" s="9" t="str">
        <f>IFERROR(INDEX('Price List Library'!$P$6:$P$437,MATCH(TRIM($G744)&amp;"|"&amp;TRIM($H744),'Price List Library'!$S$6:$S$437,0)),"")</f>
        <v>Benchmark</v>
      </c>
      <c r="J744" s="20">
        <f>IFERROR(INDEX('Price List Library'!$O$6:$O$437,MATCH(TRIM($G744)&amp;"|"&amp;TRIM($H744),'Price List Library'!$S$6:$S$437,0)),0)</f>
        <v>9.240000000000002</v>
      </c>
      <c r="K744" s="13" t="s">
        <v>2248</v>
      </c>
    </row>
    <row r="745" spans="1:11" ht="15" customHeight="1" x14ac:dyDescent="0.25">
      <c r="A745" s="9">
        <v>740</v>
      </c>
      <c r="B745" s="16" t="s">
        <v>865</v>
      </c>
      <c r="C745" s="17" t="s">
        <v>1203</v>
      </c>
      <c r="D745" s="12" t="s">
        <v>1204</v>
      </c>
      <c r="E745" s="12" t="s">
        <v>1235</v>
      </c>
      <c r="F745" s="12" t="s">
        <v>1245</v>
      </c>
      <c r="G745" s="12" t="s">
        <v>1246</v>
      </c>
      <c r="H745" s="9" t="s">
        <v>61</v>
      </c>
      <c r="I745" s="9" t="str">
        <f>IFERROR(INDEX('Price List Library'!$P$6:$P$437,MATCH(TRIM($G745)&amp;"|"&amp;TRIM($H745),'Price List Library'!$S$6:$S$437,0)),"")</f>
        <v>Benchmark</v>
      </c>
      <c r="J745" s="20">
        <f>IFERROR(INDEX('Price List Library'!$O$6:$O$437,MATCH(TRIM($G745)&amp;"|"&amp;TRIM($H745),'Price List Library'!$S$6:$S$437,0)),0)</f>
        <v>12.080000000000002</v>
      </c>
      <c r="K745" s="13" t="s">
        <v>2249</v>
      </c>
    </row>
    <row r="746" spans="1:11" ht="15" customHeight="1" x14ac:dyDescent="0.25">
      <c r="A746" s="9">
        <v>741</v>
      </c>
      <c r="B746" s="16" t="s">
        <v>865</v>
      </c>
      <c r="C746" s="17" t="s">
        <v>1203</v>
      </c>
      <c r="D746" s="12" t="s">
        <v>1204</v>
      </c>
      <c r="E746" s="12" t="s">
        <v>1235</v>
      </c>
      <c r="F746" s="12" t="s">
        <v>1248</v>
      </c>
      <c r="G746" s="12" t="s">
        <v>1249</v>
      </c>
      <c r="H746" s="9" t="s">
        <v>57</v>
      </c>
      <c r="I746" s="9" t="str">
        <f>IFERROR(INDEX('Price List Library'!$P$6:$P$437,MATCH(TRIM($G746)&amp;"|"&amp;TRIM($H746),'Price List Library'!$S$6:$S$437,0)),"")</f>
        <v>Benchmark</v>
      </c>
      <c r="J746" s="20">
        <f>IFERROR(INDEX('Price List Library'!$O$6:$O$437,MATCH(TRIM($G746)&amp;"|"&amp;TRIM($H746),'Price List Library'!$S$6:$S$437,0)),0)</f>
        <v>264.39999999999998</v>
      </c>
      <c r="K746" s="13" t="s">
        <v>2250</v>
      </c>
    </row>
    <row r="747" spans="1:11" ht="15" customHeight="1" x14ac:dyDescent="0.25">
      <c r="A747" s="9">
        <v>742</v>
      </c>
      <c r="B747" s="16" t="s">
        <v>865</v>
      </c>
      <c r="C747" s="17" t="s">
        <v>1203</v>
      </c>
      <c r="D747" s="12" t="s">
        <v>1204</v>
      </c>
      <c r="E747" s="12" t="s">
        <v>1235</v>
      </c>
      <c r="F747" s="12" t="s">
        <v>1251</v>
      </c>
      <c r="G747" s="12" t="s">
        <v>1252</v>
      </c>
      <c r="H747" s="9" t="s">
        <v>57</v>
      </c>
      <c r="I747" s="9" t="str">
        <f>IFERROR(INDEX('Price List Library'!$P$6:$P$437,MATCH(TRIM($G747)&amp;"|"&amp;TRIM($H747),'Price List Library'!$S$6:$S$437,0)),"")</f>
        <v>Benchmark</v>
      </c>
      <c r="J747" s="20">
        <f>IFERROR(INDEX('Price List Library'!$O$6:$O$437,MATCH(TRIM($G747)&amp;"|"&amp;TRIM($H747),'Price List Library'!$S$6:$S$437,0)),0)</f>
        <v>614.40000000000009</v>
      </c>
      <c r="K747" s="13" t="s">
        <v>2251</v>
      </c>
    </row>
    <row r="748" spans="1:11" ht="15" customHeight="1" x14ac:dyDescent="0.25">
      <c r="A748" s="9">
        <v>743</v>
      </c>
      <c r="B748" s="16" t="s">
        <v>865</v>
      </c>
      <c r="C748" s="17" t="s">
        <v>1203</v>
      </c>
      <c r="D748" s="12" t="s">
        <v>1204</v>
      </c>
      <c r="E748" s="12" t="s">
        <v>1254</v>
      </c>
      <c r="F748" s="12" t="s">
        <v>1255</v>
      </c>
      <c r="G748" s="12" t="s">
        <v>1256</v>
      </c>
      <c r="H748" s="9" t="s">
        <v>57</v>
      </c>
      <c r="I748" s="9" t="str">
        <f>IFERROR(INDEX('Price List Library'!$P$6:$P$437,MATCH(TRIM($G748)&amp;"|"&amp;TRIM($H748),'Price List Library'!$S$6:$S$437,0)),"")</f>
        <v>Benchmark</v>
      </c>
      <c r="J748" s="20">
        <f>IFERROR(INDEX('Price List Library'!$O$6:$O$437,MATCH(TRIM($G748)&amp;"|"&amp;TRIM($H748),'Price List Library'!$S$6:$S$437,0)),0)</f>
        <v>1924.0000000000002</v>
      </c>
      <c r="K748" s="13" t="s">
        <v>2252</v>
      </c>
    </row>
    <row r="749" spans="1:11" ht="15" customHeight="1" x14ac:dyDescent="0.25">
      <c r="A749" s="9">
        <v>744</v>
      </c>
      <c r="B749" s="16" t="s">
        <v>865</v>
      </c>
      <c r="C749" s="17" t="s">
        <v>1203</v>
      </c>
      <c r="D749" s="12" t="s">
        <v>1204</v>
      </c>
      <c r="E749" s="12" t="s">
        <v>1254</v>
      </c>
      <c r="F749" s="12" t="s">
        <v>1258</v>
      </c>
      <c r="G749" s="12" t="s">
        <v>1259</v>
      </c>
      <c r="H749" s="9" t="s">
        <v>35</v>
      </c>
      <c r="I749" s="9" t="str">
        <f>IFERROR(INDEX('Price List Library'!$P$6:$P$437,MATCH(TRIM($G749)&amp;"|"&amp;TRIM($H749),'Price List Library'!$S$6:$S$437,0)),"")</f>
        <v>Benchmark</v>
      </c>
      <c r="J749" s="20">
        <f>IFERROR(INDEX('Price List Library'!$O$6:$O$437,MATCH(TRIM($G749)&amp;"|"&amp;TRIM($H749),'Price List Library'!$S$6:$S$437,0)),0)</f>
        <v>30800.000000000004</v>
      </c>
      <c r="K749" s="13" t="s">
        <v>2253</v>
      </c>
    </row>
    <row r="750" spans="1:11" ht="15" customHeight="1" x14ac:dyDescent="0.25">
      <c r="A750" s="9">
        <v>745</v>
      </c>
      <c r="B750" s="16" t="s">
        <v>865</v>
      </c>
      <c r="C750" s="17" t="s">
        <v>1203</v>
      </c>
      <c r="D750" s="12" t="s">
        <v>1204</v>
      </c>
      <c r="E750" s="12" t="s">
        <v>1254</v>
      </c>
      <c r="F750" s="12" t="s">
        <v>1261</v>
      </c>
      <c r="G750" s="12" t="s">
        <v>1262</v>
      </c>
      <c r="H750" s="9" t="s">
        <v>35</v>
      </c>
      <c r="I750" s="9" t="str">
        <f>IFERROR(INDEX('Price List Library'!$P$6:$P$437,MATCH(TRIM($G750)&amp;"|"&amp;TRIM($H750),'Price List Library'!$S$6:$S$437,0)),"")</f>
        <v>Benchmark</v>
      </c>
      <c r="J750" s="20">
        <f>IFERROR(INDEX('Price List Library'!$O$6:$O$437,MATCH(TRIM($G750)&amp;"|"&amp;TRIM($H750),'Price List Library'!$S$6:$S$437,0)),0)</f>
        <v>1492</v>
      </c>
      <c r="K750" s="13" t="s">
        <v>2254</v>
      </c>
    </row>
    <row r="751" spans="1:11" ht="15" customHeight="1" x14ac:dyDescent="0.25">
      <c r="A751" s="9">
        <v>746</v>
      </c>
      <c r="B751" s="16" t="s">
        <v>865</v>
      </c>
      <c r="C751" s="17" t="s">
        <v>1264</v>
      </c>
      <c r="D751" s="12" t="s">
        <v>1265</v>
      </c>
      <c r="E751" s="12" t="s">
        <v>1266</v>
      </c>
      <c r="F751" s="12" t="s">
        <v>1267</v>
      </c>
      <c r="G751" s="12" t="s">
        <v>1268</v>
      </c>
      <c r="H751" s="9" t="s">
        <v>57</v>
      </c>
      <c r="I751" s="9" t="str">
        <f>IFERROR(INDEX('Price List Library'!$P$6:$P$437,MATCH(TRIM($G751)&amp;"|"&amp;TRIM($H751),'Price List Library'!$S$6:$S$437,0)),"")</f>
        <v>Benchmark</v>
      </c>
      <c r="J751" s="20">
        <f>IFERROR(INDEX('Price List Library'!$O$6:$O$437,MATCH(TRIM($G751)&amp;"|"&amp;TRIM($H751),'Price List Library'!$S$6:$S$437,0)),0)</f>
        <v>367.6</v>
      </c>
      <c r="K751" s="13" t="s">
        <v>2255</v>
      </c>
    </row>
    <row r="752" spans="1:11" ht="15" customHeight="1" x14ac:dyDescent="0.25">
      <c r="A752" s="9">
        <v>747</v>
      </c>
      <c r="B752" s="16" t="s">
        <v>865</v>
      </c>
      <c r="C752" s="17" t="s">
        <v>1264</v>
      </c>
      <c r="D752" s="12" t="s">
        <v>1265</v>
      </c>
      <c r="E752" s="12" t="s">
        <v>1266</v>
      </c>
      <c r="F752" s="12" t="s">
        <v>1270</v>
      </c>
      <c r="G752" s="12" t="s">
        <v>1271</v>
      </c>
      <c r="H752" s="9" t="s">
        <v>57</v>
      </c>
      <c r="I752" s="9" t="str">
        <f>IFERROR(INDEX('Price List Library'!$P$6:$P$437,MATCH(TRIM($G752)&amp;"|"&amp;TRIM($H752),'Price List Library'!$S$6:$S$437,0)),"")</f>
        <v>Benchmark</v>
      </c>
      <c r="J752" s="20">
        <f>IFERROR(INDEX('Price List Library'!$O$6:$O$437,MATCH(TRIM($G752)&amp;"|"&amp;TRIM($H752),'Price List Library'!$S$6:$S$437,0)),0)</f>
        <v>288.40000000000003</v>
      </c>
      <c r="K752" s="13" t="s">
        <v>2256</v>
      </c>
    </row>
    <row r="753" spans="1:11" ht="15" customHeight="1" x14ac:dyDescent="0.25">
      <c r="A753" s="9">
        <v>748</v>
      </c>
      <c r="B753" s="16" t="s">
        <v>865</v>
      </c>
      <c r="C753" s="17" t="s">
        <v>1264</v>
      </c>
      <c r="D753" s="12" t="s">
        <v>1265</v>
      </c>
      <c r="E753" s="12" t="s">
        <v>1266</v>
      </c>
      <c r="F753" s="12" t="s">
        <v>1273</v>
      </c>
      <c r="G753" s="12" t="s">
        <v>1274</v>
      </c>
      <c r="H753" s="9" t="s">
        <v>57</v>
      </c>
      <c r="I753" s="9" t="str">
        <f>IFERROR(INDEX('Price List Library'!$P$6:$P$437,MATCH(TRIM($G753)&amp;"|"&amp;TRIM($H753),'Price List Library'!$S$6:$S$437,0)),"")</f>
        <v>Benchmark</v>
      </c>
      <c r="J753" s="20">
        <f>IFERROR(INDEX('Price List Library'!$O$6:$O$437,MATCH(TRIM($G753)&amp;"|"&amp;TRIM($H753),'Price List Library'!$S$6:$S$437,0)),0)</f>
        <v>192.4</v>
      </c>
      <c r="K753" s="13" t="s">
        <v>2257</v>
      </c>
    </row>
    <row r="754" spans="1:11" ht="15" customHeight="1" x14ac:dyDescent="0.25">
      <c r="A754" s="9">
        <v>749</v>
      </c>
      <c r="B754" s="16" t="s">
        <v>865</v>
      </c>
      <c r="C754" s="17" t="s">
        <v>1264</v>
      </c>
      <c r="D754" s="12" t="s">
        <v>1265</v>
      </c>
      <c r="E754" s="12" t="s">
        <v>1266</v>
      </c>
      <c r="F754" s="12" t="s">
        <v>1276</v>
      </c>
      <c r="G754" s="12" t="s">
        <v>1277</v>
      </c>
      <c r="H754" s="9" t="s">
        <v>61</v>
      </c>
      <c r="I754" s="9" t="str">
        <f>IFERROR(INDEX('Price List Library'!$P$6:$P$437,MATCH(TRIM($G754)&amp;"|"&amp;TRIM($H754),'Price List Library'!$S$6:$S$437,0)),"")</f>
        <v>Benchmark</v>
      </c>
      <c r="J754" s="20">
        <f>IFERROR(INDEX('Price List Library'!$O$6:$O$437,MATCH(TRIM($G754)&amp;"|"&amp;TRIM($H754),'Price List Library'!$S$6:$S$437,0)),0)</f>
        <v>35.44</v>
      </c>
      <c r="K754" s="13" t="s">
        <v>2258</v>
      </c>
    </row>
    <row r="755" spans="1:11" ht="15" customHeight="1" x14ac:dyDescent="0.25">
      <c r="A755" s="9">
        <v>750</v>
      </c>
      <c r="B755" s="16" t="s">
        <v>865</v>
      </c>
      <c r="C755" s="17" t="s">
        <v>1264</v>
      </c>
      <c r="D755" s="12" t="s">
        <v>1265</v>
      </c>
      <c r="E755" s="12" t="s">
        <v>1279</v>
      </c>
      <c r="F755" s="12" t="s">
        <v>1280</v>
      </c>
      <c r="G755" s="12" t="s">
        <v>1281</v>
      </c>
      <c r="H755" s="9" t="s">
        <v>57</v>
      </c>
      <c r="I755" s="9" t="str">
        <f>IFERROR(INDEX('Price List Library'!$P$6:$P$437,MATCH(TRIM($G755)&amp;"|"&amp;TRIM($H755),'Price List Library'!$S$6:$S$437,0)),"")</f>
        <v>Benchmark</v>
      </c>
      <c r="J755" s="20">
        <f>IFERROR(INDEX('Price List Library'!$O$6:$O$437,MATCH(TRIM($G755)&amp;"|"&amp;TRIM($H755),'Price List Library'!$S$6:$S$437,0)),0)</f>
        <v>24.080000000000002</v>
      </c>
      <c r="K755" s="13" t="s">
        <v>2259</v>
      </c>
    </row>
    <row r="756" spans="1:11" ht="15" customHeight="1" x14ac:dyDescent="0.25">
      <c r="A756" s="9">
        <v>751</v>
      </c>
      <c r="B756" s="16" t="s">
        <v>865</v>
      </c>
      <c r="C756" s="17" t="s">
        <v>1264</v>
      </c>
      <c r="D756" s="12" t="s">
        <v>1265</v>
      </c>
      <c r="E756" s="12" t="s">
        <v>1279</v>
      </c>
      <c r="F756" s="12" t="s">
        <v>1283</v>
      </c>
      <c r="G756" s="12" t="s">
        <v>1284</v>
      </c>
      <c r="H756" s="9" t="s">
        <v>61</v>
      </c>
      <c r="I756" s="9" t="str">
        <f>IFERROR(INDEX('Price List Library'!$P$6:$P$437,MATCH(TRIM($G756)&amp;"|"&amp;TRIM($H756),'Price List Library'!$S$6:$S$437,0)),"")</f>
        <v>Benchmark</v>
      </c>
      <c r="J756" s="20">
        <f>IFERROR(INDEX('Price List Library'!$O$6:$O$437,MATCH(TRIM($G756)&amp;"|"&amp;TRIM($H756),'Price List Library'!$S$6:$S$437,0)),0)</f>
        <v>27.520000000000003</v>
      </c>
      <c r="K756" s="13" t="s">
        <v>2260</v>
      </c>
    </row>
    <row r="757" spans="1:11" ht="15" customHeight="1" x14ac:dyDescent="0.25">
      <c r="A757" s="9">
        <v>752</v>
      </c>
      <c r="B757" s="16" t="s">
        <v>865</v>
      </c>
      <c r="C757" s="17" t="s">
        <v>1264</v>
      </c>
      <c r="D757" s="12" t="s">
        <v>1265</v>
      </c>
      <c r="E757" s="12" t="s">
        <v>1279</v>
      </c>
      <c r="F757" s="12" t="s">
        <v>1286</v>
      </c>
      <c r="G757" s="12" t="s">
        <v>1287</v>
      </c>
      <c r="H757" s="9" t="s">
        <v>57</v>
      </c>
      <c r="I757" s="9" t="str">
        <f>IFERROR(INDEX('Price List Library'!$P$6:$P$437,MATCH(TRIM($G757)&amp;"|"&amp;TRIM($H757),'Price List Library'!$S$6:$S$437,0)),"")</f>
        <v>Benchmark</v>
      </c>
      <c r="J757" s="20">
        <f>IFERROR(INDEX('Price List Library'!$O$6:$O$437,MATCH(TRIM($G757)&amp;"|"&amp;TRIM($H757),'Price List Library'!$S$6:$S$437,0)),0)</f>
        <v>1208</v>
      </c>
      <c r="K757" s="13" t="s">
        <v>2261</v>
      </c>
    </row>
    <row r="758" spans="1:11" ht="15" customHeight="1" x14ac:dyDescent="0.25">
      <c r="A758" s="9">
        <v>753</v>
      </c>
      <c r="B758" s="16" t="s">
        <v>865</v>
      </c>
      <c r="C758" s="17" t="s">
        <v>1264</v>
      </c>
      <c r="D758" s="12" t="s">
        <v>1265</v>
      </c>
      <c r="E758" s="12" t="s">
        <v>1279</v>
      </c>
      <c r="F758" s="12" t="s">
        <v>1289</v>
      </c>
      <c r="G758" s="12" t="s">
        <v>1290</v>
      </c>
      <c r="H758" s="9" t="s">
        <v>57</v>
      </c>
      <c r="I758" s="9" t="str">
        <f>IFERROR(INDEX('Price List Library'!$P$6:$P$437,MATCH(TRIM($G758)&amp;"|"&amp;TRIM($H758),'Price List Library'!$S$6:$S$437,0)),"")</f>
        <v>Benchmark</v>
      </c>
      <c r="J758" s="20">
        <f>IFERROR(INDEX('Price List Library'!$O$6:$O$437,MATCH(TRIM($G758)&amp;"|"&amp;TRIM($H758),'Price List Library'!$S$6:$S$437,0)),0)</f>
        <v>128</v>
      </c>
      <c r="K758" s="13" t="s">
        <v>2262</v>
      </c>
    </row>
    <row r="759" spans="1:11" ht="15" customHeight="1" x14ac:dyDescent="0.25">
      <c r="A759" s="9">
        <v>754</v>
      </c>
      <c r="B759" s="16" t="s">
        <v>865</v>
      </c>
      <c r="C759" s="17" t="s">
        <v>1264</v>
      </c>
      <c r="D759" s="12" t="s">
        <v>1265</v>
      </c>
      <c r="E759" s="12" t="s">
        <v>1292</v>
      </c>
      <c r="F759" s="12" t="s">
        <v>1293</v>
      </c>
      <c r="G759" s="12" t="s">
        <v>1294</v>
      </c>
      <c r="H759" s="9" t="s">
        <v>57</v>
      </c>
      <c r="I759" s="9" t="str">
        <f>IFERROR(INDEX('Price List Library'!$P$6:$P$437,MATCH(TRIM($G759)&amp;"|"&amp;TRIM($H759),'Price List Library'!$S$6:$S$437,0)),"")</f>
        <v>Benchmark</v>
      </c>
      <c r="J759" s="20">
        <f>IFERROR(INDEX('Price List Library'!$O$6:$O$437,MATCH(TRIM($G759)&amp;"|"&amp;TRIM($H759),'Price List Library'!$S$6:$S$437,0)),0)</f>
        <v>24200.000000000004</v>
      </c>
      <c r="K759" s="13" t="s">
        <v>2263</v>
      </c>
    </row>
    <row r="760" spans="1:11" ht="15" customHeight="1" x14ac:dyDescent="0.25">
      <c r="A760" s="9">
        <v>755</v>
      </c>
      <c r="B760" s="16" t="s">
        <v>865</v>
      </c>
      <c r="C760" s="17" t="s">
        <v>1264</v>
      </c>
      <c r="D760" s="12" t="s">
        <v>1265</v>
      </c>
      <c r="E760" s="12" t="s">
        <v>1292</v>
      </c>
      <c r="F760" s="12" t="s">
        <v>1296</v>
      </c>
      <c r="G760" s="12" t="s">
        <v>1297</v>
      </c>
      <c r="H760" s="9" t="s">
        <v>57</v>
      </c>
      <c r="I760" s="9" t="str">
        <f>IFERROR(INDEX('Price List Library'!$P$6:$P$437,MATCH(TRIM($G760)&amp;"|"&amp;TRIM($H760),'Price List Library'!$S$6:$S$437,0)),"")</f>
        <v>Benchmark</v>
      </c>
      <c r="J760" s="20">
        <f>IFERROR(INDEX('Price List Library'!$O$6:$O$437,MATCH(TRIM($G760)&amp;"|"&amp;TRIM($H760),'Price List Library'!$S$6:$S$437,0)),0)</f>
        <v>2420</v>
      </c>
      <c r="K760" s="13" t="s">
        <v>2264</v>
      </c>
    </row>
    <row r="761" spans="1:11" ht="15" customHeight="1" x14ac:dyDescent="0.25">
      <c r="A761" s="9">
        <v>756</v>
      </c>
      <c r="B761" s="16" t="s">
        <v>865</v>
      </c>
      <c r="C761" s="17" t="s">
        <v>1264</v>
      </c>
      <c r="D761" s="12" t="s">
        <v>1265</v>
      </c>
      <c r="E761" s="12" t="s">
        <v>1292</v>
      </c>
      <c r="F761" s="12" t="s">
        <v>1299</v>
      </c>
      <c r="G761" s="12" t="s">
        <v>1300</v>
      </c>
      <c r="H761" s="9" t="s">
        <v>57</v>
      </c>
      <c r="I761" s="9" t="str">
        <f>IFERROR(INDEX('Price List Library'!$P$6:$P$437,MATCH(TRIM($G761)&amp;"|"&amp;TRIM($H761),'Price List Library'!$S$6:$S$437,0)),"")</f>
        <v>Benchmark</v>
      </c>
      <c r="J761" s="20">
        <f>IFERROR(INDEX('Price List Library'!$O$6:$O$437,MATCH(TRIM($G761)&amp;"|"&amp;TRIM($H761),'Price List Library'!$S$6:$S$437,0)),0)</f>
        <v>3884.0000000000005</v>
      </c>
      <c r="K761" s="13" t="s">
        <v>2265</v>
      </c>
    </row>
    <row r="762" spans="1:11" ht="15" customHeight="1" x14ac:dyDescent="0.25">
      <c r="A762" s="9">
        <v>757</v>
      </c>
      <c r="B762" s="16" t="s">
        <v>865</v>
      </c>
      <c r="C762" s="17" t="s">
        <v>1264</v>
      </c>
      <c r="D762" s="12" t="s">
        <v>1265</v>
      </c>
      <c r="E762" s="12" t="s">
        <v>1302</v>
      </c>
      <c r="F762" s="12" t="s">
        <v>1303</v>
      </c>
      <c r="G762" s="12" t="s">
        <v>1304</v>
      </c>
      <c r="H762" s="9" t="s">
        <v>57</v>
      </c>
      <c r="I762" s="9" t="str">
        <f>IFERROR(INDEX('Price List Library'!$P$6:$P$437,MATCH(TRIM($G762)&amp;"|"&amp;TRIM($H762),'Price List Library'!$S$6:$S$437,0)),"")</f>
        <v>Benchmark</v>
      </c>
      <c r="J762" s="20">
        <f>IFERROR(INDEX('Price List Library'!$O$6:$O$437,MATCH(TRIM($G762)&amp;"|"&amp;TRIM($H762),'Price List Library'!$S$6:$S$437,0)),0)</f>
        <v>40.64</v>
      </c>
      <c r="K762" s="13" t="s">
        <v>2266</v>
      </c>
    </row>
    <row r="763" spans="1:11" ht="15" customHeight="1" x14ac:dyDescent="0.25">
      <c r="A763" s="9">
        <v>758</v>
      </c>
      <c r="B763" s="16" t="s">
        <v>865</v>
      </c>
      <c r="C763" s="17" t="s">
        <v>1264</v>
      </c>
      <c r="D763" s="12" t="s">
        <v>1265</v>
      </c>
      <c r="E763" s="12" t="s">
        <v>1302</v>
      </c>
      <c r="F763" s="12" t="s">
        <v>1306</v>
      </c>
      <c r="G763" s="12" t="s">
        <v>1307</v>
      </c>
      <c r="H763" s="9" t="s">
        <v>57</v>
      </c>
      <c r="I763" s="9" t="str">
        <f>IFERROR(INDEX('Price List Library'!$P$6:$P$437,MATCH(TRIM($G763)&amp;"|"&amp;TRIM($H763),'Price List Library'!$S$6:$S$437,0)),"")</f>
        <v>Benchmark</v>
      </c>
      <c r="J763" s="20">
        <f>IFERROR(INDEX('Price List Library'!$O$6:$O$437,MATCH(TRIM($G763)&amp;"|"&amp;TRIM($H763),'Price List Library'!$S$6:$S$437,0)),0)</f>
        <v>28.240000000000002</v>
      </c>
      <c r="K763" s="13" t="s">
        <v>2267</v>
      </c>
    </row>
    <row r="764" spans="1:11" ht="15" customHeight="1" x14ac:dyDescent="0.25">
      <c r="A764" s="9">
        <v>759</v>
      </c>
      <c r="B764" s="16" t="s">
        <v>865</v>
      </c>
      <c r="C764" s="17" t="s">
        <v>1264</v>
      </c>
      <c r="D764" s="12" t="s">
        <v>1265</v>
      </c>
      <c r="E764" s="12" t="s">
        <v>1302</v>
      </c>
      <c r="F764" s="12" t="s">
        <v>1309</v>
      </c>
      <c r="G764" s="12" t="s">
        <v>1310</v>
      </c>
      <c r="H764" s="9" t="s">
        <v>35</v>
      </c>
      <c r="I764" s="9" t="str">
        <f>IFERROR(INDEX('Price List Library'!$P$6:$P$437,MATCH(TRIM($G764)&amp;"|"&amp;TRIM($H764),'Price List Library'!$S$6:$S$437,0)),"")</f>
        <v>Benchmark</v>
      </c>
      <c r="J764" s="20">
        <f>IFERROR(INDEX('Price List Library'!$O$6:$O$437,MATCH(TRIM($G764)&amp;"|"&amp;TRIM($H764),'Price List Library'!$S$6:$S$437,0)),0)</f>
        <v>13200.000000000002</v>
      </c>
      <c r="K764" s="13" t="s">
        <v>2268</v>
      </c>
    </row>
    <row r="765" spans="1:11" ht="15" customHeight="1" x14ac:dyDescent="0.25">
      <c r="A765" s="9">
        <v>760</v>
      </c>
      <c r="B765" s="16" t="s">
        <v>865</v>
      </c>
      <c r="C765" s="17" t="s">
        <v>1264</v>
      </c>
      <c r="D765" s="12" t="s">
        <v>1265</v>
      </c>
      <c r="E765" s="12" t="s">
        <v>1302</v>
      </c>
      <c r="F765" s="12" t="s">
        <v>1312</v>
      </c>
      <c r="G765" s="12" t="s">
        <v>1313</v>
      </c>
      <c r="H765" s="9" t="s">
        <v>35</v>
      </c>
      <c r="I765" s="9" t="str">
        <f>IFERROR(INDEX('Price List Library'!$P$6:$P$437,MATCH(TRIM($G765)&amp;"|"&amp;TRIM($H765),'Price List Library'!$S$6:$S$437,0)),"")</f>
        <v>Benchmark</v>
      </c>
      <c r="J765" s="20">
        <f>IFERROR(INDEX('Price List Library'!$O$6:$O$437,MATCH(TRIM($G765)&amp;"|"&amp;TRIM($H765),'Price List Library'!$S$6:$S$437,0)),0)</f>
        <v>7150.0000000000009</v>
      </c>
      <c r="K765" s="13" t="s">
        <v>2269</v>
      </c>
    </row>
    <row r="766" spans="1:11" ht="15" customHeight="1" x14ac:dyDescent="0.25">
      <c r="A766" s="9">
        <v>761</v>
      </c>
      <c r="B766" s="16" t="s">
        <v>865</v>
      </c>
      <c r="C766" s="17" t="s">
        <v>1315</v>
      </c>
      <c r="D766" s="12" t="s">
        <v>1316</v>
      </c>
      <c r="E766" s="12" t="s">
        <v>1317</v>
      </c>
      <c r="F766" s="12" t="s">
        <v>1318</v>
      </c>
      <c r="G766" s="12" t="s">
        <v>1319</v>
      </c>
      <c r="H766" s="9" t="s">
        <v>35</v>
      </c>
      <c r="I766" s="9" t="str">
        <f>IFERROR(INDEX('Price List Library'!$P$6:$P$437,MATCH(TRIM($G766)&amp;"|"&amp;TRIM($H766),'Price List Library'!$S$6:$S$437,0)),"")</f>
        <v>Benchmark</v>
      </c>
      <c r="J766" s="20">
        <f>IFERROR(INDEX('Price List Library'!$O$6:$O$437,MATCH(TRIM($G766)&amp;"|"&amp;TRIM($H766),'Price List Library'!$S$6:$S$437,0)),0)</f>
        <v>49500.000000000007</v>
      </c>
      <c r="K766" s="13" t="s">
        <v>2270</v>
      </c>
    </row>
    <row r="767" spans="1:11" ht="15" customHeight="1" x14ac:dyDescent="0.25">
      <c r="A767" s="9">
        <v>762</v>
      </c>
      <c r="B767" s="16" t="s">
        <v>865</v>
      </c>
      <c r="C767" s="17" t="s">
        <v>1315</v>
      </c>
      <c r="D767" s="12" t="s">
        <v>1316</v>
      </c>
      <c r="E767" s="12" t="s">
        <v>1317</v>
      </c>
      <c r="F767" s="12" t="s">
        <v>1321</v>
      </c>
      <c r="G767" s="12" t="s">
        <v>1322</v>
      </c>
      <c r="H767" s="9" t="s">
        <v>35</v>
      </c>
      <c r="I767" s="9" t="str">
        <f>IFERROR(INDEX('Price List Library'!$P$6:$P$437,MATCH(TRIM($G767)&amp;"|"&amp;TRIM($H767),'Price List Library'!$S$6:$S$437,0)),"")</f>
        <v>Benchmark</v>
      </c>
      <c r="J767" s="20">
        <f>IFERROR(INDEX('Price List Library'!$O$6:$O$437,MATCH(TRIM($G767)&amp;"|"&amp;TRIM($H767),'Price List Library'!$S$6:$S$437,0)),0)</f>
        <v>19800</v>
      </c>
      <c r="K767" s="13" t="s">
        <v>2271</v>
      </c>
    </row>
    <row r="768" spans="1:11" ht="15" customHeight="1" x14ac:dyDescent="0.25">
      <c r="A768" s="9">
        <v>763</v>
      </c>
      <c r="B768" s="16" t="s">
        <v>865</v>
      </c>
      <c r="C768" s="17" t="s">
        <v>1315</v>
      </c>
      <c r="D768" s="12" t="s">
        <v>1316</v>
      </c>
      <c r="E768" s="12" t="s">
        <v>1317</v>
      </c>
      <c r="F768" s="12" t="s">
        <v>1324</v>
      </c>
      <c r="G768" s="12" t="s">
        <v>1325</v>
      </c>
      <c r="H768" s="9" t="s">
        <v>35</v>
      </c>
      <c r="I768" s="9" t="str">
        <f>IFERROR(INDEX('Price List Library'!$P$6:$P$437,MATCH(TRIM($G768)&amp;"|"&amp;TRIM($H768),'Price List Library'!$S$6:$S$437,0)),"")</f>
        <v>Benchmark</v>
      </c>
      <c r="J768" s="20">
        <f>IFERROR(INDEX('Price List Library'!$O$6:$O$437,MATCH(TRIM($G768)&amp;"|"&amp;TRIM($H768),'Price List Library'!$S$6:$S$437,0)),0)</f>
        <v>13200.000000000002</v>
      </c>
      <c r="K768" s="13" t="s">
        <v>2272</v>
      </c>
    </row>
    <row r="769" spans="1:11" ht="15" customHeight="1" x14ac:dyDescent="0.25">
      <c r="A769" s="9">
        <v>764</v>
      </c>
      <c r="B769" s="16" t="s">
        <v>865</v>
      </c>
      <c r="C769" s="17" t="s">
        <v>1315</v>
      </c>
      <c r="D769" s="12" t="s">
        <v>1316</v>
      </c>
      <c r="E769" s="12" t="s">
        <v>1317</v>
      </c>
      <c r="F769" s="12" t="s">
        <v>1327</v>
      </c>
      <c r="G769" s="12" t="s">
        <v>1328</v>
      </c>
      <c r="H769" s="9" t="s">
        <v>35</v>
      </c>
      <c r="I769" s="9" t="str">
        <f>IFERROR(INDEX('Price List Library'!$P$6:$P$437,MATCH(TRIM($G769)&amp;"|"&amp;TRIM($H769),'Price List Library'!$S$6:$S$437,0)),"")</f>
        <v>Benchmark</v>
      </c>
      <c r="J769" s="20">
        <f>IFERROR(INDEX('Price List Library'!$O$6:$O$437,MATCH(TRIM($G769)&amp;"|"&amp;TRIM($H769),'Price List Library'!$S$6:$S$437,0)),0)</f>
        <v>38500</v>
      </c>
      <c r="K769" s="13" t="s">
        <v>2273</v>
      </c>
    </row>
    <row r="770" spans="1:11" ht="15" customHeight="1" x14ac:dyDescent="0.25">
      <c r="A770" s="9">
        <v>765</v>
      </c>
      <c r="B770" s="16" t="s">
        <v>865</v>
      </c>
      <c r="C770" s="17" t="s">
        <v>1330</v>
      </c>
      <c r="D770" s="12" t="s">
        <v>1331</v>
      </c>
      <c r="E770" s="12" t="s">
        <v>1332</v>
      </c>
      <c r="F770" s="12" t="s">
        <v>1333</v>
      </c>
      <c r="G770" s="12" t="s">
        <v>1334</v>
      </c>
      <c r="H770" s="9" t="s">
        <v>57</v>
      </c>
      <c r="I770" s="9" t="str">
        <f>IFERROR(INDEX('Price List Library'!$P$6:$P$437,MATCH(TRIM($G770)&amp;"|"&amp;TRIM($H770),'Price List Library'!$S$6:$S$437,0)),"")</f>
        <v>Benchmark</v>
      </c>
      <c r="J770" s="20">
        <f>IFERROR(INDEX('Price List Library'!$O$6:$O$437,MATCH(TRIM($G770)&amp;"|"&amp;TRIM($H770),'Price List Library'!$S$6:$S$437,0)),0)</f>
        <v>63800.000000000007</v>
      </c>
      <c r="K770" s="13" t="s">
        <v>2274</v>
      </c>
    </row>
    <row r="771" spans="1:11" ht="15" customHeight="1" x14ac:dyDescent="0.25">
      <c r="A771" s="9">
        <v>766</v>
      </c>
      <c r="B771" s="16" t="s">
        <v>865</v>
      </c>
      <c r="C771" s="17" t="s">
        <v>1330</v>
      </c>
      <c r="D771" s="12" t="s">
        <v>1331</v>
      </c>
      <c r="E771" s="12" t="s">
        <v>1332</v>
      </c>
      <c r="F771" s="12" t="s">
        <v>1336</v>
      </c>
      <c r="G771" s="12" t="s">
        <v>1337</v>
      </c>
      <c r="H771" s="9" t="s">
        <v>57</v>
      </c>
      <c r="I771" s="9" t="str">
        <f>IFERROR(INDEX('Price List Library'!$P$6:$P$437,MATCH(TRIM($G771)&amp;"|"&amp;TRIM($H771),'Price List Library'!$S$6:$S$437,0)),"")</f>
        <v>Benchmark</v>
      </c>
      <c r="J771" s="20">
        <f>IFERROR(INDEX('Price List Library'!$O$6:$O$437,MATCH(TRIM($G771)&amp;"|"&amp;TRIM($H771),'Price List Library'!$S$6:$S$437,0)),0)</f>
        <v>57200.000000000007</v>
      </c>
      <c r="K771" s="13" t="s">
        <v>2275</v>
      </c>
    </row>
    <row r="772" spans="1:11" ht="15" customHeight="1" x14ac:dyDescent="0.25">
      <c r="A772" s="9">
        <v>767</v>
      </c>
      <c r="B772" s="16" t="s">
        <v>865</v>
      </c>
      <c r="C772" s="17" t="s">
        <v>1330</v>
      </c>
      <c r="D772" s="12" t="s">
        <v>1331</v>
      </c>
      <c r="E772" s="12" t="s">
        <v>1332</v>
      </c>
      <c r="F772" s="12" t="s">
        <v>1339</v>
      </c>
      <c r="G772" s="12" t="s">
        <v>1340</v>
      </c>
      <c r="H772" s="9" t="s">
        <v>57</v>
      </c>
      <c r="I772" s="9" t="str">
        <f>IFERROR(INDEX('Price List Library'!$P$6:$P$437,MATCH(TRIM($G772)&amp;"|"&amp;TRIM($H772),'Price List Library'!$S$6:$S$437,0)),"")</f>
        <v>Benchmark</v>
      </c>
      <c r="J772" s="20">
        <f>IFERROR(INDEX('Price List Library'!$O$6:$O$437,MATCH(TRIM($G772)&amp;"|"&amp;TRIM($H772),'Price List Library'!$S$6:$S$437,0)),0)</f>
        <v>74800</v>
      </c>
      <c r="K772" s="13" t="s">
        <v>2276</v>
      </c>
    </row>
    <row r="773" spans="1:11" ht="15" customHeight="1" x14ac:dyDescent="0.25">
      <c r="A773" s="9">
        <v>768</v>
      </c>
      <c r="B773" s="16" t="s">
        <v>865</v>
      </c>
      <c r="C773" s="17" t="s">
        <v>1330</v>
      </c>
      <c r="D773" s="12" t="s">
        <v>1331</v>
      </c>
      <c r="E773" s="12" t="s">
        <v>1332</v>
      </c>
      <c r="F773" s="12" t="s">
        <v>1342</v>
      </c>
      <c r="G773" s="12" t="s">
        <v>1343</v>
      </c>
      <c r="H773" s="9" t="s">
        <v>57</v>
      </c>
      <c r="I773" s="9" t="str">
        <f>IFERROR(INDEX('Price List Library'!$P$6:$P$437,MATCH(TRIM($G773)&amp;"|"&amp;TRIM($H773),'Price List Library'!$S$6:$S$437,0)),"")</f>
        <v>Benchmark</v>
      </c>
      <c r="J773" s="20">
        <f>IFERROR(INDEX('Price List Library'!$O$6:$O$437,MATCH(TRIM($G773)&amp;"|"&amp;TRIM($H773),'Price List Library'!$S$6:$S$437,0)),0)</f>
        <v>19800</v>
      </c>
      <c r="K773" s="13" t="s">
        <v>2277</v>
      </c>
    </row>
    <row r="774" spans="1:11" ht="15" customHeight="1" x14ac:dyDescent="0.25">
      <c r="A774" s="9">
        <v>769</v>
      </c>
      <c r="B774" s="16" t="s">
        <v>865</v>
      </c>
      <c r="C774" s="17" t="s">
        <v>1330</v>
      </c>
      <c r="D774" s="12" t="s">
        <v>1331</v>
      </c>
      <c r="E774" s="12" t="s">
        <v>1345</v>
      </c>
      <c r="F774" s="12" t="s">
        <v>1345</v>
      </c>
      <c r="G774" s="12" t="s">
        <v>1346</v>
      </c>
      <c r="H774" s="9" t="s">
        <v>57</v>
      </c>
      <c r="I774" s="9" t="str">
        <f>IFERROR(INDEX('Price List Library'!$P$6:$P$437,MATCH(TRIM($G774)&amp;"|"&amp;TRIM($H774),'Price List Library'!$S$6:$S$437,0)),"")</f>
        <v>Benchmark</v>
      </c>
      <c r="J774" s="20">
        <f>IFERROR(INDEX('Price List Library'!$O$6:$O$437,MATCH(TRIM($G774)&amp;"|"&amp;TRIM($H774),'Price List Library'!$S$6:$S$437,0)),0)</f>
        <v>93500.000000000015</v>
      </c>
      <c r="K774" s="13" t="s">
        <v>2278</v>
      </c>
    </row>
    <row r="775" spans="1:11" ht="15" customHeight="1" x14ac:dyDescent="0.25">
      <c r="A775" s="9">
        <v>770</v>
      </c>
      <c r="B775" s="16" t="s">
        <v>865</v>
      </c>
      <c r="C775" s="17" t="s">
        <v>1330</v>
      </c>
      <c r="D775" s="12" t="s">
        <v>1331</v>
      </c>
      <c r="E775" s="12" t="s">
        <v>1348</v>
      </c>
      <c r="F775" s="12" t="s">
        <v>1349</v>
      </c>
      <c r="G775" s="12" t="s">
        <v>1350</v>
      </c>
      <c r="H775" s="9" t="s">
        <v>57</v>
      </c>
      <c r="I775" s="9" t="str">
        <f>IFERROR(INDEX('Price List Library'!$P$6:$P$437,MATCH(TRIM($G775)&amp;"|"&amp;TRIM($H775),'Price List Library'!$S$6:$S$437,0)),"")</f>
        <v>Benchmark</v>
      </c>
      <c r="J775" s="20">
        <f>IFERROR(INDEX('Price List Library'!$O$6:$O$437,MATCH(TRIM($G775)&amp;"|"&amp;TRIM($H775),'Price List Library'!$S$6:$S$437,0)),0)</f>
        <v>125.2</v>
      </c>
      <c r="K775" s="13" t="s">
        <v>2279</v>
      </c>
    </row>
    <row r="776" spans="1:11" ht="15" customHeight="1" x14ac:dyDescent="0.25">
      <c r="A776" s="9">
        <v>771</v>
      </c>
      <c r="B776" s="16" t="s">
        <v>865</v>
      </c>
      <c r="C776" s="17" t="s">
        <v>1330</v>
      </c>
      <c r="D776" s="12" t="s">
        <v>1331</v>
      </c>
      <c r="E776" s="12" t="s">
        <v>1348</v>
      </c>
      <c r="F776" s="12" t="s">
        <v>1352</v>
      </c>
      <c r="G776" s="12" t="s">
        <v>1353</v>
      </c>
      <c r="H776" s="9" t="s">
        <v>35</v>
      </c>
      <c r="I776" s="9" t="str">
        <f>IFERROR(INDEX('Price List Library'!$P$6:$P$437,MATCH(TRIM($G776)&amp;"|"&amp;TRIM($H776),'Price List Library'!$S$6:$S$437,0)),"")</f>
        <v>Benchmark</v>
      </c>
      <c r="J776" s="20">
        <f>IFERROR(INDEX('Price List Library'!$O$6:$O$437,MATCH(TRIM($G776)&amp;"|"&amp;TRIM($H776),'Price List Library'!$S$6:$S$437,0)),0)</f>
        <v>457.6</v>
      </c>
      <c r="K776" s="13" t="s">
        <v>2280</v>
      </c>
    </row>
    <row r="777" spans="1:11" ht="15" customHeight="1" x14ac:dyDescent="0.25">
      <c r="A777" s="9">
        <v>772</v>
      </c>
      <c r="B777" s="16" t="s">
        <v>865</v>
      </c>
      <c r="C777" s="17" t="s">
        <v>1330</v>
      </c>
      <c r="D777" s="12" t="s">
        <v>1331</v>
      </c>
      <c r="E777" s="12" t="s">
        <v>1348</v>
      </c>
      <c r="F777" s="12" t="s">
        <v>1355</v>
      </c>
      <c r="G777" s="12" t="s">
        <v>1356</v>
      </c>
      <c r="H777" s="9" t="s">
        <v>35</v>
      </c>
      <c r="I777" s="9" t="str">
        <f>IFERROR(INDEX('Price List Library'!$P$6:$P$437,MATCH(TRIM($G777)&amp;"|"&amp;TRIM($H777),'Price List Library'!$S$6:$S$437,0)),"")</f>
        <v>Benchmark</v>
      </c>
      <c r="J777" s="20">
        <f>IFERROR(INDEX('Price List Library'!$O$6:$O$437,MATCH(TRIM($G777)&amp;"|"&amp;TRIM($H777),'Price List Library'!$S$6:$S$437,0)),0)</f>
        <v>1252</v>
      </c>
      <c r="K777" s="13" t="s">
        <v>2281</v>
      </c>
    </row>
    <row r="778" spans="1:11" ht="15" customHeight="1" x14ac:dyDescent="0.25">
      <c r="A778" s="9">
        <v>773</v>
      </c>
      <c r="B778" s="16" t="s">
        <v>865</v>
      </c>
      <c r="C778" s="17" t="s">
        <v>1358</v>
      </c>
      <c r="D778" s="12" t="s">
        <v>1359</v>
      </c>
      <c r="E778" s="12" t="s">
        <v>1360</v>
      </c>
      <c r="F778" s="12" t="s">
        <v>1361</v>
      </c>
      <c r="G778" s="12" t="s">
        <v>1362</v>
      </c>
      <c r="H778" s="9" t="s">
        <v>35</v>
      </c>
      <c r="I778" s="9" t="str">
        <f>IFERROR(INDEX('Price List Library'!$P$6:$P$437,MATCH(TRIM($G778)&amp;"|"&amp;TRIM($H778),'Price List Library'!$S$6:$S$437,0)),"")</f>
        <v>Benchmark</v>
      </c>
      <c r="J778" s="20">
        <f>IFERROR(INDEX('Price List Library'!$O$6:$O$437,MATCH(TRIM($G778)&amp;"|"&amp;TRIM($H778),'Price List Library'!$S$6:$S$437,0)),0)</f>
        <v>4950</v>
      </c>
      <c r="K778" s="13" t="s">
        <v>2282</v>
      </c>
    </row>
    <row r="779" spans="1:11" ht="15" customHeight="1" x14ac:dyDescent="0.25">
      <c r="A779" s="9">
        <v>774</v>
      </c>
      <c r="B779" s="16" t="s">
        <v>865</v>
      </c>
      <c r="C779" s="17" t="s">
        <v>1358</v>
      </c>
      <c r="D779" s="12" t="s">
        <v>1359</v>
      </c>
      <c r="E779" s="12" t="s">
        <v>1360</v>
      </c>
      <c r="F779" s="12" t="s">
        <v>1364</v>
      </c>
      <c r="G779" s="12" t="s">
        <v>1365</v>
      </c>
      <c r="H779" s="9" t="s">
        <v>35</v>
      </c>
      <c r="I779" s="9" t="str">
        <f>IFERROR(INDEX('Price List Library'!$P$6:$P$437,MATCH(TRIM($G779)&amp;"|"&amp;TRIM($H779),'Price List Library'!$S$6:$S$437,0)),"")</f>
        <v>Benchmark</v>
      </c>
      <c r="J779" s="20">
        <f>IFERROR(INDEX('Price List Library'!$O$6:$O$437,MATCH(TRIM($G779)&amp;"|"&amp;TRIM($H779),'Price List Library'!$S$6:$S$437,0)),0)</f>
        <v>1888</v>
      </c>
      <c r="K779" s="13" t="s">
        <v>2283</v>
      </c>
    </row>
    <row r="780" spans="1:11" ht="15" customHeight="1" x14ac:dyDescent="0.25">
      <c r="A780" s="9">
        <v>775</v>
      </c>
      <c r="B780" s="16" t="s">
        <v>865</v>
      </c>
      <c r="C780" s="17" t="s">
        <v>1358</v>
      </c>
      <c r="D780" s="12" t="s">
        <v>1359</v>
      </c>
      <c r="E780" s="12" t="s">
        <v>1360</v>
      </c>
      <c r="F780" s="12" t="s">
        <v>1367</v>
      </c>
      <c r="G780" s="12" t="s">
        <v>1368</v>
      </c>
      <c r="H780" s="9" t="s">
        <v>35</v>
      </c>
      <c r="I780" s="9" t="str">
        <f>IFERROR(INDEX('Price List Library'!$P$6:$P$437,MATCH(TRIM($G780)&amp;"|"&amp;TRIM($H780),'Price List Library'!$S$6:$S$437,0)),"")</f>
        <v>Benchmark</v>
      </c>
      <c r="J780" s="20">
        <f>IFERROR(INDEX('Price List Library'!$O$6:$O$437,MATCH(TRIM($G780)&amp;"|"&amp;TRIM($H780),'Price List Library'!$S$6:$S$437,0)),0)</f>
        <v>1416</v>
      </c>
      <c r="K780" s="13" t="s">
        <v>2284</v>
      </c>
    </row>
    <row r="781" spans="1:11" ht="15" customHeight="1" x14ac:dyDescent="0.25">
      <c r="A781" s="9">
        <v>776</v>
      </c>
      <c r="B781" s="16" t="s">
        <v>865</v>
      </c>
      <c r="C781" s="17" t="s">
        <v>1358</v>
      </c>
      <c r="D781" s="12" t="s">
        <v>1359</v>
      </c>
      <c r="E781" s="12" t="s">
        <v>1360</v>
      </c>
      <c r="F781" s="12" t="s">
        <v>1370</v>
      </c>
      <c r="G781" s="12" t="s">
        <v>1371</v>
      </c>
      <c r="H781" s="9" t="s">
        <v>35</v>
      </c>
      <c r="I781" s="9" t="str">
        <f>IFERROR(INDEX('Price List Library'!$P$6:$P$437,MATCH(TRIM($G781)&amp;"|"&amp;TRIM($H781),'Price List Library'!$S$6:$S$437,0)),"")</f>
        <v>Benchmark</v>
      </c>
      <c r="J781" s="20">
        <f>IFERROR(INDEX('Price List Library'!$O$6:$O$437,MATCH(TRIM($G781)&amp;"|"&amp;TRIM($H781),'Price List Library'!$S$6:$S$437,0)),0)</f>
        <v>944</v>
      </c>
      <c r="K781" s="13" t="s">
        <v>2285</v>
      </c>
    </row>
    <row r="782" spans="1:11" ht="15" customHeight="1" x14ac:dyDescent="0.25">
      <c r="A782" s="9">
        <v>777</v>
      </c>
      <c r="B782" s="16" t="s">
        <v>865</v>
      </c>
      <c r="C782" s="17" t="s">
        <v>1358</v>
      </c>
      <c r="D782" s="12" t="s">
        <v>1359</v>
      </c>
      <c r="E782" s="12" t="s">
        <v>1360</v>
      </c>
      <c r="F782" s="12" t="s">
        <v>1373</v>
      </c>
      <c r="G782" s="12" t="s">
        <v>1374</v>
      </c>
      <c r="H782" s="9" t="s">
        <v>35</v>
      </c>
      <c r="I782" s="9" t="str">
        <f>IFERROR(INDEX('Price List Library'!$P$6:$P$437,MATCH(TRIM($G782)&amp;"|"&amp;TRIM($H782),'Price List Library'!$S$6:$S$437,0)),"")</f>
        <v>Benchmark</v>
      </c>
      <c r="J782" s="20">
        <f>IFERROR(INDEX('Price List Library'!$O$6:$O$437,MATCH(TRIM($G782)&amp;"|"&amp;TRIM($H782),'Price List Library'!$S$6:$S$437,0)),0)</f>
        <v>2800.0000000000005</v>
      </c>
      <c r="K782" s="13" t="s">
        <v>2286</v>
      </c>
    </row>
    <row r="783" spans="1:11" ht="15" customHeight="1" x14ac:dyDescent="0.25">
      <c r="A783" s="9">
        <v>778</v>
      </c>
      <c r="B783" s="18" t="s">
        <v>1376</v>
      </c>
      <c r="C783" s="19" t="s">
        <v>1377</v>
      </c>
      <c r="D783" s="12" t="s">
        <v>1378</v>
      </c>
      <c r="E783" s="12" t="s">
        <v>1379</v>
      </c>
      <c r="F783" s="12" t="s">
        <v>1380</v>
      </c>
      <c r="G783" s="12" t="s">
        <v>1381</v>
      </c>
      <c r="H783" s="9" t="s">
        <v>18</v>
      </c>
      <c r="I783" s="9" t="str">
        <f>IFERROR(INDEX('Price List Library'!$P$6:$P$437,MATCH(TRIM($G783)&amp;"|"&amp;TRIM($H783),'Price List Library'!$S$6:$S$437,0)),"")</f>
        <v>Benchmark</v>
      </c>
      <c r="J783" s="20">
        <f>IFERROR(INDEX('Price List Library'!$O$6:$O$437,MATCH(TRIM($G783)&amp;"|"&amp;TRIM($H783),'Price List Library'!$S$6:$S$437,0)),0)</f>
        <v>0.82800000000000007</v>
      </c>
      <c r="K783" s="13" t="s">
        <v>2287</v>
      </c>
    </row>
    <row r="784" spans="1:11" ht="15" customHeight="1" x14ac:dyDescent="0.25">
      <c r="A784" s="9">
        <v>779</v>
      </c>
      <c r="B784" s="18" t="s">
        <v>1376</v>
      </c>
      <c r="C784" s="19" t="s">
        <v>1377</v>
      </c>
      <c r="D784" s="12" t="s">
        <v>1378</v>
      </c>
      <c r="E784" s="12" t="s">
        <v>1379</v>
      </c>
      <c r="F784" s="12" t="s">
        <v>1383</v>
      </c>
      <c r="G784" s="12" t="s">
        <v>1384</v>
      </c>
      <c r="H784" s="9" t="s">
        <v>22</v>
      </c>
      <c r="I784" s="9" t="str">
        <f>IFERROR(INDEX('Price List Library'!$P$6:$P$437,MATCH(TRIM($G784)&amp;"|"&amp;TRIM($H784),'Price List Library'!$S$6:$S$437,0)),"")</f>
        <v>Benchmark</v>
      </c>
      <c r="J784" s="20">
        <f>IFERROR(INDEX('Price List Library'!$O$6:$O$437,MATCH(TRIM($G784)&amp;"|"&amp;TRIM($H784),'Price List Library'!$S$6:$S$437,0)),0)</f>
        <v>4.032</v>
      </c>
      <c r="K784" s="13" t="s">
        <v>2288</v>
      </c>
    </row>
    <row r="785" spans="1:11" ht="15" customHeight="1" x14ac:dyDescent="0.25">
      <c r="A785" s="9">
        <v>780</v>
      </c>
      <c r="B785" s="18" t="s">
        <v>1376</v>
      </c>
      <c r="C785" s="19" t="s">
        <v>1377</v>
      </c>
      <c r="D785" s="12" t="s">
        <v>1378</v>
      </c>
      <c r="E785" s="12" t="s">
        <v>1379</v>
      </c>
      <c r="F785" s="12" t="s">
        <v>31</v>
      </c>
      <c r="G785" s="12" t="s">
        <v>32</v>
      </c>
      <c r="H785" s="9" t="s">
        <v>18</v>
      </c>
      <c r="I785" s="9" t="str">
        <f>IFERROR(INDEX('Price List Library'!$P$6:$P$437,MATCH(TRIM($G785)&amp;"|"&amp;TRIM($H785),'Price List Library'!$S$6:$S$437,0)),"")</f>
        <v>Benchmark</v>
      </c>
      <c r="J785" s="20">
        <f>IFERROR(INDEX('Price List Library'!$O$6:$O$437,MATCH(TRIM($G785)&amp;"|"&amp;TRIM($H785),'Price List Library'!$S$6:$S$437,0)),0)</f>
        <v>1.6</v>
      </c>
      <c r="K785" s="13" t="s">
        <v>2289</v>
      </c>
    </row>
    <row r="786" spans="1:11" ht="15" customHeight="1" x14ac:dyDescent="0.25">
      <c r="A786" s="9">
        <v>781</v>
      </c>
      <c r="B786" s="18" t="s">
        <v>1376</v>
      </c>
      <c r="C786" s="19" t="s">
        <v>1387</v>
      </c>
      <c r="D786" s="12" t="s">
        <v>1378</v>
      </c>
      <c r="E786" s="12" t="s">
        <v>1388</v>
      </c>
      <c r="F786" s="12" t="s">
        <v>1389</v>
      </c>
      <c r="G786" s="12" t="s">
        <v>1390</v>
      </c>
      <c r="H786" s="9" t="s">
        <v>18</v>
      </c>
      <c r="I786" s="9" t="str">
        <f>IFERROR(INDEX('Price List Library'!$P$6:$P$437,MATCH(TRIM($G786)&amp;"|"&amp;TRIM($H786),'Price List Library'!$S$6:$S$437,0)),"")</f>
        <v>Benchmark</v>
      </c>
      <c r="J786" s="20">
        <f>IFERROR(INDEX('Price List Library'!$O$6:$O$437,MATCH(TRIM($G786)&amp;"|"&amp;TRIM($H786),'Price List Library'!$S$6:$S$437,0)),0)</f>
        <v>26.32</v>
      </c>
      <c r="K786" s="13" t="s">
        <v>2290</v>
      </c>
    </row>
    <row r="787" spans="1:11" ht="15" customHeight="1" x14ac:dyDescent="0.25">
      <c r="A787" s="9">
        <v>782</v>
      </c>
      <c r="B787" s="18" t="s">
        <v>1376</v>
      </c>
      <c r="C787" s="19" t="s">
        <v>1387</v>
      </c>
      <c r="D787" s="12" t="s">
        <v>1378</v>
      </c>
      <c r="E787" s="12" t="s">
        <v>1388</v>
      </c>
      <c r="F787" s="12" t="s">
        <v>1392</v>
      </c>
      <c r="G787" s="12" t="s">
        <v>1393</v>
      </c>
      <c r="H787" s="9" t="s">
        <v>18</v>
      </c>
      <c r="I787" s="9" t="str">
        <f>IFERROR(INDEX('Price List Library'!$P$6:$P$437,MATCH(TRIM($G787)&amp;"|"&amp;TRIM($H787),'Price List Library'!$S$6:$S$437,0)),"")</f>
        <v>Benchmark</v>
      </c>
      <c r="J787" s="20">
        <f>IFERROR(INDEX('Price List Library'!$O$6:$O$437,MATCH(TRIM($G787)&amp;"|"&amp;TRIM($H787),'Price List Library'!$S$6:$S$437,0)),0)</f>
        <v>19.360000000000003</v>
      </c>
      <c r="K787" s="13" t="s">
        <v>2291</v>
      </c>
    </row>
    <row r="788" spans="1:11" ht="15" customHeight="1" x14ac:dyDescent="0.25">
      <c r="A788" s="9">
        <v>783</v>
      </c>
      <c r="B788" s="18" t="s">
        <v>1376</v>
      </c>
      <c r="C788" s="19" t="s">
        <v>1387</v>
      </c>
      <c r="D788" s="12" t="s">
        <v>1378</v>
      </c>
      <c r="E788" s="12" t="s">
        <v>1388</v>
      </c>
      <c r="F788" s="12" t="s">
        <v>1395</v>
      </c>
      <c r="G788" s="12" t="s">
        <v>1396</v>
      </c>
      <c r="H788" s="9" t="s">
        <v>18</v>
      </c>
      <c r="I788" s="9" t="str">
        <f>IFERROR(INDEX('Price List Library'!$P$6:$P$437,MATCH(TRIM($G788)&amp;"|"&amp;TRIM($H788),'Price List Library'!$S$6:$S$437,0)),"")</f>
        <v>Benchmark</v>
      </c>
      <c r="J788" s="20">
        <f>IFERROR(INDEX('Price List Library'!$O$6:$O$437,MATCH(TRIM($G788)&amp;"|"&amp;TRIM($H788),'Price List Library'!$S$6:$S$437,0)),0)</f>
        <v>18.32</v>
      </c>
      <c r="K788" s="13" t="s">
        <v>2292</v>
      </c>
    </row>
    <row r="789" spans="1:11" ht="15" customHeight="1" x14ac:dyDescent="0.25">
      <c r="A789" s="9">
        <v>784</v>
      </c>
      <c r="B789" s="18" t="s">
        <v>1376</v>
      </c>
      <c r="C789" s="19" t="s">
        <v>1387</v>
      </c>
      <c r="D789" s="12" t="s">
        <v>1378</v>
      </c>
      <c r="E789" s="12" t="s">
        <v>1388</v>
      </c>
      <c r="F789" s="12" t="s">
        <v>1398</v>
      </c>
      <c r="G789" s="12" t="s">
        <v>1399</v>
      </c>
      <c r="H789" s="9" t="s">
        <v>61</v>
      </c>
      <c r="I789" s="9" t="str">
        <f>IFERROR(INDEX('Price List Library'!$P$6:$P$437,MATCH(TRIM($G789)&amp;"|"&amp;TRIM($H789),'Price List Library'!$S$6:$S$437,0)),"")</f>
        <v>Benchmark</v>
      </c>
      <c r="J789" s="20">
        <f>IFERROR(INDEX('Price List Library'!$O$6:$O$437,MATCH(TRIM($G789)&amp;"|"&amp;TRIM($H789),'Price List Library'!$S$6:$S$437,0)),0)</f>
        <v>14.920000000000002</v>
      </c>
      <c r="K789" s="13" t="s">
        <v>2293</v>
      </c>
    </row>
    <row r="790" spans="1:11" ht="15" customHeight="1" x14ac:dyDescent="0.25">
      <c r="A790" s="9">
        <v>785</v>
      </c>
      <c r="B790" s="18" t="s">
        <v>1376</v>
      </c>
      <c r="C790" s="19" t="s">
        <v>1387</v>
      </c>
      <c r="D790" s="12" t="s">
        <v>1378</v>
      </c>
      <c r="E790" s="12" t="s">
        <v>1388</v>
      </c>
      <c r="F790" s="12" t="s">
        <v>1401</v>
      </c>
      <c r="G790" s="12" t="s">
        <v>1402</v>
      </c>
      <c r="H790" s="9" t="s">
        <v>61</v>
      </c>
      <c r="I790" s="9" t="str">
        <f>IFERROR(INDEX('Price List Library'!$P$6:$P$437,MATCH(TRIM($G790)&amp;"|"&amp;TRIM($H790),'Price List Library'!$S$6:$S$437,0)),"")</f>
        <v>Benchmark</v>
      </c>
      <c r="J790" s="20">
        <f>IFERROR(INDEX('Price List Library'!$O$6:$O$437,MATCH(TRIM($G790)&amp;"|"&amp;TRIM($H790),'Price List Library'!$S$6:$S$437,0)),0)</f>
        <v>4.5999999999999996</v>
      </c>
      <c r="K790" s="13" t="s">
        <v>2294</v>
      </c>
    </row>
    <row r="791" spans="1:11" ht="15" customHeight="1" x14ac:dyDescent="0.25">
      <c r="A791" s="9">
        <v>786</v>
      </c>
      <c r="B791" s="18" t="s">
        <v>1376</v>
      </c>
      <c r="C791" s="19" t="s">
        <v>1387</v>
      </c>
      <c r="D791" s="12" t="s">
        <v>1378</v>
      </c>
      <c r="E791" s="12" t="s">
        <v>1388</v>
      </c>
      <c r="F791" s="12" t="s">
        <v>1404</v>
      </c>
      <c r="G791" s="12" t="s">
        <v>1405</v>
      </c>
      <c r="H791" s="9" t="s">
        <v>18</v>
      </c>
      <c r="I791" s="9" t="str">
        <f>IFERROR(INDEX('Price List Library'!$P$6:$P$437,MATCH(TRIM($G791)&amp;"|"&amp;TRIM($H791),'Price List Library'!$S$6:$S$437,0)),"")</f>
        <v>Benchmark</v>
      </c>
      <c r="J791" s="20">
        <f>IFERROR(INDEX('Price List Library'!$O$6:$O$437,MATCH(TRIM($G791)&amp;"|"&amp;TRIM($H791),'Price List Library'!$S$6:$S$437,0)),0)</f>
        <v>14.880000000000003</v>
      </c>
      <c r="K791" s="13" t="s">
        <v>2295</v>
      </c>
    </row>
    <row r="792" spans="1:11" ht="15" customHeight="1" x14ac:dyDescent="0.25">
      <c r="A792" s="9">
        <v>787</v>
      </c>
      <c r="B792" s="18" t="s">
        <v>1376</v>
      </c>
      <c r="C792" s="19" t="s">
        <v>1407</v>
      </c>
      <c r="D792" s="12" t="s">
        <v>1378</v>
      </c>
      <c r="E792" s="12" t="s">
        <v>1408</v>
      </c>
      <c r="F792" s="12" t="s">
        <v>1409</v>
      </c>
      <c r="G792" s="12" t="s">
        <v>1410</v>
      </c>
      <c r="H792" s="9" t="s">
        <v>22</v>
      </c>
      <c r="I792" s="9" t="str">
        <f>IFERROR(INDEX('Price List Library'!$P$6:$P$437,MATCH(TRIM($G792)&amp;"|"&amp;TRIM($H792),'Price List Library'!$S$6:$S$437,0)),"")</f>
        <v>Benchmark</v>
      </c>
      <c r="J792" s="20">
        <f>IFERROR(INDEX('Price List Library'!$O$6:$O$437,MATCH(TRIM($G792)&amp;"|"&amp;TRIM($H792),'Price List Library'!$S$6:$S$437,0)),0)</f>
        <v>18.240000000000002</v>
      </c>
      <c r="K792" s="13" t="s">
        <v>2296</v>
      </c>
    </row>
    <row r="793" spans="1:11" ht="15" customHeight="1" x14ac:dyDescent="0.25">
      <c r="A793" s="9">
        <v>788</v>
      </c>
      <c r="B793" s="18" t="s">
        <v>1376</v>
      </c>
      <c r="C793" s="19" t="s">
        <v>1407</v>
      </c>
      <c r="D793" s="12" t="s">
        <v>1378</v>
      </c>
      <c r="E793" s="12" t="s">
        <v>1408</v>
      </c>
      <c r="F793" s="12" t="s">
        <v>1412</v>
      </c>
      <c r="G793" s="12" t="s">
        <v>1413</v>
      </c>
      <c r="H793" s="9" t="s">
        <v>18</v>
      </c>
      <c r="I793" s="9" t="str">
        <f>IFERROR(INDEX('Price List Library'!$P$6:$P$437,MATCH(TRIM($G793)&amp;"|"&amp;TRIM($H793),'Price List Library'!$S$6:$S$437,0)),"")</f>
        <v>Benchmark</v>
      </c>
      <c r="J793" s="20">
        <f>IFERROR(INDEX('Price List Library'!$O$6:$O$437,MATCH(TRIM($G793)&amp;"|"&amp;TRIM($H793),'Price List Library'!$S$6:$S$437,0)),0)</f>
        <v>4.5999999999999996</v>
      </c>
      <c r="K793" s="13" t="s">
        <v>2297</v>
      </c>
    </row>
    <row r="794" spans="1:11" ht="15" customHeight="1" x14ac:dyDescent="0.25">
      <c r="A794" s="9">
        <v>789</v>
      </c>
      <c r="B794" s="18" t="s">
        <v>1376</v>
      </c>
      <c r="C794" s="19" t="s">
        <v>1407</v>
      </c>
      <c r="D794" s="12" t="s">
        <v>1378</v>
      </c>
      <c r="E794" s="12" t="s">
        <v>1408</v>
      </c>
      <c r="F794" s="12" t="s">
        <v>1415</v>
      </c>
      <c r="G794" s="12" t="s">
        <v>1416</v>
      </c>
      <c r="H794" s="9" t="s">
        <v>57</v>
      </c>
      <c r="I794" s="9" t="str">
        <f>IFERROR(INDEX('Price List Library'!$P$6:$P$437,MATCH(TRIM($G794)&amp;"|"&amp;TRIM($H794),'Price List Library'!$S$6:$S$437,0)),"")</f>
        <v>Benchmark</v>
      </c>
      <c r="J794" s="20">
        <f>IFERROR(INDEX('Price List Library'!$O$6:$O$437,MATCH(TRIM($G794)&amp;"|"&amp;TRIM($H794),'Price List Library'!$S$6:$S$437,0)),0)</f>
        <v>34.24</v>
      </c>
      <c r="K794" s="13" t="s">
        <v>2298</v>
      </c>
    </row>
    <row r="795" spans="1:11" ht="15" customHeight="1" x14ac:dyDescent="0.25">
      <c r="A795" s="9">
        <v>790</v>
      </c>
      <c r="B795" s="18" t="s">
        <v>1376</v>
      </c>
      <c r="C795" s="19" t="s">
        <v>1407</v>
      </c>
      <c r="D795" s="12" t="s">
        <v>1378</v>
      </c>
      <c r="E795" s="12" t="s">
        <v>1408</v>
      </c>
      <c r="F795" s="12" t="s">
        <v>1418</v>
      </c>
      <c r="G795" s="12" t="s">
        <v>1419</v>
      </c>
      <c r="H795" s="9" t="s">
        <v>57</v>
      </c>
      <c r="I795" s="9" t="str">
        <f>IFERROR(INDEX('Price List Library'!$P$6:$P$437,MATCH(TRIM($G795)&amp;"|"&amp;TRIM($H795),'Price List Library'!$S$6:$S$437,0)),"")</f>
        <v>Benchmark</v>
      </c>
      <c r="J795" s="20">
        <f>IFERROR(INDEX('Price List Library'!$O$6:$O$437,MATCH(TRIM($G795)&amp;"|"&amp;TRIM($H795),'Price List Library'!$S$6:$S$437,0)),0)</f>
        <v>125.2</v>
      </c>
      <c r="K795" s="13" t="s">
        <v>2299</v>
      </c>
    </row>
    <row r="796" spans="1:11" ht="15" customHeight="1" x14ac:dyDescent="0.25">
      <c r="A796" s="9">
        <v>791</v>
      </c>
      <c r="B796" s="18" t="s">
        <v>1376</v>
      </c>
      <c r="C796" s="19" t="s">
        <v>1407</v>
      </c>
      <c r="D796" s="12" t="s">
        <v>1378</v>
      </c>
      <c r="E796" s="12" t="s">
        <v>1408</v>
      </c>
      <c r="F796" s="12" t="s">
        <v>1421</v>
      </c>
      <c r="G796" s="12" t="s">
        <v>1422</v>
      </c>
      <c r="H796" s="9" t="s">
        <v>35</v>
      </c>
      <c r="I796" s="9" t="str">
        <f>IFERROR(INDEX('Price List Library'!$P$6:$P$437,MATCH(TRIM($G796)&amp;"|"&amp;TRIM($H796),'Price List Library'!$S$6:$S$437,0)),"")</f>
        <v>Benchmark</v>
      </c>
      <c r="J796" s="20">
        <f>IFERROR(INDEX('Price List Library'!$O$6:$O$437,MATCH(TRIM($G796)&amp;"|"&amp;TRIM($H796),'Price List Library'!$S$6:$S$437,0)),0)</f>
        <v>3484.0000000000005</v>
      </c>
      <c r="K796" s="13" t="s">
        <v>2300</v>
      </c>
    </row>
    <row r="797" spans="1:11" ht="15" customHeight="1" x14ac:dyDescent="0.25">
      <c r="A797" s="9">
        <v>792</v>
      </c>
      <c r="B797" s="18" t="s">
        <v>1376</v>
      </c>
      <c r="C797" s="19" t="s">
        <v>1424</v>
      </c>
      <c r="D797" s="12" t="s">
        <v>1378</v>
      </c>
      <c r="E797" s="12" t="s">
        <v>1425</v>
      </c>
      <c r="F797" s="12" t="s">
        <v>1426</v>
      </c>
      <c r="G797" s="12" t="s">
        <v>1427</v>
      </c>
      <c r="H797" s="9" t="s">
        <v>61</v>
      </c>
      <c r="I797" s="9" t="str">
        <f>IFERROR(INDEX('Price List Library'!$P$6:$P$437,MATCH(TRIM($G797)&amp;"|"&amp;TRIM($H797),'Price List Library'!$S$6:$S$437,0)),"")</f>
        <v>Benchmark</v>
      </c>
      <c r="J797" s="20">
        <f>IFERROR(INDEX('Price List Library'!$O$6:$O$437,MATCH(TRIM($G797)&amp;"|"&amp;TRIM($H797),'Price List Library'!$S$6:$S$437,0)),0)</f>
        <v>45.760000000000005</v>
      </c>
      <c r="K797" s="13" t="s">
        <v>2301</v>
      </c>
    </row>
    <row r="798" spans="1:11" ht="15" customHeight="1" x14ac:dyDescent="0.25">
      <c r="A798" s="9">
        <v>793</v>
      </c>
      <c r="B798" s="18" t="s">
        <v>1376</v>
      </c>
      <c r="C798" s="19" t="s">
        <v>1424</v>
      </c>
      <c r="D798" s="12" t="s">
        <v>1378</v>
      </c>
      <c r="E798" s="12" t="s">
        <v>1425</v>
      </c>
      <c r="F798" s="12" t="s">
        <v>1429</v>
      </c>
      <c r="G798" s="12" t="s">
        <v>1430</v>
      </c>
      <c r="H798" s="9" t="s">
        <v>57</v>
      </c>
      <c r="I798" s="9" t="str">
        <f>IFERROR(INDEX('Price List Library'!$P$6:$P$437,MATCH(TRIM($G798)&amp;"|"&amp;TRIM($H798),'Price List Library'!$S$6:$S$437,0)),"")</f>
        <v>Benchmark</v>
      </c>
      <c r="J798" s="20">
        <f>IFERROR(INDEX('Price List Library'!$O$6:$O$437,MATCH(TRIM($G798)&amp;"|"&amp;TRIM($H798),'Price List Library'!$S$6:$S$437,0)),0)</f>
        <v>1924.0000000000002</v>
      </c>
      <c r="K798" s="13" t="s">
        <v>2302</v>
      </c>
    </row>
    <row r="799" spans="1:11" ht="15" customHeight="1" x14ac:dyDescent="0.25">
      <c r="A799" s="9">
        <v>794</v>
      </c>
      <c r="B799" s="18" t="s">
        <v>1376</v>
      </c>
      <c r="C799" s="19" t="s">
        <v>1424</v>
      </c>
      <c r="D799" s="12" t="s">
        <v>1378</v>
      </c>
      <c r="E799" s="12" t="s">
        <v>1425</v>
      </c>
      <c r="F799" s="12" t="s">
        <v>556</v>
      </c>
      <c r="G799" s="12" t="s">
        <v>557</v>
      </c>
      <c r="H799" s="9" t="s">
        <v>61</v>
      </c>
      <c r="I799" s="9" t="str">
        <f>IFERROR(INDEX('Price List Library'!$P$6:$P$437,MATCH(TRIM($G799)&amp;"|"&amp;TRIM($H799),'Price List Library'!$S$6:$S$437,0)),"")</f>
        <v>Benchmark</v>
      </c>
      <c r="J799" s="20">
        <f>IFERROR(INDEX('Price List Library'!$O$6:$O$437,MATCH(TRIM($G799)&amp;"|"&amp;TRIM($H799),'Price List Library'!$S$6:$S$437,0)),0)</f>
        <v>34.24</v>
      </c>
      <c r="K799" s="13" t="s">
        <v>2303</v>
      </c>
    </row>
    <row r="800" spans="1:11" ht="15" customHeight="1" x14ac:dyDescent="0.25">
      <c r="A800" s="9">
        <v>795</v>
      </c>
      <c r="B800" s="18" t="s">
        <v>1376</v>
      </c>
      <c r="C800" s="19" t="s">
        <v>1424</v>
      </c>
      <c r="D800" s="12" t="s">
        <v>1378</v>
      </c>
      <c r="E800" s="12" t="s">
        <v>1425</v>
      </c>
      <c r="F800" s="12" t="s">
        <v>1433</v>
      </c>
      <c r="G800" s="12" t="s">
        <v>1434</v>
      </c>
      <c r="H800" s="9" t="s">
        <v>18</v>
      </c>
      <c r="I800" s="9" t="str">
        <f>IFERROR(INDEX('Price List Library'!$P$6:$P$437,MATCH(TRIM($G800)&amp;"|"&amp;TRIM($H800),'Price List Library'!$S$6:$S$437,0)),"")</f>
        <v>Benchmark</v>
      </c>
      <c r="J800" s="20">
        <f>IFERROR(INDEX('Price List Library'!$O$6:$O$437,MATCH(TRIM($G800)&amp;"|"&amp;TRIM($H800),'Price List Library'!$S$6:$S$437,0)),0)</f>
        <v>35.44</v>
      </c>
      <c r="K800" s="13" t="s">
        <v>2304</v>
      </c>
    </row>
    <row r="801" spans="1:11" ht="15" customHeight="1" x14ac:dyDescent="0.25">
      <c r="A801" s="9">
        <v>796</v>
      </c>
      <c r="B801" s="18" t="s">
        <v>1376</v>
      </c>
      <c r="C801" s="19" t="s">
        <v>1436</v>
      </c>
      <c r="D801" s="12" t="s">
        <v>1378</v>
      </c>
      <c r="E801" s="12" t="s">
        <v>1437</v>
      </c>
      <c r="F801" s="12" t="s">
        <v>1438</v>
      </c>
      <c r="G801" s="12" t="s">
        <v>1439</v>
      </c>
      <c r="H801" s="9" t="s">
        <v>57</v>
      </c>
      <c r="I801" s="9" t="str">
        <f>IFERROR(INDEX('Price List Library'!$P$6:$P$437,MATCH(TRIM($G801)&amp;"|"&amp;TRIM($H801),'Price List Library'!$S$6:$S$437,0)),"")</f>
        <v>Benchmark</v>
      </c>
      <c r="J801" s="20">
        <f>IFERROR(INDEX('Price List Library'!$O$6:$O$437,MATCH(TRIM($G801)&amp;"|"&amp;TRIM($H801),'Price List Library'!$S$6:$S$437,0)),0)</f>
        <v>367.6</v>
      </c>
      <c r="K801" s="13" t="s">
        <v>2305</v>
      </c>
    </row>
    <row r="802" spans="1:11" ht="15" customHeight="1" x14ac:dyDescent="0.25">
      <c r="A802" s="9">
        <v>797</v>
      </c>
      <c r="B802" s="18" t="s">
        <v>1376</v>
      </c>
      <c r="C802" s="19" t="s">
        <v>1436</v>
      </c>
      <c r="D802" s="12" t="s">
        <v>1378</v>
      </c>
      <c r="E802" s="12" t="s">
        <v>1437</v>
      </c>
      <c r="F802" s="12" t="s">
        <v>1441</v>
      </c>
      <c r="G802" s="12" t="s">
        <v>1442</v>
      </c>
      <c r="H802" s="9" t="s">
        <v>57</v>
      </c>
      <c r="I802" s="9" t="str">
        <f>IFERROR(INDEX('Price List Library'!$P$6:$P$437,MATCH(TRIM($G802)&amp;"|"&amp;TRIM($H802),'Price List Library'!$S$6:$S$437,0)),"")</f>
        <v>Benchmark</v>
      </c>
      <c r="J802" s="20">
        <f>IFERROR(INDEX('Price List Library'!$O$6:$O$437,MATCH(TRIM($G802)&amp;"|"&amp;TRIM($H802),'Price List Library'!$S$6:$S$437,0)),0)</f>
        <v>76</v>
      </c>
      <c r="K802" s="13" t="s">
        <v>2306</v>
      </c>
    </row>
    <row r="803" spans="1:11" ht="15" customHeight="1" x14ac:dyDescent="0.25">
      <c r="A803" s="9">
        <v>798</v>
      </c>
      <c r="B803" s="18" t="s">
        <v>1376</v>
      </c>
      <c r="C803" s="19" t="s">
        <v>1436</v>
      </c>
      <c r="D803" s="12" t="s">
        <v>1378</v>
      </c>
      <c r="E803" s="12" t="s">
        <v>1437</v>
      </c>
      <c r="F803" s="12" t="s">
        <v>1444</v>
      </c>
      <c r="G803" s="12" t="s">
        <v>1445</v>
      </c>
      <c r="H803" s="9" t="s">
        <v>57</v>
      </c>
      <c r="I803" s="9" t="str">
        <f>IFERROR(INDEX('Price List Library'!$P$6:$P$437,MATCH(TRIM($G803)&amp;"|"&amp;TRIM($H803),'Price List Library'!$S$6:$S$437,0)),"")</f>
        <v>Benchmark</v>
      </c>
      <c r="J803" s="20">
        <f>IFERROR(INDEX('Price List Library'!$O$6:$O$437,MATCH(TRIM($G803)&amp;"|"&amp;TRIM($H803),'Price List Library'!$S$6:$S$437,0)),0)</f>
        <v>152.4</v>
      </c>
      <c r="K803" s="13" t="s">
        <v>2307</v>
      </c>
    </row>
    <row r="804" spans="1:11" ht="15" customHeight="1" x14ac:dyDescent="0.25">
      <c r="A804" s="9">
        <v>799</v>
      </c>
      <c r="B804" s="18" t="s">
        <v>1376</v>
      </c>
      <c r="C804" s="19" t="s">
        <v>1436</v>
      </c>
      <c r="D804" s="12" t="s">
        <v>1378</v>
      </c>
      <c r="E804" s="12" t="s">
        <v>1437</v>
      </c>
      <c r="F804" s="12" t="s">
        <v>1447</v>
      </c>
      <c r="G804" s="12" t="s">
        <v>1448</v>
      </c>
      <c r="H804" s="9" t="s">
        <v>18</v>
      </c>
      <c r="I804" s="9" t="str">
        <f>IFERROR(INDEX('Price List Library'!$P$6:$P$437,MATCH(TRIM($G804)&amp;"|"&amp;TRIM($H804),'Price List Library'!$S$6:$S$437,0)),"")</f>
        <v>Benchmark</v>
      </c>
      <c r="J804" s="20">
        <f>IFERROR(INDEX('Price List Library'!$O$6:$O$437,MATCH(TRIM($G804)&amp;"|"&amp;TRIM($H804),'Price List Library'!$S$6:$S$437,0)),0)</f>
        <v>94.4</v>
      </c>
      <c r="K804" s="13" t="s">
        <v>2308</v>
      </c>
    </row>
    <row r="805" spans="1:11" ht="15" customHeight="1" x14ac:dyDescent="0.25">
      <c r="A805" s="9">
        <v>800</v>
      </c>
      <c r="B805" s="18" t="s">
        <v>1376</v>
      </c>
      <c r="C805" s="19" t="s">
        <v>1436</v>
      </c>
      <c r="D805" s="12" t="s">
        <v>1378</v>
      </c>
      <c r="E805" s="12" t="s">
        <v>1437</v>
      </c>
      <c r="F805" s="12" t="s">
        <v>1450</v>
      </c>
      <c r="G805" s="12" t="s">
        <v>1451</v>
      </c>
      <c r="H805" s="9" t="s">
        <v>57</v>
      </c>
      <c r="I805" s="9" t="str">
        <f>IFERROR(INDEX('Price List Library'!$P$6:$P$437,MATCH(TRIM($G805)&amp;"|"&amp;TRIM($H805),'Price List Library'!$S$6:$S$437,0)),"")</f>
        <v>Benchmark</v>
      </c>
      <c r="J805" s="20">
        <f>IFERROR(INDEX('Price List Library'!$O$6:$O$437,MATCH(TRIM($G805)&amp;"|"&amp;TRIM($H805),'Price List Library'!$S$6:$S$437,0)),0)</f>
        <v>3004.0000000000005</v>
      </c>
      <c r="K805" s="13" t="s">
        <v>2309</v>
      </c>
    </row>
    <row r="806" spans="1:11" ht="15" customHeight="1" x14ac:dyDescent="0.25">
      <c r="A806" s="9">
        <v>801</v>
      </c>
      <c r="B806" s="18" t="s">
        <v>1376</v>
      </c>
      <c r="C806" s="19" t="s">
        <v>1436</v>
      </c>
      <c r="D806" s="12" t="s">
        <v>1378</v>
      </c>
      <c r="E806" s="12" t="s">
        <v>1437</v>
      </c>
      <c r="F806" s="12" t="s">
        <v>1453</v>
      </c>
      <c r="G806" s="12" t="s">
        <v>1454</v>
      </c>
      <c r="H806" s="9" t="s">
        <v>35</v>
      </c>
      <c r="I806" s="9" t="str">
        <f>IFERROR(INDEX('Price List Library'!$P$6:$P$437,MATCH(TRIM($G806)&amp;"|"&amp;TRIM($H806),'Price List Library'!$S$6:$S$437,0)),"")</f>
        <v>Benchmark</v>
      </c>
      <c r="J806" s="20">
        <f>IFERROR(INDEX('Price List Library'!$O$6:$O$437,MATCH(TRIM($G806)&amp;"|"&amp;TRIM($H806),'Price List Library'!$S$6:$S$437,0)),0)</f>
        <v>10960</v>
      </c>
      <c r="K806" s="13" t="s">
        <v>2310</v>
      </c>
    </row>
    <row r="807" spans="1:11" ht="15" customHeight="1" x14ac:dyDescent="0.25">
      <c r="A807" s="9">
        <v>802</v>
      </c>
      <c r="B807" s="14" t="s">
        <v>348</v>
      </c>
      <c r="C807" s="15" t="s">
        <v>716</v>
      </c>
      <c r="D807" s="12" t="s">
        <v>717</v>
      </c>
      <c r="E807" s="12" t="s">
        <v>723</v>
      </c>
      <c r="F807" s="12" t="s">
        <v>723</v>
      </c>
      <c r="G807" s="12" t="s">
        <v>2311</v>
      </c>
      <c r="H807" s="9" t="s">
        <v>18</v>
      </c>
      <c r="I807" s="9" t="str">
        <f>IFERROR(INDEX('Price List Library'!$P$6:$P$437,MATCH(TRIM($G807)&amp;"|"&amp;TRIM($H807),'Price List Library'!$S$6:$S$437,0)),"")</f>
        <v>Priced</v>
      </c>
      <c r="J807" s="20">
        <f>IFERROR(INDEX('Price List Library'!$O$6:$O$437,MATCH(TRIM($G807)&amp;"|"&amp;TRIM($H807),'Price List Library'!$S$6:$S$437,0)),0)</f>
        <v>14.96</v>
      </c>
      <c r="K807" s="13" t="s">
        <v>2312</v>
      </c>
    </row>
    <row r="808" spans="1:11" ht="15" customHeight="1" x14ac:dyDescent="0.25">
      <c r="A808" s="9">
        <v>803</v>
      </c>
      <c r="B808" s="14" t="s">
        <v>348</v>
      </c>
      <c r="C808" s="15" t="s">
        <v>691</v>
      </c>
      <c r="D808" s="12" t="s">
        <v>692</v>
      </c>
      <c r="E808" s="12" t="s">
        <v>698</v>
      </c>
      <c r="F808" s="12" t="s">
        <v>698</v>
      </c>
      <c r="G808" s="12" t="s">
        <v>2313</v>
      </c>
      <c r="H808" s="9" t="s">
        <v>18</v>
      </c>
      <c r="I808" s="9" t="str">
        <f>IFERROR(INDEX('Price List Library'!$P$6:$P$437,MATCH(TRIM($G808)&amp;"|"&amp;TRIM($H808),'Price List Library'!$S$6:$S$437,0)),"")</f>
        <v>Priced</v>
      </c>
      <c r="J808" s="20">
        <f>IFERROR(INDEX('Price List Library'!$O$6:$O$437,MATCH(TRIM($G808)&amp;"|"&amp;TRIM($H808),'Price List Library'!$S$6:$S$437,0)),0)</f>
        <v>18.399999999999999</v>
      </c>
      <c r="K808" s="13" t="s">
        <v>2314</v>
      </c>
    </row>
  </sheetData>
  <autoFilter ref="A5:J80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437"/>
  <sheetViews>
    <sheetView showGridLines="0" zoomScaleNormal="100" workbookViewId="0">
      <pane xSplit="8" ySplit="5" topLeftCell="I6" activePane="bottomRight" state="frozen"/>
      <selection pane="topRight" activeCell="I1" sqref="I1"/>
      <selection pane="bottomLeft" activeCell="A6" sqref="A6"/>
      <selection pane="bottomRight"/>
    </sheetView>
  </sheetViews>
  <sheetFormatPr defaultColWidth="8.7109375" defaultRowHeight="15" x14ac:dyDescent="0.25"/>
  <cols>
    <col min="1" max="1" width="9" style="4" customWidth="1"/>
    <col min="2" max="2" width="16" style="4" customWidth="1"/>
    <col min="3" max="3" width="7" style="4" customWidth="1"/>
    <col min="4" max="4" width="22" style="4" customWidth="1"/>
    <col min="5" max="5" width="20" style="4" customWidth="1"/>
    <col min="6" max="6" width="22" style="4" customWidth="1"/>
    <col min="7" max="7" width="60" style="4" customWidth="1"/>
    <col min="8" max="8" width="7" style="4" customWidth="1"/>
    <col min="9" max="9" width="12" style="4" customWidth="1"/>
    <col min="10" max="11" width="11" style="4" customWidth="1"/>
    <col min="12" max="12" width="13" style="4" customWidth="1"/>
    <col min="13" max="16" width="12" style="4" customWidth="1"/>
    <col min="17" max="17" width="8" style="4" customWidth="1"/>
    <col min="18" max="18" width="44" style="4" customWidth="1"/>
    <col min="19" max="19" width="4" style="4" hidden="1" customWidth="1"/>
    <col min="20" max="20" width="13" hidden="1" customWidth="1"/>
  </cols>
  <sheetData>
    <row r="1" spans="1:20" ht="18" customHeight="1" x14ac:dyDescent="0.3">
      <c r="A1" s="5" t="s">
        <v>2315</v>
      </c>
    </row>
    <row r="2" spans="1:20" ht="15" customHeight="1" x14ac:dyDescent="0.25">
      <c r="A2" s="21" t="s">
        <v>2316</v>
      </c>
      <c r="C2" s="22">
        <v>0.2</v>
      </c>
      <c r="E2" s="6" t="s">
        <v>2317</v>
      </c>
    </row>
    <row r="3" spans="1:20" ht="15" customHeight="1" x14ac:dyDescent="0.25">
      <c r="A3" s="21" t="s">
        <v>2318</v>
      </c>
      <c r="C3" s="22">
        <v>0.12</v>
      </c>
      <c r="E3" s="23" t="s">
        <v>2319</v>
      </c>
    </row>
    <row r="4" spans="1:20" ht="15" customHeight="1" x14ac:dyDescent="0.25">
      <c r="I4" s="3" t="s">
        <v>2320</v>
      </c>
      <c r="J4" s="3"/>
      <c r="K4" s="3"/>
      <c r="L4" s="2" t="s">
        <v>2321</v>
      </c>
      <c r="M4" s="2"/>
      <c r="N4" s="2"/>
    </row>
    <row r="5" spans="1:20" ht="30" customHeight="1" x14ac:dyDescent="0.25">
      <c r="A5" s="8" t="s">
        <v>2322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1459</v>
      </c>
      <c r="H5" s="8" t="s">
        <v>1460</v>
      </c>
      <c r="I5" s="8" t="s">
        <v>2323</v>
      </c>
      <c r="J5" s="8" t="s">
        <v>2324</v>
      </c>
      <c r="K5" s="8" t="s">
        <v>2325</v>
      </c>
      <c r="L5" s="8" t="s">
        <v>2326</v>
      </c>
      <c r="M5" s="8" t="s">
        <v>2327</v>
      </c>
      <c r="N5" s="8" t="s">
        <v>2328</v>
      </c>
      <c r="O5" s="8" t="s">
        <v>1462</v>
      </c>
      <c r="P5" s="8" t="s">
        <v>2329</v>
      </c>
      <c r="Q5" s="8" t="s">
        <v>2330</v>
      </c>
      <c r="R5" s="8" t="s">
        <v>2331</v>
      </c>
      <c r="S5" s="8" t="s">
        <v>2332</v>
      </c>
      <c r="T5" s="24" t="s">
        <v>2333</v>
      </c>
    </row>
    <row r="6" spans="1:20" ht="21.75" customHeight="1" x14ac:dyDescent="0.25">
      <c r="A6" s="9" t="s">
        <v>2334</v>
      </c>
      <c r="B6" s="10" t="s">
        <v>13</v>
      </c>
      <c r="C6" s="9" t="s">
        <v>14</v>
      </c>
      <c r="D6" s="12" t="s">
        <v>15</v>
      </c>
      <c r="E6" s="12" t="s">
        <v>16</v>
      </c>
      <c r="F6" s="12" t="s">
        <v>17</v>
      </c>
      <c r="G6" s="12" t="s">
        <v>19</v>
      </c>
      <c r="H6" s="9" t="s">
        <v>18</v>
      </c>
      <c r="I6" s="25">
        <v>0.55000000000000004</v>
      </c>
      <c r="J6" s="26">
        <f t="shared" ref="J6:J20" si="0">_STDLAB</f>
        <v>0.2</v>
      </c>
      <c r="K6" s="20">
        <f t="shared" ref="K6:K69" si="1">IFERROR(I6*(1+J6),0)</f>
        <v>0.66</v>
      </c>
      <c r="L6" s="25">
        <v>0.15</v>
      </c>
      <c r="M6" s="26">
        <f t="shared" ref="M6:M20" si="2">_STDMAT</f>
        <v>0.12</v>
      </c>
      <c r="N6" s="20">
        <f t="shared" ref="N6:N69" si="3">IFERROR(L6*(1+M6),0)</f>
        <v>0.16800000000000001</v>
      </c>
      <c r="O6" s="27">
        <f t="shared" ref="O6:O69" si="4">K6+N6</f>
        <v>0.82800000000000007</v>
      </c>
      <c r="P6" s="17" t="str">
        <f t="shared" ref="P6:P69" si="5">IF(N(I6)+N(L6)=0,"To be quoted",IF($T6="P","Priced","Benchmark"))</f>
        <v>Benchmark</v>
      </c>
      <c r="Q6" s="9">
        <v>1</v>
      </c>
      <c r="R6" s="28" t="s">
        <v>2335</v>
      </c>
      <c r="S6" s="29" t="str">
        <f t="shared" ref="S6:S69" si="6">TRIM(G6)&amp;"|"&amp;TRIM(H6)</f>
        <v>Site clearing, grubbing and removal of vegetation and debris off site|m2</v>
      </c>
      <c r="T6" s="24" t="s">
        <v>2336</v>
      </c>
    </row>
    <row r="7" spans="1:20" ht="21.75" customHeight="1" x14ac:dyDescent="0.25">
      <c r="A7" s="9" t="s">
        <v>2337</v>
      </c>
      <c r="B7" s="10" t="s">
        <v>13</v>
      </c>
      <c r="C7" s="9" t="s">
        <v>14</v>
      </c>
      <c r="D7" s="12" t="s">
        <v>15</v>
      </c>
      <c r="E7" s="12" t="s">
        <v>16</v>
      </c>
      <c r="F7" s="12" t="s">
        <v>21</v>
      </c>
      <c r="G7" s="12" t="s">
        <v>23</v>
      </c>
      <c r="H7" s="9" t="s">
        <v>22</v>
      </c>
      <c r="I7" s="25">
        <v>2.5</v>
      </c>
      <c r="J7" s="26">
        <f t="shared" si="0"/>
        <v>0.2</v>
      </c>
      <c r="K7" s="20">
        <f t="shared" si="1"/>
        <v>3</v>
      </c>
      <c r="L7" s="25">
        <v>0.4</v>
      </c>
      <c r="M7" s="26">
        <f t="shared" si="2"/>
        <v>0.12</v>
      </c>
      <c r="N7" s="20">
        <f t="shared" si="3"/>
        <v>0.44800000000000006</v>
      </c>
      <c r="O7" s="27">
        <f t="shared" si="4"/>
        <v>3.448</v>
      </c>
      <c r="P7" s="17" t="str">
        <f t="shared" si="5"/>
        <v>Benchmark</v>
      </c>
      <c r="Q7" s="9">
        <v>1</v>
      </c>
      <c r="R7" s="28" t="s">
        <v>2338</v>
      </c>
      <c r="S7" s="29" t="str">
        <f t="shared" si="6"/>
        <v>Bulk excavation by machine incl. trimming and levelling of formation|m3</v>
      </c>
      <c r="T7" s="24" t="s">
        <v>2336</v>
      </c>
    </row>
    <row r="8" spans="1:20" ht="21.75" customHeight="1" x14ac:dyDescent="0.25">
      <c r="A8" s="9" t="s">
        <v>2339</v>
      </c>
      <c r="B8" s="10" t="s">
        <v>13</v>
      </c>
      <c r="C8" s="9" t="s">
        <v>14</v>
      </c>
      <c r="D8" s="12" t="s">
        <v>15</v>
      </c>
      <c r="E8" s="12" t="s">
        <v>16</v>
      </c>
      <c r="F8" s="12" t="s">
        <v>25</v>
      </c>
      <c r="G8" s="12" t="s">
        <v>26</v>
      </c>
      <c r="H8" s="9" t="s">
        <v>22</v>
      </c>
      <c r="I8" s="25">
        <v>3.2</v>
      </c>
      <c r="J8" s="26">
        <f t="shared" si="0"/>
        <v>0.2</v>
      </c>
      <c r="K8" s="20">
        <f t="shared" si="1"/>
        <v>3.84</v>
      </c>
      <c r="L8" s="25">
        <v>0.9</v>
      </c>
      <c r="M8" s="26">
        <f t="shared" si="2"/>
        <v>0.12</v>
      </c>
      <c r="N8" s="20">
        <f t="shared" si="3"/>
        <v>1.0080000000000002</v>
      </c>
      <c r="O8" s="27">
        <f t="shared" si="4"/>
        <v>4.8479999999999999</v>
      </c>
      <c r="P8" s="17" t="str">
        <f t="shared" si="5"/>
        <v>Benchmark</v>
      </c>
      <c r="Q8" s="9">
        <v>1</v>
      </c>
      <c r="R8" s="28" t="s">
        <v>2340</v>
      </c>
      <c r="S8" s="29" t="str">
        <f t="shared" si="6"/>
        <v>Backfilling with approved material in 200mm layers incl. compaction to 95% MDD|m3</v>
      </c>
      <c r="T8" s="24" t="s">
        <v>2336</v>
      </c>
    </row>
    <row r="9" spans="1:20" ht="21.75" customHeight="1" x14ac:dyDescent="0.25">
      <c r="A9" s="9" t="s">
        <v>2341</v>
      </c>
      <c r="B9" s="10" t="s">
        <v>13</v>
      </c>
      <c r="C9" s="9" t="s">
        <v>14</v>
      </c>
      <c r="D9" s="12" t="s">
        <v>15</v>
      </c>
      <c r="E9" s="12" t="s">
        <v>16</v>
      </c>
      <c r="F9" s="12" t="s">
        <v>28</v>
      </c>
      <c r="G9" s="12" t="s">
        <v>29</v>
      </c>
      <c r="H9" s="9" t="s">
        <v>22</v>
      </c>
      <c r="I9" s="25">
        <v>3.4</v>
      </c>
      <c r="J9" s="26">
        <f t="shared" si="0"/>
        <v>0.2</v>
      </c>
      <c r="K9" s="20">
        <f t="shared" si="1"/>
        <v>4.08</v>
      </c>
      <c r="L9" s="25">
        <v>0.7</v>
      </c>
      <c r="M9" s="26">
        <f t="shared" si="2"/>
        <v>0.12</v>
      </c>
      <c r="N9" s="20">
        <f t="shared" si="3"/>
        <v>0.78400000000000003</v>
      </c>
      <c r="O9" s="27">
        <f t="shared" si="4"/>
        <v>4.8639999999999999</v>
      </c>
      <c r="P9" s="17" t="str">
        <f t="shared" si="5"/>
        <v>Benchmark</v>
      </c>
      <c r="Q9" s="9">
        <v>1</v>
      </c>
      <c r="R9" s="28" t="s">
        <v>2342</v>
      </c>
      <c r="S9" s="29" t="str">
        <f t="shared" si="6"/>
        <v>Cart away surplus excavated material off site incl. tipping fee|m3</v>
      </c>
      <c r="T9" s="24" t="s">
        <v>2336</v>
      </c>
    </row>
    <row r="10" spans="1:20" ht="21.75" customHeight="1" x14ac:dyDescent="0.25">
      <c r="A10" s="9" t="s">
        <v>2343</v>
      </c>
      <c r="B10" s="10" t="s">
        <v>13</v>
      </c>
      <c r="C10" s="9" t="s">
        <v>14</v>
      </c>
      <c r="D10" s="12" t="s">
        <v>15</v>
      </c>
      <c r="E10" s="12" t="s">
        <v>16</v>
      </c>
      <c r="F10" s="12" t="s">
        <v>31</v>
      </c>
      <c r="G10" s="12" t="s">
        <v>32</v>
      </c>
      <c r="H10" s="9" t="s">
        <v>18</v>
      </c>
      <c r="I10" s="25">
        <v>1.1000000000000001</v>
      </c>
      <c r="J10" s="26">
        <f t="shared" si="0"/>
        <v>0.2</v>
      </c>
      <c r="K10" s="20">
        <f t="shared" si="1"/>
        <v>1.32</v>
      </c>
      <c r="L10" s="25">
        <v>0.25</v>
      </c>
      <c r="M10" s="26">
        <f t="shared" si="2"/>
        <v>0.12</v>
      </c>
      <c r="N10" s="20">
        <f t="shared" si="3"/>
        <v>0.28000000000000003</v>
      </c>
      <c r="O10" s="27">
        <f t="shared" si="4"/>
        <v>1.6</v>
      </c>
      <c r="P10" s="17" t="str">
        <f t="shared" si="5"/>
        <v>Benchmark</v>
      </c>
      <c r="Q10" s="9">
        <v>2</v>
      </c>
      <c r="R10" s="28" t="s">
        <v>2344</v>
      </c>
      <c r="S10" s="29" t="str">
        <f t="shared" si="6"/>
        <v>Compaction of formation to 95% MDD incl. watering and testing|m2</v>
      </c>
      <c r="T10" s="24" t="s">
        <v>2336</v>
      </c>
    </row>
    <row r="11" spans="1:20" ht="21.75" customHeight="1" x14ac:dyDescent="0.25">
      <c r="A11" s="9" t="s">
        <v>2345</v>
      </c>
      <c r="B11" s="10" t="s">
        <v>13</v>
      </c>
      <c r="C11" s="9" t="s">
        <v>14</v>
      </c>
      <c r="D11" s="12" t="s">
        <v>15</v>
      </c>
      <c r="E11" s="12" t="s">
        <v>16</v>
      </c>
      <c r="F11" s="12" t="s">
        <v>34</v>
      </c>
      <c r="G11" s="12" t="s">
        <v>36</v>
      </c>
      <c r="H11" s="9" t="s">
        <v>35</v>
      </c>
      <c r="I11" s="25">
        <v>1800</v>
      </c>
      <c r="J11" s="26">
        <f t="shared" si="0"/>
        <v>0.2</v>
      </c>
      <c r="K11" s="20">
        <f t="shared" si="1"/>
        <v>2160</v>
      </c>
      <c r="L11" s="25">
        <v>1200</v>
      </c>
      <c r="M11" s="26">
        <f t="shared" si="2"/>
        <v>0.12</v>
      </c>
      <c r="N11" s="20">
        <f t="shared" si="3"/>
        <v>1344.0000000000002</v>
      </c>
      <c r="O11" s="27">
        <f t="shared" si="4"/>
        <v>3504</v>
      </c>
      <c r="P11" s="17" t="str">
        <f t="shared" si="5"/>
        <v>Benchmark</v>
      </c>
      <c r="Q11" s="9">
        <v>1</v>
      </c>
      <c r="R11" s="28" t="s">
        <v>2346</v>
      </c>
      <c r="S11" s="29" t="str">
        <f t="shared" si="6"/>
        <v>Dewatering incl. pumps, sump pits, piping and maintenance during construction|Lot</v>
      </c>
      <c r="T11" s="24" t="s">
        <v>2336</v>
      </c>
    </row>
    <row r="12" spans="1:20" ht="21.75" customHeight="1" x14ac:dyDescent="0.25">
      <c r="A12" s="9" t="s">
        <v>2347</v>
      </c>
      <c r="B12" s="10" t="s">
        <v>13</v>
      </c>
      <c r="C12" s="9" t="s">
        <v>14</v>
      </c>
      <c r="D12" s="12" t="s">
        <v>15</v>
      </c>
      <c r="E12" s="12" t="s">
        <v>16</v>
      </c>
      <c r="F12" s="12" t="s">
        <v>38</v>
      </c>
      <c r="G12" s="12" t="s">
        <v>39</v>
      </c>
      <c r="H12" s="9" t="s">
        <v>18</v>
      </c>
      <c r="I12" s="25">
        <v>0.7</v>
      </c>
      <c r="J12" s="26">
        <f t="shared" si="0"/>
        <v>0.2</v>
      </c>
      <c r="K12" s="20">
        <f t="shared" si="1"/>
        <v>0.84</v>
      </c>
      <c r="L12" s="25">
        <v>0.15</v>
      </c>
      <c r="M12" s="26">
        <f t="shared" si="2"/>
        <v>0.12</v>
      </c>
      <c r="N12" s="20">
        <f t="shared" si="3"/>
        <v>0.16800000000000001</v>
      </c>
      <c r="O12" s="27">
        <f t="shared" si="4"/>
        <v>1.008</v>
      </c>
      <c r="P12" s="17" t="str">
        <f t="shared" si="5"/>
        <v>Benchmark</v>
      </c>
      <c r="Q12" s="9">
        <v>1</v>
      </c>
      <c r="R12" s="28" t="s">
        <v>2348</v>
      </c>
      <c r="S12" s="29" t="str">
        <f t="shared" si="6"/>
        <v>Setting out, levelling and establishment of benchmarks and grid lines|m2</v>
      </c>
      <c r="T12" s="24" t="s">
        <v>2336</v>
      </c>
    </row>
    <row r="13" spans="1:20" ht="15" customHeight="1" x14ac:dyDescent="0.25">
      <c r="A13" s="9" t="s">
        <v>2349</v>
      </c>
      <c r="B13" s="10" t="s">
        <v>13</v>
      </c>
      <c r="C13" s="9" t="s">
        <v>41</v>
      </c>
      <c r="D13" s="12" t="s">
        <v>15</v>
      </c>
      <c r="E13" s="12" t="s">
        <v>42</v>
      </c>
      <c r="F13" s="12" t="s">
        <v>43</v>
      </c>
      <c r="G13" s="12" t="s">
        <v>44</v>
      </c>
      <c r="H13" s="9" t="s">
        <v>18</v>
      </c>
      <c r="I13" s="25">
        <v>0</v>
      </c>
      <c r="J13" s="26">
        <f t="shared" si="0"/>
        <v>0.2</v>
      </c>
      <c r="K13" s="20">
        <f t="shared" si="1"/>
        <v>0</v>
      </c>
      <c r="L13" s="25">
        <v>58</v>
      </c>
      <c r="M13" s="26">
        <f t="shared" si="2"/>
        <v>0.12</v>
      </c>
      <c r="N13" s="20">
        <f t="shared" si="3"/>
        <v>64.960000000000008</v>
      </c>
      <c r="O13" s="27">
        <f t="shared" si="4"/>
        <v>64.960000000000008</v>
      </c>
      <c r="P13" s="17" t="str">
        <f t="shared" si="5"/>
        <v>Benchmark</v>
      </c>
      <c r="Q13" s="9">
        <v>1</v>
      </c>
      <c r="R13" s="28" t="s">
        <v>2350</v>
      </c>
      <c r="S13" s="29" t="str">
        <f t="shared" si="6"/>
        <v>Supply of steel sheet pile, hot rolled section as per design|m2</v>
      </c>
      <c r="T13" s="24" t="s">
        <v>2336</v>
      </c>
    </row>
    <row r="14" spans="1:20" ht="15" customHeight="1" x14ac:dyDescent="0.25">
      <c r="A14" s="9" t="s">
        <v>2351</v>
      </c>
      <c r="B14" s="10" t="s">
        <v>13</v>
      </c>
      <c r="C14" s="9" t="s">
        <v>41</v>
      </c>
      <c r="D14" s="12" t="s">
        <v>15</v>
      </c>
      <c r="E14" s="12" t="s">
        <v>42</v>
      </c>
      <c r="F14" s="12" t="s">
        <v>46</v>
      </c>
      <c r="G14" s="12" t="s">
        <v>47</v>
      </c>
      <c r="H14" s="9" t="s">
        <v>18</v>
      </c>
      <c r="I14" s="25">
        <v>14</v>
      </c>
      <c r="J14" s="26">
        <f t="shared" si="0"/>
        <v>0.2</v>
      </c>
      <c r="K14" s="20">
        <f t="shared" si="1"/>
        <v>16.8</v>
      </c>
      <c r="L14" s="25">
        <v>6</v>
      </c>
      <c r="M14" s="26">
        <f t="shared" si="2"/>
        <v>0.12</v>
      </c>
      <c r="N14" s="20">
        <f t="shared" si="3"/>
        <v>6.7200000000000006</v>
      </c>
      <c r="O14" s="27">
        <f t="shared" si="4"/>
        <v>23.520000000000003</v>
      </c>
      <c r="P14" s="17" t="str">
        <f t="shared" si="5"/>
        <v>Benchmark</v>
      </c>
      <c r="Q14" s="9">
        <v>1</v>
      </c>
      <c r="R14" s="28" t="s">
        <v>2352</v>
      </c>
      <c r="S14" s="29" t="str">
        <f t="shared" si="6"/>
        <v>Driving of steel sheet pile to required depth incl. plant and equipment|m2</v>
      </c>
      <c r="T14" s="24" t="s">
        <v>2336</v>
      </c>
    </row>
    <row r="15" spans="1:20" ht="15" customHeight="1" x14ac:dyDescent="0.25">
      <c r="A15" s="9" t="s">
        <v>2353</v>
      </c>
      <c r="B15" s="10" t="s">
        <v>13</v>
      </c>
      <c r="C15" s="9" t="s">
        <v>41</v>
      </c>
      <c r="D15" s="12" t="s">
        <v>15</v>
      </c>
      <c r="E15" s="12" t="s">
        <v>42</v>
      </c>
      <c r="F15" s="12" t="s">
        <v>49</v>
      </c>
      <c r="G15" s="12" t="s">
        <v>50</v>
      </c>
      <c r="H15" s="9" t="s">
        <v>18</v>
      </c>
      <c r="I15" s="25">
        <v>9</v>
      </c>
      <c r="J15" s="26">
        <f t="shared" si="0"/>
        <v>0.2</v>
      </c>
      <c r="K15" s="20">
        <f t="shared" si="1"/>
        <v>10.799999999999999</v>
      </c>
      <c r="L15" s="25">
        <v>3</v>
      </c>
      <c r="M15" s="26">
        <f t="shared" si="2"/>
        <v>0.12</v>
      </c>
      <c r="N15" s="20">
        <f t="shared" si="3"/>
        <v>3.3600000000000003</v>
      </c>
      <c r="O15" s="27">
        <f t="shared" si="4"/>
        <v>14.16</v>
      </c>
      <c r="P15" s="17" t="str">
        <f t="shared" si="5"/>
        <v>Benchmark</v>
      </c>
      <c r="Q15" s="9">
        <v>1</v>
      </c>
      <c r="R15" s="28" t="s">
        <v>2354</v>
      </c>
      <c r="S15" s="29" t="str">
        <f t="shared" si="6"/>
        <v>Extraction of steel sheet pile and making good of voids|m2</v>
      </c>
      <c r="T15" s="24" t="s">
        <v>2336</v>
      </c>
    </row>
    <row r="16" spans="1:20" ht="15" customHeight="1" x14ac:dyDescent="0.25">
      <c r="A16" s="9" t="s">
        <v>2355</v>
      </c>
      <c r="B16" s="10" t="s">
        <v>13</v>
      </c>
      <c r="C16" s="9" t="s">
        <v>41</v>
      </c>
      <c r="D16" s="12" t="s">
        <v>15</v>
      </c>
      <c r="E16" s="12" t="s">
        <v>42</v>
      </c>
      <c r="F16" s="12" t="s">
        <v>52</v>
      </c>
      <c r="G16" s="12" t="s">
        <v>54</v>
      </c>
      <c r="H16" s="9" t="s">
        <v>53</v>
      </c>
      <c r="I16" s="25">
        <v>0.3</v>
      </c>
      <c r="J16" s="26">
        <f t="shared" si="0"/>
        <v>0.2</v>
      </c>
      <c r="K16" s="20">
        <f t="shared" si="1"/>
        <v>0.36</v>
      </c>
      <c r="L16" s="25">
        <v>1.1499999999999999</v>
      </c>
      <c r="M16" s="26">
        <f t="shared" si="2"/>
        <v>0.12</v>
      </c>
      <c r="N16" s="20">
        <f t="shared" si="3"/>
        <v>1.288</v>
      </c>
      <c r="O16" s="27">
        <f t="shared" si="4"/>
        <v>1.6480000000000001</v>
      </c>
      <c r="P16" s="17" t="str">
        <f t="shared" si="5"/>
        <v>Benchmark</v>
      </c>
      <c r="Q16" s="9">
        <v>1</v>
      </c>
      <c r="R16" s="28" t="s">
        <v>2356</v>
      </c>
      <c r="S16" s="29" t="str">
        <f t="shared" si="6"/>
        <v>Steel strut and waler incl. fabrication, installation and removal|kg</v>
      </c>
      <c r="T16" s="24" t="s">
        <v>2336</v>
      </c>
    </row>
    <row r="17" spans="1:20" ht="15" customHeight="1" x14ac:dyDescent="0.25">
      <c r="A17" s="9" t="s">
        <v>2357</v>
      </c>
      <c r="B17" s="10" t="s">
        <v>13</v>
      </c>
      <c r="C17" s="9" t="s">
        <v>41</v>
      </c>
      <c r="D17" s="12" t="s">
        <v>15</v>
      </c>
      <c r="E17" s="12" t="s">
        <v>42</v>
      </c>
      <c r="F17" s="12" t="s">
        <v>56</v>
      </c>
      <c r="G17" s="12" t="s">
        <v>58</v>
      </c>
      <c r="H17" s="9" t="s">
        <v>57</v>
      </c>
      <c r="I17" s="25">
        <v>160</v>
      </c>
      <c r="J17" s="26">
        <f t="shared" si="0"/>
        <v>0.2</v>
      </c>
      <c r="K17" s="20">
        <f t="shared" si="1"/>
        <v>192</v>
      </c>
      <c r="L17" s="25">
        <v>300</v>
      </c>
      <c r="M17" s="26">
        <f t="shared" si="2"/>
        <v>0.12</v>
      </c>
      <c r="N17" s="20">
        <f t="shared" si="3"/>
        <v>336.00000000000006</v>
      </c>
      <c r="O17" s="27">
        <f t="shared" si="4"/>
        <v>528</v>
      </c>
      <c r="P17" s="17" t="str">
        <f t="shared" si="5"/>
        <v>Benchmark</v>
      </c>
      <c r="Q17" s="9">
        <v>1</v>
      </c>
      <c r="R17" s="28" t="s">
        <v>2358</v>
      </c>
      <c r="S17" s="29" t="str">
        <f t="shared" si="6"/>
        <v>Ground anchor incl. drilling, grouting, stressing and testing|Nos</v>
      </c>
      <c r="T17" s="24" t="s">
        <v>2336</v>
      </c>
    </row>
    <row r="18" spans="1:20" ht="15" customHeight="1" x14ac:dyDescent="0.25">
      <c r="A18" s="9" t="s">
        <v>2359</v>
      </c>
      <c r="B18" s="10" t="s">
        <v>13</v>
      </c>
      <c r="C18" s="9" t="s">
        <v>41</v>
      </c>
      <c r="D18" s="12" t="s">
        <v>15</v>
      </c>
      <c r="E18" s="12" t="s">
        <v>42</v>
      </c>
      <c r="F18" s="12" t="s">
        <v>60</v>
      </c>
      <c r="G18" s="12" t="s">
        <v>62</v>
      </c>
      <c r="H18" s="9" t="s">
        <v>61</v>
      </c>
      <c r="I18" s="25">
        <v>22</v>
      </c>
      <c r="J18" s="26">
        <f t="shared" si="0"/>
        <v>0.2</v>
      </c>
      <c r="K18" s="20">
        <f t="shared" si="1"/>
        <v>26.4</v>
      </c>
      <c r="L18" s="25">
        <v>42</v>
      </c>
      <c r="M18" s="26">
        <f t="shared" si="2"/>
        <v>0.12</v>
      </c>
      <c r="N18" s="20">
        <f t="shared" si="3"/>
        <v>47.040000000000006</v>
      </c>
      <c r="O18" s="27">
        <f t="shared" si="4"/>
        <v>73.44</v>
      </c>
      <c r="P18" s="17" t="str">
        <f t="shared" si="5"/>
        <v>Benchmark</v>
      </c>
      <c r="Q18" s="9">
        <v>1</v>
      </c>
      <c r="R18" s="28" t="s">
        <v>2360</v>
      </c>
      <c r="S18" s="29" t="str">
        <f t="shared" si="6"/>
        <v>Reinforced concrete guide wall incl. concrete, rebar and formwork|m</v>
      </c>
      <c r="T18" s="24" t="s">
        <v>2336</v>
      </c>
    </row>
    <row r="19" spans="1:20" ht="15" customHeight="1" x14ac:dyDescent="0.25">
      <c r="A19" s="9" t="s">
        <v>2361</v>
      </c>
      <c r="B19" s="10" t="s">
        <v>13</v>
      </c>
      <c r="C19" s="9" t="s">
        <v>64</v>
      </c>
      <c r="D19" s="12" t="s">
        <v>15</v>
      </c>
      <c r="E19" s="12" t="s">
        <v>65</v>
      </c>
      <c r="F19" s="12" t="s">
        <v>66</v>
      </c>
      <c r="G19" s="12" t="s">
        <v>67</v>
      </c>
      <c r="H19" s="9" t="s">
        <v>61</v>
      </c>
      <c r="I19" s="25">
        <v>26</v>
      </c>
      <c r="J19" s="26">
        <f t="shared" si="0"/>
        <v>0.2</v>
      </c>
      <c r="K19" s="20">
        <f t="shared" si="1"/>
        <v>31.2</v>
      </c>
      <c r="L19" s="25">
        <v>17</v>
      </c>
      <c r="M19" s="26">
        <f t="shared" si="2"/>
        <v>0.12</v>
      </c>
      <c r="N19" s="20">
        <f t="shared" si="3"/>
        <v>19.040000000000003</v>
      </c>
      <c r="O19" s="27">
        <f t="shared" si="4"/>
        <v>50.24</v>
      </c>
      <c r="P19" s="17" t="str">
        <f t="shared" si="5"/>
        <v>Benchmark</v>
      </c>
      <c r="Q19" s="9">
        <v>1</v>
      </c>
      <c r="R19" s="28" t="s">
        <v>2362</v>
      </c>
      <c r="S19" s="29" t="str">
        <f t="shared" si="6"/>
        <v>Bored piling D1000mm incl. boring, casing and disposal of spoil|m</v>
      </c>
      <c r="T19" s="24" t="s">
        <v>2336</v>
      </c>
    </row>
    <row r="20" spans="1:20" ht="15" customHeight="1" x14ac:dyDescent="0.25">
      <c r="A20" s="9" t="s">
        <v>2363</v>
      </c>
      <c r="B20" s="10" t="s">
        <v>13</v>
      </c>
      <c r="C20" s="9" t="s">
        <v>64</v>
      </c>
      <c r="D20" s="12" t="s">
        <v>15</v>
      </c>
      <c r="E20" s="12" t="s">
        <v>65</v>
      </c>
      <c r="F20" s="12" t="s">
        <v>66</v>
      </c>
      <c r="G20" s="12" t="s">
        <v>1477</v>
      </c>
      <c r="H20" s="9" t="s">
        <v>61</v>
      </c>
      <c r="I20" s="25">
        <v>20</v>
      </c>
      <c r="J20" s="26">
        <f t="shared" si="0"/>
        <v>0.2</v>
      </c>
      <c r="K20" s="20">
        <f t="shared" si="1"/>
        <v>24</v>
      </c>
      <c r="L20" s="25">
        <v>13</v>
      </c>
      <c r="M20" s="26">
        <f t="shared" si="2"/>
        <v>0.12</v>
      </c>
      <c r="N20" s="20">
        <f t="shared" si="3"/>
        <v>14.560000000000002</v>
      </c>
      <c r="O20" s="27">
        <f t="shared" si="4"/>
        <v>38.56</v>
      </c>
      <c r="P20" s="17" t="str">
        <f t="shared" si="5"/>
        <v>Benchmark</v>
      </c>
      <c r="Q20" s="9">
        <v>1</v>
      </c>
      <c r="R20" s="28" t="s">
        <v>2364</v>
      </c>
      <c r="S20" s="29" t="str">
        <f t="shared" si="6"/>
        <v>Bored piling D800mm incl. boring, casing and disposal of spoil|m</v>
      </c>
      <c r="T20" s="24" t="s">
        <v>2336</v>
      </c>
    </row>
    <row r="21" spans="1:20" ht="15" customHeight="1" x14ac:dyDescent="0.25">
      <c r="A21" s="9" t="s">
        <v>2365</v>
      </c>
      <c r="B21" s="10" t="s">
        <v>13</v>
      </c>
      <c r="C21" s="9" t="s">
        <v>64</v>
      </c>
      <c r="D21" s="12" t="s">
        <v>15</v>
      </c>
      <c r="E21" s="12" t="s">
        <v>65</v>
      </c>
      <c r="F21" s="12" t="s">
        <v>69</v>
      </c>
      <c r="G21" s="12" t="s">
        <v>70</v>
      </c>
      <c r="H21" s="9" t="s">
        <v>22</v>
      </c>
      <c r="I21" s="25">
        <v>10</v>
      </c>
      <c r="J21" s="26">
        <v>0.2</v>
      </c>
      <c r="K21" s="20">
        <f t="shared" si="1"/>
        <v>12</v>
      </c>
      <c r="L21" s="25">
        <v>98</v>
      </c>
      <c r="M21" s="26">
        <v>0.12</v>
      </c>
      <c r="N21" s="20">
        <f t="shared" si="3"/>
        <v>109.76</v>
      </c>
      <c r="O21" s="27">
        <f t="shared" si="4"/>
        <v>121.76</v>
      </c>
      <c r="P21" s="30" t="str">
        <f t="shared" si="5"/>
        <v>Priced</v>
      </c>
      <c r="Q21" s="9">
        <v>17</v>
      </c>
      <c r="R21" s="31" t="s">
        <v>2366</v>
      </c>
      <c r="S21" s="29" t="str">
        <f t="shared" si="6"/>
        <v>Normal Concrete, 35Mpa (Cylinder), Slump 13+-2.5|m3</v>
      </c>
      <c r="T21" s="24" t="s">
        <v>2367</v>
      </c>
    </row>
    <row r="22" spans="1:20" ht="15" customHeight="1" x14ac:dyDescent="0.25">
      <c r="A22" s="9" t="s">
        <v>2368</v>
      </c>
      <c r="B22" s="10" t="s">
        <v>13</v>
      </c>
      <c r="C22" s="9" t="s">
        <v>64</v>
      </c>
      <c r="D22" s="12" t="s">
        <v>15</v>
      </c>
      <c r="E22" s="12" t="s">
        <v>65</v>
      </c>
      <c r="F22" s="12" t="s">
        <v>69</v>
      </c>
      <c r="G22" s="12" t="s">
        <v>1480</v>
      </c>
      <c r="H22" s="9" t="s">
        <v>22</v>
      </c>
      <c r="I22" s="25">
        <v>8</v>
      </c>
      <c r="J22" s="26">
        <v>0.2</v>
      </c>
      <c r="K22" s="20">
        <f t="shared" si="1"/>
        <v>9.6</v>
      </c>
      <c r="L22" s="25">
        <v>98</v>
      </c>
      <c r="M22" s="26">
        <v>0.12</v>
      </c>
      <c r="N22" s="20">
        <f t="shared" si="3"/>
        <v>109.76</v>
      </c>
      <c r="O22" s="27">
        <f t="shared" si="4"/>
        <v>119.36</v>
      </c>
      <c r="P22" s="30" t="str">
        <f t="shared" si="5"/>
        <v>Priced</v>
      </c>
      <c r="Q22" s="9">
        <v>17</v>
      </c>
      <c r="R22" s="31" t="s">
        <v>2366</v>
      </c>
      <c r="S22" s="29" t="str">
        <f t="shared" si="6"/>
        <v>Normal Concrete, 35Mpa (Cylinder), Slump 15+-2.5|m3</v>
      </c>
      <c r="T22" s="24" t="s">
        <v>2367</v>
      </c>
    </row>
    <row r="23" spans="1:20" ht="15" customHeight="1" x14ac:dyDescent="0.25">
      <c r="A23" s="9" t="s">
        <v>2369</v>
      </c>
      <c r="B23" s="10" t="s">
        <v>13</v>
      </c>
      <c r="C23" s="9" t="s">
        <v>64</v>
      </c>
      <c r="D23" s="12" t="s">
        <v>15</v>
      </c>
      <c r="E23" s="12" t="s">
        <v>65</v>
      </c>
      <c r="F23" s="12" t="s">
        <v>69</v>
      </c>
      <c r="G23" s="12" t="s">
        <v>1482</v>
      </c>
      <c r="H23" s="9" t="s">
        <v>22</v>
      </c>
      <c r="I23" s="25">
        <v>8</v>
      </c>
      <c r="J23" s="26">
        <f>_STDLAB</f>
        <v>0.2</v>
      </c>
      <c r="K23" s="20">
        <f t="shared" si="1"/>
        <v>9.6</v>
      </c>
      <c r="L23" s="25">
        <v>88</v>
      </c>
      <c r="M23" s="26">
        <f>_STDMAT</f>
        <v>0.12</v>
      </c>
      <c r="N23" s="20">
        <f t="shared" si="3"/>
        <v>98.56</v>
      </c>
      <c r="O23" s="27">
        <f t="shared" si="4"/>
        <v>108.16</v>
      </c>
      <c r="P23" s="17" t="str">
        <f t="shared" si="5"/>
        <v>Benchmark</v>
      </c>
      <c r="Q23" s="9">
        <v>17</v>
      </c>
      <c r="R23" s="28" t="s">
        <v>2370</v>
      </c>
      <c r="S23" s="29" t="str">
        <f t="shared" si="6"/>
        <v>Normal Concrete, 25Mpa (Cylinder), Slump 10+-2.5|m3</v>
      </c>
      <c r="T23" s="24" t="s">
        <v>2336</v>
      </c>
    </row>
    <row r="24" spans="1:20" ht="15" customHeight="1" x14ac:dyDescent="0.25">
      <c r="A24" s="9" t="s">
        <v>2371</v>
      </c>
      <c r="B24" s="10" t="s">
        <v>13</v>
      </c>
      <c r="C24" s="9" t="s">
        <v>64</v>
      </c>
      <c r="D24" s="12" t="s">
        <v>15</v>
      </c>
      <c r="E24" s="12" t="s">
        <v>65</v>
      </c>
      <c r="F24" s="12" t="s">
        <v>69</v>
      </c>
      <c r="G24" s="12" t="s">
        <v>1484</v>
      </c>
      <c r="H24" s="9" t="s">
        <v>22</v>
      </c>
      <c r="I24" s="25">
        <v>9</v>
      </c>
      <c r="J24" s="26">
        <f>_STDLAB</f>
        <v>0.2</v>
      </c>
      <c r="K24" s="20">
        <f t="shared" si="1"/>
        <v>10.799999999999999</v>
      </c>
      <c r="L24" s="25">
        <v>93</v>
      </c>
      <c r="M24" s="26">
        <f>_STDMAT</f>
        <v>0.12</v>
      </c>
      <c r="N24" s="20">
        <f t="shared" si="3"/>
        <v>104.16000000000001</v>
      </c>
      <c r="O24" s="27">
        <f t="shared" si="4"/>
        <v>114.96000000000001</v>
      </c>
      <c r="P24" s="17" t="str">
        <f t="shared" si="5"/>
        <v>Benchmark</v>
      </c>
      <c r="Q24" s="9">
        <v>17</v>
      </c>
      <c r="R24" s="28" t="s">
        <v>2372</v>
      </c>
      <c r="S24" s="29" t="str">
        <f t="shared" si="6"/>
        <v>Normal Concrete, 30Mpa (Cylinder), Slump 13+-2.5|m3</v>
      </c>
      <c r="T24" s="24" t="s">
        <v>2336</v>
      </c>
    </row>
    <row r="25" spans="1:20" ht="15" customHeight="1" x14ac:dyDescent="0.25">
      <c r="A25" s="9" t="s">
        <v>2373</v>
      </c>
      <c r="B25" s="10" t="s">
        <v>13</v>
      </c>
      <c r="C25" s="9" t="s">
        <v>64</v>
      </c>
      <c r="D25" s="12" t="s">
        <v>15</v>
      </c>
      <c r="E25" s="12" t="s">
        <v>65</v>
      </c>
      <c r="F25" s="12" t="s">
        <v>72</v>
      </c>
      <c r="G25" s="12" t="s">
        <v>73</v>
      </c>
      <c r="H25" s="9" t="s">
        <v>53</v>
      </c>
      <c r="I25" s="25">
        <v>0.12</v>
      </c>
      <c r="J25" s="26">
        <v>0.2</v>
      </c>
      <c r="K25" s="20">
        <f t="shared" si="1"/>
        <v>0.14399999999999999</v>
      </c>
      <c r="L25" s="25">
        <v>0.78</v>
      </c>
      <c r="M25" s="26">
        <v>0.12</v>
      </c>
      <c r="N25" s="20">
        <f t="shared" si="3"/>
        <v>0.87360000000000015</v>
      </c>
      <c r="O25" s="27">
        <f t="shared" si="4"/>
        <v>1.0176000000000001</v>
      </c>
      <c r="P25" s="30" t="str">
        <f t="shared" si="5"/>
        <v>Priced</v>
      </c>
      <c r="Q25" s="9">
        <v>17</v>
      </c>
      <c r="R25" s="31" t="s">
        <v>2374</v>
      </c>
      <c r="S25" s="29" t="str">
        <f t="shared" si="6"/>
        <v>Deform Bar, DB10(fy=390 Mpa)|kg</v>
      </c>
      <c r="T25" s="24" t="s">
        <v>2367</v>
      </c>
    </row>
    <row r="26" spans="1:20" ht="15" customHeight="1" x14ac:dyDescent="0.25">
      <c r="A26" s="9" t="s">
        <v>2375</v>
      </c>
      <c r="B26" s="10" t="s">
        <v>13</v>
      </c>
      <c r="C26" s="9" t="s">
        <v>64</v>
      </c>
      <c r="D26" s="12" t="s">
        <v>15</v>
      </c>
      <c r="E26" s="12" t="s">
        <v>65</v>
      </c>
      <c r="F26" s="12" t="s">
        <v>72</v>
      </c>
      <c r="G26" s="12" t="s">
        <v>1487</v>
      </c>
      <c r="H26" s="9" t="s">
        <v>53</v>
      </c>
      <c r="I26" s="25">
        <v>0.11</v>
      </c>
      <c r="J26" s="26">
        <v>0.2</v>
      </c>
      <c r="K26" s="20">
        <f t="shared" si="1"/>
        <v>0.13200000000000001</v>
      </c>
      <c r="L26" s="25">
        <v>0.76</v>
      </c>
      <c r="M26" s="26">
        <v>0.12</v>
      </c>
      <c r="N26" s="20">
        <f t="shared" si="3"/>
        <v>0.85120000000000007</v>
      </c>
      <c r="O26" s="27">
        <f t="shared" si="4"/>
        <v>0.98320000000000007</v>
      </c>
      <c r="P26" s="30" t="str">
        <f t="shared" si="5"/>
        <v>Priced</v>
      </c>
      <c r="Q26" s="9">
        <v>17</v>
      </c>
      <c r="R26" s="31" t="s">
        <v>2376</v>
      </c>
      <c r="S26" s="29" t="str">
        <f t="shared" si="6"/>
        <v>Deform Bar, DB12(fy=390 Mpa)|kg</v>
      </c>
      <c r="T26" s="24" t="s">
        <v>2367</v>
      </c>
    </row>
    <row r="27" spans="1:20" ht="15" customHeight="1" x14ac:dyDescent="0.25">
      <c r="A27" s="9" t="s">
        <v>2377</v>
      </c>
      <c r="B27" s="10" t="s">
        <v>13</v>
      </c>
      <c r="C27" s="9" t="s">
        <v>64</v>
      </c>
      <c r="D27" s="12" t="s">
        <v>15</v>
      </c>
      <c r="E27" s="12" t="s">
        <v>65</v>
      </c>
      <c r="F27" s="12" t="s">
        <v>72</v>
      </c>
      <c r="G27" s="12" t="s">
        <v>1489</v>
      </c>
      <c r="H27" s="9" t="s">
        <v>53</v>
      </c>
      <c r="I27" s="25">
        <v>0.1</v>
      </c>
      <c r="J27" s="26">
        <v>0.2</v>
      </c>
      <c r="K27" s="20">
        <f t="shared" si="1"/>
        <v>0.12</v>
      </c>
      <c r="L27" s="25">
        <v>0.75</v>
      </c>
      <c r="M27" s="26">
        <v>0.12</v>
      </c>
      <c r="N27" s="20">
        <f t="shared" si="3"/>
        <v>0.84000000000000008</v>
      </c>
      <c r="O27" s="27">
        <f t="shared" si="4"/>
        <v>0.96000000000000008</v>
      </c>
      <c r="P27" s="30" t="str">
        <f t="shared" si="5"/>
        <v>Priced</v>
      </c>
      <c r="Q27" s="9">
        <v>17</v>
      </c>
      <c r="R27" s="31" t="s">
        <v>2376</v>
      </c>
      <c r="S27" s="29" t="str">
        <f t="shared" si="6"/>
        <v>Deform Bar, DB14(fy=390 Mpa)|kg</v>
      </c>
      <c r="T27" s="24" t="s">
        <v>2367</v>
      </c>
    </row>
    <row r="28" spans="1:20" ht="15" customHeight="1" x14ac:dyDescent="0.25">
      <c r="A28" s="9" t="s">
        <v>2378</v>
      </c>
      <c r="B28" s="10" t="s">
        <v>13</v>
      </c>
      <c r="C28" s="9" t="s">
        <v>64</v>
      </c>
      <c r="D28" s="12" t="s">
        <v>15</v>
      </c>
      <c r="E28" s="12" t="s">
        <v>65</v>
      </c>
      <c r="F28" s="12" t="s">
        <v>72</v>
      </c>
      <c r="G28" s="12" t="s">
        <v>1491</v>
      </c>
      <c r="H28" s="9" t="s">
        <v>53</v>
      </c>
      <c r="I28" s="25">
        <v>0.1</v>
      </c>
      <c r="J28" s="26">
        <v>0.2</v>
      </c>
      <c r="K28" s="20">
        <f t="shared" si="1"/>
        <v>0.12</v>
      </c>
      <c r="L28" s="25">
        <v>0.74</v>
      </c>
      <c r="M28" s="26">
        <v>0.12</v>
      </c>
      <c r="N28" s="20">
        <f t="shared" si="3"/>
        <v>0.82880000000000009</v>
      </c>
      <c r="O28" s="27">
        <f t="shared" si="4"/>
        <v>0.94880000000000009</v>
      </c>
      <c r="P28" s="30" t="str">
        <f t="shared" si="5"/>
        <v>Priced</v>
      </c>
      <c r="Q28" s="9">
        <v>17</v>
      </c>
      <c r="R28" s="31" t="s">
        <v>2376</v>
      </c>
      <c r="S28" s="29" t="str">
        <f t="shared" si="6"/>
        <v>Deform Bar, DB16(fy=390 Mpa)|kg</v>
      </c>
      <c r="T28" s="24" t="s">
        <v>2367</v>
      </c>
    </row>
    <row r="29" spans="1:20" ht="15" customHeight="1" x14ac:dyDescent="0.25">
      <c r="A29" s="9" t="s">
        <v>2379</v>
      </c>
      <c r="B29" s="10" t="s">
        <v>13</v>
      </c>
      <c r="C29" s="9" t="s">
        <v>64</v>
      </c>
      <c r="D29" s="12" t="s">
        <v>15</v>
      </c>
      <c r="E29" s="12" t="s">
        <v>65</v>
      </c>
      <c r="F29" s="12" t="s">
        <v>72</v>
      </c>
      <c r="G29" s="12" t="s">
        <v>1493</v>
      </c>
      <c r="H29" s="9" t="s">
        <v>53</v>
      </c>
      <c r="I29" s="25">
        <v>0.09</v>
      </c>
      <c r="J29" s="26">
        <v>0.2</v>
      </c>
      <c r="K29" s="20">
        <f t="shared" si="1"/>
        <v>0.108</v>
      </c>
      <c r="L29" s="25">
        <v>0.73</v>
      </c>
      <c r="M29" s="26">
        <v>0.12</v>
      </c>
      <c r="N29" s="20">
        <f t="shared" si="3"/>
        <v>0.8176000000000001</v>
      </c>
      <c r="O29" s="27">
        <f t="shared" si="4"/>
        <v>0.92560000000000009</v>
      </c>
      <c r="P29" s="30" t="str">
        <f t="shared" si="5"/>
        <v>Priced</v>
      </c>
      <c r="Q29" s="9">
        <v>17</v>
      </c>
      <c r="R29" s="31" t="s">
        <v>2376</v>
      </c>
      <c r="S29" s="29" t="str">
        <f t="shared" si="6"/>
        <v>Deform Bar, DB20(fy=390 Mpa)|kg</v>
      </c>
      <c r="T29" s="24" t="s">
        <v>2367</v>
      </c>
    </row>
    <row r="30" spans="1:20" ht="15" customHeight="1" x14ac:dyDescent="0.25">
      <c r="A30" s="9" t="s">
        <v>2380</v>
      </c>
      <c r="B30" s="10" t="s">
        <v>13</v>
      </c>
      <c r="C30" s="9" t="s">
        <v>64</v>
      </c>
      <c r="D30" s="12" t="s">
        <v>15</v>
      </c>
      <c r="E30" s="12" t="s">
        <v>65</v>
      </c>
      <c r="F30" s="12" t="s">
        <v>72</v>
      </c>
      <c r="G30" s="12" t="s">
        <v>1495</v>
      </c>
      <c r="H30" s="9" t="s">
        <v>53</v>
      </c>
      <c r="I30" s="25">
        <v>0.08</v>
      </c>
      <c r="J30" s="26">
        <v>0.2</v>
      </c>
      <c r="K30" s="20">
        <f t="shared" si="1"/>
        <v>9.6000000000000002E-2</v>
      </c>
      <c r="L30" s="25">
        <v>0.72</v>
      </c>
      <c r="M30" s="26">
        <v>0.12</v>
      </c>
      <c r="N30" s="20">
        <f t="shared" si="3"/>
        <v>0.80640000000000001</v>
      </c>
      <c r="O30" s="27">
        <f t="shared" si="4"/>
        <v>0.90239999999999998</v>
      </c>
      <c r="P30" s="30" t="str">
        <f t="shared" si="5"/>
        <v>Priced</v>
      </c>
      <c r="Q30" s="9">
        <v>17</v>
      </c>
      <c r="R30" s="31" t="s">
        <v>2381</v>
      </c>
      <c r="S30" s="29" t="str">
        <f t="shared" si="6"/>
        <v>Deform Bar, DB25(fy=390 Mpa)|kg</v>
      </c>
      <c r="T30" s="24" t="s">
        <v>2367</v>
      </c>
    </row>
    <row r="31" spans="1:20" ht="15" customHeight="1" x14ac:dyDescent="0.25">
      <c r="A31" s="9" t="s">
        <v>2382</v>
      </c>
      <c r="B31" s="10" t="s">
        <v>13</v>
      </c>
      <c r="C31" s="9" t="s">
        <v>64</v>
      </c>
      <c r="D31" s="12" t="s">
        <v>15</v>
      </c>
      <c r="E31" s="12" t="s">
        <v>65</v>
      </c>
      <c r="F31" s="12" t="s">
        <v>72</v>
      </c>
      <c r="G31" s="12" t="s">
        <v>1497</v>
      </c>
      <c r="H31" s="9" t="s">
        <v>53</v>
      </c>
      <c r="I31" s="25">
        <v>0.08</v>
      </c>
      <c r="J31" s="26">
        <v>0.2</v>
      </c>
      <c r="K31" s="20">
        <f t="shared" si="1"/>
        <v>9.6000000000000002E-2</v>
      </c>
      <c r="L31" s="25">
        <v>0.71</v>
      </c>
      <c r="M31" s="26">
        <v>0.12</v>
      </c>
      <c r="N31" s="20">
        <f t="shared" si="3"/>
        <v>0.79520000000000002</v>
      </c>
      <c r="O31" s="27">
        <f t="shared" si="4"/>
        <v>0.89119999999999999</v>
      </c>
      <c r="P31" s="30" t="str">
        <f t="shared" si="5"/>
        <v>Priced</v>
      </c>
      <c r="Q31" s="9">
        <v>17</v>
      </c>
      <c r="R31" s="31" t="s">
        <v>2381</v>
      </c>
      <c r="S31" s="29" t="str">
        <f t="shared" si="6"/>
        <v>Deform Bar, DB32(fy=390 Mpa)|kg</v>
      </c>
      <c r="T31" s="24" t="s">
        <v>2367</v>
      </c>
    </row>
    <row r="32" spans="1:20" ht="15" customHeight="1" x14ac:dyDescent="0.25">
      <c r="A32" s="9" t="s">
        <v>2383</v>
      </c>
      <c r="B32" s="10" t="s">
        <v>13</v>
      </c>
      <c r="C32" s="9" t="s">
        <v>64</v>
      </c>
      <c r="D32" s="12" t="s">
        <v>15</v>
      </c>
      <c r="E32" s="12" t="s">
        <v>65</v>
      </c>
      <c r="F32" s="12" t="s">
        <v>72</v>
      </c>
      <c r="G32" s="12" t="s">
        <v>1499</v>
      </c>
      <c r="H32" s="9" t="s">
        <v>53</v>
      </c>
      <c r="I32" s="25">
        <v>0.12</v>
      </c>
      <c r="J32" s="26">
        <v>0.2</v>
      </c>
      <c r="K32" s="20">
        <f t="shared" si="1"/>
        <v>0.14399999999999999</v>
      </c>
      <c r="L32" s="25">
        <v>0.77</v>
      </c>
      <c r="M32" s="26">
        <v>0.12</v>
      </c>
      <c r="N32" s="20">
        <f t="shared" si="3"/>
        <v>0.86240000000000006</v>
      </c>
      <c r="O32" s="27">
        <f t="shared" si="4"/>
        <v>1.0064</v>
      </c>
      <c r="P32" s="30" t="str">
        <f t="shared" si="5"/>
        <v>Priced</v>
      </c>
      <c r="Q32" s="9">
        <v>17</v>
      </c>
      <c r="R32" s="31" t="s">
        <v>2384</v>
      </c>
      <c r="S32" s="29" t="str">
        <f t="shared" si="6"/>
        <v>Round Bar, RB8(fy=250 Mpa)|kg</v>
      </c>
      <c r="T32" s="24" t="s">
        <v>2367</v>
      </c>
    </row>
    <row r="33" spans="1:20" ht="15" customHeight="1" x14ac:dyDescent="0.25">
      <c r="A33" s="9" t="s">
        <v>2385</v>
      </c>
      <c r="B33" s="10" t="s">
        <v>13</v>
      </c>
      <c r="C33" s="9" t="s">
        <v>64</v>
      </c>
      <c r="D33" s="12" t="s">
        <v>15</v>
      </c>
      <c r="E33" s="12" t="s">
        <v>65</v>
      </c>
      <c r="F33" s="12" t="s">
        <v>72</v>
      </c>
      <c r="G33" s="12" t="s">
        <v>1501</v>
      </c>
      <c r="H33" s="9" t="s">
        <v>53</v>
      </c>
      <c r="I33" s="25">
        <v>0.13</v>
      </c>
      <c r="J33" s="26">
        <f>_STDLAB</f>
        <v>0.2</v>
      </c>
      <c r="K33" s="20">
        <f t="shared" si="1"/>
        <v>0.156</v>
      </c>
      <c r="L33" s="25">
        <v>0.78</v>
      </c>
      <c r="M33" s="26">
        <f>_STDMAT</f>
        <v>0.12</v>
      </c>
      <c r="N33" s="20">
        <f t="shared" si="3"/>
        <v>0.87360000000000015</v>
      </c>
      <c r="O33" s="27">
        <f t="shared" si="4"/>
        <v>1.0296000000000001</v>
      </c>
      <c r="P33" s="17" t="str">
        <f t="shared" si="5"/>
        <v>Benchmark</v>
      </c>
      <c r="Q33" s="9">
        <v>17</v>
      </c>
      <c r="R33" s="28" t="s">
        <v>2386</v>
      </c>
      <c r="S33" s="29" t="str">
        <f t="shared" si="6"/>
        <v>Round Bar, RB6(fy=250 Mpa)|kg</v>
      </c>
      <c r="T33" s="24" t="s">
        <v>2336</v>
      </c>
    </row>
    <row r="34" spans="1:20" ht="15" customHeight="1" x14ac:dyDescent="0.25">
      <c r="A34" s="9" t="s">
        <v>2387</v>
      </c>
      <c r="B34" s="10" t="s">
        <v>13</v>
      </c>
      <c r="C34" s="9" t="s">
        <v>64</v>
      </c>
      <c r="D34" s="12" t="s">
        <v>15</v>
      </c>
      <c r="E34" s="12" t="s">
        <v>65</v>
      </c>
      <c r="F34" s="12" t="s">
        <v>75</v>
      </c>
      <c r="G34" s="12" t="s">
        <v>76</v>
      </c>
      <c r="H34" s="9" t="s">
        <v>53</v>
      </c>
      <c r="I34" s="25">
        <v>0.05</v>
      </c>
      <c r="J34" s="26">
        <v>0.2</v>
      </c>
      <c r="K34" s="20">
        <f t="shared" si="1"/>
        <v>0.06</v>
      </c>
      <c r="L34" s="25">
        <v>1.2</v>
      </c>
      <c r="M34" s="26">
        <v>0.12</v>
      </c>
      <c r="N34" s="20">
        <f t="shared" si="3"/>
        <v>1.3440000000000001</v>
      </c>
      <c r="O34" s="27">
        <f t="shared" si="4"/>
        <v>1.4040000000000001</v>
      </c>
      <c r="P34" s="30" t="str">
        <f t="shared" si="5"/>
        <v>Priced</v>
      </c>
      <c r="Q34" s="9">
        <v>17</v>
      </c>
      <c r="R34" s="31" t="s">
        <v>2388</v>
      </c>
      <c r="S34" s="29" t="str">
        <f t="shared" si="6"/>
        <v>Steel Tie Wire 1mm (Estimated 4% of Total Rebar Weight)|kg</v>
      </c>
      <c r="T34" s="24" t="s">
        <v>2367</v>
      </c>
    </row>
    <row r="35" spans="1:20" ht="15" customHeight="1" x14ac:dyDescent="0.25">
      <c r="A35" s="9" t="s">
        <v>2389</v>
      </c>
      <c r="B35" s="10" t="s">
        <v>13</v>
      </c>
      <c r="C35" s="9" t="s">
        <v>64</v>
      </c>
      <c r="D35" s="12" t="s">
        <v>15</v>
      </c>
      <c r="E35" s="12" t="s">
        <v>65</v>
      </c>
      <c r="F35" s="12" t="s">
        <v>81</v>
      </c>
      <c r="G35" s="12" t="s">
        <v>82</v>
      </c>
      <c r="H35" s="9" t="s">
        <v>35</v>
      </c>
      <c r="I35" s="25">
        <v>2200</v>
      </c>
      <c r="J35" s="26">
        <f>_STDLAB</f>
        <v>0.2</v>
      </c>
      <c r="K35" s="20">
        <f t="shared" si="1"/>
        <v>2640</v>
      </c>
      <c r="L35" s="25">
        <v>4200</v>
      </c>
      <c r="M35" s="26">
        <f>_STDMAT</f>
        <v>0.12</v>
      </c>
      <c r="N35" s="20">
        <f t="shared" si="3"/>
        <v>4704</v>
      </c>
      <c r="O35" s="27">
        <f t="shared" si="4"/>
        <v>7344</v>
      </c>
      <c r="P35" s="17" t="str">
        <f t="shared" si="5"/>
        <v>Benchmark</v>
      </c>
      <c r="Q35" s="9">
        <v>1</v>
      </c>
      <c r="R35" s="28" t="s">
        <v>2390</v>
      </c>
      <c r="S35" s="29" t="str">
        <f t="shared" si="6"/>
        <v>Bentonite / polymer slurry incl. mixing, circulation and disposal|Lot</v>
      </c>
      <c r="T35" s="24" t="s">
        <v>2336</v>
      </c>
    </row>
    <row r="36" spans="1:20" ht="15" customHeight="1" x14ac:dyDescent="0.25">
      <c r="A36" s="9" t="s">
        <v>2391</v>
      </c>
      <c r="B36" s="10" t="s">
        <v>13</v>
      </c>
      <c r="C36" s="9" t="s">
        <v>64</v>
      </c>
      <c r="D36" s="12" t="s">
        <v>15</v>
      </c>
      <c r="E36" s="12" t="s">
        <v>65</v>
      </c>
      <c r="F36" s="12" t="s">
        <v>84</v>
      </c>
      <c r="G36" s="12" t="s">
        <v>85</v>
      </c>
      <c r="H36" s="9" t="s">
        <v>57</v>
      </c>
      <c r="I36" s="25">
        <v>55</v>
      </c>
      <c r="J36" s="26">
        <v>0.2</v>
      </c>
      <c r="K36" s="20">
        <f t="shared" si="1"/>
        <v>66</v>
      </c>
      <c r="L36" s="25">
        <v>0</v>
      </c>
      <c r="M36" s="26">
        <v>0</v>
      </c>
      <c r="N36" s="20">
        <f t="shared" si="3"/>
        <v>0</v>
      </c>
      <c r="O36" s="27">
        <f t="shared" si="4"/>
        <v>66</v>
      </c>
      <c r="P36" s="30" t="str">
        <f t="shared" si="5"/>
        <v>Priced</v>
      </c>
      <c r="Q36" s="9">
        <v>1</v>
      </c>
      <c r="R36" s="31" t="s">
        <v>2392</v>
      </c>
      <c r="S36" s="29" t="str">
        <f t="shared" si="6"/>
        <v>Pile Head Cutting up to required level D1000mm|Nos</v>
      </c>
      <c r="T36" s="24" t="s">
        <v>2367</v>
      </c>
    </row>
    <row r="37" spans="1:20" ht="15" customHeight="1" x14ac:dyDescent="0.25">
      <c r="A37" s="9" t="s">
        <v>2393</v>
      </c>
      <c r="B37" s="10" t="s">
        <v>13</v>
      </c>
      <c r="C37" s="9" t="s">
        <v>64</v>
      </c>
      <c r="D37" s="12" t="s">
        <v>15</v>
      </c>
      <c r="E37" s="12" t="s">
        <v>65</v>
      </c>
      <c r="F37" s="12" t="s">
        <v>84</v>
      </c>
      <c r="G37" s="12" t="s">
        <v>1507</v>
      </c>
      <c r="H37" s="9" t="s">
        <v>57</v>
      </c>
      <c r="I37" s="25">
        <v>40</v>
      </c>
      <c r="J37" s="26">
        <v>0.2</v>
      </c>
      <c r="K37" s="20">
        <f t="shared" si="1"/>
        <v>48</v>
      </c>
      <c r="L37" s="25">
        <v>0</v>
      </c>
      <c r="M37" s="26">
        <v>0</v>
      </c>
      <c r="N37" s="20">
        <f t="shared" si="3"/>
        <v>0</v>
      </c>
      <c r="O37" s="27">
        <f t="shared" si="4"/>
        <v>48</v>
      </c>
      <c r="P37" s="30" t="str">
        <f t="shared" si="5"/>
        <v>Priced</v>
      </c>
      <c r="Q37" s="9">
        <v>1</v>
      </c>
      <c r="R37" s="31" t="s">
        <v>2394</v>
      </c>
      <c r="S37" s="29" t="str">
        <f t="shared" si="6"/>
        <v>Pile Head Cutting up to required level D800mm|Nos</v>
      </c>
      <c r="T37" s="24" t="s">
        <v>2367</v>
      </c>
    </row>
    <row r="38" spans="1:20" ht="15" customHeight="1" x14ac:dyDescent="0.25">
      <c r="A38" s="9" t="s">
        <v>2395</v>
      </c>
      <c r="B38" s="10" t="s">
        <v>13</v>
      </c>
      <c r="C38" s="9" t="s">
        <v>64</v>
      </c>
      <c r="D38" s="12" t="s">
        <v>15</v>
      </c>
      <c r="E38" s="12" t="s">
        <v>65</v>
      </c>
      <c r="F38" s="12" t="s">
        <v>87</v>
      </c>
      <c r="G38" s="12" t="s">
        <v>88</v>
      </c>
      <c r="H38" s="9" t="s">
        <v>57</v>
      </c>
      <c r="I38" s="25">
        <v>0</v>
      </c>
      <c r="J38" s="26">
        <v>0</v>
      </c>
      <c r="K38" s="20">
        <f t="shared" si="1"/>
        <v>0</v>
      </c>
      <c r="L38" s="25">
        <v>50</v>
      </c>
      <c r="M38" s="26">
        <v>0.1</v>
      </c>
      <c r="N38" s="20">
        <f t="shared" si="3"/>
        <v>55.000000000000007</v>
      </c>
      <c r="O38" s="27">
        <f t="shared" si="4"/>
        <v>55.000000000000007</v>
      </c>
      <c r="P38" s="30" t="str">
        <f t="shared" si="5"/>
        <v>Priced</v>
      </c>
      <c r="Q38" s="9">
        <v>1</v>
      </c>
      <c r="R38" s="31" t="s">
        <v>2396</v>
      </c>
      <c r="S38" s="29" t="str">
        <f t="shared" si="6"/>
        <v>Sonic Logging Test (SLT)|Nos</v>
      </c>
      <c r="T38" s="24" t="s">
        <v>2367</v>
      </c>
    </row>
    <row r="39" spans="1:20" ht="15" customHeight="1" x14ac:dyDescent="0.25">
      <c r="A39" s="9" t="s">
        <v>2397</v>
      </c>
      <c r="B39" s="10" t="s">
        <v>13</v>
      </c>
      <c r="C39" s="9" t="s">
        <v>64</v>
      </c>
      <c r="D39" s="12" t="s">
        <v>15</v>
      </c>
      <c r="E39" s="12" t="s">
        <v>65</v>
      </c>
      <c r="F39" s="12" t="s">
        <v>87</v>
      </c>
      <c r="G39" s="12" t="s">
        <v>1510</v>
      </c>
      <c r="H39" s="9" t="s">
        <v>57</v>
      </c>
      <c r="I39" s="25">
        <v>0</v>
      </c>
      <c r="J39" s="26">
        <v>0</v>
      </c>
      <c r="K39" s="20">
        <f t="shared" si="1"/>
        <v>0</v>
      </c>
      <c r="L39" s="25">
        <v>45</v>
      </c>
      <c r="M39" s="26">
        <v>0.1</v>
      </c>
      <c r="N39" s="20">
        <f t="shared" si="3"/>
        <v>49.500000000000007</v>
      </c>
      <c r="O39" s="27">
        <f t="shared" si="4"/>
        <v>49.500000000000007</v>
      </c>
      <c r="P39" s="17" t="str">
        <f t="shared" si="5"/>
        <v>Benchmark</v>
      </c>
      <c r="Q39" s="9">
        <v>1</v>
      </c>
      <c r="R39" s="28" t="s">
        <v>2398</v>
      </c>
      <c r="S39" s="29" t="str">
        <f t="shared" si="6"/>
        <v>Pile Integrity Test (PIT)|Nos</v>
      </c>
      <c r="T39" s="24" t="s">
        <v>2336</v>
      </c>
    </row>
    <row r="40" spans="1:20" ht="15" customHeight="1" x14ac:dyDescent="0.25">
      <c r="A40" s="9" t="s">
        <v>2399</v>
      </c>
      <c r="B40" s="10" t="s">
        <v>13</v>
      </c>
      <c r="C40" s="9" t="s">
        <v>64</v>
      </c>
      <c r="D40" s="12" t="s">
        <v>15</v>
      </c>
      <c r="E40" s="12" t="s">
        <v>65</v>
      </c>
      <c r="F40" s="12" t="s">
        <v>90</v>
      </c>
      <c r="G40" s="12" t="s">
        <v>91</v>
      </c>
      <c r="H40" s="9" t="s">
        <v>57</v>
      </c>
      <c r="I40" s="25">
        <v>0</v>
      </c>
      <c r="J40" s="26">
        <v>0</v>
      </c>
      <c r="K40" s="20">
        <f t="shared" si="1"/>
        <v>0</v>
      </c>
      <c r="L40" s="25">
        <v>350</v>
      </c>
      <c r="M40" s="26">
        <v>0.1</v>
      </c>
      <c r="N40" s="20">
        <f t="shared" si="3"/>
        <v>385.00000000000006</v>
      </c>
      <c r="O40" s="27">
        <f t="shared" si="4"/>
        <v>385.00000000000006</v>
      </c>
      <c r="P40" s="30" t="str">
        <f t="shared" si="5"/>
        <v>Priced</v>
      </c>
      <c r="Q40" s="9">
        <v>1</v>
      </c>
      <c r="R40" s="31" t="s">
        <v>2400</v>
      </c>
      <c r="S40" s="29" t="str">
        <f t="shared" si="6"/>
        <v>Soil Coring for Bored Pile D1000mm, Depth 30m|Nos</v>
      </c>
      <c r="T40" s="24" t="s">
        <v>2367</v>
      </c>
    </row>
    <row r="41" spans="1:20" ht="15" customHeight="1" x14ac:dyDescent="0.25">
      <c r="A41" s="9" t="s">
        <v>2401</v>
      </c>
      <c r="B41" s="10" t="s">
        <v>13</v>
      </c>
      <c r="C41" s="9" t="s">
        <v>64</v>
      </c>
      <c r="D41" s="12" t="s">
        <v>15</v>
      </c>
      <c r="E41" s="12" t="s">
        <v>65</v>
      </c>
      <c r="F41" s="12" t="s">
        <v>90</v>
      </c>
      <c r="G41" s="12" t="s">
        <v>1513</v>
      </c>
      <c r="H41" s="9" t="s">
        <v>57</v>
      </c>
      <c r="I41" s="25">
        <v>0</v>
      </c>
      <c r="J41" s="26">
        <v>0</v>
      </c>
      <c r="K41" s="20">
        <f t="shared" si="1"/>
        <v>0</v>
      </c>
      <c r="L41" s="25">
        <v>300</v>
      </c>
      <c r="M41" s="26">
        <v>0.1</v>
      </c>
      <c r="N41" s="20">
        <f t="shared" si="3"/>
        <v>330</v>
      </c>
      <c r="O41" s="27">
        <f t="shared" si="4"/>
        <v>330</v>
      </c>
      <c r="P41" s="30" t="str">
        <f t="shared" si="5"/>
        <v>Priced</v>
      </c>
      <c r="Q41" s="9">
        <v>1</v>
      </c>
      <c r="R41" s="31" t="s">
        <v>2402</v>
      </c>
      <c r="S41" s="29" t="str">
        <f t="shared" si="6"/>
        <v>Soil Coring for Bored Pile D800mm, Depth 30m|Nos</v>
      </c>
      <c r="T41" s="24" t="s">
        <v>2367</v>
      </c>
    </row>
    <row r="42" spans="1:20" ht="15" customHeight="1" x14ac:dyDescent="0.25">
      <c r="A42" s="9" t="s">
        <v>2403</v>
      </c>
      <c r="B42" s="10" t="s">
        <v>13</v>
      </c>
      <c r="C42" s="9" t="s">
        <v>64</v>
      </c>
      <c r="D42" s="12" t="s">
        <v>15</v>
      </c>
      <c r="E42" s="12" t="s">
        <v>65</v>
      </c>
      <c r="F42" s="12" t="s">
        <v>93</v>
      </c>
      <c r="G42" s="12" t="s">
        <v>94</v>
      </c>
      <c r="H42" s="9" t="s">
        <v>57</v>
      </c>
      <c r="I42" s="25">
        <v>0</v>
      </c>
      <c r="J42" s="26">
        <v>0</v>
      </c>
      <c r="K42" s="20">
        <f t="shared" si="1"/>
        <v>0</v>
      </c>
      <c r="L42" s="25">
        <v>2400</v>
      </c>
      <c r="M42" s="26">
        <v>0.1</v>
      </c>
      <c r="N42" s="20">
        <f t="shared" si="3"/>
        <v>2640</v>
      </c>
      <c r="O42" s="27">
        <f t="shared" si="4"/>
        <v>2640</v>
      </c>
      <c r="P42" s="17" t="str">
        <f t="shared" si="5"/>
        <v>Benchmark</v>
      </c>
      <c r="Q42" s="9">
        <v>2</v>
      </c>
      <c r="R42" s="28" t="s">
        <v>2404</v>
      </c>
      <c r="S42" s="29" t="str">
        <f t="shared" si="6"/>
        <v>Dynamic pile load test (PDA)|Nos</v>
      </c>
      <c r="T42" s="24" t="s">
        <v>2336</v>
      </c>
    </row>
    <row r="43" spans="1:20" ht="15" customHeight="1" x14ac:dyDescent="0.25">
      <c r="A43" s="9" t="s">
        <v>2405</v>
      </c>
      <c r="B43" s="10" t="s">
        <v>13</v>
      </c>
      <c r="C43" s="9" t="s">
        <v>64</v>
      </c>
      <c r="D43" s="12" t="s">
        <v>15</v>
      </c>
      <c r="E43" s="12" t="s">
        <v>65</v>
      </c>
      <c r="F43" s="12" t="s">
        <v>93</v>
      </c>
      <c r="G43" s="12" t="s">
        <v>1516</v>
      </c>
      <c r="H43" s="9" t="s">
        <v>57</v>
      </c>
      <c r="I43" s="25">
        <v>0</v>
      </c>
      <c r="J43" s="26">
        <v>0</v>
      </c>
      <c r="K43" s="20">
        <f t="shared" si="1"/>
        <v>0</v>
      </c>
      <c r="L43" s="25">
        <v>9500</v>
      </c>
      <c r="M43" s="26">
        <v>0.1</v>
      </c>
      <c r="N43" s="20">
        <f t="shared" si="3"/>
        <v>10450</v>
      </c>
      <c r="O43" s="27">
        <f t="shared" si="4"/>
        <v>10450</v>
      </c>
      <c r="P43" s="17" t="str">
        <f t="shared" si="5"/>
        <v>Benchmark</v>
      </c>
      <c r="Q43" s="9">
        <v>2</v>
      </c>
      <c r="R43" s="28" t="s">
        <v>2406</v>
      </c>
      <c r="S43" s="29" t="str">
        <f t="shared" si="6"/>
        <v>Static pile load test to 200% design working load|Nos</v>
      </c>
      <c r="T43" s="24" t="s">
        <v>2336</v>
      </c>
    </row>
    <row r="44" spans="1:20" ht="15" customHeight="1" x14ac:dyDescent="0.25">
      <c r="A44" s="9" t="s">
        <v>2407</v>
      </c>
      <c r="B44" s="10" t="s">
        <v>13</v>
      </c>
      <c r="C44" s="9" t="s">
        <v>64</v>
      </c>
      <c r="D44" s="12" t="s">
        <v>15</v>
      </c>
      <c r="E44" s="12" t="s">
        <v>65</v>
      </c>
      <c r="F44" s="12" t="s">
        <v>99</v>
      </c>
      <c r="G44" s="12" t="s">
        <v>100</v>
      </c>
      <c r="H44" s="9" t="s">
        <v>57</v>
      </c>
      <c r="I44" s="25">
        <v>0</v>
      </c>
      <c r="J44" s="26">
        <v>0</v>
      </c>
      <c r="K44" s="20">
        <f t="shared" si="1"/>
        <v>0</v>
      </c>
      <c r="L44" s="25">
        <v>35</v>
      </c>
      <c r="M44" s="26">
        <v>0.1</v>
      </c>
      <c r="N44" s="20">
        <f t="shared" si="3"/>
        <v>38.5</v>
      </c>
      <c r="O44" s="27">
        <f t="shared" si="4"/>
        <v>38.5</v>
      </c>
      <c r="P44" s="17" t="str">
        <f t="shared" si="5"/>
        <v>Benchmark</v>
      </c>
      <c r="Q44" s="9">
        <v>2</v>
      </c>
      <c r="R44" s="28" t="s">
        <v>2408</v>
      </c>
      <c r="S44" s="29" t="str">
        <f t="shared" si="6"/>
        <v>Concrete cube / cylinder test as per specification|Nos</v>
      </c>
      <c r="T44" s="24" t="s">
        <v>2336</v>
      </c>
    </row>
    <row r="45" spans="1:20" ht="15" customHeight="1" x14ac:dyDescent="0.25">
      <c r="A45" s="9" t="s">
        <v>2409</v>
      </c>
      <c r="B45" s="10" t="s">
        <v>13</v>
      </c>
      <c r="C45" s="9" t="s">
        <v>64</v>
      </c>
      <c r="D45" s="12" t="s">
        <v>15</v>
      </c>
      <c r="E45" s="12" t="s">
        <v>102</v>
      </c>
      <c r="F45" s="12" t="s">
        <v>103</v>
      </c>
      <c r="G45" s="12" t="s">
        <v>104</v>
      </c>
      <c r="H45" s="9" t="s">
        <v>61</v>
      </c>
      <c r="I45" s="25">
        <v>0</v>
      </c>
      <c r="J45" s="26">
        <f>_STDLAB</f>
        <v>0.2</v>
      </c>
      <c r="K45" s="20">
        <f t="shared" si="1"/>
        <v>0</v>
      </c>
      <c r="L45" s="25">
        <v>22</v>
      </c>
      <c r="M45" s="26">
        <f>_STDMAT</f>
        <v>0.12</v>
      </c>
      <c r="N45" s="20">
        <f t="shared" si="3"/>
        <v>24.64</v>
      </c>
      <c r="O45" s="27">
        <f t="shared" si="4"/>
        <v>24.64</v>
      </c>
      <c r="P45" s="17" t="str">
        <f t="shared" si="5"/>
        <v>Benchmark</v>
      </c>
      <c r="Q45" s="9">
        <v>1</v>
      </c>
      <c r="R45" s="28" t="s">
        <v>2410</v>
      </c>
      <c r="S45" s="29" t="str">
        <f t="shared" si="6"/>
        <v>Supply of precast / spun pile as per design section|m</v>
      </c>
      <c r="T45" s="24" t="s">
        <v>2336</v>
      </c>
    </row>
    <row r="46" spans="1:20" ht="15" customHeight="1" x14ac:dyDescent="0.25">
      <c r="A46" s="9" t="s">
        <v>2411</v>
      </c>
      <c r="B46" s="10" t="s">
        <v>13</v>
      </c>
      <c r="C46" s="9" t="s">
        <v>64</v>
      </c>
      <c r="D46" s="12" t="s">
        <v>15</v>
      </c>
      <c r="E46" s="12" t="s">
        <v>102</v>
      </c>
      <c r="F46" s="12" t="s">
        <v>106</v>
      </c>
      <c r="G46" s="12" t="s">
        <v>107</v>
      </c>
      <c r="H46" s="9" t="s">
        <v>61</v>
      </c>
      <c r="I46" s="25">
        <v>9</v>
      </c>
      <c r="J46" s="26">
        <f>_STDLAB</f>
        <v>0.2</v>
      </c>
      <c r="K46" s="20">
        <f t="shared" si="1"/>
        <v>10.799999999999999</v>
      </c>
      <c r="L46" s="25">
        <v>4</v>
      </c>
      <c r="M46" s="26">
        <f>_STDMAT</f>
        <v>0.12</v>
      </c>
      <c r="N46" s="20">
        <f t="shared" si="3"/>
        <v>4.4800000000000004</v>
      </c>
      <c r="O46" s="27">
        <f t="shared" si="4"/>
        <v>15.28</v>
      </c>
      <c r="P46" s="17" t="str">
        <f t="shared" si="5"/>
        <v>Benchmark</v>
      </c>
      <c r="Q46" s="9">
        <v>1</v>
      </c>
      <c r="R46" s="28" t="s">
        <v>2412</v>
      </c>
      <c r="S46" s="29" t="str">
        <f t="shared" si="6"/>
        <v>Driving of precast / spun pile to required set incl. plant|m</v>
      </c>
      <c r="T46" s="24" t="s">
        <v>2336</v>
      </c>
    </row>
    <row r="47" spans="1:20" ht="15" customHeight="1" x14ac:dyDescent="0.25">
      <c r="A47" s="9" t="s">
        <v>2413</v>
      </c>
      <c r="B47" s="10" t="s">
        <v>13</v>
      </c>
      <c r="C47" s="9" t="s">
        <v>64</v>
      </c>
      <c r="D47" s="12" t="s">
        <v>15</v>
      </c>
      <c r="E47" s="12" t="s">
        <v>102</v>
      </c>
      <c r="F47" s="12" t="s">
        <v>109</v>
      </c>
      <c r="G47" s="12" t="s">
        <v>110</v>
      </c>
      <c r="H47" s="9" t="s">
        <v>57</v>
      </c>
      <c r="I47" s="25">
        <v>35</v>
      </c>
      <c r="J47" s="26">
        <f>_STDLAB</f>
        <v>0.2</v>
      </c>
      <c r="K47" s="20">
        <f t="shared" si="1"/>
        <v>42</v>
      </c>
      <c r="L47" s="25">
        <v>45</v>
      </c>
      <c r="M47" s="26">
        <f>_STDMAT</f>
        <v>0.12</v>
      </c>
      <c r="N47" s="20">
        <f t="shared" si="3"/>
        <v>50.400000000000006</v>
      </c>
      <c r="O47" s="27">
        <f t="shared" si="4"/>
        <v>92.4</v>
      </c>
      <c r="P47" s="17" t="str">
        <f t="shared" si="5"/>
        <v>Benchmark</v>
      </c>
      <c r="Q47" s="9">
        <v>1</v>
      </c>
      <c r="R47" s="28" t="s">
        <v>2414</v>
      </c>
      <c r="S47" s="29" t="str">
        <f t="shared" si="6"/>
        <v>Pile splicing by full penetration weld incl. splice plate|Nos</v>
      </c>
      <c r="T47" s="24" t="s">
        <v>2336</v>
      </c>
    </row>
    <row r="48" spans="1:20" ht="15" customHeight="1" x14ac:dyDescent="0.25">
      <c r="A48" s="9" t="s">
        <v>2415</v>
      </c>
      <c r="B48" s="10" t="s">
        <v>13</v>
      </c>
      <c r="C48" s="9" t="s">
        <v>64</v>
      </c>
      <c r="D48" s="12" t="s">
        <v>15</v>
      </c>
      <c r="E48" s="12" t="s">
        <v>102</v>
      </c>
      <c r="F48" s="12" t="s">
        <v>112</v>
      </c>
      <c r="G48" s="12" t="s">
        <v>113</v>
      </c>
      <c r="H48" s="9" t="s">
        <v>57</v>
      </c>
      <c r="I48" s="25">
        <v>38</v>
      </c>
      <c r="J48" s="26">
        <f>_STDLAB</f>
        <v>0.2</v>
      </c>
      <c r="K48" s="20">
        <f t="shared" si="1"/>
        <v>45.6</v>
      </c>
      <c r="L48" s="25">
        <v>0</v>
      </c>
      <c r="M48" s="26">
        <f>_STDMAT</f>
        <v>0.12</v>
      </c>
      <c r="N48" s="20">
        <f t="shared" si="3"/>
        <v>0</v>
      </c>
      <c r="O48" s="27">
        <f t="shared" si="4"/>
        <v>45.6</v>
      </c>
      <c r="P48" s="17" t="str">
        <f t="shared" si="5"/>
        <v>Benchmark</v>
      </c>
      <c r="Q48" s="9">
        <v>1</v>
      </c>
      <c r="R48" s="28" t="s">
        <v>2416</v>
      </c>
      <c r="S48" s="29" t="str">
        <f t="shared" si="6"/>
        <v>Pile head cutting and trimming to required cut-off level|Nos</v>
      </c>
      <c r="T48" s="24" t="s">
        <v>2336</v>
      </c>
    </row>
    <row r="49" spans="1:20" ht="15" customHeight="1" x14ac:dyDescent="0.25">
      <c r="A49" s="9" t="s">
        <v>2417</v>
      </c>
      <c r="B49" s="10" t="s">
        <v>13</v>
      </c>
      <c r="C49" s="9" t="s">
        <v>116</v>
      </c>
      <c r="D49" s="12" t="s">
        <v>15</v>
      </c>
      <c r="E49" s="12" t="s">
        <v>117</v>
      </c>
      <c r="F49" s="12" t="s">
        <v>118</v>
      </c>
      <c r="G49" s="12" t="s">
        <v>119</v>
      </c>
      <c r="H49" s="9" t="s">
        <v>22</v>
      </c>
      <c r="I49" s="25">
        <v>4</v>
      </c>
      <c r="J49" s="26">
        <v>0.2</v>
      </c>
      <c r="K49" s="20">
        <f t="shared" si="1"/>
        <v>4.8</v>
      </c>
      <c r="L49" s="25">
        <v>0</v>
      </c>
      <c r="M49" s="26">
        <v>0</v>
      </c>
      <c r="N49" s="20">
        <f t="shared" si="3"/>
        <v>0</v>
      </c>
      <c r="O49" s="27">
        <f t="shared" si="4"/>
        <v>4.8</v>
      </c>
      <c r="P49" s="30" t="str">
        <f t="shared" si="5"/>
        <v>Priced</v>
      </c>
      <c r="Q49" s="9">
        <v>7</v>
      </c>
      <c r="R49" s="31" t="s">
        <v>2418</v>
      </c>
      <c r="S49" s="29" t="str">
        <f t="shared" si="6"/>
        <v>Soil Backfill|m3</v>
      </c>
      <c r="T49" s="24" t="s">
        <v>2367</v>
      </c>
    </row>
    <row r="50" spans="1:20" ht="15" customHeight="1" x14ac:dyDescent="0.25">
      <c r="A50" s="9" t="s">
        <v>2419</v>
      </c>
      <c r="B50" s="10" t="s">
        <v>13</v>
      </c>
      <c r="C50" s="9" t="s">
        <v>116</v>
      </c>
      <c r="D50" s="12" t="s">
        <v>15</v>
      </c>
      <c r="E50" s="12" t="s">
        <v>117</v>
      </c>
      <c r="F50" s="12" t="s">
        <v>118</v>
      </c>
      <c r="G50" s="12" t="s">
        <v>28</v>
      </c>
      <c r="H50" s="9" t="s">
        <v>22</v>
      </c>
      <c r="I50" s="25">
        <v>4</v>
      </c>
      <c r="J50" s="26">
        <v>0.2</v>
      </c>
      <c r="K50" s="20">
        <f t="shared" si="1"/>
        <v>4.8</v>
      </c>
      <c r="L50" s="25">
        <v>0</v>
      </c>
      <c r="M50" s="26">
        <v>0</v>
      </c>
      <c r="N50" s="20">
        <f t="shared" si="3"/>
        <v>0</v>
      </c>
      <c r="O50" s="27">
        <f t="shared" si="4"/>
        <v>4.8</v>
      </c>
      <c r="P50" s="30" t="str">
        <f t="shared" si="5"/>
        <v>Priced</v>
      </c>
      <c r="Q50" s="9">
        <v>7</v>
      </c>
      <c r="R50" s="31" t="s">
        <v>2420</v>
      </c>
      <c r="S50" s="29" t="str">
        <f t="shared" si="6"/>
        <v>Soil Disposal|m3</v>
      </c>
      <c r="T50" s="24" t="s">
        <v>2367</v>
      </c>
    </row>
    <row r="51" spans="1:20" ht="15" customHeight="1" x14ac:dyDescent="0.25">
      <c r="A51" s="9" t="s">
        <v>2421</v>
      </c>
      <c r="B51" s="10" t="s">
        <v>13</v>
      </c>
      <c r="C51" s="9" t="s">
        <v>116</v>
      </c>
      <c r="D51" s="12" t="s">
        <v>15</v>
      </c>
      <c r="E51" s="12" t="s">
        <v>117</v>
      </c>
      <c r="F51" s="12" t="s">
        <v>118</v>
      </c>
      <c r="G51" s="12" t="s">
        <v>1528</v>
      </c>
      <c r="H51" s="9" t="s">
        <v>22</v>
      </c>
      <c r="I51" s="25">
        <v>3</v>
      </c>
      <c r="J51" s="26">
        <v>0.2</v>
      </c>
      <c r="K51" s="20">
        <f t="shared" si="1"/>
        <v>3.5999999999999996</v>
      </c>
      <c r="L51" s="25">
        <v>0</v>
      </c>
      <c r="M51" s="26">
        <v>0</v>
      </c>
      <c r="N51" s="20">
        <f t="shared" si="3"/>
        <v>0</v>
      </c>
      <c r="O51" s="27">
        <f t="shared" si="4"/>
        <v>3.5999999999999996</v>
      </c>
      <c r="P51" s="30" t="str">
        <f t="shared" si="5"/>
        <v>Priced</v>
      </c>
      <c r="Q51" s="9">
        <v>7</v>
      </c>
      <c r="R51" s="31" t="s">
        <v>2422</v>
      </c>
      <c r="S51" s="29" t="str">
        <f t="shared" si="6"/>
        <v>Soil Excavation|m3</v>
      </c>
      <c r="T51" s="24" t="s">
        <v>2367</v>
      </c>
    </row>
    <row r="52" spans="1:20" ht="15" customHeight="1" x14ac:dyDescent="0.25">
      <c r="A52" s="9" t="s">
        <v>2423</v>
      </c>
      <c r="B52" s="10" t="s">
        <v>13</v>
      </c>
      <c r="C52" s="9" t="s">
        <v>116</v>
      </c>
      <c r="D52" s="12" t="s">
        <v>15</v>
      </c>
      <c r="E52" s="12" t="s">
        <v>117</v>
      </c>
      <c r="F52" s="12" t="s">
        <v>121</v>
      </c>
      <c r="G52" s="12" t="s">
        <v>122</v>
      </c>
      <c r="H52" s="9" t="s">
        <v>18</v>
      </c>
      <c r="I52" s="25">
        <v>2</v>
      </c>
      <c r="J52" s="26">
        <v>0.2</v>
      </c>
      <c r="K52" s="20">
        <f t="shared" si="1"/>
        <v>2.4</v>
      </c>
      <c r="L52" s="25">
        <v>0</v>
      </c>
      <c r="M52" s="26">
        <v>0</v>
      </c>
      <c r="N52" s="20">
        <f t="shared" si="3"/>
        <v>0</v>
      </c>
      <c r="O52" s="27">
        <f t="shared" si="4"/>
        <v>2.4</v>
      </c>
      <c r="P52" s="30" t="str">
        <f t="shared" si="5"/>
        <v>Priced</v>
      </c>
      <c r="Q52" s="9">
        <v>5</v>
      </c>
      <c r="R52" s="31" t="s">
        <v>2424</v>
      </c>
      <c r="S52" s="29" t="str">
        <f t="shared" si="6"/>
        <v>Well Soil Compact|m2</v>
      </c>
      <c r="T52" s="24" t="s">
        <v>2367</v>
      </c>
    </row>
    <row r="53" spans="1:20" ht="15" customHeight="1" x14ac:dyDescent="0.25">
      <c r="A53" s="9" t="s">
        <v>2425</v>
      </c>
      <c r="B53" s="10" t="s">
        <v>13</v>
      </c>
      <c r="C53" s="9" t="s">
        <v>116</v>
      </c>
      <c r="D53" s="12" t="s">
        <v>15</v>
      </c>
      <c r="E53" s="12" t="s">
        <v>117</v>
      </c>
      <c r="F53" s="12" t="s">
        <v>124</v>
      </c>
      <c r="G53" s="12" t="s">
        <v>125</v>
      </c>
      <c r="H53" s="9" t="s">
        <v>22</v>
      </c>
      <c r="I53" s="25">
        <v>3</v>
      </c>
      <c r="J53" s="26">
        <v>0.2</v>
      </c>
      <c r="K53" s="20">
        <f t="shared" si="1"/>
        <v>3.5999999999999996</v>
      </c>
      <c r="L53" s="25">
        <v>18</v>
      </c>
      <c r="M53" s="26">
        <v>0.12</v>
      </c>
      <c r="N53" s="20">
        <f t="shared" si="3"/>
        <v>20.160000000000004</v>
      </c>
      <c r="O53" s="27">
        <f t="shared" si="4"/>
        <v>23.760000000000005</v>
      </c>
      <c r="P53" s="30" t="str">
        <f t="shared" si="5"/>
        <v>Priced</v>
      </c>
      <c r="Q53" s="9">
        <v>5</v>
      </c>
      <c r="R53" s="31" t="s">
        <v>2426</v>
      </c>
      <c r="S53" s="29" t="str">
        <f t="shared" si="6"/>
        <v>Crush Stone 40x60mm 100mm Thk.|m3</v>
      </c>
      <c r="T53" s="24" t="s">
        <v>2367</v>
      </c>
    </row>
    <row r="54" spans="1:20" ht="15" customHeight="1" x14ac:dyDescent="0.25">
      <c r="A54" s="9" t="s">
        <v>2427</v>
      </c>
      <c r="B54" s="10" t="s">
        <v>13</v>
      </c>
      <c r="C54" s="9" t="s">
        <v>116</v>
      </c>
      <c r="D54" s="12" t="s">
        <v>15</v>
      </c>
      <c r="E54" s="12" t="s">
        <v>117</v>
      </c>
      <c r="F54" s="12" t="s">
        <v>124</v>
      </c>
      <c r="G54" s="12" t="s">
        <v>1532</v>
      </c>
      <c r="H54" s="9" t="s">
        <v>22</v>
      </c>
      <c r="I54" s="25">
        <v>3</v>
      </c>
      <c r="J54" s="26">
        <v>0.2</v>
      </c>
      <c r="K54" s="20">
        <f t="shared" si="1"/>
        <v>3.5999999999999996</v>
      </c>
      <c r="L54" s="25">
        <v>18</v>
      </c>
      <c r="M54" s="26">
        <v>0.12</v>
      </c>
      <c r="N54" s="20">
        <f t="shared" si="3"/>
        <v>20.160000000000004</v>
      </c>
      <c r="O54" s="27">
        <f t="shared" si="4"/>
        <v>23.760000000000005</v>
      </c>
      <c r="P54" s="30" t="str">
        <f t="shared" si="5"/>
        <v>Priced</v>
      </c>
      <c r="Q54" s="9">
        <v>5</v>
      </c>
      <c r="R54" s="31" t="s">
        <v>2428</v>
      </c>
      <c r="S54" s="29" t="str">
        <f t="shared" si="6"/>
        <v>Crush Stone 40x60mm 150mm Thk.|m3</v>
      </c>
      <c r="T54" s="24" t="s">
        <v>2367</v>
      </c>
    </row>
    <row r="55" spans="1:20" ht="15" customHeight="1" x14ac:dyDescent="0.25">
      <c r="A55" s="9" t="s">
        <v>2429</v>
      </c>
      <c r="B55" s="10" t="s">
        <v>13</v>
      </c>
      <c r="C55" s="9" t="s">
        <v>116</v>
      </c>
      <c r="D55" s="12" t="s">
        <v>15</v>
      </c>
      <c r="E55" s="12" t="s">
        <v>117</v>
      </c>
      <c r="F55" s="12" t="s">
        <v>127</v>
      </c>
      <c r="G55" s="12" t="s">
        <v>128</v>
      </c>
      <c r="H55" s="9" t="s">
        <v>22</v>
      </c>
      <c r="I55" s="25">
        <v>7</v>
      </c>
      <c r="J55" s="26">
        <v>0.2</v>
      </c>
      <c r="K55" s="20">
        <f t="shared" si="1"/>
        <v>8.4</v>
      </c>
      <c r="L55" s="25">
        <v>75</v>
      </c>
      <c r="M55" s="26">
        <v>0.12</v>
      </c>
      <c r="N55" s="20">
        <f t="shared" si="3"/>
        <v>84.000000000000014</v>
      </c>
      <c r="O55" s="27">
        <f t="shared" si="4"/>
        <v>92.40000000000002</v>
      </c>
      <c r="P55" s="30" t="str">
        <f t="shared" si="5"/>
        <v>Priced</v>
      </c>
      <c r="Q55" s="9">
        <v>7</v>
      </c>
      <c r="R55" s="31" t="s">
        <v>2430</v>
      </c>
      <c r="S55" s="29" t="str">
        <f t="shared" si="6"/>
        <v>Lean Concrete, 15Mpa (Cylinder)|m3</v>
      </c>
      <c r="T55" s="24" t="s">
        <v>2367</v>
      </c>
    </row>
    <row r="56" spans="1:20" ht="15" customHeight="1" x14ac:dyDescent="0.25">
      <c r="A56" s="9" t="s">
        <v>2431</v>
      </c>
      <c r="B56" s="10" t="s">
        <v>13</v>
      </c>
      <c r="C56" s="9" t="s">
        <v>116</v>
      </c>
      <c r="D56" s="12" t="s">
        <v>15</v>
      </c>
      <c r="E56" s="12" t="s">
        <v>117</v>
      </c>
      <c r="F56" s="12" t="s">
        <v>131</v>
      </c>
      <c r="G56" s="12" t="s">
        <v>131</v>
      </c>
      <c r="H56" s="9" t="s">
        <v>18</v>
      </c>
      <c r="I56" s="25">
        <v>6</v>
      </c>
      <c r="J56" s="26">
        <v>0.2</v>
      </c>
      <c r="K56" s="20">
        <f t="shared" si="1"/>
        <v>7.1999999999999993</v>
      </c>
      <c r="L56" s="25">
        <v>5</v>
      </c>
      <c r="M56" s="26">
        <v>0.12</v>
      </c>
      <c r="N56" s="20">
        <f t="shared" si="3"/>
        <v>5.6000000000000005</v>
      </c>
      <c r="O56" s="27">
        <f t="shared" si="4"/>
        <v>12.8</v>
      </c>
      <c r="P56" s="30" t="str">
        <f t="shared" si="5"/>
        <v>Priced</v>
      </c>
      <c r="Q56" s="9">
        <v>1</v>
      </c>
      <c r="R56" s="31" t="s">
        <v>2432</v>
      </c>
      <c r="S56" s="29" t="str">
        <f t="shared" si="6"/>
        <v>Formwork|m2</v>
      </c>
      <c r="T56" s="24" t="s">
        <v>2367</v>
      </c>
    </row>
    <row r="57" spans="1:20" ht="15" customHeight="1" x14ac:dyDescent="0.25">
      <c r="A57" s="9" t="s">
        <v>2433</v>
      </c>
      <c r="B57" s="10" t="s">
        <v>13</v>
      </c>
      <c r="C57" s="9" t="s">
        <v>116</v>
      </c>
      <c r="D57" s="12" t="s">
        <v>15</v>
      </c>
      <c r="E57" s="12" t="s">
        <v>117</v>
      </c>
      <c r="F57" s="12" t="s">
        <v>131</v>
      </c>
      <c r="G57" s="12" t="s">
        <v>150</v>
      </c>
      <c r="H57" s="9" t="s">
        <v>18</v>
      </c>
      <c r="I57" s="25">
        <v>9</v>
      </c>
      <c r="J57" s="26">
        <f>_STDLAB</f>
        <v>0.2</v>
      </c>
      <c r="K57" s="20">
        <f t="shared" si="1"/>
        <v>10.799999999999999</v>
      </c>
      <c r="L57" s="25">
        <v>7</v>
      </c>
      <c r="M57" s="26">
        <f>_STDMAT</f>
        <v>0.12</v>
      </c>
      <c r="N57" s="20">
        <f t="shared" si="3"/>
        <v>7.8400000000000007</v>
      </c>
      <c r="O57" s="27">
        <f t="shared" si="4"/>
        <v>18.64</v>
      </c>
      <c r="P57" s="17" t="str">
        <f t="shared" si="5"/>
        <v>Benchmark</v>
      </c>
      <c r="Q57" s="9">
        <v>16</v>
      </c>
      <c r="R57" s="28" t="s">
        <v>2434</v>
      </c>
      <c r="S57" s="29" t="str">
        <f t="shared" si="6"/>
        <v>Formwork to curved / special shape incl. erection and striking|m2</v>
      </c>
      <c r="T57" s="24" t="s">
        <v>2336</v>
      </c>
    </row>
    <row r="58" spans="1:20" ht="15" customHeight="1" x14ac:dyDescent="0.25">
      <c r="A58" s="9" t="s">
        <v>2435</v>
      </c>
      <c r="B58" s="10" t="s">
        <v>13</v>
      </c>
      <c r="C58" s="9" t="s">
        <v>116</v>
      </c>
      <c r="D58" s="12" t="s">
        <v>15</v>
      </c>
      <c r="E58" s="12" t="s">
        <v>117</v>
      </c>
      <c r="F58" s="12" t="s">
        <v>131</v>
      </c>
      <c r="G58" s="12" t="s">
        <v>1541</v>
      </c>
      <c r="H58" s="9" t="s">
        <v>18</v>
      </c>
      <c r="I58" s="25">
        <v>6</v>
      </c>
      <c r="J58" s="26">
        <f>_STDLAB</f>
        <v>0.2</v>
      </c>
      <c r="K58" s="20">
        <f t="shared" si="1"/>
        <v>7.1999999999999993</v>
      </c>
      <c r="L58" s="25">
        <v>5</v>
      </c>
      <c r="M58" s="26">
        <f>_STDMAT</f>
        <v>0.12</v>
      </c>
      <c r="N58" s="20">
        <f t="shared" si="3"/>
        <v>5.6000000000000005</v>
      </c>
      <c r="O58" s="27">
        <f t="shared" si="4"/>
        <v>12.8</v>
      </c>
      <c r="P58" s="17" t="str">
        <f t="shared" si="5"/>
        <v>Benchmark</v>
      </c>
      <c r="Q58" s="9">
        <v>16</v>
      </c>
      <c r="R58" s="28" t="s">
        <v>2436</v>
      </c>
      <c r="S58" s="29" t="str">
        <f t="shared" si="6"/>
        <v>Formwork, plywood 18mm thk. incl. erection, bracing, oiling and striking|m2</v>
      </c>
      <c r="T58" s="24" t="s">
        <v>2336</v>
      </c>
    </row>
    <row r="59" spans="1:20" ht="15" customHeight="1" x14ac:dyDescent="0.25">
      <c r="A59" s="9" t="s">
        <v>2437</v>
      </c>
      <c r="B59" s="10" t="s">
        <v>13</v>
      </c>
      <c r="C59" s="9" t="s">
        <v>116</v>
      </c>
      <c r="D59" s="12" t="s">
        <v>15</v>
      </c>
      <c r="E59" s="12" t="s">
        <v>117</v>
      </c>
      <c r="F59" s="12" t="s">
        <v>135</v>
      </c>
      <c r="G59" s="12" t="s">
        <v>136</v>
      </c>
      <c r="H59" s="9" t="s">
        <v>61</v>
      </c>
      <c r="I59" s="25">
        <v>1.5</v>
      </c>
      <c r="J59" s="26">
        <v>0.2</v>
      </c>
      <c r="K59" s="20">
        <f t="shared" si="1"/>
        <v>1.7999999999999998</v>
      </c>
      <c r="L59" s="25">
        <v>4</v>
      </c>
      <c r="M59" s="26">
        <v>0.12</v>
      </c>
      <c r="N59" s="20">
        <f t="shared" si="3"/>
        <v>4.4800000000000004</v>
      </c>
      <c r="O59" s="27">
        <f t="shared" si="4"/>
        <v>6.28</v>
      </c>
      <c r="P59" s="30" t="str">
        <f t="shared" si="5"/>
        <v>Priced</v>
      </c>
      <c r="Q59" s="9">
        <v>8</v>
      </c>
      <c r="R59" s="31" t="s">
        <v>2438</v>
      </c>
      <c r="S59" s="29" t="str">
        <f t="shared" si="6"/>
        <v>PVC Waterbar® V VN 20 (Width 200mm)|m</v>
      </c>
      <c r="T59" s="24" t="s">
        <v>2367</v>
      </c>
    </row>
    <row r="60" spans="1:20" ht="15" customHeight="1" x14ac:dyDescent="0.25">
      <c r="A60" s="9" t="s">
        <v>2439</v>
      </c>
      <c r="B60" s="10" t="s">
        <v>13</v>
      </c>
      <c r="C60" s="9" t="s">
        <v>116</v>
      </c>
      <c r="D60" s="12" t="s">
        <v>15</v>
      </c>
      <c r="E60" s="12" t="s">
        <v>117</v>
      </c>
      <c r="F60" s="12" t="s">
        <v>138</v>
      </c>
      <c r="G60" s="12" t="s">
        <v>139</v>
      </c>
      <c r="H60" s="9" t="s">
        <v>18</v>
      </c>
      <c r="I60" s="25">
        <v>2</v>
      </c>
      <c r="J60" s="26">
        <v>0.2</v>
      </c>
      <c r="K60" s="20">
        <f t="shared" si="1"/>
        <v>2.4</v>
      </c>
      <c r="L60" s="25">
        <v>6.5</v>
      </c>
      <c r="M60" s="26">
        <v>0.12</v>
      </c>
      <c r="N60" s="20">
        <f t="shared" si="3"/>
        <v>7.2800000000000011</v>
      </c>
      <c r="O60" s="27">
        <f t="shared" si="4"/>
        <v>9.6800000000000015</v>
      </c>
      <c r="P60" s="30" t="str">
        <f t="shared" si="5"/>
        <v>Priced</v>
      </c>
      <c r="Q60" s="9">
        <v>10</v>
      </c>
      <c r="R60" s="31" t="s">
        <v>2440</v>
      </c>
      <c r="S60" s="29" t="str">
        <f t="shared" si="6"/>
        <v>Membrance sheet 2mm thk|m2</v>
      </c>
      <c r="T60" s="24" t="s">
        <v>2367</v>
      </c>
    </row>
    <row r="61" spans="1:20" ht="18.75" customHeight="1" x14ac:dyDescent="0.25">
      <c r="A61" s="9" t="s">
        <v>2441</v>
      </c>
      <c r="B61" s="10" t="s">
        <v>13</v>
      </c>
      <c r="C61" s="9" t="s">
        <v>116</v>
      </c>
      <c r="D61" s="12" t="s">
        <v>15</v>
      </c>
      <c r="E61" s="12" t="s">
        <v>117</v>
      </c>
      <c r="F61" s="12" t="s">
        <v>138</v>
      </c>
      <c r="G61" s="12" t="s">
        <v>1555</v>
      </c>
      <c r="H61" s="9" t="s">
        <v>18</v>
      </c>
      <c r="I61" s="25">
        <v>2</v>
      </c>
      <c r="J61" s="26">
        <v>0.2</v>
      </c>
      <c r="K61" s="20">
        <f t="shared" si="1"/>
        <v>2.4</v>
      </c>
      <c r="L61" s="25">
        <v>6</v>
      </c>
      <c r="M61" s="26">
        <v>0.12</v>
      </c>
      <c r="N61" s="20">
        <f t="shared" si="3"/>
        <v>6.7200000000000006</v>
      </c>
      <c r="O61" s="27">
        <f t="shared" si="4"/>
        <v>9.120000000000001</v>
      </c>
      <c r="P61" s="30" t="str">
        <f t="shared" si="5"/>
        <v>Priced</v>
      </c>
      <c r="Q61" s="9">
        <v>10</v>
      </c>
      <c r="R61" s="31" t="s">
        <v>2442</v>
      </c>
      <c r="S61" s="29" t="str">
        <f t="shared" si="6"/>
        <v>Sika Waterproofing|m2</v>
      </c>
      <c r="T61" s="24" t="s">
        <v>2367</v>
      </c>
    </row>
    <row r="62" spans="1:20" ht="15" customHeight="1" x14ac:dyDescent="0.25">
      <c r="A62" s="9" t="s">
        <v>2443</v>
      </c>
      <c r="B62" s="10" t="s">
        <v>13</v>
      </c>
      <c r="C62" s="9" t="s">
        <v>116</v>
      </c>
      <c r="D62" s="12" t="s">
        <v>15</v>
      </c>
      <c r="E62" s="12" t="s">
        <v>117</v>
      </c>
      <c r="F62" s="12" t="s">
        <v>138</v>
      </c>
      <c r="G62" s="12" t="s">
        <v>1557</v>
      </c>
      <c r="H62" s="9" t="s">
        <v>18</v>
      </c>
      <c r="I62" s="25">
        <v>2.2000000000000002</v>
      </c>
      <c r="J62" s="26">
        <f>_STDLAB</f>
        <v>0.2</v>
      </c>
      <c r="K62" s="20">
        <f t="shared" si="1"/>
        <v>2.64</v>
      </c>
      <c r="L62" s="25">
        <v>5.5</v>
      </c>
      <c r="M62" s="26">
        <f>_STDMAT</f>
        <v>0.12</v>
      </c>
      <c r="N62" s="20">
        <f t="shared" si="3"/>
        <v>6.16</v>
      </c>
      <c r="O62" s="27">
        <f t="shared" si="4"/>
        <v>8.8000000000000007</v>
      </c>
      <c r="P62" s="17" t="str">
        <f t="shared" si="5"/>
        <v>Benchmark</v>
      </c>
      <c r="Q62" s="9">
        <v>10</v>
      </c>
      <c r="R62" s="28" t="s">
        <v>2444</v>
      </c>
      <c r="S62" s="29" t="str">
        <f t="shared" si="6"/>
        <v>Cementitious waterproofing, 2 coats, to wet area incl. up-turn 300mm|m2</v>
      </c>
      <c r="T62" s="24" t="s">
        <v>2336</v>
      </c>
    </row>
    <row r="63" spans="1:20" ht="15" customHeight="1" x14ac:dyDescent="0.25">
      <c r="A63" s="9" t="s">
        <v>2445</v>
      </c>
      <c r="B63" s="10" t="s">
        <v>13</v>
      </c>
      <c r="C63" s="9" t="s">
        <v>116</v>
      </c>
      <c r="D63" s="12" t="s">
        <v>15</v>
      </c>
      <c r="E63" s="12" t="s">
        <v>117</v>
      </c>
      <c r="F63" s="12" t="s">
        <v>141</v>
      </c>
      <c r="G63" s="12" t="s">
        <v>142</v>
      </c>
      <c r="H63" s="9" t="s">
        <v>18</v>
      </c>
      <c r="I63" s="25">
        <v>1</v>
      </c>
      <c r="J63" s="26">
        <v>0.2</v>
      </c>
      <c r="K63" s="20">
        <f t="shared" si="1"/>
        <v>1.2</v>
      </c>
      <c r="L63" s="25">
        <v>2.5</v>
      </c>
      <c r="M63" s="26">
        <v>0.12</v>
      </c>
      <c r="N63" s="20">
        <f t="shared" si="3"/>
        <v>2.8000000000000003</v>
      </c>
      <c r="O63" s="27">
        <f t="shared" si="4"/>
        <v>4</v>
      </c>
      <c r="P63" s="30" t="str">
        <f t="shared" si="5"/>
        <v>Priced</v>
      </c>
      <c r="Q63" s="9">
        <v>5</v>
      </c>
      <c r="R63" s="31" t="s">
        <v>2446</v>
      </c>
      <c r="S63" s="29" t="str">
        <f t="shared" si="6"/>
        <v>Anti-Termite with Plastic Membrane|m2</v>
      </c>
      <c r="T63" s="24" t="s">
        <v>2367</v>
      </c>
    </row>
    <row r="64" spans="1:20" ht="21.75" customHeight="1" x14ac:dyDescent="0.25">
      <c r="A64" s="9" t="s">
        <v>2447</v>
      </c>
      <c r="B64" s="10" t="s">
        <v>13</v>
      </c>
      <c r="C64" s="9" t="s">
        <v>116</v>
      </c>
      <c r="D64" s="12" t="s">
        <v>15</v>
      </c>
      <c r="E64" s="12" t="s">
        <v>165</v>
      </c>
      <c r="F64" s="12" t="s">
        <v>169</v>
      </c>
      <c r="G64" s="12" t="s">
        <v>170</v>
      </c>
      <c r="H64" s="9" t="s">
        <v>18</v>
      </c>
      <c r="I64" s="25">
        <v>0.4</v>
      </c>
      <c r="J64" s="26">
        <f t="shared" ref="J64:J81" si="7">_STDLAB</f>
        <v>0.2</v>
      </c>
      <c r="K64" s="20">
        <f t="shared" si="1"/>
        <v>0.48</v>
      </c>
      <c r="L64" s="25">
        <v>1.1000000000000001</v>
      </c>
      <c r="M64" s="26">
        <f t="shared" ref="M64:M81" si="8">_STDMAT</f>
        <v>0.12</v>
      </c>
      <c r="N64" s="20">
        <f t="shared" si="3"/>
        <v>1.2320000000000002</v>
      </c>
      <c r="O64" s="27">
        <f t="shared" si="4"/>
        <v>1.7120000000000002</v>
      </c>
      <c r="P64" s="17" t="str">
        <f t="shared" si="5"/>
        <v>Benchmark</v>
      </c>
      <c r="Q64" s="9">
        <v>1</v>
      </c>
      <c r="R64" s="28" t="s">
        <v>2448</v>
      </c>
      <c r="S64" s="29" t="str">
        <f t="shared" si="6"/>
        <v>Polyethylene vapour barrier 0.15mm thk. laid with 300mm laps|m2</v>
      </c>
      <c r="T64" s="24" t="s">
        <v>2336</v>
      </c>
    </row>
    <row r="65" spans="1:20" ht="21.75" customHeight="1" x14ac:dyDescent="0.25">
      <c r="A65" s="9" t="s">
        <v>2449</v>
      </c>
      <c r="B65" s="10" t="s">
        <v>13</v>
      </c>
      <c r="C65" s="9" t="s">
        <v>41</v>
      </c>
      <c r="D65" s="12" t="s">
        <v>15</v>
      </c>
      <c r="E65" s="12" t="s">
        <v>211</v>
      </c>
      <c r="F65" s="12" t="s">
        <v>219</v>
      </c>
      <c r="G65" s="12" t="s">
        <v>220</v>
      </c>
      <c r="H65" s="9" t="s">
        <v>18</v>
      </c>
      <c r="I65" s="25">
        <v>1.2</v>
      </c>
      <c r="J65" s="26">
        <f t="shared" si="7"/>
        <v>0.2</v>
      </c>
      <c r="K65" s="20">
        <f t="shared" si="1"/>
        <v>1.44</v>
      </c>
      <c r="L65" s="25">
        <v>3.2</v>
      </c>
      <c r="M65" s="26">
        <f t="shared" si="8"/>
        <v>0.12</v>
      </c>
      <c r="N65" s="20">
        <f t="shared" si="3"/>
        <v>3.5840000000000005</v>
      </c>
      <c r="O65" s="27">
        <f t="shared" si="4"/>
        <v>5.0240000000000009</v>
      </c>
      <c r="P65" s="17" t="str">
        <f t="shared" si="5"/>
        <v>Benchmark</v>
      </c>
      <c r="Q65" s="9">
        <v>1</v>
      </c>
      <c r="R65" s="28" t="s">
        <v>2450</v>
      </c>
      <c r="S65" s="29" t="str">
        <f t="shared" si="6"/>
        <v>Protection board 6mm thk. to waterproofing membrane|m2</v>
      </c>
      <c r="T65" s="24" t="s">
        <v>2336</v>
      </c>
    </row>
    <row r="66" spans="1:20" ht="21.75" customHeight="1" x14ac:dyDescent="0.25">
      <c r="A66" s="9" t="s">
        <v>2451</v>
      </c>
      <c r="B66" s="10" t="s">
        <v>13</v>
      </c>
      <c r="C66" s="9" t="s">
        <v>41</v>
      </c>
      <c r="D66" s="12" t="s">
        <v>15</v>
      </c>
      <c r="E66" s="12" t="s">
        <v>211</v>
      </c>
      <c r="F66" s="12" t="s">
        <v>222</v>
      </c>
      <c r="G66" s="12" t="s">
        <v>223</v>
      </c>
      <c r="H66" s="9" t="s">
        <v>18</v>
      </c>
      <c r="I66" s="25">
        <v>1.8</v>
      </c>
      <c r="J66" s="26">
        <f t="shared" si="7"/>
        <v>0.2</v>
      </c>
      <c r="K66" s="20">
        <f t="shared" si="1"/>
        <v>2.16</v>
      </c>
      <c r="L66" s="25">
        <v>6.5</v>
      </c>
      <c r="M66" s="26">
        <f t="shared" si="8"/>
        <v>0.12</v>
      </c>
      <c r="N66" s="20">
        <f t="shared" si="3"/>
        <v>7.2800000000000011</v>
      </c>
      <c r="O66" s="27">
        <f t="shared" si="4"/>
        <v>9.4400000000000013</v>
      </c>
      <c r="P66" s="17" t="str">
        <f t="shared" si="5"/>
        <v>Benchmark</v>
      </c>
      <c r="Q66" s="9">
        <v>1</v>
      </c>
      <c r="R66" s="28" t="s">
        <v>2452</v>
      </c>
      <c r="S66" s="29" t="str">
        <f t="shared" si="6"/>
        <v>Dimpled HDPE drainage board with filter fabric|m2</v>
      </c>
      <c r="T66" s="24" t="s">
        <v>2336</v>
      </c>
    </row>
    <row r="67" spans="1:20" ht="15" customHeight="1" x14ac:dyDescent="0.25">
      <c r="A67" s="9" t="s">
        <v>2453</v>
      </c>
      <c r="B67" s="10" t="s">
        <v>13</v>
      </c>
      <c r="C67" s="9" t="s">
        <v>225</v>
      </c>
      <c r="D67" s="12" t="s">
        <v>226</v>
      </c>
      <c r="E67" s="12" t="s">
        <v>227</v>
      </c>
      <c r="F67" s="12" t="s">
        <v>232</v>
      </c>
      <c r="G67" s="12" t="s">
        <v>233</v>
      </c>
      <c r="H67" s="9" t="s">
        <v>53</v>
      </c>
      <c r="I67" s="25">
        <v>0.12</v>
      </c>
      <c r="J67" s="26">
        <f t="shared" si="7"/>
        <v>0.2</v>
      </c>
      <c r="K67" s="20">
        <f t="shared" si="1"/>
        <v>0.14399999999999999</v>
      </c>
      <c r="L67" s="25">
        <v>0.75</v>
      </c>
      <c r="M67" s="26">
        <f t="shared" si="8"/>
        <v>0.12</v>
      </c>
      <c r="N67" s="20">
        <f t="shared" si="3"/>
        <v>0.84000000000000008</v>
      </c>
      <c r="O67" s="27">
        <f t="shared" si="4"/>
        <v>0.9840000000000001</v>
      </c>
      <c r="P67" s="17" t="str">
        <f t="shared" si="5"/>
        <v>Benchmark</v>
      </c>
      <c r="Q67" s="9">
        <v>1</v>
      </c>
      <c r="R67" s="28" t="s">
        <v>2454</v>
      </c>
      <c r="S67" s="29" t="str">
        <f t="shared" si="6"/>
        <v>Column starter bar incl. bending, fixing and tying|kg</v>
      </c>
      <c r="T67" s="24" t="s">
        <v>2336</v>
      </c>
    </row>
    <row r="68" spans="1:20" ht="15" customHeight="1" x14ac:dyDescent="0.25">
      <c r="A68" s="9" t="s">
        <v>2455</v>
      </c>
      <c r="B68" s="10" t="s">
        <v>13</v>
      </c>
      <c r="C68" s="9" t="s">
        <v>225</v>
      </c>
      <c r="D68" s="12" t="s">
        <v>226</v>
      </c>
      <c r="E68" s="12" t="s">
        <v>227</v>
      </c>
      <c r="F68" s="12" t="s">
        <v>235</v>
      </c>
      <c r="G68" s="12" t="s">
        <v>236</v>
      </c>
      <c r="H68" s="9" t="s">
        <v>57</v>
      </c>
      <c r="I68" s="25">
        <v>4</v>
      </c>
      <c r="J68" s="26">
        <f t="shared" si="7"/>
        <v>0.2</v>
      </c>
      <c r="K68" s="20">
        <f t="shared" si="1"/>
        <v>4.8</v>
      </c>
      <c r="L68" s="25">
        <v>9</v>
      </c>
      <c r="M68" s="26">
        <f t="shared" si="8"/>
        <v>0.12</v>
      </c>
      <c r="N68" s="20">
        <f t="shared" si="3"/>
        <v>10.080000000000002</v>
      </c>
      <c r="O68" s="27">
        <f t="shared" si="4"/>
        <v>14.880000000000003</v>
      </c>
      <c r="P68" s="17" t="str">
        <f t="shared" si="5"/>
        <v>Benchmark</v>
      </c>
      <c r="Q68" s="9">
        <v>1</v>
      </c>
      <c r="R68" s="28" t="s">
        <v>2456</v>
      </c>
      <c r="S68" s="29" t="str">
        <f t="shared" si="6"/>
        <v>Non-shrink cementitious grout to base plate / gap|Nos</v>
      </c>
      <c r="T68" s="24" t="s">
        <v>2336</v>
      </c>
    </row>
    <row r="69" spans="1:20" ht="15" customHeight="1" x14ac:dyDescent="0.25">
      <c r="A69" s="9" t="s">
        <v>2457</v>
      </c>
      <c r="B69" s="10" t="s">
        <v>13</v>
      </c>
      <c r="C69" s="9" t="s">
        <v>225</v>
      </c>
      <c r="D69" s="12" t="s">
        <v>226</v>
      </c>
      <c r="E69" s="12" t="s">
        <v>243</v>
      </c>
      <c r="F69" s="12" t="s">
        <v>248</v>
      </c>
      <c r="G69" s="12" t="s">
        <v>249</v>
      </c>
      <c r="H69" s="9" t="s">
        <v>53</v>
      </c>
      <c r="I69" s="25">
        <v>0.55000000000000004</v>
      </c>
      <c r="J69" s="26">
        <f t="shared" si="7"/>
        <v>0.2</v>
      </c>
      <c r="K69" s="20">
        <f t="shared" si="1"/>
        <v>0.66</v>
      </c>
      <c r="L69" s="25">
        <v>1.85</v>
      </c>
      <c r="M69" s="26">
        <f t="shared" si="8"/>
        <v>0.12</v>
      </c>
      <c r="N69" s="20">
        <f t="shared" si="3"/>
        <v>2.0720000000000005</v>
      </c>
      <c r="O69" s="27">
        <f t="shared" si="4"/>
        <v>2.7320000000000007</v>
      </c>
      <c r="P69" s="17" t="str">
        <f t="shared" si="5"/>
        <v>Benchmark</v>
      </c>
      <c r="Q69" s="9">
        <v>1</v>
      </c>
      <c r="R69" s="28" t="s">
        <v>2458</v>
      </c>
      <c r="S69" s="29" t="str">
        <f t="shared" si="6"/>
        <v>Post-tension strand incl. duct, anchorage, stressing and grouting|kg</v>
      </c>
      <c r="T69" s="24" t="s">
        <v>2336</v>
      </c>
    </row>
    <row r="70" spans="1:20" ht="15" customHeight="1" x14ac:dyDescent="0.25">
      <c r="A70" s="9" t="s">
        <v>2459</v>
      </c>
      <c r="B70" s="10" t="s">
        <v>13</v>
      </c>
      <c r="C70" s="9" t="s">
        <v>225</v>
      </c>
      <c r="D70" s="12" t="s">
        <v>226</v>
      </c>
      <c r="E70" s="12" t="s">
        <v>243</v>
      </c>
      <c r="F70" s="12" t="s">
        <v>251</v>
      </c>
      <c r="G70" s="12" t="s">
        <v>252</v>
      </c>
      <c r="H70" s="9" t="s">
        <v>18</v>
      </c>
      <c r="I70" s="25">
        <v>4.5</v>
      </c>
      <c r="J70" s="26">
        <f t="shared" si="7"/>
        <v>0.2</v>
      </c>
      <c r="K70" s="20">
        <f t="shared" ref="K70:K133" si="9">IFERROR(I70*(1+J70),0)</f>
        <v>5.3999999999999995</v>
      </c>
      <c r="L70" s="25">
        <v>16</v>
      </c>
      <c r="M70" s="26">
        <f t="shared" si="8"/>
        <v>0.12</v>
      </c>
      <c r="N70" s="20">
        <f t="shared" ref="N70:N133" si="10">IFERROR(L70*(1+M70),0)</f>
        <v>17.920000000000002</v>
      </c>
      <c r="O70" s="27">
        <f t="shared" ref="O70:O133" si="11">K70+N70</f>
        <v>23.32</v>
      </c>
      <c r="P70" s="17" t="str">
        <f t="shared" ref="P70:P133" si="12">IF(N(I70)+N(L70)=0,"To be quoted",IF($T70="P","Priced","Benchmark"))</f>
        <v>Benchmark</v>
      </c>
      <c r="Q70" s="9">
        <v>1</v>
      </c>
      <c r="R70" s="28" t="s">
        <v>2460</v>
      </c>
      <c r="S70" s="29" t="str">
        <f t="shared" ref="S70:S133" si="13">TRIM(G70)&amp;"|"&amp;TRIM(H70)</f>
        <v>Galvanised steel deck 0.75mm thk. incl. shear stud and end closure|m2</v>
      </c>
      <c r="T70" s="24" t="s">
        <v>2336</v>
      </c>
    </row>
    <row r="71" spans="1:20" ht="15" customHeight="1" x14ac:dyDescent="0.25">
      <c r="A71" s="9" t="s">
        <v>2461</v>
      </c>
      <c r="B71" s="10" t="s">
        <v>13</v>
      </c>
      <c r="C71" s="9" t="s">
        <v>225</v>
      </c>
      <c r="D71" s="12" t="s">
        <v>226</v>
      </c>
      <c r="E71" s="12" t="s">
        <v>281</v>
      </c>
      <c r="F71" s="12" t="s">
        <v>282</v>
      </c>
      <c r="G71" s="12" t="s">
        <v>283</v>
      </c>
      <c r="H71" s="9" t="s">
        <v>53</v>
      </c>
      <c r="I71" s="25">
        <v>0.45</v>
      </c>
      <c r="J71" s="26">
        <f t="shared" si="7"/>
        <v>0.2</v>
      </c>
      <c r="K71" s="20">
        <f t="shared" si="9"/>
        <v>0.54</v>
      </c>
      <c r="L71" s="25">
        <v>1.25</v>
      </c>
      <c r="M71" s="26">
        <f t="shared" si="8"/>
        <v>0.12</v>
      </c>
      <c r="N71" s="20">
        <f t="shared" si="10"/>
        <v>1.4000000000000001</v>
      </c>
      <c r="O71" s="27">
        <f t="shared" si="11"/>
        <v>1.9400000000000002</v>
      </c>
      <c r="P71" s="17" t="str">
        <f t="shared" si="12"/>
        <v>Benchmark</v>
      </c>
      <c r="Q71" s="9">
        <v>1</v>
      </c>
      <c r="R71" s="28" t="s">
        <v>2462</v>
      </c>
      <c r="S71" s="29" t="str">
        <f t="shared" si="13"/>
        <v>Structural steel section (H/I beam) SS400 incl. fabrication and erection|kg</v>
      </c>
      <c r="T71" s="24" t="s">
        <v>2336</v>
      </c>
    </row>
    <row r="72" spans="1:20" ht="15" customHeight="1" x14ac:dyDescent="0.25">
      <c r="A72" s="9" t="s">
        <v>2463</v>
      </c>
      <c r="B72" s="10" t="s">
        <v>13</v>
      </c>
      <c r="C72" s="9" t="s">
        <v>225</v>
      </c>
      <c r="D72" s="12" t="s">
        <v>226</v>
      </c>
      <c r="E72" s="12" t="s">
        <v>281</v>
      </c>
      <c r="F72" s="12" t="s">
        <v>291</v>
      </c>
      <c r="G72" s="12" t="s">
        <v>292</v>
      </c>
      <c r="H72" s="9" t="s">
        <v>53</v>
      </c>
      <c r="I72" s="25">
        <v>0.4</v>
      </c>
      <c r="J72" s="26">
        <f t="shared" si="7"/>
        <v>0.2</v>
      </c>
      <c r="K72" s="20">
        <f t="shared" si="9"/>
        <v>0.48</v>
      </c>
      <c r="L72" s="25">
        <v>1.2</v>
      </c>
      <c r="M72" s="26">
        <f t="shared" si="8"/>
        <v>0.12</v>
      </c>
      <c r="N72" s="20">
        <f t="shared" si="10"/>
        <v>1.3440000000000001</v>
      </c>
      <c r="O72" s="27">
        <f t="shared" si="11"/>
        <v>1.8240000000000001</v>
      </c>
      <c r="P72" s="17" t="str">
        <f t="shared" si="12"/>
        <v>Benchmark</v>
      </c>
      <c r="Q72" s="9">
        <v>2</v>
      </c>
      <c r="R72" s="28" t="s">
        <v>2464</v>
      </c>
      <c r="S72" s="29" t="str">
        <f t="shared" si="13"/>
        <v>Steel purlin C-channel incl. fabrication, erection and fixing|kg</v>
      </c>
      <c r="T72" s="24" t="s">
        <v>2336</v>
      </c>
    </row>
    <row r="73" spans="1:20" ht="15" customHeight="1" x14ac:dyDescent="0.25">
      <c r="A73" s="9" t="s">
        <v>2465</v>
      </c>
      <c r="B73" s="10" t="s">
        <v>13</v>
      </c>
      <c r="C73" s="9" t="s">
        <v>225</v>
      </c>
      <c r="D73" s="12" t="s">
        <v>226</v>
      </c>
      <c r="E73" s="12" t="s">
        <v>281</v>
      </c>
      <c r="F73" s="12" t="s">
        <v>297</v>
      </c>
      <c r="G73" s="12" t="s">
        <v>298</v>
      </c>
      <c r="H73" s="9" t="s">
        <v>53</v>
      </c>
      <c r="I73" s="25">
        <v>0.5</v>
      </c>
      <c r="J73" s="26">
        <f t="shared" si="7"/>
        <v>0.2</v>
      </c>
      <c r="K73" s="20">
        <f t="shared" si="9"/>
        <v>0.6</v>
      </c>
      <c r="L73" s="25">
        <v>1.25</v>
      </c>
      <c r="M73" s="26">
        <f t="shared" si="8"/>
        <v>0.12</v>
      </c>
      <c r="N73" s="20">
        <f t="shared" si="10"/>
        <v>1.4000000000000001</v>
      </c>
      <c r="O73" s="27">
        <f t="shared" si="11"/>
        <v>2</v>
      </c>
      <c r="P73" s="17" t="str">
        <f t="shared" si="12"/>
        <v>Benchmark</v>
      </c>
      <c r="Q73" s="9">
        <v>2</v>
      </c>
      <c r="R73" s="28" t="s">
        <v>2466</v>
      </c>
      <c r="S73" s="29" t="str">
        <f t="shared" si="13"/>
        <v>Steel bracing member incl. fabrication, erection and connection|kg</v>
      </c>
      <c r="T73" s="24" t="s">
        <v>2336</v>
      </c>
    </row>
    <row r="74" spans="1:20" ht="15" customHeight="1" x14ac:dyDescent="0.25">
      <c r="A74" s="9" t="s">
        <v>2467</v>
      </c>
      <c r="B74" s="10" t="s">
        <v>13</v>
      </c>
      <c r="C74" s="9" t="s">
        <v>225</v>
      </c>
      <c r="D74" s="12" t="s">
        <v>226</v>
      </c>
      <c r="E74" s="12" t="s">
        <v>281</v>
      </c>
      <c r="F74" s="12" t="s">
        <v>300</v>
      </c>
      <c r="G74" s="12" t="s">
        <v>301</v>
      </c>
      <c r="H74" s="9" t="s">
        <v>53</v>
      </c>
      <c r="I74" s="25">
        <v>0.55000000000000004</v>
      </c>
      <c r="J74" s="26">
        <f t="shared" si="7"/>
        <v>0.2</v>
      </c>
      <c r="K74" s="20">
        <f t="shared" si="9"/>
        <v>0.66</v>
      </c>
      <c r="L74" s="25">
        <v>1.3</v>
      </c>
      <c r="M74" s="26">
        <f t="shared" si="8"/>
        <v>0.12</v>
      </c>
      <c r="N74" s="20">
        <f t="shared" si="10"/>
        <v>1.4560000000000002</v>
      </c>
      <c r="O74" s="27">
        <f t="shared" si="11"/>
        <v>2.1160000000000001</v>
      </c>
      <c r="P74" s="17" t="str">
        <f t="shared" si="12"/>
        <v>Benchmark</v>
      </c>
      <c r="Q74" s="9">
        <v>1</v>
      </c>
      <c r="R74" s="28" t="s">
        <v>2468</v>
      </c>
      <c r="S74" s="29" t="str">
        <f t="shared" si="13"/>
        <v>Steel base plate incl. drilling, welding and levelling|kg</v>
      </c>
      <c r="T74" s="24" t="s">
        <v>2336</v>
      </c>
    </row>
    <row r="75" spans="1:20" ht="15" customHeight="1" x14ac:dyDescent="0.25">
      <c r="A75" s="9" t="s">
        <v>2469</v>
      </c>
      <c r="B75" s="10" t="s">
        <v>13</v>
      </c>
      <c r="C75" s="9" t="s">
        <v>225</v>
      </c>
      <c r="D75" s="12" t="s">
        <v>226</v>
      </c>
      <c r="E75" s="12" t="s">
        <v>281</v>
      </c>
      <c r="F75" s="12" t="s">
        <v>309</v>
      </c>
      <c r="G75" s="12" t="s">
        <v>310</v>
      </c>
      <c r="H75" s="9" t="s">
        <v>57</v>
      </c>
      <c r="I75" s="25">
        <v>2.5</v>
      </c>
      <c r="J75" s="26">
        <f t="shared" si="7"/>
        <v>0.2</v>
      </c>
      <c r="K75" s="20">
        <f t="shared" si="9"/>
        <v>3</v>
      </c>
      <c r="L75" s="25">
        <v>4.5</v>
      </c>
      <c r="M75" s="26">
        <f t="shared" si="8"/>
        <v>0.12</v>
      </c>
      <c r="N75" s="20">
        <f t="shared" si="10"/>
        <v>5.0400000000000009</v>
      </c>
      <c r="O75" s="27">
        <f t="shared" si="11"/>
        <v>8.0400000000000009</v>
      </c>
      <c r="P75" s="17" t="str">
        <f t="shared" si="12"/>
        <v>Benchmark</v>
      </c>
      <c r="Q75" s="9">
        <v>2</v>
      </c>
      <c r="R75" s="28" t="s">
        <v>2470</v>
      </c>
      <c r="S75" s="29" t="str">
        <f t="shared" si="13"/>
        <v>Anchor bolt incl. template, setting and grouting|Nos</v>
      </c>
      <c r="T75" s="24" t="s">
        <v>2336</v>
      </c>
    </row>
    <row r="76" spans="1:20" ht="15" customHeight="1" x14ac:dyDescent="0.25">
      <c r="A76" s="9" t="s">
        <v>2471</v>
      </c>
      <c r="B76" s="10" t="s">
        <v>13</v>
      </c>
      <c r="C76" s="9" t="s">
        <v>225</v>
      </c>
      <c r="D76" s="12" t="s">
        <v>226</v>
      </c>
      <c r="E76" s="12" t="s">
        <v>281</v>
      </c>
      <c r="F76" s="12" t="s">
        <v>312</v>
      </c>
      <c r="G76" s="12" t="s">
        <v>313</v>
      </c>
      <c r="H76" s="9" t="s">
        <v>57</v>
      </c>
      <c r="I76" s="25">
        <v>0.35</v>
      </c>
      <c r="J76" s="26">
        <f t="shared" si="7"/>
        <v>0.2</v>
      </c>
      <c r="K76" s="20">
        <f t="shared" si="9"/>
        <v>0.42</v>
      </c>
      <c r="L76" s="25">
        <v>0.9</v>
      </c>
      <c r="M76" s="26">
        <f t="shared" si="8"/>
        <v>0.12</v>
      </c>
      <c r="N76" s="20">
        <f t="shared" si="10"/>
        <v>1.0080000000000002</v>
      </c>
      <c r="O76" s="27">
        <f t="shared" si="11"/>
        <v>1.4280000000000002</v>
      </c>
      <c r="P76" s="17" t="str">
        <f t="shared" si="12"/>
        <v>Benchmark</v>
      </c>
      <c r="Q76" s="9">
        <v>1</v>
      </c>
      <c r="R76" s="28" t="s">
        <v>2472</v>
      </c>
      <c r="S76" s="29" t="str">
        <f t="shared" si="13"/>
        <v>High tensile bolt, nut and washer grade 8.8|Nos</v>
      </c>
      <c r="T76" s="24" t="s">
        <v>2336</v>
      </c>
    </row>
    <row r="77" spans="1:20" ht="15" customHeight="1" x14ac:dyDescent="0.25">
      <c r="A77" s="9" t="s">
        <v>2473</v>
      </c>
      <c r="B77" s="10" t="s">
        <v>13</v>
      </c>
      <c r="C77" s="9" t="s">
        <v>225</v>
      </c>
      <c r="D77" s="12" t="s">
        <v>226</v>
      </c>
      <c r="E77" s="12" t="s">
        <v>281</v>
      </c>
      <c r="F77" s="12" t="s">
        <v>315</v>
      </c>
      <c r="G77" s="12" t="s">
        <v>316</v>
      </c>
      <c r="H77" s="9" t="s">
        <v>61</v>
      </c>
      <c r="I77" s="25">
        <v>6</v>
      </c>
      <c r="J77" s="26">
        <f t="shared" si="7"/>
        <v>0.2</v>
      </c>
      <c r="K77" s="20">
        <f t="shared" si="9"/>
        <v>7.1999999999999993</v>
      </c>
      <c r="L77" s="25">
        <v>2.5</v>
      </c>
      <c r="M77" s="26">
        <f t="shared" si="8"/>
        <v>0.12</v>
      </c>
      <c r="N77" s="20">
        <f t="shared" si="10"/>
        <v>2.8000000000000003</v>
      </c>
      <c r="O77" s="27">
        <f t="shared" si="11"/>
        <v>10</v>
      </c>
      <c r="P77" s="17" t="str">
        <f t="shared" si="12"/>
        <v>Benchmark</v>
      </c>
      <c r="Q77" s="9">
        <v>1</v>
      </c>
      <c r="R77" s="28" t="s">
        <v>2474</v>
      </c>
      <c r="S77" s="29" t="str">
        <f t="shared" si="13"/>
        <v>Site welding incl. electrode, preparation and testing|m</v>
      </c>
      <c r="T77" s="24" t="s">
        <v>2336</v>
      </c>
    </row>
    <row r="78" spans="1:20" ht="15" customHeight="1" x14ac:dyDescent="0.25">
      <c r="A78" s="9" t="s">
        <v>2475</v>
      </c>
      <c r="B78" s="10" t="s">
        <v>13</v>
      </c>
      <c r="C78" s="9" t="s">
        <v>225</v>
      </c>
      <c r="D78" s="12" t="s">
        <v>226</v>
      </c>
      <c r="E78" s="12" t="s">
        <v>281</v>
      </c>
      <c r="F78" s="12" t="s">
        <v>318</v>
      </c>
      <c r="G78" s="12" t="s">
        <v>319</v>
      </c>
      <c r="H78" s="9" t="s">
        <v>18</v>
      </c>
      <c r="I78" s="25">
        <v>2.2000000000000002</v>
      </c>
      <c r="J78" s="26">
        <f t="shared" si="7"/>
        <v>0.2</v>
      </c>
      <c r="K78" s="20">
        <f t="shared" si="9"/>
        <v>2.64</v>
      </c>
      <c r="L78" s="25">
        <v>3.2</v>
      </c>
      <c r="M78" s="26">
        <f t="shared" si="8"/>
        <v>0.12</v>
      </c>
      <c r="N78" s="20">
        <f t="shared" si="10"/>
        <v>3.5840000000000005</v>
      </c>
      <c r="O78" s="27">
        <f t="shared" si="11"/>
        <v>6.2240000000000002</v>
      </c>
      <c r="P78" s="17" t="str">
        <f t="shared" si="12"/>
        <v>Benchmark</v>
      </c>
      <c r="Q78" s="9">
        <v>2</v>
      </c>
      <c r="R78" s="28" t="s">
        <v>2476</v>
      </c>
      <c r="S78" s="29" t="str">
        <f t="shared" si="13"/>
        <v>Anti-corrosive primer and 2 coats finish paint to steelwork|m2</v>
      </c>
      <c r="T78" s="24" t="s">
        <v>2336</v>
      </c>
    </row>
    <row r="79" spans="1:20" ht="15" customHeight="1" x14ac:dyDescent="0.25">
      <c r="A79" s="9" t="s">
        <v>2477</v>
      </c>
      <c r="B79" s="10" t="s">
        <v>13</v>
      </c>
      <c r="C79" s="9" t="s">
        <v>225</v>
      </c>
      <c r="D79" s="12" t="s">
        <v>226</v>
      </c>
      <c r="E79" s="12" t="s">
        <v>281</v>
      </c>
      <c r="F79" s="12" t="s">
        <v>318</v>
      </c>
      <c r="G79" s="12" t="s">
        <v>1889</v>
      </c>
      <c r="H79" s="9" t="s">
        <v>18</v>
      </c>
      <c r="I79" s="25">
        <v>0</v>
      </c>
      <c r="J79" s="26">
        <f t="shared" si="7"/>
        <v>0.2</v>
      </c>
      <c r="K79" s="20">
        <f t="shared" si="9"/>
        <v>0</v>
      </c>
      <c r="L79" s="25">
        <v>9.5</v>
      </c>
      <c r="M79" s="26">
        <f t="shared" si="8"/>
        <v>0.12</v>
      </c>
      <c r="N79" s="20">
        <f t="shared" si="10"/>
        <v>10.64</v>
      </c>
      <c r="O79" s="27">
        <f t="shared" si="11"/>
        <v>10.64</v>
      </c>
      <c r="P79" s="17" t="str">
        <f t="shared" si="12"/>
        <v>Benchmark</v>
      </c>
      <c r="Q79" s="9">
        <v>2</v>
      </c>
      <c r="R79" s="28" t="s">
        <v>2478</v>
      </c>
      <c r="S79" s="29" t="str">
        <f t="shared" si="13"/>
        <v>Hot dip galvanizing to steelwork, 85 micron minimum|m2</v>
      </c>
      <c r="T79" s="24" t="s">
        <v>2336</v>
      </c>
    </row>
    <row r="80" spans="1:20" ht="15" customHeight="1" x14ac:dyDescent="0.25">
      <c r="A80" s="9" t="s">
        <v>2479</v>
      </c>
      <c r="B80" s="10" t="s">
        <v>13</v>
      </c>
      <c r="C80" s="9" t="s">
        <v>225</v>
      </c>
      <c r="D80" s="12" t="s">
        <v>226</v>
      </c>
      <c r="E80" s="12" t="s">
        <v>281</v>
      </c>
      <c r="F80" s="12" t="s">
        <v>321</v>
      </c>
      <c r="G80" s="12" t="s">
        <v>322</v>
      </c>
      <c r="H80" s="9" t="s">
        <v>18</v>
      </c>
      <c r="I80" s="25">
        <v>4.5</v>
      </c>
      <c r="J80" s="26">
        <f t="shared" si="7"/>
        <v>0.2</v>
      </c>
      <c r="K80" s="20">
        <f t="shared" si="9"/>
        <v>5.3999999999999995</v>
      </c>
      <c r="L80" s="25">
        <v>16</v>
      </c>
      <c r="M80" s="26">
        <f t="shared" si="8"/>
        <v>0.12</v>
      </c>
      <c r="N80" s="20">
        <f t="shared" si="10"/>
        <v>17.920000000000002</v>
      </c>
      <c r="O80" s="27">
        <f t="shared" si="11"/>
        <v>23.32</v>
      </c>
      <c r="P80" s="17" t="str">
        <f t="shared" si="12"/>
        <v>Benchmark</v>
      </c>
      <c r="Q80" s="9">
        <v>1</v>
      </c>
      <c r="R80" s="28" t="s">
        <v>2480</v>
      </c>
      <c r="S80" s="29" t="str">
        <f t="shared" si="13"/>
        <v>Intumescent fire protection coating to steelwork, 2 hour rating|m2</v>
      </c>
      <c r="T80" s="24" t="s">
        <v>2336</v>
      </c>
    </row>
    <row r="81" spans="1:20" ht="15" customHeight="1" x14ac:dyDescent="0.25">
      <c r="A81" s="9" t="s">
        <v>2481</v>
      </c>
      <c r="B81" s="10" t="s">
        <v>13</v>
      </c>
      <c r="C81" s="9" t="s">
        <v>225</v>
      </c>
      <c r="D81" s="12" t="s">
        <v>226</v>
      </c>
      <c r="E81" s="12" t="s">
        <v>324</v>
      </c>
      <c r="F81" s="12" t="s">
        <v>325</v>
      </c>
      <c r="G81" s="12" t="s">
        <v>326</v>
      </c>
      <c r="H81" s="9" t="s">
        <v>53</v>
      </c>
      <c r="I81" s="25">
        <v>0.55000000000000004</v>
      </c>
      <c r="J81" s="26">
        <f t="shared" si="7"/>
        <v>0.2</v>
      </c>
      <c r="K81" s="20">
        <f t="shared" si="9"/>
        <v>0.66</v>
      </c>
      <c r="L81" s="25">
        <v>1.3</v>
      </c>
      <c r="M81" s="26">
        <f t="shared" si="8"/>
        <v>0.12</v>
      </c>
      <c r="N81" s="20">
        <f t="shared" si="10"/>
        <v>1.4560000000000002</v>
      </c>
      <c r="O81" s="27">
        <f t="shared" si="11"/>
        <v>2.1160000000000001</v>
      </c>
      <c r="P81" s="17" t="str">
        <f t="shared" si="12"/>
        <v>Benchmark</v>
      </c>
      <c r="Q81" s="9">
        <v>1</v>
      </c>
      <c r="R81" s="28" t="s">
        <v>2482</v>
      </c>
      <c r="S81" s="29" t="str">
        <f t="shared" si="13"/>
        <v>Steel roof truss incl. fabrication, erection and connection|kg</v>
      </c>
      <c r="T81" s="24" t="s">
        <v>2336</v>
      </c>
    </row>
    <row r="82" spans="1:20" ht="15" customHeight="1" x14ac:dyDescent="0.25">
      <c r="A82" s="9" t="s">
        <v>2483</v>
      </c>
      <c r="B82" s="10" t="s">
        <v>13</v>
      </c>
      <c r="C82" s="9" t="s">
        <v>225</v>
      </c>
      <c r="D82" s="12" t="s">
        <v>226</v>
      </c>
      <c r="E82" s="12" t="s">
        <v>324</v>
      </c>
      <c r="F82" s="12" t="s">
        <v>331</v>
      </c>
      <c r="G82" s="12" t="s">
        <v>332</v>
      </c>
      <c r="H82" s="9" t="s">
        <v>18</v>
      </c>
      <c r="I82" s="25">
        <v>2</v>
      </c>
      <c r="J82" s="26">
        <v>0.2</v>
      </c>
      <c r="K82" s="20">
        <f t="shared" si="9"/>
        <v>2.4</v>
      </c>
      <c r="L82" s="25">
        <v>5.5</v>
      </c>
      <c r="M82" s="26">
        <v>0.12</v>
      </c>
      <c r="N82" s="20">
        <f t="shared" si="10"/>
        <v>6.16</v>
      </c>
      <c r="O82" s="27">
        <f t="shared" si="11"/>
        <v>8.56</v>
      </c>
      <c r="P82" s="30" t="str">
        <f t="shared" si="12"/>
        <v>Priced</v>
      </c>
      <c r="Q82" s="9">
        <v>1</v>
      </c>
      <c r="R82" s="31" t="s">
        <v>2484</v>
      </c>
      <c r="S82" s="29" t="str">
        <f t="shared" si="13"/>
        <v>Zinc sheet 0.4mm|m2</v>
      </c>
      <c r="T82" s="24" t="s">
        <v>2367</v>
      </c>
    </row>
    <row r="83" spans="1:20" ht="15" customHeight="1" x14ac:dyDescent="0.25">
      <c r="A83" s="9" t="s">
        <v>2485</v>
      </c>
      <c r="B83" s="10" t="s">
        <v>13</v>
      </c>
      <c r="C83" s="9" t="s">
        <v>225</v>
      </c>
      <c r="D83" s="12" t="s">
        <v>226</v>
      </c>
      <c r="E83" s="12" t="s">
        <v>324</v>
      </c>
      <c r="F83" s="12" t="s">
        <v>334</v>
      </c>
      <c r="G83" s="12" t="s">
        <v>335</v>
      </c>
      <c r="H83" s="9" t="s">
        <v>61</v>
      </c>
      <c r="I83" s="25">
        <v>1</v>
      </c>
      <c r="J83" s="26">
        <v>0.2</v>
      </c>
      <c r="K83" s="20">
        <f t="shared" si="9"/>
        <v>1.2</v>
      </c>
      <c r="L83" s="25">
        <v>2.5</v>
      </c>
      <c r="M83" s="26">
        <v>0.12</v>
      </c>
      <c r="N83" s="20">
        <f t="shared" si="10"/>
        <v>2.8000000000000003</v>
      </c>
      <c r="O83" s="27">
        <f t="shared" si="11"/>
        <v>4</v>
      </c>
      <c r="P83" s="30" t="str">
        <f t="shared" si="12"/>
        <v>Priced</v>
      </c>
      <c r="Q83" s="9">
        <v>2</v>
      </c>
      <c r="R83" s="31" t="s">
        <v>2486</v>
      </c>
      <c r="S83" s="29" t="str">
        <f t="shared" si="13"/>
        <v>Flashing cover roof|m</v>
      </c>
      <c r="T83" s="24" t="s">
        <v>2367</v>
      </c>
    </row>
    <row r="84" spans="1:20" ht="15" customHeight="1" x14ac:dyDescent="0.25">
      <c r="A84" s="9" t="s">
        <v>2487</v>
      </c>
      <c r="B84" s="10" t="s">
        <v>13</v>
      </c>
      <c r="C84" s="9" t="s">
        <v>225</v>
      </c>
      <c r="D84" s="12" t="s">
        <v>226</v>
      </c>
      <c r="E84" s="12" t="s">
        <v>339</v>
      </c>
      <c r="F84" s="12" t="s">
        <v>342</v>
      </c>
      <c r="G84" s="12" t="s">
        <v>343</v>
      </c>
      <c r="H84" s="9" t="s">
        <v>57</v>
      </c>
      <c r="I84" s="25">
        <v>0</v>
      </c>
      <c r="J84" s="26">
        <v>0</v>
      </c>
      <c r="K84" s="20">
        <f t="shared" si="9"/>
        <v>0</v>
      </c>
      <c r="L84" s="25">
        <v>120</v>
      </c>
      <c r="M84" s="26">
        <v>0.1</v>
      </c>
      <c r="N84" s="20">
        <f t="shared" si="10"/>
        <v>132</v>
      </c>
      <c r="O84" s="27">
        <f t="shared" si="11"/>
        <v>132</v>
      </c>
      <c r="P84" s="17" t="str">
        <f t="shared" si="12"/>
        <v>Benchmark</v>
      </c>
      <c r="Q84" s="9">
        <v>1</v>
      </c>
      <c r="R84" s="28" t="s">
        <v>2488</v>
      </c>
      <c r="S84" s="29" t="str">
        <f t="shared" si="13"/>
        <v>Non-destructive test (rebound hammer / ultrasonic) as per specification|Nos</v>
      </c>
      <c r="T84" s="24" t="s">
        <v>2336</v>
      </c>
    </row>
    <row r="85" spans="1:20" ht="15" customHeight="1" x14ac:dyDescent="0.25">
      <c r="A85" s="9" t="s">
        <v>2489</v>
      </c>
      <c r="B85" s="10" t="s">
        <v>13</v>
      </c>
      <c r="C85" s="9" t="s">
        <v>225</v>
      </c>
      <c r="D85" s="12" t="s">
        <v>226</v>
      </c>
      <c r="E85" s="12" t="s">
        <v>339</v>
      </c>
      <c r="F85" s="12" t="s">
        <v>345</v>
      </c>
      <c r="G85" s="12" t="s">
        <v>346</v>
      </c>
      <c r="H85" s="9" t="s">
        <v>35</v>
      </c>
      <c r="I85" s="25">
        <v>1500</v>
      </c>
      <c r="J85" s="26">
        <f>_STDLAB</f>
        <v>0.2</v>
      </c>
      <c r="K85" s="20">
        <f t="shared" si="9"/>
        <v>1800</v>
      </c>
      <c r="L85" s="25">
        <v>600</v>
      </c>
      <c r="M85" s="26">
        <f>_STDMAT</f>
        <v>0.12</v>
      </c>
      <c r="N85" s="20">
        <f t="shared" si="10"/>
        <v>672.00000000000011</v>
      </c>
      <c r="O85" s="27">
        <f t="shared" si="11"/>
        <v>2472</v>
      </c>
      <c r="P85" s="17" t="str">
        <f t="shared" si="12"/>
        <v>Benchmark</v>
      </c>
      <c r="Q85" s="9">
        <v>1</v>
      </c>
      <c r="R85" s="28" t="s">
        <v>2490</v>
      </c>
      <c r="S85" s="29" t="str">
        <f t="shared" si="13"/>
        <v>Setting out, survey and as-built record|Lot</v>
      </c>
      <c r="T85" s="24" t="s">
        <v>2336</v>
      </c>
    </row>
    <row r="86" spans="1:20" ht="21.75" customHeight="1" x14ac:dyDescent="0.25">
      <c r="A86" s="9" t="s">
        <v>2491</v>
      </c>
      <c r="B86" s="14" t="s">
        <v>348</v>
      </c>
      <c r="C86" s="9" t="s">
        <v>349</v>
      </c>
      <c r="D86" s="12" t="s">
        <v>350</v>
      </c>
      <c r="E86" s="12" t="s">
        <v>351</v>
      </c>
      <c r="F86" s="12" t="s">
        <v>352</v>
      </c>
      <c r="G86" s="12" t="s">
        <v>353</v>
      </c>
      <c r="H86" s="9" t="s">
        <v>18</v>
      </c>
      <c r="I86" s="25">
        <v>3</v>
      </c>
      <c r="J86" s="26">
        <f>_STDLAB</f>
        <v>0.2</v>
      </c>
      <c r="K86" s="20">
        <f t="shared" si="9"/>
        <v>3.5999999999999996</v>
      </c>
      <c r="L86" s="25">
        <v>6</v>
      </c>
      <c r="M86" s="26">
        <f>_STDMAT</f>
        <v>0.12</v>
      </c>
      <c r="N86" s="20">
        <f t="shared" si="10"/>
        <v>6.7200000000000006</v>
      </c>
      <c r="O86" s="27">
        <f t="shared" si="11"/>
        <v>10.32</v>
      </c>
      <c r="P86" s="17" t="str">
        <f t="shared" si="12"/>
        <v>Benchmark</v>
      </c>
      <c r="Q86" s="9">
        <v>1</v>
      </c>
      <c r="R86" s="28" t="s">
        <v>2492</v>
      </c>
      <c r="S86" s="29" t="str">
        <f t="shared" si="13"/>
        <v>Hollow clay brick, thickness 100mm, laid in cement:sand mortar 1:4|m2</v>
      </c>
      <c r="T86" s="24" t="s">
        <v>2336</v>
      </c>
    </row>
    <row r="87" spans="1:20" ht="21.75" customHeight="1" x14ac:dyDescent="0.25">
      <c r="A87" s="9" t="s">
        <v>2493</v>
      </c>
      <c r="B87" s="14" t="s">
        <v>348</v>
      </c>
      <c r="C87" s="9" t="s">
        <v>349</v>
      </c>
      <c r="D87" s="12" t="s">
        <v>350</v>
      </c>
      <c r="E87" s="12" t="s">
        <v>351</v>
      </c>
      <c r="F87" s="12" t="s">
        <v>355</v>
      </c>
      <c r="G87" s="12" t="s">
        <v>356</v>
      </c>
      <c r="H87" s="9" t="s">
        <v>18</v>
      </c>
      <c r="I87" s="25">
        <v>4.5</v>
      </c>
      <c r="J87" s="26">
        <v>0.2</v>
      </c>
      <c r="K87" s="20">
        <f t="shared" si="9"/>
        <v>5.3999999999999995</v>
      </c>
      <c r="L87" s="25">
        <v>11</v>
      </c>
      <c r="M87" s="26">
        <v>0.12</v>
      </c>
      <c r="N87" s="20">
        <f t="shared" si="10"/>
        <v>12.32</v>
      </c>
      <c r="O87" s="27">
        <f t="shared" si="11"/>
        <v>17.72</v>
      </c>
      <c r="P87" s="30" t="str">
        <f t="shared" si="12"/>
        <v>Priced</v>
      </c>
      <c r="Q87" s="9">
        <v>1</v>
      </c>
      <c r="R87" s="31" t="s">
        <v>2494</v>
      </c>
      <c r="S87" s="29" t="str">
        <f t="shared" si="13"/>
        <v>Hollow clay brick (80x80x180)mm, thickness 200mm Thk.|m2</v>
      </c>
      <c r="T87" s="24" t="s">
        <v>2367</v>
      </c>
    </row>
    <row r="88" spans="1:20" ht="21.75" customHeight="1" x14ac:dyDescent="0.25">
      <c r="A88" s="9" t="s">
        <v>2495</v>
      </c>
      <c r="B88" s="14" t="s">
        <v>348</v>
      </c>
      <c r="C88" s="9" t="s">
        <v>349</v>
      </c>
      <c r="D88" s="12" t="s">
        <v>350</v>
      </c>
      <c r="E88" s="12" t="s">
        <v>351</v>
      </c>
      <c r="F88" s="12" t="s">
        <v>358</v>
      </c>
      <c r="G88" s="12" t="s">
        <v>359</v>
      </c>
      <c r="H88" s="9" t="s">
        <v>18</v>
      </c>
      <c r="I88" s="25">
        <v>7</v>
      </c>
      <c r="J88" s="26">
        <v>0.2</v>
      </c>
      <c r="K88" s="20">
        <f t="shared" si="9"/>
        <v>8.4</v>
      </c>
      <c r="L88" s="25">
        <v>20</v>
      </c>
      <c r="M88" s="26">
        <v>0.12</v>
      </c>
      <c r="N88" s="20">
        <f t="shared" si="10"/>
        <v>22.400000000000002</v>
      </c>
      <c r="O88" s="27">
        <f t="shared" si="11"/>
        <v>30.800000000000004</v>
      </c>
      <c r="P88" s="30" t="str">
        <f t="shared" si="12"/>
        <v>Priced</v>
      </c>
      <c r="Q88" s="9">
        <v>1</v>
      </c>
      <c r="R88" s="31" t="s">
        <v>2496</v>
      </c>
      <c r="S88" s="29" t="str">
        <f t="shared" si="13"/>
        <v>Hollow clay brick (80x80x180)mm, thickness 400mm Thk.|m2</v>
      </c>
      <c r="T88" s="24" t="s">
        <v>2367</v>
      </c>
    </row>
    <row r="89" spans="1:20" ht="21.75" customHeight="1" x14ac:dyDescent="0.25">
      <c r="A89" s="9" t="s">
        <v>2497</v>
      </c>
      <c r="B89" s="14" t="s">
        <v>348</v>
      </c>
      <c r="C89" s="9" t="s">
        <v>349</v>
      </c>
      <c r="D89" s="12" t="s">
        <v>350</v>
      </c>
      <c r="E89" s="12" t="s">
        <v>351</v>
      </c>
      <c r="F89" s="12" t="s">
        <v>361</v>
      </c>
      <c r="G89" s="12" t="s">
        <v>362</v>
      </c>
      <c r="H89" s="9" t="s">
        <v>18</v>
      </c>
      <c r="I89" s="25">
        <v>8.5</v>
      </c>
      <c r="J89" s="26">
        <v>0.2</v>
      </c>
      <c r="K89" s="20">
        <f t="shared" si="9"/>
        <v>10.199999999999999</v>
      </c>
      <c r="L89" s="25">
        <v>25</v>
      </c>
      <c r="M89" s="26">
        <v>0.12</v>
      </c>
      <c r="N89" s="20">
        <f t="shared" si="10"/>
        <v>28.000000000000004</v>
      </c>
      <c r="O89" s="27">
        <f t="shared" si="11"/>
        <v>38.200000000000003</v>
      </c>
      <c r="P89" s="30" t="str">
        <f t="shared" si="12"/>
        <v>Priced</v>
      </c>
      <c r="Q89" s="9">
        <v>1</v>
      </c>
      <c r="R89" s="31" t="s">
        <v>2498</v>
      </c>
      <c r="S89" s="29" t="str">
        <f t="shared" si="13"/>
        <v>Hollow clay brick (80x80x180)mm, thickness 500mm Thk.|m2</v>
      </c>
      <c r="T89" s="24" t="s">
        <v>2367</v>
      </c>
    </row>
    <row r="90" spans="1:20" ht="21.75" customHeight="1" x14ac:dyDescent="0.25">
      <c r="A90" s="9" t="s">
        <v>2499</v>
      </c>
      <c r="B90" s="14" t="s">
        <v>348</v>
      </c>
      <c r="C90" s="9" t="s">
        <v>349</v>
      </c>
      <c r="D90" s="12" t="s">
        <v>350</v>
      </c>
      <c r="E90" s="12" t="s">
        <v>351</v>
      </c>
      <c r="F90" s="12" t="s">
        <v>364</v>
      </c>
      <c r="G90" s="12" t="s">
        <v>365</v>
      </c>
      <c r="H90" s="9" t="s">
        <v>18</v>
      </c>
      <c r="I90" s="25">
        <v>12</v>
      </c>
      <c r="J90" s="26">
        <v>0.2</v>
      </c>
      <c r="K90" s="20">
        <f t="shared" si="9"/>
        <v>14.399999999999999</v>
      </c>
      <c r="L90" s="25">
        <v>38</v>
      </c>
      <c r="M90" s="26">
        <v>0.12</v>
      </c>
      <c r="N90" s="20">
        <f t="shared" si="10"/>
        <v>42.56</v>
      </c>
      <c r="O90" s="27">
        <f t="shared" si="11"/>
        <v>56.96</v>
      </c>
      <c r="P90" s="30" t="str">
        <f t="shared" si="12"/>
        <v>Priced</v>
      </c>
      <c r="Q90" s="9">
        <v>1</v>
      </c>
      <c r="R90" s="31" t="s">
        <v>2500</v>
      </c>
      <c r="S90" s="29" t="str">
        <f t="shared" si="13"/>
        <v>Hollow clay brick (80x80x180)mm, thickness 800mm Thk.|m2</v>
      </c>
      <c r="T90" s="24" t="s">
        <v>2367</v>
      </c>
    </row>
    <row r="91" spans="1:20" ht="15" customHeight="1" x14ac:dyDescent="0.25">
      <c r="A91" s="9" t="s">
        <v>2501</v>
      </c>
      <c r="B91" s="14" t="s">
        <v>348</v>
      </c>
      <c r="C91" s="9" t="s">
        <v>349</v>
      </c>
      <c r="D91" s="12" t="s">
        <v>350</v>
      </c>
      <c r="E91" s="12" t="s">
        <v>367</v>
      </c>
      <c r="F91" s="12" t="s">
        <v>368</v>
      </c>
      <c r="G91" s="12" t="s">
        <v>369</v>
      </c>
      <c r="H91" s="9" t="s">
        <v>18</v>
      </c>
      <c r="I91" s="25">
        <v>3.2</v>
      </c>
      <c r="J91" s="26">
        <f t="shared" ref="J91:J98" si="14">_STDLAB</f>
        <v>0.2</v>
      </c>
      <c r="K91" s="20">
        <f t="shared" si="9"/>
        <v>3.84</v>
      </c>
      <c r="L91" s="25">
        <v>6.5</v>
      </c>
      <c r="M91" s="26">
        <f t="shared" ref="M91:M98" si="15">_STDMAT</f>
        <v>0.12</v>
      </c>
      <c r="N91" s="20">
        <f t="shared" si="10"/>
        <v>7.2800000000000011</v>
      </c>
      <c r="O91" s="27">
        <f t="shared" si="11"/>
        <v>11.120000000000001</v>
      </c>
      <c r="P91" s="17" t="str">
        <f t="shared" si="12"/>
        <v>Benchmark</v>
      </c>
      <c r="Q91" s="9">
        <v>1</v>
      </c>
      <c r="R91" s="28" t="s">
        <v>2502</v>
      </c>
      <c r="S91" s="29" t="str">
        <f t="shared" si="13"/>
        <v>concrete block, thickness 100mm, laid in cement:sand mortar 1:4|m2</v>
      </c>
      <c r="T91" s="24" t="s">
        <v>2336</v>
      </c>
    </row>
    <row r="92" spans="1:20" ht="15" customHeight="1" x14ac:dyDescent="0.25">
      <c r="A92" s="9" t="s">
        <v>2503</v>
      </c>
      <c r="B92" s="14" t="s">
        <v>348</v>
      </c>
      <c r="C92" s="9" t="s">
        <v>349</v>
      </c>
      <c r="D92" s="12" t="s">
        <v>350</v>
      </c>
      <c r="E92" s="12" t="s">
        <v>367</v>
      </c>
      <c r="F92" s="12" t="s">
        <v>371</v>
      </c>
      <c r="G92" s="12" t="s">
        <v>372</v>
      </c>
      <c r="H92" s="9" t="s">
        <v>18</v>
      </c>
      <c r="I92" s="25">
        <v>3.8</v>
      </c>
      <c r="J92" s="26">
        <f t="shared" si="14"/>
        <v>0.2</v>
      </c>
      <c r="K92" s="20">
        <f t="shared" si="9"/>
        <v>4.5599999999999996</v>
      </c>
      <c r="L92" s="25">
        <v>8.5</v>
      </c>
      <c r="M92" s="26">
        <f t="shared" si="15"/>
        <v>0.12</v>
      </c>
      <c r="N92" s="20">
        <f t="shared" si="10"/>
        <v>9.5200000000000014</v>
      </c>
      <c r="O92" s="27">
        <f t="shared" si="11"/>
        <v>14.080000000000002</v>
      </c>
      <c r="P92" s="17" t="str">
        <f t="shared" si="12"/>
        <v>Benchmark</v>
      </c>
      <c r="Q92" s="9">
        <v>1</v>
      </c>
      <c r="R92" s="28" t="s">
        <v>2502</v>
      </c>
      <c r="S92" s="29" t="str">
        <f t="shared" si="13"/>
        <v>concrete block, thickness 150mm, laid in cement:sand mortar 1:4|m2</v>
      </c>
      <c r="T92" s="24" t="s">
        <v>2336</v>
      </c>
    </row>
    <row r="93" spans="1:20" ht="15" customHeight="1" x14ac:dyDescent="0.25">
      <c r="A93" s="9" t="s">
        <v>2504</v>
      </c>
      <c r="B93" s="14" t="s">
        <v>348</v>
      </c>
      <c r="C93" s="9" t="s">
        <v>349</v>
      </c>
      <c r="D93" s="12" t="s">
        <v>350</v>
      </c>
      <c r="E93" s="12" t="s">
        <v>367</v>
      </c>
      <c r="F93" s="12" t="s">
        <v>374</v>
      </c>
      <c r="G93" s="12" t="s">
        <v>375</v>
      </c>
      <c r="H93" s="9" t="s">
        <v>18</v>
      </c>
      <c r="I93" s="25">
        <v>4.2</v>
      </c>
      <c r="J93" s="26">
        <f t="shared" si="14"/>
        <v>0.2</v>
      </c>
      <c r="K93" s="20">
        <f t="shared" si="9"/>
        <v>5.04</v>
      </c>
      <c r="L93" s="25">
        <v>10.5</v>
      </c>
      <c r="M93" s="26">
        <f t="shared" si="15"/>
        <v>0.12</v>
      </c>
      <c r="N93" s="20">
        <f t="shared" si="10"/>
        <v>11.760000000000002</v>
      </c>
      <c r="O93" s="27">
        <f t="shared" si="11"/>
        <v>16.8</v>
      </c>
      <c r="P93" s="17" t="str">
        <f t="shared" si="12"/>
        <v>Benchmark</v>
      </c>
      <c r="Q93" s="9">
        <v>1</v>
      </c>
      <c r="R93" s="28" t="s">
        <v>2502</v>
      </c>
      <c r="S93" s="29" t="str">
        <f t="shared" si="13"/>
        <v>concrete block, thickness 200mm, laid in cement:sand mortar 1:4|m2</v>
      </c>
      <c r="T93" s="24" t="s">
        <v>2336</v>
      </c>
    </row>
    <row r="94" spans="1:20" ht="15" customHeight="1" x14ac:dyDescent="0.25">
      <c r="A94" s="9" t="s">
        <v>2505</v>
      </c>
      <c r="B94" s="14" t="s">
        <v>348</v>
      </c>
      <c r="C94" s="9" t="s">
        <v>349</v>
      </c>
      <c r="D94" s="12" t="s">
        <v>350</v>
      </c>
      <c r="E94" s="12" t="s">
        <v>377</v>
      </c>
      <c r="F94" s="12" t="s">
        <v>378</v>
      </c>
      <c r="G94" s="12" t="s">
        <v>379</v>
      </c>
      <c r="H94" s="9" t="s">
        <v>18</v>
      </c>
      <c r="I94" s="25">
        <v>3.5</v>
      </c>
      <c r="J94" s="26">
        <f t="shared" si="14"/>
        <v>0.2</v>
      </c>
      <c r="K94" s="20">
        <f t="shared" si="9"/>
        <v>4.2</v>
      </c>
      <c r="L94" s="25">
        <v>9.5</v>
      </c>
      <c r="M94" s="26">
        <f t="shared" si="15"/>
        <v>0.12</v>
      </c>
      <c r="N94" s="20">
        <f t="shared" si="10"/>
        <v>10.64</v>
      </c>
      <c r="O94" s="27">
        <f t="shared" si="11"/>
        <v>14.84</v>
      </c>
      <c r="P94" s="17" t="str">
        <f t="shared" si="12"/>
        <v>Benchmark</v>
      </c>
      <c r="Q94" s="9">
        <v>1</v>
      </c>
      <c r="R94" s="28" t="s">
        <v>2506</v>
      </c>
      <c r="S94" s="29" t="str">
        <f t="shared" si="13"/>
        <v>AAC lightweight block 100mm thk. laid in thin-bed adhesive mortar|m2</v>
      </c>
      <c r="T94" s="24" t="s">
        <v>2336</v>
      </c>
    </row>
    <row r="95" spans="1:20" ht="15" customHeight="1" x14ac:dyDescent="0.25">
      <c r="A95" s="9" t="s">
        <v>2507</v>
      </c>
      <c r="B95" s="14" t="s">
        <v>348</v>
      </c>
      <c r="C95" s="9" t="s">
        <v>349</v>
      </c>
      <c r="D95" s="12" t="s">
        <v>350</v>
      </c>
      <c r="E95" s="12" t="s">
        <v>377</v>
      </c>
      <c r="F95" s="12" t="s">
        <v>381</v>
      </c>
      <c r="G95" s="12" t="s">
        <v>382</v>
      </c>
      <c r="H95" s="9" t="s">
        <v>18</v>
      </c>
      <c r="I95" s="25">
        <v>4</v>
      </c>
      <c r="J95" s="26">
        <f t="shared" si="14"/>
        <v>0.2</v>
      </c>
      <c r="K95" s="20">
        <f t="shared" si="9"/>
        <v>4.8</v>
      </c>
      <c r="L95" s="25">
        <v>13</v>
      </c>
      <c r="M95" s="26">
        <f t="shared" si="15"/>
        <v>0.12</v>
      </c>
      <c r="N95" s="20">
        <f t="shared" si="10"/>
        <v>14.560000000000002</v>
      </c>
      <c r="O95" s="27">
        <f t="shared" si="11"/>
        <v>19.360000000000003</v>
      </c>
      <c r="P95" s="17" t="str">
        <f t="shared" si="12"/>
        <v>Benchmark</v>
      </c>
      <c r="Q95" s="9">
        <v>1</v>
      </c>
      <c r="R95" s="28" t="s">
        <v>2506</v>
      </c>
      <c r="S95" s="29" t="str">
        <f t="shared" si="13"/>
        <v>AAC lightweight block 150mm thk. laid in thin-bed adhesive mortar|m2</v>
      </c>
      <c r="T95" s="24" t="s">
        <v>2336</v>
      </c>
    </row>
    <row r="96" spans="1:20" ht="15" customHeight="1" x14ac:dyDescent="0.25">
      <c r="A96" s="9" t="s">
        <v>2508</v>
      </c>
      <c r="B96" s="14" t="s">
        <v>348</v>
      </c>
      <c r="C96" s="9" t="s">
        <v>349</v>
      </c>
      <c r="D96" s="12" t="s">
        <v>350</v>
      </c>
      <c r="E96" s="12" t="s">
        <v>377</v>
      </c>
      <c r="F96" s="12" t="s">
        <v>384</v>
      </c>
      <c r="G96" s="12" t="s">
        <v>385</v>
      </c>
      <c r="H96" s="9" t="s">
        <v>18</v>
      </c>
      <c r="I96" s="25">
        <v>4.5</v>
      </c>
      <c r="J96" s="26">
        <f t="shared" si="14"/>
        <v>0.2</v>
      </c>
      <c r="K96" s="20">
        <f t="shared" si="9"/>
        <v>5.3999999999999995</v>
      </c>
      <c r="L96" s="25">
        <v>16.5</v>
      </c>
      <c r="M96" s="26">
        <f t="shared" si="15"/>
        <v>0.12</v>
      </c>
      <c r="N96" s="20">
        <f t="shared" si="10"/>
        <v>18.48</v>
      </c>
      <c r="O96" s="27">
        <f t="shared" si="11"/>
        <v>23.88</v>
      </c>
      <c r="P96" s="17" t="str">
        <f t="shared" si="12"/>
        <v>Benchmark</v>
      </c>
      <c r="Q96" s="9">
        <v>1</v>
      </c>
      <c r="R96" s="28" t="s">
        <v>2506</v>
      </c>
      <c r="S96" s="29" t="str">
        <f t="shared" si="13"/>
        <v>AAC lightweight block 200mm thk. laid in thin-bed adhesive mortar|m2</v>
      </c>
      <c r="T96" s="24" t="s">
        <v>2336</v>
      </c>
    </row>
    <row r="97" spans="1:20" ht="15" customHeight="1" x14ac:dyDescent="0.25">
      <c r="A97" s="9" t="s">
        <v>2509</v>
      </c>
      <c r="B97" s="14" t="s">
        <v>348</v>
      </c>
      <c r="C97" s="9" t="s">
        <v>349</v>
      </c>
      <c r="D97" s="12" t="s">
        <v>350</v>
      </c>
      <c r="E97" s="12" t="s">
        <v>387</v>
      </c>
      <c r="F97" s="12" t="s">
        <v>388</v>
      </c>
      <c r="G97" s="12" t="s">
        <v>389</v>
      </c>
      <c r="H97" s="9" t="s">
        <v>18</v>
      </c>
      <c r="I97" s="25">
        <v>6</v>
      </c>
      <c r="J97" s="26">
        <f t="shared" si="14"/>
        <v>0.2</v>
      </c>
      <c r="K97" s="20">
        <f t="shared" si="9"/>
        <v>7.1999999999999993</v>
      </c>
      <c r="L97" s="25">
        <v>32</v>
      </c>
      <c r="M97" s="26">
        <f t="shared" si="15"/>
        <v>0.12</v>
      </c>
      <c r="N97" s="20">
        <f t="shared" si="10"/>
        <v>35.840000000000003</v>
      </c>
      <c r="O97" s="27">
        <f t="shared" si="11"/>
        <v>43.040000000000006</v>
      </c>
      <c r="P97" s="17" t="str">
        <f t="shared" si="12"/>
        <v>Benchmark</v>
      </c>
      <c r="Q97" s="9">
        <v>1</v>
      </c>
      <c r="R97" s="28" t="s">
        <v>2510</v>
      </c>
      <c r="S97" s="29" t="str">
        <f t="shared" si="13"/>
        <v>Precast concrete wall panel incl. lifting, setting and jointing|m2</v>
      </c>
      <c r="T97" s="24" t="s">
        <v>2336</v>
      </c>
    </row>
    <row r="98" spans="1:20" ht="15" customHeight="1" x14ac:dyDescent="0.25">
      <c r="A98" s="9" t="s">
        <v>2511</v>
      </c>
      <c r="B98" s="14" t="s">
        <v>348</v>
      </c>
      <c r="C98" s="9" t="s">
        <v>349</v>
      </c>
      <c r="D98" s="12" t="s">
        <v>350</v>
      </c>
      <c r="E98" s="12" t="s">
        <v>387</v>
      </c>
      <c r="F98" s="12" t="s">
        <v>391</v>
      </c>
      <c r="G98" s="12" t="s">
        <v>392</v>
      </c>
      <c r="H98" s="9" t="s">
        <v>61</v>
      </c>
      <c r="I98" s="25">
        <v>1.2</v>
      </c>
      <c r="J98" s="26">
        <f t="shared" si="14"/>
        <v>0.2</v>
      </c>
      <c r="K98" s="20">
        <f t="shared" si="9"/>
        <v>1.44</v>
      </c>
      <c r="L98" s="25">
        <v>2</v>
      </c>
      <c r="M98" s="26">
        <f t="shared" si="15"/>
        <v>0.12</v>
      </c>
      <c r="N98" s="20">
        <f t="shared" si="10"/>
        <v>2.2400000000000002</v>
      </c>
      <c r="O98" s="27">
        <f t="shared" si="11"/>
        <v>3.68</v>
      </c>
      <c r="P98" s="17" t="str">
        <f t="shared" si="12"/>
        <v>Benchmark</v>
      </c>
      <c r="Q98" s="9">
        <v>1</v>
      </c>
      <c r="R98" s="28" t="s">
        <v>2512</v>
      </c>
      <c r="S98" s="29" t="str">
        <f t="shared" si="13"/>
        <v>Panel joint backer rod and weatherproof silicone sealant|m</v>
      </c>
      <c r="T98" s="24" t="s">
        <v>2336</v>
      </c>
    </row>
    <row r="99" spans="1:20" ht="15" customHeight="1" x14ac:dyDescent="0.25">
      <c r="A99" s="9" t="s">
        <v>2513</v>
      </c>
      <c r="B99" s="14" t="s">
        <v>348</v>
      </c>
      <c r="C99" s="9" t="s">
        <v>349</v>
      </c>
      <c r="D99" s="12" t="s">
        <v>350</v>
      </c>
      <c r="E99" s="12" t="s">
        <v>394</v>
      </c>
      <c r="F99" s="12" t="s">
        <v>394</v>
      </c>
      <c r="G99" s="12" t="s">
        <v>395</v>
      </c>
      <c r="H99" s="9" t="s">
        <v>18</v>
      </c>
      <c r="I99" s="25">
        <v>4</v>
      </c>
      <c r="J99" s="26">
        <v>0.2</v>
      </c>
      <c r="K99" s="20">
        <f t="shared" si="9"/>
        <v>4.8</v>
      </c>
      <c r="L99" s="25">
        <v>9</v>
      </c>
      <c r="M99" s="26">
        <v>0.12</v>
      </c>
      <c r="N99" s="20">
        <f t="shared" si="10"/>
        <v>10.080000000000002</v>
      </c>
      <c r="O99" s="27">
        <f t="shared" si="11"/>
        <v>14.880000000000003</v>
      </c>
      <c r="P99" s="30" t="str">
        <f t="shared" si="12"/>
        <v>Priced</v>
      </c>
      <c r="Q99" s="9">
        <v>1</v>
      </c>
      <c r="R99" s="31" t="s">
        <v>2514</v>
      </c>
      <c r="S99" s="29" t="str">
        <f t="shared" si="13"/>
        <v>concrete block|m2</v>
      </c>
      <c r="T99" s="24" t="s">
        <v>2367</v>
      </c>
    </row>
    <row r="100" spans="1:20" ht="15" customHeight="1" x14ac:dyDescent="0.25">
      <c r="A100" s="9" t="s">
        <v>2515</v>
      </c>
      <c r="B100" s="14" t="s">
        <v>348</v>
      </c>
      <c r="C100" s="9" t="s">
        <v>349</v>
      </c>
      <c r="D100" s="12" t="s">
        <v>350</v>
      </c>
      <c r="E100" s="12" t="s">
        <v>394</v>
      </c>
      <c r="F100" s="12" t="s">
        <v>394</v>
      </c>
      <c r="G100" s="12" t="s">
        <v>394</v>
      </c>
      <c r="H100" s="9" t="s">
        <v>18</v>
      </c>
      <c r="I100" s="25">
        <v>8</v>
      </c>
      <c r="J100" s="26">
        <f>_STDLAB</f>
        <v>0.2</v>
      </c>
      <c r="K100" s="20">
        <f t="shared" si="9"/>
        <v>9.6</v>
      </c>
      <c r="L100" s="25">
        <v>45</v>
      </c>
      <c r="M100" s="26">
        <f>_STDMAT</f>
        <v>0.12</v>
      </c>
      <c r="N100" s="20">
        <f t="shared" si="10"/>
        <v>50.400000000000006</v>
      </c>
      <c r="O100" s="27">
        <f t="shared" si="11"/>
        <v>60.000000000000007</v>
      </c>
      <c r="P100" s="17" t="str">
        <f t="shared" si="12"/>
        <v>Benchmark</v>
      </c>
      <c r="Q100" s="9">
        <v>1</v>
      </c>
      <c r="R100" s="28" t="s">
        <v>2516</v>
      </c>
      <c r="S100" s="29" t="str">
        <f t="shared" si="13"/>
        <v>External façade|m2</v>
      </c>
      <c r="T100" s="24" t="s">
        <v>2336</v>
      </c>
    </row>
    <row r="101" spans="1:20" ht="21.75" customHeight="1" x14ac:dyDescent="0.25">
      <c r="A101" s="9" t="s">
        <v>2517</v>
      </c>
      <c r="B101" s="14" t="s">
        <v>348</v>
      </c>
      <c r="C101" s="9" t="s">
        <v>349</v>
      </c>
      <c r="D101" s="12" t="s">
        <v>350</v>
      </c>
      <c r="E101" s="12" t="s">
        <v>394</v>
      </c>
      <c r="F101" s="12" t="s">
        <v>397</v>
      </c>
      <c r="G101" s="12" t="s">
        <v>398</v>
      </c>
      <c r="H101" s="9" t="s">
        <v>18</v>
      </c>
      <c r="I101" s="25">
        <v>18</v>
      </c>
      <c r="J101" s="26">
        <f>_STDLAB</f>
        <v>0.2</v>
      </c>
      <c r="K101" s="20">
        <f t="shared" si="9"/>
        <v>21.599999999999998</v>
      </c>
      <c r="L101" s="25">
        <v>95</v>
      </c>
      <c r="M101" s="26">
        <f>_STDMAT</f>
        <v>0.12</v>
      </c>
      <c r="N101" s="20">
        <f t="shared" si="10"/>
        <v>106.4</v>
      </c>
      <c r="O101" s="27">
        <f t="shared" si="11"/>
        <v>128</v>
      </c>
      <c r="P101" s="17" t="str">
        <f t="shared" si="12"/>
        <v>Benchmark</v>
      </c>
      <c r="Q101" s="9">
        <v>1</v>
      </c>
      <c r="R101" s="28" t="s">
        <v>2518</v>
      </c>
      <c r="S101" s="29" t="str">
        <f t="shared" si="13"/>
        <v>Aluminium curtain wall system with 8mm tempered glass incl. framing and sealant|m2</v>
      </c>
      <c r="T101" s="24" t="s">
        <v>2336</v>
      </c>
    </row>
    <row r="102" spans="1:20" ht="15" customHeight="1" x14ac:dyDescent="0.25">
      <c r="A102" s="9" t="s">
        <v>2519</v>
      </c>
      <c r="B102" s="14" t="s">
        <v>348</v>
      </c>
      <c r="C102" s="9" t="s">
        <v>349</v>
      </c>
      <c r="D102" s="12" t="s">
        <v>350</v>
      </c>
      <c r="E102" s="12" t="s">
        <v>394</v>
      </c>
      <c r="F102" s="12" t="s">
        <v>400</v>
      </c>
      <c r="G102" s="12" t="s">
        <v>401</v>
      </c>
      <c r="H102" s="9" t="s">
        <v>18</v>
      </c>
      <c r="I102" s="25">
        <v>12</v>
      </c>
      <c r="J102" s="26">
        <f>_STDLAB</f>
        <v>0.2</v>
      </c>
      <c r="K102" s="20">
        <f t="shared" si="9"/>
        <v>14.399999999999999</v>
      </c>
      <c r="L102" s="25">
        <v>45</v>
      </c>
      <c r="M102" s="26">
        <f>_STDMAT</f>
        <v>0.12</v>
      </c>
      <c r="N102" s="20">
        <f t="shared" si="10"/>
        <v>50.400000000000006</v>
      </c>
      <c r="O102" s="27">
        <f t="shared" si="11"/>
        <v>64.800000000000011</v>
      </c>
      <c r="P102" s="17" t="str">
        <f t="shared" si="12"/>
        <v>Benchmark</v>
      </c>
      <c r="Q102" s="9">
        <v>1</v>
      </c>
      <c r="R102" s="28" t="s">
        <v>2520</v>
      </c>
      <c r="S102" s="29" t="str">
        <f t="shared" si="13"/>
        <v>Aluminium composite panel 4mm, PVDF finish, incl. sub-frame and sealant|m2</v>
      </c>
      <c r="T102" s="24" t="s">
        <v>2336</v>
      </c>
    </row>
    <row r="103" spans="1:20" ht="15" customHeight="1" x14ac:dyDescent="0.25">
      <c r="A103" s="9" t="s">
        <v>2521</v>
      </c>
      <c r="B103" s="14" t="s">
        <v>348</v>
      </c>
      <c r="C103" s="9" t="s">
        <v>349</v>
      </c>
      <c r="D103" s="12" t="s">
        <v>350</v>
      </c>
      <c r="E103" s="12" t="s">
        <v>394</v>
      </c>
      <c r="F103" s="12" t="s">
        <v>403</v>
      </c>
      <c r="G103" s="12" t="s">
        <v>404</v>
      </c>
      <c r="H103" s="9" t="s">
        <v>18</v>
      </c>
      <c r="I103" s="25">
        <v>9</v>
      </c>
      <c r="J103" s="26">
        <f>_STDLAB</f>
        <v>0.2</v>
      </c>
      <c r="K103" s="20">
        <f t="shared" si="9"/>
        <v>10.799999999999999</v>
      </c>
      <c r="L103" s="25">
        <v>42</v>
      </c>
      <c r="M103" s="26">
        <f>_STDMAT</f>
        <v>0.12</v>
      </c>
      <c r="N103" s="20">
        <f t="shared" si="10"/>
        <v>47.040000000000006</v>
      </c>
      <c r="O103" s="27">
        <f t="shared" si="11"/>
        <v>57.84</v>
      </c>
      <c r="P103" s="17" t="str">
        <f t="shared" si="12"/>
        <v>Benchmark</v>
      </c>
      <c r="Q103" s="9">
        <v>1</v>
      </c>
      <c r="R103" s="28" t="s">
        <v>2522</v>
      </c>
      <c r="S103" s="29" t="str">
        <f t="shared" si="13"/>
        <v>Aluminium louver screen incl. sub-frame and fixing|m2</v>
      </c>
      <c r="T103" s="24" t="s">
        <v>2336</v>
      </c>
    </row>
    <row r="104" spans="1:20" ht="18.75" customHeight="1" x14ac:dyDescent="0.25">
      <c r="A104" s="9" t="s">
        <v>2523</v>
      </c>
      <c r="B104" s="14" t="s">
        <v>348</v>
      </c>
      <c r="C104" s="9" t="s">
        <v>406</v>
      </c>
      <c r="D104" s="12" t="s">
        <v>407</v>
      </c>
      <c r="E104" s="12" t="s">
        <v>408</v>
      </c>
      <c r="F104" s="12" t="s">
        <v>408</v>
      </c>
      <c r="G104" s="12" t="s">
        <v>409</v>
      </c>
      <c r="H104" s="9" t="s">
        <v>18</v>
      </c>
      <c r="I104" s="25">
        <v>2.5</v>
      </c>
      <c r="J104" s="26">
        <v>0.2</v>
      </c>
      <c r="K104" s="20">
        <f t="shared" si="9"/>
        <v>3</v>
      </c>
      <c r="L104" s="25">
        <v>2</v>
      </c>
      <c r="M104" s="26">
        <v>0.12</v>
      </c>
      <c r="N104" s="20">
        <f t="shared" si="10"/>
        <v>2.2400000000000002</v>
      </c>
      <c r="O104" s="27">
        <f t="shared" si="11"/>
        <v>5.24</v>
      </c>
      <c r="P104" s="30" t="str">
        <f t="shared" si="12"/>
        <v>Priced</v>
      </c>
      <c r="Q104" s="9">
        <v>3</v>
      </c>
      <c r="R104" s="31" t="s">
        <v>2524</v>
      </c>
      <c r="S104" s="29" t="str">
        <f t="shared" si="13"/>
        <v>20mm cement plaster|m2</v>
      </c>
      <c r="T104" s="24" t="s">
        <v>2367</v>
      </c>
    </row>
    <row r="105" spans="1:20" ht="15" customHeight="1" x14ac:dyDescent="0.25">
      <c r="A105" s="9" t="s">
        <v>2525</v>
      </c>
      <c r="B105" s="14" t="s">
        <v>348</v>
      </c>
      <c r="C105" s="9" t="s">
        <v>406</v>
      </c>
      <c r="D105" s="12" t="s">
        <v>407</v>
      </c>
      <c r="E105" s="12" t="s">
        <v>408</v>
      </c>
      <c r="F105" s="12" t="s">
        <v>408</v>
      </c>
      <c r="G105" s="12" t="s">
        <v>1924</v>
      </c>
      <c r="H105" s="9" t="s">
        <v>18</v>
      </c>
      <c r="I105" s="25">
        <v>2.2000000000000002</v>
      </c>
      <c r="J105" s="26">
        <f>_STDLAB</f>
        <v>0.2</v>
      </c>
      <c r="K105" s="20">
        <f t="shared" si="9"/>
        <v>2.64</v>
      </c>
      <c r="L105" s="25">
        <v>1.7</v>
      </c>
      <c r="M105" s="26">
        <f>_STDMAT</f>
        <v>0.12</v>
      </c>
      <c r="N105" s="20">
        <f t="shared" si="10"/>
        <v>1.9040000000000001</v>
      </c>
      <c r="O105" s="27">
        <f t="shared" si="11"/>
        <v>4.5440000000000005</v>
      </c>
      <c r="P105" s="17" t="str">
        <f t="shared" si="12"/>
        <v>Benchmark</v>
      </c>
      <c r="Q105" s="9">
        <v>3</v>
      </c>
      <c r="R105" s="28" t="s">
        <v>2526</v>
      </c>
      <c r="S105" s="29" t="str">
        <f t="shared" si="13"/>
        <v>15mm cement plaster|m2</v>
      </c>
      <c r="T105" s="24" t="s">
        <v>2336</v>
      </c>
    </row>
    <row r="106" spans="1:20" ht="15" customHeight="1" x14ac:dyDescent="0.25">
      <c r="A106" s="9" t="s">
        <v>2527</v>
      </c>
      <c r="B106" s="14" t="s">
        <v>348</v>
      </c>
      <c r="C106" s="9" t="s">
        <v>406</v>
      </c>
      <c r="D106" s="12" t="s">
        <v>407</v>
      </c>
      <c r="E106" s="12" t="s">
        <v>408</v>
      </c>
      <c r="F106" s="12" t="s">
        <v>411</v>
      </c>
      <c r="G106" s="12" t="s">
        <v>412</v>
      </c>
      <c r="H106" s="9" t="s">
        <v>18</v>
      </c>
      <c r="I106" s="25">
        <v>1.4</v>
      </c>
      <c r="J106" s="26">
        <f>_STDLAB</f>
        <v>0.2</v>
      </c>
      <c r="K106" s="20">
        <f t="shared" si="9"/>
        <v>1.68</v>
      </c>
      <c r="L106" s="25">
        <v>1.1000000000000001</v>
      </c>
      <c r="M106" s="26">
        <f>_STDMAT</f>
        <v>0.12</v>
      </c>
      <c r="N106" s="20">
        <f t="shared" si="10"/>
        <v>1.2320000000000002</v>
      </c>
      <c r="O106" s="27">
        <f t="shared" si="11"/>
        <v>2.9119999999999999</v>
      </c>
      <c r="P106" s="17" t="str">
        <f t="shared" si="12"/>
        <v>Benchmark</v>
      </c>
      <c r="Q106" s="9">
        <v>2</v>
      </c>
      <c r="R106" s="28" t="s">
        <v>2528</v>
      </c>
      <c r="S106" s="29" t="str">
        <f t="shared" si="13"/>
        <v>Skim coat, 2 coats, sanded ready to receive paint|m2</v>
      </c>
      <c r="T106" s="24" t="s">
        <v>2336</v>
      </c>
    </row>
    <row r="107" spans="1:20" ht="15" customHeight="1" x14ac:dyDescent="0.25">
      <c r="A107" s="9" t="s">
        <v>2529</v>
      </c>
      <c r="B107" s="14" t="s">
        <v>348</v>
      </c>
      <c r="C107" s="9" t="s">
        <v>406</v>
      </c>
      <c r="D107" s="12" t="s">
        <v>407</v>
      </c>
      <c r="E107" s="12" t="s">
        <v>408</v>
      </c>
      <c r="F107" s="12" t="s">
        <v>414</v>
      </c>
      <c r="G107" s="12" t="s">
        <v>415</v>
      </c>
      <c r="H107" s="9" t="s">
        <v>61</v>
      </c>
      <c r="I107" s="25">
        <v>4.5</v>
      </c>
      <c r="J107" s="26">
        <f>_STDLAB</f>
        <v>0.2</v>
      </c>
      <c r="K107" s="20">
        <f t="shared" si="9"/>
        <v>5.3999999999999995</v>
      </c>
      <c r="L107" s="25">
        <v>2.5</v>
      </c>
      <c r="M107" s="26">
        <f>_STDMAT</f>
        <v>0.12</v>
      </c>
      <c r="N107" s="20">
        <f t="shared" si="10"/>
        <v>2.8000000000000003</v>
      </c>
      <c r="O107" s="27">
        <f t="shared" si="11"/>
        <v>8.1999999999999993</v>
      </c>
      <c r="P107" s="17" t="str">
        <f t="shared" si="12"/>
        <v>Benchmark</v>
      </c>
      <c r="Q107" s="9">
        <v>1</v>
      </c>
      <c r="R107" s="28" t="s">
        <v>2530</v>
      </c>
      <c r="S107" s="29" t="str">
        <f t="shared" si="13"/>
        <v>Cement molding / cornice incl. forming and finishing|m</v>
      </c>
      <c r="T107" s="24" t="s">
        <v>2336</v>
      </c>
    </row>
    <row r="108" spans="1:20" ht="18.75" customHeight="1" x14ac:dyDescent="0.25">
      <c r="A108" s="9" t="s">
        <v>2531</v>
      </c>
      <c r="B108" s="14" t="s">
        <v>348</v>
      </c>
      <c r="C108" s="9" t="s">
        <v>406</v>
      </c>
      <c r="D108" s="12" t="s">
        <v>407</v>
      </c>
      <c r="E108" s="12" t="s">
        <v>417</v>
      </c>
      <c r="F108" s="12" t="s">
        <v>417</v>
      </c>
      <c r="G108" s="12" t="s">
        <v>417</v>
      </c>
      <c r="H108" s="9" t="s">
        <v>18</v>
      </c>
      <c r="I108" s="25">
        <v>1.5</v>
      </c>
      <c r="J108" s="26">
        <v>0.2</v>
      </c>
      <c r="K108" s="20">
        <f t="shared" si="9"/>
        <v>1.7999999999999998</v>
      </c>
      <c r="L108" s="25">
        <v>2.5</v>
      </c>
      <c r="M108" s="26">
        <v>0.12</v>
      </c>
      <c r="N108" s="20">
        <f t="shared" si="10"/>
        <v>2.8000000000000003</v>
      </c>
      <c r="O108" s="27">
        <f t="shared" si="11"/>
        <v>4.5999999999999996</v>
      </c>
      <c r="P108" s="30" t="str">
        <f t="shared" si="12"/>
        <v>Priced</v>
      </c>
      <c r="Q108" s="9">
        <v>3</v>
      </c>
      <c r="R108" s="31" t="s">
        <v>2532</v>
      </c>
      <c r="S108" s="29" t="str">
        <f t="shared" si="13"/>
        <v>Painting|m2</v>
      </c>
      <c r="T108" s="24" t="s">
        <v>2367</v>
      </c>
    </row>
    <row r="109" spans="1:20" ht="15" customHeight="1" x14ac:dyDescent="0.25">
      <c r="A109" s="9" t="s">
        <v>2533</v>
      </c>
      <c r="B109" s="14" t="s">
        <v>348</v>
      </c>
      <c r="C109" s="9" t="s">
        <v>406</v>
      </c>
      <c r="D109" s="12" t="s">
        <v>407</v>
      </c>
      <c r="E109" s="12" t="s">
        <v>417</v>
      </c>
      <c r="F109" s="12" t="s">
        <v>417</v>
      </c>
      <c r="G109" s="12" t="s">
        <v>1929</v>
      </c>
      <c r="H109" s="9" t="s">
        <v>18</v>
      </c>
      <c r="I109" s="25">
        <v>1.4</v>
      </c>
      <c r="J109" s="26">
        <f>_STDLAB</f>
        <v>0.2</v>
      </c>
      <c r="K109" s="20">
        <f t="shared" si="9"/>
        <v>1.68</v>
      </c>
      <c r="L109" s="25">
        <v>2.2000000000000002</v>
      </c>
      <c r="M109" s="26">
        <f>_STDMAT</f>
        <v>0.12</v>
      </c>
      <c r="N109" s="20">
        <f t="shared" si="10"/>
        <v>2.4640000000000004</v>
      </c>
      <c r="O109" s="27">
        <f t="shared" si="11"/>
        <v>4.1440000000000001</v>
      </c>
      <c r="P109" s="17" t="str">
        <f t="shared" si="12"/>
        <v>Benchmark</v>
      </c>
      <c r="Q109" s="9">
        <v>3</v>
      </c>
      <c r="R109" s="28" t="s">
        <v>2534</v>
      </c>
      <c r="S109" s="29" t="str">
        <f t="shared" si="13"/>
        <v>Painting, primer + 2 coats emulsion (interior)|m2</v>
      </c>
      <c r="T109" s="24" t="s">
        <v>2336</v>
      </c>
    </row>
    <row r="110" spans="1:20" ht="15" customHeight="1" x14ac:dyDescent="0.25">
      <c r="A110" s="9" t="s">
        <v>2535</v>
      </c>
      <c r="B110" s="14" t="s">
        <v>348</v>
      </c>
      <c r="C110" s="9" t="s">
        <v>406</v>
      </c>
      <c r="D110" s="12" t="s">
        <v>407</v>
      </c>
      <c r="E110" s="12" t="s">
        <v>417</v>
      </c>
      <c r="F110" s="12" t="s">
        <v>417</v>
      </c>
      <c r="G110" s="12" t="s">
        <v>1931</v>
      </c>
      <c r="H110" s="9" t="s">
        <v>18</v>
      </c>
      <c r="I110" s="25">
        <v>1.7</v>
      </c>
      <c r="J110" s="26">
        <f>_STDLAB</f>
        <v>0.2</v>
      </c>
      <c r="K110" s="20">
        <f t="shared" si="9"/>
        <v>2.04</v>
      </c>
      <c r="L110" s="25">
        <v>3.2</v>
      </c>
      <c r="M110" s="26">
        <f>_STDMAT</f>
        <v>0.12</v>
      </c>
      <c r="N110" s="20">
        <f t="shared" si="10"/>
        <v>3.5840000000000005</v>
      </c>
      <c r="O110" s="27">
        <f t="shared" si="11"/>
        <v>5.6240000000000006</v>
      </c>
      <c r="P110" s="17" t="str">
        <f t="shared" si="12"/>
        <v>Benchmark</v>
      </c>
      <c r="Q110" s="9">
        <v>3</v>
      </c>
      <c r="R110" s="28" t="s">
        <v>2536</v>
      </c>
      <c r="S110" s="29" t="str">
        <f t="shared" si="13"/>
        <v>Painting, primer + 2 coats weather-shield (exterior)|m2</v>
      </c>
      <c r="T110" s="24" t="s">
        <v>2336</v>
      </c>
    </row>
    <row r="111" spans="1:20" ht="15" customHeight="1" x14ac:dyDescent="0.25">
      <c r="A111" s="9" t="s">
        <v>2537</v>
      </c>
      <c r="B111" s="14" t="s">
        <v>348</v>
      </c>
      <c r="C111" s="9" t="s">
        <v>406</v>
      </c>
      <c r="D111" s="12" t="s">
        <v>407</v>
      </c>
      <c r="E111" s="12" t="s">
        <v>417</v>
      </c>
      <c r="F111" s="12" t="s">
        <v>419</v>
      </c>
      <c r="G111" s="12" t="s">
        <v>420</v>
      </c>
      <c r="H111" s="9" t="s">
        <v>18</v>
      </c>
      <c r="I111" s="25">
        <v>0.6</v>
      </c>
      <c r="J111" s="26">
        <f>_STDLAB</f>
        <v>0.2</v>
      </c>
      <c r="K111" s="20">
        <f t="shared" si="9"/>
        <v>0.72</v>
      </c>
      <c r="L111" s="25">
        <v>0.9</v>
      </c>
      <c r="M111" s="26">
        <f>_STDMAT</f>
        <v>0.12</v>
      </c>
      <c r="N111" s="20">
        <f t="shared" si="10"/>
        <v>1.0080000000000002</v>
      </c>
      <c r="O111" s="27">
        <f t="shared" si="11"/>
        <v>1.7280000000000002</v>
      </c>
      <c r="P111" s="17" t="str">
        <f t="shared" si="12"/>
        <v>Benchmark</v>
      </c>
      <c r="Q111" s="9">
        <v>2</v>
      </c>
      <c r="R111" s="28" t="s">
        <v>2538</v>
      </c>
      <c r="S111" s="29" t="str">
        <f t="shared" si="13"/>
        <v>Alkali resistant primer, 1 coat|m2</v>
      </c>
      <c r="T111" s="24" t="s">
        <v>2336</v>
      </c>
    </row>
    <row r="112" spans="1:20" ht="15" customHeight="1" x14ac:dyDescent="0.25">
      <c r="A112" s="9" t="s">
        <v>2539</v>
      </c>
      <c r="B112" s="14" t="s">
        <v>348</v>
      </c>
      <c r="C112" s="9" t="s">
        <v>406</v>
      </c>
      <c r="D112" s="12" t="s">
        <v>407</v>
      </c>
      <c r="E112" s="12" t="s">
        <v>417</v>
      </c>
      <c r="F112" s="12" t="s">
        <v>422</v>
      </c>
      <c r="G112" s="12" t="s">
        <v>423</v>
      </c>
      <c r="H112" s="9" t="s">
        <v>18</v>
      </c>
      <c r="I112" s="25">
        <v>1.7</v>
      </c>
      <c r="J112" s="26">
        <f>_STDLAB</f>
        <v>0.2</v>
      </c>
      <c r="K112" s="20">
        <f t="shared" si="9"/>
        <v>2.04</v>
      </c>
      <c r="L112" s="25">
        <v>3.3</v>
      </c>
      <c r="M112" s="26">
        <f>_STDMAT</f>
        <v>0.12</v>
      </c>
      <c r="N112" s="20">
        <f t="shared" si="10"/>
        <v>3.6960000000000002</v>
      </c>
      <c r="O112" s="27">
        <f t="shared" si="11"/>
        <v>5.7360000000000007</v>
      </c>
      <c r="P112" s="17" t="str">
        <f t="shared" si="12"/>
        <v>Benchmark</v>
      </c>
      <c r="Q112" s="9">
        <v>1</v>
      </c>
      <c r="R112" s="28" t="s">
        <v>2540</v>
      </c>
      <c r="S112" s="29" t="str">
        <f t="shared" si="13"/>
        <v>Weather-shield exterior coating, primer + 2 coats|m2</v>
      </c>
      <c r="T112" s="24" t="s">
        <v>2336</v>
      </c>
    </row>
    <row r="113" spans="1:20" ht="15" customHeight="1" x14ac:dyDescent="0.25">
      <c r="A113" s="9" t="s">
        <v>2541</v>
      </c>
      <c r="B113" s="14" t="s">
        <v>348</v>
      </c>
      <c r="C113" s="9" t="s">
        <v>406</v>
      </c>
      <c r="D113" s="12" t="s">
        <v>407</v>
      </c>
      <c r="E113" s="12" t="s">
        <v>425</v>
      </c>
      <c r="F113" s="12" t="s">
        <v>425</v>
      </c>
      <c r="G113" s="12" t="s">
        <v>426</v>
      </c>
      <c r="H113" s="9" t="s">
        <v>18</v>
      </c>
      <c r="I113" s="25">
        <v>6</v>
      </c>
      <c r="J113" s="26">
        <v>0.2</v>
      </c>
      <c r="K113" s="20">
        <f t="shared" si="9"/>
        <v>7.1999999999999993</v>
      </c>
      <c r="L113" s="25">
        <v>12</v>
      </c>
      <c r="M113" s="26">
        <v>0.12</v>
      </c>
      <c r="N113" s="20">
        <f t="shared" si="10"/>
        <v>13.440000000000001</v>
      </c>
      <c r="O113" s="27">
        <f t="shared" si="11"/>
        <v>20.64</v>
      </c>
      <c r="P113" s="30" t="str">
        <f t="shared" si="12"/>
        <v>Priced</v>
      </c>
      <c r="Q113" s="9">
        <v>2</v>
      </c>
      <c r="R113" s="31" t="s">
        <v>2542</v>
      </c>
      <c r="S113" s="29" t="str">
        <f t="shared" si="13"/>
        <v>Wall tile Size 0.6x0.6m,Height 1.2m, at cooridor|m2</v>
      </c>
      <c r="T113" s="24" t="s">
        <v>2367</v>
      </c>
    </row>
    <row r="114" spans="1:20" ht="15" customHeight="1" x14ac:dyDescent="0.25">
      <c r="A114" s="9" t="s">
        <v>2543</v>
      </c>
      <c r="B114" s="14" t="s">
        <v>348</v>
      </c>
      <c r="C114" s="9" t="s">
        <v>406</v>
      </c>
      <c r="D114" s="12" t="s">
        <v>407</v>
      </c>
      <c r="E114" s="12" t="s">
        <v>425</v>
      </c>
      <c r="F114" s="12" t="s">
        <v>428</v>
      </c>
      <c r="G114" s="12" t="s">
        <v>429</v>
      </c>
      <c r="H114" s="9" t="s">
        <v>18</v>
      </c>
      <c r="I114" s="25">
        <v>12</v>
      </c>
      <c r="J114" s="26">
        <f t="shared" ref="J114:J128" si="16">_STDLAB</f>
        <v>0.2</v>
      </c>
      <c r="K114" s="20">
        <f t="shared" si="9"/>
        <v>14.399999999999999</v>
      </c>
      <c r="L114" s="25">
        <v>38</v>
      </c>
      <c r="M114" s="26">
        <f t="shared" ref="M114:M128" si="17">_STDMAT</f>
        <v>0.12</v>
      </c>
      <c r="N114" s="20">
        <f t="shared" si="10"/>
        <v>42.56</v>
      </c>
      <c r="O114" s="27">
        <f t="shared" si="11"/>
        <v>56.96</v>
      </c>
      <c r="P114" s="17" t="str">
        <f t="shared" si="12"/>
        <v>Benchmark</v>
      </c>
      <c r="Q114" s="9">
        <v>1</v>
      </c>
      <c r="R114" s="28" t="s">
        <v>2544</v>
      </c>
      <c r="S114" s="29" t="str">
        <f t="shared" si="13"/>
        <v>Natural stone cladding incl. adhesive, anchor and pointing|m2</v>
      </c>
      <c r="T114" s="24" t="s">
        <v>2336</v>
      </c>
    </row>
    <row r="115" spans="1:20" ht="15" customHeight="1" x14ac:dyDescent="0.25">
      <c r="A115" s="9" t="s">
        <v>2545</v>
      </c>
      <c r="B115" s="14" t="s">
        <v>348</v>
      </c>
      <c r="C115" s="9" t="s">
        <v>406</v>
      </c>
      <c r="D115" s="12" t="s">
        <v>407</v>
      </c>
      <c r="E115" s="12" t="s">
        <v>431</v>
      </c>
      <c r="F115" s="12" t="s">
        <v>431</v>
      </c>
      <c r="G115" s="12" t="s">
        <v>432</v>
      </c>
      <c r="H115" s="9" t="s">
        <v>61</v>
      </c>
      <c r="I115" s="25">
        <v>3.5</v>
      </c>
      <c r="J115" s="26">
        <f t="shared" si="16"/>
        <v>0.2</v>
      </c>
      <c r="K115" s="20">
        <f t="shared" si="9"/>
        <v>4.2</v>
      </c>
      <c r="L115" s="25">
        <v>7.5</v>
      </c>
      <c r="M115" s="26">
        <f t="shared" si="17"/>
        <v>0.12</v>
      </c>
      <c r="N115" s="20">
        <f t="shared" si="10"/>
        <v>8.4</v>
      </c>
      <c r="O115" s="27">
        <f t="shared" si="11"/>
        <v>12.600000000000001</v>
      </c>
      <c r="P115" s="17" t="str">
        <f t="shared" si="12"/>
        <v>Benchmark</v>
      </c>
      <c r="Q115" s="9">
        <v>1</v>
      </c>
      <c r="R115" s="28" t="s">
        <v>2546</v>
      </c>
      <c r="S115" s="29" t="str">
        <f t="shared" si="13"/>
        <v>Expansion joint incl. backer rod, sealant and cover profile|m</v>
      </c>
      <c r="T115" s="24" t="s">
        <v>2336</v>
      </c>
    </row>
    <row r="116" spans="1:20" ht="15" customHeight="1" x14ac:dyDescent="0.25">
      <c r="A116" s="9" t="s">
        <v>2547</v>
      </c>
      <c r="B116" s="14" t="s">
        <v>348</v>
      </c>
      <c r="C116" s="9" t="s">
        <v>406</v>
      </c>
      <c r="D116" s="12" t="s">
        <v>407</v>
      </c>
      <c r="E116" s="12" t="s">
        <v>431</v>
      </c>
      <c r="F116" s="12" t="s">
        <v>434</v>
      </c>
      <c r="G116" s="12" t="s">
        <v>435</v>
      </c>
      <c r="H116" s="9" t="s">
        <v>61</v>
      </c>
      <c r="I116" s="25">
        <v>1.2</v>
      </c>
      <c r="J116" s="26">
        <f t="shared" si="16"/>
        <v>0.2</v>
      </c>
      <c r="K116" s="20">
        <f t="shared" si="9"/>
        <v>1.44</v>
      </c>
      <c r="L116" s="25">
        <v>2</v>
      </c>
      <c r="M116" s="26">
        <f t="shared" si="17"/>
        <v>0.12</v>
      </c>
      <c r="N116" s="20">
        <f t="shared" si="10"/>
        <v>2.2400000000000002</v>
      </c>
      <c r="O116" s="27">
        <f t="shared" si="11"/>
        <v>3.68</v>
      </c>
      <c r="P116" s="17" t="str">
        <f t="shared" si="12"/>
        <v>Benchmark</v>
      </c>
      <c r="Q116" s="9">
        <v>2</v>
      </c>
      <c r="R116" s="28" t="s">
        <v>2512</v>
      </c>
      <c r="S116" s="29" t="str">
        <f t="shared" si="13"/>
        <v>Weatherproof silicone sealant incl. backer rod|m</v>
      </c>
      <c r="T116" s="24" t="s">
        <v>2336</v>
      </c>
    </row>
    <row r="117" spans="1:20" ht="15" customHeight="1" x14ac:dyDescent="0.25">
      <c r="A117" s="9" t="s">
        <v>2548</v>
      </c>
      <c r="B117" s="14" t="s">
        <v>348</v>
      </c>
      <c r="C117" s="9" t="s">
        <v>437</v>
      </c>
      <c r="D117" s="12" t="s">
        <v>438</v>
      </c>
      <c r="E117" s="12" t="s">
        <v>439</v>
      </c>
      <c r="F117" s="12" t="s">
        <v>439</v>
      </c>
      <c r="G117" s="12" t="s">
        <v>440</v>
      </c>
      <c r="H117" s="9" t="s">
        <v>57</v>
      </c>
      <c r="I117" s="25">
        <v>18</v>
      </c>
      <c r="J117" s="26">
        <f t="shared" si="16"/>
        <v>0.2</v>
      </c>
      <c r="K117" s="20">
        <f t="shared" si="9"/>
        <v>21.599999999999998</v>
      </c>
      <c r="L117" s="25">
        <v>118</v>
      </c>
      <c r="M117" s="26">
        <f t="shared" si="17"/>
        <v>0.12</v>
      </c>
      <c r="N117" s="20">
        <f t="shared" si="10"/>
        <v>132.16000000000003</v>
      </c>
      <c r="O117" s="27">
        <f t="shared" si="11"/>
        <v>153.76000000000002</v>
      </c>
      <c r="P117" s="17" t="str">
        <f t="shared" si="12"/>
        <v>Benchmark</v>
      </c>
      <c r="Q117" s="9">
        <v>2</v>
      </c>
      <c r="R117" s="28" t="s">
        <v>2549</v>
      </c>
      <c r="S117" s="29" t="str">
        <f t="shared" si="13"/>
        <v>Steel Door, W:900,H:2100mm incl. frame, ironmongery and painting|Nos</v>
      </c>
      <c r="T117" s="24" t="s">
        <v>2336</v>
      </c>
    </row>
    <row r="118" spans="1:20" ht="15" customHeight="1" x14ac:dyDescent="0.25">
      <c r="A118" s="9" t="s">
        <v>2550</v>
      </c>
      <c r="B118" s="14" t="s">
        <v>348</v>
      </c>
      <c r="C118" s="9" t="s">
        <v>437</v>
      </c>
      <c r="D118" s="12" t="s">
        <v>438</v>
      </c>
      <c r="E118" s="12" t="s">
        <v>439</v>
      </c>
      <c r="F118" s="12" t="s">
        <v>442</v>
      </c>
      <c r="G118" s="12" t="s">
        <v>443</v>
      </c>
      <c r="H118" s="9" t="s">
        <v>57</v>
      </c>
      <c r="I118" s="25">
        <v>25</v>
      </c>
      <c r="J118" s="26">
        <f t="shared" si="16"/>
        <v>0.2</v>
      </c>
      <c r="K118" s="20">
        <f t="shared" si="9"/>
        <v>30</v>
      </c>
      <c r="L118" s="25">
        <v>235</v>
      </c>
      <c r="M118" s="26">
        <f t="shared" si="17"/>
        <v>0.12</v>
      </c>
      <c r="N118" s="20">
        <f t="shared" si="10"/>
        <v>263.20000000000005</v>
      </c>
      <c r="O118" s="27">
        <f t="shared" si="11"/>
        <v>293.20000000000005</v>
      </c>
      <c r="P118" s="17" t="str">
        <f t="shared" si="12"/>
        <v>Benchmark</v>
      </c>
      <c r="Q118" s="9">
        <v>1</v>
      </c>
      <c r="R118" s="28" t="s">
        <v>2551</v>
      </c>
      <c r="S118" s="29" t="str">
        <f t="shared" si="13"/>
        <v>Fire rated steel door 2 hour incl. frame, closer and panic bar|Nos</v>
      </c>
      <c r="T118" s="24" t="s">
        <v>2336</v>
      </c>
    </row>
    <row r="119" spans="1:20" ht="15" customHeight="1" x14ac:dyDescent="0.25">
      <c r="A119" s="9" t="s">
        <v>2552</v>
      </c>
      <c r="B119" s="14" t="s">
        <v>348</v>
      </c>
      <c r="C119" s="9" t="s">
        <v>437</v>
      </c>
      <c r="D119" s="12" t="s">
        <v>438</v>
      </c>
      <c r="E119" s="12" t="s">
        <v>445</v>
      </c>
      <c r="F119" s="12" t="s">
        <v>445</v>
      </c>
      <c r="G119" s="12" t="s">
        <v>446</v>
      </c>
      <c r="H119" s="9" t="s">
        <v>57</v>
      </c>
      <c r="I119" s="25">
        <v>20</v>
      </c>
      <c r="J119" s="26">
        <f t="shared" si="16"/>
        <v>0.2</v>
      </c>
      <c r="K119" s="20">
        <f t="shared" si="9"/>
        <v>24</v>
      </c>
      <c r="L119" s="25">
        <v>165</v>
      </c>
      <c r="M119" s="26">
        <f t="shared" si="17"/>
        <v>0.12</v>
      </c>
      <c r="N119" s="20">
        <f t="shared" si="10"/>
        <v>184.8</v>
      </c>
      <c r="O119" s="27">
        <f t="shared" si="11"/>
        <v>208.8</v>
      </c>
      <c r="P119" s="17" t="str">
        <f t="shared" si="12"/>
        <v>Benchmark</v>
      </c>
      <c r="Q119" s="9">
        <v>2</v>
      </c>
      <c r="R119" s="28" t="s">
        <v>2553</v>
      </c>
      <c r="S119" s="29" t="str">
        <f t="shared" si="13"/>
        <v>Aluminium framed door with 6mm tempered glass incl. ironmongery|Nos</v>
      </c>
      <c r="T119" s="24" t="s">
        <v>2336</v>
      </c>
    </row>
    <row r="120" spans="1:20" ht="15" customHeight="1" x14ac:dyDescent="0.25">
      <c r="A120" s="9" t="s">
        <v>2554</v>
      </c>
      <c r="B120" s="14" t="s">
        <v>348</v>
      </c>
      <c r="C120" s="9" t="s">
        <v>437</v>
      </c>
      <c r="D120" s="12" t="s">
        <v>438</v>
      </c>
      <c r="E120" s="12" t="s">
        <v>445</v>
      </c>
      <c r="F120" s="12" t="s">
        <v>448</v>
      </c>
      <c r="G120" s="12" t="s">
        <v>449</v>
      </c>
      <c r="H120" s="9" t="s">
        <v>57</v>
      </c>
      <c r="I120" s="25">
        <v>22</v>
      </c>
      <c r="J120" s="26">
        <f t="shared" si="16"/>
        <v>0.2</v>
      </c>
      <c r="K120" s="20">
        <f t="shared" si="9"/>
        <v>26.4</v>
      </c>
      <c r="L120" s="25">
        <v>195</v>
      </c>
      <c r="M120" s="26">
        <f t="shared" si="17"/>
        <v>0.12</v>
      </c>
      <c r="N120" s="20">
        <f t="shared" si="10"/>
        <v>218.40000000000003</v>
      </c>
      <c r="O120" s="27">
        <f t="shared" si="11"/>
        <v>244.80000000000004</v>
      </c>
      <c r="P120" s="17" t="str">
        <f t="shared" si="12"/>
        <v>Benchmark</v>
      </c>
      <c r="Q120" s="9">
        <v>1</v>
      </c>
      <c r="R120" s="28" t="s">
        <v>2555</v>
      </c>
      <c r="S120" s="29" t="str">
        <f t="shared" si="13"/>
        <v>Aluminium sliding door with 6mm tempered glass incl. track and ironmongery|Nos</v>
      </c>
      <c r="T120" s="24" t="s">
        <v>2336</v>
      </c>
    </row>
    <row r="121" spans="1:20" ht="15" customHeight="1" x14ac:dyDescent="0.25">
      <c r="A121" s="9" t="s">
        <v>2556</v>
      </c>
      <c r="B121" s="14" t="s">
        <v>348</v>
      </c>
      <c r="C121" s="9" t="s">
        <v>437</v>
      </c>
      <c r="D121" s="12" t="s">
        <v>438</v>
      </c>
      <c r="E121" s="12" t="s">
        <v>451</v>
      </c>
      <c r="F121" s="12" t="s">
        <v>452</v>
      </c>
      <c r="G121" s="12" t="s">
        <v>453</v>
      </c>
      <c r="H121" s="9" t="s">
        <v>57</v>
      </c>
      <c r="I121" s="25">
        <v>35</v>
      </c>
      <c r="J121" s="26">
        <f t="shared" si="16"/>
        <v>0.2</v>
      </c>
      <c r="K121" s="20">
        <f t="shared" si="9"/>
        <v>42</v>
      </c>
      <c r="L121" s="25">
        <v>295</v>
      </c>
      <c r="M121" s="26">
        <f t="shared" si="17"/>
        <v>0.12</v>
      </c>
      <c r="N121" s="20">
        <f t="shared" si="10"/>
        <v>330.40000000000003</v>
      </c>
      <c r="O121" s="27">
        <f t="shared" si="11"/>
        <v>372.40000000000003</v>
      </c>
      <c r="P121" s="17" t="str">
        <f t="shared" si="12"/>
        <v>Benchmark</v>
      </c>
      <c r="Q121" s="9">
        <v>1</v>
      </c>
      <c r="R121" s="28" t="s">
        <v>2557</v>
      </c>
      <c r="S121" s="29" t="str">
        <f t="shared" si="13"/>
        <v>Frameless tempered glass door 12mm incl. floor spring and patch fitting|Nos</v>
      </c>
      <c r="T121" s="24" t="s">
        <v>2336</v>
      </c>
    </row>
    <row r="122" spans="1:20" ht="15" customHeight="1" x14ac:dyDescent="0.25">
      <c r="A122" s="9" t="s">
        <v>2558</v>
      </c>
      <c r="B122" s="14" t="s">
        <v>348</v>
      </c>
      <c r="C122" s="9" t="s">
        <v>437</v>
      </c>
      <c r="D122" s="12" t="s">
        <v>438</v>
      </c>
      <c r="E122" s="12" t="s">
        <v>451</v>
      </c>
      <c r="F122" s="12" t="s">
        <v>455</v>
      </c>
      <c r="G122" s="12" t="s">
        <v>456</v>
      </c>
      <c r="H122" s="9" t="s">
        <v>57</v>
      </c>
      <c r="I122" s="25">
        <v>20</v>
      </c>
      <c r="J122" s="26">
        <f t="shared" si="16"/>
        <v>0.2</v>
      </c>
      <c r="K122" s="20">
        <f t="shared" si="9"/>
        <v>24</v>
      </c>
      <c r="L122" s="25">
        <v>170</v>
      </c>
      <c r="M122" s="26">
        <f t="shared" si="17"/>
        <v>0.12</v>
      </c>
      <c r="N122" s="20">
        <f t="shared" si="10"/>
        <v>190.4</v>
      </c>
      <c r="O122" s="27">
        <f t="shared" si="11"/>
        <v>214.4</v>
      </c>
      <c r="P122" s="17" t="str">
        <f t="shared" si="12"/>
        <v>Benchmark</v>
      </c>
      <c r="Q122" s="9">
        <v>1</v>
      </c>
      <c r="R122" s="28" t="s">
        <v>2559</v>
      </c>
      <c r="S122" s="29" t="str">
        <f t="shared" si="13"/>
        <v>Aluminium framed glass door incl. ironmongery|Nos</v>
      </c>
      <c r="T122" s="24" t="s">
        <v>2336</v>
      </c>
    </row>
    <row r="123" spans="1:20" ht="15" customHeight="1" x14ac:dyDescent="0.25">
      <c r="A123" s="9" t="s">
        <v>2560</v>
      </c>
      <c r="B123" s="14" t="s">
        <v>348</v>
      </c>
      <c r="C123" s="9" t="s">
        <v>437</v>
      </c>
      <c r="D123" s="12" t="s">
        <v>438</v>
      </c>
      <c r="E123" s="12" t="s">
        <v>458</v>
      </c>
      <c r="F123" s="12" t="s">
        <v>458</v>
      </c>
      <c r="G123" s="12" t="s">
        <v>459</v>
      </c>
      <c r="H123" s="9" t="s">
        <v>18</v>
      </c>
      <c r="I123" s="25">
        <v>9</v>
      </c>
      <c r="J123" s="26">
        <f t="shared" si="16"/>
        <v>0.2</v>
      </c>
      <c r="K123" s="20">
        <f t="shared" si="9"/>
        <v>10.799999999999999</v>
      </c>
      <c r="L123" s="25">
        <v>52</v>
      </c>
      <c r="M123" s="26">
        <f t="shared" si="17"/>
        <v>0.12</v>
      </c>
      <c r="N123" s="20">
        <f t="shared" si="10"/>
        <v>58.240000000000009</v>
      </c>
      <c r="O123" s="27">
        <f t="shared" si="11"/>
        <v>69.040000000000006</v>
      </c>
      <c r="P123" s="17" t="str">
        <f t="shared" si="12"/>
        <v>Benchmark</v>
      </c>
      <c r="Q123" s="9">
        <v>1</v>
      </c>
      <c r="R123" s="28" t="s">
        <v>2561</v>
      </c>
      <c r="S123" s="29" t="str">
        <f t="shared" si="13"/>
        <v>Galvanised steel rolling shutter incl. guide rail and lock|m2</v>
      </c>
      <c r="T123" s="24" t="s">
        <v>2336</v>
      </c>
    </row>
    <row r="124" spans="1:20" ht="15" customHeight="1" x14ac:dyDescent="0.25">
      <c r="A124" s="9" t="s">
        <v>2562</v>
      </c>
      <c r="B124" s="14" t="s">
        <v>348</v>
      </c>
      <c r="C124" s="9" t="s">
        <v>437</v>
      </c>
      <c r="D124" s="12" t="s">
        <v>438</v>
      </c>
      <c r="E124" s="12" t="s">
        <v>458</v>
      </c>
      <c r="F124" s="12" t="s">
        <v>461</v>
      </c>
      <c r="G124" s="12" t="s">
        <v>462</v>
      </c>
      <c r="H124" s="9" t="s">
        <v>57</v>
      </c>
      <c r="I124" s="25">
        <v>35</v>
      </c>
      <c r="J124" s="26">
        <f t="shared" si="16"/>
        <v>0.2</v>
      </c>
      <c r="K124" s="20">
        <f t="shared" si="9"/>
        <v>42</v>
      </c>
      <c r="L124" s="25">
        <v>320</v>
      </c>
      <c r="M124" s="26">
        <f t="shared" si="17"/>
        <v>0.12</v>
      </c>
      <c r="N124" s="20">
        <f t="shared" si="10"/>
        <v>358.40000000000003</v>
      </c>
      <c r="O124" s="27">
        <f t="shared" si="11"/>
        <v>400.40000000000003</v>
      </c>
      <c r="P124" s="17" t="str">
        <f t="shared" si="12"/>
        <v>Benchmark</v>
      </c>
      <c r="Q124" s="9">
        <v>1</v>
      </c>
      <c r="R124" s="28" t="s">
        <v>2563</v>
      </c>
      <c r="S124" s="29" t="str">
        <f t="shared" si="13"/>
        <v>Roller shutter motor and control panel incl. wiring|Nos</v>
      </c>
      <c r="T124" s="24" t="s">
        <v>2336</v>
      </c>
    </row>
    <row r="125" spans="1:20" ht="15" customHeight="1" x14ac:dyDescent="0.25">
      <c r="A125" s="9" t="s">
        <v>2564</v>
      </c>
      <c r="B125" s="14" t="s">
        <v>348</v>
      </c>
      <c r="C125" s="9" t="s">
        <v>437</v>
      </c>
      <c r="D125" s="12" t="s">
        <v>438</v>
      </c>
      <c r="E125" s="12" t="s">
        <v>464</v>
      </c>
      <c r="F125" s="12" t="s">
        <v>465</v>
      </c>
      <c r="G125" s="12" t="s">
        <v>466</v>
      </c>
      <c r="H125" s="9" t="s">
        <v>57</v>
      </c>
      <c r="I125" s="25">
        <v>3</v>
      </c>
      <c r="J125" s="26">
        <f t="shared" si="16"/>
        <v>0.2</v>
      </c>
      <c r="K125" s="20">
        <f t="shared" si="9"/>
        <v>3.5999999999999996</v>
      </c>
      <c r="L125" s="25">
        <v>22</v>
      </c>
      <c r="M125" s="26">
        <f t="shared" si="17"/>
        <v>0.12</v>
      </c>
      <c r="N125" s="20">
        <f t="shared" si="10"/>
        <v>24.64</v>
      </c>
      <c r="O125" s="27">
        <f t="shared" si="11"/>
        <v>28.240000000000002</v>
      </c>
      <c r="P125" s="17" t="str">
        <f t="shared" si="12"/>
        <v>Benchmark</v>
      </c>
      <c r="Q125" s="9">
        <v>2</v>
      </c>
      <c r="R125" s="28" t="s">
        <v>2565</v>
      </c>
      <c r="S125" s="29" t="str">
        <f t="shared" si="13"/>
        <v>Mortice lockset, stainless steel lever handle|Nos</v>
      </c>
      <c r="T125" s="24" t="s">
        <v>2336</v>
      </c>
    </row>
    <row r="126" spans="1:20" ht="15" customHeight="1" x14ac:dyDescent="0.25">
      <c r="A126" s="9" t="s">
        <v>2566</v>
      </c>
      <c r="B126" s="14" t="s">
        <v>348</v>
      </c>
      <c r="C126" s="9" t="s">
        <v>437</v>
      </c>
      <c r="D126" s="12" t="s">
        <v>438</v>
      </c>
      <c r="E126" s="12" t="s">
        <v>464</v>
      </c>
      <c r="F126" s="12" t="s">
        <v>468</v>
      </c>
      <c r="G126" s="12" t="s">
        <v>469</v>
      </c>
      <c r="H126" s="9" t="s">
        <v>57</v>
      </c>
      <c r="I126" s="25">
        <v>3</v>
      </c>
      <c r="J126" s="26">
        <f t="shared" si="16"/>
        <v>0.2</v>
      </c>
      <c r="K126" s="20">
        <f t="shared" si="9"/>
        <v>3.5999999999999996</v>
      </c>
      <c r="L126" s="25">
        <v>26</v>
      </c>
      <c r="M126" s="26">
        <f t="shared" si="17"/>
        <v>0.12</v>
      </c>
      <c r="N126" s="20">
        <f t="shared" si="10"/>
        <v>29.120000000000005</v>
      </c>
      <c r="O126" s="27">
        <f t="shared" si="11"/>
        <v>32.720000000000006</v>
      </c>
      <c r="P126" s="17" t="str">
        <f t="shared" si="12"/>
        <v>Benchmark</v>
      </c>
      <c r="Q126" s="9">
        <v>2</v>
      </c>
      <c r="R126" s="28" t="s">
        <v>2567</v>
      </c>
      <c r="S126" s="29" t="str">
        <f t="shared" si="13"/>
        <v>Overhead door closer, adjustable|Nos</v>
      </c>
      <c r="T126" s="24" t="s">
        <v>2336</v>
      </c>
    </row>
    <row r="127" spans="1:20" ht="15" customHeight="1" x14ac:dyDescent="0.25">
      <c r="A127" s="9" t="s">
        <v>2568</v>
      </c>
      <c r="B127" s="14" t="s">
        <v>348</v>
      </c>
      <c r="C127" s="9" t="s">
        <v>437</v>
      </c>
      <c r="D127" s="12" t="s">
        <v>438</v>
      </c>
      <c r="E127" s="12" t="s">
        <v>464</v>
      </c>
      <c r="F127" s="12" t="s">
        <v>471</v>
      </c>
      <c r="G127" s="12" t="s">
        <v>472</v>
      </c>
      <c r="H127" s="9" t="s">
        <v>57</v>
      </c>
      <c r="I127" s="25">
        <v>0.8</v>
      </c>
      <c r="J127" s="26">
        <f t="shared" si="16"/>
        <v>0.2</v>
      </c>
      <c r="K127" s="20">
        <f t="shared" si="9"/>
        <v>0.96</v>
      </c>
      <c r="L127" s="25">
        <v>3.2</v>
      </c>
      <c r="M127" s="26">
        <f t="shared" si="17"/>
        <v>0.12</v>
      </c>
      <c r="N127" s="20">
        <f t="shared" si="10"/>
        <v>3.5840000000000005</v>
      </c>
      <c r="O127" s="27">
        <f t="shared" si="11"/>
        <v>4.5440000000000005</v>
      </c>
      <c r="P127" s="17" t="str">
        <f t="shared" si="12"/>
        <v>Benchmark</v>
      </c>
      <c r="Q127" s="9">
        <v>2</v>
      </c>
      <c r="R127" s="28" t="s">
        <v>2569</v>
      </c>
      <c r="S127" s="29" t="str">
        <f t="shared" si="13"/>
        <v>Stainless steel butt hinge 100mm|Nos</v>
      </c>
      <c r="T127" s="24" t="s">
        <v>2336</v>
      </c>
    </row>
    <row r="128" spans="1:20" ht="15" customHeight="1" x14ac:dyDescent="0.25">
      <c r="A128" s="9" t="s">
        <v>2570</v>
      </c>
      <c r="B128" s="14" t="s">
        <v>348</v>
      </c>
      <c r="C128" s="9" t="s">
        <v>437</v>
      </c>
      <c r="D128" s="12" t="s">
        <v>438</v>
      </c>
      <c r="E128" s="12" t="s">
        <v>464</v>
      </c>
      <c r="F128" s="12" t="s">
        <v>474</v>
      </c>
      <c r="G128" s="12" t="s">
        <v>475</v>
      </c>
      <c r="H128" s="9" t="s">
        <v>57</v>
      </c>
      <c r="I128" s="25">
        <v>0.8</v>
      </c>
      <c r="J128" s="26">
        <f t="shared" si="16"/>
        <v>0.2</v>
      </c>
      <c r="K128" s="20">
        <f t="shared" si="9"/>
        <v>0.96</v>
      </c>
      <c r="L128" s="25">
        <v>3</v>
      </c>
      <c r="M128" s="26">
        <f t="shared" si="17"/>
        <v>0.12</v>
      </c>
      <c r="N128" s="20">
        <f t="shared" si="10"/>
        <v>3.3600000000000003</v>
      </c>
      <c r="O128" s="27">
        <f t="shared" si="11"/>
        <v>4.32</v>
      </c>
      <c r="P128" s="17" t="str">
        <f t="shared" si="12"/>
        <v>Benchmark</v>
      </c>
      <c r="Q128" s="9">
        <v>2</v>
      </c>
      <c r="R128" s="28" t="s">
        <v>2571</v>
      </c>
      <c r="S128" s="29" t="str">
        <f t="shared" si="13"/>
        <v>Floor / wall mounted door stopper|Nos</v>
      </c>
      <c r="T128" s="24" t="s">
        <v>2336</v>
      </c>
    </row>
    <row r="129" spans="1:20" ht="18.75" customHeight="1" x14ac:dyDescent="0.25">
      <c r="A129" s="9" t="s">
        <v>2572</v>
      </c>
      <c r="B129" s="14" t="s">
        <v>348</v>
      </c>
      <c r="C129" s="9" t="s">
        <v>477</v>
      </c>
      <c r="D129" s="12" t="s">
        <v>478</v>
      </c>
      <c r="E129" s="12" t="s">
        <v>479</v>
      </c>
      <c r="F129" s="12" t="s">
        <v>479</v>
      </c>
      <c r="G129" s="12" t="s">
        <v>480</v>
      </c>
      <c r="H129" s="9" t="s">
        <v>1882</v>
      </c>
      <c r="I129" s="25">
        <v>0</v>
      </c>
      <c r="J129" s="26">
        <v>0</v>
      </c>
      <c r="K129" s="20">
        <f t="shared" si="9"/>
        <v>0</v>
      </c>
      <c r="L129" s="25">
        <v>117</v>
      </c>
      <c r="M129" s="26">
        <v>0.12</v>
      </c>
      <c r="N129" s="20">
        <f t="shared" si="10"/>
        <v>131.04000000000002</v>
      </c>
      <c r="O129" s="27">
        <f t="shared" si="11"/>
        <v>131.04000000000002</v>
      </c>
      <c r="P129" s="30" t="str">
        <f t="shared" si="12"/>
        <v>Priced</v>
      </c>
      <c r="Q129" s="9">
        <v>1</v>
      </c>
      <c r="R129" s="31" t="s">
        <v>2573</v>
      </c>
      <c r="S129" s="29" t="str">
        <f t="shared" si="13"/>
        <v>Internal Fix Windoor (L:1200,H:500)mm &amp; Slide window (L:1200,H:1000)mm|pcs</v>
      </c>
      <c r="T129" s="24" t="s">
        <v>2367</v>
      </c>
    </row>
    <row r="130" spans="1:20" ht="18.75" customHeight="1" x14ac:dyDescent="0.25">
      <c r="A130" s="9" t="s">
        <v>2574</v>
      </c>
      <c r="B130" s="14" t="s">
        <v>348</v>
      </c>
      <c r="C130" s="9" t="s">
        <v>477</v>
      </c>
      <c r="D130" s="12" t="s">
        <v>478</v>
      </c>
      <c r="E130" s="12" t="s">
        <v>479</v>
      </c>
      <c r="F130" s="12" t="s">
        <v>479</v>
      </c>
      <c r="G130" s="12" t="s">
        <v>1952</v>
      </c>
      <c r="H130" s="9" t="s">
        <v>1882</v>
      </c>
      <c r="I130" s="25">
        <v>0</v>
      </c>
      <c r="J130" s="26">
        <v>0</v>
      </c>
      <c r="K130" s="20">
        <f t="shared" si="9"/>
        <v>0</v>
      </c>
      <c r="L130" s="25">
        <v>49.5</v>
      </c>
      <c r="M130" s="26">
        <v>0.12</v>
      </c>
      <c r="N130" s="20">
        <f t="shared" si="10"/>
        <v>55.440000000000005</v>
      </c>
      <c r="O130" s="27">
        <f t="shared" si="11"/>
        <v>55.440000000000005</v>
      </c>
      <c r="P130" s="30" t="str">
        <f t="shared" si="12"/>
        <v>Priced</v>
      </c>
      <c r="Q130" s="9">
        <v>1</v>
      </c>
      <c r="R130" s="31" t="s">
        <v>2573</v>
      </c>
      <c r="S130" s="29" t="str">
        <f t="shared" si="13"/>
        <v>Internal Fix Windoor (L:1800,H:500)mm|pcs</v>
      </c>
      <c r="T130" s="24" t="s">
        <v>2367</v>
      </c>
    </row>
    <row r="131" spans="1:20" ht="18.75" customHeight="1" x14ac:dyDescent="0.25">
      <c r="A131" s="9" t="s">
        <v>2575</v>
      </c>
      <c r="B131" s="14" t="s">
        <v>348</v>
      </c>
      <c r="C131" s="9" t="s">
        <v>477</v>
      </c>
      <c r="D131" s="12" t="s">
        <v>478</v>
      </c>
      <c r="E131" s="12" t="s">
        <v>479</v>
      </c>
      <c r="F131" s="12" t="s">
        <v>479</v>
      </c>
      <c r="G131" s="12" t="s">
        <v>1954</v>
      </c>
      <c r="H131" s="9" t="s">
        <v>1882</v>
      </c>
      <c r="I131" s="25">
        <v>0</v>
      </c>
      <c r="J131" s="26">
        <v>0</v>
      </c>
      <c r="K131" s="20">
        <f t="shared" si="9"/>
        <v>0</v>
      </c>
      <c r="L131" s="25">
        <v>195</v>
      </c>
      <c r="M131" s="26">
        <v>0.12</v>
      </c>
      <c r="N131" s="20">
        <f t="shared" si="10"/>
        <v>218.40000000000003</v>
      </c>
      <c r="O131" s="27">
        <f t="shared" si="11"/>
        <v>218.40000000000003</v>
      </c>
      <c r="P131" s="30" t="str">
        <f t="shared" si="12"/>
        <v>Priced</v>
      </c>
      <c r="Q131" s="9">
        <v>1</v>
      </c>
      <c r="R131" s="31" t="s">
        <v>2573</v>
      </c>
      <c r="S131" s="29" t="str">
        <f t="shared" si="13"/>
        <v>Internal Fix Windoor (L:2000,H:500)mm &amp; Slide window (L:2000,H:1000)mm|pcs</v>
      </c>
      <c r="T131" s="24" t="s">
        <v>2367</v>
      </c>
    </row>
    <row r="132" spans="1:20" ht="18.75" customHeight="1" x14ac:dyDescent="0.25">
      <c r="A132" s="9" t="s">
        <v>2576</v>
      </c>
      <c r="B132" s="14" t="s">
        <v>348</v>
      </c>
      <c r="C132" s="9" t="s">
        <v>477</v>
      </c>
      <c r="D132" s="12" t="s">
        <v>478</v>
      </c>
      <c r="E132" s="12" t="s">
        <v>479</v>
      </c>
      <c r="F132" s="12" t="s">
        <v>479</v>
      </c>
      <c r="G132" s="12" t="s">
        <v>1956</v>
      </c>
      <c r="H132" s="9" t="s">
        <v>1882</v>
      </c>
      <c r="I132" s="25">
        <v>0</v>
      </c>
      <c r="J132" s="26">
        <v>0</v>
      </c>
      <c r="K132" s="20">
        <f t="shared" si="9"/>
        <v>0</v>
      </c>
      <c r="L132" s="25">
        <v>199.2</v>
      </c>
      <c r="M132" s="26">
        <v>0.12</v>
      </c>
      <c r="N132" s="20">
        <f t="shared" si="10"/>
        <v>223.10400000000001</v>
      </c>
      <c r="O132" s="27">
        <f t="shared" si="11"/>
        <v>223.10400000000001</v>
      </c>
      <c r="P132" s="30" t="str">
        <f t="shared" si="12"/>
        <v>Priced</v>
      </c>
      <c r="Q132" s="9">
        <v>1</v>
      </c>
      <c r="R132" s="31" t="s">
        <v>2573</v>
      </c>
      <c r="S132" s="29" t="str">
        <f t="shared" si="13"/>
        <v>Internal Fix Windoor (L:2000,H:500)mm &amp; Slide window (L:2000,H:10300)mm|pcs</v>
      </c>
      <c r="T132" s="24" t="s">
        <v>2367</v>
      </c>
    </row>
    <row r="133" spans="1:20" ht="18.75" customHeight="1" x14ac:dyDescent="0.25">
      <c r="A133" s="9" t="s">
        <v>2577</v>
      </c>
      <c r="B133" s="14" t="s">
        <v>348</v>
      </c>
      <c r="C133" s="9" t="s">
        <v>477</v>
      </c>
      <c r="D133" s="12" t="s">
        <v>478</v>
      </c>
      <c r="E133" s="12" t="s">
        <v>479</v>
      </c>
      <c r="F133" s="12" t="s">
        <v>479</v>
      </c>
      <c r="G133" s="12" t="s">
        <v>1958</v>
      </c>
      <c r="H133" s="9" t="s">
        <v>1882</v>
      </c>
      <c r="I133" s="25">
        <v>0</v>
      </c>
      <c r="J133" s="26">
        <v>0</v>
      </c>
      <c r="K133" s="20">
        <f t="shared" si="9"/>
        <v>0</v>
      </c>
      <c r="L133" s="25">
        <v>82.5</v>
      </c>
      <c r="M133" s="26">
        <v>0.12</v>
      </c>
      <c r="N133" s="20">
        <f t="shared" si="10"/>
        <v>92.4</v>
      </c>
      <c r="O133" s="27">
        <f t="shared" si="11"/>
        <v>92.4</v>
      </c>
      <c r="P133" s="30" t="str">
        <f t="shared" si="12"/>
        <v>Priced</v>
      </c>
      <c r="Q133" s="9">
        <v>1</v>
      </c>
      <c r="R133" s="31" t="s">
        <v>2573</v>
      </c>
      <c r="S133" s="29" t="str">
        <f t="shared" si="13"/>
        <v>Internal Fix Windoor (L:3000,H:500)mm|pcs</v>
      </c>
      <c r="T133" s="24" t="s">
        <v>2367</v>
      </c>
    </row>
    <row r="134" spans="1:20" ht="18.75" customHeight="1" x14ac:dyDescent="0.25">
      <c r="A134" s="9" t="s">
        <v>2578</v>
      </c>
      <c r="B134" s="14" t="s">
        <v>348</v>
      </c>
      <c r="C134" s="9" t="s">
        <v>477</v>
      </c>
      <c r="D134" s="12" t="s">
        <v>478</v>
      </c>
      <c r="E134" s="12" t="s">
        <v>479</v>
      </c>
      <c r="F134" s="12" t="s">
        <v>479</v>
      </c>
      <c r="G134" s="12" t="s">
        <v>1960</v>
      </c>
      <c r="H134" s="9" t="s">
        <v>1882</v>
      </c>
      <c r="I134" s="25">
        <v>0</v>
      </c>
      <c r="J134" s="26">
        <v>0</v>
      </c>
      <c r="K134" s="20">
        <f t="shared" ref="K134:K197" si="18">IFERROR(I134*(1+J134),0)</f>
        <v>0</v>
      </c>
      <c r="L134" s="25">
        <v>292.5</v>
      </c>
      <c r="M134" s="26">
        <v>0.12</v>
      </c>
      <c r="N134" s="20">
        <f t="shared" ref="N134:N197" si="19">IFERROR(L134*(1+M134),0)</f>
        <v>327.60000000000002</v>
      </c>
      <c r="O134" s="27">
        <f t="shared" ref="O134:O197" si="20">K134+N134</f>
        <v>327.60000000000002</v>
      </c>
      <c r="P134" s="30" t="str">
        <f t="shared" ref="P134:P197" si="21">IF(N(I134)+N(L134)=0,"To be quoted",IF($T134="P","Priced","Benchmark"))</f>
        <v>Priced</v>
      </c>
      <c r="Q134" s="9">
        <v>1</v>
      </c>
      <c r="R134" s="31" t="s">
        <v>2573</v>
      </c>
      <c r="S134" s="29" t="str">
        <f t="shared" ref="S134:S197" si="22">TRIM(G134)&amp;"|"&amp;TRIM(H134)</f>
        <v>Internal Fix Windoor (L:3000,H:500)mm &amp; Slide window (L:3000,H:1000)mm|pcs</v>
      </c>
      <c r="T134" s="24" t="s">
        <v>2367</v>
      </c>
    </row>
    <row r="135" spans="1:20" ht="18.75" customHeight="1" x14ac:dyDescent="0.25">
      <c r="A135" s="9" t="s">
        <v>2579</v>
      </c>
      <c r="B135" s="14" t="s">
        <v>348</v>
      </c>
      <c r="C135" s="9" t="s">
        <v>477</v>
      </c>
      <c r="D135" s="12" t="s">
        <v>478</v>
      </c>
      <c r="E135" s="12" t="s">
        <v>479</v>
      </c>
      <c r="F135" s="12" t="s">
        <v>479</v>
      </c>
      <c r="G135" s="12" t="s">
        <v>1962</v>
      </c>
      <c r="H135" s="9" t="s">
        <v>1882</v>
      </c>
      <c r="I135" s="25">
        <v>0</v>
      </c>
      <c r="J135" s="26">
        <v>0</v>
      </c>
      <c r="K135" s="20">
        <f t="shared" si="18"/>
        <v>0</v>
      </c>
      <c r="L135" s="25">
        <v>586</v>
      </c>
      <c r="M135" s="26">
        <v>0.12</v>
      </c>
      <c r="N135" s="20">
        <f t="shared" si="19"/>
        <v>656.32</v>
      </c>
      <c r="O135" s="27">
        <f t="shared" si="20"/>
        <v>656.32</v>
      </c>
      <c r="P135" s="30" t="str">
        <f t="shared" si="21"/>
        <v>Priced</v>
      </c>
      <c r="Q135" s="9">
        <v>1</v>
      </c>
      <c r="R135" s="31" t="s">
        <v>2573</v>
      </c>
      <c r="S135" s="29" t="str">
        <f t="shared" si="22"/>
        <v>Internal Fix Windoor (L:4000,H:500)mm &amp; Slide window (L:4000,H:1700)mm|pcs</v>
      </c>
      <c r="T135" s="24" t="s">
        <v>2367</v>
      </c>
    </row>
    <row r="136" spans="1:20" ht="18.75" customHeight="1" x14ac:dyDescent="0.25">
      <c r="A136" s="9" t="s">
        <v>2580</v>
      </c>
      <c r="B136" s="14" t="s">
        <v>348</v>
      </c>
      <c r="C136" s="9" t="s">
        <v>477</v>
      </c>
      <c r="D136" s="12" t="s">
        <v>478</v>
      </c>
      <c r="E136" s="12" t="s">
        <v>479</v>
      </c>
      <c r="F136" s="12" t="s">
        <v>479</v>
      </c>
      <c r="G136" s="12" t="s">
        <v>1964</v>
      </c>
      <c r="H136" s="9" t="s">
        <v>1882</v>
      </c>
      <c r="I136" s="25">
        <v>0</v>
      </c>
      <c r="J136" s="26">
        <v>0</v>
      </c>
      <c r="K136" s="20">
        <f t="shared" si="18"/>
        <v>0</v>
      </c>
      <c r="L136" s="25">
        <v>49.5</v>
      </c>
      <c r="M136" s="26">
        <v>0.12</v>
      </c>
      <c r="N136" s="20">
        <f t="shared" si="19"/>
        <v>55.440000000000005</v>
      </c>
      <c r="O136" s="27">
        <f t="shared" si="20"/>
        <v>55.440000000000005</v>
      </c>
      <c r="P136" s="30" t="str">
        <f t="shared" si="21"/>
        <v>Priced</v>
      </c>
      <c r="Q136" s="9">
        <v>1</v>
      </c>
      <c r="R136" s="31" t="s">
        <v>2573</v>
      </c>
      <c r="S136" s="29" t="str">
        <f t="shared" si="22"/>
        <v>Internal Fix Windoor (L:900,H:1000)mm|pcs</v>
      </c>
      <c r="T136" s="24" t="s">
        <v>2367</v>
      </c>
    </row>
    <row r="137" spans="1:20" ht="15" customHeight="1" x14ac:dyDescent="0.25">
      <c r="A137" s="9" t="s">
        <v>2581</v>
      </c>
      <c r="B137" s="14" t="s">
        <v>348</v>
      </c>
      <c r="C137" s="9" t="s">
        <v>477</v>
      </c>
      <c r="D137" s="12" t="s">
        <v>478</v>
      </c>
      <c r="E137" s="12" t="s">
        <v>479</v>
      </c>
      <c r="F137" s="12" t="s">
        <v>479</v>
      </c>
      <c r="G137" s="12" t="s">
        <v>1966</v>
      </c>
      <c r="H137" s="9" t="s">
        <v>57</v>
      </c>
      <c r="I137" s="25">
        <v>0</v>
      </c>
      <c r="J137" s="26">
        <f t="shared" ref="J137:J157" si="23">_STDLAB</f>
        <v>0.2</v>
      </c>
      <c r="K137" s="20">
        <f t="shared" si="18"/>
        <v>0</v>
      </c>
      <c r="L137" s="25">
        <v>195</v>
      </c>
      <c r="M137" s="26">
        <f t="shared" ref="M137:M157" si="24">_STDMAT</f>
        <v>0.12</v>
      </c>
      <c r="N137" s="20">
        <f t="shared" si="19"/>
        <v>218.40000000000003</v>
      </c>
      <c r="O137" s="27">
        <f t="shared" si="20"/>
        <v>218.40000000000003</v>
      </c>
      <c r="P137" s="17" t="str">
        <f t="shared" si="21"/>
        <v>Benchmark</v>
      </c>
      <c r="Q137" s="9">
        <v>1</v>
      </c>
      <c r="R137" s="28" t="s">
        <v>2582</v>
      </c>
      <c r="S137" s="29" t="str">
        <f t="shared" si="22"/>
        <v>Windoor Aluminium frame with 6mm tempered glass, fix + slide panel|Nos</v>
      </c>
      <c r="T137" s="24" t="s">
        <v>2336</v>
      </c>
    </row>
    <row r="138" spans="1:20" ht="15" customHeight="1" x14ac:dyDescent="0.25">
      <c r="A138" s="9" t="s">
        <v>2583</v>
      </c>
      <c r="B138" s="14" t="s">
        <v>348</v>
      </c>
      <c r="C138" s="9" t="s">
        <v>477</v>
      </c>
      <c r="D138" s="12" t="s">
        <v>478</v>
      </c>
      <c r="E138" s="12" t="s">
        <v>479</v>
      </c>
      <c r="F138" s="12" t="s">
        <v>479</v>
      </c>
      <c r="G138" s="12" t="s">
        <v>1968</v>
      </c>
      <c r="H138" s="9" t="s">
        <v>57</v>
      </c>
      <c r="I138" s="25">
        <v>0</v>
      </c>
      <c r="J138" s="26">
        <f t="shared" si="23"/>
        <v>0.2</v>
      </c>
      <c r="K138" s="20">
        <f t="shared" si="18"/>
        <v>0</v>
      </c>
      <c r="L138" s="25">
        <v>150</v>
      </c>
      <c r="M138" s="26">
        <f t="shared" si="24"/>
        <v>0.12</v>
      </c>
      <c r="N138" s="20">
        <f t="shared" si="19"/>
        <v>168.00000000000003</v>
      </c>
      <c r="O138" s="27">
        <f t="shared" si="20"/>
        <v>168.00000000000003</v>
      </c>
      <c r="P138" s="17" t="str">
        <f t="shared" si="21"/>
        <v>Benchmark</v>
      </c>
      <c r="Q138" s="9">
        <v>1</v>
      </c>
      <c r="R138" s="28" t="s">
        <v>2584</v>
      </c>
      <c r="S138" s="29" t="str">
        <f t="shared" si="22"/>
        <v>Windoor Aluminium frame with 6mm tempered glass, fix panel|Nos</v>
      </c>
      <c r="T138" s="24" t="s">
        <v>2336</v>
      </c>
    </row>
    <row r="139" spans="1:20" ht="15" customHeight="1" x14ac:dyDescent="0.25">
      <c r="A139" s="9" t="s">
        <v>2585</v>
      </c>
      <c r="B139" s="14" t="s">
        <v>348</v>
      </c>
      <c r="C139" s="9" t="s">
        <v>477</v>
      </c>
      <c r="D139" s="12" t="s">
        <v>478</v>
      </c>
      <c r="E139" s="12" t="s">
        <v>479</v>
      </c>
      <c r="F139" s="12" t="s">
        <v>482</v>
      </c>
      <c r="G139" s="12" t="s">
        <v>483</v>
      </c>
      <c r="H139" s="9" t="s">
        <v>18</v>
      </c>
      <c r="I139" s="25">
        <v>0</v>
      </c>
      <c r="J139" s="26">
        <f t="shared" si="23"/>
        <v>0.2</v>
      </c>
      <c r="K139" s="20">
        <f t="shared" si="18"/>
        <v>0</v>
      </c>
      <c r="L139" s="25">
        <v>55</v>
      </c>
      <c r="M139" s="26">
        <f t="shared" si="24"/>
        <v>0.12</v>
      </c>
      <c r="N139" s="20">
        <f t="shared" si="19"/>
        <v>61.600000000000009</v>
      </c>
      <c r="O139" s="27">
        <f t="shared" si="20"/>
        <v>61.600000000000009</v>
      </c>
      <c r="P139" s="17" t="str">
        <f t="shared" si="21"/>
        <v>Benchmark</v>
      </c>
      <c r="Q139" s="9">
        <v>1</v>
      </c>
      <c r="R139" s="28" t="s">
        <v>2586</v>
      </c>
      <c r="S139" s="29" t="str">
        <f t="shared" si="22"/>
        <v>Fixed aluminium window with 6mm tempered glass incl. sealant|m2</v>
      </c>
      <c r="T139" s="24" t="s">
        <v>2336</v>
      </c>
    </row>
    <row r="140" spans="1:20" ht="15" customHeight="1" x14ac:dyDescent="0.25">
      <c r="A140" s="9" t="s">
        <v>2587</v>
      </c>
      <c r="B140" s="14" t="s">
        <v>348</v>
      </c>
      <c r="C140" s="9" t="s">
        <v>477</v>
      </c>
      <c r="D140" s="12" t="s">
        <v>478</v>
      </c>
      <c r="E140" s="12" t="s">
        <v>479</v>
      </c>
      <c r="F140" s="12" t="s">
        <v>485</v>
      </c>
      <c r="G140" s="12" t="s">
        <v>486</v>
      </c>
      <c r="H140" s="9" t="s">
        <v>18</v>
      </c>
      <c r="I140" s="25">
        <v>0</v>
      </c>
      <c r="J140" s="26">
        <f t="shared" si="23"/>
        <v>0.2</v>
      </c>
      <c r="K140" s="20">
        <f t="shared" si="18"/>
        <v>0</v>
      </c>
      <c r="L140" s="25">
        <v>70</v>
      </c>
      <c r="M140" s="26">
        <f t="shared" si="24"/>
        <v>0.12</v>
      </c>
      <c r="N140" s="20">
        <f t="shared" si="19"/>
        <v>78.400000000000006</v>
      </c>
      <c r="O140" s="27">
        <f t="shared" si="20"/>
        <v>78.400000000000006</v>
      </c>
      <c r="P140" s="17" t="str">
        <f t="shared" si="21"/>
        <v>Benchmark</v>
      </c>
      <c r="Q140" s="9">
        <v>1</v>
      </c>
      <c r="R140" s="28" t="s">
        <v>2586</v>
      </c>
      <c r="S140" s="29" t="str">
        <f t="shared" si="22"/>
        <v>Sliding aluminium window with 6mm tempered glass incl. track and lock|m2</v>
      </c>
      <c r="T140" s="24" t="s">
        <v>2336</v>
      </c>
    </row>
    <row r="141" spans="1:20" ht="15" customHeight="1" x14ac:dyDescent="0.25">
      <c r="A141" s="9" t="s">
        <v>2588</v>
      </c>
      <c r="B141" s="14" t="s">
        <v>348</v>
      </c>
      <c r="C141" s="9" t="s">
        <v>477</v>
      </c>
      <c r="D141" s="12" t="s">
        <v>478</v>
      </c>
      <c r="E141" s="12" t="s">
        <v>479</v>
      </c>
      <c r="F141" s="12" t="s">
        <v>488</v>
      </c>
      <c r="G141" s="12" t="s">
        <v>489</v>
      </c>
      <c r="H141" s="9" t="s">
        <v>18</v>
      </c>
      <c r="I141" s="25">
        <v>0</v>
      </c>
      <c r="J141" s="26">
        <f t="shared" si="23"/>
        <v>0.2</v>
      </c>
      <c r="K141" s="20">
        <f t="shared" si="18"/>
        <v>0</v>
      </c>
      <c r="L141" s="25">
        <v>75</v>
      </c>
      <c r="M141" s="26">
        <f t="shared" si="24"/>
        <v>0.12</v>
      </c>
      <c r="N141" s="20">
        <f t="shared" si="19"/>
        <v>84.000000000000014</v>
      </c>
      <c r="O141" s="27">
        <f t="shared" si="20"/>
        <v>84.000000000000014</v>
      </c>
      <c r="P141" s="17" t="str">
        <f t="shared" si="21"/>
        <v>Benchmark</v>
      </c>
      <c r="Q141" s="9">
        <v>1</v>
      </c>
      <c r="R141" s="28" t="s">
        <v>2589</v>
      </c>
      <c r="S141" s="29" t="str">
        <f t="shared" si="22"/>
        <v>Casement aluminium window with 6mm glass incl. friction stay|m2</v>
      </c>
      <c r="T141" s="24" t="s">
        <v>2336</v>
      </c>
    </row>
    <row r="142" spans="1:20" ht="15" customHeight="1" x14ac:dyDescent="0.25">
      <c r="A142" s="9" t="s">
        <v>2590</v>
      </c>
      <c r="B142" s="14" t="s">
        <v>348</v>
      </c>
      <c r="C142" s="9" t="s">
        <v>477</v>
      </c>
      <c r="D142" s="12" t="s">
        <v>478</v>
      </c>
      <c r="E142" s="12" t="s">
        <v>491</v>
      </c>
      <c r="F142" s="12" t="s">
        <v>491</v>
      </c>
      <c r="G142" s="12" t="s">
        <v>492</v>
      </c>
      <c r="H142" s="9" t="s">
        <v>18</v>
      </c>
      <c r="I142" s="25">
        <v>6</v>
      </c>
      <c r="J142" s="26">
        <f t="shared" si="23"/>
        <v>0.2</v>
      </c>
      <c r="K142" s="20">
        <f t="shared" si="18"/>
        <v>7.1999999999999993</v>
      </c>
      <c r="L142" s="25">
        <v>38</v>
      </c>
      <c r="M142" s="26">
        <f t="shared" si="24"/>
        <v>0.12</v>
      </c>
      <c r="N142" s="20">
        <f t="shared" si="19"/>
        <v>42.56</v>
      </c>
      <c r="O142" s="27">
        <f t="shared" si="20"/>
        <v>49.760000000000005</v>
      </c>
      <c r="P142" s="17" t="str">
        <f t="shared" si="21"/>
        <v>Benchmark</v>
      </c>
      <c r="Q142" s="9">
        <v>1</v>
      </c>
      <c r="R142" s="28" t="s">
        <v>2591</v>
      </c>
      <c r="S142" s="29" t="str">
        <f t="shared" si="22"/>
        <v>Aluminium louver incl. frame and fixing|m2</v>
      </c>
      <c r="T142" s="24" t="s">
        <v>2336</v>
      </c>
    </row>
    <row r="143" spans="1:20" ht="15" customHeight="1" x14ac:dyDescent="0.25">
      <c r="A143" s="9" t="s">
        <v>2592</v>
      </c>
      <c r="B143" s="14" t="s">
        <v>348</v>
      </c>
      <c r="C143" s="9" t="s">
        <v>477</v>
      </c>
      <c r="D143" s="12" t="s">
        <v>478</v>
      </c>
      <c r="E143" s="12" t="s">
        <v>491</v>
      </c>
      <c r="F143" s="12" t="s">
        <v>494</v>
      </c>
      <c r="G143" s="12" t="s">
        <v>495</v>
      </c>
      <c r="H143" s="9" t="s">
        <v>18</v>
      </c>
      <c r="I143" s="25">
        <v>7</v>
      </c>
      <c r="J143" s="26">
        <f t="shared" si="23"/>
        <v>0.2</v>
      </c>
      <c r="K143" s="20">
        <f t="shared" si="18"/>
        <v>8.4</v>
      </c>
      <c r="L143" s="25">
        <v>32</v>
      </c>
      <c r="M143" s="26">
        <f t="shared" si="24"/>
        <v>0.12</v>
      </c>
      <c r="N143" s="20">
        <f t="shared" si="19"/>
        <v>35.840000000000003</v>
      </c>
      <c r="O143" s="27">
        <f t="shared" si="20"/>
        <v>44.24</v>
      </c>
      <c r="P143" s="17" t="str">
        <f t="shared" si="21"/>
        <v>Benchmark</v>
      </c>
      <c r="Q143" s="9">
        <v>1</v>
      </c>
      <c r="R143" s="28" t="s">
        <v>2593</v>
      </c>
      <c r="S143" s="29" t="str">
        <f t="shared" si="22"/>
        <v>Steel louver incl. frame, fixing and painting|m2</v>
      </c>
      <c r="T143" s="24" t="s">
        <v>2336</v>
      </c>
    </row>
    <row r="144" spans="1:20" ht="15" customHeight="1" x14ac:dyDescent="0.25">
      <c r="A144" s="9" t="s">
        <v>2594</v>
      </c>
      <c r="B144" s="14" t="s">
        <v>348</v>
      </c>
      <c r="C144" s="9" t="s">
        <v>477</v>
      </c>
      <c r="D144" s="12" t="s">
        <v>478</v>
      </c>
      <c r="E144" s="12" t="s">
        <v>497</v>
      </c>
      <c r="F144" s="12" t="s">
        <v>498</v>
      </c>
      <c r="G144" s="12" t="s">
        <v>499</v>
      </c>
      <c r="H144" s="9" t="s">
        <v>18</v>
      </c>
      <c r="I144" s="25">
        <v>7</v>
      </c>
      <c r="J144" s="26">
        <f t="shared" si="23"/>
        <v>0.2</v>
      </c>
      <c r="K144" s="20">
        <f t="shared" si="18"/>
        <v>8.4</v>
      </c>
      <c r="L144" s="25">
        <v>26</v>
      </c>
      <c r="M144" s="26">
        <f t="shared" si="24"/>
        <v>0.12</v>
      </c>
      <c r="N144" s="20">
        <f t="shared" si="19"/>
        <v>29.120000000000005</v>
      </c>
      <c r="O144" s="27">
        <f t="shared" si="20"/>
        <v>37.520000000000003</v>
      </c>
      <c r="P144" s="17" t="str">
        <f t="shared" si="21"/>
        <v>Benchmark</v>
      </c>
      <c r="Q144" s="9">
        <v>1</v>
      </c>
      <c r="R144" s="28" t="s">
        <v>2595</v>
      </c>
      <c r="S144" s="29" t="str">
        <f t="shared" si="22"/>
        <v>Steel window grille incl. painting and fixing|m2</v>
      </c>
      <c r="T144" s="24" t="s">
        <v>2336</v>
      </c>
    </row>
    <row r="145" spans="1:20" ht="15" customHeight="1" x14ac:dyDescent="0.25">
      <c r="A145" s="9" t="s">
        <v>2596</v>
      </c>
      <c r="B145" s="14" t="s">
        <v>348</v>
      </c>
      <c r="C145" s="9" t="s">
        <v>477</v>
      </c>
      <c r="D145" s="12" t="s">
        <v>478</v>
      </c>
      <c r="E145" s="12" t="s">
        <v>497</v>
      </c>
      <c r="F145" s="12" t="s">
        <v>501</v>
      </c>
      <c r="G145" s="12" t="s">
        <v>502</v>
      </c>
      <c r="H145" s="9" t="s">
        <v>18</v>
      </c>
      <c r="I145" s="25">
        <v>3</v>
      </c>
      <c r="J145" s="26">
        <f t="shared" si="23"/>
        <v>0.2</v>
      </c>
      <c r="K145" s="20">
        <f t="shared" si="18"/>
        <v>3.5999999999999996</v>
      </c>
      <c r="L145" s="25">
        <v>14</v>
      </c>
      <c r="M145" s="26">
        <f t="shared" si="24"/>
        <v>0.12</v>
      </c>
      <c r="N145" s="20">
        <f t="shared" si="19"/>
        <v>15.680000000000001</v>
      </c>
      <c r="O145" s="27">
        <f t="shared" si="20"/>
        <v>19.28</v>
      </c>
      <c r="P145" s="17" t="str">
        <f t="shared" si="21"/>
        <v>Benchmark</v>
      </c>
      <c r="Q145" s="9">
        <v>1</v>
      </c>
      <c r="R145" s="28" t="s">
        <v>2597</v>
      </c>
      <c r="S145" s="29" t="str">
        <f t="shared" si="22"/>
        <v>Aluminium frame mosquito / insect screen|m2</v>
      </c>
      <c r="T145" s="24" t="s">
        <v>2336</v>
      </c>
    </row>
    <row r="146" spans="1:20" ht="15" customHeight="1" x14ac:dyDescent="0.25">
      <c r="A146" s="9" t="s">
        <v>2598</v>
      </c>
      <c r="B146" s="14" t="s">
        <v>348</v>
      </c>
      <c r="C146" s="9" t="s">
        <v>477</v>
      </c>
      <c r="D146" s="12" t="s">
        <v>478</v>
      </c>
      <c r="E146" s="12" t="s">
        <v>497</v>
      </c>
      <c r="F146" s="12" t="s">
        <v>505</v>
      </c>
      <c r="G146" s="12" t="s">
        <v>506</v>
      </c>
      <c r="H146" s="9" t="s">
        <v>61</v>
      </c>
      <c r="I146" s="25">
        <v>3.5</v>
      </c>
      <c r="J146" s="26">
        <f t="shared" si="23"/>
        <v>0.2</v>
      </c>
      <c r="K146" s="20">
        <f t="shared" si="18"/>
        <v>4.2</v>
      </c>
      <c r="L146" s="25">
        <v>5.5</v>
      </c>
      <c r="M146" s="26">
        <f t="shared" si="24"/>
        <v>0.12</v>
      </c>
      <c r="N146" s="20">
        <f t="shared" si="19"/>
        <v>6.16</v>
      </c>
      <c r="O146" s="27">
        <f t="shared" si="20"/>
        <v>10.36</v>
      </c>
      <c r="P146" s="17" t="str">
        <f t="shared" si="21"/>
        <v>Benchmark</v>
      </c>
      <c r="Q146" s="9">
        <v>1</v>
      </c>
      <c r="R146" s="28" t="s">
        <v>2599</v>
      </c>
      <c r="S146" s="29" t="str">
        <f t="shared" si="22"/>
        <v>Cement / stone window sill incl. forming and finishing|m</v>
      </c>
      <c r="T146" s="24" t="s">
        <v>2336</v>
      </c>
    </row>
    <row r="147" spans="1:20" ht="15" customHeight="1" x14ac:dyDescent="0.25">
      <c r="A147" s="9" t="s">
        <v>2600</v>
      </c>
      <c r="B147" s="14" t="s">
        <v>348</v>
      </c>
      <c r="C147" s="9" t="s">
        <v>508</v>
      </c>
      <c r="D147" s="12" t="s">
        <v>509</v>
      </c>
      <c r="E147" s="12" t="s">
        <v>510</v>
      </c>
      <c r="F147" s="12" t="s">
        <v>510</v>
      </c>
      <c r="G147" s="12" t="s">
        <v>511</v>
      </c>
      <c r="H147" s="9" t="s">
        <v>18</v>
      </c>
      <c r="I147" s="25">
        <v>2.8</v>
      </c>
      <c r="J147" s="26">
        <f t="shared" si="23"/>
        <v>0.2</v>
      </c>
      <c r="K147" s="20">
        <f t="shared" si="18"/>
        <v>3.36</v>
      </c>
      <c r="L147" s="25">
        <v>3.2</v>
      </c>
      <c r="M147" s="26">
        <f t="shared" si="24"/>
        <v>0.12</v>
      </c>
      <c r="N147" s="20">
        <f t="shared" si="19"/>
        <v>3.5840000000000005</v>
      </c>
      <c r="O147" s="27">
        <f t="shared" si="20"/>
        <v>6.9440000000000008</v>
      </c>
      <c r="P147" s="17" t="str">
        <f t="shared" si="21"/>
        <v>Benchmark</v>
      </c>
      <c r="Q147" s="9">
        <v>2</v>
      </c>
      <c r="R147" s="28" t="s">
        <v>2601</v>
      </c>
      <c r="S147" s="29" t="str">
        <f t="shared" si="22"/>
        <v>Cement:sand screed 1:3, 40mm thk. steel trowel finish|m2</v>
      </c>
      <c r="T147" s="24" t="s">
        <v>2336</v>
      </c>
    </row>
    <row r="148" spans="1:20" ht="15" customHeight="1" x14ac:dyDescent="0.25">
      <c r="A148" s="9" t="s">
        <v>2602</v>
      </c>
      <c r="B148" s="14" t="s">
        <v>348</v>
      </c>
      <c r="C148" s="9" t="s">
        <v>508</v>
      </c>
      <c r="D148" s="12" t="s">
        <v>509</v>
      </c>
      <c r="E148" s="12" t="s">
        <v>510</v>
      </c>
      <c r="F148" s="12" t="s">
        <v>513</v>
      </c>
      <c r="G148" s="12" t="s">
        <v>514</v>
      </c>
      <c r="H148" s="9" t="s">
        <v>18</v>
      </c>
      <c r="I148" s="25">
        <v>1.2</v>
      </c>
      <c r="J148" s="26">
        <f t="shared" si="23"/>
        <v>0.2</v>
      </c>
      <c r="K148" s="20">
        <f t="shared" si="18"/>
        <v>1.44</v>
      </c>
      <c r="L148" s="25">
        <v>2.6</v>
      </c>
      <c r="M148" s="26">
        <f t="shared" si="24"/>
        <v>0.12</v>
      </c>
      <c r="N148" s="20">
        <f t="shared" si="19"/>
        <v>2.9120000000000004</v>
      </c>
      <c r="O148" s="27">
        <f t="shared" si="20"/>
        <v>4.3520000000000003</v>
      </c>
      <c r="P148" s="17" t="str">
        <f t="shared" si="21"/>
        <v>Benchmark</v>
      </c>
      <c r="Q148" s="9">
        <v>1</v>
      </c>
      <c r="R148" s="28" t="s">
        <v>2603</v>
      </c>
      <c r="S148" s="29" t="str">
        <f t="shared" si="22"/>
        <v>Non-metallic floor hardener 3kg/m2 incl. power trowel finish|m2</v>
      </c>
      <c r="T148" s="24" t="s">
        <v>2336</v>
      </c>
    </row>
    <row r="149" spans="1:20" ht="15" customHeight="1" x14ac:dyDescent="0.25">
      <c r="A149" s="9" t="s">
        <v>2604</v>
      </c>
      <c r="B149" s="14" t="s">
        <v>348</v>
      </c>
      <c r="C149" s="9" t="s">
        <v>508</v>
      </c>
      <c r="D149" s="12" t="s">
        <v>509</v>
      </c>
      <c r="E149" s="12" t="s">
        <v>516</v>
      </c>
      <c r="F149" s="12" t="s">
        <v>516</v>
      </c>
      <c r="G149" s="12" t="s">
        <v>517</v>
      </c>
      <c r="H149" s="9" t="s">
        <v>18</v>
      </c>
      <c r="I149" s="25">
        <v>5</v>
      </c>
      <c r="J149" s="26">
        <f t="shared" si="23"/>
        <v>0.2</v>
      </c>
      <c r="K149" s="20">
        <f t="shared" si="18"/>
        <v>6</v>
      </c>
      <c r="L149" s="25">
        <v>8</v>
      </c>
      <c r="M149" s="26">
        <f t="shared" si="24"/>
        <v>0.12</v>
      </c>
      <c r="N149" s="20">
        <f t="shared" si="19"/>
        <v>8.9600000000000009</v>
      </c>
      <c r="O149" s="27">
        <f t="shared" si="20"/>
        <v>14.96</v>
      </c>
      <c r="P149" s="17" t="str">
        <f t="shared" si="21"/>
        <v>Benchmark</v>
      </c>
      <c r="Q149" s="9">
        <v>2</v>
      </c>
      <c r="R149" s="28" t="s">
        <v>2605</v>
      </c>
      <c r="S149" s="29" t="str">
        <f t="shared" si="22"/>
        <v>Floor tile Size 0.3x0.3m incl. adhesive and grout|m2</v>
      </c>
      <c r="T149" s="24" t="s">
        <v>2336</v>
      </c>
    </row>
    <row r="150" spans="1:20" ht="15" customHeight="1" x14ac:dyDescent="0.25">
      <c r="A150" s="9" t="s">
        <v>2606</v>
      </c>
      <c r="B150" s="14" t="s">
        <v>348</v>
      </c>
      <c r="C150" s="9" t="s">
        <v>508</v>
      </c>
      <c r="D150" s="12" t="s">
        <v>509</v>
      </c>
      <c r="E150" s="12" t="s">
        <v>516</v>
      </c>
      <c r="F150" s="12" t="s">
        <v>516</v>
      </c>
      <c r="G150" s="12" t="s">
        <v>1982</v>
      </c>
      <c r="H150" s="9" t="s">
        <v>18</v>
      </c>
      <c r="I150" s="25">
        <v>5.5</v>
      </c>
      <c r="J150" s="26">
        <f t="shared" si="23"/>
        <v>0.2</v>
      </c>
      <c r="K150" s="20">
        <f t="shared" si="18"/>
        <v>6.6</v>
      </c>
      <c r="L150" s="25">
        <v>11</v>
      </c>
      <c r="M150" s="26">
        <f t="shared" si="24"/>
        <v>0.12</v>
      </c>
      <c r="N150" s="20">
        <f t="shared" si="19"/>
        <v>12.32</v>
      </c>
      <c r="O150" s="27">
        <f t="shared" si="20"/>
        <v>18.920000000000002</v>
      </c>
      <c r="P150" s="17" t="str">
        <f t="shared" si="21"/>
        <v>Benchmark</v>
      </c>
      <c r="Q150" s="9">
        <v>2</v>
      </c>
      <c r="R150" s="28" t="s">
        <v>2607</v>
      </c>
      <c r="S150" s="29" t="str">
        <f t="shared" si="22"/>
        <v>Floor tile Size 0.6x0.6m incl. adhesive and grout|m2</v>
      </c>
      <c r="T150" s="24" t="s">
        <v>2336</v>
      </c>
    </row>
    <row r="151" spans="1:20" ht="15" customHeight="1" x14ac:dyDescent="0.25">
      <c r="A151" s="9" t="s">
        <v>2608</v>
      </c>
      <c r="B151" s="14" t="s">
        <v>348</v>
      </c>
      <c r="C151" s="9" t="s">
        <v>508</v>
      </c>
      <c r="D151" s="12" t="s">
        <v>509</v>
      </c>
      <c r="E151" s="12" t="s">
        <v>516</v>
      </c>
      <c r="F151" s="12" t="s">
        <v>519</v>
      </c>
      <c r="G151" s="12" t="s">
        <v>520</v>
      </c>
      <c r="H151" s="9" t="s">
        <v>18</v>
      </c>
      <c r="I151" s="25">
        <v>5.5</v>
      </c>
      <c r="J151" s="26">
        <f t="shared" si="23"/>
        <v>0.2</v>
      </c>
      <c r="K151" s="20">
        <f t="shared" si="18"/>
        <v>6.6</v>
      </c>
      <c r="L151" s="25">
        <v>12</v>
      </c>
      <c r="M151" s="26">
        <f t="shared" si="24"/>
        <v>0.12</v>
      </c>
      <c r="N151" s="20">
        <f t="shared" si="19"/>
        <v>13.440000000000001</v>
      </c>
      <c r="O151" s="27">
        <f t="shared" si="20"/>
        <v>20.04</v>
      </c>
      <c r="P151" s="17" t="str">
        <f t="shared" si="21"/>
        <v>Benchmark</v>
      </c>
      <c r="Q151" s="9">
        <v>1</v>
      </c>
      <c r="R151" s="28" t="s">
        <v>2609</v>
      </c>
      <c r="S151" s="29" t="str">
        <f t="shared" si="22"/>
        <v>Anti-slip ceramic tile incl. adhesive and grout|m2</v>
      </c>
      <c r="T151" s="24" t="s">
        <v>2336</v>
      </c>
    </row>
    <row r="152" spans="1:20" ht="15" customHeight="1" x14ac:dyDescent="0.25">
      <c r="A152" s="9" t="s">
        <v>2610</v>
      </c>
      <c r="B152" s="14" t="s">
        <v>348</v>
      </c>
      <c r="C152" s="9" t="s">
        <v>508</v>
      </c>
      <c r="D152" s="12" t="s">
        <v>509</v>
      </c>
      <c r="E152" s="12" t="s">
        <v>138</v>
      </c>
      <c r="F152" s="12" t="s">
        <v>523</v>
      </c>
      <c r="G152" s="12" t="s">
        <v>524</v>
      </c>
      <c r="H152" s="9" t="s">
        <v>18</v>
      </c>
      <c r="I152" s="25">
        <v>2.6</v>
      </c>
      <c r="J152" s="26">
        <f t="shared" si="23"/>
        <v>0.2</v>
      </c>
      <c r="K152" s="20">
        <f t="shared" si="18"/>
        <v>3.12</v>
      </c>
      <c r="L152" s="25">
        <v>3</v>
      </c>
      <c r="M152" s="26">
        <f t="shared" si="24"/>
        <v>0.12</v>
      </c>
      <c r="N152" s="20">
        <f t="shared" si="19"/>
        <v>3.3600000000000003</v>
      </c>
      <c r="O152" s="27">
        <f t="shared" si="20"/>
        <v>6.48</v>
      </c>
      <c r="P152" s="17" t="str">
        <f t="shared" si="21"/>
        <v>Benchmark</v>
      </c>
      <c r="Q152" s="9">
        <v>2</v>
      </c>
      <c r="R152" s="28" t="s">
        <v>2611</v>
      </c>
      <c r="S152" s="29" t="str">
        <f t="shared" si="22"/>
        <v>Protection screed 40mm thk. to waterproofing membrane|m2</v>
      </c>
      <c r="T152" s="24" t="s">
        <v>2336</v>
      </c>
    </row>
    <row r="153" spans="1:20" ht="15" customHeight="1" x14ac:dyDescent="0.25">
      <c r="A153" s="9" t="s">
        <v>2612</v>
      </c>
      <c r="B153" s="14" t="s">
        <v>348</v>
      </c>
      <c r="C153" s="9" t="s">
        <v>526</v>
      </c>
      <c r="D153" s="12" t="s">
        <v>527</v>
      </c>
      <c r="E153" s="12" t="s">
        <v>528</v>
      </c>
      <c r="F153" s="12" t="s">
        <v>531</v>
      </c>
      <c r="G153" s="12" t="s">
        <v>532</v>
      </c>
      <c r="H153" s="9" t="s">
        <v>18</v>
      </c>
      <c r="I153" s="25">
        <v>7</v>
      </c>
      <c r="J153" s="26">
        <f t="shared" si="23"/>
        <v>0.2</v>
      </c>
      <c r="K153" s="20">
        <f t="shared" si="18"/>
        <v>8.4</v>
      </c>
      <c r="L153" s="25">
        <v>14</v>
      </c>
      <c r="M153" s="26">
        <f t="shared" si="24"/>
        <v>0.12</v>
      </c>
      <c r="N153" s="20">
        <f t="shared" si="19"/>
        <v>15.680000000000001</v>
      </c>
      <c r="O153" s="27">
        <f t="shared" si="20"/>
        <v>24.080000000000002</v>
      </c>
      <c r="P153" s="17" t="str">
        <f t="shared" si="21"/>
        <v>Benchmark</v>
      </c>
      <c r="Q153" s="9">
        <v>1</v>
      </c>
      <c r="R153" s="28" t="s">
        <v>2613</v>
      </c>
      <c r="S153" s="29" t="str">
        <f t="shared" si="22"/>
        <v>Soffit cladding board incl. sub-frame and jointing|m2</v>
      </c>
      <c r="T153" s="24" t="s">
        <v>2336</v>
      </c>
    </row>
    <row r="154" spans="1:20" ht="15" customHeight="1" x14ac:dyDescent="0.25">
      <c r="A154" s="9" t="s">
        <v>2614</v>
      </c>
      <c r="B154" s="14" t="s">
        <v>348</v>
      </c>
      <c r="C154" s="9" t="s">
        <v>534</v>
      </c>
      <c r="D154" s="12" t="s">
        <v>535</v>
      </c>
      <c r="E154" s="12" t="s">
        <v>536</v>
      </c>
      <c r="F154" s="12" t="s">
        <v>537</v>
      </c>
      <c r="G154" s="12" t="s">
        <v>538</v>
      </c>
      <c r="H154" s="9" t="s">
        <v>18</v>
      </c>
      <c r="I154" s="25">
        <v>8</v>
      </c>
      <c r="J154" s="26">
        <f t="shared" si="23"/>
        <v>0.2</v>
      </c>
      <c r="K154" s="20">
        <f t="shared" si="18"/>
        <v>9.6</v>
      </c>
      <c r="L154" s="25">
        <v>16</v>
      </c>
      <c r="M154" s="26">
        <f t="shared" si="24"/>
        <v>0.12</v>
      </c>
      <c r="N154" s="20">
        <f t="shared" si="19"/>
        <v>17.920000000000002</v>
      </c>
      <c r="O154" s="27">
        <f t="shared" si="20"/>
        <v>27.520000000000003</v>
      </c>
      <c r="P154" s="17" t="str">
        <f t="shared" si="21"/>
        <v>Benchmark</v>
      </c>
      <c r="Q154" s="9">
        <v>1</v>
      </c>
      <c r="R154" s="28" t="s">
        <v>2615</v>
      </c>
      <c r="S154" s="29" t="str">
        <f t="shared" si="22"/>
        <v>Stair tread and riser tile / stone finish incl. adhesive|m2</v>
      </c>
      <c r="T154" s="24" t="s">
        <v>2336</v>
      </c>
    </row>
    <row r="155" spans="1:20" ht="15" customHeight="1" x14ac:dyDescent="0.25">
      <c r="A155" s="9" t="s">
        <v>2616</v>
      </c>
      <c r="B155" s="14" t="s">
        <v>348</v>
      </c>
      <c r="C155" s="9" t="s">
        <v>534</v>
      </c>
      <c r="D155" s="12" t="s">
        <v>535</v>
      </c>
      <c r="E155" s="12" t="s">
        <v>536</v>
      </c>
      <c r="F155" s="12" t="s">
        <v>540</v>
      </c>
      <c r="G155" s="12" t="s">
        <v>541</v>
      </c>
      <c r="H155" s="9" t="s">
        <v>18</v>
      </c>
      <c r="I155" s="25">
        <v>6</v>
      </c>
      <c r="J155" s="26">
        <f t="shared" si="23"/>
        <v>0.2</v>
      </c>
      <c r="K155" s="20">
        <f t="shared" si="18"/>
        <v>7.1999999999999993</v>
      </c>
      <c r="L155" s="25">
        <v>13</v>
      </c>
      <c r="M155" s="26">
        <f t="shared" si="24"/>
        <v>0.12</v>
      </c>
      <c r="N155" s="20">
        <f t="shared" si="19"/>
        <v>14.560000000000002</v>
      </c>
      <c r="O155" s="27">
        <f t="shared" si="20"/>
        <v>21.76</v>
      </c>
      <c r="P155" s="17" t="str">
        <f t="shared" si="21"/>
        <v>Benchmark</v>
      </c>
      <c r="Q155" s="9">
        <v>1</v>
      </c>
      <c r="R155" s="28" t="s">
        <v>2617</v>
      </c>
      <c r="S155" s="29" t="str">
        <f t="shared" si="22"/>
        <v>Ramp anti-slip floor finish incl. adhesive and grout|m2</v>
      </c>
      <c r="T155" s="24" t="s">
        <v>2336</v>
      </c>
    </row>
    <row r="156" spans="1:20" ht="15" customHeight="1" x14ac:dyDescent="0.25">
      <c r="A156" s="9" t="s">
        <v>2618</v>
      </c>
      <c r="B156" s="14" t="s">
        <v>348</v>
      </c>
      <c r="C156" s="9" t="s">
        <v>534</v>
      </c>
      <c r="D156" s="12" t="s">
        <v>535</v>
      </c>
      <c r="E156" s="12" t="s">
        <v>536</v>
      </c>
      <c r="F156" s="12" t="s">
        <v>543</v>
      </c>
      <c r="G156" s="12" t="s">
        <v>544</v>
      </c>
      <c r="H156" s="9" t="s">
        <v>61</v>
      </c>
      <c r="I156" s="25">
        <v>2.5</v>
      </c>
      <c r="J156" s="26">
        <f t="shared" si="23"/>
        <v>0.2</v>
      </c>
      <c r="K156" s="20">
        <f t="shared" si="18"/>
        <v>3</v>
      </c>
      <c r="L156" s="25">
        <v>6.5</v>
      </c>
      <c r="M156" s="26">
        <f t="shared" si="24"/>
        <v>0.12</v>
      </c>
      <c r="N156" s="20">
        <f t="shared" si="19"/>
        <v>7.2800000000000011</v>
      </c>
      <c r="O156" s="27">
        <f t="shared" si="20"/>
        <v>10.280000000000001</v>
      </c>
      <c r="P156" s="17" t="str">
        <f t="shared" si="21"/>
        <v>Benchmark</v>
      </c>
      <c r="Q156" s="9">
        <v>2</v>
      </c>
      <c r="R156" s="28" t="s">
        <v>2619</v>
      </c>
      <c r="S156" s="29" t="str">
        <f t="shared" si="22"/>
        <v>Aluminium stair nosing with anti-slip insert|m</v>
      </c>
      <c r="T156" s="24" t="s">
        <v>2336</v>
      </c>
    </row>
    <row r="157" spans="1:20" ht="15" customHeight="1" x14ac:dyDescent="0.25">
      <c r="A157" s="9" t="s">
        <v>2620</v>
      </c>
      <c r="B157" s="14" t="s">
        <v>348</v>
      </c>
      <c r="C157" s="9" t="s">
        <v>534</v>
      </c>
      <c r="D157" s="12" t="s">
        <v>535</v>
      </c>
      <c r="E157" s="12" t="s">
        <v>536</v>
      </c>
      <c r="F157" s="12" t="s">
        <v>546</v>
      </c>
      <c r="G157" s="12" t="s">
        <v>547</v>
      </c>
      <c r="H157" s="9" t="s">
        <v>18</v>
      </c>
      <c r="I157" s="25">
        <v>5</v>
      </c>
      <c r="J157" s="26">
        <f t="shared" si="23"/>
        <v>0.2</v>
      </c>
      <c r="K157" s="20">
        <f t="shared" si="18"/>
        <v>6</v>
      </c>
      <c r="L157" s="25">
        <v>17</v>
      </c>
      <c r="M157" s="26">
        <f t="shared" si="24"/>
        <v>0.12</v>
      </c>
      <c r="N157" s="20">
        <f t="shared" si="19"/>
        <v>19.040000000000003</v>
      </c>
      <c r="O157" s="27">
        <f t="shared" si="20"/>
        <v>25.040000000000003</v>
      </c>
      <c r="P157" s="17" t="str">
        <f t="shared" si="21"/>
        <v>Benchmark</v>
      </c>
      <c r="Q157" s="9">
        <v>1</v>
      </c>
      <c r="R157" s="28" t="s">
        <v>2621</v>
      </c>
      <c r="S157" s="29" t="str">
        <f t="shared" si="22"/>
        <v>Tactile warning paving for accessibility incl. adhesive|m2</v>
      </c>
      <c r="T157" s="24" t="s">
        <v>2336</v>
      </c>
    </row>
    <row r="158" spans="1:20" ht="15" customHeight="1" x14ac:dyDescent="0.25">
      <c r="A158" s="9" t="s">
        <v>2622</v>
      </c>
      <c r="B158" s="14" t="s">
        <v>348</v>
      </c>
      <c r="C158" s="9" t="s">
        <v>534</v>
      </c>
      <c r="D158" s="12" t="s">
        <v>535</v>
      </c>
      <c r="E158" s="12" t="s">
        <v>549</v>
      </c>
      <c r="F158" s="12" t="s">
        <v>550</v>
      </c>
      <c r="G158" s="12" t="s">
        <v>551</v>
      </c>
      <c r="H158" s="9" t="s">
        <v>61</v>
      </c>
      <c r="I158" s="25">
        <v>8</v>
      </c>
      <c r="J158" s="26">
        <v>0.2</v>
      </c>
      <c r="K158" s="20">
        <f t="shared" si="18"/>
        <v>9.6</v>
      </c>
      <c r="L158" s="25">
        <v>22</v>
      </c>
      <c r="M158" s="26">
        <v>0.12</v>
      </c>
      <c r="N158" s="20">
        <f t="shared" si="19"/>
        <v>24.64</v>
      </c>
      <c r="O158" s="27">
        <f t="shared" si="20"/>
        <v>34.24</v>
      </c>
      <c r="P158" s="30" t="str">
        <f t="shared" si="21"/>
        <v>Priced</v>
      </c>
      <c r="Q158" s="9">
        <v>2</v>
      </c>
      <c r="R158" s="31" t="s">
        <v>2623</v>
      </c>
      <c r="S158" s="29" t="str">
        <f t="shared" si="22"/>
        <v>Steel handrail with paiting H=1m|m</v>
      </c>
      <c r="T158" s="24" t="s">
        <v>2367</v>
      </c>
    </row>
    <row r="159" spans="1:20" ht="15" customHeight="1" x14ac:dyDescent="0.25">
      <c r="A159" s="9" t="s">
        <v>2624</v>
      </c>
      <c r="B159" s="14" t="s">
        <v>348</v>
      </c>
      <c r="C159" s="9" t="s">
        <v>534</v>
      </c>
      <c r="D159" s="12" t="s">
        <v>535</v>
      </c>
      <c r="E159" s="12" t="s">
        <v>549</v>
      </c>
      <c r="F159" s="12" t="s">
        <v>553</v>
      </c>
      <c r="G159" s="12" t="s">
        <v>554</v>
      </c>
      <c r="H159" s="9" t="s">
        <v>61</v>
      </c>
      <c r="I159" s="25">
        <v>18</v>
      </c>
      <c r="J159" s="26">
        <f t="shared" ref="J159:J174" si="25">_STDLAB</f>
        <v>0.2</v>
      </c>
      <c r="K159" s="20">
        <f t="shared" si="18"/>
        <v>21.599999999999998</v>
      </c>
      <c r="L159" s="25">
        <v>75</v>
      </c>
      <c r="M159" s="26">
        <f t="shared" ref="M159:M174" si="26">_STDMAT</f>
        <v>0.12</v>
      </c>
      <c r="N159" s="20">
        <f t="shared" si="19"/>
        <v>84.000000000000014</v>
      </c>
      <c r="O159" s="27">
        <f t="shared" si="20"/>
        <v>105.60000000000001</v>
      </c>
      <c r="P159" s="17" t="str">
        <f t="shared" si="21"/>
        <v>Benchmark</v>
      </c>
      <c r="Q159" s="9">
        <v>1</v>
      </c>
      <c r="R159" s="28" t="s">
        <v>2625</v>
      </c>
      <c r="S159" s="29" t="str">
        <f t="shared" si="22"/>
        <v>Stainless steel / glass balustrade H=1.1m incl. fixing|m</v>
      </c>
      <c r="T159" s="24" t="s">
        <v>2336</v>
      </c>
    </row>
    <row r="160" spans="1:20" ht="15" customHeight="1" x14ac:dyDescent="0.25">
      <c r="A160" s="9" t="s">
        <v>2626</v>
      </c>
      <c r="B160" s="14" t="s">
        <v>348</v>
      </c>
      <c r="C160" s="9" t="s">
        <v>534</v>
      </c>
      <c r="D160" s="12" t="s">
        <v>535</v>
      </c>
      <c r="E160" s="12" t="s">
        <v>549</v>
      </c>
      <c r="F160" s="12" t="s">
        <v>556</v>
      </c>
      <c r="G160" s="12" t="s">
        <v>557</v>
      </c>
      <c r="H160" s="9" t="s">
        <v>61</v>
      </c>
      <c r="I160" s="25">
        <v>8</v>
      </c>
      <c r="J160" s="26">
        <f t="shared" si="25"/>
        <v>0.2</v>
      </c>
      <c r="K160" s="20">
        <f t="shared" si="18"/>
        <v>9.6</v>
      </c>
      <c r="L160" s="25">
        <v>22</v>
      </c>
      <c r="M160" s="26">
        <f t="shared" si="26"/>
        <v>0.12</v>
      </c>
      <c r="N160" s="20">
        <f t="shared" si="19"/>
        <v>24.64</v>
      </c>
      <c r="O160" s="27">
        <f t="shared" si="20"/>
        <v>34.24</v>
      </c>
      <c r="P160" s="17" t="str">
        <f t="shared" si="21"/>
        <v>Benchmark</v>
      </c>
      <c r="Q160" s="9">
        <v>2</v>
      </c>
      <c r="R160" s="28" t="s">
        <v>2627</v>
      </c>
      <c r="S160" s="29" t="str">
        <f t="shared" si="22"/>
        <v>Steel guard rail incl. fabrication, painting and fixing|m</v>
      </c>
      <c r="T160" s="24" t="s">
        <v>2336</v>
      </c>
    </row>
    <row r="161" spans="1:20" ht="15" customHeight="1" x14ac:dyDescent="0.25">
      <c r="A161" s="9" t="s">
        <v>2628</v>
      </c>
      <c r="B161" s="14" t="s">
        <v>348</v>
      </c>
      <c r="C161" s="9" t="s">
        <v>559</v>
      </c>
      <c r="D161" s="12" t="s">
        <v>560</v>
      </c>
      <c r="E161" s="12" t="s">
        <v>561</v>
      </c>
      <c r="F161" s="12" t="s">
        <v>562</v>
      </c>
      <c r="G161" s="12" t="s">
        <v>563</v>
      </c>
      <c r="H161" s="9" t="s">
        <v>18</v>
      </c>
      <c r="I161" s="25">
        <v>3.5</v>
      </c>
      <c r="J161" s="26">
        <f t="shared" si="25"/>
        <v>0.2</v>
      </c>
      <c r="K161" s="20">
        <f t="shared" si="18"/>
        <v>4.2</v>
      </c>
      <c r="L161" s="25">
        <v>9.5</v>
      </c>
      <c r="M161" s="26">
        <f t="shared" si="26"/>
        <v>0.12</v>
      </c>
      <c r="N161" s="20">
        <f t="shared" si="19"/>
        <v>10.64</v>
      </c>
      <c r="O161" s="27">
        <f t="shared" si="20"/>
        <v>14.84</v>
      </c>
      <c r="P161" s="17" t="str">
        <f t="shared" si="21"/>
        <v>Benchmark</v>
      </c>
      <c r="Q161" s="9">
        <v>1</v>
      </c>
      <c r="R161" s="28" t="s">
        <v>2629</v>
      </c>
      <c r="S161" s="29" t="str">
        <f t="shared" si="22"/>
        <v>Metal roof sheet 0.47mm thk. colour coated incl. fixing accessories|m2</v>
      </c>
      <c r="T161" s="24" t="s">
        <v>2336</v>
      </c>
    </row>
    <row r="162" spans="1:20" ht="15" customHeight="1" x14ac:dyDescent="0.25">
      <c r="A162" s="9" t="s">
        <v>2630</v>
      </c>
      <c r="B162" s="14" t="s">
        <v>348</v>
      </c>
      <c r="C162" s="9" t="s">
        <v>559</v>
      </c>
      <c r="D162" s="12" t="s">
        <v>560</v>
      </c>
      <c r="E162" s="12" t="s">
        <v>561</v>
      </c>
      <c r="F162" s="12" t="s">
        <v>565</v>
      </c>
      <c r="G162" s="12" t="s">
        <v>566</v>
      </c>
      <c r="H162" s="9" t="s">
        <v>18</v>
      </c>
      <c r="I162" s="25">
        <v>6</v>
      </c>
      <c r="J162" s="26">
        <f t="shared" si="25"/>
        <v>0.2</v>
      </c>
      <c r="K162" s="20">
        <f t="shared" si="18"/>
        <v>7.1999999999999993</v>
      </c>
      <c r="L162" s="25">
        <v>13</v>
      </c>
      <c r="M162" s="26">
        <f t="shared" si="26"/>
        <v>0.12</v>
      </c>
      <c r="N162" s="20">
        <f t="shared" si="19"/>
        <v>14.560000000000002</v>
      </c>
      <c r="O162" s="27">
        <f t="shared" si="20"/>
        <v>21.76</v>
      </c>
      <c r="P162" s="17" t="str">
        <f t="shared" si="21"/>
        <v>Benchmark</v>
      </c>
      <c r="Q162" s="9">
        <v>1</v>
      </c>
      <c r="R162" s="28" t="s">
        <v>2631</v>
      </c>
      <c r="S162" s="29" t="str">
        <f t="shared" si="22"/>
        <v>Concrete / clay roof tile incl. batten, ridge and fixing|m2</v>
      </c>
      <c r="T162" s="24" t="s">
        <v>2336</v>
      </c>
    </row>
    <row r="163" spans="1:20" ht="15" customHeight="1" x14ac:dyDescent="0.25">
      <c r="A163" s="9" t="s">
        <v>2632</v>
      </c>
      <c r="B163" s="14" t="s">
        <v>348</v>
      </c>
      <c r="C163" s="9" t="s">
        <v>559</v>
      </c>
      <c r="D163" s="12" t="s">
        <v>560</v>
      </c>
      <c r="E163" s="12" t="s">
        <v>561</v>
      </c>
      <c r="F163" s="12" t="s">
        <v>568</v>
      </c>
      <c r="G163" s="12" t="s">
        <v>569</v>
      </c>
      <c r="H163" s="9" t="s">
        <v>18</v>
      </c>
      <c r="I163" s="25">
        <v>4</v>
      </c>
      <c r="J163" s="26">
        <f t="shared" si="25"/>
        <v>0.2</v>
      </c>
      <c r="K163" s="20">
        <f t="shared" si="18"/>
        <v>4.8</v>
      </c>
      <c r="L163" s="25">
        <v>17</v>
      </c>
      <c r="M163" s="26">
        <f t="shared" si="26"/>
        <v>0.12</v>
      </c>
      <c r="N163" s="20">
        <f t="shared" si="19"/>
        <v>19.040000000000003</v>
      </c>
      <c r="O163" s="27">
        <f t="shared" si="20"/>
        <v>23.840000000000003</v>
      </c>
      <c r="P163" s="17" t="str">
        <f t="shared" si="21"/>
        <v>Benchmark</v>
      </c>
      <c r="Q163" s="9">
        <v>1</v>
      </c>
      <c r="R163" s="28" t="s">
        <v>2633</v>
      </c>
      <c r="S163" s="29" t="str">
        <f t="shared" si="22"/>
        <v>Translucent polycarbonate roof sheet incl. fixing|m2</v>
      </c>
      <c r="T163" s="24" t="s">
        <v>2336</v>
      </c>
    </row>
    <row r="164" spans="1:20" ht="15" customHeight="1" x14ac:dyDescent="0.25">
      <c r="A164" s="9" t="s">
        <v>2634</v>
      </c>
      <c r="B164" s="14" t="s">
        <v>348</v>
      </c>
      <c r="C164" s="9" t="s">
        <v>559</v>
      </c>
      <c r="D164" s="12" t="s">
        <v>560</v>
      </c>
      <c r="E164" s="12" t="s">
        <v>561</v>
      </c>
      <c r="F164" s="12" t="s">
        <v>571</v>
      </c>
      <c r="G164" s="12" t="s">
        <v>572</v>
      </c>
      <c r="H164" s="9" t="s">
        <v>61</v>
      </c>
      <c r="I164" s="25">
        <v>2.5</v>
      </c>
      <c r="J164" s="26">
        <f t="shared" si="25"/>
        <v>0.2</v>
      </c>
      <c r="K164" s="20">
        <f t="shared" si="18"/>
        <v>3</v>
      </c>
      <c r="L164" s="25">
        <v>6.5</v>
      </c>
      <c r="M164" s="26">
        <f t="shared" si="26"/>
        <v>0.12</v>
      </c>
      <c r="N164" s="20">
        <f t="shared" si="19"/>
        <v>7.2800000000000011</v>
      </c>
      <c r="O164" s="27">
        <f t="shared" si="20"/>
        <v>10.280000000000001</v>
      </c>
      <c r="P164" s="17" t="str">
        <f t="shared" si="21"/>
        <v>Benchmark</v>
      </c>
      <c r="Q164" s="9">
        <v>1</v>
      </c>
      <c r="R164" s="28" t="s">
        <v>2635</v>
      </c>
      <c r="S164" s="29" t="str">
        <f t="shared" si="22"/>
        <v>Colour coated ridge cap incl. sealing and fixing|m</v>
      </c>
      <c r="T164" s="24" t="s">
        <v>2336</v>
      </c>
    </row>
    <row r="165" spans="1:20" ht="21.75" customHeight="1" x14ac:dyDescent="0.25">
      <c r="A165" s="9" t="s">
        <v>2636</v>
      </c>
      <c r="B165" s="14" t="s">
        <v>348</v>
      </c>
      <c r="C165" s="9" t="s">
        <v>559</v>
      </c>
      <c r="D165" s="12" t="s">
        <v>560</v>
      </c>
      <c r="E165" s="12" t="s">
        <v>574</v>
      </c>
      <c r="F165" s="12" t="s">
        <v>575</v>
      </c>
      <c r="G165" s="12" t="s">
        <v>576</v>
      </c>
      <c r="H165" s="9" t="s">
        <v>18</v>
      </c>
      <c r="I165" s="25">
        <v>3.5</v>
      </c>
      <c r="J165" s="26">
        <f t="shared" si="25"/>
        <v>0.2</v>
      </c>
      <c r="K165" s="20">
        <f t="shared" si="18"/>
        <v>4.2</v>
      </c>
      <c r="L165" s="25">
        <v>9.5</v>
      </c>
      <c r="M165" s="26">
        <f t="shared" si="26"/>
        <v>0.12</v>
      </c>
      <c r="N165" s="20">
        <f t="shared" si="19"/>
        <v>10.64</v>
      </c>
      <c r="O165" s="27">
        <f t="shared" si="20"/>
        <v>14.84</v>
      </c>
      <c r="P165" s="17" t="str">
        <f t="shared" si="21"/>
        <v>Benchmark</v>
      </c>
      <c r="Q165" s="9">
        <v>1</v>
      </c>
      <c r="R165" s="28" t="s">
        <v>2637</v>
      </c>
      <c r="S165" s="29" t="str">
        <f t="shared" si="22"/>
        <v>Torch-on bituminous waterproofing membrane 3mm incl. primer and up-turn|m2</v>
      </c>
      <c r="T165" s="24" t="s">
        <v>2336</v>
      </c>
    </row>
    <row r="166" spans="1:20" ht="21.75" customHeight="1" x14ac:dyDescent="0.25">
      <c r="A166" s="9" t="s">
        <v>2638</v>
      </c>
      <c r="B166" s="14" t="s">
        <v>348</v>
      </c>
      <c r="C166" s="9" t="s">
        <v>559</v>
      </c>
      <c r="D166" s="12" t="s">
        <v>560</v>
      </c>
      <c r="E166" s="12" t="s">
        <v>574</v>
      </c>
      <c r="F166" s="12" t="s">
        <v>578</v>
      </c>
      <c r="G166" s="12" t="s">
        <v>579</v>
      </c>
      <c r="H166" s="9" t="s">
        <v>18</v>
      </c>
      <c r="I166" s="25">
        <v>1.8</v>
      </c>
      <c r="J166" s="26">
        <f t="shared" si="25"/>
        <v>0.2</v>
      </c>
      <c r="K166" s="20">
        <f t="shared" si="18"/>
        <v>2.16</v>
      </c>
      <c r="L166" s="25">
        <v>5.5</v>
      </c>
      <c r="M166" s="26">
        <f t="shared" si="26"/>
        <v>0.12</v>
      </c>
      <c r="N166" s="20">
        <f t="shared" si="19"/>
        <v>6.16</v>
      </c>
      <c r="O166" s="27">
        <f t="shared" si="20"/>
        <v>8.32</v>
      </c>
      <c r="P166" s="17" t="str">
        <f t="shared" si="21"/>
        <v>Benchmark</v>
      </c>
      <c r="Q166" s="9">
        <v>1</v>
      </c>
      <c r="R166" s="28" t="s">
        <v>2639</v>
      </c>
      <c r="S166" s="29" t="str">
        <f t="shared" si="22"/>
        <v>Roof thermal insulation, glasswool 50mm with foil facing|m2</v>
      </c>
      <c r="T166" s="24" t="s">
        <v>2336</v>
      </c>
    </row>
    <row r="167" spans="1:20" ht="21.75" customHeight="1" x14ac:dyDescent="0.25">
      <c r="A167" s="9" t="s">
        <v>2640</v>
      </c>
      <c r="B167" s="14" t="s">
        <v>348</v>
      </c>
      <c r="C167" s="9" t="s">
        <v>559</v>
      </c>
      <c r="D167" s="12" t="s">
        <v>560</v>
      </c>
      <c r="E167" s="12" t="s">
        <v>574</v>
      </c>
      <c r="F167" s="12" t="s">
        <v>581</v>
      </c>
      <c r="G167" s="12" t="s">
        <v>582</v>
      </c>
      <c r="H167" s="9" t="s">
        <v>18</v>
      </c>
      <c r="I167" s="25">
        <v>0.6</v>
      </c>
      <c r="J167" s="26">
        <f t="shared" si="25"/>
        <v>0.2</v>
      </c>
      <c r="K167" s="20">
        <f t="shared" si="18"/>
        <v>0.72</v>
      </c>
      <c r="L167" s="25">
        <v>1.4</v>
      </c>
      <c r="M167" s="26">
        <f t="shared" si="26"/>
        <v>0.12</v>
      </c>
      <c r="N167" s="20">
        <f t="shared" si="19"/>
        <v>1.5680000000000001</v>
      </c>
      <c r="O167" s="27">
        <f t="shared" si="20"/>
        <v>2.2880000000000003</v>
      </c>
      <c r="P167" s="17" t="str">
        <f t="shared" si="21"/>
        <v>Benchmark</v>
      </c>
      <c r="Q167" s="9">
        <v>1</v>
      </c>
      <c r="R167" s="28" t="s">
        <v>2641</v>
      </c>
      <c r="S167" s="29" t="str">
        <f t="shared" si="22"/>
        <v>Vapour barrier; supply and install complete incl. all accessories, jointing and making good.|m2</v>
      </c>
      <c r="T167" s="24" t="s">
        <v>2336</v>
      </c>
    </row>
    <row r="168" spans="1:20" ht="15" customHeight="1" x14ac:dyDescent="0.25">
      <c r="A168" s="9" t="s">
        <v>2642</v>
      </c>
      <c r="B168" s="14" t="s">
        <v>348</v>
      </c>
      <c r="C168" s="9" t="s">
        <v>559</v>
      </c>
      <c r="D168" s="12" t="s">
        <v>560</v>
      </c>
      <c r="E168" s="12" t="s">
        <v>585</v>
      </c>
      <c r="F168" s="12" t="s">
        <v>586</v>
      </c>
      <c r="G168" s="12" t="s">
        <v>587</v>
      </c>
      <c r="H168" s="9" t="s">
        <v>61</v>
      </c>
      <c r="I168" s="25">
        <v>4.5</v>
      </c>
      <c r="J168" s="26">
        <f t="shared" si="25"/>
        <v>0.2</v>
      </c>
      <c r="K168" s="20">
        <f t="shared" si="18"/>
        <v>5.3999999999999995</v>
      </c>
      <c r="L168" s="25">
        <v>11</v>
      </c>
      <c r="M168" s="26">
        <f t="shared" si="26"/>
        <v>0.12</v>
      </c>
      <c r="N168" s="20">
        <f t="shared" si="19"/>
        <v>12.32</v>
      </c>
      <c r="O168" s="27">
        <f t="shared" si="20"/>
        <v>17.72</v>
      </c>
      <c r="P168" s="17" t="str">
        <f t="shared" si="21"/>
        <v>Benchmark</v>
      </c>
      <c r="Q168" s="9">
        <v>1</v>
      </c>
      <c r="R168" s="28" t="s">
        <v>2643</v>
      </c>
      <c r="S168" s="29" t="str">
        <f t="shared" si="22"/>
        <v>Colour coated metal gutter incl. bracket and outlet|m</v>
      </c>
      <c r="T168" s="24" t="s">
        <v>2336</v>
      </c>
    </row>
    <row r="169" spans="1:20" ht="15" customHeight="1" x14ac:dyDescent="0.25">
      <c r="A169" s="9" t="s">
        <v>2644</v>
      </c>
      <c r="B169" s="14" t="s">
        <v>348</v>
      </c>
      <c r="C169" s="9" t="s">
        <v>559</v>
      </c>
      <c r="D169" s="12" t="s">
        <v>560</v>
      </c>
      <c r="E169" s="12" t="s">
        <v>585</v>
      </c>
      <c r="F169" s="12" t="s">
        <v>589</v>
      </c>
      <c r="G169" s="12" t="s">
        <v>590</v>
      </c>
      <c r="H169" s="9" t="s">
        <v>61</v>
      </c>
      <c r="I169" s="25">
        <v>3</v>
      </c>
      <c r="J169" s="26">
        <f t="shared" si="25"/>
        <v>0.2</v>
      </c>
      <c r="K169" s="20">
        <f t="shared" si="18"/>
        <v>3.5999999999999996</v>
      </c>
      <c r="L169" s="25">
        <v>6.5</v>
      </c>
      <c r="M169" s="26">
        <f t="shared" si="26"/>
        <v>0.12</v>
      </c>
      <c r="N169" s="20">
        <f t="shared" si="19"/>
        <v>7.2800000000000011</v>
      </c>
      <c r="O169" s="27">
        <f t="shared" si="20"/>
        <v>10.88</v>
      </c>
      <c r="P169" s="17" t="str">
        <f t="shared" si="21"/>
        <v>Benchmark</v>
      </c>
      <c r="Q169" s="9">
        <v>1</v>
      </c>
      <c r="R169" s="28" t="s">
        <v>2645</v>
      </c>
      <c r="S169" s="29" t="str">
        <f t="shared" si="22"/>
        <v>uPVC downpipe incl. bracket, bend and shoe|m</v>
      </c>
      <c r="T169" s="24" t="s">
        <v>2336</v>
      </c>
    </row>
    <row r="170" spans="1:20" ht="15" customHeight="1" x14ac:dyDescent="0.25">
      <c r="A170" s="9" t="s">
        <v>2646</v>
      </c>
      <c r="B170" s="14" t="s">
        <v>348</v>
      </c>
      <c r="C170" s="9" t="s">
        <v>559</v>
      </c>
      <c r="D170" s="12" t="s">
        <v>560</v>
      </c>
      <c r="E170" s="12" t="s">
        <v>585</v>
      </c>
      <c r="F170" s="12" t="s">
        <v>592</v>
      </c>
      <c r="G170" s="12" t="s">
        <v>593</v>
      </c>
      <c r="H170" s="9" t="s">
        <v>57</v>
      </c>
      <c r="I170" s="25">
        <v>6</v>
      </c>
      <c r="J170" s="26">
        <f t="shared" si="25"/>
        <v>0.2</v>
      </c>
      <c r="K170" s="20">
        <f t="shared" si="18"/>
        <v>7.1999999999999993</v>
      </c>
      <c r="L170" s="25">
        <v>18</v>
      </c>
      <c r="M170" s="26">
        <f t="shared" si="26"/>
        <v>0.12</v>
      </c>
      <c r="N170" s="20">
        <f t="shared" si="19"/>
        <v>20.160000000000004</v>
      </c>
      <c r="O170" s="27">
        <f t="shared" si="20"/>
        <v>27.360000000000003</v>
      </c>
      <c r="P170" s="17" t="str">
        <f t="shared" si="21"/>
        <v>Benchmark</v>
      </c>
      <c r="Q170" s="9">
        <v>1</v>
      </c>
      <c r="R170" s="28" t="s">
        <v>2647</v>
      </c>
      <c r="S170" s="29" t="str">
        <f t="shared" si="22"/>
        <v>Cast iron / uPVC roof drain with dome grating|Nos</v>
      </c>
      <c r="T170" s="24" t="s">
        <v>2336</v>
      </c>
    </row>
    <row r="171" spans="1:20" ht="15" customHeight="1" x14ac:dyDescent="0.25">
      <c r="A171" s="9" t="s">
        <v>2648</v>
      </c>
      <c r="B171" s="14" t="s">
        <v>348</v>
      </c>
      <c r="C171" s="9" t="s">
        <v>559</v>
      </c>
      <c r="D171" s="12" t="s">
        <v>560</v>
      </c>
      <c r="E171" s="12" t="s">
        <v>596</v>
      </c>
      <c r="F171" s="12" t="s">
        <v>597</v>
      </c>
      <c r="G171" s="12" t="s">
        <v>598</v>
      </c>
      <c r="H171" s="9" t="s">
        <v>18</v>
      </c>
      <c r="I171" s="25">
        <v>18</v>
      </c>
      <c r="J171" s="26">
        <f t="shared" si="25"/>
        <v>0.2</v>
      </c>
      <c r="K171" s="20">
        <f t="shared" si="18"/>
        <v>21.599999999999998</v>
      </c>
      <c r="L171" s="25">
        <v>110</v>
      </c>
      <c r="M171" s="26">
        <f t="shared" si="26"/>
        <v>0.12</v>
      </c>
      <c r="N171" s="20">
        <f t="shared" si="19"/>
        <v>123.20000000000002</v>
      </c>
      <c r="O171" s="27">
        <f t="shared" si="20"/>
        <v>144.80000000000001</v>
      </c>
      <c r="P171" s="17" t="str">
        <f t="shared" si="21"/>
        <v>Benchmark</v>
      </c>
      <c r="Q171" s="9">
        <v>1</v>
      </c>
      <c r="R171" s="28" t="s">
        <v>2649</v>
      </c>
      <c r="S171" s="29" t="str">
        <f t="shared" si="22"/>
        <v>Skylight with laminated glass incl. aluminium frame and flashing|m2</v>
      </c>
      <c r="T171" s="24" t="s">
        <v>2336</v>
      </c>
    </row>
    <row r="172" spans="1:20" ht="15" customHeight="1" x14ac:dyDescent="0.25">
      <c r="A172" s="9" t="s">
        <v>2650</v>
      </c>
      <c r="B172" s="14" t="s">
        <v>348</v>
      </c>
      <c r="C172" s="9" t="s">
        <v>559</v>
      </c>
      <c r="D172" s="12" t="s">
        <v>560</v>
      </c>
      <c r="E172" s="12" t="s">
        <v>596</v>
      </c>
      <c r="F172" s="12" t="s">
        <v>600</v>
      </c>
      <c r="G172" s="12" t="s">
        <v>601</v>
      </c>
      <c r="H172" s="9" t="s">
        <v>57</v>
      </c>
      <c r="I172" s="25">
        <v>25</v>
      </c>
      <c r="J172" s="26">
        <f t="shared" si="25"/>
        <v>0.2</v>
      </c>
      <c r="K172" s="20">
        <f t="shared" si="18"/>
        <v>30</v>
      </c>
      <c r="L172" s="25">
        <v>180</v>
      </c>
      <c r="M172" s="26">
        <f t="shared" si="26"/>
        <v>0.12</v>
      </c>
      <c r="N172" s="20">
        <f t="shared" si="19"/>
        <v>201.60000000000002</v>
      </c>
      <c r="O172" s="27">
        <f t="shared" si="20"/>
        <v>231.60000000000002</v>
      </c>
      <c r="P172" s="17" t="str">
        <f t="shared" si="21"/>
        <v>Benchmark</v>
      </c>
      <c r="Q172" s="9">
        <v>1</v>
      </c>
      <c r="R172" s="28" t="s">
        <v>2651</v>
      </c>
      <c r="S172" s="29" t="str">
        <f t="shared" si="22"/>
        <v>Roof access hatch incl. frame, cover and lock|Nos</v>
      </c>
      <c r="T172" s="24" t="s">
        <v>2336</v>
      </c>
    </row>
    <row r="173" spans="1:20" ht="15" customHeight="1" x14ac:dyDescent="0.25">
      <c r="A173" s="9" t="s">
        <v>2652</v>
      </c>
      <c r="B173" s="14" t="s">
        <v>348</v>
      </c>
      <c r="C173" s="9" t="s">
        <v>559</v>
      </c>
      <c r="D173" s="12" t="s">
        <v>560</v>
      </c>
      <c r="E173" s="12" t="s">
        <v>596</v>
      </c>
      <c r="F173" s="12" t="s">
        <v>603</v>
      </c>
      <c r="G173" s="12" t="s">
        <v>604</v>
      </c>
      <c r="H173" s="9" t="s">
        <v>57</v>
      </c>
      <c r="I173" s="25">
        <v>45</v>
      </c>
      <c r="J173" s="26">
        <f t="shared" si="25"/>
        <v>0.2</v>
      </c>
      <c r="K173" s="20">
        <f t="shared" si="18"/>
        <v>54</v>
      </c>
      <c r="L173" s="25">
        <v>155</v>
      </c>
      <c r="M173" s="26">
        <f t="shared" si="26"/>
        <v>0.12</v>
      </c>
      <c r="N173" s="20">
        <f t="shared" si="19"/>
        <v>173.60000000000002</v>
      </c>
      <c r="O173" s="27">
        <f t="shared" si="20"/>
        <v>227.60000000000002</v>
      </c>
      <c r="P173" s="17" t="str">
        <f t="shared" si="21"/>
        <v>Benchmark</v>
      </c>
      <c r="Q173" s="9">
        <v>1</v>
      </c>
      <c r="R173" s="28" t="s">
        <v>2653</v>
      </c>
      <c r="S173" s="29" t="str">
        <f t="shared" si="22"/>
        <v>Steel cat ladder incl. safety hoop and painting|Nos</v>
      </c>
      <c r="T173" s="24" t="s">
        <v>2336</v>
      </c>
    </row>
    <row r="174" spans="1:20" ht="15" customHeight="1" x14ac:dyDescent="0.25">
      <c r="A174" s="9" t="s">
        <v>2654</v>
      </c>
      <c r="B174" s="14" t="s">
        <v>348</v>
      </c>
      <c r="C174" s="9" t="s">
        <v>559</v>
      </c>
      <c r="D174" s="12" t="s">
        <v>560</v>
      </c>
      <c r="E174" s="12" t="s">
        <v>596</v>
      </c>
      <c r="F174" s="12" t="s">
        <v>606</v>
      </c>
      <c r="G174" s="12" t="s">
        <v>607</v>
      </c>
      <c r="H174" s="9" t="s">
        <v>57</v>
      </c>
      <c r="I174" s="25">
        <v>12</v>
      </c>
      <c r="J174" s="26">
        <f t="shared" si="25"/>
        <v>0.2</v>
      </c>
      <c r="K174" s="20">
        <f t="shared" si="18"/>
        <v>14.399999999999999</v>
      </c>
      <c r="L174" s="25">
        <v>35</v>
      </c>
      <c r="M174" s="26">
        <f t="shared" si="26"/>
        <v>0.12</v>
      </c>
      <c r="N174" s="20">
        <f t="shared" si="19"/>
        <v>39.200000000000003</v>
      </c>
      <c r="O174" s="27">
        <f t="shared" si="20"/>
        <v>53.6</v>
      </c>
      <c r="P174" s="17" t="str">
        <f t="shared" si="21"/>
        <v>Benchmark</v>
      </c>
      <c r="Q174" s="9">
        <v>1</v>
      </c>
      <c r="R174" s="28" t="s">
        <v>2655</v>
      </c>
      <c r="S174" s="29" t="str">
        <f t="shared" si="22"/>
        <v>Lightning air terminal base incl. fixing to roof structure|Nos</v>
      </c>
      <c r="T174" s="24" t="s">
        <v>2336</v>
      </c>
    </row>
    <row r="175" spans="1:20" ht="21.75" customHeight="1" x14ac:dyDescent="0.25">
      <c r="A175" s="9" t="s">
        <v>2656</v>
      </c>
      <c r="B175" s="14" t="s">
        <v>348</v>
      </c>
      <c r="C175" s="9" t="s">
        <v>609</v>
      </c>
      <c r="D175" s="12" t="s">
        <v>610</v>
      </c>
      <c r="E175" s="12" t="s">
        <v>351</v>
      </c>
      <c r="F175" s="12" t="s">
        <v>352</v>
      </c>
      <c r="G175" s="12" t="s">
        <v>611</v>
      </c>
      <c r="H175" s="9" t="s">
        <v>18</v>
      </c>
      <c r="I175" s="25">
        <v>3</v>
      </c>
      <c r="J175" s="26">
        <v>0.2</v>
      </c>
      <c r="K175" s="20">
        <f t="shared" si="18"/>
        <v>3.5999999999999996</v>
      </c>
      <c r="L175" s="25">
        <v>6</v>
      </c>
      <c r="M175" s="26">
        <v>0.12</v>
      </c>
      <c r="N175" s="20">
        <f t="shared" si="19"/>
        <v>6.7200000000000006</v>
      </c>
      <c r="O175" s="27">
        <f t="shared" si="20"/>
        <v>10.32</v>
      </c>
      <c r="P175" s="30" t="str">
        <f t="shared" si="21"/>
        <v>Priced</v>
      </c>
      <c r="Q175" s="9">
        <v>1</v>
      </c>
      <c r="R175" s="31" t="s">
        <v>2657</v>
      </c>
      <c r="S175" s="29" t="str">
        <f t="shared" si="22"/>
        <v>Hollow clay brick (80x80x180)mm, thickness 100mm Thk.|m2</v>
      </c>
      <c r="T175" s="24" t="s">
        <v>2367</v>
      </c>
    </row>
    <row r="176" spans="1:20" ht="21.75" customHeight="1" x14ac:dyDescent="0.25">
      <c r="A176" s="9" t="s">
        <v>2658</v>
      </c>
      <c r="B176" s="14" t="s">
        <v>348</v>
      </c>
      <c r="C176" s="9" t="s">
        <v>609</v>
      </c>
      <c r="D176" s="12" t="s">
        <v>610</v>
      </c>
      <c r="E176" s="12" t="s">
        <v>351</v>
      </c>
      <c r="F176" s="12" t="s">
        <v>355</v>
      </c>
      <c r="G176" s="12" t="s">
        <v>613</v>
      </c>
      <c r="H176" s="9" t="s">
        <v>18</v>
      </c>
      <c r="I176" s="25">
        <v>4.5</v>
      </c>
      <c r="J176" s="26">
        <f t="shared" ref="J176:J184" si="27">_STDLAB</f>
        <v>0.2</v>
      </c>
      <c r="K176" s="20">
        <f t="shared" si="18"/>
        <v>5.3999999999999995</v>
      </c>
      <c r="L176" s="25">
        <v>11</v>
      </c>
      <c r="M176" s="26">
        <f t="shared" ref="M176:M184" si="28">_STDMAT</f>
        <v>0.12</v>
      </c>
      <c r="N176" s="20">
        <f t="shared" si="19"/>
        <v>12.32</v>
      </c>
      <c r="O176" s="27">
        <f t="shared" si="20"/>
        <v>17.72</v>
      </c>
      <c r="P176" s="17" t="str">
        <f t="shared" si="21"/>
        <v>Benchmark</v>
      </c>
      <c r="Q176" s="9">
        <v>1</v>
      </c>
      <c r="R176" s="28" t="s">
        <v>2659</v>
      </c>
      <c r="S176" s="29" t="str">
        <f t="shared" si="22"/>
        <v>Hollow clay brick, thickness 200mm, laid in cement:sand mortar 1:4|m2</v>
      </c>
      <c r="T176" s="24" t="s">
        <v>2336</v>
      </c>
    </row>
    <row r="177" spans="1:20" ht="15" customHeight="1" x14ac:dyDescent="0.25">
      <c r="A177" s="9" t="s">
        <v>2660</v>
      </c>
      <c r="B177" s="14" t="s">
        <v>348</v>
      </c>
      <c r="C177" s="9" t="s">
        <v>609</v>
      </c>
      <c r="D177" s="12" t="s">
        <v>610</v>
      </c>
      <c r="E177" s="12" t="s">
        <v>615</v>
      </c>
      <c r="F177" s="12" t="s">
        <v>616</v>
      </c>
      <c r="G177" s="12" t="s">
        <v>617</v>
      </c>
      <c r="H177" s="9" t="s">
        <v>18</v>
      </c>
      <c r="I177" s="25">
        <v>7</v>
      </c>
      <c r="J177" s="26">
        <f t="shared" si="27"/>
        <v>0.2</v>
      </c>
      <c r="K177" s="20">
        <f t="shared" si="18"/>
        <v>8.4</v>
      </c>
      <c r="L177" s="25">
        <v>16</v>
      </c>
      <c r="M177" s="26">
        <f t="shared" si="28"/>
        <v>0.12</v>
      </c>
      <c r="N177" s="20">
        <f t="shared" si="19"/>
        <v>17.920000000000002</v>
      </c>
      <c r="O177" s="27">
        <f t="shared" si="20"/>
        <v>26.32</v>
      </c>
      <c r="P177" s="17" t="str">
        <f t="shared" si="21"/>
        <v>Benchmark</v>
      </c>
      <c r="Q177" s="9">
        <v>1</v>
      </c>
      <c r="R177" s="28" t="s">
        <v>2661</v>
      </c>
      <c r="S177" s="29" t="str">
        <f t="shared" si="22"/>
        <v>Gypsum board partition 2x12mm both sides on 76mm metal stud incl. jointing|m2</v>
      </c>
      <c r="T177" s="24" t="s">
        <v>2336</v>
      </c>
    </row>
    <row r="178" spans="1:20" ht="15" customHeight="1" x14ac:dyDescent="0.25">
      <c r="A178" s="9" t="s">
        <v>2662</v>
      </c>
      <c r="B178" s="14" t="s">
        <v>348</v>
      </c>
      <c r="C178" s="9" t="s">
        <v>609</v>
      </c>
      <c r="D178" s="12" t="s">
        <v>610</v>
      </c>
      <c r="E178" s="12" t="s">
        <v>615</v>
      </c>
      <c r="F178" s="12" t="s">
        <v>619</v>
      </c>
      <c r="G178" s="12" t="s">
        <v>620</v>
      </c>
      <c r="H178" s="9" t="s">
        <v>18</v>
      </c>
      <c r="I178" s="25">
        <v>7.5</v>
      </c>
      <c r="J178" s="26">
        <f t="shared" si="27"/>
        <v>0.2</v>
      </c>
      <c r="K178" s="20">
        <f t="shared" si="18"/>
        <v>9</v>
      </c>
      <c r="L178" s="25">
        <v>18</v>
      </c>
      <c r="M178" s="26">
        <f t="shared" si="28"/>
        <v>0.12</v>
      </c>
      <c r="N178" s="20">
        <f t="shared" si="19"/>
        <v>20.160000000000004</v>
      </c>
      <c r="O178" s="27">
        <f t="shared" si="20"/>
        <v>29.160000000000004</v>
      </c>
      <c r="P178" s="17" t="str">
        <f t="shared" si="21"/>
        <v>Benchmark</v>
      </c>
      <c r="Q178" s="9">
        <v>1</v>
      </c>
      <c r="R178" s="28" t="s">
        <v>2663</v>
      </c>
      <c r="S178" s="29" t="str">
        <f t="shared" si="22"/>
        <v>Fibre cement board partition 2x9mm both sides on metal stud incl. jointing|m2</v>
      </c>
      <c r="T178" s="24" t="s">
        <v>2336</v>
      </c>
    </row>
    <row r="179" spans="1:20" ht="15" customHeight="1" x14ac:dyDescent="0.25">
      <c r="A179" s="9" t="s">
        <v>2664</v>
      </c>
      <c r="B179" s="14" t="s">
        <v>348</v>
      </c>
      <c r="C179" s="9" t="s">
        <v>609</v>
      </c>
      <c r="D179" s="12" t="s">
        <v>610</v>
      </c>
      <c r="E179" s="12" t="s">
        <v>615</v>
      </c>
      <c r="F179" s="12" t="s">
        <v>622</v>
      </c>
      <c r="G179" s="12" t="s">
        <v>623</v>
      </c>
      <c r="H179" s="9" t="s">
        <v>18</v>
      </c>
      <c r="I179" s="25">
        <v>3</v>
      </c>
      <c r="J179" s="26">
        <f t="shared" si="27"/>
        <v>0.2</v>
      </c>
      <c r="K179" s="20">
        <f t="shared" si="18"/>
        <v>3.5999999999999996</v>
      </c>
      <c r="L179" s="25">
        <v>7</v>
      </c>
      <c r="M179" s="26">
        <f t="shared" si="28"/>
        <v>0.12</v>
      </c>
      <c r="N179" s="20">
        <f t="shared" si="19"/>
        <v>7.8400000000000007</v>
      </c>
      <c r="O179" s="27">
        <f t="shared" si="20"/>
        <v>11.440000000000001</v>
      </c>
      <c r="P179" s="17" t="str">
        <f t="shared" si="21"/>
        <v>Benchmark</v>
      </c>
      <c r="Q179" s="9">
        <v>1</v>
      </c>
      <c r="R179" s="28" t="s">
        <v>2665</v>
      </c>
      <c r="S179" s="29" t="str">
        <f t="shared" si="22"/>
        <v>Galvanised metal stud and track framing at 600mm c/c|m2</v>
      </c>
      <c r="T179" s="24" t="s">
        <v>2336</v>
      </c>
    </row>
    <row r="180" spans="1:20" ht="15" customHeight="1" x14ac:dyDescent="0.25">
      <c r="A180" s="9" t="s">
        <v>2666</v>
      </c>
      <c r="B180" s="14" t="s">
        <v>348</v>
      </c>
      <c r="C180" s="9" t="s">
        <v>609</v>
      </c>
      <c r="D180" s="12" t="s">
        <v>610</v>
      </c>
      <c r="E180" s="12" t="s">
        <v>615</v>
      </c>
      <c r="F180" s="12" t="s">
        <v>625</v>
      </c>
      <c r="G180" s="12" t="s">
        <v>626</v>
      </c>
      <c r="H180" s="9" t="s">
        <v>18</v>
      </c>
      <c r="I180" s="25">
        <v>1.5</v>
      </c>
      <c r="J180" s="26">
        <f t="shared" si="27"/>
        <v>0.2</v>
      </c>
      <c r="K180" s="20">
        <f t="shared" si="18"/>
        <v>1.7999999999999998</v>
      </c>
      <c r="L180" s="25">
        <v>4.5</v>
      </c>
      <c r="M180" s="26">
        <f t="shared" si="28"/>
        <v>0.12</v>
      </c>
      <c r="N180" s="20">
        <f t="shared" si="19"/>
        <v>5.0400000000000009</v>
      </c>
      <c r="O180" s="27">
        <f t="shared" si="20"/>
        <v>6.8400000000000007</v>
      </c>
      <c r="P180" s="17" t="str">
        <f t="shared" si="21"/>
        <v>Benchmark</v>
      </c>
      <c r="Q180" s="9">
        <v>1</v>
      </c>
      <c r="R180" s="28" t="s">
        <v>2667</v>
      </c>
      <c r="S180" s="29" t="str">
        <f t="shared" si="22"/>
        <v>Rockwool acoustic infill 50mm thk. density 60kg/m3 to partition cavity|m2</v>
      </c>
      <c r="T180" s="24" t="s">
        <v>2336</v>
      </c>
    </row>
    <row r="181" spans="1:20" ht="15" customHeight="1" x14ac:dyDescent="0.25">
      <c r="A181" s="9" t="s">
        <v>2668</v>
      </c>
      <c r="B181" s="14" t="s">
        <v>348</v>
      </c>
      <c r="C181" s="9" t="s">
        <v>609</v>
      </c>
      <c r="D181" s="12" t="s">
        <v>610</v>
      </c>
      <c r="E181" s="12" t="s">
        <v>628</v>
      </c>
      <c r="F181" s="12" t="s">
        <v>629</v>
      </c>
      <c r="G181" s="12" t="s">
        <v>630</v>
      </c>
      <c r="H181" s="9" t="s">
        <v>18</v>
      </c>
      <c r="I181" s="25">
        <v>14</v>
      </c>
      <c r="J181" s="26">
        <f t="shared" si="27"/>
        <v>0.2</v>
      </c>
      <c r="K181" s="20">
        <f t="shared" si="18"/>
        <v>16.8</v>
      </c>
      <c r="L181" s="25">
        <v>78</v>
      </c>
      <c r="M181" s="26">
        <f t="shared" si="28"/>
        <v>0.12</v>
      </c>
      <c r="N181" s="20">
        <f t="shared" si="19"/>
        <v>87.360000000000014</v>
      </c>
      <c r="O181" s="27">
        <f t="shared" si="20"/>
        <v>104.16000000000001</v>
      </c>
      <c r="P181" s="17" t="str">
        <f t="shared" si="21"/>
        <v>Benchmark</v>
      </c>
      <c r="Q181" s="9">
        <v>1</v>
      </c>
      <c r="R181" s="28" t="s">
        <v>2669</v>
      </c>
      <c r="S181" s="29" t="str">
        <f t="shared" si="22"/>
        <v>Frameless tempered glass partition 12mm thk. incl. patch fitting and sealant|m2</v>
      </c>
      <c r="T181" s="24" t="s">
        <v>2336</v>
      </c>
    </row>
    <row r="182" spans="1:20" ht="15" customHeight="1" x14ac:dyDescent="0.25">
      <c r="A182" s="9" t="s">
        <v>2670</v>
      </c>
      <c r="B182" s="14" t="s">
        <v>348</v>
      </c>
      <c r="C182" s="9" t="s">
        <v>609</v>
      </c>
      <c r="D182" s="12" t="s">
        <v>610</v>
      </c>
      <c r="E182" s="12" t="s">
        <v>628</v>
      </c>
      <c r="F182" s="12" t="s">
        <v>632</v>
      </c>
      <c r="G182" s="12" t="s">
        <v>633</v>
      </c>
      <c r="H182" s="9" t="s">
        <v>18</v>
      </c>
      <c r="I182" s="25">
        <v>10</v>
      </c>
      <c r="J182" s="26">
        <f t="shared" si="27"/>
        <v>0.2</v>
      </c>
      <c r="K182" s="20">
        <f t="shared" si="18"/>
        <v>12</v>
      </c>
      <c r="L182" s="25">
        <v>52</v>
      </c>
      <c r="M182" s="26">
        <f t="shared" si="28"/>
        <v>0.12</v>
      </c>
      <c r="N182" s="20">
        <f t="shared" si="19"/>
        <v>58.240000000000009</v>
      </c>
      <c r="O182" s="27">
        <f t="shared" si="20"/>
        <v>70.240000000000009</v>
      </c>
      <c r="P182" s="17" t="str">
        <f t="shared" si="21"/>
        <v>Benchmark</v>
      </c>
      <c r="Q182" s="9">
        <v>1</v>
      </c>
      <c r="R182" s="28" t="s">
        <v>2671</v>
      </c>
      <c r="S182" s="29" t="str">
        <f t="shared" si="22"/>
        <v>Aluminium framed glass partition with 8mm tempered glass|m2</v>
      </c>
      <c r="T182" s="24" t="s">
        <v>2336</v>
      </c>
    </row>
    <row r="183" spans="1:20" ht="15" customHeight="1" x14ac:dyDescent="0.25">
      <c r="A183" s="9" t="s">
        <v>2672</v>
      </c>
      <c r="B183" s="14" t="s">
        <v>348</v>
      </c>
      <c r="C183" s="9" t="s">
        <v>609</v>
      </c>
      <c r="D183" s="12" t="s">
        <v>610</v>
      </c>
      <c r="E183" s="12" t="s">
        <v>635</v>
      </c>
      <c r="F183" s="12" t="s">
        <v>635</v>
      </c>
      <c r="G183" s="12" t="s">
        <v>636</v>
      </c>
      <c r="H183" s="9" t="s">
        <v>57</v>
      </c>
      <c r="I183" s="25">
        <v>28</v>
      </c>
      <c r="J183" s="26">
        <f t="shared" si="27"/>
        <v>0.2</v>
      </c>
      <c r="K183" s="20">
        <f t="shared" si="18"/>
        <v>33.6</v>
      </c>
      <c r="L183" s="25">
        <v>195</v>
      </c>
      <c r="M183" s="26">
        <f t="shared" si="28"/>
        <v>0.12</v>
      </c>
      <c r="N183" s="20">
        <f t="shared" si="19"/>
        <v>218.40000000000003</v>
      </c>
      <c r="O183" s="27">
        <f t="shared" si="20"/>
        <v>252.00000000000003</v>
      </c>
      <c r="P183" s="17" t="str">
        <f t="shared" si="21"/>
        <v>Benchmark</v>
      </c>
      <c r="Q183" s="9">
        <v>1</v>
      </c>
      <c r="R183" s="28" t="s">
        <v>2673</v>
      </c>
      <c r="S183" s="29" t="str">
        <f t="shared" si="22"/>
        <v>Toilet cubicle, compact laminate 12mm thk. incl. door, hardware and pilaster|Nos</v>
      </c>
      <c r="T183" s="24" t="s">
        <v>2336</v>
      </c>
    </row>
    <row r="184" spans="1:20" ht="15" customHeight="1" x14ac:dyDescent="0.25">
      <c r="A184" s="9" t="s">
        <v>2674</v>
      </c>
      <c r="B184" s="14" t="s">
        <v>348</v>
      </c>
      <c r="C184" s="9" t="s">
        <v>609</v>
      </c>
      <c r="D184" s="12" t="s">
        <v>610</v>
      </c>
      <c r="E184" s="12" t="s">
        <v>635</v>
      </c>
      <c r="F184" s="12" t="s">
        <v>638</v>
      </c>
      <c r="G184" s="12" t="s">
        <v>639</v>
      </c>
      <c r="H184" s="9" t="s">
        <v>57</v>
      </c>
      <c r="I184" s="25">
        <v>12</v>
      </c>
      <c r="J184" s="26">
        <f t="shared" si="27"/>
        <v>0.2</v>
      </c>
      <c r="K184" s="20">
        <f t="shared" si="18"/>
        <v>14.399999999999999</v>
      </c>
      <c r="L184" s="25">
        <v>75</v>
      </c>
      <c r="M184" s="26">
        <f t="shared" si="28"/>
        <v>0.12</v>
      </c>
      <c r="N184" s="20">
        <f t="shared" si="19"/>
        <v>84.000000000000014</v>
      </c>
      <c r="O184" s="27">
        <f t="shared" si="20"/>
        <v>98.4</v>
      </c>
      <c r="P184" s="17" t="str">
        <f t="shared" si="21"/>
        <v>Benchmark</v>
      </c>
      <c r="Q184" s="9">
        <v>1</v>
      </c>
      <c r="R184" s="28" t="s">
        <v>2675</v>
      </c>
      <c r="S184" s="29" t="str">
        <f t="shared" si="22"/>
        <v>Urinal divider, compact laminate 12mm thk. incl. bracket|Nos</v>
      </c>
      <c r="T184" s="24" t="s">
        <v>2336</v>
      </c>
    </row>
    <row r="185" spans="1:20" ht="18.75" customHeight="1" x14ac:dyDescent="0.25">
      <c r="A185" s="9" t="s">
        <v>2676</v>
      </c>
      <c r="B185" s="14" t="s">
        <v>348</v>
      </c>
      <c r="C185" s="9" t="s">
        <v>609</v>
      </c>
      <c r="D185" s="12" t="s">
        <v>610</v>
      </c>
      <c r="E185" s="12" t="s">
        <v>550</v>
      </c>
      <c r="F185" s="12" t="s">
        <v>642</v>
      </c>
      <c r="G185" s="12" t="s">
        <v>643</v>
      </c>
      <c r="H185" s="9" t="s">
        <v>61</v>
      </c>
      <c r="I185" s="25">
        <v>9</v>
      </c>
      <c r="J185" s="26">
        <v>0.2</v>
      </c>
      <c r="K185" s="20">
        <f t="shared" si="18"/>
        <v>10.799999999999999</v>
      </c>
      <c r="L185" s="25">
        <v>22</v>
      </c>
      <c r="M185" s="26">
        <v>0.12</v>
      </c>
      <c r="N185" s="20">
        <f t="shared" si="19"/>
        <v>24.64</v>
      </c>
      <c r="O185" s="27">
        <f t="shared" si="20"/>
        <v>35.44</v>
      </c>
      <c r="P185" s="30" t="str">
        <f t="shared" si="21"/>
        <v>Priced</v>
      </c>
      <c r="Q185" s="9">
        <v>1</v>
      </c>
      <c r="R185" s="31" t="s">
        <v>2677</v>
      </c>
      <c r="S185" s="29" t="str">
        <f t="shared" si="22"/>
        <v>Steel handrail with paiting Handrail on staircase, H=1m|m</v>
      </c>
      <c r="T185" s="24" t="s">
        <v>2367</v>
      </c>
    </row>
    <row r="186" spans="1:20" ht="15" customHeight="1" x14ac:dyDescent="0.25">
      <c r="A186" s="9" t="s">
        <v>2678</v>
      </c>
      <c r="B186" s="14" t="s">
        <v>348</v>
      </c>
      <c r="C186" s="9" t="s">
        <v>609</v>
      </c>
      <c r="D186" s="12" t="s">
        <v>610</v>
      </c>
      <c r="E186" s="12" t="s">
        <v>550</v>
      </c>
      <c r="F186" s="12" t="s">
        <v>645</v>
      </c>
      <c r="G186" s="12" t="s">
        <v>646</v>
      </c>
      <c r="H186" s="9" t="s">
        <v>61</v>
      </c>
      <c r="I186" s="25">
        <v>5</v>
      </c>
      <c r="J186" s="26">
        <f>_STDLAB</f>
        <v>0.2</v>
      </c>
      <c r="K186" s="20">
        <f t="shared" si="18"/>
        <v>6</v>
      </c>
      <c r="L186" s="25">
        <v>14</v>
      </c>
      <c r="M186" s="26">
        <f>_STDMAT</f>
        <v>0.12</v>
      </c>
      <c r="N186" s="20">
        <f t="shared" si="19"/>
        <v>15.680000000000001</v>
      </c>
      <c r="O186" s="27">
        <f t="shared" si="20"/>
        <v>21.68</v>
      </c>
      <c r="P186" s="17" t="str">
        <f t="shared" si="21"/>
        <v>Benchmark</v>
      </c>
      <c r="Q186" s="9">
        <v>1</v>
      </c>
      <c r="R186" s="28" t="s">
        <v>2679</v>
      </c>
      <c r="S186" s="29" t="str">
        <f t="shared" si="22"/>
        <v>Wall mounted guard rail / crash rail incl. bracket and fixing|m</v>
      </c>
      <c r="T186" s="24" t="s">
        <v>2336</v>
      </c>
    </row>
    <row r="187" spans="1:20" ht="15" customHeight="1" x14ac:dyDescent="0.25">
      <c r="A187" s="9" t="s">
        <v>2680</v>
      </c>
      <c r="B187" s="14" t="s">
        <v>348</v>
      </c>
      <c r="C187" s="9" t="s">
        <v>648</v>
      </c>
      <c r="D187" s="12" t="s">
        <v>649</v>
      </c>
      <c r="E187" s="12" t="s">
        <v>650</v>
      </c>
      <c r="F187" s="12" t="s">
        <v>650</v>
      </c>
      <c r="G187" s="12" t="s">
        <v>651</v>
      </c>
      <c r="H187" s="9" t="s">
        <v>1882</v>
      </c>
      <c r="I187" s="25">
        <v>0</v>
      </c>
      <c r="J187" s="26">
        <v>0</v>
      </c>
      <c r="K187" s="20">
        <f t="shared" si="18"/>
        <v>0</v>
      </c>
      <c r="L187" s="25">
        <v>210</v>
      </c>
      <c r="M187" s="26">
        <v>0.12</v>
      </c>
      <c r="N187" s="20">
        <f t="shared" si="19"/>
        <v>235.20000000000002</v>
      </c>
      <c r="O187" s="27">
        <f t="shared" si="20"/>
        <v>235.20000000000002</v>
      </c>
      <c r="P187" s="30" t="str">
        <f t="shared" si="21"/>
        <v>Priced</v>
      </c>
      <c r="Q187" s="9">
        <v>1</v>
      </c>
      <c r="R187" s="31" t="s">
        <v>2681</v>
      </c>
      <c r="S187" s="29" t="str">
        <f t="shared" si="22"/>
        <v>Wood door size (L:1600,H:2100,W:500)mm|pcs</v>
      </c>
      <c r="T187" s="24" t="s">
        <v>2367</v>
      </c>
    </row>
    <row r="188" spans="1:20" ht="15" customHeight="1" x14ac:dyDescent="0.25">
      <c r="A188" s="9" t="s">
        <v>2682</v>
      </c>
      <c r="B188" s="14" t="s">
        <v>348</v>
      </c>
      <c r="C188" s="9" t="s">
        <v>648</v>
      </c>
      <c r="D188" s="12" t="s">
        <v>649</v>
      </c>
      <c r="E188" s="12" t="s">
        <v>650</v>
      </c>
      <c r="F188" s="12" t="s">
        <v>650</v>
      </c>
      <c r="G188" s="12" t="s">
        <v>2032</v>
      </c>
      <c r="H188" s="9" t="s">
        <v>1882</v>
      </c>
      <c r="I188" s="25">
        <v>0</v>
      </c>
      <c r="J188" s="26">
        <v>0</v>
      </c>
      <c r="K188" s="20">
        <f t="shared" si="18"/>
        <v>0</v>
      </c>
      <c r="L188" s="25">
        <v>110</v>
      </c>
      <c r="M188" s="26">
        <v>0.12</v>
      </c>
      <c r="N188" s="20">
        <f t="shared" si="19"/>
        <v>123.20000000000002</v>
      </c>
      <c r="O188" s="27">
        <f t="shared" si="20"/>
        <v>123.20000000000002</v>
      </c>
      <c r="P188" s="30" t="str">
        <f t="shared" si="21"/>
        <v>Priced</v>
      </c>
      <c r="Q188" s="9">
        <v>1</v>
      </c>
      <c r="R188" s="31" t="s">
        <v>2683</v>
      </c>
      <c r="S188" s="29" t="str">
        <f t="shared" si="22"/>
        <v>Wood door size (L:900,H:2100,W:400)mm|pcs</v>
      </c>
      <c r="T188" s="24" t="s">
        <v>2367</v>
      </c>
    </row>
    <row r="189" spans="1:20" ht="15" customHeight="1" x14ac:dyDescent="0.25">
      <c r="A189" s="9" t="s">
        <v>2684</v>
      </c>
      <c r="B189" s="14" t="s">
        <v>348</v>
      </c>
      <c r="C189" s="9" t="s">
        <v>648</v>
      </c>
      <c r="D189" s="12" t="s">
        <v>649</v>
      </c>
      <c r="E189" s="12" t="s">
        <v>650</v>
      </c>
      <c r="F189" s="12" t="s">
        <v>650</v>
      </c>
      <c r="G189" s="12" t="s">
        <v>2034</v>
      </c>
      <c r="H189" s="9" t="s">
        <v>1882</v>
      </c>
      <c r="I189" s="25">
        <v>0</v>
      </c>
      <c r="J189" s="26">
        <v>0</v>
      </c>
      <c r="K189" s="20">
        <f t="shared" si="18"/>
        <v>0</v>
      </c>
      <c r="L189" s="25">
        <v>120</v>
      </c>
      <c r="M189" s="26">
        <v>0.12</v>
      </c>
      <c r="N189" s="20">
        <f t="shared" si="19"/>
        <v>134.4</v>
      </c>
      <c r="O189" s="27">
        <f t="shared" si="20"/>
        <v>134.4</v>
      </c>
      <c r="P189" s="30" t="str">
        <f t="shared" si="21"/>
        <v>Priced</v>
      </c>
      <c r="Q189" s="9">
        <v>1</v>
      </c>
      <c r="R189" s="31" t="s">
        <v>2685</v>
      </c>
      <c r="S189" s="29" t="str">
        <f t="shared" si="22"/>
        <v>Wood door size (L:900,H:2100,W:500)mm|pcs</v>
      </c>
      <c r="T189" s="24" t="s">
        <v>2367</v>
      </c>
    </row>
    <row r="190" spans="1:20" ht="15" customHeight="1" x14ac:dyDescent="0.25">
      <c r="A190" s="9" t="s">
        <v>2686</v>
      </c>
      <c r="B190" s="14" t="s">
        <v>348</v>
      </c>
      <c r="C190" s="9" t="s">
        <v>648</v>
      </c>
      <c r="D190" s="12" t="s">
        <v>649</v>
      </c>
      <c r="E190" s="12" t="s">
        <v>650</v>
      </c>
      <c r="F190" s="12" t="s">
        <v>650</v>
      </c>
      <c r="G190" s="12" t="s">
        <v>2036</v>
      </c>
      <c r="H190" s="9" t="s">
        <v>57</v>
      </c>
      <c r="I190" s="25">
        <v>25</v>
      </c>
      <c r="J190" s="26">
        <f>_STDLAB</f>
        <v>0.2</v>
      </c>
      <c r="K190" s="20">
        <f t="shared" si="18"/>
        <v>30</v>
      </c>
      <c r="L190" s="25">
        <v>215</v>
      </c>
      <c r="M190" s="26">
        <f>_STDMAT</f>
        <v>0.12</v>
      </c>
      <c r="N190" s="20">
        <f t="shared" si="19"/>
        <v>240.8</v>
      </c>
      <c r="O190" s="27">
        <f t="shared" si="20"/>
        <v>270.8</v>
      </c>
      <c r="P190" s="17" t="str">
        <f t="shared" si="21"/>
        <v>Benchmark</v>
      </c>
      <c r="Q190" s="9">
        <v>1</v>
      </c>
      <c r="R190" s="28" t="s">
        <v>2687</v>
      </c>
      <c r="S190" s="29" t="str">
        <f t="shared" si="22"/>
        <v>Double leaf wood door, W:1600,H:2100mm incl. frame and ironmongery|Nos</v>
      </c>
      <c r="T190" s="24" t="s">
        <v>2336</v>
      </c>
    </row>
    <row r="191" spans="1:20" ht="15" customHeight="1" x14ac:dyDescent="0.25">
      <c r="A191" s="9" t="s">
        <v>2688</v>
      </c>
      <c r="B191" s="14" t="s">
        <v>348</v>
      </c>
      <c r="C191" s="9" t="s">
        <v>648</v>
      </c>
      <c r="D191" s="12" t="s">
        <v>649</v>
      </c>
      <c r="E191" s="12" t="s">
        <v>650</v>
      </c>
      <c r="F191" s="12" t="s">
        <v>650</v>
      </c>
      <c r="G191" s="12" t="s">
        <v>2038</v>
      </c>
      <c r="H191" s="9" t="s">
        <v>57</v>
      </c>
      <c r="I191" s="25">
        <v>15</v>
      </c>
      <c r="J191" s="26">
        <f>_STDLAB</f>
        <v>0.2</v>
      </c>
      <c r="K191" s="20">
        <f t="shared" si="18"/>
        <v>18</v>
      </c>
      <c r="L191" s="25">
        <v>105</v>
      </c>
      <c r="M191" s="26">
        <f>_STDMAT</f>
        <v>0.12</v>
      </c>
      <c r="N191" s="20">
        <f t="shared" si="19"/>
        <v>117.60000000000001</v>
      </c>
      <c r="O191" s="27">
        <f t="shared" si="20"/>
        <v>135.60000000000002</v>
      </c>
      <c r="P191" s="17" t="str">
        <f t="shared" si="21"/>
        <v>Benchmark</v>
      </c>
      <c r="Q191" s="9">
        <v>1</v>
      </c>
      <c r="R191" s="28" t="s">
        <v>2689</v>
      </c>
      <c r="S191" s="29" t="str">
        <f t="shared" si="22"/>
        <v>Wood door, W:800,H:2100mm incl. frame, ironmongery and painting|Nos</v>
      </c>
      <c r="T191" s="24" t="s">
        <v>2336</v>
      </c>
    </row>
    <row r="192" spans="1:20" ht="15" customHeight="1" x14ac:dyDescent="0.25">
      <c r="A192" s="9" t="s">
        <v>2690</v>
      </c>
      <c r="B192" s="14" t="s">
        <v>348</v>
      </c>
      <c r="C192" s="9" t="s">
        <v>648</v>
      </c>
      <c r="D192" s="12" t="s">
        <v>649</v>
      </c>
      <c r="E192" s="12" t="s">
        <v>650</v>
      </c>
      <c r="F192" s="12" t="s">
        <v>650</v>
      </c>
      <c r="G192" s="12" t="s">
        <v>2040</v>
      </c>
      <c r="H192" s="9" t="s">
        <v>57</v>
      </c>
      <c r="I192" s="25">
        <v>15</v>
      </c>
      <c r="J192" s="26">
        <f>_STDLAB</f>
        <v>0.2</v>
      </c>
      <c r="K192" s="20">
        <f t="shared" si="18"/>
        <v>18</v>
      </c>
      <c r="L192" s="25">
        <v>112</v>
      </c>
      <c r="M192" s="26">
        <f>_STDMAT</f>
        <v>0.12</v>
      </c>
      <c r="N192" s="20">
        <f t="shared" si="19"/>
        <v>125.44000000000001</v>
      </c>
      <c r="O192" s="27">
        <f t="shared" si="20"/>
        <v>143.44</v>
      </c>
      <c r="P192" s="17" t="str">
        <f t="shared" si="21"/>
        <v>Benchmark</v>
      </c>
      <c r="Q192" s="9">
        <v>1</v>
      </c>
      <c r="R192" s="28" t="s">
        <v>2689</v>
      </c>
      <c r="S192" s="29" t="str">
        <f t="shared" si="22"/>
        <v>Wood door, W:900,H:2100mm incl. frame, ironmongery and painting|Nos</v>
      </c>
      <c r="T192" s="24" t="s">
        <v>2336</v>
      </c>
    </row>
    <row r="193" spans="1:20" ht="15" customHeight="1" x14ac:dyDescent="0.25">
      <c r="A193" s="9" t="s">
        <v>2691</v>
      </c>
      <c r="B193" s="14" t="s">
        <v>348</v>
      </c>
      <c r="C193" s="9" t="s">
        <v>648</v>
      </c>
      <c r="D193" s="12" t="s">
        <v>649</v>
      </c>
      <c r="E193" s="12" t="s">
        <v>650</v>
      </c>
      <c r="F193" s="12" t="s">
        <v>653</v>
      </c>
      <c r="G193" s="12" t="s">
        <v>654</v>
      </c>
      <c r="H193" s="9" t="s">
        <v>57</v>
      </c>
      <c r="I193" s="25">
        <v>18</v>
      </c>
      <c r="J193" s="26">
        <f>_STDLAB</f>
        <v>0.2</v>
      </c>
      <c r="K193" s="20">
        <f t="shared" si="18"/>
        <v>21.599999999999998</v>
      </c>
      <c r="L193" s="25">
        <v>165</v>
      </c>
      <c r="M193" s="26">
        <f>_STDMAT</f>
        <v>0.12</v>
      </c>
      <c r="N193" s="20">
        <f t="shared" si="19"/>
        <v>184.8</v>
      </c>
      <c r="O193" s="27">
        <f t="shared" si="20"/>
        <v>206.4</v>
      </c>
      <c r="P193" s="17" t="str">
        <f t="shared" si="21"/>
        <v>Benchmark</v>
      </c>
      <c r="Q193" s="9">
        <v>1</v>
      </c>
      <c r="R193" s="28" t="s">
        <v>2692</v>
      </c>
      <c r="S193" s="29" t="str">
        <f t="shared" si="22"/>
        <v>Solid core timber door with laminate finish incl. frame and ironmongery|Nos</v>
      </c>
      <c r="T193" s="24" t="s">
        <v>2336</v>
      </c>
    </row>
    <row r="194" spans="1:20" ht="15" customHeight="1" x14ac:dyDescent="0.25">
      <c r="A194" s="9" t="s">
        <v>2693</v>
      </c>
      <c r="B194" s="14" t="s">
        <v>348</v>
      </c>
      <c r="C194" s="9" t="s">
        <v>648</v>
      </c>
      <c r="D194" s="12" t="s">
        <v>649</v>
      </c>
      <c r="E194" s="12" t="s">
        <v>656</v>
      </c>
      <c r="F194" s="12" t="s">
        <v>656</v>
      </c>
      <c r="G194" s="12" t="s">
        <v>657</v>
      </c>
      <c r="H194" s="9" t="s">
        <v>1882</v>
      </c>
      <c r="I194" s="25">
        <v>0</v>
      </c>
      <c r="J194" s="26">
        <v>0</v>
      </c>
      <c r="K194" s="20">
        <f t="shared" si="18"/>
        <v>0</v>
      </c>
      <c r="L194" s="25">
        <v>40</v>
      </c>
      <c r="M194" s="26">
        <v>0.12</v>
      </c>
      <c r="N194" s="20">
        <f t="shared" si="19"/>
        <v>44.800000000000004</v>
      </c>
      <c r="O194" s="27">
        <f t="shared" si="20"/>
        <v>44.800000000000004</v>
      </c>
      <c r="P194" s="30" t="str">
        <f t="shared" si="21"/>
        <v>Priced</v>
      </c>
      <c r="Q194" s="9">
        <v>1</v>
      </c>
      <c r="R194" s="31" t="s">
        <v>2694</v>
      </c>
      <c r="S194" s="29" t="str">
        <f t="shared" si="22"/>
        <v>PVC door size (L:750,H:2000,W:400)mm|pcs</v>
      </c>
      <c r="T194" s="24" t="s">
        <v>2367</v>
      </c>
    </row>
    <row r="195" spans="1:20" ht="15" customHeight="1" x14ac:dyDescent="0.25">
      <c r="A195" s="9" t="s">
        <v>2695</v>
      </c>
      <c r="B195" s="14" t="s">
        <v>348</v>
      </c>
      <c r="C195" s="9" t="s">
        <v>648</v>
      </c>
      <c r="D195" s="12" t="s">
        <v>649</v>
      </c>
      <c r="E195" s="12" t="s">
        <v>656</v>
      </c>
      <c r="F195" s="12" t="s">
        <v>656</v>
      </c>
      <c r="G195" s="12" t="s">
        <v>2044</v>
      </c>
      <c r="H195" s="9" t="s">
        <v>1882</v>
      </c>
      <c r="I195" s="25">
        <v>0</v>
      </c>
      <c r="J195" s="26">
        <v>0</v>
      </c>
      <c r="K195" s="20">
        <f t="shared" si="18"/>
        <v>0</v>
      </c>
      <c r="L195" s="25">
        <v>45</v>
      </c>
      <c r="M195" s="26">
        <v>0.12</v>
      </c>
      <c r="N195" s="20">
        <f t="shared" si="19"/>
        <v>50.400000000000006</v>
      </c>
      <c r="O195" s="27">
        <f t="shared" si="20"/>
        <v>50.400000000000006</v>
      </c>
      <c r="P195" s="30" t="str">
        <f t="shared" si="21"/>
        <v>Priced</v>
      </c>
      <c r="Q195" s="9">
        <v>1</v>
      </c>
      <c r="R195" s="31" t="s">
        <v>2696</v>
      </c>
      <c r="S195" s="29" t="str">
        <f t="shared" si="22"/>
        <v>PVC door size (L:800,H:2100,W:400)mm|pcs</v>
      </c>
      <c r="T195" s="24" t="s">
        <v>2367</v>
      </c>
    </row>
    <row r="196" spans="1:20" ht="15" customHeight="1" x14ac:dyDescent="0.25">
      <c r="A196" s="9" t="s">
        <v>2697</v>
      </c>
      <c r="B196" s="14" t="s">
        <v>348</v>
      </c>
      <c r="C196" s="9" t="s">
        <v>648</v>
      </c>
      <c r="D196" s="12" t="s">
        <v>649</v>
      </c>
      <c r="E196" s="12" t="s">
        <v>656</v>
      </c>
      <c r="F196" s="12" t="s">
        <v>656</v>
      </c>
      <c r="G196" s="12" t="s">
        <v>2046</v>
      </c>
      <c r="H196" s="9" t="s">
        <v>1882</v>
      </c>
      <c r="I196" s="25">
        <v>0</v>
      </c>
      <c r="J196" s="26">
        <v>0</v>
      </c>
      <c r="K196" s="20">
        <f t="shared" si="18"/>
        <v>0</v>
      </c>
      <c r="L196" s="25">
        <v>50</v>
      </c>
      <c r="M196" s="26">
        <v>0.12</v>
      </c>
      <c r="N196" s="20">
        <f t="shared" si="19"/>
        <v>56.000000000000007</v>
      </c>
      <c r="O196" s="27">
        <f t="shared" si="20"/>
        <v>56.000000000000007</v>
      </c>
      <c r="P196" s="30" t="str">
        <f t="shared" si="21"/>
        <v>Priced</v>
      </c>
      <c r="Q196" s="9">
        <v>1</v>
      </c>
      <c r="R196" s="31" t="s">
        <v>2698</v>
      </c>
      <c r="S196" s="29" t="str">
        <f t="shared" si="22"/>
        <v>PVC door size (L:900,H:2100,W:400)mm|pcs</v>
      </c>
      <c r="T196" s="24" t="s">
        <v>2367</v>
      </c>
    </row>
    <row r="197" spans="1:20" ht="15" customHeight="1" x14ac:dyDescent="0.25">
      <c r="A197" s="9" t="s">
        <v>2699</v>
      </c>
      <c r="B197" s="14" t="s">
        <v>348</v>
      </c>
      <c r="C197" s="9" t="s">
        <v>648</v>
      </c>
      <c r="D197" s="12" t="s">
        <v>649</v>
      </c>
      <c r="E197" s="12" t="s">
        <v>656</v>
      </c>
      <c r="F197" s="12" t="s">
        <v>656</v>
      </c>
      <c r="G197" s="12" t="s">
        <v>2048</v>
      </c>
      <c r="H197" s="9" t="s">
        <v>57</v>
      </c>
      <c r="I197" s="25">
        <v>8</v>
      </c>
      <c r="J197" s="26">
        <f>_STDLAB</f>
        <v>0.2</v>
      </c>
      <c r="K197" s="20">
        <f t="shared" si="18"/>
        <v>9.6</v>
      </c>
      <c r="L197" s="25">
        <v>36</v>
      </c>
      <c r="M197" s="26">
        <f>_STDMAT</f>
        <v>0.12</v>
      </c>
      <c r="N197" s="20">
        <f t="shared" si="19"/>
        <v>40.320000000000007</v>
      </c>
      <c r="O197" s="27">
        <f t="shared" si="20"/>
        <v>49.920000000000009</v>
      </c>
      <c r="P197" s="17" t="str">
        <f t="shared" si="21"/>
        <v>Benchmark</v>
      </c>
      <c r="Q197" s="9">
        <v>1</v>
      </c>
      <c r="R197" s="28" t="s">
        <v>2700</v>
      </c>
      <c r="S197" s="29" t="str">
        <f t="shared" si="22"/>
        <v>PVC door, W:700,H:2000mm incl. frame and ironmongery|Nos</v>
      </c>
      <c r="T197" s="24" t="s">
        <v>2336</v>
      </c>
    </row>
    <row r="198" spans="1:20" ht="15" customHeight="1" x14ac:dyDescent="0.25">
      <c r="A198" s="9" t="s">
        <v>2701</v>
      </c>
      <c r="B198" s="14" t="s">
        <v>348</v>
      </c>
      <c r="C198" s="9" t="s">
        <v>648</v>
      </c>
      <c r="D198" s="12" t="s">
        <v>649</v>
      </c>
      <c r="E198" s="12" t="s">
        <v>656</v>
      </c>
      <c r="F198" s="12" t="s">
        <v>656</v>
      </c>
      <c r="G198" s="12" t="s">
        <v>2050</v>
      </c>
      <c r="H198" s="9" t="s">
        <v>57</v>
      </c>
      <c r="I198" s="25">
        <v>8</v>
      </c>
      <c r="J198" s="26">
        <f>_STDLAB</f>
        <v>0.2</v>
      </c>
      <c r="K198" s="20">
        <f t="shared" ref="K198:K261" si="29">IFERROR(I198*(1+J198),0)</f>
        <v>9.6</v>
      </c>
      <c r="L198" s="25">
        <v>40</v>
      </c>
      <c r="M198" s="26">
        <f>_STDMAT</f>
        <v>0.12</v>
      </c>
      <c r="N198" s="20">
        <f t="shared" ref="N198:N261" si="30">IFERROR(L198*(1+M198),0)</f>
        <v>44.800000000000004</v>
      </c>
      <c r="O198" s="27">
        <f t="shared" ref="O198:O261" si="31">K198+N198</f>
        <v>54.400000000000006</v>
      </c>
      <c r="P198" s="17" t="str">
        <f t="shared" ref="P198:P261" si="32">IF(N(I198)+N(L198)=0,"To be quoted",IF($T198="P","Priced","Benchmark"))</f>
        <v>Benchmark</v>
      </c>
      <c r="Q198" s="9">
        <v>1</v>
      </c>
      <c r="R198" s="28" t="s">
        <v>2700</v>
      </c>
      <c r="S198" s="29" t="str">
        <f t="shared" ref="S198:S261" si="33">TRIM(G198)&amp;"|"&amp;TRIM(H198)</f>
        <v>PVC door, W:800,H:2000mm incl. frame and ironmongery|Nos</v>
      </c>
      <c r="T198" s="24" t="s">
        <v>2336</v>
      </c>
    </row>
    <row r="199" spans="1:20" ht="15" customHeight="1" x14ac:dyDescent="0.25">
      <c r="A199" s="9" t="s">
        <v>2702</v>
      </c>
      <c r="B199" s="14" t="s">
        <v>348</v>
      </c>
      <c r="C199" s="9" t="s">
        <v>648</v>
      </c>
      <c r="D199" s="12" t="s">
        <v>649</v>
      </c>
      <c r="E199" s="12" t="s">
        <v>656</v>
      </c>
      <c r="F199" s="12" t="s">
        <v>656</v>
      </c>
      <c r="G199" s="12" t="s">
        <v>2052</v>
      </c>
      <c r="H199" s="9" t="s">
        <v>57</v>
      </c>
      <c r="I199" s="25">
        <v>8</v>
      </c>
      <c r="J199" s="26">
        <f>_STDLAB</f>
        <v>0.2</v>
      </c>
      <c r="K199" s="20">
        <f t="shared" si="29"/>
        <v>9.6</v>
      </c>
      <c r="L199" s="25">
        <v>45</v>
      </c>
      <c r="M199" s="26">
        <f>_STDMAT</f>
        <v>0.12</v>
      </c>
      <c r="N199" s="20">
        <f t="shared" si="30"/>
        <v>50.400000000000006</v>
      </c>
      <c r="O199" s="27">
        <f t="shared" si="31"/>
        <v>60.000000000000007</v>
      </c>
      <c r="P199" s="17" t="str">
        <f t="shared" si="32"/>
        <v>Benchmark</v>
      </c>
      <c r="Q199" s="9">
        <v>1</v>
      </c>
      <c r="R199" s="28" t="s">
        <v>2700</v>
      </c>
      <c r="S199" s="29" t="str">
        <f t="shared" si="33"/>
        <v>PVC door, W:900,H:2000mm incl. frame and ironmongery|Nos</v>
      </c>
      <c r="T199" s="24" t="s">
        <v>2336</v>
      </c>
    </row>
    <row r="200" spans="1:20" ht="18.75" customHeight="1" x14ac:dyDescent="0.25">
      <c r="A200" s="9" t="s">
        <v>2703</v>
      </c>
      <c r="B200" s="14" t="s">
        <v>348</v>
      </c>
      <c r="C200" s="9" t="s">
        <v>648</v>
      </c>
      <c r="D200" s="12" t="s">
        <v>649</v>
      </c>
      <c r="E200" s="12" t="s">
        <v>439</v>
      </c>
      <c r="F200" s="12" t="s">
        <v>439</v>
      </c>
      <c r="G200" s="12" t="s">
        <v>659</v>
      </c>
      <c r="H200" s="9" t="s">
        <v>1882</v>
      </c>
      <c r="I200" s="25">
        <v>0</v>
      </c>
      <c r="J200" s="26">
        <v>0</v>
      </c>
      <c r="K200" s="20">
        <f t="shared" si="29"/>
        <v>0</v>
      </c>
      <c r="L200" s="25">
        <v>135</v>
      </c>
      <c r="M200" s="26">
        <v>0.12</v>
      </c>
      <c r="N200" s="20">
        <f t="shared" si="30"/>
        <v>151.20000000000002</v>
      </c>
      <c r="O200" s="27">
        <f t="shared" si="31"/>
        <v>151.20000000000002</v>
      </c>
      <c r="P200" s="30" t="str">
        <f t="shared" si="32"/>
        <v>Priced</v>
      </c>
      <c r="Q200" s="9">
        <v>1</v>
      </c>
      <c r="R200" s="31" t="s">
        <v>2704</v>
      </c>
      <c r="S200" s="29" t="str">
        <f t="shared" si="33"/>
        <v>Steel door size (L:880,H:2100,W:400)mm|pcs</v>
      </c>
      <c r="T200" s="24" t="s">
        <v>2367</v>
      </c>
    </row>
    <row r="201" spans="1:20" ht="15" customHeight="1" x14ac:dyDescent="0.25">
      <c r="A201" s="9" t="s">
        <v>2705</v>
      </c>
      <c r="B201" s="14" t="s">
        <v>348</v>
      </c>
      <c r="C201" s="9" t="s">
        <v>648</v>
      </c>
      <c r="D201" s="12" t="s">
        <v>649</v>
      </c>
      <c r="E201" s="12" t="s">
        <v>439</v>
      </c>
      <c r="F201" s="12" t="s">
        <v>661</v>
      </c>
      <c r="G201" s="12" t="s">
        <v>662</v>
      </c>
      <c r="H201" s="9" t="s">
        <v>57</v>
      </c>
      <c r="I201" s="25">
        <v>22</v>
      </c>
      <c r="J201" s="26">
        <f t="shared" ref="J201:J216" si="34">_STDLAB</f>
        <v>0.2</v>
      </c>
      <c r="K201" s="20">
        <f t="shared" si="29"/>
        <v>26.4</v>
      </c>
      <c r="L201" s="25">
        <v>185</v>
      </c>
      <c r="M201" s="26">
        <f t="shared" ref="M201:M216" si="35">_STDMAT</f>
        <v>0.12</v>
      </c>
      <c r="N201" s="20">
        <f t="shared" si="30"/>
        <v>207.20000000000002</v>
      </c>
      <c r="O201" s="27">
        <f t="shared" si="31"/>
        <v>233.60000000000002</v>
      </c>
      <c r="P201" s="17" t="str">
        <f t="shared" si="32"/>
        <v>Benchmark</v>
      </c>
      <c r="Q201" s="9">
        <v>1</v>
      </c>
      <c r="R201" s="28" t="s">
        <v>2706</v>
      </c>
      <c r="S201" s="29" t="str">
        <f t="shared" si="33"/>
        <v>Fire rated door 1 hour, steel, incl. frame, closer and ironmongery|Nos</v>
      </c>
      <c r="T201" s="24" t="s">
        <v>2336</v>
      </c>
    </row>
    <row r="202" spans="1:20" ht="15" customHeight="1" x14ac:dyDescent="0.25">
      <c r="A202" s="9" t="s">
        <v>2707</v>
      </c>
      <c r="B202" s="14" t="s">
        <v>348</v>
      </c>
      <c r="C202" s="9" t="s">
        <v>648</v>
      </c>
      <c r="D202" s="12" t="s">
        <v>649</v>
      </c>
      <c r="E202" s="12" t="s">
        <v>664</v>
      </c>
      <c r="F202" s="12" t="s">
        <v>451</v>
      </c>
      <c r="G202" s="12" t="s">
        <v>666</v>
      </c>
      <c r="H202" s="9" t="s">
        <v>57</v>
      </c>
      <c r="I202" s="25">
        <v>35</v>
      </c>
      <c r="J202" s="26">
        <f t="shared" si="34"/>
        <v>0.2</v>
      </c>
      <c r="K202" s="20">
        <f t="shared" si="29"/>
        <v>42</v>
      </c>
      <c r="L202" s="25">
        <v>295</v>
      </c>
      <c r="M202" s="26">
        <f t="shared" si="35"/>
        <v>0.12</v>
      </c>
      <c r="N202" s="20">
        <f t="shared" si="30"/>
        <v>330.40000000000003</v>
      </c>
      <c r="O202" s="27">
        <f t="shared" si="31"/>
        <v>372.40000000000003</v>
      </c>
      <c r="P202" s="17" t="str">
        <f t="shared" si="32"/>
        <v>Benchmark</v>
      </c>
      <c r="Q202" s="9">
        <v>1</v>
      </c>
      <c r="R202" s="28" t="s">
        <v>2708</v>
      </c>
      <c r="S202" s="29" t="str">
        <f t="shared" si="33"/>
        <v>Tempered glass door 12mm thk. incl. patch fitting and floor spring|Nos</v>
      </c>
      <c r="T202" s="24" t="s">
        <v>2336</v>
      </c>
    </row>
    <row r="203" spans="1:20" ht="15" customHeight="1" x14ac:dyDescent="0.25">
      <c r="A203" s="9" t="s">
        <v>2709</v>
      </c>
      <c r="B203" s="14" t="s">
        <v>348</v>
      </c>
      <c r="C203" s="9" t="s">
        <v>648</v>
      </c>
      <c r="D203" s="12" t="s">
        <v>649</v>
      </c>
      <c r="E203" s="12" t="s">
        <v>464</v>
      </c>
      <c r="F203" s="12" t="s">
        <v>672</v>
      </c>
      <c r="G203" s="12" t="s">
        <v>673</v>
      </c>
      <c r="H203" s="9" t="s">
        <v>57</v>
      </c>
      <c r="I203" s="25">
        <v>6</v>
      </c>
      <c r="J203" s="26">
        <f t="shared" si="34"/>
        <v>0.2</v>
      </c>
      <c r="K203" s="20">
        <f t="shared" si="29"/>
        <v>7.1999999999999993</v>
      </c>
      <c r="L203" s="25">
        <v>85</v>
      </c>
      <c r="M203" s="26">
        <f t="shared" si="35"/>
        <v>0.12</v>
      </c>
      <c r="N203" s="20">
        <f t="shared" si="30"/>
        <v>95.2</v>
      </c>
      <c r="O203" s="27">
        <f t="shared" si="31"/>
        <v>102.4</v>
      </c>
      <c r="P203" s="17" t="str">
        <f t="shared" si="32"/>
        <v>Benchmark</v>
      </c>
      <c r="Q203" s="9">
        <v>1</v>
      </c>
      <c r="R203" s="28" t="s">
        <v>2710</v>
      </c>
      <c r="S203" s="29" t="str">
        <f t="shared" si="33"/>
        <v>Panic exit device / push bar to fire escape door|Nos</v>
      </c>
      <c r="T203" s="24" t="s">
        <v>2336</v>
      </c>
    </row>
    <row r="204" spans="1:20" ht="15" customHeight="1" x14ac:dyDescent="0.25">
      <c r="A204" s="9" t="s">
        <v>2711</v>
      </c>
      <c r="B204" s="14" t="s">
        <v>348</v>
      </c>
      <c r="C204" s="9" t="s">
        <v>648</v>
      </c>
      <c r="D204" s="12" t="s">
        <v>649</v>
      </c>
      <c r="E204" s="12" t="s">
        <v>675</v>
      </c>
      <c r="F204" s="12" t="s">
        <v>676</v>
      </c>
      <c r="G204" s="12" t="s">
        <v>677</v>
      </c>
      <c r="H204" s="9" t="s">
        <v>57</v>
      </c>
      <c r="I204" s="25">
        <v>15</v>
      </c>
      <c r="J204" s="26">
        <f t="shared" si="34"/>
        <v>0.2</v>
      </c>
      <c r="K204" s="20">
        <f t="shared" si="29"/>
        <v>18</v>
      </c>
      <c r="L204" s="25">
        <v>110</v>
      </c>
      <c r="M204" s="26">
        <f t="shared" si="35"/>
        <v>0.12</v>
      </c>
      <c r="N204" s="20">
        <f t="shared" si="30"/>
        <v>123.20000000000002</v>
      </c>
      <c r="O204" s="27">
        <f t="shared" si="31"/>
        <v>141.20000000000002</v>
      </c>
      <c r="P204" s="17" t="str">
        <f t="shared" si="32"/>
        <v>Benchmark</v>
      </c>
      <c r="Q204" s="9">
        <v>1</v>
      </c>
      <c r="R204" s="28" t="s">
        <v>2712</v>
      </c>
      <c r="S204" s="29" t="str">
        <f t="shared" si="33"/>
        <v>Interior aluminium framed glass window with 6mm glass|Nos</v>
      </c>
      <c r="T204" s="24" t="s">
        <v>2336</v>
      </c>
    </row>
    <row r="205" spans="1:20" ht="15" customHeight="1" x14ac:dyDescent="0.25">
      <c r="A205" s="9" t="s">
        <v>2713</v>
      </c>
      <c r="B205" s="14" t="s">
        <v>348</v>
      </c>
      <c r="C205" s="9" t="s">
        <v>648</v>
      </c>
      <c r="D205" s="12" t="s">
        <v>649</v>
      </c>
      <c r="E205" s="12" t="s">
        <v>675</v>
      </c>
      <c r="F205" s="12" t="s">
        <v>679</v>
      </c>
      <c r="G205" s="12" t="s">
        <v>680</v>
      </c>
      <c r="H205" s="9" t="s">
        <v>18</v>
      </c>
      <c r="I205" s="25">
        <v>5</v>
      </c>
      <c r="J205" s="26">
        <f t="shared" si="34"/>
        <v>0.2</v>
      </c>
      <c r="K205" s="20">
        <f t="shared" si="29"/>
        <v>6</v>
      </c>
      <c r="L205" s="25">
        <v>32</v>
      </c>
      <c r="M205" s="26">
        <f t="shared" si="35"/>
        <v>0.12</v>
      </c>
      <c r="N205" s="20">
        <f t="shared" si="30"/>
        <v>35.840000000000003</v>
      </c>
      <c r="O205" s="27">
        <f t="shared" si="31"/>
        <v>41.84</v>
      </c>
      <c r="P205" s="17" t="str">
        <f t="shared" si="32"/>
        <v>Benchmark</v>
      </c>
      <c r="Q205" s="9">
        <v>1</v>
      </c>
      <c r="R205" s="28" t="s">
        <v>2714</v>
      </c>
      <c r="S205" s="29" t="str">
        <f t="shared" si="33"/>
        <v>Interior aluminium louver incl. frame|m2</v>
      </c>
      <c r="T205" s="24" t="s">
        <v>2336</v>
      </c>
    </row>
    <row r="206" spans="1:20" ht="15" customHeight="1" x14ac:dyDescent="0.25">
      <c r="A206" s="9" t="s">
        <v>2715</v>
      </c>
      <c r="B206" s="14" t="s">
        <v>348</v>
      </c>
      <c r="C206" s="9" t="s">
        <v>682</v>
      </c>
      <c r="D206" s="12" t="s">
        <v>683</v>
      </c>
      <c r="E206" s="12" t="s">
        <v>684</v>
      </c>
      <c r="F206" s="12" t="s">
        <v>685</v>
      </c>
      <c r="G206" s="12" t="s">
        <v>686</v>
      </c>
      <c r="H206" s="9" t="s">
        <v>35</v>
      </c>
      <c r="I206" s="25">
        <v>850</v>
      </c>
      <c r="J206" s="26">
        <f t="shared" si="34"/>
        <v>0.2</v>
      </c>
      <c r="K206" s="20">
        <f t="shared" si="29"/>
        <v>1020</v>
      </c>
      <c r="L206" s="25">
        <v>2400</v>
      </c>
      <c r="M206" s="26">
        <f t="shared" si="35"/>
        <v>0.12</v>
      </c>
      <c r="N206" s="20">
        <f t="shared" si="30"/>
        <v>2688.0000000000005</v>
      </c>
      <c r="O206" s="27">
        <f t="shared" si="31"/>
        <v>3708.0000000000005</v>
      </c>
      <c r="P206" s="17" t="str">
        <f t="shared" si="32"/>
        <v>Benchmark</v>
      </c>
      <c r="Q206" s="9">
        <v>1</v>
      </c>
      <c r="R206" s="28" t="s">
        <v>2716</v>
      </c>
      <c r="S206" s="29" t="str">
        <f t="shared" si="33"/>
        <v>LPG gas piping system incl. regulator, valve and testing|Lot</v>
      </c>
      <c r="T206" s="24" t="s">
        <v>2336</v>
      </c>
    </row>
    <row r="207" spans="1:20" ht="15" customHeight="1" x14ac:dyDescent="0.25">
      <c r="A207" s="9" t="s">
        <v>2717</v>
      </c>
      <c r="B207" s="14" t="s">
        <v>348</v>
      </c>
      <c r="C207" s="9" t="s">
        <v>682</v>
      </c>
      <c r="D207" s="12" t="s">
        <v>683</v>
      </c>
      <c r="E207" s="12" t="s">
        <v>684</v>
      </c>
      <c r="F207" s="12" t="s">
        <v>688</v>
      </c>
      <c r="G207" s="12" t="s">
        <v>689</v>
      </c>
      <c r="H207" s="9" t="s">
        <v>57</v>
      </c>
      <c r="I207" s="25">
        <v>45</v>
      </c>
      <c r="J207" s="26">
        <f t="shared" si="34"/>
        <v>0.2</v>
      </c>
      <c r="K207" s="20">
        <f t="shared" si="29"/>
        <v>54</v>
      </c>
      <c r="L207" s="25">
        <v>145</v>
      </c>
      <c r="M207" s="26">
        <f t="shared" si="35"/>
        <v>0.12</v>
      </c>
      <c r="N207" s="20">
        <f t="shared" si="30"/>
        <v>162.4</v>
      </c>
      <c r="O207" s="27">
        <f t="shared" si="31"/>
        <v>216.4</v>
      </c>
      <c r="P207" s="17" t="str">
        <f t="shared" si="32"/>
        <v>Benchmark</v>
      </c>
      <c r="Q207" s="9">
        <v>1</v>
      </c>
      <c r="R207" s="28" t="s">
        <v>2718</v>
      </c>
      <c r="S207" s="29" t="str">
        <f t="shared" si="33"/>
        <v>Laboratory gas outlet point incl. piping, valve and testing|Nos</v>
      </c>
      <c r="T207" s="24" t="s">
        <v>2336</v>
      </c>
    </row>
    <row r="208" spans="1:20" ht="15" customHeight="1" x14ac:dyDescent="0.25">
      <c r="A208" s="9" t="s">
        <v>2719</v>
      </c>
      <c r="B208" s="14" t="s">
        <v>348</v>
      </c>
      <c r="C208" s="9" t="s">
        <v>691</v>
      </c>
      <c r="D208" s="12" t="s">
        <v>692</v>
      </c>
      <c r="E208" s="12" t="s">
        <v>425</v>
      </c>
      <c r="F208" s="12" t="s">
        <v>698</v>
      </c>
      <c r="G208" s="12" t="s">
        <v>699</v>
      </c>
      <c r="H208" s="9" t="s">
        <v>18</v>
      </c>
      <c r="I208" s="25">
        <v>6</v>
      </c>
      <c r="J208" s="26">
        <f t="shared" si="34"/>
        <v>0.2</v>
      </c>
      <c r="K208" s="20">
        <f t="shared" si="29"/>
        <v>7.1999999999999993</v>
      </c>
      <c r="L208" s="25">
        <v>10</v>
      </c>
      <c r="M208" s="26">
        <f t="shared" si="35"/>
        <v>0.12</v>
      </c>
      <c r="N208" s="20">
        <f t="shared" si="30"/>
        <v>11.200000000000001</v>
      </c>
      <c r="O208" s="27">
        <f t="shared" si="31"/>
        <v>18.399999999999999</v>
      </c>
      <c r="P208" s="17" t="str">
        <f t="shared" si="32"/>
        <v>Benchmark</v>
      </c>
      <c r="Q208" s="9">
        <v>1</v>
      </c>
      <c r="R208" s="28" t="s">
        <v>2720</v>
      </c>
      <c r="S208" s="29" t="str">
        <f t="shared" si="33"/>
        <v>Toilet Wall tile Size 0.3x0.6m incl. adhesive and grout|m2</v>
      </c>
      <c r="T208" s="24" t="s">
        <v>2336</v>
      </c>
    </row>
    <row r="209" spans="1:20" ht="15" customHeight="1" x14ac:dyDescent="0.25">
      <c r="A209" s="9" t="s">
        <v>2721</v>
      </c>
      <c r="B209" s="14" t="s">
        <v>348</v>
      </c>
      <c r="C209" s="9" t="s">
        <v>691</v>
      </c>
      <c r="D209" s="12" t="s">
        <v>692</v>
      </c>
      <c r="E209" s="12" t="s">
        <v>701</v>
      </c>
      <c r="F209" s="12" t="s">
        <v>701</v>
      </c>
      <c r="G209" s="12" t="s">
        <v>702</v>
      </c>
      <c r="H209" s="9" t="s">
        <v>18</v>
      </c>
      <c r="I209" s="25">
        <v>7</v>
      </c>
      <c r="J209" s="26">
        <f t="shared" si="34"/>
        <v>0.2</v>
      </c>
      <c r="K209" s="20">
        <f t="shared" si="29"/>
        <v>8.4</v>
      </c>
      <c r="L209" s="25">
        <v>28</v>
      </c>
      <c r="M209" s="26">
        <f t="shared" si="35"/>
        <v>0.12</v>
      </c>
      <c r="N209" s="20">
        <f t="shared" si="30"/>
        <v>31.360000000000003</v>
      </c>
      <c r="O209" s="27">
        <f t="shared" si="31"/>
        <v>39.760000000000005</v>
      </c>
      <c r="P209" s="17" t="str">
        <f t="shared" si="32"/>
        <v>Benchmark</v>
      </c>
      <c r="Q209" s="9">
        <v>1</v>
      </c>
      <c r="R209" s="28" t="s">
        <v>2722</v>
      </c>
      <c r="S209" s="29" t="str">
        <f t="shared" si="33"/>
        <v>Decorative wall cladding panel incl. sub-frame and fixing|m2</v>
      </c>
      <c r="T209" s="24" t="s">
        <v>2336</v>
      </c>
    </row>
    <row r="210" spans="1:20" ht="15" customHeight="1" x14ac:dyDescent="0.25">
      <c r="A210" s="9" t="s">
        <v>2723</v>
      </c>
      <c r="B210" s="14" t="s">
        <v>348</v>
      </c>
      <c r="C210" s="9" t="s">
        <v>691</v>
      </c>
      <c r="D210" s="12" t="s">
        <v>692</v>
      </c>
      <c r="E210" s="12" t="s">
        <v>701</v>
      </c>
      <c r="F210" s="12" t="s">
        <v>704</v>
      </c>
      <c r="G210" s="12" t="s">
        <v>705</v>
      </c>
      <c r="H210" s="9" t="s">
        <v>18</v>
      </c>
      <c r="I210" s="25">
        <v>7.5</v>
      </c>
      <c r="J210" s="26">
        <f t="shared" si="34"/>
        <v>0.2</v>
      </c>
      <c r="K210" s="20">
        <f t="shared" si="29"/>
        <v>9</v>
      </c>
      <c r="L210" s="25">
        <v>38</v>
      </c>
      <c r="M210" s="26">
        <f t="shared" si="35"/>
        <v>0.12</v>
      </c>
      <c r="N210" s="20">
        <f t="shared" si="30"/>
        <v>42.56</v>
      </c>
      <c r="O210" s="27">
        <f t="shared" si="31"/>
        <v>51.56</v>
      </c>
      <c r="P210" s="17" t="str">
        <f t="shared" si="32"/>
        <v>Benchmark</v>
      </c>
      <c r="Q210" s="9">
        <v>1</v>
      </c>
      <c r="R210" s="28" t="s">
        <v>2724</v>
      </c>
      <c r="S210" s="29" t="str">
        <f t="shared" si="33"/>
        <v>Acoustic wall panel incl. sub-frame and fixing|m2</v>
      </c>
      <c r="T210" s="24" t="s">
        <v>2336</v>
      </c>
    </row>
    <row r="211" spans="1:20" ht="15" customHeight="1" x14ac:dyDescent="0.25">
      <c r="A211" s="9" t="s">
        <v>2725</v>
      </c>
      <c r="B211" s="14" t="s">
        <v>348</v>
      </c>
      <c r="C211" s="9" t="s">
        <v>691</v>
      </c>
      <c r="D211" s="12" t="s">
        <v>692</v>
      </c>
      <c r="E211" s="12" t="s">
        <v>701</v>
      </c>
      <c r="F211" s="12" t="s">
        <v>707</v>
      </c>
      <c r="G211" s="12" t="s">
        <v>708</v>
      </c>
      <c r="H211" s="9" t="s">
        <v>18</v>
      </c>
      <c r="I211" s="25">
        <v>3</v>
      </c>
      <c r="J211" s="26">
        <f t="shared" si="34"/>
        <v>0.2</v>
      </c>
      <c r="K211" s="20">
        <f t="shared" si="29"/>
        <v>3.5999999999999996</v>
      </c>
      <c r="L211" s="25">
        <v>9</v>
      </c>
      <c r="M211" s="26">
        <f t="shared" si="35"/>
        <v>0.12</v>
      </c>
      <c r="N211" s="20">
        <f t="shared" si="30"/>
        <v>10.080000000000002</v>
      </c>
      <c r="O211" s="27">
        <f t="shared" si="31"/>
        <v>13.680000000000001</v>
      </c>
      <c r="P211" s="17" t="str">
        <f t="shared" si="32"/>
        <v>Benchmark</v>
      </c>
      <c r="Q211" s="9">
        <v>1</v>
      </c>
      <c r="R211" s="28" t="s">
        <v>2726</v>
      </c>
      <c r="S211" s="29" t="str">
        <f t="shared" si="33"/>
        <v>Vinyl wallpaper incl. adhesive and surface preparation|m2</v>
      </c>
      <c r="T211" s="24" t="s">
        <v>2336</v>
      </c>
    </row>
    <row r="212" spans="1:20" ht="15" customHeight="1" x14ac:dyDescent="0.25">
      <c r="A212" s="9" t="s">
        <v>2727</v>
      </c>
      <c r="B212" s="14" t="s">
        <v>348</v>
      </c>
      <c r="C212" s="9" t="s">
        <v>691</v>
      </c>
      <c r="D212" s="12" t="s">
        <v>692</v>
      </c>
      <c r="E212" s="12" t="s">
        <v>701</v>
      </c>
      <c r="F212" s="12" t="s">
        <v>710</v>
      </c>
      <c r="G212" s="12" t="s">
        <v>711</v>
      </c>
      <c r="H212" s="9" t="s">
        <v>18</v>
      </c>
      <c r="I212" s="25">
        <v>6</v>
      </c>
      <c r="J212" s="26">
        <f t="shared" si="34"/>
        <v>0.2</v>
      </c>
      <c r="K212" s="20">
        <f t="shared" si="29"/>
        <v>7.1999999999999993</v>
      </c>
      <c r="L212" s="25">
        <v>26</v>
      </c>
      <c r="M212" s="26">
        <f t="shared" si="35"/>
        <v>0.12</v>
      </c>
      <c r="N212" s="20">
        <f t="shared" si="30"/>
        <v>29.120000000000005</v>
      </c>
      <c r="O212" s="27">
        <f t="shared" si="31"/>
        <v>36.320000000000007</v>
      </c>
      <c r="P212" s="17" t="str">
        <f t="shared" si="32"/>
        <v>Benchmark</v>
      </c>
      <c r="Q212" s="9">
        <v>1</v>
      </c>
      <c r="R212" s="28" t="s">
        <v>2728</v>
      </c>
      <c r="S212" s="29" t="str">
        <f t="shared" si="33"/>
        <v>Silver mirror 5mm thk. incl. backing and fixing|m2</v>
      </c>
      <c r="T212" s="24" t="s">
        <v>2336</v>
      </c>
    </row>
    <row r="213" spans="1:20" ht="15" customHeight="1" x14ac:dyDescent="0.25">
      <c r="A213" s="9" t="s">
        <v>2729</v>
      </c>
      <c r="B213" s="14" t="s">
        <v>348</v>
      </c>
      <c r="C213" s="9" t="s">
        <v>691</v>
      </c>
      <c r="D213" s="12" t="s">
        <v>692</v>
      </c>
      <c r="E213" s="12" t="s">
        <v>713</v>
      </c>
      <c r="F213" s="12" t="s">
        <v>713</v>
      </c>
      <c r="G213" s="12" t="s">
        <v>714</v>
      </c>
      <c r="H213" s="9" t="s">
        <v>61</v>
      </c>
      <c r="I213" s="25">
        <v>1.8</v>
      </c>
      <c r="J213" s="26">
        <f t="shared" si="34"/>
        <v>0.2</v>
      </c>
      <c r="K213" s="20">
        <f t="shared" si="29"/>
        <v>2.16</v>
      </c>
      <c r="L213" s="25">
        <v>2.6</v>
      </c>
      <c r="M213" s="26">
        <f t="shared" si="35"/>
        <v>0.12</v>
      </c>
      <c r="N213" s="20">
        <f t="shared" si="30"/>
        <v>2.9120000000000004</v>
      </c>
      <c r="O213" s="27">
        <f t="shared" si="31"/>
        <v>5.072000000000001</v>
      </c>
      <c r="P213" s="17" t="str">
        <f t="shared" si="32"/>
        <v>Benchmark</v>
      </c>
      <c r="Q213" s="9">
        <v>2</v>
      </c>
      <c r="R213" s="28" t="s">
        <v>2730</v>
      </c>
      <c r="S213" s="29" t="str">
        <f t="shared" si="33"/>
        <v>Tile / cement skirting 100mm high incl. adhesive and grout|m</v>
      </c>
      <c r="T213" s="24" t="s">
        <v>2336</v>
      </c>
    </row>
    <row r="214" spans="1:20" ht="15" customHeight="1" x14ac:dyDescent="0.25">
      <c r="A214" s="9" t="s">
        <v>2731</v>
      </c>
      <c r="B214" s="14" t="s">
        <v>348</v>
      </c>
      <c r="C214" s="9" t="s">
        <v>716</v>
      </c>
      <c r="D214" s="12" t="s">
        <v>717</v>
      </c>
      <c r="E214" s="12" t="s">
        <v>510</v>
      </c>
      <c r="F214" s="12" t="s">
        <v>719</v>
      </c>
      <c r="G214" s="12" t="s">
        <v>720</v>
      </c>
      <c r="H214" s="9" t="s">
        <v>18</v>
      </c>
      <c r="I214" s="25">
        <v>1.8</v>
      </c>
      <c r="J214" s="26">
        <f t="shared" si="34"/>
        <v>0.2</v>
      </c>
      <c r="K214" s="20">
        <f t="shared" si="29"/>
        <v>2.16</v>
      </c>
      <c r="L214" s="25">
        <v>6.5</v>
      </c>
      <c r="M214" s="26">
        <f t="shared" si="35"/>
        <v>0.12</v>
      </c>
      <c r="N214" s="20">
        <f t="shared" si="30"/>
        <v>7.2800000000000011</v>
      </c>
      <c r="O214" s="27">
        <f t="shared" si="31"/>
        <v>9.4400000000000013</v>
      </c>
      <c r="P214" s="17" t="str">
        <f t="shared" si="32"/>
        <v>Benchmark</v>
      </c>
      <c r="Q214" s="9">
        <v>1</v>
      </c>
      <c r="R214" s="28" t="s">
        <v>2732</v>
      </c>
      <c r="S214" s="29" t="str">
        <f t="shared" si="33"/>
        <v>Self-levelling screed 5mm thk. to receive floor finish|m2</v>
      </c>
      <c r="T214" s="24" t="s">
        <v>2336</v>
      </c>
    </row>
    <row r="215" spans="1:20" ht="15" customHeight="1" x14ac:dyDescent="0.25">
      <c r="A215" s="9" t="s">
        <v>2733</v>
      </c>
      <c r="B215" s="14" t="s">
        <v>348</v>
      </c>
      <c r="C215" s="9" t="s">
        <v>716</v>
      </c>
      <c r="D215" s="12" t="s">
        <v>717</v>
      </c>
      <c r="E215" s="12" t="s">
        <v>516</v>
      </c>
      <c r="F215" s="12" t="s">
        <v>723</v>
      </c>
      <c r="G215" s="12" t="s">
        <v>724</v>
      </c>
      <c r="H215" s="9" t="s">
        <v>18</v>
      </c>
      <c r="I215" s="25">
        <v>5</v>
      </c>
      <c r="J215" s="26">
        <f t="shared" si="34"/>
        <v>0.2</v>
      </c>
      <c r="K215" s="20">
        <f t="shared" si="29"/>
        <v>6</v>
      </c>
      <c r="L215" s="25">
        <v>8</v>
      </c>
      <c r="M215" s="26">
        <f t="shared" si="35"/>
        <v>0.12</v>
      </c>
      <c r="N215" s="20">
        <f t="shared" si="30"/>
        <v>8.9600000000000009</v>
      </c>
      <c r="O215" s="27">
        <f t="shared" si="31"/>
        <v>14.96</v>
      </c>
      <c r="P215" s="17" t="str">
        <f t="shared" si="32"/>
        <v>Benchmark</v>
      </c>
      <c r="Q215" s="9">
        <v>1</v>
      </c>
      <c r="R215" s="28" t="s">
        <v>2605</v>
      </c>
      <c r="S215" s="29" t="str">
        <f t="shared" si="33"/>
        <v>Toilet Floor tile Size 0.3x0.3m, anti-slip, incl. adhesive and grout|m2</v>
      </c>
      <c r="T215" s="24" t="s">
        <v>2336</v>
      </c>
    </row>
    <row r="216" spans="1:20" ht="15" customHeight="1" x14ac:dyDescent="0.25">
      <c r="A216" s="9" t="s">
        <v>2734</v>
      </c>
      <c r="B216" s="14" t="s">
        <v>348</v>
      </c>
      <c r="C216" s="9" t="s">
        <v>716</v>
      </c>
      <c r="D216" s="12" t="s">
        <v>717</v>
      </c>
      <c r="E216" s="12" t="s">
        <v>516</v>
      </c>
      <c r="F216" s="12" t="s">
        <v>726</v>
      </c>
      <c r="G216" s="12" t="s">
        <v>727</v>
      </c>
      <c r="H216" s="9" t="s">
        <v>18</v>
      </c>
      <c r="I216" s="25">
        <v>6</v>
      </c>
      <c r="J216" s="26">
        <f t="shared" si="34"/>
        <v>0.2</v>
      </c>
      <c r="K216" s="20">
        <f t="shared" si="29"/>
        <v>7.1999999999999993</v>
      </c>
      <c r="L216" s="25">
        <v>15</v>
      </c>
      <c r="M216" s="26">
        <f t="shared" si="35"/>
        <v>0.12</v>
      </c>
      <c r="N216" s="20">
        <f t="shared" si="30"/>
        <v>16.8</v>
      </c>
      <c r="O216" s="27">
        <f t="shared" si="31"/>
        <v>24</v>
      </c>
      <c r="P216" s="17" t="str">
        <f t="shared" si="32"/>
        <v>Benchmark</v>
      </c>
      <c r="Q216" s="9">
        <v>1</v>
      </c>
      <c r="R216" s="28" t="s">
        <v>2735</v>
      </c>
      <c r="S216" s="29" t="str">
        <f t="shared" si="33"/>
        <v>Homogeneous tile 600x600mm incl. adhesive and grout|m2</v>
      </c>
      <c r="T216" s="24" t="s">
        <v>2336</v>
      </c>
    </row>
    <row r="217" spans="1:20" ht="15" customHeight="1" x14ac:dyDescent="0.25">
      <c r="A217" s="9" t="s">
        <v>2736</v>
      </c>
      <c r="B217" s="14" t="s">
        <v>348</v>
      </c>
      <c r="C217" s="9" t="s">
        <v>716</v>
      </c>
      <c r="D217" s="12" t="s">
        <v>717</v>
      </c>
      <c r="E217" s="12" t="s">
        <v>729</v>
      </c>
      <c r="F217" s="12" t="s">
        <v>730</v>
      </c>
      <c r="G217" s="12" t="s">
        <v>730</v>
      </c>
      <c r="H217" s="9" t="s">
        <v>18</v>
      </c>
      <c r="I217" s="25">
        <v>8</v>
      </c>
      <c r="J217" s="26">
        <v>0.2</v>
      </c>
      <c r="K217" s="20">
        <f t="shared" si="29"/>
        <v>9.6</v>
      </c>
      <c r="L217" s="25">
        <v>55</v>
      </c>
      <c r="M217" s="26">
        <v>0.12</v>
      </c>
      <c r="N217" s="20">
        <f t="shared" si="30"/>
        <v>61.600000000000009</v>
      </c>
      <c r="O217" s="27">
        <f t="shared" si="31"/>
        <v>71.2</v>
      </c>
      <c r="P217" s="30" t="str">
        <f t="shared" si="32"/>
        <v>Priced</v>
      </c>
      <c r="Q217" s="9">
        <v>1</v>
      </c>
      <c r="R217" s="31" t="s">
        <v>2737</v>
      </c>
      <c r="S217" s="29" t="str">
        <f t="shared" si="33"/>
        <v>Marble on staircase|m2</v>
      </c>
      <c r="T217" s="24" t="s">
        <v>2367</v>
      </c>
    </row>
    <row r="218" spans="1:20" ht="15" customHeight="1" x14ac:dyDescent="0.25">
      <c r="A218" s="9" t="s">
        <v>2738</v>
      </c>
      <c r="B218" s="14" t="s">
        <v>348</v>
      </c>
      <c r="C218" s="9" t="s">
        <v>716</v>
      </c>
      <c r="D218" s="12" t="s">
        <v>717</v>
      </c>
      <c r="E218" s="12" t="s">
        <v>729</v>
      </c>
      <c r="F218" s="12" t="s">
        <v>732</v>
      </c>
      <c r="G218" s="12" t="s">
        <v>733</v>
      </c>
      <c r="H218" s="9" t="s">
        <v>18</v>
      </c>
      <c r="I218" s="25">
        <v>8</v>
      </c>
      <c r="J218" s="26">
        <f t="shared" ref="J218:J224" si="36">_STDLAB</f>
        <v>0.2</v>
      </c>
      <c r="K218" s="20">
        <f t="shared" si="29"/>
        <v>9.6</v>
      </c>
      <c r="L218" s="25">
        <v>55</v>
      </c>
      <c r="M218" s="26">
        <f t="shared" ref="M218:M224" si="37">_STDMAT</f>
        <v>0.12</v>
      </c>
      <c r="N218" s="20">
        <f t="shared" si="30"/>
        <v>61.600000000000009</v>
      </c>
      <c r="O218" s="27">
        <f t="shared" si="31"/>
        <v>71.2</v>
      </c>
      <c r="P218" s="17" t="str">
        <f t="shared" si="32"/>
        <v>Benchmark</v>
      </c>
      <c r="Q218" s="9">
        <v>1</v>
      </c>
      <c r="R218" s="28" t="s">
        <v>2739</v>
      </c>
      <c r="S218" s="29" t="str">
        <f t="shared" si="33"/>
        <v>Marble slab flooring 20mm thk. incl. bedding, polishing and sealing|m2</v>
      </c>
      <c r="T218" s="24" t="s">
        <v>2336</v>
      </c>
    </row>
    <row r="219" spans="1:20" ht="15" customHeight="1" x14ac:dyDescent="0.25">
      <c r="A219" s="9" t="s">
        <v>2740</v>
      </c>
      <c r="B219" s="14" t="s">
        <v>348</v>
      </c>
      <c r="C219" s="9" t="s">
        <v>716</v>
      </c>
      <c r="D219" s="12" t="s">
        <v>717</v>
      </c>
      <c r="E219" s="12" t="s">
        <v>729</v>
      </c>
      <c r="F219" s="12" t="s">
        <v>735</v>
      </c>
      <c r="G219" s="12" t="s">
        <v>736</v>
      </c>
      <c r="H219" s="9" t="s">
        <v>18</v>
      </c>
      <c r="I219" s="25">
        <v>8.5</v>
      </c>
      <c r="J219" s="26">
        <f t="shared" si="36"/>
        <v>0.2</v>
      </c>
      <c r="K219" s="20">
        <f t="shared" si="29"/>
        <v>10.199999999999999</v>
      </c>
      <c r="L219" s="25">
        <v>62</v>
      </c>
      <c r="M219" s="26">
        <f t="shared" si="37"/>
        <v>0.12</v>
      </c>
      <c r="N219" s="20">
        <f t="shared" si="30"/>
        <v>69.440000000000012</v>
      </c>
      <c r="O219" s="27">
        <f t="shared" si="31"/>
        <v>79.640000000000015</v>
      </c>
      <c r="P219" s="17" t="str">
        <f t="shared" si="32"/>
        <v>Benchmark</v>
      </c>
      <c r="Q219" s="9">
        <v>1</v>
      </c>
      <c r="R219" s="28" t="s">
        <v>2741</v>
      </c>
      <c r="S219" s="29" t="str">
        <f t="shared" si="33"/>
        <v>Granite slab flooring 20mm thk. incl. bedding and polishing|m2</v>
      </c>
      <c r="T219" s="24" t="s">
        <v>2336</v>
      </c>
    </row>
    <row r="220" spans="1:20" ht="15" customHeight="1" x14ac:dyDescent="0.25">
      <c r="A220" s="9" t="s">
        <v>2742</v>
      </c>
      <c r="B220" s="14" t="s">
        <v>348</v>
      </c>
      <c r="C220" s="9" t="s">
        <v>716</v>
      </c>
      <c r="D220" s="12" t="s">
        <v>717</v>
      </c>
      <c r="E220" s="12" t="s">
        <v>738</v>
      </c>
      <c r="F220" s="12" t="s">
        <v>739</v>
      </c>
      <c r="G220" s="12" t="s">
        <v>740</v>
      </c>
      <c r="H220" s="9" t="s">
        <v>18</v>
      </c>
      <c r="I220" s="25">
        <v>4.5</v>
      </c>
      <c r="J220" s="26">
        <f t="shared" si="36"/>
        <v>0.2</v>
      </c>
      <c r="K220" s="20">
        <f t="shared" si="29"/>
        <v>5.3999999999999995</v>
      </c>
      <c r="L220" s="25">
        <v>16</v>
      </c>
      <c r="M220" s="26">
        <f t="shared" si="37"/>
        <v>0.12</v>
      </c>
      <c r="N220" s="20">
        <f t="shared" si="30"/>
        <v>17.920000000000002</v>
      </c>
      <c r="O220" s="27">
        <f t="shared" si="31"/>
        <v>23.32</v>
      </c>
      <c r="P220" s="17" t="str">
        <f t="shared" si="32"/>
        <v>Benchmark</v>
      </c>
      <c r="Q220" s="9">
        <v>1</v>
      </c>
      <c r="R220" s="28" t="s">
        <v>2743</v>
      </c>
      <c r="S220" s="29" t="str">
        <f t="shared" si="33"/>
        <v>Homogeneous vinyl sheet flooring 2mm thk. incl. adhesive and welding rod|m2</v>
      </c>
      <c r="T220" s="24" t="s">
        <v>2336</v>
      </c>
    </row>
    <row r="221" spans="1:20" ht="15" customHeight="1" x14ac:dyDescent="0.25">
      <c r="A221" s="9" t="s">
        <v>2744</v>
      </c>
      <c r="B221" s="14" t="s">
        <v>348</v>
      </c>
      <c r="C221" s="9" t="s">
        <v>716</v>
      </c>
      <c r="D221" s="12" t="s">
        <v>717</v>
      </c>
      <c r="E221" s="12" t="s">
        <v>738</v>
      </c>
      <c r="F221" s="12" t="s">
        <v>742</v>
      </c>
      <c r="G221" s="12" t="s">
        <v>743</v>
      </c>
      <c r="H221" s="9" t="s">
        <v>18</v>
      </c>
      <c r="I221" s="25">
        <v>3.5</v>
      </c>
      <c r="J221" s="26">
        <f t="shared" si="36"/>
        <v>0.2</v>
      </c>
      <c r="K221" s="20">
        <f t="shared" si="29"/>
        <v>4.2</v>
      </c>
      <c r="L221" s="25">
        <v>12</v>
      </c>
      <c r="M221" s="26">
        <f t="shared" si="37"/>
        <v>0.12</v>
      </c>
      <c r="N221" s="20">
        <f t="shared" si="30"/>
        <v>13.440000000000001</v>
      </c>
      <c r="O221" s="27">
        <f t="shared" si="31"/>
        <v>17.64</v>
      </c>
      <c r="P221" s="17" t="str">
        <f t="shared" si="32"/>
        <v>Benchmark</v>
      </c>
      <c r="Q221" s="9">
        <v>1</v>
      </c>
      <c r="R221" s="28" t="s">
        <v>2745</v>
      </c>
      <c r="S221" s="29" t="str">
        <f t="shared" si="33"/>
        <v>Epoxy floor coating, self-levelling 2mm thk. incl. primer|m2</v>
      </c>
      <c r="T221" s="24" t="s">
        <v>2336</v>
      </c>
    </row>
    <row r="222" spans="1:20" ht="15" customHeight="1" x14ac:dyDescent="0.25">
      <c r="A222" s="9" t="s">
        <v>2746</v>
      </c>
      <c r="B222" s="14" t="s">
        <v>348</v>
      </c>
      <c r="C222" s="9" t="s">
        <v>716</v>
      </c>
      <c r="D222" s="12" t="s">
        <v>717</v>
      </c>
      <c r="E222" s="12" t="s">
        <v>738</v>
      </c>
      <c r="F222" s="12" t="s">
        <v>745</v>
      </c>
      <c r="G222" s="12" t="s">
        <v>746</v>
      </c>
      <c r="H222" s="9" t="s">
        <v>18</v>
      </c>
      <c r="I222" s="25">
        <v>6</v>
      </c>
      <c r="J222" s="26">
        <f t="shared" si="36"/>
        <v>0.2</v>
      </c>
      <c r="K222" s="20">
        <f t="shared" si="29"/>
        <v>7.1999999999999993</v>
      </c>
      <c r="L222" s="25">
        <v>32</v>
      </c>
      <c r="M222" s="26">
        <f t="shared" si="37"/>
        <v>0.12</v>
      </c>
      <c r="N222" s="20">
        <f t="shared" si="30"/>
        <v>35.840000000000003</v>
      </c>
      <c r="O222" s="27">
        <f t="shared" si="31"/>
        <v>43.040000000000006</v>
      </c>
      <c r="P222" s="17" t="str">
        <f t="shared" si="32"/>
        <v>Benchmark</v>
      </c>
      <c r="Q222" s="9">
        <v>1</v>
      </c>
      <c r="R222" s="28" t="s">
        <v>2747</v>
      </c>
      <c r="S222" s="29" t="str">
        <f t="shared" si="33"/>
        <v>Engineered timber flooring incl. underlay and skirting|m2</v>
      </c>
      <c r="T222" s="24" t="s">
        <v>2336</v>
      </c>
    </row>
    <row r="223" spans="1:20" ht="15" customHeight="1" x14ac:dyDescent="0.25">
      <c r="A223" s="9" t="s">
        <v>2748</v>
      </c>
      <c r="B223" s="14" t="s">
        <v>348</v>
      </c>
      <c r="C223" s="9" t="s">
        <v>716</v>
      </c>
      <c r="D223" s="12" t="s">
        <v>717</v>
      </c>
      <c r="E223" s="12" t="s">
        <v>738</v>
      </c>
      <c r="F223" s="12" t="s">
        <v>748</v>
      </c>
      <c r="G223" s="12" t="s">
        <v>749</v>
      </c>
      <c r="H223" s="9" t="s">
        <v>18</v>
      </c>
      <c r="I223" s="25">
        <v>3</v>
      </c>
      <c r="J223" s="26">
        <f t="shared" si="36"/>
        <v>0.2</v>
      </c>
      <c r="K223" s="20">
        <f t="shared" si="29"/>
        <v>3.5999999999999996</v>
      </c>
      <c r="L223" s="25">
        <v>18</v>
      </c>
      <c r="M223" s="26">
        <f t="shared" si="37"/>
        <v>0.12</v>
      </c>
      <c r="N223" s="20">
        <f t="shared" si="30"/>
        <v>20.160000000000004</v>
      </c>
      <c r="O223" s="27">
        <f t="shared" si="31"/>
        <v>23.760000000000005</v>
      </c>
      <c r="P223" s="17" t="str">
        <f t="shared" si="32"/>
        <v>Benchmark</v>
      </c>
      <c r="Q223" s="9">
        <v>1</v>
      </c>
      <c r="R223" s="28" t="s">
        <v>2749</v>
      </c>
      <c r="S223" s="29" t="str">
        <f t="shared" si="33"/>
        <v>Carpet tile 500x500mm incl. adhesive|m2</v>
      </c>
      <c r="T223" s="24" t="s">
        <v>2336</v>
      </c>
    </row>
    <row r="224" spans="1:20" ht="15" customHeight="1" x14ac:dyDescent="0.25">
      <c r="A224" s="9" t="s">
        <v>2750</v>
      </c>
      <c r="B224" s="14" t="s">
        <v>348</v>
      </c>
      <c r="C224" s="9" t="s">
        <v>716</v>
      </c>
      <c r="D224" s="12" t="s">
        <v>717</v>
      </c>
      <c r="E224" s="12" t="s">
        <v>738</v>
      </c>
      <c r="F224" s="12" t="s">
        <v>751</v>
      </c>
      <c r="G224" s="12" t="s">
        <v>752</v>
      </c>
      <c r="H224" s="9" t="s">
        <v>18</v>
      </c>
      <c r="I224" s="25">
        <v>7</v>
      </c>
      <c r="J224" s="26">
        <f t="shared" si="36"/>
        <v>0.2</v>
      </c>
      <c r="K224" s="20">
        <f t="shared" si="29"/>
        <v>8.4</v>
      </c>
      <c r="L224" s="25">
        <v>42</v>
      </c>
      <c r="M224" s="26">
        <f t="shared" si="37"/>
        <v>0.12</v>
      </c>
      <c r="N224" s="20">
        <f t="shared" si="30"/>
        <v>47.040000000000006</v>
      </c>
      <c r="O224" s="27">
        <f t="shared" si="31"/>
        <v>55.440000000000005</v>
      </c>
      <c r="P224" s="17" t="str">
        <f t="shared" si="32"/>
        <v>Benchmark</v>
      </c>
      <c r="Q224" s="9">
        <v>1</v>
      </c>
      <c r="R224" s="28" t="s">
        <v>2751</v>
      </c>
      <c r="S224" s="29" t="str">
        <f t="shared" si="33"/>
        <v>Raised access floor 600x600mm panel incl. pedestal|m2</v>
      </c>
      <c r="T224" s="24" t="s">
        <v>2336</v>
      </c>
    </row>
    <row r="225" spans="1:20" ht="15" customHeight="1" x14ac:dyDescent="0.25">
      <c r="A225" s="9" t="s">
        <v>2752</v>
      </c>
      <c r="B225" s="14" t="s">
        <v>348</v>
      </c>
      <c r="C225" s="9" t="s">
        <v>716</v>
      </c>
      <c r="D225" s="12" t="s">
        <v>717</v>
      </c>
      <c r="E225" s="12" t="s">
        <v>138</v>
      </c>
      <c r="F225" s="12" t="s">
        <v>755</v>
      </c>
      <c r="G225" s="12" t="s">
        <v>755</v>
      </c>
      <c r="H225" s="9" t="s">
        <v>18</v>
      </c>
      <c r="I225" s="25">
        <v>1</v>
      </c>
      <c r="J225" s="26">
        <v>0.2</v>
      </c>
      <c r="K225" s="20">
        <f t="shared" si="29"/>
        <v>1.2</v>
      </c>
      <c r="L225" s="25">
        <v>2.5</v>
      </c>
      <c r="M225" s="26">
        <v>0.12</v>
      </c>
      <c r="N225" s="20">
        <f t="shared" si="30"/>
        <v>2.8000000000000003</v>
      </c>
      <c r="O225" s="27">
        <f t="shared" si="31"/>
        <v>4</v>
      </c>
      <c r="P225" s="30" t="str">
        <f t="shared" si="32"/>
        <v>Priced</v>
      </c>
      <c r="Q225" s="9">
        <v>1</v>
      </c>
      <c r="R225" s="31" t="s">
        <v>2753</v>
      </c>
      <c r="S225" s="29" t="str">
        <f t="shared" si="33"/>
        <v>anti termite|m2</v>
      </c>
      <c r="T225" s="24" t="s">
        <v>2367</v>
      </c>
    </row>
    <row r="226" spans="1:20" ht="15" customHeight="1" x14ac:dyDescent="0.25">
      <c r="A226" s="9" t="s">
        <v>2754</v>
      </c>
      <c r="B226" s="14" t="s">
        <v>348</v>
      </c>
      <c r="C226" s="9" t="s">
        <v>716</v>
      </c>
      <c r="D226" s="12" t="s">
        <v>717</v>
      </c>
      <c r="E226" s="12" t="s">
        <v>757</v>
      </c>
      <c r="F226" s="12" t="s">
        <v>760</v>
      </c>
      <c r="G226" s="12" t="s">
        <v>761</v>
      </c>
      <c r="H226" s="9" t="s">
        <v>61</v>
      </c>
      <c r="I226" s="25">
        <v>2</v>
      </c>
      <c r="J226" s="26">
        <f>_STDLAB</f>
        <v>0.2</v>
      </c>
      <c r="K226" s="20">
        <f t="shared" si="29"/>
        <v>2.4</v>
      </c>
      <c r="L226" s="25">
        <v>4.5</v>
      </c>
      <c r="M226" s="26">
        <f>_STDMAT</f>
        <v>0.12</v>
      </c>
      <c r="N226" s="20">
        <f t="shared" si="30"/>
        <v>5.0400000000000009</v>
      </c>
      <c r="O226" s="27">
        <f t="shared" si="31"/>
        <v>7.4400000000000013</v>
      </c>
      <c r="P226" s="17" t="str">
        <f t="shared" si="32"/>
        <v>Benchmark</v>
      </c>
      <c r="Q226" s="9">
        <v>1</v>
      </c>
      <c r="R226" s="28" t="s">
        <v>2755</v>
      </c>
      <c r="S226" s="29" t="str">
        <f t="shared" si="33"/>
        <v>Aluminium floor trim / divider strip|m</v>
      </c>
      <c r="T226" s="24" t="s">
        <v>2336</v>
      </c>
    </row>
    <row r="227" spans="1:20" ht="15" customHeight="1" x14ac:dyDescent="0.25">
      <c r="A227" s="9" t="s">
        <v>2756</v>
      </c>
      <c r="B227" s="14" t="s">
        <v>348</v>
      </c>
      <c r="C227" s="9" t="s">
        <v>763</v>
      </c>
      <c r="D227" s="12" t="s">
        <v>764</v>
      </c>
      <c r="E227" s="12" t="s">
        <v>765</v>
      </c>
      <c r="F227" s="12" t="s">
        <v>765</v>
      </c>
      <c r="G227" s="12" t="s">
        <v>766</v>
      </c>
      <c r="H227" s="9" t="s">
        <v>18</v>
      </c>
      <c r="I227" s="25">
        <v>3</v>
      </c>
      <c r="J227" s="26">
        <v>0.2</v>
      </c>
      <c r="K227" s="20">
        <f t="shared" si="29"/>
        <v>3.5999999999999996</v>
      </c>
      <c r="L227" s="25">
        <v>7</v>
      </c>
      <c r="M227" s="26">
        <v>0.12</v>
      </c>
      <c r="N227" s="20">
        <f t="shared" si="30"/>
        <v>7.8400000000000007</v>
      </c>
      <c r="O227" s="27">
        <f t="shared" si="31"/>
        <v>11.440000000000001</v>
      </c>
      <c r="P227" s="30" t="str">
        <f t="shared" si="32"/>
        <v>Priced</v>
      </c>
      <c r="Q227" s="9">
        <v>1</v>
      </c>
      <c r="R227" s="31" t="s">
        <v>2757</v>
      </c>
      <c r="S227" s="29" t="str">
        <f t="shared" si="33"/>
        <v>10mm Plasterboard with 600mm ceiling frame height|m2</v>
      </c>
      <c r="T227" s="24" t="s">
        <v>2367</v>
      </c>
    </row>
    <row r="228" spans="1:20" ht="15" customHeight="1" x14ac:dyDescent="0.25">
      <c r="A228" s="9" t="s">
        <v>2758</v>
      </c>
      <c r="B228" s="14" t="s">
        <v>348</v>
      </c>
      <c r="C228" s="9" t="s">
        <v>763</v>
      </c>
      <c r="D228" s="12" t="s">
        <v>764</v>
      </c>
      <c r="E228" s="12" t="s">
        <v>765</v>
      </c>
      <c r="F228" s="12" t="s">
        <v>768</v>
      </c>
      <c r="G228" s="12" t="s">
        <v>769</v>
      </c>
      <c r="H228" s="9" t="s">
        <v>18</v>
      </c>
      <c r="I228" s="25">
        <v>4.5</v>
      </c>
      <c r="J228" s="26">
        <f t="shared" ref="J228:J251" si="38">_STDLAB</f>
        <v>0.2</v>
      </c>
      <c r="K228" s="20">
        <f t="shared" si="29"/>
        <v>5.3999999999999995</v>
      </c>
      <c r="L228" s="25">
        <v>8.5</v>
      </c>
      <c r="M228" s="26">
        <f t="shared" ref="M228:M251" si="39">_STDMAT</f>
        <v>0.12</v>
      </c>
      <c r="N228" s="20">
        <f t="shared" si="30"/>
        <v>9.5200000000000014</v>
      </c>
      <c r="O228" s="27">
        <f t="shared" si="31"/>
        <v>14.920000000000002</v>
      </c>
      <c r="P228" s="17" t="str">
        <f t="shared" si="32"/>
        <v>Benchmark</v>
      </c>
      <c r="Q228" s="9">
        <v>1</v>
      </c>
      <c r="R228" s="28" t="s">
        <v>2759</v>
      </c>
      <c r="S228" s="29" t="str">
        <f t="shared" si="33"/>
        <v>Gypsum board ceiling 9mm thk. on metal furring incl. jointing|m2</v>
      </c>
      <c r="T228" s="24" t="s">
        <v>2336</v>
      </c>
    </row>
    <row r="229" spans="1:20" ht="15" customHeight="1" x14ac:dyDescent="0.25">
      <c r="A229" s="9" t="s">
        <v>2760</v>
      </c>
      <c r="B229" s="14" t="s">
        <v>348</v>
      </c>
      <c r="C229" s="9" t="s">
        <v>763</v>
      </c>
      <c r="D229" s="12" t="s">
        <v>764</v>
      </c>
      <c r="E229" s="12" t="s">
        <v>765</v>
      </c>
      <c r="F229" s="12" t="s">
        <v>771</v>
      </c>
      <c r="G229" s="12" t="s">
        <v>772</v>
      </c>
      <c r="H229" s="9" t="s">
        <v>18</v>
      </c>
      <c r="I229" s="25">
        <v>4.5</v>
      </c>
      <c r="J229" s="26">
        <f t="shared" si="38"/>
        <v>0.2</v>
      </c>
      <c r="K229" s="20">
        <f t="shared" si="29"/>
        <v>5.3999999999999995</v>
      </c>
      <c r="L229" s="25">
        <v>9.5</v>
      </c>
      <c r="M229" s="26">
        <f t="shared" si="39"/>
        <v>0.12</v>
      </c>
      <c r="N229" s="20">
        <f t="shared" si="30"/>
        <v>10.64</v>
      </c>
      <c r="O229" s="27">
        <f t="shared" si="31"/>
        <v>16.04</v>
      </c>
      <c r="P229" s="17" t="str">
        <f t="shared" si="32"/>
        <v>Benchmark</v>
      </c>
      <c r="Q229" s="9">
        <v>1</v>
      </c>
      <c r="R229" s="28" t="s">
        <v>2761</v>
      </c>
      <c r="S229" s="29" t="str">
        <f t="shared" si="33"/>
        <v>Fibre cement board ceiling 4.5mm thk. on metal furring|m2</v>
      </c>
      <c r="T229" s="24" t="s">
        <v>2336</v>
      </c>
    </row>
    <row r="230" spans="1:20" ht="15" customHeight="1" x14ac:dyDescent="0.25">
      <c r="A230" s="9" t="s">
        <v>2762</v>
      </c>
      <c r="B230" s="14" t="s">
        <v>348</v>
      </c>
      <c r="C230" s="9" t="s">
        <v>763</v>
      </c>
      <c r="D230" s="12" t="s">
        <v>764</v>
      </c>
      <c r="E230" s="12" t="s">
        <v>774</v>
      </c>
      <c r="F230" s="12" t="s">
        <v>775</v>
      </c>
      <c r="G230" s="12" t="s">
        <v>776</v>
      </c>
      <c r="H230" s="9" t="s">
        <v>18</v>
      </c>
      <c r="I230" s="25">
        <v>3.5</v>
      </c>
      <c r="J230" s="26">
        <f t="shared" si="38"/>
        <v>0.2</v>
      </c>
      <c r="K230" s="20">
        <f t="shared" si="29"/>
        <v>4.2</v>
      </c>
      <c r="L230" s="25">
        <v>11</v>
      </c>
      <c r="M230" s="26">
        <f t="shared" si="39"/>
        <v>0.12</v>
      </c>
      <c r="N230" s="20">
        <f t="shared" si="30"/>
        <v>12.32</v>
      </c>
      <c r="O230" s="27">
        <f t="shared" si="31"/>
        <v>16.52</v>
      </c>
      <c r="P230" s="17" t="str">
        <f t="shared" si="32"/>
        <v>Benchmark</v>
      </c>
      <c r="Q230" s="9">
        <v>1</v>
      </c>
      <c r="R230" s="28" t="s">
        <v>2763</v>
      </c>
      <c r="S230" s="29" t="str">
        <f t="shared" si="33"/>
        <v>Acoustic ceiling tile 600x600mm on exposed T-grid|m2</v>
      </c>
      <c r="T230" s="24" t="s">
        <v>2336</v>
      </c>
    </row>
    <row r="231" spans="1:20" ht="15" customHeight="1" x14ac:dyDescent="0.25">
      <c r="A231" s="9" t="s">
        <v>2764</v>
      </c>
      <c r="B231" s="14" t="s">
        <v>348</v>
      </c>
      <c r="C231" s="9" t="s">
        <v>763</v>
      </c>
      <c r="D231" s="12" t="s">
        <v>764</v>
      </c>
      <c r="E231" s="12" t="s">
        <v>774</v>
      </c>
      <c r="F231" s="12" t="s">
        <v>778</v>
      </c>
      <c r="G231" s="12" t="s">
        <v>779</v>
      </c>
      <c r="H231" s="9" t="s">
        <v>18</v>
      </c>
      <c r="I231" s="25">
        <v>3.5</v>
      </c>
      <c r="J231" s="26">
        <f t="shared" si="38"/>
        <v>0.2</v>
      </c>
      <c r="K231" s="20">
        <f t="shared" si="29"/>
        <v>4.2</v>
      </c>
      <c r="L231" s="25">
        <v>12</v>
      </c>
      <c r="M231" s="26">
        <f t="shared" si="39"/>
        <v>0.12</v>
      </c>
      <c r="N231" s="20">
        <f t="shared" si="30"/>
        <v>13.440000000000001</v>
      </c>
      <c r="O231" s="27">
        <f t="shared" si="31"/>
        <v>17.64</v>
      </c>
      <c r="P231" s="17" t="str">
        <f t="shared" si="32"/>
        <v>Benchmark</v>
      </c>
      <c r="Q231" s="9">
        <v>1</v>
      </c>
      <c r="R231" s="28" t="s">
        <v>2765</v>
      </c>
      <c r="S231" s="29" t="str">
        <f t="shared" si="33"/>
        <v>Mineral fibre ceiling board 600x1200mm on T-grid system|m2</v>
      </c>
      <c r="T231" s="24" t="s">
        <v>2336</v>
      </c>
    </row>
    <row r="232" spans="1:20" ht="15" customHeight="1" x14ac:dyDescent="0.25">
      <c r="A232" s="9" t="s">
        <v>2766</v>
      </c>
      <c r="B232" s="14" t="s">
        <v>348</v>
      </c>
      <c r="C232" s="9" t="s">
        <v>763</v>
      </c>
      <c r="D232" s="12" t="s">
        <v>764</v>
      </c>
      <c r="E232" s="12" t="s">
        <v>781</v>
      </c>
      <c r="F232" s="12" t="s">
        <v>782</v>
      </c>
      <c r="G232" s="12" t="s">
        <v>783</v>
      </c>
      <c r="H232" s="9" t="s">
        <v>18</v>
      </c>
      <c r="I232" s="25">
        <v>5.5</v>
      </c>
      <c r="J232" s="26">
        <f t="shared" si="38"/>
        <v>0.2</v>
      </c>
      <c r="K232" s="20">
        <f t="shared" si="29"/>
        <v>6.6</v>
      </c>
      <c r="L232" s="25">
        <v>22</v>
      </c>
      <c r="M232" s="26">
        <f t="shared" si="39"/>
        <v>0.12</v>
      </c>
      <c r="N232" s="20">
        <f t="shared" si="30"/>
        <v>24.64</v>
      </c>
      <c r="O232" s="27">
        <f t="shared" si="31"/>
        <v>31.240000000000002</v>
      </c>
      <c r="P232" s="17" t="str">
        <f t="shared" si="32"/>
        <v>Benchmark</v>
      </c>
      <c r="Q232" s="9">
        <v>1</v>
      </c>
      <c r="R232" s="28" t="s">
        <v>2767</v>
      </c>
      <c r="S232" s="29" t="str">
        <f t="shared" si="33"/>
        <v>Aluminium strip ceiling incl. carrier and trim|m2</v>
      </c>
      <c r="T232" s="24" t="s">
        <v>2336</v>
      </c>
    </row>
    <row r="233" spans="1:20" ht="15" customHeight="1" x14ac:dyDescent="0.25">
      <c r="A233" s="9" t="s">
        <v>2768</v>
      </c>
      <c r="B233" s="14" t="s">
        <v>348</v>
      </c>
      <c r="C233" s="9" t="s">
        <v>763</v>
      </c>
      <c r="D233" s="12" t="s">
        <v>764</v>
      </c>
      <c r="E233" s="12" t="s">
        <v>781</v>
      </c>
      <c r="F233" s="12" t="s">
        <v>785</v>
      </c>
      <c r="G233" s="12" t="s">
        <v>786</v>
      </c>
      <c r="H233" s="9" t="s">
        <v>18</v>
      </c>
      <c r="I233" s="25">
        <v>5</v>
      </c>
      <c r="J233" s="26">
        <f t="shared" si="38"/>
        <v>0.2</v>
      </c>
      <c r="K233" s="20">
        <f t="shared" si="29"/>
        <v>6</v>
      </c>
      <c r="L233" s="25">
        <v>26</v>
      </c>
      <c r="M233" s="26">
        <f t="shared" si="39"/>
        <v>0.12</v>
      </c>
      <c r="N233" s="20">
        <f t="shared" si="30"/>
        <v>29.120000000000005</v>
      </c>
      <c r="O233" s="27">
        <f t="shared" si="31"/>
        <v>35.120000000000005</v>
      </c>
      <c r="P233" s="17" t="str">
        <f t="shared" si="32"/>
        <v>Benchmark</v>
      </c>
      <c r="Q233" s="9">
        <v>1</v>
      </c>
      <c r="R233" s="28" t="s">
        <v>2769</v>
      </c>
      <c r="S233" s="29" t="str">
        <f t="shared" si="33"/>
        <v>Metal open grid ceiling incl. suspension system|m2</v>
      </c>
      <c r="T233" s="24" t="s">
        <v>2336</v>
      </c>
    </row>
    <row r="234" spans="1:20" ht="15" customHeight="1" x14ac:dyDescent="0.25">
      <c r="A234" s="9" t="s">
        <v>2770</v>
      </c>
      <c r="B234" s="14" t="s">
        <v>348</v>
      </c>
      <c r="C234" s="9" t="s">
        <v>763</v>
      </c>
      <c r="D234" s="12" t="s">
        <v>764</v>
      </c>
      <c r="E234" s="12" t="s">
        <v>788</v>
      </c>
      <c r="F234" s="12" t="s">
        <v>789</v>
      </c>
      <c r="G234" s="12" t="s">
        <v>790</v>
      </c>
      <c r="H234" s="9" t="s">
        <v>57</v>
      </c>
      <c r="I234" s="25">
        <v>6</v>
      </c>
      <c r="J234" s="26">
        <f t="shared" si="38"/>
        <v>0.2</v>
      </c>
      <c r="K234" s="20">
        <f t="shared" si="29"/>
        <v>7.1999999999999993</v>
      </c>
      <c r="L234" s="25">
        <v>26</v>
      </c>
      <c r="M234" s="26">
        <f t="shared" si="39"/>
        <v>0.12</v>
      </c>
      <c r="N234" s="20">
        <f t="shared" si="30"/>
        <v>29.120000000000005</v>
      </c>
      <c r="O234" s="27">
        <f t="shared" si="31"/>
        <v>36.320000000000007</v>
      </c>
      <c r="P234" s="17" t="str">
        <f t="shared" si="32"/>
        <v>Benchmark</v>
      </c>
      <c r="Q234" s="9">
        <v>1</v>
      </c>
      <c r="R234" s="28" t="s">
        <v>2771</v>
      </c>
      <c r="S234" s="29" t="str">
        <f t="shared" si="33"/>
        <v>Ceiling access panel 600x600mm incl. frame and lock|Nos</v>
      </c>
      <c r="T234" s="24" t="s">
        <v>2336</v>
      </c>
    </row>
    <row r="235" spans="1:20" ht="15" customHeight="1" x14ac:dyDescent="0.25">
      <c r="A235" s="9" t="s">
        <v>2772</v>
      </c>
      <c r="B235" s="14" t="s">
        <v>348</v>
      </c>
      <c r="C235" s="9" t="s">
        <v>763</v>
      </c>
      <c r="D235" s="12" t="s">
        <v>764</v>
      </c>
      <c r="E235" s="12" t="s">
        <v>788</v>
      </c>
      <c r="F235" s="12" t="s">
        <v>792</v>
      </c>
      <c r="G235" s="12" t="s">
        <v>793</v>
      </c>
      <c r="H235" s="9" t="s">
        <v>61</v>
      </c>
      <c r="I235" s="25">
        <v>2.5</v>
      </c>
      <c r="J235" s="26">
        <f t="shared" si="38"/>
        <v>0.2</v>
      </c>
      <c r="K235" s="20">
        <f t="shared" si="29"/>
        <v>3</v>
      </c>
      <c r="L235" s="25">
        <v>4.5</v>
      </c>
      <c r="M235" s="26">
        <f t="shared" si="39"/>
        <v>0.12</v>
      </c>
      <c r="N235" s="20">
        <f t="shared" si="30"/>
        <v>5.0400000000000009</v>
      </c>
      <c r="O235" s="27">
        <f t="shared" si="31"/>
        <v>8.0400000000000009</v>
      </c>
      <c r="P235" s="17" t="str">
        <f t="shared" si="32"/>
        <v>Benchmark</v>
      </c>
      <c r="Q235" s="9">
        <v>1</v>
      </c>
      <c r="R235" s="28" t="s">
        <v>2773</v>
      </c>
      <c r="S235" s="29" t="str">
        <f t="shared" si="33"/>
        <v>Gypsum cornice incl. fixing and jointing|m</v>
      </c>
      <c r="T235" s="24" t="s">
        <v>2336</v>
      </c>
    </row>
    <row r="236" spans="1:20" ht="15" customHeight="1" x14ac:dyDescent="0.25">
      <c r="A236" s="9" t="s">
        <v>2774</v>
      </c>
      <c r="B236" s="14" t="s">
        <v>348</v>
      </c>
      <c r="C236" s="9" t="s">
        <v>763</v>
      </c>
      <c r="D236" s="12" t="s">
        <v>764</v>
      </c>
      <c r="E236" s="12" t="s">
        <v>788</v>
      </c>
      <c r="F236" s="12" t="s">
        <v>795</v>
      </c>
      <c r="G236" s="12" t="s">
        <v>796</v>
      </c>
      <c r="H236" s="9" t="s">
        <v>61</v>
      </c>
      <c r="I236" s="25">
        <v>6</v>
      </c>
      <c r="J236" s="26">
        <f t="shared" si="38"/>
        <v>0.2</v>
      </c>
      <c r="K236" s="20">
        <f t="shared" si="29"/>
        <v>7.1999999999999993</v>
      </c>
      <c r="L236" s="25">
        <v>12</v>
      </c>
      <c r="M236" s="26">
        <f t="shared" si="39"/>
        <v>0.12</v>
      </c>
      <c r="N236" s="20">
        <f t="shared" si="30"/>
        <v>13.440000000000001</v>
      </c>
      <c r="O236" s="27">
        <f t="shared" si="31"/>
        <v>20.64</v>
      </c>
      <c r="P236" s="17" t="str">
        <f t="shared" si="32"/>
        <v>Benchmark</v>
      </c>
      <c r="Q236" s="9">
        <v>1</v>
      </c>
      <c r="R236" s="28" t="s">
        <v>2775</v>
      </c>
      <c r="S236" s="29" t="str">
        <f t="shared" si="33"/>
        <v>Ceiling bulkhead incl. framing, board and jointing|m</v>
      </c>
      <c r="T236" s="24" t="s">
        <v>2336</v>
      </c>
    </row>
    <row r="237" spans="1:20" ht="15" customHeight="1" x14ac:dyDescent="0.25">
      <c r="A237" s="9" t="s">
        <v>2776</v>
      </c>
      <c r="B237" s="14" t="s">
        <v>348</v>
      </c>
      <c r="C237" s="9" t="s">
        <v>763</v>
      </c>
      <c r="D237" s="12" t="s">
        <v>764</v>
      </c>
      <c r="E237" s="12" t="s">
        <v>788</v>
      </c>
      <c r="F237" s="12" t="s">
        <v>798</v>
      </c>
      <c r="G237" s="12" t="s">
        <v>799</v>
      </c>
      <c r="H237" s="9" t="s">
        <v>18</v>
      </c>
      <c r="I237" s="25">
        <v>1.4</v>
      </c>
      <c r="J237" s="26">
        <f t="shared" si="38"/>
        <v>0.2</v>
      </c>
      <c r="K237" s="20">
        <f t="shared" si="29"/>
        <v>1.68</v>
      </c>
      <c r="L237" s="25">
        <v>2.2000000000000002</v>
      </c>
      <c r="M237" s="26">
        <f t="shared" si="39"/>
        <v>0.12</v>
      </c>
      <c r="N237" s="20">
        <f t="shared" si="30"/>
        <v>2.4640000000000004</v>
      </c>
      <c r="O237" s="27">
        <f t="shared" si="31"/>
        <v>4.1440000000000001</v>
      </c>
      <c r="P237" s="17" t="str">
        <f t="shared" si="32"/>
        <v>Benchmark</v>
      </c>
      <c r="Q237" s="9">
        <v>1</v>
      </c>
      <c r="R237" s="28" t="s">
        <v>2534</v>
      </c>
      <c r="S237" s="29" t="str">
        <f t="shared" si="33"/>
        <v>Ceiling painting, primer + 2 coats emulsion|m2</v>
      </c>
      <c r="T237" s="24" t="s">
        <v>2336</v>
      </c>
    </row>
    <row r="238" spans="1:20" ht="15" customHeight="1" x14ac:dyDescent="0.25">
      <c r="A238" s="9" t="s">
        <v>2777</v>
      </c>
      <c r="B238" s="14" t="s">
        <v>348</v>
      </c>
      <c r="C238" s="9" t="s">
        <v>763</v>
      </c>
      <c r="D238" s="12" t="s">
        <v>764</v>
      </c>
      <c r="E238" s="12" t="s">
        <v>788</v>
      </c>
      <c r="F238" s="12" t="s">
        <v>801</v>
      </c>
      <c r="G238" s="12" t="s">
        <v>802</v>
      </c>
      <c r="H238" s="9" t="s">
        <v>61</v>
      </c>
      <c r="I238" s="25">
        <v>4</v>
      </c>
      <c r="J238" s="26">
        <f t="shared" si="38"/>
        <v>0.2</v>
      </c>
      <c r="K238" s="20">
        <f t="shared" si="29"/>
        <v>4.8</v>
      </c>
      <c r="L238" s="25">
        <v>9</v>
      </c>
      <c r="M238" s="26">
        <f t="shared" si="39"/>
        <v>0.12</v>
      </c>
      <c r="N238" s="20">
        <f t="shared" si="30"/>
        <v>10.080000000000002</v>
      </c>
      <c r="O238" s="27">
        <f t="shared" si="31"/>
        <v>14.880000000000003</v>
      </c>
      <c r="P238" s="17" t="str">
        <f t="shared" si="32"/>
        <v>Benchmark</v>
      </c>
      <c r="Q238" s="9">
        <v>1</v>
      </c>
      <c r="R238" s="28" t="s">
        <v>2778</v>
      </c>
      <c r="S238" s="29" t="str">
        <f t="shared" si="33"/>
        <v>Curtain box / pelmet incl. framing and finishing|m</v>
      </c>
      <c r="T238" s="24" t="s">
        <v>2336</v>
      </c>
    </row>
    <row r="239" spans="1:20" ht="21.75" customHeight="1" x14ac:dyDescent="0.25">
      <c r="A239" s="9" t="s">
        <v>2779</v>
      </c>
      <c r="B239" s="14" t="s">
        <v>348</v>
      </c>
      <c r="C239" s="9" t="s">
        <v>804</v>
      </c>
      <c r="D239" s="12" t="s">
        <v>805</v>
      </c>
      <c r="E239" s="12" t="s">
        <v>806</v>
      </c>
      <c r="F239" s="12" t="s">
        <v>807</v>
      </c>
      <c r="G239" s="12" t="s">
        <v>809</v>
      </c>
      <c r="H239" s="9" t="s">
        <v>808</v>
      </c>
      <c r="I239" s="25">
        <v>12</v>
      </c>
      <c r="J239" s="26">
        <f t="shared" si="38"/>
        <v>0.2</v>
      </c>
      <c r="K239" s="20">
        <f t="shared" si="29"/>
        <v>14.399999999999999</v>
      </c>
      <c r="L239" s="25">
        <v>68</v>
      </c>
      <c r="M239" s="26">
        <f t="shared" si="39"/>
        <v>0.12</v>
      </c>
      <c r="N239" s="20">
        <f t="shared" si="30"/>
        <v>76.160000000000011</v>
      </c>
      <c r="O239" s="27">
        <f t="shared" si="31"/>
        <v>90.56</v>
      </c>
      <c r="P239" s="17" t="str">
        <f t="shared" si="32"/>
        <v>Benchmark</v>
      </c>
      <c r="Q239" s="9">
        <v>1</v>
      </c>
      <c r="R239" s="28" t="s">
        <v>2780</v>
      </c>
      <c r="S239" s="29" t="str">
        <f t="shared" si="33"/>
        <v>Toilet accessories set: paper holder, soap dispenser, coat hook, grab bar|set</v>
      </c>
      <c r="T239" s="24" t="s">
        <v>2336</v>
      </c>
    </row>
    <row r="240" spans="1:20" ht="21.75" customHeight="1" x14ac:dyDescent="0.25">
      <c r="A240" s="9" t="s">
        <v>2781</v>
      </c>
      <c r="B240" s="14" t="s">
        <v>348</v>
      </c>
      <c r="C240" s="9" t="s">
        <v>804</v>
      </c>
      <c r="D240" s="12" t="s">
        <v>805</v>
      </c>
      <c r="E240" s="12" t="s">
        <v>806</v>
      </c>
      <c r="F240" s="12" t="s">
        <v>710</v>
      </c>
      <c r="G240" s="12" t="s">
        <v>711</v>
      </c>
      <c r="H240" s="9" t="s">
        <v>57</v>
      </c>
      <c r="I240" s="25">
        <v>6</v>
      </c>
      <c r="J240" s="26">
        <f t="shared" si="38"/>
        <v>0.2</v>
      </c>
      <c r="K240" s="20">
        <f t="shared" si="29"/>
        <v>7.1999999999999993</v>
      </c>
      <c r="L240" s="25">
        <v>45</v>
      </c>
      <c r="M240" s="26">
        <f t="shared" si="39"/>
        <v>0.12</v>
      </c>
      <c r="N240" s="20">
        <f t="shared" si="30"/>
        <v>50.400000000000006</v>
      </c>
      <c r="O240" s="27">
        <f t="shared" si="31"/>
        <v>57.600000000000009</v>
      </c>
      <c r="P240" s="17" t="str">
        <f t="shared" si="32"/>
        <v>Benchmark</v>
      </c>
      <c r="Q240" s="9">
        <v>1</v>
      </c>
      <c r="R240" s="28" t="s">
        <v>2782</v>
      </c>
      <c r="S240" s="29" t="str">
        <f t="shared" si="33"/>
        <v>Silver mirror 5mm thk. incl. backing and fixing|Nos</v>
      </c>
      <c r="T240" s="24" t="s">
        <v>2336</v>
      </c>
    </row>
    <row r="241" spans="1:20" ht="21.75" customHeight="1" x14ac:dyDescent="0.25">
      <c r="A241" s="9" t="s">
        <v>2783</v>
      </c>
      <c r="B241" s="14" t="s">
        <v>348</v>
      </c>
      <c r="C241" s="9" t="s">
        <v>804</v>
      </c>
      <c r="D241" s="12" t="s">
        <v>805</v>
      </c>
      <c r="E241" s="12" t="s">
        <v>806</v>
      </c>
      <c r="F241" s="12" t="s">
        <v>812</v>
      </c>
      <c r="G241" s="12" t="s">
        <v>813</v>
      </c>
      <c r="H241" s="9" t="s">
        <v>61</v>
      </c>
      <c r="I241" s="25">
        <v>12</v>
      </c>
      <c r="J241" s="26">
        <f t="shared" si="38"/>
        <v>0.2</v>
      </c>
      <c r="K241" s="20">
        <f t="shared" si="29"/>
        <v>14.399999999999999</v>
      </c>
      <c r="L241" s="25">
        <v>95</v>
      </c>
      <c r="M241" s="26">
        <f t="shared" si="39"/>
        <v>0.12</v>
      </c>
      <c r="N241" s="20">
        <f t="shared" si="30"/>
        <v>106.4</v>
      </c>
      <c r="O241" s="27">
        <f t="shared" si="31"/>
        <v>120.80000000000001</v>
      </c>
      <c r="P241" s="17" t="str">
        <f t="shared" si="32"/>
        <v>Benchmark</v>
      </c>
      <c r="Q241" s="9">
        <v>2</v>
      </c>
      <c r="R241" s="28" t="s">
        <v>2784</v>
      </c>
      <c r="S241" s="29" t="str">
        <f t="shared" si="33"/>
        <v>Solid surface counter top 12mm thk. incl. support and sealing|m</v>
      </c>
      <c r="T241" s="24" t="s">
        <v>2336</v>
      </c>
    </row>
    <row r="242" spans="1:20" ht="21.75" customHeight="1" x14ac:dyDescent="0.25">
      <c r="A242" s="9" t="s">
        <v>2785</v>
      </c>
      <c r="B242" s="14" t="s">
        <v>348</v>
      </c>
      <c r="C242" s="9" t="s">
        <v>804</v>
      </c>
      <c r="D242" s="12" t="s">
        <v>805</v>
      </c>
      <c r="E242" s="12" t="s">
        <v>806</v>
      </c>
      <c r="F242" s="12" t="s">
        <v>815</v>
      </c>
      <c r="G242" s="12" t="s">
        <v>816</v>
      </c>
      <c r="H242" s="9" t="s">
        <v>57</v>
      </c>
      <c r="I242" s="25">
        <v>12</v>
      </c>
      <c r="J242" s="26">
        <f t="shared" si="38"/>
        <v>0.2</v>
      </c>
      <c r="K242" s="20">
        <f t="shared" si="29"/>
        <v>14.399999999999999</v>
      </c>
      <c r="L242" s="25">
        <v>145</v>
      </c>
      <c r="M242" s="26">
        <f t="shared" si="39"/>
        <v>0.12</v>
      </c>
      <c r="N242" s="20">
        <f t="shared" si="30"/>
        <v>162.4</v>
      </c>
      <c r="O242" s="27">
        <f t="shared" si="31"/>
        <v>176.8</v>
      </c>
      <c r="P242" s="17" t="str">
        <f t="shared" si="32"/>
        <v>Benchmark</v>
      </c>
      <c r="Q242" s="9">
        <v>1</v>
      </c>
      <c r="R242" s="28" t="s">
        <v>2786</v>
      </c>
      <c r="S242" s="29" t="str">
        <f t="shared" si="33"/>
        <v>Steel locker unit incl. lock and fixing|Nos</v>
      </c>
      <c r="T242" s="24" t="s">
        <v>2336</v>
      </c>
    </row>
    <row r="243" spans="1:20" ht="21.75" customHeight="1" x14ac:dyDescent="0.25">
      <c r="A243" s="9" t="s">
        <v>2787</v>
      </c>
      <c r="B243" s="14" t="s">
        <v>348</v>
      </c>
      <c r="C243" s="9" t="s">
        <v>804</v>
      </c>
      <c r="D243" s="12" t="s">
        <v>805</v>
      </c>
      <c r="E243" s="12" t="s">
        <v>806</v>
      </c>
      <c r="F243" s="12" t="s">
        <v>818</v>
      </c>
      <c r="G243" s="12" t="s">
        <v>819</v>
      </c>
      <c r="H243" s="9" t="s">
        <v>61</v>
      </c>
      <c r="I243" s="25">
        <v>8</v>
      </c>
      <c r="J243" s="26">
        <f t="shared" si="38"/>
        <v>0.2</v>
      </c>
      <c r="K243" s="20">
        <f t="shared" si="29"/>
        <v>9.6</v>
      </c>
      <c r="L243" s="25">
        <v>42</v>
      </c>
      <c r="M243" s="26">
        <f t="shared" si="39"/>
        <v>0.12</v>
      </c>
      <c r="N243" s="20">
        <f t="shared" si="30"/>
        <v>47.040000000000006</v>
      </c>
      <c r="O243" s="27">
        <f t="shared" si="31"/>
        <v>56.640000000000008</v>
      </c>
      <c r="P243" s="17" t="str">
        <f t="shared" si="32"/>
        <v>Benchmark</v>
      </c>
      <c r="Q243" s="9">
        <v>1</v>
      </c>
      <c r="R243" s="28" t="s">
        <v>2788</v>
      </c>
      <c r="S243" s="29" t="str">
        <f t="shared" si="33"/>
        <v>Melamine faced shelving incl. bracket and fixing|m</v>
      </c>
      <c r="T243" s="24" t="s">
        <v>2336</v>
      </c>
    </row>
    <row r="244" spans="1:20" ht="21.75" customHeight="1" x14ac:dyDescent="0.25">
      <c r="A244" s="9" t="s">
        <v>2789</v>
      </c>
      <c r="B244" s="14" t="s">
        <v>348</v>
      </c>
      <c r="C244" s="9" t="s">
        <v>804</v>
      </c>
      <c r="D244" s="12" t="s">
        <v>805</v>
      </c>
      <c r="E244" s="12" t="s">
        <v>806</v>
      </c>
      <c r="F244" s="12" t="s">
        <v>821</v>
      </c>
      <c r="G244" s="12" t="s">
        <v>822</v>
      </c>
      <c r="H244" s="9" t="s">
        <v>18</v>
      </c>
      <c r="I244" s="25">
        <v>5</v>
      </c>
      <c r="J244" s="26">
        <f t="shared" si="38"/>
        <v>0.2</v>
      </c>
      <c r="K244" s="20">
        <f t="shared" si="29"/>
        <v>6</v>
      </c>
      <c r="L244" s="25">
        <v>26</v>
      </c>
      <c r="M244" s="26">
        <f t="shared" si="39"/>
        <v>0.12</v>
      </c>
      <c r="N244" s="20">
        <f t="shared" si="30"/>
        <v>29.120000000000005</v>
      </c>
      <c r="O244" s="27">
        <f t="shared" si="31"/>
        <v>35.120000000000005</v>
      </c>
      <c r="P244" s="17" t="str">
        <f t="shared" si="32"/>
        <v>Benchmark</v>
      </c>
      <c r="Q244" s="9">
        <v>1</v>
      </c>
      <c r="R244" s="28" t="s">
        <v>2790</v>
      </c>
      <c r="S244" s="29" t="str">
        <f t="shared" si="33"/>
        <v>Roller blind / curtain incl. track and bracket|m2</v>
      </c>
      <c r="T244" s="24" t="s">
        <v>2336</v>
      </c>
    </row>
    <row r="245" spans="1:20" ht="21.75" customHeight="1" x14ac:dyDescent="0.25">
      <c r="A245" s="9" t="s">
        <v>2791</v>
      </c>
      <c r="B245" s="14" t="s">
        <v>348</v>
      </c>
      <c r="C245" s="9" t="s">
        <v>804</v>
      </c>
      <c r="D245" s="12" t="s">
        <v>805</v>
      </c>
      <c r="E245" s="12" t="s">
        <v>806</v>
      </c>
      <c r="F245" s="12" t="s">
        <v>824</v>
      </c>
      <c r="G245" s="12" t="s">
        <v>825</v>
      </c>
      <c r="H245" s="9" t="s">
        <v>57</v>
      </c>
      <c r="I245" s="25">
        <v>12</v>
      </c>
      <c r="J245" s="26">
        <f t="shared" si="38"/>
        <v>0.2</v>
      </c>
      <c r="K245" s="20">
        <f t="shared" si="29"/>
        <v>14.399999999999999</v>
      </c>
      <c r="L245" s="25">
        <v>120</v>
      </c>
      <c r="M245" s="26">
        <f t="shared" si="39"/>
        <v>0.12</v>
      </c>
      <c r="N245" s="20">
        <f t="shared" si="30"/>
        <v>134.4</v>
      </c>
      <c r="O245" s="27">
        <f t="shared" si="31"/>
        <v>148.80000000000001</v>
      </c>
      <c r="P245" s="17" t="str">
        <f t="shared" si="32"/>
        <v>Benchmark</v>
      </c>
      <c r="Q245" s="9">
        <v>1</v>
      </c>
      <c r="R245" s="28" t="s">
        <v>2792</v>
      </c>
      <c r="S245" s="29" t="str">
        <f t="shared" si="33"/>
        <v>Magnetic white board incl. frame and fixing|Nos</v>
      </c>
      <c r="T245" s="24" t="s">
        <v>2336</v>
      </c>
    </row>
    <row r="246" spans="1:20" ht="21.75" customHeight="1" x14ac:dyDescent="0.25">
      <c r="A246" s="9" t="s">
        <v>2793</v>
      </c>
      <c r="B246" s="14" t="s">
        <v>348</v>
      </c>
      <c r="C246" s="9" t="s">
        <v>827</v>
      </c>
      <c r="D246" s="12" t="s">
        <v>805</v>
      </c>
      <c r="E246" s="12" t="s">
        <v>828</v>
      </c>
      <c r="F246" s="12" t="s">
        <v>829</v>
      </c>
      <c r="G246" s="12" t="s">
        <v>830</v>
      </c>
      <c r="H246" s="9" t="s">
        <v>61</v>
      </c>
      <c r="I246" s="25">
        <v>25</v>
      </c>
      <c r="J246" s="26">
        <f t="shared" si="38"/>
        <v>0.2</v>
      </c>
      <c r="K246" s="20">
        <f t="shared" si="29"/>
        <v>30</v>
      </c>
      <c r="L246" s="25">
        <v>185</v>
      </c>
      <c r="M246" s="26">
        <f t="shared" si="39"/>
        <v>0.12</v>
      </c>
      <c r="N246" s="20">
        <f t="shared" si="30"/>
        <v>207.20000000000002</v>
      </c>
      <c r="O246" s="27">
        <f t="shared" si="31"/>
        <v>237.20000000000002</v>
      </c>
      <c r="P246" s="17" t="str">
        <f t="shared" si="32"/>
        <v>Benchmark</v>
      </c>
      <c r="Q246" s="9">
        <v>1</v>
      </c>
      <c r="R246" s="28" t="s">
        <v>2794</v>
      </c>
      <c r="S246" s="29" t="str">
        <f t="shared" si="33"/>
        <v>Kitchen cabinet, melamine faced carcass incl. hardware|m</v>
      </c>
      <c r="T246" s="24" t="s">
        <v>2336</v>
      </c>
    </row>
    <row r="247" spans="1:20" ht="21.75" customHeight="1" x14ac:dyDescent="0.25">
      <c r="A247" s="9" t="s">
        <v>2795</v>
      </c>
      <c r="B247" s="14" t="s">
        <v>348</v>
      </c>
      <c r="C247" s="9" t="s">
        <v>827</v>
      </c>
      <c r="D247" s="12" t="s">
        <v>805</v>
      </c>
      <c r="E247" s="12" t="s">
        <v>828</v>
      </c>
      <c r="F247" s="12" t="s">
        <v>833</v>
      </c>
      <c r="G247" s="12" t="s">
        <v>834</v>
      </c>
      <c r="H247" s="9" t="s">
        <v>57</v>
      </c>
      <c r="I247" s="25">
        <v>12</v>
      </c>
      <c r="J247" s="26">
        <f t="shared" si="38"/>
        <v>0.2</v>
      </c>
      <c r="K247" s="20">
        <f t="shared" si="29"/>
        <v>14.399999999999999</v>
      </c>
      <c r="L247" s="25">
        <v>55</v>
      </c>
      <c r="M247" s="26">
        <f t="shared" si="39"/>
        <v>0.12</v>
      </c>
      <c r="N247" s="20">
        <f t="shared" si="30"/>
        <v>61.600000000000009</v>
      </c>
      <c r="O247" s="27">
        <f t="shared" si="31"/>
        <v>76</v>
      </c>
      <c r="P247" s="17" t="str">
        <f t="shared" si="32"/>
        <v>Benchmark</v>
      </c>
      <c r="Q247" s="9">
        <v>2</v>
      </c>
      <c r="R247" s="28" t="s">
        <v>2796</v>
      </c>
      <c r="S247" s="29" t="str">
        <f t="shared" si="33"/>
        <v>Stainless steel sink incl. tap, waste and P-trap|Nos</v>
      </c>
      <c r="T247" s="24" t="s">
        <v>2336</v>
      </c>
    </row>
    <row r="248" spans="1:20" ht="21.75" customHeight="1" x14ac:dyDescent="0.25">
      <c r="A248" s="9" t="s">
        <v>2797</v>
      </c>
      <c r="B248" s="14" t="s">
        <v>348</v>
      </c>
      <c r="C248" s="9" t="s">
        <v>836</v>
      </c>
      <c r="D248" s="12" t="s">
        <v>805</v>
      </c>
      <c r="E248" s="12" t="s">
        <v>837</v>
      </c>
      <c r="F248" s="12" t="s">
        <v>838</v>
      </c>
      <c r="G248" s="12" t="s">
        <v>839</v>
      </c>
      <c r="H248" s="9" t="s">
        <v>61</v>
      </c>
      <c r="I248" s="25">
        <v>35</v>
      </c>
      <c r="J248" s="26">
        <f t="shared" si="38"/>
        <v>0.2</v>
      </c>
      <c r="K248" s="20">
        <f t="shared" si="29"/>
        <v>42</v>
      </c>
      <c r="L248" s="25">
        <v>285</v>
      </c>
      <c r="M248" s="26">
        <f t="shared" si="39"/>
        <v>0.12</v>
      </c>
      <c r="N248" s="20">
        <f t="shared" si="30"/>
        <v>319.20000000000005</v>
      </c>
      <c r="O248" s="27">
        <f t="shared" si="31"/>
        <v>361.20000000000005</v>
      </c>
      <c r="P248" s="17" t="str">
        <f t="shared" si="32"/>
        <v>Benchmark</v>
      </c>
      <c r="Q248" s="9">
        <v>1</v>
      </c>
      <c r="R248" s="28" t="s">
        <v>2798</v>
      </c>
      <c r="S248" s="29" t="str">
        <f t="shared" si="33"/>
        <v>Laboratory bench with chemical resistant top incl. base cabinet|m</v>
      </c>
      <c r="T248" s="24" t="s">
        <v>2336</v>
      </c>
    </row>
    <row r="249" spans="1:20" ht="21.75" customHeight="1" x14ac:dyDescent="0.25">
      <c r="A249" s="9" t="s">
        <v>2799</v>
      </c>
      <c r="B249" s="14" t="s">
        <v>348</v>
      </c>
      <c r="C249" s="9" t="s">
        <v>836</v>
      </c>
      <c r="D249" s="12" t="s">
        <v>805</v>
      </c>
      <c r="E249" s="12" t="s">
        <v>837</v>
      </c>
      <c r="F249" s="12" t="s">
        <v>841</v>
      </c>
      <c r="G249" s="12" t="s">
        <v>842</v>
      </c>
      <c r="H249" s="9" t="s">
        <v>61</v>
      </c>
      <c r="I249" s="25">
        <v>18</v>
      </c>
      <c r="J249" s="26">
        <f t="shared" si="38"/>
        <v>0.2</v>
      </c>
      <c r="K249" s="20">
        <f t="shared" si="29"/>
        <v>21.599999999999998</v>
      </c>
      <c r="L249" s="25">
        <v>135</v>
      </c>
      <c r="M249" s="26">
        <f t="shared" si="39"/>
        <v>0.12</v>
      </c>
      <c r="N249" s="20">
        <f t="shared" si="30"/>
        <v>151.20000000000002</v>
      </c>
      <c r="O249" s="27">
        <f t="shared" si="31"/>
        <v>172.8</v>
      </c>
      <c r="P249" s="17" t="str">
        <f t="shared" si="32"/>
        <v>Benchmark</v>
      </c>
      <c r="Q249" s="9">
        <v>1</v>
      </c>
      <c r="R249" s="28" t="s">
        <v>2800</v>
      </c>
      <c r="S249" s="29" t="str">
        <f t="shared" si="33"/>
        <v>Library shelving unit incl. fixing|m</v>
      </c>
      <c r="T249" s="24" t="s">
        <v>2336</v>
      </c>
    </row>
    <row r="250" spans="1:20" ht="21.75" customHeight="1" x14ac:dyDescent="0.25">
      <c r="A250" s="9" t="s">
        <v>2801</v>
      </c>
      <c r="B250" s="14" t="s">
        <v>348</v>
      </c>
      <c r="C250" s="9" t="s">
        <v>836</v>
      </c>
      <c r="D250" s="12" t="s">
        <v>805</v>
      </c>
      <c r="E250" s="12" t="s">
        <v>837</v>
      </c>
      <c r="F250" s="12" t="s">
        <v>844</v>
      </c>
      <c r="G250" s="12" t="s">
        <v>845</v>
      </c>
      <c r="H250" s="9" t="s">
        <v>35</v>
      </c>
      <c r="I250" s="25">
        <v>850</v>
      </c>
      <c r="J250" s="26">
        <f t="shared" si="38"/>
        <v>0.2</v>
      </c>
      <c r="K250" s="20">
        <f t="shared" si="29"/>
        <v>1020</v>
      </c>
      <c r="L250" s="25">
        <v>6500</v>
      </c>
      <c r="M250" s="26">
        <f t="shared" si="39"/>
        <v>0.12</v>
      </c>
      <c r="N250" s="20">
        <f t="shared" si="30"/>
        <v>7280.0000000000009</v>
      </c>
      <c r="O250" s="27">
        <f t="shared" si="31"/>
        <v>8300</v>
      </c>
      <c r="P250" s="17" t="str">
        <f t="shared" si="32"/>
        <v>Benchmark</v>
      </c>
      <c r="Q250" s="9">
        <v>1</v>
      </c>
      <c r="R250" s="28" t="s">
        <v>2802</v>
      </c>
      <c r="S250" s="29" t="str">
        <f t="shared" si="33"/>
        <v>Sport / gymnasium equipment as per schedule|Lot</v>
      </c>
      <c r="T250" s="24" t="s">
        <v>2336</v>
      </c>
    </row>
    <row r="251" spans="1:20" ht="21.75" customHeight="1" x14ac:dyDescent="0.25">
      <c r="A251" s="9" t="s">
        <v>2803</v>
      </c>
      <c r="B251" s="14" t="s">
        <v>348</v>
      </c>
      <c r="C251" s="9" t="s">
        <v>847</v>
      </c>
      <c r="D251" s="12" t="s">
        <v>805</v>
      </c>
      <c r="E251" s="12" t="s">
        <v>848</v>
      </c>
      <c r="F251" s="12" t="s">
        <v>848</v>
      </c>
      <c r="G251" s="12" t="s">
        <v>848</v>
      </c>
      <c r="H251" s="9" t="s">
        <v>57</v>
      </c>
      <c r="I251" s="25">
        <v>15</v>
      </c>
      <c r="J251" s="26">
        <f t="shared" si="38"/>
        <v>0.2</v>
      </c>
      <c r="K251" s="20">
        <f t="shared" si="29"/>
        <v>18</v>
      </c>
      <c r="L251" s="25">
        <v>85</v>
      </c>
      <c r="M251" s="26">
        <f t="shared" si="39"/>
        <v>0.12</v>
      </c>
      <c r="N251" s="20">
        <f t="shared" si="30"/>
        <v>95.2</v>
      </c>
      <c r="O251" s="27">
        <f t="shared" si="31"/>
        <v>113.2</v>
      </c>
      <c r="P251" s="17" t="str">
        <f t="shared" si="32"/>
        <v>Benchmark</v>
      </c>
      <c r="Q251" s="9">
        <v>1</v>
      </c>
      <c r="R251" s="28" t="s">
        <v>2804</v>
      </c>
      <c r="S251" s="29" t="str">
        <f t="shared" si="33"/>
        <v>Signage|Nos</v>
      </c>
      <c r="T251" s="24" t="s">
        <v>2336</v>
      </c>
    </row>
    <row r="252" spans="1:20" ht="21.75" customHeight="1" x14ac:dyDescent="0.25">
      <c r="A252" s="9" t="s">
        <v>2805</v>
      </c>
      <c r="B252" s="14" t="s">
        <v>348</v>
      </c>
      <c r="C252" s="9" t="s">
        <v>847</v>
      </c>
      <c r="D252" s="12" t="s">
        <v>805</v>
      </c>
      <c r="E252" s="12" t="s">
        <v>848</v>
      </c>
      <c r="F252" s="12" t="s">
        <v>850</v>
      </c>
      <c r="G252" s="12" t="s">
        <v>851</v>
      </c>
      <c r="H252" s="9" t="s">
        <v>18</v>
      </c>
      <c r="I252" s="25">
        <v>0</v>
      </c>
      <c r="J252" s="26">
        <v>0</v>
      </c>
      <c r="K252" s="20">
        <f t="shared" si="29"/>
        <v>0</v>
      </c>
      <c r="L252" s="25">
        <v>150</v>
      </c>
      <c r="M252" s="26">
        <v>0.1</v>
      </c>
      <c r="N252" s="20">
        <f t="shared" si="30"/>
        <v>165</v>
      </c>
      <c r="O252" s="27">
        <f t="shared" si="31"/>
        <v>165</v>
      </c>
      <c r="P252" s="30" t="str">
        <f t="shared" si="32"/>
        <v>Priced</v>
      </c>
      <c r="Q252" s="9">
        <v>1</v>
      </c>
      <c r="R252" s="31" t="s">
        <v>2806</v>
      </c>
      <c r="S252" s="29" t="str">
        <f t="shared" si="33"/>
        <v>External round logo include framing|m2</v>
      </c>
      <c r="T252" s="24" t="s">
        <v>2367</v>
      </c>
    </row>
    <row r="253" spans="1:20" ht="21.75" customHeight="1" x14ac:dyDescent="0.25">
      <c r="A253" s="9" t="s">
        <v>2807</v>
      </c>
      <c r="B253" s="14" t="s">
        <v>348</v>
      </c>
      <c r="C253" s="9" t="s">
        <v>847</v>
      </c>
      <c r="D253" s="12" t="s">
        <v>805</v>
      </c>
      <c r="E253" s="12" t="s">
        <v>848</v>
      </c>
      <c r="F253" s="12" t="s">
        <v>856</v>
      </c>
      <c r="G253" s="12" t="s">
        <v>857</v>
      </c>
      <c r="H253" s="9" t="s">
        <v>57</v>
      </c>
      <c r="I253" s="25">
        <v>12</v>
      </c>
      <c r="J253" s="26">
        <f t="shared" ref="J253:J276" si="40">_STDLAB</f>
        <v>0.2</v>
      </c>
      <c r="K253" s="20">
        <f t="shared" si="29"/>
        <v>14.399999999999999</v>
      </c>
      <c r="L253" s="25">
        <v>65</v>
      </c>
      <c r="M253" s="26">
        <f t="shared" ref="M253:M276" si="41">_STDMAT</f>
        <v>0.12</v>
      </c>
      <c r="N253" s="20">
        <f t="shared" si="30"/>
        <v>72.800000000000011</v>
      </c>
      <c r="O253" s="27">
        <f t="shared" si="31"/>
        <v>87.200000000000017</v>
      </c>
      <c r="P253" s="17" t="str">
        <f t="shared" si="32"/>
        <v>Benchmark</v>
      </c>
      <c r="Q253" s="9">
        <v>1</v>
      </c>
      <c r="R253" s="28" t="s">
        <v>2808</v>
      </c>
      <c r="S253" s="29" t="str">
        <f t="shared" si="33"/>
        <v>Wayfinding directional sign incl. frame and fixing|Nos</v>
      </c>
      <c r="T253" s="24" t="s">
        <v>2336</v>
      </c>
    </row>
    <row r="254" spans="1:20" ht="21.75" customHeight="1" x14ac:dyDescent="0.25">
      <c r="A254" s="9" t="s">
        <v>2809</v>
      </c>
      <c r="B254" s="14" t="s">
        <v>348</v>
      </c>
      <c r="C254" s="9" t="s">
        <v>847</v>
      </c>
      <c r="D254" s="12" t="s">
        <v>805</v>
      </c>
      <c r="E254" s="12" t="s">
        <v>848</v>
      </c>
      <c r="F254" s="12" t="s">
        <v>859</v>
      </c>
      <c r="G254" s="12" t="s">
        <v>860</v>
      </c>
      <c r="H254" s="9" t="s">
        <v>57</v>
      </c>
      <c r="I254" s="25">
        <v>6</v>
      </c>
      <c r="J254" s="26">
        <f t="shared" si="40"/>
        <v>0.2</v>
      </c>
      <c r="K254" s="20">
        <f t="shared" si="29"/>
        <v>7.1999999999999993</v>
      </c>
      <c r="L254" s="25">
        <v>22</v>
      </c>
      <c r="M254" s="26">
        <f t="shared" si="41"/>
        <v>0.12</v>
      </c>
      <c r="N254" s="20">
        <f t="shared" si="30"/>
        <v>24.64</v>
      </c>
      <c r="O254" s="27">
        <f t="shared" si="31"/>
        <v>31.84</v>
      </c>
      <c r="P254" s="17" t="str">
        <f t="shared" si="32"/>
        <v>Benchmark</v>
      </c>
      <c r="Q254" s="9">
        <v>1</v>
      </c>
      <c r="R254" s="28" t="s">
        <v>2810</v>
      </c>
      <c r="S254" s="29" t="str">
        <f t="shared" si="33"/>
        <v>Room identification sign incl. fixing|Nos</v>
      </c>
      <c r="T254" s="24" t="s">
        <v>2336</v>
      </c>
    </row>
    <row r="255" spans="1:20" ht="21.75" customHeight="1" x14ac:dyDescent="0.25">
      <c r="A255" s="9" t="s">
        <v>2811</v>
      </c>
      <c r="B255" s="14" t="s">
        <v>348</v>
      </c>
      <c r="C255" s="9" t="s">
        <v>847</v>
      </c>
      <c r="D255" s="12" t="s">
        <v>805</v>
      </c>
      <c r="E255" s="12" t="s">
        <v>848</v>
      </c>
      <c r="F255" s="12" t="s">
        <v>862</v>
      </c>
      <c r="G255" s="12" t="s">
        <v>863</v>
      </c>
      <c r="H255" s="9" t="s">
        <v>57</v>
      </c>
      <c r="I255" s="25">
        <v>5</v>
      </c>
      <c r="J255" s="26">
        <f t="shared" si="40"/>
        <v>0.2</v>
      </c>
      <c r="K255" s="20">
        <f t="shared" si="29"/>
        <v>6</v>
      </c>
      <c r="L255" s="25">
        <v>18</v>
      </c>
      <c r="M255" s="26">
        <f t="shared" si="41"/>
        <v>0.12</v>
      </c>
      <c r="N255" s="20">
        <f t="shared" si="30"/>
        <v>20.160000000000004</v>
      </c>
      <c r="O255" s="27">
        <f t="shared" si="31"/>
        <v>26.160000000000004</v>
      </c>
      <c r="P255" s="17" t="str">
        <f t="shared" si="32"/>
        <v>Benchmark</v>
      </c>
      <c r="Q255" s="9">
        <v>1</v>
      </c>
      <c r="R255" s="28" t="s">
        <v>2812</v>
      </c>
      <c r="S255" s="29" t="str">
        <f t="shared" si="33"/>
        <v>Statutory / safety signage incl. fixing|Nos</v>
      </c>
      <c r="T255" s="24" t="s">
        <v>2336</v>
      </c>
    </row>
    <row r="256" spans="1:20" ht="21.75" customHeight="1" x14ac:dyDescent="0.25">
      <c r="A256" s="9" t="s">
        <v>2813</v>
      </c>
      <c r="B256" s="16" t="s">
        <v>865</v>
      </c>
      <c r="C256" s="9" t="s">
        <v>866</v>
      </c>
      <c r="D256" s="12" t="s">
        <v>867</v>
      </c>
      <c r="E256" s="12" t="s">
        <v>868</v>
      </c>
      <c r="F256" s="12" t="s">
        <v>869</v>
      </c>
      <c r="G256" s="12" t="s">
        <v>870</v>
      </c>
      <c r="H256" s="9" t="s">
        <v>57</v>
      </c>
      <c r="I256" s="25">
        <v>18</v>
      </c>
      <c r="J256" s="26">
        <f t="shared" si="40"/>
        <v>0.2</v>
      </c>
      <c r="K256" s="20">
        <f t="shared" si="29"/>
        <v>21.599999999999998</v>
      </c>
      <c r="L256" s="25">
        <v>95</v>
      </c>
      <c r="M256" s="26">
        <f t="shared" si="41"/>
        <v>0.12</v>
      </c>
      <c r="N256" s="20">
        <f t="shared" si="30"/>
        <v>106.4</v>
      </c>
      <c r="O256" s="27">
        <f t="shared" si="31"/>
        <v>128</v>
      </c>
      <c r="P256" s="17" t="str">
        <f t="shared" si="32"/>
        <v>Benchmark</v>
      </c>
      <c r="Q256" s="9">
        <v>1</v>
      </c>
      <c r="R256" s="28" t="s">
        <v>2814</v>
      </c>
      <c r="S256" s="29" t="str">
        <f t="shared" si="33"/>
        <v>Water closet, close-couple, vitreous china, incl. seat cover, cistern and connector|Nos</v>
      </c>
      <c r="T256" s="24" t="s">
        <v>2336</v>
      </c>
    </row>
    <row r="257" spans="1:20" ht="15" customHeight="1" x14ac:dyDescent="0.25">
      <c r="A257" s="9" t="s">
        <v>2815</v>
      </c>
      <c r="B257" s="16" t="s">
        <v>865</v>
      </c>
      <c r="C257" s="9" t="s">
        <v>866</v>
      </c>
      <c r="D257" s="12" t="s">
        <v>867</v>
      </c>
      <c r="E257" s="12" t="s">
        <v>868</v>
      </c>
      <c r="F257" s="12" t="s">
        <v>872</v>
      </c>
      <c r="G257" s="12" t="s">
        <v>873</v>
      </c>
      <c r="H257" s="9" t="s">
        <v>57</v>
      </c>
      <c r="I257" s="25">
        <v>15</v>
      </c>
      <c r="J257" s="26">
        <f t="shared" si="40"/>
        <v>0.2</v>
      </c>
      <c r="K257" s="20">
        <f t="shared" si="29"/>
        <v>18</v>
      </c>
      <c r="L257" s="25">
        <v>65</v>
      </c>
      <c r="M257" s="26">
        <f t="shared" si="41"/>
        <v>0.12</v>
      </c>
      <c r="N257" s="20">
        <f t="shared" si="30"/>
        <v>72.800000000000011</v>
      </c>
      <c r="O257" s="27">
        <f t="shared" si="31"/>
        <v>90.800000000000011</v>
      </c>
      <c r="P257" s="17" t="str">
        <f t="shared" si="32"/>
        <v>Benchmark</v>
      </c>
      <c r="Q257" s="9">
        <v>1</v>
      </c>
      <c r="R257" s="28" t="s">
        <v>2816</v>
      </c>
      <c r="S257" s="29" t="str">
        <f t="shared" si="33"/>
        <v>Wash basin, vitreous china, incl. tap, bottle trap, waste and bracket|Nos</v>
      </c>
      <c r="T257" s="24" t="s">
        <v>2336</v>
      </c>
    </row>
    <row r="258" spans="1:20" ht="15" customHeight="1" x14ac:dyDescent="0.25">
      <c r="A258" s="9" t="s">
        <v>2817</v>
      </c>
      <c r="B258" s="16" t="s">
        <v>865</v>
      </c>
      <c r="C258" s="9" t="s">
        <v>866</v>
      </c>
      <c r="D258" s="12" t="s">
        <v>867</v>
      </c>
      <c r="E258" s="12" t="s">
        <v>868</v>
      </c>
      <c r="F258" s="12" t="s">
        <v>875</v>
      </c>
      <c r="G258" s="12" t="s">
        <v>876</v>
      </c>
      <c r="H258" s="9" t="s">
        <v>57</v>
      </c>
      <c r="I258" s="25">
        <v>15</v>
      </c>
      <c r="J258" s="26">
        <f t="shared" si="40"/>
        <v>0.2</v>
      </c>
      <c r="K258" s="20">
        <f t="shared" si="29"/>
        <v>18</v>
      </c>
      <c r="L258" s="25">
        <v>85</v>
      </c>
      <c r="M258" s="26">
        <f t="shared" si="41"/>
        <v>0.12</v>
      </c>
      <c r="N258" s="20">
        <f t="shared" si="30"/>
        <v>95.2</v>
      </c>
      <c r="O258" s="27">
        <f t="shared" si="31"/>
        <v>113.2</v>
      </c>
      <c r="P258" s="17" t="str">
        <f t="shared" si="32"/>
        <v>Benchmark</v>
      </c>
      <c r="Q258" s="9">
        <v>1</v>
      </c>
      <c r="R258" s="28" t="s">
        <v>2818</v>
      </c>
      <c r="S258" s="29" t="str">
        <f t="shared" si="33"/>
        <v>Urinal, vitreous china, incl. flush valve, waste and bracket|Nos</v>
      </c>
      <c r="T258" s="24" t="s">
        <v>2336</v>
      </c>
    </row>
    <row r="259" spans="1:20" ht="15" customHeight="1" x14ac:dyDescent="0.25">
      <c r="A259" s="9" t="s">
        <v>2819</v>
      </c>
      <c r="B259" s="16" t="s">
        <v>865</v>
      </c>
      <c r="C259" s="9" t="s">
        <v>866</v>
      </c>
      <c r="D259" s="12" t="s">
        <v>867</v>
      </c>
      <c r="E259" s="12" t="s">
        <v>868</v>
      </c>
      <c r="F259" s="12" t="s">
        <v>878</v>
      </c>
      <c r="G259" s="12" t="s">
        <v>879</v>
      </c>
      <c r="H259" s="9" t="s">
        <v>57</v>
      </c>
      <c r="I259" s="25">
        <v>12</v>
      </c>
      <c r="J259" s="26">
        <f t="shared" si="40"/>
        <v>0.2</v>
      </c>
      <c r="K259" s="20">
        <f t="shared" si="29"/>
        <v>14.399999999999999</v>
      </c>
      <c r="L259" s="25">
        <v>45</v>
      </c>
      <c r="M259" s="26">
        <f t="shared" si="41"/>
        <v>0.12</v>
      </c>
      <c r="N259" s="20">
        <f t="shared" si="30"/>
        <v>50.400000000000006</v>
      </c>
      <c r="O259" s="27">
        <f t="shared" si="31"/>
        <v>64.800000000000011</v>
      </c>
      <c r="P259" s="17" t="str">
        <f t="shared" si="32"/>
        <v>Benchmark</v>
      </c>
      <c r="Q259" s="9">
        <v>1</v>
      </c>
      <c r="R259" s="28" t="s">
        <v>2820</v>
      </c>
      <c r="S259" s="29" t="str">
        <f t="shared" si="33"/>
        <v>Shower set incl. mixer, riser rail, hand shower and hose|Nos</v>
      </c>
      <c r="T259" s="24" t="s">
        <v>2336</v>
      </c>
    </row>
    <row r="260" spans="1:20" ht="15" customHeight="1" x14ac:dyDescent="0.25">
      <c r="A260" s="9" t="s">
        <v>2821</v>
      </c>
      <c r="B260" s="16" t="s">
        <v>865</v>
      </c>
      <c r="C260" s="9" t="s">
        <v>866</v>
      </c>
      <c r="D260" s="12" t="s">
        <v>867</v>
      </c>
      <c r="E260" s="12" t="s">
        <v>868</v>
      </c>
      <c r="F260" s="12" t="s">
        <v>881</v>
      </c>
      <c r="G260" s="12" t="s">
        <v>882</v>
      </c>
      <c r="H260" s="9" t="s">
        <v>57</v>
      </c>
      <c r="I260" s="25">
        <v>12</v>
      </c>
      <c r="J260" s="26">
        <f t="shared" si="40"/>
        <v>0.2</v>
      </c>
      <c r="K260" s="20">
        <f t="shared" si="29"/>
        <v>14.399999999999999</v>
      </c>
      <c r="L260" s="25">
        <v>35</v>
      </c>
      <c r="M260" s="26">
        <f t="shared" si="41"/>
        <v>0.12</v>
      </c>
      <c r="N260" s="20">
        <f t="shared" si="30"/>
        <v>39.200000000000003</v>
      </c>
      <c r="O260" s="27">
        <f t="shared" si="31"/>
        <v>53.6</v>
      </c>
      <c r="P260" s="17" t="str">
        <f t="shared" si="32"/>
        <v>Benchmark</v>
      </c>
      <c r="Q260" s="9">
        <v>1</v>
      </c>
      <c r="R260" s="28" t="s">
        <v>2822</v>
      </c>
      <c r="S260" s="29" t="str">
        <f t="shared" si="33"/>
        <v>Squat pan incl. flush pipe, connector and floor fixing|Nos</v>
      </c>
      <c r="T260" s="24" t="s">
        <v>2336</v>
      </c>
    </row>
    <row r="261" spans="1:20" ht="15" customHeight="1" x14ac:dyDescent="0.25">
      <c r="A261" s="9" t="s">
        <v>2823</v>
      </c>
      <c r="B261" s="16" t="s">
        <v>865</v>
      </c>
      <c r="C261" s="9" t="s">
        <v>866</v>
      </c>
      <c r="D261" s="12" t="s">
        <v>867</v>
      </c>
      <c r="E261" s="12" t="s">
        <v>885</v>
      </c>
      <c r="F261" s="12" t="s">
        <v>886</v>
      </c>
      <c r="G261" s="12" t="s">
        <v>887</v>
      </c>
      <c r="H261" s="9" t="s">
        <v>57</v>
      </c>
      <c r="I261" s="25">
        <v>4</v>
      </c>
      <c r="J261" s="26">
        <f t="shared" si="40"/>
        <v>0.2</v>
      </c>
      <c r="K261" s="20">
        <f t="shared" si="29"/>
        <v>4.8</v>
      </c>
      <c r="L261" s="25">
        <v>18</v>
      </c>
      <c r="M261" s="26">
        <f t="shared" si="41"/>
        <v>0.12</v>
      </c>
      <c r="N261" s="20">
        <f t="shared" si="30"/>
        <v>20.160000000000004</v>
      </c>
      <c r="O261" s="27">
        <f t="shared" si="31"/>
        <v>24.960000000000004</v>
      </c>
      <c r="P261" s="17" t="str">
        <f t="shared" si="32"/>
        <v>Benchmark</v>
      </c>
      <c r="Q261" s="9">
        <v>1</v>
      </c>
      <c r="R261" s="28" t="s">
        <v>2824</v>
      </c>
      <c r="S261" s="29" t="str">
        <f t="shared" si="33"/>
        <v>Chromed brass tap / faucet incl. connector|Nos</v>
      </c>
      <c r="T261" s="24" t="s">
        <v>2336</v>
      </c>
    </row>
    <row r="262" spans="1:20" ht="15" customHeight="1" x14ac:dyDescent="0.25">
      <c r="A262" s="9" t="s">
        <v>2825</v>
      </c>
      <c r="B262" s="16" t="s">
        <v>865</v>
      </c>
      <c r="C262" s="9" t="s">
        <v>866</v>
      </c>
      <c r="D262" s="12" t="s">
        <v>867</v>
      </c>
      <c r="E262" s="12" t="s">
        <v>885</v>
      </c>
      <c r="F262" s="12" t="s">
        <v>889</v>
      </c>
      <c r="G262" s="12" t="s">
        <v>890</v>
      </c>
      <c r="H262" s="9" t="s">
        <v>57</v>
      </c>
      <c r="I262" s="25">
        <v>5</v>
      </c>
      <c r="J262" s="26">
        <f t="shared" si="40"/>
        <v>0.2</v>
      </c>
      <c r="K262" s="20">
        <f t="shared" ref="K262:K325" si="42">IFERROR(I262*(1+J262),0)</f>
        <v>6</v>
      </c>
      <c r="L262" s="25">
        <v>35</v>
      </c>
      <c r="M262" s="26">
        <f t="shared" si="41"/>
        <v>0.12</v>
      </c>
      <c r="N262" s="20">
        <f t="shared" ref="N262:N325" si="43">IFERROR(L262*(1+M262),0)</f>
        <v>39.200000000000003</v>
      </c>
      <c r="O262" s="27">
        <f t="shared" ref="O262:O325" si="44">K262+N262</f>
        <v>45.2</v>
      </c>
      <c r="P262" s="17" t="str">
        <f t="shared" ref="P262:P325" si="45">IF(N(I262)+N(L262)=0,"To be quoted",IF($T262="P","Priced","Benchmark"))</f>
        <v>Benchmark</v>
      </c>
      <c r="Q262" s="9">
        <v>1</v>
      </c>
      <c r="R262" s="28" t="s">
        <v>2826</v>
      </c>
      <c r="S262" s="29" t="str">
        <f t="shared" ref="S262:S325" si="46">TRIM(G262)&amp;"|"&amp;TRIM(H262)</f>
        <v>Flush valve, exposed type, incl. connector|Nos</v>
      </c>
      <c r="T262" s="24" t="s">
        <v>2336</v>
      </c>
    </row>
    <row r="263" spans="1:20" ht="15" customHeight="1" x14ac:dyDescent="0.25">
      <c r="A263" s="9" t="s">
        <v>2827</v>
      </c>
      <c r="B263" s="16" t="s">
        <v>865</v>
      </c>
      <c r="C263" s="9" t="s">
        <v>866</v>
      </c>
      <c r="D263" s="12" t="s">
        <v>867</v>
      </c>
      <c r="E263" s="12" t="s">
        <v>885</v>
      </c>
      <c r="F263" s="12" t="s">
        <v>892</v>
      </c>
      <c r="G263" s="12" t="s">
        <v>893</v>
      </c>
      <c r="H263" s="9" t="s">
        <v>57</v>
      </c>
      <c r="I263" s="25">
        <v>2</v>
      </c>
      <c r="J263" s="26">
        <f t="shared" si="40"/>
        <v>0.2</v>
      </c>
      <c r="K263" s="20">
        <f t="shared" si="42"/>
        <v>2.4</v>
      </c>
      <c r="L263" s="25">
        <v>7</v>
      </c>
      <c r="M263" s="26">
        <f t="shared" si="41"/>
        <v>0.12</v>
      </c>
      <c r="N263" s="20">
        <f t="shared" si="43"/>
        <v>7.8400000000000007</v>
      </c>
      <c r="O263" s="27">
        <f t="shared" si="44"/>
        <v>10.24</v>
      </c>
      <c r="P263" s="17" t="str">
        <f t="shared" si="45"/>
        <v>Benchmark</v>
      </c>
      <c r="Q263" s="9">
        <v>1</v>
      </c>
      <c r="R263" s="28" t="s">
        <v>2828</v>
      </c>
      <c r="S263" s="29" t="str">
        <f t="shared" si="46"/>
        <v>Chromed brass angle valve incl. flexible connector|Nos</v>
      </c>
      <c r="T263" s="24" t="s">
        <v>2336</v>
      </c>
    </row>
    <row r="264" spans="1:20" ht="15" customHeight="1" x14ac:dyDescent="0.25">
      <c r="A264" s="9" t="s">
        <v>2829</v>
      </c>
      <c r="B264" s="16" t="s">
        <v>865</v>
      </c>
      <c r="C264" s="9" t="s">
        <v>866</v>
      </c>
      <c r="D264" s="12" t="s">
        <v>867</v>
      </c>
      <c r="E264" s="12" t="s">
        <v>885</v>
      </c>
      <c r="F264" s="12" t="s">
        <v>895</v>
      </c>
      <c r="G264" s="12" t="s">
        <v>896</v>
      </c>
      <c r="H264" s="9" t="s">
        <v>57</v>
      </c>
      <c r="I264" s="25">
        <v>3</v>
      </c>
      <c r="J264" s="26">
        <f t="shared" si="40"/>
        <v>0.2</v>
      </c>
      <c r="K264" s="20">
        <f t="shared" si="42"/>
        <v>3.5999999999999996</v>
      </c>
      <c r="L264" s="25">
        <v>9</v>
      </c>
      <c r="M264" s="26">
        <f t="shared" si="41"/>
        <v>0.12</v>
      </c>
      <c r="N264" s="20">
        <f t="shared" si="43"/>
        <v>10.080000000000002</v>
      </c>
      <c r="O264" s="27">
        <f t="shared" si="44"/>
        <v>13.680000000000001</v>
      </c>
      <c r="P264" s="17" t="str">
        <f t="shared" si="45"/>
        <v>Benchmark</v>
      </c>
      <c r="Q264" s="9">
        <v>1</v>
      </c>
      <c r="R264" s="28" t="s">
        <v>2830</v>
      </c>
      <c r="S264" s="29" t="str">
        <f t="shared" si="46"/>
        <v>Stainless steel floor drain with removable grating|Nos</v>
      </c>
      <c r="T264" s="24" t="s">
        <v>2336</v>
      </c>
    </row>
    <row r="265" spans="1:20" ht="15" customHeight="1" x14ac:dyDescent="0.25">
      <c r="A265" s="9" t="s">
        <v>2831</v>
      </c>
      <c r="B265" s="16" t="s">
        <v>865</v>
      </c>
      <c r="C265" s="9" t="s">
        <v>866</v>
      </c>
      <c r="D265" s="12" t="s">
        <v>867</v>
      </c>
      <c r="E265" s="12" t="s">
        <v>885</v>
      </c>
      <c r="F265" s="12" t="s">
        <v>898</v>
      </c>
      <c r="G265" s="12" t="s">
        <v>899</v>
      </c>
      <c r="H265" s="9" t="s">
        <v>57</v>
      </c>
      <c r="I265" s="25">
        <v>3</v>
      </c>
      <c r="J265" s="26">
        <f t="shared" si="40"/>
        <v>0.2</v>
      </c>
      <c r="K265" s="20">
        <f t="shared" si="42"/>
        <v>3.5999999999999996</v>
      </c>
      <c r="L265" s="25">
        <v>8</v>
      </c>
      <c r="M265" s="26">
        <f t="shared" si="41"/>
        <v>0.12</v>
      </c>
      <c r="N265" s="20">
        <f t="shared" si="43"/>
        <v>8.9600000000000009</v>
      </c>
      <c r="O265" s="27">
        <f t="shared" si="44"/>
        <v>12.56</v>
      </c>
      <c r="P265" s="17" t="str">
        <f t="shared" si="45"/>
        <v>Benchmark</v>
      </c>
      <c r="Q265" s="9">
        <v>1</v>
      </c>
      <c r="R265" s="28" t="s">
        <v>2832</v>
      </c>
      <c r="S265" s="29" t="str">
        <f t="shared" si="46"/>
        <v>Floor trap with water seal incl. grating|Nos</v>
      </c>
      <c r="T265" s="24" t="s">
        <v>2336</v>
      </c>
    </row>
    <row r="266" spans="1:20" ht="15" customHeight="1" x14ac:dyDescent="0.25">
      <c r="A266" s="9" t="s">
        <v>2833</v>
      </c>
      <c r="B266" s="16" t="s">
        <v>865</v>
      </c>
      <c r="C266" s="9" t="s">
        <v>866</v>
      </c>
      <c r="D266" s="12" t="s">
        <v>867</v>
      </c>
      <c r="E266" s="12" t="s">
        <v>885</v>
      </c>
      <c r="F266" s="12" t="s">
        <v>901</v>
      </c>
      <c r="G266" s="12" t="s">
        <v>902</v>
      </c>
      <c r="H266" s="9" t="s">
        <v>57</v>
      </c>
      <c r="I266" s="25">
        <v>3</v>
      </c>
      <c r="J266" s="26">
        <f t="shared" si="40"/>
        <v>0.2</v>
      </c>
      <c r="K266" s="20">
        <f t="shared" si="42"/>
        <v>3.5999999999999996</v>
      </c>
      <c r="L266" s="25">
        <v>7</v>
      </c>
      <c r="M266" s="26">
        <f t="shared" si="41"/>
        <v>0.12</v>
      </c>
      <c r="N266" s="20">
        <f t="shared" si="43"/>
        <v>7.8400000000000007</v>
      </c>
      <c r="O266" s="27">
        <f t="shared" si="44"/>
        <v>11.440000000000001</v>
      </c>
      <c r="P266" s="17" t="str">
        <f t="shared" si="45"/>
        <v>Benchmark</v>
      </c>
      <c r="Q266" s="9">
        <v>1</v>
      </c>
      <c r="R266" s="28" t="s">
        <v>2834</v>
      </c>
      <c r="S266" s="29" t="str">
        <f t="shared" si="46"/>
        <v>Clean out / rodding eye incl. cover|Nos</v>
      </c>
      <c r="T266" s="24" t="s">
        <v>2336</v>
      </c>
    </row>
    <row r="267" spans="1:20" ht="15" customHeight="1" x14ac:dyDescent="0.25">
      <c r="A267" s="9" t="s">
        <v>2835</v>
      </c>
      <c r="B267" s="16" t="s">
        <v>865</v>
      </c>
      <c r="C267" s="9" t="s">
        <v>866</v>
      </c>
      <c r="D267" s="12" t="s">
        <v>867</v>
      </c>
      <c r="E267" s="12" t="s">
        <v>904</v>
      </c>
      <c r="F267" s="12" t="s">
        <v>905</v>
      </c>
      <c r="G267" s="12" t="s">
        <v>906</v>
      </c>
      <c r="H267" s="9" t="s">
        <v>57</v>
      </c>
      <c r="I267" s="25">
        <v>2</v>
      </c>
      <c r="J267" s="26">
        <f t="shared" si="40"/>
        <v>0.2</v>
      </c>
      <c r="K267" s="20">
        <f t="shared" si="42"/>
        <v>2.4</v>
      </c>
      <c r="L267" s="25">
        <v>9</v>
      </c>
      <c r="M267" s="26">
        <f t="shared" si="41"/>
        <v>0.12</v>
      </c>
      <c r="N267" s="20">
        <f t="shared" si="43"/>
        <v>10.080000000000002</v>
      </c>
      <c r="O267" s="27">
        <f t="shared" si="44"/>
        <v>12.480000000000002</v>
      </c>
      <c r="P267" s="17" t="str">
        <f t="shared" si="45"/>
        <v>Benchmark</v>
      </c>
      <c r="Q267" s="9">
        <v>1</v>
      </c>
      <c r="R267" s="28" t="s">
        <v>2836</v>
      </c>
      <c r="S267" s="29" t="str">
        <f t="shared" si="46"/>
        <v>Stainless steel toilet paper holder incl. fixing|Nos</v>
      </c>
      <c r="T267" s="24" t="s">
        <v>2336</v>
      </c>
    </row>
    <row r="268" spans="1:20" ht="15" customHeight="1" x14ac:dyDescent="0.25">
      <c r="A268" s="9" t="s">
        <v>2837</v>
      </c>
      <c r="B268" s="16" t="s">
        <v>865</v>
      </c>
      <c r="C268" s="9" t="s">
        <v>866</v>
      </c>
      <c r="D268" s="12" t="s">
        <v>867</v>
      </c>
      <c r="E268" s="12" t="s">
        <v>904</v>
      </c>
      <c r="F268" s="12" t="s">
        <v>908</v>
      </c>
      <c r="G268" s="12" t="s">
        <v>909</v>
      </c>
      <c r="H268" s="9" t="s">
        <v>57</v>
      </c>
      <c r="I268" s="25">
        <v>2</v>
      </c>
      <c r="J268" s="26">
        <f t="shared" si="40"/>
        <v>0.2</v>
      </c>
      <c r="K268" s="20">
        <f t="shared" si="42"/>
        <v>2.4</v>
      </c>
      <c r="L268" s="25">
        <v>12</v>
      </c>
      <c r="M268" s="26">
        <f t="shared" si="41"/>
        <v>0.12</v>
      </c>
      <c r="N268" s="20">
        <f t="shared" si="43"/>
        <v>13.440000000000001</v>
      </c>
      <c r="O268" s="27">
        <f t="shared" si="44"/>
        <v>15.840000000000002</v>
      </c>
      <c r="P268" s="17" t="str">
        <f t="shared" si="45"/>
        <v>Benchmark</v>
      </c>
      <c r="Q268" s="9">
        <v>1</v>
      </c>
      <c r="R268" s="28" t="s">
        <v>2838</v>
      </c>
      <c r="S268" s="29" t="str">
        <f t="shared" si="46"/>
        <v>Wall mounted soap dispenser incl. fixing|Nos</v>
      </c>
      <c r="T268" s="24" t="s">
        <v>2336</v>
      </c>
    </row>
    <row r="269" spans="1:20" ht="15" customHeight="1" x14ac:dyDescent="0.25">
      <c r="A269" s="9" t="s">
        <v>2839</v>
      </c>
      <c r="B269" s="16" t="s">
        <v>865</v>
      </c>
      <c r="C269" s="9" t="s">
        <v>866</v>
      </c>
      <c r="D269" s="12" t="s">
        <v>867</v>
      </c>
      <c r="E269" s="12" t="s">
        <v>904</v>
      </c>
      <c r="F269" s="12" t="s">
        <v>911</v>
      </c>
      <c r="G269" s="12" t="s">
        <v>912</v>
      </c>
      <c r="H269" s="9" t="s">
        <v>57</v>
      </c>
      <c r="I269" s="25">
        <v>4</v>
      </c>
      <c r="J269" s="26">
        <f t="shared" si="40"/>
        <v>0.2</v>
      </c>
      <c r="K269" s="20">
        <f t="shared" si="42"/>
        <v>4.8</v>
      </c>
      <c r="L269" s="25">
        <v>28</v>
      </c>
      <c r="M269" s="26">
        <f t="shared" si="41"/>
        <v>0.12</v>
      </c>
      <c r="N269" s="20">
        <f t="shared" si="43"/>
        <v>31.360000000000003</v>
      </c>
      <c r="O269" s="27">
        <f t="shared" si="44"/>
        <v>36.160000000000004</v>
      </c>
      <c r="P269" s="17" t="str">
        <f t="shared" si="45"/>
        <v>Benchmark</v>
      </c>
      <c r="Q269" s="9">
        <v>1</v>
      </c>
      <c r="R269" s="28" t="s">
        <v>2840</v>
      </c>
      <c r="S269" s="29" t="str">
        <f t="shared" si="46"/>
        <v>Stainless steel grab bar for accessible toilet incl. fixing|Nos</v>
      </c>
      <c r="T269" s="24" t="s">
        <v>2336</v>
      </c>
    </row>
    <row r="270" spans="1:20" ht="15" customHeight="1" x14ac:dyDescent="0.25">
      <c r="A270" s="9" t="s">
        <v>2841</v>
      </c>
      <c r="B270" s="16" t="s">
        <v>865</v>
      </c>
      <c r="C270" s="9" t="s">
        <v>866</v>
      </c>
      <c r="D270" s="12" t="s">
        <v>867</v>
      </c>
      <c r="E270" s="12" t="s">
        <v>904</v>
      </c>
      <c r="F270" s="12" t="s">
        <v>914</v>
      </c>
      <c r="G270" s="12" t="s">
        <v>915</v>
      </c>
      <c r="H270" s="9" t="s">
        <v>57</v>
      </c>
      <c r="I270" s="25">
        <v>6</v>
      </c>
      <c r="J270" s="26">
        <f t="shared" si="40"/>
        <v>0.2</v>
      </c>
      <c r="K270" s="20">
        <f t="shared" si="42"/>
        <v>7.1999999999999993</v>
      </c>
      <c r="L270" s="25">
        <v>85</v>
      </c>
      <c r="M270" s="26">
        <f t="shared" si="41"/>
        <v>0.12</v>
      </c>
      <c r="N270" s="20">
        <f t="shared" si="43"/>
        <v>95.2</v>
      </c>
      <c r="O270" s="27">
        <f t="shared" si="44"/>
        <v>102.4</v>
      </c>
      <c r="P270" s="17" t="str">
        <f t="shared" si="45"/>
        <v>Benchmark</v>
      </c>
      <c r="Q270" s="9">
        <v>1</v>
      </c>
      <c r="R270" s="28" t="s">
        <v>2842</v>
      </c>
      <c r="S270" s="29" t="str">
        <f t="shared" si="46"/>
        <v>Electric hand dryer incl. wiring connection|Nos</v>
      </c>
      <c r="T270" s="24" t="s">
        <v>2336</v>
      </c>
    </row>
    <row r="271" spans="1:20" ht="21.75" customHeight="1" x14ac:dyDescent="0.25">
      <c r="A271" s="9" t="s">
        <v>2843</v>
      </c>
      <c r="B271" s="16" t="s">
        <v>865</v>
      </c>
      <c r="C271" s="9" t="s">
        <v>917</v>
      </c>
      <c r="D271" s="12" t="s">
        <v>918</v>
      </c>
      <c r="E271" s="12" t="s">
        <v>919</v>
      </c>
      <c r="F271" s="12" t="s">
        <v>920</v>
      </c>
      <c r="G271" s="12" t="s">
        <v>921</v>
      </c>
      <c r="H271" s="9" t="s">
        <v>57</v>
      </c>
      <c r="I271" s="25">
        <v>45</v>
      </c>
      <c r="J271" s="26">
        <f t="shared" si="40"/>
        <v>0.2</v>
      </c>
      <c r="K271" s="20">
        <f t="shared" si="42"/>
        <v>54</v>
      </c>
      <c r="L271" s="25">
        <v>420</v>
      </c>
      <c r="M271" s="26">
        <f t="shared" si="41"/>
        <v>0.12</v>
      </c>
      <c r="N271" s="20">
        <f t="shared" si="43"/>
        <v>470.40000000000003</v>
      </c>
      <c r="O271" s="27">
        <f t="shared" si="44"/>
        <v>524.40000000000009</v>
      </c>
      <c r="P271" s="17" t="str">
        <f t="shared" si="45"/>
        <v>Benchmark</v>
      </c>
      <c r="Q271" s="9">
        <v>1</v>
      </c>
      <c r="R271" s="28" t="s">
        <v>2844</v>
      </c>
      <c r="S271" s="29" t="str">
        <f t="shared" si="46"/>
        <v>Wall mounted split type air conditioner incl. indoor unit, bracket and control|Nos</v>
      </c>
      <c r="T271" s="24" t="s">
        <v>2336</v>
      </c>
    </row>
    <row r="272" spans="1:20" ht="21.75" customHeight="1" x14ac:dyDescent="0.25">
      <c r="A272" s="9" t="s">
        <v>2845</v>
      </c>
      <c r="B272" s="16" t="s">
        <v>865</v>
      </c>
      <c r="C272" s="9" t="s">
        <v>917</v>
      </c>
      <c r="D272" s="12" t="s">
        <v>918</v>
      </c>
      <c r="E272" s="12" t="s">
        <v>919</v>
      </c>
      <c r="F272" s="12" t="s">
        <v>923</v>
      </c>
      <c r="G272" s="12" t="s">
        <v>924</v>
      </c>
      <c r="H272" s="9" t="s">
        <v>57</v>
      </c>
      <c r="I272" s="25">
        <v>65</v>
      </c>
      <c r="J272" s="26">
        <f t="shared" si="40"/>
        <v>0.2</v>
      </c>
      <c r="K272" s="20">
        <f t="shared" si="42"/>
        <v>78</v>
      </c>
      <c r="L272" s="25">
        <v>780</v>
      </c>
      <c r="M272" s="26">
        <f t="shared" si="41"/>
        <v>0.12</v>
      </c>
      <c r="N272" s="20">
        <f t="shared" si="43"/>
        <v>873.60000000000014</v>
      </c>
      <c r="O272" s="27">
        <f t="shared" si="44"/>
        <v>951.60000000000014</v>
      </c>
      <c r="P272" s="17" t="str">
        <f t="shared" si="45"/>
        <v>Benchmark</v>
      </c>
      <c r="Q272" s="9">
        <v>1</v>
      </c>
      <c r="R272" s="28" t="s">
        <v>2846</v>
      </c>
      <c r="S272" s="29" t="str">
        <f t="shared" si="46"/>
        <v>Ceiling cassette type air conditioner incl. panel and control|Nos</v>
      </c>
      <c r="T272" s="24" t="s">
        <v>2336</v>
      </c>
    </row>
    <row r="273" spans="1:20" ht="21.75" customHeight="1" x14ac:dyDescent="0.25">
      <c r="A273" s="9" t="s">
        <v>2847</v>
      </c>
      <c r="B273" s="16" t="s">
        <v>865</v>
      </c>
      <c r="C273" s="9" t="s">
        <v>917</v>
      </c>
      <c r="D273" s="12" t="s">
        <v>918</v>
      </c>
      <c r="E273" s="12" t="s">
        <v>919</v>
      </c>
      <c r="F273" s="12" t="s">
        <v>926</v>
      </c>
      <c r="G273" s="12" t="s">
        <v>927</v>
      </c>
      <c r="H273" s="9" t="s">
        <v>57</v>
      </c>
      <c r="I273" s="25">
        <v>45</v>
      </c>
      <c r="J273" s="26">
        <f t="shared" si="40"/>
        <v>0.2</v>
      </c>
      <c r="K273" s="20">
        <f t="shared" si="42"/>
        <v>54</v>
      </c>
      <c r="L273" s="25">
        <v>520</v>
      </c>
      <c r="M273" s="26">
        <f t="shared" si="41"/>
        <v>0.12</v>
      </c>
      <c r="N273" s="20">
        <f t="shared" si="43"/>
        <v>582.40000000000009</v>
      </c>
      <c r="O273" s="27">
        <f t="shared" si="44"/>
        <v>636.40000000000009</v>
      </c>
      <c r="P273" s="17" t="str">
        <f t="shared" si="45"/>
        <v>Benchmark</v>
      </c>
      <c r="Q273" s="9">
        <v>1</v>
      </c>
      <c r="R273" s="28" t="s">
        <v>2848</v>
      </c>
      <c r="S273" s="29" t="str">
        <f t="shared" si="46"/>
        <v>Outdoor condensing unit incl. base, anti-vibration mount and wiring|Nos</v>
      </c>
      <c r="T273" s="24" t="s">
        <v>2336</v>
      </c>
    </row>
    <row r="274" spans="1:20" ht="21.75" customHeight="1" x14ac:dyDescent="0.25">
      <c r="A274" s="9" t="s">
        <v>2849</v>
      </c>
      <c r="B274" s="16" t="s">
        <v>865</v>
      </c>
      <c r="C274" s="9" t="s">
        <v>917</v>
      </c>
      <c r="D274" s="12" t="s">
        <v>918</v>
      </c>
      <c r="E274" s="12" t="s">
        <v>929</v>
      </c>
      <c r="F274" s="12" t="s">
        <v>930</v>
      </c>
      <c r="G274" s="12" t="s">
        <v>931</v>
      </c>
      <c r="H274" s="9" t="s">
        <v>57</v>
      </c>
      <c r="I274" s="25">
        <v>70</v>
      </c>
      <c r="J274" s="26">
        <f t="shared" si="40"/>
        <v>0.2</v>
      </c>
      <c r="K274" s="20">
        <f t="shared" si="42"/>
        <v>84</v>
      </c>
      <c r="L274" s="25">
        <v>850</v>
      </c>
      <c r="M274" s="26">
        <f t="shared" si="41"/>
        <v>0.12</v>
      </c>
      <c r="N274" s="20">
        <f t="shared" si="43"/>
        <v>952.00000000000011</v>
      </c>
      <c r="O274" s="27">
        <f t="shared" si="44"/>
        <v>1036</v>
      </c>
      <c r="P274" s="17" t="str">
        <f t="shared" si="45"/>
        <v>Benchmark</v>
      </c>
      <c r="Q274" s="9">
        <v>1</v>
      </c>
      <c r="R274" s="28" t="s">
        <v>2850</v>
      </c>
      <c r="S274" s="29" t="str">
        <f t="shared" si="46"/>
        <v>VRF indoor unit incl. drain pump, control and commissioning|Nos</v>
      </c>
      <c r="T274" s="24" t="s">
        <v>2336</v>
      </c>
    </row>
    <row r="275" spans="1:20" ht="21.75" customHeight="1" x14ac:dyDescent="0.25">
      <c r="A275" s="9" t="s">
        <v>2851</v>
      </c>
      <c r="B275" s="16" t="s">
        <v>865</v>
      </c>
      <c r="C275" s="9" t="s">
        <v>917</v>
      </c>
      <c r="D275" s="12" t="s">
        <v>918</v>
      </c>
      <c r="E275" s="12" t="s">
        <v>929</v>
      </c>
      <c r="F275" s="12" t="s">
        <v>933</v>
      </c>
      <c r="G275" s="12" t="s">
        <v>934</v>
      </c>
      <c r="H275" s="9" t="s">
        <v>57</v>
      </c>
      <c r="I275" s="25">
        <v>250</v>
      </c>
      <c r="J275" s="26">
        <f t="shared" si="40"/>
        <v>0.2</v>
      </c>
      <c r="K275" s="20">
        <f t="shared" si="42"/>
        <v>300</v>
      </c>
      <c r="L275" s="25">
        <v>4200</v>
      </c>
      <c r="M275" s="26">
        <f t="shared" si="41"/>
        <v>0.12</v>
      </c>
      <c r="N275" s="20">
        <f t="shared" si="43"/>
        <v>4704</v>
      </c>
      <c r="O275" s="27">
        <f t="shared" si="44"/>
        <v>5004</v>
      </c>
      <c r="P275" s="17" t="str">
        <f t="shared" si="45"/>
        <v>Benchmark</v>
      </c>
      <c r="Q275" s="9">
        <v>1</v>
      </c>
      <c r="R275" s="28" t="s">
        <v>2852</v>
      </c>
      <c r="S275" s="29" t="str">
        <f t="shared" si="46"/>
        <v>VRF outdoor unit incl. base, anti-vibration mount and wiring|Nos</v>
      </c>
      <c r="T275" s="24" t="s">
        <v>2336</v>
      </c>
    </row>
    <row r="276" spans="1:20" ht="21.75" customHeight="1" x14ac:dyDescent="0.25">
      <c r="A276" s="9" t="s">
        <v>2853</v>
      </c>
      <c r="B276" s="16" t="s">
        <v>865</v>
      </c>
      <c r="C276" s="9" t="s">
        <v>917</v>
      </c>
      <c r="D276" s="12" t="s">
        <v>918</v>
      </c>
      <c r="E276" s="12" t="s">
        <v>929</v>
      </c>
      <c r="F276" s="12" t="s">
        <v>936</v>
      </c>
      <c r="G276" s="12" t="s">
        <v>937</v>
      </c>
      <c r="H276" s="9" t="s">
        <v>57</v>
      </c>
      <c r="I276" s="25">
        <v>15</v>
      </c>
      <c r="J276" s="26">
        <f t="shared" si="40"/>
        <v>0.2</v>
      </c>
      <c r="K276" s="20">
        <f t="shared" si="42"/>
        <v>18</v>
      </c>
      <c r="L276" s="25">
        <v>85</v>
      </c>
      <c r="M276" s="26">
        <f t="shared" si="41"/>
        <v>0.12</v>
      </c>
      <c r="N276" s="20">
        <f t="shared" si="43"/>
        <v>95.2</v>
      </c>
      <c r="O276" s="27">
        <f t="shared" si="44"/>
        <v>113.2</v>
      </c>
      <c r="P276" s="17" t="str">
        <f t="shared" si="45"/>
        <v>Benchmark</v>
      </c>
      <c r="Q276" s="9">
        <v>1</v>
      </c>
      <c r="R276" s="28" t="s">
        <v>2854</v>
      </c>
      <c r="S276" s="29" t="str">
        <f t="shared" si="46"/>
        <v>VRF refnet joint / header incl. insulation|Nos</v>
      </c>
      <c r="T276" s="24" t="s">
        <v>2336</v>
      </c>
    </row>
    <row r="277" spans="1:20" ht="21.75" customHeight="1" x14ac:dyDescent="0.25">
      <c r="A277" s="9" t="s">
        <v>2855</v>
      </c>
      <c r="B277" s="16" t="s">
        <v>865</v>
      </c>
      <c r="C277" s="9" t="s">
        <v>917</v>
      </c>
      <c r="D277" s="12" t="s">
        <v>918</v>
      </c>
      <c r="E277" s="12" t="s">
        <v>939</v>
      </c>
      <c r="F277" s="12" t="s">
        <v>940</v>
      </c>
      <c r="G277" s="12" t="s">
        <v>941</v>
      </c>
      <c r="H277" s="9" t="s">
        <v>57</v>
      </c>
      <c r="I277" s="25">
        <v>0</v>
      </c>
      <c r="J277" s="26">
        <v>0</v>
      </c>
      <c r="K277" s="20">
        <f t="shared" si="42"/>
        <v>0</v>
      </c>
      <c r="L277" s="25">
        <v>38000</v>
      </c>
      <c r="M277" s="26">
        <v>0.1</v>
      </c>
      <c r="N277" s="20">
        <f t="shared" si="43"/>
        <v>41800</v>
      </c>
      <c r="O277" s="27">
        <f t="shared" si="44"/>
        <v>41800</v>
      </c>
      <c r="P277" s="17" t="str">
        <f t="shared" si="45"/>
        <v>Benchmark</v>
      </c>
      <c r="Q277" s="9">
        <v>1</v>
      </c>
      <c r="R277" s="28" t="s">
        <v>2856</v>
      </c>
      <c r="S277" s="29" t="str">
        <f t="shared" si="46"/>
        <v>Water cooled / air cooled chiller incl. base, connection and commissioning|Nos</v>
      </c>
      <c r="T277" s="24" t="s">
        <v>2336</v>
      </c>
    </row>
    <row r="278" spans="1:20" ht="21.75" customHeight="1" x14ac:dyDescent="0.25">
      <c r="A278" s="9" t="s">
        <v>2857</v>
      </c>
      <c r="B278" s="16" t="s">
        <v>865</v>
      </c>
      <c r="C278" s="9" t="s">
        <v>917</v>
      </c>
      <c r="D278" s="12" t="s">
        <v>918</v>
      </c>
      <c r="E278" s="12" t="s">
        <v>939</v>
      </c>
      <c r="F278" s="12" t="s">
        <v>943</v>
      </c>
      <c r="G278" s="12" t="s">
        <v>944</v>
      </c>
      <c r="H278" s="9" t="s">
        <v>57</v>
      </c>
      <c r="I278" s="25">
        <v>350</v>
      </c>
      <c r="J278" s="26">
        <f t="shared" ref="J278:J305" si="47">_STDLAB</f>
        <v>0.2</v>
      </c>
      <c r="K278" s="20">
        <f t="shared" si="42"/>
        <v>420</v>
      </c>
      <c r="L278" s="25">
        <v>3200</v>
      </c>
      <c r="M278" s="26">
        <f t="shared" ref="M278:M305" si="48">_STDMAT</f>
        <v>0.12</v>
      </c>
      <c r="N278" s="20">
        <f t="shared" si="43"/>
        <v>3584.0000000000005</v>
      </c>
      <c r="O278" s="27">
        <f t="shared" si="44"/>
        <v>4004.0000000000005</v>
      </c>
      <c r="P278" s="17" t="str">
        <f t="shared" si="45"/>
        <v>Benchmark</v>
      </c>
      <c r="Q278" s="9">
        <v>1</v>
      </c>
      <c r="R278" s="28" t="s">
        <v>2858</v>
      </c>
      <c r="S278" s="29" t="str">
        <f t="shared" si="46"/>
        <v>Air handling unit incl. filter, coil, fan, drain pan and control|Nos</v>
      </c>
      <c r="T278" s="24" t="s">
        <v>2336</v>
      </c>
    </row>
    <row r="279" spans="1:20" ht="21.75" customHeight="1" x14ac:dyDescent="0.25">
      <c r="A279" s="9" t="s">
        <v>2859</v>
      </c>
      <c r="B279" s="16" t="s">
        <v>865</v>
      </c>
      <c r="C279" s="9" t="s">
        <v>917</v>
      </c>
      <c r="D279" s="12" t="s">
        <v>918</v>
      </c>
      <c r="E279" s="12" t="s">
        <v>939</v>
      </c>
      <c r="F279" s="12" t="s">
        <v>946</v>
      </c>
      <c r="G279" s="12" t="s">
        <v>947</v>
      </c>
      <c r="H279" s="9" t="s">
        <v>57</v>
      </c>
      <c r="I279" s="25">
        <v>85</v>
      </c>
      <c r="J279" s="26">
        <f t="shared" si="47"/>
        <v>0.2</v>
      </c>
      <c r="K279" s="20">
        <f t="shared" si="42"/>
        <v>102</v>
      </c>
      <c r="L279" s="25">
        <v>650</v>
      </c>
      <c r="M279" s="26">
        <f t="shared" si="48"/>
        <v>0.12</v>
      </c>
      <c r="N279" s="20">
        <f t="shared" si="43"/>
        <v>728.00000000000011</v>
      </c>
      <c r="O279" s="27">
        <f t="shared" si="44"/>
        <v>830.00000000000011</v>
      </c>
      <c r="P279" s="17" t="str">
        <f t="shared" si="45"/>
        <v>Benchmark</v>
      </c>
      <c r="Q279" s="9">
        <v>1</v>
      </c>
      <c r="R279" s="28" t="s">
        <v>2860</v>
      </c>
      <c r="S279" s="29" t="str">
        <f t="shared" si="46"/>
        <v>Fan coil unit incl. filter, drain pan, valve and control|Nos</v>
      </c>
      <c r="T279" s="24" t="s">
        <v>2336</v>
      </c>
    </row>
    <row r="280" spans="1:20" ht="21.75" customHeight="1" x14ac:dyDescent="0.25">
      <c r="A280" s="9" t="s">
        <v>2861</v>
      </c>
      <c r="B280" s="16" t="s">
        <v>865</v>
      </c>
      <c r="C280" s="9" t="s">
        <v>917</v>
      </c>
      <c r="D280" s="12" t="s">
        <v>918</v>
      </c>
      <c r="E280" s="12" t="s">
        <v>939</v>
      </c>
      <c r="F280" s="12" t="s">
        <v>949</v>
      </c>
      <c r="G280" s="12" t="s">
        <v>950</v>
      </c>
      <c r="H280" s="9" t="s">
        <v>57</v>
      </c>
      <c r="I280" s="25">
        <v>250</v>
      </c>
      <c r="J280" s="26">
        <f t="shared" si="47"/>
        <v>0.2</v>
      </c>
      <c r="K280" s="20">
        <f t="shared" si="42"/>
        <v>300</v>
      </c>
      <c r="L280" s="25">
        <v>2200</v>
      </c>
      <c r="M280" s="26">
        <f t="shared" si="48"/>
        <v>0.12</v>
      </c>
      <c r="N280" s="20">
        <f t="shared" si="43"/>
        <v>2464.0000000000005</v>
      </c>
      <c r="O280" s="27">
        <f t="shared" si="44"/>
        <v>2764.0000000000005</v>
      </c>
      <c r="P280" s="17" t="str">
        <f t="shared" si="45"/>
        <v>Benchmark</v>
      </c>
      <c r="Q280" s="9">
        <v>1</v>
      </c>
      <c r="R280" s="28" t="s">
        <v>2862</v>
      </c>
      <c r="S280" s="29" t="str">
        <f t="shared" si="46"/>
        <v>Chilled water pump incl. base, coupling, valve and control|Nos</v>
      </c>
      <c r="T280" s="24" t="s">
        <v>2336</v>
      </c>
    </row>
    <row r="281" spans="1:20" ht="21.75" customHeight="1" x14ac:dyDescent="0.25">
      <c r="A281" s="9" t="s">
        <v>2863</v>
      </c>
      <c r="B281" s="16" t="s">
        <v>865</v>
      </c>
      <c r="C281" s="9" t="s">
        <v>917</v>
      </c>
      <c r="D281" s="12" t="s">
        <v>918</v>
      </c>
      <c r="E281" s="12" t="s">
        <v>939</v>
      </c>
      <c r="F281" s="12" t="s">
        <v>952</v>
      </c>
      <c r="G281" s="12" t="s">
        <v>953</v>
      </c>
      <c r="H281" s="9" t="s">
        <v>57</v>
      </c>
      <c r="I281" s="25">
        <v>400</v>
      </c>
      <c r="J281" s="26">
        <f t="shared" si="47"/>
        <v>0.2</v>
      </c>
      <c r="K281" s="20">
        <f t="shared" si="42"/>
        <v>480</v>
      </c>
      <c r="L281" s="25">
        <v>4500</v>
      </c>
      <c r="M281" s="26">
        <f t="shared" si="48"/>
        <v>0.12</v>
      </c>
      <c r="N281" s="20">
        <f t="shared" si="43"/>
        <v>5040.0000000000009</v>
      </c>
      <c r="O281" s="27">
        <f t="shared" si="44"/>
        <v>5520.0000000000009</v>
      </c>
      <c r="P281" s="17" t="str">
        <f t="shared" si="45"/>
        <v>Benchmark</v>
      </c>
      <c r="Q281" s="9">
        <v>1</v>
      </c>
      <c r="R281" s="28" t="s">
        <v>2864</v>
      </c>
      <c r="S281" s="29" t="str">
        <f t="shared" si="46"/>
        <v>Cooling tower incl. base, make-up water and control|Nos</v>
      </c>
      <c r="T281" s="24" t="s">
        <v>2336</v>
      </c>
    </row>
    <row r="282" spans="1:20" ht="21.75" customHeight="1" x14ac:dyDescent="0.25">
      <c r="A282" s="9" t="s">
        <v>2865</v>
      </c>
      <c r="B282" s="16" t="s">
        <v>865</v>
      </c>
      <c r="C282" s="9" t="s">
        <v>917</v>
      </c>
      <c r="D282" s="12" t="s">
        <v>918</v>
      </c>
      <c r="E282" s="12" t="s">
        <v>955</v>
      </c>
      <c r="F282" s="12" t="s">
        <v>956</v>
      </c>
      <c r="G282" s="12" t="s">
        <v>957</v>
      </c>
      <c r="H282" s="9" t="s">
        <v>61</v>
      </c>
      <c r="I282" s="25">
        <v>6</v>
      </c>
      <c r="J282" s="26">
        <f t="shared" si="47"/>
        <v>0.2</v>
      </c>
      <c r="K282" s="20">
        <f t="shared" si="42"/>
        <v>7.1999999999999993</v>
      </c>
      <c r="L282" s="25">
        <v>14</v>
      </c>
      <c r="M282" s="26">
        <f t="shared" si="48"/>
        <v>0.12</v>
      </c>
      <c r="N282" s="20">
        <f t="shared" si="43"/>
        <v>15.680000000000001</v>
      </c>
      <c r="O282" s="27">
        <f t="shared" si="44"/>
        <v>22.880000000000003</v>
      </c>
      <c r="P282" s="17" t="str">
        <f t="shared" si="45"/>
        <v>Benchmark</v>
      </c>
      <c r="Q282" s="9">
        <v>1</v>
      </c>
      <c r="R282" s="28" t="s">
        <v>2866</v>
      </c>
      <c r="S282" s="29" t="str">
        <f t="shared" si="46"/>
        <v>Copper refrigerant piping incl. insulation, fitting and gas charging|m</v>
      </c>
      <c r="T282" s="24" t="s">
        <v>2336</v>
      </c>
    </row>
    <row r="283" spans="1:20" ht="21.75" customHeight="1" x14ac:dyDescent="0.25">
      <c r="A283" s="9" t="s">
        <v>2867</v>
      </c>
      <c r="B283" s="16" t="s">
        <v>865</v>
      </c>
      <c r="C283" s="9" t="s">
        <v>917</v>
      </c>
      <c r="D283" s="12" t="s">
        <v>918</v>
      </c>
      <c r="E283" s="12" t="s">
        <v>955</v>
      </c>
      <c r="F283" s="12" t="s">
        <v>959</v>
      </c>
      <c r="G283" s="12" t="s">
        <v>960</v>
      </c>
      <c r="H283" s="9" t="s">
        <v>61</v>
      </c>
      <c r="I283" s="25">
        <v>9</v>
      </c>
      <c r="J283" s="26">
        <f t="shared" si="47"/>
        <v>0.2</v>
      </c>
      <c r="K283" s="20">
        <f t="shared" si="42"/>
        <v>10.799999999999999</v>
      </c>
      <c r="L283" s="25">
        <v>22</v>
      </c>
      <c r="M283" s="26">
        <f t="shared" si="48"/>
        <v>0.12</v>
      </c>
      <c r="N283" s="20">
        <f t="shared" si="43"/>
        <v>24.64</v>
      </c>
      <c r="O283" s="27">
        <f t="shared" si="44"/>
        <v>35.44</v>
      </c>
      <c r="P283" s="17" t="str">
        <f t="shared" si="45"/>
        <v>Benchmark</v>
      </c>
      <c r="Q283" s="9">
        <v>1</v>
      </c>
      <c r="R283" s="28" t="s">
        <v>2868</v>
      </c>
      <c r="S283" s="29" t="str">
        <f t="shared" si="46"/>
        <v>Chilled water piping incl. valve, fitting, insulation and support|m</v>
      </c>
      <c r="T283" s="24" t="s">
        <v>2336</v>
      </c>
    </row>
    <row r="284" spans="1:20" ht="21.75" customHeight="1" x14ac:dyDescent="0.25">
      <c r="A284" s="9" t="s">
        <v>2869</v>
      </c>
      <c r="B284" s="16" t="s">
        <v>865</v>
      </c>
      <c r="C284" s="9" t="s">
        <v>917</v>
      </c>
      <c r="D284" s="12" t="s">
        <v>918</v>
      </c>
      <c r="E284" s="12" t="s">
        <v>955</v>
      </c>
      <c r="F284" s="12" t="s">
        <v>962</v>
      </c>
      <c r="G284" s="12" t="s">
        <v>963</v>
      </c>
      <c r="H284" s="9" t="s">
        <v>61</v>
      </c>
      <c r="I284" s="25">
        <v>3.5</v>
      </c>
      <c r="J284" s="26">
        <f t="shared" si="47"/>
        <v>0.2</v>
      </c>
      <c r="K284" s="20">
        <f t="shared" si="42"/>
        <v>4.2</v>
      </c>
      <c r="L284" s="25">
        <v>4.5</v>
      </c>
      <c r="M284" s="26">
        <f t="shared" si="48"/>
        <v>0.12</v>
      </c>
      <c r="N284" s="20">
        <f t="shared" si="43"/>
        <v>5.0400000000000009</v>
      </c>
      <c r="O284" s="27">
        <f t="shared" si="44"/>
        <v>9.240000000000002</v>
      </c>
      <c r="P284" s="17" t="str">
        <f t="shared" si="45"/>
        <v>Benchmark</v>
      </c>
      <c r="Q284" s="9">
        <v>1</v>
      </c>
      <c r="R284" s="28" t="s">
        <v>2870</v>
      </c>
      <c r="S284" s="29" t="str">
        <f t="shared" si="46"/>
        <v>Condensate drain piping uPVC incl. insulation, fitting and support|m</v>
      </c>
      <c r="T284" s="24" t="s">
        <v>2336</v>
      </c>
    </row>
    <row r="285" spans="1:20" ht="21.75" customHeight="1" x14ac:dyDescent="0.25">
      <c r="A285" s="9" t="s">
        <v>2871</v>
      </c>
      <c r="B285" s="16" t="s">
        <v>865</v>
      </c>
      <c r="C285" s="9" t="s">
        <v>917</v>
      </c>
      <c r="D285" s="12" t="s">
        <v>918</v>
      </c>
      <c r="E285" s="12" t="s">
        <v>955</v>
      </c>
      <c r="F285" s="12" t="s">
        <v>965</v>
      </c>
      <c r="G285" s="12" t="s">
        <v>966</v>
      </c>
      <c r="H285" s="9" t="s">
        <v>61</v>
      </c>
      <c r="I285" s="25">
        <v>2.5</v>
      </c>
      <c r="J285" s="26">
        <f t="shared" si="47"/>
        <v>0.2</v>
      </c>
      <c r="K285" s="20">
        <f t="shared" si="42"/>
        <v>3</v>
      </c>
      <c r="L285" s="25">
        <v>5.5</v>
      </c>
      <c r="M285" s="26">
        <f t="shared" si="48"/>
        <v>0.12</v>
      </c>
      <c r="N285" s="20">
        <f t="shared" si="43"/>
        <v>6.16</v>
      </c>
      <c r="O285" s="27">
        <f t="shared" si="44"/>
        <v>9.16</v>
      </c>
      <c r="P285" s="17" t="str">
        <f t="shared" si="45"/>
        <v>Benchmark</v>
      </c>
      <c r="Q285" s="9">
        <v>2</v>
      </c>
      <c r="R285" s="28" t="s">
        <v>2872</v>
      </c>
      <c r="S285" s="29" t="str">
        <f t="shared" si="46"/>
        <v>Closed cell / rockwool pipe insulation incl. vapour barrier and cladding|m</v>
      </c>
      <c r="T285" s="24" t="s">
        <v>2336</v>
      </c>
    </row>
    <row r="286" spans="1:20" ht="21.75" customHeight="1" x14ac:dyDescent="0.25">
      <c r="A286" s="9" t="s">
        <v>2873</v>
      </c>
      <c r="B286" s="16" t="s">
        <v>865</v>
      </c>
      <c r="C286" s="9" t="s">
        <v>917</v>
      </c>
      <c r="D286" s="12" t="s">
        <v>918</v>
      </c>
      <c r="E286" s="12" t="s">
        <v>955</v>
      </c>
      <c r="F286" s="12" t="s">
        <v>968</v>
      </c>
      <c r="G286" s="12" t="s">
        <v>969</v>
      </c>
      <c r="H286" s="9" t="s">
        <v>57</v>
      </c>
      <c r="I286" s="25">
        <v>8</v>
      </c>
      <c r="J286" s="26">
        <f t="shared" si="47"/>
        <v>0.2</v>
      </c>
      <c r="K286" s="20">
        <f t="shared" si="42"/>
        <v>9.6</v>
      </c>
      <c r="L286" s="25">
        <v>35</v>
      </c>
      <c r="M286" s="26">
        <f t="shared" si="48"/>
        <v>0.12</v>
      </c>
      <c r="N286" s="20">
        <f t="shared" si="43"/>
        <v>39.200000000000003</v>
      </c>
      <c r="O286" s="27">
        <f t="shared" si="44"/>
        <v>48.800000000000004</v>
      </c>
      <c r="P286" s="17" t="str">
        <f t="shared" si="45"/>
        <v>Benchmark</v>
      </c>
      <c r="Q286" s="9">
        <v>1</v>
      </c>
      <c r="R286" s="28" t="s">
        <v>2874</v>
      </c>
      <c r="S286" s="29" t="str">
        <f t="shared" si="46"/>
        <v>Room thermostat / wired controller incl. wiring|Nos</v>
      </c>
      <c r="T286" s="24" t="s">
        <v>2336</v>
      </c>
    </row>
    <row r="287" spans="1:20" ht="21.75" customHeight="1" x14ac:dyDescent="0.25">
      <c r="A287" s="9" t="s">
        <v>2875</v>
      </c>
      <c r="B287" s="16" t="s">
        <v>865</v>
      </c>
      <c r="C287" s="9" t="s">
        <v>971</v>
      </c>
      <c r="D287" s="12" t="s">
        <v>972</v>
      </c>
      <c r="E287" s="12" t="s">
        <v>973</v>
      </c>
      <c r="F287" s="12" t="s">
        <v>974</v>
      </c>
      <c r="G287" s="12" t="s">
        <v>975</v>
      </c>
      <c r="H287" s="9" t="s">
        <v>57</v>
      </c>
      <c r="I287" s="25">
        <v>12</v>
      </c>
      <c r="J287" s="26">
        <f t="shared" si="47"/>
        <v>0.2</v>
      </c>
      <c r="K287" s="20">
        <f t="shared" si="42"/>
        <v>14.399999999999999</v>
      </c>
      <c r="L287" s="25">
        <v>55</v>
      </c>
      <c r="M287" s="26">
        <f t="shared" si="48"/>
        <v>0.12</v>
      </c>
      <c r="N287" s="20">
        <f t="shared" si="43"/>
        <v>61.600000000000009</v>
      </c>
      <c r="O287" s="27">
        <f t="shared" si="44"/>
        <v>76</v>
      </c>
      <c r="P287" s="17" t="str">
        <f t="shared" si="45"/>
        <v>Benchmark</v>
      </c>
      <c r="Q287" s="9">
        <v>1</v>
      </c>
      <c r="R287" s="28" t="s">
        <v>2876</v>
      </c>
      <c r="S287" s="29" t="str">
        <f t="shared" si="46"/>
        <v>Toilet exhaust fan incl. bracket, damper and wiring|Nos</v>
      </c>
      <c r="T287" s="24" t="s">
        <v>2336</v>
      </c>
    </row>
    <row r="288" spans="1:20" ht="21.75" customHeight="1" x14ac:dyDescent="0.25">
      <c r="A288" s="9" t="s">
        <v>2877</v>
      </c>
      <c r="B288" s="16" t="s">
        <v>865</v>
      </c>
      <c r="C288" s="9" t="s">
        <v>971</v>
      </c>
      <c r="D288" s="12" t="s">
        <v>972</v>
      </c>
      <c r="E288" s="12" t="s">
        <v>973</v>
      </c>
      <c r="F288" s="12" t="s">
        <v>977</v>
      </c>
      <c r="G288" s="12" t="s">
        <v>978</v>
      </c>
      <c r="H288" s="9" t="s">
        <v>57</v>
      </c>
      <c r="I288" s="25">
        <v>18</v>
      </c>
      <c r="J288" s="26">
        <f t="shared" si="47"/>
        <v>0.2</v>
      </c>
      <c r="K288" s="20">
        <f t="shared" si="42"/>
        <v>21.599999999999998</v>
      </c>
      <c r="L288" s="25">
        <v>120</v>
      </c>
      <c r="M288" s="26">
        <f t="shared" si="48"/>
        <v>0.12</v>
      </c>
      <c r="N288" s="20">
        <f t="shared" si="43"/>
        <v>134.4</v>
      </c>
      <c r="O288" s="27">
        <f t="shared" si="44"/>
        <v>156</v>
      </c>
      <c r="P288" s="17" t="str">
        <f t="shared" si="45"/>
        <v>Benchmark</v>
      </c>
      <c r="Q288" s="9">
        <v>1</v>
      </c>
      <c r="R288" s="28" t="s">
        <v>2878</v>
      </c>
      <c r="S288" s="29" t="str">
        <f t="shared" si="46"/>
        <v>Kitchen exhaust fan incl. bracket, damper and wiring|Nos</v>
      </c>
      <c r="T288" s="24" t="s">
        <v>2336</v>
      </c>
    </row>
    <row r="289" spans="1:20" ht="21.75" customHeight="1" x14ac:dyDescent="0.25">
      <c r="A289" s="9" t="s">
        <v>2879</v>
      </c>
      <c r="B289" s="16" t="s">
        <v>865</v>
      </c>
      <c r="C289" s="9" t="s">
        <v>971</v>
      </c>
      <c r="D289" s="12" t="s">
        <v>972</v>
      </c>
      <c r="E289" s="12" t="s">
        <v>973</v>
      </c>
      <c r="F289" s="12" t="s">
        <v>980</v>
      </c>
      <c r="G289" s="12" t="s">
        <v>981</v>
      </c>
      <c r="H289" s="9" t="s">
        <v>57</v>
      </c>
      <c r="I289" s="25">
        <v>120</v>
      </c>
      <c r="J289" s="26">
        <f t="shared" si="47"/>
        <v>0.2</v>
      </c>
      <c r="K289" s="20">
        <f t="shared" si="42"/>
        <v>144</v>
      </c>
      <c r="L289" s="25">
        <v>950</v>
      </c>
      <c r="M289" s="26">
        <f t="shared" si="48"/>
        <v>0.12</v>
      </c>
      <c r="N289" s="20">
        <f t="shared" si="43"/>
        <v>1064</v>
      </c>
      <c r="O289" s="27">
        <f t="shared" si="44"/>
        <v>1208</v>
      </c>
      <c r="P289" s="17" t="str">
        <f t="shared" si="45"/>
        <v>Benchmark</v>
      </c>
      <c r="Q289" s="9">
        <v>1</v>
      </c>
      <c r="R289" s="28" t="s">
        <v>2880</v>
      </c>
      <c r="S289" s="29" t="str">
        <f t="shared" si="46"/>
        <v>Car park ventilation fan incl. support and wiring|Nos</v>
      </c>
      <c r="T289" s="24" t="s">
        <v>2336</v>
      </c>
    </row>
    <row r="290" spans="1:20" ht="21.75" customHeight="1" x14ac:dyDescent="0.25">
      <c r="A290" s="9" t="s">
        <v>2881</v>
      </c>
      <c r="B290" s="16" t="s">
        <v>865</v>
      </c>
      <c r="C290" s="9" t="s">
        <v>971</v>
      </c>
      <c r="D290" s="12" t="s">
        <v>972</v>
      </c>
      <c r="E290" s="12" t="s">
        <v>973</v>
      </c>
      <c r="F290" s="12" t="s">
        <v>983</v>
      </c>
      <c r="G290" s="12" t="s">
        <v>984</v>
      </c>
      <c r="H290" s="9" t="s">
        <v>57</v>
      </c>
      <c r="I290" s="25">
        <v>45</v>
      </c>
      <c r="J290" s="26">
        <f t="shared" si="47"/>
        <v>0.2</v>
      </c>
      <c r="K290" s="20">
        <f t="shared" si="42"/>
        <v>54</v>
      </c>
      <c r="L290" s="25">
        <v>320</v>
      </c>
      <c r="M290" s="26">
        <f t="shared" si="48"/>
        <v>0.12</v>
      </c>
      <c r="N290" s="20">
        <f t="shared" si="43"/>
        <v>358.40000000000003</v>
      </c>
      <c r="O290" s="27">
        <f t="shared" si="44"/>
        <v>412.40000000000003</v>
      </c>
      <c r="P290" s="17" t="str">
        <f t="shared" si="45"/>
        <v>Benchmark</v>
      </c>
      <c r="Q290" s="9">
        <v>1</v>
      </c>
      <c r="R290" s="28" t="s">
        <v>2882</v>
      </c>
      <c r="S290" s="29" t="str">
        <f t="shared" si="46"/>
        <v>Fresh air supply fan incl. filter, damper and wiring|Nos</v>
      </c>
      <c r="T290" s="24" t="s">
        <v>2336</v>
      </c>
    </row>
    <row r="291" spans="1:20" ht="21.75" customHeight="1" x14ac:dyDescent="0.25">
      <c r="A291" s="9" t="s">
        <v>2883</v>
      </c>
      <c r="B291" s="16" t="s">
        <v>865</v>
      </c>
      <c r="C291" s="9" t="s">
        <v>971</v>
      </c>
      <c r="D291" s="12" t="s">
        <v>972</v>
      </c>
      <c r="E291" s="12" t="s">
        <v>973</v>
      </c>
      <c r="F291" s="12" t="s">
        <v>986</v>
      </c>
      <c r="G291" s="12" t="s">
        <v>987</v>
      </c>
      <c r="H291" s="9" t="s">
        <v>57</v>
      </c>
      <c r="I291" s="25">
        <v>180</v>
      </c>
      <c r="J291" s="26">
        <f t="shared" si="47"/>
        <v>0.2</v>
      </c>
      <c r="K291" s="20">
        <f t="shared" si="42"/>
        <v>216</v>
      </c>
      <c r="L291" s="25">
        <v>1650</v>
      </c>
      <c r="M291" s="26">
        <f t="shared" si="48"/>
        <v>0.12</v>
      </c>
      <c r="N291" s="20">
        <f t="shared" si="43"/>
        <v>1848.0000000000002</v>
      </c>
      <c r="O291" s="27">
        <f t="shared" si="44"/>
        <v>2064</v>
      </c>
      <c r="P291" s="17" t="str">
        <f t="shared" si="45"/>
        <v>Benchmark</v>
      </c>
      <c r="Q291" s="9">
        <v>1</v>
      </c>
      <c r="R291" s="28" t="s">
        <v>2884</v>
      </c>
      <c r="S291" s="29" t="str">
        <f t="shared" si="46"/>
        <v>Staircase pressurization fan incl. relief damper and control|Nos</v>
      </c>
      <c r="T291" s="24" t="s">
        <v>2336</v>
      </c>
    </row>
    <row r="292" spans="1:20" ht="21.75" customHeight="1" x14ac:dyDescent="0.25">
      <c r="A292" s="9" t="s">
        <v>2885</v>
      </c>
      <c r="B292" s="16" t="s">
        <v>865</v>
      </c>
      <c r="C292" s="9" t="s">
        <v>971</v>
      </c>
      <c r="D292" s="12" t="s">
        <v>972</v>
      </c>
      <c r="E292" s="12" t="s">
        <v>989</v>
      </c>
      <c r="F292" s="12" t="s">
        <v>990</v>
      </c>
      <c r="G292" s="12" t="s">
        <v>991</v>
      </c>
      <c r="H292" s="9" t="s">
        <v>57</v>
      </c>
      <c r="I292" s="25">
        <v>60</v>
      </c>
      <c r="J292" s="26">
        <f t="shared" si="47"/>
        <v>0.2</v>
      </c>
      <c r="K292" s="20">
        <f t="shared" si="42"/>
        <v>72</v>
      </c>
      <c r="L292" s="25">
        <v>480</v>
      </c>
      <c r="M292" s="26">
        <f t="shared" si="48"/>
        <v>0.12</v>
      </c>
      <c r="N292" s="20">
        <f t="shared" si="43"/>
        <v>537.6</v>
      </c>
      <c r="O292" s="27">
        <f t="shared" si="44"/>
        <v>609.6</v>
      </c>
      <c r="P292" s="17" t="str">
        <f t="shared" si="45"/>
        <v>Benchmark</v>
      </c>
      <c r="Q292" s="9">
        <v>1</v>
      </c>
      <c r="R292" s="28" t="s">
        <v>2886</v>
      </c>
      <c r="S292" s="29" t="str">
        <f t="shared" si="46"/>
        <v>Stainless steel kitchen hood incl. grease filter and light|Nos</v>
      </c>
      <c r="T292" s="24" t="s">
        <v>2336</v>
      </c>
    </row>
    <row r="293" spans="1:20" ht="21.75" customHeight="1" x14ac:dyDescent="0.25">
      <c r="A293" s="9" t="s">
        <v>2887</v>
      </c>
      <c r="B293" s="16" t="s">
        <v>865</v>
      </c>
      <c r="C293" s="9" t="s">
        <v>971</v>
      </c>
      <c r="D293" s="12" t="s">
        <v>972</v>
      </c>
      <c r="E293" s="12" t="s">
        <v>989</v>
      </c>
      <c r="F293" s="12" t="s">
        <v>993</v>
      </c>
      <c r="G293" s="12" t="s">
        <v>994</v>
      </c>
      <c r="H293" s="9" t="s">
        <v>57</v>
      </c>
      <c r="I293" s="25">
        <v>220</v>
      </c>
      <c r="J293" s="26">
        <f t="shared" si="47"/>
        <v>0.2</v>
      </c>
      <c r="K293" s="20">
        <f t="shared" si="42"/>
        <v>264</v>
      </c>
      <c r="L293" s="25">
        <v>1850</v>
      </c>
      <c r="M293" s="26">
        <f t="shared" si="48"/>
        <v>0.12</v>
      </c>
      <c r="N293" s="20">
        <f t="shared" si="43"/>
        <v>2072</v>
      </c>
      <c r="O293" s="27">
        <f t="shared" si="44"/>
        <v>2336</v>
      </c>
      <c r="P293" s="17" t="str">
        <f t="shared" si="45"/>
        <v>Benchmark</v>
      </c>
      <c r="Q293" s="9">
        <v>1</v>
      </c>
      <c r="R293" s="28" t="s">
        <v>2888</v>
      </c>
      <c r="S293" s="29" t="str">
        <f t="shared" si="46"/>
        <v>Smoke extraction fan, 250°C/2hr rated, incl. control|Nos</v>
      </c>
      <c r="T293" s="24" t="s">
        <v>2336</v>
      </c>
    </row>
    <row r="294" spans="1:20" ht="21.75" customHeight="1" x14ac:dyDescent="0.25">
      <c r="A294" s="9" t="s">
        <v>2889</v>
      </c>
      <c r="B294" s="16" t="s">
        <v>865</v>
      </c>
      <c r="C294" s="9" t="s">
        <v>971</v>
      </c>
      <c r="D294" s="12" t="s">
        <v>972</v>
      </c>
      <c r="E294" s="12" t="s">
        <v>989</v>
      </c>
      <c r="F294" s="12" t="s">
        <v>996</v>
      </c>
      <c r="G294" s="12" t="s">
        <v>997</v>
      </c>
      <c r="H294" s="9" t="s">
        <v>57</v>
      </c>
      <c r="I294" s="25">
        <v>120</v>
      </c>
      <c r="J294" s="26">
        <f t="shared" si="47"/>
        <v>0.2</v>
      </c>
      <c r="K294" s="20">
        <f t="shared" si="42"/>
        <v>144</v>
      </c>
      <c r="L294" s="25">
        <v>1450</v>
      </c>
      <c r="M294" s="26">
        <f t="shared" si="48"/>
        <v>0.12</v>
      </c>
      <c r="N294" s="20">
        <f t="shared" si="43"/>
        <v>1624.0000000000002</v>
      </c>
      <c r="O294" s="27">
        <f t="shared" si="44"/>
        <v>1768.0000000000002</v>
      </c>
      <c r="P294" s="17" t="str">
        <f t="shared" si="45"/>
        <v>Benchmark</v>
      </c>
      <c r="Q294" s="9">
        <v>1</v>
      </c>
      <c r="R294" s="28" t="s">
        <v>2890</v>
      </c>
      <c r="S294" s="29" t="str">
        <f t="shared" si="46"/>
        <v>Laboratory fume hood incl. exhaust fan, duct and control|Nos</v>
      </c>
      <c r="T294" s="24" t="s">
        <v>2336</v>
      </c>
    </row>
    <row r="295" spans="1:20" ht="21.75" customHeight="1" x14ac:dyDescent="0.25">
      <c r="A295" s="9" t="s">
        <v>2891</v>
      </c>
      <c r="B295" s="16" t="s">
        <v>865</v>
      </c>
      <c r="C295" s="9" t="s">
        <v>999</v>
      </c>
      <c r="D295" s="12" t="s">
        <v>1000</v>
      </c>
      <c r="E295" s="12" t="s">
        <v>1001</v>
      </c>
      <c r="F295" s="12" t="s">
        <v>1002</v>
      </c>
      <c r="G295" s="12" t="s">
        <v>1003</v>
      </c>
      <c r="H295" s="9" t="s">
        <v>53</v>
      </c>
      <c r="I295" s="25">
        <v>1.1000000000000001</v>
      </c>
      <c r="J295" s="26">
        <f t="shared" si="47"/>
        <v>0.2</v>
      </c>
      <c r="K295" s="20">
        <f t="shared" si="42"/>
        <v>1.32</v>
      </c>
      <c r="L295" s="25">
        <v>2.6</v>
      </c>
      <c r="M295" s="26">
        <f t="shared" si="48"/>
        <v>0.12</v>
      </c>
      <c r="N295" s="20">
        <f t="shared" si="43"/>
        <v>2.9120000000000004</v>
      </c>
      <c r="O295" s="27">
        <f t="shared" si="44"/>
        <v>4.2320000000000002</v>
      </c>
      <c r="P295" s="17" t="str">
        <f t="shared" si="45"/>
        <v>Benchmark</v>
      </c>
      <c r="Q295" s="9">
        <v>1</v>
      </c>
      <c r="R295" s="28" t="s">
        <v>2892</v>
      </c>
      <c r="S295" s="29" t="str">
        <f t="shared" si="46"/>
        <v>Galvanised iron ductwork incl. flange, gasket, support and sealing|kg</v>
      </c>
      <c r="T295" s="24" t="s">
        <v>2336</v>
      </c>
    </row>
    <row r="296" spans="1:20" ht="21.75" customHeight="1" x14ac:dyDescent="0.25">
      <c r="A296" s="9" t="s">
        <v>2893</v>
      </c>
      <c r="B296" s="16" t="s">
        <v>865</v>
      </c>
      <c r="C296" s="9" t="s">
        <v>999</v>
      </c>
      <c r="D296" s="12" t="s">
        <v>1000</v>
      </c>
      <c r="E296" s="12" t="s">
        <v>1001</v>
      </c>
      <c r="F296" s="12" t="s">
        <v>1005</v>
      </c>
      <c r="G296" s="12" t="s">
        <v>1006</v>
      </c>
      <c r="H296" s="9" t="s">
        <v>61</v>
      </c>
      <c r="I296" s="25">
        <v>2.5</v>
      </c>
      <c r="J296" s="26">
        <f t="shared" si="47"/>
        <v>0.2</v>
      </c>
      <c r="K296" s="20">
        <f t="shared" si="42"/>
        <v>3</v>
      </c>
      <c r="L296" s="25">
        <v>6.5</v>
      </c>
      <c r="M296" s="26">
        <f t="shared" si="48"/>
        <v>0.12</v>
      </c>
      <c r="N296" s="20">
        <f t="shared" si="43"/>
        <v>7.2800000000000011</v>
      </c>
      <c r="O296" s="27">
        <f t="shared" si="44"/>
        <v>10.280000000000001</v>
      </c>
      <c r="P296" s="17" t="str">
        <f t="shared" si="45"/>
        <v>Benchmark</v>
      </c>
      <c r="Q296" s="9">
        <v>1</v>
      </c>
      <c r="R296" s="28" t="s">
        <v>2894</v>
      </c>
      <c r="S296" s="29" t="str">
        <f t="shared" si="46"/>
        <v>Insulated flexible duct incl. clamp and connection|m</v>
      </c>
      <c r="T296" s="24" t="s">
        <v>2336</v>
      </c>
    </row>
    <row r="297" spans="1:20" ht="21.75" customHeight="1" x14ac:dyDescent="0.25">
      <c r="A297" s="9" t="s">
        <v>2895</v>
      </c>
      <c r="B297" s="16" t="s">
        <v>865</v>
      </c>
      <c r="C297" s="9" t="s">
        <v>999</v>
      </c>
      <c r="D297" s="12" t="s">
        <v>1000</v>
      </c>
      <c r="E297" s="12" t="s">
        <v>1001</v>
      </c>
      <c r="F297" s="12" t="s">
        <v>1008</v>
      </c>
      <c r="G297" s="12" t="s">
        <v>1009</v>
      </c>
      <c r="H297" s="9" t="s">
        <v>18</v>
      </c>
      <c r="I297" s="25">
        <v>2.2000000000000002</v>
      </c>
      <c r="J297" s="26">
        <f t="shared" si="47"/>
        <v>0.2</v>
      </c>
      <c r="K297" s="20">
        <f t="shared" si="42"/>
        <v>2.64</v>
      </c>
      <c r="L297" s="25">
        <v>5.5</v>
      </c>
      <c r="M297" s="26">
        <f t="shared" si="48"/>
        <v>0.12</v>
      </c>
      <c r="N297" s="20">
        <f t="shared" si="43"/>
        <v>6.16</v>
      </c>
      <c r="O297" s="27">
        <f t="shared" si="44"/>
        <v>8.8000000000000007</v>
      </c>
      <c r="P297" s="17" t="str">
        <f t="shared" si="45"/>
        <v>Benchmark</v>
      </c>
      <c r="Q297" s="9">
        <v>1</v>
      </c>
      <c r="R297" s="28" t="s">
        <v>2896</v>
      </c>
      <c r="S297" s="29" t="str">
        <f t="shared" si="46"/>
        <v>Duct thermal insulation incl. vapour barrier and finish|m2</v>
      </c>
      <c r="T297" s="24" t="s">
        <v>2336</v>
      </c>
    </row>
    <row r="298" spans="1:20" ht="21.75" customHeight="1" x14ac:dyDescent="0.25">
      <c r="A298" s="9" t="s">
        <v>2897</v>
      </c>
      <c r="B298" s="16" t="s">
        <v>865</v>
      </c>
      <c r="C298" s="9" t="s">
        <v>999</v>
      </c>
      <c r="D298" s="12" t="s">
        <v>1000</v>
      </c>
      <c r="E298" s="12" t="s">
        <v>1001</v>
      </c>
      <c r="F298" s="12" t="s">
        <v>1011</v>
      </c>
      <c r="G298" s="12" t="s">
        <v>1012</v>
      </c>
      <c r="H298" s="9" t="s">
        <v>35</v>
      </c>
      <c r="I298" s="25">
        <v>450</v>
      </c>
      <c r="J298" s="26">
        <f t="shared" si="47"/>
        <v>0.2</v>
      </c>
      <c r="K298" s="20">
        <f t="shared" si="42"/>
        <v>540</v>
      </c>
      <c r="L298" s="25">
        <v>650</v>
      </c>
      <c r="M298" s="26">
        <f t="shared" si="48"/>
        <v>0.12</v>
      </c>
      <c r="N298" s="20">
        <f t="shared" si="43"/>
        <v>728.00000000000011</v>
      </c>
      <c r="O298" s="27">
        <f t="shared" si="44"/>
        <v>1268</v>
      </c>
      <c r="P298" s="17" t="str">
        <f t="shared" si="45"/>
        <v>Benchmark</v>
      </c>
      <c r="Q298" s="9">
        <v>1</v>
      </c>
      <c r="R298" s="28" t="s">
        <v>2898</v>
      </c>
      <c r="S298" s="29" t="str">
        <f t="shared" si="46"/>
        <v>Duct hanger and support incl. anchor and rod|Lot</v>
      </c>
      <c r="T298" s="24" t="s">
        <v>2336</v>
      </c>
    </row>
    <row r="299" spans="1:20" ht="21.75" customHeight="1" x14ac:dyDescent="0.25">
      <c r="A299" s="9" t="s">
        <v>2899</v>
      </c>
      <c r="B299" s="16" t="s">
        <v>865</v>
      </c>
      <c r="C299" s="9" t="s">
        <v>999</v>
      </c>
      <c r="D299" s="12" t="s">
        <v>1000</v>
      </c>
      <c r="E299" s="12" t="s">
        <v>1014</v>
      </c>
      <c r="F299" s="12" t="s">
        <v>1015</v>
      </c>
      <c r="G299" s="12" t="s">
        <v>1016</v>
      </c>
      <c r="H299" s="9" t="s">
        <v>57</v>
      </c>
      <c r="I299" s="25">
        <v>8</v>
      </c>
      <c r="J299" s="26">
        <f t="shared" si="47"/>
        <v>0.2</v>
      </c>
      <c r="K299" s="20">
        <f t="shared" si="42"/>
        <v>9.6</v>
      </c>
      <c r="L299" s="25">
        <v>42</v>
      </c>
      <c r="M299" s="26">
        <f t="shared" si="48"/>
        <v>0.12</v>
      </c>
      <c r="N299" s="20">
        <f t="shared" si="43"/>
        <v>47.040000000000006</v>
      </c>
      <c r="O299" s="27">
        <f t="shared" si="44"/>
        <v>56.640000000000008</v>
      </c>
      <c r="P299" s="17" t="str">
        <f t="shared" si="45"/>
        <v>Benchmark</v>
      </c>
      <c r="Q299" s="9">
        <v>1</v>
      </c>
      <c r="R299" s="28" t="s">
        <v>2900</v>
      </c>
      <c r="S299" s="29" t="str">
        <f t="shared" si="46"/>
        <v>Supply air diffuser incl. plenum box and damper|Nos</v>
      </c>
      <c r="T299" s="24" t="s">
        <v>2336</v>
      </c>
    </row>
    <row r="300" spans="1:20" ht="21.75" customHeight="1" x14ac:dyDescent="0.25">
      <c r="A300" s="9" t="s">
        <v>2901</v>
      </c>
      <c r="B300" s="16" t="s">
        <v>865</v>
      </c>
      <c r="C300" s="9" t="s">
        <v>999</v>
      </c>
      <c r="D300" s="12" t="s">
        <v>1000</v>
      </c>
      <c r="E300" s="12" t="s">
        <v>1014</v>
      </c>
      <c r="F300" s="12" t="s">
        <v>1018</v>
      </c>
      <c r="G300" s="12" t="s">
        <v>1019</v>
      </c>
      <c r="H300" s="9" t="s">
        <v>57</v>
      </c>
      <c r="I300" s="25">
        <v>7</v>
      </c>
      <c r="J300" s="26">
        <f t="shared" si="47"/>
        <v>0.2</v>
      </c>
      <c r="K300" s="20">
        <f t="shared" si="42"/>
        <v>8.4</v>
      </c>
      <c r="L300" s="25">
        <v>35</v>
      </c>
      <c r="M300" s="26">
        <f t="shared" si="48"/>
        <v>0.12</v>
      </c>
      <c r="N300" s="20">
        <f t="shared" si="43"/>
        <v>39.200000000000003</v>
      </c>
      <c r="O300" s="27">
        <f t="shared" si="44"/>
        <v>47.6</v>
      </c>
      <c r="P300" s="17" t="str">
        <f t="shared" si="45"/>
        <v>Benchmark</v>
      </c>
      <c r="Q300" s="9">
        <v>1</v>
      </c>
      <c r="R300" s="28" t="s">
        <v>2902</v>
      </c>
      <c r="S300" s="29" t="str">
        <f t="shared" si="46"/>
        <v>Return air grille incl. filter and frame|Nos</v>
      </c>
      <c r="T300" s="24" t="s">
        <v>2336</v>
      </c>
    </row>
    <row r="301" spans="1:20" ht="21.75" customHeight="1" x14ac:dyDescent="0.25">
      <c r="A301" s="9" t="s">
        <v>2903</v>
      </c>
      <c r="B301" s="16" t="s">
        <v>865</v>
      </c>
      <c r="C301" s="9" t="s">
        <v>999</v>
      </c>
      <c r="D301" s="12" t="s">
        <v>1000</v>
      </c>
      <c r="E301" s="12" t="s">
        <v>1014</v>
      </c>
      <c r="F301" s="12" t="s">
        <v>1021</v>
      </c>
      <c r="G301" s="12" t="s">
        <v>1022</v>
      </c>
      <c r="H301" s="9" t="s">
        <v>57</v>
      </c>
      <c r="I301" s="25">
        <v>6</v>
      </c>
      <c r="J301" s="26">
        <f t="shared" si="47"/>
        <v>0.2</v>
      </c>
      <c r="K301" s="20">
        <f t="shared" si="42"/>
        <v>7.1999999999999993</v>
      </c>
      <c r="L301" s="25">
        <v>28</v>
      </c>
      <c r="M301" s="26">
        <f t="shared" si="48"/>
        <v>0.12</v>
      </c>
      <c r="N301" s="20">
        <f t="shared" si="43"/>
        <v>31.360000000000003</v>
      </c>
      <c r="O301" s="27">
        <f t="shared" si="44"/>
        <v>38.56</v>
      </c>
      <c r="P301" s="17" t="str">
        <f t="shared" si="45"/>
        <v>Benchmark</v>
      </c>
      <c r="Q301" s="9">
        <v>1</v>
      </c>
      <c r="R301" s="28" t="s">
        <v>2904</v>
      </c>
      <c r="S301" s="29" t="str">
        <f t="shared" si="46"/>
        <v>Exhaust air grille incl. frame and damper|Nos</v>
      </c>
      <c r="T301" s="24" t="s">
        <v>2336</v>
      </c>
    </row>
    <row r="302" spans="1:20" ht="21.75" customHeight="1" x14ac:dyDescent="0.25">
      <c r="A302" s="9" t="s">
        <v>2905</v>
      </c>
      <c r="B302" s="16" t="s">
        <v>865</v>
      </c>
      <c r="C302" s="9" t="s">
        <v>999</v>
      </c>
      <c r="D302" s="12" t="s">
        <v>1000</v>
      </c>
      <c r="E302" s="12" t="s">
        <v>1014</v>
      </c>
      <c r="F302" s="12" t="s">
        <v>1024</v>
      </c>
      <c r="G302" s="12" t="s">
        <v>1025</v>
      </c>
      <c r="H302" s="9" t="s">
        <v>57</v>
      </c>
      <c r="I302" s="25">
        <v>9</v>
      </c>
      <c r="J302" s="26">
        <f t="shared" si="47"/>
        <v>0.2</v>
      </c>
      <c r="K302" s="20">
        <f t="shared" si="42"/>
        <v>10.799999999999999</v>
      </c>
      <c r="L302" s="25">
        <v>45</v>
      </c>
      <c r="M302" s="26">
        <f t="shared" si="48"/>
        <v>0.12</v>
      </c>
      <c r="N302" s="20">
        <f t="shared" si="43"/>
        <v>50.400000000000006</v>
      </c>
      <c r="O302" s="27">
        <f t="shared" si="44"/>
        <v>61.2</v>
      </c>
      <c r="P302" s="17" t="str">
        <f t="shared" si="45"/>
        <v>Benchmark</v>
      </c>
      <c r="Q302" s="9">
        <v>1</v>
      </c>
      <c r="R302" s="28" t="s">
        <v>2906</v>
      </c>
      <c r="S302" s="29" t="str">
        <f t="shared" si="46"/>
        <v>Weather louver with bird screen incl. frame|Nos</v>
      </c>
      <c r="T302" s="24" t="s">
        <v>2336</v>
      </c>
    </row>
    <row r="303" spans="1:20" ht="21.75" customHeight="1" x14ac:dyDescent="0.25">
      <c r="A303" s="9" t="s">
        <v>2907</v>
      </c>
      <c r="B303" s="16" t="s">
        <v>865</v>
      </c>
      <c r="C303" s="9" t="s">
        <v>999</v>
      </c>
      <c r="D303" s="12" t="s">
        <v>1000</v>
      </c>
      <c r="E303" s="12" t="s">
        <v>1027</v>
      </c>
      <c r="F303" s="12" t="s">
        <v>1028</v>
      </c>
      <c r="G303" s="12" t="s">
        <v>1029</v>
      </c>
      <c r="H303" s="9" t="s">
        <v>57</v>
      </c>
      <c r="I303" s="25">
        <v>6</v>
      </c>
      <c r="J303" s="26">
        <f t="shared" si="47"/>
        <v>0.2</v>
      </c>
      <c r="K303" s="20">
        <f t="shared" si="42"/>
        <v>7.1999999999999993</v>
      </c>
      <c r="L303" s="25">
        <v>38</v>
      </c>
      <c r="M303" s="26">
        <f t="shared" si="48"/>
        <v>0.12</v>
      </c>
      <c r="N303" s="20">
        <f t="shared" si="43"/>
        <v>42.56</v>
      </c>
      <c r="O303" s="27">
        <f t="shared" si="44"/>
        <v>49.760000000000005</v>
      </c>
      <c r="P303" s="17" t="str">
        <f t="shared" si="45"/>
        <v>Benchmark</v>
      </c>
      <c r="Q303" s="9">
        <v>1</v>
      </c>
      <c r="R303" s="28" t="s">
        <v>2908</v>
      </c>
      <c r="S303" s="29" t="str">
        <f t="shared" si="46"/>
        <v>Volume control damper incl. actuator quadrant|Nos</v>
      </c>
      <c r="T303" s="24" t="s">
        <v>2336</v>
      </c>
    </row>
    <row r="304" spans="1:20" ht="21.75" customHeight="1" x14ac:dyDescent="0.25">
      <c r="A304" s="9" t="s">
        <v>2909</v>
      </c>
      <c r="B304" s="16" t="s">
        <v>865</v>
      </c>
      <c r="C304" s="9" t="s">
        <v>999</v>
      </c>
      <c r="D304" s="12" t="s">
        <v>1000</v>
      </c>
      <c r="E304" s="12" t="s">
        <v>1027</v>
      </c>
      <c r="F304" s="12" t="s">
        <v>1031</v>
      </c>
      <c r="G304" s="12" t="s">
        <v>1032</v>
      </c>
      <c r="H304" s="9" t="s">
        <v>57</v>
      </c>
      <c r="I304" s="25">
        <v>15</v>
      </c>
      <c r="J304" s="26">
        <f t="shared" si="47"/>
        <v>0.2</v>
      </c>
      <c r="K304" s="20">
        <f t="shared" si="42"/>
        <v>18</v>
      </c>
      <c r="L304" s="25">
        <v>110</v>
      </c>
      <c r="M304" s="26">
        <f t="shared" si="48"/>
        <v>0.12</v>
      </c>
      <c r="N304" s="20">
        <f t="shared" si="43"/>
        <v>123.20000000000002</v>
      </c>
      <c r="O304" s="27">
        <f t="shared" si="44"/>
        <v>141.20000000000002</v>
      </c>
      <c r="P304" s="17" t="str">
        <f t="shared" si="45"/>
        <v>Benchmark</v>
      </c>
      <c r="Q304" s="9">
        <v>1</v>
      </c>
      <c r="R304" s="28" t="s">
        <v>2910</v>
      </c>
      <c r="S304" s="29" t="str">
        <f t="shared" si="46"/>
        <v>Fire damper 2 hour rated incl. fusible link and access panel|Nos</v>
      </c>
      <c r="T304" s="24" t="s">
        <v>2336</v>
      </c>
    </row>
    <row r="305" spans="1:20" ht="21.75" customHeight="1" x14ac:dyDescent="0.25">
      <c r="A305" s="9" t="s">
        <v>2911</v>
      </c>
      <c r="B305" s="16" t="s">
        <v>865</v>
      </c>
      <c r="C305" s="9" t="s">
        <v>999</v>
      </c>
      <c r="D305" s="12" t="s">
        <v>1000</v>
      </c>
      <c r="E305" s="12" t="s">
        <v>1027</v>
      </c>
      <c r="F305" s="12" t="s">
        <v>1034</v>
      </c>
      <c r="G305" s="12" t="s">
        <v>1035</v>
      </c>
      <c r="H305" s="9" t="s">
        <v>57</v>
      </c>
      <c r="I305" s="25">
        <v>18</v>
      </c>
      <c r="J305" s="26">
        <f t="shared" si="47"/>
        <v>0.2</v>
      </c>
      <c r="K305" s="20">
        <f t="shared" si="42"/>
        <v>21.599999999999998</v>
      </c>
      <c r="L305" s="25">
        <v>145</v>
      </c>
      <c r="M305" s="26">
        <f t="shared" si="48"/>
        <v>0.12</v>
      </c>
      <c r="N305" s="20">
        <f t="shared" si="43"/>
        <v>162.4</v>
      </c>
      <c r="O305" s="27">
        <f t="shared" si="44"/>
        <v>184</v>
      </c>
      <c r="P305" s="17" t="str">
        <f t="shared" si="45"/>
        <v>Benchmark</v>
      </c>
      <c r="Q305" s="9">
        <v>1</v>
      </c>
      <c r="R305" s="28" t="s">
        <v>2912</v>
      </c>
      <c r="S305" s="29" t="str">
        <f t="shared" si="46"/>
        <v>Motorized damper incl. actuator and wiring|Nos</v>
      </c>
      <c r="T305" s="24" t="s">
        <v>2336</v>
      </c>
    </row>
    <row r="306" spans="1:20" ht="21.75" customHeight="1" x14ac:dyDescent="0.25">
      <c r="A306" s="9" t="s">
        <v>2913</v>
      </c>
      <c r="B306" s="16" t="s">
        <v>865</v>
      </c>
      <c r="C306" s="9" t="s">
        <v>999</v>
      </c>
      <c r="D306" s="12" t="s">
        <v>1000</v>
      </c>
      <c r="E306" s="12" t="s">
        <v>1027</v>
      </c>
      <c r="F306" s="12" t="s">
        <v>1037</v>
      </c>
      <c r="G306" s="12" t="s">
        <v>1038</v>
      </c>
      <c r="H306" s="9" t="s">
        <v>35</v>
      </c>
      <c r="I306" s="25">
        <v>0</v>
      </c>
      <c r="J306" s="26">
        <v>0</v>
      </c>
      <c r="K306" s="20">
        <f t="shared" si="42"/>
        <v>0</v>
      </c>
      <c r="L306" s="25">
        <v>3500</v>
      </c>
      <c r="M306" s="26">
        <v>0.1</v>
      </c>
      <c r="N306" s="20">
        <f t="shared" si="43"/>
        <v>3850.0000000000005</v>
      </c>
      <c r="O306" s="27">
        <f t="shared" si="44"/>
        <v>3850.0000000000005</v>
      </c>
      <c r="P306" s="17" t="str">
        <f t="shared" si="45"/>
        <v>Benchmark</v>
      </c>
      <c r="Q306" s="9">
        <v>1</v>
      </c>
      <c r="R306" s="28" t="s">
        <v>2914</v>
      </c>
      <c r="S306" s="29" t="str">
        <f t="shared" si="46"/>
        <v>Air / water testing, adjusting and balancing incl. report|Lot</v>
      </c>
      <c r="T306" s="24" t="s">
        <v>2336</v>
      </c>
    </row>
    <row r="307" spans="1:20" ht="15" customHeight="1" x14ac:dyDescent="0.25">
      <c r="A307" s="9" t="s">
        <v>2915</v>
      </c>
      <c r="B307" s="16" t="s">
        <v>865</v>
      </c>
      <c r="C307" s="9" t="s">
        <v>1040</v>
      </c>
      <c r="D307" s="12" t="s">
        <v>1041</v>
      </c>
      <c r="E307" s="12" t="s">
        <v>1042</v>
      </c>
      <c r="F307" s="12" t="s">
        <v>1043</v>
      </c>
      <c r="G307" s="12" t="s">
        <v>1044</v>
      </c>
      <c r="H307" s="9" t="s">
        <v>57</v>
      </c>
      <c r="I307" s="25">
        <v>450</v>
      </c>
      <c r="J307" s="26">
        <f t="shared" ref="J307:J331" si="49">_STDLAB</f>
        <v>0.2</v>
      </c>
      <c r="K307" s="20">
        <f t="shared" si="42"/>
        <v>540</v>
      </c>
      <c r="L307" s="25">
        <v>6500</v>
      </c>
      <c r="M307" s="26">
        <f t="shared" ref="M307:M331" si="50">_STDMAT</f>
        <v>0.12</v>
      </c>
      <c r="N307" s="20">
        <f t="shared" si="43"/>
        <v>7280.0000000000009</v>
      </c>
      <c r="O307" s="27">
        <f t="shared" si="44"/>
        <v>7820.0000000000009</v>
      </c>
      <c r="P307" s="17" t="str">
        <f t="shared" si="45"/>
        <v>Benchmark</v>
      </c>
      <c r="Q307" s="9">
        <v>1</v>
      </c>
      <c r="R307" s="28" t="s">
        <v>2916</v>
      </c>
      <c r="S307" s="29" t="str">
        <f t="shared" si="46"/>
        <v>Main switchboard incl. ACB/MCCB, busbar, metering and testing|Nos</v>
      </c>
      <c r="T307" s="24" t="s">
        <v>2336</v>
      </c>
    </row>
    <row r="308" spans="1:20" ht="15" customHeight="1" x14ac:dyDescent="0.25">
      <c r="A308" s="9" t="s">
        <v>2917</v>
      </c>
      <c r="B308" s="16" t="s">
        <v>865</v>
      </c>
      <c r="C308" s="9" t="s">
        <v>1040</v>
      </c>
      <c r="D308" s="12" t="s">
        <v>1041</v>
      </c>
      <c r="E308" s="12" t="s">
        <v>1042</v>
      </c>
      <c r="F308" s="12" t="s">
        <v>1046</v>
      </c>
      <c r="G308" s="12" t="s">
        <v>1047</v>
      </c>
      <c r="H308" s="9" t="s">
        <v>57</v>
      </c>
      <c r="I308" s="25">
        <v>120</v>
      </c>
      <c r="J308" s="26">
        <f t="shared" si="49"/>
        <v>0.2</v>
      </c>
      <c r="K308" s="20">
        <f t="shared" si="42"/>
        <v>144</v>
      </c>
      <c r="L308" s="25">
        <v>850</v>
      </c>
      <c r="M308" s="26">
        <f t="shared" si="50"/>
        <v>0.12</v>
      </c>
      <c r="N308" s="20">
        <f t="shared" si="43"/>
        <v>952.00000000000011</v>
      </c>
      <c r="O308" s="27">
        <f t="shared" si="44"/>
        <v>1096</v>
      </c>
      <c r="P308" s="17" t="str">
        <f t="shared" si="45"/>
        <v>Benchmark</v>
      </c>
      <c r="Q308" s="9">
        <v>1</v>
      </c>
      <c r="R308" s="28" t="s">
        <v>2918</v>
      </c>
      <c r="S308" s="29" t="str">
        <f t="shared" si="46"/>
        <v>Sub distribution board incl. MCB/RCBO, enclosure and labelling|Nos</v>
      </c>
      <c r="T308" s="24" t="s">
        <v>2336</v>
      </c>
    </row>
    <row r="309" spans="1:20" ht="15" customHeight="1" x14ac:dyDescent="0.25">
      <c r="A309" s="9" t="s">
        <v>2919</v>
      </c>
      <c r="B309" s="16" t="s">
        <v>865</v>
      </c>
      <c r="C309" s="9" t="s">
        <v>1040</v>
      </c>
      <c r="D309" s="12" t="s">
        <v>1041</v>
      </c>
      <c r="E309" s="12" t="s">
        <v>1042</v>
      </c>
      <c r="F309" s="12" t="s">
        <v>1049</v>
      </c>
      <c r="G309" s="12" t="s">
        <v>1050</v>
      </c>
      <c r="H309" s="9" t="s">
        <v>61</v>
      </c>
      <c r="I309" s="25">
        <v>45</v>
      </c>
      <c r="J309" s="26">
        <f t="shared" si="49"/>
        <v>0.2</v>
      </c>
      <c r="K309" s="20">
        <f t="shared" si="42"/>
        <v>54</v>
      </c>
      <c r="L309" s="25">
        <v>280</v>
      </c>
      <c r="M309" s="26">
        <f t="shared" si="50"/>
        <v>0.12</v>
      </c>
      <c r="N309" s="20">
        <f t="shared" si="43"/>
        <v>313.60000000000002</v>
      </c>
      <c r="O309" s="27">
        <f t="shared" si="44"/>
        <v>367.6</v>
      </c>
      <c r="P309" s="17" t="str">
        <f t="shared" si="45"/>
        <v>Benchmark</v>
      </c>
      <c r="Q309" s="9">
        <v>1</v>
      </c>
      <c r="R309" s="28" t="s">
        <v>2920</v>
      </c>
      <c r="S309" s="29" t="str">
        <f t="shared" si="46"/>
        <v>Busduct / busway incl. joint, support and tap-off unit|m</v>
      </c>
      <c r="T309" s="24" t="s">
        <v>2336</v>
      </c>
    </row>
    <row r="310" spans="1:20" ht="15" customHeight="1" x14ac:dyDescent="0.25">
      <c r="A310" s="9" t="s">
        <v>2921</v>
      </c>
      <c r="B310" s="16" t="s">
        <v>865</v>
      </c>
      <c r="C310" s="9" t="s">
        <v>1040</v>
      </c>
      <c r="D310" s="12" t="s">
        <v>1041</v>
      </c>
      <c r="E310" s="12" t="s">
        <v>1042</v>
      </c>
      <c r="F310" s="12" t="s">
        <v>1052</v>
      </c>
      <c r="G310" s="12" t="s">
        <v>1053</v>
      </c>
      <c r="H310" s="9" t="s">
        <v>57</v>
      </c>
      <c r="I310" s="25">
        <v>900</v>
      </c>
      <c r="J310" s="26">
        <f t="shared" si="49"/>
        <v>0.2</v>
      </c>
      <c r="K310" s="20">
        <f t="shared" si="42"/>
        <v>1080</v>
      </c>
      <c r="L310" s="25">
        <v>12000</v>
      </c>
      <c r="M310" s="26">
        <f t="shared" si="50"/>
        <v>0.12</v>
      </c>
      <c r="N310" s="20">
        <f t="shared" si="43"/>
        <v>13440.000000000002</v>
      </c>
      <c r="O310" s="27">
        <f t="shared" si="44"/>
        <v>14520.000000000002</v>
      </c>
      <c r="P310" s="17" t="str">
        <f t="shared" si="45"/>
        <v>Benchmark</v>
      </c>
      <c r="Q310" s="9">
        <v>1</v>
      </c>
      <c r="R310" s="28" t="s">
        <v>2922</v>
      </c>
      <c r="S310" s="29" t="str">
        <f t="shared" si="46"/>
        <v>Distribution transformer incl. base, connection and testing|Nos</v>
      </c>
      <c r="T310" s="24" t="s">
        <v>2336</v>
      </c>
    </row>
    <row r="311" spans="1:20" ht="15" customHeight="1" x14ac:dyDescent="0.25">
      <c r="A311" s="9" t="s">
        <v>2923</v>
      </c>
      <c r="B311" s="16" t="s">
        <v>865</v>
      </c>
      <c r="C311" s="9" t="s">
        <v>1040</v>
      </c>
      <c r="D311" s="12" t="s">
        <v>1041</v>
      </c>
      <c r="E311" s="12" t="s">
        <v>1042</v>
      </c>
      <c r="F311" s="12" t="s">
        <v>1055</v>
      </c>
      <c r="G311" s="12" t="s">
        <v>1056</v>
      </c>
      <c r="H311" s="9" t="s">
        <v>57</v>
      </c>
      <c r="I311" s="25">
        <v>250</v>
      </c>
      <c r="J311" s="26">
        <f t="shared" si="49"/>
        <v>0.2</v>
      </c>
      <c r="K311" s="20">
        <f t="shared" si="42"/>
        <v>300</v>
      </c>
      <c r="L311" s="25">
        <v>2800</v>
      </c>
      <c r="M311" s="26">
        <f t="shared" si="50"/>
        <v>0.12</v>
      </c>
      <c r="N311" s="20">
        <f t="shared" si="43"/>
        <v>3136.0000000000005</v>
      </c>
      <c r="O311" s="27">
        <f t="shared" si="44"/>
        <v>3436.0000000000005</v>
      </c>
      <c r="P311" s="17" t="str">
        <f t="shared" si="45"/>
        <v>Benchmark</v>
      </c>
      <c r="Q311" s="9">
        <v>1</v>
      </c>
      <c r="R311" s="28" t="s">
        <v>2924</v>
      </c>
      <c r="S311" s="29" t="str">
        <f t="shared" si="46"/>
        <v>Automatic power factor correction capacitor bank incl. controller|Nos</v>
      </c>
      <c r="T311" s="24" t="s">
        <v>2336</v>
      </c>
    </row>
    <row r="312" spans="1:20" ht="15" customHeight="1" x14ac:dyDescent="0.25">
      <c r="A312" s="9" t="s">
        <v>2925</v>
      </c>
      <c r="B312" s="16" t="s">
        <v>865</v>
      </c>
      <c r="C312" s="9" t="s">
        <v>1040</v>
      </c>
      <c r="D312" s="12" t="s">
        <v>1041</v>
      </c>
      <c r="E312" s="12" t="s">
        <v>1042</v>
      </c>
      <c r="F312" s="12" t="s">
        <v>1058</v>
      </c>
      <c r="G312" s="12" t="s">
        <v>1059</v>
      </c>
      <c r="H312" s="9" t="s">
        <v>57</v>
      </c>
      <c r="I312" s="25">
        <v>120</v>
      </c>
      <c r="J312" s="26">
        <f t="shared" si="49"/>
        <v>0.2</v>
      </c>
      <c r="K312" s="20">
        <f t="shared" si="42"/>
        <v>144</v>
      </c>
      <c r="L312" s="25">
        <v>950</v>
      </c>
      <c r="M312" s="26">
        <f t="shared" si="50"/>
        <v>0.12</v>
      </c>
      <c r="N312" s="20">
        <f t="shared" si="43"/>
        <v>1064</v>
      </c>
      <c r="O312" s="27">
        <f t="shared" si="44"/>
        <v>1208</v>
      </c>
      <c r="P312" s="17" t="str">
        <f t="shared" si="45"/>
        <v>Benchmark</v>
      </c>
      <c r="Q312" s="9">
        <v>1</v>
      </c>
      <c r="R312" s="28" t="s">
        <v>2926</v>
      </c>
      <c r="S312" s="29" t="str">
        <f t="shared" si="46"/>
        <v>Metering panel incl. CT, meter and wiring|Nos</v>
      </c>
      <c r="T312" s="24" t="s">
        <v>2336</v>
      </c>
    </row>
    <row r="313" spans="1:20" ht="15" customHeight="1" x14ac:dyDescent="0.25">
      <c r="A313" s="9" t="s">
        <v>2927</v>
      </c>
      <c r="B313" s="16" t="s">
        <v>865</v>
      </c>
      <c r="C313" s="9" t="s">
        <v>1040</v>
      </c>
      <c r="D313" s="12" t="s">
        <v>1041</v>
      </c>
      <c r="E313" s="12" t="s">
        <v>1061</v>
      </c>
      <c r="F313" s="12" t="s">
        <v>1062</v>
      </c>
      <c r="G313" s="12" t="s">
        <v>1063</v>
      </c>
      <c r="H313" s="9" t="s">
        <v>61</v>
      </c>
      <c r="I313" s="25">
        <v>1.6</v>
      </c>
      <c r="J313" s="26">
        <f t="shared" si="49"/>
        <v>0.2</v>
      </c>
      <c r="K313" s="20">
        <f t="shared" si="42"/>
        <v>1.92</v>
      </c>
      <c r="L313" s="25">
        <v>4.2</v>
      </c>
      <c r="M313" s="26">
        <f t="shared" si="50"/>
        <v>0.12</v>
      </c>
      <c r="N313" s="20">
        <f t="shared" si="43"/>
        <v>4.7040000000000006</v>
      </c>
      <c r="O313" s="27">
        <f t="shared" si="44"/>
        <v>6.6240000000000006</v>
      </c>
      <c r="P313" s="17" t="str">
        <f t="shared" si="45"/>
        <v>Benchmark</v>
      </c>
      <c r="Q313" s="9">
        <v>1</v>
      </c>
      <c r="R313" s="28" t="s">
        <v>2928</v>
      </c>
      <c r="S313" s="29" t="str">
        <f t="shared" si="46"/>
        <v>XLPE/PVC power cable incl. termination, gland and lug|m</v>
      </c>
      <c r="T313" s="24" t="s">
        <v>2336</v>
      </c>
    </row>
    <row r="314" spans="1:20" ht="15" customHeight="1" x14ac:dyDescent="0.25">
      <c r="A314" s="9" t="s">
        <v>2929</v>
      </c>
      <c r="B314" s="16" t="s">
        <v>865</v>
      </c>
      <c r="C314" s="9" t="s">
        <v>1040</v>
      </c>
      <c r="D314" s="12" t="s">
        <v>1041</v>
      </c>
      <c r="E314" s="12" t="s">
        <v>1061</v>
      </c>
      <c r="F314" s="12" t="s">
        <v>1065</v>
      </c>
      <c r="G314" s="12" t="s">
        <v>1066</v>
      </c>
      <c r="H314" s="9" t="s">
        <v>61</v>
      </c>
      <c r="I314" s="25">
        <v>1.1000000000000001</v>
      </c>
      <c r="J314" s="26">
        <f t="shared" si="49"/>
        <v>0.2</v>
      </c>
      <c r="K314" s="20">
        <f t="shared" si="42"/>
        <v>1.32</v>
      </c>
      <c r="L314" s="25">
        <v>1.8</v>
      </c>
      <c r="M314" s="26">
        <f t="shared" si="50"/>
        <v>0.12</v>
      </c>
      <c r="N314" s="20">
        <f t="shared" si="43"/>
        <v>2.0160000000000005</v>
      </c>
      <c r="O314" s="27">
        <f t="shared" si="44"/>
        <v>3.3360000000000003</v>
      </c>
      <c r="P314" s="17" t="str">
        <f t="shared" si="45"/>
        <v>Benchmark</v>
      </c>
      <c r="Q314" s="9">
        <v>1</v>
      </c>
      <c r="R314" s="28" t="s">
        <v>2930</v>
      </c>
      <c r="S314" s="29" t="str">
        <f t="shared" si="46"/>
        <v>Control cable incl. termination and gland|m</v>
      </c>
      <c r="T314" s="24" t="s">
        <v>2336</v>
      </c>
    </row>
    <row r="315" spans="1:20" ht="15" customHeight="1" x14ac:dyDescent="0.25">
      <c r="A315" s="9" t="s">
        <v>2931</v>
      </c>
      <c r="B315" s="16" t="s">
        <v>865</v>
      </c>
      <c r="C315" s="9" t="s">
        <v>1040</v>
      </c>
      <c r="D315" s="12" t="s">
        <v>1041</v>
      </c>
      <c r="E315" s="12" t="s">
        <v>1061</v>
      </c>
      <c r="F315" s="12" t="s">
        <v>1068</v>
      </c>
      <c r="G315" s="12" t="s">
        <v>1069</v>
      </c>
      <c r="H315" s="9" t="s">
        <v>61</v>
      </c>
      <c r="I315" s="25">
        <v>4.5</v>
      </c>
      <c r="J315" s="26">
        <f t="shared" si="49"/>
        <v>0.2</v>
      </c>
      <c r="K315" s="20">
        <f t="shared" si="42"/>
        <v>5.3999999999999995</v>
      </c>
      <c r="L315" s="25">
        <v>9.5</v>
      </c>
      <c r="M315" s="26">
        <f t="shared" si="50"/>
        <v>0.12</v>
      </c>
      <c r="N315" s="20">
        <f t="shared" si="43"/>
        <v>10.64</v>
      </c>
      <c r="O315" s="27">
        <f t="shared" si="44"/>
        <v>16.04</v>
      </c>
      <c r="P315" s="17" t="str">
        <f t="shared" si="45"/>
        <v>Benchmark</v>
      </c>
      <c r="Q315" s="9">
        <v>1</v>
      </c>
      <c r="R315" s="28" t="s">
        <v>2932</v>
      </c>
      <c r="S315" s="29" t="str">
        <f t="shared" si="46"/>
        <v>Hot dip galvanised cable tray incl. support, bend and accessories|m</v>
      </c>
      <c r="T315" s="24" t="s">
        <v>2336</v>
      </c>
    </row>
    <row r="316" spans="1:20" ht="15" customHeight="1" x14ac:dyDescent="0.25">
      <c r="A316" s="9" t="s">
        <v>2933</v>
      </c>
      <c r="B316" s="16" t="s">
        <v>865</v>
      </c>
      <c r="C316" s="9" t="s">
        <v>1040</v>
      </c>
      <c r="D316" s="12" t="s">
        <v>1041</v>
      </c>
      <c r="E316" s="12" t="s">
        <v>1061</v>
      </c>
      <c r="F316" s="12" t="s">
        <v>1071</v>
      </c>
      <c r="G316" s="12" t="s">
        <v>1072</v>
      </c>
      <c r="H316" s="9" t="s">
        <v>61</v>
      </c>
      <c r="I316" s="25">
        <v>4</v>
      </c>
      <c r="J316" s="26">
        <f t="shared" si="49"/>
        <v>0.2</v>
      </c>
      <c r="K316" s="20">
        <f t="shared" si="42"/>
        <v>4.8</v>
      </c>
      <c r="L316" s="25">
        <v>8.5</v>
      </c>
      <c r="M316" s="26">
        <f t="shared" si="50"/>
        <v>0.12</v>
      </c>
      <c r="N316" s="20">
        <f t="shared" si="43"/>
        <v>9.5200000000000014</v>
      </c>
      <c r="O316" s="27">
        <f t="shared" si="44"/>
        <v>14.32</v>
      </c>
      <c r="P316" s="17" t="str">
        <f t="shared" si="45"/>
        <v>Benchmark</v>
      </c>
      <c r="Q316" s="9">
        <v>1</v>
      </c>
      <c r="R316" s="28" t="s">
        <v>2934</v>
      </c>
      <c r="S316" s="29" t="str">
        <f t="shared" si="46"/>
        <v>Metal cable trunking incl. cover, support and accessories|m</v>
      </c>
      <c r="T316" s="24" t="s">
        <v>2336</v>
      </c>
    </row>
    <row r="317" spans="1:20" ht="15" customHeight="1" x14ac:dyDescent="0.25">
      <c r="A317" s="9" t="s">
        <v>2935</v>
      </c>
      <c r="B317" s="16" t="s">
        <v>865</v>
      </c>
      <c r="C317" s="9" t="s">
        <v>1040</v>
      </c>
      <c r="D317" s="12" t="s">
        <v>1041</v>
      </c>
      <c r="E317" s="12" t="s">
        <v>1061</v>
      </c>
      <c r="F317" s="12" t="s">
        <v>1074</v>
      </c>
      <c r="G317" s="12" t="s">
        <v>1075</v>
      </c>
      <c r="H317" s="9" t="s">
        <v>61</v>
      </c>
      <c r="I317" s="25">
        <v>1.8</v>
      </c>
      <c r="J317" s="26">
        <f t="shared" si="49"/>
        <v>0.2</v>
      </c>
      <c r="K317" s="20">
        <f t="shared" si="42"/>
        <v>2.16</v>
      </c>
      <c r="L317" s="25">
        <v>2.2000000000000002</v>
      </c>
      <c r="M317" s="26">
        <f t="shared" si="50"/>
        <v>0.12</v>
      </c>
      <c r="N317" s="20">
        <f t="shared" si="43"/>
        <v>2.4640000000000004</v>
      </c>
      <c r="O317" s="27">
        <f t="shared" si="44"/>
        <v>4.6240000000000006</v>
      </c>
      <c r="P317" s="17" t="str">
        <f t="shared" si="45"/>
        <v>Benchmark</v>
      </c>
      <c r="Q317" s="9">
        <v>1</v>
      </c>
      <c r="R317" s="28" t="s">
        <v>2936</v>
      </c>
      <c r="S317" s="29" t="str">
        <f t="shared" si="46"/>
        <v>uPVC / GI conduit incl. bend, coupling, box and support|m</v>
      </c>
      <c r="T317" s="24" t="s">
        <v>2336</v>
      </c>
    </row>
    <row r="318" spans="1:20" ht="15" customHeight="1" x14ac:dyDescent="0.25">
      <c r="A318" s="9" t="s">
        <v>2937</v>
      </c>
      <c r="B318" s="16" t="s">
        <v>865</v>
      </c>
      <c r="C318" s="9" t="s">
        <v>1040</v>
      </c>
      <c r="D318" s="12" t="s">
        <v>1041</v>
      </c>
      <c r="E318" s="12" t="s">
        <v>1061</v>
      </c>
      <c r="F318" s="12" t="s">
        <v>1077</v>
      </c>
      <c r="G318" s="12" t="s">
        <v>1078</v>
      </c>
      <c r="H318" s="9" t="s">
        <v>61</v>
      </c>
      <c r="I318" s="25">
        <v>5</v>
      </c>
      <c r="J318" s="26">
        <f t="shared" si="49"/>
        <v>0.2</v>
      </c>
      <c r="K318" s="20">
        <f t="shared" si="42"/>
        <v>6</v>
      </c>
      <c r="L318" s="25">
        <v>12</v>
      </c>
      <c r="M318" s="26">
        <f t="shared" si="50"/>
        <v>0.12</v>
      </c>
      <c r="N318" s="20">
        <f t="shared" si="43"/>
        <v>13.440000000000001</v>
      </c>
      <c r="O318" s="27">
        <f t="shared" si="44"/>
        <v>19.440000000000001</v>
      </c>
      <c r="P318" s="17" t="str">
        <f t="shared" si="45"/>
        <v>Benchmark</v>
      </c>
      <c r="Q318" s="9">
        <v>1</v>
      </c>
      <c r="R318" s="28" t="s">
        <v>2938</v>
      </c>
      <c r="S318" s="29" t="str">
        <f t="shared" si="46"/>
        <v>Cable ladder incl. support, bend and accessories|m</v>
      </c>
      <c r="T318" s="24" t="s">
        <v>2336</v>
      </c>
    </row>
    <row r="319" spans="1:20" ht="21.75" customHeight="1" x14ac:dyDescent="0.25">
      <c r="A319" s="9" t="s">
        <v>2939</v>
      </c>
      <c r="B319" s="16" t="s">
        <v>865</v>
      </c>
      <c r="C319" s="9" t="s">
        <v>1040</v>
      </c>
      <c r="D319" s="12" t="s">
        <v>1041</v>
      </c>
      <c r="E319" s="12" t="s">
        <v>1080</v>
      </c>
      <c r="F319" s="12" t="s">
        <v>1081</v>
      </c>
      <c r="G319" s="12" t="s">
        <v>1083</v>
      </c>
      <c r="H319" s="9" t="s">
        <v>1082</v>
      </c>
      <c r="I319" s="25">
        <v>6</v>
      </c>
      <c r="J319" s="26">
        <f t="shared" si="49"/>
        <v>0.2</v>
      </c>
      <c r="K319" s="20">
        <f t="shared" si="42"/>
        <v>7.1999999999999993</v>
      </c>
      <c r="L319" s="25">
        <v>14</v>
      </c>
      <c r="M319" s="26">
        <f t="shared" si="50"/>
        <v>0.12</v>
      </c>
      <c r="N319" s="20">
        <f t="shared" si="43"/>
        <v>15.680000000000001</v>
      </c>
      <c r="O319" s="27">
        <f t="shared" si="44"/>
        <v>22.880000000000003</v>
      </c>
      <c r="P319" s="17" t="str">
        <f t="shared" si="45"/>
        <v>Benchmark</v>
      </c>
      <c r="Q319" s="9">
        <v>1</v>
      </c>
      <c r="R319" s="28" t="s">
        <v>2940</v>
      </c>
      <c r="S319" s="29" t="str">
        <f t="shared" si="46"/>
        <v>13A switched socket outlet point incl. wiring, conduit and accessories|point</v>
      </c>
      <c r="T319" s="24" t="s">
        <v>2336</v>
      </c>
    </row>
    <row r="320" spans="1:20" ht="21.75" customHeight="1" x14ac:dyDescent="0.25">
      <c r="A320" s="9" t="s">
        <v>2941</v>
      </c>
      <c r="B320" s="16" t="s">
        <v>865</v>
      </c>
      <c r="C320" s="9" t="s">
        <v>1040</v>
      </c>
      <c r="D320" s="12" t="s">
        <v>1041</v>
      </c>
      <c r="E320" s="12" t="s">
        <v>1080</v>
      </c>
      <c r="F320" s="12" t="s">
        <v>1085</v>
      </c>
      <c r="G320" s="12" t="s">
        <v>1086</v>
      </c>
      <c r="H320" s="9" t="s">
        <v>1082</v>
      </c>
      <c r="I320" s="25">
        <v>5</v>
      </c>
      <c r="J320" s="26">
        <f t="shared" si="49"/>
        <v>0.2</v>
      </c>
      <c r="K320" s="20">
        <f t="shared" si="42"/>
        <v>6</v>
      </c>
      <c r="L320" s="25">
        <v>11</v>
      </c>
      <c r="M320" s="26">
        <f t="shared" si="50"/>
        <v>0.12</v>
      </c>
      <c r="N320" s="20">
        <f t="shared" si="43"/>
        <v>12.32</v>
      </c>
      <c r="O320" s="27">
        <f t="shared" si="44"/>
        <v>18.32</v>
      </c>
      <c r="P320" s="17" t="str">
        <f t="shared" si="45"/>
        <v>Benchmark</v>
      </c>
      <c r="Q320" s="9">
        <v>1</v>
      </c>
      <c r="R320" s="28" t="s">
        <v>2942</v>
      </c>
      <c r="S320" s="29" t="str">
        <f t="shared" si="46"/>
        <v>Lighting switch point incl. wiring, conduit and accessories|point</v>
      </c>
      <c r="T320" s="24" t="s">
        <v>2336</v>
      </c>
    </row>
    <row r="321" spans="1:20" ht="21.75" customHeight="1" x14ac:dyDescent="0.25">
      <c r="A321" s="9" t="s">
        <v>2943</v>
      </c>
      <c r="B321" s="16" t="s">
        <v>865</v>
      </c>
      <c r="C321" s="9" t="s">
        <v>1040</v>
      </c>
      <c r="D321" s="12" t="s">
        <v>1041</v>
      </c>
      <c r="E321" s="12" t="s">
        <v>1080</v>
      </c>
      <c r="F321" s="12" t="s">
        <v>1088</v>
      </c>
      <c r="G321" s="12" t="s">
        <v>1089</v>
      </c>
      <c r="H321" s="9" t="s">
        <v>57</v>
      </c>
      <c r="I321" s="25">
        <v>7</v>
      </c>
      <c r="J321" s="26">
        <f t="shared" si="49"/>
        <v>0.2</v>
      </c>
      <c r="K321" s="20">
        <f t="shared" si="42"/>
        <v>8.4</v>
      </c>
      <c r="L321" s="25">
        <v>22</v>
      </c>
      <c r="M321" s="26">
        <f t="shared" si="50"/>
        <v>0.12</v>
      </c>
      <c r="N321" s="20">
        <f t="shared" si="43"/>
        <v>24.64</v>
      </c>
      <c r="O321" s="27">
        <f t="shared" si="44"/>
        <v>33.04</v>
      </c>
      <c r="P321" s="17" t="str">
        <f t="shared" si="45"/>
        <v>Benchmark</v>
      </c>
      <c r="Q321" s="9">
        <v>1</v>
      </c>
      <c r="R321" s="28" t="s">
        <v>2944</v>
      </c>
      <c r="S321" s="29" t="str">
        <f t="shared" si="46"/>
        <v>Weatherproof isolator incl. wiring and fixing|Nos</v>
      </c>
      <c r="T321" s="24" t="s">
        <v>2336</v>
      </c>
    </row>
    <row r="322" spans="1:20" ht="21.75" customHeight="1" x14ac:dyDescent="0.25">
      <c r="A322" s="9" t="s">
        <v>2945</v>
      </c>
      <c r="B322" s="16" t="s">
        <v>865</v>
      </c>
      <c r="C322" s="9" t="s">
        <v>1040</v>
      </c>
      <c r="D322" s="12" t="s">
        <v>1041</v>
      </c>
      <c r="E322" s="12" t="s">
        <v>1080</v>
      </c>
      <c r="F322" s="12" t="s">
        <v>1091</v>
      </c>
      <c r="G322" s="12" t="s">
        <v>1092</v>
      </c>
      <c r="H322" s="9" t="s">
        <v>1082</v>
      </c>
      <c r="I322" s="25">
        <v>5</v>
      </c>
      <c r="J322" s="26">
        <f t="shared" si="49"/>
        <v>0.2</v>
      </c>
      <c r="K322" s="20">
        <f t="shared" si="42"/>
        <v>6</v>
      </c>
      <c r="L322" s="25">
        <v>9</v>
      </c>
      <c r="M322" s="26">
        <f t="shared" si="50"/>
        <v>0.12</v>
      </c>
      <c r="N322" s="20">
        <f t="shared" si="43"/>
        <v>10.080000000000002</v>
      </c>
      <c r="O322" s="27">
        <f t="shared" si="44"/>
        <v>16.080000000000002</v>
      </c>
      <c r="P322" s="17" t="str">
        <f t="shared" si="45"/>
        <v>Benchmark</v>
      </c>
      <c r="Q322" s="9">
        <v>1</v>
      </c>
      <c r="R322" s="28" t="s">
        <v>2946</v>
      </c>
      <c r="S322" s="29" t="str">
        <f t="shared" si="46"/>
        <v>Wiring point incl. cable, conduit and termination|point</v>
      </c>
      <c r="T322" s="24" t="s">
        <v>2336</v>
      </c>
    </row>
    <row r="323" spans="1:20" ht="15" customHeight="1" x14ac:dyDescent="0.25">
      <c r="A323" s="9" t="s">
        <v>2947</v>
      </c>
      <c r="B323" s="16" t="s">
        <v>865</v>
      </c>
      <c r="C323" s="9" t="s">
        <v>1040</v>
      </c>
      <c r="D323" s="12" t="s">
        <v>1041</v>
      </c>
      <c r="E323" s="12" t="s">
        <v>1094</v>
      </c>
      <c r="F323" s="12" t="s">
        <v>1095</v>
      </c>
      <c r="G323" s="12" t="s">
        <v>1096</v>
      </c>
      <c r="H323" s="9" t="s">
        <v>57</v>
      </c>
      <c r="I323" s="25">
        <v>6</v>
      </c>
      <c r="J323" s="26">
        <f t="shared" si="49"/>
        <v>0.2</v>
      </c>
      <c r="K323" s="20">
        <f t="shared" si="42"/>
        <v>7.1999999999999993</v>
      </c>
      <c r="L323" s="25">
        <v>32</v>
      </c>
      <c r="M323" s="26">
        <f t="shared" si="50"/>
        <v>0.12</v>
      </c>
      <c r="N323" s="20">
        <f t="shared" si="43"/>
        <v>35.840000000000003</v>
      </c>
      <c r="O323" s="27">
        <f t="shared" si="44"/>
        <v>43.040000000000006</v>
      </c>
      <c r="P323" s="17" t="str">
        <f t="shared" si="45"/>
        <v>Benchmark</v>
      </c>
      <c r="Q323" s="9">
        <v>1</v>
      </c>
      <c r="R323" s="28" t="s">
        <v>2948</v>
      </c>
      <c r="S323" s="29" t="str">
        <f t="shared" si="46"/>
        <v>LED interior luminaire incl. lamp, driver, wiring and fixing|Nos</v>
      </c>
      <c r="T323" s="24" t="s">
        <v>2336</v>
      </c>
    </row>
    <row r="324" spans="1:20" ht="15" customHeight="1" x14ac:dyDescent="0.25">
      <c r="A324" s="9" t="s">
        <v>2949</v>
      </c>
      <c r="B324" s="16" t="s">
        <v>865</v>
      </c>
      <c r="C324" s="9" t="s">
        <v>1040</v>
      </c>
      <c r="D324" s="12" t="s">
        <v>1041</v>
      </c>
      <c r="E324" s="12" t="s">
        <v>1094</v>
      </c>
      <c r="F324" s="12" t="s">
        <v>1098</v>
      </c>
      <c r="G324" s="12" t="s">
        <v>1099</v>
      </c>
      <c r="H324" s="9" t="s">
        <v>57</v>
      </c>
      <c r="I324" s="25">
        <v>14</v>
      </c>
      <c r="J324" s="26">
        <f t="shared" si="49"/>
        <v>0.2</v>
      </c>
      <c r="K324" s="20">
        <f t="shared" si="42"/>
        <v>16.8</v>
      </c>
      <c r="L324" s="25">
        <v>85</v>
      </c>
      <c r="M324" s="26">
        <f t="shared" si="50"/>
        <v>0.12</v>
      </c>
      <c r="N324" s="20">
        <f t="shared" si="43"/>
        <v>95.2</v>
      </c>
      <c r="O324" s="27">
        <f t="shared" si="44"/>
        <v>112</v>
      </c>
      <c r="P324" s="17" t="str">
        <f t="shared" si="45"/>
        <v>Benchmark</v>
      </c>
      <c r="Q324" s="9">
        <v>1</v>
      </c>
      <c r="R324" s="28" t="s">
        <v>2950</v>
      </c>
      <c r="S324" s="29" t="str">
        <f t="shared" si="46"/>
        <v>LED exterior / flood luminaire IP65 incl. pole/bracket and wiring|Nos</v>
      </c>
      <c r="T324" s="24" t="s">
        <v>2336</v>
      </c>
    </row>
    <row r="325" spans="1:20" ht="15" customHeight="1" x14ac:dyDescent="0.25">
      <c r="A325" s="9" t="s">
        <v>2951</v>
      </c>
      <c r="B325" s="16" t="s">
        <v>865</v>
      </c>
      <c r="C325" s="9" t="s">
        <v>1040</v>
      </c>
      <c r="D325" s="12" t="s">
        <v>1041</v>
      </c>
      <c r="E325" s="12" t="s">
        <v>1094</v>
      </c>
      <c r="F325" s="12" t="s">
        <v>1101</v>
      </c>
      <c r="G325" s="12" t="s">
        <v>1102</v>
      </c>
      <c r="H325" s="9" t="s">
        <v>57</v>
      </c>
      <c r="I325" s="25">
        <v>7</v>
      </c>
      <c r="J325" s="26">
        <f t="shared" si="49"/>
        <v>0.2</v>
      </c>
      <c r="K325" s="20">
        <f t="shared" si="42"/>
        <v>8.4</v>
      </c>
      <c r="L325" s="25">
        <v>42</v>
      </c>
      <c r="M325" s="26">
        <f t="shared" si="50"/>
        <v>0.12</v>
      </c>
      <c r="N325" s="20">
        <f t="shared" si="43"/>
        <v>47.040000000000006</v>
      </c>
      <c r="O325" s="27">
        <f t="shared" si="44"/>
        <v>55.440000000000005</v>
      </c>
      <c r="P325" s="17" t="str">
        <f t="shared" si="45"/>
        <v>Benchmark</v>
      </c>
      <c r="Q325" s="9">
        <v>1</v>
      </c>
      <c r="R325" s="28" t="s">
        <v>2952</v>
      </c>
      <c r="S325" s="29" t="str">
        <f t="shared" si="46"/>
        <v>LED emergency light with 3 hour battery backup incl. testing|Nos</v>
      </c>
      <c r="T325" s="24" t="s">
        <v>2336</v>
      </c>
    </row>
    <row r="326" spans="1:20" ht="15" customHeight="1" x14ac:dyDescent="0.25">
      <c r="A326" s="9" t="s">
        <v>2953</v>
      </c>
      <c r="B326" s="16" t="s">
        <v>865</v>
      </c>
      <c r="C326" s="9" t="s">
        <v>1040</v>
      </c>
      <c r="D326" s="12" t="s">
        <v>1041</v>
      </c>
      <c r="E326" s="12" t="s">
        <v>1094</v>
      </c>
      <c r="F326" s="12" t="s">
        <v>1104</v>
      </c>
      <c r="G326" s="12" t="s">
        <v>1105</v>
      </c>
      <c r="H326" s="9" t="s">
        <v>57</v>
      </c>
      <c r="I326" s="25">
        <v>6</v>
      </c>
      <c r="J326" s="26">
        <f t="shared" si="49"/>
        <v>0.2</v>
      </c>
      <c r="K326" s="20">
        <f t="shared" ref="K326:K389" si="51">IFERROR(I326*(1+J326),0)</f>
        <v>7.1999999999999993</v>
      </c>
      <c r="L326" s="25">
        <v>35</v>
      </c>
      <c r="M326" s="26">
        <f t="shared" si="50"/>
        <v>0.12</v>
      </c>
      <c r="N326" s="20">
        <f t="shared" ref="N326:N389" si="52">IFERROR(L326*(1+M326),0)</f>
        <v>39.200000000000003</v>
      </c>
      <c r="O326" s="27">
        <f t="shared" ref="O326:O389" si="53">K326+N326</f>
        <v>46.400000000000006</v>
      </c>
      <c r="P326" s="17" t="str">
        <f t="shared" ref="P326:P389" si="54">IF(N(I326)+N(L326)=0,"To be quoted",IF($T326="P","Priced","Benchmark"))</f>
        <v>Benchmark</v>
      </c>
      <c r="Q326" s="9">
        <v>1</v>
      </c>
      <c r="R326" s="28" t="s">
        <v>2954</v>
      </c>
      <c r="S326" s="29" t="str">
        <f t="shared" ref="S326:S389" si="55">TRIM(G326)&amp;"|"&amp;TRIM(H326)</f>
        <v>LED exit sign with battery backup incl. fixing and testing|Nos</v>
      </c>
      <c r="T326" s="24" t="s">
        <v>2336</v>
      </c>
    </row>
    <row r="327" spans="1:20" ht="15" customHeight="1" x14ac:dyDescent="0.25">
      <c r="A327" s="9" t="s">
        <v>2955</v>
      </c>
      <c r="B327" s="16" t="s">
        <v>865</v>
      </c>
      <c r="C327" s="9" t="s">
        <v>1040</v>
      </c>
      <c r="D327" s="12" t="s">
        <v>1041</v>
      </c>
      <c r="E327" s="12" t="s">
        <v>1094</v>
      </c>
      <c r="F327" s="12" t="s">
        <v>1107</v>
      </c>
      <c r="G327" s="12" t="s">
        <v>1108</v>
      </c>
      <c r="H327" s="9" t="s">
        <v>57</v>
      </c>
      <c r="I327" s="25">
        <v>8</v>
      </c>
      <c r="J327" s="26">
        <f t="shared" si="49"/>
        <v>0.2</v>
      </c>
      <c r="K327" s="20">
        <f t="shared" si="51"/>
        <v>9.6</v>
      </c>
      <c r="L327" s="25">
        <v>38</v>
      </c>
      <c r="M327" s="26">
        <f t="shared" si="50"/>
        <v>0.12</v>
      </c>
      <c r="N327" s="20">
        <f t="shared" si="52"/>
        <v>42.56</v>
      </c>
      <c r="O327" s="27">
        <f t="shared" si="53"/>
        <v>52.160000000000004</v>
      </c>
      <c r="P327" s="17" t="str">
        <f t="shared" si="54"/>
        <v>Benchmark</v>
      </c>
      <c r="Q327" s="9">
        <v>1</v>
      </c>
      <c r="R327" s="28" t="s">
        <v>2956</v>
      </c>
      <c r="S327" s="29" t="str">
        <f t="shared" si="55"/>
        <v>Occupancy / daylight sensor incl. wiring and commissioning|Nos</v>
      </c>
      <c r="T327" s="24" t="s">
        <v>2336</v>
      </c>
    </row>
    <row r="328" spans="1:20" ht="21.75" customHeight="1" x14ac:dyDescent="0.25">
      <c r="A328" s="9" t="s">
        <v>2957</v>
      </c>
      <c r="B328" s="16" t="s">
        <v>865</v>
      </c>
      <c r="C328" s="9" t="s">
        <v>1040</v>
      </c>
      <c r="D328" s="12" t="s">
        <v>1041</v>
      </c>
      <c r="E328" s="12" t="s">
        <v>1110</v>
      </c>
      <c r="F328" s="12" t="s">
        <v>1111</v>
      </c>
      <c r="G328" s="12" t="s">
        <v>1112</v>
      </c>
      <c r="H328" s="9" t="s">
        <v>35</v>
      </c>
      <c r="I328" s="25">
        <v>650</v>
      </c>
      <c r="J328" s="26">
        <f t="shared" si="49"/>
        <v>0.2</v>
      </c>
      <c r="K328" s="20">
        <f t="shared" si="51"/>
        <v>780</v>
      </c>
      <c r="L328" s="25">
        <v>1200</v>
      </c>
      <c r="M328" s="26">
        <f t="shared" si="50"/>
        <v>0.12</v>
      </c>
      <c r="N328" s="20">
        <f t="shared" si="52"/>
        <v>1344.0000000000002</v>
      </c>
      <c r="O328" s="27">
        <f t="shared" si="53"/>
        <v>2124</v>
      </c>
      <c r="P328" s="17" t="str">
        <f t="shared" si="54"/>
        <v>Benchmark</v>
      </c>
      <c r="Q328" s="9">
        <v>1</v>
      </c>
      <c r="R328" s="28" t="s">
        <v>2958</v>
      </c>
      <c r="S328" s="29" t="str">
        <f t="shared" si="55"/>
        <v>Earthing system incl. conductor, bonding and testing|Lot</v>
      </c>
      <c r="T328" s="24" t="s">
        <v>2336</v>
      </c>
    </row>
    <row r="329" spans="1:20" ht="21.75" customHeight="1" x14ac:dyDescent="0.25">
      <c r="A329" s="9" t="s">
        <v>2959</v>
      </c>
      <c r="B329" s="16" t="s">
        <v>865</v>
      </c>
      <c r="C329" s="9" t="s">
        <v>1040</v>
      </c>
      <c r="D329" s="12" t="s">
        <v>1041</v>
      </c>
      <c r="E329" s="12" t="s">
        <v>1110</v>
      </c>
      <c r="F329" s="12" t="s">
        <v>1114</v>
      </c>
      <c r="G329" s="12" t="s">
        <v>1115</v>
      </c>
      <c r="H329" s="9" t="s">
        <v>57</v>
      </c>
      <c r="I329" s="25">
        <v>25</v>
      </c>
      <c r="J329" s="26">
        <f t="shared" si="49"/>
        <v>0.2</v>
      </c>
      <c r="K329" s="20">
        <f t="shared" si="51"/>
        <v>30</v>
      </c>
      <c r="L329" s="25">
        <v>65</v>
      </c>
      <c r="M329" s="26">
        <f t="shared" si="50"/>
        <v>0.12</v>
      </c>
      <c r="N329" s="20">
        <f t="shared" si="52"/>
        <v>72.800000000000011</v>
      </c>
      <c r="O329" s="27">
        <f t="shared" si="53"/>
        <v>102.80000000000001</v>
      </c>
      <c r="P329" s="17" t="str">
        <f t="shared" si="54"/>
        <v>Benchmark</v>
      </c>
      <c r="Q329" s="9">
        <v>1</v>
      </c>
      <c r="R329" s="28" t="s">
        <v>2960</v>
      </c>
      <c r="S329" s="29" t="str">
        <f t="shared" si="55"/>
        <v>Copper earth rod with inspection pit incl. clamp and testing|Nos</v>
      </c>
      <c r="T329" s="24" t="s">
        <v>2336</v>
      </c>
    </row>
    <row r="330" spans="1:20" ht="21.75" customHeight="1" x14ac:dyDescent="0.25">
      <c r="A330" s="9" t="s">
        <v>2961</v>
      </c>
      <c r="B330" s="16" t="s">
        <v>865</v>
      </c>
      <c r="C330" s="9" t="s">
        <v>1040</v>
      </c>
      <c r="D330" s="12" t="s">
        <v>1041</v>
      </c>
      <c r="E330" s="12" t="s">
        <v>1110</v>
      </c>
      <c r="F330" s="12" t="s">
        <v>1117</v>
      </c>
      <c r="G330" s="12" t="s">
        <v>1118</v>
      </c>
      <c r="H330" s="9" t="s">
        <v>57</v>
      </c>
      <c r="I330" s="25">
        <v>35</v>
      </c>
      <c r="J330" s="26">
        <f t="shared" si="49"/>
        <v>0.2</v>
      </c>
      <c r="K330" s="20">
        <f t="shared" si="51"/>
        <v>42</v>
      </c>
      <c r="L330" s="25">
        <v>120</v>
      </c>
      <c r="M330" s="26">
        <f t="shared" si="50"/>
        <v>0.12</v>
      </c>
      <c r="N330" s="20">
        <f t="shared" si="52"/>
        <v>134.4</v>
      </c>
      <c r="O330" s="27">
        <f t="shared" si="53"/>
        <v>176.4</v>
      </c>
      <c r="P330" s="17" t="str">
        <f t="shared" si="54"/>
        <v>Benchmark</v>
      </c>
      <c r="Q330" s="9">
        <v>1</v>
      </c>
      <c r="R330" s="28" t="s">
        <v>2962</v>
      </c>
      <c r="S330" s="29" t="str">
        <f t="shared" si="55"/>
        <v>Lightning air terminal incl. base, mast and connection|Nos</v>
      </c>
      <c r="T330" s="24" t="s">
        <v>2336</v>
      </c>
    </row>
    <row r="331" spans="1:20" ht="21.75" customHeight="1" x14ac:dyDescent="0.25">
      <c r="A331" s="9" t="s">
        <v>2963</v>
      </c>
      <c r="B331" s="16" t="s">
        <v>865</v>
      </c>
      <c r="C331" s="9" t="s">
        <v>1040</v>
      </c>
      <c r="D331" s="12" t="s">
        <v>1041</v>
      </c>
      <c r="E331" s="12" t="s">
        <v>1110</v>
      </c>
      <c r="F331" s="12" t="s">
        <v>1120</v>
      </c>
      <c r="G331" s="12" t="s">
        <v>1121</v>
      </c>
      <c r="H331" s="9" t="s">
        <v>61</v>
      </c>
      <c r="I331" s="25">
        <v>4</v>
      </c>
      <c r="J331" s="26">
        <f t="shared" si="49"/>
        <v>0.2</v>
      </c>
      <c r="K331" s="20">
        <f t="shared" si="51"/>
        <v>4.8</v>
      </c>
      <c r="L331" s="25">
        <v>9</v>
      </c>
      <c r="M331" s="26">
        <f t="shared" si="50"/>
        <v>0.12</v>
      </c>
      <c r="N331" s="20">
        <f t="shared" si="52"/>
        <v>10.080000000000002</v>
      </c>
      <c r="O331" s="27">
        <f t="shared" si="53"/>
        <v>14.880000000000003</v>
      </c>
      <c r="P331" s="17" t="str">
        <f t="shared" si="54"/>
        <v>Benchmark</v>
      </c>
      <c r="Q331" s="9">
        <v>1</v>
      </c>
      <c r="R331" s="28" t="s">
        <v>2964</v>
      </c>
      <c r="S331" s="29" t="str">
        <f t="shared" si="55"/>
        <v>Lightning down conductor incl. clamp, tape and test joint|m</v>
      </c>
      <c r="T331" s="24" t="s">
        <v>2336</v>
      </c>
    </row>
    <row r="332" spans="1:20" ht="15" customHeight="1" x14ac:dyDescent="0.25">
      <c r="A332" s="9" t="s">
        <v>2965</v>
      </c>
      <c r="B332" s="16" t="s">
        <v>865</v>
      </c>
      <c r="C332" s="9" t="s">
        <v>1040</v>
      </c>
      <c r="D332" s="12" t="s">
        <v>1041</v>
      </c>
      <c r="E332" s="12" t="s">
        <v>1123</v>
      </c>
      <c r="F332" s="12" t="s">
        <v>1124</v>
      </c>
      <c r="G332" s="12" t="s">
        <v>1125</v>
      </c>
      <c r="H332" s="9" t="s">
        <v>57</v>
      </c>
      <c r="I332" s="25">
        <v>0</v>
      </c>
      <c r="J332" s="26">
        <v>0</v>
      </c>
      <c r="K332" s="20">
        <f t="shared" si="51"/>
        <v>0</v>
      </c>
      <c r="L332" s="25">
        <v>32000</v>
      </c>
      <c r="M332" s="26">
        <v>0.1</v>
      </c>
      <c r="N332" s="20">
        <f t="shared" si="52"/>
        <v>35200</v>
      </c>
      <c r="O332" s="27">
        <f t="shared" si="53"/>
        <v>35200</v>
      </c>
      <c r="P332" s="17" t="str">
        <f t="shared" si="54"/>
        <v>Benchmark</v>
      </c>
      <c r="Q332" s="9">
        <v>1</v>
      </c>
      <c r="R332" s="28" t="s">
        <v>2966</v>
      </c>
      <c r="S332" s="29" t="str">
        <f t="shared" si="55"/>
        <v>Diesel generator set incl. canopy, base, exhaust and commissioning|Nos</v>
      </c>
      <c r="T332" s="24" t="s">
        <v>2336</v>
      </c>
    </row>
    <row r="333" spans="1:20" ht="21.75" customHeight="1" x14ac:dyDescent="0.25">
      <c r="A333" s="9" t="s">
        <v>2967</v>
      </c>
      <c r="B333" s="16" t="s">
        <v>865</v>
      </c>
      <c r="C333" s="9" t="s">
        <v>1040</v>
      </c>
      <c r="D333" s="12" t="s">
        <v>1041</v>
      </c>
      <c r="E333" s="12" t="s">
        <v>1123</v>
      </c>
      <c r="F333" s="12" t="s">
        <v>1127</v>
      </c>
      <c r="G333" s="12" t="s">
        <v>1128</v>
      </c>
      <c r="H333" s="9" t="s">
        <v>57</v>
      </c>
      <c r="I333" s="25">
        <v>0</v>
      </c>
      <c r="J333" s="26">
        <v>0</v>
      </c>
      <c r="K333" s="20">
        <f t="shared" si="51"/>
        <v>0</v>
      </c>
      <c r="L333" s="25">
        <v>2800</v>
      </c>
      <c r="M333" s="26">
        <v>0.1</v>
      </c>
      <c r="N333" s="20">
        <f t="shared" si="52"/>
        <v>3080.0000000000005</v>
      </c>
      <c r="O333" s="27">
        <f t="shared" si="53"/>
        <v>3080.0000000000005</v>
      </c>
      <c r="P333" s="17" t="str">
        <f t="shared" si="54"/>
        <v>Benchmark</v>
      </c>
      <c r="Q333" s="9">
        <v>1</v>
      </c>
      <c r="R333" s="28" t="s">
        <v>2968</v>
      </c>
      <c r="S333" s="29" t="str">
        <f t="shared" si="55"/>
        <v>Automatic transfer switch incl. controller and wiring|Nos</v>
      </c>
      <c r="T333" s="24" t="s">
        <v>2336</v>
      </c>
    </row>
    <row r="334" spans="1:20" ht="15" customHeight="1" x14ac:dyDescent="0.25">
      <c r="A334" s="9" t="s">
        <v>2969</v>
      </c>
      <c r="B334" s="16" t="s">
        <v>865</v>
      </c>
      <c r="C334" s="9" t="s">
        <v>1040</v>
      </c>
      <c r="D334" s="12" t="s">
        <v>1041</v>
      </c>
      <c r="E334" s="12" t="s">
        <v>1123</v>
      </c>
      <c r="F334" s="12" t="s">
        <v>1130</v>
      </c>
      <c r="G334" s="12" t="s">
        <v>1131</v>
      </c>
      <c r="H334" s="9" t="s">
        <v>57</v>
      </c>
      <c r="I334" s="25">
        <v>0</v>
      </c>
      <c r="J334" s="26">
        <v>0</v>
      </c>
      <c r="K334" s="20">
        <f t="shared" si="51"/>
        <v>0</v>
      </c>
      <c r="L334" s="25">
        <v>3500</v>
      </c>
      <c r="M334" s="26">
        <v>0.1</v>
      </c>
      <c r="N334" s="20">
        <f t="shared" si="52"/>
        <v>3850.0000000000005</v>
      </c>
      <c r="O334" s="27">
        <f t="shared" si="53"/>
        <v>3850.0000000000005</v>
      </c>
      <c r="P334" s="17" t="str">
        <f t="shared" si="54"/>
        <v>Benchmark</v>
      </c>
      <c r="Q334" s="9">
        <v>1</v>
      </c>
      <c r="R334" s="28" t="s">
        <v>2970</v>
      </c>
      <c r="S334" s="29" t="str">
        <f t="shared" si="55"/>
        <v>Uninterruptible power supply incl. battery, cabinet and commissioning|Nos</v>
      </c>
      <c r="T334" s="24" t="s">
        <v>2336</v>
      </c>
    </row>
    <row r="335" spans="1:20" ht="15" customHeight="1" x14ac:dyDescent="0.25">
      <c r="A335" s="9" t="s">
        <v>2971</v>
      </c>
      <c r="B335" s="16" t="s">
        <v>865</v>
      </c>
      <c r="C335" s="9" t="s">
        <v>1040</v>
      </c>
      <c r="D335" s="12" t="s">
        <v>1041</v>
      </c>
      <c r="E335" s="12" t="s">
        <v>1123</v>
      </c>
      <c r="F335" s="12" t="s">
        <v>1133</v>
      </c>
      <c r="G335" s="12" t="s">
        <v>1134</v>
      </c>
      <c r="H335" s="9" t="s">
        <v>35</v>
      </c>
      <c r="I335" s="25">
        <v>350</v>
      </c>
      <c r="J335" s="26">
        <f t="shared" ref="J335:J371" si="56">_STDLAB</f>
        <v>0.2</v>
      </c>
      <c r="K335" s="20">
        <f t="shared" si="51"/>
        <v>420</v>
      </c>
      <c r="L335" s="25">
        <v>1650</v>
      </c>
      <c r="M335" s="26">
        <f t="shared" ref="M335:M371" si="57">_STDMAT</f>
        <v>0.12</v>
      </c>
      <c r="N335" s="20">
        <f t="shared" si="52"/>
        <v>1848.0000000000002</v>
      </c>
      <c r="O335" s="27">
        <f t="shared" si="53"/>
        <v>2268</v>
      </c>
      <c r="P335" s="17" t="str">
        <f t="shared" si="54"/>
        <v>Benchmark</v>
      </c>
      <c r="Q335" s="9">
        <v>1</v>
      </c>
      <c r="R335" s="28" t="s">
        <v>2972</v>
      </c>
      <c r="S335" s="29" t="str">
        <f t="shared" si="55"/>
        <v>Diesel fuel tank incl. piping, valve, level gauge and bund|Lot</v>
      </c>
      <c r="T335" s="24" t="s">
        <v>2336</v>
      </c>
    </row>
    <row r="336" spans="1:20" ht="15" customHeight="1" x14ac:dyDescent="0.25">
      <c r="A336" s="9" t="s">
        <v>2973</v>
      </c>
      <c r="B336" s="16" t="s">
        <v>865</v>
      </c>
      <c r="C336" s="9" t="s">
        <v>1136</v>
      </c>
      <c r="D336" s="12" t="s">
        <v>1137</v>
      </c>
      <c r="E336" s="12" t="s">
        <v>1138</v>
      </c>
      <c r="F336" s="12" t="s">
        <v>1139</v>
      </c>
      <c r="G336" s="12" t="s">
        <v>1140</v>
      </c>
      <c r="H336" s="9" t="s">
        <v>57</v>
      </c>
      <c r="I336" s="25">
        <v>250</v>
      </c>
      <c r="J336" s="26">
        <f t="shared" si="56"/>
        <v>0.2</v>
      </c>
      <c r="K336" s="20">
        <f t="shared" si="51"/>
        <v>300</v>
      </c>
      <c r="L336" s="25">
        <v>2400</v>
      </c>
      <c r="M336" s="26">
        <f t="shared" si="57"/>
        <v>0.12</v>
      </c>
      <c r="N336" s="20">
        <f t="shared" si="52"/>
        <v>2688.0000000000005</v>
      </c>
      <c r="O336" s="27">
        <f t="shared" si="53"/>
        <v>2988.0000000000005</v>
      </c>
      <c r="P336" s="17" t="str">
        <f t="shared" si="54"/>
        <v>Benchmark</v>
      </c>
      <c r="Q336" s="9">
        <v>1</v>
      </c>
      <c r="R336" s="28" t="s">
        <v>2974</v>
      </c>
      <c r="S336" s="29" t="str">
        <f t="shared" si="55"/>
        <v>Addressable fire alarm control panel incl. battery and programming|Nos</v>
      </c>
      <c r="T336" s="24" t="s">
        <v>2336</v>
      </c>
    </row>
    <row r="337" spans="1:20" ht="15" customHeight="1" x14ac:dyDescent="0.25">
      <c r="A337" s="9" t="s">
        <v>2975</v>
      </c>
      <c r="B337" s="16" t="s">
        <v>865</v>
      </c>
      <c r="C337" s="9" t="s">
        <v>1136</v>
      </c>
      <c r="D337" s="12" t="s">
        <v>1137</v>
      </c>
      <c r="E337" s="12" t="s">
        <v>1138</v>
      </c>
      <c r="F337" s="12" t="s">
        <v>1142</v>
      </c>
      <c r="G337" s="12" t="s">
        <v>1143</v>
      </c>
      <c r="H337" s="9" t="s">
        <v>57</v>
      </c>
      <c r="I337" s="25">
        <v>9</v>
      </c>
      <c r="J337" s="26">
        <f t="shared" si="56"/>
        <v>0.2</v>
      </c>
      <c r="K337" s="20">
        <f t="shared" si="51"/>
        <v>10.799999999999999</v>
      </c>
      <c r="L337" s="25">
        <v>42</v>
      </c>
      <c r="M337" s="26">
        <f t="shared" si="57"/>
        <v>0.12</v>
      </c>
      <c r="N337" s="20">
        <f t="shared" si="52"/>
        <v>47.040000000000006</v>
      </c>
      <c r="O337" s="27">
        <f t="shared" si="53"/>
        <v>57.84</v>
      </c>
      <c r="P337" s="17" t="str">
        <f t="shared" si="54"/>
        <v>Benchmark</v>
      </c>
      <c r="Q337" s="9">
        <v>1</v>
      </c>
      <c r="R337" s="28" t="s">
        <v>2976</v>
      </c>
      <c r="S337" s="29" t="str">
        <f t="shared" si="55"/>
        <v>Addressable smoke / heat detector incl. base and wiring|Nos</v>
      </c>
      <c r="T337" s="24" t="s">
        <v>2336</v>
      </c>
    </row>
    <row r="338" spans="1:20" ht="15" customHeight="1" x14ac:dyDescent="0.25">
      <c r="A338" s="9" t="s">
        <v>2977</v>
      </c>
      <c r="B338" s="16" t="s">
        <v>865</v>
      </c>
      <c r="C338" s="9" t="s">
        <v>1136</v>
      </c>
      <c r="D338" s="12" t="s">
        <v>1137</v>
      </c>
      <c r="E338" s="12" t="s">
        <v>1138</v>
      </c>
      <c r="F338" s="12" t="s">
        <v>1145</v>
      </c>
      <c r="G338" s="12" t="s">
        <v>1146</v>
      </c>
      <c r="H338" s="9" t="s">
        <v>57</v>
      </c>
      <c r="I338" s="25">
        <v>8</v>
      </c>
      <c r="J338" s="26">
        <f t="shared" si="56"/>
        <v>0.2</v>
      </c>
      <c r="K338" s="20">
        <f t="shared" si="51"/>
        <v>9.6</v>
      </c>
      <c r="L338" s="25">
        <v>35</v>
      </c>
      <c r="M338" s="26">
        <f t="shared" si="57"/>
        <v>0.12</v>
      </c>
      <c r="N338" s="20">
        <f t="shared" si="52"/>
        <v>39.200000000000003</v>
      </c>
      <c r="O338" s="27">
        <f t="shared" si="53"/>
        <v>48.800000000000004</v>
      </c>
      <c r="P338" s="17" t="str">
        <f t="shared" si="54"/>
        <v>Benchmark</v>
      </c>
      <c r="Q338" s="9">
        <v>1</v>
      </c>
      <c r="R338" s="28" t="s">
        <v>2978</v>
      </c>
      <c r="S338" s="29" t="str">
        <f t="shared" si="55"/>
        <v>Manual call point incl. back box and wiring|Nos</v>
      </c>
      <c r="T338" s="24" t="s">
        <v>2336</v>
      </c>
    </row>
    <row r="339" spans="1:20" ht="15" customHeight="1" x14ac:dyDescent="0.25">
      <c r="A339" s="9" t="s">
        <v>2979</v>
      </c>
      <c r="B339" s="16" t="s">
        <v>865</v>
      </c>
      <c r="C339" s="9" t="s">
        <v>1136</v>
      </c>
      <c r="D339" s="12" t="s">
        <v>1137</v>
      </c>
      <c r="E339" s="12" t="s">
        <v>1138</v>
      </c>
      <c r="F339" s="12" t="s">
        <v>1148</v>
      </c>
      <c r="G339" s="12" t="s">
        <v>1149</v>
      </c>
      <c r="H339" s="9" t="s">
        <v>57</v>
      </c>
      <c r="I339" s="25">
        <v>8</v>
      </c>
      <c r="J339" s="26">
        <f t="shared" si="56"/>
        <v>0.2</v>
      </c>
      <c r="K339" s="20">
        <f t="shared" si="51"/>
        <v>9.6</v>
      </c>
      <c r="L339" s="25">
        <v>38</v>
      </c>
      <c r="M339" s="26">
        <f t="shared" si="57"/>
        <v>0.12</v>
      </c>
      <c r="N339" s="20">
        <f t="shared" si="52"/>
        <v>42.56</v>
      </c>
      <c r="O339" s="27">
        <f t="shared" si="53"/>
        <v>52.160000000000004</v>
      </c>
      <c r="P339" s="17" t="str">
        <f t="shared" si="54"/>
        <v>Benchmark</v>
      </c>
      <c r="Q339" s="9">
        <v>1</v>
      </c>
      <c r="R339" s="28" t="s">
        <v>2980</v>
      </c>
      <c r="S339" s="29" t="str">
        <f t="shared" si="55"/>
        <v>Alarm bell / sounder incl. wiring and testing|Nos</v>
      </c>
      <c r="T339" s="24" t="s">
        <v>2336</v>
      </c>
    </row>
    <row r="340" spans="1:20" ht="15" customHeight="1" x14ac:dyDescent="0.25">
      <c r="A340" s="9" t="s">
        <v>2981</v>
      </c>
      <c r="B340" s="16" t="s">
        <v>865</v>
      </c>
      <c r="C340" s="9" t="s">
        <v>1136</v>
      </c>
      <c r="D340" s="12" t="s">
        <v>1137</v>
      </c>
      <c r="E340" s="12" t="s">
        <v>1151</v>
      </c>
      <c r="F340" s="12" t="s">
        <v>1152</v>
      </c>
      <c r="G340" s="12" t="s">
        <v>1153</v>
      </c>
      <c r="H340" s="9" t="s">
        <v>57</v>
      </c>
      <c r="I340" s="25">
        <v>18</v>
      </c>
      <c r="J340" s="26">
        <f t="shared" si="56"/>
        <v>0.2</v>
      </c>
      <c r="K340" s="20">
        <f t="shared" si="51"/>
        <v>21.599999999999998</v>
      </c>
      <c r="L340" s="25">
        <v>135</v>
      </c>
      <c r="M340" s="26">
        <f t="shared" si="57"/>
        <v>0.12</v>
      </c>
      <c r="N340" s="20">
        <f t="shared" si="52"/>
        <v>151.20000000000002</v>
      </c>
      <c r="O340" s="27">
        <f t="shared" si="53"/>
        <v>172.8</v>
      </c>
      <c r="P340" s="17" t="str">
        <f t="shared" si="54"/>
        <v>Benchmark</v>
      </c>
      <c r="Q340" s="9">
        <v>1</v>
      </c>
      <c r="R340" s="28" t="s">
        <v>2982</v>
      </c>
      <c r="S340" s="29" t="str">
        <f t="shared" si="55"/>
        <v>IP CCTV camera incl. bracket, cabling and configuration|Nos</v>
      </c>
      <c r="T340" s="24" t="s">
        <v>2336</v>
      </c>
    </row>
    <row r="341" spans="1:20" ht="15" customHeight="1" x14ac:dyDescent="0.25">
      <c r="A341" s="9" t="s">
        <v>2983</v>
      </c>
      <c r="B341" s="16" t="s">
        <v>865</v>
      </c>
      <c r="C341" s="9" t="s">
        <v>1136</v>
      </c>
      <c r="D341" s="12" t="s">
        <v>1137</v>
      </c>
      <c r="E341" s="12" t="s">
        <v>1151</v>
      </c>
      <c r="F341" s="12" t="s">
        <v>1155</v>
      </c>
      <c r="G341" s="12" t="s">
        <v>1156</v>
      </c>
      <c r="H341" s="9" t="s">
        <v>57</v>
      </c>
      <c r="I341" s="25">
        <v>60</v>
      </c>
      <c r="J341" s="26">
        <f t="shared" si="56"/>
        <v>0.2</v>
      </c>
      <c r="K341" s="20">
        <f t="shared" si="51"/>
        <v>72</v>
      </c>
      <c r="L341" s="25">
        <v>750</v>
      </c>
      <c r="M341" s="26">
        <f t="shared" si="57"/>
        <v>0.12</v>
      </c>
      <c r="N341" s="20">
        <f t="shared" si="52"/>
        <v>840.00000000000011</v>
      </c>
      <c r="O341" s="27">
        <f t="shared" si="53"/>
        <v>912.00000000000011</v>
      </c>
      <c r="P341" s="17" t="str">
        <f t="shared" si="54"/>
        <v>Benchmark</v>
      </c>
      <c r="Q341" s="9">
        <v>1</v>
      </c>
      <c r="R341" s="28" t="s">
        <v>2984</v>
      </c>
      <c r="S341" s="29" t="str">
        <f t="shared" si="55"/>
        <v>Network video recorder incl. hard disk, rack and configuration|Nos</v>
      </c>
      <c r="T341" s="24" t="s">
        <v>2336</v>
      </c>
    </row>
    <row r="342" spans="1:20" ht="15" customHeight="1" x14ac:dyDescent="0.25">
      <c r="A342" s="9" t="s">
        <v>2985</v>
      </c>
      <c r="B342" s="16" t="s">
        <v>865</v>
      </c>
      <c r="C342" s="9" t="s">
        <v>1136</v>
      </c>
      <c r="D342" s="12" t="s">
        <v>1137</v>
      </c>
      <c r="E342" s="12" t="s">
        <v>1151</v>
      </c>
      <c r="F342" s="12" t="s">
        <v>1158</v>
      </c>
      <c r="G342" s="12" t="s">
        <v>1159</v>
      </c>
      <c r="H342" s="9" t="s">
        <v>57</v>
      </c>
      <c r="I342" s="25">
        <v>45</v>
      </c>
      <c r="J342" s="26">
        <f t="shared" si="56"/>
        <v>0.2</v>
      </c>
      <c r="K342" s="20">
        <f t="shared" si="51"/>
        <v>54</v>
      </c>
      <c r="L342" s="25">
        <v>320</v>
      </c>
      <c r="M342" s="26">
        <f t="shared" si="57"/>
        <v>0.12</v>
      </c>
      <c r="N342" s="20">
        <f t="shared" si="52"/>
        <v>358.40000000000003</v>
      </c>
      <c r="O342" s="27">
        <f t="shared" si="53"/>
        <v>412.40000000000003</v>
      </c>
      <c r="P342" s="17" t="str">
        <f t="shared" si="54"/>
        <v>Benchmark</v>
      </c>
      <c r="Q342" s="9">
        <v>1</v>
      </c>
      <c r="R342" s="28" t="s">
        <v>2986</v>
      </c>
      <c r="S342" s="29" t="str">
        <f t="shared" si="55"/>
        <v>Door access control set incl. reader, EM lock, button and controller|Nos</v>
      </c>
      <c r="T342" s="24" t="s">
        <v>2336</v>
      </c>
    </row>
    <row r="343" spans="1:20" ht="15" customHeight="1" x14ac:dyDescent="0.25">
      <c r="A343" s="9" t="s">
        <v>2987</v>
      </c>
      <c r="B343" s="16" t="s">
        <v>865</v>
      </c>
      <c r="C343" s="9" t="s">
        <v>1136</v>
      </c>
      <c r="D343" s="12" t="s">
        <v>1137</v>
      </c>
      <c r="E343" s="12" t="s">
        <v>1151</v>
      </c>
      <c r="F343" s="12" t="s">
        <v>1161</v>
      </c>
      <c r="G343" s="12" t="s">
        <v>1162</v>
      </c>
      <c r="H343" s="9" t="s">
        <v>57</v>
      </c>
      <c r="I343" s="25">
        <v>35</v>
      </c>
      <c r="J343" s="26">
        <f t="shared" si="56"/>
        <v>0.2</v>
      </c>
      <c r="K343" s="20">
        <f t="shared" si="51"/>
        <v>42</v>
      </c>
      <c r="L343" s="25">
        <v>220</v>
      </c>
      <c r="M343" s="26">
        <f t="shared" si="57"/>
        <v>0.12</v>
      </c>
      <c r="N343" s="20">
        <f t="shared" si="52"/>
        <v>246.40000000000003</v>
      </c>
      <c r="O343" s="27">
        <f t="shared" si="53"/>
        <v>288.40000000000003</v>
      </c>
      <c r="P343" s="17" t="str">
        <f t="shared" si="54"/>
        <v>Benchmark</v>
      </c>
      <c r="Q343" s="9">
        <v>1</v>
      </c>
      <c r="R343" s="28" t="s">
        <v>2988</v>
      </c>
      <c r="S343" s="29" t="str">
        <f t="shared" si="55"/>
        <v>Audio / video intercom incl. wiring and commissioning|Nos</v>
      </c>
      <c r="T343" s="24" t="s">
        <v>2336</v>
      </c>
    </row>
    <row r="344" spans="1:20" ht="15" customHeight="1" x14ac:dyDescent="0.25">
      <c r="A344" s="9" t="s">
        <v>2989</v>
      </c>
      <c r="B344" s="16" t="s">
        <v>865</v>
      </c>
      <c r="C344" s="9" t="s">
        <v>1136</v>
      </c>
      <c r="D344" s="12" t="s">
        <v>1137</v>
      </c>
      <c r="E344" s="12" t="s">
        <v>1164</v>
      </c>
      <c r="F344" s="12" t="s">
        <v>1165</v>
      </c>
      <c r="G344" s="12" t="s">
        <v>1166</v>
      </c>
      <c r="H344" s="9" t="s">
        <v>1082</v>
      </c>
      <c r="I344" s="25">
        <v>9</v>
      </c>
      <c r="J344" s="26">
        <f t="shared" si="56"/>
        <v>0.2</v>
      </c>
      <c r="K344" s="20">
        <f t="shared" si="51"/>
        <v>10.799999999999999</v>
      </c>
      <c r="L344" s="25">
        <v>28</v>
      </c>
      <c r="M344" s="26">
        <f t="shared" si="57"/>
        <v>0.12</v>
      </c>
      <c r="N344" s="20">
        <f t="shared" si="52"/>
        <v>31.360000000000003</v>
      </c>
      <c r="O344" s="27">
        <f t="shared" si="53"/>
        <v>42.160000000000004</v>
      </c>
      <c r="P344" s="17" t="str">
        <f t="shared" si="54"/>
        <v>Benchmark</v>
      </c>
      <c r="Q344" s="9">
        <v>1</v>
      </c>
      <c r="R344" s="28" t="s">
        <v>2990</v>
      </c>
      <c r="S344" s="29" t="str">
        <f t="shared" si="55"/>
        <v>Cat6 data outlet incl. cable, patch panel termination and testing|point</v>
      </c>
      <c r="T344" s="24" t="s">
        <v>2336</v>
      </c>
    </row>
    <row r="345" spans="1:20" ht="15" customHeight="1" x14ac:dyDescent="0.25">
      <c r="A345" s="9" t="s">
        <v>2991</v>
      </c>
      <c r="B345" s="16" t="s">
        <v>865</v>
      </c>
      <c r="C345" s="9" t="s">
        <v>1136</v>
      </c>
      <c r="D345" s="12" t="s">
        <v>1137</v>
      </c>
      <c r="E345" s="12" t="s">
        <v>1164</v>
      </c>
      <c r="F345" s="12" t="s">
        <v>1168</v>
      </c>
      <c r="G345" s="12" t="s">
        <v>1169</v>
      </c>
      <c r="H345" s="9" t="s">
        <v>57</v>
      </c>
      <c r="I345" s="25">
        <v>90</v>
      </c>
      <c r="J345" s="26">
        <f t="shared" si="56"/>
        <v>0.2</v>
      </c>
      <c r="K345" s="20">
        <f t="shared" si="51"/>
        <v>108</v>
      </c>
      <c r="L345" s="25">
        <v>950</v>
      </c>
      <c r="M345" s="26">
        <f t="shared" si="57"/>
        <v>0.12</v>
      </c>
      <c r="N345" s="20">
        <f t="shared" si="52"/>
        <v>1064</v>
      </c>
      <c r="O345" s="27">
        <f t="shared" si="53"/>
        <v>1172</v>
      </c>
      <c r="P345" s="17" t="str">
        <f t="shared" si="54"/>
        <v>Benchmark</v>
      </c>
      <c r="Q345" s="9">
        <v>1</v>
      </c>
      <c r="R345" s="28" t="s">
        <v>2992</v>
      </c>
      <c r="S345" s="29" t="str">
        <f t="shared" si="55"/>
        <v>Network switch and 19" rack incl. patch panel, PDU and accessories|Nos</v>
      </c>
      <c r="T345" s="24" t="s">
        <v>2336</v>
      </c>
    </row>
    <row r="346" spans="1:20" ht="15" customHeight="1" x14ac:dyDescent="0.25">
      <c r="A346" s="9" t="s">
        <v>2993</v>
      </c>
      <c r="B346" s="16" t="s">
        <v>865</v>
      </c>
      <c r="C346" s="9" t="s">
        <v>1136</v>
      </c>
      <c r="D346" s="12" t="s">
        <v>1137</v>
      </c>
      <c r="E346" s="12" t="s">
        <v>1164</v>
      </c>
      <c r="F346" s="12" t="s">
        <v>1171</v>
      </c>
      <c r="G346" s="12" t="s">
        <v>1172</v>
      </c>
      <c r="H346" s="9" t="s">
        <v>57</v>
      </c>
      <c r="I346" s="25">
        <v>150</v>
      </c>
      <c r="J346" s="26">
        <f t="shared" si="56"/>
        <v>0.2</v>
      </c>
      <c r="K346" s="20">
        <f t="shared" si="51"/>
        <v>180</v>
      </c>
      <c r="L346" s="25">
        <v>1350</v>
      </c>
      <c r="M346" s="26">
        <f t="shared" si="57"/>
        <v>0.12</v>
      </c>
      <c r="N346" s="20">
        <f t="shared" si="52"/>
        <v>1512.0000000000002</v>
      </c>
      <c r="O346" s="27">
        <f t="shared" si="53"/>
        <v>1692.0000000000002</v>
      </c>
      <c r="P346" s="17" t="str">
        <f t="shared" si="54"/>
        <v>Benchmark</v>
      </c>
      <c r="Q346" s="9">
        <v>1</v>
      </c>
      <c r="R346" s="28" t="s">
        <v>2994</v>
      </c>
      <c r="S346" s="29" t="str">
        <f t="shared" si="55"/>
        <v>Telephone system incl. exchange, handset and cabling|Nos</v>
      </c>
      <c r="T346" s="24" t="s">
        <v>2336</v>
      </c>
    </row>
    <row r="347" spans="1:20" ht="15" customHeight="1" x14ac:dyDescent="0.25">
      <c r="A347" s="9" t="s">
        <v>2995</v>
      </c>
      <c r="B347" s="16" t="s">
        <v>865</v>
      </c>
      <c r="C347" s="9" t="s">
        <v>1136</v>
      </c>
      <c r="D347" s="12" t="s">
        <v>1137</v>
      </c>
      <c r="E347" s="12" t="s">
        <v>1164</v>
      </c>
      <c r="F347" s="12" t="s">
        <v>1174</v>
      </c>
      <c r="G347" s="12" t="s">
        <v>1175</v>
      </c>
      <c r="H347" s="9" t="s">
        <v>1082</v>
      </c>
      <c r="I347" s="25">
        <v>7</v>
      </c>
      <c r="J347" s="26">
        <f t="shared" si="56"/>
        <v>0.2</v>
      </c>
      <c r="K347" s="20">
        <f t="shared" si="51"/>
        <v>8.4</v>
      </c>
      <c r="L347" s="25">
        <v>18</v>
      </c>
      <c r="M347" s="26">
        <f t="shared" si="57"/>
        <v>0.12</v>
      </c>
      <c r="N347" s="20">
        <f t="shared" si="52"/>
        <v>20.160000000000004</v>
      </c>
      <c r="O347" s="27">
        <f t="shared" si="53"/>
        <v>28.560000000000002</v>
      </c>
      <c r="P347" s="17" t="str">
        <f t="shared" si="54"/>
        <v>Benchmark</v>
      </c>
      <c r="Q347" s="9">
        <v>1</v>
      </c>
      <c r="R347" s="28" t="s">
        <v>2996</v>
      </c>
      <c r="S347" s="29" t="str">
        <f t="shared" si="55"/>
        <v>MATV / TV outlet incl. coaxial cable, splitter and termination|point</v>
      </c>
      <c r="T347" s="24" t="s">
        <v>2336</v>
      </c>
    </row>
    <row r="348" spans="1:20" ht="15" customHeight="1" x14ac:dyDescent="0.25">
      <c r="A348" s="9" t="s">
        <v>2997</v>
      </c>
      <c r="B348" s="16" t="s">
        <v>865</v>
      </c>
      <c r="C348" s="9" t="s">
        <v>1136</v>
      </c>
      <c r="D348" s="12" t="s">
        <v>1137</v>
      </c>
      <c r="E348" s="12" t="s">
        <v>1164</v>
      </c>
      <c r="F348" s="12" t="s">
        <v>1177</v>
      </c>
      <c r="G348" s="12" t="s">
        <v>1178</v>
      </c>
      <c r="H348" s="9" t="s">
        <v>57</v>
      </c>
      <c r="I348" s="25">
        <v>18</v>
      </c>
      <c r="J348" s="26">
        <f t="shared" si="56"/>
        <v>0.2</v>
      </c>
      <c r="K348" s="20">
        <f t="shared" si="51"/>
        <v>21.599999999999998</v>
      </c>
      <c r="L348" s="25">
        <v>165</v>
      </c>
      <c r="M348" s="26">
        <f t="shared" si="57"/>
        <v>0.12</v>
      </c>
      <c r="N348" s="20">
        <f t="shared" si="52"/>
        <v>184.8</v>
      </c>
      <c r="O348" s="27">
        <f t="shared" si="53"/>
        <v>206.4</v>
      </c>
      <c r="P348" s="17" t="str">
        <f t="shared" si="54"/>
        <v>Benchmark</v>
      </c>
      <c r="Q348" s="9">
        <v>1</v>
      </c>
      <c r="R348" s="28" t="s">
        <v>2998</v>
      </c>
      <c r="S348" s="29" t="str">
        <f t="shared" si="55"/>
        <v>Wireless access point incl. PoE cabling and configuration|Nos</v>
      </c>
      <c r="T348" s="24" t="s">
        <v>2336</v>
      </c>
    </row>
    <row r="349" spans="1:20" ht="21.75" customHeight="1" x14ac:dyDescent="0.25">
      <c r="A349" s="9" t="s">
        <v>2999</v>
      </c>
      <c r="B349" s="16" t="s">
        <v>865</v>
      </c>
      <c r="C349" s="9" t="s">
        <v>1136</v>
      </c>
      <c r="D349" s="12" t="s">
        <v>1137</v>
      </c>
      <c r="E349" s="12" t="s">
        <v>1180</v>
      </c>
      <c r="F349" s="12" t="s">
        <v>1181</v>
      </c>
      <c r="G349" s="12" t="s">
        <v>1182</v>
      </c>
      <c r="H349" s="9" t="s">
        <v>35</v>
      </c>
      <c r="I349" s="25">
        <v>450</v>
      </c>
      <c r="J349" s="26">
        <f t="shared" si="56"/>
        <v>0.2</v>
      </c>
      <c r="K349" s="20">
        <f t="shared" si="51"/>
        <v>540</v>
      </c>
      <c r="L349" s="25">
        <v>3200</v>
      </c>
      <c r="M349" s="26">
        <f t="shared" si="57"/>
        <v>0.12</v>
      </c>
      <c r="N349" s="20">
        <f t="shared" si="52"/>
        <v>3584.0000000000005</v>
      </c>
      <c r="O349" s="27">
        <f t="shared" si="53"/>
        <v>4124</v>
      </c>
      <c r="P349" s="17" t="str">
        <f t="shared" si="54"/>
        <v>Benchmark</v>
      </c>
      <c r="Q349" s="9">
        <v>1</v>
      </c>
      <c r="R349" s="28" t="s">
        <v>3000</v>
      </c>
      <c r="S349" s="29" t="str">
        <f t="shared" si="55"/>
        <v>Public address system incl. amplifier, mixer, microphone and zoning|Lot</v>
      </c>
      <c r="T349" s="24" t="s">
        <v>2336</v>
      </c>
    </row>
    <row r="350" spans="1:20" ht="21.75" customHeight="1" x14ac:dyDescent="0.25">
      <c r="A350" s="9" t="s">
        <v>3001</v>
      </c>
      <c r="B350" s="16" t="s">
        <v>865</v>
      </c>
      <c r="C350" s="9" t="s">
        <v>1136</v>
      </c>
      <c r="D350" s="12" t="s">
        <v>1137</v>
      </c>
      <c r="E350" s="12" t="s">
        <v>1180</v>
      </c>
      <c r="F350" s="12" t="s">
        <v>1184</v>
      </c>
      <c r="G350" s="12" t="s">
        <v>1185</v>
      </c>
      <c r="H350" s="9" t="s">
        <v>57</v>
      </c>
      <c r="I350" s="25">
        <v>9</v>
      </c>
      <c r="J350" s="26">
        <f t="shared" si="56"/>
        <v>0.2</v>
      </c>
      <c r="K350" s="20">
        <f t="shared" si="51"/>
        <v>10.799999999999999</v>
      </c>
      <c r="L350" s="25">
        <v>45</v>
      </c>
      <c r="M350" s="26">
        <f t="shared" si="57"/>
        <v>0.12</v>
      </c>
      <c r="N350" s="20">
        <f t="shared" si="52"/>
        <v>50.400000000000006</v>
      </c>
      <c r="O350" s="27">
        <f t="shared" si="53"/>
        <v>61.2</v>
      </c>
      <c r="P350" s="17" t="str">
        <f t="shared" si="54"/>
        <v>Benchmark</v>
      </c>
      <c r="Q350" s="9">
        <v>1</v>
      </c>
      <c r="R350" s="28" t="s">
        <v>3002</v>
      </c>
      <c r="S350" s="29" t="str">
        <f t="shared" si="55"/>
        <v>Ceiling / wall speaker incl. cabling and termination|Nos</v>
      </c>
      <c r="T350" s="24" t="s">
        <v>2336</v>
      </c>
    </row>
    <row r="351" spans="1:20" ht="21.75" customHeight="1" x14ac:dyDescent="0.25">
      <c r="A351" s="9" t="s">
        <v>3003</v>
      </c>
      <c r="B351" s="16" t="s">
        <v>865</v>
      </c>
      <c r="C351" s="9" t="s">
        <v>1136</v>
      </c>
      <c r="D351" s="12" t="s">
        <v>1137</v>
      </c>
      <c r="E351" s="12" t="s">
        <v>1180</v>
      </c>
      <c r="F351" s="12" t="s">
        <v>1187</v>
      </c>
      <c r="G351" s="12" t="s">
        <v>1188</v>
      </c>
      <c r="H351" s="9" t="s">
        <v>35</v>
      </c>
      <c r="I351" s="25">
        <v>350</v>
      </c>
      <c r="J351" s="26">
        <f t="shared" si="56"/>
        <v>0.2</v>
      </c>
      <c r="K351" s="20">
        <f t="shared" si="51"/>
        <v>420</v>
      </c>
      <c r="L351" s="25">
        <v>2400</v>
      </c>
      <c r="M351" s="26">
        <f t="shared" si="57"/>
        <v>0.12</v>
      </c>
      <c r="N351" s="20">
        <f t="shared" si="52"/>
        <v>2688.0000000000005</v>
      </c>
      <c r="O351" s="27">
        <f t="shared" si="53"/>
        <v>3108.0000000000005</v>
      </c>
      <c r="P351" s="17" t="str">
        <f t="shared" si="54"/>
        <v>Benchmark</v>
      </c>
      <c r="Q351" s="9">
        <v>1</v>
      </c>
      <c r="R351" s="28" t="s">
        <v>3004</v>
      </c>
      <c r="S351" s="29" t="str">
        <f t="shared" si="55"/>
        <v>School bell and master clock system incl. programming|Lot</v>
      </c>
      <c r="T351" s="24" t="s">
        <v>2336</v>
      </c>
    </row>
    <row r="352" spans="1:20" ht="21.75" customHeight="1" x14ac:dyDescent="0.25">
      <c r="A352" s="9" t="s">
        <v>3005</v>
      </c>
      <c r="B352" s="16" t="s">
        <v>865</v>
      </c>
      <c r="C352" s="9" t="s">
        <v>1136</v>
      </c>
      <c r="D352" s="12" t="s">
        <v>1137</v>
      </c>
      <c r="E352" s="12" t="s">
        <v>1180</v>
      </c>
      <c r="F352" s="12" t="s">
        <v>1190</v>
      </c>
      <c r="G352" s="12" t="s">
        <v>1191</v>
      </c>
      <c r="H352" s="9" t="s">
        <v>57</v>
      </c>
      <c r="I352" s="25">
        <v>60</v>
      </c>
      <c r="J352" s="26">
        <f t="shared" si="56"/>
        <v>0.2</v>
      </c>
      <c r="K352" s="20">
        <f t="shared" si="51"/>
        <v>72</v>
      </c>
      <c r="L352" s="25">
        <v>780</v>
      </c>
      <c r="M352" s="26">
        <f t="shared" si="57"/>
        <v>0.12</v>
      </c>
      <c r="N352" s="20">
        <f t="shared" si="52"/>
        <v>873.60000000000014</v>
      </c>
      <c r="O352" s="27">
        <f t="shared" si="53"/>
        <v>945.60000000000014</v>
      </c>
      <c r="P352" s="17" t="str">
        <f t="shared" si="54"/>
        <v>Benchmark</v>
      </c>
      <c r="Q352" s="9">
        <v>1</v>
      </c>
      <c r="R352" s="28" t="s">
        <v>3006</v>
      </c>
      <c r="S352" s="29" t="str">
        <f t="shared" si="55"/>
        <v>Projector with motorized screen incl. mount, cabling and commissioning|Nos</v>
      </c>
      <c r="T352" s="24" t="s">
        <v>2336</v>
      </c>
    </row>
    <row r="353" spans="1:20" ht="21.75" customHeight="1" x14ac:dyDescent="0.25">
      <c r="A353" s="9" t="s">
        <v>3007</v>
      </c>
      <c r="B353" s="16" t="s">
        <v>865</v>
      </c>
      <c r="C353" s="9" t="s">
        <v>1136</v>
      </c>
      <c r="D353" s="12" t="s">
        <v>1137</v>
      </c>
      <c r="E353" s="12" t="s">
        <v>1180</v>
      </c>
      <c r="F353" s="12" t="s">
        <v>1193</v>
      </c>
      <c r="G353" s="12" t="s">
        <v>1194</v>
      </c>
      <c r="H353" s="9" t="s">
        <v>35</v>
      </c>
      <c r="I353" s="25">
        <v>120</v>
      </c>
      <c r="J353" s="26">
        <f t="shared" si="56"/>
        <v>0.2</v>
      </c>
      <c r="K353" s="20">
        <f t="shared" si="51"/>
        <v>144</v>
      </c>
      <c r="L353" s="25">
        <v>950</v>
      </c>
      <c r="M353" s="26">
        <f t="shared" si="57"/>
        <v>0.12</v>
      </c>
      <c r="N353" s="20">
        <f t="shared" si="52"/>
        <v>1064</v>
      </c>
      <c r="O353" s="27">
        <f t="shared" si="53"/>
        <v>1208</v>
      </c>
      <c r="P353" s="17" t="str">
        <f t="shared" si="54"/>
        <v>Benchmark</v>
      </c>
      <c r="Q353" s="9">
        <v>1</v>
      </c>
      <c r="R353" s="28" t="s">
        <v>3008</v>
      </c>
      <c r="S353" s="29" t="str">
        <f t="shared" si="55"/>
        <v>Classroom audio visual system incl. panel, speaker and cabling|Lot</v>
      </c>
      <c r="T353" s="24" t="s">
        <v>2336</v>
      </c>
    </row>
    <row r="354" spans="1:20" ht="15" customHeight="1" x14ac:dyDescent="0.25">
      <c r="A354" s="9" t="s">
        <v>3009</v>
      </c>
      <c r="B354" s="16" t="s">
        <v>865</v>
      </c>
      <c r="C354" s="9" t="s">
        <v>1136</v>
      </c>
      <c r="D354" s="12" t="s">
        <v>1137</v>
      </c>
      <c r="E354" s="12" t="s">
        <v>1196</v>
      </c>
      <c r="F354" s="12" t="s">
        <v>1197</v>
      </c>
      <c r="G354" s="12" t="s">
        <v>1198</v>
      </c>
      <c r="H354" s="9" t="s">
        <v>57</v>
      </c>
      <c r="I354" s="25">
        <v>350</v>
      </c>
      <c r="J354" s="26">
        <f t="shared" si="56"/>
        <v>0.2</v>
      </c>
      <c r="K354" s="20">
        <f t="shared" si="51"/>
        <v>420</v>
      </c>
      <c r="L354" s="25">
        <v>4500</v>
      </c>
      <c r="M354" s="26">
        <f t="shared" si="57"/>
        <v>0.12</v>
      </c>
      <c r="N354" s="20">
        <f t="shared" si="52"/>
        <v>5040.0000000000009</v>
      </c>
      <c r="O354" s="27">
        <f t="shared" si="53"/>
        <v>5460.0000000000009</v>
      </c>
      <c r="P354" s="17" t="str">
        <f t="shared" si="54"/>
        <v>Benchmark</v>
      </c>
      <c r="Q354" s="9">
        <v>1</v>
      </c>
      <c r="R354" s="28" t="s">
        <v>3010</v>
      </c>
      <c r="S354" s="29" t="str">
        <f t="shared" si="55"/>
        <v>Building management system panel incl. controller and graphics|Nos</v>
      </c>
      <c r="T354" s="24" t="s">
        <v>2336</v>
      </c>
    </row>
    <row r="355" spans="1:20" ht="15" customHeight="1" x14ac:dyDescent="0.25">
      <c r="A355" s="9" t="s">
        <v>3011</v>
      </c>
      <c r="B355" s="16" t="s">
        <v>865</v>
      </c>
      <c r="C355" s="9" t="s">
        <v>1136</v>
      </c>
      <c r="D355" s="12" t="s">
        <v>1137</v>
      </c>
      <c r="E355" s="12" t="s">
        <v>1196</v>
      </c>
      <c r="F355" s="12" t="s">
        <v>1200</v>
      </c>
      <c r="G355" s="12" t="s">
        <v>1201</v>
      </c>
      <c r="H355" s="9" t="s">
        <v>57</v>
      </c>
      <c r="I355" s="25">
        <v>18</v>
      </c>
      <c r="J355" s="26">
        <f t="shared" si="56"/>
        <v>0.2</v>
      </c>
      <c r="K355" s="20">
        <f t="shared" si="51"/>
        <v>21.599999999999998</v>
      </c>
      <c r="L355" s="25">
        <v>120</v>
      </c>
      <c r="M355" s="26">
        <f t="shared" si="57"/>
        <v>0.12</v>
      </c>
      <c r="N355" s="20">
        <f t="shared" si="52"/>
        <v>134.4</v>
      </c>
      <c r="O355" s="27">
        <f t="shared" si="53"/>
        <v>156</v>
      </c>
      <c r="P355" s="17" t="str">
        <f t="shared" si="54"/>
        <v>Benchmark</v>
      </c>
      <c r="Q355" s="9">
        <v>1</v>
      </c>
      <c r="R355" s="28" t="s">
        <v>3012</v>
      </c>
      <c r="S355" s="29" t="str">
        <f t="shared" si="55"/>
        <v>BMS field device / sensor incl. wiring and calibration|Nos</v>
      </c>
      <c r="T355" s="24" t="s">
        <v>2336</v>
      </c>
    </row>
    <row r="356" spans="1:20" ht="15" customHeight="1" x14ac:dyDescent="0.25">
      <c r="A356" s="9" t="s">
        <v>3013</v>
      </c>
      <c r="B356" s="16" t="s">
        <v>865</v>
      </c>
      <c r="C356" s="9" t="s">
        <v>1203</v>
      </c>
      <c r="D356" s="12" t="s">
        <v>1204</v>
      </c>
      <c r="E356" s="12" t="s">
        <v>1205</v>
      </c>
      <c r="F356" s="12" t="s">
        <v>1206</v>
      </c>
      <c r="G356" s="12" t="s">
        <v>1207</v>
      </c>
      <c r="H356" s="9" t="s">
        <v>61</v>
      </c>
      <c r="I356" s="25">
        <v>4.5</v>
      </c>
      <c r="J356" s="26">
        <f t="shared" si="56"/>
        <v>0.2</v>
      </c>
      <c r="K356" s="20">
        <f t="shared" si="51"/>
        <v>5.3999999999999995</v>
      </c>
      <c r="L356" s="25">
        <v>6.5</v>
      </c>
      <c r="M356" s="26">
        <f t="shared" si="57"/>
        <v>0.12</v>
      </c>
      <c r="N356" s="20">
        <f t="shared" si="52"/>
        <v>7.2800000000000011</v>
      </c>
      <c r="O356" s="27">
        <f t="shared" si="53"/>
        <v>12.68</v>
      </c>
      <c r="P356" s="17" t="str">
        <f t="shared" si="54"/>
        <v>Benchmark</v>
      </c>
      <c r="Q356" s="9">
        <v>1</v>
      </c>
      <c r="R356" s="28" t="s">
        <v>3014</v>
      </c>
      <c r="S356" s="29" t="str">
        <f t="shared" si="55"/>
        <v>PPR / uPVC cold water piping incl. fitting, valve, support and testing|m</v>
      </c>
      <c r="T356" s="24" t="s">
        <v>2336</v>
      </c>
    </row>
    <row r="357" spans="1:20" ht="15" customHeight="1" x14ac:dyDescent="0.25">
      <c r="A357" s="9" t="s">
        <v>3015</v>
      </c>
      <c r="B357" s="16" t="s">
        <v>865</v>
      </c>
      <c r="C357" s="9" t="s">
        <v>1203</v>
      </c>
      <c r="D357" s="12" t="s">
        <v>1204</v>
      </c>
      <c r="E357" s="12" t="s">
        <v>1205</v>
      </c>
      <c r="F357" s="12" t="s">
        <v>1209</v>
      </c>
      <c r="G357" s="12" t="s">
        <v>1210</v>
      </c>
      <c r="H357" s="9" t="s">
        <v>61</v>
      </c>
      <c r="I357" s="25">
        <v>5.5</v>
      </c>
      <c r="J357" s="26">
        <f t="shared" si="56"/>
        <v>0.2</v>
      </c>
      <c r="K357" s="20">
        <f t="shared" si="51"/>
        <v>6.6</v>
      </c>
      <c r="L357" s="25">
        <v>9.5</v>
      </c>
      <c r="M357" s="26">
        <f t="shared" si="57"/>
        <v>0.12</v>
      </c>
      <c r="N357" s="20">
        <f t="shared" si="52"/>
        <v>10.64</v>
      </c>
      <c r="O357" s="27">
        <f t="shared" si="53"/>
        <v>17.240000000000002</v>
      </c>
      <c r="P357" s="17" t="str">
        <f t="shared" si="54"/>
        <v>Benchmark</v>
      </c>
      <c r="Q357" s="9">
        <v>1</v>
      </c>
      <c r="R357" s="28" t="s">
        <v>3016</v>
      </c>
      <c r="S357" s="29" t="str">
        <f t="shared" si="55"/>
        <v>PPR hot water piping incl. insulation, fitting and testing|m</v>
      </c>
      <c r="T357" s="24" t="s">
        <v>2336</v>
      </c>
    </row>
    <row r="358" spans="1:20" ht="15" customHeight="1" x14ac:dyDescent="0.25">
      <c r="A358" s="9" t="s">
        <v>3017</v>
      </c>
      <c r="B358" s="16" t="s">
        <v>865</v>
      </c>
      <c r="C358" s="9" t="s">
        <v>1203</v>
      </c>
      <c r="D358" s="12" t="s">
        <v>1204</v>
      </c>
      <c r="E358" s="12" t="s">
        <v>1205</v>
      </c>
      <c r="F358" s="12" t="s">
        <v>1213</v>
      </c>
      <c r="G358" s="12" t="s">
        <v>1214</v>
      </c>
      <c r="H358" s="9" t="s">
        <v>57</v>
      </c>
      <c r="I358" s="25">
        <v>8</v>
      </c>
      <c r="J358" s="26">
        <f t="shared" si="56"/>
        <v>0.2</v>
      </c>
      <c r="K358" s="20">
        <f t="shared" si="51"/>
        <v>9.6</v>
      </c>
      <c r="L358" s="25">
        <v>32</v>
      </c>
      <c r="M358" s="26">
        <f t="shared" si="57"/>
        <v>0.12</v>
      </c>
      <c r="N358" s="20">
        <f t="shared" si="52"/>
        <v>35.840000000000003</v>
      </c>
      <c r="O358" s="27">
        <f t="shared" si="53"/>
        <v>45.440000000000005</v>
      </c>
      <c r="P358" s="17" t="str">
        <f t="shared" si="54"/>
        <v>Benchmark</v>
      </c>
      <c r="Q358" s="9">
        <v>1</v>
      </c>
      <c r="R358" s="28" t="s">
        <v>3018</v>
      </c>
      <c r="S358" s="29" t="str">
        <f t="shared" si="55"/>
        <v>Gate / check / ball valve incl. flange, gasket and bolt|Nos</v>
      </c>
      <c r="T358" s="24" t="s">
        <v>2336</v>
      </c>
    </row>
    <row r="359" spans="1:20" ht="15" customHeight="1" x14ac:dyDescent="0.25">
      <c r="A359" s="9" t="s">
        <v>3019</v>
      </c>
      <c r="B359" s="16" t="s">
        <v>865</v>
      </c>
      <c r="C359" s="9" t="s">
        <v>1203</v>
      </c>
      <c r="D359" s="12" t="s">
        <v>1204</v>
      </c>
      <c r="E359" s="12" t="s">
        <v>1205</v>
      </c>
      <c r="F359" s="12" t="s">
        <v>1216</v>
      </c>
      <c r="G359" s="12" t="s">
        <v>1217</v>
      </c>
      <c r="H359" s="9" t="s">
        <v>57</v>
      </c>
      <c r="I359" s="25">
        <v>15</v>
      </c>
      <c r="J359" s="26">
        <f t="shared" si="56"/>
        <v>0.2</v>
      </c>
      <c r="K359" s="20">
        <f t="shared" si="51"/>
        <v>18</v>
      </c>
      <c r="L359" s="25">
        <v>85</v>
      </c>
      <c r="M359" s="26">
        <f t="shared" si="57"/>
        <v>0.12</v>
      </c>
      <c r="N359" s="20">
        <f t="shared" si="52"/>
        <v>95.2</v>
      </c>
      <c r="O359" s="27">
        <f t="shared" si="53"/>
        <v>113.2</v>
      </c>
      <c r="P359" s="17" t="str">
        <f t="shared" si="54"/>
        <v>Benchmark</v>
      </c>
      <c r="Q359" s="9">
        <v>1</v>
      </c>
      <c r="R359" s="28" t="s">
        <v>3020</v>
      </c>
      <c r="S359" s="29" t="str">
        <f t="shared" si="55"/>
        <v>Water meter incl. strainer, valve and connection|Nos</v>
      </c>
      <c r="T359" s="24" t="s">
        <v>2336</v>
      </c>
    </row>
    <row r="360" spans="1:20" ht="15" customHeight="1" x14ac:dyDescent="0.25">
      <c r="A360" s="9" t="s">
        <v>3021</v>
      </c>
      <c r="B360" s="16" t="s">
        <v>865</v>
      </c>
      <c r="C360" s="9" t="s">
        <v>1203</v>
      </c>
      <c r="D360" s="12" t="s">
        <v>1204</v>
      </c>
      <c r="E360" s="12" t="s">
        <v>1219</v>
      </c>
      <c r="F360" s="12" t="s">
        <v>1220</v>
      </c>
      <c r="G360" s="12" t="s">
        <v>1221</v>
      </c>
      <c r="H360" s="9" t="s">
        <v>57</v>
      </c>
      <c r="I360" s="25">
        <v>120</v>
      </c>
      <c r="J360" s="26">
        <f t="shared" si="56"/>
        <v>0.2</v>
      </c>
      <c r="K360" s="20">
        <f t="shared" si="51"/>
        <v>144</v>
      </c>
      <c r="L360" s="25">
        <v>950</v>
      </c>
      <c r="M360" s="26">
        <f t="shared" si="57"/>
        <v>0.12</v>
      </c>
      <c r="N360" s="20">
        <f t="shared" si="52"/>
        <v>1064</v>
      </c>
      <c r="O360" s="27">
        <f t="shared" si="53"/>
        <v>1208</v>
      </c>
      <c r="P360" s="17" t="str">
        <f t="shared" si="54"/>
        <v>Benchmark</v>
      </c>
      <c r="Q360" s="9">
        <v>1</v>
      </c>
      <c r="R360" s="28" t="s">
        <v>3022</v>
      </c>
      <c r="S360" s="29" t="str">
        <f t="shared" si="55"/>
        <v>Water storage tank incl. base, level control, pipework and cleaning|Nos</v>
      </c>
      <c r="T360" s="24" t="s">
        <v>2336</v>
      </c>
    </row>
    <row r="361" spans="1:20" ht="15" customHeight="1" x14ac:dyDescent="0.25">
      <c r="A361" s="9" t="s">
        <v>3023</v>
      </c>
      <c r="B361" s="16" t="s">
        <v>865</v>
      </c>
      <c r="C361" s="9" t="s">
        <v>1203</v>
      </c>
      <c r="D361" s="12" t="s">
        <v>1204</v>
      </c>
      <c r="E361" s="12" t="s">
        <v>1219</v>
      </c>
      <c r="F361" s="12" t="s">
        <v>1223</v>
      </c>
      <c r="G361" s="12" t="s">
        <v>1224</v>
      </c>
      <c r="H361" s="9" t="s">
        <v>57</v>
      </c>
      <c r="I361" s="25">
        <v>150</v>
      </c>
      <c r="J361" s="26">
        <f t="shared" si="56"/>
        <v>0.2</v>
      </c>
      <c r="K361" s="20">
        <f t="shared" si="51"/>
        <v>180</v>
      </c>
      <c r="L361" s="25">
        <v>1250</v>
      </c>
      <c r="M361" s="26">
        <f t="shared" si="57"/>
        <v>0.12</v>
      </c>
      <c r="N361" s="20">
        <f t="shared" si="52"/>
        <v>1400.0000000000002</v>
      </c>
      <c r="O361" s="27">
        <f t="shared" si="53"/>
        <v>1580.0000000000002</v>
      </c>
      <c r="P361" s="17" t="str">
        <f t="shared" si="54"/>
        <v>Benchmark</v>
      </c>
      <c r="Q361" s="9">
        <v>1</v>
      </c>
      <c r="R361" s="28" t="s">
        <v>3024</v>
      </c>
      <c r="S361" s="29" t="str">
        <f t="shared" si="55"/>
        <v>Water transfer pump set incl. base, valve, control panel and wiring|Nos</v>
      </c>
      <c r="T361" s="24" t="s">
        <v>2336</v>
      </c>
    </row>
    <row r="362" spans="1:20" ht="15" customHeight="1" x14ac:dyDescent="0.25">
      <c r="A362" s="9" t="s">
        <v>3025</v>
      </c>
      <c r="B362" s="16" t="s">
        <v>865</v>
      </c>
      <c r="C362" s="9" t="s">
        <v>1203</v>
      </c>
      <c r="D362" s="12" t="s">
        <v>1204</v>
      </c>
      <c r="E362" s="12" t="s">
        <v>1219</v>
      </c>
      <c r="F362" s="12" t="s">
        <v>1226</v>
      </c>
      <c r="G362" s="12" t="s">
        <v>1227</v>
      </c>
      <c r="H362" s="9" t="s">
        <v>57</v>
      </c>
      <c r="I362" s="25">
        <v>180</v>
      </c>
      <c r="J362" s="26">
        <f t="shared" si="56"/>
        <v>0.2</v>
      </c>
      <c r="K362" s="20">
        <f t="shared" si="51"/>
        <v>216</v>
      </c>
      <c r="L362" s="25">
        <v>1850</v>
      </c>
      <c r="M362" s="26">
        <f t="shared" si="57"/>
        <v>0.12</v>
      </c>
      <c r="N362" s="20">
        <f t="shared" si="52"/>
        <v>2072</v>
      </c>
      <c r="O362" s="27">
        <f t="shared" si="53"/>
        <v>2288</v>
      </c>
      <c r="P362" s="17" t="str">
        <f t="shared" si="54"/>
        <v>Benchmark</v>
      </c>
      <c r="Q362" s="9">
        <v>1</v>
      </c>
      <c r="R362" s="28" t="s">
        <v>3026</v>
      </c>
      <c r="S362" s="29" t="str">
        <f t="shared" si="55"/>
        <v>Booster pump set with pressure vessel incl. control panel|Nos</v>
      </c>
      <c r="T362" s="24" t="s">
        <v>2336</v>
      </c>
    </row>
    <row r="363" spans="1:20" ht="15" customHeight="1" x14ac:dyDescent="0.25">
      <c r="A363" s="9" t="s">
        <v>3027</v>
      </c>
      <c r="B363" s="16" t="s">
        <v>865</v>
      </c>
      <c r="C363" s="9" t="s">
        <v>1203</v>
      </c>
      <c r="D363" s="12" t="s">
        <v>1204</v>
      </c>
      <c r="E363" s="12" t="s">
        <v>1219</v>
      </c>
      <c r="F363" s="12" t="s">
        <v>1229</v>
      </c>
      <c r="G363" s="12" t="s">
        <v>1230</v>
      </c>
      <c r="H363" s="9" t="s">
        <v>57</v>
      </c>
      <c r="I363" s="25">
        <v>25</v>
      </c>
      <c r="J363" s="26">
        <f t="shared" si="56"/>
        <v>0.2</v>
      </c>
      <c r="K363" s="20">
        <f t="shared" si="51"/>
        <v>30</v>
      </c>
      <c r="L363" s="25">
        <v>145</v>
      </c>
      <c r="M363" s="26">
        <f t="shared" si="57"/>
        <v>0.12</v>
      </c>
      <c r="N363" s="20">
        <f t="shared" si="52"/>
        <v>162.4</v>
      </c>
      <c r="O363" s="27">
        <f t="shared" si="53"/>
        <v>192.4</v>
      </c>
      <c r="P363" s="17" t="str">
        <f t="shared" si="54"/>
        <v>Benchmark</v>
      </c>
      <c r="Q363" s="9">
        <v>1</v>
      </c>
      <c r="R363" s="28" t="s">
        <v>3028</v>
      </c>
      <c r="S363" s="29" t="str">
        <f t="shared" si="55"/>
        <v>Electric water heater incl. safety valve, bracket and wiring|Nos</v>
      </c>
      <c r="T363" s="24" t="s">
        <v>2336</v>
      </c>
    </row>
    <row r="364" spans="1:20" ht="15" customHeight="1" x14ac:dyDescent="0.25">
      <c r="A364" s="9" t="s">
        <v>3029</v>
      </c>
      <c r="B364" s="16" t="s">
        <v>865</v>
      </c>
      <c r="C364" s="9" t="s">
        <v>1203</v>
      </c>
      <c r="D364" s="12" t="s">
        <v>1204</v>
      </c>
      <c r="E364" s="12" t="s">
        <v>1219</v>
      </c>
      <c r="F364" s="12" t="s">
        <v>1232</v>
      </c>
      <c r="G364" s="12" t="s">
        <v>1233</v>
      </c>
      <c r="H364" s="9" t="s">
        <v>35</v>
      </c>
      <c r="I364" s="25">
        <v>120</v>
      </c>
      <c r="J364" s="26">
        <f t="shared" si="56"/>
        <v>0.2</v>
      </c>
      <c r="K364" s="20">
        <f t="shared" si="51"/>
        <v>144</v>
      </c>
      <c r="L364" s="25">
        <v>380</v>
      </c>
      <c r="M364" s="26">
        <f t="shared" si="57"/>
        <v>0.12</v>
      </c>
      <c r="N364" s="20">
        <f t="shared" si="52"/>
        <v>425.6</v>
      </c>
      <c r="O364" s="27">
        <f t="shared" si="53"/>
        <v>569.6</v>
      </c>
      <c r="P364" s="17" t="str">
        <f t="shared" si="54"/>
        <v>Benchmark</v>
      </c>
      <c r="Q364" s="9">
        <v>1</v>
      </c>
      <c r="R364" s="28" t="s">
        <v>3030</v>
      </c>
      <c r="S364" s="29" t="str">
        <f t="shared" si="55"/>
        <v>Water level control system incl. electrode, relay and wiring|Lot</v>
      </c>
      <c r="T364" s="24" t="s">
        <v>2336</v>
      </c>
    </row>
    <row r="365" spans="1:20" ht="15" customHeight="1" x14ac:dyDescent="0.25">
      <c r="A365" s="9" t="s">
        <v>3031</v>
      </c>
      <c r="B365" s="16" t="s">
        <v>865</v>
      </c>
      <c r="C365" s="9" t="s">
        <v>1203</v>
      </c>
      <c r="D365" s="12" t="s">
        <v>1204</v>
      </c>
      <c r="E365" s="12" t="s">
        <v>1235</v>
      </c>
      <c r="F365" s="12" t="s">
        <v>1236</v>
      </c>
      <c r="G365" s="12" t="s">
        <v>1237</v>
      </c>
      <c r="H365" s="9" t="s">
        <v>61</v>
      </c>
      <c r="I365" s="25">
        <v>4.5</v>
      </c>
      <c r="J365" s="26">
        <f t="shared" si="56"/>
        <v>0.2</v>
      </c>
      <c r="K365" s="20">
        <f t="shared" si="51"/>
        <v>5.3999999999999995</v>
      </c>
      <c r="L365" s="25">
        <v>7.5</v>
      </c>
      <c r="M365" s="26">
        <f t="shared" si="57"/>
        <v>0.12</v>
      </c>
      <c r="N365" s="20">
        <f t="shared" si="52"/>
        <v>8.4</v>
      </c>
      <c r="O365" s="27">
        <f t="shared" si="53"/>
        <v>13.8</v>
      </c>
      <c r="P365" s="17" t="str">
        <f t="shared" si="54"/>
        <v>Benchmark</v>
      </c>
      <c r="Q365" s="9">
        <v>1</v>
      </c>
      <c r="R365" s="28" t="s">
        <v>3032</v>
      </c>
      <c r="S365" s="29" t="str">
        <f t="shared" si="55"/>
        <v>uPVC soil pipe incl. fitting, support, jointing and testing|m</v>
      </c>
      <c r="T365" s="24" t="s">
        <v>2336</v>
      </c>
    </row>
    <row r="366" spans="1:20" ht="15" customHeight="1" x14ac:dyDescent="0.25">
      <c r="A366" s="9" t="s">
        <v>3033</v>
      </c>
      <c r="B366" s="16" t="s">
        <v>865</v>
      </c>
      <c r="C366" s="9" t="s">
        <v>1203</v>
      </c>
      <c r="D366" s="12" t="s">
        <v>1204</v>
      </c>
      <c r="E366" s="12" t="s">
        <v>1235</v>
      </c>
      <c r="F366" s="12" t="s">
        <v>1239</v>
      </c>
      <c r="G366" s="12" t="s">
        <v>1240</v>
      </c>
      <c r="H366" s="9" t="s">
        <v>61</v>
      </c>
      <c r="I366" s="25">
        <v>4</v>
      </c>
      <c r="J366" s="26">
        <f t="shared" si="56"/>
        <v>0.2</v>
      </c>
      <c r="K366" s="20">
        <f t="shared" si="51"/>
        <v>4.8</v>
      </c>
      <c r="L366" s="25">
        <v>5.5</v>
      </c>
      <c r="M366" s="26">
        <f t="shared" si="57"/>
        <v>0.12</v>
      </c>
      <c r="N366" s="20">
        <f t="shared" si="52"/>
        <v>6.16</v>
      </c>
      <c r="O366" s="27">
        <f t="shared" si="53"/>
        <v>10.96</v>
      </c>
      <c r="P366" s="17" t="str">
        <f t="shared" si="54"/>
        <v>Benchmark</v>
      </c>
      <c r="Q366" s="9">
        <v>1</v>
      </c>
      <c r="R366" s="28" t="s">
        <v>3034</v>
      </c>
      <c r="S366" s="29" t="str">
        <f t="shared" si="55"/>
        <v>uPVC waste pipe incl. fitting, trap, support and testing|m</v>
      </c>
      <c r="T366" s="24" t="s">
        <v>2336</v>
      </c>
    </row>
    <row r="367" spans="1:20" ht="15" customHeight="1" x14ac:dyDescent="0.25">
      <c r="A367" s="9" t="s">
        <v>3035</v>
      </c>
      <c r="B367" s="16" t="s">
        <v>865</v>
      </c>
      <c r="C367" s="9" t="s">
        <v>1203</v>
      </c>
      <c r="D367" s="12" t="s">
        <v>1204</v>
      </c>
      <c r="E367" s="12" t="s">
        <v>1235</v>
      </c>
      <c r="F367" s="12" t="s">
        <v>1242</v>
      </c>
      <c r="G367" s="12" t="s">
        <v>1243</v>
      </c>
      <c r="H367" s="9" t="s">
        <v>61</v>
      </c>
      <c r="I367" s="25">
        <v>3.5</v>
      </c>
      <c r="J367" s="26">
        <f t="shared" si="56"/>
        <v>0.2</v>
      </c>
      <c r="K367" s="20">
        <f t="shared" si="51"/>
        <v>4.2</v>
      </c>
      <c r="L367" s="25">
        <v>4.5</v>
      </c>
      <c r="M367" s="26">
        <f t="shared" si="57"/>
        <v>0.12</v>
      </c>
      <c r="N367" s="20">
        <f t="shared" si="52"/>
        <v>5.0400000000000009</v>
      </c>
      <c r="O367" s="27">
        <f t="shared" si="53"/>
        <v>9.240000000000002</v>
      </c>
      <c r="P367" s="17" t="str">
        <f t="shared" si="54"/>
        <v>Benchmark</v>
      </c>
      <c r="Q367" s="9">
        <v>1</v>
      </c>
      <c r="R367" s="28" t="s">
        <v>3036</v>
      </c>
      <c r="S367" s="29" t="str">
        <f t="shared" si="55"/>
        <v>uPVC vent pipe incl. fitting, cowl and support|m</v>
      </c>
      <c r="T367" s="24" t="s">
        <v>2336</v>
      </c>
    </row>
    <row r="368" spans="1:20" ht="15" customHeight="1" x14ac:dyDescent="0.25">
      <c r="A368" s="9" t="s">
        <v>3037</v>
      </c>
      <c r="B368" s="16" t="s">
        <v>865</v>
      </c>
      <c r="C368" s="9" t="s">
        <v>1203</v>
      </c>
      <c r="D368" s="12" t="s">
        <v>1204</v>
      </c>
      <c r="E368" s="12" t="s">
        <v>1235</v>
      </c>
      <c r="F368" s="12" t="s">
        <v>1245</v>
      </c>
      <c r="G368" s="12" t="s">
        <v>1246</v>
      </c>
      <c r="H368" s="9" t="s">
        <v>61</v>
      </c>
      <c r="I368" s="25">
        <v>4</v>
      </c>
      <c r="J368" s="26">
        <f t="shared" si="56"/>
        <v>0.2</v>
      </c>
      <c r="K368" s="20">
        <f t="shared" si="51"/>
        <v>4.8</v>
      </c>
      <c r="L368" s="25">
        <v>6.5</v>
      </c>
      <c r="M368" s="26">
        <f t="shared" si="57"/>
        <v>0.12</v>
      </c>
      <c r="N368" s="20">
        <f t="shared" si="52"/>
        <v>7.2800000000000011</v>
      </c>
      <c r="O368" s="27">
        <f t="shared" si="53"/>
        <v>12.080000000000002</v>
      </c>
      <c r="P368" s="17" t="str">
        <f t="shared" si="54"/>
        <v>Benchmark</v>
      </c>
      <c r="Q368" s="9">
        <v>1</v>
      </c>
      <c r="R368" s="28" t="s">
        <v>3038</v>
      </c>
      <c r="S368" s="29" t="str">
        <f t="shared" si="55"/>
        <v>uPVC rainwater downpipe incl. fitting, bracket and shoe|m</v>
      </c>
      <c r="T368" s="24" t="s">
        <v>2336</v>
      </c>
    </row>
    <row r="369" spans="1:20" ht="21.75" customHeight="1" x14ac:dyDescent="0.25">
      <c r="A369" s="9" t="s">
        <v>3039</v>
      </c>
      <c r="B369" s="16" t="s">
        <v>865</v>
      </c>
      <c r="C369" s="9" t="s">
        <v>1203</v>
      </c>
      <c r="D369" s="12" t="s">
        <v>1204</v>
      </c>
      <c r="E369" s="12" t="s">
        <v>1235</v>
      </c>
      <c r="F369" s="12" t="s">
        <v>1248</v>
      </c>
      <c r="G369" s="12" t="s">
        <v>1249</v>
      </c>
      <c r="H369" s="9" t="s">
        <v>57</v>
      </c>
      <c r="I369" s="25">
        <v>85</v>
      </c>
      <c r="J369" s="26">
        <f t="shared" si="56"/>
        <v>0.2</v>
      </c>
      <c r="K369" s="20">
        <f t="shared" si="51"/>
        <v>102</v>
      </c>
      <c r="L369" s="25">
        <v>145</v>
      </c>
      <c r="M369" s="26">
        <f t="shared" si="57"/>
        <v>0.12</v>
      </c>
      <c r="N369" s="20">
        <f t="shared" si="52"/>
        <v>162.4</v>
      </c>
      <c r="O369" s="27">
        <f t="shared" si="53"/>
        <v>264.39999999999998</v>
      </c>
      <c r="P369" s="17" t="str">
        <f t="shared" si="54"/>
        <v>Benchmark</v>
      </c>
      <c r="Q369" s="9">
        <v>1</v>
      </c>
      <c r="R369" s="28" t="s">
        <v>3040</v>
      </c>
      <c r="S369" s="29" t="str">
        <f t="shared" si="55"/>
        <v>Manhole / inspection chamber incl. excavation, concrete, benching and cover|Nos</v>
      </c>
      <c r="T369" s="24" t="s">
        <v>2336</v>
      </c>
    </row>
    <row r="370" spans="1:20" ht="15" customHeight="1" x14ac:dyDescent="0.25">
      <c r="A370" s="9" t="s">
        <v>3041</v>
      </c>
      <c r="B370" s="16" t="s">
        <v>865</v>
      </c>
      <c r="C370" s="9" t="s">
        <v>1203</v>
      </c>
      <c r="D370" s="12" t="s">
        <v>1204</v>
      </c>
      <c r="E370" s="12" t="s">
        <v>1235</v>
      </c>
      <c r="F370" s="12" t="s">
        <v>1251</v>
      </c>
      <c r="G370" s="12" t="s">
        <v>1252</v>
      </c>
      <c r="H370" s="9" t="s">
        <v>57</v>
      </c>
      <c r="I370" s="25">
        <v>120</v>
      </c>
      <c r="J370" s="26">
        <f t="shared" si="56"/>
        <v>0.2</v>
      </c>
      <c r="K370" s="20">
        <f t="shared" si="51"/>
        <v>144</v>
      </c>
      <c r="L370" s="25">
        <v>420</v>
      </c>
      <c r="M370" s="26">
        <f t="shared" si="57"/>
        <v>0.12</v>
      </c>
      <c r="N370" s="20">
        <f t="shared" si="52"/>
        <v>470.40000000000003</v>
      </c>
      <c r="O370" s="27">
        <f t="shared" si="53"/>
        <v>614.40000000000009</v>
      </c>
      <c r="P370" s="17" t="str">
        <f t="shared" si="54"/>
        <v>Benchmark</v>
      </c>
      <c r="Q370" s="9">
        <v>1</v>
      </c>
      <c r="R370" s="28" t="s">
        <v>3042</v>
      </c>
      <c r="S370" s="29" t="str">
        <f t="shared" si="55"/>
        <v>Grease trap incl. excavation, installation, cover and connection|Nos</v>
      </c>
      <c r="T370" s="24" t="s">
        <v>2336</v>
      </c>
    </row>
    <row r="371" spans="1:20" ht="15" customHeight="1" x14ac:dyDescent="0.25">
      <c r="A371" s="9" t="s">
        <v>3043</v>
      </c>
      <c r="B371" s="16" t="s">
        <v>865</v>
      </c>
      <c r="C371" s="9" t="s">
        <v>1203</v>
      </c>
      <c r="D371" s="12" t="s">
        <v>1204</v>
      </c>
      <c r="E371" s="12" t="s">
        <v>1254</v>
      </c>
      <c r="F371" s="12" t="s">
        <v>1255</v>
      </c>
      <c r="G371" s="12" t="s">
        <v>1256</v>
      </c>
      <c r="H371" s="9" t="s">
        <v>57</v>
      </c>
      <c r="I371" s="25">
        <v>250</v>
      </c>
      <c r="J371" s="26">
        <f t="shared" si="56"/>
        <v>0.2</v>
      </c>
      <c r="K371" s="20">
        <f t="shared" si="51"/>
        <v>300</v>
      </c>
      <c r="L371" s="25">
        <v>1450</v>
      </c>
      <c r="M371" s="26">
        <f t="shared" si="57"/>
        <v>0.12</v>
      </c>
      <c r="N371" s="20">
        <f t="shared" si="52"/>
        <v>1624.0000000000002</v>
      </c>
      <c r="O371" s="27">
        <f t="shared" si="53"/>
        <v>1924.0000000000002</v>
      </c>
      <c r="P371" s="17" t="str">
        <f t="shared" si="54"/>
        <v>Benchmark</v>
      </c>
      <c r="Q371" s="9">
        <v>1</v>
      </c>
      <c r="R371" s="28" t="s">
        <v>3044</v>
      </c>
      <c r="S371" s="29" t="str">
        <f t="shared" si="55"/>
        <v>Precast septic tank incl. excavation, bedding, connection and backfill|Nos</v>
      </c>
      <c r="T371" s="24" t="s">
        <v>2336</v>
      </c>
    </row>
    <row r="372" spans="1:20" ht="21.75" customHeight="1" x14ac:dyDescent="0.25">
      <c r="A372" s="9" t="s">
        <v>3045</v>
      </c>
      <c r="B372" s="16" t="s">
        <v>865</v>
      </c>
      <c r="C372" s="9" t="s">
        <v>1203</v>
      </c>
      <c r="D372" s="12" t="s">
        <v>1204</v>
      </c>
      <c r="E372" s="12" t="s">
        <v>1254</v>
      </c>
      <c r="F372" s="12" t="s">
        <v>1258</v>
      </c>
      <c r="G372" s="12" t="s">
        <v>1259</v>
      </c>
      <c r="H372" s="9" t="s">
        <v>35</v>
      </c>
      <c r="I372" s="25">
        <v>0</v>
      </c>
      <c r="J372" s="26">
        <v>0</v>
      </c>
      <c r="K372" s="20">
        <f t="shared" si="51"/>
        <v>0</v>
      </c>
      <c r="L372" s="25">
        <v>28000</v>
      </c>
      <c r="M372" s="26">
        <v>0.1</v>
      </c>
      <c r="N372" s="20">
        <f t="shared" si="52"/>
        <v>30800.000000000004</v>
      </c>
      <c r="O372" s="27">
        <f t="shared" si="53"/>
        <v>30800.000000000004</v>
      </c>
      <c r="P372" s="17" t="str">
        <f t="shared" si="54"/>
        <v>Benchmark</v>
      </c>
      <c r="Q372" s="9">
        <v>1</v>
      </c>
      <c r="R372" s="28" t="s">
        <v>3046</v>
      </c>
      <c r="S372" s="29" t="str">
        <f t="shared" si="55"/>
        <v>Package sewage treatment plant incl. blower, control and commissioning|Lot</v>
      </c>
      <c r="T372" s="24" t="s">
        <v>2336</v>
      </c>
    </row>
    <row r="373" spans="1:20" ht="15" customHeight="1" x14ac:dyDescent="0.25">
      <c r="A373" s="9" t="s">
        <v>3047</v>
      </c>
      <c r="B373" s="16" t="s">
        <v>865</v>
      </c>
      <c r="C373" s="9" t="s">
        <v>1203</v>
      </c>
      <c r="D373" s="12" t="s">
        <v>1204</v>
      </c>
      <c r="E373" s="12" t="s">
        <v>1254</v>
      </c>
      <c r="F373" s="12" t="s">
        <v>1261</v>
      </c>
      <c r="G373" s="12" t="s">
        <v>1262</v>
      </c>
      <c r="H373" s="9" t="s">
        <v>35</v>
      </c>
      <c r="I373" s="25">
        <v>450</v>
      </c>
      <c r="J373" s="26">
        <f t="shared" ref="J373:J381" si="58">_STDLAB</f>
        <v>0.2</v>
      </c>
      <c r="K373" s="20">
        <f t="shared" si="51"/>
        <v>540</v>
      </c>
      <c r="L373" s="25">
        <v>850</v>
      </c>
      <c r="M373" s="26">
        <f t="shared" ref="M373:M381" si="59">_STDMAT</f>
        <v>0.12</v>
      </c>
      <c r="N373" s="20">
        <f t="shared" si="52"/>
        <v>952.00000000000011</v>
      </c>
      <c r="O373" s="27">
        <f t="shared" si="53"/>
        <v>1492</v>
      </c>
      <c r="P373" s="17" t="str">
        <f t="shared" si="54"/>
        <v>Benchmark</v>
      </c>
      <c r="Q373" s="9">
        <v>1</v>
      </c>
      <c r="R373" s="28" t="s">
        <v>3048</v>
      </c>
      <c r="S373" s="29" t="str">
        <f t="shared" si="55"/>
        <v>Connection to public sewer incl. excavation, pipe, chamber and reinstatement|Lot</v>
      </c>
      <c r="T373" s="24" t="s">
        <v>2336</v>
      </c>
    </row>
    <row r="374" spans="1:20" ht="15" customHeight="1" x14ac:dyDescent="0.25">
      <c r="A374" s="9" t="s">
        <v>3049</v>
      </c>
      <c r="B374" s="16" t="s">
        <v>865</v>
      </c>
      <c r="C374" s="9" t="s">
        <v>1264</v>
      </c>
      <c r="D374" s="12" t="s">
        <v>1265</v>
      </c>
      <c r="E374" s="12" t="s">
        <v>1266</v>
      </c>
      <c r="F374" s="12" t="s">
        <v>1267</v>
      </c>
      <c r="G374" s="12" t="s">
        <v>1268</v>
      </c>
      <c r="H374" s="9" t="s">
        <v>57</v>
      </c>
      <c r="I374" s="25">
        <v>45</v>
      </c>
      <c r="J374" s="26">
        <f t="shared" si="58"/>
        <v>0.2</v>
      </c>
      <c r="K374" s="20">
        <f t="shared" si="51"/>
        <v>54</v>
      </c>
      <c r="L374" s="25">
        <v>280</v>
      </c>
      <c r="M374" s="26">
        <f t="shared" si="59"/>
        <v>0.12</v>
      </c>
      <c r="N374" s="20">
        <f t="shared" si="52"/>
        <v>313.60000000000002</v>
      </c>
      <c r="O374" s="27">
        <f t="shared" si="53"/>
        <v>367.6</v>
      </c>
      <c r="P374" s="17" t="str">
        <f t="shared" si="54"/>
        <v>Benchmark</v>
      </c>
      <c r="Q374" s="9">
        <v>1</v>
      </c>
      <c r="R374" s="28" t="s">
        <v>3050</v>
      </c>
      <c r="S374" s="29" t="str">
        <f t="shared" si="55"/>
        <v>Fire hydrant / landing valve incl. cabinet, hose and accessories|Nos</v>
      </c>
      <c r="T374" s="24" t="s">
        <v>2336</v>
      </c>
    </row>
    <row r="375" spans="1:20" ht="15" customHeight="1" x14ac:dyDescent="0.25">
      <c r="A375" s="9" t="s">
        <v>3051</v>
      </c>
      <c r="B375" s="16" t="s">
        <v>865</v>
      </c>
      <c r="C375" s="9" t="s">
        <v>1264</v>
      </c>
      <c r="D375" s="12" t="s">
        <v>1265</v>
      </c>
      <c r="E375" s="12" t="s">
        <v>1266</v>
      </c>
      <c r="F375" s="12" t="s">
        <v>1270</v>
      </c>
      <c r="G375" s="12" t="s">
        <v>1271</v>
      </c>
      <c r="H375" s="9" t="s">
        <v>57</v>
      </c>
      <c r="I375" s="25">
        <v>35</v>
      </c>
      <c r="J375" s="26">
        <f t="shared" si="58"/>
        <v>0.2</v>
      </c>
      <c r="K375" s="20">
        <f t="shared" si="51"/>
        <v>42</v>
      </c>
      <c r="L375" s="25">
        <v>220</v>
      </c>
      <c r="M375" s="26">
        <f t="shared" si="59"/>
        <v>0.12</v>
      </c>
      <c r="N375" s="20">
        <f t="shared" si="52"/>
        <v>246.40000000000003</v>
      </c>
      <c r="O375" s="27">
        <f t="shared" si="53"/>
        <v>288.40000000000003</v>
      </c>
      <c r="P375" s="17" t="str">
        <f t="shared" si="54"/>
        <v>Benchmark</v>
      </c>
      <c r="Q375" s="9">
        <v>1</v>
      </c>
      <c r="R375" s="28" t="s">
        <v>3052</v>
      </c>
      <c r="S375" s="29" t="str">
        <f t="shared" si="55"/>
        <v>Fire hose reel 30m incl. cabinet, nozzle and valve|Nos</v>
      </c>
      <c r="T375" s="24" t="s">
        <v>2336</v>
      </c>
    </row>
    <row r="376" spans="1:20" ht="15" customHeight="1" x14ac:dyDescent="0.25">
      <c r="A376" s="9" t="s">
        <v>3053</v>
      </c>
      <c r="B376" s="16" t="s">
        <v>865</v>
      </c>
      <c r="C376" s="9" t="s">
        <v>1264</v>
      </c>
      <c r="D376" s="12" t="s">
        <v>1265</v>
      </c>
      <c r="E376" s="12" t="s">
        <v>1266</v>
      </c>
      <c r="F376" s="12" t="s">
        <v>1273</v>
      </c>
      <c r="G376" s="12" t="s">
        <v>1274</v>
      </c>
      <c r="H376" s="9" t="s">
        <v>57</v>
      </c>
      <c r="I376" s="25">
        <v>25</v>
      </c>
      <c r="J376" s="26">
        <f t="shared" si="58"/>
        <v>0.2</v>
      </c>
      <c r="K376" s="20">
        <f t="shared" si="51"/>
        <v>30</v>
      </c>
      <c r="L376" s="25">
        <v>145</v>
      </c>
      <c r="M376" s="26">
        <f t="shared" si="59"/>
        <v>0.12</v>
      </c>
      <c r="N376" s="20">
        <f t="shared" si="52"/>
        <v>162.4</v>
      </c>
      <c r="O376" s="27">
        <f t="shared" si="53"/>
        <v>192.4</v>
      </c>
      <c r="P376" s="17" t="str">
        <f t="shared" si="54"/>
        <v>Benchmark</v>
      </c>
      <c r="Q376" s="9">
        <v>1</v>
      </c>
      <c r="R376" s="28" t="s">
        <v>3054</v>
      </c>
      <c r="S376" s="29" t="str">
        <f t="shared" si="55"/>
        <v>Landing valve incl. cabinet and blank cap|Nos</v>
      </c>
      <c r="T376" s="24" t="s">
        <v>2336</v>
      </c>
    </row>
    <row r="377" spans="1:20" ht="15" customHeight="1" x14ac:dyDescent="0.25">
      <c r="A377" s="9" t="s">
        <v>3055</v>
      </c>
      <c r="B377" s="16" t="s">
        <v>865</v>
      </c>
      <c r="C377" s="9" t="s">
        <v>1264</v>
      </c>
      <c r="D377" s="12" t="s">
        <v>1265</v>
      </c>
      <c r="E377" s="12" t="s">
        <v>1266</v>
      </c>
      <c r="F377" s="12" t="s">
        <v>1276</v>
      </c>
      <c r="G377" s="12" t="s">
        <v>1277</v>
      </c>
      <c r="H377" s="9" t="s">
        <v>61</v>
      </c>
      <c r="I377" s="25">
        <v>9</v>
      </c>
      <c r="J377" s="26">
        <f t="shared" si="58"/>
        <v>0.2</v>
      </c>
      <c r="K377" s="20">
        <f t="shared" si="51"/>
        <v>10.799999999999999</v>
      </c>
      <c r="L377" s="25">
        <v>22</v>
      </c>
      <c r="M377" s="26">
        <f t="shared" si="59"/>
        <v>0.12</v>
      </c>
      <c r="N377" s="20">
        <f t="shared" si="52"/>
        <v>24.64</v>
      </c>
      <c r="O377" s="27">
        <f t="shared" si="53"/>
        <v>35.44</v>
      </c>
      <c r="P377" s="17" t="str">
        <f t="shared" si="54"/>
        <v>Benchmark</v>
      </c>
      <c r="Q377" s="9">
        <v>1</v>
      </c>
      <c r="R377" s="28" t="s">
        <v>3056</v>
      </c>
      <c r="S377" s="29" t="str">
        <f t="shared" si="55"/>
        <v>Fire riser piping, galvanised steel, incl. fitting, support and testing|m</v>
      </c>
      <c r="T377" s="24" t="s">
        <v>2336</v>
      </c>
    </row>
    <row r="378" spans="1:20" ht="15" customHeight="1" x14ac:dyDescent="0.25">
      <c r="A378" s="9" t="s">
        <v>3057</v>
      </c>
      <c r="B378" s="16" t="s">
        <v>865</v>
      </c>
      <c r="C378" s="9" t="s">
        <v>1264</v>
      </c>
      <c r="D378" s="12" t="s">
        <v>1265</v>
      </c>
      <c r="E378" s="12" t="s">
        <v>1279</v>
      </c>
      <c r="F378" s="12" t="s">
        <v>1280</v>
      </c>
      <c r="G378" s="12" t="s">
        <v>1281</v>
      </c>
      <c r="H378" s="9" t="s">
        <v>57</v>
      </c>
      <c r="I378" s="25">
        <v>7</v>
      </c>
      <c r="J378" s="26">
        <f t="shared" si="58"/>
        <v>0.2</v>
      </c>
      <c r="K378" s="20">
        <f t="shared" si="51"/>
        <v>8.4</v>
      </c>
      <c r="L378" s="25">
        <v>14</v>
      </c>
      <c r="M378" s="26">
        <f t="shared" si="59"/>
        <v>0.12</v>
      </c>
      <c r="N378" s="20">
        <f t="shared" si="52"/>
        <v>15.680000000000001</v>
      </c>
      <c r="O378" s="27">
        <f t="shared" si="53"/>
        <v>24.080000000000002</v>
      </c>
      <c r="P378" s="17" t="str">
        <f t="shared" si="54"/>
        <v>Benchmark</v>
      </c>
      <c r="Q378" s="9">
        <v>1</v>
      </c>
      <c r="R378" s="28" t="s">
        <v>3058</v>
      </c>
      <c r="S378" s="29" t="str">
        <f t="shared" si="55"/>
        <v>Pendent / upright sprinkler head incl. escutcheon and testing|Nos</v>
      </c>
      <c r="T378" s="24" t="s">
        <v>2336</v>
      </c>
    </row>
    <row r="379" spans="1:20" ht="15" customHeight="1" x14ac:dyDescent="0.25">
      <c r="A379" s="9" t="s">
        <v>3059</v>
      </c>
      <c r="B379" s="16" t="s">
        <v>865</v>
      </c>
      <c r="C379" s="9" t="s">
        <v>1264</v>
      </c>
      <c r="D379" s="12" t="s">
        <v>1265</v>
      </c>
      <c r="E379" s="12" t="s">
        <v>1279</v>
      </c>
      <c r="F379" s="12" t="s">
        <v>1283</v>
      </c>
      <c r="G379" s="12" t="s">
        <v>1284</v>
      </c>
      <c r="H379" s="9" t="s">
        <v>61</v>
      </c>
      <c r="I379" s="25">
        <v>8</v>
      </c>
      <c r="J379" s="26">
        <f t="shared" si="58"/>
        <v>0.2</v>
      </c>
      <c r="K379" s="20">
        <f t="shared" si="51"/>
        <v>9.6</v>
      </c>
      <c r="L379" s="25">
        <v>16</v>
      </c>
      <c r="M379" s="26">
        <f t="shared" si="59"/>
        <v>0.12</v>
      </c>
      <c r="N379" s="20">
        <f t="shared" si="52"/>
        <v>17.920000000000002</v>
      </c>
      <c r="O379" s="27">
        <f t="shared" si="53"/>
        <v>27.520000000000003</v>
      </c>
      <c r="P379" s="17" t="str">
        <f t="shared" si="54"/>
        <v>Benchmark</v>
      </c>
      <c r="Q379" s="9">
        <v>1</v>
      </c>
      <c r="R379" s="28" t="s">
        <v>3060</v>
      </c>
      <c r="S379" s="29" t="str">
        <f t="shared" si="55"/>
        <v>Sprinkler piping incl. fitting, hanger, support and hydrostatic testing|m</v>
      </c>
      <c r="T379" s="24" t="s">
        <v>2336</v>
      </c>
    </row>
    <row r="380" spans="1:20" ht="15" customHeight="1" x14ac:dyDescent="0.25">
      <c r="A380" s="9" t="s">
        <v>3061</v>
      </c>
      <c r="B380" s="16" t="s">
        <v>865</v>
      </c>
      <c r="C380" s="9" t="s">
        <v>1264</v>
      </c>
      <c r="D380" s="12" t="s">
        <v>1265</v>
      </c>
      <c r="E380" s="12" t="s">
        <v>1279</v>
      </c>
      <c r="F380" s="12" t="s">
        <v>1286</v>
      </c>
      <c r="G380" s="12" t="s">
        <v>1287</v>
      </c>
      <c r="H380" s="9" t="s">
        <v>57</v>
      </c>
      <c r="I380" s="25">
        <v>120</v>
      </c>
      <c r="J380" s="26">
        <f t="shared" si="58"/>
        <v>0.2</v>
      </c>
      <c r="K380" s="20">
        <f t="shared" si="51"/>
        <v>144</v>
      </c>
      <c r="L380" s="25">
        <v>950</v>
      </c>
      <c r="M380" s="26">
        <f t="shared" si="59"/>
        <v>0.12</v>
      </c>
      <c r="N380" s="20">
        <f t="shared" si="52"/>
        <v>1064</v>
      </c>
      <c r="O380" s="27">
        <f t="shared" si="53"/>
        <v>1208</v>
      </c>
      <c r="P380" s="17" t="str">
        <f t="shared" si="54"/>
        <v>Benchmark</v>
      </c>
      <c r="Q380" s="9">
        <v>1</v>
      </c>
      <c r="R380" s="28" t="s">
        <v>3062</v>
      </c>
      <c r="S380" s="29" t="str">
        <f t="shared" si="55"/>
        <v>Sprinkler alarm valve set incl. gauge, drain and trim|Nos</v>
      </c>
      <c r="T380" s="24" t="s">
        <v>2336</v>
      </c>
    </row>
    <row r="381" spans="1:20" ht="15" customHeight="1" x14ac:dyDescent="0.25">
      <c r="A381" s="9" t="s">
        <v>3063</v>
      </c>
      <c r="B381" s="16" t="s">
        <v>865</v>
      </c>
      <c r="C381" s="9" t="s">
        <v>1264</v>
      </c>
      <c r="D381" s="12" t="s">
        <v>1265</v>
      </c>
      <c r="E381" s="12" t="s">
        <v>1279</v>
      </c>
      <c r="F381" s="12" t="s">
        <v>1289</v>
      </c>
      <c r="G381" s="12" t="s">
        <v>1290</v>
      </c>
      <c r="H381" s="9" t="s">
        <v>57</v>
      </c>
      <c r="I381" s="25">
        <v>18</v>
      </c>
      <c r="J381" s="26">
        <f t="shared" si="58"/>
        <v>0.2</v>
      </c>
      <c r="K381" s="20">
        <f t="shared" si="51"/>
        <v>21.599999999999998</v>
      </c>
      <c r="L381" s="25">
        <v>95</v>
      </c>
      <c r="M381" s="26">
        <f t="shared" si="59"/>
        <v>0.12</v>
      </c>
      <c r="N381" s="20">
        <f t="shared" si="52"/>
        <v>106.4</v>
      </c>
      <c r="O381" s="27">
        <f t="shared" si="53"/>
        <v>128</v>
      </c>
      <c r="P381" s="17" t="str">
        <f t="shared" si="54"/>
        <v>Benchmark</v>
      </c>
      <c r="Q381" s="9">
        <v>1</v>
      </c>
      <c r="R381" s="28" t="s">
        <v>3064</v>
      </c>
      <c r="S381" s="29" t="str">
        <f t="shared" si="55"/>
        <v>Flow switch / tamper switch incl. wiring to fire alarm panel|Nos</v>
      </c>
      <c r="T381" s="24" t="s">
        <v>2336</v>
      </c>
    </row>
    <row r="382" spans="1:20" ht="15" customHeight="1" x14ac:dyDescent="0.25">
      <c r="A382" s="9" t="s">
        <v>3065</v>
      </c>
      <c r="B382" s="16" t="s">
        <v>865</v>
      </c>
      <c r="C382" s="9" t="s">
        <v>1264</v>
      </c>
      <c r="D382" s="12" t="s">
        <v>1265</v>
      </c>
      <c r="E382" s="12" t="s">
        <v>1292</v>
      </c>
      <c r="F382" s="12" t="s">
        <v>1293</v>
      </c>
      <c r="G382" s="12" t="s">
        <v>1294</v>
      </c>
      <c r="H382" s="9" t="s">
        <v>57</v>
      </c>
      <c r="I382" s="25">
        <v>0</v>
      </c>
      <c r="J382" s="26">
        <v>0</v>
      </c>
      <c r="K382" s="20">
        <f t="shared" si="51"/>
        <v>0</v>
      </c>
      <c r="L382" s="25">
        <v>22000</v>
      </c>
      <c r="M382" s="26">
        <v>0.1</v>
      </c>
      <c r="N382" s="20">
        <f t="shared" si="52"/>
        <v>24200.000000000004</v>
      </c>
      <c r="O382" s="27">
        <f t="shared" si="53"/>
        <v>24200.000000000004</v>
      </c>
      <c r="P382" s="17" t="str">
        <f t="shared" si="54"/>
        <v>Benchmark</v>
      </c>
      <c r="Q382" s="9">
        <v>1</v>
      </c>
      <c r="R382" s="28" t="s">
        <v>3066</v>
      </c>
      <c r="S382" s="29" t="str">
        <f t="shared" si="55"/>
        <v>Fire pump set (electric + diesel + jockey) incl. controller and commissioning|Nos</v>
      </c>
      <c r="T382" s="24" t="s">
        <v>2336</v>
      </c>
    </row>
    <row r="383" spans="1:20" ht="15" customHeight="1" x14ac:dyDescent="0.25">
      <c r="A383" s="9" t="s">
        <v>3067</v>
      </c>
      <c r="B383" s="16" t="s">
        <v>865</v>
      </c>
      <c r="C383" s="9" t="s">
        <v>1264</v>
      </c>
      <c r="D383" s="12" t="s">
        <v>1265</v>
      </c>
      <c r="E383" s="12" t="s">
        <v>1292</v>
      </c>
      <c r="F383" s="12" t="s">
        <v>1296</v>
      </c>
      <c r="G383" s="12" t="s">
        <v>1297</v>
      </c>
      <c r="H383" s="9" t="s">
        <v>57</v>
      </c>
      <c r="I383" s="25">
        <v>0</v>
      </c>
      <c r="J383" s="26">
        <v>0</v>
      </c>
      <c r="K383" s="20">
        <f t="shared" si="51"/>
        <v>0</v>
      </c>
      <c r="L383" s="25">
        <v>2200</v>
      </c>
      <c r="M383" s="26">
        <v>0.1</v>
      </c>
      <c r="N383" s="20">
        <f t="shared" si="52"/>
        <v>2420</v>
      </c>
      <c r="O383" s="27">
        <f t="shared" si="53"/>
        <v>2420</v>
      </c>
      <c r="P383" s="17" t="str">
        <f t="shared" si="54"/>
        <v>Benchmark</v>
      </c>
      <c r="Q383" s="9">
        <v>1</v>
      </c>
      <c r="R383" s="28" t="s">
        <v>3068</v>
      </c>
      <c r="S383" s="29" t="str">
        <f t="shared" si="55"/>
        <v>Jockey pump incl. pressure switch and control|Nos</v>
      </c>
      <c r="T383" s="24" t="s">
        <v>2336</v>
      </c>
    </row>
    <row r="384" spans="1:20" ht="15" customHeight="1" x14ac:dyDescent="0.25">
      <c r="A384" s="9" t="s">
        <v>3069</v>
      </c>
      <c r="B384" s="16" t="s">
        <v>865</v>
      </c>
      <c r="C384" s="9" t="s">
        <v>1264</v>
      </c>
      <c r="D384" s="12" t="s">
        <v>1265</v>
      </c>
      <c r="E384" s="12" t="s">
        <v>1292</v>
      </c>
      <c r="F384" s="12" t="s">
        <v>1299</v>
      </c>
      <c r="G384" s="12" t="s">
        <v>1300</v>
      </c>
      <c r="H384" s="9" t="s">
        <v>57</v>
      </c>
      <c r="I384" s="25">
        <v>250</v>
      </c>
      <c r="J384" s="26">
        <f>_STDLAB</f>
        <v>0.2</v>
      </c>
      <c r="K384" s="20">
        <f t="shared" si="51"/>
        <v>300</v>
      </c>
      <c r="L384" s="25">
        <v>3200</v>
      </c>
      <c r="M384" s="26">
        <f>_STDMAT</f>
        <v>0.12</v>
      </c>
      <c r="N384" s="20">
        <f t="shared" si="52"/>
        <v>3584.0000000000005</v>
      </c>
      <c r="O384" s="27">
        <f t="shared" si="53"/>
        <v>3884.0000000000005</v>
      </c>
      <c r="P384" s="17" t="str">
        <f t="shared" si="54"/>
        <v>Benchmark</v>
      </c>
      <c r="Q384" s="9">
        <v>1</v>
      </c>
      <c r="R384" s="28" t="s">
        <v>3022</v>
      </c>
      <c r="S384" s="29" t="str">
        <f t="shared" si="55"/>
        <v>Fire water storage tank incl. base, level control and connection|Nos</v>
      </c>
      <c r="T384" s="24" t="s">
        <v>2336</v>
      </c>
    </row>
    <row r="385" spans="1:20" ht="21.75" customHeight="1" x14ac:dyDescent="0.25">
      <c r="A385" s="9" t="s">
        <v>3070</v>
      </c>
      <c r="B385" s="16" t="s">
        <v>865</v>
      </c>
      <c r="C385" s="9" t="s">
        <v>1264</v>
      </c>
      <c r="D385" s="12" t="s">
        <v>1265</v>
      </c>
      <c r="E385" s="12" t="s">
        <v>1302</v>
      </c>
      <c r="F385" s="12" t="s">
        <v>1303</v>
      </c>
      <c r="G385" s="12" t="s">
        <v>1304</v>
      </c>
      <c r="H385" s="9" t="s">
        <v>57</v>
      </c>
      <c r="I385" s="25">
        <v>4</v>
      </c>
      <c r="J385" s="26">
        <f>_STDLAB</f>
        <v>0.2</v>
      </c>
      <c r="K385" s="20">
        <f t="shared" si="51"/>
        <v>4.8</v>
      </c>
      <c r="L385" s="25">
        <v>32</v>
      </c>
      <c r="M385" s="26">
        <f>_STDMAT</f>
        <v>0.12</v>
      </c>
      <c r="N385" s="20">
        <f t="shared" si="52"/>
        <v>35.840000000000003</v>
      </c>
      <c r="O385" s="27">
        <f t="shared" si="53"/>
        <v>40.64</v>
      </c>
      <c r="P385" s="17" t="str">
        <f t="shared" si="54"/>
        <v>Benchmark</v>
      </c>
      <c r="Q385" s="9">
        <v>1</v>
      </c>
      <c r="R385" s="28" t="s">
        <v>3071</v>
      </c>
      <c r="S385" s="29" t="str">
        <f t="shared" si="55"/>
        <v>Portable fire extinguisher incl. bracket, sign and servicing|Nos</v>
      </c>
      <c r="T385" s="24" t="s">
        <v>2336</v>
      </c>
    </row>
    <row r="386" spans="1:20" ht="21.75" customHeight="1" x14ac:dyDescent="0.25">
      <c r="A386" s="9" t="s">
        <v>3072</v>
      </c>
      <c r="B386" s="16" t="s">
        <v>865</v>
      </c>
      <c r="C386" s="9" t="s">
        <v>1264</v>
      </c>
      <c r="D386" s="12" t="s">
        <v>1265</v>
      </c>
      <c r="E386" s="12" t="s">
        <v>1302</v>
      </c>
      <c r="F386" s="12" t="s">
        <v>1306</v>
      </c>
      <c r="G386" s="12" t="s">
        <v>1307</v>
      </c>
      <c r="H386" s="9" t="s">
        <v>57</v>
      </c>
      <c r="I386" s="25">
        <v>3</v>
      </c>
      <c r="J386" s="26">
        <f>_STDLAB</f>
        <v>0.2</v>
      </c>
      <c r="K386" s="20">
        <f t="shared" si="51"/>
        <v>3.5999999999999996</v>
      </c>
      <c r="L386" s="25">
        <v>22</v>
      </c>
      <c r="M386" s="26">
        <f>_STDMAT</f>
        <v>0.12</v>
      </c>
      <c r="N386" s="20">
        <f t="shared" si="52"/>
        <v>24.64</v>
      </c>
      <c r="O386" s="27">
        <f t="shared" si="53"/>
        <v>28.240000000000002</v>
      </c>
      <c r="P386" s="17" t="str">
        <f t="shared" si="54"/>
        <v>Benchmark</v>
      </c>
      <c r="Q386" s="9">
        <v>1</v>
      </c>
      <c r="R386" s="28" t="s">
        <v>3073</v>
      </c>
      <c r="S386" s="29" t="str">
        <f t="shared" si="55"/>
        <v>Fire blanket incl. cabinet and fixing|Nos</v>
      </c>
      <c r="T386" s="24" t="s">
        <v>2336</v>
      </c>
    </row>
    <row r="387" spans="1:20" ht="21.75" customHeight="1" x14ac:dyDescent="0.25">
      <c r="A387" s="9" t="s">
        <v>3074</v>
      </c>
      <c r="B387" s="16" t="s">
        <v>865</v>
      </c>
      <c r="C387" s="9" t="s">
        <v>1264</v>
      </c>
      <c r="D387" s="12" t="s">
        <v>1265</v>
      </c>
      <c r="E387" s="12" t="s">
        <v>1302</v>
      </c>
      <c r="F387" s="12" t="s">
        <v>1309</v>
      </c>
      <c r="G387" s="12" t="s">
        <v>1310</v>
      </c>
      <c r="H387" s="9" t="s">
        <v>35</v>
      </c>
      <c r="I387" s="25">
        <v>0</v>
      </c>
      <c r="J387" s="26">
        <v>0</v>
      </c>
      <c r="K387" s="20">
        <f t="shared" si="51"/>
        <v>0</v>
      </c>
      <c r="L387" s="25">
        <v>12000</v>
      </c>
      <c r="M387" s="26">
        <v>0.1</v>
      </c>
      <c r="N387" s="20">
        <f t="shared" si="52"/>
        <v>13200.000000000002</v>
      </c>
      <c r="O387" s="27">
        <f t="shared" si="53"/>
        <v>13200.000000000002</v>
      </c>
      <c r="P387" s="17" t="str">
        <f t="shared" si="54"/>
        <v>Benchmark</v>
      </c>
      <c r="Q387" s="9">
        <v>1</v>
      </c>
      <c r="R387" s="28" t="s">
        <v>3075</v>
      </c>
      <c r="S387" s="29" t="str">
        <f t="shared" si="55"/>
        <v>FM200 / CO2 clean agent suppression system incl. cylinder, nozzle and panel|Lot</v>
      </c>
      <c r="T387" s="24" t="s">
        <v>2336</v>
      </c>
    </row>
    <row r="388" spans="1:20" ht="21.75" customHeight="1" x14ac:dyDescent="0.25">
      <c r="A388" s="9" t="s">
        <v>3076</v>
      </c>
      <c r="B388" s="16" t="s">
        <v>865</v>
      </c>
      <c r="C388" s="9" t="s">
        <v>1264</v>
      </c>
      <c r="D388" s="12" t="s">
        <v>1265</v>
      </c>
      <c r="E388" s="12" t="s">
        <v>1302</v>
      </c>
      <c r="F388" s="12" t="s">
        <v>1312</v>
      </c>
      <c r="G388" s="12" t="s">
        <v>1313</v>
      </c>
      <c r="H388" s="9" t="s">
        <v>35</v>
      </c>
      <c r="I388" s="25">
        <v>0</v>
      </c>
      <c r="J388" s="26">
        <v>0</v>
      </c>
      <c r="K388" s="20">
        <f t="shared" si="51"/>
        <v>0</v>
      </c>
      <c r="L388" s="25">
        <v>6500</v>
      </c>
      <c r="M388" s="26">
        <v>0.1</v>
      </c>
      <c r="N388" s="20">
        <f t="shared" si="52"/>
        <v>7150.0000000000009</v>
      </c>
      <c r="O388" s="27">
        <f t="shared" si="53"/>
        <v>7150.0000000000009</v>
      </c>
      <c r="P388" s="17" t="str">
        <f t="shared" si="54"/>
        <v>Benchmark</v>
      </c>
      <c r="Q388" s="9">
        <v>1</v>
      </c>
      <c r="R388" s="28" t="s">
        <v>3077</v>
      </c>
      <c r="S388" s="29" t="str">
        <f t="shared" si="55"/>
        <v>Kitchen hood wet chemical suppression system incl. nozzle and control|Lot</v>
      </c>
      <c r="T388" s="24" t="s">
        <v>2336</v>
      </c>
    </row>
    <row r="389" spans="1:20" ht="15" customHeight="1" x14ac:dyDescent="0.25">
      <c r="A389" s="9" t="s">
        <v>3078</v>
      </c>
      <c r="B389" s="16" t="s">
        <v>865</v>
      </c>
      <c r="C389" s="9" t="s">
        <v>1315</v>
      </c>
      <c r="D389" s="12" t="s">
        <v>1316</v>
      </c>
      <c r="E389" s="12" t="s">
        <v>1317</v>
      </c>
      <c r="F389" s="12" t="s">
        <v>1318</v>
      </c>
      <c r="G389" s="12" t="s">
        <v>1319</v>
      </c>
      <c r="H389" s="9" t="s">
        <v>35</v>
      </c>
      <c r="I389" s="25">
        <v>0</v>
      </c>
      <c r="J389" s="26">
        <v>0</v>
      </c>
      <c r="K389" s="20">
        <f t="shared" si="51"/>
        <v>0</v>
      </c>
      <c r="L389" s="25">
        <v>45000</v>
      </c>
      <c r="M389" s="26">
        <v>0.1</v>
      </c>
      <c r="N389" s="20">
        <f t="shared" si="52"/>
        <v>49500.000000000007</v>
      </c>
      <c r="O389" s="27">
        <f t="shared" si="53"/>
        <v>49500.000000000007</v>
      </c>
      <c r="P389" s="17" t="str">
        <f t="shared" si="54"/>
        <v>Benchmark</v>
      </c>
      <c r="Q389" s="9">
        <v>1</v>
      </c>
      <c r="R389" s="28" t="s">
        <v>3079</v>
      </c>
      <c r="S389" s="29" t="str">
        <f t="shared" si="55"/>
        <v>Solar PV system incl. panel, inverter, mounting, cabling and commissioning|Lot</v>
      </c>
      <c r="T389" s="24" t="s">
        <v>2336</v>
      </c>
    </row>
    <row r="390" spans="1:20" ht="15" customHeight="1" x14ac:dyDescent="0.25">
      <c r="A390" s="9" t="s">
        <v>3080</v>
      </c>
      <c r="B390" s="16" t="s">
        <v>865</v>
      </c>
      <c r="C390" s="9" t="s">
        <v>1315</v>
      </c>
      <c r="D390" s="12" t="s">
        <v>1316</v>
      </c>
      <c r="E390" s="12" t="s">
        <v>1317</v>
      </c>
      <c r="F390" s="12" t="s">
        <v>1321</v>
      </c>
      <c r="G390" s="12" t="s">
        <v>1322</v>
      </c>
      <c r="H390" s="9" t="s">
        <v>35</v>
      </c>
      <c r="I390" s="25">
        <v>0</v>
      </c>
      <c r="J390" s="26">
        <v>0</v>
      </c>
      <c r="K390" s="20">
        <f t="shared" ref="K390:K453" si="60">IFERROR(I390*(1+J390),0)</f>
        <v>0</v>
      </c>
      <c r="L390" s="25">
        <v>18000</v>
      </c>
      <c r="M390" s="26">
        <v>0.1</v>
      </c>
      <c r="N390" s="20">
        <f t="shared" ref="N390:N453" si="61">IFERROR(L390*(1+M390),0)</f>
        <v>19800</v>
      </c>
      <c r="O390" s="27">
        <f t="shared" ref="O390:O453" si="62">K390+N390</f>
        <v>19800</v>
      </c>
      <c r="P390" s="17" t="str">
        <f t="shared" ref="P390:P437" si="63">IF(N(I390)+N(L390)=0,"To be quoted",IF($T390="P","Priced","Benchmark"))</f>
        <v>Benchmark</v>
      </c>
      <c r="Q390" s="9">
        <v>1</v>
      </c>
      <c r="R390" s="28" t="s">
        <v>3081</v>
      </c>
      <c r="S390" s="29" t="str">
        <f t="shared" ref="S390:S437" si="64">TRIM(G390)&amp;"|"&amp;TRIM(H390)</f>
        <v>Water treatment plant incl. filter, dosing, control and commissioning|Lot</v>
      </c>
      <c r="T390" s="24" t="s">
        <v>2336</v>
      </c>
    </row>
    <row r="391" spans="1:20" ht="15" customHeight="1" x14ac:dyDescent="0.25">
      <c r="A391" s="9" t="s">
        <v>3082</v>
      </c>
      <c r="B391" s="16" t="s">
        <v>865</v>
      </c>
      <c r="C391" s="9" t="s">
        <v>1315</v>
      </c>
      <c r="D391" s="12" t="s">
        <v>1316</v>
      </c>
      <c r="E391" s="12" t="s">
        <v>1317</v>
      </c>
      <c r="F391" s="12" t="s">
        <v>1324</v>
      </c>
      <c r="G391" s="12" t="s">
        <v>1325</v>
      </c>
      <c r="H391" s="9" t="s">
        <v>35</v>
      </c>
      <c r="I391" s="25">
        <v>0</v>
      </c>
      <c r="J391" s="26">
        <v>0</v>
      </c>
      <c r="K391" s="20">
        <f t="shared" si="60"/>
        <v>0</v>
      </c>
      <c r="L391" s="25">
        <v>12000</v>
      </c>
      <c r="M391" s="26">
        <v>0.1</v>
      </c>
      <c r="N391" s="20">
        <f t="shared" si="61"/>
        <v>13200.000000000002</v>
      </c>
      <c r="O391" s="27">
        <f t="shared" si="62"/>
        <v>13200.000000000002</v>
      </c>
      <c r="P391" s="17" t="str">
        <f t="shared" si="63"/>
        <v>Benchmark</v>
      </c>
      <c r="Q391" s="9">
        <v>1</v>
      </c>
      <c r="R391" s="28" t="s">
        <v>3083</v>
      </c>
      <c r="S391" s="29" t="str">
        <f t="shared" si="64"/>
        <v>Swimming pool filtration system incl. pump, filter, dosing and control|Lot</v>
      </c>
      <c r="T391" s="24" t="s">
        <v>2336</v>
      </c>
    </row>
    <row r="392" spans="1:20" ht="15" customHeight="1" x14ac:dyDescent="0.25">
      <c r="A392" s="9" t="s">
        <v>3084</v>
      </c>
      <c r="B392" s="16" t="s">
        <v>865</v>
      </c>
      <c r="C392" s="9" t="s">
        <v>1315</v>
      </c>
      <c r="D392" s="12" t="s">
        <v>1316</v>
      </c>
      <c r="E392" s="12" t="s">
        <v>1317</v>
      </c>
      <c r="F392" s="12" t="s">
        <v>1327</v>
      </c>
      <c r="G392" s="12" t="s">
        <v>1328</v>
      </c>
      <c r="H392" s="9" t="s">
        <v>35</v>
      </c>
      <c r="I392" s="25">
        <v>0</v>
      </c>
      <c r="J392" s="26">
        <v>0</v>
      </c>
      <c r="K392" s="20">
        <f t="shared" si="60"/>
        <v>0</v>
      </c>
      <c r="L392" s="25">
        <v>35000</v>
      </c>
      <c r="M392" s="26">
        <v>0.1</v>
      </c>
      <c r="N392" s="20">
        <f t="shared" si="61"/>
        <v>38500</v>
      </c>
      <c r="O392" s="27">
        <f t="shared" si="62"/>
        <v>38500</v>
      </c>
      <c r="P392" s="17" t="str">
        <f t="shared" si="63"/>
        <v>Benchmark</v>
      </c>
      <c r="Q392" s="9">
        <v>1</v>
      </c>
      <c r="R392" s="28" t="s">
        <v>3085</v>
      </c>
      <c r="S392" s="29" t="str">
        <f t="shared" si="64"/>
        <v>Commercial kitchen equipment incl. connection and commissioning|Lot</v>
      </c>
      <c r="T392" s="24" t="s">
        <v>2336</v>
      </c>
    </row>
    <row r="393" spans="1:20" ht="32.25" customHeight="1" x14ac:dyDescent="0.25">
      <c r="A393" s="9" t="s">
        <v>3086</v>
      </c>
      <c r="B393" s="16" t="s">
        <v>865</v>
      </c>
      <c r="C393" s="9" t="s">
        <v>1330</v>
      </c>
      <c r="D393" s="12" t="s">
        <v>1331</v>
      </c>
      <c r="E393" s="12" t="s">
        <v>1332</v>
      </c>
      <c r="F393" s="12" t="s">
        <v>1333</v>
      </c>
      <c r="G393" s="12" t="s">
        <v>1334</v>
      </c>
      <c r="H393" s="9" t="s">
        <v>57</v>
      </c>
      <c r="I393" s="25">
        <v>0</v>
      </c>
      <c r="J393" s="26">
        <v>0</v>
      </c>
      <c r="K393" s="20">
        <f t="shared" si="60"/>
        <v>0</v>
      </c>
      <c r="L393" s="25">
        <v>58000</v>
      </c>
      <c r="M393" s="26">
        <v>0.1</v>
      </c>
      <c r="N393" s="20">
        <f t="shared" si="61"/>
        <v>63800.000000000007</v>
      </c>
      <c r="O393" s="27">
        <f t="shared" si="62"/>
        <v>63800.000000000007</v>
      </c>
      <c r="P393" s="17" t="str">
        <f t="shared" si="63"/>
        <v>Benchmark</v>
      </c>
      <c r="Q393" s="9">
        <v>1</v>
      </c>
      <c r="R393" s="28" t="s">
        <v>3087</v>
      </c>
      <c r="S393" s="29" t="str">
        <f t="shared" si="64"/>
        <v>Passenger lift, 1000kg / 13 person, incl. car, door, control and commissioning|Nos</v>
      </c>
      <c r="T393" s="24" t="s">
        <v>2336</v>
      </c>
    </row>
    <row r="394" spans="1:20" ht="32.25" customHeight="1" x14ac:dyDescent="0.25">
      <c r="A394" s="9" t="s">
        <v>3088</v>
      </c>
      <c r="B394" s="16" t="s">
        <v>865</v>
      </c>
      <c r="C394" s="9" t="s">
        <v>1330</v>
      </c>
      <c r="D394" s="12" t="s">
        <v>1331</v>
      </c>
      <c r="E394" s="12" t="s">
        <v>1332</v>
      </c>
      <c r="F394" s="12" t="s">
        <v>1336</v>
      </c>
      <c r="G394" s="12" t="s">
        <v>1337</v>
      </c>
      <c r="H394" s="9" t="s">
        <v>57</v>
      </c>
      <c r="I394" s="25">
        <v>0</v>
      </c>
      <c r="J394" s="26">
        <v>0</v>
      </c>
      <c r="K394" s="20">
        <f t="shared" si="60"/>
        <v>0</v>
      </c>
      <c r="L394" s="25">
        <v>52000</v>
      </c>
      <c r="M394" s="26">
        <v>0.1</v>
      </c>
      <c r="N394" s="20">
        <f t="shared" si="61"/>
        <v>57200.000000000007</v>
      </c>
      <c r="O394" s="27">
        <f t="shared" si="62"/>
        <v>57200.000000000007</v>
      </c>
      <c r="P394" s="17" t="str">
        <f t="shared" si="63"/>
        <v>Benchmark</v>
      </c>
      <c r="Q394" s="9">
        <v>1</v>
      </c>
      <c r="R394" s="28" t="s">
        <v>3089</v>
      </c>
      <c r="S394" s="29" t="str">
        <f t="shared" si="64"/>
        <v>Service / goods lift incl. car, door, control and commissioning|Nos</v>
      </c>
      <c r="T394" s="24" t="s">
        <v>2336</v>
      </c>
    </row>
    <row r="395" spans="1:20" ht="32.25" customHeight="1" x14ac:dyDescent="0.25">
      <c r="A395" s="9" t="s">
        <v>3090</v>
      </c>
      <c r="B395" s="16" t="s">
        <v>865</v>
      </c>
      <c r="C395" s="9" t="s">
        <v>1330</v>
      </c>
      <c r="D395" s="12" t="s">
        <v>1331</v>
      </c>
      <c r="E395" s="12" t="s">
        <v>1332</v>
      </c>
      <c r="F395" s="12" t="s">
        <v>1339</v>
      </c>
      <c r="G395" s="12" t="s">
        <v>1340</v>
      </c>
      <c r="H395" s="9" t="s">
        <v>57</v>
      </c>
      <c r="I395" s="25">
        <v>0</v>
      </c>
      <c r="J395" s="26">
        <v>0</v>
      </c>
      <c r="K395" s="20">
        <f t="shared" si="60"/>
        <v>0</v>
      </c>
      <c r="L395" s="25">
        <v>68000</v>
      </c>
      <c r="M395" s="26">
        <v>0.1</v>
      </c>
      <c r="N395" s="20">
        <f t="shared" si="61"/>
        <v>74800</v>
      </c>
      <c r="O395" s="27">
        <f t="shared" si="62"/>
        <v>74800</v>
      </c>
      <c r="P395" s="17" t="str">
        <f t="shared" si="63"/>
        <v>Benchmark</v>
      </c>
      <c r="Q395" s="9">
        <v>1</v>
      </c>
      <c r="R395" s="28" t="s">
        <v>3091</v>
      </c>
      <c r="S395" s="29" t="str">
        <f t="shared" si="64"/>
        <v>Firefighting lift incl. fireman switch, control and commissioning|Nos</v>
      </c>
      <c r="T395" s="24" t="s">
        <v>2336</v>
      </c>
    </row>
    <row r="396" spans="1:20" ht="32.25" customHeight="1" x14ac:dyDescent="0.25">
      <c r="A396" s="9" t="s">
        <v>3092</v>
      </c>
      <c r="B396" s="16" t="s">
        <v>865</v>
      </c>
      <c r="C396" s="9" t="s">
        <v>1330</v>
      </c>
      <c r="D396" s="12" t="s">
        <v>1331</v>
      </c>
      <c r="E396" s="12" t="s">
        <v>1332</v>
      </c>
      <c r="F396" s="12" t="s">
        <v>1342</v>
      </c>
      <c r="G396" s="12" t="s">
        <v>1343</v>
      </c>
      <c r="H396" s="9" t="s">
        <v>57</v>
      </c>
      <c r="I396" s="25">
        <v>0</v>
      </c>
      <c r="J396" s="26">
        <v>0</v>
      </c>
      <c r="K396" s="20">
        <f t="shared" si="60"/>
        <v>0</v>
      </c>
      <c r="L396" s="25">
        <v>18000</v>
      </c>
      <c r="M396" s="26">
        <v>0.1</v>
      </c>
      <c r="N396" s="20">
        <f t="shared" si="61"/>
        <v>19800</v>
      </c>
      <c r="O396" s="27">
        <f t="shared" si="62"/>
        <v>19800</v>
      </c>
      <c r="P396" s="17" t="str">
        <f t="shared" si="63"/>
        <v>Benchmark</v>
      </c>
      <c r="Q396" s="9">
        <v>1</v>
      </c>
      <c r="R396" s="28" t="s">
        <v>3093</v>
      </c>
      <c r="S396" s="29" t="str">
        <f t="shared" si="64"/>
        <v>Platform / accessibility lift incl. control and commissioning|Nos</v>
      </c>
      <c r="T396" s="24" t="s">
        <v>2336</v>
      </c>
    </row>
    <row r="397" spans="1:20" ht="32.25" customHeight="1" x14ac:dyDescent="0.25">
      <c r="A397" s="9" t="s">
        <v>3094</v>
      </c>
      <c r="B397" s="16" t="s">
        <v>865</v>
      </c>
      <c r="C397" s="9" t="s">
        <v>1330</v>
      </c>
      <c r="D397" s="12" t="s">
        <v>1331</v>
      </c>
      <c r="E397" s="12" t="s">
        <v>1345</v>
      </c>
      <c r="F397" s="12" t="s">
        <v>1345</v>
      </c>
      <c r="G397" s="12" t="s">
        <v>1346</v>
      </c>
      <c r="H397" s="9" t="s">
        <v>57</v>
      </c>
      <c r="I397" s="25">
        <v>0</v>
      </c>
      <c r="J397" s="26">
        <v>0</v>
      </c>
      <c r="K397" s="20">
        <f t="shared" si="60"/>
        <v>0</v>
      </c>
      <c r="L397" s="25">
        <v>85000</v>
      </c>
      <c r="M397" s="26">
        <v>0.1</v>
      </c>
      <c r="N397" s="20">
        <f t="shared" si="61"/>
        <v>93500.000000000015</v>
      </c>
      <c r="O397" s="27">
        <f t="shared" si="62"/>
        <v>93500.000000000015</v>
      </c>
      <c r="P397" s="17" t="str">
        <f t="shared" si="63"/>
        <v>Benchmark</v>
      </c>
      <c r="Q397" s="9">
        <v>1</v>
      </c>
      <c r="R397" s="28" t="s">
        <v>3095</v>
      </c>
      <c r="S397" s="29" t="str">
        <f t="shared" si="64"/>
        <v>Escalator incl. truss, balustrade, control and commissioning|Nos</v>
      </c>
      <c r="T397" s="24" t="s">
        <v>2336</v>
      </c>
    </row>
    <row r="398" spans="1:20" ht="32.25" customHeight="1" x14ac:dyDescent="0.25">
      <c r="A398" s="9" t="s">
        <v>3096</v>
      </c>
      <c r="B398" s="16" t="s">
        <v>865</v>
      </c>
      <c r="C398" s="9" t="s">
        <v>1330</v>
      </c>
      <c r="D398" s="12" t="s">
        <v>1331</v>
      </c>
      <c r="E398" s="12" t="s">
        <v>1348</v>
      </c>
      <c r="F398" s="12" t="s">
        <v>1349</v>
      </c>
      <c r="G398" s="12" t="s">
        <v>1350</v>
      </c>
      <c r="H398" s="9" t="s">
        <v>57</v>
      </c>
      <c r="I398" s="25">
        <v>25</v>
      </c>
      <c r="J398" s="26">
        <f>_STDLAB</f>
        <v>0.2</v>
      </c>
      <c r="K398" s="20">
        <f t="shared" si="60"/>
        <v>30</v>
      </c>
      <c r="L398" s="25">
        <v>85</v>
      </c>
      <c r="M398" s="26">
        <f>_STDMAT</f>
        <v>0.12</v>
      </c>
      <c r="N398" s="20">
        <f t="shared" si="61"/>
        <v>95.2</v>
      </c>
      <c r="O398" s="27">
        <f t="shared" si="62"/>
        <v>125.2</v>
      </c>
      <c r="P398" s="17" t="str">
        <f t="shared" si="63"/>
        <v>Benchmark</v>
      </c>
      <c r="Q398" s="9">
        <v>1</v>
      </c>
      <c r="R398" s="28" t="s">
        <v>3097</v>
      </c>
      <c r="S398" s="29" t="str">
        <f t="shared" si="64"/>
        <v>Lift pit access ladder incl. fixing|Nos</v>
      </c>
      <c r="T398" s="24" t="s">
        <v>2336</v>
      </c>
    </row>
    <row r="399" spans="1:20" ht="32.25" customHeight="1" x14ac:dyDescent="0.25">
      <c r="A399" s="9" t="s">
        <v>3098</v>
      </c>
      <c r="B399" s="16" t="s">
        <v>865</v>
      </c>
      <c r="C399" s="9" t="s">
        <v>1330</v>
      </c>
      <c r="D399" s="12" t="s">
        <v>1331</v>
      </c>
      <c r="E399" s="12" t="s">
        <v>1348</v>
      </c>
      <c r="F399" s="12" t="s">
        <v>1352</v>
      </c>
      <c r="G399" s="12" t="s">
        <v>1353</v>
      </c>
      <c r="H399" s="9" t="s">
        <v>35</v>
      </c>
      <c r="I399" s="25">
        <v>120</v>
      </c>
      <c r="J399" s="26">
        <f>_STDLAB</f>
        <v>0.2</v>
      </c>
      <c r="K399" s="20">
        <f t="shared" si="60"/>
        <v>144</v>
      </c>
      <c r="L399" s="25">
        <v>280</v>
      </c>
      <c r="M399" s="26">
        <f>_STDMAT</f>
        <v>0.12</v>
      </c>
      <c r="N399" s="20">
        <f t="shared" si="61"/>
        <v>313.60000000000002</v>
      </c>
      <c r="O399" s="27">
        <f t="shared" si="62"/>
        <v>457.6</v>
      </c>
      <c r="P399" s="17" t="str">
        <f t="shared" si="63"/>
        <v>Benchmark</v>
      </c>
      <c r="Q399" s="9">
        <v>1</v>
      </c>
      <c r="R399" s="28" t="s">
        <v>3099</v>
      </c>
      <c r="S399" s="29" t="str">
        <f t="shared" si="64"/>
        <v>Lift shaft lighting and socket incl. wiring and switch|Lot</v>
      </c>
      <c r="T399" s="24" t="s">
        <v>2336</v>
      </c>
    </row>
    <row r="400" spans="1:20" ht="32.25" customHeight="1" x14ac:dyDescent="0.25">
      <c r="A400" s="9" t="s">
        <v>3100</v>
      </c>
      <c r="B400" s="16" t="s">
        <v>865</v>
      </c>
      <c r="C400" s="9" t="s">
        <v>1330</v>
      </c>
      <c r="D400" s="12" t="s">
        <v>1331</v>
      </c>
      <c r="E400" s="12" t="s">
        <v>1348</v>
      </c>
      <c r="F400" s="12" t="s">
        <v>1355</v>
      </c>
      <c r="G400" s="12" t="s">
        <v>1356</v>
      </c>
      <c r="H400" s="9" t="s">
        <v>35</v>
      </c>
      <c r="I400" s="25">
        <v>250</v>
      </c>
      <c r="J400" s="26">
        <f>_STDLAB</f>
        <v>0.2</v>
      </c>
      <c r="K400" s="20">
        <f t="shared" si="60"/>
        <v>300</v>
      </c>
      <c r="L400" s="25">
        <v>850</v>
      </c>
      <c r="M400" s="26">
        <f>_STDMAT</f>
        <v>0.12</v>
      </c>
      <c r="N400" s="20">
        <f t="shared" si="61"/>
        <v>952.00000000000011</v>
      </c>
      <c r="O400" s="27">
        <f t="shared" si="62"/>
        <v>1252</v>
      </c>
      <c r="P400" s="17" t="str">
        <f t="shared" si="63"/>
        <v>Benchmark</v>
      </c>
      <c r="Q400" s="9">
        <v>1</v>
      </c>
      <c r="R400" s="28" t="s">
        <v>3101</v>
      </c>
      <c r="S400" s="29" t="str">
        <f t="shared" si="64"/>
        <v>Lift machine room equipment incl. ventilation, lighting and hoisting beam|Lot</v>
      </c>
      <c r="T400" s="24" t="s">
        <v>2336</v>
      </c>
    </row>
    <row r="401" spans="1:20" ht="15" customHeight="1" x14ac:dyDescent="0.25">
      <c r="A401" s="9" t="s">
        <v>3102</v>
      </c>
      <c r="B401" s="16" t="s">
        <v>865</v>
      </c>
      <c r="C401" s="9" t="s">
        <v>1358</v>
      </c>
      <c r="D401" s="12" t="s">
        <v>1359</v>
      </c>
      <c r="E401" s="12" t="s">
        <v>1360</v>
      </c>
      <c r="F401" s="12" t="s">
        <v>1361</v>
      </c>
      <c r="G401" s="12" t="s">
        <v>1362</v>
      </c>
      <c r="H401" s="9" t="s">
        <v>35</v>
      </c>
      <c r="I401" s="25">
        <v>0</v>
      </c>
      <c r="J401" s="26">
        <v>0</v>
      </c>
      <c r="K401" s="20">
        <f t="shared" si="60"/>
        <v>0</v>
      </c>
      <c r="L401" s="25">
        <v>4500</v>
      </c>
      <c r="M401" s="26">
        <v>0.1</v>
      </c>
      <c r="N401" s="20">
        <f t="shared" si="61"/>
        <v>4950</v>
      </c>
      <c r="O401" s="27">
        <f t="shared" si="62"/>
        <v>4950</v>
      </c>
      <c r="P401" s="17" t="str">
        <f t="shared" si="63"/>
        <v>Benchmark</v>
      </c>
      <c r="Q401" s="9">
        <v>1</v>
      </c>
      <c r="R401" s="28" t="s">
        <v>3103</v>
      </c>
      <c r="S401" s="29" t="str">
        <f t="shared" si="64"/>
        <v>Testing, adjusting and commissioning of complete installation incl. report|Lot</v>
      </c>
      <c r="T401" s="24" t="s">
        <v>2336</v>
      </c>
    </row>
    <row r="402" spans="1:20" ht="15" customHeight="1" x14ac:dyDescent="0.25">
      <c r="A402" s="9" t="s">
        <v>3104</v>
      </c>
      <c r="B402" s="16" t="s">
        <v>865</v>
      </c>
      <c r="C402" s="9" t="s">
        <v>1358</v>
      </c>
      <c r="D402" s="12" t="s">
        <v>1359</v>
      </c>
      <c r="E402" s="12" t="s">
        <v>1360</v>
      </c>
      <c r="F402" s="12" t="s">
        <v>1364</v>
      </c>
      <c r="G402" s="12" t="s">
        <v>1365</v>
      </c>
      <c r="H402" s="9" t="s">
        <v>35</v>
      </c>
      <c r="I402" s="25">
        <v>1200</v>
      </c>
      <c r="J402" s="26">
        <f t="shared" ref="J402:J427" si="65">_STDLAB</f>
        <v>0.2</v>
      </c>
      <c r="K402" s="20">
        <f t="shared" si="60"/>
        <v>1440</v>
      </c>
      <c r="L402" s="25">
        <v>400</v>
      </c>
      <c r="M402" s="26">
        <f t="shared" ref="M402:M427" si="66">_STDMAT</f>
        <v>0.12</v>
      </c>
      <c r="N402" s="20">
        <f t="shared" si="61"/>
        <v>448.00000000000006</v>
      </c>
      <c r="O402" s="27">
        <f t="shared" si="62"/>
        <v>1888</v>
      </c>
      <c r="P402" s="17" t="str">
        <f t="shared" si="63"/>
        <v>Benchmark</v>
      </c>
      <c r="Q402" s="9">
        <v>1</v>
      </c>
      <c r="R402" s="28" t="s">
        <v>3105</v>
      </c>
      <c r="S402" s="29" t="str">
        <f t="shared" si="64"/>
        <v>As-built drawings incl. printing and soft copy submission|Lot</v>
      </c>
      <c r="T402" s="24" t="s">
        <v>2336</v>
      </c>
    </row>
    <row r="403" spans="1:20" ht="15" customHeight="1" x14ac:dyDescent="0.25">
      <c r="A403" s="9" t="s">
        <v>3106</v>
      </c>
      <c r="B403" s="16" t="s">
        <v>865</v>
      </c>
      <c r="C403" s="9" t="s">
        <v>1358</v>
      </c>
      <c r="D403" s="12" t="s">
        <v>1359</v>
      </c>
      <c r="E403" s="12" t="s">
        <v>1360</v>
      </c>
      <c r="F403" s="12" t="s">
        <v>1367</v>
      </c>
      <c r="G403" s="12" t="s">
        <v>1368</v>
      </c>
      <c r="H403" s="9" t="s">
        <v>35</v>
      </c>
      <c r="I403" s="25">
        <v>900</v>
      </c>
      <c r="J403" s="26">
        <f t="shared" si="65"/>
        <v>0.2</v>
      </c>
      <c r="K403" s="20">
        <f t="shared" si="60"/>
        <v>1080</v>
      </c>
      <c r="L403" s="25">
        <v>300</v>
      </c>
      <c r="M403" s="26">
        <f t="shared" si="66"/>
        <v>0.12</v>
      </c>
      <c r="N403" s="20">
        <f t="shared" si="61"/>
        <v>336.00000000000006</v>
      </c>
      <c r="O403" s="27">
        <f t="shared" si="62"/>
        <v>1416</v>
      </c>
      <c r="P403" s="17" t="str">
        <f t="shared" si="63"/>
        <v>Benchmark</v>
      </c>
      <c r="Q403" s="9">
        <v>1</v>
      </c>
      <c r="R403" s="28" t="s">
        <v>3107</v>
      </c>
      <c r="S403" s="29" t="str">
        <f t="shared" si="64"/>
        <v>Operation and maintenance manual incl. warranty documents|Lot</v>
      </c>
      <c r="T403" s="24" t="s">
        <v>2336</v>
      </c>
    </row>
    <row r="404" spans="1:20" ht="15" customHeight="1" x14ac:dyDescent="0.25">
      <c r="A404" s="9" t="s">
        <v>3108</v>
      </c>
      <c r="B404" s="16" t="s">
        <v>865</v>
      </c>
      <c r="C404" s="9" t="s">
        <v>1358</v>
      </c>
      <c r="D404" s="12" t="s">
        <v>1359</v>
      </c>
      <c r="E404" s="12" t="s">
        <v>1360</v>
      </c>
      <c r="F404" s="12" t="s">
        <v>1370</v>
      </c>
      <c r="G404" s="12" t="s">
        <v>1371</v>
      </c>
      <c r="H404" s="9" t="s">
        <v>35</v>
      </c>
      <c r="I404" s="25">
        <v>600</v>
      </c>
      <c r="J404" s="26">
        <f t="shared" si="65"/>
        <v>0.2</v>
      </c>
      <c r="K404" s="20">
        <f t="shared" si="60"/>
        <v>720</v>
      </c>
      <c r="L404" s="25">
        <v>200</v>
      </c>
      <c r="M404" s="26">
        <f t="shared" si="66"/>
        <v>0.12</v>
      </c>
      <c r="N404" s="20">
        <f t="shared" si="61"/>
        <v>224.00000000000003</v>
      </c>
      <c r="O404" s="27">
        <f t="shared" si="62"/>
        <v>944</v>
      </c>
      <c r="P404" s="17" t="str">
        <f t="shared" si="63"/>
        <v>Benchmark</v>
      </c>
      <c r="Q404" s="9">
        <v>1</v>
      </c>
      <c r="R404" s="28" t="s">
        <v>3109</v>
      </c>
      <c r="S404" s="29" t="str">
        <f t="shared" si="64"/>
        <v>Training of client operating personnel|Lot</v>
      </c>
      <c r="T404" s="24" t="s">
        <v>2336</v>
      </c>
    </row>
    <row r="405" spans="1:20" ht="15" customHeight="1" x14ac:dyDescent="0.25">
      <c r="A405" s="9" t="s">
        <v>3110</v>
      </c>
      <c r="B405" s="16" t="s">
        <v>865</v>
      </c>
      <c r="C405" s="9" t="s">
        <v>1358</v>
      </c>
      <c r="D405" s="12" t="s">
        <v>1359</v>
      </c>
      <c r="E405" s="12" t="s">
        <v>1360</v>
      </c>
      <c r="F405" s="12" t="s">
        <v>1373</v>
      </c>
      <c r="G405" s="12" t="s">
        <v>1374</v>
      </c>
      <c r="H405" s="9" t="s">
        <v>35</v>
      </c>
      <c r="I405" s="25">
        <v>0</v>
      </c>
      <c r="J405" s="26">
        <f t="shared" si="65"/>
        <v>0.2</v>
      </c>
      <c r="K405" s="20">
        <f t="shared" si="60"/>
        <v>0</v>
      </c>
      <c r="L405" s="25">
        <v>2500</v>
      </c>
      <c r="M405" s="26">
        <f t="shared" si="66"/>
        <v>0.12</v>
      </c>
      <c r="N405" s="20">
        <f t="shared" si="61"/>
        <v>2800.0000000000005</v>
      </c>
      <c r="O405" s="27">
        <f t="shared" si="62"/>
        <v>2800.0000000000005</v>
      </c>
      <c r="P405" s="17" t="str">
        <f t="shared" si="63"/>
        <v>Benchmark</v>
      </c>
      <c r="Q405" s="9">
        <v>1</v>
      </c>
      <c r="R405" s="28" t="s">
        <v>3111</v>
      </c>
      <c r="S405" s="29" t="str">
        <f t="shared" si="64"/>
        <v>Recommended spare parts as per specification|Lot</v>
      </c>
      <c r="T405" s="24" t="s">
        <v>2336</v>
      </c>
    </row>
    <row r="406" spans="1:20" ht="15" customHeight="1" x14ac:dyDescent="0.25">
      <c r="A406" s="9" t="s">
        <v>3112</v>
      </c>
      <c r="B406" s="18" t="s">
        <v>1376</v>
      </c>
      <c r="C406" s="9" t="s">
        <v>1377</v>
      </c>
      <c r="D406" s="12" t="s">
        <v>1378</v>
      </c>
      <c r="E406" s="12" t="s">
        <v>1379</v>
      </c>
      <c r="F406" s="12" t="s">
        <v>1380</v>
      </c>
      <c r="G406" s="12" t="s">
        <v>1381</v>
      </c>
      <c r="H406" s="9" t="s">
        <v>18</v>
      </c>
      <c r="I406" s="25">
        <v>0.55000000000000004</v>
      </c>
      <c r="J406" s="26">
        <f t="shared" si="65"/>
        <v>0.2</v>
      </c>
      <c r="K406" s="20">
        <f t="shared" si="60"/>
        <v>0.66</v>
      </c>
      <c r="L406" s="25">
        <v>0.15</v>
      </c>
      <c r="M406" s="26">
        <f t="shared" si="66"/>
        <v>0.12</v>
      </c>
      <c r="N406" s="20">
        <f t="shared" si="61"/>
        <v>0.16800000000000001</v>
      </c>
      <c r="O406" s="27">
        <f t="shared" si="62"/>
        <v>0.82800000000000007</v>
      </c>
      <c r="P406" s="17" t="str">
        <f t="shared" si="63"/>
        <v>Benchmark</v>
      </c>
      <c r="Q406" s="9">
        <v>1</v>
      </c>
      <c r="R406" s="28" t="s">
        <v>2335</v>
      </c>
      <c r="S406" s="29" t="str">
        <f t="shared" si="64"/>
        <v>Site clearing; supply and lay complete incl. base preparation and jointing.|m2</v>
      </c>
      <c r="T406" s="24" t="s">
        <v>2336</v>
      </c>
    </row>
    <row r="407" spans="1:20" ht="15" customHeight="1" x14ac:dyDescent="0.25">
      <c r="A407" s="9" t="s">
        <v>3113</v>
      </c>
      <c r="B407" s="18" t="s">
        <v>1376</v>
      </c>
      <c r="C407" s="9" t="s">
        <v>1377</v>
      </c>
      <c r="D407" s="12" t="s">
        <v>1378</v>
      </c>
      <c r="E407" s="12" t="s">
        <v>1379</v>
      </c>
      <c r="F407" s="12" t="s">
        <v>1383</v>
      </c>
      <c r="G407" s="12" t="s">
        <v>1384</v>
      </c>
      <c r="H407" s="9" t="s">
        <v>22</v>
      </c>
      <c r="I407" s="25">
        <v>2.8</v>
      </c>
      <c r="J407" s="26">
        <f t="shared" si="65"/>
        <v>0.2</v>
      </c>
      <c r="K407" s="20">
        <f t="shared" si="60"/>
        <v>3.36</v>
      </c>
      <c r="L407" s="25">
        <v>0.6</v>
      </c>
      <c r="M407" s="26">
        <f t="shared" si="66"/>
        <v>0.12</v>
      </c>
      <c r="N407" s="20">
        <f t="shared" si="61"/>
        <v>0.67200000000000004</v>
      </c>
      <c r="O407" s="27">
        <f t="shared" si="62"/>
        <v>4.032</v>
      </c>
      <c r="P407" s="17" t="str">
        <f t="shared" si="63"/>
        <v>Benchmark</v>
      </c>
      <c r="Q407" s="9">
        <v>1</v>
      </c>
      <c r="R407" s="28" t="s">
        <v>3114</v>
      </c>
      <c r="S407" s="29" t="str">
        <f t="shared" si="64"/>
        <v>Cut and fill to formation level incl. compaction|m3</v>
      </c>
      <c r="T407" s="24" t="s">
        <v>2336</v>
      </c>
    </row>
    <row r="408" spans="1:20" ht="15" customHeight="1" x14ac:dyDescent="0.25">
      <c r="A408" s="9" t="s">
        <v>3115</v>
      </c>
      <c r="B408" s="18" t="s">
        <v>1376</v>
      </c>
      <c r="C408" s="9" t="s">
        <v>1387</v>
      </c>
      <c r="D408" s="12" t="s">
        <v>1378</v>
      </c>
      <c r="E408" s="12" t="s">
        <v>1388</v>
      </c>
      <c r="F408" s="12" t="s">
        <v>1389</v>
      </c>
      <c r="G408" s="12" t="s">
        <v>1390</v>
      </c>
      <c r="H408" s="9" t="s">
        <v>18</v>
      </c>
      <c r="I408" s="25">
        <v>7</v>
      </c>
      <c r="J408" s="26">
        <f t="shared" si="65"/>
        <v>0.2</v>
      </c>
      <c r="K408" s="20">
        <f t="shared" si="60"/>
        <v>8.4</v>
      </c>
      <c r="L408" s="25">
        <v>16</v>
      </c>
      <c r="M408" s="26">
        <f t="shared" si="66"/>
        <v>0.12</v>
      </c>
      <c r="N408" s="20">
        <f t="shared" si="61"/>
        <v>17.920000000000002</v>
      </c>
      <c r="O408" s="27">
        <f t="shared" si="62"/>
        <v>26.32</v>
      </c>
      <c r="P408" s="17" t="str">
        <f t="shared" si="63"/>
        <v>Benchmark</v>
      </c>
      <c r="Q408" s="9">
        <v>1</v>
      </c>
      <c r="R408" s="28" t="s">
        <v>3116</v>
      </c>
      <c r="S408" s="29" t="str">
        <f t="shared" si="64"/>
        <v>Reinforced concrete paving 150mm thk. incl. base, mesh and joint|m2</v>
      </c>
      <c r="T408" s="24" t="s">
        <v>2336</v>
      </c>
    </row>
    <row r="409" spans="1:20" ht="15" customHeight="1" x14ac:dyDescent="0.25">
      <c r="A409" s="9" t="s">
        <v>3117</v>
      </c>
      <c r="B409" s="18" t="s">
        <v>1376</v>
      </c>
      <c r="C409" s="9" t="s">
        <v>1387</v>
      </c>
      <c r="D409" s="12" t="s">
        <v>1378</v>
      </c>
      <c r="E409" s="12" t="s">
        <v>1388</v>
      </c>
      <c r="F409" s="12" t="s">
        <v>1392</v>
      </c>
      <c r="G409" s="12" t="s">
        <v>1393</v>
      </c>
      <c r="H409" s="9" t="s">
        <v>18</v>
      </c>
      <c r="I409" s="25">
        <v>4</v>
      </c>
      <c r="J409" s="26">
        <f t="shared" si="65"/>
        <v>0.2</v>
      </c>
      <c r="K409" s="20">
        <f t="shared" si="60"/>
        <v>4.8</v>
      </c>
      <c r="L409" s="25">
        <v>13</v>
      </c>
      <c r="M409" s="26">
        <f t="shared" si="66"/>
        <v>0.12</v>
      </c>
      <c r="N409" s="20">
        <f t="shared" si="61"/>
        <v>14.560000000000002</v>
      </c>
      <c r="O409" s="27">
        <f t="shared" si="62"/>
        <v>19.360000000000003</v>
      </c>
      <c r="P409" s="17" t="str">
        <f t="shared" si="63"/>
        <v>Benchmark</v>
      </c>
      <c r="Q409" s="9">
        <v>1</v>
      </c>
      <c r="R409" s="28" t="s">
        <v>3118</v>
      </c>
      <c r="S409" s="29" t="str">
        <f t="shared" si="64"/>
        <v>Asphalt concrete wearing course 50mm thk. incl. prime coat and base|m2</v>
      </c>
      <c r="T409" s="24" t="s">
        <v>2336</v>
      </c>
    </row>
    <row r="410" spans="1:20" ht="15" customHeight="1" x14ac:dyDescent="0.25">
      <c r="A410" s="9" t="s">
        <v>3119</v>
      </c>
      <c r="B410" s="18" t="s">
        <v>1376</v>
      </c>
      <c r="C410" s="9" t="s">
        <v>1387</v>
      </c>
      <c r="D410" s="12" t="s">
        <v>1378</v>
      </c>
      <c r="E410" s="12" t="s">
        <v>1388</v>
      </c>
      <c r="F410" s="12" t="s">
        <v>1395</v>
      </c>
      <c r="G410" s="12" t="s">
        <v>1396</v>
      </c>
      <c r="H410" s="9" t="s">
        <v>18</v>
      </c>
      <c r="I410" s="25">
        <v>5</v>
      </c>
      <c r="J410" s="26">
        <f t="shared" si="65"/>
        <v>0.2</v>
      </c>
      <c r="K410" s="20">
        <f t="shared" si="60"/>
        <v>6</v>
      </c>
      <c r="L410" s="25">
        <v>11</v>
      </c>
      <c r="M410" s="26">
        <f t="shared" si="66"/>
        <v>0.12</v>
      </c>
      <c r="N410" s="20">
        <f t="shared" si="61"/>
        <v>12.32</v>
      </c>
      <c r="O410" s="27">
        <f t="shared" si="62"/>
        <v>18.32</v>
      </c>
      <c r="P410" s="17" t="str">
        <f t="shared" si="63"/>
        <v>Benchmark</v>
      </c>
      <c r="Q410" s="9">
        <v>1</v>
      </c>
      <c r="R410" s="28" t="s">
        <v>3120</v>
      </c>
      <c r="S410" s="29" t="str">
        <f t="shared" si="64"/>
        <v>Interlocking concrete paver 60mm thk. incl. sand bedding and jointing|m2</v>
      </c>
      <c r="T410" s="24" t="s">
        <v>2336</v>
      </c>
    </row>
    <row r="411" spans="1:20" ht="15" customHeight="1" x14ac:dyDescent="0.25">
      <c r="A411" s="9" t="s">
        <v>3121</v>
      </c>
      <c r="B411" s="18" t="s">
        <v>1376</v>
      </c>
      <c r="C411" s="9" t="s">
        <v>1387</v>
      </c>
      <c r="D411" s="12" t="s">
        <v>1378</v>
      </c>
      <c r="E411" s="12" t="s">
        <v>1388</v>
      </c>
      <c r="F411" s="12" t="s">
        <v>1398</v>
      </c>
      <c r="G411" s="12" t="s">
        <v>1399</v>
      </c>
      <c r="H411" s="9" t="s">
        <v>61</v>
      </c>
      <c r="I411" s="25">
        <v>4.5</v>
      </c>
      <c r="J411" s="26">
        <f t="shared" si="65"/>
        <v>0.2</v>
      </c>
      <c r="K411" s="20">
        <f t="shared" si="60"/>
        <v>5.3999999999999995</v>
      </c>
      <c r="L411" s="25">
        <v>8.5</v>
      </c>
      <c r="M411" s="26">
        <f t="shared" si="66"/>
        <v>0.12</v>
      </c>
      <c r="N411" s="20">
        <f t="shared" si="61"/>
        <v>9.5200000000000014</v>
      </c>
      <c r="O411" s="27">
        <f t="shared" si="62"/>
        <v>14.920000000000002</v>
      </c>
      <c r="P411" s="17" t="str">
        <f t="shared" si="63"/>
        <v>Benchmark</v>
      </c>
      <c r="Q411" s="9">
        <v>1</v>
      </c>
      <c r="R411" s="28" t="s">
        <v>3122</v>
      </c>
      <c r="S411" s="29" t="str">
        <f t="shared" si="64"/>
        <v>Precast concrete kerb incl. bedding, haunching and jointing|m</v>
      </c>
      <c r="T411" s="24" t="s">
        <v>2336</v>
      </c>
    </row>
    <row r="412" spans="1:20" ht="15" customHeight="1" x14ac:dyDescent="0.25">
      <c r="A412" s="9" t="s">
        <v>3123</v>
      </c>
      <c r="B412" s="18" t="s">
        <v>1376</v>
      </c>
      <c r="C412" s="9" t="s">
        <v>1387</v>
      </c>
      <c r="D412" s="12" t="s">
        <v>1378</v>
      </c>
      <c r="E412" s="12" t="s">
        <v>1388</v>
      </c>
      <c r="F412" s="12" t="s">
        <v>1401</v>
      </c>
      <c r="G412" s="12" t="s">
        <v>1402</v>
      </c>
      <c r="H412" s="9" t="s">
        <v>61</v>
      </c>
      <c r="I412" s="25">
        <v>1.5</v>
      </c>
      <c r="J412" s="26">
        <f t="shared" si="65"/>
        <v>0.2</v>
      </c>
      <c r="K412" s="20">
        <f t="shared" si="60"/>
        <v>1.7999999999999998</v>
      </c>
      <c r="L412" s="25">
        <v>2.5</v>
      </c>
      <c r="M412" s="26">
        <f t="shared" si="66"/>
        <v>0.12</v>
      </c>
      <c r="N412" s="20">
        <f t="shared" si="61"/>
        <v>2.8000000000000003</v>
      </c>
      <c r="O412" s="27">
        <f t="shared" si="62"/>
        <v>4.5999999999999996</v>
      </c>
      <c r="P412" s="17" t="str">
        <f t="shared" si="63"/>
        <v>Benchmark</v>
      </c>
      <c r="Q412" s="9">
        <v>1</v>
      </c>
      <c r="R412" s="28" t="s">
        <v>3124</v>
      </c>
      <c r="S412" s="29" t="str">
        <f t="shared" si="64"/>
        <v>Thermoplastic road marking incl. surface preparation|m</v>
      </c>
      <c r="T412" s="24" t="s">
        <v>2336</v>
      </c>
    </row>
    <row r="413" spans="1:20" ht="15" customHeight="1" x14ac:dyDescent="0.25">
      <c r="A413" s="9" t="s">
        <v>3125</v>
      </c>
      <c r="B413" s="18" t="s">
        <v>1376</v>
      </c>
      <c r="C413" s="9" t="s">
        <v>1387</v>
      </c>
      <c r="D413" s="12" t="s">
        <v>1378</v>
      </c>
      <c r="E413" s="12" t="s">
        <v>1388</v>
      </c>
      <c r="F413" s="12" t="s">
        <v>1404</v>
      </c>
      <c r="G413" s="12" t="s">
        <v>1405</v>
      </c>
      <c r="H413" s="9" t="s">
        <v>18</v>
      </c>
      <c r="I413" s="25">
        <v>4</v>
      </c>
      <c r="J413" s="26">
        <f t="shared" si="65"/>
        <v>0.2</v>
      </c>
      <c r="K413" s="20">
        <f t="shared" si="60"/>
        <v>4.8</v>
      </c>
      <c r="L413" s="25">
        <v>9</v>
      </c>
      <c r="M413" s="26">
        <f t="shared" si="66"/>
        <v>0.12</v>
      </c>
      <c r="N413" s="20">
        <f t="shared" si="61"/>
        <v>10.080000000000002</v>
      </c>
      <c r="O413" s="27">
        <f t="shared" si="62"/>
        <v>14.880000000000003</v>
      </c>
      <c r="P413" s="17" t="str">
        <f t="shared" si="63"/>
        <v>Benchmark</v>
      </c>
      <c r="Q413" s="9">
        <v>1</v>
      </c>
      <c r="R413" s="28" t="s">
        <v>3126</v>
      </c>
      <c r="S413" s="29" t="str">
        <f t="shared" si="64"/>
        <v>Car park surfacing incl. marking, wheel stop and signage|m2</v>
      </c>
      <c r="T413" s="24" t="s">
        <v>2336</v>
      </c>
    </row>
    <row r="414" spans="1:20" ht="15" customHeight="1" x14ac:dyDescent="0.25">
      <c r="A414" s="9" t="s">
        <v>3127</v>
      </c>
      <c r="B414" s="18" t="s">
        <v>1376</v>
      </c>
      <c r="C414" s="9" t="s">
        <v>1407</v>
      </c>
      <c r="D414" s="12" t="s">
        <v>1378</v>
      </c>
      <c r="E414" s="12" t="s">
        <v>1408</v>
      </c>
      <c r="F414" s="12" t="s">
        <v>1409</v>
      </c>
      <c r="G414" s="12" t="s">
        <v>1410</v>
      </c>
      <c r="H414" s="9" t="s">
        <v>22</v>
      </c>
      <c r="I414" s="25">
        <v>4</v>
      </c>
      <c r="J414" s="26">
        <f t="shared" si="65"/>
        <v>0.2</v>
      </c>
      <c r="K414" s="20">
        <f t="shared" si="60"/>
        <v>4.8</v>
      </c>
      <c r="L414" s="25">
        <v>12</v>
      </c>
      <c r="M414" s="26">
        <f t="shared" si="66"/>
        <v>0.12</v>
      </c>
      <c r="N414" s="20">
        <f t="shared" si="61"/>
        <v>13.440000000000001</v>
      </c>
      <c r="O414" s="27">
        <f t="shared" si="62"/>
        <v>18.240000000000002</v>
      </c>
      <c r="P414" s="17" t="str">
        <f t="shared" si="63"/>
        <v>Benchmark</v>
      </c>
      <c r="Q414" s="9">
        <v>1</v>
      </c>
      <c r="R414" s="28" t="s">
        <v>3128</v>
      </c>
      <c r="S414" s="29" t="str">
        <f t="shared" si="64"/>
        <v>Approved top soil spread and levelled|m3</v>
      </c>
      <c r="T414" s="24" t="s">
        <v>2336</v>
      </c>
    </row>
    <row r="415" spans="1:20" ht="15" customHeight="1" x14ac:dyDescent="0.25">
      <c r="A415" s="9" t="s">
        <v>3129</v>
      </c>
      <c r="B415" s="18" t="s">
        <v>1376</v>
      </c>
      <c r="C415" s="9" t="s">
        <v>1407</v>
      </c>
      <c r="D415" s="12" t="s">
        <v>1378</v>
      </c>
      <c r="E415" s="12" t="s">
        <v>1408</v>
      </c>
      <c r="F415" s="12" t="s">
        <v>1412</v>
      </c>
      <c r="G415" s="12" t="s">
        <v>1413</v>
      </c>
      <c r="H415" s="9" t="s">
        <v>18</v>
      </c>
      <c r="I415" s="25">
        <v>1.5</v>
      </c>
      <c r="J415" s="26">
        <f t="shared" si="65"/>
        <v>0.2</v>
      </c>
      <c r="K415" s="20">
        <f t="shared" si="60"/>
        <v>1.7999999999999998</v>
      </c>
      <c r="L415" s="25">
        <v>2.5</v>
      </c>
      <c r="M415" s="26">
        <f t="shared" si="66"/>
        <v>0.12</v>
      </c>
      <c r="N415" s="20">
        <f t="shared" si="61"/>
        <v>2.8000000000000003</v>
      </c>
      <c r="O415" s="27">
        <f t="shared" si="62"/>
        <v>4.5999999999999996</v>
      </c>
      <c r="P415" s="17" t="str">
        <f t="shared" si="63"/>
        <v>Benchmark</v>
      </c>
      <c r="Q415" s="9">
        <v>1</v>
      </c>
      <c r="R415" s="28" t="s">
        <v>3130</v>
      </c>
      <c r="S415" s="29" t="str">
        <f t="shared" si="64"/>
        <v>Turfing incl. top soil, fertiliser and watering to establishment|m2</v>
      </c>
      <c r="T415" s="24" t="s">
        <v>2336</v>
      </c>
    </row>
    <row r="416" spans="1:20" ht="15" customHeight="1" x14ac:dyDescent="0.25">
      <c r="A416" s="9" t="s">
        <v>3131</v>
      </c>
      <c r="B416" s="18" t="s">
        <v>1376</v>
      </c>
      <c r="C416" s="9" t="s">
        <v>1407</v>
      </c>
      <c r="D416" s="12" t="s">
        <v>1378</v>
      </c>
      <c r="E416" s="12" t="s">
        <v>1408</v>
      </c>
      <c r="F416" s="12" t="s">
        <v>1415</v>
      </c>
      <c r="G416" s="12" t="s">
        <v>1416</v>
      </c>
      <c r="H416" s="9" t="s">
        <v>57</v>
      </c>
      <c r="I416" s="25">
        <v>8</v>
      </c>
      <c r="J416" s="26">
        <f t="shared" si="65"/>
        <v>0.2</v>
      </c>
      <c r="K416" s="20">
        <f t="shared" si="60"/>
        <v>9.6</v>
      </c>
      <c r="L416" s="25">
        <v>22</v>
      </c>
      <c r="M416" s="26">
        <f t="shared" si="66"/>
        <v>0.12</v>
      </c>
      <c r="N416" s="20">
        <f t="shared" si="61"/>
        <v>24.64</v>
      </c>
      <c r="O416" s="27">
        <f t="shared" si="62"/>
        <v>34.24</v>
      </c>
      <c r="P416" s="17" t="str">
        <f t="shared" si="63"/>
        <v>Benchmark</v>
      </c>
      <c r="Q416" s="9">
        <v>1</v>
      </c>
      <c r="R416" s="28" t="s">
        <v>3132</v>
      </c>
      <c r="S416" s="29" t="str">
        <f t="shared" si="64"/>
        <v>Supply and plant tree / shrub incl. pit, soil mix, stake and maintenance|Nos</v>
      </c>
      <c r="T416" s="24" t="s">
        <v>2336</v>
      </c>
    </row>
    <row r="417" spans="1:20" ht="15" customHeight="1" x14ac:dyDescent="0.25">
      <c r="A417" s="9" t="s">
        <v>3133</v>
      </c>
      <c r="B417" s="18" t="s">
        <v>1376</v>
      </c>
      <c r="C417" s="9" t="s">
        <v>1407</v>
      </c>
      <c r="D417" s="12" t="s">
        <v>1378</v>
      </c>
      <c r="E417" s="12" t="s">
        <v>1408</v>
      </c>
      <c r="F417" s="12" t="s">
        <v>1418</v>
      </c>
      <c r="G417" s="12" t="s">
        <v>1419</v>
      </c>
      <c r="H417" s="9" t="s">
        <v>57</v>
      </c>
      <c r="I417" s="25">
        <v>25</v>
      </c>
      <c r="J417" s="26">
        <f t="shared" si="65"/>
        <v>0.2</v>
      </c>
      <c r="K417" s="20">
        <f t="shared" si="60"/>
        <v>30</v>
      </c>
      <c r="L417" s="25">
        <v>85</v>
      </c>
      <c r="M417" s="26">
        <f t="shared" si="66"/>
        <v>0.12</v>
      </c>
      <c r="N417" s="20">
        <f t="shared" si="61"/>
        <v>95.2</v>
      </c>
      <c r="O417" s="27">
        <f t="shared" si="62"/>
        <v>125.2</v>
      </c>
      <c r="P417" s="17" t="str">
        <f t="shared" si="63"/>
        <v>Benchmark</v>
      </c>
      <c r="Q417" s="9">
        <v>1</v>
      </c>
      <c r="R417" s="28" t="s">
        <v>3134</v>
      </c>
      <c r="S417" s="29" t="str">
        <f t="shared" si="64"/>
        <v>Planter box incl. waterproofing, drainage layer and soil|Nos</v>
      </c>
      <c r="T417" s="24" t="s">
        <v>2336</v>
      </c>
    </row>
    <row r="418" spans="1:20" ht="15" customHeight="1" x14ac:dyDescent="0.25">
      <c r="A418" s="9" t="s">
        <v>3135</v>
      </c>
      <c r="B418" s="18" t="s">
        <v>1376</v>
      </c>
      <c r="C418" s="9" t="s">
        <v>1407</v>
      </c>
      <c r="D418" s="12" t="s">
        <v>1378</v>
      </c>
      <c r="E418" s="12" t="s">
        <v>1408</v>
      </c>
      <c r="F418" s="12" t="s">
        <v>1421</v>
      </c>
      <c r="G418" s="12" t="s">
        <v>1422</v>
      </c>
      <c r="H418" s="9" t="s">
        <v>35</v>
      </c>
      <c r="I418" s="25">
        <v>850</v>
      </c>
      <c r="J418" s="26">
        <f t="shared" si="65"/>
        <v>0.2</v>
      </c>
      <c r="K418" s="20">
        <f t="shared" si="60"/>
        <v>1020</v>
      </c>
      <c r="L418" s="25">
        <v>2200</v>
      </c>
      <c r="M418" s="26">
        <f t="shared" si="66"/>
        <v>0.12</v>
      </c>
      <c r="N418" s="20">
        <f t="shared" si="61"/>
        <v>2464.0000000000005</v>
      </c>
      <c r="O418" s="27">
        <f t="shared" si="62"/>
        <v>3484.0000000000005</v>
      </c>
      <c r="P418" s="17" t="str">
        <f t="shared" si="63"/>
        <v>Benchmark</v>
      </c>
      <c r="Q418" s="9">
        <v>1</v>
      </c>
      <c r="R418" s="28" t="s">
        <v>3136</v>
      </c>
      <c r="S418" s="29" t="str">
        <f t="shared" si="64"/>
        <v>Landscape irrigation system incl. piping, sprinkler, valve and controller|Lot</v>
      </c>
      <c r="T418" s="24" t="s">
        <v>2336</v>
      </c>
    </row>
    <row r="419" spans="1:20" ht="15" customHeight="1" x14ac:dyDescent="0.25">
      <c r="A419" s="9" t="s">
        <v>3137</v>
      </c>
      <c r="B419" s="18" t="s">
        <v>1376</v>
      </c>
      <c r="C419" s="9" t="s">
        <v>1424</v>
      </c>
      <c r="D419" s="12" t="s">
        <v>1378</v>
      </c>
      <c r="E419" s="12" t="s">
        <v>1425</v>
      </c>
      <c r="F419" s="12" t="s">
        <v>1426</v>
      </c>
      <c r="G419" s="12" t="s">
        <v>1427</v>
      </c>
      <c r="H419" s="9" t="s">
        <v>61</v>
      </c>
      <c r="I419" s="25">
        <v>12</v>
      </c>
      <c r="J419" s="26">
        <f t="shared" si="65"/>
        <v>0.2</v>
      </c>
      <c r="K419" s="20">
        <f t="shared" si="60"/>
        <v>14.399999999999999</v>
      </c>
      <c r="L419" s="25">
        <v>28</v>
      </c>
      <c r="M419" s="26">
        <f t="shared" si="66"/>
        <v>0.12</v>
      </c>
      <c r="N419" s="20">
        <f t="shared" si="61"/>
        <v>31.360000000000003</v>
      </c>
      <c r="O419" s="27">
        <f t="shared" si="62"/>
        <v>45.760000000000005</v>
      </c>
      <c r="P419" s="17" t="str">
        <f t="shared" si="63"/>
        <v>Benchmark</v>
      </c>
      <c r="Q419" s="9">
        <v>1</v>
      </c>
      <c r="R419" s="28" t="s">
        <v>3138</v>
      </c>
      <c r="S419" s="29" t="str">
        <f t="shared" si="64"/>
        <v>Boundary fence incl. post, mesh/panel, foundation and painting|m</v>
      </c>
      <c r="T419" s="24" t="s">
        <v>2336</v>
      </c>
    </row>
    <row r="420" spans="1:20" ht="15" customHeight="1" x14ac:dyDescent="0.25">
      <c r="A420" s="9" t="s">
        <v>3139</v>
      </c>
      <c r="B420" s="18" t="s">
        <v>1376</v>
      </c>
      <c r="C420" s="9" t="s">
        <v>1424</v>
      </c>
      <c r="D420" s="12" t="s">
        <v>1378</v>
      </c>
      <c r="E420" s="12" t="s">
        <v>1425</v>
      </c>
      <c r="F420" s="12" t="s">
        <v>1429</v>
      </c>
      <c r="G420" s="12" t="s">
        <v>1430</v>
      </c>
      <c r="H420" s="9" t="s">
        <v>57</v>
      </c>
      <c r="I420" s="25">
        <v>250</v>
      </c>
      <c r="J420" s="26">
        <f t="shared" si="65"/>
        <v>0.2</v>
      </c>
      <c r="K420" s="20">
        <f t="shared" si="60"/>
        <v>300</v>
      </c>
      <c r="L420" s="25">
        <v>1450</v>
      </c>
      <c r="M420" s="26">
        <f t="shared" si="66"/>
        <v>0.12</v>
      </c>
      <c r="N420" s="20">
        <f t="shared" si="61"/>
        <v>1624.0000000000002</v>
      </c>
      <c r="O420" s="27">
        <f t="shared" si="62"/>
        <v>1924.0000000000002</v>
      </c>
      <c r="P420" s="17" t="str">
        <f t="shared" si="63"/>
        <v>Benchmark</v>
      </c>
      <c r="Q420" s="9">
        <v>1</v>
      </c>
      <c r="R420" s="28" t="s">
        <v>3140</v>
      </c>
      <c r="S420" s="29" t="str">
        <f t="shared" si="64"/>
        <v>Main entrance gate incl. frame, leaf, hardware, motor and painting|Nos</v>
      </c>
      <c r="T420" s="24" t="s">
        <v>2336</v>
      </c>
    </row>
    <row r="421" spans="1:20" ht="15" customHeight="1" x14ac:dyDescent="0.25">
      <c r="A421" s="9" t="s">
        <v>3141</v>
      </c>
      <c r="B421" s="18" t="s">
        <v>1376</v>
      </c>
      <c r="C421" s="9" t="s">
        <v>1424</v>
      </c>
      <c r="D421" s="12" t="s">
        <v>1378</v>
      </c>
      <c r="E421" s="12" t="s">
        <v>1425</v>
      </c>
      <c r="F421" s="12" t="s">
        <v>1433</v>
      </c>
      <c r="G421" s="12" t="s">
        <v>1434</v>
      </c>
      <c r="H421" s="9" t="s">
        <v>18</v>
      </c>
      <c r="I421" s="25">
        <v>9</v>
      </c>
      <c r="J421" s="26">
        <f t="shared" si="65"/>
        <v>0.2</v>
      </c>
      <c r="K421" s="20">
        <f t="shared" si="60"/>
        <v>10.799999999999999</v>
      </c>
      <c r="L421" s="25">
        <v>22</v>
      </c>
      <c r="M421" s="26">
        <f t="shared" si="66"/>
        <v>0.12</v>
      </c>
      <c r="N421" s="20">
        <f t="shared" si="61"/>
        <v>24.64</v>
      </c>
      <c r="O421" s="27">
        <f t="shared" si="62"/>
        <v>35.44</v>
      </c>
      <c r="P421" s="17" t="str">
        <f t="shared" si="63"/>
        <v>Benchmark</v>
      </c>
      <c r="Q421" s="9">
        <v>1</v>
      </c>
      <c r="R421" s="28" t="s">
        <v>3142</v>
      </c>
      <c r="S421" s="29" t="str">
        <f t="shared" si="64"/>
        <v>Boundary wall incl. foundation, blockwork, plaster and paint|m2</v>
      </c>
      <c r="T421" s="24" t="s">
        <v>2336</v>
      </c>
    </row>
    <row r="422" spans="1:20" ht="15" customHeight="1" x14ac:dyDescent="0.25">
      <c r="A422" s="9" t="s">
        <v>3143</v>
      </c>
      <c r="B422" s="18" t="s">
        <v>1376</v>
      </c>
      <c r="C422" s="9" t="s">
        <v>1436</v>
      </c>
      <c r="D422" s="12" t="s">
        <v>1378</v>
      </c>
      <c r="E422" s="12" t="s">
        <v>1437</v>
      </c>
      <c r="F422" s="12" t="s">
        <v>1438</v>
      </c>
      <c r="G422" s="12" t="s">
        <v>1439</v>
      </c>
      <c r="H422" s="9" t="s">
        <v>57</v>
      </c>
      <c r="I422" s="25">
        <v>45</v>
      </c>
      <c r="J422" s="26">
        <f t="shared" si="65"/>
        <v>0.2</v>
      </c>
      <c r="K422" s="20">
        <f t="shared" si="60"/>
        <v>54</v>
      </c>
      <c r="L422" s="25">
        <v>280</v>
      </c>
      <c r="M422" s="26">
        <f t="shared" si="66"/>
        <v>0.12</v>
      </c>
      <c r="N422" s="20">
        <f t="shared" si="61"/>
        <v>313.60000000000002</v>
      </c>
      <c r="O422" s="27">
        <f t="shared" si="62"/>
        <v>367.6</v>
      </c>
      <c r="P422" s="17" t="str">
        <f t="shared" si="63"/>
        <v>Benchmark</v>
      </c>
      <c r="Q422" s="9">
        <v>1</v>
      </c>
      <c r="R422" s="28" t="s">
        <v>3144</v>
      </c>
      <c r="S422" s="29" t="str">
        <f t="shared" si="64"/>
        <v>Flag pole incl. foundation, halyard and finishing|Nos</v>
      </c>
      <c r="T422" s="24" t="s">
        <v>2336</v>
      </c>
    </row>
    <row r="423" spans="1:20" ht="15" customHeight="1" x14ac:dyDescent="0.25">
      <c r="A423" s="9" t="s">
        <v>3145</v>
      </c>
      <c r="B423" s="18" t="s">
        <v>1376</v>
      </c>
      <c r="C423" s="9" t="s">
        <v>1436</v>
      </c>
      <c r="D423" s="12" t="s">
        <v>1378</v>
      </c>
      <c r="E423" s="12" t="s">
        <v>1437</v>
      </c>
      <c r="F423" s="12" t="s">
        <v>1441</v>
      </c>
      <c r="G423" s="12" t="s">
        <v>1442</v>
      </c>
      <c r="H423" s="9" t="s">
        <v>57</v>
      </c>
      <c r="I423" s="25">
        <v>12</v>
      </c>
      <c r="J423" s="26">
        <f t="shared" si="65"/>
        <v>0.2</v>
      </c>
      <c r="K423" s="20">
        <f t="shared" si="60"/>
        <v>14.399999999999999</v>
      </c>
      <c r="L423" s="25">
        <v>55</v>
      </c>
      <c r="M423" s="26">
        <f t="shared" si="66"/>
        <v>0.12</v>
      </c>
      <c r="N423" s="20">
        <f t="shared" si="61"/>
        <v>61.600000000000009</v>
      </c>
      <c r="O423" s="27">
        <f t="shared" si="62"/>
        <v>76</v>
      </c>
      <c r="P423" s="17" t="str">
        <f t="shared" si="63"/>
        <v>Benchmark</v>
      </c>
      <c r="Q423" s="9">
        <v>1</v>
      </c>
      <c r="R423" s="28" t="s">
        <v>3146</v>
      </c>
      <c r="S423" s="29" t="str">
        <f t="shared" si="64"/>
        <v>Bollard incl. foundation and finishing|Nos</v>
      </c>
      <c r="T423" s="24" t="s">
        <v>2336</v>
      </c>
    </row>
    <row r="424" spans="1:20" ht="15" customHeight="1" x14ac:dyDescent="0.25">
      <c r="A424" s="9" t="s">
        <v>3147</v>
      </c>
      <c r="B424" s="18" t="s">
        <v>1376</v>
      </c>
      <c r="C424" s="9" t="s">
        <v>1436</v>
      </c>
      <c r="D424" s="12" t="s">
        <v>1378</v>
      </c>
      <c r="E424" s="12" t="s">
        <v>1437</v>
      </c>
      <c r="F424" s="12" t="s">
        <v>1444</v>
      </c>
      <c r="G424" s="12" t="s">
        <v>1445</v>
      </c>
      <c r="H424" s="9" t="s">
        <v>57</v>
      </c>
      <c r="I424" s="25">
        <v>15</v>
      </c>
      <c r="J424" s="26">
        <f t="shared" si="65"/>
        <v>0.2</v>
      </c>
      <c r="K424" s="20">
        <f t="shared" si="60"/>
        <v>18</v>
      </c>
      <c r="L424" s="25">
        <v>120</v>
      </c>
      <c r="M424" s="26">
        <f t="shared" si="66"/>
        <v>0.12</v>
      </c>
      <c r="N424" s="20">
        <f t="shared" si="61"/>
        <v>134.4</v>
      </c>
      <c r="O424" s="27">
        <f t="shared" si="62"/>
        <v>152.4</v>
      </c>
      <c r="P424" s="17" t="str">
        <f t="shared" si="63"/>
        <v>Benchmark</v>
      </c>
      <c r="Q424" s="9">
        <v>1</v>
      </c>
      <c r="R424" s="28" t="s">
        <v>3148</v>
      </c>
      <c r="S424" s="29" t="str">
        <f t="shared" si="64"/>
        <v>Bicycle rack incl. fixing to slab|Nos</v>
      </c>
      <c r="T424" s="24" t="s">
        <v>2336</v>
      </c>
    </row>
    <row r="425" spans="1:20" ht="15" customHeight="1" x14ac:dyDescent="0.25">
      <c r="A425" s="9" t="s">
        <v>3149</v>
      </c>
      <c r="B425" s="18" t="s">
        <v>1376</v>
      </c>
      <c r="C425" s="9" t="s">
        <v>1436</v>
      </c>
      <c r="D425" s="12" t="s">
        <v>1378</v>
      </c>
      <c r="E425" s="12" t="s">
        <v>1437</v>
      </c>
      <c r="F425" s="12" t="s">
        <v>1447</v>
      </c>
      <c r="G425" s="12" t="s">
        <v>1448</v>
      </c>
      <c r="H425" s="9" t="s">
        <v>18</v>
      </c>
      <c r="I425" s="25">
        <v>18</v>
      </c>
      <c r="J425" s="26">
        <f t="shared" si="65"/>
        <v>0.2</v>
      </c>
      <c r="K425" s="20">
        <f t="shared" si="60"/>
        <v>21.599999999999998</v>
      </c>
      <c r="L425" s="25">
        <v>65</v>
      </c>
      <c r="M425" s="26">
        <f t="shared" si="66"/>
        <v>0.12</v>
      </c>
      <c r="N425" s="20">
        <f t="shared" si="61"/>
        <v>72.800000000000011</v>
      </c>
      <c r="O425" s="27">
        <f t="shared" si="62"/>
        <v>94.4</v>
      </c>
      <c r="P425" s="17" t="str">
        <f t="shared" si="63"/>
        <v>Benchmark</v>
      </c>
      <c r="Q425" s="9">
        <v>1</v>
      </c>
      <c r="R425" s="28" t="s">
        <v>3150</v>
      </c>
      <c r="S425" s="29" t="str">
        <f t="shared" si="64"/>
        <v>Covered walkway incl. steel structure, roofing and finishes|m2</v>
      </c>
      <c r="T425" s="24" t="s">
        <v>2336</v>
      </c>
    </row>
    <row r="426" spans="1:20" ht="15" customHeight="1" x14ac:dyDescent="0.25">
      <c r="A426" s="9" t="s">
        <v>3151</v>
      </c>
      <c r="B426" s="18" t="s">
        <v>1376</v>
      </c>
      <c r="C426" s="9" t="s">
        <v>1436</v>
      </c>
      <c r="D426" s="12" t="s">
        <v>1378</v>
      </c>
      <c r="E426" s="12" t="s">
        <v>1437</v>
      </c>
      <c r="F426" s="12" t="s">
        <v>1450</v>
      </c>
      <c r="G426" s="12" t="s">
        <v>1451</v>
      </c>
      <c r="H426" s="9" t="s">
        <v>57</v>
      </c>
      <c r="I426" s="25">
        <v>450</v>
      </c>
      <c r="J426" s="26">
        <f t="shared" si="65"/>
        <v>0.2</v>
      </c>
      <c r="K426" s="20">
        <f t="shared" si="60"/>
        <v>540</v>
      </c>
      <c r="L426" s="25">
        <v>2200</v>
      </c>
      <c r="M426" s="26">
        <f t="shared" si="66"/>
        <v>0.12</v>
      </c>
      <c r="N426" s="20">
        <f t="shared" si="61"/>
        <v>2464.0000000000005</v>
      </c>
      <c r="O426" s="27">
        <f t="shared" si="62"/>
        <v>3004.0000000000005</v>
      </c>
      <c r="P426" s="17" t="str">
        <f t="shared" si="63"/>
        <v>Benchmark</v>
      </c>
      <c r="Q426" s="9">
        <v>1</v>
      </c>
      <c r="R426" s="28" t="s">
        <v>3152</v>
      </c>
      <c r="S426" s="29" t="str">
        <f t="shared" si="64"/>
        <v>Guard house incl. structure, finishes and services|Nos</v>
      </c>
      <c r="T426" s="24" t="s">
        <v>2336</v>
      </c>
    </row>
    <row r="427" spans="1:20" ht="15" customHeight="1" x14ac:dyDescent="0.25">
      <c r="A427" s="9" t="s">
        <v>3153</v>
      </c>
      <c r="B427" s="18" t="s">
        <v>1376</v>
      </c>
      <c r="C427" s="9" t="s">
        <v>1436</v>
      </c>
      <c r="D427" s="12" t="s">
        <v>1378</v>
      </c>
      <c r="E427" s="12" t="s">
        <v>1437</v>
      </c>
      <c r="F427" s="12" t="s">
        <v>1453</v>
      </c>
      <c r="G427" s="12" t="s">
        <v>1454</v>
      </c>
      <c r="H427" s="9" t="s">
        <v>35</v>
      </c>
      <c r="I427" s="25">
        <v>1200</v>
      </c>
      <c r="J427" s="26">
        <f t="shared" si="65"/>
        <v>0.2</v>
      </c>
      <c r="K427" s="20">
        <f t="shared" si="60"/>
        <v>1440</v>
      </c>
      <c r="L427" s="25">
        <v>8500</v>
      </c>
      <c r="M427" s="26">
        <f t="shared" si="66"/>
        <v>0.12</v>
      </c>
      <c r="N427" s="20">
        <f t="shared" si="61"/>
        <v>9520</v>
      </c>
      <c r="O427" s="27">
        <f t="shared" si="62"/>
        <v>10960</v>
      </c>
      <c r="P427" s="17" t="str">
        <f t="shared" si="63"/>
        <v>Benchmark</v>
      </c>
      <c r="Q427" s="9">
        <v>1</v>
      </c>
      <c r="R427" s="28" t="s">
        <v>3154</v>
      </c>
      <c r="S427" s="29" t="str">
        <f t="shared" si="64"/>
        <v>Playground / sport court incl. surfacing, marking and equipment|Lot</v>
      </c>
      <c r="T427" s="24" t="s">
        <v>2336</v>
      </c>
    </row>
    <row r="428" spans="1:20" ht="18.75" customHeight="1" x14ac:dyDescent="0.25">
      <c r="A428" s="9" t="s">
        <v>3155</v>
      </c>
      <c r="B428" s="14" t="s">
        <v>348</v>
      </c>
      <c r="C428" s="9" t="s">
        <v>716</v>
      </c>
      <c r="D428" s="12" t="s">
        <v>717</v>
      </c>
      <c r="E428" s="12" t="s">
        <v>723</v>
      </c>
      <c r="F428" s="12" t="s">
        <v>723</v>
      </c>
      <c r="G428" s="12" t="s">
        <v>2311</v>
      </c>
      <c r="H428" s="9" t="s">
        <v>18</v>
      </c>
      <c r="I428" s="25">
        <v>5</v>
      </c>
      <c r="J428" s="26">
        <v>0.2</v>
      </c>
      <c r="K428" s="20">
        <f t="shared" si="60"/>
        <v>6</v>
      </c>
      <c r="L428" s="25">
        <v>8</v>
      </c>
      <c r="M428" s="26">
        <v>0.12</v>
      </c>
      <c r="N428" s="20">
        <f t="shared" si="61"/>
        <v>8.9600000000000009</v>
      </c>
      <c r="O428" s="27">
        <f t="shared" si="62"/>
        <v>14.96</v>
      </c>
      <c r="P428" s="30" t="str">
        <f t="shared" si="63"/>
        <v>Priced</v>
      </c>
      <c r="Q428" s="9">
        <v>1</v>
      </c>
      <c r="R428" s="31" t="s">
        <v>3156</v>
      </c>
      <c r="S428" s="29" t="str">
        <f t="shared" si="64"/>
        <v>tile size (300x300)mm|m2</v>
      </c>
      <c r="T428" s="24" t="s">
        <v>2367</v>
      </c>
    </row>
    <row r="429" spans="1:20" ht="18.75" customHeight="1" x14ac:dyDescent="0.25">
      <c r="A429" s="9" t="s">
        <v>3157</v>
      </c>
      <c r="B429" s="14" t="s">
        <v>348</v>
      </c>
      <c r="C429" s="9" t="s">
        <v>691</v>
      </c>
      <c r="D429" s="12" t="s">
        <v>692</v>
      </c>
      <c r="E429" s="12" t="s">
        <v>698</v>
      </c>
      <c r="F429" s="12" t="s">
        <v>698</v>
      </c>
      <c r="G429" s="12" t="s">
        <v>2313</v>
      </c>
      <c r="H429" s="9" t="s">
        <v>18</v>
      </c>
      <c r="I429" s="25">
        <v>6</v>
      </c>
      <c r="J429" s="26">
        <v>0.2</v>
      </c>
      <c r="K429" s="20">
        <f t="shared" si="60"/>
        <v>7.1999999999999993</v>
      </c>
      <c r="L429" s="25">
        <v>10</v>
      </c>
      <c r="M429" s="26">
        <v>0.12</v>
      </c>
      <c r="N429" s="20">
        <f t="shared" si="61"/>
        <v>11.200000000000001</v>
      </c>
      <c r="O429" s="27">
        <f t="shared" si="62"/>
        <v>18.399999999999999</v>
      </c>
      <c r="P429" s="30" t="str">
        <f t="shared" si="63"/>
        <v>Priced</v>
      </c>
      <c r="Q429" s="9">
        <v>1</v>
      </c>
      <c r="R429" s="31" t="s">
        <v>3158</v>
      </c>
      <c r="S429" s="29" t="str">
        <f t="shared" si="64"/>
        <v>tile size (300x600)mm|m2</v>
      </c>
      <c r="T429" s="24" t="s">
        <v>2367</v>
      </c>
    </row>
    <row r="430" spans="1:20" ht="15" customHeight="1" x14ac:dyDescent="0.25">
      <c r="A430" s="9" t="s">
        <v>3159</v>
      </c>
      <c r="B430" s="10" t="s">
        <v>13</v>
      </c>
      <c r="C430" s="9" t="s">
        <v>64</v>
      </c>
      <c r="D430" s="12" t="s">
        <v>15</v>
      </c>
      <c r="E430" s="12" t="s">
        <v>65</v>
      </c>
      <c r="F430" s="12" t="s">
        <v>78</v>
      </c>
      <c r="G430" s="12" t="s">
        <v>79</v>
      </c>
      <c r="H430" s="9" t="s">
        <v>61</v>
      </c>
      <c r="I430" s="25">
        <v>1.5</v>
      </c>
      <c r="J430" s="26">
        <v>0.2</v>
      </c>
      <c r="K430" s="20">
        <f t="shared" si="60"/>
        <v>1.7999999999999998</v>
      </c>
      <c r="L430" s="25">
        <v>4.5</v>
      </c>
      <c r="M430" s="26">
        <v>0.12</v>
      </c>
      <c r="N430" s="20">
        <f t="shared" si="61"/>
        <v>5.0400000000000009</v>
      </c>
      <c r="O430" s="27">
        <f t="shared" si="62"/>
        <v>6.8400000000000007</v>
      </c>
      <c r="P430" s="30" t="str">
        <f t="shared" si="63"/>
        <v>Priced</v>
      </c>
      <c r="Q430" s="9">
        <v>1</v>
      </c>
      <c r="R430" s="31" t="s">
        <v>3160</v>
      </c>
      <c r="S430" s="29" t="str">
        <f t="shared" si="64"/>
        <v>Steel Round Pipe (D49x2mm) with rush primer and paint|m</v>
      </c>
      <c r="T430" s="24" t="s">
        <v>2367</v>
      </c>
    </row>
    <row r="431" spans="1:20" ht="15" customHeight="1" x14ac:dyDescent="0.25">
      <c r="A431" s="9" t="s">
        <v>3161</v>
      </c>
      <c r="B431" s="10" t="s">
        <v>13</v>
      </c>
      <c r="C431" s="9" t="s">
        <v>64</v>
      </c>
      <c r="D431" s="12" t="s">
        <v>15</v>
      </c>
      <c r="E431" s="12" t="s">
        <v>65</v>
      </c>
      <c r="F431" s="12" t="s">
        <v>96</v>
      </c>
      <c r="G431" s="12" t="s">
        <v>97</v>
      </c>
      <c r="H431" s="9" t="s">
        <v>35</v>
      </c>
      <c r="I431" s="25">
        <v>0</v>
      </c>
      <c r="J431" s="26">
        <v>0</v>
      </c>
      <c r="K431" s="20">
        <f t="shared" si="60"/>
        <v>0</v>
      </c>
      <c r="L431" s="25">
        <v>200</v>
      </c>
      <c r="M431" s="26">
        <v>0.1</v>
      </c>
      <c r="N431" s="20">
        <f t="shared" si="61"/>
        <v>220.00000000000003</v>
      </c>
      <c r="O431" s="27">
        <f t="shared" si="62"/>
        <v>220.00000000000003</v>
      </c>
      <c r="P431" s="30" t="str">
        <f t="shared" si="63"/>
        <v>Priced</v>
      </c>
      <c r="Q431" s="9">
        <v>2</v>
      </c>
      <c r="R431" s="31" t="s">
        <v>3162</v>
      </c>
      <c r="S431" s="29" t="str">
        <f t="shared" si="64"/>
        <v>Rebar Testing as per Specification|Lot</v>
      </c>
      <c r="T431" s="24" t="s">
        <v>2367</v>
      </c>
    </row>
    <row r="432" spans="1:20" ht="15" customHeight="1" x14ac:dyDescent="0.25">
      <c r="A432" s="9" t="s">
        <v>3163</v>
      </c>
      <c r="B432" s="10" t="s">
        <v>13</v>
      </c>
      <c r="C432" s="9" t="s">
        <v>225</v>
      </c>
      <c r="D432" s="12" t="s">
        <v>226</v>
      </c>
      <c r="E432" s="12" t="s">
        <v>281</v>
      </c>
      <c r="F432" s="12" t="s">
        <v>306</v>
      </c>
      <c r="G432" s="12" t="s">
        <v>307</v>
      </c>
      <c r="H432" s="9" t="s">
        <v>1882</v>
      </c>
      <c r="I432" s="25">
        <v>0.5</v>
      </c>
      <c r="J432" s="26">
        <v>0.2</v>
      </c>
      <c r="K432" s="20">
        <f t="shared" si="60"/>
        <v>0.6</v>
      </c>
      <c r="L432" s="25">
        <v>2</v>
      </c>
      <c r="M432" s="26">
        <v>0.12</v>
      </c>
      <c r="N432" s="20">
        <f t="shared" si="61"/>
        <v>2.2400000000000002</v>
      </c>
      <c r="O432" s="27">
        <f t="shared" si="62"/>
        <v>2.8400000000000003</v>
      </c>
      <c r="P432" s="30" t="str">
        <f t="shared" si="63"/>
        <v>Priced</v>
      </c>
      <c r="Q432" s="9">
        <v>1</v>
      </c>
      <c r="R432" s="31" t="s">
        <v>3164</v>
      </c>
      <c r="S432" s="29" t="str">
        <f t="shared" si="64"/>
        <v>J bolt M12, L=600mm, grade 5.6|pcs</v>
      </c>
      <c r="T432" s="24" t="s">
        <v>2367</v>
      </c>
    </row>
    <row r="433" spans="1:20" ht="15" customHeight="1" x14ac:dyDescent="0.25">
      <c r="A433" s="9" t="s">
        <v>3165</v>
      </c>
      <c r="B433" s="10" t="s">
        <v>13</v>
      </c>
      <c r="C433" s="9" t="s">
        <v>225</v>
      </c>
      <c r="D433" s="12" t="s">
        <v>226</v>
      </c>
      <c r="E433" s="12" t="s">
        <v>281</v>
      </c>
      <c r="F433" s="12" t="s">
        <v>303</v>
      </c>
      <c r="G433" s="12" t="s">
        <v>304</v>
      </c>
      <c r="H433" s="9" t="s">
        <v>1882</v>
      </c>
      <c r="I433" s="25">
        <v>2</v>
      </c>
      <c r="J433" s="26">
        <v>0.2</v>
      </c>
      <c r="K433" s="20">
        <f t="shared" si="60"/>
        <v>2.4</v>
      </c>
      <c r="L433" s="25">
        <v>5.5</v>
      </c>
      <c r="M433" s="26">
        <v>0.12</v>
      </c>
      <c r="N433" s="20">
        <f t="shared" si="61"/>
        <v>6.16</v>
      </c>
      <c r="O433" s="27">
        <f t="shared" si="62"/>
        <v>8.56</v>
      </c>
      <c r="P433" s="30" t="str">
        <f t="shared" si="63"/>
        <v>Priced</v>
      </c>
      <c r="Q433" s="9">
        <v>1</v>
      </c>
      <c r="R433" s="31" t="s">
        <v>3166</v>
      </c>
      <c r="S433" s="29" t="str">
        <f t="shared" si="64"/>
        <v>Steel plate 200x230x12mm|pcs</v>
      </c>
      <c r="T433" s="24" t="s">
        <v>2367</v>
      </c>
    </row>
    <row r="434" spans="1:20" ht="15" customHeight="1" x14ac:dyDescent="0.25">
      <c r="A434" s="9" t="s">
        <v>3167</v>
      </c>
      <c r="B434" s="10" t="s">
        <v>13</v>
      </c>
      <c r="C434" s="9" t="s">
        <v>225</v>
      </c>
      <c r="D434" s="12" t="s">
        <v>226</v>
      </c>
      <c r="E434" s="12" t="s">
        <v>281</v>
      </c>
      <c r="F434" s="12" t="s">
        <v>294</v>
      </c>
      <c r="G434" s="12" t="s">
        <v>295</v>
      </c>
      <c r="H434" s="9" t="s">
        <v>61</v>
      </c>
      <c r="I434" s="25">
        <v>0.5</v>
      </c>
      <c r="J434" s="26">
        <v>0.2</v>
      </c>
      <c r="K434" s="20">
        <f t="shared" si="60"/>
        <v>0.6</v>
      </c>
      <c r="L434" s="25">
        <v>1.2</v>
      </c>
      <c r="M434" s="26">
        <v>0.12</v>
      </c>
      <c r="N434" s="20">
        <f t="shared" si="61"/>
        <v>1.3440000000000001</v>
      </c>
      <c r="O434" s="27">
        <f t="shared" si="62"/>
        <v>1.944</v>
      </c>
      <c r="P434" s="30" t="str">
        <f t="shared" si="63"/>
        <v>Priced</v>
      </c>
      <c r="Q434" s="9">
        <v>2</v>
      </c>
      <c r="R434" s="31" t="s">
        <v>3168</v>
      </c>
      <c r="S434" s="29" t="str">
        <f t="shared" si="64"/>
        <v>Sag rod 12mm|m</v>
      </c>
      <c r="T434" s="24" t="s">
        <v>2367</v>
      </c>
    </row>
    <row r="435" spans="1:20" ht="15" customHeight="1" x14ac:dyDescent="0.25">
      <c r="A435" s="9" t="s">
        <v>3169</v>
      </c>
      <c r="B435" s="10" t="s">
        <v>13</v>
      </c>
      <c r="C435" s="9" t="s">
        <v>225</v>
      </c>
      <c r="D435" s="12" t="s">
        <v>226</v>
      </c>
      <c r="E435" s="12" t="s">
        <v>281</v>
      </c>
      <c r="F435" s="12" t="s">
        <v>285</v>
      </c>
      <c r="G435" s="12" t="s">
        <v>286</v>
      </c>
      <c r="H435" s="9" t="s">
        <v>61</v>
      </c>
      <c r="I435" s="25">
        <v>3</v>
      </c>
      <c r="J435" s="26">
        <v>0.2</v>
      </c>
      <c r="K435" s="20">
        <f t="shared" si="60"/>
        <v>3.5999999999999996</v>
      </c>
      <c r="L435" s="25">
        <v>8.5</v>
      </c>
      <c r="M435" s="26">
        <v>0.12</v>
      </c>
      <c r="N435" s="20">
        <f t="shared" si="61"/>
        <v>9.5200000000000014</v>
      </c>
      <c r="O435" s="27">
        <f t="shared" si="62"/>
        <v>13.120000000000001</v>
      </c>
      <c r="P435" s="30" t="str">
        <f t="shared" si="63"/>
        <v>Priced</v>
      </c>
      <c r="Q435" s="9">
        <v>1</v>
      </c>
      <c r="R435" s="31" t="s">
        <v>3170</v>
      </c>
      <c r="S435" s="29" t="str">
        <f t="shared" si="64"/>
        <v>U-50*100*5mm|m</v>
      </c>
      <c r="T435" s="24" t="s">
        <v>2367</v>
      </c>
    </row>
    <row r="436" spans="1:20" ht="15" customHeight="1" x14ac:dyDescent="0.25">
      <c r="A436" s="9" t="s">
        <v>3171</v>
      </c>
      <c r="B436" s="10" t="s">
        <v>13</v>
      </c>
      <c r="C436" s="9" t="s">
        <v>225</v>
      </c>
      <c r="D436" s="12" t="s">
        <v>226</v>
      </c>
      <c r="E436" s="12" t="s">
        <v>281</v>
      </c>
      <c r="F436" s="12" t="s">
        <v>288</v>
      </c>
      <c r="G436" s="12" t="s">
        <v>289</v>
      </c>
      <c r="H436" s="9" t="s">
        <v>61</v>
      </c>
      <c r="I436" s="25">
        <v>2.5</v>
      </c>
      <c r="J436" s="26">
        <v>0.2</v>
      </c>
      <c r="K436" s="20">
        <f t="shared" si="60"/>
        <v>3</v>
      </c>
      <c r="L436" s="25">
        <v>5.5</v>
      </c>
      <c r="M436" s="26">
        <v>0.12</v>
      </c>
      <c r="N436" s="20">
        <f t="shared" si="61"/>
        <v>6.16</v>
      </c>
      <c r="O436" s="27">
        <f t="shared" si="62"/>
        <v>9.16</v>
      </c>
      <c r="P436" s="30" t="str">
        <f t="shared" si="63"/>
        <v>Priced</v>
      </c>
      <c r="Q436" s="9">
        <v>1</v>
      </c>
      <c r="R436" s="31" t="s">
        <v>3172</v>
      </c>
      <c r="S436" s="29" t="str">
        <f t="shared" si="64"/>
        <v>Tub-50*100*2mm|m</v>
      </c>
      <c r="T436" s="24" t="s">
        <v>2367</v>
      </c>
    </row>
    <row r="437" spans="1:20" ht="21.75" customHeight="1" x14ac:dyDescent="0.25">
      <c r="A437" s="9" t="s">
        <v>3173</v>
      </c>
      <c r="B437" s="14" t="s">
        <v>348</v>
      </c>
      <c r="C437" s="9" t="s">
        <v>847</v>
      </c>
      <c r="D437" s="12" t="s">
        <v>805</v>
      </c>
      <c r="E437" s="12" t="s">
        <v>848</v>
      </c>
      <c r="F437" s="12" t="s">
        <v>853</v>
      </c>
      <c r="G437" s="12" t="s">
        <v>854</v>
      </c>
      <c r="H437" s="9" t="s">
        <v>2130</v>
      </c>
      <c r="I437" s="25">
        <v>0</v>
      </c>
      <c r="J437" s="26">
        <v>0</v>
      </c>
      <c r="K437" s="20">
        <f t="shared" si="60"/>
        <v>0</v>
      </c>
      <c r="L437" s="25">
        <v>3000</v>
      </c>
      <c r="M437" s="26">
        <v>0.1</v>
      </c>
      <c r="N437" s="20">
        <f t="shared" si="61"/>
        <v>3300.0000000000005</v>
      </c>
      <c r="O437" s="27">
        <f t="shared" si="62"/>
        <v>3300.0000000000005</v>
      </c>
      <c r="P437" s="30" t="str">
        <f t="shared" si="63"/>
        <v>Priced</v>
      </c>
      <c r="Q437" s="9">
        <v>1</v>
      </c>
      <c r="R437" s="31" t="s">
        <v>3174</v>
      </c>
      <c r="S437" s="29" t="str">
        <f t="shared" si="64"/>
        <v>Khmer and chinesse text|lot</v>
      </c>
      <c r="T437" s="24" t="s">
        <v>2367</v>
      </c>
    </row>
  </sheetData>
  <autoFilter ref="A5:R437" xr:uid="{00000000-0009-0000-0000-000002000000}"/>
  <mergeCells count="2">
    <mergeCell ref="I4:K4"/>
    <mergeCell ref="L4:N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87"/>
  <sheetViews>
    <sheetView showGridLines="0"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8.7109375" defaultRowHeight="15" x14ac:dyDescent="0.25"/>
  <cols>
    <col min="1" max="1" width="9" style="4" customWidth="1"/>
    <col min="2" max="2" width="11" style="4" customWidth="1"/>
    <col min="3" max="3" width="26" style="4" customWidth="1"/>
    <col min="4" max="4" width="17" style="4" customWidth="1"/>
    <col min="5" max="5" width="27" style="4" customWidth="1"/>
    <col min="6" max="6" width="50" style="4" customWidth="1"/>
    <col min="7" max="7" width="8" style="4" customWidth="1"/>
    <col min="8" max="8" width="15" style="4" customWidth="1"/>
    <col min="9" max="9" width="11" style="4" customWidth="1"/>
    <col min="10" max="10" width="9" style="4" customWidth="1"/>
    <col min="11" max="11" width="12" style="4" customWidth="1"/>
    <col min="12" max="12" width="10" style="4" customWidth="1"/>
    <col min="13" max="13" width="12" style="4" customWidth="1"/>
    <col min="14" max="14" width="14" style="4" customWidth="1"/>
    <col min="15" max="15" width="44" style="4" customWidth="1"/>
  </cols>
  <sheetData>
    <row r="1" spans="1:15" ht="18" customHeight="1" x14ac:dyDescent="0.3">
      <c r="A1" s="5" t="s">
        <v>3175</v>
      </c>
    </row>
    <row r="2" spans="1:15" ht="15" customHeight="1" x14ac:dyDescent="0.25">
      <c r="A2" s="21" t="s">
        <v>3176</v>
      </c>
      <c r="C2" s="32">
        <v>18</v>
      </c>
      <c r="E2" s="6" t="s">
        <v>3177</v>
      </c>
    </row>
    <row r="3" spans="1:15" ht="15" customHeight="1" x14ac:dyDescent="0.25">
      <c r="A3" s="21" t="s">
        <v>3178</v>
      </c>
      <c r="C3" s="22">
        <v>0</v>
      </c>
      <c r="E3" s="7" t="s">
        <v>3179</v>
      </c>
    </row>
    <row r="5" spans="1:15" ht="27.75" customHeight="1" x14ac:dyDescent="0.25">
      <c r="A5" s="8" t="s">
        <v>2322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3180</v>
      </c>
      <c r="G5" s="8" t="s">
        <v>1460</v>
      </c>
      <c r="H5" s="8" t="s">
        <v>3181</v>
      </c>
      <c r="I5" s="8" t="s">
        <v>3182</v>
      </c>
      <c r="J5" s="8" t="s">
        <v>3183</v>
      </c>
      <c r="K5" s="8" t="s">
        <v>3184</v>
      </c>
      <c r="L5" s="8" t="s">
        <v>3185</v>
      </c>
      <c r="M5" s="8" t="s">
        <v>3186</v>
      </c>
      <c r="N5" s="8" t="s">
        <v>3187</v>
      </c>
      <c r="O5" s="8" t="s">
        <v>2331</v>
      </c>
    </row>
    <row r="6" spans="1:15" ht="21.75" customHeight="1" x14ac:dyDescent="0.25">
      <c r="A6" s="9" t="s">
        <v>3188</v>
      </c>
      <c r="B6" s="9" t="s">
        <v>3189</v>
      </c>
      <c r="C6" s="12" t="s">
        <v>3190</v>
      </c>
      <c r="D6" s="12" t="s">
        <v>3191</v>
      </c>
      <c r="E6" s="12" t="s">
        <v>3192</v>
      </c>
      <c r="F6" s="12" t="s">
        <v>3193</v>
      </c>
      <c r="G6" s="9" t="s">
        <v>3194</v>
      </c>
      <c r="H6" s="33" t="s">
        <v>3195</v>
      </c>
      <c r="I6" s="34" t="s">
        <v>3196</v>
      </c>
      <c r="J6" s="35">
        <v>1</v>
      </c>
      <c r="K6" s="36">
        <v>3000</v>
      </c>
      <c r="L6" s="26">
        <f t="shared" ref="L6:L12" si="0">_STDPRE</f>
        <v>0</v>
      </c>
      <c r="M6" s="20">
        <f t="shared" ref="M6:M12" si="1">IFERROR(K6*(1+L6),0)</f>
        <v>3000</v>
      </c>
      <c r="N6" s="27">
        <f t="shared" ref="N6:N12" si="2">IF($I6="Y",N(J6)*N(M6),0)</f>
        <v>3000</v>
      </c>
      <c r="O6" s="31" t="s">
        <v>3197</v>
      </c>
    </row>
    <row r="7" spans="1:15" ht="21.75" customHeight="1" x14ac:dyDescent="0.25">
      <c r="A7" s="9" t="s">
        <v>3198</v>
      </c>
      <c r="B7" s="9" t="s">
        <v>3189</v>
      </c>
      <c r="C7" s="12" t="s">
        <v>3190</v>
      </c>
      <c r="D7" s="12" t="s">
        <v>3191</v>
      </c>
      <c r="E7" s="12" t="s">
        <v>3192</v>
      </c>
      <c r="F7" s="12" t="s">
        <v>3199</v>
      </c>
      <c r="G7" s="9" t="s">
        <v>3194</v>
      </c>
      <c r="H7" s="33" t="s">
        <v>3195</v>
      </c>
      <c r="I7" s="34" t="s">
        <v>3196</v>
      </c>
      <c r="J7" s="35">
        <v>1</v>
      </c>
      <c r="K7" s="36">
        <v>7000</v>
      </c>
      <c r="L7" s="26">
        <f t="shared" si="0"/>
        <v>0</v>
      </c>
      <c r="M7" s="20">
        <f t="shared" si="1"/>
        <v>7000</v>
      </c>
      <c r="N7" s="27">
        <f t="shared" si="2"/>
        <v>7000</v>
      </c>
      <c r="O7" s="31" t="s">
        <v>3200</v>
      </c>
    </row>
    <row r="8" spans="1:15" ht="21.75" customHeight="1" x14ac:dyDescent="0.25">
      <c r="A8" s="9" t="s">
        <v>3201</v>
      </c>
      <c r="B8" s="9" t="s">
        <v>3189</v>
      </c>
      <c r="C8" s="12" t="s">
        <v>3190</v>
      </c>
      <c r="D8" s="12" t="s">
        <v>3191</v>
      </c>
      <c r="E8" s="12" t="s">
        <v>3192</v>
      </c>
      <c r="F8" s="12" t="s">
        <v>3202</v>
      </c>
      <c r="G8" s="9" t="s">
        <v>3194</v>
      </c>
      <c r="H8" s="33" t="s">
        <v>3195</v>
      </c>
      <c r="I8" s="34" t="s">
        <v>3196</v>
      </c>
      <c r="J8" s="35">
        <v>1</v>
      </c>
      <c r="K8" s="36">
        <v>3500</v>
      </c>
      <c r="L8" s="26">
        <f t="shared" si="0"/>
        <v>0</v>
      </c>
      <c r="M8" s="20">
        <f t="shared" si="1"/>
        <v>3500</v>
      </c>
      <c r="N8" s="27">
        <f t="shared" si="2"/>
        <v>3500</v>
      </c>
      <c r="O8" s="31" t="s">
        <v>3203</v>
      </c>
    </row>
    <row r="9" spans="1:15" ht="21.75" customHeight="1" x14ac:dyDescent="0.25">
      <c r="A9" s="9" t="s">
        <v>3204</v>
      </c>
      <c r="B9" s="9" t="s">
        <v>3189</v>
      </c>
      <c r="C9" s="12" t="s">
        <v>3190</v>
      </c>
      <c r="D9" s="12" t="s">
        <v>3191</v>
      </c>
      <c r="E9" s="12" t="s">
        <v>3192</v>
      </c>
      <c r="F9" s="12" t="s">
        <v>3205</v>
      </c>
      <c r="G9" s="9" t="s">
        <v>3206</v>
      </c>
      <c r="H9" s="37" t="s">
        <v>3207</v>
      </c>
      <c r="I9" s="34" t="s">
        <v>3196</v>
      </c>
      <c r="J9" s="35">
        <f>_MONTHS</f>
        <v>18</v>
      </c>
      <c r="K9" s="36">
        <v>250</v>
      </c>
      <c r="L9" s="26">
        <f t="shared" si="0"/>
        <v>0</v>
      </c>
      <c r="M9" s="20">
        <f t="shared" si="1"/>
        <v>250</v>
      </c>
      <c r="N9" s="27">
        <f t="shared" si="2"/>
        <v>4500</v>
      </c>
      <c r="O9" s="31" t="s">
        <v>3208</v>
      </c>
    </row>
    <row r="10" spans="1:15" ht="21.75" customHeight="1" x14ac:dyDescent="0.25">
      <c r="A10" s="9" t="s">
        <v>3209</v>
      </c>
      <c r="B10" s="9" t="s">
        <v>3189</v>
      </c>
      <c r="C10" s="12" t="s">
        <v>3190</v>
      </c>
      <c r="D10" s="12" t="s">
        <v>3191</v>
      </c>
      <c r="E10" s="12" t="s">
        <v>3192</v>
      </c>
      <c r="F10" s="12" t="s">
        <v>3210</v>
      </c>
      <c r="G10" s="9" t="s">
        <v>3194</v>
      </c>
      <c r="H10" s="33" t="s">
        <v>3195</v>
      </c>
      <c r="I10" s="34" t="s">
        <v>3196</v>
      </c>
      <c r="J10" s="35">
        <v>1</v>
      </c>
      <c r="K10" s="36">
        <v>10000</v>
      </c>
      <c r="L10" s="26">
        <f t="shared" si="0"/>
        <v>0</v>
      </c>
      <c r="M10" s="20">
        <f t="shared" si="1"/>
        <v>10000</v>
      </c>
      <c r="N10" s="27">
        <f t="shared" si="2"/>
        <v>10000</v>
      </c>
      <c r="O10" s="31" t="s">
        <v>3211</v>
      </c>
    </row>
    <row r="11" spans="1:15" ht="21.75" customHeight="1" x14ac:dyDescent="0.25">
      <c r="A11" s="9" t="s">
        <v>3212</v>
      </c>
      <c r="B11" s="9" t="s">
        <v>3189</v>
      </c>
      <c r="C11" s="12" t="s">
        <v>3190</v>
      </c>
      <c r="D11" s="12" t="s">
        <v>3191</v>
      </c>
      <c r="E11" s="12" t="s">
        <v>3192</v>
      </c>
      <c r="F11" s="12" t="s">
        <v>3213</v>
      </c>
      <c r="G11" s="9" t="s">
        <v>61</v>
      </c>
      <c r="H11" s="38" t="s">
        <v>3214</v>
      </c>
      <c r="I11" s="34" t="s">
        <v>3215</v>
      </c>
      <c r="J11" s="39"/>
      <c r="K11" s="36">
        <v>180</v>
      </c>
      <c r="L11" s="26">
        <f t="shared" si="0"/>
        <v>0</v>
      </c>
      <c r="M11" s="20">
        <f t="shared" si="1"/>
        <v>180</v>
      </c>
      <c r="N11" s="27">
        <f t="shared" si="2"/>
        <v>0</v>
      </c>
      <c r="O11" s="31" t="s">
        <v>3216</v>
      </c>
    </row>
    <row r="12" spans="1:15" ht="21.75" customHeight="1" x14ac:dyDescent="0.25">
      <c r="A12" s="9" t="s">
        <v>3217</v>
      </c>
      <c r="B12" s="9" t="s">
        <v>3189</v>
      </c>
      <c r="C12" s="12" t="s">
        <v>3190</v>
      </c>
      <c r="D12" s="12" t="s">
        <v>3191</v>
      </c>
      <c r="E12" s="12" t="s">
        <v>3192</v>
      </c>
      <c r="F12" s="12" t="s">
        <v>3218</v>
      </c>
      <c r="G12" s="9" t="s">
        <v>3206</v>
      </c>
      <c r="H12" s="37" t="s">
        <v>3207</v>
      </c>
      <c r="I12" s="34" t="s">
        <v>3196</v>
      </c>
      <c r="J12" s="35">
        <f>_MONTHS</f>
        <v>18</v>
      </c>
      <c r="K12" s="36">
        <v>400</v>
      </c>
      <c r="L12" s="26">
        <f t="shared" si="0"/>
        <v>0</v>
      </c>
      <c r="M12" s="20">
        <f t="shared" si="1"/>
        <v>400</v>
      </c>
      <c r="N12" s="27">
        <f t="shared" si="2"/>
        <v>7200</v>
      </c>
      <c r="O12" s="31" t="s">
        <v>3219</v>
      </c>
    </row>
    <row r="13" spans="1:15" ht="15" customHeight="1" x14ac:dyDescent="0.25">
      <c r="A13" s="40"/>
      <c r="B13" s="40"/>
      <c r="C13" s="40"/>
      <c r="D13" s="40"/>
      <c r="E13" s="40"/>
      <c r="F13" s="41" t="s">
        <v>3220</v>
      </c>
      <c r="G13" s="40"/>
      <c r="H13" s="40"/>
      <c r="I13" s="40"/>
      <c r="J13" s="40"/>
      <c r="K13" s="40"/>
      <c r="L13" s="40"/>
      <c r="M13" s="40"/>
      <c r="N13" s="42">
        <f>SUM(N6:N12)</f>
        <v>35200</v>
      </c>
      <c r="O13" s="40"/>
    </row>
    <row r="14" spans="1:15" ht="21.75" customHeight="1" x14ac:dyDescent="0.25">
      <c r="A14" s="9" t="s">
        <v>3221</v>
      </c>
      <c r="B14" s="9" t="s">
        <v>3222</v>
      </c>
      <c r="C14" s="12" t="s">
        <v>3190</v>
      </c>
      <c r="D14" s="12" t="s">
        <v>3191</v>
      </c>
      <c r="E14" s="12" t="s">
        <v>3223</v>
      </c>
      <c r="F14" s="12" t="s">
        <v>3224</v>
      </c>
      <c r="G14" s="9" t="s">
        <v>3194</v>
      </c>
      <c r="H14" s="33" t="s">
        <v>3195</v>
      </c>
      <c r="I14" s="34" t="s">
        <v>3196</v>
      </c>
      <c r="J14" s="35">
        <v>1</v>
      </c>
      <c r="K14" s="36">
        <v>8000</v>
      </c>
      <c r="L14" s="26">
        <f t="shared" ref="L14:L20" si="3">_STDPRE</f>
        <v>0</v>
      </c>
      <c r="M14" s="20">
        <f t="shared" ref="M14:M20" si="4">IFERROR(K14*(1+L14),0)</f>
        <v>8000</v>
      </c>
      <c r="N14" s="27">
        <f t="shared" ref="N14:N20" si="5">IF($I14="Y",N(J14)*N(M14),0)</f>
        <v>8000</v>
      </c>
      <c r="O14" s="31" t="s">
        <v>3225</v>
      </c>
    </row>
    <row r="15" spans="1:15" ht="21.75" customHeight="1" x14ac:dyDescent="0.25">
      <c r="A15" s="9" t="s">
        <v>3226</v>
      </c>
      <c r="B15" s="9" t="s">
        <v>3222</v>
      </c>
      <c r="C15" s="12" t="s">
        <v>3190</v>
      </c>
      <c r="D15" s="12" t="s">
        <v>3191</v>
      </c>
      <c r="E15" s="12" t="s">
        <v>3223</v>
      </c>
      <c r="F15" s="12" t="s">
        <v>3227</v>
      </c>
      <c r="G15" s="9" t="s">
        <v>57</v>
      </c>
      <c r="H15" s="38" t="s">
        <v>3214</v>
      </c>
      <c r="I15" s="34" t="s">
        <v>3196</v>
      </c>
      <c r="J15" s="39"/>
      <c r="K15" s="36">
        <v>800</v>
      </c>
      <c r="L15" s="26">
        <f t="shared" si="3"/>
        <v>0</v>
      </c>
      <c r="M15" s="20">
        <f t="shared" si="4"/>
        <v>800</v>
      </c>
      <c r="N15" s="27">
        <f t="shared" si="5"/>
        <v>0</v>
      </c>
      <c r="O15" s="31" t="s">
        <v>3228</v>
      </c>
    </row>
    <row r="16" spans="1:15" ht="21.75" customHeight="1" x14ac:dyDescent="0.25">
      <c r="A16" s="9" t="s">
        <v>3229</v>
      </c>
      <c r="B16" s="9" t="s">
        <v>3222</v>
      </c>
      <c r="C16" s="12" t="s">
        <v>3190</v>
      </c>
      <c r="D16" s="12" t="s">
        <v>3191</v>
      </c>
      <c r="E16" s="12" t="s">
        <v>3223</v>
      </c>
      <c r="F16" s="12" t="s">
        <v>3230</v>
      </c>
      <c r="G16" s="9" t="s">
        <v>3194</v>
      </c>
      <c r="H16" s="33" t="s">
        <v>3195</v>
      </c>
      <c r="I16" s="34" t="s">
        <v>3196</v>
      </c>
      <c r="J16" s="35">
        <v>1</v>
      </c>
      <c r="K16" s="36">
        <v>6000</v>
      </c>
      <c r="L16" s="26">
        <f t="shared" si="3"/>
        <v>0</v>
      </c>
      <c r="M16" s="20">
        <f t="shared" si="4"/>
        <v>6000</v>
      </c>
      <c r="N16" s="27">
        <f t="shared" si="5"/>
        <v>6000</v>
      </c>
      <c r="O16" s="31" t="s">
        <v>3231</v>
      </c>
    </row>
    <row r="17" spans="1:15" ht="21.75" customHeight="1" x14ac:dyDescent="0.25">
      <c r="A17" s="9" t="s">
        <v>3232</v>
      </c>
      <c r="B17" s="9" t="s">
        <v>3222</v>
      </c>
      <c r="C17" s="12" t="s">
        <v>3190</v>
      </c>
      <c r="D17" s="12" t="s">
        <v>3191</v>
      </c>
      <c r="E17" s="12" t="s">
        <v>3223</v>
      </c>
      <c r="F17" s="12" t="s">
        <v>3233</v>
      </c>
      <c r="G17" s="9" t="s">
        <v>61</v>
      </c>
      <c r="H17" s="38" t="s">
        <v>3214</v>
      </c>
      <c r="I17" s="34" t="s">
        <v>3196</v>
      </c>
      <c r="J17" s="39"/>
      <c r="K17" s="36">
        <v>12</v>
      </c>
      <c r="L17" s="26">
        <f t="shared" si="3"/>
        <v>0</v>
      </c>
      <c r="M17" s="20">
        <f t="shared" si="4"/>
        <v>12</v>
      </c>
      <c r="N17" s="27">
        <f t="shared" si="5"/>
        <v>0</v>
      </c>
      <c r="O17" s="31" t="s">
        <v>3234</v>
      </c>
    </row>
    <row r="18" spans="1:15" ht="21.75" customHeight="1" x14ac:dyDescent="0.25">
      <c r="A18" s="9" t="s">
        <v>3235</v>
      </c>
      <c r="B18" s="9" t="s">
        <v>3222</v>
      </c>
      <c r="C18" s="12" t="s">
        <v>3190</v>
      </c>
      <c r="D18" s="12" t="s">
        <v>3191</v>
      </c>
      <c r="E18" s="12" t="s">
        <v>3223</v>
      </c>
      <c r="F18" s="12" t="s">
        <v>3236</v>
      </c>
      <c r="G18" s="9" t="s">
        <v>3194</v>
      </c>
      <c r="H18" s="33" t="s">
        <v>3195</v>
      </c>
      <c r="I18" s="34" t="s">
        <v>3196</v>
      </c>
      <c r="J18" s="35">
        <v>1</v>
      </c>
      <c r="K18" s="36">
        <v>4500</v>
      </c>
      <c r="L18" s="26">
        <f t="shared" si="3"/>
        <v>0</v>
      </c>
      <c r="M18" s="20">
        <f t="shared" si="4"/>
        <v>4500</v>
      </c>
      <c r="N18" s="27">
        <f t="shared" si="5"/>
        <v>4500</v>
      </c>
      <c r="O18" s="31" t="s">
        <v>3237</v>
      </c>
    </row>
    <row r="19" spans="1:15" ht="21.75" customHeight="1" x14ac:dyDescent="0.25">
      <c r="A19" s="9" t="s">
        <v>3238</v>
      </c>
      <c r="B19" s="9" t="s">
        <v>3222</v>
      </c>
      <c r="C19" s="12" t="s">
        <v>3190</v>
      </c>
      <c r="D19" s="12" t="s">
        <v>3191</v>
      </c>
      <c r="E19" s="12" t="s">
        <v>3223</v>
      </c>
      <c r="F19" s="12" t="s">
        <v>3239</v>
      </c>
      <c r="G19" s="9" t="s">
        <v>3194</v>
      </c>
      <c r="H19" s="33" t="s">
        <v>3195</v>
      </c>
      <c r="I19" s="34" t="s">
        <v>3196</v>
      </c>
      <c r="J19" s="35">
        <v>1</v>
      </c>
      <c r="K19" s="36">
        <v>3000</v>
      </c>
      <c r="L19" s="26">
        <f t="shared" si="3"/>
        <v>0</v>
      </c>
      <c r="M19" s="20">
        <f t="shared" si="4"/>
        <v>3000</v>
      </c>
      <c r="N19" s="27">
        <f t="shared" si="5"/>
        <v>3000</v>
      </c>
      <c r="O19" s="31" t="s">
        <v>3240</v>
      </c>
    </row>
    <row r="20" spans="1:15" ht="21.75" customHeight="1" x14ac:dyDescent="0.25">
      <c r="A20" s="9" t="s">
        <v>3241</v>
      </c>
      <c r="B20" s="9" t="s">
        <v>3222</v>
      </c>
      <c r="C20" s="12" t="s">
        <v>3190</v>
      </c>
      <c r="D20" s="12" t="s">
        <v>3191</v>
      </c>
      <c r="E20" s="12" t="s">
        <v>3223</v>
      </c>
      <c r="F20" s="12" t="s">
        <v>3242</v>
      </c>
      <c r="G20" s="9" t="s">
        <v>3194</v>
      </c>
      <c r="H20" s="33" t="s">
        <v>3195</v>
      </c>
      <c r="I20" s="34" t="s">
        <v>3196</v>
      </c>
      <c r="J20" s="35">
        <v>1</v>
      </c>
      <c r="K20" s="36">
        <v>2000</v>
      </c>
      <c r="L20" s="26">
        <f t="shared" si="3"/>
        <v>0</v>
      </c>
      <c r="M20" s="20">
        <f t="shared" si="4"/>
        <v>2000</v>
      </c>
      <c r="N20" s="27">
        <f t="shared" si="5"/>
        <v>2000</v>
      </c>
      <c r="O20" s="31" t="s">
        <v>3243</v>
      </c>
    </row>
    <row r="21" spans="1:15" ht="15" customHeight="1" x14ac:dyDescent="0.25">
      <c r="A21" s="40"/>
      <c r="B21" s="40"/>
      <c r="C21" s="40"/>
      <c r="D21" s="40"/>
      <c r="E21" s="40"/>
      <c r="F21" s="41" t="s">
        <v>3244</v>
      </c>
      <c r="G21" s="40"/>
      <c r="H21" s="40"/>
      <c r="I21" s="40"/>
      <c r="J21" s="40"/>
      <c r="K21" s="40"/>
      <c r="L21" s="40"/>
      <c r="M21" s="40"/>
      <c r="N21" s="42">
        <f>SUM(N14:N20)</f>
        <v>23500</v>
      </c>
      <c r="O21" s="40"/>
    </row>
    <row r="22" spans="1:15" ht="21.75" customHeight="1" x14ac:dyDescent="0.25">
      <c r="A22" s="9" t="s">
        <v>3245</v>
      </c>
      <c r="B22" s="9" t="s">
        <v>3246</v>
      </c>
      <c r="C22" s="12" t="s">
        <v>3190</v>
      </c>
      <c r="D22" s="12" t="s">
        <v>3191</v>
      </c>
      <c r="E22" s="12" t="s">
        <v>3247</v>
      </c>
      <c r="F22" s="12" t="s">
        <v>3248</v>
      </c>
      <c r="G22" s="9" t="s">
        <v>3206</v>
      </c>
      <c r="H22" s="37" t="s">
        <v>3207</v>
      </c>
      <c r="I22" s="34" t="s">
        <v>3196</v>
      </c>
      <c r="J22" s="35">
        <f t="shared" ref="J22:J28" si="6">_MONTHS</f>
        <v>18</v>
      </c>
      <c r="K22" s="36">
        <v>900</v>
      </c>
      <c r="L22" s="26">
        <f t="shared" ref="L22:L31" si="7">_STDPRE</f>
        <v>0</v>
      </c>
      <c r="M22" s="20">
        <f t="shared" ref="M22:M31" si="8">IFERROR(K22*(1+L22),0)</f>
        <v>900</v>
      </c>
      <c r="N22" s="27">
        <f t="shared" ref="N22:N31" si="9">IF($I22="Y",N(J22)*N(M22),0)</f>
        <v>16200</v>
      </c>
      <c r="O22" s="31" t="s">
        <v>3249</v>
      </c>
    </row>
    <row r="23" spans="1:15" ht="21.75" customHeight="1" x14ac:dyDescent="0.25">
      <c r="A23" s="9" t="s">
        <v>3250</v>
      </c>
      <c r="B23" s="9" t="s">
        <v>3246</v>
      </c>
      <c r="C23" s="12" t="s">
        <v>3190</v>
      </c>
      <c r="D23" s="12" t="s">
        <v>3191</v>
      </c>
      <c r="E23" s="12" t="s">
        <v>3247</v>
      </c>
      <c r="F23" s="12" t="s">
        <v>3251</v>
      </c>
      <c r="G23" s="9" t="s">
        <v>3206</v>
      </c>
      <c r="H23" s="37" t="s">
        <v>3207</v>
      </c>
      <c r="I23" s="34" t="s">
        <v>3196</v>
      </c>
      <c r="J23" s="35">
        <f t="shared" si="6"/>
        <v>18</v>
      </c>
      <c r="K23" s="36">
        <v>450</v>
      </c>
      <c r="L23" s="26">
        <f t="shared" si="7"/>
        <v>0</v>
      </c>
      <c r="M23" s="20">
        <f t="shared" si="8"/>
        <v>450</v>
      </c>
      <c r="N23" s="27">
        <f t="shared" si="9"/>
        <v>8100</v>
      </c>
      <c r="O23" s="31" t="s">
        <v>3252</v>
      </c>
    </row>
    <row r="24" spans="1:15" ht="21.75" customHeight="1" x14ac:dyDescent="0.25">
      <c r="A24" s="9" t="s">
        <v>3253</v>
      </c>
      <c r="B24" s="9" t="s">
        <v>3246</v>
      </c>
      <c r="C24" s="12" t="s">
        <v>3190</v>
      </c>
      <c r="D24" s="12" t="s">
        <v>3191</v>
      </c>
      <c r="E24" s="12" t="s">
        <v>3247</v>
      </c>
      <c r="F24" s="12" t="s">
        <v>3254</v>
      </c>
      <c r="G24" s="9" t="s">
        <v>3206</v>
      </c>
      <c r="H24" s="37" t="s">
        <v>3207</v>
      </c>
      <c r="I24" s="34" t="s">
        <v>3196</v>
      </c>
      <c r="J24" s="35">
        <f t="shared" si="6"/>
        <v>18</v>
      </c>
      <c r="K24" s="36">
        <v>200</v>
      </c>
      <c r="L24" s="26">
        <f t="shared" si="7"/>
        <v>0</v>
      </c>
      <c r="M24" s="20">
        <f t="shared" si="8"/>
        <v>200</v>
      </c>
      <c r="N24" s="27">
        <f t="shared" si="9"/>
        <v>3600</v>
      </c>
      <c r="O24" s="31" t="s">
        <v>3255</v>
      </c>
    </row>
    <row r="25" spans="1:15" ht="21.75" customHeight="1" x14ac:dyDescent="0.25">
      <c r="A25" s="9" t="s">
        <v>3256</v>
      </c>
      <c r="B25" s="9" t="s">
        <v>3246</v>
      </c>
      <c r="C25" s="12" t="s">
        <v>3190</v>
      </c>
      <c r="D25" s="12" t="s">
        <v>3191</v>
      </c>
      <c r="E25" s="12" t="s">
        <v>3247</v>
      </c>
      <c r="F25" s="12" t="s">
        <v>3257</v>
      </c>
      <c r="G25" s="9" t="s">
        <v>3206</v>
      </c>
      <c r="H25" s="37" t="s">
        <v>3207</v>
      </c>
      <c r="I25" s="34" t="s">
        <v>3196</v>
      </c>
      <c r="J25" s="35">
        <f t="shared" si="6"/>
        <v>18</v>
      </c>
      <c r="K25" s="36">
        <v>350</v>
      </c>
      <c r="L25" s="26">
        <f t="shared" si="7"/>
        <v>0</v>
      </c>
      <c r="M25" s="20">
        <f t="shared" si="8"/>
        <v>350</v>
      </c>
      <c r="N25" s="27">
        <f t="shared" si="9"/>
        <v>6300</v>
      </c>
      <c r="O25" s="31" t="s">
        <v>3258</v>
      </c>
    </row>
    <row r="26" spans="1:15" ht="21.75" customHeight="1" x14ac:dyDescent="0.25">
      <c r="A26" s="9" t="s">
        <v>3259</v>
      </c>
      <c r="B26" s="9" t="s">
        <v>3246</v>
      </c>
      <c r="C26" s="12" t="s">
        <v>3190</v>
      </c>
      <c r="D26" s="12" t="s">
        <v>3191</v>
      </c>
      <c r="E26" s="12" t="s">
        <v>3247</v>
      </c>
      <c r="F26" s="12" t="s">
        <v>3260</v>
      </c>
      <c r="G26" s="9" t="s">
        <v>3206</v>
      </c>
      <c r="H26" s="37" t="s">
        <v>3207</v>
      </c>
      <c r="I26" s="34" t="s">
        <v>3196</v>
      </c>
      <c r="J26" s="35">
        <f t="shared" si="6"/>
        <v>18</v>
      </c>
      <c r="K26" s="36">
        <v>250</v>
      </c>
      <c r="L26" s="26">
        <f t="shared" si="7"/>
        <v>0</v>
      </c>
      <c r="M26" s="20">
        <f t="shared" si="8"/>
        <v>250</v>
      </c>
      <c r="N26" s="27">
        <f t="shared" si="9"/>
        <v>4500</v>
      </c>
      <c r="O26" s="31" t="s">
        <v>3261</v>
      </c>
    </row>
    <row r="27" spans="1:15" ht="21.75" customHeight="1" x14ac:dyDescent="0.25">
      <c r="A27" s="9" t="s">
        <v>3262</v>
      </c>
      <c r="B27" s="9" t="s">
        <v>3246</v>
      </c>
      <c r="C27" s="12" t="s">
        <v>3190</v>
      </c>
      <c r="D27" s="12" t="s">
        <v>3191</v>
      </c>
      <c r="E27" s="12" t="s">
        <v>3247</v>
      </c>
      <c r="F27" s="12" t="s">
        <v>3263</v>
      </c>
      <c r="G27" s="9" t="s">
        <v>3206</v>
      </c>
      <c r="H27" s="37" t="s">
        <v>3207</v>
      </c>
      <c r="I27" s="34" t="s">
        <v>3196</v>
      </c>
      <c r="J27" s="35">
        <f t="shared" si="6"/>
        <v>18</v>
      </c>
      <c r="K27" s="36">
        <v>200</v>
      </c>
      <c r="L27" s="26">
        <f t="shared" si="7"/>
        <v>0</v>
      </c>
      <c r="M27" s="20">
        <f t="shared" si="8"/>
        <v>200</v>
      </c>
      <c r="N27" s="27">
        <f t="shared" si="9"/>
        <v>3600</v>
      </c>
      <c r="O27" s="31" t="s">
        <v>3264</v>
      </c>
    </row>
    <row r="28" spans="1:15" ht="21.75" customHeight="1" x14ac:dyDescent="0.25">
      <c r="A28" s="9" t="s">
        <v>3265</v>
      </c>
      <c r="B28" s="9" t="s">
        <v>3246</v>
      </c>
      <c r="C28" s="12" t="s">
        <v>3190</v>
      </c>
      <c r="D28" s="12" t="s">
        <v>3191</v>
      </c>
      <c r="E28" s="12" t="s">
        <v>3247</v>
      </c>
      <c r="F28" s="12" t="s">
        <v>3266</v>
      </c>
      <c r="G28" s="9" t="s">
        <v>3206</v>
      </c>
      <c r="H28" s="37" t="s">
        <v>3207</v>
      </c>
      <c r="I28" s="34" t="s">
        <v>3196</v>
      </c>
      <c r="J28" s="35">
        <f t="shared" si="6"/>
        <v>18</v>
      </c>
      <c r="K28" s="36">
        <v>100</v>
      </c>
      <c r="L28" s="26">
        <f t="shared" si="7"/>
        <v>0</v>
      </c>
      <c r="M28" s="20">
        <f t="shared" si="8"/>
        <v>100</v>
      </c>
      <c r="N28" s="27">
        <f t="shared" si="9"/>
        <v>1800</v>
      </c>
      <c r="O28" s="31" t="s">
        <v>3267</v>
      </c>
    </row>
    <row r="29" spans="1:15" ht="21.75" customHeight="1" x14ac:dyDescent="0.25">
      <c r="A29" s="9" t="s">
        <v>3268</v>
      </c>
      <c r="B29" s="9" t="s">
        <v>3246</v>
      </c>
      <c r="C29" s="12" t="s">
        <v>3190</v>
      </c>
      <c r="D29" s="12" t="s">
        <v>3191</v>
      </c>
      <c r="E29" s="12" t="s">
        <v>3247</v>
      </c>
      <c r="F29" s="12" t="s">
        <v>1450</v>
      </c>
      <c r="G29" s="9" t="s">
        <v>3194</v>
      </c>
      <c r="H29" s="33" t="s">
        <v>3195</v>
      </c>
      <c r="I29" s="34" t="s">
        <v>3196</v>
      </c>
      <c r="J29" s="35">
        <v>1</v>
      </c>
      <c r="K29" s="36">
        <v>1500</v>
      </c>
      <c r="L29" s="26">
        <f t="shared" si="7"/>
        <v>0</v>
      </c>
      <c r="M29" s="20">
        <f t="shared" si="8"/>
        <v>1500</v>
      </c>
      <c r="N29" s="27">
        <f t="shared" si="9"/>
        <v>1500</v>
      </c>
      <c r="O29" s="31" t="s">
        <v>3269</v>
      </c>
    </row>
    <row r="30" spans="1:15" ht="21.75" customHeight="1" x14ac:dyDescent="0.25">
      <c r="A30" s="9" t="s">
        <v>3270</v>
      </c>
      <c r="B30" s="9" t="s">
        <v>3246</v>
      </c>
      <c r="C30" s="12" t="s">
        <v>3190</v>
      </c>
      <c r="D30" s="12" t="s">
        <v>3191</v>
      </c>
      <c r="E30" s="12" t="s">
        <v>3247</v>
      </c>
      <c r="F30" s="12" t="s">
        <v>3271</v>
      </c>
      <c r="G30" s="9" t="s">
        <v>3194</v>
      </c>
      <c r="H30" s="33" t="s">
        <v>3195</v>
      </c>
      <c r="I30" s="34" t="s">
        <v>3196</v>
      </c>
      <c r="J30" s="35">
        <v>1</v>
      </c>
      <c r="K30" s="36">
        <v>4000</v>
      </c>
      <c r="L30" s="26">
        <f t="shared" si="7"/>
        <v>0</v>
      </c>
      <c r="M30" s="20">
        <f t="shared" si="8"/>
        <v>4000</v>
      </c>
      <c r="N30" s="27">
        <f t="shared" si="9"/>
        <v>4000</v>
      </c>
      <c r="O30" s="31" t="s">
        <v>3272</v>
      </c>
    </row>
    <row r="31" spans="1:15" ht="21.75" customHeight="1" x14ac:dyDescent="0.25">
      <c r="A31" s="9" t="s">
        <v>3273</v>
      </c>
      <c r="B31" s="9" t="s">
        <v>3246</v>
      </c>
      <c r="C31" s="12" t="s">
        <v>3190</v>
      </c>
      <c r="D31" s="12" t="s">
        <v>3191</v>
      </c>
      <c r="E31" s="12" t="s">
        <v>3247</v>
      </c>
      <c r="F31" s="12" t="s">
        <v>3274</v>
      </c>
      <c r="G31" s="9" t="s">
        <v>3194</v>
      </c>
      <c r="H31" s="33" t="s">
        <v>3195</v>
      </c>
      <c r="I31" s="34" t="s">
        <v>3196</v>
      </c>
      <c r="J31" s="35">
        <v>1</v>
      </c>
      <c r="K31" s="36">
        <v>1500</v>
      </c>
      <c r="L31" s="26">
        <f t="shared" si="7"/>
        <v>0</v>
      </c>
      <c r="M31" s="20">
        <f t="shared" si="8"/>
        <v>1500</v>
      </c>
      <c r="N31" s="27">
        <f t="shared" si="9"/>
        <v>1500</v>
      </c>
      <c r="O31" s="31" t="s">
        <v>3275</v>
      </c>
    </row>
    <row r="32" spans="1:15" ht="15" customHeight="1" x14ac:dyDescent="0.25">
      <c r="A32" s="40"/>
      <c r="B32" s="40"/>
      <c r="C32" s="40"/>
      <c r="D32" s="40"/>
      <c r="E32" s="40"/>
      <c r="F32" s="41" t="s">
        <v>3276</v>
      </c>
      <c r="G32" s="40"/>
      <c r="H32" s="40"/>
      <c r="I32" s="40"/>
      <c r="J32" s="40"/>
      <c r="K32" s="40"/>
      <c r="L32" s="40"/>
      <c r="M32" s="40"/>
      <c r="N32" s="42">
        <f>SUM(N22:N31)</f>
        <v>51100</v>
      </c>
      <c r="O32" s="40"/>
    </row>
    <row r="33" spans="1:15" ht="21.75" customHeight="1" x14ac:dyDescent="0.25">
      <c r="A33" s="9" t="s">
        <v>3277</v>
      </c>
      <c r="B33" s="9" t="s">
        <v>3278</v>
      </c>
      <c r="C33" s="12" t="s">
        <v>3190</v>
      </c>
      <c r="D33" s="12" t="s">
        <v>3191</v>
      </c>
      <c r="E33" s="12" t="s">
        <v>3279</v>
      </c>
      <c r="F33" s="12" t="s">
        <v>3280</v>
      </c>
      <c r="G33" s="9" t="s">
        <v>3206</v>
      </c>
      <c r="H33" s="37" t="s">
        <v>3207</v>
      </c>
      <c r="I33" s="34" t="s">
        <v>3196</v>
      </c>
      <c r="J33" s="35">
        <f>_MONTHS</f>
        <v>18</v>
      </c>
      <c r="K33" s="36">
        <v>1200</v>
      </c>
      <c r="L33" s="26">
        <f t="shared" ref="L33:L38" si="10">_STDPRE</f>
        <v>0</v>
      </c>
      <c r="M33" s="20">
        <f t="shared" ref="M33:M38" si="11">IFERROR(K33*(1+L33),0)</f>
        <v>1200</v>
      </c>
      <c r="N33" s="27">
        <f t="shared" ref="N33:N38" si="12">IF($I33="Y",N(J33)*N(M33),0)</f>
        <v>21600</v>
      </c>
      <c r="O33" s="31" t="s">
        <v>3281</v>
      </c>
    </row>
    <row r="34" spans="1:15" ht="21.75" customHeight="1" x14ac:dyDescent="0.25">
      <c r="A34" s="9" t="s">
        <v>3282</v>
      </c>
      <c r="B34" s="9" t="s">
        <v>3278</v>
      </c>
      <c r="C34" s="12" t="s">
        <v>3190</v>
      </c>
      <c r="D34" s="12" t="s">
        <v>3191</v>
      </c>
      <c r="E34" s="12" t="s">
        <v>3279</v>
      </c>
      <c r="F34" s="12" t="s">
        <v>3283</v>
      </c>
      <c r="G34" s="9" t="s">
        <v>3206</v>
      </c>
      <c r="H34" s="37" t="s">
        <v>3207</v>
      </c>
      <c r="I34" s="34" t="s">
        <v>3196</v>
      </c>
      <c r="J34" s="35">
        <f>_MONTHS</f>
        <v>18</v>
      </c>
      <c r="K34" s="36">
        <v>450</v>
      </c>
      <c r="L34" s="26">
        <f t="shared" si="10"/>
        <v>0</v>
      </c>
      <c r="M34" s="20">
        <f t="shared" si="11"/>
        <v>450</v>
      </c>
      <c r="N34" s="27">
        <f t="shared" si="12"/>
        <v>8100</v>
      </c>
      <c r="O34" s="31" t="s">
        <v>3284</v>
      </c>
    </row>
    <row r="35" spans="1:15" ht="21.75" customHeight="1" x14ac:dyDescent="0.25">
      <c r="A35" s="9" t="s">
        <v>3285</v>
      </c>
      <c r="B35" s="9" t="s">
        <v>3278</v>
      </c>
      <c r="C35" s="12" t="s">
        <v>3190</v>
      </c>
      <c r="D35" s="12" t="s">
        <v>3191</v>
      </c>
      <c r="E35" s="12" t="s">
        <v>3279</v>
      </c>
      <c r="F35" s="12" t="s">
        <v>3286</v>
      </c>
      <c r="G35" s="9" t="s">
        <v>3206</v>
      </c>
      <c r="H35" s="37" t="s">
        <v>3207</v>
      </c>
      <c r="I35" s="34" t="s">
        <v>3196</v>
      </c>
      <c r="J35" s="35">
        <f>_MONTHS</f>
        <v>18</v>
      </c>
      <c r="K35" s="36">
        <v>150</v>
      </c>
      <c r="L35" s="26">
        <f t="shared" si="10"/>
        <v>0</v>
      </c>
      <c r="M35" s="20">
        <f t="shared" si="11"/>
        <v>150</v>
      </c>
      <c r="N35" s="27">
        <f t="shared" si="12"/>
        <v>2700</v>
      </c>
      <c r="O35" s="31" t="s">
        <v>3287</v>
      </c>
    </row>
    <row r="36" spans="1:15" ht="21.75" customHeight="1" x14ac:dyDescent="0.25">
      <c r="A36" s="9" t="s">
        <v>3288</v>
      </c>
      <c r="B36" s="9" t="s">
        <v>3278</v>
      </c>
      <c r="C36" s="12" t="s">
        <v>3190</v>
      </c>
      <c r="D36" s="12" t="s">
        <v>3191</v>
      </c>
      <c r="E36" s="12" t="s">
        <v>3279</v>
      </c>
      <c r="F36" s="12" t="s">
        <v>3289</v>
      </c>
      <c r="G36" s="9" t="s">
        <v>3194</v>
      </c>
      <c r="H36" s="33" t="s">
        <v>3195</v>
      </c>
      <c r="I36" s="34" t="s">
        <v>3196</v>
      </c>
      <c r="J36" s="35">
        <v>1</v>
      </c>
      <c r="K36" s="36">
        <v>4500</v>
      </c>
      <c r="L36" s="26">
        <f t="shared" si="10"/>
        <v>0</v>
      </c>
      <c r="M36" s="20">
        <f t="shared" si="11"/>
        <v>4500</v>
      </c>
      <c r="N36" s="27">
        <f t="shared" si="12"/>
        <v>4500</v>
      </c>
      <c r="O36" s="31" t="s">
        <v>3290</v>
      </c>
    </row>
    <row r="37" spans="1:15" ht="21.75" customHeight="1" x14ac:dyDescent="0.25">
      <c r="A37" s="9" t="s">
        <v>3291</v>
      </c>
      <c r="B37" s="9" t="s">
        <v>3278</v>
      </c>
      <c r="C37" s="12" t="s">
        <v>3190</v>
      </c>
      <c r="D37" s="12" t="s">
        <v>3191</v>
      </c>
      <c r="E37" s="12" t="s">
        <v>3279</v>
      </c>
      <c r="F37" s="12" t="s">
        <v>3292</v>
      </c>
      <c r="G37" s="9" t="s">
        <v>3206</v>
      </c>
      <c r="H37" s="37" t="s">
        <v>3207</v>
      </c>
      <c r="I37" s="34" t="s">
        <v>3196</v>
      </c>
      <c r="J37" s="35">
        <f>_MONTHS</f>
        <v>18</v>
      </c>
      <c r="K37" s="36">
        <v>350</v>
      </c>
      <c r="L37" s="26">
        <f t="shared" si="10"/>
        <v>0</v>
      </c>
      <c r="M37" s="20">
        <f t="shared" si="11"/>
        <v>350</v>
      </c>
      <c r="N37" s="27">
        <f t="shared" si="12"/>
        <v>6300</v>
      </c>
      <c r="O37" s="31" t="s">
        <v>3293</v>
      </c>
    </row>
    <row r="38" spans="1:15" ht="21.75" customHeight="1" x14ac:dyDescent="0.25">
      <c r="A38" s="9" t="s">
        <v>3294</v>
      </c>
      <c r="B38" s="9" t="s">
        <v>3278</v>
      </c>
      <c r="C38" s="12" t="s">
        <v>3190</v>
      </c>
      <c r="D38" s="12" t="s">
        <v>3191</v>
      </c>
      <c r="E38" s="12" t="s">
        <v>3279</v>
      </c>
      <c r="F38" s="12" t="s">
        <v>3295</v>
      </c>
      <c r="G38" s="9" t="s">
        <v>3206</v>
      </c>
      <c r="H38" s="37" t="s">
        <v>3207</v>
      </c>
      <c r="I38" s="34" t="s">
        <v>3196</v>
      </c>
      <c r="J38" s="35">
        <f>_MONTHS</f>
        <v>18</v>
      </c>
      <c r="K38" s="36">
        <v>400</v>
      </c>
      <c r="L38" s="26">
        <f t="shared" si="10"/>
        <v>0</v>
      </c>
      <c r="M38" s="20">
        <f t="shared" si="11"/>
        <v>400</v>
      </c>
      <c r="N38" s="27">
        <f t="shared" si="12"/>
        <v>7200</v>
      </c>
      <c r="O38" s="31" t="s">
        <v>3296</v>
      </c>
    </row>
    <row r="39" spans="1:15" ht="15" customHeight="1" x14ac:dyDescent="0.25">
      <c r="A39" s="40"/>
      <c r="B39" s="40"/>
      <c r="C39" s="40"/>
      <c r="D39" s="40"/>
      <c r="E39" s="40"/>
      <c r="F39" s="41" t="s">
        <v>3297</v>
      </c>
      <c r="G39" s="40"/>
      <c r="H39" s="40"/>
      <c r="I39" s="40"/>
      <c r="J39" s="40"/>
      <c r="K39" s="40"/>
      <c r="L39" s="40"/>
      <c r="M39" s="40"/>
      <c r="N39" s="42">
        <f>SUM(N33:N38)</f>
        <v>50400</v>
      </c>
      <c r="O39" s="40"/>
    </row>
    <row r="40" spans="1:15" ht="21.75" customHeight="1" x14ac:dyDescent="0.25">
      <c r="A40" s="9" t="s">
        <v>3298</v>
      </c>
      <c r="B40" s="9" t="s">
        <v>3299</v>
      </c>
      <c r="C40" s="12" t="s">
        <v>3190</v>
      </c>
      <c r="D40" s="12" t="s">
        <v>3191</v>
      </c>
      <c r="E40" s="12" t="s">
        <v>3300</v>
      </c>
      <c r="F40" s="12" t="s">
        <v>3301</v>
      </c>
      <c r="G40" s="9" t="s">
        <v>3194</v>
      </c>
      <c r="H40" s="33" t="s">
        <v>3195</v>
      </c>
      <c r="I40" s="34" t="s">
        <v>3196</v>
      </c>
      <c r="J40" s="35">
        <v>1</v>
      </c>
      <c r="K40" s="36">
        <v>18000</v>
      </c>
      <c r="L40" s="26">
        <f t="shared" ref="L40:L50" si="13">_STDPRE</f>
        <v>0</v>
      </c>
      <c r="M40" s="20">
        <f t="shared" ref="M40:M50" si="14">IFERROR(K40*(1+L40),0)</f>
        <v>18000</v>
      </c>
      <c r="N40" s="27">
        <f t="shared" ref="N40:N50" si="15">IF($I40="Y",N(J40)*N(M40),0)</f>
        <v>18000</v>
      </c>
      <c r="O40" s="31" t="s">
        <v>3302</v>
      </c>
    </row>
    <row r="41" spans="1:15" ht="21.75" customHeight="1" x14ac:dyDescent="0.25">
      <c r="A41" s="9" t="s">
        <v>3303</v>
      </c>
      <c r="B41" s="9" t="s">
        <v>3299</v>
      </c>
      <c r="C41" s="12" t="s">
        <v>3190</v>
      </c>
      <c r="D41" s="12" t="s">
        <v>3191</v>
      </c>
      <c r="E41" s="12" t="s">
        <v>3300</v>
      </c>
      <c r="F41" s="12" t="s">
        <v>3304</v>
      </c>
      <c r="G41" s="9" t="s">
        <v>3206</v>
      </c>
      <c r="H41" s="37" t="s">
        <v>3207</v>
      </c>
      <c r="I41" s="34" t="s">
        <v>3196</v>
      </c>
      <c r="J41" s="35">
        <f>_MONTHS</f>
        <v>18</v>
      </c>
      <c r="K41" s="36">
        <v>3200</v>
      </c>
      <c r="L41" s="26">
        <f t="shared" si="13"/>
        <v>0</v>
      </c>
      <c r="M41" s="20">
        <f t="shared" si="14"/>
        <v>3200</v>
      </c>
      <c r="N41" s="27">
        <f t="shared" si="15"/>
        <v>57600</v>
      </c>
      <c r="O41" s="31" t="s">
        <v>3305</v>
      </c>
    </row>
    <row r="42" spans="1:15" ht="21.75" customHeight="1" x14ac:dyDescent="0.25">
      <c r="A42" s="9" t="s">
        <v>3306</v>
      </c>
      <c r="B42" s="9" t="s">
        <v>3299</v>
      </c>
      <c r="C42" s="12" t="s">
        <v>3190</v>
      </c>
      <c r="D42" s="12" t="s">
        <v>3191</v>
      </c>
      <c r="E42" s="12" t="s">
        <v>3300</v>
      </c>
      <c r="F42" s="12" t="s">
        <v>3307</v>
      </c>
      <c r="G42" s="9" t="s">
        <v>3206</v>
      </c>
      <c r="H42" s="37" t="s">
        <v>3207</v>
      </c>
      <c r="I42" s="34" t="s">
        <v>3196</v>
      </c>
      <c r="J42" s="35">
        <f>_MONTHS</f>
        <v>18</v>
      </c>
      <c r="K42" s="36">
        <v>1300</v>
      </c>
      <c r="L42" s="26">
        <f t="shared" si="13"/>
        <v>0</v>
      </c>
      <c r="M42" s="20">
        <f t="shared" si="14"/>
        <v>1300</v>
      </c>
      <c r="N42" s="27">
        <f t="shared" si="15"/>
        <v>23400</v>
      </c>
      <c r="O42" s="31" t="s">
        <v>3308</v>
      </c>
    </row>
    <row r="43" spans="1:15" ht="21.75" customHeight="1" x14ac:dyDescent="0.25">
      <c r="A43" s="9" t="s">
        <v>3309</v>
      </c>
      <c r="B43" s="9" t="s">
        <v>3299</v>
      </c>
      <c r="C43" s="12" t="s">
        <v>3190</v>
      </c>
      <c r="D43" s="12" t="s">
        <v>3191</v>
      </c>
      <c r="E43" s="12" t="s">
        <v>3300</v>
      </c>
      <c r="F43" s="12" t="s">
        <v>3310</v>
      </c>
      <c r="G43" s="9" t="s">
        <v>3206</v>
      </c>
      <c r="H43" s="37" t="s">
        <v>3207</v>
      </c>
      <c r="I43" s="34" t="s">
        <v>3196</v>
      </c>
      <c r="J43" s="35">
        <f>_MONTHS</f>
        <v>18</v>
      </c>
      <c r="K43" s="36">
        <v>1800</v>
      </c>
      <c r="L43" s="26">
        <f t="shared" si="13"/>
        <v>0</v>
      </c>
      <c r="M43" s="20">
        <f t="shared" si="14"/>
        <v>1800</v>
      </c>
      <c r="N43" s="27">
        <f t="shared" si="15"/>
        <v>32400</v>
      </c>
      <c r="O43" s="31" t="s">
        <v>3311</v>
      </c>
    </row>
    <row r="44" spans="1:15" ht="21.75" customHeight="1" x14ac:dyDescent="0.25">
      <c r="A44" s="9" t="s">
        <v>3312</v>
      </c>
      <c r="B44" s="9" t="s">
        <v>3299</v>
      </c>
      <c r="C44" s="12" t="s">
        <v>3190</v>
      </c>
      <c r="D44" s="12" t="s">
        <v>3191</v>
      </c>
      <c r="E44" s="12" t="s">
        <v>3300</v>
      </c>
      <c r="F44" s="12" t="s">
        <v>3313</v>
      </c>
      <c r="G44" s="9" t="s">
        <v>57</v>
      </c>
      <c r="H44" s="38" t="s">
        <v>3214</v>
      </c>
      <c r="I44" s="34" t="s">
        <v>3215</v>
      </c>
      <c r="J44" s="39"/>
      <c r="K44" s="36">
        <v>450</v>
      </c>
      <c r="L44" s="26">
        <f t="shared" si="13"/>
        <v>0</v>
      </c>
      <c r="M44" s="20">
        <f t="shared" si="14"/>
        <v>450</v>
      </c>
      <c r="N44" s="27">
        <f t="shared" si="15"/>
        <v>0</v>
      </c>
      <c r="O44" s="31" t="s">
        <v>3314</v>
      </c>
    </row>
    <row r="45" spans="1:15" ht="21.75" customHeight="1" x14ac:dyDescent="0.25">
      <c r="A45" s="9" t="s">
        <v>3315</v>
      </c>
      <c r="B45" s="9" t="s">
        <v>3299</v>
      </c>
      <c r="C45" s="12" t="s">
        <v>3190</v>
      </c>
      <c r="D45" s="12" t="s">
        <v>3191</v>
      </c>
      <c r="E45" s="12" t="s">
        <v>3300</v>
      </c>
      <c r="F45" s="12" t="s">
        <v>3316</v>
      </c>
      <c r="G45" s="9" t="s">
        <v>57</v>
      </c>
      <c r="H45" s="38" t="s">
        <v>3214</v>
      </c>
      <c r="I45" s="34" t="s">
        <v>3215</v>
      </c>
      <c r="J45" s="39"/>
      <c r="K45" s="36">
        <v>550</v>
      </c>
      <c r="L45" s="26">
        <f t="shared" si="13"/>
        <v>0</v>
      </c>
      <c r="M45" s="20">
        <f t="shared" si="14"/>
        <v>550</v>
      </c>
      <c r="N45" s="27">
        <f t="shared" si="15"/>
        <v>0</v>
      </c>
      <c r="O45" s="31" t="s">
        <v>3317</v>
      </c>
    </row>
    <row r="46" spans="1:15" ht="21.75" customHeight="1" x14ac:dyDescent="0.25">
      <c r="A46" s="9" t="s">
        <v>3318</v>
      </c>
      <c r="B46" s="9" t="s">
        <v>3299</v>
      </c>
      <c r="C46" s="12" t="s">
        <v>3190</v>
      </c>
      <c r="D46" s="12" t="s">
        <v>3191</v>
      </c>
      <c r="E46" s="12" t="s">
        <v>3300</v>
      </c>
      <c r="F46" s="12" t="s">
        <v>3319</v>
      </c>
      <c r="G46" s="9" t="s">
        <v>3206</v>
      </c>
      <c r="H46" s="37" t="s">
        <v>3207</v>
      </c>
      <c r="I46" s="34" t="s">
        <v>3215</v>
      </c>
      <c r="J46" s="35">
        <f>_MONTHS</f>
        <v>18</v>
      </c>
      <c r="K46" s="36">
        <v>2200</v>
      </c>
      <c r="L46" s="26">
        <f t="shared" si="13"/>
        <v>0</v>
      </c>
      <c r="M46" s="20">
        <f t="shared" si="14"/>
        <v>2200</v>
      </c>
      <c r="N46" s="27">
        <f t="shared" si="15"/>
        <v>0</v>
      </c>
      <c r="O46" s="31" t="s">
        <v>3320</v>
      </c>
    </row>
    <row r="47" spans="1:15" ht="21.75" customHeight="1" x14ac:dyDescent="0.25">
      <c r="A47" s="9" t="s">
        <v>3321</v>
      </c>
      <c r="B47" s="9" t="s">
        <v>3299</v>
      </c>
      <c r="C47" s="12" t="s">
        <v>3190</v>
      </c>
      <c r="D47" s="12" t="s">
        <v>3191</v>
      </c>
      <c r="E47" s="12" t="s">
        <v>3300</v>
      </c>
      <c r="F47" s="12" t="s">
        <v>3322</v>
      </c>
      <c r="G47" s="9" t="s">
        <v>3206</v>
      </c>
      <c r="H47" s="37" t="s">
        <v>3207</v>
      </c>
      <c r="I47" s="34" t="s">
        <v>3196</v>
      </c>
      <c r="J47" s="35">
        <f>_MONTHS</f>
        <v>18</v>
      </c>
      <c r="K47" s="36">
        <v>800</v>
      </c>
      <c r="L47" s="26">
        <f t="shared" si="13"/>
        <v>0</v>
      </c>
      <c r="M47" s="20">
        <f t="shared" si="14"/>
        <v>800</v>
      </c>
      <c r="N47" s="27">
        <f t="shared" si="15"/>
        <v>14400</v>
      </c>
      <c r="O47" s="31" t="s">
        <v>3323</v>
      </c>
    </row>
    <row r="48" spans="1:15" ht="21.75" customHeight="1" x14ac:dyDescent="0.25">
      <c r="A48" s="9" t="s">
        <v>3324</v>
      </c>
      <c r="B48" s="9" t="s">
        <v>3299</v>
      </c>
      <c r="C48" s="12" t="s">
        <v>3190</v>
      </c>
      <c r="D48" s="12" t="s">
        <v>3191</v>
      </c>
      <c r="E48" s="12" t="s">
        <v>3300</v>
      </c>
      <c r="F48" s="12" t="s">
        <v>3325</v>
      </c>
      <c r="G48" s="9" t="s">
        <v>18</v>
      </c>
      <c r="H48" s="38" t="s">
        <v>3214</v>
      </c>
      <c r="I48" s="34" t="s">
        <v>3196</v>
      </c>
      <c r="J48" s="39"/>
      <c r="K48" s="36">
        <v>7</v>
      </c>
      <c r="L48" s="26">
        <f t="shared" si="13"/>
        <v>0</v>
      </c>
      <c r="M48" s="20">
        <f t="shared" si="14"/>
        <v>7</v>
      </c>
      <c r="N48" s="27">
        <f t="shared" si="15"/>
        <v>0</v>
      </c>
      <c r="O48" s="31" t="s">
        <v>3326</v>
      </c>
    </row>
    <row r="49" spans="1:15" ht="21.75" customHeight="1" x14ac:dyDescent="0.25">
      <c r="A49" s="9" t="s">
        <v>3327</v>
      </c>
      <c r="B49" s="9" t="s">
        <v>3299</v>
      </c>
      <c r="C49" s="12" t="s">
        <v>3190</v>
      </c>
      <c r="D49" s="12" t="s">
        <v>3191</v>
      </c>
      <c r="E49" s="12" t="s">
        <v>3300</v>
      </c>
      <c r="F49" s="12" t="s">
        <v>3328</v>
      </c>
      <c r="G49" s="9" t="s">
        <v>18</v>
      </c>
      <c r="H49" s="38" t="s">
        <v>3214</v>
      </c>
      <c r="I49" s="34" t="s">
        <v>3215</v>
      </c>
      <c r="J49" s="39"/>
      <c r="K49" s="36">
        <v>1.5</v>
      </c>
      <c r="L49" s="26">
        <f t="shared" si="13"/>
        <v>0</v>
      </c>
      <c r="M49" s="20">
        <f t="shared" si="14"/>
        <v>1.5</v>
      </c>
      <c r="N49" s="27">
        <f t="shared" si="15"/>
        <v>0</v>
      </c>
      <c r="O49" s="31" t="s">
        <v>3329</v>
      </c>
    </row>
    <row r="50" spans="1:15" ht="21.75" customHeight="1" x14ac:dyDescent="0.25">
      <c r="A50" s="9" t="s">
        <v>3330</v>
      </c>
      <c r="B50" s="9" t="s">
        <v>3299</v>
      </c>
      <c r="C50" s="12" t="s">
        <v>3190</v>
      </c>
      <c r="D50" s="12" t="s">
        <v>3191</v>
      </c>
      <c r="E50" s="12" t="s">
        <v>3300</v>
      </c>
      <c r="F50" s="12" t="s">
        <v>3331</v>
      </c>
      <c r="G50" s="9" t="s">
        <v>3206</v>
      </c>
      <c r="H50" s="37" t="s">
        <v>3207</v>
      </c>
      <c r="I50" s="34" t="s">
        <v>3215</v>
      </c>
      <c r="J50" s="35">
        <f>_MONTHS</f>
        <v>18</v>
      </c>
      <c r="K50" s="36">
        <v>1500</v>
      </c>
      <c r="L50" s="26">
        <f t="shared" si="13"/>
        <v>0</v>
      </c>
      <c r="M50" s="20">
        <f t="shared" si="14"/>
        <v>1500</v>
      </c>
      <c r="N50" s="27">
        <f t="shared" si="15"/>
        <v>0</v>
      </c>
      <c r="O50" s="31" t="s">
        <v>3332</v>
      </c>
    </row>
    <row r="51" spans="1:15" ht="15" customHeight="1" x14ac:dyDescent="0.25">
      <c r="A51" s="40"/>
      <c r="B51" s="40"/>
      <c r="C51" s="40"/>
      <c r="D51" s="40"/>
      <c r="E51" s="40"/>
      <c r="F51" s="41" t="s">
        <v>3333</v>
      </c>
      <c r="G51" s="40"/>
      <c r="H51" s="40"/>
      <c r="I51" s="40"/>
      <c r="J51" s="40"/>
      <c r="K51" s="40"/>
      <c r="L51" s="40"/>
      <c r="M51" s="40"/>
      <c r="N51" s="42">
        <f>SUM(N40:N50)</f>
        <v>145800</v>
      </c>
      <c r="O51" s="40"/>
    </row>
    <row r="52" spans="1:15" ht="21.75" customHeight="1" x14ac:dyDescent="0.25">
      <c r="A52" s="9" t="s">
        <v>3334</v>
      </c>
      <c r="B52" s="9" t="s">
        <v>3335</v>
      </c>
      <c r="C52" s="12" t="s">
        <v>3190</v>
      </c>
      <c r="D52" s="12" t="s">
        <v>3191</v>
      </c>
      <c r="E52" s="12" t="s">
        <v>3336</v>
      </c>
      <c r="F52" s="12" t="s">
        <v>3337</v>
      </c>
      <c r="G52" s="9" t="s">
        <v>3206</v>
      </c>
      <c r="H52" s="37" t="s">
        <v>3207</v>
      </c>
      <c r="I52" s="34" t="s">
        <v>3196</v>
      </c>
      <c r="J52" s="35">
        <f t="shared" ref="J52:J57" si="16">_MONTHS</f>
        <v>18</v>
      </c>
      <c r="K52" s="36">
        <v>600</v>
      </c>
      <c r="L52" s="26">
        <f t="shared" ref="L52:L57" si="17">_STDPRE</f>
        <v>0</v>
      </c>
      <c r="M52" s="20">
        <f t="shared" ref="M52:M57" si="18">IFERROR(K52*(1+L52),0)</f>
        <v>600</v>
      </c>
      <c r="N52" s="27">
        <f t="shared" ref="N52:N57" si="19">IF($I52="Y",N(J52)*N(M52),0)</f>
        <v>10800</v>
      </c>
      <c r="O52" s="31" t="s">
        <v>3338</v>
      </c>
    </row>
    <row r="53" spans="1:15" ht="21.75" customHeight="1" x14ac:dyDescent="0.25">
      <c r="A53" s="9" t="s">
        <v>3339</v>
      </c>
      <c r="B53" s="9" t="s">
        <v>3335</v>
      </c>
      <c r="C53" s="12" t="s">
        <v>3190</v>
      </c>
      <c r="D53" s="12" t="s">
        <v>3191</v>
      </c>
      <c r="E53" s="12" t="s">
        <v>3336</v>
      </c>
      <c r="F53" s="12" t="s">
        <v>3340</v>
      </c>
      <c r="G53" s="9" t="s">
        <v>3206</v>
      </c>
      <c r="H53" s="37" t="s">
        <v>3207</v>
      </c>
      <c r="I53" s="34" t="s">
        <v>3196</v>
      </c>
      <c r="J53" s="35">
        <f t="shared" si="16"/>
        <v>18</v>
      </c>
      <c r="K53" s="36">
        <v>350</v>
      </c>
      <c r="L53" s="26">
        <f t="shared" si="17"/>
        <v>0</v>
      </c>
      <c r="M53" s="20">
        <f t="shared" si="18"/>
        <v>350</v>
      </c>
      <c r="N53" s="27">
        <f t="shared" si="19"/>
        <v>6300</v>
      </c>
      <c r="O53" s="31" t="s">
        <v>3341</v>
      </c>
    </row>
    <row r="54" spans="1:15" ht="21.75" customHeight="1" x14ac:dyDescent="0.25">
      <c r="A54" s="9" t="s">
        <v>3342</v>
      </c>
      <c r="B54" s="9" t="s">
        <v>3335</v>
      </c>
      <c r="C54" s="12" t="s">
        <v>3190</v>
      </c>
      <c r="D54" s="12" t="s">
        <v>3191</v>
      </c>
      <c r="E54" s="12" t="s">
        <v>3336</v>
      </c>
      <c r="F54" s="12" t="s">
        <v>3343</v>
      </c>
      <c r="G54" s="9" t="s">
        <v>3206</v>
      </c>
      <c r="H54" s="37" t="s">
        <v>3207</v>
      </c>
      <c r="I54" s="34" t="s">
        <v>3196</v>
      </c>
      <c r="J54" s="35">
        <f t="shared" si="16"/>
        <v>18</v>
      </c>
      <c r="K54" s="36">
        <v>300</v>
      </c>
      <c r="L54" s="26">
        <f t="shared" si="17"/>
        <v>0</v>
      </c>
      <c r="M54" s="20">
        <f t="shared" si="18"/>
        <v>300</v>
      </c>
      <c r="N54" s="27">
        <f t="shared" si="19"/>
        <v>5400</v>
      </c>
      <c r="O54" s="31" t="s">
        <v>3344</v>
      </c>
    </row>
    <row r="55" spans="1:15" ht="21.75" customHeight="1" x14ac:dyDescent="0.25">
      <c r="A55" s="9" t="s">
        <v>3345</v>
      </c>
      <c r="B55" s="9" t="s">
        <v>3335</v>
      </c>
      <c r="C55" s="12" t="s">
        <v>3190</v>
      </c>
      <c r="D55" s="12" t="s">
        <v>3191</v>
      </c>
      <c r="E55" s="12" t="s">
        <v>3336</v>
      </c>
      <c r="F55" s="12" t="s">
        <v>3346</v>
      </c>
      <c r="G55" s="9" t="s">
        <v>3206</v>
      </c>
      <c r="H55" s="37" t="s">
        <v>3207</v>
      </c>
      <c r="I55" s="34" t="s">
        <v>3196</v>
      </c>
      <c r="J55" s="35">
        <f t="shared" si="16"/>
        <v>18</v>
      </c>
      <c r="K55" s="36">
        <v>250</v>
      </c>
      <c r="L55" s="26">
        <f t="shared" si="17"/>
        <v>0</v>
      </c>
      <c r="M55" s="20">
        <f t="shared" si="18"/>
        <v>250</v>
      </c>
      <c r="N55" s="27">
        <f t="shared" si="19"/>
        <v>4500</v>
      </c>
      <c r="O55" s="31" t="s">
        <v>3347</v>
      </c>
    </row>
    <row r="56" spans="1:15" ht="21.75" customHeight="1" x14ac:dyDescent="0.25">
      <c r="A56" s="9" t="s">
        <v>3348</v>
      </c>
      <c r="B56" s="9" t="s">
        <v>3335</v>
      </c>
      <c r="C56" s="12" t="s">
        <v>3190</v>
      </c>
      <c r="D56" s="12" t="s">
        <v>3191</v>
      </c>
      <c r="E56" s="12" t="s">
        <v>3336</v>
      </c>
      <c r="F56" s="12" t="s">
        <v>3349</v>
      </c>
      <c r="G56" s="9" t="s">
        <v>3206</v>
      </c>
      <c r="H56" s="37" t="s">
        <v>3207</v>
      </c>
      <c r="I56" s="34" t="s">
        <v>3196</v>
      </c>
      <c r="J56" s="35">
        <f t="shared" si="16"/>
        <v>18</v>
      </c>
      <c r="K56" s="36">
        <v>300</v>
      </c>
      <c r="L56" s="26">
        <f t="shared" si="17"/>
        <v>0</v>
      </c>
      <c r="M56" s="20">
        <f t="shared" si="18"/>
        <v>300</v>
      </c>
      <c r="N56" s="27">
        <f t="shared" si="19"/>
        <v>5400</v>
      </c>
      <c r="O56" s="31" t="s">
        <v>3350</v>
      </c>
    </row>
    <row r="57" spans="1:15" ht="21.75" customHeight="1" x14ac:dyDescent="0.25">
      <c r="A57" s="9" t="s">
        <v>3351</v>
      </c>
      <c r="B57" s="9" t="s">
        <v>3335</v>
      </c>
      <c r="C57" s="12" t="s">
        <v>3190</v>
      </c>
      <c r="D57" s="12" t="s">
        <v>3191</v>
      </c>
      <c r="E57" s="12" t="s">
        <v>3336</v>
      </c>
      <c r="F57" s="12" t="s">
        <v>3352</v>
      </c>
      <c r="G57" s="9" t="s">
        <v>3206</v>
      </c>
      <c r="H57" s="37" t="s">
        <v>3207</v>
      </c>
      <c r="I57" s="34" t="s">
        <v>3196</v>
      </c>
      <c r="J57" s="35">
        <f t="shared" si="16"/>
        <v>18</v>
      </c>
      <c r="K57" s="36">
        <v>150</v>
      </c>
      <c r="L57" s="26">
        <f t="shared" si="17"/>
        <v>0</v>
      </c>
      <c r="M57" s="20">
        <f t="shared" si="18"/>
        <v>150</v>
      </c>
      <c r="N57" s="27">
        <f t="shared" si="19"/>
        <v>2700</v>
      </c>
      <c r="O57" s="31" t="s">
        <v>3353</v>
      </c>
    </row>
    <row r="58" spans="1:15" ht="15" customHeight="1" x14ac:dyDescent="0.25">
      <c r="A58" s="40"/>
      <c r="B58" s="40"/>
      <c r="C58" s="40"/>
      <c r="D58" s="40"/>
      <c r="E58" s="40"/>
      <c r="F58" s="41" t="s">
        <v>3354</v>
      </c>
      <c r="G58" s="40"/>
      <c r="H58" s="40"/>
      <c r="I58" s="40"/>
      <c r="J58" s="40"/>
      <c r="K58" s="40"/>
      <c r="L58" s="40"/>
      <c r="M58" s="40"/>
      <c r="N58" s="42">
        <f>SUM(N52:N57)</f>
        <v>35100</v>
      </c>
      <c r="O58" s="40"/>
    </row>
    <row r="59" spans="1:15" ht="21.75" customHeight="1" x14ac:dyDescent="0.25">
      <c r="A59" s="9" t="s">
        <v>3355</v>
      </c>
      <c r="B59" s="9" t="s">
        <v>3356</v>
      </c>
      <c r="C59" s="12" t="s">
        <v>3190</v>
      </c>
      <c r="D59" s="12" t="s">
        <v>3191</v>
      </c>
      <c r="E59" s="12" t="s">
        <v>3357</v>
      </c>
      <c r="F59" s="12" t="s">
        <v>3358</v>
      </c>
      <c r="G59" s="9" t="s">
        <v>3194</v>
      </c>
      <c r="H59" s="33" t="s">
        <v>3195</v>
      </c>
      <c r="I59" s="34" t="s">
        <v>3196</v>
      </c>
      <c r="J59" s="35">
        <v>1</v>
      </c>
      <c r="K59" s="36">
        <v>3500</v>
      </c>
      <c r="L59" s="26">
        <f t="shared" ref="L59:L67" si="20">_STDPRE</f>
        <v>0</v>
      </c>
      <c r="M59" s="20">
        <f t="shared" ref="M59:M67" si="21">IFERROR(K59*(1+L59),0)</f>
        <v>3500</v>
      </c>
      <c r="N59" s="27">
        <f t="shared" ref="N59:N67" si="22">IF($I59="Y",N(J59)*N(M59),0)</f>
        <v>3500</v>
      </c>
      <c r="O59" s="31" t="s">
        <v>3359</v>
      </c>
    </row>
    <row r="60" spans="1:15" ht="21.75" customHeight="1" x14ac:dyDescent="0.25">
      <c r="A60" s="9" t="s">
        <v>3360</v>
      </c>
      <c r="B60" s="9" t="s">
        <v>3356</v>
      </c>
      <c r="C60" s="12" t="s">
        <v>3190</v>
      </c>
      <c r="D60" s="12" t="s">
        <v>3191</v>
      </c>
      <c r="E60" s="12" t="s">
        <v>3357</v>
      </c>
      <c r="F60" s="12" t="s">
        <v>3361</v>
      </c>
      <c r="G60" s="9" t="s">
        <v>3206</v>
      </c>
      <c r="H60" s="37" t="s">
        <v>3207</v>
      </c>
      <c r="I60" s="34" t="s">
        <v>3196</v>
      </c>
      <c r="J60" s="35">
        <f>_MONTHS</f>
        <v>18</v>
      </c>
      <c r="K60" s="36">
        <v>800</v>
      </c>
      <c r="L60" s="26">
        <f t="shared" si="20"/>
        <v>0</v>
      </c>
      <c r="M60" s="20">
        <f t="shared" si="21"/>
        <v>800</v>
      </c>
      <c r="N60" s="27">
        <f t="shared" si="22"/>
        <v>14400</v>
      </c>
      <c r="O60" s="31" t="s">
        <v>3362</v>
      </c>
    </row>
    <row r="61" spans="1:15" ht="21.75" customHeight="1" x14ac:dyDescent="0.25">
      <c r="A61" s="9" t="s">
        <v>3363</v>
      </c>
      <c r="B61" s="9" t="s">
        <v>3356</v>
      </c>
      <c r="C61" s="12" t="s">
        <v>3190</v>
      </c>
      <c r="D61" s="12" t="s">
        <v>3191</v>
      </c>
      <c r="E61" s="12" t="s">
        <v>3357</v>
      </c>
      <c r="F61" s="12" t="s">
        <v>3364</v>
      </c>
      <c r="G61" s="9" t="s">
        <v>3194</v>
      </c>
      <c r="H61" s="33" t="s">
        <v>3195</v>
      </c>
      <c r="I61" s="34" t="s">
        <v>3196</v>
      </c>
      <c r="J61" s="35">
        <v>1</v>
      </c>
      <c r="K61" s="36">
        <v>4500</v>
      </c>
      <c r="L61" s="26">
        <f t="shared" si="20"/>
        <v>0</v>
      </c>
      <c r="M61" s="20">
        <f t="shared" si="21"/>
        <v>4500</v>
      </c>
      <c r="N61" s="27">
        <f t="shared" si="22"/>
        <v>4500</v>
      </c>
      <c r="O61" s="31" t="s">
        <v>3365</v>
      </c>
    </row>
    <row r="62" spans="1:15" ht="21.75" customHeight="1" x14ac:dyDescent="0.25">
      <c r="A62" s="9" t="s">
        <v>3366</v>
      </c>
      <c r="B62" s="9" t="s">
        <v>3356</v>
      </c>
      <c r="C62" s="12" t="s">
        <v>3190</v>
      </c>
      <c r="D62" s="12" t="s">
        <v>3191</v>
      </c>
      <c r="E62" s="12" t="s">
        <v>3357</v>
      </c>
      <c r="F62" s="12" t="s">
        <v>3367</v>
      </c>
      <c r="G62" s="9" t="s">
        <v>3206</v>
      </c>
      <c r="H62" s="37" t="s">
        <v>3207</v>
      </c>
      <c r="I62" s="34" t="s">
        <v>3196</v>
      </c>
      <c r="J62" s="35">
        <f>_MONTHS</f>
        <v>18</v>
      </c>
      <c r="K62" s="36">
        <v>300</v>
      </c>
      <c r="L62" s="26">
        <f t="shared" si="20"/>
        <v>0</v>
      </c>
      <c r="M62" s="20">
        <f t="shared" si="21"/>
        <v>300</v>
      </c>
      <c r="N62" s="27">
        <f t="shared" si="22"/>
        <v>5400</v>
      </c>
      <c r="O62" s="31" t="s">
        <v>3368</v>
      </c>
    </row>
    <row r="63" spans="1:15" ht="21.75" customHeight="1" x14ac:dyDescent="0.25">
      <c r="A63" s="9" t="s">
        <v>3369</v>
      </c>
      <c r="B63" s="9" t="s">
        <v>3356</v>
      </c>
      <c r="C63" s="12" t="s">
        <v>3190</v>
      </c>
      <c r="D63" s="12" t="s">
        <v>3191</v>
      </c>
      <c r="E63" s="12" t="s">
        <v>3357</v>
      </c>
      <c r="F63" s="12" t="s">
        <v>3370</v>
      </c>
      <c r="G63" s="9" t="s">
        <v>3206</v>
      </c>
      <c r="H63" s="37" t="s">
        <v>3207</v>
      </c>
      <c r="I63" s="34" t="s">
        <v>3215</v>
      </c>
      <c r="J63" s="35">
        <f>_MONTHS</f>
        <v>18</v>
      </c>
      <c r="K63" s="36">
        <v>900</v>
      </c>
      <c r="L63" s="26">
        <f t="shared" si="20"/>
        <v>0</v>
      </c>
      <c r="M63" s="20">
        <f t="shared" si="21"/>
        <v>900</v>
      </c>
      <c r="N63" s="27">
        <f t="shared" si="22"/>
        <v>0</v>
      </c>
      <c r="O63" s="31" t="s">
        <v>3371</v>
      </c>
    </row>
    <row r="64" spans="1:15" ht="21.75" customHeight="1" x14ac:dyDescent="0.25">
      <c r="A64" s="9" t="s">
        <v>3372</v>
      </c>
      <c r="B64" s="9" t="s">
        <v>3356</v>
      </c>
      <c r="C64" s="12" t="s">
        <v>3190</v>
      </c>
      <c r="D64" s="12" t="s">
        <v>3191</v>
      </c>
      <c r="E64" s="12" t="s">
        <v>3357</v>
      </c>
      <c r="F64" s="12" t="s">
        <v>3373</v>
      </c>
      <c r="G64" s="9" t="s">
        <v>3194</v>
      </c>
      <c r="H64" s="33" t="s">
        <v>3195</v>
      </c>
      <c r="I64" s="34" t="s">
        <v>3196</v>
      </c>
      <c r="J64" s="35">
        <v>1</v>
      </c>
      <c r="K64" s="36">
        <v>1200</v>
      </c>
      <c r="L64" s="26">
        <f t="shared" si="20"/>
        <v>0</v>
      </c>
      <c r="M64" s="20">
        <f t="shared" si="21"/>
        <v>1200</v>
      </c>
      <c r="N64" s="27">
        <f t="shared" si="22"/>
        <v>1200</v>
      </c>
      <c r="O64" s="31" t="s">
        <v>3359</v>
      </c>
    </row>
    <row r="65" spans="1:15" ht="21.75" customHeight="1" x14ac:dyDescent="0.25">
      <c r="A65" s="9" t="s">
        <v>3374</v>
      </c>
      <c r="B65" s="9" t="s">
        <v>3356</v>
      </c>
      <c r="C65" s="12" t="s">
        <v>3190</v>
      </c>
      <c r="D65" s="12" t="s">
        <v>3191</v>
      </c>
      <c r="E65" s="12" t="s">
        <v>3357</v>
      </c>
      <c r="F65" s="12" t="s">
        <v>3375</v>
      </c>
      <c r="G65" s="9" t="s">
        <v>3206</v>
      </c>
      <c r="H65" s="37" t="s">
        <v>3207</v>
      </c>
      <c r="I65" s="34" t="s">
        <v>3196</v>
      </c>
      <c r="J65" s="35">
        <f>_MONTHS</f>
        <v>18</v>
      </c>
      <c r="K65" s="36">
        <v>300</v>
      </c>
      <c r="L65" s="26">
        <f t="shared" si="20"/>
        <v>0</v>
      </c>
      <c r="M65" s="20">
        <f t="shared" si="21"/>
        <v>300</v>
      </c>
      <c r="N65" s="27">
        <f t="shared" si="22"/>
        <v>5400</v>
      </c>
      <c r="O65" s="31" t="s">
        <v>3376</v>
      </c>
    </row>
    <row r="66" spans="1:15" ht="21.75" customHeight="1" x14ac:dyDescent="0.25">
      <c r="A66" s="9" t="s">
        <v>3377</v>
      </c>
      <c r="B66" s="9" t="s">
        <v>3356</v>
      </c>
      <c r="C66" s="12" t="s">
        <v>3190</v>
      </c>
      <c r="D66" s="12" t="s">
        <v>3191</v>
      </c>
      <c r="E66" s="12" t="s">
        <v>3357</v>
      </c>
      <c r="F66" s="12" t="s">
        <v>3378</v>
      </c>
      <c r="G66" s="9" t="s">
        <v>3194</v>
      </c>
      <c r="H66" s="33" t="s">
        <v>3195</v>
      </c>
      <c r="I66" s="34" t="s">
        <v>3196</v>
      </c>
      <c r="J66" s="35">
        <v>1</v>
      </c>
      <c r="K66" s="36">
        <v>2000</v>
      </c>
      <c r="L66" s="26">
        <f t="shared" si="20"/>
        <v>0</v>
      </c>
      <c r="M66" s="20">
        <f t="shared" si="21"/>
        <v>2000</v>
      </c>
      <c r="N66" s="27">
        <f t="shared" si="22"/>
        <v>2000</v>
      </c>
      <c r="O66" s="31" t="s">
        <v>3379</v>
      </c>
    </row>
    <row r="67" spans="1:15" ht="21.75" customHeight="1" x14ac:dyDescent="0.25">
      <c r="A67" s="9" t="s">
        <v>3380</v>
      </c>
      <c r="B67" s="9" t="s">
        <v>3356</v>
      </c>
      <c r="C67" s="12" t="s">
        <v>3190</v>
      </c>
      <c r="D67" s="12" t="s">
        <v>3191</v>
      </c>
      <c r="E67" s="12" t="s">
        <v>3357</v>
      </c>
      <c r="F67" s="12" t="s">
        <v>3381</v>
      </c>
      <c r="G67" s="9" t="s">
        <v>3206</v>
      </c>
      <c r="H67" s="37" t="s">
        <v>3207</v>
      </c>
      <c r="I67" s="34" t="s">
        <v>3196</v>
      </c>
      <c r="J67" s="35">
        <f>_MONTHS</f>
        <v>18</v>
      </c>
      <c r="K67" s="36">
        <v>150</v>
      </c>
      <c r="L67" s="26">
        <f t="shared" si="20"/>
        <v>0</v>
      </c>
      <c r="M67" s="20">
        <f t="shared" si="21"/>
        <v>150</v>
      </c>
      <c r="N67" s="27">
        <f t="shared" si="22"/>
        <v>2700</v>
      </c>
      <c r="O67" s="31" t="s">
        <v>3382</v>
      </c>
    </row>
    <row r="68" spans="1:15" ht="15" customHeight="1" x14ac:dyDescent="0.25">
      <c r="A68" s="40"/>
      <c r="B68" s="40"/>
      <c r="C68" s="40"/>
      <c r="D68" s="40"/>
      <c r="E68" s="40"/>
      <c r="F68" s="41" t="s">
        <v>3383</v>
      </c>
      <c r="G68" s="40"/>
      <c r="H68" s="40"/>
      <c r="I68" s="40"/>
      <c r="J68" s="40"/>
      <c r="K68" s="40"/>
      <c r="L68" s="40"/>
      <c r="M68" s="40"/>
      <c r="N68" s="42">
        <f>SUM(N59:N67)</f>
        <v>39100</v>
      </c>
      <c r="O68" s="40"/>
    </row>
    <row r="69" spans="1:15" ht="21.75" customHeight="1" x14ac:dyDescent="0.25">
      <c r="A69" s="9" t="s">
        <v>3384</v>
      </c>
      <c r="B69" s="9" t="s">
        <v>3385</v>
      </c>
      <c r="C69" s="12" t="s">
        <v>3190</v>
      </c>
      <c r="D69" s="12" t="s">
        <v>3191</v>
      </c>
      <c r="E69" s="12" t="s">
        <v>3386</v>
      </c>
      <c r="F69" s="12" t="s">
        <v>3387</v>
      </c>
      <c r="G69" s="9" t="s">
        <v>3206</v>
      </c>
      <c r="H69" s="37" t="s">
        <v>3207</v>
      </c>
      <c r="I69" s="34" t="s">
        <v>3196</v>
      </c>
      <c r="J69" s="35">
        <f>_MONTHS</f>
        <v>18</v>
      </c>
      <c r="K69" s="36">
        <v>600</v>
      </c>
      <c r="L69" s="26">
        <f t="shared" ref="L69:L80" si="23">_STDPRE</f>
        <v>0</v>
      </c>
      <c r="M69" s="20">
        <f t="shared" ref="M69:M80" si="24">IFERROR(K69*(1+L69),0)</f>
        <v>600</v>
      </c>
      <c r="N69" s="27">
        <f t="shared" ref="N69:N80" si="25">IF($I69="Y",N(J69)*N(M69),0)</f>
        <v>10800</v>
      </c>
      <c r="O69" s="31" t="s">
        <v>3388</v>
      </c>
    </row>
    <row r="70" spans="1:15" ht="21.75" customHeight="1" x14ac:dyDescent="0.25">
      <c r="A70" s="9" t="s">
        <v>3389</v>
      </c>
      <c r="B70" s="9" t="s">
        <v>3385</v>
      </c>
      <c r="C70" s="12" t="s">
        <v>3190</v>
      </c>
      <c r="D70" s="12" t="s">
        <v>3191</v>
      </c>
      <c r="E70" s="12" t="s">
        <v>3386</v>
      </c>
      <c r="F70" s="12" t="s">
        <v>3390</v>
      </c>
      <c r="G70" s="9" t="s">
        <v>3206</v>
      </c>
      <c r="H70" s="37" t="s">
        <v>3207</v>
      </c>
      <c r="I70" s="34" t="s">
        <v>3196</v>
      </c>
      <c r="J70" s="35">
        <f>_MONTHS</f>
        <v>18</v>
      </c>
      <c r="K70" s="36">
        <v>350</v>
      </c>
      <c r="L70" s="26">
        <f t="shared" si="23"/>
        <v>0</v>
      </c>
      <c r="M70" s="20">
        <f t="shared" si="24"/>
        <v>350</v>
      </c>
      <c r="N70" s="27">
        <f t="shared" si="25"/>
        <v>6300</v>
      </c>
      <c r="O70" s="31" t="s">
        <v>3391</v>
      </c>
    </row>
    <row r="71" spans="1:15" ht="21.75" customHeight="1" x14ac:dyDescent="0.25">
      <c r="A71" s="9" t="s">
        <v>3392</v>
      </c>
      <c r="B71" s="9" t="s">
        <v>3385</v>
      </c>
      <c r="C71" s="12" t="s">
        <v>3190</v>
      </c>
      <c r="D71" s="12" t="s">
        <v>3191</v>
      </c>
      <c r="E71" s="12" t="s">
        <v>3386</v>
      </c>
      <c r="F71" s="12" t="s">
        <v>3393</v>
      </c>
      <c r="G71" s="9" t="s">
        <v>3194</v>
      </c>
      <c r="H71" s="33" t="s">
        <v>3195</v>
      </c>
      <c r="I71" s="34" t="s">
        <v>3196</v>
      </c>
      <c r="J71" s="35">
        <v>1</v>
      </c>
      <c r="K71" s="36">
        <v>2500</v>
      </c>
      <c r="L71" s="26">
        <f t="shared" si="23"/>
        <v>0</v>
      </c>
      <c r="M71" s="20">
        <f t="shared" si="24"/>
        <v>2500</v>
      </c>
      <c r="N71" s="27">
        <f t="shared" si="25"/>
        <v>2500</v>
      </c>
      <c r="O71" s="31" t="s">
        <v>3394</v>
      </c>
    </row>
    <row r="72" spans="1:15" ht="21.75" customHeight="1" x14ac:dyDescent="0.25">
      <c r="A72" s="9" t="s">
        <v>3395</v>
      </c>
      <c r="B72" s="9" t="s">
        <v>3385</v>
      </c>
      <c r="C72" s="12" t="s">
        <v>3190</v>
      </c>
      <c r="D72" s="12" t="s">
        <v>3191</v>
      </c>
      <c r="E72" s="12" t="s">
        <v>3386</v>
      </c>
      <c r="F72" s="12" t="s">
        <v>3396</v>
      </c>
      <c r="G72" s="9" t="s">
        <v>57</v>
      </c>
      <c r="H72" s="38" t="s">
        <v>3214</v>
      </c>
      <c r="I72" s="34" t="s">
        <v>3196</v>
      </c>
      <c r="J72" s="39"/>
      <c r="K72" s="36">
        <v>45</v>
      </c>
      <c r="L72" s="26">
        <f t="shared" si="23"/>
        <v>0</v>
      </c>
      <c r="M72" s="20">
        <f t="shared" si="24"/>
        <v>45</v>
      </c>
      <c r="N72" s="27">
        <f t="shared" si="25"/>
        <v>0</v>
      </c>
      <c r="O72" s="31" t="s">
        <v>3397</v>
      </c>
    </row>
    <row r="73" spans="1:15" ht="21.75" customHeight="1" x14ac:dyDescent="0.25">
      <c r="A73" s="9" t="s">
        <v>3398</v>
      </c>
      <c r="B73" s="9" t="s">
        <v>3385</v>
      </c>
      <c r="C73" s="12" t="s">
        <v>3190</v>
      </c>
      <c r="D73" s="12" t="s">
        <v>3191</v>
      </c>
      <c r="E73" s="12" t="s">
        <v>3386</v>
      </c>
      <c r="F73" s="12" t="s">
        <v>3399</v>
      </c>
      <c r="G73" s="9" t="s">
        <v>3206</v>
      </c>
      <c r="H73" s="37" t="s">
        <v>3207</v>
      </c>
      <c r="I73" s="34" t="s">
        <v>3196</v>
      </c>
      <c r="J73" s="35">
        <f>_MONTHS</f>
        <v>18</v>
      </c>
      <c r="K73" s="36">
        <v>150</v>
      </c>
      <c r="L73" s="26">
        <f t="shared" si="23"/>
        <v>0</v>
      </c>
      <c r="M73" s="20">
        <f t="shared" si="24"/>
        <v>150</v>
      </c>
      <c r="N73" s="27">
        <f t="shared" si="25"/>
        <v>2700</v>
      </c>
      <c r="O73" s="31" t="s">
        <v>3400</v>
      </c>
    </row>
    <row r="74" spans="1:15" ht="21.75" customHeight="1" x14ac:dyDescent="0.25">
      <c r="A74" s="9" t="s">
        <v>3401</v>
      </c>
      <c r="B74" s="9" t="s">
        <v>3385</v>
      </c>
      <c r="C74" s="12" t="s">
        <v>3190</v>
      </c>
      <c r="D74" s="12" t="s">
        <v>3191</v>
      </c>
      <c r="E74" s="12" t="s">
        <v>3386</v>
      </c>
      <c r="F74" s="12" t="s">
        <v>3402</v>
      </c>
      <c r="G74" s="9" t="s">
        <v>3206</v>
      </c>
      <c r="H74" s="37" t="s">
        <v>3207</v>
      </c>
      <c r="I74" s="34" t="s">
        <v>3196</v>
      </c>
      <c r="J74" s="35">
        <f>_MONTHS</f>
        <v>18</v>
      </c>
      <c r="K74" s="36">
        <v>250</v>
      </c>
      <c r="L74" s="26">
        <f t="shared" si="23"/>
        <v>0</v>
      </c>
      <c r="M74" s="20">
        <f t="shared" si="24"/>
        <v>250</v>
      </c>
      <c r="N74" s="27">
        <f t="shared" si="25"/>
        <v>4500</v>
      </c>
      <c r="O74" s="31" t="s">
        <v>3403</v>
      </c>
    </row>
    <row r="75" spans="1:15" ht="21.75" customHeight="1" x14ac:dyDescent="0.25">
      <c r="A75" s="9" t="s">
        <v>3404</v>
      </c>
      <c r="B75" s="9" t="s">
        <v>3385</v>
      </c>
      <c r="C75" s="12" t="s">
        <v>3190</v>
      </c>
      <c r="D75" s="12" t="s">
        <v>3191</v>
      </c>
      <c r="E75" s="12" t="s">
        <v>3386</v>
      </c>
      <c r="F75" s="12" t="s">
        <v>3405</v>
      </c>
      <c r="G75" s="9" t="s">
        <v>3206</v>
      </c>
      <c r="H75" s="37" t="s">
        <v>3207</v>
      </c>
      <c r="I75" s="34" t="s">
        <v>3196</v>
      </c>
      <c r="J75" s="35">
        <f>_MONTHS</f>
        <v>18</v>
      </c>
      <c r="K75" s="36">
        <v>150</v>
      </c>
      <c r="L75" s="26">
        <f t="shared" si="23"/>
        <v>0</v>
      </c>
      <c r="M75" s="20">
        <f t="shared" si="24"/>
        <v>150</v>
      </c>
      <c r="N75" s="27">
        <f t="shared" si="25"/>
        <v>2700</v>
      </c>
      <c r="O75" s="31" t="s">
        <v>3403</v>
      </c>
    </row>
    <row r="76" spans="1:15" ht="21.75" customHeight="1" x14ac:dyDescent="0.25">
      <c r="A76" s="9" t="s">
        <v>3406</v>
      </c>
      <c r="B76" s="9" t="s">
        <v>3385</v>
      </c>
      <c r="C76" s="12" t="s">
        <v>3190</v>
      </c>
      <c r="D76" s="12" t="s">
        <v>3191</v>
      </c>
      <c r="E76" s="12" t="s">
        <v>3386</v>
      </c>
      <c r="F76" s="12" t="s">
        <v>3407</v>
      </c>
      <c r="G76" s="9" t="s">
        <v>3194</v>
      </c>
      <c r="H76" s="33" t="s">
        <v>3195</v>
      </c>
      <c r="I76" s="34" t="s">
        <v>3196</v>
      </c>
      <c r="J76" s="35">
        <v>1</v>
      </c>
      <c r="K76" s="36">
        <v>2500</v>
      </c>
      <c r="L76" s="26">
        <f t="shared" si="23"/>
        <v>0</v>
      </c>
      <c r="M76" s="20">
        <f t="shared" si="24"/>
        <v>2500</v>
      </c>
      <c r="N76" s="27">
        <f t="shared" si="25"/>
        <v>2500</v>
      </c>
      <c r="O76" s="31" t="s">
        <v>3408</v>
      </c>
    </row>
    <row r="77" spans="1:15" ht="21.75" customHeight="1" x14ac:dyDescent="0.25">
      <c r="A77" s="9" t="s">
        <v>3409</v>
      </c>
      <c r="B77" s="9" t="s">
        <v>3385</v>
      </c>
      <c r="C77" s="12" t="s">
        <v>3190</v>
      </c>
      <c r="D77" s="12" t="s">
        <v>3191</v>
      </c>
      <c r="E77" s="12" t="s">
        <v>3386</v>
      </c>
      <c r="F77" s="12" t="s">
        <v>3410</v>
      </c>
      <c r="G77" s="9" t="s">
        <v>3206</v>
      </c>
      <c r="H77" s="37" t="s">
        <v>3207</v>
      </c>
      <c r="I77" s="34" t="s">
        <v>3196</v>
      </c>
      <c r="J77" s="35">
        <f>_MONTHS</f>
        <v>18</v>
      </c>
      <c r="K77" s="36">
        <v>200</v>
      </c>
      <c r="L77" s="26">
        <f t="shared" si="23"/>
        <v>0</v>
      </c>
      <c r="M77" s="20">
        <f t="shared" si="24"/>
        <v>200</v>
      </c>
      <c r="N77" s="27">
        <f t="shared" si="25"/>
        <v>3600</v>
      </c>
      <c r="O77" s="31" t="s">
        <v>3411</v>
      </c>
    </row>
    <row r="78" spans="1:15" ht="21.75" customHeight="1" x14ac:dyDescent="0.25">
      <c r="A78" s="9" t="s">
        <v>3412</v>
      </c>
      <c r="B78" s="9" t="s">
        <v>3385</v>
      </c>
      <c r="C78" s="12" t="s">
        <v>3190</v>
      </c>
      <c r="D78" s="12" t="s">
        <v>3191</v>
      </c>
      <c r="E78" s="12" t="s">
        <v>3386</v>
      </c>
      <c r="F78" s="12" t="s">
        <v>3413</v>
      </c>
      <c r="G78" s="9" t="s">
        <v>3206</v>
      </c>
      <c r="H78" s="37" t="s">
        <v>3207</v>
      </c>
      <c r="I78" s="34" t="s">
        <v>3196</v>
      </c>
      <c r="J78" s="35">
        <f>_MONTHS</f>
        <v>18</v>
      </c>
      <c r="K78" s="36">
        <v>200</v>
      </c>
      <c r="L78" s="26">
        <f t="shared" si="23"/>
        <v>0</v>
      </c>
      <c r="M78" s="20">
        <f t="shared" si="24"/>
        <v>200</v>
      </c>
      <c r="N78" s="27">
        <f t="shared" si="25"/>
        <v>3600</v>
      </c>
      <c r="O78" s="31" t="s">
        <v>3414</v>
      </c>
    </row>
    <row r="79" spans="1:15" ht="21.75" customHeight="1" x14ac:dyDescent="0.25">
      <c r="A79" s="9" t="s">
        <v>3415</v>
      </c>
      <c r="B79" s="9" t="s">
        <v>3385</v>
      </c>
      <c r="C79" s="12" t="s">
        <v>3190</v>
      </c>
      <c r="D79" s="12" t="s">
        <v>3191</v>
      </c>
      <c r="E79" s="12" t="s">
        <v>3386</v>
      </c>
      <c r="F79" s="12" t="s">
        <v>3416</v>
      </c>
      <c r="G79" s="9" t="s">
        <v>3206</v>
      </c>
      <c r="H79" s="37" t="s">
        <v>3207</v>
      </c>
      <c r="I79" s="34" t="s">
        <v>3196</v>
      </c>
      <c r="J79" s="35">
        <f>_MONTHS</f>
        <v>18</v>
      </c>
      <c r="K79" s="36">
        <v>900</v>
      </c>
      <c r="L79" s="26">
        <f t="shared" si="23"/>
        <v>0</v>
      </c>
      <c r="M79" s="20">
        <f t="shared" si="24"/>
        <v>900</v>
      </c>
      <c r="N79" s="27">
        <f t="shared" si="25"/>
        <v>16200</v>
      </c>
      <c r="O79" s="31" t="s">
        <v>3417</v>
      </c>
    </row>
    <row r="80" spans="1:15" ht="21.75" customHeight="1" x14ac:dyDescent="0.25">
      <c r="A80" s="9" t="s">
        <v>3418</v>
      </c>
      <c r="B80" s="9" t="s">
        <v>3385</v>
      </c>
      <c r="C80" s="12" t="s">
        <v>3190</v>
      </c>
      <c r="D80" s="12" t="s">
        <v>3191</v>
      </c>
      <c r="E80" s="12" t="s">
        <v>3386</v>
      </c>
      <c r="F80" s="12" t="s">
        <v>3419</v>
      </c>
      <c r="G80" s="9" t="s">
        <v>3194</v>
      </c>
      <c r="H80" s="33" t="s">
        <v>3195</v>
      </c>
      <c r="I80" s="34" t="s">
        <v>3196</v>
      </c>
      <c r="J80" s="35">
        <v>1</v>
      </c>
      <c r="K80" s="36">
        <v>4000</v>
      </c>
      <c r="L80" s="26">
        <f t="shared" si="23"/>
        <v>0</v>
      </c>
      <c r="M80" s="20">
        <f t="shared" si="24"/>
        <v>4000</v>
      </c>
      <c r="N80" s="27">
        <f t="shared" si="25"/>
        <v>4000</v>
      </c>
      <c r="O80" s="31" t="s">
        <v>3420</v>
      </c>
    </row>
    <row r="81" spans="1:15" ht="15" customHeight="1" x14ac:dyDescent="0.25">
      <c r="A81" s="40"/>
      <c r="B81" s="40"/>
      <c r="C81" s="40"/>
      <c r="D81" s="40"/>
      <c r="E81" s="40"/>
      <c r="F81" s="41" t="s">
        <v>3421</v>
      </c>
      <c r="G81" s="40"/>
      <c r="H81" s="40"/>
      <c r="I81" s="40"/>
      <c r="J81" s="40"/>
      <c r="K81" s="40"/>
      <c r="L81" s="40"/>
      <c r="M81" s="40"/>
      <c r="N81" s="42">
        <f>SUM(N69:N80)</f>
        <v>59400</v>
      </c>
      <c r="O81" s="40"/>
    </row>
    <row r="82" spans="1:15" ht="21.75" customHeight="1" x14ac:dyDescent="0.25">
      <c r="A82" s="9" t="s">
        <v>3422</v>
      </c>
      <c r="B82" s="9" t="s">
        <v>3423</v>
      </c>
      <c r="C82" s="12" t="s">
        <v>3190</v>
      </c>
      <c r="D82" s="12" t="s">
        <v>3424</v>
      </c>
      <c r="E82" s="12" t="s">
        <v>3425</v>
      </c>
      <c r="F82" s="12" t="s">
        <v>3426</v>
      </c>
      <c r="G82" s="9" t="s">
        <v>3206</v>
      </c>
      <c r="H82" s="37" t="s">
        <v>3207</v>
      </c>
      <c r="I82" s="34" t="s">
        <v>3215</v>
      </c>
      <c r="J82" s="35">
        <f>_MONTHS</f>
        <v>18</v>
      </c>
      <c r="K82" s="36">
        <v>6500</v>
      </c>
      <c r="L82" s="26">
        <f>_STDPRE</f>
        <v>0</v>
      </c>
      <c r="M82" s="20">
        <f>IFERROR(K82*(1+L82),0)</f>
        <v>6500</v>
      </c>
      <c r="N82" s="27">
        <f>IF($I82="Y",N(J82)*N(M82),0)</f>
        <v>0</v>
      </c>
      <c r="O82" s="31" t="s">
        <v>3427</v>
      </c>
    </row>
    <row r="83" spans="1:15" ht="21.75" customHeight="1" x14ac:dyDescent="0.25">
      <c r="A83" s="9" t="s">
        <v>3428</v>
      </c>
      <c r="B83" s="9" t="s">
        <v>3423</v>
      </c>
      <c r="C83" s="12" t="s">
        <v>3190</v>
      </c>
      <c r="D83" s="12" t="s">
        <v>3424</v>
      </c>
      <c r="E83" s="12" t="s">
        <v>3425</v>
      </c>
      <c r="F83" s="12" t="s">
        <v>3429</v>
      </c>
      <c r="G83" s="9" t="s">
        <v>3206</v>
      </c>
      <c r="H83" s="37" t="s">
        <v>3207</v>
      </c>
      <c r="I83" s="34" t="s">
        <v>3215</v>
      </c>
      <c r="J83" s="35">
        <f>_MONTHS</f>
        <v>18</v>
      </c>
      <c r="K83" s="36">
        <v>5000</v>
      </c>
      <c r="L83" s="26">
        <f>_STDPRE</f>
        <v>0</v>
      </c>
      <c r="M83" s="20">
        <f>IFERROR(K83*(1+L83),0)</f>
        <v>5000</v>
      </c>
      <c r="N83" s="27">
        <f>IF($I83="Y",N(J83)*N(M83),0)</f>
        <v>0</v>
      </c>
      <c r="O83" s="31" t="s">
        <v>3430</v>
      </c>
    </row>
    <row r="84" spans="1:15" ht="21.75" customHeight="1" x14ac:dyDescent="0.25">
      <c r="A84" s="9" t="s">
        <v>3431</v>
      </c>
      <c r="B84" s="9" t="s">
        <v>3423</v>
      </c>
      <c r="C84" s="12" t="s">
        <v>3190</v>
      </c>
      <c r="D84" s="12" t="s">
        <v>3424</v>
      </c>
      <c r="E84" s="12" t="s">
        <v>3425</v>
      </c>
      <c r="F84" s="12" t="s">
        <v>3432</v>
      </c>
      <c r="G84" s="9" t="s">
        <v>3206</v>
      </c>
      <c r="H84" s="37" t="s">
        <v>3207</v>
      </c>
      <c r="I84" s="34" t="s">
        <v>3215</v>
      </c>
      <c r="J84" s="35">
        <f>_MONTHS</f>
        <v>18</v>
      </c>
      <c r="K84" s="36">
        <v>4000</v>
      </c>
      <c r="L84" s="26">
        <f>_STDPRE</f>
        <v>0</v>
      </c>
      <c r="M84" s="20">
        <f>IFERROR(K84*(1+L84),0)</f>
        <v>4000</v>
      </c>
      <c r="N84" s="27">
        <f>IF($I84="Y",N(J84)*N(M84),0)</f>
        <v>0</v>
      </c>
      <c r="O84" s="31" t="s">
        <v>3430</v>
      </c>
    </row>
    <row r="85" spans="1:15" ht="21.75" customHeight="1" x14ac:dyDescent="0.25">
      <c r="A85" s="9" t="s">
        <v>3433</v>
      </c>
      <c r="B85" s="9" t="s">
        <v>3423</v>
      </c>
      <c r="C85" s="12" t="s">
        <v>3190</v>
      </c>
      <c r="D85" s="12" t="s">
        <v>3424</v>
      </c>
      <c r="E85" s="12" t="s">
        <v>3425</v>
      </c>
      <c r="F85" s="12" t="s">
        <v>3434</v>
      </c>
      <c r="G85" s="9" t="s">
        <v>57</v>
      </c>
      <c r="H85" s="38" t="s">
        <v>3214</v>
      </c>
      <c r="I85" s="34" t="s">
        <v>3215</v>
      </c>
      <c r="J85" s="39"/>
      <c r="K85" s="36">
        <v>900</v>
      </c>
      <c r="L85" s="26">
        <f>_STDPRE</f>
        <v>0</v>
      </c>
      <c r="M85" s="20">
        <f>IFERROR(K85*(1+L85),0)</f>
        <v>900</v>
      </c>
      <c r="N85" s="27">
        <f>IF($I85="Y",N(J85)*N(M85),0)</f>
        <v>0</v>
      </c>
      <c r="O85" s="31" t="s">
        <v>3435</v>
      </c>
    </row>
    <row r="86" spans="1:15" ht="21.75" customHeight="1" x14ac:dyDescent="0.25">
      <c r="A86" s="9" t="s">
        <v>3436</v>
      </c>
      <c r="B86" s="9" t="s">
        <v>3423</v>
      </c>
      <c r="C86" s="12" t="s">
        <v>3190</v>
      </c>
      <c r="D86" s="12" t="s">
        <v>3424</v>
      </c>
      <c r="E86" s="12" t="s">
        <v>3425</v>
      </c>
      <c r="F86" s="12" t="s">
        <v>3437</v>
      </c>
      <c r="G86" s="9" t="s">
        <v>3206</v>
      </c>
      <c r="H86" s="37" t="s">
        <v>3207</v>
      </c>
      <c r="I86" s="34" t="s">
        <v>3215</v>
      </c>
      <c r="J86" s="35">
        <f>_MONTHS</f>
        <v>18</v>
      </c>
      <c r="K86" s="36">
        <v>1200</v>
      </c>
      <c r="L86" s="26">
        <f>_STDPRE</f>
        <v>0</v>
      </c>
      <c r="M86" s="20">
        <f>IFERROR(K86*(1+L86),0)</f>
        <v>1200</v>
      </c>
      <c r="N86" s="27">
        <f>IF($I86="Y",N(J86)*N(M86),0)</f>
        <v>0</v>
      </c>
      <c r="O86" s="31" t="s">
        <v>3438</v>
      </c>
    </row>
    <row r="87" spans="1:15" ht="15" customHeight="1" x14ac:dyDescent="0.25">
      <c r="A87" s="40"/>
      <c r="B87" s="40"/>
      <c r="C87" s="40"/>
      <c r="D87" s="40"/>
      <c r="E87" s="40"/>
      <c r="F87" s="41" t="s">
        <v>3439</v>
      </c>
      <c r="G87" s="40"/>
      <c r="H87" s="40"/>
      <c r="I87" s="40"/>
      <c r="J87" s="40"/>
      <c r="K87" s="40"/>
      <c r="L87" s="40"/>
      <c r="M87" s="40"/>
      <c r="N87" s="42">
        <f>SUM(N82:N86)</f>
        <v>0</v>
      </c>
      <c r="O87" s="40"/>
    </row>
    <row r="88" spans="1:15" ht="21.75" customHeight="1" x14ac:dyDescent="0.25">
      <c r="A88" s="9" t="s">
        <v>3440</v>
      </c>
      <c r="B88" s="9" t="s">
        <v>3441</v>
      </c>
      <c r="C88" s="12" t="s">
        <v>3190</v>
      </c>
      <c r="D88" s="12" t="s">
        <v>3424</v>
      </c>
      <c r="E88" s="12" t="s">
        <v>3442</v>
      </c>
      <c r="F88" s="12" t="s">
        <v>3443</v>
      </c>
      <c r="G88" s="9" t="s">
        <v>3206</v>
      </c>
      <c r="H88" s="37" t="s">
        <v>3207</v>
      </c>
      <c r="I88" s="34" t="s">
        <v>3196</v>
      </c>
      <c r="J88" s="35">
        <f t="shared" ref="J88:J98" si="26">_MONTHS</f>
        <v>18</v>
      </c>
      <c r="K88" s="36">
        <v>1500</v>
      </c>
      <c r="L88" s="26">
        <f t="shared" ref="L88:L98" si="27">_STDPRE</f>
        <v>0</v>
      </c>
      <c r="M88" s="20">
        <f t="shared" ref="M88:M98" si="28">IFERROR(K88*(1+L88),0)</f>
        <v>1500</v>
      </c>
      <c r="N88" s="27">
        <f t="shared" ref="N88:N98" si="29">IF($I88="Y",N(J88)*N(M88),0)</f>
        <v>27000</v>
      </c>
      <c r="O88" s="31" t="s">
        <v>3444</v>
      </c>
    </row>
    <row r="89" spans="1:15" ht="21.75" customHeight="1" x14ac:dyDescent="0.25">
      <c r="A89" s="9" t="s">
        <v>3445</v>
      </c>
      <c r="B89" s="9" t="s">
        <v>3441</v>
      </c>
      <c r="C89" s="12" t="s">
        <v>3190</v>
      </c>
      <c r="D89" s="12" t="s">
        <v>3424</v>
      </c>
      <c r="E89" s="12" t="s">
        <v>3442</v>
      </c>
      <c r="F89" s="12" t="s">
        <v>3446</v>
      </c>
      <c r="G89" s="9" t="s">
        <v>3206</v>
      </c>
      <c r="H89" s="37" t="s">
        <v>3207</v>
      </c>
      <c r="I89" s="34" t="s">
        <v>3196</v>
      </c>
      <c r="J89" s="35">
        <f t="shared" si="26"/>
        <v>18</v>
      </c>
      <c r="K89" s="36">
        <v>1200</v>
      </c>
      <c r="L89" s="26">
        <f t="shared" si="27"/>
        <v>0</v>
      </c>
      <c r="M89" s="20">
        <f t="shared" si="28"/>
        <v>1200</v>
      </c>
      <c r="N89" s="27">
        <f t="shared" si="29"/>
        <v>21600</v>
      </c>
      <c r="O89" s="31" t="s">
        <v>3444</v>
      </c>
    </row>
    <row r="90" spans="1:15" ht="21.75" customHeight="1" x14ac:dyDescent="0.25">
      <c r="A90" s="9" t="s">
        <v>3447</v>
      </c>
      <c r="B90" s="9" t="s">
        <v>3441</v>
      </c>
      <c r="C90" s="12" t="s">
        <v>3190</v>
      </c>
      <c r="D90" s="12" t="s">
        <v>3424</v>
      </c>
      <c r="E90" s="12" t="s">
        <v>3442</v>
      </c>
      <c r="F90" s="12" t="s">
        <v>3448</v>
      </c>
      <c r="G90" s="9" t="s">
        <v>3206</v>
      </c>
      <c r="H90" s="37" t="s">
        <v>3207</v>
      </c>
      <c r="I90" s="34" t="s">
        <v>3196</v>
      </c>
      <c r="J90" s="35">
        <f t="shared" si="26"/>
        <v>18</v>
      </c>
      <c r="K90" s="36">
        <v>1000</v>
      </c>
      <c r="L90" s="26">
        <f t="shared" si="27"/>
        <v>0</v>
      </c>
      <c r="M90" s="20">
        <f t="shared" si="28"/>
        <v>1000</v>
      </c>
      <c r="N90" s="27">
        <f t="shared" si="29"/>
        <v>18000</v>
      </c>
      <c r="O90" s="31" t="s">
        <v>3444</v>
      </c>
    </row>
    <row r="91" spans="1:15" ht="21.75" customHeight="1" x14ac:dyDescent="0.25">
      <c r="A91" s="9" t="s">
        <v>3449</v>
      </c>
      <c r="B91" s="9" t="s">
        <v>3441</v>
      </c>
      <c r="C91" s="12" t="s">
        <v>3190</v>
      </c>
      <c r="D91" s="12" t="s">
        <v>3424</v>
      </c>
      <c r="E91" s="12" t="s">
        <v>3442</v>
      </c>
      <c r="F91" s="12" t="s">
        <v>3450</v>
      </c>
      <c r="G91" s="9" t="s">
        <v>3206</v>
      </c>
      <c r="H91" s="37" t="s">
        <v>3207</v>
      </c>
      <c r="I91" s="34" t="s">
        <v>3196</v>
      </c>
      <c r="J91" s="35">
        <f t="shared" si="26"/>
        <v>18</v>
      </c>
      <c r="K91" s="36">
        <v>700</v>
      </c>
      <c r="L91" s="26">
        <f t="shared" si="27"/>
        <v>0</v>
      </c>
      <c r="M91" s="20">
        <f t="shared" si="28"/>
        <v>700</v>
      </c>
      <c r="N91" s="27">
        <f t="shared" si="29"/>
        <v>12600</v>
      </c>
      <c r="O91" s="31" t="s">
        <v>3444</v>
      </c>
    </row>
    <row r="92" spans="1:15" ht="21.75" customHeight="1" x14ac:dyDescent="0.25">
      <c r="A92" s="9" t="s">
        <v>3451</v>
      </c>
      <c r="B92" s="9" t="s">
        <v>3441</v>
      </c>
      <c r="C92" s="12" t="s">
        <v>3190</v>
      </c>
      <c r="D92" s="12" t="s">
        <v>3424</v>
      </c>
      <c r="E92" s="12" t="s">
        <v>3442</v>
      </c>
      <c r="F92" s="12" t="s">
        <v>3452</v>
      </c>
      <c r="G92" s="9" t="s">
        <v>3206</v>
      </c>
      <c r="H92" s="37" t="s">
        <v>3207</v>
      </c>
      <c r="I92" s="34" t="s">
        <v>3196</v>
      </c>
      <c r="J92" s="35">
        <f t="shared" si="26"/>
        <v>18</v>
      </c>
      <c r="K92" s="36">
        <v>600</v>
      </c>
      <c r="L92" s="26">
        <f t="shared" si="27"/>
        <v>0</v>
      </c>
      <c r="M92" s="20">
        <f t="shared" si="28"/>
        <v>600</v>
      </c>
      <c r="N92" s="27">
        <f t="shared" si="29"/>
        <v>10800</v>
      </c>
      <c r="O92" s="31" t="s">
        <v>3444</v>
      </c>
    </row>
    <row r="93" spans="1:15" ht="21.75" customHeight="1" x14ac:dyDescent="0.25">
      <c r="A93" s="9" t="s">
        <v>3453</v>
      </c>
      <c r="B93" s="9" t="s">
        <v>3441</v>
      </c>
      <c r="C93" s="12" t="s">
        <v>3190</v>
      </c>
      <c r="D93" s="12" t="s">
        <v>3424</v>
      </c>
      <c r="E93" s="12" t="s">
        <v>3442</v>
      </c>
      <c r="F93" s="12" t="s">
        <v>3454</v>
      </c>
      <c r="G93" s="9" t="s">
        <v>3206</v>
      </c>
      <c r="H93" s="37" t="s">
        <v>3207</v>
      </c>
      <c r="I93" s="34" t="s">
        <v>3196</v>
      </c>
      <c r="J93" s="35">
        <f t="shared" si="26"/>
        <v>18</v>
      </c>
      <c r="K93" s="36">
        <v>800</v>
      </c>
      <c r="L93" s="26">
        <f t="shared" si="27"/>
        <v>0</v>
      </c>
      <c r="M93" s="20">
        <f t="shared" si="28"/>
        <v>800</v>
      </c>
      <c r="N93" s="27">
        <f t="shared" si="29"/>
        <v>14400</v>
      </c>
      <c r="O93" s="31" t="s">
        <v>3444</v>
      </c>
    </row>
    <row r="94" spans="1:15" ht="21.75" customHeight="1" x14ac:dyDescent="0.25">
      <c r="A94" s="9" t="s">
        <v>3455</v>
      </c>
      <c r="B94" s="9" t="s">
        <v>3441</v>
      </c>
      <c r="C94" s="12" t="s">
        <v>3190</v>
      </c>
      <c r="D94" s="12" t="s">
        <v>3424</v>
      </c>
      <c r="E94" s="12" t="s">
        <v>3442</v>
      </c>
      <c r="F94" s="12" t="s">
        <v>3456</v>
      </c>
      <c r="G94" s="9" t="s">
        <v>3206</v>
      </c>
      <c r="H94" s="37" t="s">
        <v>3207</v>
      </c>
      <c r="I94" s="34" t="s">
        <v>3196</v>
      </c>
      <c r="J94" s="35">
        <f t="shared" si="26"/>
        <v>18</v>
      </c>
      <c r="K94" s="36">
        <v>600</v>
      </c>
      <c r="L94" s="26">
        <f t="shared" si="27"/>
        <v>0</v>
      </c>
      <c r="M94" s="20">
        <f t="shared" si="28"/>
        <v>600</v>
      </c>
      <c r="N94" s="27">
        <f t="shared" si="29"/>
        <v>10800</v>
      </c>
      <c r="O94" s="31" t="s">
        <v>3457</v>
      </c>
    </row>
    <row r="95" spans="1:15" ht="21.75" customHeight="1" x14ac:dyDescent="0.25">
      <c r="A95" s="9" t="s">
        <v>3458</v>
      </c>
      <c r="B95" s="9" t="s">
        <v>3441</v>
      </c>
      <c r="C95" s="12" t="s">
        <v>3190</v>
      </c>
      <c r="D95" s="12" t="s">
        <v>3424</v>
      </c>
      <c r="E95" s="12" t="s">
        <v>3442</v>
      </c>
      <c r="F95" s="12" t="s">
        <v>3459</v>
      </c>
      <c r="G95" s="9" t="s">
        <v>3206</v>
      </c>
      <c r="H95" s="37" t="s">
        <v>3207</v>
      </c>
      <c r="I95" s="34" t="s">
        <v>3196</v>
      </c>
      <c r="J95" s="35">
        <f t="shared" si="26"/>
        <v>18</v>
      </c>
      <c r="K95" s="36">
        <v>400</v>
      </c>
      <c r="L95" s="26">
        <f t="shared" si="27"/>
        <v>0</v>
      </c>
      <c r="M95" s="20">
        <f t="shared" si="28"/>
        <v>400</v>
      </c>
      <c r="N95" s="27">
        <f t="shared" si="29"/>
        <v>7200</v>
      </c>
      <c r="O95" s="31" t="s">
        <v>3444</v>
      </c>
    </row>
    <row r="96" spans="1:15" ht="21.75" customHeight="1" x14ac:dyDescent="0.25">
      <c r="A96" s="9" t="s">
        <v>3460</v>
      </c>
      <c r="B96" s="9" t="s">
        <v>3441</v>
      </c>
      <c r="C96" s="12" t="s">
        <v>3190</v>
      </c>
      <c r="D96" s="12" t="s">
        <v>3424</v>
      </c>
      <c r="E96" s="12" t="s">
        <v>3442</v>
      </c>
      <c r="F96" s="12" t="s">
        <v>3461</v>
      </c>
      <c r="G96" s="9" t="s">
        <v>3206</v>
      </c>
      <c r="H96" s="37" t="s">
        <v>3207</v>
      </c>
      <c r="I96" s="34" t="s">
        <v>3196</v>
      </c>
      <c r="J96" s="35">
        <f t="shared" si="26"/>
        <v>18</v>
      </c>
      <c r="K96" s="36">
        <v>400</v>
      </c>
      <c r="L96" s="26">
        <f t="shared" si="27"/>
        <v>0</v>
      </c>
      <c r="M96" s="20">
        <f t="shared" si="28"/>
        <v>400</v>
      </c>
      <c r="N96" s="27">
        <f t="shared" si="29"/>
        <v>7200</v>
      </c>
      <c r="O96" s="31" t="s">
        <v>3462</v>
      </c>
    </row>
    <row r="97" spans="1:15" ht="21.75" customHeight="1" x14ac:dyDescent="0.25">
      <c r="A97" s="9" t="s">
        <v>3463</v>
      </c>
      <c r="B97" s="9" t="s">
        <v>3441</v>
      </c>
      <c r="C97" s="12" t="s">
        <v>3190</v>
      </c>
      <c r="D97" s="12" t="s">
        <v>3424</v>
      </c>
      <c r="E97" s="12" t="s">
        <v>3442</v>
      </c>
      <c r="F97" s="12" t="s">
        <v>3464</v>
      </c>
      <c r="G97" s="9" t="s">
        <v>3206</v>
      </c>
      <c r="H97" s="37" t="s">
        <v>3207</v>
      </c>
      <c r="I97" s="34" t="s">
        <v>3196</v>
      </c>
      <c r="J97" s="35">
        <f t="shared" si="26"/>
        <v>18</v>
      </c>
      <c r="K97" s="36">
        <v>450</v>
      </c>
      <c r="L97" s="26">
        <f t="shared" si="27"/>
        <v>0</v>
      </c>
      <c r="M97" s="20">
        <f t="shared" si="28"/>
        <v>450</v>
      </c>
      <c r="N97" s="27">
        <f t="shared" si="29"/>
        <v>8100</v>
      </c>
      <c r="O97" s="31" t="s">
        <v>3465</v>
      </c>
    </row>
    <row r="98" spans="1:15" ht="21.75" customHeight="1" x14ac:dyDescent="0.25">
      <c r="A98" s="9" t="s">
        <v>3466</v>
      </c>
      <c r="B98" s="9" t="s">
        <v>3441</v>
      </c>
      <c r="C98" s="12" t="s">
        <v>3190</v>
      </c>
      <c r="D98" s="12" t="s">
        <v>3424</v>
      </c>
      <c r="E98" s="12" t="s">
        <v>3442</v>
      </c>
      <c r="F98" s="12" t="s">
        <v>3467</v>
      </c>
      <c r="G98" s="9" t="s">
        <v>3206</v>
      </c>
      <c r="H98" s="37" t="s">
        <v>3207</v>
      </c>
      <c r="I98" s="34" t="s">
        <v>3196</v>
      </c>
      <c r="J98" s="35">
        <f t="shared" si="26"/>
        <v>18</v>
      </c>
      <c r="K98" s="36">
        <v>300</v>
      </c>
      <c r="L98" s="26">
        <f t="shared" si="27"/>
        <v>0</v>
      </c>
      <c r="M98" s="20">
        <f t="shared" si="28"/>
        <v>300</v>
      </c>
      <c r="N98" s="27">
        <f t="shared" si="29"/>
        <v>5400</v>
      </c>
      <c r="O98" s="31" t="s">
        <v>3468</v>
      </c>
    </row>
    <row r="99" spans="1:15" ht="15" customHeight="1" x14ac:dyDescent="0.25">
      <c r="A99" s="40"/>
      <c r="B99" s="40"/>
      <c r="C99" s="40"/>
      <c r="D99" s="40"/>
      <c r="E99" s="40"/>
      <c r="F99" s="41" t="s">
        <v>3469</v>
      </c>
      <c r="G99" s="40"/>
      <c r="H99" s="40"/>
      <c r="I99" s="40"/>
      <c r="J99" s="40"/>
      <c r="K99" s="40"/>
      <c r="L99" s="40"/>
      <c r="M99" s="40"/>
      <c r="N99" s="42">
        <f>SUM(N88:N98)</f>
        <v>143100</v>
      </c>
      <c r="O99" s="40"/>
    </row>
    <row r="100" spans="1:15" ht="21.75" customHeight="1" x14ac:dyDescent="0.25">
      <c r="A100" s="9" t="s">
        <v>3470</v>
      </c>
      <c r="B100" s="9" t="s">
        <v>3471</v>
      </c>
      <c r="C100" s="12" t="s">
        <v>3190</v>
      </c>
      <c r="D100" s="12" t="s">
        <v>3424</v>
      </c>
      <c r="E100" s="12" t="s">
        <v>3472</v>
      </c>
      <c r="F100" s="12" t="s">
        <v>3473</v>
      </c>
      <c r="G100" s="9" t="s">
        <v>3206</v>
      </c>
      <c r="H100" s="37" t="s">
        <v>3207</v>
      </c>
      <c r="I100" s="34" t="s">
        <v>3215</v>
      </c>
      <c r="J100" s="35">
        <f>_MONTHS</f>
        <v>18</v>
      </c>
      <c r="K100" s="36">
        <v>400</v>
      </c>
      <c r="L100" s="26">
        <f>_STDPRE</f>
        <v>0</v>
      </c>
      <c r="M100" s="20">
        <f>IFERROR(K100*(1+L100),0)</f>
        <v>400</v>
      </c>
      <c r="N100" s="27">
        <f>IF($I100="Y",N(J100)*N(M100),0)</f>
        <v>0</v>
      </c>
      <c r="O100" s="31" t="s">
        <v>3474</v>
      </c>
    </row>
    <row r="101" spans="1:15" ht="21.75" customHeight="1" x14ac:dyDescent="0.25">
      <c r="A101" s="9" t="s">
        <v>3475</v>
      </c>
      <c r="B101" s="9" t="s">
        <v>3471</v>
      </c>
      <c r="C101" s="12" t="s">
        <v>3190</v>
      </c>
      <c r="D101" s="12" t="s">
        <v>3424</v>
      </c>
      <c r="E101" s="12" t="s">
        <v>3472</v>
      </c>
      <c r="F101" s="12" t="s">
        <v>3476</v>
      </c>
      <c r="G101" s="9" t="s">
        <v>3206</v>
      </c>
      <c r="H101" s="37" t="s">
        <v>3207</v>
      </c>
      <c r="I101" s="34" t="s">
        <v>3215</v>
      </c>
      <c r="J101" s="35">
        <f>_MONTHS</f>
        <v>18</v>
      </c>
      <c r="K101" s="36">
        <v>700</v>
      </c>
      <c r="L101" s="26">
        <f>_STDPRE</f>
        <v>0</v>
      </c>
      <c r="M101" s="20">
        <f>IFERROR(K101*(1+L101),0)</f>
        <v>700</v>
      </c>
      <c r="N101" s="27">
        <f>IF($I101="Y",N(J101)*N(M101),0)</f>
        <v>0</v>
      </c>
      <c r="O101" s="31" t="s">
        <v>3477</v>
      </c>
    </row>
    <row r="102" spans="1:15" ht="21.75" customHeight="1" x14ac:dyDescent="0.25">
      <c r="A102" s="9" t="s">
        <v>3478</v>
      </c>
      <c r="B102" s="9" t="s">
        <v>3471</v>
      </c>
      <c r="C102" s="12" t="s">
        <v>3190</v>
      </c>
      <c r="D102" s="12" t="s">
        <v>3424</v>
      </c>
      <c r="E102" s="12" t="s">
        <v>3472</v>
      </c>
      <c r="F102" s="12" t="s">
        <v>3479</v>
      </c>
      <c r="G102" s="9" t="s">
        <v>57</v>
      </c>
      <c r="H102" s="38" t="s">
        <v>3214</v>
      </c>
      <c r="I102" s="34" t="s">
        <v>3215</v>
      </c>
      <c r="J102" s="39"/>
      <c r="K102" s="36">
        <v>800</v>
      </c>
      <c r="L102" s="26">
        <f>_STDPRE</f>
        <v>0</v>
      </c>
      <c r="M102" s="20">
        <f>IFERROR(K102*(1+L102),0)</f>
        <v>800</v>
      </c>
      <c r="N102" s="27">
        <f>IF($I102="Y",N(J102)*N(M102),0)</f>
        <v>0</v>
      </c>
      <c r="O102" s="31" t="s">
        <v>3480</v>
      </c>
    </row>
    <row r="103" spans="1:15" ht="15" customHeight="1" x14ac:dyDescent="0.25">
      <c r="A103" s="40"/>
      <c r="B103" s="40"/>
      <c r="C103" s="40"/>
      <c r="D103" s="40"/>
      <c r="E103" s="40"/>
      <c r="F103" s="41" t="s">
        <v>3481</v>
      </c>
      <c r="G103" s="40"/>
      <c r="H103" s="40"/>
      <c r="I103" s="40"/>
      <c r="J103" s="40"/>
      <c r="K103" s="40"/>
      <c r="L103" s="40"/>
      <c r="M103" s="40"/>
      <c r="N103" s="42">
        <f>SUM(N100:N102)</f>
        <v>0</v>
      </c>
      <c r="O103" s="40"/>
    </row>
    <row r="104" spans="1:15" ht="21.75" customHeight="1" x14ac:dyDescent="0.25">
      <c r="A104" s="9" t="s">
        <v>3482</v>
      </c>
      <c r="B104" s="9" t="s">
        <v>3483</v>
      </c>
      <c r="C104" s="12" t="s">
        <v>3190</v>
      </c>
      <c r="D104" s="12" t="s">
        <v>3424</v>
      </c>
      <c r="E104" s="12" t="s">
        <v>3484</v>
      </c>
      <c r="F104" s="12" t="s">
        <v>3485</v>
      </c>
      <c r="G104" s="9" t="s">
        <v>3206</v>
      </c>
      <c r="H104" s="37" t="s">
        <v>3207</v>
      </c>
      <c r="I104" s="34" t="s">
        <v>3196</v>
      </c>
      <c r="J104" s="35">
        <f>_MONTHS</f>
        <v>18</v>
      </c>
      <c r="K104" s="36">
        <v>800</v>
      </c>
      <c r="L104" s="26">
        <f>_STDPRE</f>
        <v>0</v>
      </c>
      <c r="M104" s="20">
        <f>IFERROR(K104*(1+L104),0)</f>
        <v>800</v>
      </c>
      <c r="N104" s="27">
        <f>IF($I104="Y",N(J104)*N(M104),0)</f>
        <v>14400</v>
      </c>
      <c r="O104" s="31" t="s">
        <v>3486</v>
      </c>
    </row>
    <row r="105" spans="1:15" ht="21.75" customHeight="1" x14ac:dyDescent="0.25">
      <c r="A105" s="9" t="s">
        <v>3487</v>
      </c>
      <c r="B105" s="9" t="s">
        <v>3483</v>
      </c>
      <c r="C105" s="12" t="s">
        <v>3190</v>
      </c>
      <c r="D105" s="12" t="s">
        <v>3424</v>
      </c>
      <c r="E105" s="12" t="s">
        <v>3484</v>
      </c>
      <c r="F105" s="12" t="s">
        <v>3488</v>
      </c>
      <c r="G105" s="9" t="s">
        <v>3206</v>
      </c>
      <c r="H105" s="37" t="s">
        <v>3207</v>
      </c>
      <c r="I105" s="34" t="s">
        <v>3196</v>
      </c>
      <c r="J105" s="35">
        <f>_MONTHS</f>
        <v>18</v>
      </c>
      <c r="K105" s="36">
        <v>500</v>
      </c>
      <c r="L105" s="26">
        <f>_STDPRE</f>
        <v>0</v>
      </c>
      <c r="M105" s="20">
        <f>IFERROR(K105*(1+L105),0)</f>
        <v>500</v>
      </c>
      <c r="N105" s="27">
        <f>IF($I105="Y",N(J105)*N(M105),0)</f>
        <v>9000</v>
      </c>
      <c r="O105" s="31" t="s">
        <v>3489</v>
      </c>
    </row>
    <row r="106" spans="1:15" ht="21.75" customHeight="1" x14ac:dyDescent="0.25">
      <c r="A106" s="9" t="s">
        <v>3490</v>
      </c>
      <c r="B106" s="9" t="s">
        <v>3483</v>
      </c>
      <c r="C106" s="12" t="s">
        <v>3190</v>
      </c>
      <c r="D106" s="12" t="s">
        <v>3424</v>
      </c>
      <c r="E106" s="12" t="s">
        <v>3484</v>
      </c>
      <c r="F106" s="12" t="s">
        <v>3491</v>
      </c>
      <c r="G106" s="9" t="s">
        <v>3206</v>
      </c>
      <c r="H106" s="37" t="s">
        <v>3207</v>
      </c>
      <c r="I106" s="34" t="s">
        <v>3196</v>
      </c>
      <c r="J106" s="35">
        <f>_MONTHS</f>
        <v>18</v>
      </c>
      <c r="K106" s="36">
        <v>600</v>
      </c>
      <c r="L106" s="26">
        <f>_STDPRE</f>
        <v>0</v>
      </c>
      <c r="M106" s="20">
        <f>IFERROR(K106*(1+L106),0)</f>
        <v>600</v>
      </c>
      <c r="N106" s="27">
        <f>IF($I106="Y",N(J106)*N(M106),0)</f>
        <v>10800</v>
      </c>
      <c r="O106" s="31" t="s">
        <v>3492</v>
      </c>
    </row>
    <row r="107" spans="1:15" ht="21.75" customHeight="1" x14ac:dyDescent="0.25">
      <c r="A107" s="9" t="s">
        <v>3493</v>
      </c>
      <c r="B107" s="9" t="s">
        <v>3483</v>
      </c>
      <c r="C107" s="12" t="s">
        <v>3190</v>
      </c>
      <c r="D107" s="12" t="s">
        <v>3424</v>
      </c>
      <c r="E107" s="12" t="s">
        <v>3484</v>
      </c>
      <c r="F107" s="12" t="s">
        <v>3494</v>
      </c>
      <c r="G107" s="9" t="s">
        <v>3206</v>
      </c>
      <c r="H107" s="37" t="s">
        <v>3207</v>
      </c>
      <c r="I107" s="34" t="s">
        <v>3196</v>
      </c>
      <c r="J107" s="35">
        <f>_MONTHS</f>
        <v>18</v>
      </c>
      <c r="K107" s="36">
        <v>300</v>
      </c>
      <c r="L107" s="26">
        <f>_STDPRE</f>
        <v>0</v>
      </c>
      <c r="M107" s="20">
        <f>IFERROR(K107*(1+L107),0)</f>
        <v>300</v>
      </c>
      <c r="N107" s="27">
        <f>IF($I107="Y",N(J107)*N(M107),0)</f>
        <v>5400</v>
      </c>
      <c r="O107" s="31" t="s">
        <v>3495</v>
      </c>
    </row>
    <row r="108" spans="1:15" ht="21.75" customHeight="1" x14ac:dyDescent="0.25">
      <c r="A108" s="9" t="s">
        <v>3496</v>
      </c>
      <c r="B108" s="9" t="s">
        <v>3483</v>
      </c>
      <c r="C108" s="12" t="s">
        <v>3190</v>
      </c>
      <c r="D108" s="12" t="s">
        <v>3424</v>
      </c>
      <c r="E108" s="12" t="s">
        <v>3484</v>
      </c>
      <c r="F108" s="12" t="s">
        <v>3497</v>
      </c>
      <c r="G108" s="9" t="s">
        <v>3194</v>
      </c>
      <c r="H108" s="33" t="s">
        <v>3195</v>
      </c>
      <c r="I108" s="34" t="s">
        <v>3196</v>
      </c>
      <c r="J108" s="35">
        <v>1</v>
      </c>
      <c r="K108" s="36">
        <v>1200</v>
      </c>
      <c r="L108" s="26">
        <f>_STDPRE</f>
        <v>0</v>
      </c>
      <c r="M108" s="20">
        <f>IFERROR(K108*(1+L108),0)</f>
        <v>1200</v>
      </c>
      <c r="N108" s="27">
        <f>IF($I108="Y",N(J108)*N(M108),0)</f>
        <v>1200</v>
      </c>
      <c r="O108" s="31" t="s">
        <v>3498</v>
      </c>
    </row>
    <row r="109" spans="1:15" ht="15" customHeight="1" x14ac:dyDescent="0.25">
      <c r="A109" s="40"/>
      <c r="B109" s="40"/>
      <c r="C109" s="40"/>
      <c r="D109" s="40"/>
      <c r="E109" s="40"/>
      <c r="F109" s="41" t="s">
        <v>3499</v>
      </c>
      <c r="G109" s="40"/>
      <c r="H109" s="40"/>
      <c r="I109" s="40"/>
      <c r="J109" s="40"/>
      <c r="K109" s="40"/>
      <c r="L109" s="40"/>
      <c r="M109" s="40"/>
      <c r="N109" s="42">
        <f>SUM(N104:N108)</f>
        <v>40800</v>
      </c>
      <c r="O109" s="40"/>
    </row>
    <row r="110" spans="1:15" ht="21.75" customHeight="1" x14ac:dyDescent="0.25">
      <c r="A110" s="9" t="s">
        <v>3500</v>
      </c>
      <c r="B110" s="9" t="s">
        <v>3501</v>
      </c>
      <c r="C110" s="12" t="s">
        <v>3190</v>
      </c>
      <c r="D110" s="12" t="s">
        <v>3424</v>
      </c>
      <c r="E110" s="12" t="s">
        <v>3502</v>
      </c>
      <c r="F110" s="12" t="s">
        <v>3503</v>
      </c>
      <c r="G110" s="9" t="s">
        <v>3206</v>
      </c>
      <c r="H110" s="37" t="s">
        <v>3207</v>
      </c>
      <c r="I110" s="34" t="s">
        <v>3196</v>
      </c>
      <c r="J110" s="35">
        <f>_MONTHS</f>
        <v>18</v>
      </c>
      <c r="K110" s="36">
        <v>200</v>
      </c>
      <c r="L110" s="26">
        <f>_STDPRE</f>
        <v>0</v>
      </c>
      <c r="M110" s="20">
        <f>IFERROR(K110*(1+L110),0)</f>
        <v>200</v>
      </c>
      <c r="N110" s="27">
        <f>IF($I110="Y",N(J110)*N(M110),0)</f>
        <v>3600</v>
      </c>
      <c r="O110" s="31" t="s">
        <v>3504</v>
      </c>
    </row>
    <row r="111" spans="1:15" ht="21.75" customHeight="1" x14ac:dyDescent="0.25">
      <c r="A111" s="9" t="s">
        <v>3505</v>
      </c>
      <c r="B111" s="9" t="s">
        <v>3501</v>
      </c>
      <c r="C111" s="12" t="s">
        <v>3190</v>
      </c>
      <c r="D111" s="12" t="s">
        <v>3424</v>
      </c>
      <c r="E111" s="12" t="s">
        <v>3502</v>
      </c>
      <c r="F111" s="12" t="s">
        <v>3506</v>
      </c>
      <c r="G111" s="9" t="s">
        <v>3194</v>
      </c>
      <c r="H111" s="33" t="s">
        <v>3195</v>
      </c>
      <c r="I111" s="34" t="s">
        <v>3196</v>
      </c>
      <c r="J111" s="35">
        <v>1</v>
      </c>
      <c r="K111" s="36">
        <v>3500</v>
      </c>
      <c r="L111" s="26">
        <f>_STDPRE</f>
        <v>0</v>
      </c>
      <c r="M111" s="20">
        <f>IFERROR(K111*(1+L111),0)</f>
        <v>3500</v>
      </c>
      <c r="N111" s="27">
        <f>IF($I111="Y",N(J111)*N(M111),0)</f>
        <v>3500</v>
      </c>
      <c r="O111" s="31" t="s">
        <v>3507</v>
      </c>
    </row>
    <row r="112" spans="1:15" ht="21.75" customHeight="1" x14ac:dyDescent="0.25">
      <c r="A112" s="9" t="s">
        <v>3508</v>
      </c>
      <c r="B112" s="9" t="s">
        <v>3501</v>
      </c>
      <c r="C112" s="12" t="s">
        <v>3190</v>
      </c>
      <c r="D112" s="12" t="s">
        <v>3424</v>
      </c>
      <c r="E112" s="12" t="s">
        <v>3502</v>
      </c>
      <c r="F112" s="12" t="s">
        <v>3509</v>
      </c>
      <c r="G112" s="9" t="s">
        <v>3206</v>
      </c>
      <c r="H112" s="37" t="s">
        <v>3207</v>
      </c>
      <c r="I112" s="34" t="s">
        <v>3196</v>
      </c>
      <c r="J112" s="35">
        <f>_MONTHS</f>
        <v>18</v>
      </c>
      <c r="K112" s="36">
        <v>180</v>
      </c>
      <c r="L112" s="26">
        <f>_STDPRE</f>
        <v>0</v>
      </c>
      <c r="M112" s="20">
        <f>IFERROR(K112*(1+L112),0)</f>
        <v>180</v>
      </c>
      <c r="N112" s="27">
        <f>IF($I112="Y",N(J112)*N(M112),0)</f>
        <v>3240</v>
      </c>
      <c r="O112" s="31" t="s">
        <v>3510</v>
      </c>
    </row>
    <row r="113" spans="1:15" ht="21.75" customHeight="1" x14ac:dyDescent="0.25">
      <c r="A113" s="9" t="s">
        <v>3511</v>
      </c>
      <c r="B113" s="9" t="s">
        <v>3501</v>
      </c>
      <c r="C113" s="12" t="s">
        <v>3190</v>
      </c>
      <c r="D113" s="12" t="s">
        <v>3424</v>
      </c>
      <c r="E113" s="12" t="s">
        <v>3502</v>
      </c>
      <c r="F113" s="12" t="s">
        <v>3512</v>
      </c>
      <c r="G113" s="9" t="s">
        <v>3206</v>
      </c>
      <c r="H113" s="37" t="s">
        <v>3207</v>
      </c>
      <c r="I113" s="34" t="s">
        <v>3196</v>
      </c>
      <c r="J113" s="35">
        <f>_MONTHS</f>
        <v>18</v>
      </c>
      <c r="K113" s="36">
        <v>120</v>
      </c>
      <c r="L113" s="26">
        <f>_STDPRE</f>
        <v>0</v>
      </c>
      <c r="M113" s="20">
        <f>IFERROR(K113*(1+L113),0)</f>
        <v>120</v>
      </c>
      <c r="N113" s="27">
        <f>IF($I113="Y",N(J113)*N(M113),0)</f>
        <v>2160</v>
      </c>
      <c r="O113" s="31" t="s">
        <v>3513</v>
      </c>
    </row>
    <row r="114" spans="1:15" ht="15" customHeight="1" x14ac:dyDescent="0.25">
      <c r="A114" s="40"/>
      <c r="B114" s="40"/>
      <c r="C114" s="40"/>
      <c r="D114" s="40"/>
      <c r="E114" s="40"/>
      <c r="F114" s="41" t="s">
        <v>3514</v>
      </c>
      <c r="G114" s="40"/>
      <c r="H114" s="40"/>
      <c r="I114" s="40"/>
      <c r="J114" s="40"/>
      <c r="K114" s="40"/>
      <c r="L114" s="40"/>
      <c r="M114" s="40"/>
      <c r="N114" s="42">
        <f>SUM(N110:N113)</f>
        <v>12500</v>
      </c>
      <c r="O114" s="40"/>
    </row>
    <row r="115" spans="1:15" ht="21.75" customHeight="1" x14ac:dyDescent="0.25">
      <c r="A115" s="9" t="s">
        <v>3515</v>
      </c>
      <c r="B115" s="9" t="s">
        <v>3516</v>
      </c>
      <c r="C115" s="12" t="s">
        <v>3190</v>
      </c>
      <c r="D115" s="12" t="s">
        <v>3424</v>
      </c>
      <c r="E115" s="12" t="s">
        <v>3517</v>
      </c>
      <c r="F115" s="12" t="s">
        <v>3518</v>
      </c>
      <c r="G115" s="9" t="s">
        <v>3206</v>
      </c>
      <c r="H115" s="37" t="s">
        <v>3207</v>
      </c>
      <c r="I115" s="34" t="s">
        <v>3196</v>
      </c>
      <c r="J115" s="35">
        <f>_MONTHS</f>
        <v>18</v>
      </c>
      <c r="K115" s="36">
        <v>180</v>
      </c>
      <c r="L115" s="26">
        <f>_STDPRE</f>
        <v>0</v>
      </c>
      <c r="M115" s="20">
        <f>IFERROR(K115*(1+L115),0)</f>
        <v>180</v>
      </c>
      <c r="N115" s="27">
        <f>IF($I115="Y",N(J115)*N(M115),0)</f>
        <v>3240</v>
      </c>
      <c r="O115" s="31" t="s">
        <v>3382</v>
      </c>
    </row>
    <row r="116" spans="1:15" ht="21.75" customHeight="1" x14ac:dyDescent="0.25">
      <c r="A116" s="9" t="s">
        <v>3519</v>
      </c>
      <c r="B116" s="9" t="s">
        <v>3516</v>
      </c>
      <c r="C116" s="12" t="s">
        <v>3190</v>
      </c>
      <c r="D116" s="12" t="s">
        <v>3424</v>
      </c>
      <c r="E116" s="12" t="s">
        <v>3517</v>
      </c>
      <c r="F116" s="12" t="s">
        <v>3520</v>
      </c>
      <c r="G116" s="9" t="s">
        <v>3206</v>
      </c>
      <c r="H116" s="37" t="s">
        <v>3207</v>
      </c>
      <c r="I116" s="34" t="s">
        <v>3196</v>
      </c>
      <c r="J116" s="35">
        <f>_MONTHS</f>
        <v>18</v>
      </c>
      <c r="K116" s="36">
        <v>450</v>
      </c>
      <c r="L116" s="26">
        <f>_STDPRE</f>
        <v>0</v>
      </c>
      <c r="M116" s="20">
        <f>IFERROR(K116*(1+L116),0)</f>
        <v>450</v>
      </c>
      <c r="N116" s="27">
        <f>IF($I116="Y",N(J116)*N(M116),0)</f>
        <v>8100</v>
      </c>
      <c r="O116" s="31" t="s">
        <v>3521</v>
      </c>
    </row>
    <row r="117" spans="1:15" ht="21.75" customHeight="1" x14ac:dyDescent="0.25">
      <c r="A117" s="9" t="s">
        <v>3522</v>
      </c>
      <c r="B117" s="9" t="s">
        <v>3516</v>
      </c>
      <c r="C117" s="12" t="s">
        <v>3190</v>
      </c>
      <c r="D117" s="12" t="s">
        <v>3424</v>
      </c>
      <c r="E117" s="12" t="s">
        <v>3517</v>
      </c>
      <c r="F117" s="12" t="s">
        <v>3523</v>
      </c>
      <c r="G117" s="9" t="s">
        <v>3206</v>
      </c>
      <c r="H117" s="37" t="s">
        <v>3207</v>
      </c>
      <c r="I117" s="34" t="s">
        <v>3196</v>
      </c>
      <c r="J117" s="35">
        <f>_MONTHS</f>
        <v>18</v>
      </c>
      <c r="K117" s="36">
        <v>200</v>
      </c>
      <c r="L117" s="26">
        <f>_STDPRE</f>
        <v>0</v>
      </c>
      <c r="M117" s="20">
        <f>IFERROR(K117*(1+L117),0)</f>
        <v>200</v>
      </c>
      <c r="N117" s="27">
        <f>IF($I117="Y",N(J117)*N(M117),0)</f>
        <v>3600</v>
      </c>
      <c r="O117" s="31" t="s">
        <v>3524</v>
      </c>
    </row>
    <row r="118" spans="1:15" ht="21.75" customHeight="1" x14ac:dyDescent="0.25">
      <c r="A118" s="9" t="s">
        <v>3525</v>
      </c>
      <c r="B118" s="9" t="s">
        <v>3516</v>
      </c>
      <c r="C118" s="12" t="s">
        <v>3190</v>
      </c>
      <c r="D118" s="12" t="s">
        <v>3424</v>
      </c>
      <c r="E118" s="12" t="s">
        <v>3517</v>
      </c>
      <c r="F118" s="12" t="s">
        <v>3526</v>
      </c>
      <c r="G118" s="9" t="s">
        <v>57</v>
      </c>
      <c r="H118" s="38" t="s">
        <v>3214</v>
      </c>
      <c r="I118" s="34" t="s">
        <v>3215</v>
      </c>
      <c r="J118" s="39"/>
      <c r="K118" s="36">
        <v>900</v>
      </c>
      <c r="L118" s="26">
        <f>_STDPRE</f>
        <v>0</v>
      </c>
      <c r="M118" s="20">
        <f>IFERROR(K118*(1+L118),0)</f>
        <v>900</v>
      </c>
      <c r="N118" s="27">
        <f>IF($I118="Y",N(J118)*N(M118),0)</f>
        <v>0</v>
      </c>
      <c r="O118" s="31" t="s">
        <v>3527</v>
      </c>
    </row>
    <row r="119" spans="1:15" ht="15" customHeight="1" x14ac:dyDescent="0.25">
      <c r="A119" s="40"/>
      <c r="B119" s="40"/>
      <c r="C119" s="40"/>
      <c r="D119" s="40"/>
      <c r="E119" s="40"/>
      <c r="F119" s="41" t="s">
        <v>3528</v>
      </c>
      <c r="G119" s="40"/>
      <c r="H119" s="40"/>
      <c r="I119" s="40"/>
      <c r="J119" s="40"/>
      <c r="K119" s="40"/>
      <c r="L119" s="40"/>
      <c r="M119" s="40"/>
      <c r="N119" s="42">
        <f>SUM(N115:N118)</f>
        <v>14940</v>
      </c>
      <c r="O119" s="40"/>
    </row>
    <row r="120" spans="1:15" ht="21.75" customHeight="1" x14ac:dyDescent="0.25">
      <c r="A120" s="9" t="s">
        <v>3529</v>
      </c>
      <c r="B120" s="9" t="s">
        <v>3530</v>
      </c>
      <c r="C120" s="12" t="s">
        <v>3190</v>
      </c>
      <c r="D120" s="12" t="s">
        <v>3424</v>
      </c>
      <c r="E120" s="12" t="s">
        <v>3531</v>
      </c>
      <c r="F120" s="12" t="s">
        <v>3532</v>
      </c>
      <c r="G120" s="9" t="s">
        <v>57</v>
      </c>
      <c r="H120" s="38" t="s">
        <v>3214</v>
      </c>
      <c r="I120" s="34" t="s">
        <v>3196</v>
      </c>
      <c r="J120" s="39"/>
      <c r="K120" s="36">
        <v>1500</v>
      </c>
      <c r="L120" s="26">
        <f>_STDPRE</f>
        <v>0</v>
      </c>
      <c r="M120" s="20">
        <f>IFERROR(K120*(1+L120),0)</f>
        <v>1500</v>
      </c>
      <c r="N120" s="27">
        <f>IF($I120="Y",N(J120)*N(M120),0)</f>
        <v>0</v>
      </c>
      <c r="O120" s="31" t="s">
        <v>3533</v>
      </c>
    </row>
    <row r="121" spans="1:15" ht="21.75" customHeight="1" x14ac:dyDescent="0.25">
      <c r="A121" s="9" t="s">
        <v>3534</v>
      </c>
      <c r="B121" s="9" t="s">
        <v>3530</v>
      </c>
      <c r="C121" s="12" t="s">
        <v>3190</v>
      </c>
      <c r="D121" s="12" t="s">
        <v>3424</v>
      </c>
      <c r="E121" s="12" t="s">
        <v>3531</v>
      </c>
      <c r="F121" s="12" t="s">
        <v>3535</v>
      </c>
      <c r="G121" s="9" t="s">
        <v>3194</v>
      </c>
      <c r="H121" s="33" t="s">
        <v>3195</v>
      </c>
      <c r="I121" s="34" t="s">
        <v>3196</v>
      </c>
      <c r="J121" s="35">
        <v>1</v>
      </c>
      <c r="K121" s="36">
        <v>1000</v>
      </c>
      <c r="L121" s="26">
        <f>_STDPRE</f>
        <v>0</v>
      </c>
      <c r="M121" s="20">
        <f>IFERROR(K121*(1+L121),0)</f>
        <v>1000</v>
      </c>
      <c r="N121" s="27">
        <f>IF($I121="Y",N(J121)*N(M121),0)</f>
        <v>1000</v>
      </c>
      <c r="O121" s="31" t="s">
        <v>3536</v>
      </c>
    </row>
    <row r="122" spans="1:15" ht="21.75" customHeight="1" x14ac:dyDescent="0.25">
      <c r="A122" s="9" t="s">
        <v>3537</v>
      </c>
      <c r="B122" s="9" t="s">
        <v>3530</v>
      </c>
      <c r="C122" s="12" t="s">
        <v>3190</v>
      </c>
      <c r="D122" s="12" t="s">
        <v>3424</v>
      </c>
      <c r="E122" s="12" t="s">
        <v>3531</v>
      </c>
      <c r="F122" s="12" t="s">
        <v>3538</v>
      </c>
      <c r="G122" s="9" t="s">
        <v>3194</v>
      </c>
      <c r="H122" s="33" t="s">
        <v>3195</v>
      </c>
      <c r="I122" s="34" t="s">
        <v>3215</v>
      </c>
      <c r="J122" s="35">
        <v>1</v>
      </c>
      <c r="K122" s="36">
        <v>800</v>
      </c>
      <c r="L122" s="26">
        <f>_STDPRE</f>
        <v>0</v>
      </c>
      <c r="M122" s="20">
        <f>IFERROR(K122*(1+L122),0)</f>
        <v>800</v>
      </c>
      <c r="N122" s="27">
        <f>IF($I122="Y",N(J122)*N(M122),0)</f>
        <v>0</v>
      </c>
      <c r="O122" s="31" t="s">
        <v>3539</v>
      </c>
    </row>
    <row r="123" spans="1:15" ht="15" customHeight="1" x14ac:dyDescent="0.25">
      <c r="A123" s="40"/>
      <c r="B123" s="40"/>
      <c r="C123" s="40"/>
      <c r="D123" s="40"/>
      <c r="E123" s="40"/>
      <c r="F123" s="41" t="s">
        <v>3540</v>
      </c>
      <c r="G123" s="40"/>
      <c r="H123" s="40"/>
      <c r="I123" s="40"/>
      <c r="J123" s="40"/>
      <c r="K123" s="40"/>
      <c r="L123" s="40"/>
      <c r="M123" s="40"/>
      <c r="N123" s="42">
        <f>SUM(N120:N122)</f>
        <v>1000</v>
      </c>
      <c r="O123" s="40"/>
    </row>
    <row r="124" spans="1:15" ht="21.75" customHeight="1" x14ac:dyDescent="0.25">
      <c r="A124" s="9" t="s">
        <v>3541</v>
      </c>
      <c r="B124" s="9" t="s">
        <v>3542</v>
      </c>
      <c r="C124" s="12" t="s">
        <v>3190</v>
      </c>
      <c r="D124" s="12" t="s">
        <v>3424</v>
      </c>
      <c r="E124" s="12" t="s">
        <v>3543</v>
      </c>
      <c r="F124" s="12" t="s">
        <v>3544</v>
      </c>
      <c r="G124" s="9" t="s">
        <v>3194</v>
      </c>
      <c r="H124" s="33" t="s">
        <v>3195</v>
      </c>
      <c r="I124" s="34" t="s">
        <v>3196</v>
      </c>
      <c r="J124" s="35">
        <v>1</v>
      </c>
      <c r="K124" s="36">
        <v>6000</v>
      </c>
      <c r="L124" s="26">
        <f>_STDPRE</f>
        <v>0</v>
      </c>
      <c r="M124" s="20">
        <f>IFERROR(K124*(1+L124),0)</f>
        <v>6000</v>
      </c>
      <c r="N124" s="27">
        <f>IF($I124="Y",N(J124)*N(M124),0)</f>
        <v>6000</v>
      </c>
      <c r="O124" s="31" t="s">
        <v>3545</v>
      </c>
    </row>
    <row r="125" spans="1:15" ht="21.75" customHeight="1" x14ac:dyDescent="0.25">
      <c r="A125" s="9" t="s">
        <v>3546</v>
      </c>
      <c r="B125" s="9" t="s">
        <v>3542</v>
      </c>
      <c r="C125" s="12" t="s">
        <v>3190</v>
      </c>
      <c r="D125" s="12" t="s">
        <v>3424</v>
      </c>
      <c r="E125" s="12" t="s">
        <v>3543</v>
      </c>
      <c r="F125" s="12" t="s">
        <v>3547</v>
      </c>
      <c r="G125" s="9" t="s">
        <v>3194</v>
      </c>
      <c r="H125" s="33" t="s">
        <v>3195</v>
      </c>
      <c r="I125" s="34" t="s">
        <v>3196</v>
      </c>
      <c r="J125" s="35">
        <v>1</v>
      </c>
      <c r="K125" s="36">
        <v>3000</v>
      </c>
      <c r="L125" s="26">
        <f>_STDPRE</f>
        <v>0</v>
      </c>
      <c r="M125" s="20">
        <f>IFERROR(K125*(1+L125),0)</f>
        <v>3000</v>
      </c>
      <c r="N125" s="27">
        <f>IF($I125="Y",N(J125)*N(M125),0)</f>
        <v>3000</v>
      </c>
      <c r="O125" s="31" t="s">
        <v>3548</v>
      </c>
    </row>
    <row r="126" spans="1:15" ht="21.75" customHeight="1" x14ac:dyDescent="0.25">
      <c r="A126" s="9" t="s">
        <v>3549</v>
      </c>
      <c r="B126" s="9" t="s">
        <v>3542</v>
      </c>
      <c r="C126" s="12" t="s">
        <v>3190</v>
      </c>
      <c r="D126" s="12" t="s">
        <v>3424</v>
      </c>
      <c r="E126" s="12" t="s">
        <v>3543</v>
      </c>
      <c r="F126" s="12" t="s">
        <v>3550</v>
      </c>
      <c r="G126" s="9" t="s">
        <v>3194</v>
      </c>
      <c r="H126" s="33" t="s">
        <v>3195</v>
      </c>
      <c r="I126" s="34" t="s">
        <v>3196</v>
      </c>
      <c r="J126" s="35">
        <v>1</v>
      </c>
      <c r="K126" s="36">
        <v>1500</v>
      </c>
      <c r="L126" s="26">
        <f>_STDPRE</f>
        <v>0</v>
      </c>
      <c r="M126" s="20">
        <f>IFERROR(K126*(1+L126),0)</f>
        <v>1500</v>
      </c>
      <c r="N126" s="27">
        <f>IF($I126="Y",N(J126)*N(M126),0)</f>
        <v>1500</v>
      </c>
      <c r="O126" s="31" t="s">
        <v>3551</v>
      </c>
    </row>
    <row r="127" spans="1:15" ht="21.75" customHeight="1" x14ac:dyDescent="0.25">
      <c r="A127" s="9" t="s">
        <v>3552</v>
      </c>
      <c r="B127" s="9" t="s">
        <v>3542</v>
      </c>
      <c r="C127" s="12" t="s">
        <v>3190</v>
      </c>
      <c r="D127" s="12" t="s">
        <v>3424</v>
      </c>
      <c r="E127" s="12" t="s">
        <v>3543</v>
      </c>
      <c r="F127" s="12" t="s">
        <v>3553</v>
      </c>
      <c r="G127" s="9" t="s">
        <v>3194</v>
      </c>
      <c r="H127" s="33" t="s">
        <v>3195</v>
      </c>
      <c r="I127" s="34" t="s">
        <v>3215</v>
      </c>
      <c r="J127" s="35">
        <v>1</v>
      </c>
      <c r="K127" s="36"/>
      <c r="L127" s="26">
        <f>_STDPRE</f>
        <v>0</v>
      </c>
      <c r="M127" s="20">
        <f>IFERROR(K127*(1+L127),0)</f>
        <v>0</v>
      </c>
      <c r="N127" s="27">
        <f>IF($I127="Y",N(J127)*N(M127),0)</f>
        <v>0</v>
      </c>
      <c r="O127" s="31" t="s">
        <v>3554</v>
      </c>
    </row>
    <row r="128" spans="1:15" ht="15" customHeight="1" x14ac:dyDescent="0.25">
      <c r="A128" s="40"/>
      <c r="B128" s="40"/>
      <c r="C128" s="40"/>
      <c r="D128" s="40"/>
      <c r="E128" s="40"/>
      <c r="F128" s="41" t="s">
        <v>3555</v>
      </c>
      <c r="G128" s="40"/>
      <c r="H128" s="40"/>
      <c r="I128" s="40"/>
      <c r="J128" s="40"/>
      <c r="K128" s="40"/>
      <c r="L128" s="40"/>
      <c r="M128" s="40"/>
      <c r="N128" s="42">
        <f>SUM(N124:N127)</f>
        <v>10500</v>
      </c>
      <c r="O128" s="40"/>
    </row>
    <row r="129" spans="1:15" ht="21.75" customHeight="1" x14ac:dyDescent="0.25">
      <c r="A129" s="9" t="s">
        <v>3556</v>
      </c>
      <c r="B129" s="9" t="s">
        <v>3557</v>
      </c>
      <c r="C129" s="12" t="s">
        <v>3190</v>
      </c>
      <c r="D129" s="12" t="s">
        <v>3424</v>
      </c>
      <c r="E129" s="12" t="s">
        <v>3558</v>
      </c>
      <c r="F129" s="12" t="s">
        <v>3559</v>
      </c>
      <c r="G129" s="9" t="s">
        <v>3206</v>
      </c>
      <c r="H129" s="37" t="s">
        <v>3207</v>
      </c>
      <c r="I129" s="34" t="s">
        <v>3196</v>
      </c>
      <c r="J129" s="35">
        <f>_MONTHS</f>
        <v>18</v>
      </c>
      <c r="K129" s="36">
        <v>120</v>
      </c>
      <c r="L129" s="26">
        <f>_STDPRE</f>
        <v>0</v>
      </c>
      <c r="M129" s="20">
        <f>IFERROR(K129*(1+L129),0)</f>
        <v>120</v>
      </c>
      <c r="N129" s="27">
        <f>IF($I129="Y",N(J129)*N(M129),0)</f>
        <v>2160</v>
      </c>
      <c r="O129" s="31" t="s">
        <v>3560</v>
      </c>
    </row>
    <row r="130" spans="1:15" ht="21.75" customHeight="1" x14ac:dyDescent="0.25">
      <c r="A130" s="9" t="s">
        <v>3561</v>
      </c>
      <c r="B130" s="9" t="s">
        <v>3557</v>
      </c>
      <c r="C130" s="12" t="s">
        <v>3190</v>
      </c>
      <c r="D130" s="12" t="s">
        <v>3424</v>
      </c>
      <c r="E130" s="12" t="s">
        <v>3558</v>
      </c>
      <c r="F130" s="12" t="s">
        <v>3562</v>
      </c>
      <c r="G130" s="9" t="s">
        <v>3206</v>
      </c>
      <c r="H130" s="37" t="s">
        <v>3207</v>
      </c>
      <c r="I130" s="34" t="s">
        <v>3196</v>
      </c>
      <c r="J130" s="35">
        <f>_MONTHS</f>
        <v>18</v>
      </c>
      <c r="K130" s="36">
        <v>100</v>
      </c>
      <c r="L130" s="26">
        <f>_STDPRE</f>
        <v>0</v>
      </c>
      <c r="M130" s="20">
        <f>IFERROR(K130*(1+L130),0)</f>
        <v>100</v>
      </c>
      <c r="N130" s="27">
        <f>IF($I130="Y",N(J130)*N(M130),0)</f>
        <v>1800</v>
      </c>
      <c r="O130" s="31" t="s">
        <v>3563</v>
      </c>
    </row>
    <row r="131" spans="1:15" ht="15" customHeight="1" x14ac:dyDescent="0.25">
      <c r="A131" s="40"/>
      <c r="B131" s="40"/>
      <c r="C131" s="40"/>
      <c r="D131" s="40"/>
      <c r="E131" s="40"/>
      <c r="F131" s="41" t="s">
        <v>3564</v>
      </c>
      <c r="G131" s="40"/>
      <c r="H131" s="40"/>
      <c r="I131" s="40"/>
      <c r="J131" s="40"/>
      <c r="K131" s="40"/>
      <c r="L131" s="40"/>
      <c r="M131" s="40"/>
      <c r="N131" s="42">
        <f>SUM(N129:N130)</f>
        <v>3960</v>
      </c>
      <c r="O131" s="40"/>
    </row>
    <row r="132" spans="1:15" ht="21.75" customHeight="1" x14ac:dyDescent="0.25">
      <c r="A132" s="9" t="s">
        <v>3565</v>
      </c>
      <c r="B132" s="9" t="s">
        <v>3566</v>
      </c>
      <c r="C132" s="12" t="s">
        <v>3190</v>
      </c>
      <c r="D132" s="12" t="s">
        <v>3424</v>
      </c>
      <c r="E132" s="12" t="s">
        <v>3567</v>
      </c>
      <c r="F132" s="12" t="s">
        <v>3568</v>
      </c>
      <c r="G132" s="9" t="s">
        <v>3206</v>
      </c>
      <c r="H132" s="37" t="s">
        <v>3207</v>
      </c>
      <c r="I132" s="34" t="s">
        <v>3196</v>
      </c>
      <c r="J132" s="35">
        <f>_MONTHS</f>
        <v>18</v>
      </c>
      <c r="K132" s="36">
        <v>80</v>
      </c>
      <c r="L132" s="26">
        <f>_STDPRE</f>
        <v>0</v>
      </c>
      <c r="M132" s="20">
        <f>IFERROR(K132*(1+L132),0)</f>
        <v>80</v>
      </c>
      <c r="N132" s="27">
        <f>IF($I132="Y",N(J132)*N(M132),0)</f>
        <v>1440</v>
      </c>
      <c r="O132" s="31" t="s">
        <v>3569</v>
      </c>
    </row>
    <row r="133" spans="1:15" ht="21.75" customHeight="1" x14ac:dyDescent="0.25">
      <c r="A133" s="9" t="s">
        <v>3570</v>
      </c>
      <c r="B133" s="9" t="s">
        <v>3566</v>
      </c>
      <c r="C133" s="12" t="s">
        <v>3190</v>
      </c>
      <c r="D133" s="12" t="s">
        <v>3424</v>
      </c>
      <c r="E133" s="12" t="s">
        <v>3567</v>
      </c>
      <c r="F133" s="12" t="s">
        <v>3571</v>
      </c>
      <c r="G133" s="9" t="s">
        <v>3194</v>
      </c>
      <c r="H133" s="33" t="s">
        <v>3195</v>
      </c>
      <c r="I133" s="34" t="s">
        <v>3196</v>
      </c>
      <c r="J133" s="35">
        <v>1</v>
      </c>
      <c r="K133" s="36">
        <v>3000</v>
      </c>
      <c r="L133" s="26">
        <f>_STDPRE</f>
        <v>0</v>
      </c>
      <c r="M133" s="20">
        <f>IFERROR(K133*(1+L133),0)</f>
        <v>3000</v>
      </c>
      <c r="N133" s="27">
        <f>IF($I133="Y",N(J133)*N(M133),0)</f>
        <v>3000</v>
      </c>
      <c r="O133" s="31" t="s">
        <v>3572</v>
      </c>
    </row>
    <row r="134" spans="1:15" ht="21.75" customHeight="1" x14ac:dyDescent="0.25">
      <c r="A134" s="9" t="s">
        <v>3573</v>
      </c>
      <c r="B134" s="9" t="s">
        <v>3566</v>
      </c>
      <c r="C134" s="12" t="s">
        <v>3190</v>
      </c>
      <c r="D134" s="12" t="s">
        <v>3424</v>
      </c>
      <c r="E134" s="12" t="s">
        <v>3567</v>
      </c>
      <c r="F134" s="12" t="s">
        <v>3574</v>
      </c>
      <c r="G134" s="9" t="s">
        <v>3206</v>
      </c>
      <c r="H134" s="37" t="s">
        <v>3207</v>
      </c>
      <c r="I134" s="34" t="s">
        <v>3196</v>
      </c>
      <c r="J134" s="35">
        <f>_MONTHS</f>
        <v>18</v>
      </c>
      <c r="K134" s="36">
        <v>150</v>
      </c>
      <c r="L134" s="26">
        <f>_STDPRE</f>
        <v>0</v>
      </c>
      <c r="M134" s="20">
        <f>IFERROR(K134*(1+L134),0)</f>
        <v>150</v>
      </c>
      <c r="N134" s="27">
        <f>IF($I134="Y",N(J134)*N(M134),0)</f>
        <v>2700</v>
      </c>
      <c r="O134" s="31" t="s">
        <v>3575</v>
      </c>
    </row>
    <row r="135" spans="1:15" ht="21.75" customHeight="1" x14ac:dyDescent="0.25">
      <c r="A135" s="9" t="s">
        <v>3576</v>
      </c>
      <c r="B135" s="9" t="s">
        <v>3566</v>
      </c>
      <c r="C135" s="12" t="s">
        <v>3190</v>
      </c>
      <c r="D135" s="12" t="s">
        <v>3424</v>
      </c>
      <c r="E135" s="12" t="s">
        <v>3567</v>
      </c>
      <c r="F135" s="12" t="s">
        <v>3577</v>
      </c>
      <c r="G135" s="9" t="s">
        <v>3206</v>
      </c>
      <c r="H135" s="37" t="s">
        <v>3207</v>
      </c>
      <c r="I135" s="34" t="s">
        <v>3196</v>
      </c>
      <c r="J135" s="35">
        <f>_MONTHS</f>
        <v>18</v>
      </c>
      <c r="K135" s="36">
        <v>300</v>
      </c>
      <c r="L135" s="26">
        <f>_STDPRE</f>
        <v>0</v>
      </c>
      <c r="M135" s="20">
        <f>IFERROR(K135*(1+L135),0)</f>
        <v>300</v>
      </c>
      <c r="N135" s="27">
        <f>IF($I135="Y",N(J135)*N(M135),0)</f>
        <v>5400</v>
      </c>
      <c r="O135" s="31" t="s">
        <v>3578</v>
      </c>
    </row>
    <row r="136" spans="1:15" ht="15" customHeight="1" x14ac:dyDescent="0.25">
      <c r="A136" s="40"/>
      <c r="B136" s="40"/>
      <c r="C136" s="40"/>
      <c r="D136" s="40"/>
      <c r="E136" s="40"/>
      <c r="F136" s="41" t="s">
        <v>3579</v>
      </c>
      <c r="G136" s="40"/>
      <c r="H136" s="40"/>
      <c r="I136" s="40"/>
      <c r="J136" s="40"/>
      <c r="K136" s="40"/>
      <c r="L136" s="40"/>
      <c r="M136" s="40"/>
      <c r="N136" s="42">
        <f>SUM(N132:N135)</f>
        <v>12540</v>
      </c>
      <c r="O136" s="40"/>
    </row>
    <row r="137" spans="1:15" ht="21.75" customHeight="1" x14ac:dyDescent="0.25">
      <c r="A137" s="9" t="s">
        <v>3580</v>
      </c>
      <c r="B137" s="9" t="s">
        <v>3581</v>
      </c>
      <c r="C137" s="12" t="s">
        <v>3190</v>
      </c>
      <c r="D137" s="12" t="s">
        <v>3582</v>
      </c>
      <c r="E137" s="12" t="s">
        <v>3582</v>
      </c>
      <c r="F137" s="12" t="s">
        <v>3583</v>
      </c>
      <c r="G137" s="9" t="s">
        <v>3194</v>
      </c>
      <c r="H137" s="33" t="s">
        <v>3195</v>
      </c>
      <c r="I137" s="34" t="s">
        <v>3196</v>
      </c>
      <c r="J137" s="35">
        <v>1</v>
      </c>
      <c r="K137" s="36">
        <v>10000</v>
      </c>
      <c r="L137" s="26">
        <f t="shared" ref="L137:L145" si="30">_STDPRE</f>
        <v>0</v>
      </c>
      <c r="M137" s="20">
        <f t="shared" ref="M137:M145" si="31">IFERROR(K137*(1+L137),0)</f>
        <v>10000</v>
      </c>
      <c r="N137" s="27">
        <f t="shared" ref="N137:N145" si="32">IF($I137="Y",N(J137)*N(M137),0)</f>
        <v>10000</v>
      </c>
      <c r="O137" s="31" t="s">
        <v>3584</v>
      </c>
    </row>
    <row r="138" spans="1:15" ht="21.75" customHeight="1" x14ac:dyDescent="0.25">
      <c r="A138" s="9" t="s">
        <v>3585</v>
      </c>
      <c r="B138" s="9" t="s">
        <v>3581</v>
      </c>
      <c r="C138" s="12" t="s">
        <v>3190</v>
      </c>
      <c r="D138" s="12" t="s">
        <v>3582</v>
      </c>
      <c r="E138" s="12" t="s">
        <v>3582</v>
      </c>
      <c r="F138" s="12" t="s">
        <v>1364</v>
      </c>
      <c r="G138" s="9" t="s">
        <v>3194</v>
      </c>
      <c r="H138" s="33" t="s">
        <v>3195</v>
      </c>
      <c r="I138" s="34" t="s">
        <v>3196</v>
      </c>
      <c r="J138" s="35">
        <v>1</v>
      </c>
      <c r="K138" s="36">
        <v>6000</v>
      </c>
      <c r="L138" s="26">
        <f t="shared" si="30"/>
        <v>0</v>
      </c>
      <c r="M138" s="20">
        <f t="shared" si="31"/>
        <v>6000</v>
      </c>
      <c r="N138" s="27">
        <f t="shared" si="32"/>
        <v>6000</v>
      </c>
      <c r="O138" s="31" t="s">
        <v>3586</v>
      </c>
    </row>
    <row r="139" spans="1:15" ht="21.75" customHeight="1" x14ac:dyDescent="0.25">
      <c r="A139" s="9" t="s">
        <v>3587</v>
      </c>
      <c r="B139" s="9" t="s">
        <v>3581</v>
      </c>
      <c r="C139" s="12" t="s">
        <v>3190</v>
      </c>
      <c r="D139" s="12" t="s">
        <v>3582</v>
      </c>
      <c r="E139" s="12" t="s">
        <v>3582</v>
      </c>
      <c r="F139" s="12" t="s">
        <v>3588</v>
      </c>
      <c r="G139" s="9" t="s">
        <v>3194</v>
      </c>
      <c r="H139" s="33" t="s">
        <v>3195</v>
      </c>
      <c r="I139" s="34" t="s">
        <v>3215</v>
      </c>
      <c r="J139" s="35">
        <v>1</v>
      </c>
      <c r="K139" s="36">
        <v>15000</v>
      </c>
      <c r="L139" s="26">
        <f t="shared" si="30"/>
        <v>0</v>
      </c>
      <c r="M139" s="20">
        <f t="shared" si="31"/>
        <v>15000</v>
      </c>
      <c r="N139" s="27">
        <f t="shared" si="32"/>
        <v>0</v>
      </c>
      <c r="O139" s="31" t="s">
        <v>3589</v>
      </c>
    </row>
    <row r="140" spans="1:15" ht="21.75" customHeight="1" x14ac:dyDescent="0.25">
      <c r="A140" s="9" t="s">
        <v>3590</v>
      </c>
      <c r="B140" s="9" t="s">
        <v>3581</v>
      </c>
      <c r="C140" s="12" t="s">
        <v>3190</v>
      </c>
      <c r="D140" s="12" t="s">
        <v>3582</v>
      </c>
      <c r="E140" s="12" t="s">
        <v>3582</v>
      </c>
      <c r="F140" s="12" t="s">
        <v>3591</v>
      </c>
      <c r="G140" s="9" t="s">
        <v>3194</v>
      </c>
      <c r="H140" s="33" t="s">
        <v>3195</v>
      </c>
      <c r="I140" s="34" t="s">
        <v>3215</v>
      </c>
      <c r="J140" s="35">
        <v>1</v>
      </c>
      <c r="K140" s="36">
        <v>25000</v>
      </c>
      <c r="L140" s="26">
        <f t="shared" si="30"/>
        <v>0</v>
      </c>
      <c r="M140" s="20">
        <f t="shared" si="31"/>
        <v>25000</v>
      </c>
      <c r="N140" s="27">
        <f t="shared" si="32"/>
        <v>0</v>
      </c>
      <c r="O140" s="31" t="s">
        <v>3592</v>
      </c>
    </row>
    <row r="141" spans="1:15" ht="21.75" customHeight="1" x14ac:dyDescent="0.25">
      <c r="A141" s="9" t="s">
        <v>3593</v>
      </c>
      <c r="B141" s="9" t="s">
        <v>3581</v>
      </c>
      <c r="C141" s="12" t="s">
        <v>3190</v>
      </c>
      <c r="D141" s="12" t="s">
        <v>3582</v>
      </c>
      <c r="E141" s="12" t="s">
        <v>3582</v>
      </c>
      <c r="F141" s="12" t="s">
        <v>3594</v>
      </c>
      <c r="G141" s="9" t="s">
        <v>3194</v>
      </c>
      <c r="H141" s="33" t="s">
        <v>3195</v>
      </c>
      <c r="I141" s="34" t="s">
        <v>3196</v>
      </c>
      <c r="J141" s="35">
        <v>1</v>
      </c>
      <c r="K141" s="36">
        <v>2500</v>
      </c>
      <c r="L141" s="26">
        <f t="shared" si="30"/>
        <v>0</v>
      </c>
      <c r="M141" s="20">
        <f t="shared" si="31"/>
        <v>2500</v>
      </c>
      <c r="N141" s="27">
        <f t="shared" si="32"/>
        <v>2500</v>
      </c>
      <c r="O141" s="31" t="s">
        <v>3595</v>
      </c>
    </row>
    <row r="142" spans="1:15" ht="21.75" customHeight="1" x14ac:dyDescent="0.25">
      <c r="A142" s="9" t="s">
        <v>3596</v>
      </c>
      <c r="B142" s="9" t="s">
        <v>3581</v>
      </c>
      <c r="C142" s="12" t="s">
        <v>3190</v>
      </c>
      <c r="D142" s="12" t="s">
        <v>3582</v>
      </c>
      <c r="E142" s="12" t="s">
        <v>3582</v>
      </c>
      <c r="F142" s="12" t="s">
        <v>3597</v>
      </c>
      <c r="G142" s="9" t="s">
        <v>3194</v>
      </c>
      <c r="H142" s="33" t="s">
        <v>3195</v>
      </c>
      <c r="I142" s="34" t="s">
        <v>3196</v>
      </c>
      <c r="J142" s="35">
        <v>1</v>
      </c>
      <c r="K142" s="36">
        <v>4000</v>
      </c>
      <c r="L142" s="26">
        <f t="shared" si="30"/>
        <v>0</v>
      </c>
      <c r="M142" s="20">
        <f t="shared" si="31"/>
        <v>4000</v>
      </c>
      <c r="N142" s="27">
        <f t="shared" si="32"/>
        <v>4000</v>
      </c>
      <c r="O142" s="31" t="s">
        <v>3598</v>
      </c>
    </row>
    <row r="143" spans="1:15" ht="21.75" customHeight="1" x14ac:dyDescent="0.25">
      <c r="A143" s="9" t="s">
        <v>3599</v>
      </c>
      <c r="B143" s="9" t="s">
        <v>3581</v>
      </c>
      <c r="C143" s="12" t="s">
        <v>3190</v>
      </c>
      <c r="D143" s="12" t="s">
        <v>3582</v>
      </c>
      <c r="E143" s="12" t="s">
        <v>3582</v>
      </c>
      <c r="F143" s="12" t="s">
        <v>3600</v>
      </c>
      <c r="G143" s="9" t="s">
        <v>3194</v>
      </c>
      <c r="H143" s="33" t="s">
        <v>3195</v>
      </c>
      <c r="I143" s="34" t="s">
        <v>3196</v>
      </c>
      <c r="J143" s="35">
        <v>1</v>
      </c>
      <c r="K143" s="36">
        <v>2500</v>
      </c>
      <c r="L143" s="26">
        <f t="shared" si="30"/>
        <v>0</v>
      </c>
      <c r="M143" s="20">
        <f t="shared" si="31"/>
        <v>2500</v>
      </c>
      <c r="N143" s="27">
        <f t="shared" si="32"/>
        <v>2500</v>
      </c>
      <c r="O143" s="31" t="s">
        <v>3601</v>
      </c>
    </row>
    <row r="144" spans="1:15" ht="21.75" customHeight="1" x14ac:dyDescent="0.25">
      <c r="A144" s="9" t="s">
        <v>3602</v>
      </c>
      <c r="B144" s="9" t="s">
        <v>3581</v>
      </c>
      <c r="C144" s="12" t="s">
        <v>3190</v>
      </c>
      <c r="D144" s="12" t="s">
        <v>3582</v>
      </c>
      <c r="E144" s="12" t="s">
        <v>3582</v>
      </c>
      <c r="F144" s="12" t="s">
        <v>3603</v>
      </c>
      <c r="G144" s="9" t="s">
        <v>3194</v>
      </c>
      <c r="H144" s="33" t="s">
        <v>3195</v>
      </c>
      <c r="I144" s="34" t="s">
        <v>3215</v>
      </c>
      <c r="J144" s="35">
        <v>1</v>
      </c>
      <c r="K144" s="36">
        <v>18000</v>
      </c>
      <c r="L144" s="26">
        <f t="shared" si="30"/>
        <v>0</v>
      </c>
      <c r="M144" s="20">
        <f t="shared" si="31"/>
        <v>18000</v>
      </c>
      <c r="N144" s="27">
        <f t="shared" si="32"/>
        <v>0</v>
      </c>
      <c r="O144" s="31" t="s">
        <v>3604</v>
      </c>
    </row>
    <row r="145" spans="1:15" ht="21.75" customHeight="1" x14ac:dyDescent="0.25">
      <c r="A145" s="9" t="s">
        <v>3605</v>
      </c>
      <c r="B145" s="9" t="s">
        <v>3581</v>
      </c>
      <c r="C145" s="12" t="s">
        <v>3190</v>
      </c>
      <c r="D145" s="12" t="s">
        <v>3582</v>
      </c>
      <c r="E145" s="12" t="s">
        <v>3582</v>
      </c>
      <c r="F145" s="12" t="s">
        <v>3606</v>
      </c>
      <c r="G145" s="9" t="s">
        <v>3194</v>
      </c>
      <c r="H145" s="33" t="s">
        <v>3195</v>
      </c>
      <c r="I145" s="34" t="s">
        <v>3215</v>
      </c>
      <c r="J145" s="35">
        <v>1</v>
      </c>
      <c r="K145" s="36">
        <v>8000</v>
      </c>
      <c r="L145" s="26">
        <f t="shared" si="30"/>
        <v>0</v>
      </c>
      <c r="M145" s="20">
        <f t="shared" si="31"/>
        <v>8000</v>
      </c>
      <c r="N145" s="27">
        <f t="shared" si="32"/>
        <v>0</v>
      </c>
      <c r="O145" s="31" t="s">
        <v>3607</v>
      </c>
    </row>
    <row r="146" spans="1:15" ht="15" customHeight="1" x14ac:dyDescent="0.25">
      <c r="A146" s="40"/>
      <c r="B146" s="40"/>
      <c r="C146" s="40"/>
      <c r="D146" s="40"/>
      <c r="E146" s="40"/>
      <c r="F146" s="41" t="s">
        <v>3608</v>
      </c>
      <c r="G146" s="40"/>
      <c r="H146" s="40"/>
      <c r="I146" s="40"/>
      <c r="J146" s="40"/>
      <c r="K146" s="40"/>
      <c r="L146" s="40"/>
      <c r="M146" s="40"/>
      <c r="N146" s="42">
        <f>SUM(N137:N145)</f>
        <v>25000</v>
      </c>
      <c r="O146" s="40"/>
    </row>
    <row r="147" spans="1:15" ht="21.75" customHeight="1" x14ac:dyDescent="0.25">
      <c r="A147" s="9" t="s">
        <v>3609</v>
      </c>
      <c r="B147" s="9" t="s">
        <v>3610</v>
      </c>
      <c r="C147" s="12" t="s">
        <v>3190</v>
      </c>
      <c r="D147" s="12" t="s">
        <v>3611</v>
      </c>
      <c r="E147" s="12" t="s">
        <v>3611</v>
      </c>
      <c r="F147" s="12" t="s">
        <v>3612</v>
      </c>
      <c r="G147" s="9" t="s">
        <v>3194</v>
      </c>
      <c r="H147" s="33" t="s">
        <v>3195</v>
      </c>
      <c r="I147" s="34" t="s">
        <v>3196</v>
      </c>
      <c r="J147" s="35">
        <v>1</v>
      </c>
      <c r="K147" s="36"/>
      <c r="L147" s="26">
        <f t="shared" ref="L147:L152" si="33">_STDPRE</f>
        <v>0</v>
      </c>
      <c r="M147" s="20">
        <f t="shared" ref="M147:M152" si="34">IFERROR(K147*(1+L147),0)</f>
        <v>0</v>
      </c>
      <c r="N147" s="27">
        <f t="shared" ref="N147:N152" si="35">IF($I147="Y",N(J147)*N(M147),0)</f>
        <v>0</v>
      </c>
      <c r="O147" s="31" t="s">
        <v>3613</v>
      </c>
    </row>
    <row r="148" spans="1:15" ht="21.75" customHeight="1" x14ac:dyDescent="0.25">
      <c r="A148" s="9" t="s">
        <v>3614</v>
      </c>
      <c r="B148" s="9" t="s">
        <v>3610</v>
      </c>
      <c r="C148" s="12" t="s">
        <v>3190</v>
      </c>
      <c r="D148" s="12" t="s">
        <v>3611</v>
      </c>
      <c r="E148" s="12" t="s">
        <v>3611</v>
      </c>
      <c r="F148" s="12" t="s">
        <v>3615</v>
      </c>
      <c r="G148" s="9" t="s">
        <v>3194</v>
      </c>
      <c r="H148" s="33" t="s">
        <v>3195</v>
      </c>
      <c r="I148" s="34" t="s">
        <v>3196</v>
      </c>
      <c r="J148" s="35">
        <v>1</v>
      </c>
      <c r="K148" s="36"/>
      <c r="L148" s="26">
        <f t="shared" si="33"/>
        <v>0</v>
      </c>
      <c r="M148" s="20">
        <f t="shared" si="34"/>
        <v>0</v>
      </c>
      <c r="N148" s="27">
        <f t="shared" si="35"/>
        <v>0</v>
      </c>
      <c r="O148" s="31" t="s">
        <v>3616</v>
      </c>
    </row>
    <row r="149" spans="1:15" ht="21.75" customHeight="1" x14ac:dyDescent="0.25">
      <c r="A149" s="9" t="s">
        <v>3617</v>
      </c>
      <c r="B149" s="9" t="s">
        <v>3610</v>
      </c>
      <c r="C149" s="12" t="s">
        <v>3190</v>
      </c>
      <c r="D149" s="12" t="s">
        <v>3611</v>
      </c>
      <c r="E149" s="12" t="s">
        <v>3611</v>
      </c>
      <c r="F149" s="12" t="s">
        <v>3618</v>
      </c>
      <c r="G149" s="9" t="s">
        <v>3194</v>
      </c>
      <c r="H149" s="33" t="s">
        <v>3195</v>
      </c>
      <c r="I149" s="34" t="s">
        <v>3196</v>
      </c>
      <c r="J149" s="35">
        <v>1</v>
      </c>
      <c r="K149" s="36"/>
      <c r="L149" s="26">
        <f t="shared" si="33"/>
        <v>0</v>
      </c>
      <c r="M149" s="20">
        <f t="shared" si="34"/>
        <v>0</v>
      </c>
      <c r="N149" s="27">
        <f t="shared" si="35"/>
        <v>0</v>
      </c>
      <c r="O149" s="31" t="s">
        <v>3619</v>
      </c>
    </row>
    <row r="150" spans="1:15" ht="21.75" customHeight="1" x14ac:dyDescent="0.25">
      <c r="A150" s="9" t="s">
        <v>3620</v>
      </c>
      <c r="B150" s="9" t="s">
        <v>3610</v>
      </c>
      <c r="C150" s="12" t="s">
        <v>3190</v>
      </c>
      <c r="D150" s="12" t="s">
        <v>3611</v>
      </c>
      <c r="E150" s="12" t="s">
        <v>3611</v>
      </c>
      <c r="F150" s="12" t="s">
        <v>3621</v>
      </c>
      <c r="G150" s="9" t="s">
        <v>3194</v>
      </c>
      <c r="H150" s="33" t="s">
        <v>3195</v>
      </c>
      <c r="I150" s="34" t="s">
        <v>3196</v>
      </c>
      <c r="J150" s="35">
        <v>1</v>
      </c>
      <c r="K150" s="36"/>
      <c r="L150" s="26">
        <f t="shared" si="33"/>
        <v>0</v>
      </c>
      <c r="M150" s="20">
        <f t="shared" si="34"/>
        <v>0</v>
      </c>
      <c r="N150" s="27">
        <f t="shared" si="35"/>
        <v>0</v>
      </c>
      <c r="O150" s="31" t="s">
        <v>3622</v>
      </c>
    </row>
    <row r="151" spans="1:15" ht="21.75" customHeight="1" x14ac:dyDescent="0.25">
      <c r="A151" s="9" t="s">
        <v>3623</v>
      </c>
      <c r="B151" s="9" t="s">
        <v>3610</v>
      </c>
      <c r="C151" s="12" t="s">
        <v>3190</v>
      </c>
      <c r="D151" s="12" t="s">
        <v>3611</v>
      </c>
      <c r="E151" s="12" t="s">
        <v>3611</v>
      </c>
      <c r="F151" s="12" t="s">
        <v>3624</v>
      </c>
      <c r="G151" s="9" t="s">
        <v>3194</v>
      </c>
      <c r="H151" s="33" t="s">
        <v>3195</v>
      </c>
      <c r="I151" s="34" t="s">
        <v>3215</v>
      </c>
      <c r="J151" s="35">
        <v>1</v>
      </c>
      <c r="K151" s="36"/>
      <c r="L151" s="26">
        <f t="shared" si="33"/>
        <v>0</v>
      </c>
      <c r="M151" s="20">
        <f t="shared" si="34"/>
        <v>0</v>
      </c>
      <c r="N151" s="27">
        <f t="shared" si="35"/>
        <v>0</v>
      </c>
      <c r="O151" s="31" t="s">
        <v>3625</v>
      </c>
    </row>
    <row r="152" spans="1:15" ht="21.75" customHeight="1" x14ac:dyDescent="0.25">
      <c r="A152" s="9" t="s">
        <v>3626</v>
      </c>
      <c r="B152" s="9" t="s">
        <v>3610</v>
      </c>
      <c r="C152" s="12" t="s">
        <v>3190</v>
      </c>
      <c r="D152" s="12" t="s">
        <v>3611</v>
      </c>
      <c r="E152" s="12" t="s">
        <v>3611</v>
      </c>
      <c r="F152" s="12" t="s">
        <v>3627</v>
      </c>
      <c r="G152" s="9" t="s">
        <v>3206</v>
      </c>
      <c r="H152" s="37" t="s">
        <v>3207</v>
      </c>
      <c r="I152" s="34" t="s">
        <v>3196</v>
      </c>
      <c r="J152" s="35">
        <f>_MONTHS</f>
        <v>18</v>
      </c>
      <c r="K152" s="36">
        <v>350</v>
      </c>
      <c r="L152" s="26">
        <f t="shared" si="33"/>
        <v>0</v>
      </c>
      <c r="M152" s="20">
        <f t="shared" si="34"/>
        <v>350</v>
      </c>
      <c r="N152" s="27">
        <f t="shared" si="35"/>
        <v>6300</v>
      </c>
      <c r="O152" s="31" t="s">
        <v>3628</v>
      </c>
    </row>
    <row r="153" spans="1:15" ht="15" customHeight="1" x14ac:dyDescent="0.25">
      <c r="A153" s="40"/>
      <c r="B153" s="40"/>
      <c r="C153" s="40"/>
      <c r="D153" s="40"/>
      <c r="E153" s="40"/>
      <c r="F153" s="41" t="s">
        <v>3629</v>
      </c>
      <c r="G153" s="40"/>
      <c r="H153" s="40"/>
      <c r="I153" s="40"/>
      <c r="J153" s="40"/>
      <c r="K153" s="40"/>
      <c r="L153" s="40"/>
      <c r="M153" s="40"/>
      <c r="N153" s="42">
        <f>SUM(N147:N152)</f>
        <v>6300</v>
      </c>
      <c r="O153" s="40"/>
    </row>
    <row r="154" spans="1:15" ht="21.75" customHeight="1" x14ac:dyDescent="0.25">
      <c r="A154" s="9" t="s">
        <v>3630</v>
      </c>
      <c r="B154" s="9" t="s">
        <v>3631</v>
      </c>
      <c r="C154" s="12" t="s">
        <v>3190</v>
      </c>
      <c r="D154" s="12" t="s">
        <v>3632</v>
      </c>
      <c r="E154" s="12" t="s">
        <v>3633</v>
      </c>
      <c r="F154" s="12" t="s">
        <v>3634</v>
      </c>
      <c r="G154" s="9" t="s">
        <v>3194</v>
      </c>
      <c r="H154" s="33" t="s">
        <v>3195</v>
      </c>
      <c r="I154" s="34" t="s">
        <v>3196</v>
      </c>
      <c r="J154" s="35">
        <v>1</v>
      </c>
      <c r="K154" s="36">
        <v>12000</v>
      </c>
      <c r="L154" s="26">
        <f t="shared" ref="L154:L160" si="36">_STDPRE</f>
        <v>0</v>
      </c>
      <c r="M154" s="20">
        <f t="shared" ref="M154:M160" si="37">IFERROR(K154*(1+L154),0)</f>
        <v>12000</v>
      </c>
      <c r="N154" s="27">
        <f t="shared" ref="N154:N160" si="38">IF($I154="Y",N(J154)*N(M154),0)</f>
        <v>12000</v>
      </c>
      <c r="O154" s="31" t="s">
        <v>3635</v>
      </c>
    </row>
    <row r="155" spans="1:15" ht="21.75" customHeight="1" x14ac:dyDescent="0.25">
      <c r="A155" s="9" t="s">
        <v>3636</v>
      </c>
      <c r="B155" s="9" t="s">
        <v>3631</v>
      </c>
      <c r="C155" s="12" t="s">
        <v>3190</v>
      </c>
      <c r="D155" s="12" t="s">
        <v>3632</v>
      </c>
      <c r="E155" s="12" t="s">
        <v>3633</v>
      </c>
      <c r="F155" s="12" t="s">
        <v>3637</v>
      </c>
      <c r="G155" s="9" t="s">
        <v>3194</v>
      </c>
      <c r="H155" s="33" t="s">
        <v>3195</v>
      </c>
      <c r="I155" s="34" t="s">
        <v>3196</v>
      </c>
      <c r="J155" s="35">
        <v>1</v>
      </c>
      <c r="K155" s="36">
        <v>2500</v>
      </c>
      <c r="L155" s="26">
        <f t="shared" si="36"/>
        <v>0</v>
      </c>
      <c r="M155" s="20">
        <f t="shared" si="37"/>
        <v>2500</v>
      </c>
      <c r="N155" s="27">
        <f t="shared" si="38"/>
        <v>2500</v>
      </c>
      <c r="O155" s="31" t="s">
        <v>3638</v>
      </c>
    </row>
    <row r="156" spans="1:15" ht="21.75" customHeight="1" x14ac:dyDescent="0.25">
      <c r="A156" s="9" t="s">
        <v>3639</v>
      </c>
      <c r="B156" s="9" t="s">
        <v>3631</v>
      </c>
      <c r="C156" s="12" t="s">
        <v>3190</v>
      </c>
      <c r="D156" s="12" t="s">
        <v>3632</v>
      </c>
      <c r="E156" s="12" t="s">
        <v>3633</v>
      </c>
      <c r="F156" s="12" t="s">
        <v>3640</v>
      </c>
      <c r="G156" s="9" t="s">
        <v>3194</v>
      </c>
      <c r="H156" s="33" t="s">
        <v>3195</v>
      </c>
      <c r="I156" s="34" t="s">
        <v>3196</v>
      </c>
      <c r="J156" s="35">
        <v>1</v>
      </c>
      <c r="K156" s="36">
        <v>3500</v>
      </c>
      <c r="L156" s="26">
        <f t="shared" si="36"/>
        <v>0</v>
      </c>
      <c r="M156" s="20">
        <f t="shared" si="37"/>
        <v>3500</v>
      </c>
      <c r="N156" s="27">
        <f t="shared" si="38"/>
        <v>3500</v>
      </c>
      <c r="O156" s="31" t="s">
        <v>3641</v>
      </c>
    </row>
    <row r="157" spans="1:15" ht="21.75" customHeight="1" x14ac:dyDescent="0.25">
      <c r="A157" s="9" t="s">
        <v>3642</v>
      </c>
      <c r="B157" s="9" t="s">
        <v>3631</v>
      </c>
      <c r="C157" s="12" t="s">
        <v>3190</v>
      </c>
      <c r="D157" s="12" t="s">
        <v>3632</v>
      </c>
      <c r="E157" s="12" t="s">
        <v>3633</v>
      </c>
      <c r="F157" s="12" t="s">
        <v>3643</v>
      </c>
      <c r="G157" s="9" t="s">
        <v>3194</v>
      </c>
      <c r="H157" s="33" t="s">
        <v>3195</v>
      </c>
      <c r="I157" s="34" t="s">
        <v>3196</v>
      </c>
      <c r="J157" s="35">
        <v>1</v>
      </c>
      <c r="K157" s="36">
        <v>1500</v>
      </c>
      <c r="L157" s="26">
        <f t="shared" si="36"/>
        <v>0</v>
      </c>
      <c r="M157" s="20">
        <f t="shared" si="37"/>
        <v>1500</v>
      </c>
      <c r="N157" s="27">
        <f t="shared" si="38"/>
        <v>1500</v>
      </c>
      <c r="O157" s="31" t="s">
        <v>3644</v>
      </c>
    </row>
    <row r="158" spans="1:15" ht="21.75" customHeight="1" x14ac:dyDescent="0.25">
      <c r="A158" s="9" t="s">
        <v>3645</v>
      </c>
      <c r="B158" s="9" t="s">
        <v>3631</v>
      </c>
      <c r="C158" s="12" t="s">
        <v>3190</v>
      </c>
      <c r="D158" s="12" t="s">
        <v>3632</v>
      </c>
      <c r="E158" s="12" t="s">
        <v>3633</v>
      </c>
      <c r="F158" s="12" t="s">
        <v>3646</v>
      </c>
      <c r="G158" s="9" t="s">
        <v>3194</v>
      </c>
      <c r="H158" s="33" t="s">
        <v>3195</v>
      </c>
      <c r="I158" s="34" t="s">
        <v>3196</v>
      </c>
      <c r="J158" s="35">
        <v>1</v>
      </c>
      <c r="K158" s="36">
        <v>6000</v>
      </c>
      <c r="L158" s="26">
        <f t="shared" si="36"/>
        <v>0</v>
      </c>
      <c r="M158" s="20">
        <f t="shared" si="37"/>
        <v>6000</v>
      </c>
      <c r="N158" s="27">
        <f t="shared" si="38"/>
        <v>6000</v>
      </c>
      <c r="O158" s="31" t="s">
        <v>3647</v>
      </c>
    </row>
    <row r="159" spans="1:15" ht="21.75" customHeight="1" x14ac:dyDescent="0.25">
      <c r="A159" s="9" t="s">
        <v>3648</v>
      </c>
      <c r="B159" s="9" t="s">
        <v>3631</v>
      </c>
      <c r="C159" s="12" t="s">
        <v>3190</v>
      </c>
      <c r="D159" s="12" t="s">
        <v>3632</v>
      </c>
      <c r="E159" s="12" t="s">
        <v>3633</v>
      </c>
      <c r="F159" s="12" t="s">
        <v>3649</v>
      </c>
      <c r="G159" s="9" t="s">
        <v>3194</v>
      </c>
      <c r="H159" s="33" t="s">
        <v>3195</v>
      </c>
      <c r="I159" s="34" t="s">
        <v>3215</v>
      </c>
      <c r="J159" s="35">
        <v>1</v>
      </c>
      <c r="K159" s="36">
        <v>2500</v>
      </c>
      <c r="L159" s="26">
        <f t="shared" si="36"/>
        <v>0</v>
      </c>
      <c r="M159" s="20">
        <f t="shared" si="37"/>
        <v>2500</v>
      </c>
      <c r="N159" s="27">
        <f t="shared" si="38"/>
        <v>0</v>
      </c>
      <c r="O159" s="31" t="s">
        <v>3650</v>
      </c>
    </row>
    <row r="160" spans="1:15" ht="21.75" customHeight="1" x14ac:dyDescent="0.25">
      <c r="A160" s="9" t="s">
        <v>3651</v>
      </c>
      <c r="B160" s="9" t="s">
        <v>3631</v>
      </c>
      <c r="C160" s="12" t="s">
        <v>3190</v>
      </c>
      <c r="D160" s="12" t="s">
        <v>3632</v>
      </c>
      <c r="E160" s="12" t="s">
        <v>3633</v>
      </c>
      <c r="F160" s="12" t="s">
        <v>3652</v>
      </c>
      <c r="G160" s="9" t="s">
        <v>3194</v>
      </c>
      <c r="H160" s="33" t="s">
        <v>3195</v>
      </c>
      <c r="I160" s="34" t="s">
        <v>3215</v>
      </c>
      <c r="J160" s="35">
        <v>1</v>
      </c>
      <c r="K160" s="36">
        <v>2000</v>
      </c>
      <c r="L160" s="26">
        <f t="shared" si="36"/>
        <v>0</v>
      </c>
      <c r="M160" s="20">
        <f t="shared" si="37"/>
        <v>2000</v>
      </c>
      <c r="N160" s="27">
        <f t="shared" si="38"/>
        <v>0</v>
      </c>
      <c r="O160" s="31" t="s">
        <v>3653</v>
      </c>
    </row>
    <row r="161" spans="1:15" ht="15" customHeight="1" x14ac:dyDescent="0.25">
      <c r="A161" s="40"/>
      <c r="B161" s="40"/>
      <c r="C161" s="40"/>
      <c r="D161" s="40"/>
      <c r="E161" s="40"/>
      <c r="F161" s="41" t="s">
        <v>3654</v>
      </c>
      <c r="G161" s="40"/>
      <c r="H161" s="40"/>
      <c r="I161" s="40"/>
      <c r="J161" s="40"/>
      <c r="K161" s="40"/>
      <c r="L161" s="40"/>
      <c r="M161" s="40"/>
      <c r="N161" s="42">
        <f>SUM(N154:N160)</f>
        <v>25500</v>
      </c>
      <c r="O161" s="40"/>
    </row>
    <row r="162" spans="1:15" ht="15" customHeight="1" x14ac:dyDescent="0.25">
      <c r="A162" s="43"/>
      <c r="B162" s="43"/>
      <c r="C162" s="43"/>
      <c r="D162" s="43"/>
      <c r="E162" s="43"/>
      <c r="F162" s="44" t="s">
        <v>3655</v>
      </c>
      <c r="G162" s="43"/>
      <c r="H162" s="43"/>
      <c r="I162" s="43"/>
      <c r="J162" s="43"/>
      <c r="K162" s="43"/>
      <c r="L162" s="43"/>
      <c r="M162" s="43"/>
      <c r="N162" s="45">
        <f>N13+N21+N32+N39+N51+N58+N68+N81+N87+N99+N103+N109+N114+N119+N123+N128+N131+N136+N146+N153+N161</f>
        <v>735740</v>
      </c>
      <c r="O162" s="43"/>
    </row>
    <row r="164" spans="1:15" ht="15" customHeight="1" x14ac:dyDescent="0.25">
      <c r="F164" s="46" t="s">
        <v>3656</v>
      </c>
    </row>
    <row r="165" spans="1:15" ht="21.75" customHeight="1" x14ac:dyDescent="0.25">
      <c r="F165" s="47" t="s">
        <v>5</v>
      </c>
      <c r="G165" s="47" t="s">
        <v>8</v>
      </c>
      <c r="H165" s="47" t="s">
        <v>3187</v>
      </c>
    </row>
    <row r="166" spans="1:15" ht="32.25" customHeight="1" x14ac:dyDescent="0.25">
      <c r="F166" s="11" t="s">
        <v>3189</v>
      </c>
      <c r="G166" s="12" t="s">
        <v>3192</v>
      </c>
      <c r="H166" s="20">
        <f>N13</f>
        <v>35200</v>
      </c>
    </row>
    <row r="167" spans="1:15" ht="32.25" customHeight="1" x14ac:dyDescent="0.25">
      <c r="F167" s="11" t="s">
        <v>3222</v>
      </c>
      <c r="G167" s="12" t="s">
        <v>3223</v>
      </c>
      <c r="H167" s="20">
        <f>N21</f>
        <v>23500</v>
      </c>
    </row>
    <row r="168" spans="1:15" ht="21.75" customHeight="1" x14ac:dyDescent="0.25">
      <c r="F168" s="11" t="s">
        <v>3246</v>
      </c>
      <c r="G168" s="12" t="s">
        <v>3247</v>
      </c>
      <c r="H168" s="20">
        <f>N32</f>
        <v>51100</v>
      </c>
    </row>
    <row r="169" spans="1:15" ht="32.25" customHeight="1" x14ac:dyDescent="0.25">
      <c r="F169" s="11" t="s">
        <v>3278</v>
      </c>
      <c r="G169" s="12" t="s">
        <v>3279</v>
      </c>
      <c r="H169" s="20">
        <f>N39</f>
        <v>50400</v>
      </c>
    </row>
    <row r="170" spans="1:15" ht="21.75" customHeight="1" x14ac:dyDescent="0.25">
      <c r="F170" s="11" t="s">
        <v>3299</v>
      </c>
      <c r="G170" s="12" t="s">
        <v>3300</v>
      </c>
      <c r="H170" s="20">
        <f>N51</f>
        <v>145800</v>
      </c>
    </row>
    <row r="171" spans="1:15" ht="42.75" customHeight="1" x14ac:dyDescent="0.25">
      <c r="F171" s="11" t="s">
        <v>3335</v>
      </c>
      <c r="G171" s="12" t="s">
        <v>3336</v>
      </c>
      <c r="H171" s="20">
        <f>N58</f>
        <v>35100</v>
      </c>
    </row>
    <row r="172" spans="1:15" ht="53.25" customHeight="1" x14ac:dyDescent="0.25">
      <c r="F172" s="11" t="s">
        <v>3356</v>
      </c>
      <c r="G172" s="12" t="s">
        <v>3357</v>
      </c>
      <c r="H172" s="20">
        <f>N68</f>
        <v>39100</v>
      </c>
    </row>
    <row r="173" spans="1:15" ht="42.75" customHeight="1" x14ac:dyDescent="0.25">
      <c r="F173" s="11" t="s">
        <v>3385</v>
      </c>
      <c r="G173" s="12" t="s">
        <v>3386</v>
      </c>
      <c r="H173" s="20">
        <f>N81</f>
        <v>59400</v>
      </c>
    </row>
    <row r="174" spans="1:15" ht="32.25" customHeight="1" x14ac:dyDescent="0.25">
      <c r="F174" s="11" t="s">
        <v>3423</v>
      </c>
      <c r="G174" s="12" t="s">
        <v>3425</v>
      </c>
      <c r="H174" s="20">
        <f>N87</f>
        <v>0</v>
      </c>
    </row>
    <row r="175" spans="1:15" ht="32.25" customHeight="1" x14ac:dyDescent="0.25">
      <c r="F175" s="11" t="s">
        <v>3441</v>
      </c>
      <c r="G175" s="12" t="s">
        <v>3442</v>
      </c>
      <c r="H175" s="20">
        <f>N99</f>
        <v>143100</v>
      </c>
    </row>
    <row r="176" spans="1:15" ht="21.75" customHeight="1" x14ac:dyDescent="0.25">
      <c r="F176" s="11" t="s">
        <v>3471</v>
      </c>
      <c r="G176" s="12" t="s">
        <v>3472</v>
      </c>
      <c r="H176" s="20">
        <f>N103</f>
        <v>0</v>
      </c>
    </row>
    <row r="177" spans="6:8" ht="21.75" customHeight="1" x14ac:dyDescent="0.25">
      <c r="F177" s="11" t="s">
        <v>3483</v>
      </c>
      <c r="G177" s="12" t="s">
        <v>3484</v>
      </c>
      <c r="H177" s="20">
        <f>N109</f>
        <v>40800</v>
      </c>
    </row>
    <row r="178" spans="6:8" ht="32.25" customHeight="1" x14ac:dyDescent="0.25">
      <c r="F178" s="11" t="s">
        <v>3501</v>
      </c>
      <c r="G178" s="12" t="s">
        <v>3502</v>
      </c>
      <c r="H178" s="20">
        <f>N114</f>
        <v>12500</v>
      </c>
    </row>
    <row r="179" spans="6:8" ht="42.75" customHeight="1" x14ac:dyDescent="0.25">
      <c r="F179" s="11" t="s">
        <v>3516</v>
      </c>
      <c r="G179" s="12" t="s">
        <v>3517</v>
      </c>
      <c r="H179" s="20">
        <f>N119</f>
        <v>14940</v>
      </c>
    </row>
    <row r="180" spans="6:8" ht="21.75" customHeight="1" x14ac:dyDescent="0.25">
      <c r="F180" s="11" t="s">
        <v>3530</v>
      </c>
      <c r="G180" s="12" t="s">
        <v>3531</v>
      </c>
      <c r="H180" s="20">
        <f>N123</f>
        <v>1000</v>
      </c>
    </row>
    <row r="181" spans="6:8" ht="42.75" customHeight="1" x14ac:dyDescent="0.25">
      <c r="F181" s="11" t="s">
        <v>3542</v>
      </c>
      <c r="G181" s="12" t="s">
        <v>3543</v>
      </c>
      <c r="H181" s="20">
        <f>N128</f>
        <v>10500</v>
      </c>
    </row>
    <row r="182" spans="6:8" ht="21.75" customHeight="1" x14ac:dyDescent="0.25">
      <c r="F182" s="11" t="s">
        <v>3557</v>
      </c>
      <c r="G182" s="12" t="s">
        <v>3558</v>
      </c>
      <c r="H182" s="20">
        <f>N131</f>
        <v>3960</v>
      </c>
    </row>
    <row r="183" spans="6:8" ht="32.25" customHeight="1" x14ac:dyDescent="0.25">
      <c r="F183" s="11" t="s">
        <v>3566</v>
      </c>
      <c r="G183" s="12" t="s">
        <v>3567</v>
      </c>
      <c r="H183" s="20">
        <f>N136</f>
        <v>12540</v>
      </c>
    </row>
    <row r="184" spans="6:8" ht="21.75" customHeight="1" x14ac:dyDescent="0.25">
      <c r="F184" s="11" t="s">
        <v>3581</v>
      </c>
      <c r="G184" s="12" t="s">
        <v>3582</v>
      </c>
      <c r="H184" s="20">
        <f>N146</f>
        <v>25000</v>
      </c>
    </row>
    <row r="185" spans="6:8" ht="32.25" customHeight="1" x14ac:dyDescent="0.25">
      <c r="F185" s="11" t="s">
        <v>3610</v>
      </c>
      <c r="G185" s="12" t="s">
        <v>3611</v>
      </c>
      <c r="H185" s="20">
        <f>N153</f>
        <v>6300</v>
      </c>
    </row>
    <row r="186" spans="6:8" ht="42.75" customHeight="1" x14ac:dyDescent="0.25">
      <c r="F186" s="11" t="s">
        <v>3631</v>
      </c>
      <c r="G186" s="12" t="s">
        <v>3633</v>
      </c>
      <c r="H186" s="20">
        <f>N161</f>
        <v>25500</v>
      </c>
    </row>
    <row r="187" spans="6:8" ht="15" customHeight="1" x14ac:dyDescent="0.25">
      <c r="F187" s="43"/>
      <c r="G187" s="48" t="s">
        <v>3657</v>
      </c>
      <c r="H187" s="49">
        <f>N162</f>
        <v>735740</v>
      </c>
    </row>
  </sheetData>
  <dataValidations count="1">
    <dataValidation type="list" allowBlank="1" sqref="I6:I161" xr:uid="{00000000-0002-0000-0300-000000000000}">
      <formula1>"Y,N"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5" style="4" customWidth="1"/>
    <col min="2" max="2" width="10" style="4" customWidth="1"/>
    <col min="3" max="3" width="9" style="4" customWidth="1"/>
    <col min="4" max="4" width="16" style="4" customWidth="1"/>
    <col min="5" max="5" width="23" style="4" customWidth="1"/>
    <col min="6" max="6" width="21" style="4" customWidth="1"/>
    <col min="7" max="7" width="23" style="4" customWidth="1"/>
    <col min="8" max="8" width="52" style="4" customWidth="1"/>
    <col min="9" max="9" width="10" style="4" customWidth="1"/>
    <col min="10" max="10" width="7" style="4" customWidth="1"/>
    <col min="11" max="11" width="11" style="4" customWidth="1"/>
    <col min="12" max="12" width="12" style="4" customWidth="1"/>
    <col min="13" max="13" width="13" style="4" customWidth="1"/>
    <col min="14" max="14" width="12" style="4" customWidth="1"/>
    <col min="15" max="15" width="14" style="4" customWidth="1"/>
    <col min="16" max="16" width="12" style="4" customWidth="1"/>
    <col min="17" max="17" width="20" style="4" customWidth="1"/>
    <col min="18" max="20" width="3" style="4" hidden="1" customWidth="1"/>
  </cols>
  <sheetData>
    <row r="1" spans="1:20" ht="18" customHeight="1" x14ac:dyDescent="0.3">
      <c r="A1" s="5" t="s">
        <v>3658</v>
      </c>
    </row>
    <row r="2" spans="1:20" ht="15" customHeight="1" x14ac:dyDescent="0.25">
      <c r="A2" s="6" t="s">
        <v>3659</v>
      </c>
    </row>
    <row r="3" spans="1:20" ht="15" customHeight="1" x14ac:dyDescent="0.25">
      <c r="A3" s="7" t="s">
        <v>3660</v>
      </c>
    </row>
    <row r="4" spans="1:20" ht="15" customHeight="1" x14ac:dyDescent="0.25">
      <c r="N4" s="50" t="s">
        <v>3661</v>
      </c>
      <c r="O4" s="51">
        <f>SUM(O6:O305)</f>
        <v>0</v>
      </c>
    </row>
    <row r="5" spans="1:20" ht="27.75" customHeight="1" x14ac:dyDescent="0.25">
      <c r="A5" s="8" t="s">
        <v>3</v>
      </c>
      <c r="B5" s="8" t="s">
        <v>3662</v>
      </c>
      <c r="C5" s="8" t="s">
        <v>3663</v>
      </c>
      <c r="D5" s="8" t="s">
        <v>4</v>
      </c>
      <c r="E5" s="8" t="s">
        <v>6</v>
      </c>
      <c r="F5" s="8" t="s">
        <v>7</v>
      </c>
      <c r="G5" s="8" t="s">
        <v>8</v>
      </c>
      <c r="H5" s="8" t="s">
        <v>3664</v>
      </c>
      <c r="I5" s="8" t="s">
        <v>5</v>
      </c>
      <c r="J5" s="8" t="s">
        <v>1460</v>
      </c>
      <c r="K5" s="8" t="s">
        <v>3665</v>
      </c>
      <c r="L5" s="8" t="s">
        <v>2325</v>
      </c>
      <c r="M5" s="8" t="s">
        <v>2328</v>
      </c>
      <c r="N5" s="8" t="s">
        <v>1462</v>
      </c>
      <c r="O5" s="8" t="s">
        <v>3187</v>
      </c>
      <c r="P5" s="8" t="s">
        <v>2329</v>
      </c>
      <c r="Q5" s="8" t="s">
        <v>3666</v>
      </c>
      <c r="R5" s="8" t="s">
        <v>3667</v>
      </c>
      <c r="S5" s="8" t="s">
        <v>3668</v>
      </c>
      <c r="T5" s="8" t="s">
        <v>3669</v>
      </c>
    </row>
    <row r="6" spans="1:20" ht="15" customHeight="1" x14ac:dyDescent="0.25">
      <c r="A6" s="9" t="str">
        <f t="shared" ref="A6:A69" si="0">IF($E6="","",ROW()-5)</f>
        <v/>
      </c>
      <c r="B6" s="52"/>
      <c r="C6" s="52"/>
      <c r="D6" s="53"/>
      <c r="E6" s="53"/>
      <c r="F6" s="53"/>
      <c r="G6" s="53"/>
      <c r="H6" s="53"/>
      <c r="I6" s="54" t="str">
        <f>IFERROR(INDEX('Description Library'!$C$6:$C$808,MATCH($E6&amp;"|"&amp;$F6&amp;"|"&amp;$G6&amp;"|"&amp;$H6,'Description Library'!$K$6:$K$808,0)),"")</f>
        <v/>
      </c>
      <c r="J6" s="9" t="str">
        <f>IFERROR(INDEX('Description Library'!$H$6:$H$808,MATCH($E6&amp;"|"&amp;$F6&amp;"|"&amp;$G6&amp;"|"&amp;$H6,'Description Library'!$K$6:$K$808,0)),"")</f>
        <v/>
      </c>
      <c r="K6" s="55"/>
      <c r="L6" s="56">
        <f>IFERROR(INDEX('Price List Library'!$K$6:$K$437,MATCH(TRIM($H6)&amp;"|"&amp;TRIM($J6),'Price List Library'!$S$6:$S$437,0)),0)</f>
        <v>0</v>
      </c>
      <c r="M6" s="56">
        <f>IFERROR(INDEX('Price List Library'!$N$6:$N$437,MATCH(TRIM($H6)&amp;"|"&amp;TRIM($J6),'Price List Library'!$S$6:$S$437,0)),0)</f>
        <v>0</v>
      </c>
      <c r="N6" s="27">
        <f t="shared" ref="N6:N69" si="1">L6+M6</f>
        <v>0</v>
      </c>
      <c r="O6" s="27" t="str">
        <f t="shared" ref="O6:O69" si="2">IF($K6="","",$K6*$N6)</f>
        <v/>
      </c>
      <c r="P6" s="9" t="str">
        <f>IFERROR(INDEX('Price List Library'!$P$6:$P$437,MATCH(TRIM($H6)&amp;"|"&amp;TRIM($J6),'Price List Library'!$S$6:$S$437,0)),"")</f>
        <v/>
      </c>
      <c r="Q6" s="53"/>
      <c r="R6" s="29" t="str">
        <f t="shared" ref="R6:R69" si="3">IFERROR(VLOOKUP($E6,_MAPSEC,2,0),"_NONE")</f>
        <v>_NONE</v>
      </c>
      <c r="S6" s="29" t="str">
        <f t="shared" ref="S6:S69" si="4">IFERROR(VLOOKUP($E6&amp;"|"&amp;$F6,_MAPSUB,2,0),"_NONE")</f>
        <v>_NONE</v>
      </c>
      <c r="T6" s="29" t="str">
        <f t="shared" ref="T6:T69" si="5">IFERROR(VLOOKUP($E6&amp;"|"&amp;$F6&amp;"|"&amp;$G6,_MAPSE,2,0),"_NONE")</f>
        <v>_NONE</v>
      </c>
    </row>
    <row r="7" spans="1:20" ht="15" customHeight="1" x14ac:dyDescent="0.25">
      <c r="A7" s="9" t="str">
        <f t="shared" si="0"/>
        <v/>
      </c>
      <c r="B7" s="52"/>
      <c r="C7" s="52"/>
      <c r="D7" s="53"/>
      <c r="E7" s="53"/>
      <c r="F7" s="53"/>
      <c r="G7" s="53"/>
      <c r="H7" s="53"/>
      <c r="I7" s="54" t="str">
        <f>IFERROR(INDEX('Description Library'!$C$6:$C$808,MATCH($E7&amp;"|"&amp;$F7&amp;"|"&amp;$G7&amp;"|"&amp;$H7,'Description Library'!$K$6:$K$808,0)),"")</f>
        <v/>
      </c>
      <c r="J7" s="9" t="str">
        <f>IFERROR(INDEX('Description Library'!$H$6:$H$808,MATCH($E7&amp;"|"&amp;$F7&amp;"|"&amp;$G7&amp;"|"&amp;$H7,'Description Library'!$K$6:$K$808,0)),"")</f>
        <v/>
      </c>
      <c r="K7" s="55"/>
      <c r="L7" s="56">
        <f>IFERROR(INDEX('Price List Library'!$K$6:$K$437,MATCH(TRIM($H7)&amp;"|"&amp;TRIM($J7),'Price List Library'!$S$6:$S$437,0)),0)</f>
        <v>0</v>
      </c>
      <c r="M7" s="56">
        <f>IFERROR(INDEX('Price List Library'!$N$6:$N$437,MATCH(TRIM($H7)&amp;"|"&amp;TRIM($J7),'Price List Library'!$S$6:$S$437,0)),0)</f>
        <v>0</v>
      </c>
      <c r="N7" s="27">
        <f t="shared" si="1"/>
        <v>0</v>
      </c>
      <c r="O7" s="27" t="str">
        <f t="shared" si="2"/>
        <v/>
      </c>
      <c r="P7" s="9" t="str">
        <f>IFERROR(INDEX('Price List Library'!$P$6:$P$437,MATCH(TRIM($H7)&amp;"|"&amp;TRIM($J7),'Price List Library'!$S$6:$S$437,0)),"")</f>
        <v/>
      </c>
      <c r="Q7" s="53"/>
      <c r="R7" s="29" t="str">
        <f t="shared" si="3"/>
        <v>_NONE</v>
      </c>
      <c r="S7" s="29" t="str">
        <f t="shared" si="4"/>
        <v>_NONE</v>
      </c>
      <c r="T7" s="29" t="str">
        <f t="shared" si="5"/>
        <v>_NONE</v>
      </c>
    </row>
    <row r="8" spans="1:20" ht="15" customHeight="1" x14ac:dyDescent="0.25">
      <c r="A8" s="9" t="str">
        <f t="shared" si="0"/>
        <v/>
      </c>
      <c r="B8" s="52"/>
      <c r="C8" s="52"/>
      <c r="D8" s="53"/>
      <c r="E8" s="53"/>
      <c r="F8" s="53"/>
      <c r="G8" s="53"/>
      <c r="H8" s="53"/>
      <c r="I8" s="54" t="str">
        <f>IFERROR(INDEX('Description Library'!$C$6:$C$808,MATCH($E8&amp;"|"&amp;$F8&amp;"|"&amp;$G8&amp;"|"&amp;$H8,'Description Library'!$K$6:$K$808,0)),"")</f>
        <v/>
      </c>
      <c r="J8" s="9" t="str">
        <f>IFERROR(INDEX('Description Library'!$H$6:$H$808,MATCH($E8&amp;"|"&amp;$F8&amp;"|"&amp;$G8&amp;"|"&amp;$H8,'Description Library'!$K$6:$K$808,0)),"")</f>
        <v/>
      </c>
      <c r="K8" s="55"/>
      <c r="L8" s="56">
        <f>IFERROR(INDEX('Price List Library'!$K$6:$K$437,MATCH(TRIM($H8)&amp;"|"&amp;TRIM($J8),'Price List Library'!$S$6:$S$437,0)),0)</f>
        <v>0</v>
      </c>
      <c r="M8" s="56">
        <f>IFERROR(INDEX('Price List Library'!$N$6:$N$437,MATCH(TRIM($H8)&amp;"|"&amp;TRIM($J8),'Price List Library'!$S$6:$S$437,0)),0)</f>
        <v>0</v>
      </c>
      <c r="N8" s="27">
        <f t="shared" si="1"/>
        <v>0</v>
      </c>
      <c r="O8" s="27" t="str">
        <f t="shared" si="2"/>
        <v/>
      </c>
      <c r="P8" s="9" t="str">
        <f>IFERROR(INDEX('Price List Library'!$P$6:$P$437,MATCH(TRIM($H8)&amp;"|"&amp;TRIM($J8),'Price List Library'!$S$6:$S$437,0)),"")</f>
        <v/>
      </c>
      <c r="Q8" s="53"/>
      <c r="R8" s="29" t="str">
        <f t="shared" si="3"/>
        <v>_NONE</v>
      </c>
      <c r="S8" s="29" t="str">
        <f t="shared" si="4"/>
        <v>_NONE</v>
      </c>
      <c r="T8" s="29" t="str">
        <f t="shared" si="5"/>
        <v>_NONE</v>
      </c>
    </row>
    <row r="9" spans="1:20" ht="15" customHeight="1" x14ac:dyDescent="0.25">
      <c r="A9" s="9" t="str">
        <f t="shared" si="0"/>
        <v/>
      </c>
      <c r="B9" s="52"/>
      <c r="C9" s="52"/>
      <c r="D9" s="53"/>
      <c r="E9" s="53"/>
      <c r="F9" s="53"/>
      <c r="G9" s="53"/>
      <c r="H9" s="53"/>
      <c r="I9" s="54" t="str">
        <f>IFERROR(INDEX('Description Library'!$C$6:$C$808,MATCH($E9&amp;"|"&amp;$F9&amp;"|"&amp;$G9&amp;"|"&amp;$H9,'Description Library'!$K$6:$K$808,0)),"")</f>
        <v/>
      </c>
      <c r="J9" s="9" t="str">
        <f>IFERROR(INDEX('Description Library'!$H$6:$H$808,MATCH($E9&amp;"|"&amp;$F9&amp;"|"&amp;$G9&amp;"|"&amp;$H9,'Description Library'!$K$6:$K$808,0)),"")</f>
        <v/>
      </c>
      <c r="K9" s="55"/>
      <c r="L9" s="56">
        <f>IFERROR(INDEX('Price List Library'!$K$6:$K$437,MATCH(TRIM($H9)&amp;"|"&amp;TRIM($J9),'Price List Library'!$S$6:$S$437,0)),0)</f>
        <v>0</v>
      </c>
      <c r="M9" s="56">
        <f>IFERROR(INDEX('Price List Library'!$N$6:$N$437,MATCH(TRIM($H9)&amp;"|"&amp;TRIM($J9),'Price List Library'!$S$6:$S$437,0)),0)</f>
        <v>0</v>
      </c>
      <c r="N9" s="27">
        <f t="shared" si="1"/>
        <v>0</v>
      </c>
      <c r="O9" s="27" t="str">
        <f t="shared" si="2"/>
        <v/>
      </c>
      <c r="P9" s="9" t="str">
        <f>IFERROR(INDEX('Price List Library'!$P$6:$P$437,MATCH(TRIM($H9)&amp;"|"&amp;TRIM($J9),'Price List Library'!$S$6:$S$437,0)),"")</f>
        <v/>
      </c>
      <c r="Q9" s="53"/>
      <c r="R9" s="29" t="str">
        <f t="shared" si="3"/>
        <v>_NONE</v>
      </c>
      <c r="S9" s="29" t="str">
        <f t="shared" si="4"/>
        <v>_NONE</v>
      </c>
      <c r="T9" s="29" t="str">
        <f t="shared" si="5"/>
        <v>_NONE</v>
      </c>
    </row>
    <row r="10" spans="1:20" ht="15" customHeight="1" x14ac:dyDescent="0.25">
      <c r="A10" s="9" t="str">
        <f t="shared" si="0"/>
        <v/>
      </c>
      <c r="B10" s="52"/>
      <c r="C10" s="52"/>
      <c r="D10" s="53"/>
      <c r="E10" s="53"/>
      <c r="F10" s="53"/>
      <c r="G10" s="53"/>
      <c r="H10" s="53"/>
      <c r="I10" s="54" t="str">
        <f>IFERROR(INDEX('Description Library'!$C$6:$C$808,MATCH($E10&amp;"|"&amp;$F10&amp;"|"&amp;$G10&amp;"|"&amp;$H10,'Description Library'!$K$6:$K$808,0)),"")</f>
        <v/>
      </c>
      <c r="J10" s="9" t="str">
        <f>IFERROR(INDEX('Description Library'!$H$6:$H$808,MATCH($E10&amp;"|"&amp;$F10&amp;"|"&amp;$G10&amp;"|"&amp;$H10,'Description Library'!$K$6:$K$808,0)),"")</f>
        <v/>
      </c>
      <c r="K10" s="55"/>
      <c r="L10" s="56">
        <f>IFERROR(INDEX('Price List Library'!$K$6:$K$437,MATCH(TRIM($H10)&amp;"|"&amp;TRIM($J10),'Price List Library'!$S$6:$S$437,0)),0)</f>
        <v>0</v>
      </c>
      <c r="M10" s="56">
        <f>IFERROR(INDEX('Price List Library'!$N$6:$N$437,MATCH(TRIM($H10)&amp;"|"&amp;TRIM($J10),'Price List Library'!$S$6:$S$437,0)),0)</f>
        <v>0</v>
      </c>
      <c r="N10" s="27">
        <f t="shared" si="1"/>
        <v>0</v>
      </c>
      <c r="O10" s="27" t="str">
        <f t="shared" si="2"/>
        <v/>
      </c>
      <c r="P10" s="9" t="str">
        <f>IFERROR(INDEX('Price List Library'!$P$6:$P$437,MATCH(TRIM($H10)&amp;"|"&amp;TRIM($J10),'Price List Library'!$S$6:$S$437,0)),"")</f>
        <v/>
      </c>
      <c r="Q10" s="53"/>
      <c r="R10" s="29" t="str">
        <f t="shared" si="3"/>
        <v>_NONE</v>
      </c>
      <c r="S10" s="29" t="str">
        <f t="shared" si="4"/>
        <v>_NONE</v>
      </c>
      <c r="T10" s="29" t="str">
        <f t="shared" si="5"/>
        <v>_NONE</v>
      </c>
    </row>
    <row r="11" spans="1:20" ht="15" customHeight="1" x14ac:dyDescent="0.25">
      <c r="A11" s="9" t="str">
        <f t="shared" si="0"/>
        <v/>
      </c>
      <c r="B11" s="52"/>
      <c r="C11" s="52"/>
      <c r="D11" s="53"/>
      <c r="E11" s="53"/>
      <c r="F11" s="53"/>
      <c r="G11" s="53"/>
      <c r="H11" s="53"/>
      <c r="I11" s="54" t="str">
        <f>IFERROR(INDEX('Description Library'!$C$6:$C$808,MATCH($E11&amp;"|"&amp;$F11&amp;"|"&amp;$G11&amp;"|"&amp;$H11,'Description Library'!$K$6:$K$808,0)),"")</f>
        <v/>
      </c>
      <c r="J11" s="9" t="str">
        <f>IFERROR(INDEX('Description Library'!$H$6:$H$808,MATCH($E11&amp;"|"&amp;$F11&amp;"|"&amp;$G11&amp;"|"&amp;$H11,'Description Library'!$K$6:$K$808,0)),"")</f>
        <v/>
      </c>
      <c r="K11" s="55"/>
      <c r="L11" s="56">
        <f>IFERROR(INDEX('Price List Library'!$K$6:$K$437,MATCH(TRIM($H11)&amp;"|"&amp;TRIM($J11),'Price List Library'!$S$6:$S$437,0)),0)</f>
        <v>0</v>
      </c>
      <c r="M11" s="56">
        <f>IFERROR(INDEX('Price List Library'!$N$6:$N$437,MATCH(TRIM($H11)&amp;"|"&amp;TRIM($J11),'Price List Library'!$S$6:$S$437,0)),0)</f>
        <v>0</v>
      </c>
      <c r="N11" s="27">
        <f t="shared" si="1"/>
        <v>0</v>
      </c>
      <c r="O11" s="27" t="str">
        <f t="shared" si="2"/>
        <v/>
      </c>
      <c r="P11" s="9" t="str">
        <f>IFERROR(INDEX('Price List Library'!$P$6:$P$437,MATCH(TRIM($H11)&amp;"|"&amp;TRIM($J11),'Price List Library'!$S$6:$S$437,0)),"")</f>
        <v/>
      </c>
      <c r="Q11" s="53"/>
      <c r="R11" s="29" t="str">
        <f t="shared" si="3"/>
        <v>_NONE</v>
      </c>
      <c r="S11" s="29" t="str">
        <f t="shared" si="4"/>
        <v>_NONE</v>
      </c>
      <c r="T11" s="29" t="str">
        <f t="shared" si="5"/>
        <v>_NONE</v>
      </c>
    </row>
    <row r="12" spans="1:20" ht="15" customHeight="1" x14ac:dyDescent="0.25">
      <c r="A12" s="9" t="str">
        <f t="shared" si="0"/>
        <v/>
      </c>
      <c r="B12" s="52"/>
      <c r="C12" s="52"/>
      <c r="D12" s="53"/>
      <c r="E12" s="53"/>
      <c r="F12" s="53"/>
      <c r="G12" s="53"/>
      <c r="H12" s="53"/>
      <c r="I12" s="54" t="str">
        <f>IFERROR(INDEX('Description Library'!$C$6:$C$808,MATCH($E12&amp;"|"&amp;$F12&amp;"|"&amp;$G12&amp;"|"&amp;$H12,'Description Library'!$K$6:$K$808,0)),"")</f>
        <v/>
      </c>
      <c r="J12" s="9" t="str">
        <f>IFERROR(INDEX('Description Library'!$H$6:$H$808,MATCH($E12&amp;"|"&amp;$F12&amp;"|"&amp;$G12&amp;"|"&amp;$H12,'Description Library'!$K$6:$K$808,0)),"")</f>
        <v/>
      </c>
      <c r="K12" s="55"/>
      <c r="L12" s="56">
        <f>IFERROR(INDEX('Price List Library'!$K$6:$K$437,MATCH(TRIM($H12)&amp;"|"&amp;TRIM($J12),'Price List Library'!$S$6:$S$437,0)),0)</f>
        <v>0</v>
      </c>
      <c r="M12" s="56">
        <f>IFERROR(INDEX('Price List Library'!$N$6:$N$437,MATCH(TRIM($H12)&amp;"|"&amp;TRIM($J12),'Price List Library'!$S$6:$S$437,0)),0)</f>
        <v>0</v>
      </c>
      <c r="N12" s="27">
        <f t="shared" si="1"/>
        <v>0</v>
      </c>
      <c r="O12" s="27" t="str">
        <f t="shared" si="2"/>
        <v/>
      </c>
      <c r="P12" s="9" t="str">
        <f>IFERROR(INDEX('Price List Library'!$P$6:$P$437,MATCH(TRIM($H12)&amp;"|"&amp;TRIM($J12),'Price List Library'!$S$6:$S$437,0)),"")</f>
        <v/>
      </c>
      <c r="Q12" s="53"/>
      <c r="R12" s="29" t="str">
        <f t="shared" si="3"/>
        <v>_NONE</v>
      </c>
      <c r="S12" s="29" t="str">
        <f t="shared" si="4"/>
        <v>_NONE</v>
      </c>
      <c r="T12" s="29" t="str">
        <f t="shared" si="5"/>
        <v>_NONE</v>
      </c>
    </row>
    <row r="13" spans="1:20" ht="15" customHeight="1" x14ac:dyDescent="0.25">
      <c r="A13" s="9" t="str">
        <f t="shared" si="0"/>
        <v/>
      </c>
      <c r="B13" s="52"/>
      <c r="C13" s="52"/>
      <c r="D13" s="53"/>
      <c r="E13" s="53"/>
      <c r="F13" s="53"/>
      <c r="G13" s="53"/>
      <c r="H13" s="53"/>
      <c r="I13" s="54" t="str">
        <f>IFERROR(INDEX('Description Library'!$C$6:$C$808,MATCH($E13&amp;"|"&amp;$F13&amp;"|"&amp;$G13&amp;"|"&amp;$H13,'Description Library'!$K$6:$K$808,0)),"")</f>
        <v/>
      </c>
      <c r="J13" s="9" t="str">
        <f>IFERROR(INDEX('Description Library'!$H$6:$H$808,MATCH($E13&amp;"|"&amp;$F13&amp;"|"&amp;$G13&amp;"|"&amp;$H13,'Description Library'!$K$6:$K$808,0)),"")</f>
        <v/>
      </c>
      <c r="K13" s="55"/>
      <c r="L13" s="56">
        <f>IFERROR(INDEX('Price List Library'!$K$6:$K$437,MATCH(TRIM($H13)&amp;"|"&amp;TRIM($J13),'Price List Library'!$S$6:$S$437,0)),0)</f>
        <v>0</v>
      </c>
      <c r="M13" s="56">
        <f>IFERROR(INDEX('Price List Library'!$N$6:$N$437,MATCH(TRIM($H13)&amp;"|"&amp;TRIM($J13),'Price List Library'!$S$6:$S$437,0)),0)</f>
        <v>0</v>
      </c>
      <c r="N13" s="27">
        <f t="shared" si="1"/>
        <v>0</v>
      </c>
      <c r="O13" s="27" t="str">
        <f t="shared" si="2"/>
        <v/>
      </c>
      <c r="P13" s="9" t="str">
        <f>IFERROR(INDEX('Price List Library'!$P$6:$P$437,MATCH(TRIM($H13)&amp;"|"&amp;TRIM($J13),'Price List Library'!$S$6:$S$437,0)),"")</f>
        <v/>
      </c>
      <c r="Q13" s="53"/>
      <c r="R13" s="29" t="str">
        <f t="shared" si="3"/>
        <v>_NONE</v>
      </c>
      <c r="S13" s="29" t="str">
        <f t="shared" si="4"/>
        <v>_NONE</v>
      </c>
      <c r="T13" s="29" t="str">
        <f t="shared" si="5"/>
        <v>_NONE</v>
      </c>
    </row>
    <row r="14" spans="1:20" ht="15" customHeight="1" x14ac:dyDescent="0.25">
      <c r="A14" s="9" t="str">
        <f t="shared" si="0"/>
        <v/>
      </c>
      <c r="B14" s="52"/>
      <c r="C14" s="52"/>
      <c r="D14" s="53"/>
      <c r="E14" s="53"/>
      <c r="F14" s="53"/>
      <c r="G14" s="53"/>
      <c r="H14" s="53"/>
      <c r="I14" s="54" t="str">
        <f>IFERROR(INDEX('Description Library'!$C$6:$C$808,MATCH($E14&amp;"|"&amp;$F14&amp;"|"&amp;$G14&amp;"|"&amp;$H14,'Description Library'!$K$6:$K$808,0)),"")</f>
        <v/>
      </c>
      <c r="J14" s="9" t="str">
        <f>IFERROR(INDEX('Description Library'!$H$6:$H$808,MATCH($E14&amp;"|"&amp;$F14&amp;"|"&amp;$G14&amp;"|"&amp;$H14,'Description Library'!$K$6:$K$808,0)),"")</f>
        <v/>
      </c>
      <c r="K14" s="55"/>
      <c r="L14" s="56">
        <f>IFERROR(INDEX('Price List Library'!$K$6:$K$437,MATCH(TRIM($H14)&amp;"|"&amp;TRIM($J14),'Price List Library'!$S$6:$S$437,0)),0)</f>
        <v>0</v>
      </c>
      <c r="M14" s="56">
        <f>IFERROR(INDEX('Price List Library'!$N$6:$N$437,MATCH(TRIM($H14)&amp;"|"&amp;TRIM($J14),'Price List Library'!$S$6:$S$437,0)),0)</f>
        <v>0</v>
      </c>
      <c r="N14" s="27">
        <f t="shared" si="1"/>
        <v>0</v>
      </c>
      <c r="O14" s="27" t="str">
        <f t="shared" si="2"/>
        <v/>
      </c>
      <c r="P14" s="9" t="str">
        <f>IFERROR(INDEX('Price List Library'!$P$6:$P$437,MATCH(TRIM($H14)&amp;"|"&amp;TRIM($J14),'Price List Library'!$S$6:$S$437,0)),"")</f>
        <v/>
      </c>
      <c r="Q14" s="53"/>
      <c r="R14" s="29" t="str">
        <f t="shared" si="3"/>
        <v>_NONE</v>
      </c>
      <c r="S14" s="29" t="str">
        <f t="shared" si="4"/>
        <v>_NONE</v>
      </c>
      <c r="T14" s="29" t="str">
        <f t="shared" si="5"/>
        <v>_NONE</v>
      </c>
    </row>
    <row r="15" spans="1:20" ht="15" customHeight="1" x14ac:dyDescent="0.25">
      <c r="A15" s="9" t="str">
        <f t="shared" si="0"/>
        <v/>
      </c>
      <c r="B15" s="52"/>
      <c r="C15" s="52"/>
      <c r="D15" s="53"/>
      <c r="E15" s="53"/>
      <c r="F15" s="53"/>
      <c r="G15" s="53"/>
      <c r="H15" s="53"/>
      <c r="I15" s="54" t="str">
        <f>IFERROR(INDEX('Description Library'!$C$6:$C$808,MATCH($E15&amp;"|"&amp;$F15&amp;"|"&amp;$G15&amp;"|"&amp;$H15,'Description Library'!$K$6:$K$808,0)),"")</f>
        <v/>
      </c>
      <c r="J15" s="9" t="str">
        <f>IFERROR(INDEX('Description Library'!$H$6:$H$808,MATCH($E15&amp;"|"&amp;$F15&amp;"|"&amp;$G15&amp;"|"&amp;$H15,'Description Library'!$K$6:$K$808,0)),"")</f>
        <v/>
      </c>
      <c r="K15" s="55"/>
      <c r="L15" s="56">
        <f>IFERROR(INDEX('Price List Library'!$K$6:$K$437,MATCH(TRIM($H15)&amp;"|"&amp;TRIM($J15),'Price List Library'!$S$6:$S$437,0)),0)</f>
        <v>0</v>
      </c>
      <c r="M15" s="56">
        <f>IFERROR(INDEX('Price List Library'!$N$6:$N$437,MATCH(TRIM($H15)&amp;"|"&amp;TRIM($J15),'Price List Library'!$S$6:$S$437,0)),0)</f>
        <v>0</v>
      </c>
      <c r="N15" s="27">
        <f t="shared" si="1"/>
        <v>0</v>
      </c>
      <c r="O15" s="27" t="str">
        <f t="shared" si="2"/>
        <v/>
      </c>
      <c r="P15" s="9" t="str">
        <f>IFERROR(INDEX('Price List Library'!$P$6:$P$437,MATCH(TRIM($H15)&amp;"|"&amp;TRIM($J15),'Price List Library'!$S$6:$S$437,0)),"")</f>
        <v/>
      </c>
      <c r="Q15" s="53"/>
      <c r="R15" s="29" t="str">
        <f t="shared" si="3"/>
        <v>_NONE</v>
      </c>
      <c r="S15" s="29" t="str">
        <f t="shared" si="4"/>
        <v>_NONE</v>
      </c>
      <c r="T15" s="29" t="str">
        <f t="shared" si="5"/>
        <v>_NONE</v>
      </c>
    </row>
    <row r="16" spans="1:20" ht="15" customHeight="1" x14ac:dyDescent="0.25">
      <c r="A16" s="9" t="str">
        <f t="shared" si="0"/>
        <v/>
      </c>
      <c r="B16" s="52"/>
      <c r="C16" s="52"/>
      <c r="D16" s="53"/>
      <c r="E16" s="53"/>
      <c r="F16" s="53"/>
      <c r="G16" s="53"/>
      <c r="H16" s="53"/>
      <c r="I16" s="54" t="str">
        <f>IFERROR(INDEX('Description Library'!$C$6:$C$808,MATCH($E16&amp;"|"&amp;$F16&amp;"|"&amp;$G16&amp;"|"&amp;$H16,'Description Library'!$K$6:$K$808,0)),"")</f>
        <v/>
      </c>
      <c r="J16" s="9" t="str">
        <f>IFERROR(INDEX('Description Library'!$H$6:$H$808,MATCH($E16&amp;"|"&amp;$F16&amp;"|"&amp;$G16&amp;"|"&amp;$H16,'Description Library'!$K$6:$K$808,0)),"")</f>
        <v/>
      </c>
      <c r="K16" s="55"/>
      <c r="L16" s="56">
        <f>IFERROR(INDEX('Price List Library'!$K$6:$K$437,MATCH(TRIM($H16)&amp;"|"&amp;TRIM($J16),'Price List Library'!$S$6:$S$437,0)),0)</f>
        <v>0</v>
      </c>
      <c r="M16" s="56">
        <f>IFERROR(INDEX('Price List Library'!$N$6:$N$437,MATCH(TRIM($H16)&amp;"|"&amp;TRIM($J16),'Price List Library'!$S$6:$S$437,0)),0)</f>
        <v>0</v>
      </c>
      <c r="N16" s="27">
        <f t="shared" si="1"/>
        <v>0</v>
      </c>
      <c r="O16" s="27" t="str">
        <f t="shared" si="2"/>
        <v/>
      </c>
      <c r="P16" s="9" t="str">
        <f>IFERROR(INDEX('Price List Library'!$P$6:$P$437,MATCH(TRIM($H16)&amp;"|"&amp;TRIM($J16),'Price List Library'!$S$6:$S$437,0)),"")</f>
        <v/>
      </c>
      <c r="Q16" s="53"/>
      <c r="R16" s="29" t="str">
        <f t="shared" si="3"/>
        <v>_NONE</v>
      </c>
      <c r="S16" s="29" t="str">
        <f t="shared" si="4"/>
        <v>_NONE</v>
      </c>
      <c r="T16" s="29" t="str">
        <f t="shared" si="5"/>
        <v>_NONE</v>
      </c>
    </row>
    <row r="17" spans="1:20" ht="15" customHeight="1" x14ac:dyDescent="0.25">
      <c r="A17" s="9" t="str">
        <f t="shared" si="0"/>
        <v/>
      </c>
      <c r="B17" s="52"/>
      <c r="C17" s="52"/>
      <c r="D17" s="53"/>
      <c r="E17" s="53"/>
      <c r="F17" s="53"/>
      <c r="G17" s="53"/>
      <c r="H17" s="53"/>
      <c r="I17" s="54" t="str">
        <f>IFERROR(INDEX('Description Library'!$C$6:$C$808,MATCH($E17&amp;"|"&amp;$F17&amp;"|"&amp;$G17&amp;"|"&amp;$H17,'Description Library'!$K$6:$K$808,0)),"")</f>
        <v/>
      </c>
      <c r="J17" s="9" t="str">
        <f>IFERROR(INDEX('Description Library'!$H$6:$H$808,MATCH($E17&amp;"|"&amp;$F17&amp;"|"&amp;$G17&amp;"|"&amp;$H17,'Description Library'!$K$6:$K$808,0)),"")</f>
        <v/>
      </c>
      <c r="K17" s="55"/>
      <c r="L17" s="56">
        <f>IFERROR(INDEX('Price List Library'!$K$6:$K$437,MATCH(TRIM($H17)&amp;"|"&amp;TRIM($J17),'Price List Library'!$S$6:$S$437,0)),0)</f>
        <v>0</v>
      </c>
      <c r="M17" s="56">
        <f>IFERROR(INDEX('Price List Library'!$N$6:$N$437,MATCH(TRIM($H17)&amp;"|"&amp;TRIM($J17),'Price List Library'!$S$6:$S$437,0)),0)</f>
        <v>0</v>
      </c>
      <c r="N17" s="27">
        <f t="shared" si="1"/>
        <v>0</v>
      </c>
      <c r="O17" s="27" t="str">
        <f t="shared" si="2"/>
        <v/>
      </c>
      <c r="P17" s="9" t="str">
        <f>IFERROR(INDEX('Price List Library'!$P$6:$P$437,MATCH(TRIM($H17)&amp;"|"&amp;TRIM($J17),'Price List Library'!$S$6:$S$437,0)),"")</f>
        <v/>
      </c>
      <c r="Q17" s="53"/>
      <c r="R17" s="29" t="str">
        <f t="shared" si="3"/>
        <v>_NONE</v>
      </c>
      <c r="S17" s="29" t="str">
        <f t="shared" si="4"/>
        <v>_NONE</v>
      </c>
      <c r="T17" s="29" t="str">
        <f t="shared" si="5"/>
        <v>_NONE</v>
      </c>
    </row>
    <row r="18" spans="1:20" ht="15" customHeight="1" x14ac:dyDescent="0.25">
      <c r="A18" s="9" t="str">
        <f t="shared" si="0"/>
        <v/>
      </c>
      <c r="B18" s="52"/>
      <c r="C18" s="52"/>
      <c r="D18" s="53"/>
      <c r="E18" s="53"/>
      <c r="F18" s="53"/>
      <c r="G18" s="53"/>
      <c r="H18" s="53"/>
      <c r="I18" s="54" t="str">
        <f>IFERROR(INDEX('Description Library'!$C$6:$C$808,MATCH($E18&amp;"|"&amp;$F18&amp;"|"&amp;$G18&amp;"|"&amp;$H18,'Description Library'!$K$6:$K$808,0)),"")</f>
        <v/>
      </c>
      <c r="J18" s="9" t="str">
        <f>IFERROR(INDEX('Description Library'!$H$6:$H$808,MATCH($E18&amp;"|"&amp;$F18&amp;"|"&amp;$G18&amp;"|"&amp;$H18,'Description Library'!$K$6:$K$808,0)),"")</f>
        <v/>
      </c>
      <c r="K18" s="55"/>
      <c r="L18" s="56">
        <f>IFERROR(INDEX('Price List Library'!$K$6:$K$437,MATCH(TRIM($H18)&amp;"|"&amp;TRIM($J18),'Price List Library'!$S$6:$S$437,0)),0)</f>
        <v>0</v>
      </c>
      <c r="M18" s="56">
        <f>IFERROR(INDEX('Price List Library'!$N$6:$N$437,MATCH(TRIM($H18)&amp;"|"&amp;TRIM($J18),'Price List Library'!$S$6:$S$437,0)),0)</f>
        <v>0</v>
      </c>
      <c r="N18" s="27">
        <f t="shared" si="1"/>
        <v>0</v>
      </c>
      <c r="O18" s="27" t="str">
        <f t="shared" si="2"/>
        <v/>
      </c>
      <c r="P18" s="9" t="str">
        <f>IFERROR(INDEX('Price List Library'!$P$6:$P$437,MATCH(TRIM($H18)&amp;"|"&amp;TRIM($J18),'Price List Library'!$S$6:$S$437,0)),"")</f>
        <v/>
      </c>
      <c r="Q18" s="53"/>
      <c r="R18" s="29" t="str">
        <f t="shared" si="3"/>
        <v>_NONE</v>
      </c>
      <c r="S18" s="29" t="str">
        <f t="shared" si="4"/>
        <v>_NONE</v>
      </c>
      <c r="T18" s="29" t="str">
        <f t="shared" si="5"/>
        <v>_NONE</v>
      </c>
    </row>
    <row r="19" spans="1:20" ht="15" customHeight="1" x14ac:dyDescent="0.25">
      <c r="A19" s="9" t="str">
        <f t="shared" si="0"/>
        <v/>
      </c>
      <c r="B19" s="52"/>
      <c r="C19" s="52"/>
      <c r="D19" s="53"/>
      <c r="E19" s="53"/>
      <c r="F19" s="53"/>
      <c r="G19" s="53"/>
      <c r="H19" s="53"/>
      <c r="I19" s="54" t="str">
        <f>IFERROR(INDEX('Description Library'!$C$6:$C$808,MATCH($E19&amp;"|"&amp;$F19&amp;"|"&amp;$G19&amp;"|"&amp;$H19,'Description Library'!$K$6:$K$808,0)),"")</f>
        <v/>
      </c>
      <c r="J19" s="9" t="str">
        <f>IFERROR(INDEX('Description Library'!$H$6:$H$808,MATCH($E19&amp;"|"&amp;$F19&amp;"|"&amp;$G19&amp;"|"&amp;$H19,'Description Library'!$K$6:$K$808,0)),"")</f>
        <v/>
      </c>
      <c r="K19" s="55"/>
      <c r="L19" s="56">
        <f>IFERROR(INDEX('Price List Library'!$K$6:$K$437,MATCH(TRIM($H19)&amp;"|"&amp;TRIM($J19),'Price List Library'!$S$6:$S$437,0)),0)</f>
        <v>0</v>
      </c>
      <c r="M19" s="56">
        <f>IFERROR(INDEX('Price List Library'!$N$6:$N$437,MATCH(TRIM($H19)&amp;"|"&amp;TRIM($J19),'Price List Library'!$S$6:$S$437,0)),0)</f>
        <v>0</v>
      </c>
      <c r="N19" s="27">
        <f t="shared" si="1"/>
        <v>0</v>
      </c>
      <c r="O19" s="27" t="str">
        <f t="shared" si="2"/>
        <v/>
      </c>
      <c r="P19" s="9" t="str">
        <f>IFERROR(INDEX('Price List Library'!$P$6:$P$437,MATCH(TRIM($H19)&amp;"|"&amp;TRIM($J19),'Price List Library'!$S$6:$S$437,0)),"")</f>
        <v/>
      </c>
      <c r="Q19" s="53"/>
      <c r="R19" s="29" t="str">
        <f t="shared" si="3"/>
        <v>_NONE</v>
      </c>
      <c r="S19" s="29" t="str">
        <f t="shared" si="4"/>
        <v>_NONE</v>
      </c>
      <c r="T19" s="29" t="str">
        <f t="shared" si="5"/>
        <v>_NONE</v>
      </c>
    </row>
    <row r="20" spans="1:20" ht="15" customHeight="1" x14ac:dyDescent="0.25">
      <c r="A20" s="9" t="str">
        <f t="shared" si="0"/>
        <v/>
      </c>
      <c r="B20" s="52"/>
      <c r="C20" s="52"/>
      <c r="D20" s="53"/>
      <c r="E20" s="53"/>
      <c r="F20" s="53"/>
      <c r="G20" s="53"/>
      <c r="H20" s="53"/>
      <c r="I20" s="54" t="str">
        <f>IFERROR(INDEX('Description Library'!$C$6:$C$808,MATCH($E20&amp;"|"&amp;$F20&amp;"|"&amp;$G20&amp;"|"&amp;$H20,'Description Library'!$K$6:$K$808,0)),"")</f>
        <v/>
      </c>
      <c r="J20" s="9" t="str">
        <f>IFERROR(INDEX('Description Library'!$H$6:$H$808,MATCH($E20&amp;"|"&amp;$F20&amp;"|"&amp;$G20&amp;"|"&amp;$H20,'Description Library'!$K$6:$K$808,0)),"")</f>
        <v/>
      </c>
      <c r="K20" s="55"/>
      <c r="L20" s="56">
        <f>IFERROR(INDEX('Price List Library'!$K$6:$K$437,MATCH(TRIM($H20)&amp;"|"&amp;TRIM($J20),'Price List Library'!$S$6:$S$437,0)),0)</f>
        <v>0</v>
      </c>
      <c r="M20" s="56">
        <f>IFERROR(INDEX('Price List Library'!$N$6:$N$437,MATCH(TRIM($H20)&amp;"|"&amp;TRIM($J20),'Price List Library'!$S$6:$S$437,0)),0)</f>
        <v>0</v>
      </c>
      <c r="N20" s="27">
        <f t="shared" si="1"/>
        <v>0</v>
      </c>
      <c r="O20" s="27" t="str">
        <f t="shared" si="2"/>
        <v/>
      </c>
      <c r="P20" s="9" t="str">
        <f>IFERROR(INDEX('Price List Library'!$P$6:$P$437,MATCH(TRIM($H20)&amp;"|"&amp;TRIM($J20),'Price List Library'!$S$6:$S$437,0)),"")</f>
        <v/>
      </c>
      <c r="Q20" s="53"/>
      <c r="R20" s="29" t="str">
        <f t="shared" si="3"/>
        <v>_NONE</v>
      </c>
      <c r="S20" s="29" t="str">
        <f t="shared" si="4"/>
        <v>_NONE</v>
      </c>
      <c r="T20" s="29" t="str">
        <f t="shared" si="5"/>
        <v>_NONE</v>
      </c>
    </row>
    <row r="21" spans="1:20" ht="15" customHeight="1" x14ac:dyDescent="0.25">
      <c r="A21" s="9" t="str">
        <f t="shared" si="0"/>
        <v/>
      </c>
      <c r="B21" s="52"/>
      <c r="C21" s="52"/>
      <c r="D21" s="53"/>
      <c r="E21" s="53"/>
      <c r="F21" s="53"/>
      <c r="G21" s="53"/>
      <c r="H21" s="53"/>
      <c r="I21" s="54" t="str">
        <f>IFERROR(INDEX('Description Library'!$C$6:$C$808,MATCH($E21&amp;"|"&amp;$F21&amp;"|"&amp;$G21&amp;"|"&amp;$H21,'Description Library'!$K$6:$K$808,0)),"")</f>
        <v/>
      </c>
      <c r="J21" s="9" t="str">
        <f>IFERROR(INDEX('Description Library'!$H$6:$H$808,MATCH($E21&amp;"|"&amp;$F21&amp;"|"&amp;$G21&amp;"|"&amp;$H21,'Description Library'!$K$6:$K$808,0)),"")</f>
        <v/>
      </c>
      <c r="K21" s="55"/>
      <c r="L21" s="56">
        <f>IFERROR(INDEX('Price List Library'!$K$6:$K$437,MATCH(TRIM($H21)&amp;"|"&amp;TRIM($J21),'Price List Library'!$S$6:$S$437,0)),0)</f>
        <v>0</v>
      </c>
      <c r="M21" s="56">
        <f>IFERROR(INDEX('Price List Library'!$N$6:$N$437,MATCH(TRIM($H21)&amp;"|"&amp;TRIM($J21),'Price List Library'!$S$6:$S$437,0)),0)</f>
        <v>0</v>
      </c>
      <c r="N21" s="27">
        <f t="shared" si="1"/>
        <v>0</v>
      </c>
      <c r="O21" s="27" t="str">
        <f t="shared" si="2"/>
        <v/>
      </c>
      <c r="P21" s="9" t="str">
        <f>IFERROR(INDEX('Price List Library'!$P$6:$P$437,MATCH(TRIM($H21)&amp;"|"&amp;TRIM($J21),'Price List Library'!$S$6:$S$437,0)),"")</f>
        <v/>
      </c>
      <c r="Q21" s="53"/>
      <c r="R21" s="29" t="str">
        <f t="shared" si="3"/>
        <v>_NONE</v>
      </c>
      <c r="S21" s="29" t="str">
        <f t="shared" si="4"/>
        <v>_NONE</v>
      </c>
      <c r="T21" s="29" t="str">
        <f t="shared" si="5"/>
        <v>_NONE</v>
      </c>
    </row>
    <row r="22" spans="1:20" ht="15" customHeight="1" x14ac:dyDescent="0.25">
      <c r="A22" s="9" t="str">
        <f t="shared" si="0"/>
        <v/>
      </c>
      <c r="B22" s="52"/>
      <c r="C22" s="52"/>
      <c r="D22" s="53"/>
      <c r="E22" s="53"/>
      <c r="F22" s="53"/>
      <c r="G22" s="53"/>
      <c r="H22" s="53"/>
      <c r="I22" s="54" t="str">
        <f>IFERROR(INDEX('Description Library'!$C$6:$C$808,MATCH($E22&amp;"|"&amp;$F22&amp;"|"&amp;$G22&amp;"|"&amp;$H22,'Description Library'!$K$6:$K$808,0)),"")</f>
        <v/>
      </c>
      <c r="J22" s="9" t="str">
        <f>IFERROR(INDEX('Description Library'!$H$6:$H$808,MATCH($E22&amp;"|"&amp;$F22&amp;"|"&amp;$G22&amp;"|"&amp;$H22,'Description Library'!$K$6:$K$808,0)),"")</f>
        <v/>
      </c>
      <c r="K22" s="55"/>
      <c r="L22" s="56">
        <f>IFERROR(INDEX('Price List Library'!$K$6:$K$437,MATCH(TRIM($H22)&amp;"|"&amp;TRIM($J22),'Price List Library'!$S$6:$S$437,0)),0)</f>
        <v>0</v>
      </c>
      <c r="M22" s="56">
        <f>IFERROR(INDEX('Price List Library'!$N$6:$N$437,MATCH(TRIM($H22)&amp;"|"&amp;TRIM($J22),'Price List Library'!$S$6:$S$437,0)),0)</f>
        <v>0</v>
      </c>
      <c r="N22" s="27">
        <f t="shared" si="1"/>
        <v>0</v>
      </c>
      <c r="O22" s="27" t="str">
        <f t="shared" si="2"/>
        <v/>
      </c>
      <c r="P22" s="9" t="str">
        <f>IFERROR(INDEX('Price List Library'!$P$6:$P$437,MATCH(TRIM($H22)&amp;"|"&amp;TRIM($J22),'Price List Library'!$S$6:$S$437,0)),"")</f>
        <v/>
      </c>
      <c r="Q22" s="53"/>
      <c r="R22" s="29" t="str">
        <f t="shared" si="3"/>
        <v>_NONE</v>
      </c>
      <c r="S22" s="29" t="str">
        <f t="shared" si="4"/>
        <v>_NONE</v>
      </c>
      <c r="T22" s="29" t="str">
        <f t="shared" si="5"/>
        <v>_NONE</v>
      </c>
    </row>
    <row r="23" spans="1:20" ht="15" customHeight="1" x14ac:dyDescent="0.25">
      <c r="A23" s="9" t="str">
        <f t="shared" si="0"/>
        <v/>
      </c>
      <c r="B23" s="52"/>
      <c r="C23" s="52"/>
      <c r="D23" s="53"/>
      <c r="E23" s="53"/>
      <c r="F23" s="53"/>
      <c r="G23" s="53"/>
      <c r="H23" s="53"/>
      <c r="I23" s="54" t="str">
        <f>IFERROR(INDEX('Description Library'!$C$6:$C$808,MATCH($E23&amp;"|"&amp;$F23&amp;"|"&amp;$G23&amp;"|"&amp;$H23,'Description Library'!$K$6:$K$808,0)),"")</f>
        <v/>
      </c>
      <c r="J23" s="9" t="str">
        <f>IFERROR(INDEX('Description Library'!$H$6:$H$808,MATCH($E23&amp;"|"&amp;$F23&amp;"|"&amp;$G23&amp;"|"&amp;$H23,'Description Library'!$K$6:$K$808,0)),"")</f>
        <v/>
      </c>
      <c r="K23" s="55"/>
      <c r="L23" s="56">
        <f>IFERROR(INDEX('Price List Library'!$K$6:$K$437,MATCH(TRIM($H23)&amp;"|"&amp;TRIM($J23),'Price List Library'!$S$6:$S$437,0)),0)</f>
        <v>0</v>
      </c>
      <c r="M23" s="56">
        <f>IFERROR(INDEX('Price List Library'!$N$6:$N$437,MATCH(TRIM($H23)&amp;"|"&amp;TRIM($J23),'Price List Library'!$S$6:$S$437,0)),0)</f>
        <v>0</v>
      </c>
      <c r="N23" s="27">
        <f t="shared" si="1"/>
        <v>0</v>
      </c>
      <c r="O23" s="27" t="str">
        <f t="shared" si="2"/>
        <v/>
      </c>
      <c r="P23" s="9" t="str">
        <f>IFERROR(INDEX('Price List Library'!$P$6:$P$437,MATCH(TRIM($H23)&amp;"|"&amp;TRIM($J23),'Price List Library'!$S$6:$S$437,0)),"")</f>
        <v/>
      </c>
      <c r="Q23" s="53"/>
      <c r="R23" s="29" t="str">
        <f t="shared" si="3"/>
        <v>_NONE</v>
      </c>
      <c r="S23" s="29" t="str">
        <f t="shared" si="4"/>
        <v>_NONE</v>
      </c>
      <c r="T23" s="29" t="str">
        <f t="shared" si="5"/>
        <v>_NONE</v>
      </c>
    </row>
    <row r="24" spans="1:20" ht="15" customHeight="1" x14ac:dyDescent="0.25">
      <c r="A24" s="9" t="str">
        <f t="shared" si="0"/>
        <v/>
      </c>
      <c r="B24" s="52"/>
      <c r="C24" s="52"/>
      <c r="D24" s="53"/>
      <c r="E24" s="53"/>
      <c r="F24" s="53"/>
      <c r="G24" s="53"/>
      <c r="H24" s="53"/>
      <c r="I24" s="54" t="str">
        <f>IFERROR(INDEX('Description Library'!$C$6:$C$808,MATCH($E24&amp;"|"&amp;$F24&amp;"|"&amp;$G24&amp;"|"&amp;$H24,'Description Library'!$K$6:$K$808,0)),"")</f>
        <v/>
      </c>
      <c r="J24" s="9" t="str">
        <f>IFERROR(INDEX('Description Library'!$H$6:$H$808,MATCH($E24&amp;"|"&amp;$F24&amp;"|"&amp;$G24&amp;"|"&amp;$H24,'Description Library'!$K$6:$K$808,0)),"")</f>
        <v/>
      </c>
      <c r="K24" s="55"/>
      <c r="L24" s="56">
        <f>IFERROR(INDEX('Price List Library'!$K$6:$K$437,MATCH(TRIM($H24)&amp;"|"&amp;TRIM($J24),'Price List Library'!$S$6:$S$437,0)),0)</f>
        <v>0</v>
      </c>
      <c r="M24" s="56">
        <f>IFERROR(INDEX('Price List Library'!$N$6:$N$437,MATCH(TRIM($H24)&amp;"|"&amp;TRIM($J24),'Price List Library'!$S$6:$S$437,0)),0)</f>
        <v>0</v>
      </c>
      <c r="N24" s="27">
        <f t="shared" si="1"/>
        <v>0</v>
      </c>
      <c r="O24" s="27" t="str">
        <f t="shared" si="2"/>
        <v/>
      </c>
      <c r="P24" s="9" t="str">
        <f>IFERROR(INDEX('Price List Library'!$P$6:$P$437,MATCH(TRIM($H24)&amp;"|"&amp;TRIM($J24),'Price List Library'!$S$6:$S$437,0)),"")</f>
        <v/>
      </c>
      <c r="Q24" s="53"/>
      <c r="R24" s="29" t="str">
        <f t="shared" si="3"/>
        <v>_NONE</v>
      </c>
      <c r="S24" s="29" t="str">
        <f t="shared" si="4"/>
        <v>_NONE</v>
      </c>
      <c r="T24" s="29" t="str">
        <f t="shared" si="5"/>
        <v>_NONE</v>
      </c>
    </row>
    <row r="25" spans="1:20" ht="15" customHeight="1" x14ac:dyDescent="0.25">
      <c r="A25" s="9" t="str">
        <f t="shared" si="0"/>
        <v/>
      </c>
      <c r="B25" s="52"/>
      <c r="C25" s="52"/>
      <c r="D25" s="53"/>
      <c r="E25" s="53"/>
      <c r="F25" s="53"/>
      <c r="G25" s="53"/>
      <c r="H25" s="53"/>
      <c r="I25" s="54" t="str">
        <f>IFERROR(INDEX('Description Library'!$C$6:$C$808,MATCH($E25&amp;"|"&amp;$F25&amp;"|"&amp;$G25&amp;"|"&amp;$H25,'Description Library'!$K$6:$K$808,0)),"")</f>
        <v/>
      </c>
      <c r="J25" s="9" t="str">
        <f>IFERROR(INDEX('Description Library'!$H$6:$H$808,MATCH($E25&amp;"|"&amp;$F25&amp;"|"&amp;$G25&amp;"|"&amp;$H25,'Description Library'!$K$6:$K$808,0)),"")</f>
        <v/>
      </c>
      <c r="K25" s="55"/>
      <c r="L25" s="56">
        <f>IFERROR(INDEX('Price List Library'!$K$6:$K$437,MATCH(TRIM($H25)&amp;"|"&amp;TRIM($J25),'Price List Library'!$S$6:$S$437,0)),0)</f>
        <v>0</v>
      </c>
      <c r="M25" s="56">
        <f>IFERROR(INDEX('Price List Library'!$N$6:$N$437,MATCH(TRIM($H25)&amp;"|"&amp;TRIM($J25),'Price List Library'!$S$6:$S$437,0)),0)</f>
        <v>0</v>
      </c>
      <c r="N25" s="27">
        <f t="shared" si="1"/>
        <v>0</v>
      </c>
      <c r="O25" s="27" t="str">
        <f t="shared" si="2"/>
        <v/>
      </c>
      <c r="P25" s="9" t="str">
        <f>IFERROR(INDEX('Price List Library'!$P$6:$P$437,MATCH(TRIM($H25)&amp;"|"&amp;TRIM($J25),'Price List Library'!$S$6:$S$437,0)),"")</f>
        <v/>
      </c>
      <c r="Q25" s="53"/>
      <c r="R25" s="29" t="str">
        <f t="shared" si="3"/>
        <v>_NONE</v>
      </c>
      <c r="S25" s="29" t="str">
        <f t="shared" si="4"/>
        <v>_NONE</v>
      </c>
      <c r="T25" s="29" t="str">
        <f t="shared" si="5"/>
        <v>_NONE</v>
      </c>
    </row>
    <row r="26" spans="1:20" ht="15" customHeight="1" x14ac:dyDescent="0.25">
      <c r="A26" s="9" t="str">
        <f t="shared" si="0"/>
        <v/>
      </c>
      <c r="B26" s="52"/>
      <c r="C26" s="52"/>
      <c r="D26" s="53"/>
      <c r="E26" s="53"/>
      <c r="F26" s="53"/>
      <c r="G26" s="53"/>
      <c r="H26" s="53"/>
      <c r="I26" s="54" t="str">
        <f>IFERROR(INDEX('Description Library'!$C$6:$C$808,MATCH($E26&amp;"|"&amp;$F26&amp;"|"&amp;$G26&amp;"|"&amp;$H26,'Description Library'!$K$6:$K$808,0)),"")</f>
        <v/>
      </c>
      <c r="J26" s="9" t="str">
        <f>IFERROR(INDEX('Description Library'!$H$6:$H$808,MATCH($E26&amp;"|"&amp;$F26&amp;"|"&amp;$G26&amp;"|"&amp;$H26,'Description Library'!$K$6:$K$808,0)),"")</f>
        <v/>
      </c>
      <c r="K26" s="55"/>
      <c r="L26" s="56">
        <f>IFERROR(INDEX('Price List Library'!$K$6:$K$437,MATCH(TRIM($H26)&amp;"|"&amp;TRIM($J26),'Price List Library'!$S$6:$S$437,0)),0)</f>
        <v>0</v>
      </c>
      <c r="M26" s="56">
        <f>IFERROR(INDEX('Price List Library'!$N$6:$N$437,MATCH(TRIM($H26)&amp;"|"&amp;TRIM($J26),'Price List Library'!$S$6:$S$437,0)),0)</f>
        <v>0</v>
      </c>
      <c r="N26" s="27">
        <f t="shared" si="1"/>
        <v>0</v>
      </c>
      <c r="O26" s="27" t="str">
        <f t="shared" si="2"/>
        <v/>
      </c>
      <c r="P26" s="9" t="str">
        <f>IFERROR(INDEX('Price List Library'!$P$6:$P$437,MATCH(TRIM($H26)&amp;"|"&amp;TRIM($J26),'Price List Library'!$S$6:$S$437,0)),"")</f>
        <v/>
      </c>
      <c r="Q26" s="53"/>
      <c r="R26" s="29" t="str">
        <f t="shared" si="3"/>
        <v>_NONE</v>
      </c>
      <c r="S26" s="29" t="str">
        <f t="shared" si="4"/>
        <v>_NONE</v>
      </c>
      <c r="T26" s="29" t="str">
        <f t="shared" si="5"/>
        <v>_NONE</v>
      </c>
    </row>
    <row r="27" spans="1:20" ht="15" customHeight="1" x14ac:dyDescent="0.25">
      <c r="A27" s="9" t="str">
        <f t="shared" si="0"/>
        <v/>
      </c>
      <c r="B27" s="52"/>
      <c r="C27" s="52"/>
      <c r="D27" s="53"/>
      <c r="E27" s="53"/>
      <c r="F27" s="53"/>
      <c r="G27" s="53"/>
      <c r="H27" s="53"/>
      <c r="I27" s="54" t="str">
        <f>IFERROR(INDEX('Description Library'!$C$6:$C$808,MATCH($E27&amp;"|"&amp;$F27&amp;"|"&amp;$G27&amp;"|"&amp;$H27,'Description Library'!$K$6:$K$808,0)),"")</f>
        <v/>
      </c>
      <c r="J27" s="9" t="str">
        <f>IFERROR(INDEX('Description Library'!$H$6:$H$808,MATCH($E27&amp;"|"&amp;$F27&amp;"|"&amp;$G27&amp;"|"&amp;$H27,'Description Library'!$K$6:$K$808,0)),"")</f>
        <v/>
      </c>
      <c r="K27" s="55"/>
      <c r="L27" s="56">
        <f>IFERROR(INDEX('Price List Library'!$K$6:$K$437,MATCH(TRIM($H27)&amp;"|"&amp;TRIM($J27),'Price List Library'!$S$6:$S$437,0)),0)</f>
        <v>0</v>
      </c>
      <c r="M27" s="56">
        <f>IFERROR(INDEX('Price List Library'!$N$6:$N$437,MATCH(TRIM($H27)&amp;"|"&amp;TRIM($J27),'Price List Library'!$S$6:$S$437,0)),0)</f>
        <v>0</v>
      </c>
      <c r="N27" s="27">
        <f t="shared" si="1"/>
        <v>0</v>
      </c>
      <c r="O27" s="27" t="str">
        <f t="shared" si="2"/>
        <v/>
      </c>
      <c r="P27" s="9" t="str">
        <f>IFERROR(INDEX('Price List Library'!$P$6:$P$437,MATCH(TRIM($H27)&amp;"|"&amp;TRIM($J27),'Price List Library'!$S$6:$S$437,0)),"")</f>
        <v/>
      </c>
      <c r="Q27" s="53"/>
      <c r="R27" s="29" t="str">
        <f t="shared" si="3"/>
        <v>_NONE</v>
      </c>
      <c r="S27" s="29" t="str">
        <f t="shared" si="4"/>
        <v>_NONE</v>
      </c>
      <c r="T27" s="29" t="str">
        <f t="shared" si="5"/>
        <v>_NONE</v>
      </c>
    </row>
    <row r="28" spans="1:20" ht="15" customHeight="1" x14ac:dyDescent="0.25">
      <c r="A28" s="9" t="str">
        <f t="shared" si="0"/>
        <v/>
      </c>
      <c r="B28" s="52"/>
      <c r="C28" s="52"/>
      <c r="D28" s="53"/>
      <c r="E28" s="53"/>
      <c r="F28" s="53"/>
      <c r="G28" s="53"/>
      <c r="H28" s="53"/>
      <c r="I28" s="54" t="str">
        <f>IFERROR(INDEX('Description Library'!$C$6:$C$808,MATCH($E28&amp;"|"&amp;$F28&amp;"|"&amp;$G28&amp;"|"&amp;$H28,'Description Library'!$K$6:$K$808,0)),"")</f>
        <v/>
      </c>
      <c r="J28" s="9" t="str">
        <f>IFERROR(INDEX('Description Library'!$H$6:$H$808,MATCH($E28&amp;"|"&amp;$F28&amp;"|"&amp;$G28&amp;"|"&amp;$H28,'Description Library'!$K$6:$K$808,0)),"")</f>
        <v/>
      </c>
      <c r="K28" s="55"/>
      <c r="L28" s="56">
        <f>IFERROR(INDEX('Price List Library'!$K$6:$K$437,MATCH(TRIM($H28)&amp;"|"&amp;TRIM($J28),'Price List Library'!$S$6:$S$437,0)),0)</f>
        <v>0</v>
      </c>
      <c r="M28" s="56">
        <f>IFERROR(INDEX('Price List Library'!$N$6:$N$437,MATCH(TRIM($H28)&amp;"|"&amp;TRIM($J28),'Price List Library'!$S$6:$S$437,0)),0)</f>
        <v>0</v>
      </c>
      <c r="N28" s="27">
        <f t="shared" si="1"/>
        <v>0</v>
      </c>
      <c r="O28" s="27" t="str">
        <f t="shared" si="2"/>
        <v/>
      </c>
      <c r="P28" s="9" t="str">
        <f>IFERROR(INDEX('Price List Library'!$P$6:$P$437,MATCH(TRIM($H28)&amp;"|"&amp;TRIM($J28),'Price List Library'!$S$6:$S$437,0)),"")</f>
        <v/>
      </c>
      <c r="Q28" s="53"/>
      <c r="R28" s="29" t="str">
        <f t="shared" si="3"/>
        <v>_NONE</v>
      </c>
      <c r="S28" s="29" t="str">
        <f t="shared" si="4"/>
        <v>_NONE</v>
      </c>
      <c r="T28" s="29" t="str">
        <f t="shared" si="5"/>
        <v>_NONE</v>
      </c>
    </row>
    <row r="29" spans="1:20" ht="15" customHeight="1" x14ac:dyDescent="0.25">
      <c r="A29" s="9" t="str">
        <f t="shared" si="0"/>
        <v/>
      </c>
      <c r="B29" s="52"/>
      <c r="C29" s="52"/>
      <c r="D29" s="53"/>
      <c r="E29" s="53"/>
      <c r="F29" s="53"/>
      <c r="G29" s="53"/>
      <c r="H29" s="53"/>
      <c r="I29" s="54" t="str">
        <f>IFERROR(INDEX('Description Library'!$C$6:$C$808,MATCH($E29&amp;"|"&amp;$F29&amp;"|"&amp;$G29&amp;"|"&amp;$H29,'Description Library'!$K$6:$K$808,0)),"")</f>
        <v/>
      </c>
      <c r="J29" s="9" t="str">
        <f>IFERROR(INDEX('Description Library'!$H$6:$H$808,MATCH($E29&amp;"|"&amp;$F29&amp;"|"&amp;$G29&amp;"|"&amp;$H29,'Description Library'!$K$6:$K$808,0)),"")</f>
        <v/>
      </c>
      <c r="K29" s="55"/>
      <c r="L29" s="56">
        <f>IFERROR(INDEX('Price List Library'!$K$6:$K$437,MATCH(TRIM($H29)&amp;"|"&amp;TRIM($J29),'Price List Library'!$S$6:$S$437,0)),0)</f>
        <v>0</v>
      </c>
      <c r="M29" s="56">
        <f>IFERROR(INDEX('Price List Library'!$N$6:$N$437,MATCH(TRIM($H29)&amp;"|"&amp;TRIM($J29),'Price List Library'!$S$6:$S$437,0)),0)</f>
        <v>0</v>
      </c>
      <c r="N29" s="27">
        <f t="shared" si="1"/>
        <v>0</v>
      </c>
      <c r="O29" s="27" t="str">
        <f t="shared" si="2"/>
        <v/>
      </c>
      <c r="P29" s="9" t="str">
        <f>IFERROR(INDEX('Price List Library'!$P$6:$P$437,MATCH(TRIM($H29)&amp;"|"&amp;TRIM($J29),'Price List Library'!$S$6:$S$437,0)),"")</f>
        <v/>
      </c>
      <c r="Q29" s="53"/>
      <c r="R29" s="29" t="str">
        <f t="shared" si="3"/>
        <v>_NONE</v>
      </c>
      <c r="S29" s="29" t="str">
        <f t="shared" si="4"/>
        <v>_NONE</v>
      </c>
      <c r="T29" s="29" t="str">
        <f t="shared" si="5"/>
        <v>_NONE</v>
      </c>
    </row>
    <row r="30" spans="1:20" ht="15" customHeight="1" x14ac:dyDescent="0.25">
      <c r="A30" s="9" t="str">
        <f t="shared" si="0"/>
        <v/>
      </c>
      <c r="B30" s="52"/>
      <c r="C30" s="52"/>
      <c r="D30" s="53"/>
      <c r="E30" s="53"/>
      <c r="F30" s="53"/>
      <c r="G30" s="53"/>
      <c r="H30" s="53"/>
      <c r="I30" s="54" t="str">
        <f>IFERROR(INDEX('Description Library'!$C$6:$C$808,MATCH($E30&amp;"|"&amp;$F30&amp;"|"&amp;$G30&amp;"|"&amp;$H30,'Description Library'!$K$6:$K$808,0)),"")</f>
        <v/>
      </c>
      <c r="J30" s="9" t="str">
        <f>IFERROR(INDEX('Description Library'!$H$6:$H$808,MATCH($E30&amp;"|"&amp;$F30&amp;"|"&amp;$G30&amp;"|"&amp;$H30,'Description Library'!$K$6:$K$808,0)),"")</f>
        <v/>
      </c>
      <c r="K30" s="55"/>
      <c r="L30" s="56">
        <f>IFERROR(INDEX('Price List Library'!$K$6:$K$437,MATCH(TRIM($H30)&amp;"|"&amp;TRIM($J30),'Price List Library'!$S$6:$S$437,0)),0)</f>
        <v>0</v>
      </c>
      <c r="M30" s="56">
        <f>IFERROR(INDEX('Price List Library'!$N$6:$N$437,MATCH(TRIM($H30)&amp;"|"&amp;TRIM($J30),'Price List Library'!$S$6:$S$437,0)),0)</f>
        <v>0</v>
      </c>
      <c r="N30" s="27">
        <f t="shared" si="1"/>
        <v>0</v>
      </c>
      <c r="O30" s="27" t="str">
        <f t="shared" si="2"/>
        <v/>
      </c>
      <c r="P30" s="9" t="str">
        <f>IFERROR(INDEX('Price List Library'!$P$6:$P$437,MATCH(TRIM($H30)&amp;"|"&amp;TRIM($J30),'Price List Library'!$S$6:$S$437,0)),"")</f>
        <v/>
      </c>
      <c r="Q30" s="53"/>
      <c r="R30" s="29" t="str">
        <f t="shared" si="3"/>
        <v>_NONE</v>
      </c>
      <c r="S30" s="29" t="str">
        <f t="shared" si="4"/>
        <v>_NONE</v>
      </c>
      <c r="T30" s="29" t="str">
        <f t="shared" si="5"/>
        <v>_NONE</v>
      </c>
    </row>
    <row r="31" spans="1:20" ht="15" customHeight="1" x14ac:dyDescent="0.25">
      <c r="A31" s="9" t="str">
        <f t="shared" si="0"/>
        <v/>
      </c>
      <c r="B31" s="52"/>
      <c r="C31" s="52"/>
      <c r="D31" s="53"/>
      <c r="E31" s="53"/>
      <c r="F31" s="53"/>
      <c r="G31" s="53"/>
      <c r="H31" s="53"/>
      <c r="I31" s="54" t="str">
        <f>IFERROR(INDEX('Description Library'!$C$6:$C$808,MATCH($E31&amp;"|"&amp;$F31&amp;"|"&amp;$G31&amp;"|"&amp;$H31,'Description Library'!$K$6:$K$808,0)),"")</f>
        <v/>
      </c>
      <c r="J31" s="9" t="str">
        <f>IFERROR(INDEX('Description Library'!$H$6:$H$808,MATCH($E31&amp;"|"&amp;$F31&amp;"|"&amp;$G31&amp;"|"&amp;$H31,'Description Library'!$K$6:$K$808,0)),"")</f>
        <v/>
      </c>
      <c r="K31" s="55"/>
      <c r="L31" s="56">
        <f>IFERROR(INDEX('Price List Library'!$K$6:$K$437,MATCH(TRIM($H31)&amp;"|"&amp;TRIM($J31),'Price List Library'!$S$6:$S$437,0)),0)</f>
        <v>0</v>
      </c>
      <c r="M31" s="56">
        <f>IFERROR(INDEX('Price List Library'!$N$6:$N$437,MATCH(TRIM($H31)&amp;"|"&amp;TRIM($J31),'Price List Library'!$S$6:$S$437,0)),0)</f>
        <v>0</v>
      </c>
      <c r="N31" s="27">
        <f t="shared" si="1"/>
        <v>0</v>
      </c>
      <c r="O31" s="27" t="str">
        <f t="shared" si="2"/>
        <v/>
      </c>
      <c r="P31" s="9" t="str">
        <f>IFERROR(INDEX('Price List Library'!$P$6:$P$437,MATCH(TRIM($H31)&amp;"|"&amp;TRIM($J31),'Price List Library'!$S$6:$S$437,0)),"")</f>
        <v/>
      </c>
      <c r="Q31" s="53"/>
      <c r="R31" s="29" t="str">
        <f t="shared" si="3"/>
        <v>_NONE</v>
      </c>
      <c r="S31" s="29" t="str">
        <f t="shared" si="4"/>
        <v>_NONE</v>
      </c>
      <c r="T31" s="29" t="str">
        <f t="shared" si="5"/>
        <v>_NONE</v>
      </c>
    </row>
    <row r="32" spans="1:20" ht="15" customHeight="1" x14ac:dyDescent="0.25">
      <c r="A32" s="9" t="str">
        <f t="shared" si="0"/>
        <v/>
      </c>
      <c r="B32" s="52"/>
      <c r="C32" s="52"/>
      <c r="D32" s="53"/>
      <c r="E32" s="53"/>
      <c r="F32" s="53"/>
      <c r="G32" s="53"/>
      <c r="H32" s="53"/>
      <c r="I32" s="54" t="str">
        <f>IFERROR(INDEX('Description Library'!$C$6:$C$808,MATCH($E32&amp;"|"&amp;$F32&amp;"|"&amp;$G32&amp;"|"&amp;$H32,'Description Library'!$K$6:$K$808,0)),"")</f>
        <v/>
      </c>
      <c r="J32" s="9" t="str">
        <f>IFERROR(INDEX('Description Library'!$H$6:$H$808,MATCH($E32&amp;"|"&amp;$F32&amp;"|"&amp;$G32&amp;"|"&amp;$H32,'Description Library'!$K$6:$K$808,0)),"")</f>
        <v/>
      </c>
      <c r="K32" s="55"/>
      <c r="L32" s="56">
        <f>IFERROR(INDEX('Price List Library'!$K$6:$K$437,MATCH(TRIM($H32)&amp;"|"&amp;TRIM($J32),'Price List Library'!$S$6:$S$437,0)),0)</f>
        <v>0</v>
      </c>
      <c r="M32" s="56">
        <f>IFERROR(INDEX('Price List Library'!$N$6:$N$437,MATCH(TRIM($H32)&amp;"|"&amp;TRIM($J32),'Price List Library'!$S$6:$S$437,0)),0)</f>
        <v>0</v>
      </c>
      <c r="N32" s="27">
        <f t="shared" si="1"/>
        <v>0</v>
      </c>
      <c r="O32" s="27" t="str">
        <f t="shared" si="2"/>
        <v/>
      </c>
      <c r="P32" s="9" t="str">
        <f>IFERROR(INDEX('Price List Library'!$P$6:$P$437,MATCH(TRIM($H32)&amp;"|"&amp;TRIM($J32),'Price List Library'!$S$6:$S$437,0)),"")</f>
        <v/>
      </c>
      <c r="Q32" s="53"/>
      <c r="R32" s="29" t="str">
        <f t="shared" si="3"/>
        <v>_NONE</v>
      </c>
      <c r="S32" s="29" t="str">
        <f t="shared" si="4"/>
        <v>_NONE</v>
      </c>
      <c r="T32" s="29" t="str">
        <f t="shared" si="5"/>
        <v>_NONE</v>
      </c>
    </row>
    <row r="33" spans="1:20" ht="15" customHeight="1" x14ac:dyDescent="0.25">
      <c r="A33" s="9" t="str">
        <f t="shared" si="0"/>
        <v/>
      </c>
      <c r="B33" s="52"/>
      <c r="C33" s="52"/>
      <c r="D33" s="53"/>
      <c r="E33" s="53"/>
      <c r="F33" s="53"/>
      <c r="G33" s="53"/>
      <c r="H33" s="53"/>
      <c r="I33" s="54" t="str">
        <f>IFERROR(INDEX('Description Library'!$C$6:$C$808,MATCH($E33&amp;"|"&amp;$F33&amp;"|"&amp;$G33&amp;"|"&amp;$H33,'Description Library'!$K$6:$K$808,0)),"")</f>
        <v/>
      </c>
      <c r="J33" s="9" t="str">
        <f>IFERROR(INDEX('Description Library'!$H$6:$H$808,MATCH($E33&amp;"|"&amp;$F33&amp;"|"&amp;$G33&amp;"|"&amp;$H33,'Description Library'!$K$6:$K$808,0)),"")</f>
        <v/>
      </c>
      <c r="K33" s="55"/>
      <c r="L33" s="56">
        <f>IFERROR(INDEX('Price List Library'!$K$6:$K$437,MATCH(TRIM($H33)&amp;"|"&amp;TRIM($J33),'Price List Library'!$S$6:$S$437,0)),0)</f>
        <v>0</v>
      </c>
      <c r="M33" s="56">
        <f>IFERROR(INDEX('Price List Library'!$N$6:$N$437,MATCH(TRIM($H33)&amp;"|"&amp;TRIM($J33),'Price List Library'!$S$6:$S$437,0)),0)</f>
        <v>0</v>
      </c>
      <c r="N33" s="27">
        <f t="shared" si="1"/>
        <v>0</v>
      </c>
      <c r="O33" s="27" t="str">
        <f t="shared" si="2"/>
        <v/>
      </c>
      <c r="P33" s="9" t="str">
        <f>IFERROR(INDEX('Price List Library'!$P$6:$P$437,MATCH(TRIM($H33)&amp;"|"&amp;TRIM($J33),'Price List Library'!$S$6:$S$437,0)),"")</f>
        <v/>
      </c>
      <c r="Q33" s="53"/>
      <c r="R33" s="29" t="str">
        <f t="shared" si="3"/>
        <v>_NONE</v>
      </c>
      <c r="S33" s="29" t="str">
        <f t="shared" si="4"/>
        <v>_NONE</v>
      </c>
      <c r="T33" s="29" t="str">
        <f t="shared" si="5"/>
        <v>_NONE</v>
      </c>
    </row>
    <row r="34" spans="1:20" ht="15" customHeight="1" x14ac:dyDescent="0.25">
      <c r="A34" s="9" t="str">
        <f t="shared" si="0"/>
        <v/>
      </c>
      <c r="B34" s="52"/>
      <c r="C34" s="52"/>
      <c r="D34" s="53"/>
      <c r="E34" s="53"/>
      <c r="F34" s="53"/>
      <c r="G34" s="53"/>
      <c r="H34" s="53"/>
      <c r="I34" s="54" t="str">
        <f>IFERROR(INDEX('Description Library'!$C$6:$C$808,MATCH($E34&amp;"|"&amp;$F34&amp;"|"&amp;$G34&amp;"|"&amp;$H34,'Description Library'!$K$6:$K$808,0)),"")</f>
        <v/>
      </c>
      <c r="J34" s="9" t="str">
        <f>IFERROR(INDEX('Description Library'!$H$6:$H$808,MATCH($E34&amp;"|"&amp;$F34&amp;"|"&amp;$G34&amp;"|"&amp;$H34,'Description Library'!$K$6:$K$808,0)),"")</f>
        <v/>
      </c>
      <c r="K34" s="55"/>
      <c r="L34" s="56">
        <f>IFERROR(INDEX('Price List Library'!$K$6:$K$437,MATCH(TRIM($H34)&amp;"|"&amp;TRIM($J34),'Price List Library'!$S$6:$S$437,0)),0)</f>
        <v>0</v>
      </c>
      <c r="M34" s="56">
        <f>IFERROR(INDEX('Price List Library'!$N$6:$N$437,MATCH(TRIM($H34)&amp;"|"&amp;TRIM($J34),'Price List Library'!$S$6:$S$437,0)),0)</f>
        <v>0</v>
      </c>
      <c r="N34" s="27">
        <f t="shared" si="1"/>
        <v>0</v>
      </c>
      <c r="O34" s="27" t="str">
        <f t="shared" si="2"/>
        <v/>
      </c>
      <c r="P34" s="9" t="str">
        <f>IFERROR(INDEX('Price List Library'!$P$6:$P$437,MATCH(TRIM($H34)&amp;"|"&amp;TRIM($J34),'Price List Library'!$S$6:$S$437,0)),"")</f>
        <v/>
      </c>
      <c r="Q34" s="53"/>
      <c r="R34" s="29" t="str">
        <f t="shared" si="3"/>
        <v>_NONE</v>
      </c>
      <c r="S34" s="29" t="str">
        <f t="shared" si="4"/>
        <v>_NONE</v>
      </c>
      <c r="T34" s="29" t="str">
        <f t="shared" si="5"/>
        <v>_NONE</v>
      </c>
    </row>
    <row r="35" spans="1:20" ht="15" customHeight="1" x14ac:dyDescent="0.25">
      <c r="A35" s="9" t="str">
        <f t="shared" si="0"/>
        <v/>
      </c>
      <c r="B35" s="52"/>
      <c r="C35" s="52"/>
      <c r="D35" s="53"/>
      <c r="E35" s="53"/>
      <c r="F35" s="53"/>
      <c r="G35" s="53"/>
      <c r="H35" s="53"/>
      <c r="I35" s="54" t="str">
        <f>IFERROR(INDEX('Description Library'!$C$6:$C$808,MATCH($E35&amp;"|"&amp;$F35&amp;"|"&amp;$G35&amp;"|"&amp;$H35,'Description Library'!$K$6:$K$808,0)),"")</f>
        <v/>
      </c>
      <c r="J35" s="9" t="str">
        <f>IFERROR(INDEX('Description Library'!$H$6:$H$808,MATCH($E35&amp;"|"&amp;$F35&amp;"|"&amp;$G35&amp;"|"&amp;$H35,'Description Library'!$K$6:$K$808,0)),"")</f>
        <v/>
      </c>
      <c r="K35" s="55"/>
      <c r="L35" s="56">
        <f>IFERROR(INDEX('Price List Library'!$K$6:$K$437,MATCH(TRIM($H35)&amp;"|"&amp;TRIM($J35),'Price List Library'!$S$6:$S$437,0)),0)</f>
        <v>0</v>
      </c>
      <c r="M35" s="56">
        <f>IFERROR(INDEX('Price List Library'!$N$6:$N$437,MATCH(TRIM($H35)&amp;"|"&amp;TRIM($J35),'Price List Library'!$S$6:$S$437,0)),0)</f>
        <v>0</v>
      </c>
      <c r="N35" s="27">
        <f t="shared" si="1"/>
        <v>0</v>
      </c>
      <c r="O35" s="27" t="str">
        <f t="shared" si="2"/>
        <v/>
      </c>
      <c r="P35" s="9" t="str">
        <f>IFERROR(INDEX('Price List Library'!$P$6:$P$437,MATCH(TRIM($H35)&amp;"|"&amp;TRIM($J35),'Price List Library'!$S$6:$S$437,0)),"")</f>
        <v/>
      </c>
      <c r="Q35" s="53"/>
      <c r="R35" s="29" t="str">
        <f t="shared" si="3"/>
        <v>_NONE</v>
      </c>
      <c r="S35" s="29" t="str">
        <f t="shared" si="4"/>
        <v>_NONE</v>
      </c>
      <c r="T35" s="29" t="str">
        <f t="shared" si="5"/>
        <v>_NONE</v>
      </c>
    </row>
    <row r="36" spans="1:20" ht="15" customHeight="1" x14ac:dyDescent="0.25">
      <c r="A36" s="9" t="str">
        <f t="shared" si="0"/>
        <v/>
      </c>
      <c r="B36" s="52"/>
      <c r="C36" s="52"/>
      <c r="D36" s="53"/>
      <c r="E36" s="53"/>
      <c r="F36" s="53"/>
      <c r="G36" s="53"/>
      <c r="H36" s="53"/>
      <c r="I36" s="54" t="str">
        <f>IFERROR(INDEX('Description Library'!$C$6:$C$808,MATCH($E36&amp;"|"&amp;$F36&amp;"|"&amp;$G36&amp;"|"&amp;$H36,'Description Library'!$K$6:$K$808,0)),"")</f>
        <v/>
      </c>
      <c r="J36" s="9" t="str">
        <f>IFERROR(INDEX('Description Library'!$H$6:$H$808,MATCH($E36&amp;"|"&amp;$F36&amp;"|"&amp;$G36&amp;"|"&amp;$H36,'Description Library'!$K$6:$K$808,0)),"")</f>
        <v/>
      </c>
      <c r="K36" s="55"/>
      <c r="L36" s="56">
        <f>IFERROR(INDEX('Price List Library'!$K$6:$K$437,MATCH(TRIM($H36)&amp;"|"&amp;TRIM($J36),'Price List Library'!$S$6:$S$437,0)),0)</f>
        <v>0</v>
      </c>
      <c r="M36" s="56">
        <f>IFERROR(INDEX('Price List Library'!$N$6:$N$437,MATCH(TRIM($H36)&amp;"|"&amp;TRIM($J36),'Price List Library'!$S$6:$S$437,0)),0)</f>
        <v>0</v>
      </c>
      <c r="N36" s="27">
        <f t="shared" si="1"/>
        <v>0</v>
      </c>
      <c r="O36" s="27" t="str">
        <f t="shared" si="2"/>
        <v/>
      </c>
      <c r="P36" s="9" t="str">
        <f>IFERROR(INDEX('Price List Library'!$P$6:$P$437,MATCH(TRIM($H36)&amp;"|"&amp;TRIM($J36),'Price List Library'!$S$6:$S$437,0)),"")</f>
        <v/>
      </c>
      <c r="Q36" s="53"/>
      <c r="R36" s="29" t="str">
        <f t="shared" si="3"/>
        <v>_NONE</v>
      </c>
      <c r="S36" s="29" t="str">
        <f t="shared" si="4"/>
        <v>_NONE</v>
      </c>
      <c r="T36" s="29" t="str">
        <f t="shared" si="5"/>
        <v>_NONE</v>
      </c>
    </row>
    <row r="37" spans="1:20" ht="15" customHeight="1" x14ac:dyDescent="0.25">
      <c r="A37" s="9" t="str">
        <f t="shared" si="0"/>
        <v/>
      </c>
      <c r="B37" s="52"/>
      <c r="C37" s="52"/>
      <c r="D37" s="53"/>
      <c r="E37" s="53"/>
      <c r="F37" s="53"/>
      <c r="G37" s="53"/>
      <c r="H37" s="53"/>
      <c r="I37" s="54" t="str">
        <f>IFERROR(INDEX('Description Library'!$C$6:$C$808,MATCH($E37&amp;"|"&amp;$F37&amp;"|"&amp;$G37&amp;"|"&amp;$H37,'Description Library'!$K$6:$K$808,0)),"")</f>
        <v/>
      </c>
      <c r="J37" s="9" t="str">
        <f>IFERROR(INDEX('Description Library'!$H$6:$H$808,MATCH($E37&amp;"|"&amp;$F37&amp;"|"&amp;$G37&amp;"|"&amp;$H37,'Description Library'!$K$6:$K$808,0)),"")</f>
        <v/>
      </c>
      <c r="K37" s="55"/>
      <c r="L37" s="56">
        <f>IFERROR(INDEX('Price List Library'!$K$6:$K$437,MATCH(TRIM($H37)&amp;"|"&amp;TRIM($J37),'Price List Library'!$S$6:$S$437,0)),0)</f>
        <v>0</v>
      </c>
      <c r="M37" s="56">
        <f>IFERROR(INDEX('Price List Library'!$N$6:$N$437,MATCH(TRIM($H37)&amp;"|"&amp;TRIM($J37),'Price List Library'!$S$6:$S$437,0)),0)</f>
        <v>0</v>
      </c>
      <c r="N37" s="27">
        <f t="shared" si="1"/>
        <v>0</v>
      </c>
      <c r="O37" s="27" t="str">
        <f t="shared" si="2"/>
        <v/>
      </c>
      <c r="P37" s="9" t="str">
        <f>IFERROR(INDEX('Price List Library'!$P$6:$P$437,MATCH(TRIM($H37)&amp;"|"&amp;TRIM($J37),'Price List Library'!$S$6:$S$437,0)),"")</f>
        <v/>
      </c>
      <c r="Q37" s="53"/>
      <c r="R37" s="29" t="str">
        <f t="shared" si="3"/>
        <v>_NONE</v>
      </c>
      <c r="S37" s="29" t="str">
        <f t="shared" si="4"/>
        <v>_NONE</v>
      </c>
      <c r="T37" s="29" t="str">
        <f t="shared" si="5"/>
        <v>_NONE</v>
      </c>
    </row>
    <row r="38" spans="1:20" ht="15" customHeight="1" x14ac:dyDescent="0.25">
      <c r="A38" s="9" t="str">
        <f t="shared" si="0"/>
        <v/>
      </c>
      <c r="B38" s="52"/>
      <c r="C38" s="52"/>
      <c r="D38" s="53"/>
      <c r="E38" s="53"/>
      <c r="F38" s="53"/>
      <c r="G38" s="53"/>
      <c r="H38" s="53"/>
      <c r="I38" s="54" t="str">
        <f>IFERROR(INDEX('Description Library'!$C$6:$C$808,MATCH($E38&amp;"|"&amp;$F38&amp;"|"&amp;$G38&amp;"|"&amp;$H38,'Description Library'!$K$6:$K$808,0)),"")</f>
        <v/>
      </c>
      <c r="J38" s="9" t="str">
        <f>IFERROR(INDEX('Description Library'!$H$6:$H$808,MATCH($E38&amp;"|"&amp;$F38&amp;"|"&amp;$G38&amp;"|"&amp;$H38,'Description Library'!$K$6:$K$808,0)),"")</f>
        <v/>
      </c>
      <c r="K38" s="55"/>
      <c r="L38" s="56">
        <f>IFERROR(INDEX('Price List Library'!$K$6:$K$437,MATCH(TRIM($H38)&amp;"|"&amp;TRIM($J38),'Price List Library'!$S$6:$S$437,0)),0)</f>
        <v>0</v>
      </c>
      <c r="M38" s="56">
        <f>IFERROR(INDEX('Price List Library'!$N$6:$N$437,MATCH(TRIM($H38)&amp;"|"&amp;TRIM($J38),'Price List Library'!$S$6:$S$437,0)),0)</f>
        <v>0</v>
      </c>
      <c r="N38" s="27">
        <f t="shared" si="1"/>
        <v>0</v>
      </c>
      <c r="O38" s="27" t="str">
        <f t="shared" si="2"/>
        <v/>
      </c>
      <c r="P38" s="9" t="str">
        <f>IFERROR(INDEX('Price List Library'!$P$6:$P$437,MATCH(TRIM($H38)&amp;"|"&amp;TRIM($J38),'Price List Library'!$S$6:$S$437,0)),"")</f>
        <v/>
      </c>
      <c r="Q38" s="53"/>
      <c r="R38" s="29" t="str">
        <f t="shared" si="3"/>
        <v>_NONE</v>
      </c>
      <c r="S38" s="29" t="str">
        <f t="shared" si="4"/>
        <v>_NONE</v>
      </c>
      <c r="T38" s="29" t="str">
        <f t="shared" si="5"/>
        <v>_NONE</v>
      </c>
    </row>
    <row r="39" spans="1:20" ht="15" customHeight="1" x14ac:dyDescent="0.25">
      <c r="A39" s="9" t="str">
        <f t="shared" si="0"/>
        <v/>
      </c>
      <c r="B39" s="52"/>
      <c r="C39" s="52"/>
      <c r="D39" s="53"/>
      <c r="E39" s="53"/>
      <c r="F39" s="53"/>
      <c r="G39" s="53"/>
      <c r="H39" s="53"/>
      <c r="I39" s="54" t="str">
        <f>IFERROR(INDEX('Description Library'!$C$6:$C$808,MATCH($E39&amp;"|"&amp;$F39&amp;"|"&amp;$G39&amp;"|"&amp;$H39,'Description Library'!$K$6:$K$808,0)),"")</f>
        <v/>
      </c>
      <c r="J39" s="9" t="str">
        <f>IFERROR(INDEX('Description Library'!$H$6:$H$808,MATCH($E39&amp;"|"&amp;$F39&amp;"|"&amp;$G39&amp;"|"&amp;$H39,'Description Library'!$K$6:$K$808,0)),"")</f>
        <v/>
      </c>
      <c r="K39" s="55"/>
      <c r="L39" s="56">
        <f>IFERROR(INDEX('Price List Library'!$K$6:$K$437,MATCH(TRIM($H39)&amp;"|"&amp;TRIM($J39),'Price List Library'!$S$6:$S$437,0)),0)</f>
        <v>0</v>
      </c>
      <c r="M39" s="56">
        <f>IFERROR(INDEX('Price List Library'!$N$6:$N$437,MATCH(TRIM($H39)&amp;"|"&amp;TRIM($J39),'Price List Library'!$S$6:$S$437,0)),0)</f>
        <v>0</v>
      </c>
      <c r="N39" s="27">
        <f t="shared" si="1"/>
        <v>0</v>
      </c>
      <c r="O39" s="27" t="str">
        <f t="shared" si="2"/>
        <v/>
      </c>
      <c r="P39" s="9" t="str">
        <f>IFERROR(INDEX('Price List Library'!$P$6:$P$437,MATCH(TRIM($H39)&amp;"|"&amp;TRIM($J39),'Price List Library'!$S$6:$S$437,0)),"")</f>
        <v/>
      </c>
      <c r="Q39" s="53"/>
      <c r="R39" s="29" t="str">
        <f t="shared" si="3"/>
        <v>_NONE</v>
      </c>
      <c r="S39" s="29" t="str">
        <f t="shared" si="4"/>
        <v>_NONE</v>
      </c>
      <c r="T39" s="29" t="str">
        <f t="shared" si="5"/>
        <v>_NONE</v>
      </c>
    </row>
    <row r="40" spans="1:20" ht="15" customHeight="1" x14ac:dyDescent="0.25">
      <c r="A40" s="9" t="str">
        <f t="shared" si="0"/>
        <v/>
      </c>
      <c r="B40" s="52"/>
      <c r="C40" s="52"/>
      <c r="D40" s="53"/>
      <c r="E40" s="53"/>
      <c r="F40" s="53"/>
      <c r="G40" s="53"/>
      <c r="H40" s="53"/>
      <c r="I40" s="54" t="str">
        <f>IFERROR(INDEX('Description Library'!$C$6:$C$808,MATCH($E40&amp;"|"&amp;$F40&amp;"|"&amp;$G40&amp;"|"&amp;$H40,'Description Library'!$K$6:$K$808,0)),"")</f>
        <v/>
      </c>
      <c r="J40" s="9" t="str">
        <f>IFERROR(INDEX('Description Library'!$H$6:$H$808,MATCH($E40&amp;"|"&amp;$F40&amp;"|"&amp;$G40&amp;"|"&amp;$H40,'Description Library'!$K$6:$K$808,0)),"")</f>
        <v/>
      </c>
      <c r="K40" s="55"/>
      <c r="L40" s="56">
        <f>IFERROR(INDEX('Price List Library'!$K$6:$K$437,MATCH(TRIM($H40)&amp;"|"&amp;TRIM($J40),'Price List Library'!$S$6:$S$437,0)),0)</f>
        <v>0</v>
      </c>
      <c r="M40" s="56">
        <f>IFERROR(INDEX('Price List Library'!$N$6:$N$437,MATCH(TRIM($H40)&amp;"|"&amp;TRIM($J40),'Price List Library'!$S$6:$S$437,0)),0)</f>
        <v>0</v>
      </c>
      <c r="N40" s="27">
        <f t="shared" si="1"/>
        <v>0</v>
      </c>
      <c r="O40" s="27" t="str">
        <f t="shared" si="2"/>
        <v/>
      </c>
      <c r="P40" s="9" t="str">
        <f>IFERROR(INDEX('Price List Library'!$P$6:$P$437,MATCH(TRIM($H40)&amp;"|"&amp;TRIM($J40),'Price List Library'!$S$6:$S$437,0)),"")</f>
        <v/>
      </c>
      <c r="Q40" s="53"/>
      <c r="R40" s="29" t="str">
        <f t="shared" si="3"/>
        <v>_NONE</v>
      </c>
      <c r="S40" s="29" t="str">
        <f t="shared" si="4"/>
        <v>_NONE</v>
      </c>
      <c r="T40" s="29" t="str">
        <f t="shared" si="5"/>
        <v>_NONE</v>
      </c>
    </row>
    <row r="41" spans="1:20" ht="15" customHeight="1" x14ac:dyDescent="0.25">
      <c r="A41" s="9" t="str">
        <f t="shared" si="0"/>
        <v/>
      </c>
      <c r="B41" s="52"/>
      <c r="C41" s="52"/>
      <c r="D41" s="53"/>
      <c r="E41" s="53"/>
      <c r="F41" s="53"/>
      <c r="G41" s="53"/>
      <c r="H41" s="53"/>
      <c r="I41" s="54" t="str">
        <f>IFERROR(INDEX('Description Library'!$C$6:$C$808,MATCH($E41&amp;"|"&amp;$F41&amp;"|"&amp;$G41&amp;"|"&amp;$H41,'Description Library'!$K$6:$K$808,0)),"")</f>
        <v/>
      </c>
      <c r="J41" s="9" t="str">
        <f>IFERROR(INDEX('Description Library'!$H$6:$H$808,MATCH($E41&amp;"|"&amp;$F41&amp;"|"&amp;$G41&amp;"|"&amp;$H41,'Description Library'!$K$6:$K$808,0)),"")</f>
        <v/>
      </c>
      <c r="K41" s="55"/>
      <c r="L41" s="56">
        <f>IFERROR(INDEX('Price List Library'!$K$6:$K$437,MATCH(TRIM($H41)&amp;"|"&amp;TRIM($J41),'Price List Library'!$S$6:$S$437,0)),0)</f>
        <v>0</v>
      </c>
      <c r="M41" s="56">
        <f>IFERROR(INDEX('Price List Library'!$N$6:$N$437,MATCH(TRIM($H41)&amp;"|"&amp;TRIM($J41),'Price List Library'!$S$6:$S$437,0)),0)</f>
        <v>0</v>
      </c>
      <c r="N41" s="27">
        <f t="shared" si="1"/>
        <v>0</v>
      </c>
      <c r="O41" s="27" t="str">
        <f t="shared" si="2"/>
        <v/>
      </c>
      <c r="P41" s="9" t="str">
        <f>IFERROR(INDEX('Price List Library'!$P$6:$P$437,MATCH(TRIM($H41)&amp;"|"&amp;TRIM($J41),'Price List Library'!$S$6:$S$437,0)),"")</f>
        <v/>
      </c>
      <c r="Q41" s="53"/>
      <c r="R41" s="29" t="str">
        <f t="shared" si="3"/>
        <v>_NONE</v>
      </c>
      <c r="S41" s="29" t="str">
        <f t="shared" si="4"/>
        <v>_NONE</v>
      </c>
      <c r="T41" s="29" t="str">
        <f t="shared" si="5"/>
        <v>_NONE</v>
      </c>
    </row>
    <row r="42" spans="1:20" ht="15" customHeight="1" x14ac:dyDescent="0.25">
      <c r="A42" s="9" t="str">
        <f t="shared" si="0"/>
        <v/>
      </c>
      <c r="B42" s="52"/>
      <c r="C42" s="52"/>
      <c r="D42" s="53"/>
      <c r="E42" s="53"/>
      <c r="F42" s="53"/>
      <c r="G42" s="53"/>
      <c r="H42" s="53"/>
      <c r="I42" s="54" t="str">
        <f>IFERROR(INDEX('Description Library'!$C$6:$C$808,MATCH($E42&amp;"|"&amp;$F42&amp;"|"&amp;$G42&amp;"|"&amp;$H42,'Description Library'!$K$6:$K$808,0)),"")</f>
        <v/>
      </c>
      <c r="J42" s="9" t="str">
        <f>IFERROR(INDEX('Description Library'!$H$6:$H$808,MATCH($E42&amp;"|"&amp;$F42&amp;"|"&amp;$G42&amp;"|"&amp;$H42,'Description Library'!$K$6:$K$808,0)),"")</f>
        <v/>
      </c>
      <c r="K42" s="55"/>
      <c r="L42" s="56">
        <f>IFERROR(INDEX('Price List Library'!$K$6:$K$437,MATCH(TRIM($H42)&amp;"|"&amp;TRIM($J42),'Price List Library'!$S$6:$S$437,0)),0)</f>
        <v>0</v>
      </c>
      <c r="M42" s="56">
        <f>IFERROR(INDEX('Price List Library'!$N$6:$N$437,MATCH(TRIM($H42)&amp;"|"&amp;TRIM($J42),'Price List Library'!$S$6:$S$437,0)),0)</f>
        <v>0</v>
      </c>
      <c r="N42" s="27">
        <f t="shared" si="1"/>
        <v>0</v>
      </c>
      <c r="O42" s="27" t="str">
        <f t="shared" si="2"/>
        <v/>
      </c>
      <c r="P42" s="9" t="str">
        <f>IFERROR(INDEX('Price List Library'!$P$6:$P$437,MATCH(TRIM($H42)&amp;"|"&amp;TRIM($J42),'Price List Library'!$S$6:$S$437,0)),"")</f>
        <v/>
      </c>
      <c r="Q42" s="53"/>
      <c r="R42" s="29" t="str">
        <f t="shared" si="3"/>
        <v>_NONE</v>
      </c>
      <c r="S42" s="29" t="str">
        <f t="shared" si="4"/>
        <v>_NONE</v>
      </c>
      <c r="T42" s="29" t="str">
        <f t="shared" si="5"/>
        <v>_NONE</v>
      </c>
    </row>
    <row r="43" spans="1:20" ht="15" customHeight="1" x14ac:dyDescent="0.25">
      <c r="A43" s="9" t="str">
        <f t="shared" si="0"/>
        <v/>
      </c>
      <c r="B43" s="52"/>
      <c r="C43" s="52"/>
      <c r="D43" s="53"/>
      <c r="E43" s="53"/>
      <c r="F43" s="53"/>
      <c r="G43" s="53"/>
      <c r="H43" s="53"/>
      <c r="I43" s="54" t="str">
        <f>IFERROR(INDEX('Description Library'!$C$6:$C$808,MATCH($E43&amp;"|"&amp;$F43&amp;"|"&amp;$G43&amp;"|"&amp;$H43,'Description Library'!$K$6:$K$808,0)),"")</f>
        <v/>
      </c>
      <c r="J43" s="9" t="str">
        <f>IFERROR(INDEX('Description Library'!$H$6:$H$808,MATCH($E43&amp;"|"&amp;$F43&amp;"|"&amp;$G43&amp;"|"&amp;$H43,'Description Library'!$K$6:$K$808,0)),"")</f>
        <v/>
      </c>
      <c r="K43" s="55"/>
      <c r="L43" s="56">
        <f>IFERROR(INDEX('Price List Library'!$K$6:$K$437,MATCH(TRIM($H43)&amp;"|"&amp;TRIM($J43),'Price List Library'!$S$6:$S$437,0)),0)</f>
        <v>0</v>
      </c>
      <c r="M43" s="56">
        <f>IFERROR(INDEX('Price List Library'!$N$6:$N$437,MATCH(TRIM($H43)&amp;"|"&amp;TRIM($J43),'Price List Library'!$S$6:$S$437,0)),0)</f>
        <v>0</v>
      </c>
      <c r="N43" s="27">
        <f t="shared" si="1"/>
        <v>0</v>
      </c>
      <c r="O43" s="27" t="str">
        <f t="shared" si="2"/>
        <v/>
      </c>
      <c r="P43" s="9" t="str">
        <f>IFERROR(INDEX('Price List Library'!$P$6:$P$437,MATCH(TRIM($H43)&amp;"|"&amp;TRIM($J43),'Price List Library'!$S$6:$S$437,0)),"")</f>
        <v/>
      </c>
      <c r="Q43" s="53"/>
      <c r="R43" s="29" t="str">
        <f t="shared" si="3"/>
        <v>_NONE</v>
      </c>
      <c r="S43" s="29" t="str">
        <f t="shared" si="4"/>
        <v>_NONE</v>
      </c>
      <c r="T43" s="29" t="str">
        <f t="shared" si="5"/>
        <v>_NONE</v>
      </c>
    </row>
    <row r="44" spans="1:20" ht="15" customHeight="1" x14ac:dyDescent="0.25">
      <c r="A44" s="9" t="str">
        <f t="shared" si="0"/>
        <v/>
      </c>
      <c r="B44" s="52"/>
      <c r="C44" s="52"/>
      <c r="D44" s="53"/>
      <c r="E44" s="53"/>
      <c r="F44" s="53"/>
      <c r="G44" s="53"/>
      <c r="H44" s="53"/>
      <c r="I44" s="54" t="str">
        <f>IFERROR(INDEX('Description Library'!$C$6:$C$808,MATCH($E44&amp;"|"&amp;$F44&amp;"|"&amp;$G44&amp;"|"&amp;$H44,'Description Library'!$K$6:$K$808,0)),"")</f>
        <v/>
      </c>
      <c r="J44" s="9" t="str">
        <f>IFERROR(INDEX('Description Library'!$H$6:$H$808,MATCH($E44&amp;"|"&amp;$F44&amp;"|"&amp;$G44&amp;"|"&amp;$H44,'Description Library'!$K$6:$K$808,0)),"")</f>
        <v/>
      </c>
      <c r="K44" s="55"/>
      <c r="L44" s="56">
        <f>IFERROR(INDEX('Price List Library'!$K$6:$K$437,MATCH(TRIM($H44)&amp;"|"&amp;TRIM($J44),'Price List Library'!$S$6:$S$437,0)),0)</f>
        <v>0</v>
      </c>
      <c r="M44" s="56">
        <f>IFERROR(INDEX('Price List Library'!$N$6:$N$437,MATCH(TRIM($H44)&amp;"|"&amp;TRIM($J44),'Price List Library'!$S$6:$S$437,0)),0)</f>
        <v>0</v>
      </c>
      <c r="N44" s="27">
        <f t="shared" si="1"/>
        <v>0</v>
      </c>
      <c r="O44" s="27" t="str">
        <f t="shared" si="2"/>
        <v/>
      </c>
      <c r="P44" s="9" t="str">
        <f>IFERROR(INDEX('Price List Library'!$P$6:$P$437,MATCH(TRIM($H44)&amp;"|"&amp;TRIM($J44),'Price List Library'!$S$6:$S$437,0)),"")</f>
        <v/>
      </c>
      <c r="Q44" s="53"/>
      <c r="R44" s="29" t="str">
        <f t="shared" si="3"/>
        <v>_NONE</v>
      </c>
      <c r="S44" s="29" t="str">
        <f t="shared" si="4"/>
        <v>_NONE</v>
      </c>
      <c r="T44" s="29" t="str">
        <f t="shared" si="5"/>
        <v>_NONE</v>
      </c>
    </row>
    <row r="45" spans="1:20" ht="15" customHeight="1" x14ac:dyDescent="0.25">
      <c r="A45" s="9" t="str">
        <f t="shared" si="0"/>
        <v/>
      </c>
      <c r="B45" s="52"/>
      <c r="C45" s="52"/>
      <c r="D45" s="53"/>
      <c r="E45" s="53"/>
      <c r="F45" s="53"/>
      <c r="G45" s="53"/>
      <c r="H45" s="53"/>
      <c r="I45" s="54" t="str">
        <f>IFERROR(INDEX('Description Library'!$C$6:$C$808,MATCH($E45&amp;"|"&amp;$F45&amp;"|"&amp;$G45&amp;"|"&amp;$H45,'Description Library'!$K$6:$K$808,0)),"")</f>
        <v/>
      </c>
      <c r="J45" s="9" t="str">
        <f>IFERROR(INDEX('Description Library'!$H$6:$H$808,MATCH($E45&amp;"|"&amp;$F45&amp;"|"&amp;$G45&amp;"|"&amp;$H45,'Description Library'!$K$6:$K$808,0)),"")</f>
        <v/>
      </c>
      <c r="K45" s="55"/>
      <c r="L45" s="56">
        <f>IFERROR(INDEX('Price List Library'!$K$6:$K$437,MATCH(TRIM($H45)&amp;"|"&amp;TRIM($J45),'Price List Library'!$S$6:$S$437,0)),0)</f>
        <v>0</v>
      </c>
      <c r="M45" s="56">
        <f>IFERROR(INDEX('Price List Library'!$N$6:$N$437,MATCH(TRIM($H45)&amp;"|"&amp;TRIM($J45),'Price List Library'!$S$6:$S$437,0)),0)</f>
        <v>0</v>
      </c>
      <c r="N45" s="27">
        <f t="shared" si="1"/>
        <v>0</v>
      </c>
      <c r="O45" s="27" t="str">
        <f t="shared" si="2"/>
        <v/>
      </c>
      <c r="P45" s="9" t="str">
        <f>IFERROR(INDEX('Price List Library'!$P$6:$P$437,MATCH(TRIM($H45)&amp;"|"&amp;TRIM($J45),'Price List Library'!$S$6:$S$437,0)),"")</f>
        <v/>
      </c>
      <c r="Q45" s="53"/>
      <c r="R45" s="29" t="str">
        <f t="shared" si="3"/>
        <v>_NONE</v>
      </c>
      <c r="S45" s="29" t="str">
        <f t="shared" si="4"/>
        <v>_NONE</v>
      </c>
      <c r="T45" s="29" t="str">
        <f t="shared" si="5"/>
        <v>_NONE</v>
      </c>
    </row>
    <row r="46" spans="1:20" ht="15" customHeight="1" x14ac:dyDescent="0.25">
      <c r="A46" s="9" t="str">
        <f t="shared" si="0"/>
        <v/>
      </c>
      <c r="B46" s="52"/>
      <c r="C46" s="52"/>
      <c r="D46" s="53"/>
      <c r="E46" s="53"/>
      <c r="F46" s="53"/>
      <c r="G46" s="53"/>
      <c r="H46" s="53"/>
      <c r="I46" s="54" t="str">
        <f>IFERROR(INDEX('Description Library'!$C$6:$C$808,MATCH($E46&amp;"|"&amp;$F46&amp;"|"&amp;$G46&amp;"|"&amp;$H46,'Description Library'!$K$6:$K$808,0)),"")</f>
        <v/>
      </c>
      <c r="J46" s="9" t="str">
        <f>IFERROR(INDEX('Description Library'!$H$6:$H$808,MATCH($E46&amp;"|"&amp;$F46&amp;"|"&amp;$G46&amp;"|"&amp;$H46,'Description Library'!$K$6:$K$808,0)),"")</f>
        <v/>
      </c>
      <c r="K46" s="55"/>
      <c r="L46" s="56">
        <f>IFERROR(INDEX('Price List Library'!$K$6:$K$437,MATCH(TRIM($H46)&amp;"|"&amp;TRIM($J46),'Price List Library'!$S$6:$S$437,0)),0)</f>
        <v>0</v>
      </c>
      <c r="M46" s="56">
        <f>IFERROR(INDEX('Price List Library'!$N$6:$N$437,MATCH(TRIM($H46)&amp;"|"&amp;TRIM($J46),'Price List Library'!$S$6:$S$437,0)),0)</f>
        <v>0</v>
      </c>
      <c r="N46" s="27">
        <f t="shared" si="1"/>
        <v>0</v>
      </c>
      <c r="O46" s="27" t="str">
        <f t="shared" si="2"/>
        <v/>
      </c>
      <c r="P46" s="9" t="str">
        <f>IFERROR(INDEX('Price List Library'!$P$6:$P$437,MATCH(TRIM($H46)&amp;"|"&amp;TRIM($J46),'Price List Library'!$S$6:$S$437,0)),"")</f>
        <v/>
      </c>
      <c r="Q46" s="53"/>
      <c r="R46" s="29" t="str">
        <f t="shared" si="3"/>
        <v>_NONE</v>
      </c>
      <c r="S46" s="29" t="str">
        <f t="shared" si="4"/>
        <v>_NONE</v>
      </c>
      <c r="T46" s="29" t="str">
        <f t="shared" si="5"/>
        <v>_NONE</v>
      </c>
    </row>
    <row r="47" spans="1:20" ht="15" customHeight="1" x14ac:dyDescent="0.25">
      <c r="A47" s="9" t="str">
        <f t="shared" si="0"/>
        <v/>
      </c>
      <c r="B47" s="52"/>
      <c r="C47" s="52"/>
      <c r="D47" s="53"/>
      <c r="E47" s="53"/>
      <c r="F47" s="53"/>
      <c r="G47" s="53"/>
      <c r="H47" s="53"/>
      <c r="I47" s="54" t="str">
        <f>IFERROR(INDEX('Description Library'!$C$6:$C$808,MATCH($E47&amp;"|"&amp;$F47&amp;"|"&amp;$G47&amp;"|"&amp;$H47,'Description Library'!$K$6:$K$808,0)),"")</f>
        <v/>
      </c>
      <c r="J47" s="9" t="str">
        <f>IFERROR(INDEX('Description Library'!$H$6:$H$808,MATCH($E47&amp;"|"&amp;$F47&amp;"|"&amp;$G47&amp;"|"&amp;$H47,'Description Library'!$K$6:$K$808,0)),"")</f>
        <v/>
      </c>
      <c r="K47" s="55"/>
      <c r="L47" s="56">
        <f>IFERROR(INDEX('Price List Library'!$K$6:$K$437,MATCH(TRIM($H47)&amp;"|"&amp;TRIM($J47),'Price List Library'!$S$6:$S$437,0)),0)</f>
        <v>0</v>
      </c>
      <c r="M47" s="56">
        <f>IFERROR(INDEX('Price List Library'!$N$6:$N$437,MATCH(TRIM($H47)&amp;"|"&amp;TRIM($J47),'Price List Library'!$S$6:$S$437,0)),0)</f>
        <v>0</v>
      </c>
      <c r="N47" s="27">
        <f t="shared" si="1"/>
        <v>0</v>
      </c>
      <c r="O47" s="27" t="str">
        <f t="shared" si="2"/>
        <v/>
      </c>
      <c r="P47" s="9" t="str">
        <f>IFERROR(INDEX('Price List Library'!$P$6:$P$437,MATCH(TRIM($H47)&amp;"|"&amp;TRIM($J47),'Price List Library'!$S$6:$S$437,0)),"")</f>
        <v/>
      </c>
      <c r="Q47" s="53"/>
      <c r="R47" s="29" t="str">
        <f t="shared" si="3"/>
        <v>_NONE</v>
      </c>
      <c r="S47" s="29" t="str">
        <f t="shared" si="4"/>
        <v>_NONE</v>
      </c>
      <c r="T47" s="29" t="str">
        <f t="shared" si="5"/>
        <v>_NONE</v>
      </c>
    </row>
    <row r="48" spans="1:20" ht="15" customHeight="1" x14ac:dyDescent="0.25">
      <c r="A48" s="9" t="str">
        <f t="shared" si="0"/>
        <v/>
      </c>
      <c r="B48" s="52"/>
      <c r="C48" s="52"/>
      <c r="D48" s="53"/>
      <c r="E48" s="53"/>
      <c r="F48" s="53"/>
      <c r="G48" s="53"/>
      <c r="H48" s="53"/>
      <c r="I48" s="54" t="str">
        <f>IFERROR(INDEX('Description Library'!$C$6:$C$808,MATCH($E48&amp;"|"&amp;$F48&amp;"|"&amp;$G48&amp;"|"&amp;$H48,'Description Library'!$K$6:$K$808,0)),"")</f>
        <v/>
      </c>
      <c r="J48" s="9" t="str">
        <f>IFERROR(INDEX('Description Library'!$H$6:$H$808,MATCH($E48&amp;"|"&amp;$F48&amp;"|"&amp;$G48&amp;"|"&amp;$H48,'Description Library'!$K$6:$K$808,0)),"")</f>
        <v/>
      </c>
      <c r="K48" s="55"/>
      <c r="L48" s="56">
        <f>IFERROR(INDEX('Price List Library'!$K$6:$K$437,MATCH(TRIM($H48)&amp;"|"&amp;TRIM($J48),'Price List Library'!$S$6:$S$437,0)),0)</f>
        <v>0</v>
      </c>
      <c r="M48" s="56">
        <f>IFERROR(INDEX('Price List Library'!$N$6:$N$437,MATCH(TRIM($H48)&amp;"|"&amp;TRIM($J48),'Price List Library'!$S$6:$S$437,0)),0)</f>
        <v>0</v>
      </c>
      <c r="N48" s="27">
        <f t="shared" si="1"/>
        <v>0</v>
      </c>
      <c r="O48" s="27" t="str">
        <f t="shared" si="2"/>
        <v/>
      </c>
      <c r="P48" s="9" t="str">
        <f>IFERROR(INDEX('Price List Library'!$P$6:$P$437,MATCH(TRIM($H48)&amp;"|"&amp;TRIM($J48),'Price List Library'!$S$6:$S$437,0)),"")</f>
        <v/>
      </c>
      <c r="Q48" s="53"/>
      <c r="R48" s="29" t="str">
        <f t="shared" si="3"/>
        <v>_NONE</v>
      </c>
      <c r="S48" s="29" t="str">
        <f t="shared" si="4"/>
        <v>_NONE</v>
      </c>
      <c r="T48" s="29" t="str">
        <f t="shared" si="5"/>
        <v>_NONE</v>
      </c>
    </row>
    <row r="49" spans="1:20" ht="15" customHeight="1" x14ac:dyDescent="0.25">
      <c r="A49" s="9" t="str">
        <f t="shared" si="0"/>
        <v/>
      </c>
      <c r="B49" s="52"/>
      <c r="C49" s="52"/>
      <c r="D49" s="53"/>
      <c r="E49" s="53"/>
      <c r="F49" s="53"/>
      <c r="G49" s="53"/>
      <c r="H49" s="53"/>
      <c r="I49" s="54" t="str">
        <f>IFERROR(INDEX('Description Library'!$C$6:$C$808,MATCH($E49&amp;"|"&amp;$F49&amp;"|"&amp;$G49&amp;"|"&amp;$H49,'Description Library'!$K$6:$K$808,0)),"")</f>
        <v/>
      </c>
      <c r="J49" s="9" t="str">
        <f>IFERROR(INDEX('Description Library'!$H$6:$H$808,MATCH($E49&amp;"|"&amp;$F49&amp;"|"&amp;$G49&amp;"|"&amp;$H49,'Description Library'!$K$6:$K$808,0)),"")</f>
        <v/>
      </c>
      <c r="K49" s="55"/>
      <c r="L49" s="56">
        <f>IFERROR(INDEX('Price List Library'!$K$6:$K$437,MATCH(TRIM($H49)&amp;"|"&amp;TRIM($J49),'Price List Library'!$S$6:$S$437,0)),0)</f>
        <v>0</v>
      </c>
      <c r="M49" s="56">
        <f>IFERROR(INDEX('Price List Library'!$N$6:$N$437,MATCH(TRIM($H49)&amp;"|"&amp;TRIM($J49),'Price List Library'!$S$6:$S$437,0)),0)</f>
        <v>0</v>
      </c>
      <c r="N49" s="27">
        <f t="shared" si="1"/>
        <v>0</v>
      </c>
      <c r="O49" s="27" t="str">
        <f t="shared" si="2"/>
        <v/>
      </c>
      <c r="P49" s="9" t="str">
        <f>IFERROR(INDEX('Price List Library'!$P$6:$P$437,MATCH(TRIM($H49)&amp;"|"&amp;TRIM($J49),'Price List Library'!$S$6:$S$437,0)),"")</f>
        <v/>
      </c>
      <c r="Q49" s="53"/>
      <c r="R49" s="29" t="str">
        <f t="shared" si="3"/>
        <v>_NONE</v>
      </c>
      <c r="S49" s="29" t="str">
        <f t="shared" si="4"/>
        <v>_NONE</v>
      </c>
      <c r="T49" s="29" t="str">
        <f t="shared" si="5"/>
        <v>_NONE</v>
      </c>
    </row>
    <row r="50" spans="1:20" ht="15" customHeight="1" x14ac:dyDescent="0.25">
      <c r="A50" s="9" t="str">
        <f t="shared" si="0"/>
        <v/>
      </c>
      <c r="B50" s="52"/>
      <c r="C50" s="52"/>
      <c r="D50" s="53"/>
      <c r="E50" s="53"/>
      <c r="F50" s="53"/>
      <c r="G50" s="53"/>
      <c r="H50" s="53"/>
      <c r="I50" s="54" t="str">
        <f>IFERROR(INDEX('Description Library'!$C$6:$C$808,MATCH($E50&amp;"|"&amp;$F50&amp;"|"&amp;$G50&amp;"|"&amp;$H50,'Description Library'!$K$6:$K$808,0)),"")</f>
        <v/>
      </c>
      <c r="J50" s="9" t="str">
        <f>IFERROR(INDEX('Description Library'!$H$6:$H$808,MATCH($E50&amp;"|"&amp;$F50&amp;"|"&amp;$G50&amp;"|"&amp;$H50,'Description Library'!$K$6:$K$808,0)),"")</f>
        <v/>
      </c>
      <c r="K50" s="55"/>
      <c r="L50" s="56">
        <f>IFERROR(INDEX('Price List Library'!$K$6:$K$437,MATCH(TRIM($H50)&amp;"|"&amp;TRIM($J50),'Price List Library'!$S$6:$S$437,0)),0)</f>
        <v>0</v>
      </c>
      <c r="M50" s="56">
        <f>IFERROR(INDEX('Price List Library'!$N$6:$N$437,MATCH(TRIM($H50)&amp;"|"&amp;TRIM($J50),'Price List Library'!$S$6:$S$437,0)),0)</f>
        <v>0</v>
      </c>
      <c r="N50" s="27">
        <f t="shared" si="1"/>
        <v>0</v>
      </c>
      <c r="O50" s="27" t="str">
        <f t="shared" si="2"/>
        <v/>
      </c>
      <c r="P50" s="9" t="str">
        <f>IFERROR(INDEX('Price List Library'!$P$6:$P$437,MATCH(TRIM($H50)&amp;"|"&amp;TRIM($J50),'Price List Library'!$S$6:$S$437,0)),"")</f>
        <v/>
      </c>
      <c r="Q50" s="53"/>
      <c r="R50" s="29" t="str">
        <f t="shared" si="3"/>
        <v>_NONE</v>
      </c>
      <c r="S50" s="29" t="str">
        <f t="shared" si="4"/>
        <v>_NONE</v>
      </c>
      <c r="T50" s="29" t="str">
        <f t="shared" si="5"/>
        <v>_NONE</v>
      </c>
    </row>
    <row r="51" spans="1:20" ht="15" customHeight="1" x14ac:dyDescent="0.25">
      <c r="A51" s="9" t="str">
        <f t="shared" si="0"/>
        <v/>
      </c>
      <c r="B51" s="52"/>
      <c r="C51" s="52"/>
      <c r="D51" s="53"/>
      <c r="E51" s="53"/>
      <c r="F51" s="53"/>
      <c r="G51" s="53"/>
      <c r="H51" s="53"/>
      <c r="I51" s="54" t="str">
        <f>IFERROR(INDEX('Description Library'!$C$6:$C$808,MATCH($E51&amp;"|"&amp;$F51&amp;"|"&amp;$G51&amp;"|"&amp;$H51,'Description Library'!$K$6:$K$808,0)),"")</f>
        <v/>
      </c>
      <c r="J51" s="9" t="str">
        <f>IFERROR(INDEX('Description Library'!$H$6:$H$808,MATCH($E51&amp;"|"&amp;$F51&amp;"|"&amp;$G51&amp;"|"&amp;$H51,'Description Library'!$K$6:$K$808,0)),"")</f>
        <v/>
      </c>
      <c r="K51" s="55"/>
      <c r="L51" s="56">
        <f>IFERROR(INDEX('Price List Library'!$K$6:$K$437,MATCH(TRIM($H51)&amp;"|"&amp;TRIM($J51),'Price List Library'!$S$6:$S$437,0)),0)</f>
        <v>0</v>
      </c>
      <c r="M51" s="56">
        <f>IFERROR(INDEX('Price List Library'!$N$6:$N$437,MATCH(TRIM($H51)&amp;"|"&amp;TRIM($J51),'Price List Library'!$S$6:$S$437,0)),0)</f>
        <v>0</v>
      </c>
      <c r="N51" s="27">
        <f t="shared" si="1"/>
        <v>0</v>
      </c>
      <c r="O51" s="27" t="str">
        <f t="shared" si="2"/>
        <v/>
      </c>
      <c r="P51" s="9" t="str">
        <f>IFERROR(INDEX('Price List Library'!$P$6:$P$437,MATCH(TRIM($H51)&amp;"|"&amp;TRIM($J51),'Price List Library'!$S$6:$S$437,0)),"")</f>
        <v/>
      </c>
      <c r="Q51" s="53"/>
      <c r="R51" s="29" t="str">
        <f t="shared" si="3"/>
        <v>_NONE</v>
      </c>
      <c r="S51" s="29" t="str">
        <f t="shared" si="4"/>
        <v>_NONE</v>
      </c>
      <c r="T51" s="29" t="str">
        <f t="shared" si="5"/>
        <v>_NONE</v>
      </c>
    </row>
    <row r="52" spans="1:20" ht="15" customHeight="1" x14ac:dyDescent="0.25">
      <c r="A52" s="9" t="str">
        <f t="shared" si="0"/>
        <v/>
      </c>
      <c r="B52" s="52"/>
      <c r="C52" s="52"/>
      <c r="D52" s="53"/>
      <c r="E52" s="53"/>
      <c r="F52" s="53"/>
      <c r="G52" s="53"/>
      <c r="H52" s="53"/>
      <c r="I52" s="54" t="str">
        <f>IFERROR(INDEX('Description Library'!$C$6:$C$808,MATCH($E52&amp;"|"&amp;$F52&amp;"|"&amp;$G52&amp;"|"&amp;$H52,'Description Library'!$K$6:$K$808,0)),"")</f>
        <v/>
      </c>
      <c r="J52" s="9" t="str">
        <f>IFERROR(INDEX('Description Library'!$H$6:$H$808,MATCH($E52&amp;"|"&amp;$F52&amp;"|"&amp;$G52&amp;"|"&amp;$H52,'Description Library'!$K$6:$K$808,0)),"")</f>
        <v/>
      </c>
      <c r="K52" s="55"/>
      <c r="L52" s="56">
        <f>IFERROR(INDEX('Price List Library'!$K$6:$K$437,MATCH(TRIM($H52)&amp;"|"&amp;TRIM($J52),'Price List Library'!$S$6:$S$437,0)),0)</f>
        <v>0</v>
      </c>
      <c r="M52" s="56">
        <f>IFERROR(INDEX('Price List Library'!$N$6:$N$437,MATCH(TRIM($H52)&amp;"|"&amp;TRIM($J52),'Price List Library'!$S$6:$S$437,0)),0)</f>
        <v>0</v>
      </c>
      <c r="N52" s="27">
        <f t="shared" si="1"/>
        <v>0</v>
      </c>
      <c r="O52" s="27" t="str">
        <f t="shared" si="2"/>
        <v/>
      </c>
      <c r="P52" s="9" t="str">
        <f>IFERROR(INDEX('Price List Library'!$P$6:$P$437,MATCH(TRIM($H52)&amp;"|"&amp;TRIM($J52),'Price List Library'!$S$6:$S$437,0)),"")</f>
        <v/>
      </c>
      <c r="Q52" s="53"/>
      <c r="R52" s="29" t="str">
        <f t="shared" si="3"/>
        <v>_NONE</v>
      </c>
      <c r="S52" s="29" t="str">
        <f t="shared" si="4"/>
        <v>_NONE</v>
      </c>
      <c r="T52" s="29" t="str">
        <f t="shared" si="5"/>
        <v>_NONE</v>
      </c>
    </row>
    <row r="53" spans="1:20" ht="15" customHeight="1" x14ac:dyDescent="0.25">
      <c r="A53" s="9" t="str">
        <f t="shared" si="0"/>
        <v/>
      </c>
      <c r="B53" s="52"/>
      <c r="C53" s="52"/>
      <c r="D53" s="53"/>
      <c r="E53" s="53"/>
      <c r="F53" s="53"/>
      <c r="G53" s="53"/>
      <c r="H53" s="53"/>
      <c r="I53" s="54" t="str">
        <f>IFERROR(INDEX('Description Library'!$C$6:$C$808,MATCH($E53&amp;"|"&amp;$F53&amp;"|"&amp;$G53&amp;"|"&amp;$H53,'Description Library'!$K$6:$K$808,0)),"")</f>
        <v/>
      </c>
      <c r="J53" s="9" t="str">
        <f>IFERROR(INDEX('Description Library'!$H$6:$H$808,MATCH($E53&amp;"|"&amp;$F53&amp;"|"&amp;$G53&amp;"|"&amp;$H53,'Description Library'!$K$6:$K$808,0)),"")</f>
        <v/>
      </c>
      <c r="K53" s="55"/>
      <c r="L53" s="56">
        <f>IFERROR(INDEX('Price List Library'!$K$6:$K$437,MATCH(TRIM($H53)&amp;"|"&amp;TRIM($J53),'Price List Library'!$S$6:$S$437,0)),0)</f>
        <v>0</v>
      </c>
      <c r="M53" s="56">
        <f>IFERROR(INDEX('Price List Library'!$N$6:$N$437,MATCH(TRIM($H53)&amp;"|"&amp;TRIM($J53),'Price List Library'!$S$6:$S$437,0)),0)</f>
        <v>0</v>
      </c>
      <c r="N53" s="27">
        <f t="shared" si="1"/>
        <v>0</v>
      </c>
      <c r="O53" s="27" t="str">
        <f t="shared" si="2"/>
        <v/>
      </c>
      <c r="P53" s="9" t="str">
        <f>IFERROR(INDEX('Price List Library'!$P$6:$P$437,MATCH(TRIM($H53)&amp;"|"&amp;TRIM($J53),'Price List Library'!$S$6:$S$437,0)),"")</f>
        <v/>
      </c>
      <c r="Q53" s="53"/>
      <c r="R53" s="29" t="str">
        <f t="shared" si="3"/>
        <v>_NONE</v>
      </c>
      <c r="S53" s="29" t="str">
        <f t="shared" si="4"/>
        <v>_NONE</v>
      </c>
      <c r="T53" s="29" t="str">
        <f t="shared" si="5"/>
        <v>_NONE</v>
      </c>
    </row>
    <row r="54" spans="1:20" ht="15" customHeight="1" x14ac:dyDescent="0.25">
      <c r="A54" s="9" t="str">
        <f t="shared" si="0"/>
        <v/>
      </c>
      <c r="B54" s="52"/>
      <c r="C54" s="52"/>
      <c r="D54" s="53"/>
      <c r="E54" s="53"/>
      <c r="F54" s="53"/>
      <c r="G54" s="53"/>
      <c r="H54" s="53"/>
      <c r="I54" s="54" t="str">
        <f>IFERROR(INDEX('Description Library'!$C$6:$C$808,MATCH($E54&amp;"|"&amp;$F54&amp;"|"&amp;$G54&amp;"|"&amp;$H54,'Description Library'!$K$6:$K$808,0)),"")</f>
        <v/>
      </c>
      <c r="J54" s="9" t="str">
        <f>IFERROR(INDEX('Description Library'!$H$6:$H$808,MATCH($E54&amp;"|"&amp;$F54&amp;"|"&amp;$G54&amp;"|"&amp;$H54,'Description Library'!$K$6:$K$808,0)),"")</f>
        <v/>
      </c>
      <c r="K54" s="55"/>
      <c r="L54" s="56">
        <f>IFERROR(INDEX('Price List Library'!$K$6:$K$437,MATCH(TRIM($H54)&amp;"|"&amp;TRIM($J54),'Price List Library'!$S$6:$S$437,0)),0)</f>
        <v>0</v>
      </c>
      <c r="M54" s="56">
        <f>IFERROR(INDEX('Price List Library'!$N$6:$N$437,MATCH(TRIM($H54)&amp;"|"&amp;TRIM($J54),'Price List Library'!$S$6:$S$437,0)),0)</f>
        <v>0</v>
      </c>
      <c r="N54" s="27">
        <f t="shared" si="1"/>
        <v>0</v>
      </c>
      <c r="O54" s="27" t="str">
        <f t="shared" si="2"/>
        <v/>
      </c>
      <c r="P54" s="9" t="str">
        <f>IFERROR(INDEX('Price List Library'!$P$6:$P$437,MATCH(TRIM($H54)&amp;"|"&amp;TRIM($J54),'Price List Library'!$S$6:$S$437,0)),"")</f>
        <v/>
      </c>
      <c r="Q54" s="53"/>
      <c r="R54" s="29" t="str">
        <f t="shared" si="3"/>
        <v>_NONE</v>
      </c>
      <c r="S54" s="29" t="str">
        <f t="shared" si="4"/>
        <v>_NONE</v>
      </c>
      <c r="T54" s="29" t="str">
        <f t="shared" si="5"/>
        <v>_NONE</v>
      </c>
    </row>
    <row r="55" spans="1:20" ht="15" customHeight="1" x14ac:dyDescent="0.25">
      <c r="A55" s="9" t="str">
        <f t="shared" si="0"/>
        <v/>
      </c>
      <c r="B55" s="52"/>
      <c r="C55" s="52"/>
      <c r="D55" s="53"/>
      <c r="E55" s="53"/>
      <c r="F55" s="53"/>
      <c r="G55" s="53"/>
      <c r="H55" s="53"/>
      <c r="I55" s="54" t="str">
        <f>IFERROR(INDEX('Description Library'!$C$6:$C$808,MATCH($E55&amp;"|"&amp;$F55&amp;"|"&amp;$G55&amp;"|"&amp;$H55,'Description Library'!$K$6:$K$808,0)),"")</f>
        <v/>
      </c>
      <c r="J55" s="9" t="str">
        <f>IFERROR(INDEX('Description Library'!$H$6:$H$808,MATCH($E55&amp;"|"&amp;$F55&amp;"|"&amp;$G55&amp;"|"&amp;$H55,'Description Library'!$K$6:$K$808,0)),"")</f>
        <v/>
      </c>
      <c r="K55" s="55"/>
      <c r="L55" s="56">
        <f>IFERROR(INDEX('Price List Library'!$K$6:$K$437,MATCH(TRIM($H55)&amp;"|"&amp;TRIM($J55),'Price List Library'!$S$6:$S$437,0)),0)</f>
        <v>0</v>
      </c>
      <c r="M55" s="56">
        <f>IFERROR(INDEX('Price List Library'!$N$6:$N$437,MATCH(TRIM($H55)&amp;"|"&amp;TRIM($J55),'Price List Library'!$S$6:$S$437,0)),0)</f>
        <v>0</v>
      </c>
      <c r="N55" s="27">
        <f t="shared" si="1"/>
        <v>0</v>
      </c>
      <c r="O55" s="27" t="str">
        <f t="shared" si="2"/>
        <v/>
      </c>
      <c r="P55" s="9" t="str">
        <f>IFERROR(INDEX('Price List Library'!$P$6:$P$437,MATCH(TRIM($H55)&amp;"|"&amp;TRIM($J55),'Price List Library'!$S$6:$S$437,0)),"")</f>
        <v/>
      </c>
      <c r="Q55" s="53"/>
      <c r="R55" s="29" t="str">
        <f t="shared" si="3"/>
        <v>_NONE</v>
      </c>
      <c r="S55" s="29" t="str">
        <f t="shared" si="4"/>
        <v>_NONE</v>
      </c>
      <c r="T55" s="29" t="str">
        <f t="shared" si="5"/>
        <v>_NONE</v>
      </c>
    </row>
    <row r="56" spans="1:20" ht="15" customHeight="1" x14ac:dyDescent="0.25">
      <c r="A56" s="9" t="str">
        <f t="shared" si="0"/>
        <v/>
      </c>
      <c r="B56" s="52"/>
      <c r="C56" s="52"/>
      <c r="D56" s="53"/>
      <c r="E56" s="53"/>
      <c r="F56" s="53"/>
      <c r="G56" s="53"/>
      <c r="H56" s="53"/>
      <c r="I56" s="54" t="str">
        <f>IFERROR(INDEX('Description Library'!$C$6:$C$808,MATCH($E56&amp;"|"&amp;$F56&amp;"|"&amp;$G56&amp;"|"&amp;$H56,'Description Library'!$K$6:$K$808,0)),"")</f>
        <v/>
      </c>
      <c r="J56" s="9" t="str">
        <f>IFERROR(INDEX('Description Library'!$H$6:$H$808,MATCH($E56&amp;"|"&amp;$F56&amp;"|"&amp;$G56&amp;"|"&amp;$H56,'Description Library'!$K$6:$K$808,0)),"")</f>
        <v/>
      </c>
      <c r="K56" s="55"/>
      <c r="L56" s="56">
        <f>IFERROR(INDEX('Price List Library'!$K$6:$K$437,MATCH(TRIM($H56)&amp;"|"&amp;TRIM($J56),'Price List Library'!$S$6:$S$437,0)),0)</f>
        <v>0</v>
      </c>
      <c r="M56" s="56">
        <f>IFERROR(INDEX('Price List Library'!$N$6:$N$437,MATCH(TRIM($H56)&amp;"|"&amp;TRIM($J56),'Price List Library'!$S$6:$S$437,0)),0)</f>
        <v>0</v>
      </c>
      <c r="N56" s="27">
        <f t="shared" si="1"/>
        <v>0</v>
      </c>
      <c r="O56" s="27" t="str">
        <f t="shared" si="2"/>
        <v/>
      </c>
      <c r="P56" s="9" t="str">
        <f>IFERROR(INDEX('Price List Library'!$P$6:$P$437,MATCH(TRIM($H56)&amp;"|"&amp;TRIM($J56),'Price List Library'!$S$6:$S$437,0)),"")</f>
        <v/>
      </c>
      <c r="Q56" s="53"/>
      <c r="R56" s="29" t="str">
        <f t="shared" si="3"/>
        <v>_NONE</v>
      </c>
      <c r="S56" s="29" t="str">
        <f t="shared" si="4"/>
        <v>_NONE</v>
      </c>
      <c r="T56" s="29" t="str">
        <f t="shared" si="5"/>
        <v>_NONE</v>
      </c>
    </row>
    <row r="57" spans="1:20" ht="15" customHeight="1" x14ac:dyDescent="0.25">
      <c r="A57" s="9" t="str">
        <f t="shared" si="0"/>
        <v/>
      </c>
      <c r="B57" s="52"/>
      <c r="C57" s="52"/>
      <c r="D57" s="53"/>
      <c r="E57" s="53"/>
      <c r="F57" s="53"/>
      <c r="G57" s="53"/>
      <c r="H57" s="53"/>
      <c r="I57" s="54" t="str">
        <f>IFERROR(INDEX('Description Library'!$C$6:$C$808,MATCH($E57&amp;"|"&amp;$F57&amp;"|"&amp;$G57&amp;"|"&amp;$H57,'Description Library'!$K$6:$K$808,0)),"")</f>
        <v/>
      </c>
      <c r="J57" s="9" t="str">
        <f>IFERROR(INDEX('Description Library'!$H$6:$H$808,MATCH($E57&amp;"|"&amp;$F57&amp;"|"&amp;$G57&amp;"|"&amp;$H57,'Description Library'!$K$6:$K$808,0)),"")</f>
        <v/>
      </c>
      <c r="K57" s="55"/>
      <c r="L57" s="56">
        <f>IFERROR(INDEX('Price List Library'!$K$6:$K$437,MATCH(TRIM($H57)&amp;"|"&amp;TRIM($J57),'Price List Library'!$S$6:$S$437,0)),0)</f>
        <v>0</v>
      </c>
      <c r="M57" s="56">
        <f>IFERROR(INDEX('Price List Library'!$N$6:$N$437,MATCH(TRIM($H57)&amp;"|"&amp;TRIM($J57),'Price List Library'!$S$6:$S$437,0)),0)</f>
        <v>0</v>
      </c>
      <c r="N57" s="27">
        <f t="shared" si="1"/>
        <v>0</v>
      </c>
      <c r="O57" s="27" t="str">
        <f t="shared" si="2"/>
        <v/>
      </c>
      <c r="P57" s="9" t="str">
        <f>IFERROR(INDEX('Price List Library'!$P$6:$P$437,MATCH(TRIM($H57)&amp;"|"&amp;TRIM($J57),'Price List Library'!$S$6:$S$437,0)),"")</f>
        <v/>
      </c>
      <c r="Q57" s="53"/>
      <c r="R57" s="29" t="str">
        <f t="shared" si="3"/>
        <v>_NONE</v>
      </c>
      <c r="S57" s="29" t="str">
        <f t="shared" si="4"/>
        <v>_NONE</v>
      </c>
      <c r="T57" s="29" t="str">
        <f t="shared" si="5"/>
        <v>_NONE</v>
      </c>
    </row>
    <row r="58" spans="1:20" ht="15" customHeight="1" x14ac:dyDescent="0.25">
      <c r="A58" s="9" t="str">
        <f t="shared" si="0"/>
        <v/>
      </c>
      <c r="B58" s="52"/>
      <c r="C58" s="52"/>
      <c r="D58" s="53"/>
      <c r="E58" s="53"/>
      <c r="F58" s="53"/>
      <c r="G58" s="53"/>
      <c r="H58" s="53"/>
      <c r="I58" s="54" t="str">
        <f>IFERROR(INDEX('Description Library'!$C$6:$C$808,MATCH($E58&amp;"|"&amp;$F58&amp;"|"&amp;$G58&amp;"|"&amp;$H58,'Description Library'!$K$6:$K$808,0)),"")</f>
        <v/>
      </c>
      <c r="J58" s="9" t="str">
        <f>IFERROR(INDEX('Description Library'!$H$6:$H$808,MATCH($E58&amp;"|"&amp;$F58&amp;"|"&amp;$G58&amp;"|"&amp;$H58,'Description Library'!$K$6:$K$808,0)),"")</f>
        <v/>
      </c>
      <c r="K58" s="55"/>
      <c r="L58" s="56">
        <f>IFERROR(INDEX('Price List Library'!$K$6:$K$437,MATCH(TRIM($H58)&amp;"|"&amp;TRIM($J58),'Price List Library'!$S$6:$S$437,0)),0)</f>
        <v>0</v>
      </c>
      <c r="M58" s="56">
        <f>IFERROR(INDEX('Price List Library'!$N$6:$N$437,MATCH(TRIM($H58)&amp;"|"&amp;TRIM($J58),'Price List Library'!$S$6:$S$437,0)),0)</f>
        <v>0</v>
      </c>
      <c r="N58" s="27">
        <f t="shared" si="1"/>
        <v>0</v>
      </c>
      <c r="O58" s="27" t="str">
        <f t="shared" si="2"/>
        <v/>
      </c>
      <c r="P58" s="9" t="str">
        <f>IFERROR(INDEX('Price List Library'!$P$6:$P$437,MATCH(TRIM($H58)&amp;"|"&amp;TRIM($J58),'Price List Library'!$S$6:$S$437,0)),"")</f>
        <v/>
      </c>
      <c r="Q58" s="53"/>
      <c r="R58" s="29" t="str">
        <f t="shared" si="3"/>
        <v>_NONE</v>
      </c>
      <c r="S58" s="29" t="str">
        <f t="shared" si="4"/>
        <v>_NONE</v>
      </c>
      <c r="T58" s="29" t="str">
        <f t="shared" si="5"/>
        <v>_NONE</v>
      </c>
    </row>
    <row r="59" spans="1:20" ht="15" customHeight="1" x14ac:dyDescent="0.25">
      <c r="A59" s="9" t="str">
        <f t="shared" si="0"/>
        <v/>
      </c>
      <c r="B59" s="52"/>
      <c r="C59" s="52"/>
      <c r="D59" s="53"/>
      <c r="E59" s="53"/>
      <c r="F59" s="53"/>
      <c r="G59" s="53"/>
      <c r="H59" s="53"/>
      <c r="I59" s="54" t="str">
        <f>IFERROR(INDEX('Description Library'!$C$6:$C$808,MATCH($E59&amp;"|"&amp;$F59&amp;"|"&amp;$G59&amp;"|"&amp;$H59,'Description Library'!$K$6:$K$808,0)),"")</f>
        <v/>
      </c>
      <c r="J59" s="9" t="str">
        <f>IFERROR(INDEX('Description Library'!$H$6:$H$808,MATCH($E59&amp;"|"&amp;$F59&amp;"|"&amp;$G59&amp;"|"&amp;$H59,'Description Library'!$K$6:$K$808,0)),"")</f>
        <v/>
      </c>
      <c r="K59" s="55"/>
      <c r="L59" s="56">
        <f>IFERROR(INDEX('Price List Library'!$K$6:$K$437,MATCH(TRIM($H59)&amp;"|"&amp;TRIM($J59),'Price List Library'!$S$6:$S$437,0)),0)</f>
        <v>0</v>
      </c>
      <c r="M59" s="56">
        <f>IFERROR(INDEX('Price List Library'!$N$6:$N$437,MATCH(TRIM($H59)&amp;"|"&amp;TRIM($J59),'Price List Library'!$S$6:$S$437,0)),0)</f>
        <v>0</v>
      </c>
      <c r="N59" s="27">
        <f t="shared" si="1"/>
        <v>0</v>
      </c>
      <c r="O59" s="27" t="str">
        <f t="shared" si="2"/>
        <v/>
      </c>
      <c r="P59" s="9" t="str">
        <f>IFERROR(INDEX('Price List Library'!$P$6:$P$437,MATCH(TRIM($H59)&amp;"|"&amp;TRIM($J59),'Price List Library'!$S$6:$S$437,0)),"")</f>
        <v/>
      </c>
      <c r="Q59" s="53"/>
      <c r="R59" s="29" t="str">
        <f t="shared" si="3"/>
        <v>_NONE</v>
      </c>
      <c r="S59" s="29" t="str">
        <f t="shared" si="4"/>
        <v>_NONE</v>
      </c>
      <c r="T59" s="29" t="str">
        <f t="shared" si="5"/>
        <v>_NONE</v>
      </c>
    </row>
    <row r="60" spans="1:20" ht="15" customHeight="1" x14ac:dyDescent="0.25">
      <c r="A60" s="9" t="str">
        <f t="shared" si="0"/>
        <v/>
      </c>
      <c r="B60" s="52"/>
      <c r="C60" s="52"/>
      <c r="D60" s="53"/>
      <c r="E60" s="53"/>
      <c r="F60" s="53"/>
      <c r="G60" s="53"/>
      <c r="H60" s="53"/>
      <c r="I60" s="54" t="str">
        <f>IFERROR(INDEX('Description Library'!$C$6:$C$808,MATCH($E60&amp;"|"&amp;$F60&amp;"|"&amp;$G60&amp;"|"&amp;$H60,'Description Library'!$K$6:$K$808,0)),"")</f>
        <v/>
      </c>
      <c r="J60" s="9" t="str">
        <f>IFERROR(INDEX('Description Library'!$H$6:$H$808,MATCH($E60&amp;"|"&amp;$F60&amp;"|"&amp;$G60&amp;"|"&amp;$H60,'Description Library'!$K$6:$K$808,0)),"")</f>
        <v/>
      </c>
      <c r="K60" s="55"/>
      <c r="L60" s="56">
        <f>IFERROR(INDEX('Price List Library'!$K$6:$K$437,MATCH(TRIM($H60)&amp;"|"&amp;TRIM($J60),'Price List Library'!$S$6:$S$437,0)),0)</f>
        <v>0</v>
      </c>
      <c r="M60" s="56">
        <f>IFERROR(INDEX('Price List Library'!$N$6:$N$437,MATCH(TRIM($H60)&amp;"|"&amp;TRIM($J60),'Price List Library'!$S$6:$S$437,0)),0)</f>
        <v>0</v>
      </c>
      <c r="N60" s="27">
        <f t="shared" si="1"/>
        <v>0</v>
      </c>
      <c r="O60" s="27" t="str">
        <f t="shared" si="2"/>
        <v/>
      </c>
      <c r="P60" s="9" t="str">
        <f>IFERROR(INDEX('Price List Library'!$P$6:$P$437,MATCH(TRIM($H60)&amp;"|"&amp;TRIM($J60),'Price List Library'!$S$6:$S$437,0)),"")</f>
        <v/>
      </c>
      <c r="Q60" s="53"/>
      <c r="R60" s="29" t="str">
        <f t="shared" si="3"/>
        <v>_NONE</v>
      </c>
      <c r="S60" s="29" t="str">
        <f t="shared" si="4"/>
        <v>_NONE</v>
      </c>
      <c r="T60" s="29" t="str">
        <f t="shared" si="5"/>
        <v>_NONE</v>
      </c>
    </row>
    <row r="61" spans="1:20" ht="15" customHeight="1" x14ac:dyDescent="0.25">
      <c r="A61" s="9" t="str">
        <f t="shared" si="0"/>
        <v/>
      </c>
      <c r="B61" s="52"/>
      <c r="C61" s="52"/>
      <c r="D61" s="53"/>
      <c r="E61" s="53"/>
      <c r="F61" s="53"/>
      <c r="G61" s="53"/>
      <c r="H61" s="53"/>
      <c r="I61" s="54" t="str">
        <f>IFERROR(INDEX('Description Library'!$C$6:$C$808,MATCH($E61&amp;"|"&amp;$F61&amp;"|"&amp;$G61&amp;"|"&amp;$H61,'Description Library'!$K$6:$K$808,0)),"")</f>
        <v/>
      </c>
      <c r="J61" s="9" t="str">
        <f>IFERROR(INDEX('Description Library'!$H$6:$H$808,MATCH($E61&amp;"|"&amp;$F61&amp;"|"&amp;$G61&amp;"|"&amp;$H61,'Description Library'!$K$6:$K$808,0)),"")</f>
        <v/>
      </c>
      <c r="K61" s="55"/>
      <c r="L61" s="56">
        <f>IFERROR(INDEX('Price List Library'!$K$6:$K$437,MATCH(TRIM($H61)&amp;"|"&amp;TRIM($J61),'Price List Library'!$S$6:$S$437,0)),0)</f>
        <v>0</v>
      </c>
      <c r="M61" s="56">
        <f>IFERROR(INDEX('Price List Library'!$N$6:$N$437,MATCH(TRIM($H61)&amp;"|"&amp;TRIM($J61),'Price List Library'!$S$6:$S$437,0)),0)</f>
        <v>0</v>
      </c>
      <c r="N61" s="27">
        <f t="shared" si="1"/>
        <v>0</v>
      </c>
      <c r="O61" s="27" t="str">
        <f t="shared" si="2"/>
        <v/>
      </c>
      <c r="P61" s="9" t="str">
        <f>IFERROR(INDEX('Price List Library'!$P$6:$P$437,MATCH(TRIM($H61)&amp;"|"&amp;TRIM($J61),'Price List Library'!$S$6:$S$437,0)),"")</f>
        <v/>
      </c>
      <c r="Q61" s="53"/>
      <c r="R61" s="29" t="str">
        <f t="shared" si="3"/>
        <v>_NONE</v>
      </c>
      <c r="S61" s="29" t="str">
        <f t="shared" si="4"/>
        <v>_NONE</v>
      </c>
      <c r="T61" s="29" t="str">
        <f t="shared" si="5"/>
        <v>_NONE</v>
      </c>
    </row>
    <row r="62" spans="1:20" ht="15" customHeight="1" x14ac:dyDescent="0.25">
      <c r="A62" s="9" t="str">
        <f t="shared" si="0"/>
        <v/>
      </c>
      <c r="B62" s="52"/>
      <c r="C62" s="52"/>
      <c r="D62" s="53"/>
      <c r="E62" s="53"/>
      <c r="F62" s="53"/>
      <c r="G62" s="53"/>
      <c r="H62" s="53"/>
      <c r="I62" s="54" t="str">
        <f>IFERROR(INDEX('Description Library'!$C$6:$C$808,MATCH($E62&amp;"|"&amp;$F62&amp;"|"&amp;$G62&amp;"|"&amp;$H62,'Description Library'!$K$6:$K$808,0)),"")</f>
        <v/>
      </c>
      <c r="J62" s="9" t="str">
        <f>IFERROR(INDEX('Description Library'!$H$6:$H$808,MATCH($E62&amp;"|"&amp;$F62&amp;"|"&amp;$G62&amp;"|"&amp;$H62,'Description Library'!$K$6:$K$808,0)),"")</f>
        <v/>
      </c>
      <c r="K62" s="55"/>
      <c r="L62" s="56">
        <f>IFERROR(INDEX('Price List Library'!$K$6:$K$437,MATCH(TRIM($H62)&amp;"|"&amp;TRIM($J62),'Price List Library'!$S$6:$S$437,0)),0)</f>
        <v>0</v>
      </c>
      <c r="M62" s="56">
        <f>IFERROR(INDEX('Price List Library'!$N$6:$N$437,MATCH(TRIM($H62)&amp;"|"&amp;TRIM($J62),'Price List Library'!$S$6:$S$437,0)),0)</f>
        <v>0</v>
      </c>
      <c r="N62" s="27">
        <f t="shared" si="1"/>
        <v>0</v>
      </c>
      <c r="O62" s="27" t="str">
        <f t="shared" si="2"/>
        <v/>
      </c>
      <c r="P62" s="9" t="str">
        <f>IFERROR(INDEX('Price List Library'!$P$6:$P$437,MATCH(TRIM($H62)&amp;"|"&amp;TRIM($J62),'Price List Library'!$S$6:$S$437,0)),"")</f>
        <v/>
      </c>
      <c r="Q62" s="53"/>
      <c r="R62" s="29" t="str">
        <f t="shared" si="3"/>
        <v>_NONE</v>
      </c>
      <c r="S62" s="29" t="str">
        <f t="shared" si="4"/>
        <v>_NONE</v>
      </c>
      <c r="T62" s="29" t="str">
        <f t="shared" si="5"/>
        <v>_NONE</v>
      </c>
    </row>
    <row r="63" spans="1:20" ht="15" customHeight="1" x14ac:dyDescent="0.25">
      <c r="A63" s="9" t="str">
        <f t="shared" si="0"/>
        <v/>
      </c>
      <c r="B63" s="52"/>
      <c r="C63" s="52"/>
      <c r="D63" s="53"/>
      <c r="E63" s="53"/>
      <c r="F63" s="53"/>
      <c r="G63" s="53"/>
      <c r="H63" s="53"/>
      <c r="I63" s="54" t="str">
        <f>IFERROR(INDEX('Description Library'!$C$6:$C$808,MATCH($E63&amp;"|"&amp;$F63&amp;"|"&amp;$G63&amp;"|"&amp;$H63,'Description Library'!$K$6:$K$808,0)),"")</f>
        <v/>
      </c>
      <c r="J63" s="9" t="str">
        <f>IFERROR(INDEX('Description Library'!$H$6:$H$808,MATCH($E63&amp;"|"&amp;$F63&amp;"|"&amp;$G63&amp;"|"&amp;$H63,'Description Library'!$K$6:$K$808,0)),"")</f>
        <v/>
      </c>
      <c r="K63" s="55"/>
      <c r="L63" s="56">
        <f>IFERROR(INDEX('Price List Library'!$K$6:$K$437,MATCH(TRIM($H63)&amp;"|"&amp;TRIM($J63),'Price List Library'!$S$6:$S$437,0)),0)</f>
        <v>0</v>
      </c>
      <c r="M63" s="56">
        <f>IFERROR(INDEX('Price List Library'!$N$6:$N$437,MATCH(TRIM($H63)&amp;"|"&amp;TRIM($J63),'Price List Library'!$S$6:$S$437,0)),0)</f>
        <v>0</v>
      </c>
      <c r="N63" s="27">
        <f t="shared" si="1"/>
        <v>0</v>
      </c>
      <c r="O63" s="27" t="str">
        <f t="shared" si="2"/>
        <v/>
      </c>
      <c r="P63" s="9" t="str">
        <f>IFERROR(INDEX('Price List Library'!$P$6:$P$437,MATCH(TRIM($H63)&amp;"|"&amp;TRIM($J63),'Price List Library'!$S$6:$S$437,0)),"")</f>
        <v/>
      </c>
      <c r="Q63" s="53"/>
      <c r="R63" s="29" t="str">
        <f t="shared" si="3"/>
        <v>_NONE</v>
      </c>
      <c r="S63" s="29" t="str">
        <f t="shared" si="4"/>
        <v>_NONE</v>
      </c>
      <c r="T63" s="29" t="str">
        <f t="shared" si="5"/>
        <v>_NONE</v>
      </c>
    </row>
    <row r="64" spans="1:20" ht="15" customHeight="1" x14ac:dyDescent="0.25">
      <c r="A64" s="9" t="str">
        <f t="shared" si="0"/>
        <v/>
      </c>
      <c r="B64" s="52"/>
      <c r="C64" s="52"/>
      <c r="D64" s="53"/>
      <c r="E64" s="53"/>
      <c r="F64" s="53"/>
      <c r="G64" s="53"/>
      <c r="H64" s="53"/>
      <c r="I64" s="54" t="str">
        <f>IFERROR(INDEX('Description Library'!$C$6:$C$808,MATCH($E64&amp;"|"&amp;$F64&amp;"|"&amp;$G64&amp;"|"&amp;$H64,'Description Library'!$K$6:$K$808,0)),"")</f>
        <v/>
      </c>
      <c r="J64" s="9" t="str">
        <f>IFERROR(INDEX('Description Library'!$H$6:$H$808,MATCH($E64&amp;"|"&amp;$F64&amp;"|"&amp;$G64&amp;"|"&amp;$H64,'Description Library'!$K$6:$K$808,0)),"")</f>
        <v/>
      </c>
      <c r="K64" s="55"/>
      <c r="L64" s="56">
        <f>IFERROR(INDEX('Price List Library'!$K$6:$K$437,MATCH(TRIM($H64)&amp;"|"&amp;TRIM($J64),'Price List Library'!$S$6:$S$437,0)),0)</f>
        <v>0</v>
      </c>
      <c r="M64" s="56">
        <f>IFERROR(INDEX('Price List Library'!$N$6:$N$437,MATCH(TRIM($H64)&amp;"|"&amp;TRIM($J64),'Price List Library'!$S$6:$S$437,0)),0)</f>
        <v>0</v>
      </c>
      <c r="N64" s="27">
        <f t="shared" si="1"/>
        <v>0</v>
      </c>
      <c r="O64" s="27" t="str">
        <f t="shared" si="2"/>
        <v/>
      </c>
      <c r="P64" s="9" t="str">
        <f>IFERROR(INDEX('Price List Library'!$P$6:$P$437,MATCH(TRIM($H64)&amp;"|"&amp;TRIM($J64),'Price List Library'!$S$6:$S$437,0)),"")</f>
        <v/>
      </c>
      <c r="Q64" s="53"/>
      <c r="R64" s="29" t="str">
        <f t="shared" si="3"/>
        <v>_NONE</v>
      </c>
      <c r="S64" s="29" t="str">
        <f t="shared" si="4"/>
        <v>_NONE</v>
      </c>
      <c r="T64" s="29" t="str">
        <f t="shared" si="5"/>
        <v>_NONE</v>
      </c>
    </row>
    <row r="65" spans="1:20" ht="15" customHeight="1" x14ac:dyDescent="0.25">
      <c r="A65" s="9" t="str">
        <f t="shared" si="0"/>
        <v/>
      </c>
      <c r="B65" s="52"/>
      <c r="C65" s="52"/>
      <c r="D65" s="53"/>
      <c r="E65" s="53"/>
      <c r="F65" s="53"/>
      <c r="G65" s="53"/>
      <c r="H65" s="53"/>
      <c r="I65" s="54" t="str">
        <f>IFERROR(INDEX('Description Library'!$C$6:$C$808,MATCH($E65&amp;"|"&amp;$F65&amp;"|"&amp;$G65&amp;"|"&amp;$H65,'Description Library'!$K$6:$K$808,0)),"")</f>
        <v/>
      </c>
      <c r="J65" s="9" t="str">
        <f>IFERROR(INDEX('Description Library'!$H$6:$H$808,MATCH($E65&amp;"|"&amp;$F65&amp;"|"&amp;$G65&amp;"|"&amp;$H65,'Description Library'!$K$6:$K$808,0)),"")</f>
        <v/>
      </c>
      <c r="K65" s="55"/>
      <c r="L65" s="56">
        <f>IFERROR(INDEX('Price List Library'!$K$6:$K$437,MATCH(TRIM($H65)&amp;"|"&amp;TRIM($J65),'Price List Library'!$S$6:$S$437,0)),0)</f>
        <v>0</v>
      </c>
      <c r="M65" s="56">
        <f>IFERROR(INDEX('Price List Library'!$N$6:$N$437,MATCH(TRIM($H65)&amp;"|"&amp;TRIM($J65),'Price List Library'!$S$6:$S$437,0)),0)</f>
        <v>0</v>
      </c>
      <c r="N65" s="27">
        <f t="shared" si="1"/>
        <v>0</v>
      </c>
      <c r="O65" s="27" t="str">
        <f t="shared" si="2"/>
        <v/>
      </c>
      <c r="P65" s="9" t="str">
        <f>IFERROR(INDEX('Price List Library'!$P$6:$P$437,MATCH(TRIM($H65)&amp;"|"&amp;TRIM($J65),'Price List Library'!$S$6:$S$437,0)),"")</f>
        <v/>
      </c>
      <c r="Q65" s="53"/>
      <c r="R65" s="29" t="str">
        <f t="shared" si="3"/>
        <v>_NONE</v>
      </c>
      <c r="S65" s="29" t="str">
        <f t="shared" si="4"/>
        <v>_NONE</v>
      </c>
      <c r="T65" s="29" t="str">
        <f t="shared" si="5"/>
        <v>_NONE</v>
      </c>
    </row>
    <row r="66" spans="1:20" ht="15" customHeight="1" x14ac:dyDescent="0.25">
      <c r="A66" s="9" t="str">
        <f t="shared" si="0"/>
        <v/>
      </c>
      <c r="B66" s="52"/>
      <c r="C66" s="52"/>
      <c r="D66" s="53"/>
      <c r="E66" s="53"/>
      <c r="F66" s="53"/>
      <c r="G66" s="53"/>
      <c r="H66" s="53"/>
      <c r="I66" s="54" t="str">
        <f>IFERROR(INDEX('Description Library'!$C$6:$C$808,MATCH($E66&amp;"|"&amp;$F66&amp;"|"&amp;$G66&amp;"|"&amp;$H66,'Description Library'!$K$6:$K$808,0)),"")</f>
        <v/>
      </c>
      <c r="J66" s="9" t="str">
        <f>IFERROR(INDEX('Description Library'!$H$6:$H$808,MATCH($E66&amp;"|"&amp;$F66&amp;"|"&amp;$G66&amp;"|"&amp;$H66,'Description Library'!$K$6:$K$808,0)),"")</f>
        <v/>
      </c>
      <c r="K66" s="55"/>
      <c r="L66" s="56">
        <f>IFERROR(INDEX('Price List Library'!$K$6:$K$437,MATCH(TRIM($H66)&amp;"|"&amp;TRIM($J66),'Price List Library'!$S$6:$S$437,0)),0)</f>
        <v>0</v>
      </c>
      <c r="M66" s="56">
        <f>IFERROR(INDEX('Price List Library'!$N$6:$N$437,MATCH(TRIM($H66)&amp;"|"&amp;TRIM($J66),'Price List Library'!$S$6:$S$437,0)),0)</f>
        <v>0</v>
      </c>
      <c r="N66" s="27">
        <f t="shared" si="1"/>
        <v>0</v>
      </c>
      <c r="O66" s="27" t="str">
        <f t="shared" si="2"/>
        <v/>
      </c>
      <c r="P66" s="9" t="str">
        <f>IFERROR(INDEX('Price List Library'!$P$6:$P$437,MATCH(TRIM($H66)&amp;"|"&amp;TRIM($J66),'Price List Library'!$S$6:$S$437,0)),"")</f>
        <v/>
      </c>
      <c r="Q66" s="53"/>
      <c r="R66" s="29" t="str">
        <f t="shared" si="3"/>
        <v>_NONE</v>
      </c>
      <c r="S66" s="29" t="str">
        <f t="shared" si="4"/>
        <v>_NONE</v>
      </c>
      <c r="T66" s="29" t="str">
        <f t="shared" si="5"/>
        <v>_NONE</v>
      </c>
    </row>
    <row r="67" spans="1:20" ht="15" customHeight="1" x14ac:dyDescent="0.25">
      <c r="A67" s="9" t="str">
        <f t="shared" si="0"/>
        <v/>
      </c>
      <c r="B67" s="52"/>
      <c r="C67" s="52"/>
      <c r="D67" s="53"/>
      <c r="E67" s="53"/>
      <c r="F67" s="53"/>
      <c r="G67" s="53"/>
      <c r="H67" s="53"/>
      <c r="I67" s="54" t="str">
        <f>IFERROR(INDEX('Description Library'!$C$6:$C$808,MATCH($E67&amp;"|"&amp;$F67&amp;"|"&amp;$G67&amp;"|"&amp;$H67,'Description Library'!$K$6:$K$808,0)),"")</f>
        <v/>
      </c>
      <c r="J67" s="9" t="str">
        <f>IFERROR(INDEX('Description Library'!$H$6:$H$808,MATCH($E67&amp;"|"&amp;$F67&amp;"|"&amp;$G67&amp;"|"&amp;$H67,'Description Library'!$K$6:$K$808,0)),"")</f>
        <v/>
      </c>
      <c r="K67" s="55"/>
      <c r="L67" s="56">
        <f>IFERROR(INDEX('Price List Library'!$K$6:$K$437,MATCH(TRIM($H67)&amp;"|"&amp;TRIM($J67),'Price List Library'!$S$6:$S$437,0)),0)</f>
        <v>0</v>
      </c>
      <c r="M67" s="56">
        <f>IFERROR(INDEX('Price List Library'!$N$6:$N$437,MATCH(TRIM($H67)&amp;"|"&amp;TRIM($J67),'Price List Library'!$S$6:$S$437,0)),0)</f>
        <v>0</v>
      </c>
      <c r="N67" s="27">
        <f t="shared" si="1"/>
        <v>0</v>
      </c>
      <c r="O67" s="27" t="str">
        <f t="shared" si="2"/>
        <v/>
      </c>
      <c r="P67" s="9" t="str">
        <f>IFERROR(INDEX('Price List Library'!$P$6:$P$437,MATCH(TRIM($H67)&amp;"|"&amp;TRIM($J67),'Price List Library'!$S$6:$S$437,0)),"")</f>
        <v/>
      </c>
      <c r="Q67" s="53"/>
      <c r="R67" s="29" t="str">
        <f t="shared" si="3"/>
        <v>_NONE</v>
      </c>
      <c r="S67" s="29" t="str">
        <f t="shared" si="4"/>
        <v>_NONE</v>
      </c>
      <c r="T67" s="29" t="str">
        <f t="shared" si="5"/>
        <v>_NONE</v>
      </c>
    </row>
    <row r="68" spans="1:20" ht="15" customHeight="1" x14ac:dyDescent="0.25">
      <c r="A68" s="9" t="str">
        <f t="shared" si="0"/>
        <v/>
      </c>
      <c r="B68" s="52"/>
      <c r="C68" s="52"/>
      <c r="D68" s="53"/>
      <c r="E68" s="53"/>
      <c r="F68" s="53"/>
      <c r="G68" s="53"/>
      <c r="H68" s="53"/>
      <c r="I68" s="54" t="str">
        <f>IFERROR(INDEX('Description Library'!$C$6:$C$808,MATCH($E68&amp;"|"&amp;$F68&amp;"|"&amp;$G68&amp;"|"&amp;$H68,'Description Library'!$K$6:$K$808,0)),"")</f>
        <v/>
      </c>
      <c r="J68" s="9" t="str">
        <f>IFERROR(INDEX('Description Library'!$H$6:$H$808,MATCH($E68&amp;"|"&amp;$F68&amp;"|"&amp;$G68&amp;"|"&amp;$H68,'Description Library'!$K$6:$K$808,0)),"")</f>
        <v/>
      </c>
      <c r="K68" s="55"/>
      <c r="L68" s="56">
        <f>IFERROR(INDEX('Price List Library'!$K$6:$K$437,MATCH(TRIM($H68)&amp;"|"&amp;TRIM($J68),'Price List Library'!$S$6:$S$437,0)),0)</f>
        <v>0</v>
      </c>
      <c r="M68" s="56">
        <f>IFERROR(INDEX('Price List Library'!$N$6:$N$437,MATCH(TRIM($H68)&amp;"|"&amp;TRIM($J68),'Price List Library'!$S$6:$S$437,0)),0)</f>
        <v>0</v>
      </c>
      <c r="N68" s="27">
        <f t="shared" si="1"/>
        <v>0</v>
      </c>
      <c r="O68" s="27" t="str">
        <f t="shared" si="2"/>
        <v/>
      </c>
      <c r="P68" s="9" t="str">
        <f>IFERROR(INDEX('Price List Library'!$P$6:$P$437,MATCH(TRIM($H68)&amp;"|"&amp;TRIM($J68),'Price List Library'!$S$6:$S$437,0)),"")</f>
        <v/>
      </c>
      <c r="Q68" s="53"/>
      <c r="R68" s="29" t="str">
        <f t="shared" si="3"/>
        <v>_NONE</v>
      </c>
      <c r="S68" s="29" t="str">
        <f t="shared" si="4"/>
        <v>_NONE</v>
      </c>
      <c r="T68" s="29" t="str">
        <f t="shared" si="5"/>
        <v>_NONE</v>
      </c>
    </row>
    <row r="69" spans="1:20" ht="15" customHeight="1" x14ac:dyDescent="0.25">
      <c r="A69" s="9" t="str">
        <f t="shared" si="0"/>
        <v/>
      </c>
      <c r="B69" s="52"/>
      <c r="C69" s="52"/>
      <c r="D69" s="53"/>
      <c r="E69" s="53"/>
      <c r="F69" s="53"/>
      <c r="G69" s="53"/>
      <c r="H69" s="53"/>
      <c r="I69" s="54" t="str">
        <f>IFERROR(INDEX('Description Library'!$C$6:$C$808,MATCH($E69&amp;"|"&amp;$F69&amp;"|"&amp;$G69&amp;"|"&amp;$H69,'Description Library'!$K$6:$K$808,0)),"")</f>
        <v/>
      </c>
      <c r="J69" s="9" t="str">
        <f>IFERROR(INDEX('Description Library'!$H$6:$H$808,MATCH($E69&amp;"|"&amp;$F69&amp;"|"&amp;$G69&amp;"|"&amp;$H69,'Description Library'!$K$6:$K$808,0)),"")</f>
        <v/>
      </c>
      <c r="K69" s="55"/>
      <c r="L69" s="56">
        <f>IFERROR(INDEX('Price List Library'!$K$6:$K$437,MATCH(TRIM($H69)&amp;"|"&amp;TRIM($J69),'Price List Library'!$S$6:$S$437,0)),0)</f>
        <v>0</v>
      </c>
      <c r="M69" s="56">
        <f>IFERROR(INDEX('Price List Library'!$N$6:$N$437,MATCH(TRIM($H69)&amp;"|"&amp;TRIM($J69),'Price List Library'!$S$6:$S$437,0)),0)</f>
        <v>0</v>
      </c>
      <c r="N69" s="27">
        <f t="shared" si="1"/>
        <v>0</v>
      </c>
      <c r="O69" s="27" t="str">
        <f t="shared" si="2"/>
        <v/>
      </c>
      <c r="P69" s="9" t="str">
        <f>IFERROR(INDEX('Price List Library'!$P$6:$P$437,MATCH(TRIM($H69)&amp;"|"&amp;TRIM($J69),'Price List Library'!$S$6:$S$437,0)),"")</f>
        <v/>
      </c>
      <c r="Q69" s="53"/>
      <c r="R69" s="29" t="str">
        <f t="shared" si="3"/>
        <v>_NONE</v>
      </c>
      <c r="S69" s="29" t="str">
        <f t="shared" si="4"/>
        <v>_NONE</v>
      </c>
      <c r="T69" s="29" t="str">
        <f t="shared" si="5"/>
        <v>_NONE</v>
      </c>
    </row>
    <row r="70" spans="1:20" ht="15" customHeight="1" x14ac:dyDescent="0.25">
      <c r="A70" s="9" t="str">
        <f t="shared" ref="A70:A133" si="6">IF($E70="","",ROW()-5)</f>
        <v/>
      </c>
      <c r="B70" s="52"/>
      <c r="C70" s="52"/>
      <c r="D70" s="53"/>
      <c r="E70" s="53"/>
      <c r="F70" s="53"/>
      <c r="G70" s="53"/>
      <c r="H70" s="53"/>
      <c r="I70" s="54" t="str">
        <f>IFERROR(INDEX('Description Library'!$C$6:$C$808,MATCH($E70&amp;"|"&amp;$F70&amp;"|"&amp;$G70&amp;"|"&amp;$H70,'Description Library'!$K$6:$K$808,0)),"")</f>
        <v/>
      </c>
      <c r="J70" s="9" t="str">
        <f>IFERROR(INDEX('Description Library'!$H$6:$H$808,MATCH($E70&amp;"|"&amp;$F70&amp;"|"&amp;$G70&amp;"|"&amp;$H70,'Description Library'!$K$6:$K$808,0)),"")</f>
        <v/>
      </c>
      <c r="K70" s="55"/>
      <c r="L70" s="56">
        <f>IFERROR(INDEX('Price List Library'!$K$6:$K$437,MATCH(TRIM($H70)&amp;"|"&amp;TRIM($J70),'Price List Library'!$S$6:$S$437,0)),0)</f>
        <v>0</v>
      </c>
      <c r="M70" s="56">
        <f>IFERROR(INDEX('Price List Library'!$N$6:$N$437,MATCH(TRIM($H70)&amp;"|"&amp;TRIM($J70),'Price List Library'!$S$6:$S$437,0)),0)</f>
        <v>0</v>
      </c>
      <c r="N70" s="27">
        <f t="shared" ref="N70:N133" si="7">L70+M70</f>
        <v>0</v>
      </c>
      <c r="O70" s="27" t="str">
        <f t="shared" ref="O70:O133" si="8">IF($K70="","",$K70*$N70)</f>
        <v/>
      </c>
      <c r="P70" s="9" t="str">
        <f>IFERROR(INDEX('Price List Library'!$P$6:$P$437,MATCH(TRIM($H70)&amp;"|"&amp;TRIM($J70),'Price List Library'!$S$6:$S$437,0)),"")</f>
        <v/>
      </c>
      <c r="Q70" s="53"/>
      <c r="R70" s="29" t="str">
        <f t="shared" ref="R70:R133" si="9">IFERROR(VLOOKUP($E70,_MAPSEC,2,0),"_NONE")</f>
        <v>_NONE</v>
      </c>
      <c r="S70" s="29" t="str">
        <f t="shared" ref="S70:S133" si="10">IFERROR(VLOOKUP($E70&amp;"|"&amp;$F70,_MAPSUB,2,0),"_NONE")</f>
        <v>_NONE</v>
      </c>
      <c r="T70" s="29" t="str">
        <f t="shared" ref="T70:T133" si="11">IFERROR(VLOOKUP($E70&amp;"|"&amp;$F70&amp;"|"&amp;$G70,_MAPSE,2,0),"_NONE")</f>
        <v>_NONE</v>
      </c>
    </row>
    <row r="71" spans="1:20" ht="15" customHeight="1" x14ac:dyDescent="0.25">
      <c r="A71" s="9" t="str">
        <f t="shared" si="6"/>
        <v/>
      </c>
      <c r="B71" s="52"/>
      <c r="C71" s="52"/>
      <c r="D71" s="53"/>
      <c r="E71" s="53"/>
      <c r="F71" s="53"/>
      <c r="G71" s="53"/>
      <c r="H71" s="53"/>
      <c r="I71" s="54" t="str">
        <f>IFERROR(INDEX('Description Library'!$C$6:$C$808,MATCH($E71&amp;"|"&amp;$F71&amp;"|"&amp;$G71&amp;"|"&amp;$H71,'Description Library'!$K$6:$K$808,0)),"")</f>
        <v/>
      </c>
      <c r="J71" s="9" t="str">
        <f>IFERROR(INDEX('Description Library'!$H$6:$H$808,MATCH($E71&amp;"|"&amp;$F71&amp;"|"&amp;$G71&amp;"|"&amp;$H71,'Description Library'!$K$6:$K$808,0)),"")</f>
        <v/>
      </c>
      <c r="K71" s="55"/>
      <c r="L71" s="56">
        <f>IFERROR(INDEX('Price List Library'!$K$6:$K$437,MATCH(TRIM($H71)&amp;"|"&amp;TRIM($J71),'Price List Library'!$S$6:$S$437,0)),0)</f>
        <v>0</v>
      </c>
      <c r="M71" s="56">
        <f>IFERROR(INDEX('Price List Library'!$N$6:$N$437,MATCH(TRIM($H71)&amp;"|"&amp;TRIM($J71),'Price List Library'!$S$6:$S$437,0)),0)</f>
        <v>0</v>
      </c>
      <c r="N71" s="27">
        <f t="shared" si="7"/>
        <v>0</v>
      </c>
      <c r="O71" s="27" t="str">
        <f t="shared" si="8"/>
        <v/>
      </c>
      <c r="P71" s="9" t="str">
        <f>IFERROR(INDEX('Price List Library'!$P$6:$P$437,MATCH(TRIM($H71)&amp;"|"&amp;TRIM($J71),'Price List Library'!$S$6:$S$437,0)),"")</f>
        <v/>
      </c>
      <c r="Q71" s="53"/>
      <c r="R71" s="29" t="str">
        <f t="shared" si="9"/>
        <v>_NONE</v>
      </c>
      <c r="S71" s="29" t="str">
        <f t="shared" si="10"/>
        <v>_NONE</v>
      </c>
      <c r="T71" s="29" t="str">
        <f t="shared" si="11"/>
        <v>_NONE</v>
      </c>
    </row>
    <row r="72" spans="1:20" ht="15" customHeight="1" x14ac:dyDescent="0.25">
      <c r="A72" s="9" t="str">
        <f t="shared" si="6"/>
        <v/>
      </c>
      <c r="B72" s="52"/>
      <c r="C72" s="52"/>
      <c r="D72" s="53"/>
      <c r="E72" s="53"/>
      <c r="F72" s="53"/>
      <c r="G72" s="53"/>
      <c r="H72" s="53"/>
      <c r="I72" s="54" t="str">
        <f>IFERROR(INDEX('Description Library'!$C$6:$C$808,MATCH($E72&amp;"|"&amp;$F72&amp;"|"&amp;$G72&amp;"|"&amp;$H72,'Description Library'!$K$6:$K$808,0)),"")</f>
        <v/>
      </c>
      <c r="J72" s="9" t="str">
        <f>IFERROR(INDEX('Description Library'!$H$6:$H$808,MATCH($E72&amp;"|"&amp;$F72&amp;"|"&amp;$G72&amp;"|"&amp;$H72,'Description Library'!$K$6:$K$808,0)),"")</f>
        <v/>
      </c>
      <c r="K72" s="55"/>
      <c r="L72" s="56">
        <f>IFERROR(INDEX('Price List Library'!$K$6:$K$437,MATCH(TRIM($H72)&amp;"|"&amp;TRIM($J72),'Price List Library'!$S$6:$S$437,0)),0)</f>
        <v>0</v>
      </c>
      <c r="M72" s="56">
        <f>IFERROR(INDEX('Price List Library'!$N$6:$N$437,MATCH(TRIM($H72)&amp;"|"&amp;TRIM($J72),'Price List Library'!$S$6:$S$437,0)),0)</f>
        <v>0</v>
      </c>
      <c r="N72" s="27">
        <f t="shared" si="7"/>
        <v>0</v>
      </c>
      <c r="O72" s="27" t="str">
        <f t="shared" si="8"/>
        <v/>
      </c>
      <c r="P72" s="9" t="str">
        <f>IFERROR(INDEX('Price List Library'!$P$6:$P$437,MATCH(TRIM($H72)&amp;"|"&amp;TRIM($J72),'Price List Library'!$S$6:$S$437,0)),"")</f>
        <v/>
      </c>
      <c r="Q72" s="53"/>
      <c r="R72" s="29" t="str">
        <f t="shared" si="9"/>
        <v>_NONE</v>
      </c>
      <c r="S72" s="29" t="str">
        <f t="shared" si="10"/>
        <v>_NONE</v>
      </c>
      <c r="T72" s="29" t="str">
        <f t="shared" si="11"/>
        <v>_NONE</v>
      </c>
    </row>
    <row r="73" spans="1:20" ht="15" customHeight="1" x14ac:dyDescent="0.25">
      <c r="A73" s="9" t="str">
        <f t="shared" si="6"/>
        <v/>
      </c>
      <c r="B73" s="52"/>
      <c r="C73" s="52"/>
      <c r="D73" s="53"/>
      <c r="E73" s="53"/>
      <c r="F73" s="53"/>
      <c r="G73" s="53"/>
      <c r="H73" s="53"/>
      <c r="I73" s="54" t="str">
        <f>IFERROR(INDEX('Description Library'!$C$6:$C$808,MATCH($E73&amp;"|"&amp;$F73&amp;"|"&amp;$G73&amp;"|"&amp;$H73,'Description Library'!$K$6:$K$808,0)),"")</f>
        <v/>
      </c>
      <c r="J73" s="9" t="str">
        <f>IFERROR(INDEX('Description Library'!$H$6:$H$808,MATCH($E73&amp;"|"&amp;$F73&amp;"|"&amp;$G73&amp;"|"&amp;$H73,'Description Library'!$K$6:$K$808,0)),"")</f>
        <v/>
      </c>
      <c r="K73" s="55"/>
      <c r="L73" s="56">
        <f>IFERROR(INDEX('Price List Library'!$K$6:$K$437,MATCH(TRIM($H73)&amp;"|"&amp;TRIM($J73),'Price List Library'!$S$6:$S$437,0)),0)</f>
        <v>0</v>
      </c>
      <c r="M73" s="56">
        <f>IFERROR(INDEX('Price List Library'!$N$6:$N$437,MATCH(TRIM($H73)&amp;"|"&amp;TRIM($J73),'Price List Library'!$S$6:$S$437,0)),0)</f>
        <v>0</v>
      </c>
      <c r="N73" s="27">
        <f t="shared" si="7"/>
        <v>0</v>
      </c>
      <c r="O73" s="27" t="str">
        <f t="shared" si="8"/>
        <v/>
      </c>
      <c r="P73" s="9" t="str">
        <f>IFERROR(INDEX('Price List Library'!$P$6:$P$437,MATCH(TRIM($H73)&amp;"|"&amp;TRIM($J73),'Price List Library'!$S$6:$S$437,0)),"")</f>
        <v/>
      </c>
      <c r="Q73" s="53"/>
      <c r="R73" s="29" t="str">
        <f t="shared" si="9"/>
        <v>_NONE</v>
      </c>
      <c r="S73" s="29" t="str">
        <f t="shared" si="10"/>
        <v>_NONE</v>
      </c>
      <c r="T73" s="29" t="str">
        <f t="shared" si="11"/>
        <v>_NONE</v>
      </c>
    </row>
    <row r="74" spans="1:20" ht="15" customHeight="1" x14ac:dyDescent="0.25">
      <c r="A74" s="9" t="str">
        <f t="shared" si="6"/>
        <v/>
      </c>
      <c r="B74" s="52"/>
      <c r="C74" s="52"/>
      <c r="D74" s="53"/>
      <c r="E74" s="53"/>
      <c r="F74" s="53"/>
      <c r="G74" s="53"/>
      <c r="H74" s="53"/>
      <c r="I74" s="54" t="str">
        <f>IFERROR(INDEX('Description Library'!$C$6:$C$808,MATCH($E74&amp;"|"&amp;$F74&amp;"|"&amp;$G74&amp;"|"&amp;$H74,'Description Library'!$K$6:$K$808,0)),"")</f>
        <v/>
      </c>
      <c r="J74" s="9" t="str">
        <f>IFERROR(INDEX('Description Library'!$H$6:$H$808,MATCH($E74&amp;"|"&amp;$F74&amp;"|"&amp;$G74&amp;"|"&amp;$H74,'Description Library'!$K$6:$K$808,0)),"")</f>
        <v/>
      </c>
      <c r="K74" s="55"/>
      <c r="L74" s="56">
        <f>IFERROR(INDEX('Price List Library'!$K$6:$K$437,MATCH(TRIM($H74)&amp;"|"&amp;TRIM($J74),'Price List Library'!$S$6:$S$437,0)),0)</f>
        <v>0</v>
      </c>
      <c r="M74" s="56">
        <f>IFERROR(INDEX('Price List Library'!$N$6:$N$437,MATCH(TRIM($H74)&amp;"|"&amp;TRIM($J74),'Price List Library'!$S$6:$S$437,0)),0)</f>
        <v>0</v>
      </c>
      <c r="N74" s="27">
        <f t="shared" si="7"/>
        <v>0</v>
      </c>
      <c r="O74" s="27" t="str">
        <f t="shared" si="8"/>
        <v/>
      </c>
      <c r="P74" s="9" t="str">
        <f>IFERROR(INDEX('Price List Library'!$P$6:$P$437,MATCH(TRIM($H74)&amp;"|"&amp;TRIM($J74),'Price List Library'!$S$6:$S$437,0)),"")</f>
        <v/>
      </c>
      <c r="Q74" s="53"/>
      <c r="R74" s="29" t="str">
        <f t="shared" si="9"/>
        <v>_NONE</v>
      </c>
      <c r="S74" s="29" t="str">
        <f t="shared" si="10"/>
        <v>_NONE</v>
      </c>
      <c r="T74" s="29" t="str">
        <f t="shared" si="11"/>
        <v>_NONE</v>
      </c>
    </row>
    <row r="75" spans="1:20" ht="15" customHeight="1" x14ac:dyDescent="0.25">
      <c r="A75" s="9" t="str">
        <f t="shared" si="6"/>
        <v/>
      </c>
      <c r="B75" s="52"/>
      <c r="C75" s="52"/>
      <c r="D75" s="53"/>
      <c r="E75" s="53"/>
      <c r="F75" s="53"/>
      <c r="G75" s="53"/>
      <c r="H75" s="53"/>
      <c r="I75" s="54" t="str">
        <f>IFERROR(INDEX('Description Library'!$C$6:$C$808,MATCH($E75&amp;"|"&amp;$F75&amp;"|"&amp;$G75&amp;"|"&amp;$H75,'Description Library'!$K$6:$K$808,0)),"")</f>
        <v/>
      </c>
      <c r="J75" s="9" t="str">
        <f>IFERROR(INDEX('Description Library'!$H$6:$H$808,MATCH($E75&amp;"|"&amp;$F75&amp;"|"&amp;$G75&amp;"|"&amp;$H75,'Description Library'!$K$6:$K$808,0)),"")</f>
        <v/>
      </c>
      <c r="K75" s="55"/>
      <c r="L75" s="56">
        <f>IFERROR(INDEX('Price List Library'!$K$6:$K$437,MATCH(TRIM($H75)&amp;"|"&amp;TRIM($J75),'Price List Library'!$S$6:$S$437,0)),0)</f>
        <v>0</v>
      </c>
      <c r="M75" s="56">
        <f>IFERROR(INDEX('Price List Library'!$N$6:$N$437,MATCH(TRIM($H75)&amp;"|"&amp;TRIM($J75),'Price List Library'!$S$6:$S$437,0)),0)</f>
        <v>0</v>
      </c>
      <c r="N75" s="27">
        <f t="shared" si="7"/>
        <v>0</v>
      </c>
      <c r="O75" s="27" t="str">
        <f t="shared" si="8"/>
        <v/>
      </c>
      <c r="P75" s="9" t="str">
        <f>IFERROR(INDEX('Price List Library'!$P$6:$P$437,MATCH(TRIM($H75)&amp;"|"&amp;TRIM($J75),'Price List Library'!$S$6:$S$437,0)),"")</f>
        <v/>
      </c>
      <c r="Q75" s="53"/>
      <c r="R75" s="29" t="str">
        <f t="shared" si="9"/>
        <v>_NONE</v>
      </c>
      <c r="S75" s="29" t="str">
        <f t="shared" si="10"/>
        <v>_NONE</v>
      </c>
      <c r="T75" s="29" t="str">
        <f t="shared" si="11"/>
        <v>_NONE</v>
      </c>
    </row>
    <row r="76" spans="1:20" ht="15" customHeight="1" x14ac:dyDescent="0.25">
      <c r="A76" s="9" t="str">
        <f t="shared" si="6"/>
        <v/>
      </c>
      <c r="B76" s="52"/>
      <c r="C76" s="52"/>
      <c r="D76" s="53"/>
      <c r="E76" s="53"/>
      <c r="F76" s="53"/>
      <c r="G76" s="53"/>
      <c r="H76" s="53"/>
      <c r="I76" s="54" t="str">
        <f>IFERROR(INDEX('Description Library'!$C$6:$C$808,MATCH($E76&amp;"|"&amp;$F76&amp;"|"&amp;$G76&amp;"|"&amp;$H76,'Description Library'!$K$6:$K$808,0)),"")</f>
        <v/>
      </c>
      <c r="J76" s="9" t="str">
        <f>IFERROR(INDEX('Description Library'!$H$6:$H$808,MATCH($E76&amp;"|"&amp;$F76&amp;"|"&amp;$G76&amp;"|"&amp;$H76,'Description Library'!$K$6:$K$808,0)),"")</f>
        <v/>
      </c>
      <c r="K76" s="55"/>
      <c r="L76" s="56">
        <f>IFERROR(INDEX('Price List Library'!$K$6:$K$437,MATCH(TRIM($H76)&amp;"|"&amp;TRIM($J76),'Price List Library'!$S$6:$S$437,0)),0)</f>
        <v>0</v>
      </c>
      <c r="M76" s="56">
        <f>IFERROR(INDEX('Price List Library'!$N$6:$N$437,MATCH(TRIM($H76)&amp;"|"&amp;TRIM($J76),'Price List Library'!$S$6:$S$437,0)),0)</f>
        <v>0</v>
      </c>
      <c r="N76" s="27">
        <f t="shared" si="7"/>
        <v>0</v>
      </c>
      <c r="O76" s="27" t="str">
        <f t="shared" si="8"/>
        <v/>
      </c>
      <c r="P76" s="9" t="str">
        <f>IFERROR(INDEX('Price List Library'!$P$6:$P$437,MATCH(TRIM($H76)&amp;"|"&amp;TRIM($J76),'Price List Library'!$S$6:$S$437,0)),"")</f>
        <v/>
      </c>
      <c r="Q76" s="53"/>
      <c r="R76" s="29" t="str">
        <f t="shared" si="9"/>
        <v>_NONE</v>
      </c>
      <c r="S76" s="29" t="str">
        <f t="shared" si="10"/>
        <v>_NONE</v>
      </c>
      <c r="T76" s="29" t="str">
        <f t="shared" si="11"/>
        <v>_NONE</v>
      </c>
    </row>
    <row r="77" spans="1:20" ht="15" customHeight="1" x14ac:dyDescent="0.25">
      <c r="A77" s="9" t="str">
        <f t="shared" si="6"/>
        <v/>
      </c>
      <c r="B77" s="52"/>
      <c r="C77" s="52"/>
      <c r="D77" s="53"/>
      <c r="E77" s="53"/>
      <c r="F77" s="53"/>
      <c r="G77" s="53"/>
      <c r="H77" s="53"/>
      <c r="I77" s="54" t="str">
        <f>IFERROR(INDEX('Description Library'!$C$6:$C$808,MATCH($E77&amp;"|"&amp;$F77&amp;"|"&amp;$G77&amp;"|"&amp;$H77,'Description Library'!$K$6:$K$808,0)),"")</f>
        <v/>
      </c>
      <c r="J77" s="9" t="str">
        <f>IFERROR(INDEX('Description Library'!$H$6:$H$808,MATCH($E77&amp;"|"&amp;$F77&amp;"|"&amp;$G77&amp;"|"&amp;$H77,'Description Library'!$K$6:$K$808,0)),"")</f>
        <v/>
      </c>
      <c r="K77" s="55"/>
      <c r="L77" s="56">
        <f>IFERROR(INDEX('Price List Library'!$K$6:$K$437,MATCH(TRIM($H77)&amp;"|"&amp;TRIM($J77),'Price List Library'!$S$6:$S$437,0)),0)</f>
        <v>0</v>
      </c>
      <c r="M77" s="56">
        <f>IFERROR(INDEX('Price List Library'!$N$6:$N$437,MATCH(TRIM($H77)&amp;"|"&amp;TRIM($J77),'Price List Library'!$S$6:$S$437,0)),0)</f>
        <v>0</v>
      </c>
      <c r="N77" s="27">
        <f t="shared" si="7"/>
        <v>0</v>
      </c>
      <c r="O77" s="27" t="str">
        <f t="shared" si="8"/>
        <v/>
      </c>
      <c r="P77" s="9" t="str">
        <f>IFERROR(INDEX('Price List Library'!$P$6:$P$437,MATCH(TRIM($H77)&amp;"|"&amp;TRIM($J77),'Price List Library'!$S$6:$S$437,0)),"")</f>
        <v/>
      </c>
      <c r="Q77" s="53"/>
      <c r="R77" s="29" t="str">
        <f t="shared" si="9"/>
        <v>_NONE</v>
      </c>
      <c r="S77" s="29" t="str">
        <f t="shared" si="10"/>
        <v>_NONE</v>
      </c>
      <c r="T77" s="29" t="str">
        <f t="shared" si="11"/>
        <v>_NONE</v>
      </c>
    </row>
    <row r="78" spans="1:20" ht="15" customHeight="1" x14ac:dyDescent="0.25">
      <c r="A78" s="9" t="str">
        <f t="shared" si="6"/>
        <v/>
      </c>
      <c r="B78" s="52"/>
      <c r="C78" s="52"/>
      <c r="D78" s="53"/>
      <c r="E78" s="53"/>
      <c r="F78" s="53"/>
      <c r="G78" s="53"/>
      <c r="H78" s="53"/>
      <c r="I78" s="54" t="str">
        <f>IFERROR(INDEX('Description Library'!$C$6:$C$808,MATCH($E78&amp;"|"&amp;$F78&amp;"|"&amp;$G78&amp;"|"&amp;$H78,'Description Library'!$K$6:$K$808,0)),"")</f>
        <v/>
      </c>
      <c r="J78" s="9" t="str">
        <f>IFERROR(INDEX('Description Library'!$H$6:$H$808,MATCH($E78&amp;"|"&amp;$F78&amp;"|"&amp;$G78&amp;"|"&amp;$H78,'Description Library'!$K$6:$K$808,0)),"")</f>
        <v/>
      </c>
      <c r="K78" s="55"/>
      <c r="L78" s="56">
        <f>IFERROR(INDEX('Price List Library'!$K$6:$K$437,MATCH(TRIM($H78)&amp;"|"&amp;TRIM($J78),'Price List Library'!$S$6:$S$437,0)),0)</f>
        <v>0</v>
      </c>
      <c r="M78" s="56">
        <f>IFERROR(INDEX('Price List Library'!$N$6:$N$437,MATCH(TRIM($H78)&amp;"|"&amp;TRIM($J78),'Price List Library'!$S$6:$S$437,0)),0)</f>
        <v>0</v>
      </c>
      <c r="N78" s="27">
        <f t="shared" si="7"/>
        <v>0</v>
      </c>
      <c r="O78" s="27" t="str">
        <f t="shared" si="8"/>
        <v/>
      </c>
      <c r="P78" s="9" t="str">
        <f>IFERROR(INDEX('Price List Library'!$P$6:$P$437,MATCH(TRIM($H78)&amp;"|"&amp;TRIM($J78),'Price List Library'!$S$6:$S$437,0)),"")</f>
        <v/>
      </c>
      <c r="Q78" s="53"/>
      <c r="R78" s="29" t="str">
        <f t="shared" si="9"/>
        <v>_NONE</v>
      </c>
      <c r="S78" s="29" t="str">
        <f t="shared" si="10"/>
        <v>_NONE</v>
      </c>
      <c r="T78" s="29" t="str">
        <f t="shared" si="11"/>
        <v>_NONE</v>
      </c>
    </row>
    <row r="79" spans="1:20" ht="15" customHeight="1" x14ac:dyDescent="0.25">
      <c r="A79" s="9" t="str">
        <f t="shared" si="6"/>
        <v/>
      </c>
      <c r="B79" s="52"/>
      <c r="C79" s="52"/>
      <c r="D79" s="53"/>
      <c r="E79" s="53"/>
      <c r="F79" s="53"/>
      <c r="G79" s="53"/>
      <c r="H79" s="53"/>
      <c r="I79" s="54" t="str">
        <f>IFERROR(INDEX('Description Library'!$C$6:$C$808,MATCH($E79&amp;"|"&amp;$F79&amp;"|"&amp;$G79&amp;"|"&amp;$H79,'Description Library'!$K$6:$K$808,0)),"")</f>
        <v/>
      </c>
      <c r="J79" s="9" t="str">
        <f>IFERROR(INDEX('Description Library'!$H$6:$H$808,MATCH($E79&amp;"|"&amp;$F79&amp;"|"&amp;$G79&amp;"|"&amp;$H79,'Description Library'!$K$6:$K$808,0)),"")</f>
        <v/>
      </c>
      <c r="K79" s="55"/>
      <c r="L79" s="56">
        <f>IFERROR(INDEX('Price List Library'!$K$6:$K$437,MATCH(TRIM($H79)&amp;"|"&amp;TRIM($J79),'Price List Library'!$S$6:$S$437,0)),0)</f>
        <v>0</v>
      </c>
      <c r="M79" s="56">
        <f>IFERROR(INDEX('Price List Library'!$N$6:$N$437,MATCH(TRIM($H79)&amp;"|"&amp;TRIM($J79),'Price List Library'!$S$6:$S$437,0)),0)</f>
        <v>0</v>
      </c>
      <c r="N79" s="27">
        <f t="shared" si="7"/>
        <v>0</v>
      </c>
      <c r="O79" s="27" t="str">
        <f t="shared" si="8"/>
        <v/>
      </c>
      <c r="P79" s="9" t="str">
        <f>IFERROR(INDEX('Price List Library'!$P$6:$P$437,MATCH(TRIM($H79)&amp;"|"&amp;TRIM($J79),'Price List Library'!$S$6:$S$437,0)),"")</f>
        <v/>
      </c>
      <c r="Q79" s="53"/>
      <c r="R79" s="29" t="str">
        <f t="shared" si="9"/>
        <v>_NONE</v>
      </c>
      <c r="S79" s="29" t="str">
        <f t="shared" si="10"/>
        <v>_NONE</v>
      </c>
      <c r="T79" s="29" t="str">
        <f t="shared" si="11"/>
        <v>_NONE</v>
      </c>
    </row>
    <row r="80" spans="1:20" ht="15" customHeight="1" x14ac:dyDescent="0.25">
      <c r="A80" s="9" t="str">
        <f t="shared" si="6"/>
        <v/>
      </c>
      <c r="B80" s="52"/>
      <c r="C80" s="52"/>
      <c r="D80" s="53"/>
      <c r="E80" s="53"/>
      <c r="F80" s="53"/>
      <c r="G80" s="53"/>
      <c r="H80" s="53"/>
      <c r="I80" s="54" t="str">
        <f>IFERROR(INDEX('Description Library'!$C$6:$C$808,MATCH($E80&amp;"|"&amp;$F80&amp;"|"&amp;$G80&amp;"|"&amp;$H80,'Description Library'!$K$6:$K$808,0)),"")</f>
        <v/>
      </c>
      <c r="J80" s="9" t="str">
        <f>IFERROR(INDEX('Description Library'!$H$6:$H$808,MATCH($E80&amp;"|"&amp;$F80&amp;"|"&amp;$G80&amp;"|"&amp;$H80,'Description Library'!$K$6:$K$808,0)),"")</f>
        <v/>
      </c>
      <c r="K80" s="55"/>
      <c r="L80" s="56">
        <f>IFERROR(INDEX('Price List Library'!$K$6:$K$437,MATCH(TRIM($H80)&amp;"|"&amp;TRIM($J80),'Price List Library'!$S$6:$S$437,0)),0)</f>
        <v>0</v>
      </c>
      <c r="M80" s="56">
        <f>IFERROR(INDEX('Price List Library'!$N$6:$N$437,MATCH(TRIM($H80)&amp;"|"&amp;TRIM($J80),'Price List Library'!$S$6:$S$437,0)),0)</f>
        <v>0</v>
      </c>
      <c r="N80" s="27">
        <f t="shared" si="7"/>
        <v>0</v>
      </c>
      <c r="O80" s="27" t="str">
        <f t="shared" si="8"/>
        <v/>
      </c>
      <c r="P80" s="9" t="str">
        <f>IFERROR(INDEX('Price List Library'!$P$6:$P$437,MATCH(TRIM($H80)&amp;"|"&amp;TRIM($J80),'Price List Library'!$S$6:$S$437,0)),"")</f>
        <v/>
      </c>
      <c r="Q80" s="53"/>
      <c r="R80" s="29" t="str">
        <f t="shared" si="9"/>
        <v>_NONE</v>
      </c>
      <c r="S80" s="29" t="str">
        <f t="shared" si="10"/>
        <v>_NONE</v>
      </c>
      <c r="T80" s="29" t="str">
        <f t="shared" si="11"/>
        <v>_NONE</v>
      </c>
    </row>
    <row r="81" spans="1:20" ht="15" customHeight="1" x14ac:dyDescent="0.25">
      <c r="A81" s="9" t="str">
        <f t="shared" si="6"/>
        <v/>
      </c>
      <c r="B81" s="52"/>
      <c r="C81" s="52"/>
      <c r="D81" s="53"/>
      <c r="E81" s="53"/>
      <c r="F81" s="53"/>
      <c r="G81" s="53"/>
      <c r="H81" s="53"/>
      <c r="I81" s="54" t="str">
        <f>IFERROR(INDEX('Description Library'!$C$6:$C$808,MATCH($E81&amp;"|"&amp;$F81&amp;"|"&amp;$G81&amp;"|"&amp;$H81,'Description Library'!$K$6:$K$808,0)),"")</f>
        <v/>
      </c>
      <c r="J81" s="9" t="str">
        <f>IFERROR(INDEX('Description Library'!$H$6:$H$808,MATCH($E81&amp;"|"&amp;$F81&amp;"|"&amp;$G81&amp;"|"&amp;$H81,'Description Library'!$K$6:$K$808,0)),"")</f>
        <v/>
      </c>
      <c r="K81" s="55"/>
      <c r="L81" s="56">
        <f>IFERROR(INDEX('Price List Library'!$K$6:$K$437,MATCH(TRIM($H81)&amp;"|"&amp;TRIM($J81),'Price List Library'!$S$6:$S$437,0)),0)</f>
        <v>0</v>
      </c>
      <c r="M81" s="56">
        <f>IFERROR(INDEX('Price List Library'!$N$6:$N$437,MATCH(TRIM($H81)&amp;"|"&amp;TRIM($J81),'Price List Library'!$S$6:$S$437,0)),0)</f>
        <v>0</v>
      </c>
      <c r="N81" s="27">
        <f t="shared" si="7"/>
        <v>0</v>
      </c>
      <c r="O81" s="27" t="str">
        <f t="shared" si="8"/>
        <v/>
      </c>
      <c r="P81" s="9" t="str">
        <f>IFERROR(INDEX('Price List Library'!$P$6:$P$437,MATCH(TRIM($H81)&amp;"|"&amp;TRIM($J81),'Price List Library'!$S$6:$S$437,0)),"")</f>
        <v/>
      </c>
      <c r="Q81" s="53"/>
      <c r="R81" s="29" t="str">
        <f t="shared" si="9"/>
        <v>_NONE</v>
      </c>
      <c r="S81" s="29" t="str">
        <f t="shared" si="10"/>
        <v>_NONE</v>
      </c>
      <c r="T81" s="29" t="str">
        <f t="shared" si="11"/>
        <v>_NONE</v>
      </c>
    </row>
    <row r="82" spans="1:20" ht="15" customHeight="1" x14ac:dyDescent="0.25">
      <c r="A82" s="9" t="str">
        <f t="shared" si="6"/>
        <v/>
      </c>
      <c r="B82" s="52"/>
      <c r="C82" s="52"/>
      <c r="D82" s="53"/>
      <c r="E82" s="53"/>
      <c r="F82" s="53"/>
      <c r="G82" s="53"/>
      <c r="H82" s="53"/>
      <c r="I82" s="54" t="str">
        <f>IFERROR(INDEX('Description Library'!$C$6:$C$808,MATCH($E82&amp;"|"&amp;$F82&amp;"|"&amp;$G82&amp;"|"&amp;$H82,'Description Library'!$K$6:$K$808,0)),"")</f>
        <v/>
      </c>
      <c r="J82" s="9" t="str">
        <f>IFERROR(INDEX('Description Library'!$H$6:$H$808,MATCH($E82&amp;"|"&amp;$F82&amp;"|"&amp;$G82&amp;"|"&amp;$H82,'Description Library'!$K$6:$K$808,0)),"")</f>
        <v/>
      </c>
      <c r="K82" s="55"/>
      <c r="L82" s="56">
        <f>IFERROR(INDEX('Price List Library'!$K$6:$K$437,MATCH(TRIM($H82)&amp;"|"&amp;TRIM($J82),'Price List Library'!$S$6:$S$437,0)),0)</f>
        <v>0</v>
      </c>
      <c r="M82" s="56">
        <f>IFERROR(INDEX('Price List Library'!$N$6:$N$437,MATCH(TRIM($H82)&amp;"|"&amp;TRIM($J82),'Price List Library'!$S$6:$S$437,0)),0)</f>
        <v>0</v>
      </c>
      <c r="N82" s="27">
        <f t="shared" si="7"/>
        <v>0</v>
      </c>
      <c r="O82" s="27" t="str">
        <f t="shared" si="8"/>
        <v/>
      </c>
      <c r="P82" s="9" t="str">
        <f>IFERROR(INDEX('Price List Library'!$P$6:$P$437,MATCH(TRIM($H82)&amp;"|"&amp;TRIM($J82),'Price List Library'!$S$6:$S$437,0)),"")</f>
        <v/>
      </c>
      <c r="Q82" s="53"/>
      <c r="R82" s="29" t="str">
        <f t="shared" si="9"/>
        <v>_NONE</v>
      </c>
      <c r="S82" s="29" t="str">
        <f t="shared" si="10"/>
        <v>_NONE</v>
      </c>
      <c r="T82" s="29" t="str">
        <f t="shared" si="11"/>
        <v>_NONE</v>
      </c>
    </row>
    <row r="83" spans="1:20" ht="15" customHeight="1" x14ac:dyDescent="0.25">
      <c r="A83" s="9" t="str">
        <f t="shared" si="6"/>
        <v/>
      </c>
      <c r="B83" s="52"/>
      <c r="C83" s="52"/>
      <c r="D83" s="53"/>
      <c r="E83" s="53"/>
      <c r="F83" s="53"/>
      <c r="G83" s="53"/>
      <c r="H83" s="53"/>
      <c r="I83" s="54" t="str">
        <f>IFERROR(INDEX('Description Library'!$C$6:$C$808,MATCH($E83&amp;"|"&amp;$F83&amp;"|"&amp;$G83&amp;"|"&amp;$H83,'Description Library'!$K$6:$K$808,0)),"")</f>
        <v/>
      </c>
      <c r="J83" s="9" t="str">
        <f>IFERROR(INDEX('Description Library'!$H$6:$H$808,MATCH($E83&amp;"|"&amp;$F83&amp;"|"&amp;$G83&amp;"|"&amp;$H83,'Description Library'!$K$6:$K$808,0)),"")</f>
        <v/>
      </c>
      <c r="K83" s="55"/>
      <c r="L83" s="56">
        <f>IFERROR(INDEX('Price List Library'!$K$6:$K$437,MATCH(TRIM($H83)&amp;"|"&amp;TRIM($J83),'Price List Library'!$S$6:$S$437,0)),0)</f>
        <v>0</v>
      </c>
      <c r="M83" s="56">
        <f>IFERROR(INDEX('Price List Library'!$N$6:$N$437,MATCH(TRIM($H83)&amp;"|"&amp;TRIM($J83),'Price List Library'!$S$6:$S$437,0)),0)</f>
        <v>0</v>
      </c>
      <c r="N83" s="27">
        <f t="shared" si="7"/>
        <v>0</v>
      </c>
      <c r="O83" s="27" t="str">
        <f t="shared" si="8"/>
        <v/>
      </c>
      <c r="P83" s="9" t="str">
        <f>IFERROR(INDEX('Price List Library'!$P$6:$P$437,MATCH(TRIM($H83)&amp;"|"&amp;TRIM($J83),'Price List Library'!$S$6:$S$437,0)),"")</f>
        <v/>
      </c>
      <c r="Q83" s="53"/>
      <c r="R83" s="29" t="str">
        <f t="shared" si="9"/>
        <v>_NONE</v>
      </c>
      <c r="S83" s="29" t="str">
        <f t="shared" si="10"/>
        <v>_NONE</v>
      </c>
      <c r="T83" s="29" t="str">
        <f t="shared" si="11"/>
        <v>_NONE</v>
      </c>
    </row>
    <row r="84" spans="1:20" ht="15" customHeight="1" x14ac:dyDescent="0.25">
      <c r="A84" s="9" t="str">
        <f t="shared" si="6"/>
        <v/>
      </c>
      <c r="B84" s="52"/>
      <c r="C84" s="52"/>
      <c r="D84" s="53"/>
      <c r="E84" s="53"/>
      <c r="F84" s="53"/>
      <c r="G84" s="53"/>
      <c r="H84" s="53"/>
      <c r="I84" s="54" t="str">
        <f>IFERROR(INDEX('Description Library'!$C$6:$C$808,MATCH($E84&amp;"|"&amp;$F84&amp;"|"&amp;$G84&amp;"|"&amp;$H84,'Description Library'!$K$6:$K$808,0)),"")</f>
        <v/>
      </c>
      <c r="J84" s="9" t="str">
        <f>IFERROR(INDEX('Description Library'!$H$6:$H$808,MATCH($E84&amp;"|"&amp;$F84&amp;"|"&amp;$G84&amp;"|"&amp;$H84,'Description Library'!$K$6:$K$808,0)),"")</f>
        <v/>
      </c>
      <c r="K84" s="55"/>
      <c r="L84" s="56">
        <f>IFERROR(INDEX('Price List Library'!$K$6:$K$437,MATCH(TRIM($H84)&amp;"|"&amp;TRIM($J84),'Price List Library'!$S$6:$S$437,0)),0)</f>
        <v>0</v>
      </c>
      <c r="M84" s="56">
        <f>IFERROR(INDEX('Price List Library'!$N$6:$N$437,MATCH(TRIM($H84)&amp;"|"&amp;TRIM($J84),'Price List Library'!$S$6:$S$437,0)),0)</f>
        <v>0</v>
      </c>
      <c r="N84" s="27">
        <f t="shared" si="7"/>
        <v>0</v>
      </c>
      <c r="O84" s="27" t="str">
        <f t="shared" si="8"/>
        <v/>
      </c>
      <c r="P84" s="9" t="str">
        <f>IFERROR(INDEX('Price List Library'!$P$6:$P$437,MATCH(TRIM($H84)&amp;"|"&amp;TRIM($J84),'Price List Library'!$S$6:$S$437,0)),"")</f>
        <v/>
      </c>
      <c r="Q84" s="53"/>
      <c r="R84" s="29" t="str">
        <f t="shared" si="9"/>
        <v>_NONE</v>
      </c>
      <c r="S84" s="29" t="str">
        <f t="shared" si="10"/>
        <v>_NONE</v>
      </c>
      <c r="T84" s="29" t="str">
        <f t="shared" si="11"/>
        <v>_NONE</v>
      </c>
    </row>
    <row r="85" spans="1:20" ht="15" customHeight="1" x14ac:dyDescent="0.25">
      <c r="A85" s="9" t="str">
        <f t="shared" si="6"/>
        <v/>
      </c>
      <c r="B85" s="52"/>
      <c r="C85" s="52"/>
      <c r="D85" s="53"/>
      <c r="E85" s="53"/>
      <c r="F85" s="53"/>
      <c r="G85" s="53"/>
      <c r="H85" s="53"/>
      <c r="I85" s="54" t="str">
        <f>IFERROR(INDEX('Description Library'!$C$6:$C$808,MATCH($E85&amp;"|"&amp;$F85&amp;"|"&amp;$G85&amp;"|"&amp;$H85,'Description Library'!$K$6:$K$808,0)),"")</f>
        <v/>
      </c>
      <c r="J85" s="9" t="str">
        <f>IFERROR(INDEX('Description Library'!$H$6:$H$808,MATCH($E85&amp;"|"&amp;$F85&amp;"|"&amp;$G85&amp;"|"&amp;$H85,'Description Library'!$K$6:$K$808,0)),"")</f>
        <v/>
      </c>
      <c r="K85" s="55"/>
      <c r="L85" s="56">
        <f>IFERROR(INDEX('Price List Library'!$K$6:$K$437,MATCH(TRIM($H85)&amp;"|"&amp;TRIM($J85),'Price List Library'!$S$6:$S$437,0)),0)</f>
        <v>0</v>
      </c>
      <c r="M85" s="56">
        <f>IFERROR(INDEX('Price List Library'!$N$6:$N$437,MATCH(TRIM($H85)&amp;"|"&amp;TRIM($J85),'Price List Library'!$S$6:$S$437,0)),0)</f>
        <v>0</v>
      </c>
      <c r="N85" s="27">
        <f t="shared" si="7"/>
        <v>0</v>
      </c>
      <c r="O85" s="27" t="str">
        <f t="shared" si="8"/>
        <v/>
      </c>
      <c r="P85" s="9" t="str">
        <f>IFERROR(INDEX('Price List Library'!$P$6:$P$437,MATCH(TRIM($H85)&amp;"|"&amp;TRIM($J85),'Price List Library'!$S$6:$S$437,0)),"")</f>
        <v/>
      </c>
      <c r="Q85" s="53"/>
      <c r="R85" s="29" t="str">
        <f t="shared" si="9"/>
        <v>_NONE</v>
      </c>
      <c r="S85" s="29" t="str">
        <f t="shared" si="10"/>
        <v>_NONE</v>
      </c>
      <c r="T85" s="29" t="str">
        <f t="shared" si="11"/>
        <v>_NONE</v>
      </c>
    </row>
    <row r="86" spans="1:20" ht="15" customHeight="1" x14ac:dyDescent="0.25">
      <c r="A86" s="9" t="str">
        <f t="shared" si="6"/>
        <v/>
      </c>
      <c r="B86" s="52"/>
      <c r="C86" s="52"/>
      <c r="D86" s="53"/>
      <c r="E86" s="53"/>
      <c r="F86" s="53"/>
      <c r="G86" s="53"/>
      <c r="H86" s="53"/>
      <c r="I86" s="54" t="str">
        <f>IFERROR(INDEX('Description Library'!$C$6:$C$808,MATCH($E86&amp;"|"&amp;$F86&amp;"|"&amp;$G86&amp;"|"&amp;$H86,'Description Library'!$K$6:$K$808,0)),"")</f>
        <v/>
      </c>
      <c r="J86" s="9" t="str">
        <f>IFERROR(INDEX('Description Library'!$H$6:$H$808,MATCH($E86&amp;"|"&amp;$F86&amp;"|"&amp;$G86&amp;"|"&amp;$H86,'Description Library'!$K$6:$K$808,0)),"")</f>
        <v/>
      </c>
      <c r="K86" s="55"/>
      <c r="L86" s="56">
        <f>IFERROR(INDEX('Price List Library'!$K$6:$K$437,MATCH(TRIM($H86)&amp;"|"&amp;TRIM($J86),'Price List Library'!$S$6:$S$437,0)),0)</f>
        <v>0</v>
      </c>
      <c r="M86" s="56">
        <f>IFERROR(INDEX('Price List Library'!$N$6:$N$437,MATCH(TRIM($H86)&amp;"|"&amp;TRIM($J86),'Price List Library'!$S$6:$S$437,0)),0)</f>
        <v>0</v>
      </c>
      <c r="N86" s="27">
        <f t="shared" si="7"/>
        <v>0</v>
      </c>
      <c r="O86" s="27" t="str">
        <f t="shared" si="8"/>
        <v/>
      </c>
      <c r="P86" s="9" t="str">
        <f>IFERROR(INDEX('Price List Library'!$P$6:$P$437,MATCH(TRIM($H86)&amp;"|"&amp;TRIM($J86),'Price List Library'!$S$6:$S$437,0)),"")</f>
        <v/>
      </c>
      <c r="Q86" s="53"/>
      <c r="R86" s="29" t="str">
        <f t="shared" si="9"/>
        <v>_NONE</v>
      </c>
      <c r="S86" s="29" t="str">
        <f t="shared" si="10"/>
        <v>_NONE</v>
      </c>
      <c r="T86" s="29" t="str">
        <f t="shared" si="11"/>
        <v>_NONE</v>
      </c>
    </row>
    <row r="87" spans="1:20" ht="15" customHeight="1" x14ac:dyDescent="0.25">
      <c r="A87" s="9" t="str">
        <f t="shared" si="6"/>
        <v/>
      </c>
      <c r="B87" s="52"/>
      <c r="C87" s="52"/>
      <c r="D87" s="53"/>
      <c r="E87" s="53"/>
      <c r="F87" s="53"/>
      <c r="G87" s="53"/>
      <c r="H87" s="53"/>
      <c r="I87" s="54" t="str">
        <f>IFERROR(INDEX('Description Library'!$C$6:$C$808,MATCH($E87&amp;"|"&amp;$F87&amp;"|"&amp;$G87&amp;"|"&amp;$H87,'Description Library'!$K$6:$K$808,0)),"")</f>
        <v/>
      </c>
      <c r="J87" s="9" t="str">
        <f>IFERROR(INDEX('Description Library'!$H$6:$H$808,MATCH($E87&amp;"|"&amp;$F87&amp;"|"&amp;$G87&amp;"|"&amp;$H87,'Description Library'!$K$6:$K$808,0)),"")</f>
        <v/>
      </c>
      <c r="K87" s="55"/>
      <c r="L87" s="56">
        <f>IFERROR(INDEX('Price List Library'!$K$6:$K$437,MATCH(TRIM($H87)&amp;"|"&amp;TRIM($J87),'Price List Library'!$S$6:$S$437,0)),0)</f>
        <v>0</v>
      </c>
      <c r="M87" s="56">
        <f>IFERROR(INDEX('Price List Library'!$N$6:$N$437,MATCH(TRIM($H87)&amp;"|"&amp;TRIM($J87),'Price List Library'!$S$6:$S$437,0)),0)</f>
        <v>0</v>
      </c>
      <c r="N87" s="27">
        <f t="shared" si="7"/>
        <v>0</v>
      </c>
      <c r="O87" s="27" t="str">
        <f t="shared" si="8"/>
        <v/>
      </c>
      <c r="P87" s="9" t="str">
        <f>IFERROR(INDEX('Price List Library'!$P$6:$P$437,MATCH(TRIM($H87)&amp;"|"&amp;TRIM($J87),'Price List Library'!$S$6:$S$437,0)),"")</f>
        <v/>
      </c>
      <c r="Q87" s="53"/>
      <c r="R87" s="29" t="str">
        <f t="shared" si="9"/>
        <v>_NONE</v>
      </c>
      <c r="S87" s="29" t="str">
        <f t="shared" si="10"/>
        <v>_NONE</v>
      </c>
      <c r="T87" s="29" t="str">
        <f t="shared" si="11"/>
        <v>_NONE</v>
      </c>
    </row>
    <row r="88" spans="1:20" ht="15" customHeight="1" x14ac:dyDescent="0.25">
      <c r="A88" s="9" t="str">
        <f t="shared" si="6"/>
        <v/>
      </c>
      <c r="B88" s="52"/>
      <c r="C88" s="52"/>
      <c r="D88" s="53"/>
      <c r="E88" s="53"/>
      <c r="F88" s="53"/>
      <c r="G88" s="53"/>
      <c r="H88" s="53"/>
      <c r="I88" s="54" t="str">
        <f>IFERROR(INDEX('Description Library'!$C$6:$C$808,MATCH($E88&amp;"|"&amp;$F88&amp;"|"&amp;$G88&amp;"|"&amp;$H88,'Description Library'!$K$6:$K$808,0)),"")</f>
        <v/>
      </c>
      <c r="J88" s="9" t="str">
        <f>IFERROR(INDEX('Description Library'!$H$6:$H$808,MATCH($E88&amp;"|"&amp;$F88&amp;"|"&amp;$G88&amp;"|"&amp;$H88,'Description Library'!$K$6:$K$808,0)),"")</f>
        <v/>
      </c>
      <c r="K88" s="55"/>
      <c r="L88" s="56">
        <f>IFERROR(INDEX('Price List Library'!$K$6:$K$437,MATCH(TRIM($H88)&amp;"|"&amp;TRIM($J88),'Price List Library'!$S$6:$S$437,0)),0)</f>
        <v>0</v>
      </c>
      <c r="M88" s="56">
        <f>IFERROR(INDEX('Price List Library'!$N$6:$N$437,MATCH(TRIM($H88)&amp;"|"&amp;TRIM($J88),'Price List Library'!$S$6:$S$437,0)),0)</f>
        <v>0</v>
      </c>
      <c r="N88" s="27">
        <f t="shared" si="7"/>
        <v>0</v>
      </c>
      <c r="O88" s="27" t="str">
        <f t="shared" si="8"/>
        <v/>
      </c>
      <c r="P88" s="9" t="str">
        <f>IFERROR(INDEX('Price List Library'!$P$6:$P$437,MATCH(TRIM($H88)&amp;"|"&amp;TRIM($J88),'Price List Library'!$S$6:$S$437,0)),"")</f>
        <v/>
      </c>
      <c r="Q88" s="53"/>
      <c r="R88" s="29" t="str">
        <f t="shared" si="9"/>
        <v>_NONE</v>
      </c>
      <c r="S88" s="29" t="str">
        <f t="shared" si="10"/>
        <v>_NONE</v>
      </c>
      <c r="T88" s="29" t="str">
        <f t="shared" si="11"/>
        <v>_NONE</v>
      </c>
    </row>
    <row r="89" spans="1:20" ht="15" customHeight="1" x14ac:dyDescent="0.25">
      <c r="A89" s="9" t="str">
        <f t="shared" si="6"/>
        <v/>
      </c>
      <c r="B89" s="52"/>
      <c r="C89" s="52"/>
      <c r="D89" s="53"/>
      <c r="E89" s="53"/>
      <c r="F89" s="53"/>
      <c r="G89" s="53"/>
      <c r="H89" s="53"/>
      <c r="I89" s="54" t="str">
        <f>IFERROR(INDEX('Description Library'!$C$6:$C$808,MATCH($E89&amp;"|"&amp;$F89&amp;"|"&amp;$G89&amp;"|"&amp;$H89,'Description Library'!$K$6:$K$808,0)),"")</f>
        <v/>
      </c>
      <c r="J89" s="9" t="str">
        <f>IFERROR(INDEX('Description Library'!$H$6:$H$808,MATCH($E89&amp;"|"&amp;$F89&amp;"|"&amp;$G89&amp;"|"&amp;$H89,'Description Library'!$K$6:$K$808,0)),"")</f>
        <v/>
      </c>
      <c r="K89" s="55"/>
      <c r="L89" s="56">
        <f>IFERROR(INDEX('Price List Library'!$K$6:$K$437,MATCH(TRIM($H89)&amp;"|"&amp;TRIM($J89),'Price List Library'!$S$6:$S$437,0)),0)</f>
        <v>0</v>
      </c>
      <c r="M89" s="56">
        <f>IFERROR(INDEX('Price List Library'!$N$6:$N$437,MATCH(TRIM($H89)&amp;"|"&amp;TRIM($J89),'Price List Library'!$S$6:$S$437,0)),0)</f>
        <v>0</v>
      </c>
      <c r="N89" s="27">
        <f t="shared" si="7"/>
        <v>0</v>
      </c>
      <c r="O89" s="27" t="str">
        <f t="shared" si="8"/>
        <v/>
      </c>
      <c r="P89" s="9" t="str">
        <f>IFERROR(INDEX('Price List Library'!$P$6:$P$437,MATCH(TRIM($H89)&amp;"|"&amp;TRIM($J89),'Price List Library'!$S$6:$S$437,0)),"")</f>
        <v/>
      </c>
      <c r="Q89" s="53"/>
      <c r="R89" s="29" t="str">
        <f t="shared" si="9"/>
        <v>_NONE</v>
      </c>
      <c r="S89" s="29" t="str">
        <f t="shared" si="10"/>
        <v>_NONE</v>
      </c>
      <c r="T89" s="29" t="str">
        <f t="shared" si="11"/>
        <v>_NONE</v>
      </c>
    </row>
    <row r="90" spans="1:20" ht="15" customHeight="1" x14ac:dyDescent="0.25">
      <c r="A90" s="9" t="str">
        <f t="shared" si="6"/>
        <v/>
      </c>
      <c r="B90" s="52"/>
      <c r="C90" s="52"/>
      <c r="D90" s="53"/>
      <c r="E90" s="53"/>
      <c r="F90" s="53"/>
      <c r="G90" s="53"/>
      <c r="H90" s="53"/>
      <c r="I90" s="54" t="str">
        <f>IFERROR(INDEX('Description Library'!$C$6:$C$808,MATCH($E90&amp;"|"&amp;$F90&amp;"|"&amp;$G90&amp;"|"&amp;$H90,'Description Library'!$K$6:$K$808,0)),"")</f>
        <v/>
      </c>
      <c r="J90" s="9" t="str">
        <f>IFERROR(INDEX('Description Library'!$H$6:$H$808,MATCH($E90&amp;"|"&amp;$F90&amp;"|"&amp;$G90&amp;"|"&amp;$H90,'Description Library'!$K$6:$K$808,0)),"")</f>
        <v/>
      </c>
      <c r="K90" s="55"/>
      <c r="L90" s="56">
        <f>IFERROR(INDEX('Price List Library'!$K$6:$K$437,MATCH(TRIM($H90)&amp;"|"&amp;TRIM($J90),'Price List Library'!$S$6:$S$437,0)),0)</f>
        <v>0</v>
      </c>
      <c r="M90" s="56">
        <f>IFERROR(INDEX('Price List Library'!$N$6:$N$437,MATCH(TRIM($H90)&amp;"|"&amp;TRIM($J90),'Price List Library'!$S$6:$S$437,0)),0)</f>
        <v>0</v>
      </c>
      <c r="N90" s="27">
        <f t="shared" si="7"/>
        <v>0</v>
      </c>
      <c r="O90" s="27" t="str">
        <f t="shared" si="8"/>
        <v/>
      </c>
      <c r="P90" s="9" t="str">
        <f>IFERROR(INDEX('Price List Library'!$P$6:$P$437,MATCH(TRIM($H90)&amp;"|"&amp;TRIM($J90),'Price List Library'!$S$6:$S$437,0)),"")</f>
        <v/>
      </c>
      <c r="Q90" s="53"/>
      <c r="R90" s="29" t="str">
        <f t="shared" si="9"/>
        <v>_NONE</v>
      </c>
      <c r="S90" s="29" t="str">
        <f t="shared" si="10"/>
        <v>_NONE</v>
      </c>
      <c r="T90" s="29" t="str">
        <f t="shared" si="11"/>
        <v>_NONE</v>
      </c>
    </row>
    <row r="91" spans="1:20" ht="15" customHeight="1" x14ac:dyDescent="0.25">
      <c r="A91" s="9" t="str">
        <f t="shared" si="6"/>
        <v/>
      </c>
      <c r="B91" s="52"/>
      <c r="C91" s="52"/>
      <c r="D91" s="53"/>
      <c r="E91" s="53"/>
      <c r="F91" s="53"/>
      <c r="G91" s="53"/>
      <c r="H91" s="53"/>
      <c r="I91" s="54" t="str">
        <f>IFERROR(INDEX('Description Library'!$C$6:$C$808,MATCH($E91&amp;"|"&amp;$F91&amp;"|"&amp;$G91&amp;"|"&amp;$H91,'Description Library'!$K$6:$K$808,0)),"")</f>
        <v/>
      </c>
      <c r="J91" s="9" t="str">
        <f>IFERROR(INDEX('Description Library'!$H$6:$H$808,MATCH($E91&amp;"|"&amp;$F91&amp;"|"&amp;$G91&amp;"|"&amp;$H91,'Description Library'!$K$6:$K$808,0)),"")</f>
        <v/>
      </c>
      <c r="K91" s="55"/>
      <c r="L91" s="56">
        <f>IFERROR(INDEX('Price List Library'!$K$6:$K$437,MATCH(TRIM($H91)&amp;"|"&amp;TRIM($J91),'Price List Library'!$S$6:$S$437,0)),0)</f>
        <v>0</v>
      </c>
      <c r="M91" s="56">
        <f>IFERROR(INDEX('Price List Library'!$N$6:$N$437,MATCH(TRIM($H91)&amp;"|"&amp;TRIM($J91),'Price List Library'!$S$6:$S$437,0)),0)</f>
        <v>0</v>
      </c>
      <c r="N91" s="27">
        <f t="shared" si="7"/>
        <v>0</v>
      </c>
      <c r="O91" s="27" t="str">
        <f t="shared" si="8"/>
        <v/>
      </c>
      <c r="P91" s="9" t="str">
        <f>IFERROR(INDEX('Price List Library'!$P$6:$P$437,MATCH(TRIM($H91)&amp;"|"&amp;TRIM($J91),'Price List Library'!$S$6:$S$437,0)),"")</f>
        <v/>
      </c>
      <c r="Q91" s="53"/>
      <c r="R91" s="29" t="str">
        <f t="shared" si="9"/>
        <v>_NONE</v>
      </c>
      <c r="S91" s="29" t="str">
        <f t="shared" si="10"/>
        <v>_NONE</v>
      </c>
      <c r="T91" s="29" t="str">
        <f t="shared" si="11"/>
        <v>_NONE</v>
      </c>
    </row>
    <row r="92" spans="1:20" ht="15" customHeight="1" x14ac:dyDescent="0.25">
      <c r="A92" s="9" t="str">
        <f t="shared" si="6"/>
        <v/>
      </c>
      <c r="B92" s="52"/>
      <c r="C92" s="52"/>
      <c r="D92" s="53"/>
      <c r="E92" s="53"/>
      <c r="F92" s="53"/>
      <c r="G92" s="53"/>
      <c r="H92" s="53"/>
      <c r="I92" s="54" t="str">
        <f>IFERROR(INDEX('Description Library'!$C$6:$C$808,MATCH($E92&amp;"|"&amp;$F92&amp;"|"&amp;$G92&amp;"|"&amp;$H92,'Description Library'!$K$6:$K$808,0)),"")</f>
        <v/>
      </c>
      <c r="J92" s="9" t="str">
        <f>IFERROR(INDEX('Description Library'!$H$6:$H$808,MATCH($E92&amp;"|"&amp;$F92&amp;"|"&amp;$G92&amp;"|"&amp;$H92,'Description Library'!$K$6:$K$808,0)),"")</f>
        <v/>
      </c>
      <c r="K92" s="55"/>
      <c r="L92" s="56">
        <f>IFERROR(INDEX('Price List Library'!$K$6:$K$437,MATCH(TRIM($H92)&amp;"|"&amp;TRIM($J92),'Price List Library'!$S$6:$S$437,0)),0)</f>
        <v>0</v>
      </c>
      <c r="M92" s="56">
        <f>IFERROR(INDEX('Price List Library'!$N$6:$N$437,MATCH(TRIM($H92)&amp;"|"&amp;TRIM($J92),'Price List Library'!$S$6:$S$437,0)),0)</f>
        <v>0</v>
      </c>
      <c r="N92" s="27">
        <f t="shared" si="7"/>
        <v>0</v>
      </c>
      <c r="O92" s="27" t="str">
        <f t="shared" si="8"/>
        <v/>
      </c>
      <c r="P92" s="9" t="str">
        <f>IFERROR(INDEX('Price List Library'!$P$6:$P$437,MATCH(TRIM($H92)&amp;"|"&amp;TRIM($J92),'Price List Library'!$S$6:$S$437,0)),"")</f>
        <v/>
      </c>
      <c r="Q92" s="53"/>
      <c r="R92" s="29" t="str">
        <f t="shared" si="9"/>
        <v>_NONE</v>
      </c>
      <c r="S92" s="29" t="str">
        <f t="shared" si="10"/>
        <v>_NONE</v>
      </c>
      <c r="T92" s="29" t="str">
        <f t="shared" si="11"/>
        <v>_NONE</v>
      </c>
    </row>
    <row r="93" spans="1:20" ht="15" customHeight="1" x14ac:dyDescent="0.25">
      <c r="A93" s="9" t="str">
        <f t="shared" si="6"/>
        <v/>
      </c>
      <c r="B93" s="52"/>
      <c r="C93" s="52"/>
      <c r="D93" s="53"/>
      <c r="E93" s="53"/>
      <c r="F93" s="53"/>
      <c r="G93" s="53"/>
      <c r="H93" s="53"/>
      <c r="I93" s="54" t="str">
        <f>IFERROR(INDEX('Description Library'!$C$6:$C$808,MATCH($E93&amp;"|"&amp;$F93&amp;"|"&amp;$G93&amp;"|"&amp;$H93,'Description Library'!$K$6:$K$808,0)),"")</f>
        <v/>
      </c>
      <c r="J93" s="9" t="str">
        <f>IFERROR(INDEX('Description Library'!$H$6:$H$808,MATCH($E93&amp;"|"&amp;$F93&amp;"|"&amp;$G93&amp;"|"&amp;$H93,'Description Library'!$K$6:$K$808,0)),"")</f>
        <v/>
      </c>
      <c r="K93" s="55"/>
      <c r="L93" s="56">
        <f>IFERROR(INDEX('Price List Library'!$K$6:$K$437,MATCH(TRIM($H93)&amp;"|"&amp;TRIM($J93),'Price List Library'!$S$6:$S$437,0)),0)</f>
        <v>0</v>
      </c>
      <c r="M93" s="56">
        <f>IFERROR(INDEX('Price List Library'!$N$6:$N$437,MATCH(TRIM($H93)&amp;"|"&amp;TRIM($J93),'Price List Library'!$S$6:$S$437,0)),0)</f>
        <v>0</v>
      </c>
      <c r="N93" s="27">
        <f t="shared" si="7"/>
        <v>0</v>
      </c>
      <c r="O93" s="27" t="str">
        <f t="shared" si="8"/>
        <v/>
      </c>
      <c r="P93" s="9" t="str">
        <f>IFERROR(INDEX('Price List Library'!$P$6:$P$437,MATCH(TRIM($H93)&amp;"|"&amp;TRIM($J93),'Price List Library'!$S$6:$S$437,0)),"")</f>
        <v/>
      </c>
      <c r="Q93" s="53"/>
      <c r="R93" s="29" t="str">
        <f t="shared" si="9"/>
        <v>_NONE</v>
      </c>
      <c r="S93" s="29" t="str">
        <f t="shared" si="10"/>
        <v>_NONE</v>
      </c>
      <c r="T93" s="29" t="str">
        <f t="shared" si="11"/>
        <v>_NONE</v>
      </c>
    </row>
    <row r="94" spans="1:20" ht="15" customHeight="1" x14ac:dyDescent="0.25">
      <c r="A94" s="9" t="str">
        <f t="shared" si="6"/>
        <v/>
      </c>
      <c r="B94" s="52"/>
      <c r="C94" s="52"/>
      <c r="D94" s="53"/>
      <c r="E94" s="53"/>
      <c r="F94" s="53"/>
      <c r="G94" s="53"/>
      <c r="H94" s="53"/>
      <c r="I94" s="54" t="str">
        <f>IFERROR(INDEX('Description Library'!$C$6:$C$808,MATCH($E94&amp;"|"&amp;$F94&amp;"|"&amp;$G94&amp;"|"&amp;$H94,'Description Library'!$K$6:$K$808,0)),"")</f>
        <v/>
      </c>
      <c r="J94" s="9" t="str">
        <f>IFERROR(INDEX('Description Library'!$H$6:$H$808,MATCH($E94&amp;"|"&amp;$F94&amp;"|"&amp;$G94&amp;"|"&amp;$H94,'Description Library'!$K$6:$K$808,0)),"")</f>
        <v/>
      </c>
      <c r="K94" s="55"/>
      <c r="L94" s="56">
        <f>IFERROR(INDEX('Price List Library'!$K$6:$K$437,MATCH(TRIM($H94)&amp;"|"&amp;TRIM($J94),'Price List Library'!$S$6:$S$437,0)),0)</f>
        <v>0</v>
      </c>
      <c r="M94" s="56">
        <f>IFERROR(INDEX('Price List Library'!$N$6:$N$437,MATCH(TRIM($H94)&amp;"|"&amp;TRIM($J94),'Price List Library'!$S$6:$S$437,0)),0)</f>
        <v>0</v>
      </c>
      <c r="N94" s="27">
        <f t="shared" si="7"/>
        <v>0</v>
      </c>
      <c r="O94" s="27" t="str">
        <f t="shared" si="8"/>
        <v/>
      </c>
      <c r="P94" s="9" t="str">
        <f>IFERROR(INDEX('Price List Library'!$P$6:$P$437,MATCH(TRIM($H94)&amp;"|"&amp;TRIM($J94),'Price List Library'!$S$6:$S$437,0)),"")</f>
        <v/>
      </c>
      <c r="Q94" s="53"/>
      <c r="R94" s="29" t="str">
        <f t="shared" si="9"/>
        <v>_NONE</v>
      </c>
      <c r="S94" s="29" t="str">
        <f t="shared" si="10"/>
        <v>_NONE</v>
      </c>
      <c r="T94" s="29" t="str">
        <f t="shared" si="11"/>
        <v>_NONE</v>
      </c>
    </row>
    <row r="95" spans="1:20" ht="15" customHeight="1" x14ac:dyDescent="0.25">
      <c r="A95" s="9" t="str">
        <f t="shared" si="6"/>
        <v/>
      </c>
      <c r="B95" s="52"/>
      <c r="C95" s="52"/>
      <c r="D95" s="53"/>
      <c r="E95" s="53"/>
      <c r="F95" s="53"/>
      <c r="G95" s="53"/>
      <c r="H95" s="53"/>
      <c r="I95" s="54" t="str">
        <f>IFERROR(INDEX('Description Library'!$C$6:$C$808,MATCH($E95&amp;"|"&amp;$F95&amp;"|"&amp;$G95&amp;"|"&amp;$H95,'Description Library'!$K$6:$K$808,0)),"")</f>
        <v/>
      </c>
      <c r="J95" s="9" t="str">
        <f>IFERROR(INDEX('Description Library'!$H$6:$H$808,MATCH($E95&amp;"|"&amp;$F95&amp;"|"&amp;$G95&amp;"|"&amp;$H95,'Description Library'!$K$6:$K$808,0)),"")</f>
        <v/>
      </c>
      <c r="K95" s="55"/>
      <c r="L95" s="56">
        <f>IFERROR(INDEX('Price List Library'!$K$6:$K$437,MATCH(TRIM($H95)&amp;"|"&amp;TRIM($J95),'Price List Library'!$S$6:$S$437,0)),0)</f>
        <v>0</v>
      </c>
      <c r="M95" s="56">
        <f>IFERROR(INDEX('Price List Library'!$N$6:$N$437,MATCH(TRIM($H95)&amp;"|"&amp;TRIM($J95),'Price List Library'!$S$6:$S$437,0)),0)</f>
        <v>0</v>
      </c>
      <c r="N95" s="27">
        <f t="shared" si="7"/>
        <v>0</v>
      </c>
      <c r="O95" s="27" t="str">
        <f t="shared" si="8"/>
        <v/>
      </c>
      <c r="P95" s="9" t="str">
        <f>IFERROR(INDEX('Price List Library'!$P$6:$P$437,MATCH(TRIM($H95)&amp;"|"&amp;TRIM($J95),'Price List Library'!$S$6:$S$437,0)),"")</f>
        <v/>
      </c>
      <c r="Q95" s="53"/>
      <c r="R95" s="29" t="str">
        <f t="shared" si="9"/>
        <v>_NONE</v>
      </c>
      <c r="S95" s="29" t="str">
        <f t="shared" si="10"/>
        <v>_NONE</v>
      </c>
      <c r="T95" s="29" t="str">
        <f t="shared" si="11"/>
        <v>_NONE</v>
      </c>
    </row>
    <row r="96" spans="1:20" ht="15" customHeight="1" x14ac:dyDescent="0.25">
      <c r="A96" s="9" t="str">
        <f t="shared" si="6"/>
        <v/>
      </c>
      <c r="B96" s="52"/>
      <c r="C96" s="52"/>
      <c r="D96" s="53"/>
      <c r="E96" s="53"/>
      <c r="F96" s="53"/>
      <c r="G96" s="53"/>
      <c r="H96" s="53"/>
      <c r="I96" s="54" t="str">
        <f>IFERROR(INDEX('Description Library'!$C$6:$C$808,MATCH($E96&amp;"|"&amp;$F96&amp;"|"&amp;$G96&amp;"|"&amp;$H96,'Description Library'!$K$6:$K$808,0)),"")</f>
        <v/>
      </c>
      <c r="J96" s="9" t="str">
        <f>IFERROR(INDEX('Description Library'!$H$6:$H$808,MATCH($E96&amp;"|"&amp;$F96&amp;"|"&amp;$G96&amp;"|"&amp;$H96,'Description Library'!$K$6:$K$808,0)),"")</f>
        <v/>
      </c>
      <c r="K96" s="55"/>
      <c r="L96" s="56">
        <f>IFERROR(INDEX('Price List Library'!$K$6:$K$437,MATCH(TRIM($H96)&amp;"|"&amp;TRIM($J96),'Price List Library'!$S$6:$S$437,0)),0)</f>
        <v>0</v>
      </c>
      <c r="M96" s="56">
        <f>IFERROR(INDEX('Price List Library'!$N$6:$N$437,MATCH(TRIM($H96)&amp;"|"&amp;TRIM($J96),'Price List Library'!$S$6:$S$437,0)),0)</f>
        <v>0</v>
      </c>
      <c r="N96" s="27">
        <f t="shared" si="7"/>
        <v>0</v>
      </c>
      <c r="O96" s="27" t="str">
        <f t="shared" si="8"/>
        <v/>
      </c>
      <c r="P96" s="9" t="str">
        <f>IFERROR(INDEX('Price List Library'!$P$6:$P$437,MATCH(TRIM($H96)&amp;"|"&amp;TRIM($J96),'Price List Library'!$S$6:$S$437,0)),"")</f>
        <v/>
      </c>
      <c r="Q96" s="53"/>
      <c r="R96" s="29" t="str">
        <f t="shared" si="9"/>
        <v>_NONE</v>
      </c>
      <c r="S96" s="29" t="str">
        <f t="shared" si="10"/>
        <v>_NONE</v>
      </c>
      <c r="T96" s="29" t="str">
        <f t="shared" si="11"/>
        <v>_NONE</v>
      </c>
    </row>
    <row r="97" spans="1:20" ht="15" customHeight="1" x14ac:dyDescent="0.25">
      <c r="A97" s="9" t="str">
        <f t="shared" si="6"/>
        <v/>
      </c>
      <c r="B97" s="52"/>
      <c r="C97" s="52"/>
      <c r="D97" s="53"/>
      <c r="E97" s="53"/>
      <c r="F97" s="53"/>
      <c r="G97" s="53"/>
      <c r="H97" s="53"/>
      <c r="I97" s="54" t="str">
        <f>IFERROR(INDEX('Description Library'!$C$6:$C$808,MATCH($E97&amp;"|"&amp;$F97&amp;"|"&amp;$G97&amp;"|"&amp;$H97,'Description Library'!$K$6:$K$808,0)),"")</f>
        <v/>
      </c>
      <c r="J97" s="9" t="str">
        <f>IFERROR(INDEX('Description Library'!$H$6:$H$808,MATCH($E97&amp;"|"&amp;$F97&amp;"|"&amp;$G97&amp;"|"&amp;$H97,'Description Library'!$K$6:$K$808,0)),"")</f>
        <v/>
      </c>
      <c r="K97" s="55"/>
      <c r="L97" s="56">
        <f>IFERROR(INDEX('Price List Library'!$K$6:$K$437,MATCH(TRIM($H97)&amp;"|"&amp;TRIM($J97),'Price List Library'!$S$6:$S$437,0)),0)</f>
        <v>0</v>
      </c>
      <c r="M97" s="56">
        <f>IFERROR(INDEX('Price List Library'!$N$6:$N$437,MATCH(TRIM($H97)&amp;"|"&amp;TRIM($J97),'Price List Library'!$S$6:$S$437,0)),0)</f>
        <v>0</v>
      </c>
      <c r="N97" s="27">
        <f t="shared" si="7"/>
        <v>0</v>
      </c>
      <c r="O97" s="27" t="str">
        <f t="shared" si="8"/>
        <v/>
      </c>
      <c r="P97" s="9" t="str">
        <f>IFERROR(INDEX('Price List Library'!$P$6:$P$437,MATCH(TRIM($H97)&amp;"|"&amp;TRIM($J97),'Price List Library'!$S$6:$S$437,0)),"")</f>
        <v/>
      </c>
      <c r="Q97" s="53"/>
      <c r="R97" s="29" t="str">
        <f t="shared" si="9"/>
        <v>_NONE</v>
      </c>
      <c r="S97" s="29" t="str">
        <f t="shared" si="10"/>
        <v>_NONE</v>
      </c>
      <c r="T97" s="29" t="str">
        <f t="shared" si="11"/>
        <v>_NONE</v>
      </c>
    </row>
    <row r="98" spans="1:20" ht="15" customHeight="1" x14ac:dyDescent="0.25">
      <c r="A98" s="9" t="str">
        <f t="shared" si="6"/>
        <v/>
      </c>
      <c r="B98" s="52"/>
      <c r="C98" s="52"/>
      <c r="D98" s="53"/>
      <c r="E98" s="53"/>
      <c r="F98" s="53"/>
      <c r="G98" s="53"/>
      <c r="H98" s="53"/>
      <c r="I98" s="54" t="str">
        <f>IFERROR(INDEX('Description Library'!$C$6:$C$808,MATCH($E98&amp;"|"&amp;$F98&amp;"|"&amp;$G98&amp;"|"&amp;$H98,'Description Library'!$K$6:$K$808,0)),"")</f>
        <v/>
      </c>
      <c r="J98" s="9" t="str">
        <f>IFERROR(INDEX('Description Library'!$H$6:$H$808,MATCH($E98&amp;"|"&amp;$F98&amp;"|"&amp;$G98&amp;"|"&amp;$H98,'Description Library'!$K$6:$K$808,0)),"")</f>
        <v/>
      </c>
      <c r="K98" s="55"/>
      <c r="L98" s="56">
        <f>IFERROR(INDEX('Price List Library'!$K$6:$K$437,MATCH(TRIM($H98)&amp;"|"&amp;TRIM($J98),'Price List Library'!$S$6:$S$437,0)),0)</f>
        <v>0</v>
      </c>
      <c r="M98" s="56">
        <f>IFERROR(INDEX('Price List Library'!$N$6:$N$437,MATCH(TRIM($H98)&amp;"|"&amp;TRIM($J98),'Price List Library'!$S$6:$S$437,0)),0)</f>
        <v>0</v>
      </c>
      <c r="N98" s="27">
        <f t="shared" si="7"/>
        <v>0</v>
      </c>
      <c r="O98" s="27" t="str">
        <f t="shared" si="8"/>
        <v/>
      </c>
      <c r="P98" s="9" t="str">
        <f>IFERROR(INDEX('Price List Library'!$P$6:$P$437,MATCH(TRIM($H98)&amp;"|"&amp;TRIM($J98),'Price List Library'!$S$6:$S$437,0)),"")</f>
        <v/>
      </c>
      <c r="Q98" s="53"/>
      <c r="R98" s="29" t="str">
        <f t="shared" si="9"/>
        <v>_NONE</v>
      </c>
      <c r="S98" s="29" t="str">
        <f t="shared" si="10"/>
        <v>_NONE</v>
      </c>
      <c r="T98" s="29" t="str">
        <f t="shared" si="11"/>
        <v>_NONE</v>
      </c>
    </row>
    <row r="99" spans="1:20" ht="15" customHeight="1" x14ac:dyDescent="0.25">
      <c r="A99" s="9" t="str">
        <f t="shared" si="6"/>
        <v/>
      </c>
      <c r="B99" s="52"/>
      <c r="C99" s="52"/>
      <c r="D99" s="53"/>
      <c r="E99" s="53"/>
      <c r="F99" s="53"/>
      <c r="G99" s="53"/>
      <c r="H99" s="53"/>
      <c r="I99" s="54" t="str">
        <f>IFERROR(INDEX('Description Library'!$C$6:$C$808,MATCH($E99&amp;"|"&amp;$F99&amp;"|"&amp;$G99&amp;"|"&amp;$H99,'Description Library'!$K$6:$K$808,0)),"")</f>
        <v/>
      </c>
      <c r="J99" s="9" t="str">
        <f>IFERROR(INDEX('Description Library'!$H$6:$H$808,MATCH($E99&amp;"|"&amp;$F99&amp;"|"&amp;$G99&amp;"|"&amp;$H99,'Description Library'!$K$6:$K$808,0)),"")</f>
        <v/>
      </c>
      <c r="K99" s="55"/>
      <c r="L99" s="56">
        <f>IFERROR(INDEX('Price List Library'!$K$6:$K$437,MATCH(TRIM($H99)&amp;"|"&amp;TRIM($J99),'Price List Library'!$S$6:$S$437,0)),0)</f>
        <v>0</v>
      </c>
      <c r="M99" s="56">
        <f>IFERROR(INDEX('Price List Library'!$N$6:$N$437,MATCH(TRIM($H99)&amp;"|"&amp;TRIM($J99),'Price List Library'!$S$6:$S$437,0)),0)</f>
        <v>0</v>
      </c>
      <c r="N99" s="27">
        <f t="shared" si="7"/>
        <v>0</v>
      </c>
      <c r="O99" s="27" t="str">
        <f t="shared" si="8"/>
        <v/>
      </c>
      <c r="P99" s="9" t="str">
        <f>IFERROR(INDEX('Price List Library'!$P$6:$P$437,MATCH(TRIM($H99)&amp;"|"&amp;TRIM($J99),'Price List Library'!$S$6:$S$437,0)),"")</f>
        <v/>
      </c>
      <c r="Q99" s="53"/>
      <c r="R99" s="29" t="str">
        <f t="shared" si="9"/>
        <v>_NONE</v>
      </c>
      <c r="S99" s="29" t="str">
        <f t="shared" si="10"/>
        <v>_NONE</v>
      </c>
      <c r="T99" s="29" t="str">
        <f t="shared" si="11"/>
        <v>_NONE</v>
      </c>
    </row>
    <row r="100" spans="1:20" ht="15" customHeight="1" x14ac:dyDescent="0.25">
      <c r="A100" s="9" t="str">
        <f t="shared" si="6"/>
        <v/>
      </c>
      <c r="B100" s="52"/>
      <c r="C100" s="52"/>
      <c r="D100" s="53"/>
      <c r="E100" s="53"/>
      <c r="F100" s="53"/>
      <c r="G100" s="53"/>
      <c r="H100" s="53"/>
      <c r="I100" s="54" t="str">
        <f>IFERROR(INDEX('Description Library'!$C$6:$C$808,MATCH($E100&amp;"|"&amp;$F100&amp;"|"&amp;$G100&amp;"|"&amp;$H100,'Description Library'!$K$6:$K$808,0)),"")</f>
        <v/>
      </c>
      <c r="J100" s="9" t="str">
        <f>IFERROR(INDEX('Description Library'!$H$6:$H$808,MATCH($E100&amp;"|"&amp;$F100&amp;"|"&amp;$G100&amp;"|"&amp;$H100,'Description Library'!$K$6:$K$808,0)),"")</f>
        <v/>
      </c>
      <c r="K100" s="55"/>
      <c r="L100" s="56">
        <f>IFERROR(INDEX('Price List Library'!$K$6:$K$437,MATCH(TRIM($H100)&amp;"|"&amp;TRIM($J100),'Price List Library'!$S$6:$S$437,0)),0)</f>
        <v>0</v>
      </c>
      <c r="M100" s="56">
        <f>IFERROR(INDEX('Price List Library'!$N$6:$N$437,MATCH(TRIM($H100)&amp;"|"&amp;TRIM($J100),'Price List Library'!$S$6:$S$437,0)),0)</f>
        <v>0</v>
      </c>
      <c r="N100" s="27">
        <f t="shared" si="7"/>
        <v>0</v>
      </c>
      <c r="O100" s="27" t="str">
        <f t="shared" si="8"/>
        <v/>
      </c>
      <c r="P100" s="9" t="str">
        <f>IFERROR(INDEX('Price List Library'!$P$6:$P$437,MATCH(TRIM($H100)&amp;"|"&amp;TRIM($J100),'Price List Library'!$S$6:$S$437,0)),"")</f>
        <v/>
      </c>
      <c r="Q100" s="53"/>
      <c r="R100" s="29" t="str">
        <f t="shared" si="9"/>
        <v>_NONE</v>
      </c>
      <c r="S100" s="29" t="str">
        <f t="shared" si="10"/>
        <v>_NONE</v>
      </c>
      <c r="T100" s="29" t="str">
        <f t="shared" si="11"/>
        <v>_NONE</v>
      </c>
    </row>
    <row r="101" spans="1:20" ht="15" customHeight="1" x14ac:dyDescent="0.25">
      <c r="A101" s="9" t="str">
        <f t="shared" si="6"/>
        <v/>
      </c>
      <c r="B101" s="52"/>
      <c r="C101" s="52"/>
      <c r="D101" s="53"/>
      <c r="E101" s="53"/>
      <c r="F101" s="53"/>
      <c r="G101" s="53"/>
      <c r="H101" s="53"/>
      <c r="I101" s="54" t="str">
        <f>IFERROR(INDEX('Description Library'!$C$6:$C$808,MATCH($E101&amp;"|"&amp;$F101&amp;"|"&amp;$G101&amp;"|"&amp;$H101,'Description Library'!$K$6:$K$808,0)),"")</f>
        <v/>
      </c>
      <c r="J101" s="9" t="str">
        <f>IFERROR(INDEX('Description Library'!$H$6:$H$808,MATCH($E101&amp;"|"&amp;$F101&amp;"|"&amp;$G101&amp;"|"&amp;$H101,'Description Library'!$K$6:$K$808,0)),"")</f>
        <v/>
      </c>
      <c r="K101" s="55"/>
      <c r="L101" s="56">
        <f>IFERROR(INDEX('Price List Library'!$K$6:$K$437,MATCH(TRIM($H101)&amp;"|"&amp;TRIM($J101),'Price List Library'!$S$6:$S$437,0)),0)</f>
        <v>0</v>
      </c>
      <c r="M101" s="56">
        <f>IFERROR(INDEX('Price List Library'!$N$6:$N$437,MATCH(TRIM($H101)&amp;"|"&amp;TRIM($J101),'Price List Library'!$S$6:$S$437,0)),0)</f>
        <v>0</v>
      </c>
      <c r="N101" s="27">
        <f t="shared" si="7"/>
        <v>0</v>
      </c>
      <c r="O101" s="27" t="str">
        <f t="shared" si="8"/>
        <v/>
      </c>
      <c r="P101" s="9" t="str">
        <f>IFERROR(INDEX('Price List Library'!$P$6:$P$437,MATCH(TRIM($H101)&amp;"|"&amp;TRIM($J101),'Price List Library'!$S$6:$S$437,0)),"")</f>
        <v/>
      </c>
      <c r="Q101" s="53"/>
      <c r="R101" s="29" t="str">
        <f t="shared" si="9"/>
        <v>_NONE</v>
      </c>
      <c r="S101" s="29" t="str">
        <f t="shared" si="10"/>
        <v>_NONE</v>
      </c>
      <c r="T101" s="29" t="str">
        <f t="shared" si="11"/>
        <v>_NONE</v>
      </c>
    </row>
    <row r="102" spans="1:20" ht="15" customHeight="1" x14ac:dyDescent="0.25">
      <c r="A102" s="9" t="str">
        <f t="shared" si="6"/>
        <v/>
      </c>
      <c r="B102" s="52"/>
      <c r="C102" s="52"/>
      <c r="D102" s="53"/>
      <c r="E102" s="53"/>
      <c r="F102" s="53"/>
      <c r="G102" s="53"/>
      <c r="H102" s="53"/>
      <c r="I102" s="54" t="str">
        <f>IFERROR(INDEX('Description Library'!$C$6:$C$808,MATCH($E102&amp;"|"&amp;$F102&amp;"|"&amp;$G102&amp;"|"&amp;$H102,'Description Library'!$K$6:$K$808,0)),"")</f>
        <v/>
      </c>
      <c r="J102" s="9" t="str">
        <f>IFERROR(INDEX('Description Library'!$H$6:$H$808,MATCH($E102&amp;"|"&amp;$F102&amp;"|"&amp;$G102&amp;"|"&amp;$H102,'Description Library'!$K$6:$K$808,0)),"")</f>
        <v/>
      </c>
      <c r="K102" s="55"/>
      <c r="L102" s="56">
        <f>IFERROR(INDEX('Price List Library'!$K$6:$K$437,MATCH(TRIM($H102)&amp;"|"&amp;TRIM($J102),'Price List Library'!$S$6:$S$437,0)),0)</f>
        <v>0</v>
      </c>
      <c r="M102" s="56">
        <f>IFERROR(INDEX('Price List Library'!$N$6:$N$437,MATCH(TRIM($H102)&amp;"|"&amp;TRIM($J102),'Price List Library'!$S$6:$S$437,0)),0)</f>
        <v>0</v>
      </c>
      <c r="N102" s="27">
        <f t="shared" si="7"/>
        <v>0</v>
      </c>
      <c r="O102" s="27" t="str">
        <f t="shared" si="8"/>
        <v/>
      </c>
      <c r="P102" s="9" t="str">
        <f>IFERROR(INDEX('Price List Library'!$P$6:$P$437,MATCH(TRIM($H102)&amp;"|"&amp;TRIM($J102),'Price List Library'!$S$6:$S$437,0)),"")</f>
        <v/>
      </c>
      <c r="Q102" s="53"/>
      <c r="R102" s="29" t="str">
        <f t="shared" si="9"/>
        <v>_NONE</v>
      </c>
      <c r="S102" s="29" t="str">
        <f t="shared" si="10"/>
        <v>_NONE</v>
      </c>
      <c r="T102" s="29" t="str">
        <f t="shared" si="11"/>
        <v>_NONE</v>
      </c>
    </row>
    <row r="103" spans="1:20" ht="15" customHeight="1" x14ac:dyDescent="0.25">
      <c r="A103" s="9" t="str">
        <f t="shared" si="6"/>
        <v/>
      </c>
      <c r="B103" s="52"/>
      <c r="C103" s="52"/>
      <c r="D103" s="53"/>
      <c r="E103" s="53"/>
      <c r="F103" s="53"/>
      <c r="G103" s="53"/>
      <c r="H103" s="53"/>
      <c r="I103" s="54" t="str">
        <f>IFERROR(INDEX('Description Library'!$C$6:$C$808,MATCH($E103&amp;"|"&amp;$F103&amp;"|"&amp;$G103&amp;"|"&amp;$H103,'Description Library'!$K$6:$K$808,0)),"")</f>
        <v/>
      </c>
      <c r="J103" s="9" t="str">
        <f>IFERROR(INDEX('Description Library'!$H$6:$H$808,MATCH($E103&amp;"|"&amp;$F103&amp;"|"&amp;$G103&amp;"|"&amp;$H103,'Description Library'!$K$6:$K$808,0)),"")</f>
        <v/>
      </c>
      <c r="K103" s="55"/>
      <c r="L103" s="56">
        <f>IFERROR(INDEX('Price List Library'!$K$6:$K$437,MATCH(TRIM($H103)&amp;"|"&amp;TRIM($J103),'Price List Library'!$S$6:$S$437,0)),0)</f>
        <v>0</v>
      </c>
      <c r="M103" s="56">
        <f>IFERROR(INDEX('Price List Library'!$N$6:$N$437,MATCH(TRIM($H103)&amp;"|"&amp;TRIM($J103),'Price List Library'!$S$6:$S$437,0)),0)</f>
        <v>0</v>
      </c>
      <c r="N103" s="27">
        <f t="shared" si="7"/>
        <v>0</v>
      </c>
      <c r="O103" s="27" t="str">
        <f t="shared" si="8"/>
        <v/>
      </c>
      <c r="P103" s="9" t="str">
        <f>IFERROR(INDEX('Price List Library'!$P$6:$P$437,MATCH(TRIM($H103)&amp;"|"&amp;TRIM($J103),'Price List Library'!$S$6:$S$437,0)),"")</f>
        <v/>
      </c>
      <c r="Q103" s="53"/>
      <c r="R103" s="29" t="str">
        <f t="shared" si="9"/>
        <v>_NONE</v>
      </c>
      <c r="S103" s="29" t="str">
        <f t="shared" si="10"/>
        <v>_NONE</v>
      </c>
      <c r="T103" s="29" t="str">
        <f t="shared" si="11"/>
        <v>_NONE</v>
      </c>
    </row>
    <row r="104" spans="1:20" ht="15" customHeight="1" x14ac:dyDescent="0.25">
      <c r="A104" s="9" t="str">
        <f t="shared" si="6"/>
        <v/>
      </c>
      <c r="B104" s="52"/>
      <c r="C104" s="52"/>
      <c r="D104" s="53"/>
      <c r="E104" s="53"/>
      <c r="F104" s="53"/>
      <c r="G104" s="53"/>
      <c r="H104" s="53"/>
      <c r="I104" s="54" t="str">
        <f>IFERROR(INDEX('Description Library'!$C$6:$C$808,MATCH($E104&amp;"|"&amp;$F104&amp;"|"&amp;$G104&amp;"|"&amp;$H104,'Description Library'!$K$6:$K$808,0)),"")</f>
        <v/>
      </c>
      <c r="J104" s="9" t="str">
        <f>IFERROR(INDEX('Description Library'!$H$6:$H$808,MATCH($E104&amp;"|"&amp;$F104&amp;"|"&amp;$G104&amp;"|"&amp;$H104,'Description Library'!$K$6:$K$808,0)),"")</f>
        <v/>
      </c>
      <c r="K104" s="55"/>
      <c r="L104" s="56">
        <f>IFERROR(INDEX('Price List Library'!$K$6:$K$437,MATCH(TRIM($H104)&amp;"|"&amp;TRIM($J104),'Price List Library'!$S$6:$S$437,0)),0)</f>
        <v>0</v>
      </c>
      <c r="M104" s="56">
        <f>IFERROR(INDEX('Price List Library'!$N$6:$N$437,MATCH(TRIM($H104)&amp;"|"&amp;TRIM($J104),'Price List Library'!$S$6:$S$437,0)),0)</f>
        <v>0</v>
      </c>
      <c r="N104" s="27">
        <f t="shared" si="7"/>
        <v>0</v>
      </c>
      <c r="O104" s="27" t="str">
        <f t="shared" si="8"/>
        <v/>
      </c>
      <c r="P104" s="9" t="str">
        <f>IFERROR(INDEX('Price List Library'!$P$6:$P$437,MATCH(TRIM($H104)&amp;"|"&amp;TRIM($J104),'Price List Library'!$S$6:$S$437,0)),"")</f>
        <v/>
      </c>
      <c r="Q104" s="53"/>
      <c r="R104" s="29" t="str">
        <f t="shared" si="9"/>
        <v>_NONE</v>
      </c>
      <c r="S104" s="29" t="str">
        <f t="shared" si="10"/>
        <v>_NONE</v>
      </c>
      <c r="T104" s="29" t="str">
        <f t="shared" si="11"/>
        <v>_NONE</v>
      </c>
    </row>
    <row r="105" spans="1:20" ht="15" customHeight="1" x14ac:dyDescent="0.25">
      <c r="A105" s="9" t="str">
        <f t="shared" si="6"/>
        <v/>
      </c>
      <c r="B105" s="52"/>
      <c r="C105" s="52"/>
      <c r="D105" s="53"/>
      <c r="E105" s="53"/>
      <c r="F105" s="53"/>
      <c r="G105" s="53"/>
      <c r="H105" s="53"/>
      <c r="I105" s="54" t="str">
        <f>IFERROR(INDEX('Description Library'!$C$6:$C$808,MATCH($E105&amp;"|"&amp;$F105&amp;"|"&amp;$G105&amp;"|"&amp;$H105,'Description Library'!$K$6:$K$808,0)),"")</f>
        <v/>
      </c>
      <c r="J105" s="9" t="str">
        <f>IFERROR(INDEX('Description Library'!$H$6:$H$808,MATCH($E105&amp;"|"&amp;$F105&amp;"|"&amp;$G105&amp;"|"&amp;$H105,'Description Library'!$K$6:$K$808,0)),"")</f>
        <v/>
      </c>
      <c r="K105" s="55"/>
      <c r="L105" s="56">
        <f>IFERROR(INDEX('Price List Library'!$K$6:$K$437,MATCH(TRIM($H105)&amp;"|"&amp;TRIM($J105),'Price List Library'!$S$6:$S$437,0)),0)</f>
        <v>0</v>
      </c>
      <c r="M105" s="56">
        <f>IFERROR(INDEX('Price List Library'!$N$6:$N$437,MATCH(TRIM($H105)&amp;"|"&amp;TRIM($J105),'Price List Library'!$S$6:$S$437,0)),0)</f>
        <v>0</v>
      </c>
      <c r="N105" s="27">
        <f t="shared" si="7"/>
        <v>0</v>
      </c>
      <c r="O105" s="27" t="str">
        <f t="shared" si="8"/>
        <v/>
      </c>
      <c r="P105" s="9" t="str">
        <f>IFERROR(INDEX('Price List Library'!$P$6:$P$437,MATCH(TRIM($H105)&amp;"|"&amp;TRIM($J105),'Price List Library'!$S$6:$S$437,0)),"")</f>
        <v/>
      </c>
      <c r="Q105" s="53"/>
      <c r="R105" s="29" t="str">
        <f t="shared" si="9"/>
        <v>_NONE</v>
      </c>
      <c r="S105" s="29" t="str">
        <f t="shared" si="10"/>
        <v>_NONE</v>
      </c>
      <c r="T105" s="29" t="str">
        <f t="shared" si="11"/>
        <v>_NONE</v>
      </c>
    </row>
    <row r="106" spans="1:20" ht="15" customHeight="1" x14ac:dyDescent="0.25">
      <c r="A106" s="9" t="str">
        <f t="shared" si="6"/>
        <v/>
      </c>
      <c r="B106" s="52"/>
      <c r="C106" s="52"/>
      <c r="D106" s="53"/>
      <c r="E106" s="53"/>
      <c r="F106" s="53"/>
      <c r="G106" s="53"/>
      <c r="H106" s="53"/>
      <c r="I106" s="54" t="str">
        <f>IFERROR(INDEX('Description Library'!$C$6:$C$808,MATCH($E106&amp;"|"&amp;$F106&amp;"|"&amp;$G106&amp;"|"&amp;$H106,'Description Library'!$K$6:$K$808,0)),"")</f>
        <v/>
      </c>
      <c r="J106" s="9" t="str">
        <f>IFERROR(INDEX('Description Library'!$H$6:$H$808,MATCH($E106&amp;"|"&amp;$F106&amp;"|"&amp;$G106&amp;"|"&amp;$H106,'Description Library'!$K$6:$K$808,0)),"")</f>
        <v/>
      </c>
      <c r="K106" s="55"/>
      <c r="L106" s="56">
        <f>IFERROR(INDEX('Price List Library'!$K$6:$K$437,MATCH(TRIM($H106)&amp;"|"&amp;TRIM($J106),'Price List Library'!$S$6:$S$437,0)),0)</f>
        <v>0</v>
      </c>
      <c r="M106" s="56">
        <f>IFERROR(INDEX('Price List Library'!$N$6:$N$437,MATCH(TRIM($H106)&amp;"|"&amp;TRIM($J106),'Price List Library'!$S$6:$S$437,0)),0)</f>
        <v>0</v>
      </c>
      <c r="N106" s="27">
        <f t="shared" si="7"/>
        <v>0</v>
      </c>
      <c r="O106" s="27" t="str">
        <f t="shared" si="8"/>
        <v/>
      </c>
      <c r="P106" s="9" t="str">
        <f>IFERROR(INDEX('Price List Library'!$P$6:$P$437,MATCH(TRIM($H106)&amp;"|"&amp;TRIM($J106),'Price List Library'!$S$6:$S$437,0)),"")</f>
        <v/>
      </c>
      <c r="Q106" s="53"/>
      <c r="R106" s="29" t="str">
        <f t="shared" si="9"/>
        <v>_NONE</v>
      </c>
      <c r="S106" s="29" t="str">
        <f t="shared" si="10"/>
        <v>_NONE</v>
      </c>
      <c r="T106" s="29" t="str">
        <f t="shared" si="11"/>
        <v>_NONE</v>
      </c>
    </row>
    <row r="107" spans="1:20" ht="15" customHeight="1" x14ac:dyDescent="0.25">
      <c r="A107" s="9" t="str">
        <f t="shared" si="6"/>
        <v/>
      </c>
      <c r="B107" s="52"/>
      <c r="C107" s="52"/>
      <c r="D107" s="53"/>
      <c r="E107" s="53"/>
      <c r="F107" s="53"/>
      <c r="G107" s="53"/>
      <c r="H107" s="53"/>
      <c r="I107" s="54" t="str">
        <f>IFERROR(INDEX('Description Library'!$C$6:$C$808,MATCH($E107&amp;"|"&amp;$F107&amp;"|"&amp;$G107&amp;"|"&amp;$H107,'Description Library'!$K$6:$K$808,0)),"")</f>
        <v/>
      </c>
      <c r="J107" s="9" t="str">
        <f>IFERROR(INDEX('Description Library'!$H$6:$H$808,MATCH($E107&amp;"|"&amp;$F107&amp;"|"&amp;$G107&amp;"|"&amp;$H107,'Description Library'!$K$6:$K$808,0)),"")</f>
        <v/>
      </c>
      <c r="K107" s="55"/>
      <c r="L107" s="56">
        <f>IFERROR(INDEX('Price List Library'!$K$6:$K$437,MATCH(TRIM($H107)&amp;"|"&amp;TRIM($J107),'Price List Library'!$S$6:$S$437,0)),0)</f>
        <v>0</v>
      </c>
      <c r="M107" s="56">
        <f>IFERROR(INDEX('Price List Library'!$N$6:$N$437,MATCH(TRIM($H107)&amp;"|"&amp;TRIM($J107),'Price List Library'!$S$6:$S$437,0)),0)</f>
        <v>0</v>
      </c>
      <c r="N107" s="27">
        <f t="shared" si="7"/>
        <v>0</v>
      </c>
      <c r="O107" s="27" t="str">
        <f t="shared" si="8"/>
        <v/>
      </c>
      <c r="P107" s="9" t="str">
        <f>IFERROR(INDEX('Price List Library'!$P$6:$P$437,MATCH(TRIM($H107)&amp;"|"&amp;TRIM($J107),'Price List Library'!$S$6:$S$437,0)),"")</f>
        <v/>
      </c>
      <c r="Q107" s="53"/>
      <c r="R107" s="29" t="str">
        <f t="shared" si="9"/>
        <v>_NONE</v>
      </c>
      <c r="S107" s="29" t="str">
        <f t="shared" si="10"/>
        <v>_NONE</v>
      </c>
      <c r="T107" s="29" t="str">
        <f t="shared" si="11"/>
        <v>_NONE</v>
      </c>
    </row>
    <row r="108" spans="1:20" ht="15" customHeight="1" x14ac:dyDescent="0.25">
      <c r="A108" s="9" t="str">
        <f t="shared" si="6"/>
        <v/>
      </c>
      <c r="B108" s="52"/>
      <c r="C108" s="52"/>
      <c r="D108" s="53"/>
      <c r="E108" s="53"/>
      <c r="F108" s="53"/>
      <c r="G108" s="53"/>
      <c r="H108" s="53"/>
      <c r="I108" s="54" t="str">
        <f>IFERROR(INDEX('Description Library'!$C$6:$C$808,MATCH($E108&amp;"|"&amp;$F108&amp;"|"&amp;$G108&amp;"|"&amp;$H108,'Description Library'!$K$6:$K$808,0)),"")</f>
        <v/>
      </c>
      <c r="J108" s="9" t="str">
        <f>IFERROR(INDEX('Description Library'!$H$6:$H$808,MATCH($E108&amp;"|"&amp;$F108&amp;"|"&amp;$G108&amp;"|"&amp;$H108,'Description Library'!$K$6:$K$808,0)),"")</f>
        <v/>
      </c>
      <c r="K108" s="55"/>
      <c r="L108" s="56">
        <f>IFERROR(INDEX('Price List Library'!$K$6:$K$437,MATCH(TRIM($H108)&amp;"|"&amp;TRIM($J108),'Price List Library'!$S$6:$S$437,0)),0)</f>
        <v>0</v>
      </c>
      <c r="M108" s="56">
        <f>IFERROR(INDEX('Price List Library'!$N$6:$N$437,MATCH(TRIM($H108)&amp;"|"&amp;TRIM($J108),'Price List Library'!$S$6:$S$437,0)),0)</f>
        <v>0</v>
      </c>
      <c r="N108" s="27">
        <f t="shared" si="7"/>
        <v>0</v>
      </c>
      <c r="O108" s="27" t="str">
        <f t="shared" si="8"/>
        <v/>
      </c>
      <c r="P108" s="9" t="str">
        <f>IFERROR(INDEX('Price List Library'!$P$6:$P$437,MATCH(TRIM($H108)&amp;"|"&amp;TRIM($J108),'Price List Library'!$S$6:$S$437,0)),"")</f>
        <v/>
      </c>
      <c r="Q108" s="53"/>
      <c r="R108" s="29" t="str">
        <f t="shared" si="9"/>
        <v>_NONE</v>
      </c>
      <c r="S108" s="29" t="str">
        <f t="shared" si="10"/>
        <v>_NONE</v>
      </c>
      <c r="T108" s="29" t="str">
        <f t="shared" si="11"/>
        <v>_NONE</v>
      </c>
    </row>
    <row r="109" spans="1:20" ht="15" customHeight="1" x14ac:dyDescent="0.25">
      <c r="A109" s="9" t="str">
        <f t="shared" si="6"/>
        <v/>
      </c>
      <c r="B109" s="52"/>
      <c r="C109" s="52"/>
      <c r="D109" s="53"/>
      <c r="E109" s="53"/>
      <c r="F109" s="53"/>
      <c r="G109" s="53"/>
      <c r="H109" s="53"/>
      <c r="I109" s="54" t="str">
        <f>IFERROR(INDEX('Description Library'!$C$6:$C$808,MATCH($E109&amp;"|"&amp;$F109&amp;"|"&amp;$G109&amp;"|"&amp;$H109,'Description Library'!$K$6:$K$808,0)),"")</f>
        <v/>
      </c>
      <c r="J109" s="9" t="str">
        <f>IFERROR(INDEX('Description Library'!$H$6:$H$808,MATCH($E109&amp;"|"&amp;$F109&amp;"|"&amp;$G109&amp;"|"&amp;$H109,'Description Library'!$K$6:$K$808,0)),"")</f>
        <v/>
      </c>
      <c r="K109" s="55"/>
      <c r="L109" s="56">
        <f>IFERROR(INDEX('Price List Library'!$K$6:$K$437,MATCH(TRIM($H109)&amp;"|"&amp;TRIM($J109),'Price List Library'!$S$6:$S$437,0)),0)</f>
        <v>0</v>
      </c>
      <c r="M109" s="56">
        <f>IFERROR(INDEX('Price List Library'!$N$6:$N$437,MATCH(TRIM($H109)&amp;"|"&amp;TRIM($J109),'Price List Library'!$S$6:$S$437,0)),0)</f>
        <v>0</v>
      </c>
      <c r="N109" s="27">
        <f t="shared" si="7"/>
        <v>0</v>
      </c>
      <c r="O109" s="27" t="str">
        <f t="shared" si="8"/>
        <v/>
      </c>
      <c r="P109" s="9" t="str">
        <f>IFERROR(INDEX('Price List Library'!$P$6:$P$437,MATCH(TRIM($H109)&amp;"|"&amp;TRIM($J109),'Price List Library'!$S$6:$S$437,0)),"")</f>
        <v/>
      </c>
      <c r="Q109" s="53"/>
      <c r="R109" s="29" t="str">
        <f t="shared" si="9"/>
        <v>_NONE</v>
      </c>
      <c r="S109" s="29" t="str">
        <f t="shared" si="10"/>
        <v>_NONE</v>
      </c>
      <c r="T109" s="29" t="str">
        <f t="shared" si="11"/>
        <v>_NONE</v>
      </c>
    </row>
    <row r="110" spans="1:20" ht="15" customHeight="1" x14ac:dyDescent="0.25">
      <c r="A110" s="9" t="str">
        <f t="shared" si="6"/>
        <v/>
      </c>
      <c r="B110" s="52"/>
      <c r="C110" s="52"/>
      <c r="D110" s="53"/>
      <c r="E110" s="53"/>
      <c r="F110" s="53"/>
      <c r="G110" s="53"/>
      <c r="H110" s="53"/>
      <c r="I110" s="54" t="str">
        <f>IFERROR(INDEX('Description Library'!$C$6:$C$808,MATCH($E110&amp;"|"&amp;$F110&amp;"|"&amp;$G110&amp;"|"&amp;$H110,'Description Library'!$K$6:$K$808,0)),"")</f>
        <v/>
      </c>
      <c r="J110" s="9" t="str">
        <f>IFERROR(INDEX('Description Library'!$H$6:$H$808,MATCH($E110&amp;"|"&amp;$F110&amp;"|"&amp;$G110&amp;"|"&amp;$H110,'Description Library'!$K$6:$K$808,0)),"")</f>
        <v/>
      </c>
      <c r="K110" s="55"/>
      <c r="L110" s="56">
        <f>IFERROR(INDEX('Price List Library'!$K$6:$K$437,MATCH(TRIM($H110)&amp;"|"&amp;TRIM($J110),'Price List Library'!$S$6:$S$437,0)),0)</f>
        <v>0</v>
      </c>
      <c r="M110" s="56">
        <f>IFERROR(INDEX('Price List Library'!$N$6:$N$437,MATCH(TRIM($H110)&amp;"|"&amp;TRIM($J110),'Price List Library'!$S$6:$S$437,0)),0)</f>
        <v>0</v>
      </c>
      <c r="N110" s="27">
        <f t="shared" si="7"/>
        <v>0</v>
      </c>
      <c r="O110" s="27" t="str">
        <f t="shared" si="8"/>
        <v/>
      </c>
      <c r="P110" s="9" t="str">
        <f>IFERROR(INDEX('Price List Library'!$P$6:$P$437,MATCH(TRIM($H110)&amp;"|"&amp;TRIM($J110),'Price List Library'!$S$6:$S$437,0)),"")</f>
        <v/>
      </c>
      <c r="Q110" s="53"/>
      <c r="R110" s="29" t="str">
        <f t="shared" si="9"/>
        <v>_NONE</v>
      </c>
      <c r="S110" s="29" t="str">
        <f t="shared" si="10"/>
        <v>_NONE</v>
      </c>
      <c r="T110" s="29" t="str">
        <f t="shared" si="11"/>
        <v>_NONE</v>
      </c>
    </row>
    <row r="111" spans="1:20" ht="15" customHeight="1" x14ac:dyDescent="0.25">
      <c r="A111" s="9" t="str">
        <f t="shared" si="6"/>
        <v/>
      </c>
      <c r="B111" s="52"/>
      <c r="C111" s="52"/>
      <c r="D111" s="53"/>
      <c r="E111" s="53"/>
      <c r="F111" s="53"/>
      <c r="G111" s="53"/>
      <c r="H111" s="53"/>
      <c r="I111" s="54" t="str">
        <f>IFERROR(INDEX('Description Library'!$C$6:$C$808,MATCH($E111&amp;"|"&amp;$F111&amp;"|"&amp;$G111&amp;"|"&amp;$H111,'Description Library'!$K$6:$K$808,0)),"")</f>
        <v/>
      </c>
      <c r="J111" s="9" t="str">
        <f>IFERROR(INDEX('Description Library'!$H$6:$H$808,MATCH($E111&amp;"|"&amp;$F111&amp;"|"&amp;$G111&amp;"|"&amp;$H111,'Description Library'!$K$6:$K$808,0)),"")</f>
        <v/>
      </c>
      <c r="K111" s="55"/>
      <c r="L111" s="56">
        <f>IFERROR(INDEX('Price List Library'!$K$6:$K$437,MATCH(TRIM($H111)&amp;"|"&amp;TRIM($J111),'Price List Library'!$S$6:$S$437,0)),0)</f>
        <v>0</v>
      </c>
      <c r="M111" s="56">
        <f>IFERROR(INDEX('Price List Library'!$N$6:$N$437,MATCH(TRIM($H111)&amp;"|"&amp;TRIM($J111),'Price List Library'!$S$6:$S$437,0)),0)</f>
        <v>0</v>
      </c>
      <c r="N111" s="27">
        <f t="shared" si="7"/>
        <v>0</v>
      </c>
      <c r="O111" s="27" t="str">
        <f t="shared" si="8"/>
        <v/>
      </c>
      <c r="P111" s="9" t="str">
        <f>IFERROR(INDEX('Price List Library'!$P$6:$P$437,MATCH(TRIM($H111)&amp;"|"&amp;TRIM($J111),'Price List Library'!$S$6:$S$437,0)),"")</f>
        <v/>
      </c>
      <c r="Q111" s="53"/>
      <c r="R111" s="29" t="str">
        <f t="shared" si="9"/>
        <v>_NONE</v>
      </c>
      <c r="S111" s="29" t="str">
        <f t="shared" si="10"/>
        <v>_NONE</v>
      </c>
      <c r="T111" s="29" t="str">
        <f t="shared" si="11"/>
        <v>_NONE</v>
      </c>
    </row>
    <row r="112" spans="1:20" ht="15" customHeight="1" x14ac:dyDescent="0.25">
      <c r="A112" s="9" t="str">
        <f t="shared" si="6"/>
        <v/>
      </c>
      <c r="B112" s="52"/>
      <c r="C112" s="52"/>
      <c r="D112" s="53"/>
      <c r="E112" s="53"/>
      <c r="F112" s="53"/>
      <c r="G112" s="53"/>
      <c r="H112" s="53"/>
      <c r="I112" s="54" t="str">
        <f>IFERROR(INDEX('Description Library'!$C$6:$C$808,MATCH($E112&amp;"|"&amp;$F112&amp;"|"&amp;$G112&amp;"|"&amp;$H112,'Description Library'!$K$6:$K$808,0)),"")</f>
        <v/>
      </c>
      <c r="J112" s="9" t="str">
        <f>IFERROR(INDEX('Description Library'!$H$6:$H$808,MATCH($E112&amp;"|"&amp;$F112&amp;"|"&amp;$G112&amp;"|"&amp;$H112,'Description Library'!$K$6:$K$808,0)),"")</f>
        <v/>
      </c>
      <c r="K112" s="55"/>
      <c r="L112" s="56">
        <f>IFERROR(INDEX('Price List Library'!$K$6:$K$437,MATCH(TRIM($H112)&amp;"|"&amp;TRIM($J112),'Price List Library'!$S$6:$S$437,0)),0)</f>
        <v>0</v>
      </c>
      <c r="M112" s="56">
        <f>IFERROR(INDEX('Price List Library'!$N$6:$N$437,MATCH(TRIM($H112)&amp;"|"&amp;TRIM($J112),'Price List Library'!$S$6:$S$437,0)),0)</f>
        <v>0</v>
      </c>
      <c r="N112" s="27">
        <f t="shared" si="7"/>
        <v>0</v>
      </c>
      <c r="O112" s="27" t="str">
        <f t="shared" si="8"/>
        <v/>
      </c>
      <c r="P112" s="9" t="str">
        <f>IFERROR(INDEX('Price List Library'!$P$6:$P$437,MATCH(TRIM($H112)&amp;"|"&amp;TRIM($J112),'Price List Library'!$S$6:$S$437,0)),"")</f>
        <v/>
      </c>
      <c r="Q112" s="53"/>
      <c r="R112" s="29" t="str">
        <f t="shared" si="9"/>
        <v>_NONE</v>
      </c>
      <c r="S112" s="29" t="str">
        <f t="shared" si="10"/>
        <v>_NONE</v>
      </c>
      <c r="T112" s="29" t="str">
        <f t="shared" si="11"/>
        <v>_NONE</v>
      </c>
    </row>
    <row r="113" spans="1:20" ht="15" customHeight="1" x14ac:dyDescent="0.25">
      <c r="A113" s="9" t="str">
        <f t="shared" si="6"/>
        <v/>
      </c>
      <c r="B113" s="52"/>
      <c r="C113" s="52"/>
      <c r="D113" s="53"/>
      <c r="E113" s="53"/>
      <c r="F113" s="53"/>
      <c r="G113" s="53"/>
      <c r="H113" s="53"/>
      <c r="I113" s="54" t="str">
        <f>IFERROR(INDEX('Description Library'!$C$6:$C$808,MATCH($E113&amp;"|"&amp;$F113&amp;"|"&amp;$G113&amp;"|"&amp;$H113,'Description Library'!$K$6:$K$808,0)),"")</f>
        <v/>
      </c>
      <c r="J113" s="9" t="str">
        <f>IFERROR(INDEX('Description Library'!$H$6:$H$808,MATCH($E113&amp;"|"&amp;$F113&amp;"|"&amp;$G113&amp;"|"&amp;$H113,'Description Library'!$K$6:$K$808,0)),"")</f>
        <v/>
      </c>
      <c r="K113" s="55"/>
      <c r="L113" s="56">
        <f>IFERROR(INDEX('Price List Library'!$K$6:$K$437,MATCH(TRIM($H113)&amp;"|"&amp;TRIM($J113),'Price List Library'!$S$6:$S$437,0)),0)</f>
        <v>0</v>
      </c>
      <c r="M113" s="56">
        <f>IFERROR(INDEX('Price List Library'!$N$6:$N$437,MATCH(TRIM($H113)&amp;"|"&amp;TRIM($J113),'Price List Library'!$S$6:$S$437,0)),0)</f>
        <v>0</v>
      </c>
      <c r="N113" s="27">
        <f t="shared" si="7"/>
        <v>0</v>
      </c>
      <c r="O113" s="27" t="str">
        <f t="shared" si="8"/>
        <v/>
      </c>
      <c r="P113" s="9" t="str">
        <f>IFERROR(INDEX('Price List Library'!$P$6:$P$437,MATCH(TRIM($H113)&amp;"|"&amp;TRIM($J113),'Price List Library'!$S$6:$S$437,0)),"")</f>
        <v/>
      </c>
      <c r="Q113" s="53"/>
      <c r="R113" s="29" t="str">
        <f t="shared" si="9"/>
        <v>_NONE</v>
      </c>
      <c r="S113" s="29" t="str">
        <f t="shared" si="10"/>
        <v>_NONE</v>
      </c>
      <c r="T113" s="29" t="str">
        <f t="shared" si="11"/>
        <v>_NONE</v>
      </c>
    </row>
    <row r="114" spans="1:20" ht="15" customHeight="1" x14ac:dyDescent="0.25">
      <c r="A114" s="9" t="str">
        <f t="shared" si="6"/>
        <v/>
      </c>
      <c r="B114" s="52"/>
      <c r="C114" s="52"/>
      <c r="D114" s="53"/>
      <c r="E114" s="53"/>
      <c r="F114" s="53"/>
      <c r="G114" s="53"/>
      <c r="H114" s="53"/>
      <c r="I114" s="54" t="str">
        <f>IFERROR(INDEX('Description Library'!$C$6:$C$808,MATCH($E114&amp;"|"&amp;$F114&amp;"|"&amp;$G114&amp;"|"&amp;$H114,'Description Library'!$K$6:$K$808,0)),"")</f>
        <v/>
      </c>
      <c r="J114" s="9" t="str">
        <f>IFERROR(INDEX('Description Library'!$H$6:$H$808,MATCH($E114&amp;"|"&amp;$F114&amp;"|"&amp;$G114&amp;"|"&amp;$H114,'Description Library'!$K$6:$K$808,0)),"")</f>
        <v/>
      </c>
      <c r="K114" s="55"/>
      <c r="L114" s="56">
        <f>IFERROR(INDEX('Price List Library'!$K$6:$K$437,MATCH(TRIM($H114)&amp;"|"&amp;TRIM($J114),'Price List Library'!$S$6:$S$437,0)),0)</f>
        <v>0</v>
      </c>
      <c r="M114" s="56">
        <f>IFERROR(INDEX('Price List Library'!$N$6:$N$437,MATCH(TRIM($H114)&amp;"|"&amp;TRIM($J114),'Price List Library'!$S$6:$S$437,0)),0)</f>
        <v>0</v>
      </c>
      <c r="N114" s="27">
        <f t="shared" si="7"/>
        <v>0</v>
      </c>
      <c r="O114" s="27" t="str">
        <f t="shared" si="8"/>
        <v/>
      </c>
      <c r="P114" s="9" t="str">
        <f>IFERROR(INDEX('Price List Library'!$P$6:$P$437,MATCH(TRIM($H114)&amp;"|"&amp;TRIM($J114),'Price List Library'!$S$6:$S$437,0)),"")</f>
        <v/>
      </c>
      <c r="Q114" s="53"/>
      <c r="R114" s="29" t="str">
        <f t="shared" si="9"/>
        <v>_NONE</v>
      </c>
      <c r="S114" s="29" t="str">
        <f t="shared" si="10"/>
        <v>_NONE</v>
      </c>
      <c r="T114" s="29" t="str">
        <f t="shared" si="11"/>
        <v>_NONE</v>
      </c>
    </row>
    <row r="115" spans="1:20" ht="15" customHeight="1" x14ac:dyDescent="0.25">
      <c r="A115" s="9" t="str">
        <f t="shared" si="6"/>
        <v/>
      </c>
      <c r="B115" s="52"/>
      <c r="C115" s="52"/>
      <c r="D115" s="53"/>
      <c r="E115" s="53"/>
      <c r="F115" s="53"/>
      <c r="G115" s="53"/>
      <c r="H115" s="53"/>
      <c r="I115" s="54" t="str">
        <f>IFERROR(INDEX('Description Library'!$C$6:$C$808,MATCH($E115&amp;"|"&amp;$F115&amp;"|"&amp;$G115&amp;"|"&amp;$H115,'Description Library'!$K$6:$K$808,0)),"")</f>
        <v/>
      </c>
      <c r="J115" s="9" t="str">
        <f>IFERROR(INDEX('Description Library'!$H$6:$H$808,MATCH($E115&amp;"|"&amp;$F115&amp;"|"&amp;$G115&amp;"|"&amp;$H115,'Description Library'!$K$6:$K$808,0)),"")</f>
        <v/>
      </c>
      <c r="K115" s="55"/>
      <c r="L115" s="56">
        <f>IFERROR(INDEX('Price List Library'!$K$6:$K$437,MATCH(TRIM($H115)&amp;"|"&amp;TRIM($J115),'Price List Library'!$S$6:$S$437,0)),0)</f>
        <v>0</v>
      </c>
      <c r="M115" s="56">
        <f>IFERROR(INDEX('Price List Library'!$N$6:$N$437,MATCH(TRIM($H115)&amp;"|"&amp;TRIM($J115),'Price List Library'!$S$6:$S$437,0)),0)</f>
        <v>0</v>
      </c>
      <c r="N115" s="27">
        <f t="shared" si="7"/>
        <v>0</v>
      </c>
      <c r="O115" s="27" t="str">
        <f t="shared" si="8"/>
        <v/>
      </c>
      <c r="P115" s="9" t="str">
        <f>IFERROR(INDEX('Price List Library'!$P$6:$P$437,MATCH(TRIM($H115)&amp;"|"&amp;TRIM($J115),'Price List Library'!$S$6:$S$437,0)),"")</f>
        <v/>
      </c>
      <c r="Q115" s="53"/>
      <c r="R115" s="29" t="str">
        <f t="shared" si="9"/>
        <v>_NONE</v>
      </c>
      <c r="S115" s="29" t="str">
        <f t="shared" si="10"/>
        <v>_NONE</v>
      </c>
      <c r="T115" s="29" t="str">
        <f t="shared" si="11"/>
        <v>_NONE</v>
      </c>
    </row>
    <row r="116" spans="1:20" ht="15" customHeight="1" x14ac:dyDescent="0.25">
      <c r="A116" s="9" t="str">
        <f t="shared" si="6"/>
        <v/>
      </c>
      <c r="B116" s="52"/>
      <c r="C116" s="52"/>
      <c r="D116" s="53"/>
      <c r="E116" s="53"/>
      <c r="F116" s="53"/>
      <c r="G116" s="53"/>
      <c r="H116" s="53"/>
      <c r="I116" s="54" t="str">
        <f>IFERROR(INDEX('Description Library'!$C$6:$C$808,MATCH($E116&amp;"|"&amp;$F116&amp;"|"&amp;$G116&amp;"|"&amp;$H116,'Description Library'!$K$6:$K$808,0)),"")</f>
        <v/>
      </c>
      <c r="J116" s="9" t="str">
        <f>IFERROR(INDEX('Description Library'!$H$6:$H$808,MATCH($E116&amp;"|"&amp;$F116&amp;"|"&amp;$G116&amp;"|"&amp;$H116,'Description Library'!$K$6:$K$808,0)),"")</f>
        <v/>
      </c>
      <c r="K116" s="55"/>
      <c r="L116" s="56">
        <f>IFERROR(INDEX('Price List Library'!$K$6:$K$437,MATCH(TRIM($H116)&amp;"|"&amp;TRIM($J116),'Price List Library'!$S$6:$S$437,0)),0)</f>
        <v>0</v>
      </c>
      <c r="M116" s="56">
        <f>IFERROR(INDEX('Price List Library'!$N$6:$N$437,MATCH(TRIM($H116)&amp;"|"&amp;TRIM($J116),'Price List Library'!$S$6:$S$437,0)),0)</f>
        <v>0</v>
      </c>
      <c r="N116" s="27">
        <f t="shared" si="7"/>
        <v>0</v>
      </c>
      <c r="O116" s="27" t="str">
        <f t="shared" si="8"/>
        <v/>
      </c>
      <c r="P116" s="9" t="str">
        <f>IFERROR(INDEX('Price List Library'!$P$6:$P$437,MATCH(TRIM($H116)&amp;"|"&amp;TRIM($J116),'Price List Library'!$S$6:$S$437,0)),"")</f>
        <v/>
      </c>
      <c r="Q116" s="53"/>
      <c r="R116" s="29" t="str">
        <f t="shared" si="9"/>
        <v>_NONE</v>
      </c>
      <c r="S116" s="29" t="str">
        <f t="shared" si="10"/>
        <v>_NONE</v>
      </c>
      <c r="T116" s="29" t="str">
        <f t="shared" si="11"/>
        <v>_NONE</v>
      </c>
    </row>
    <row r="117" spans="1:20" ht="15" customHeight="1" x14ac:dyDescent="0.25">
      <c r="A117" s="9" t="str">
        <f t="shared" si="6"/>
        <v/>
      </c>
      <c r="B117" s="52"/>
      <c r="C117" s="52"/>
      <c r="D117" s="53"/>
      <c r="E117" s="53"/>
      <c r="F117" s="53"/>
      <c r="G117" s="53"/>
      <c r="H117" s="53"/>
      <c r="I117" s="54" t="str">
        <f>IFERROR(INDEX('Description Library'!$C$6:$C$808,MATCH($E117&amp;"|"&amp;$F117&amp;"|"&amp;$G117&amp;"|"&amp;$H117,'Description Library'!$K$6:$K$808,0)),"")</f>
        <v/>
      </c>
      <c r="J117" s="9" t="str">
        <f>IFERROR(INDEX('Description Library'!$H$6:$H$808,MATCH($E117&amp;"|"&amp;$F117&amp;"|"&amp;$G117&amp;"|"&amp;$H117,'Description Library'!$K$6:$K$808,0)),"")</f>
        <v/>
      </c>
      <c r="K117" s="55"/>
      <c r="L117" s="56">
        <f>IFERROR(INDEX('Price List Library'!$K$6:$K$437,MATCH(TRIM($H117)&amp;"|"&amp;TRIM($J117),'Price List Library'!$S$6:$S$437,0)),0)</f>
        <v>0</v>
      </c>
      <c r="M117" s="56">
        <f>IFERROR(INDEX('Price List Library'!$N$6:$N$437,MATCH(TRIM($H117)&amp;"|"&amp;TRIM($J117),'Price List Library'!$S$6:$S$437,0)),0)</f>
        <v>0</v>
      </c>
      <c r="N117" s="27">
        <f t="shared" si="7"/>
        <v>0</v>
      </c>
      <c r="O117" s="27" t="str">
        <f t="shared" si="8"/>
        <v/>
      </c>
      <c r="P117" s="9" t="str">
        <f>IFERROR(INDEX('Price List Library'!$P$6:$P$437,MATCH(TRIM($H117)&amp;"|"&amp;TRIM($J117),'Price List Library'!$S$6:$S$437,0)),"")</f>
        <v/>
      </c>
      <c r="Q117" s="53"/>
      <c r="R117" s="29" t="str">
        <f t="shared" si="9"/>
        <v>_NONE</v>
      </c>
      <c r="S117" s="29" t="str">
        <f t="shared" si="10"/>
        <v>_NONE</v>
      </c>
      <c r="T117" s="29" t="str">
        <f t="shared" si="11"/>
        <v>_NONE</v>
      </c>
    </row>
    <row r="118" spans="1:20" ht="15" customHeight="1" x14ac:dyDescent="0.25">
      <c r="A118" s="9" t="str">
        <f t="shared" si="6"/>
        <v/>
      </c>
      <c r="B118" s="52"/>
      <c r="C118" s="52"/>
      <c r="D118" s="53"/>
      <c r="E118" s="53"/>
      <c r="F118" s="53"/>
      <c r="G118" s="53"/>
      <c r="H118" s="53"/>
      <c r="I118" s="54" t="str">
        <f>IFERROR(INDEX('Description Library'!$C$6:$C$808,MATCH($E118&amp;"|"&amp;$F118&amp;"|"&amp;$G118&amp;"|"&amp;$H118,'Description Library'!$K$6:$K$808,0)),"")</f>
        <v/>
      </c>
      <c r="J118" s="9" t="str">
        <f>IFERROR(INDEX('Description Library'!$H$6:$H$808,MATCH($E118&amp;"|"&amp;$F118&amp;"|"&amp;$G118&amp;"|"&amp;$H118,'Description Library'!$K$6:$K$808,0)),"")</f>
        <v/>
      </c>
      <c r="K118" s="55"/>
      <c r="L118" s="56">
        <f>IFERROR(INDEX('Price List Library'!$K$6:$K$437,MATCH(TRIM($H118)&amp;"|"&amp;TRIM($J118),'Price List Library'!$S$6:$S$437,0)),0)</f>
        <v>0</v>
      </c>
      <c r="M118" s="56">
        <f>IFERROR(INDEX('Price List Library'!$N$6:$N$437,MATCH(TRIM($H118)&amp;"|"&amp;TRIM($J118),'Price List Library'!$S$6:$S$437,0)),0)</f>
        <v>0</v>
      </c>
      <c r="N118" s="27">
        <f t="shared" si="7"/>
        <v>0</v>
      </c>
      <c r="O118" s="27" t="str">
        <f t="shared" si="8"/>
        <v/>
      </c>
      <c r="P118" s="9" t="str">
        <f>IFERROR(INDEX('Price List Library'!$P$6:$P$437,MATCH(TRIM($H118)&amp;"|"&amp;TRIM($J118),'Price List Library'!$S$6:$S$437,0)),"")</f>
        <v/>
      </c>
      <c r="Q118" s="53"/>
      <c r="R118" s="29" t="str">
        <f t="shared" si="9"/>
        <v>_NONE</v>
      </c>
      <c r="S118" s="29" t="str">
        <f t="shared" si="10"/>
        <v>_NONE</v>
      </c>
      <c r="T118" s="29" t="str">
        <f t="shared" si="11"/>
        <v>_NONE</v>
      </c>
    </row>
    <row r="119" spans="1:20" ht="15" customHeight="1" x14ac:dyDescent="0.25">
      <c r="A119" s="9" t="str">
        <f t="shared" si="6"/>
        <v/>
      </c>
      <c r="B119" s="52"/>
      <c r="C119" s="52"/>
      <c r="D119" s="53"/>
      <c r="E119" s="53"/>
      <c r="F119" s="53"/>
      <c r="G119" s="53"/>
      <c r="H119" s="53"/>
      <c r="I119" s="54" t="str">
        <f>IFERROR(INDEX('Description Library'!$C$6:$C$808,MATCH($E119&amp;"|"&amp;$F119&amp;"|"&amp;$G119&amp;"|"&amp;$H119,'Description Library'!$K$6:$K$808,0)),"")</f>
        <v/>
      </c>
      <c r="J119" s="9" t="str">
        <f>IFERROR(INDEX('Description Library'!$H$6:$H$808,MATCH($E119&amp;"|"&amp;$F119&amp;"|"&amp;$G119&amp;"|"&amp;$H119,'Description Library'!$K$6:$K$808,0)),"")</f>
        <v/>
      </c>
      <c r="K119" s="55"/>
      <c r="L119" s="56">
        <f>IFERROR(INDEX('Price List Library'!$K$6:$K$437,MATCH(TRIM($H119)&amp;"|"&amp;TRIM($J119),'Price List Library'!$S$6:$S$437,0)),0)</f>
        <v>0</v>
      </c>
      <c r="M119" s="56">
        <f>IFERROR(INDEX('Price List Library'!$N$6:$N$437,MATCH(TRIM($H119)&amp;"|"&amp;TRIM($J119),'Price List Library'!$S$6:$S$437,0)),0)</f>
        <v>0</v>
      </c>
      <c r="N119" s="27">
        <f t="shared" si="7"/>
        <v>0</v>
      </c>
      <c r="O119" s="27" t="str">
        <f t="shared" si="8"/>
        <v/>
      </c>
      <c r="P119" s="9" t="str">
        <f>IFERROR(INDEX('Price List Library'!$P$6:$P$437,MATCH(TRIM($H119)&amp;"|"&amp;TRIM($J119),'Price List Library'!$S$6:$S$437,0)),"")</f>
        <v/>
      </c>
      <c r="Q119" s="53"/>
      <c r="R119" s="29" t="str">
        <f t="shared" si="9"/>
        <v>_NONE</v>
      </c>
      <c r="S119" s="29" t="str">
        <f t="shared" si="10"/>
        <v>_NONE</v>
      </c>
      <c r="T119" s="29" t="str">
        <f t="shared" si="11"/>
        <v>_NONE</v>
      </c>
    </row>
    <row r="120" spans="1:20" ht="15" customHeight="1" x14ac:dyDescent="0.25">
      <c r="A120" s="9" t="str">
        <f t="shared" si="6"/>
        <v/>
      </c>
      <c r="B120" s="52"/>
      <c r="C120" s="52"/>
      <c r="D120" s="53"/>
      <c r="E120" s="53"/>
      <c r="F120" s="53"/>
      <c r="G120" s="53"/>
      <c r="H120" s="53"/>
      <c r="I120" s="54" t="str">
        <f>IFERROR(INDEX('Description Library'!$C$6:$C$808,MATCH($E120&amp;"|"&amp;$F120&amp;"|"&amp;$G120&amp;"|"&amp;$H120,'Description Library'!$K$6:$K$808,0)),"")</f>
        <v/>
      </c>
      <c r="J120" s="9" t="str">
        <f>IFERROR(INDEX('Description Library'!$H$6:$H$808,MATCH($E120&amp;"|"&amp;$F120&amp;"|"&amp;$G120&amp;"|"&amp;$H120,'Description Library'!$K$6:$K$808,0)),"")</f>
        <v/>
      </c>
      <c r="K120" s="55"/>
      <c r="L120" s="56">
        <f>IFERROR(INDEX('Price List Library'!$K$6:$K$437,MATCH(TRIM($H120)&amp;"|"&amp;TRIM($J120),'Price List Library'!$S$6:$S$437,0)),0)</f>
        <v>0</v>
      </c>
      <c r="M120" s="56">
        <f>IFERROR(INDEX('Price List Library'!$N$6:$N$437,MATCH(TRIM($H120)&amp;"|"&amp;TRIM($J120),'Price List Library'!$S$6:$S$437,0)),0)</f>
        <v>0</v>
      </c>
      <c r="N120" s="27">
        <f t="shared" si="7"/>
        <v>0</v>
      </c>
      <c r="O120" s="27" t="str">
        <f t="shared" si="8"/>
        <v/>
      </c>
      <c r="P120" s="9" t="str">
        <f>IFERROR(INDEX('Price List Library'!$P$6:$P$437,MATCH(TRIM($H120)&amp;"|"&amp;TRIM($J120),'Price List Library'!$S$6:$S$437,0)),"")</f>
        <v/>
      </c>
      <c r="Q120" s="53"/>
      <c r="R120" s="29" t="str">
        <f t="shared" si="9"/>
        <v>_NONE</v>
      </c>
      <c r="S120" s="29" t="str">
        <f t="shared" si="10"/>
        <v>_NONE</v>
      </c>
      <c r="T120" s="29" t="str">
        <f t="shared" si="11"/>
        <v>_NONE</v>
      </c>
    </row>
    <row r="121" spans="1:20" ht="15" customHeight="1" x14ac:dyDescent="0.25">
      <c r="A121" s="9" t="str">
        <f t="shared" si="6"/>
        <v/>
      </c>
      <c r="B121" s="52"/>
      <c r="C121" s="52"/>
      <c r="D121" s="53"/>
      <c r="E121" s="53"/>
      <c r="F121" s="53"/>
      <c r="G121" s="53"/>
      <c r="H121" s="53"/>
      <c r="I121" s="54" t="str">
        <f>IFERROR(INDEX('Description Library'!$C$6:$C$808,MATCH($E121&amp;"|"&amp;$F121&amp;"|"&amp;$G121&amp;"|"&amp;$H121,'Description Library'!$K$6:$K$808,0)),"")</f>
        <v/>
      </c>
      <c r="J121" s="9" t="str">
        <f>IFERROR(INDEX('Description Library'!$H$6:$H$808,MATCH($E121&amp;"|"&amp;$F121&amp;"|"&amp;$G121&amp;"|"&amp;$H121,'Description Library'!$K$6:$K$808,0)),"")</f>
        <v/>
      </c>
      <c r="K121" s="55"/>
      <c r="L121" s="56">
        <f>IFERROR(INDEX('Price List Library'!$K$6:$K$437,MATCH(TRIM($H121)&amp;"|"&amp;TRIM($J121),'Price List Library'!$S$6:$S$437,0)),0)</f>
        <v>0</v>
      </c>
      <c r="M121" s="56">
        <f>IFERROR(INDEX('Price List Library'!$N$6:$N$437,MATCH(TRIM($H121)&amp;"|"&amp;TRIM($J121),'Price List Library'!$S$6:$S$437,0)),0)</f>
        <v>0</v>
      </c>
      <c r="N121" s="27">
        <f t="shared" si="7"/>
        <v>0</v>
      </c>
      <c r="O121" s="27" t="str">
        <f t="shared" si="8"/>
        <v/>
      </c>
      <c r="P121" s="9" t="str">
        <f>IFERROR(INDEX('Price List Library'!$P$6:$P$437,MATCH(TRIM($H121)&amp;"|"&amp;TRIM($J121),'Price List Library'!$S$6:$S$437,0)),"")</f>
        <v/>
      </c>
      <c r="Q121" s="53"/>
      <c r="R121" s="29" t="str">
        <f t="shared" si="9"/>
        <v>_NONE</v>
      </c>
      <c r="S121" s="29" t="str">
        <f t="shared" si="10"/>
        <v>_NONE</v>
      </c>
      <c r="T121" s="29" t="str">
        <f t="shared" si="11"/>
        <v>_NONE</v>
      </c>
    </row>
    <row r="122" spans="1:20" ht="15" customHeight="1" x14ac:dyDescent="0.25">
      <c r="A122" s="9" t="str">
        <f t="shared" si="6"/>
        <v/>
      </c>
      <c r="B122" s="52"/>
      <c r="C122" s="52"/>
      <c r="D122" s="53"/>
      <c r="E122" s="53"/>
      <c r="F122" s="53"/>
      <c r="G122" s="53"/>
      <c r="H122" s="53"/>
      <c r="I122" s="54" t="str">
        <f>IFERROR(INDEX('Description Library'!$C$6:$C$808,MATCH($E122&amp;"|"&amp;$F122&amp;"|"&amp;$G122&amp;"|"&amp;$H122,'Description Library'!$K$6:$K$808,0)),"")</f>
        <v/>
      </c>
      <c r="J122" s="9" t="str">
        <f>IFERROR(INDEX('Description Library'!$H$6:$H$808,MATCH($E122&amp;"|"&amp;$F122&amp;"|"&amp;$G122&amp;"|"&amp;$H122,'Description Library'!$K$6:$K$808,0)),"")</f>
        <v/>
      </c>
      <c r="K122" s="55"/>
      <c r="L122" s="56">
        <f>IFERROR(INDEX('Price List Library'!$K$6:$K$437,MATCH(TRIM($H122)&amp;"|"&amp;TRIM($J122),'Price List Library'!$S$6:$S$437,0)),0)</f>
        <v>0</v>
      </c>
      <c r="M122" s="56">
        <f>IFERROR(INDEX('Price List Library'!$N$6:$N$437,MATCH(TRIM($H122)&amp;"|"&amp;TRIM($J122),'Price List Library'!$S$6:$S$437,0)),0)</f>
        <v>0</v>
      </c>
      <c r="N122" s="27">
        <f t="shared" si="7"/>
        <v>0</v>
      </c>
      <c r="O122" s="27" t="str">
        <f t="shared" si="8"/>
        <v/>
      </c>
      <c r="P122" s="9" t="str">
        <f>IFERROR(INDEX('Price List Library'!$P$6:$P$437,MATCH(TRIM($H122)&amp;"|"&amp;TRIM($J122),'Price List Library'!$S$6:$S$437,0)),"")</f>
        <v/>
      </c>
      <c r="Q122" s="53"/>
      <c r="R122" s="29" t="str">
        <f t="shared" si="9"/>
        <v>_NONE</v>
      </c>
      <c r="S122" s="29" t="str">
        <f t="shared" si="10"/>
        <v>_NONE</v>
      </c>
      <c r="T122" s="29" t="str">
        <f t="shared" si="11"/>
        <v>_NONE</v>
      </c>
    </row>
    <row r="123" spans="1:20" ht="15" customHeight="1" x14ac:dyDescent="0.25">
      <c r="A123" s="9" t="str">
        <f t="shared" si="6"/>
        <v/>
      </c>
      <c r="B123" s="52"/>
      <c r="C123" s="52"/>
      <c r="D123" s="53"/>
      <c r="E123" s="53"/>
      <c r="F123" s="53"/>
      <c r="G123" s="53"/>
      <c r="H123" s="53"/>
      <c r="I123" s="54" t="str">
        <f>IFERROR(INDEX('Description Library'!$C$6:$C$808,MATCH($E123&amp;"|"&amp;$F123&amp;"|"&amp;$G123&amp;"|"&amp;$H123,'Description Library'!$K$6:$K$808,0)),"")</f>
        <v/>
      </c>
      <c r="J123" s="9" t="str">
        <f>IFERROR(INDEX('Description Library'!$H$6:$H$808,MATCH($E123&amp;"|"&amp;$F123&amp;"|"&amp;$G123&amp;"|"&amp;$H123,'Description Library'!$K$6:$K$808,0)),"")</f>
        <v/>
      </c>
      <c r="K123" s="55"/>
      <c r="L123" s="56">
        <f>IFERROR(INDEX('Price List Library'!$K$6:$K$437,MATCH(TRIM($H123)&amp;"|"&amp;TRIM($J123),'Price List Library'!$S$6:$S$437,0)),0)</f>
        <v>0</v>
      </c>
      <c r="M123" s="56">
        <f>IFERROR(INDEX('Price List Library'!$N$6:$N$437,MATCH(TRIM($H123)&amp;"|"&amp;TRIM($J123),'Price List Library'!$S$6:$S$437,0)),0)</f>
        <v>0</v>
      </c>
      <c r="N123" s="27">
        <f t="shared" si="7"/>
        <v>0</v>
      </c>
      <c r="O123" s="27" t="str">
        <f t="shared" si="8"/>
        <v/>
      </c>
      <c r="P123" s="9" t="str">
        <f>IFERROR(INDEX('Price List Library'!$P$6:$P$437,MATCH(TRIM($H123)&amp;"|"&amp;TRIM($J123),'Price List Library'!$S$6:$S$437,0)),"")</f>
        <v/>
      </c>
      <c r="Q123" s="53"/>
      <c r="R123" s="29" t="str">
        <f t="shared" si="9"/>
        <v>_NONE</v>
      </c>
      <c r="S123" s="29" t="str">
        <f t="shared" si="10"/>
        <v>_NONE</v>
      </c>
      <c r="T123" s="29" t="str">
        <f t="shared" si="11"/>
        <v>_NONE</v>
      </c>
    </row>
    <row r="124" spans="1:20" ht="15" customHeight="1" x14ac:dyDescent="0.25">
      <c r="A124" s="9" t="str">
        <f t="shared" si="6"/>
        <v/>
      </c>
      <c r="B124" s="52"/>
      <c r="C124" s="52"/>
      <c r="D124" s="53"/>
      <c r="E124" s="53"/>
      <c r="F124" s="53"/>
      <c r="G124" s="53"/>
      <c r="H124" s="53"/>
      <c r="I124" s="54" t="str">
        <f>IFERROR(INDEX('Description Library'!$C$6:$C$808,MATCH($E124&amp;"|"&amp;$F124&amp;"|"&amp;$G124&amp;"|"&amp;$H124,'Description Library'!$K$6:$K$808,0)),"")</f>
        <v/>
      </c>
      <c r="J124" s="9" t="str">
        <f>IFERROR(INDEX('Description Library'!$H$6:$H$808,MATCH($E124&amp;"|"&amp;$F124&amp;"|"&amp;$G124&amp;"|"&amp;$H124,'Description Library'!$K$6:$K$808,0)),"")</f>
        <v/>
      </c>
      <c r="K124" s="55"/>
      <c r="L124" s="56">
        <f>IFERROR(INDEX('Price List Library'!$K$6:$K$437,MATCH(TRIM($H124)&amp;"|"&amp;TRIM($J124),'Price List Library'!$S$6:$S$437,0)),0)</f>
        <v>0</v>
      </c>
      <c r="M124" s="56">
        <f>IFERROR(INDEX('Price List Library'!$N$6:$N$437,MATCH(TRIM($H124)&amp;"|"&amp;TRIM($J124),'Price List Library'!$S$6:$S$437,0)),0)</f>
        <v>0</v>
      </c>
      <c r="N124" s="27">
        <f t="shared" si="7"/>
        <v>0</v>
      </c>
      <c r="O124" s="27" t="str">
        <f t="shared" si="8"/>
        <v/>
      </c>
      <c r="P124" s="9" t="str">
        <f>IFERROR(INDEX('Price List Library'!$P$6:$P$437,MATCH(TRIM($H124)&amp;"|"&amp;TRIM($J124),'Price List Library'!$S$6:$S$437,0)),"")</f>
        <v/>
      </c>
      <c r="Q124" s="53"/>
      <c r="R124" s="29" t="str">
        <f t="shared" si="9"/>
        <v>_NONE</v>
      </c>
      <c r="S124" s="29" t="str">
        <f t="shared" si="10"/>
        <v>_NONE</v>
      </c>
      <c r="T124" s="29" t="str">
        <f t="shared" si="11"/>
        <v>_NONE</v>
      </c>
    </row>
    <row r="125" spans="1:20" ht="15" customHeight="1" x14ac:dyDescent="0.25">
      <c r="A125" s="9" t="str">
        <f t="shared" si="6"/>
        <v/>
      </c>
      <c r="B125" s="52"/>
      <c r="C125" s="52"/>
      <c r="D125" s="53"/>
      <c r="E125" s="53"/>
      <c r="F125" s="53"/>
      <c r="G125" s="53"/>
      <c r="H125" s="53"/>
      <c r="I125" s="54" t="str">
        <f>IFERROR(INDEX('Description Library'!$C$6:$C$808,MATCH($E125&amp;"|"&amp;$F125&amp;"|"&amp;$G125&amp;"|"&amp;$H125,'Description Library'!$K$6:$K$808,0)),"")</f>
        <v/>
      </c>
      <c r="J125" s="9" t="str">
        <f>IFERROR(INDEX('Description Library'!$H$6:$H$808,MATCH($E125&amp;"|"&amp;$F125&amp;"|"&amp;$G125&amp;"|"&amp;$H125,'Description Library'!$K$6:$K$808,0)),"")</f>
        <v/>
      </c>
      <c r="K125" s="55"/>
      <c r="L125" s="56">
        <f>IFERROR(INDEX('Price List Library'!$K$6:$K$437,MATCH(TRIM($H125)&amp;"|"&amp;TRIM($J125),'Price List Library'!$S$6:$S$437,0)),0)</f>
        <v>0</v>
      </c>
      <c r="M125" s="56">
        <f>IFERROR(INDEX('Price List Library'!$N$6:$N$437,MATCH(TRIM($H125)&amp;"|"&amp;TRIM($J125),'Price List Library'!$S$6:$S$437,0)),0)</f>
        <v>0</v>
      </c>
      <c r="N125" s="27">
        <f t="shared" si="7"/>
        <v>0</v>
      </c>
      <c r="O125" s="27" t="str">
        <f t="shared" si="8"/>
        <v/>
      </c>
      <c r="P125" s="9" t="str">
        <f>IFERROR(INDEX('Price List Library'!$P$6:$P$437,MATCH(TRIM($H125)&amp;"|"&amp;TRIM($J125),'Price List Library'!$S$6:$S$437,0)),"")</f>
        <v/>
      </c>
      <c r="Q125" s="53"/>
      <c r="R125" s="29" t="str">
        <f t="shared" si="9"/>
        <v>_NONE</v>
      </c>
      <c r="S125" s="29" t="str">
        <f t="shared" si="10"/>
        <v>_NONE</v>
      </c>
      <c r="T125" s="29" t="str">
        <f t="shared" si="11"/>
        <v>_NONE</v>
      </c>
    </row>
    <row r="126" spans="1:20" ht="15" customHeight="1" x14ac:dyDescent="0.25">
      <c r="A126" s="9" t="str">
        <f t="shared" si="6"/>
        <v/>
      </c>
      <c r="B126" s="52"/>
      <c r="C126" s="52"/>
      <c r="D126" s="53"/>
      <c r="E126" s="53"/>
      <c r="F126" s="53"/>
      <c r="G126" s="53"/>
      <c r="H126" s="53"/>
      <c r="I126" s="54" t="str">
        <f>IFERROR(INDEX('Description Library'!$C$6:$C$808,MATCH($E126&amp;"|"&amp;$F126&amp;"|"&amp;$G126&amp;"|"&amp;$H126,'Description Library'!$K$6:$K$808,0)),"")</f>
        <v/>
      </c>
      <c r="J126" s="9" t="str">
        <f>IFERROR(INDEX('Description Library'!$H$6:$H$808,MATCH($E126&amp;"|"&amp;$F126&amp;"|"&amp;$G126&amp;"|"&amp;$H126,'Description Library'!$K$6:$K$808,0)),"")</f>
        <v/>
      </c>
      <c r="K126" s="55"/>
      <c r="L126" s="56">
        <f>IFERROR(INDEX('Price List Library'!$K$6:$K$437,MATCH(TRIM($H126)&amp;"|"&amp;TRIM($J126),'Price List Library'!$S$6:$S$437,0)),0)</f>
        <v>0</v>
      </c>
      <c r="M126" s="56">
        <f>IFERROR(INDEX('Price List Library'!$N$6:$N$437,MATCH(TRIM($H126)&amp;"|"&amp;TRIM($J126),'Price List Library'!$S$6:$S$437,0)),0)</f>
        <v>0</v>
      </c>
      <c r="N126" s="27">
        <f t="shared" si="7"/>
        <v>0</v>
      </c>
      <c r="O126" s="27" t="str">
        <f t="shared" si="8"/>
        <v/>
      </c>
      <c r="P126" s="9" t="str">
        <f>IFERROR(INDEX('Price List Library'!$P$6:$P$437,MATCH(TRIM($H126)&amp;"|"&amp;TRIM($J126),'Price List Library'!$S$6:$S$437,0)),"")</f>
        <v/>
      </c>
      <c r="Q126" s="53"/>
      <c r="R126" s="29" t="str">
        <f t="shared" si="9"/>
        <v>_NONE</v>
      </c>
      <c r="S126" s="29" t="str">
        <f t="shared" si="10"/>
        <v>_NONE</v>
      </c>
      <c r="T126" s="29" t="str">
        <f t="shared" si="11"/>
        <v>_NONE</v>
      </c>
    </row>
    <row r="127" spans="1:20" ht="15" customHeight="1" x14ac:dyDescent="0.25">
      <c r="A127" s="9" t="str">
        <f t="shared" si="6"/>
        <v/>
      </c>
      <c r="B127" s="52"/>
      <c r="C127" s="52"/>
      <c r="D127" s="53"/>
      <c r="E127" s="53"/>
      <c r="F127" s="53"/>
      <c r="G127" s="53"/>
      <c r="H127" s="53"/>
      <c r="I127" s="54" t="str">
        <f>IFERROR(INDEX('Description Library'!$C$6:$C$808,MATCH($E127&amp;"|"&amp;$F127&amp;"|"&amp;$G127&amp;"|"&amp;$H127,'Description Library'!$K$6:$K$808,0)),"")</f>
        <v/>
      </c>
      <c r="J127" s="9" t="str">
        <f>IFERROR(INDEX('Description Library'!$H$6:$H$808,MATCH($E127&amp;"|"&amp;$F127&amp;"|"&amp;$G127&amp;"|"&amp;$H127,'Description Library'!$K$6:$K$808,0)),"")</f>
        <v/>
      </c>
      <c r="K127" s="55"/>
      <c r="L127" s="56">
        <f>IFERROR(INDEX('Price List Library'!$K$6:$K$437,MATCH(TRIM($H127)&amp;"|"&amp;TRIM($J127),'Price List Library'!$S$6:$S$437,0)),0)</f>
        <v>0</v>
      </c>
      <c r="M127" s="56">
        <f>IFERROR(INDEX('Price List Library'!$N$6:$N$437,MATCH(TRIM($H127)&amp;"|"&amp;TRIM($J127),'Price List Library'!$S$6:$S$437,0)),0)</f>
        <v>0</v>
      </c>
      <c r="N127" s="27">
        <f t="shared" si="7"/>
        <v>0</v>
      </c>
      <c r="O127" s="27" t="str">
        <f t="shared" si="8"/>
        <v/>
      </c>
      <c r="P127" s="9" t="str">
        <f>IFERROR(INDEX('Price List Library'!$P$6:$P$437,MATCH(TRIM($H127)&amp;"|"&amp;TRIM($J127),'Price List Library'!$S$6:$S$437,0)),"")</f>
        <v/>
      </c>
      <c r="Q127" s="53"/>
      <c r="R127" s="29" t="str">
        <f t="shared" si="9"/>
        <v>_NONE</v>
      </c>
      <c r="S127" s="29" t="str">
        <f t="shared" si="10"/>
        <v>_NONE</v>
      </c>
      <c r="T127" s="29" t="str">
        <f t="shared" si="11"/>
        <v>_NONE</v>
      </c>
    </row>
    <row r="128" spans="1:20" ht="15" customHeight="1" x14ac:dyDescent="0.25">
      <c r="A128" s="9" t="str">
        <f t="shared" si="6"/>
        <v/>
      </c>
      <c r="B128" s="52"/>
      <c r="C128" s="52"/>
      <c r="D128" s="53"/>
      <c r="E128" s="53"/>
      <c r="F128" s="53"/>
      <c r="G128" s="53"/>
      <c r="H128" s="53"/>
      <c r="I128" s="54" t="str">
        <f>IFERROR(INDEX('Description Library'!$C$6:$C$808,MATCH($E128&amp;"|"&amp;$F128&amp;"|"&amp;$G128&amp;"|"&amp;$H128,'Description Library'!$K$6:$K$808,0)),"")</f>
        <v/>
      </c>
      <c r="J128" s="9" t="str">
        <f>IFERROR(INDEX('Description Library'!$H$6:$H$808,MATCH($E128&amp;"|"&amp;$F128&amp;"|"&amp;$G128&amp;"|"&amp;$H128,'Description Library'!$K$6:$K$808,0)),"")</f>
        <v/>
      </c>
      <c r="K128" s="55"/>
      <c r="L128" s="56">
        <f>IFERROR(INDEX('Price List Library'!$K$6:$K$437,MATCH(TRIM($H128)&amp;"|"&amp;TRIM($J128),'Price List Library'!$S$6:$S$437,0)),0)</f>
        <v>0</v>
      </c>
      <c r="M128" s="56">
        <f>IFERROR(INDEX('Price List Library'!$N$6:$N$437,MATCH(TRIM($H128)&amp;"|"&amp;TRIM($J128),'Price List Library'!$S$6:$S$437,0)),0)</f>
        <v>0</v>
      </c>
      <c r="N128" s="27">
        <f t="shared" si="7"/>
        <v>0</v>
      </c>
      <c r="O128" s="27" t="str">
        <f t="shared" si="8"/>
        <v/>
      </c>
      <c r="P128" s="9" t="str">
        <f>IFERROR(INDEX('Price List Library'!$P$6:$P$437,MATCH(TRIM($H128)&amp;"|"&amp;TRIM($J128),'Price List Library'!$S$6:$S$437,0)),"")</f>
        <v/>
      </c>
      <c r="Q128" s="53"/>
      <c r="R128" s="29" t="str">
        <f t="shared" si="9"/>
        <v>_NONE</v>
      </c>
      <c r="S128" s="29" t="str">
        <f t="shared" si="10"/>
        <v>_NONE</v>
      </c>
      <c r="T128" s="29" t="str">
        <f t="shared" si="11"/>
        <v>_NONE</v>
      </c>
    </row>
    <row r="129" spans="1:20" ht="15" customHeight="1" x14ac:dyDescent="0.25">
      <c r="A129" s="9" t="str">
        <f t="shared" si="6"/>
        <v/>
      </c>
      <c r="B129" s="52"/>
      <c r="C129" s="52"/>
      <c r="D129" s="53"/>
      <c r="E129" s="53"/>
      <c r="F129" s="53"/>
      <c r="G129" s="53"/>
      <c r="H129" s="53"/>
      <c r="I129" s="54" t="str">
        <f>IFERROR(INDEX('Description Library'!$C$6:$C$808,MATCH($E129&amp;"|"&amp;$F129&amp;"|"&amp;$G129&amp;"|"&amp;$H129,'Description Library'!$K$6:$K$808,0)),"")</f>
        <v/>
      </c>
      <c r="J129" s="9" t="str">
        <f>IFERROR(INDEX('Description Library'!$H$6:$H$808,MATCH($E129&amp;"|"&amp;$F129&amp;"|"&amp;$G129&amp;"|"&amp;$H129,'Description Library'!$K$6:$K$808,0)),"")</f>
        <v/>
      </c>
      <c r="K129" s="55"/>
      <c r="L129" s="56">
        <f>IFERROR(INDEX('Price List Library'!$K$6:$K$437,MATCH(TRIM($H129)&amp;"|"&amp;TRIM($J129),'Price List Library'!$S$6:$S$437,0)),0)</f>
        <v>0</v>
      </c>
      <c r="M129" s="56">
        <f>IFERROR(INDEX('Price List Library'!$N$6:$N$437,MATCH(TRIM($H129)&amp;"|"&amp;TRIM($J129),'Price List Library'!$S$6:$S$437,0)),0)</f>
        <v>0</v>
      </c>
      <c r="N129" s="27">
        <f t="shared" si="7"/>
        <v>0</v>
      </c>
      <c r="O129" s="27" t="str">
        <f t="shared" si="8"/>
        <v/>
      </c>
      <c r="P129" s="9" t="str">
        <f>IFERROR(INDEX('Price List Library'!$P$6:$P$437,MATCH(TRIM($H129)&amp;"|"&amp;TRIM($J129),'Price List Library'!$S$6:$S$437,0)),"")</f>
        <v/>
      </c>
      <c r="Q129" s="53"/>
      <c r="R129" s="29" t="str">
        <f t="shared" si="9"/>
        <v>_NONE</v>
      </c>
      <c r="S129" s="29" t="str">
        <f t="shared" si="10"/>
        <v>_NONE</v>
      </c>
      <c r="T129" s="29" t="str">
        <f t="shared" si="11"/>
        <v>_NONE</v>
      </c>
    </row>
    <row r="130" spans="1:20" ht="15" customHeight="1" x14ac:dyDescent="0.25">
      <c r="A130" s="9" t="str">
        <f t="shared" si="6"/>
        <v/>
      </c>
      <c r="B130" s="52"/>
      <c r="C130" s="52"/>
      <c r="D130" s="53"/>
      <c r="E130" s="53"/>
      <c r="F130" s="53"/>
      <c r="G130" s="53"/>
      <c r="H130" s="53"/>
      <c r="I130" s="54" t="str">
        <f>IFERROR(INDEX('Description Library'!$C$6:$C$808,MATCH($E130&amp;"|"&amp;$F130&amp;"|"&amp;$G130&amp;"|"&amp;$H130,'Description Library'!$K$6:$K$808,0)),"")</f>
        <v/>
      </c>
      <c r="J130" s="9" t="str">
        <f>IFERROR(INDEX('Description Library'!$H$6:$H$808,MATCH($E130&amp;"|"&amp;$F130&amp;"|"&amp;$G130&amp;"|"&amp;$H130,'Description Library'!$K$6:$K$808,0)),"")</f>
        <v/>
      </c>
      <c r="K130" s="55"/>
      <c r="L130" s="56">
        <f>IFERROR(INDEX('Price List Library'!$K$6:$K$437,MATCH(TRIM($H130)&amp;"|"&amp;TRIM($J130),'Price List Library'!$S$6:$S$437,0)),0)</f>
        <v>0</v>
      </c>
      <c r="M130" s="56">
        <f>IFERROR(INDEX('Price List Library'!$N$6:$N$437,MATCH(TRIM($H130)&amp;"|"&amp;TRIM($J130),'Price List Library'!$S$6:$S$437,0)),0)</f>
        <v>0</v>
      </c>
      <c r="N130" s="27">
        <f t="shared" si="7"/>
        <v>0</v>
      </c>
      <c r="O130" s="27" t="str">
        <f t="shared" si="8"/>
        <v/>
      </c>
      <c r="P130" s="9" t="str">
        <f>IFERROR(INDEX('Price List Library'!$P$6:$P$437,MATCH(TRIM($H130)&amp;"|"&amp;TRIM($J130),'Price List Library'!$S$6:$S$437,0)),"")</f>
        <v/>
      </c>
      <c r="Q130" s="53"/>
      <c r="R130" s="29" t="str">
        <f t="shared" si="9"/>
        <v>_NONE</v>
      </c>
      <c r="S130" s="29" t="str">
        <f t="shared" si="10"/>
        <v>_NONE</v>
      </c>
      <c r="T130" s="29" t="str">
        <f t="shared" si="11"/>
        <v>_NONE</v>
      </c>
    </row>
    <row r="131" spans="1:20" ht="15" customHeight="1" x14ac:dyDescent="0.25">
      <c r="A131" s="9" t="str">
        <f t="shared" si="6"/>
        <v/>
      </c>
      <c r="B131" s="52"/>
      <c r="C131" s="52"/>
      <c r="D131" s="53"/>
      <c r="E131" s="53"/>
      <c r="F131" s="53"/>
      <c r="G131" s="53"/>
      <c r="H131" s="53"/>
      <c r="I131" s="54" t="str">
        <f>IFERROR(INDEX('Description Library'!$C$6:$C$808,MATCH($E131&amp;"|"&amp;$F131&amp;"|"&amp;$G131&amp;"|"&amp;$H131,'Description Library'!$K$6:$K$808,0)),"")</f>
        <v/>
      </c>
      <c r="J131" s="9" t="str">
        <f>IFERROR(INDEX('Description Library'!$H$6:$H$808,MATCH($E131&amp;"|"&amp;$F131&amp;"|"&amp;$G131&amp;"|"&amp;$H131,'Description Library'!$K$6:$K$808,0)),"")</f>
        <v/>
      </c>
      <c r="K131" s="55"/>
      <c r="L131" s="56">
        <f>IFERROR(INDEX('Price List Library'!$K$6:$K$437,MATCH(TRIM($H131)&amp;"|"&amp;TRIM($J131),'Price List Library'!$S$6:$S$437,0)),0)</f>
        <v>0</v>
      </c>
      <c r="M131" s="56">
        <f>IFERROR(INDEX('Price List Library'!$N$6:$N$437,MATCH(TRIM($H131)&amp;"|"&amp;TRIM($J131),'Price List Library'!$S$6:$S$437,0)),0)</f>
        <v>0</v>
      </c>
      <c r="N131" s="27">
        <f t="shared" si="7"/>
        <v>0</v>
      </c>
      <c r="O131" s="27" t="str">
        <f t="shared" si="8"/>
        <v/>
      </c>
      <c r="P131" s="9" t="str">
        <f>IFERROR(INDEX('Price List Library'!$P$6:$P$437,MATCH(TRIM($H131)&amp;"|"&amp;TRIM($J131),'Price List Library'!$S$6:$S$437,0)),"")</f>
        <v/>
      </c>
      <c r="Q131" s="53"/>
      <c r="R131" s="29" t="str">
        <f t="shared" si="9"/>
        <v>_NONE</v>
      </c>
      <c r="S131" s="29" t="str">
        <f t="shared" si="10"/>
        <v>_NONE</v>
      </c>
      <c r="T131" s="29" t="str">
        <f t="shared" si="11"/>
        <v>_NONE</v>
      </c>
    </row>
    <row r="132" spans="1:20" ht="15" customHeight="1" x14ac:dyDescent="0.25">
      <c r="A132" s="9" t="str">
        <f t="shared" si="6"/>
        <v/>
      </c>
      <c r="B132" s="52"/>
      <c r="C132" s="52"/>
      <c r="D132" s="53"/>
      <c r="E132" s="53"/>
      <c r="F132" s="53"/>
      <c r="G132" s="53"/>
      <c r="H132" s="53"/>
      <c r="I132" s="54" t="str">
        <f>IFERROR(INDEX('Description Library'!$C$6:$C$808,MATCH($E132&amp;"|"&amp;$F132&amp;"|"&amp;$G132&amp;"|"&amp;$H132,'Description Library'!$K$6:$K$808,0)),"")</f>
        <v/>
      </c>
      <c r="J132" s="9" t="str">
        <f>IFERROR(INDEX('Description Library'!$H$6:$H$808,MATCH($E132&amp;"|"&amp;$F132&amp;"|"&amp;$G132&amp;"|"&amp;$H132,'Description Library'!$K$6:$K$808,0)),"")</f>
        <v/>
      </c>
      <c r="K132" s="55"/>
      <c r="L132" s="56">
        <f>IFERROR(INDEX('Price List Library'!$K$6:$K$437,MATCH(TRIM($H132)&amp;"|"&amp;TRIM($J132),'Price List Library'!$S$6:$S$437,0)),0)</f>
        <v>0</v>
      </c>
      <c r="M132" s="56">
        <f>IFERROR(INDEX('Price List Library'!$N$6:$N$437,MATCH(TRIM($H132)&amp;"|"&amp;TRIM($J132),'Price List Library'!$S$6:$S$437,0)),0)</f>
        <v>0</v>
      </c>
      <c r="N132" s="27">
        <f t="shared" si="7"/>
        <v>0</v>
      </c>
      <c r="O132" s="27" t="str">
        <f t="shared" si="8"/>
        <v/>
      </c>
      <c r="P132" s="9" t="str">
        <f>IFERROR(INDEX('Price List Library'!$P$6:$P$437,MATCH(TRIM($H132)&amp;"|"&amp;TRIM($J132),'Price List Library'!$S$6:$S$437,0)),"")</f>
        <v/>
      </c>
      <c r="Q132" s="53"/>
      <c r="R132" s="29" t="str">
        <f t="shared" si="9"/>
        <v>_NONE</v>
      </c>
      <c r="S132" s="29" t="str">
        <f t="shared" si="10"/>
        <v>_NONE</v>
      </c>
      <c r="T132" s="29" t="str">
        <f t="shared" si="11"/>
        <v>_NONE</v>
      </c>
    </row>
    <row r="133" spans="1:20" ht="15" customHeight="1" x14ac:dyDescent="0.25">
      <c r="A133" s="9" t="str">
        <f t="shared" si="6"/>
        <v/>
      </c>
      <c r="B133" s="52"/>
      <c r="C133" s="52"/>
      <c r="D133" s="53"/>
      <c r="E133" s="53"/>
      <c r="F133" s="53"/>
      <c r="G133" s="53"/>
      <c r="H133" s="53"/>
      <c r="I133" s="54" t="str">
        <f>IFERROR(INDEX('Description Library'!$C$6:$C$808,MATCH($E133&amp;"|"&amp;$F133&amp;"|"&amp;$G133&amp;"|"&amp;$H133,'Description Library'!$K$6:$K$808,0)),"")</f>
        <v/>
      </c>
      <c r="J133" s="9" t="str">
        <f>IFERROR(INDEX('Description Library'!$H$6:$H$808,MATCH($E133&amp;"|"&amp;$F133&amp;"|"&amp;$G133&amp;"|"&amp;$H133,'Description Library'!$K$6:$K$808,0)),"")</f>
        <v/>
      </c>
      <c r="K133" s="55"/>
      <c r="L133" s="56">
        <f>IFERROR(INDEX('Price List Library'!$K$6:$K$437,MATCH(TRIM($H133)&amp;"|"&amp;TRIM($J133),'Price List Library'!$S$6:$S$437,0)),0)</f>
        <v>0</v>
      </c>
      <c r="M133" s="56">
        <f>IFERROR(INDEX('Price List Library'!$N$6:$N$437,MATCH(TRIM($H133)&amp;"|"&amp;TRIM($J133),'Price List Library'!$S$6:$S$437,0)),0)</f>
        <v>0</v>
      </c>
      <c r="N133" s="27">
        <f t="shared" si="7"/>
        <v>0</v>
      </c>
      <c r="O133" s="27" t="str">
        <f t="shared" si="8"/>
        <v/>
      </c>
      <c r="P133" s="9" t="str">
        <f>IFERROR(INDEX('Price List Library'!$P$6:$P$437,MATCH(TRIM($H133)&amp;"|"&amp;TRIM($J133),'Price List Library'!$S$6:$S$437,0)),"")</f>
        <v/>
      </c>
      <c r="Q133" s="53"/>
      <c r="R133" s="29" t="str">
        <f t="shared" si="9"/>
        <v>_NONE</v>
      </c>
      <c r="S133" s="29" t="str">
        <f t="shared" si="10"/>
        <v>_NONE</v>
      </c>
      <c r="T133" s="29" t="str">
        <f t="shared" si="11"/>
        <v>_NONE</v>
      </c>
    </row>
    <row r="134" spans="1:20" ht="15" customHeight="1" x14ac:dyDescent="0.25">
      <c r="A134" s="9" t="str">
        <f t="shared" ref="A134:A197" si="12">IF($E134="","",ROW()-5)</f>
        <v/>
      </c>
      <c r="B134" s="52"/>
      <c r="C134" s="52"/>
      <c r="D134" s="53"/>
      <c r="E134" s="53"/>
      <c r="F134" s="53"/>
      <c r="G134" s="53"/>
      <c r="H134" s="53"/>
      <c r="I134" s="54" t="str">
        <f>IFERROR(INDEX('Description Library'!$C$6:$C$808,MATCH($E134&amp;"|"&amp;$F134&amp;"|"&amp;$G134&amp;"|"&amp;$H134,'Description Library'!$K$6:$K$808,0)),"")</f>
        <v/>
      </c>
      <c r="J134" s="9" t="str">
        <f>IFERROR(INDEX('Description Library'!$H$6:$H$808,MATCH($E134&amp;"|"&amp;$F134&amp;"|"&amp;$G134&amp;"|"&amp;$H134,'Description Library'!$K$6:$K$808,0)),"")</f>
        <v/>
      </c>
      <c r="K134" s="55"/>
      <c r="L134" s="56">
        <f>IFERROR(INDEX('Price List Library'!$K$6:$K$437,MATCH(TRIM($H134)&amp;"|"&amp;TRIM($J134),'Price List Library'!$S$6:$S$437,0)),0)</f>
        <v>0</v>
      </c>
      <c r="M134" s="56">
        <f>IFERROR(INDEX('Price List Library'!$N$6:$N$437,MATCH(TRIM($H134)&amp;"|"&amp;TRIM($J134),'Price List Library'!$S$6:$S$437,0)),0)</f>
        <v>0</v>
      </c>
      <c r="N134" s="27">
        <f t="shared" ref="N134:N197" si="13">L134+M134</f>
        <v>0</v>
      </c>
      <c r="O134" s="27" t="str">
        <f t="shared" ref="O134:O197" si="14">IF($K134="","",$K134*$N134)</f>
        <v/>
      </c>
      <c r="P134" s="9" t="str">
        <f>IFERROR(INDEX('Price List Library'!$P$6:$P$437,MATCH(TRIM($H134)&amp;"|"&amp;TRIM($J134),'Price List Library'!$S$6:$S$437,0)),"")</f>
        <v/>
      </c>
      <c r="Q134" s="53"/>
      <c r="R134" s="29" t="str">
        <f t="shared" ref="R134:R197" si="15">IFERROR(VLOOKUP($E134,_MAPSEC,2,0),"_NONE")</f>
        <v>_NONE</v>
      </c>
      <c r="S134" s="29" t="str">
        <f t="shared" ref="S134:S197" si="16">IFERROR(VLOOKUP($E134&amp;"|"&amp;$F134,_MAPSUB,2,0),"_NONE")</f>
        <v>_NONE</v>
      </c>
      <c r="T134" s="29" t="str">
        <f t="shared" ref="T134:T197" si="17">IFERROR(VLOOKUP($E134&amp;"|"&amp;$F134&amp;"|"&amp;$G134,_MAPSE,2,0),"_NONE")</f>
        <v>_NONE</v>
      </c>
    </row>
    <row r="135" spans="1:20" ht="15" customHeight="1" x14ac:dyDescent="0.25">
      <c r="A135" s="9" t="str">
        <f t="shared" si="12"/>
        <v/>
      </c>
      <c r="B135" s="52"/>
      <c r="C135" s="52"/>
      <c r="D135" s="53"/>
      <c r="E135" s="53"/>
      <c r="F135" s="53"/>
      <c r="G135" s="53"/>
      <c r="H135" s="53"/>
      <c r="I135" s="54" t="str">
        <f>IFERROR(INDEX('Description Library'!$C$6:$C$808,MATCH($E135&amp;"|"&amp;$F135&amp;"|"&amp;$G135&amp;"|"&amp;$H135,'Description Library'!$K$6:$K$808,0)),"")</f>
        <v/>
      </c>
      <c r="J135" s="9" t="str">
        <f>IFERROR(INDEX('Description Library'!$H$6:$H$808,MATCH($E135&amp;"|"&amp;$F135&amp;"|"&amp;$G135&amp;"|"&amp;$H135,'Description Library'!$K$6:$K$808,0)),"")</f>
        <v/>
      </c>
      <c r="K135" s="55"/>
      <c r="L135" s="56">
        <f>IFERROR(INDEX('Price List Library'!$K$6:$K$437,MATCH(TRIM($H135)&amp;"|"&amp;TRIM($J135),'Price List Library'!$S$6:$S$437,0)),0)</f>
        <v>0</v>
      </c>
      <c r="M135" s="56">
        <f>IFERROR(INDEX('Price List Library'!$N$6:$N$437,MATCH(TRIM($H135)&amp;"|"&amp;TRIM($J135),'Price List Library'!$S$6:$S$437,0)),0)</f>
        <v>0</v>
      </c>
      <c r="N135" s="27">
        <f t="shared" si="13"/>
        <v>0</v>
      </c>
      <c r="O135" s="27" t="str">
        <f t="shared" si="14"/>
        <v/>
      </c>
      <c r="P135" s="9" t="str">
        <f>IFERROR(INDEX('Price List Library'!$P$6:$P$437,MATCH(TRIM($H135)&amp;"|"&amp;TRIM($J135),'Price List Library'!$S$6:$S$437,0)),"")</f>
        <v/>
      </c>
      <c r="Q135" s="53"/>
      <c r="R135" s="29" t="str">
        <f t="shared" si="15"/>
        <v>_NONE</v>
      </c>
      <c r="S135" s="29" t="str">
        <f t="shared" si="16"/>
        <v>_NONE</v>
      </c>
      <c r="T135" s="29" t="str">
        <f t="shared" si="17"/>
        <v>_NONE</v>
      </c>
    </row>
    <row r="136" spans="1:20" ht="15" customHeight="1" x14ac:dyDescent="0.25">
      <c r="A136" s="9" t="str">
        <f t="shared" si="12"/>
        <v/>
      </c>
      <c r="B136" s="52"/>
      <c r="C136" s="52"/>
      <c r="D136" s="53"/>
      <c r="E136" s="53"/>
      <c r="F136" s="53"/>
      <c r="G136" s="53"/>
      <c r="H136" s="53"/>
      <c r="I136" s="54" t="str">
        <f>IFERROR(INDEX('Description Library'!$C$6:$C$808,MATCH($E136&amp;"|"&amp;$F136&amp;"|"&amp;$G136&amp;"|"&amp;$H136,'Description Library'!$K$6:$K$808,0)),"")</f>
        <v/>
      </c>
      <c r="J136" s="9" t="str">
        <f>IFERROR(INDEX('Description Library'!$H$6:$H$808,MATCH($E136&amp;"|"&amp;$F136&amp;"|"&amp;$G136&amp;"|"&amp;$H136,'Description Library'!$K$6:$K$808,0)),"")</f>
        <v/>
      </c>
      <c r="K136" s="55"/>
      <c r="L136" s="56">
        <f>IFERROR(INDEX('Price List Library'!$K$6:$K$437,MATCH(TRIM($H136)&amp;"|"&amp;TRIM($J136),'Price List Library'!$S$6:$S$437,0)),0)</f>
        <v>0</v>
      </c>
      <c r="M136" s="56">
        <f>IFERROR(INDEX('Price List Library'!$N$6:$N$437,MATCH(TRIM($H136)&amp;"|"&amp;TRIM($J136),'Price List Library'!$S$6:$S$437,0)),0)</f>
        <v>0</v>
      </c>
      <c r="N136" s="27">
        <f t="shared" si="13"/>
        <v>0</v>
      </c>
      <c r="O136" s="27" t="str">
        <f t="shared" si="14"/>
        <v/>
      </c>
      <c r="P136" s="9" t="str">
        <f>IFERROR(INDEX('Price List Library'!$P$6:$P$437,MATCH(TRIM($H136)&amp;"|"&amp;TRIM($J136),'Price List Library'!$S$6:$S$437,0)),"")</f>
        <v/>
      </c>
      <c r="Q136" s="53"/>
      <c r="R136" s="29" t="str">
        <f t="shared" si="15"/>
        <v>_NONE</v>
      </c>
      <c r="S136" s="29" t="str">
        <f t="shared" si="16"/>
        <v>_NONE</v>
      </c>
      <c r="T136" s="29" t="str">
        <f t="shared" si="17"/>
        <v>_NONE</v>
      </c>
    </row>
    <row r="137" spans="1:20" ht="15" customHeight="1" x14ac:dyDescent="0.25">
      <c r="A137" s="9" t="str">
        <f t="shared" si="12"/>
        <v/>
      </c>
      <c r="B137" s="52"/>
      <c r="C137" s="52"/>
      <c r="D137" s="53"/>
      <c r="E137" s="53"/>
      <c r="F137" s="53"/>
      <c r="G137" s="53"/>
      <c r="H137" s="53"/>
      <c r="I137" s="54" t="str">
        <f>IFERROR(INDEX('Description Library'!$C$6:$C$808,MATCH($E137&amp;"|"&amp;$F137&amp;"|"&amp;$G137&amp;"|"&amp;$H137,'Description Library'!$K$6:$K$808,0)),"")</f>
        <v/>
      </c>
      <c r="J137" s="9" t="str">
        <f>IFERROR(INDEX('Description Library'!$H$6:$H$808,MATCH($E137&amp;"|"&amp;$F137&amp;"|"&amp;$G137&amp;"|"&amp;$H137,'Description Library'!$K$6:$K$808,0)),"")</f>
        <v/>
      </c>
      <c r="K137" s="55"/>
      <c r="L137" s="56">
        <f>IFERROR(INDEX('Price List Library'!$K$6:$K$437,MATCH(TRIM($H137)&amp;"|"&amp;TRIM($J137),'Price List Library'!$S$6:$S$437,0)),0)</f>
        <v>0</v>
      </c>
      <c r="M137" s="56">
        <f>IFERROR(INDEX('Price List Library'!$N$6:$N$437,MATCH(TRIM($H137)&amp;"|"&amp;TRIM($J137),'Price List Library'!$S$6:$S$437,0)),0)</f>
        <v>0</v>
      </c>
      <c r="N137" s="27">
        <f t="shared" si="13"/>
        <v>0</v>
      </c>
      <c r="O137" s="27" t="str">
        <f t="shared" si="14"/>
        <v/>
      </c>
      <c r="P137" s="9" t="str">
        <f>IFERROR(INDEX('Price List Library'!$P$6:$P$437,MATCH(TRIM($H137)&amp;"|"&amp;TRIM($J137),'Price List Library'!$S$6:$S$437,0)),"")</f>
        <v/>
      </c>
      <c r="Q137" s="53"/>
      <c r="R137" s="29" t="str">
        <f t="shared" si="15"/>
        <v>_NONE</v>
      </c>
      <c r="S137" s="29" t="str">
        <f t="shared" si="16"/>
        <v>_NONE</v>
      </c>
      <c r="T137" s="29" t="str">
        <f t="shared" si="17"/>
        <v>_NONE</v>
      </c>
    </row>
    <row r="138" spans="1:20" ht="15" customHeight="1" x14ac:dyDescent="0.25">
      <c r="A138" s="9" t="str">
        <f t="shared" si="12"/>
        <v/>
      </c>
      <c r="B138" s="52"/>
      <c r="C138" s="52"/>
      <c r="D138" s="53"/>
      <c r="E138" s="53"/>
      <c r="F138" s="53"/>
      <c r="G138" s="53"/>
      <c r="H138" s="53"/>
      <c r="I138" s="54" t="str">
        <f>IFERROR(INDEX('Description Library'!$C$6:$C$808,MATCH($E138&amp;"|"&amp;$F138&amp;"|"&amp;$G138&amp;"|"&amp;$H138,'Description Library'!$K$6:$K$808,0)),"")</f>
        <v/>
      </c>
      <c r="J138" s="9" t="str">
        <f>IFERROR(INDEX('Description Library'!$H$6:$H$808,MATCH($E138&amp;"|"&amp;$F138&amp;"|"&amp;$G138&amp;"|"&amp;$H138,'Description Library'!$K$6:$K$808,0)),"")</f>
        <v/>
      </c>
      <c r="K138" s="55"/>
      <c r="L138" s="56">
        <f>IFERROR(INDEX('Price List Library'!$K$6:$K$437,MATCH(TRIM($H138)&amp;"|"&amp;TRIM($J138),'Price List Library'!$S$6:$S$437,0)),0)</f>
        <v>0</v>
      </c>
      <c r="M138" s="56">
        <f>IFERROR(INDEX('Price List Library'!$N$6:$N$437,MATCH(TRIM($H138)&amp;"|"&amp;TRIM($J138),'Price List Library'!$S$6:$S$437,0)),0)</f>
        <v>0</v>
      </c>
      <c r="N138" s="27">
        <f t="shared" si="13"/>
        <v>0</v>
      </c>
      <c r="O138" s="27" t="str">
        <f t="shared" si="14"/>
        <v/>
      </c>
      <c r="P138" s="9" t="str">
        <f>IFERROR(INDEX('Price List Library'!$P$6:$P$437,MATCH(TRIM($H138)&amp;"|"&amp;TRIM($J138),'Price List Library'!$S$6:$S$437,0)),"")</f>
        <v/>
      </c>
      <c r="Q138" s="53"/>
      <c r="R138" s="29" t="str">
        <f t="shared" si="15"/>
        <v>_NONE</v>
      </c>
      <c r="S138" s="29" t="str">
        <f t="shared" si="16"/>
        <v>_NONE</v>
      </c>
      <c r="T138" s="29" t="str">
        <f t="shared" si="17"/>
        <v>_NONE</v>
      </c>
    </row>
    <row r="139" spans="1:20" ht="15" customHeight="1" x14ac:dyDescent="0.25">
      <c r="A139" s="9" t="str">
        <f t="shared" si="12"/>
        <v/>
      </c>
      <c r="B139" s="52"/>
      <c r="C139" s="52"/>
      <c r="D139" s="53"/>
      <c r="E139" s="53"/>
      <c r="F139" s="53"/>
      <c r="G139" s="53"/>
      <c r="H139" s="53"/>
      <c r="I139" s="54" t="str">
        <f>IFERROR(INDEX('Description Library'!$C$6:$C$808,MATCH($E139&amp;"|"&amp;$F139&amp;"|"&amp;$G139&amp;"|"&amp;$H139,'Description Library'!$K$6:$K$808,0)),"")</f>
        <v/>
      </c>
      <c r="J139" s="9" t="str">
        <f>IFERROR(INDEX('Description Library'!$H$6:$H$808,MATCH($E139&amp;"|"&amp;$F139&amp;"|"&amp;$G139&amp;"|"&amp;$H139,'Description Library'!$K$6:$K$808,0)),"")</f>
        <v/>
      </c>
      <c r="K139" s="55"/>
      <c r="L139" s="56">
        <f>IFERROR(INDEX('Price List Library'!$K$6:$K$437,MATCH(TRIM($H139)&amp;"|"&amp;TRIM($J139),'Price List Library'!$S$6:$S$437,0)),0)</f>
        <v>0</v>
      </c>
      <c r="M139" s="56">
        <f>IFERROR(INDEX('Price List Library'!$N$6:$N$437,MATCH(TRIM($H139)&amp;"|"&amp;TRIM($J139),'Price List Library'!$S$6:$S$437,0)),0)</f>
        <v>0</v>
      </c>
      <c r="N139" s="27">
        <f t="shared" si="13"/>
        <v>0</v>
      </c>
      <c r="O139" s="27" t="str">
        <f t="shared" si="14"/>
        <v/>
      </c>
      <c r="P139" s="9" t="str">
        <f>IFERROR(INDEX('Price List Library'!$P$6:$P$437,MATCH(TRIM($H139)&amp;"|"&amp;TRIM($J139),'Price List Library'!$S$6:$S$437,0)),"")</f>
        <v/>
      </c>
      <c r="Q139" s="53"/>
      <c r="R139" s="29" t="str">
        <f t="shared" si="15"/>
        <v>_NONE</v>
      </c>
      <c r="S139" s="29" t="str">
        <f t="shared" si="16"/>
        <v>_NONE</v>
      </c>
      <c r="T139" s="29" t="str">
        <f t="shared" si="17"/>
        <v>_NONE</v>
      </c>
    </row>
    <row r="140" spans="1:20" ht="15" customHeight="1" x14ac:dyDescent="0.25">
      <c r="A140" s="9" t="str">
        <f t="shared" si="12"/>
        <v/>
      </c>
      <c r="B140" s="52"/>
      <c r="C140" s="52"/>
      <c r="D140" s="53"/>
      <c r="E140" s="53"/>
      <c r="F140" s="53"/>
      <c r="G140" s="53"/>
      <c r="H140" s="53"/>
      <c r="I140" s="54" t="str">
        <f>IFERROR(INDEX('Description Library'!$C$6:$C$808,MATCH($E140&amp;"|"&amp;$F140&amp;"|"&amp;$G140&amp;"|"&amp;$H140,'Description Library'!$K$6:$K$808,0)),"")</f>
        <v/>
      </c>
      <c r="J140" s="9" t="str">
        <f>IFERROR(INDEX('Description Library'!$H$6:$H$808,MATCH($E140&amp;"|"&amp;$F140&amp;"|"&amp;$G140&amp;"|"&amp;$H140,'Description Library'!$K$6:$K$808,0)),"")</f>
        <v/>
      </c>
      <c r="K140" s="55"/>
      <c r="L140" s="56">
        <f>IFERROR(INDEX('Price List Library'!$K$6:$K$437,MATCH(TRIM($H140)&amp;"|"&amp;TRIM($J140),'Price List Library'!$S$6:$S$437,0)),0)</f>
        <v>0</v>
      </c>
      <c r="M140" s="56">
        <f>IFERROR(INDEX('Price List Library'!$N$6:$N$437,MATCH(TRIM($H140)&amp;"|"&amp;TRIM($J140),'Price List Library'!$S$6:$S$437,0)),0)</f>
        <v>0</v>
      </c>
      <c r="N140" s="27">
        <f t="shared" si="13"/>
        <v>0</v>
      </c>
      <c r="O140" s="27" t="str">
        <f t="shared" si="14"/>
        <v/>
      </c>
      <c r="P140" s="9" t="str">
        <f>IFERROR(INDEX('Price List Library'!$P$6:$P$437,MATCH(TRIM($H140)&amp;"|"&amp;TRIM($J140),'Price List Library'!$S$6:$S$437,0)),"")</f>
        <v/>
      </c>
      <c r="Q140" s="53"/>
      <c r="R140" s="29" t="str">
        <f t="shared" si="15"/>
        <v>_NONE</v>
      </c>
      <c r="S140" s="29" t="str">
        <f t="shared" si="16"/>
        <v>_NONE</v>
      </c>
      <c r="T140" s="29" t="str">
        <f t="shared" si="17"/>
        <v>_NONE</v>
      </c>
    </row>
    <row r="141" spans="1:20" ht="15" customHeight="1" x14ac:dyDescent="0.25">
      <c r="A141" s="9" t="str">
        <f t="shared" si="12"/>
        <v/>
      </c>
      <c r="B141" s="52"/>
      <c r="C141" s="52"/>
      <c r="D141" s="53"/>
      <c r="E141" s="53"/>
      <c r="F141" s="53"/>
      <c r="G141" s="53"/>
      <c r="H141" s="53"/>
      <c r="I141" s="54" t="str">
        <f>IFERROR(INDEX('Description Library'!$C$6:$C$808,MATCH($E141&amp;"|"&amp;$F141&amp;"|"&amp;$G141&amp;"|"&amp;$H141,'Description Library'!$K$6:$K$808,0)),"")</f>
        <v/>
      </c>
      <c r="J141" s="9" t="str">
        <f>IFERROR(INDEX('Description Library'!$H$6:$H$808,MATCH($E141&amp;"|"&amp;$F141&amp;"|"&amp;$G141&amp;"|"&amp;$H141,'Description Library'!$K$6:$K$808,0)),"")</f>
        <v/>
      </c>
      <c r="K141" s="55"/>
      <c r="L141" s="56">
        <f>IFERROR(INDEX('Price List Library'!$K$6:$K$437,MATCH(TRIM($H141)&amp;"|"&amp;TRIM($J141),'Price List Library'!$S$6:$S$437,0)),0)</f>
        <v>0</v>
      </c>
      <c r="M141" s="56">
        <f>IFERROR(INDEX('Price List Library'!$N$6:$N$437,MATCH(TRIM($H141)&amp;"|"&amp;TRIM($J141),'Price List Library'!$S$6:$S$437,0)),0)</f>
        <v>0</v>
      </c>
      <c r="N141" s="27">
        <f t="shared" si="13"/>
        <v>0</v>
      </c>
      <c r="O141" s="27" t="str">
        <f t="shared" si="14"/>
        <v/>
      </c>
      <c r="P141" s="9" t="str">
        <f>IFERROR(INDEX('Price List Library'!$P$6:$P$437,MATCH(TRIM($H141)&amp;"|"&amp;TRIM($J141),'Price List Library'!$S$6:$S$437,0)),"")</f>
        <v/>
      </c>
      <c r="Q141" s="53"/>
      <c r="R141" s="29" t="str">
        <f t="shared" si="15"/>
        <v>_NONE</v>
      </c>
      <c r="S141" s="29" t="str">
        <f t="shared" si="16"/>
        <v>_NONE</v>
      </c>
      <c r="T141" s="29" t="str">
        <f t="shared" si="17"/>
        <v>_NONE</v>
      </c>
    </row>
    <row r="142" spans="1:20" ht="15" customHeight="1" x14ac:dyDescent="0.25">
      <c r="A142" s="9" t="str">
        <f t="shared" si="12"/>
        <v/>
      </c>
      <c r="B142" s="52"/>
      <c r="C142" s="52"/>
      <c r="D142" s="53"/>
      <c r="E142" s="53"/>
      <c r="F142" s="53"/>
      <c r="G142" s="53"/>
      <c r="H142" s="53"/>
      <c r="I142" s="54" t="str">
        <f>IFERROR(INDEX('Description Library'!$C$6:$C$808,MATCH($E142&amp;"|"&amp;$F142&amp;"|"&amp;$G142&amp;"|"&amp;$H142,'Description Library'!$K$6:$K$808,0)),"")</f>
        <v/>
      </c>
      <c r="J142" s="9" t="str">
        <f>IFERROR(INDEX('Description Library'!$H$6:$H$808,MATCH($E142&amp;"|"&amp;$F142&amp;"|"&amp;$G142&amp;"|"&amp;$H142,'Description Library'!$K$6:$K$808,0)),"")</f>
        <v/>
      </c>
      <c r="K142" s="55"/>
      <c r="L142" s="56">
        <f>IFERROR(INDEX('Price List Library'!$K$6:$K$437,MATCH(TRIM($H142)&amp;"|"&amp;TRIM($J142),'Price List Library'!$S$6:$S$437,0)),0)</f>
        <v>0</v>
      </c>
      <c r="M142" s="56">
        <f>IFERROR(INDEX('Price List Library'!$N$6:$N$437,MATCH(TRIM($H142)&amp;"|"&amp;TRIM($J142),'Price List Library'!$S$6:$S$437,0)),0)</f>
        <v>0</v>
      </c>
      <c r="N142" s="27">
        <f t="shared" si="13"/>
        <v>0</v>
      </c>
      <c r="O142" s="27" t="str">
        <f t="shared" si="14"/>
        <v/>
      </c>
      <c r="P142" s="9" t="str">
        <f>IFERROR(INDEX('Price List Library'!$P$6:$P$437,MATCH(TRIM($H142)&amp;"|"&amp;TRIM($J142),'Price List Library'!$S$6:$S$437,0)),"")</f>
        <v/>
      </c>
      <c r="Q142" s="53"/>
      <c r="R142" s="29" t="str">
        <f t="shared" si="15"/>
        <v>_NONE</v>
      </c>
      <c r="S142" s="29" t="str">
        <f t="shared" si="16"/>
        <v>_NONE</v>
      </c>
      <c r="T142" s="29" t="str">
        <f t="shared" si="17"/>
        <v>_NONE</v>
      </c>
    </row>
    <row r="143" spans="1:20" ht="15" customHeight="1" x14ac:dyDescent="0.25">
      <c r="A143" s="9" t="str">
        <f t="shared" si="12"/>
        <v/>
      </c>
      <c r="B143" s="52"/>
      <c r="C143" s="52"/>
      <c r="D143" s="53"/>
      <c r="E143" s="53"/>
      <c r="F143" s="53"/>
      <c r="G143" s="53"/>
      <c r="H143" s="53"/>
      <c r="I143" s="54" t="str">
        <f>IFERROR(INDEX('Description Library'!$C$6:$C$808,MATCH($E143&amp;"|"&amp;$F143&amp;"|"&amp;$G143&amp;"|"&amp;$H143,'Description Library'!$K$6:$K$808,0)),"")</f>
        <v/>
      </c>
      <c r="J143" s="9" t="str">
        <f>IFERROR(INDEX('Description Library'!$H$6:$H$808,MATCH($E143&amp;"|"&amp;$F143&amp;"|"&amp;$G143&amp;"|"&amp;$H143,'Description Library'!$K$6:$K$808,0)),"")</f>
        <v/>
      </c>
      <c r="K143" s="55"/>
      <c r="L143" s="56">
        <f>IFERROR(INDEX('Price List Library'!$K$6:$K$437,MATCH(TRIM($H143)&amp;"|"&amp;TRIM($J143),'Price List Library'!$S$6:$S$437,0)),0)</f>
        <v>0</v>
      </c>
      <c r="M143" s="56">
        <f>IFERROR(INDEX('Price List Library'!$N$6:$N$437,MATCH(TRIM($H143)&amp;"|"&amp;TRIM($J143),'Price List Library'!$S$6:$S$437,0)),0)</f>
        <v>0</v>
      </c>
      <c r="N143" s="27">
        <f t="shared" si="13"/>
        <v>0</v>
      </c>
      <c r="O143" s="27" t="str">
        <f t="shared" si="14"/>
        <v/>
      </c>
      <c r="P143" s="9" t="str">
        <f>IFERROR(INDEX('Price List Library'!$P$6:$P$437,MATCH(TRIM($H143)&amp;"|"&amp;TRIM($J143),'Price List Library'!$S$6:$S$437,0)),"")</f>
        <v/>
      </c>
      <c r="Q143" s="53"/>
      <c r="R143" s="29" t="str">
        <f t="shared" si="15"/>
        <v>_NONE</v>
      </c>
      <c r="S143" s="29" t="str">
        <f t="shared" si="16"/>
        <v>_NONE</v>
      </c>
      <c r="T143" s="29" t="str">
        <f t="shared" si="17"/>
        <v>_NONE</v>
      </c>
    </row>
    <row r="144" spans="1:20" ht="15" customHeight="1" x14ac:dyDescent="0.25">
      <c r="A144" s="9" t="str">
        <f t="shared" si="12"/>
        <v/>
      </c>
      <c r="B144" s="52"/>
      <c r="C144" s="52"/>
      <c r="D144" s="53"/>
      <c r="E144" s="53"/>
      <c r="F144" s="53"/>
      <c r="G144" s="53"/>
      <c r="H144" s="53"/>
      <c r="I144" s="54" t="str">
        <f>IFERROR(INDEX('Description Library'!$C$6:$C$808,MATCH($E144&amp;"|"&amp;$F144&amp;"|"&amp;$G144&amp;"|"&amp;$H144,'Description Library'!$K$6:$K$808,0)),"")</f>
        <v/>
      </c>
      <c r="J144" s="9" t="str">
        <f>IFERROR(INDEX('Description Library'!$H$6:$H$808,MATCH($E144&amp;"|"&amp;$F144&amp;"|"&amp;$G144&amp;"|"&amp;$H144,'Description Library'!$K$6:$K$808,0)),"")</f>
        <v/>
      </c>
      <c r="K144" s="55"/>
      <c r="L144" s="56">
        <f>IFERROR(INDEX('Price List Library'!$K$6:$K$437,MATCH(TRIM($H144)&amp;"|"&amp;TRIM($J144),'Price List Library'!$S$6:$S$437,0)),0)</f>
        <v>0</v>
      </c>
      <c r="M144" s="56">
        <f>IFERROR(INDEX('Price List Library'!$N$6:$N$437,MATCH(TRIM($H144)&amp;"|"&amp;TRIM($J144),'Price List Library'!$S$6:$S$437,0)),0)</f>
        <v>0</v>
      </c>
      <c r="N144" s="27">
        <f t="shared" si="13"/>
        <v>0</v>
      </c>
      <c r="O144" s="27" t="str">
        <f t="shared" si="14"/>
        <v/>
      </c>
      <c r="P144" s="9" t="str">
        <f>IFERROR(INDEX('Price List Library'!$P$6:$P$437,MATCH(TRIM($H144)&amp;"|"&amp;TRIM($J144),'Price List Library'!$S$6:$S$437,0)),"")</f>
        <v/>
      </c>
      <c r="Q144" s="53"/>
      <c r="R144" s="29" t="str">
        <f t="shared" si="15"/>
        <v>_NONE</v>
      </c>
      <c r="S144" s="29" t="str">
        <f t="shared" si="16"/>
        <v>_NONE</v>
      </c>
      <c r="T144" s="29" t="str">
        <f t="shared" si="17"/>
        <v>_NONE</v>
      </c>
    </row>
    <row r="145" spans="1:20" ht="15" customHeight="1" x14ac:dyDescent="0.25">
      <c r="A145" s="9" t="str">
        <f t="shared" si="12"/>
        <v/>
      </c>
      <c r="B145" s="52"/>
      <c r="C145" s="52"/>
      <c r="D145" s="53"/>
      <c r="E145" s="53"/>
      <c r="F145" s="53"/>
      <c r="G145" s="53"/>
      <c r="H145" s="53"/>
      <c r="I145" s="54" t="str">
        <f>IFERROR(INDEX('Description Library'!$C$6:$C$808,MATCH($E145&amp;"|"&amp;$F145&amp;"|"&amp;$G145&amp;"|"&amp;$H145,'Description Library'!$K$6:$K$808,0)),"")</f>
        <v/>
      </c>
      <c r="J145" s="9" t="str">
        <f>IFERROR(INDEX('Description Library'!$H$6:$H$808,MATCH($E145&amp;"|"&amp;$F145&amp;"|"&amp;$G145&amp;"|"&amp;$H145,'Description Library'!$K$6:$K$808,0)),"")</f>
        <v/>
      </c>
      <c r="K145" s="55"/>
      <c r="L145" s="56">
        <f>IFERROR(INDEX('Price List Library'!$K$6:$K$437,MATCH(TRIM($H145)&amp;"|"&amp;TRIM($J145),'Price List Library'!$S$6:$S$437,0)),0)</f>
        <v>0</v>
      </c>
      <c r="M145" s="56">
        <f>IFERROR(INDEX('Price List Library'!$N$6:$N$437,MATCH(TRIM($H145)&amp;"|"&amp;TRIM($J145),'Price List Library'!$S$6:$S$437,0)),0)</f>
        <v>0</v>
      </c>
      <c r="N145" s="27">
        <f t="shared" si="13"/>
        <v>0</v>
      </c>
      <c r="O145" s="27" t="str">
        <f t="shared" si="14"/>
        <v/>
      </c>
      <c r="P145" s="9" t="str">
        <f>IFERROR(INDEX('Price List Library'!$P$6:$P$437,MATCH(TRIM($H145)&amp;"|"&amp;TRIM($J145),'Price List Library'!$S$6:$S$437,0)),"")</f>
        <v/>
      </c>
      <c r="Q145" s="53"/>
      <c r="R145" s="29" t="str">
        <f t="shared" si="15"/>
        <v>_NONE</v>
      </c>
      <c r="S145" s="29" t="str">
        <f t="shared" si="16"/>
        <v>_NONE</v>
      </c>
      <c r="T145" s="29" t="str">
        <f t="shared" si="17"/>
        <v>_NONE</v>
      </c>
    </row>
    <row r="146" spans="1:20" ht="15" customHeight="1" x14ac:dyDescent="0.25">
      <c r="A146" s="9" t="str">
        <f t="shared" si="12"/>
        <v/>
      </c>
      <c r="B146" s="52"/>
      <c r="C146" s="52"/>
      <c r="D146" s="53"/>
      <c r="E146" s="53"/>
      <c r="F146" s="53"/>
      <c r="G146" s="53"/>
      <c r="H146" s="53"/>
      <c r="I146" s="54" t="str">
        <f>IFERROR(INDEX('Description Library'!$C$6:$C$808,MATCH($E146&amp;"|"&amp;$F146&amp;"|"&amp;$G146&amp;"|"&amp;$H146,'Description Library'!$K$6:$K$808,0)),"")</f>
        <v/>
      </c>
      <c r="J146" s="9" t="str">
        <f>IFERROR(INDEX('Description Library'!$H$6:$H$808,MATCH($E146&amp;"|"&amp;$F146&amp;"|"&amp;$G146&amp;"|"&amp;$H146,'Description Library'!$K$6:$K$808,0)),"")</f>
        <v/>
      </c>
      <c r="K146" s="55"/>
      <c r="L146" s="56">
        <f>IFERROR(INDEX('Price List Library'!$K$6:$K$437,MATCH(TRIM($H146)&amp;"|"&amp;TRIM($J146),'Price List Library'!$S$6:$S$437,0)),0)</f>
        <v>0</v>
      </c>
      <c r="M146" s="56">
        <f>IFERROR(INDEX('Price List Library'!$N$6:$N$437,MATCH(TRIM($H146)&amp;"|"&amp;TRIM($J146),'Price List Library'!$S$6:$S$437,0)),0)</f>
        <v>0</v>
      </c>
      <c r="N146" s="27">
        <f t="shared" si="13"/>
        <v>0</v>
      </c>
      <c r="O146" s="27" t="str">
        <f t="shared" si="14"/>
        <v/>
      </c>
      <c r="P146" s="9" t="str">
        <f>IFERROR(INDEX('Price List Library'!$P$6:$P$437,MATCH(TRIM($H146)&amp;"|"&amp;TRIM($J146),'Price List Library'!$S$6:$S$437,0)),"")</f>
        <v/>
      </c>
      <c r="Q146" s="53"/>
      <c r="R146" s="29" t="str">
        <f t="shared" si="15"/>
        <v>_NONE</v>
      </c>
      <c r="S146" s="29" t="str">
        <f t="shared" si="16"/>
        <v>_NONE</v>
      </c>
      <c r="T146" s="29" t="str">
        <f t="shared" si="17"/>
        <v>_NONE</v>
      </c>
    </row>
    <row r="147" spans="1:20" ht="15" customHeight="1" x14ac:dyDescent="0.25">
      <c r="A147" s="9" t="str">
        <f t="shared" si="12"/>
        <v/>
      </c>
      <c r="B147" s="52"/>
      <c r="C147" s="52"/>
      <c r="D147" s="53"/>
      <c r="E147" s="53"/>
      <c r="F147" s="53"/>
      <c r="G147" s="53"/>
      <c r="H147" s="53"/>
      <c r="I147" s="54" t="str">
        <f>IFERROR(INDEX('Description Library'!$C$6:$C$808,MATCH($E147&amp;"|"&amp;$F147&amp;"|"&amp;$G147&amp;"|"&amp;$H147,'Description Library'!$K$6:$K$808,0)),"")</f>
        <v/>
      </c>
      <c r="J147" s="9" t="str">
        <f>IFERROR(INDEX('Description Library'!$H$6:$H$808,MATCH($E147&amp;"|"&amp;$F147&amp;"|"&amp;$G147&amp;"|"&amp;$H147,'Description Library'!$K$6:$K$808,0)),"")</f>
        <v/>
      </c>
      <c r="K147" s="55"/>
      <c r="L147" s="56">
        <f>IFERROR(INDEX('Price List Library'!$K$6:$K$437,MATCH(TRIM($H147)&amp;"|"&amp;TRIM($J147),'Price List Library'!$S$6:$S$437,0)),0)</f>
        <v>0</v>
      </c>
      <c r="M147" s="56">
        <f>IFERROR(INDEX('Price List Library'!$N$6:$N$437,MATCH(TRIM($H147)&amp;"|"&amp;TRIM($J147),'Price List Library'!$S$6:$S$437,0)),0)</f>
        <v>0</v>
      </c>
      <c r="N147" s="27">
        <f t="shared" si="13"/>
        <v>0</v>
      </c>
      <c r="O147" s="27" t="str">
        <f t="shared" si="14"/>
        <v/>
      </c>
      <c r="P147" s="9" t="str">
        <f>IFERROR(INDEX('Price List Library'!$P$6:$P$437,MATCH(TRIM($H147)&amp;"|"&amp;TRIM($J147),'Price List Library'!$S$6:$S$437,0)),"")</f>
        <v/>
      </c>
      <c r="Q147" s="53"/>
      <c r="R147" s="29" t="str">
        <f t="shared" si="15"/>
        <v>_NONE</v>
      </c>
      <c r="S147" s="29" t="str">
        <f t="shared" si="16"/>
        <v>_NONE</v>
      </c>
      <c r="T147" s="29" t="str">
        <f t="shared" si="17"/>
        <v>_NONE</v>
      </c>
    </row>
    <row r="148" spans="1:20" ht="15" customHeight="1" x14ac:dyDescent="0.25">
      <c r="A148" s="9" t="str">
        <f t="shared" si="12"/>
        <v/>
      </c>
      <c r="B148" s="52"/>
      <c r="C148" s="52"/>
      <c r="D148" s="53"/>
      <c r="E148" s="53"/>
      <c r="F148" s="53"/>
      <c r="G148" s="53"/>
      <c r="H148" s="53"/>
      <c r="I148" s="54" t="str">
        <f>IFERROR(INDEX('Description Library'!$C$6:$C$808,MATCH($E148&amp;"|"&amp;$F148&amp;"|"&amp;$G148&amp;"|"&amp;$H148,'Description Library'!$K$6:$K$808,0)),"")</f>
        <v/>
      </c>
      <c r="J148" s="9" t="str">
        <f>IFERROR(INDEX('Description Library'!$H$6:$H$808,MATCH($E148&amp;"|"&amp;$F148&amp;"|"&amp;$G148&amp;"|"&amp;$H148,'Description Library'!$K$6:$K$808,0)),"")</f>
        <v/>
      </c>
      <c r="K148" s="55"/>
      <c r="L148" s="56">
        <f>IFERROR(INDEX('Price List Library'!$K$6:$K$437,MATCH(TRIM($H148)&amp;"|"&amp;TRIM($J148),'Price List Library'!$S$6:$S$437,0)),0)</f>
        <v>0</v>
      </c>
      <c r="M148" s="56">
        <f>IFERROR(INDEX('Price List Library'!$N$6:$N$437,MATCH(TRIM($H148)&amp;"|"&amp;TRIM($J148),'Price List Library'!$S$6:$S$437,0)),0)</f>
        <v>0</v>
      </c>
      <c r="N148" s="27">
        <f t="shared" si="13"/>
        <v>0</v>
      </c>
      <c r="O148" s="27" t="str">
        <f t="shared" si="14"/>
        <v/>
      </c>
      <c r="P148" s="9" t="str">
        <f>IFERROR(INDEX('Price List Library'!$P$6:$P$437,MATCH(TRIM($H148)&amp;"|"&amp;TRIM($J148),'Price List Library'!$S$6:$S$437,0)),"")</f>
        <v/>
      </c>
      <c r="Q148" s="53"/>
      <c r="R148" s="29" t="str">
        <f t="shared" si="15"/>
        <v>_NONE</v>
      </c>
      <c r="S148" s="29" t="str">
        <f t="shared" si="16"/>
        <v>_NONE</v>
      </c>
      <c r="T148" s="29" t="str">
        <f t="shared" si="17"/>
        <v>_NONE</v>
      </c>
    </row>
    <row r="149" spans="1:20" ht="15" customHeight="1" x14ac:dyDescent="0.25">
      <c r="A149" s="9" t="str">
        <f t="shared" si="12"/>
        <v/>
      </c>
      <c r="B149" s="52"/>
      <c r="C149" s="52"/>
      <c r="D149" s="53"/>
      <c r="E149" s="53"/>
      <c r="F149" s="53"/>
      <c r="G149" s="53"/>
      <c r="H149" s="53"/>
      <c r="I149" s="54" t="str">
        <f>IFERROR(INDEX('Description Library'!$C$6:$C$808,MATCH($E149&amp;"|"&amp;$F149&amp;"|"&amp;$G149&amp;"|"&amp;$H149,'Description Library'!$K$6:$K$808,0)),"")</f>
        <v/>
      </c>
      <c r="J149" s="9" t="str">
        <f>IFERROR(INDEX('Description Library'!$H$6:$H$808,MATCH($E149&amp;"|"&amp;$F149&amp;"|"&amp;$G149&amp;"|"&amp;$H149,'Description Library'!$K$6:$K$808,0)),"")</f>
        <v/>
      </c>
      <c r="K149" s="55"/>
      <c r="L149" s="56">
        <f>IFERROR(INDEX('Price List Library'!$K$6:$K$437,MATCH(TRIM($H149)&amp;"|"&amp;TRIM($J149),'Price List Library'!$S$6:$S$437,0)),0)</f>
        <v>0</v>
      </c>
      <c r="M149" s="56">
        <f>IFERROR(INDEX('Price List Library'!$N$6:$N$437,MATCH(TRIM($H149)&amp;"|"&amp;TRIM($J149),'Price List Library'!$S$6:$S$437,0)),0)</f>
        <v>0</v>
      </c>
      <c r="N149" s="27">
        <f t="shared" si="13"/>
        <v>0</v>
      </c>
      <c r="O149" s="27" t="str">
        <f t="shared" si="14"/>
        <v/>
      </c>
      <c r="P149" s="9" t="str">
        <f>IFERROR(INDEX('Price List Library'!$P$6:$P$437,MATCH(TRIM($H149)&amp;"|"&amp;TRIM($J149),'Price List Library'!$S$6:$S$437,0)),"")</f>
        <v/>
      </c>
      <c r="Q149" s="53"/>
      <c r="R149" s="29" t="str">
        <f t="shared" si="15"/>
        <v>_NONE</v>
      </c>
      <c r="S149" s="29" t="str">
        <f t="shared" si="16"/>
        <v>_NONE</v>
      </c>
      <c r="T149" s="29" t="str">
        <f t="shared" si="17"/>
        <v>_NONE</v>
      </c>
    </row>
    <row r="150" spans="1:20" ht="15" customHeight="1" x14ac:dyDescent="0.25">
      <c r="A150" s="9" t="str">
        <f t="shared" si="12"/>
        <v/>
      </c>
      <c r="B150" s="52"/>
      <c r="C150" s="52"/>
      <c r="D150" s="53"/>
      <c r="E150" s="53"/>
      <c r="F150" s="53"/>
      <c r="G150" s="53"/>
      <c r="H150" s="53"/>
      <c r="I150" s="54" t="str">
        <f>IFERROR(INDEX('Description Library'!$C$6:$C$808,MATCH($E150&amp;"|"&amp;$F150&amp;"|"&amp;$G150&amp;"|"&amp;$H150,'Description Library'!$K$6:$K$808,0)),"")</f>
        <v/>
      </c>
      <c r="J150" s="9" t="str">
        <f>IFERROR(INDEX('Description Library'!$H$6:$H$808,MATCH($E150&amp;"|"&amp;$F150&amp;"|"&amp;$G150&amp;"|"&amp;$H150,'Description Library'!$K$6:$K$808,0)),"")</f>
        <v/>
      </c>
      <c r="K150" s="55"/>
      <c r="L150" s="56">
        <f>IFERROR(INDEX('Price List Library'!$K$6:$K$437,MATCH(TRIM($H150)&amp;"|"&amp;TRIM($J150),'Price List Library'!$S$6:$S$437,0)),0)</f>
        <v>0</v>
      </c>
      <c r="M150" s="56">
        <f>IFERROR(INDEX('Price List Library'!$N$6:$N$437,MATCH(TRIM($H150)&amp;"|"&amp;TRIM($J150),'Price List Library'!$S$6:$S$437,0)),0)</f>
        <v>0</v>
      </c>
      <c r="N150" s="27">
        <f t="shared" si="13"/>
        <v>0</v>
      </c>
      <c r="O150" s="27" t="str">
        <f t="shared" si="14"/>
        <v/>
      </c>
      <c r="P150" s="9" t="str">
        <f>IFERROR(INDEX('Price List Library'!$P$6:$P$437,MATCH(TRIM($H150)&amp;"|"&amp;TRIM($J150),'Price List Library'!$S$6:$S$437,0)),"")</f>
        <v/>
      </c>
      <c r="Q150" s="53"/>
      <c r="R150" s="29" t="str">
        <f t="shared" si="15"/>
        <v>_NONE</v>
      </c>
      <c r="S150" s="29" t="str">
        <f t="shared" si="16"/>
        <v>_NONE</v>
      </c>
      <c r="T150" s="29" t="str">
        <f t="shared" si="17"/>
        <v>_NONE</v>
      </c>
    </row>
    <row r="151" spans="1:20" ht="15" customHeight="1" x14ac:dyDescent="0.25">
      <c r="A151" s="9" t="str">
        <f t="shared" si="12"/>
        <v/>
      </c>
      <c r="B151" s="52"/>
      <c r="C151" s="52"/>
      <c r="D151" s="53"/>
      <c r="E151" s="53"/>
      <c r="F151" s="53"/>
      <c r="G151" s="53"/>
      <c r="H151" s="53"/>
      <c r="I151" s="54" t="str">
        <f>IFERROR(INDEX('Description Library'!$C$6:$C$808,MATCH($E151&amp;"|"&amp;$F151&amp;"|"&amp;$G151&amp;"|"&amp;$H151,'Description Library'!$K$6:$K$808,0)),"")</f>
        <v/>
      </c>
      <c r="J151" s="9" t="str">
        <f>IFERROR(INDEX('Description Library'!$H$6:$H$808,MATCH($E151&amp;"|"&amp;$F151&amp;"|"&amp;$G151&amp;"|"&amp;$H151,'Description Library'!$K$6:$K$808,0)),"")</f>
        <v/>
      </c>
      <c r="K151" s="55"/>
      <c r="L151" s="56">
        <f>IFERROR(INDEX('Price List Library'!$K$6:$K$437,MATCH(TRIM($H151)&amp;"|"&amp;TRIM($J151),'Price List Library'!$S$6:$S$437,0)),0)</f>
        <v>0</v>
      </c>
      <c r="M151" s="56">
        <f>IFERROR(INDEX('Price List Library'!$N$6:$N$437,MATCH(TRIM($H151)&amp;"|"&amp;TRIM($J151),'Price List Library'!$S$6:$S$437,0)),0)</f>
        <v>0</v>
      </c>
      <c r="N151" s="27">
        <f t="shared" si="13"/>
        <v>0</v>
      </c>
      <c r="O151" s="27" t="str">
        <f t="shared" si="14"/>
        <v/>
      </c>
      <c r="P151" s="9" t="str">
        <f>IFERROR(INDEX('Price List Library'!$P$6:$P$437,MATCH(TRIM($H151)&amp;"|"&amp;TRIM($J151),'Price List Library'!$S$6:$S$437,0)),"")</f>
        <v/>
      </c>
      <c r="Q151" s="53"/>
      <c r="R151" s="29" t="str">
        <f t="shared" si="15"/>
        <v>_NONE</v>
      </c>
      <c r="S151" s="29" t="str">
        <f t="shared" si="16"/>
        <v>_NONE</v>
      </c>
      <c r="T151" s="29" t="str">
        <f t="shared" si="17"/>
        <v>_NONE</v>
      </c>
    </row>
    <row r="152" spans="1:20" ht="15" customHeight="1" x14ac:dyDescent="0.25">
      <c r="A152" s="9" t="str">
        <f t="shared" si="12"/>
        <v/>
      </c>
      <c r="B152" s="52"/>
      <c r="C152" s="52"/>
      <c r="D152" s="53"/>
      <c r="E152" s="53"/>
      <c r="F152" s="53"/>
      <c r="G152" s="53"/>
      <c r="H152" s="53"/>
      <c r="I152" s="54" t="str">
        <f>IFERROR(INDEX('Description Library'!$C$6:$C$808,MATCH($E152&amp;"|"&amp;$F152&amp;"|"&amp;$G152&amp;"|"&amp;$H152,'Description Library'!$K$6:$K$808,0)),"")</f>
        <v/>
      </c>
      <c r="J152" s="9" t="str">
        <f>IFERROR(INDEX('Description Library'!$H$6:$H$808,MATCH($E152&amp;"|"&amp;$F152&amp;"|"&amp;$G152&amp;"|"&amp;$H152,'Description Library'!$K$6:$K$808,0)),"")</f>
        <v/>
      </c>
      <c r="K152" s="55"/>
      <c r="L152" s="56">
        <f>IFERROR(INDEX('Price List Library'!$K$6:$K$437,MATCH(TRIM($H152)&amp;"|"&amp;TRIM($J152),'Price List Library'!$S$6:$S$437,0)),0)</f>
        <v>0</v>
      </c>
      <c r="M152" s="56">
        <f>IFERROR(INDEX('Price List Library'!$N$6:$N$437,MATCH(TRIM($H152)&amp;"|"&amp;TRIM($J152),'Price List Library'!$S$6:$S$437,0)),0)</f>
        <v>0</v>
      </c>
      <c r="N152" s="27">
        <f t="shared" si="13"/>
        <v>0</v>
      </c>
      <c r="O152" s="27" t="str">
        <f t="shared" si="14"/>
        <v/>
      </c>
      <c r="P152" s="9" t="str">
        <f>IFERROR(INDEX('Price List Library'!$P$6:$P$437,MATCH(TRIM($H152)&amp;"|"&amp;TRIM($J152),'Price List Library'!$S$6:$S$437,0)),"")</f>
        <v/>
      </c>
      <c r="Q152" s="53"/>
      <c r="R152" s="29" t="str">
        <f t="shared" si="15"/>
        <v>_NONE</v>
      </c>
      <c r="S152" s="29" t="str">
        <f t="shared" si="16"/>
        <v>_NONE</v>
      </c>
      <c r="T152" s="29" t="str">
        <f t="shared" si="17"/>
        <v>_NONE</v>
      </c>
    </row>
    <row r="153" spans="1:20" ht="15" customHeight="1" x14ac:dyDescent="0.25">
      <c r="A153" s="9" t="str">
        <f t="shared" si="12"/>
        <v/>
      </c>
      <c r="B153" s="52"/>
      <c r="C153" s="52"/>
      <c r="D153" s="53"/>
      <c r="E153" s="53"/>
      <c r="F153" s="53"/>
      <c r="G153" s="53"/>
      <c r="H153" s="53"/>
      <c r="I153" s="54" t="str">
        <f>IFERROR(INDEX('Description Library'!$C$6:$C$808,MATCH($E153&amp;"|"&amp;$F153&amp;"|"&amp;$G153&amp;"|"&amp;$H153,'Description Library'!$K$6:$K$808,0)),"")</f>
        <v/>
      </c>
      <c r="J153" s="9" t="str">
        <f>IFERROR(INDEX('Description Library'!$H$6:$H$808,MATCH($E153&amp;"|"&amp;$F153&amp;"|"&amp;$G153&amp;"|"&amp;$H153,'Description Library'!$K$6:$K$808,0)),"")</f>
        <v/>
      </c>
      <c r="K153" s="55"/>
      <c r="L153" s="56">
        <f>IFERROR(INDEX('Price List Library'!$K$6:$K$437,MATCH(TRIM($H153)&amp;"|"&amp;TRIM($J153),'Price List Library'!$S$6:$S$437,0)),0)</f>
        <v>0</v>
      </c>
      <c r="M153" s="56">
        <f>IFERROR(INDEX('Price List Library'!$N$6:$N$437,MATCH(TRIM($H153)&amp;"|"&amp;TRIM($J153),'Price List Library'!$S$6:$S$437,0)),0)</f>
        <v>0</v>
      </c>
      <c r="N153" s="27">
        <f t="shared" si="13"/>
        <v>0</v>
      </c>
      <c r="O153" s="27" t="str">
        <f t="shared" si="14"/>
        <v/>
      </c>
      <c r="P153" s="9" t="str">
        <f>IFERROR(INDEX('Price List Library'!$P$6:$P$437,MATCH(TRIM($H153)&amp;"|"&amp;TRIM($J153),'Price List Library'!$S$6:$S$437,0)),"")</f>
        <v/>
      </c>
      <c r="Q153" s="53"/>
      <c r="R153" s="29" t="str">
        <f t="shared" si="15"/>
        <v>_NONE</v>
      </c>
      <c r="S153" s="29" t="str">
        <f t="shared" si="16"/>
        <v>_NONE</v>
      </c>
      <c r="T153" s="29" t="str">
        <f t="shared" si="17"/>
        <v>_NONE</v>
      </c>
    </row>
    <row r="154" spans="1:20" ht="15" customHeight="1" x14ac:dyDescent="0.25">
      <c r="A154" s="9" t="str">
        <f t="shared" si="12"/>
        <v/>
      </c>
      <c r="B154" s="52"/>
      <c r="C154" s="52"/>
      <c r="D154" s="53"/>
      <c r="E154" s="53"/>
      <c r="F154" s="53"/>
      <c r="G154" s="53"/>
      <c r="H154" s="53"/>
      <c r="I154" s="54" t="str">
        <f>IFERROR(INDEX('Description Library'!$C$6:$C$808,MATCH($E154&amp;"|"&amp;$F154&amp;"|"&amp;$G154&amp;"|"&amp;$H154,'Description Library'!$K$6:$K$808,0)),"")</f>
        <v/>
      </c>
      <c r="J154" s="9" t="str">
        <f>IFERROR(INDEX('Description Library'!$H$6:$H$808,MATCH($E154&amp;"|"&amp;$F154&amp;"|"&amp;$G154&amp;"|"&amp;$H154,'Description Library'!$K$6:$K$808,0)),"")</f>
        <v/>
      </c>
      <c r="K154" s="55"/>
      <c r="L154" s="56">
        <f>IFERROR(INDEX('Price List Library'!$K$6:$K$437,MATCH(TRIM($H154)&amp;"|"&amp;TRIM($J154),'Price List Library'!$S$6:$S$437,0)),0)</f>
        <v>0</v>
      </c>
      <c r="M154" s="56">
        <f>IFERROR(INDEX('Price List Library'!$N$6:$N$437,MATCH(TRIM($H154)&amp;"|"&amp;TRIM($J154),'Price List Library'!$S$6:$S$437,0)),0)</f>
        <v>0</v>
      </c>
      <c r="N154" s="27">
        <f t="shared" si="13"/>
        <v>0</v>
      </c>
      <c r="O154" s="27" t="str">
        <f t="shared" si="14"/>
        <v/>
      </c>
      <c r="P154" s="9" t="str">
        <f>IFERROR(INDEX('Price List Library'!$P$6:$P$437,MATCH(TRIM($H154)&amp;"|"&amp;TRIM($J154),'Price List Library'!$S$6:$S$437,0)),"")</f>
        <v/>
      </c>
      <c r="Q154" s="53"/>
      <c r="R154" s="29" t="str">
        <f t="shared" si="15"/>
        <v>_NONE</v>
      </c>
      <c r="S154" s="29" t="str">
        <f t="shared" si="16"/>
        <v>_NONE</v>
      </c>
      <c r="T154" s="29" t="str">
        <f t="shared" si="17"/>
        <v>_NONE</v>
      </c>
    </row>
    <row r="155" spans="1:20" ht="15" customHeight="1" x14ac:dyDescent="0.25">
      <c r="A155" s="9" t="str">
        <f t="shared" si="12"/>
        <v/>
      </c>
      <c r="B155" s="52"/>
      <c r="C155" s="52"/>
      <c r="D155" s="53"/>
      <c r="E155" s="53"/>
      <c r="F155" s="53"/>
      <c r="G155" s="53"/>
      <c r="H155" s="53"/>
      <c r="I155" s="54" t="str">
        <f>IFERROR(INDEX('Description Library'!$C$6:$C$808,MATCH($E155&amp;"|"&amp;$F155&amp;"|"&amp;$G155&amp;"|"&amp;$H155,'Description Library'!$K$6:$K$808,0)),"")</f>
        <v/>
      </c>
      <c r="J155" s="9" t="str">
        <f>IFERROR(INDEX('Description Library'!$H$6:$H$808,MATCH($E155&amp;"|"&amp;$F155&amp;"|"&amp;$G155&amp;"|"&amp;$H155,'Description Library'!$K$6:$K$808,0)),"")</f>
        <v/>
      </c>
      <c r="K155" s="55"/>
      <c r="L155" s="56">
        <f>IFERROR(INDEX('Price List Library'!$K$6:$K$437,MATCH(TRIM($H155)&amp;"|"&amp;TRIM($J155),'Price List Library'!$S$6:$S$437,0)),0)</f>
        <v>0</v>
      </c>
      <c r="M155" s="56">
        <f>IFERROR(INDEX('Price List Library'!$N$6:$N$437,MATCH(TRIM($H155)&amp;"|"&amp;TRIM($J155),'Price List Library'!$S$6:$S$437,0)),0)</f>
        <v>0</v>
      </c>
      <c r="N155" s="27">
        <f t="shared" si="13"/>
        <v>0</v>
      </c>
      <c r="O155" s="27" t="str">
        <f t="shared" si="14"/>
        <v/>
      </c>
      <c r="P155" s="9" t="str">
        <f>IFERROR(INDEX('Price List Library'!$P$6:$P$437,MATCH(TRIM($H155)&amp;"|"&amp;TRIM($J155),'Price List Library'!$S$6:$S$437,0)),"")</f>
        <v/>
      </c>
      <c r="Q155" s="53"/>
      <c r="R155" s="29" t="str">
        <f t="shared" si="15"/>
        <v>_NONE</v>
      </c>
      <c r="S155" s="29" t="str">
        <f t="shared" si="16"/>
        <v>_NONE</v>
      </c>
      <c r="T155" s="29" t="str">
        <f t="shared" si="17"/>
        <v>_NONE</v>
      </c>
    </row>
    <row r="156" spans="1:20" ht="15" customHeight="1" x14ac:dyDescent="0.25">
      <c r="A156" s="9" t="str">
        <f t="shared" si="12"/>
        <v/>
      </c>
      <c r="B156" s="52"/>
      <c r="C156" s="52"/>
      <c r="D156" s="53"/>
      <c r="E156" s="53"/>
      <c r="F156" s="53"/>
      <c r="G156" s="53"/>
      <c r="H156" s="53"/>
      <c r="I156" s="54" t="str">
        <f>IFERROR(INDEX('Description Library'!$C$6:$C$808,MATCH($E156&amp;"|"&amp;$F156&amp;"|"&amp;$G156&amp;"|"&amp;$H156,'Description Library'!$K$6:$K$808,0)),"")</f>
        <v/>
      </c>
      <c r="J156" s="9" t="str">
        <f>IFERROR(INDEX('Description Library'!$H$6:$H$808,MATCH($E156&amp;"|"&amp;$F156&amp;"|"&amp;$G156&amp;"|"&amp;$H156,'Description Library'!$K$6:$K$808,0)),"")</f>
        <v/>
      </c>
      <c r="K156" s="55"/>
      <c r="L156" s="56">
        <f>IFERROR(INDEX('Price List Library'!$K$6:$K$437,MATCH(TRIM($H156)&amp;"|"&amp;TRIM($J156),'Price List Library'!$S$6:$S$437,0)),0)</f>
        <v>0</v>
      </c>
      <c r="M156" s="56">
        <f>IFERROR(INDEX('Price List Library'!$N$6:$N$437,MATCH(TRIM($H156)&amp;"|"&amp;TRIM($J156),'Price List Library'!$S$6:$S$437,0)),0)</f>
        <v>0</v>
      </c>
      <c r="N156" s="27">
        <f t="shared" si="13"/>
        <v>0</v>
      </c>
      <c r="O156" s="27" t="str">
        <f t="shared" si="14"/>
        <v/>
      </c>
      <c r="P156" s="9" t="str">
        <f>IFERROR(INDEX('Price List Library'!$P$6:$P$437,MATCH(TRIM($H156)&amp;"|"&amp;TRIM($J156),'Price List Library'!$S$6:$S$437,0)),"")</f>
        <v/>
      </c>
      <c r="Q156" s="53"/>
      <c r="R156" s="29" t="str">
        <f t="shared" si="15"/>
        <v>_NONE</v>
      </c>
      <c r="S156" s="29" t="str">
        <f t="shared" si="16"/>
        <v>_NONE</v>
      </c>
      <c r="T156" s="29" t="str">
        <f t="shared" si="17"/>
        <v>_NONE</v>
      </c>
    </row>
    <row r="157" spans="1:20" ht="15" customHeight="1" x14ac:dyDescent="0.25">
      <c r="A157" s="9" t="str">
        <f t="shared" si="12"/>
        <v/>
      </c>
      <c r="B157" s="52"/>
      <c r="C157" s="52"/>
      <c r="D157" s="53"/>
      <c r="E157" s="53"/>
      <c r="F157" s="53"/>
      <c r="G157" s="53"/>
      <c r="H157" s="53"/>
      <c r="I157" s="54" t="str">
        <f>IFERROR(INDEX('Description Library'!$C$6:$C$808,MATCH($E157&amp;"|"&amp;$F157&amp;"|"&amp;$G157&amp;"|"&amp;$H157,'Description Library'!$K$6:$K$808,0)),"")</f>
        <v/>
      </c>
      <c r="J157" s="9" t="str">
        <f>IFERROR(INDEX('Description Library'!$H$6:$H$808,MATCH($E157&amp;"|"&amp;$F157&amp;"|"&amp;$G157&amp;"|"&amp;$H157,'Description Library'!$K$6:$K$808,0)),"")</f>
        <v/>
      </c>
      <c r="K157" s="55"/>
      <c r="L157" s="56">
        <f>IFERROR(INDEX('Price List Library'!$K$6:$K$437,MATCH(TRIM($H157)&amp;"|"&amp;TRIM($J157),'Price List Library'!$S$6:$S$437,0)),0)</f>
        <v>0</v>
      </c>
      <c r="M157" s="56">
        <f>IFERROR(INDEX('Price List Library'!$N$6:$N$437,MATCH(TRIM($H157)&amp;"|"&amp;TRIM($J157),'Price List Library'!$S$6:$S$437,0)),0)</f>
        <v>0</v>
      </c>
      <c r="N157" s="27">
        <f t="shared" si="13"/>
        <v>0</v>
      </c>
      <c r="O157" s="27" t="str">
        <f t="shared" si="14"/>
        <v/>
      </c>
      <c r="P157" s="9" t="str">
        <f>IFERROR(INDEX('Price List Library'!$P$6:$P$437,MATCH(TRIM($H157)&amp;"|"&amp;TRIM($J157),'Price List Library'!$S$6:$S$437,0)),"")</f>
        <v/>
      </c>
      <c r="Q157" s="53"/>
      <c r="R157" s="29" t="str">
        <f t="shared" si="15"/>
        <v>_NONE</v>
      </c>
      <c r="S157" s="29" t="str">
        <f t="shared" si="16"/>
        <v>_NONE</v>
      </c>
      <c r="T157" s="29" t="str">
        <f t="shared" si="17"/>
        <v>_NONE</v>
      </c>
    </row>
    <row r="158" spans="1:20" ht="15" customHeight="1" x14ac:dyDescent="0.25">
      <c r="A158" s="9" t="str">
        <f t="shared" si="12"/>
        <v/>
      </c>
      <c r="B158" s="52"/>
      <c r="C158" s="52"/>
      <c r="D158" s="53"/>
      <c r="E158" s="53"/>
      <c r="F158" s="53"/>
      <c r="G158" s="53"/>
      <c r="H158" s="53"/>
      <c r="I158" s="54" t="str">
        <f>IFERROR(INDEX('Description Library'!$C$6:$C$808,MATCH($E158&amp;"|"&amp;$F158&amp;"|"&amp;$G158&amp;"|"&amp;$H158,'Description Library'!$K$6:$K$808,0)),"")</f>
        <v/>
      </c>
      <c r="J158" s="9" t="str">
        <f>IFERROR(INDEX('Description Library'!$H$6:$H$808,MATCH($E158&amp;"|"&amp;$F158&amp;"|"&amp;$G158&amp;"|"&amp;$H158,'Description Library'!$K$6:$K$808,0)),"")</f>
        <v/>
      </c>
      <c r="K158" s="55"/>
      <c r="L158" s="56">
        <f>IFERROR(INDEX('Price List Library'!$K$6:$K$437,MATCH(TRIM($H158)&amp;"|"&amp;TRIM($J158),'Price List Library'!$S$6:$S$437,0)),0)</f>
        <v>0</v>
      </c>
      <c r="M158" s="56">
        <f>IFERROR(INDEX('Price List Library'!$N$6:$N$437,MATCH(TRIM($H158)&amp;"|"&amp;TRIM($J158),'Price List Library'!$S$6:$S$437,0)),0)</f>
        <v>0</v>
      </c>
      <c r="N158" s="27">
        <f t="shared" si="13"/>
        <v>0</v>
      </c>
      <c r="O158" s="27" t="str">
        <f t="shared" si="14"/>
        <v/>
      </c>
      <c r="P158" s="9" t="str">
        <f>IFERROR(INDEX('Price List Library'!$P$6:$P$437,MATCH(TRIM($H158)&amp;"|"&amp;TRIM($J158),'Price List Library'!$S$6:$S$437,0)),"")</f>
        <v/>
      </c>
      <c r="Q158" s="53"/>
      <c r="R158" s="29" t="str">
        <f t="shared" si="15"/>
        <v>_NONE</v>
      </c>
      <c r="S158" s="29" t="str">
        <f t="shared" si="16"/>
        <v>_NONE</v>
      </c>
      <c r="T158" s="29" t="str">
        <f t="shared" si="17"/>
        <v>_NONE</v>
      </c>
    </row>
    <row r="159" spans="1:20" ht="15" customHeight="1" x14ac:dyDescent="0.25">
      <c r="A159" s="9" t="str">
        <f t="shared" si="12"/>
        <v/>
      </c>
      <c r="B159" s="52"/>
      <c r="C159" s="52"/>
      <c r="D159" s="53"/>
      <c r="E159" s="53"/>
      <c r="F159" s="53"/>
      <c r="G159" s="53"/>
      <c r="H159" s="53"/>
      <c r="I159" s="54" t="str">
        <f>IFERROR(INDEX('Description Library'!$C$6:$C$808,MATCH($E159&amp;"|"&amp;$F159&amp;"|"&amp;$G159&amp;"|"&amp;$H159,'Description Library'!$K$6:$K$808,0)),"")</f>
        <v/>
      </c>
      <c r="J159" s="9" t="str">
        <f>IFERROR(INDEX('Description Library'!$H$6:$H$808,MATCH($E159&amp;"|"&amp;$F159&amp;"|"&amp;$G159&amp;"|"&amp;$H159,'Description Library'!$K$6:$K$808,0)),"")</f>
        <v/>
      </c>
      <c r="K159" s="55"/>
      <c r="L159" s="56">
        <f>IFERROR(INDEX('Price List Library'!$K$6:$K$437,MATCH(TRIM($H159)&amp;"|"&amp;TRIM($J159),'Price List Library'!$S$6:$S$437,0)),0)</f>
        <v>0</v>
      </c>
      <c r="M159" s="56">
        <f>IFERROR(INDEX('Price List Library'!$N$6:$N$437,MATCH(TRIM($H159)&amp;"|"&amp;TRIM($J159),'Price List Library'!$S$6:$S$437,0)),0)</f>
        <v>0</v>
      </c>
      <c r="N159" s="27">
        <f t="shared" si="13"/>
        <v>0</v>
      </c>
      <c r="O159" s="27" t="str">
        <f t="shared" si="14"/>
        <v/>
      </c>
      <c r="P159" s="9" t="str">
        <f>IFERROR(INDEX('Price List Library'!$P$6:$P$437,MATCH(TRIM($H159)&amp;"|"&amp;TRIM($J159),'Price List Library'!$S$6:$S$437,0)),"")</f>
        <v/>
      </c>
      <c r="Q159" s="53"/>
      <c r="R159" s="29" t="str">
        <f t="shared" si="15"/>
        <v>_NONE</v>
      </c>
      <c r="S159" s="29" t="str">
        <f t="shared" si="16"/>
        <v>_NONE</v>
      </c>
      <c r="T159" s="29" t="str">
        <f t="shared" si="17"/>
        <v>_NONE</v>
      </c>
    </row>
    <row r="160" spans="1:20" ht="15" customHeight="1" x14ac:dyDescent="0.25">
      <c r="A160" s="9" t="str">
        <f t="shared" si="12"/>
        <v/>
      </c>
      <c r="B160" s="52"/>
      <c r="C160" s="52"/>
      <c r="D160" s="53"/>
      <c r="E160" s="53"/>
      <c r="F160" s="53"/>
      <c r="G160" s="53"/>
      <c r="H160" s="53"/>
      <c r="I160" s="54" t="str">
        <f>IFERROR(INDEX('Description Library'!$C$6:$C$808,MATCH($E160&amp;"|"&amp;$F160&amp;"|"&amp;$G160&amp;"|"&amp;$H160,'Description Library'!$K$6:$K$808,0)),"")</f>
        <v/>
      </c>
      <c r="J160" s="9" t="str">
        <f>IFERROR(INDEX('Description Library'!$H$6:$H$808,MATCH($E160&amp;"|"&amp;$F160&amp;"|"&amp;$G160&amp;"|"&amp;$H160,'Description Library'!$K$6:$K$808,0)),"")</f>
        <v/>
      </c>
      <c r="K160" s="55"/>
      <c r="L160" s="56">
        <f>IFERROR(INDEX('Price List Library'!$K$6:$K$437,MATCH(TRIM($H160)&amp;"|"&amp;TRIM($J160),'Price List Library'!$S$6:$S$437,0)),0)</f>
        <v>0</v>
      </c>
      <c r="M160" s="56">
        <f>IFERROR(INDEX('Price List Library'!$N$6:$N$437,MATCH(TRIM($H160)&amp;"|"&amp;TRIM($J160),'Price List Library'!$S$6:$S$437,0)),0)</f>
        <v>0</v>
      </c>
      <c r="N160" s="27">
        <f t="shared" si="13"/>
        <v>0</v>
      </c>
      <c r="O160" s="27" t="str">
        <f t="shared" si="14"/>
        <v/>
      </c>
      <c r="P160" s="9" t="str">
        <f>IFERROR(INDEX('Price List Library'!$P$6:$P$437,MATCH(TRIM($H160)&amp;"|"&amp;TRIM($J160),'Price List Library'!$S$6:$S$437,0)),"")</f>
        <v/>
      </c>
      <c r="Q160" s="53"/>
      <c r="R160" s="29" t="str">
        <f t="shared" si="15"/>
        <v>_NONE</v>
      </c>
      <c r="S160" s="29" t="str">
        <f t="shared" si="16"/>
        <v>_NONE</v>
      </c>
      <c r="T160" s="29" t="str">
        <f t="shared" si="17"/>
        <v>_NONE</v>
      </c>
    </row>
    <row r="161" spans="1:20" ht="15" customHeight="1" x14ac:dyDescent="0.25">
      <c r="A161" s="9" t="str">
        <f t="shared" si="12"/>
        <v/>
      </c>
      <c r="B161" s="52"/>
      <c r="C161" s="52"/>
      <c r="D161" s="53"/>
      <c r="E161" s="53"/>
      <c r="F161" s="53"/>
      <c r="G161" s="53"/>
      <c r="H161" s="53"/>
      <c r="I161" s="54" t="str">
        <f>IFERROR(INDEX('Description Library'!$C$6:$C$808,MATCH($E161&amp;"|"&amp;$F161&amp;"|"&amp;$G161&amp;"|"&amp;$H161,'Description Library'!$K$6:$K$808,0)),"")</f>
        <v/>
      </c>
      <c r="J161" s="9" t="str">
        <f>IFERROR(INDEX('Description Library'!$H$6:$H$808,MATCH($E161&amp;"|"&amp;$F161&amp;"|"&amp;$G161&amp;"|"&amp;$H161,'Description Library'!$K$6:$K$808,0)),"")</f>
        <v/>
      </c>
      <c r="K161" s="55"/>
      <c r="L161" s="56">
        <f>IFERROR(INDEX('Price List Library'!$K$6:$K$437,MATCH(TRIM($H161)&amp;"|"&amp;TRIM($J161),'Price List Library'!$S$6:$S$437,0)),0)</f>
        <v>0</v>
      </c>
      <c r="M161" s="56">
        <f>IFERROR(INDEX('Price List Library'!$N$6:$N$437,MATCH(TRIM($H161)&amp;"|"&amp;TRIM($J161),'Price List Library'!$S$6:$S$437,0)),0)</f>
        <v>0</v>
      </c>
      <c r="N161" s="27">
        <f t="shared" si="13"/>
        <v>0</v>
      </c>
      <c r="O161" s="27" t="str">
        <f t="shared" si="14"/>
        <v/>
      </c>
      <c r="P161" s="9" t="str">
        <f>IFERROR(INDEX('Price List Library'!$P$6:$P$437,MATCH(TRIM($H161)&amp;"|"&amp;TRIM($J161),'Price List Library'!$S$6:$S$437,0)),"")</f>
        <v/>
      </c>
      <c r="Q161" s="53"/>
      <c r="R161" s="29" t="str">
        <f t="shared" si="15"/>
        <v>_NONE</v>
      </c>
      <c r="S161" s="29" t="str">
        <f t="shared" si="16"/>
        <v>_NONE</v>
      </c>
      <c r="T161" s="29" t="str">
        <f t="shared" si="17"/>
        <v>_NONE</v>
      </c>
    </row>
    <row r="162" spans="1:20" ht="15" customHeight="1" x14ac:dyDescent="0.25">
      <c r="A162" s="9" t="str">
        <f t="shared" si="12"/>
        <v/>
      </c>
      <c r="B162" s="52"/>
      <c r="C162" s="52"/>
      <c r="D162" s="53"/>
      <c r="E162" s="53"/>
      <c r="F162" s="53"/>
      <c r="G162" s="53"/>
      <c r="H162" s="53"/>
      <c r="I162" s="54" t="str">
        <f>IFERROR(INDEX('Description Library'!$C$6:$C$808,MATCH($E162&amp;"|"&amp;$F162&amp;"|"&amp;$G162&amp;"|"&amp;$H162,'Description Library'!$K$6:$K$808,0)),"")</f>
        <v/>
      </c>
      <c r="J162" s="9" t="str">
        <f>IFERROR(INDEX('Description Library'!$H$6:$H$808,MATCH($E162&amp;"|"&amp;$F162&amp;"|"&amp;$G162&amp;"|"&amp;$H162,'Description Library'!$K$6:$K$808,0)),"")</f>
        <v/>
      </c>
      <c r="K162" s="55"/>
      <c r="L162" s="56">
        <f>IFERROR(INDEX('Price List Library'!$K$6:$K$437,MATCH(TRIM($H162)&amp;"|"&amp;TRIM($J162),'Price List Library'!$S$6:$S$437,0)),0)</f>
        <v>0</v>
      </c>
      <c r="M162" s="56">
        <f>IFERROR(INDEX('Price List Library'!$N$6:$N$437,MATCH(TRIM($H162)&amp;"|"&amp;TRIM($J162),'Price List Library'!$S$6:$S$437,0)),0)</f>
        <v>0</v>
      </c>
      <c r="N162" s="27">
        <f t="shared" si="13"/>
        <v>0</v>
      </c>
      <c r="O162" s="27" t="str">
        <f t="shared" si="14"/>
        <v/>
      </c>
      <c r="P162" s="9" t="str">
        <f>IFERROR(INDEX('Price List Library'!$P$6:$P$437,MATCH(TRIM($H162)&amp;"|"&amp;TRIM($J162),'Price List Library'!$S$6:$S$437,0)),"")</f>
        <v/>
      </c>
      <c r="Q162" s="53"/>
      <c r="R162" s="29" t="str">
        <f t="shared" si="15"/>
        <v>_NONE</v>
      </c>
      <c r="S162" s="29" t="str">
        <f t="shared" si="16"/>
        <v>_NONE</v>
      </c>
      <c r="T162" s="29" t="str">
        <f t="shared" si="17"/>
        <v>_NONE</v>
      </c>
    </row>
    <row r="163" spans="1:20" ht="15" customHeight="1" x14ac:dyDescent="0.25">
      <c r="A163" s="9" t="str">
        <f t="shared" si="12"/>
        <v/>
      </c>
      <c r="B163" s="52"/>
      <c r="C163" s="52"/>
      <c r="D163" s="53"/>
      <c r="E163" s="53"/>
      <c r="F163" s="53"/>
      <c r="G163" s="53"/>
      <c r="H163" s="53"/>
      <c r="I163" s="54" t="str">
        <f>IFERROR(INDEX('Description Library'!$C$6:$C$808,MATCH($E163&amp;"|"&amp;$F163&amp;"|"&amp;$G163&amp;"|"&amp;$H163,'Description Library'!$K$6:$K$808,0)),"")</f>
        <v/>
      </c>
      <c r="J163" s="9" t="str">
        <f>IFERROR(INDEX('Description Library'!$H$6:$H$808,MATCH($E163&amp;"|"&amp;$F163&amp;"|"&amp;$G163&amp;"|"&amp;$H163,'Description Library'!$K$6:$K$808,0)),"")</f>
        <v/>
      </c>
      <c r="K163" s="55"/>
      <c r="L163" s="56">
        <f>IFERROR(INDEX('Price List Library'!$K$6:$K$437,MATCH(TRIM($H163)&amp;"|"&amp;TRIM($J163),'Price List Library'!$S$6:$S$437,0)),0)</f>
        <v>0</v>
      </c>
      <c r="M163" s="56">
        <f>IFERROR(INDEX('Price List Library'!$N$6:$N$437,MATCH(TRIM($H163)&amp;"|"&amp;TRIM($J163),'Price List Library'!$S$6:$S$437,0)),0)</f>
        <v>0</v>
      </c>
      <c r="N163" s="27">
        <f t="shared" si="13"/>
        <v>0</v>
      </c>
      <c r="O163" s="27" t="str">
        <f t="shared" si="14"/>
        <v/>
      </c>
      <c r="P163" s="9" t="str">
        <f>IFERROR(INDEX('Price List Library'!$P$6:$P$437,MATCH(TRIM($H163)&amp;"|"&amp;TRIM($J163),'Price List Library'!$S$6:$S$437,0)),"")</f>
        <v/>
      </c>
      <c r="Q163" s="53"/>
      <c r="R163" s="29" t="str">
        <f t="shared" si="15"/>
        <v>_NONE</v>
      </c>
      <c r="S163" s="29" t="str">
        <f t="shared" si="16"/>
        <v>_NONE</v>
      </c>
      <c r="T163" s="29" t="str">
        <f t="shared" si="17"/>
        <v>_NONE</v>
      </c>
    </row>
    <row r="164" spans="1:20" ht="15" customHeight="1" x14ac:dyDescent="0.25">
      <c r="A164" s="9" t="str">
        <f t="shared" si="12"/>
        <v/>
      </c>
      <c r="B164" s="52"/>
      <c r="C164" s="52"/>
      <c r="D164" s="53"/>
      <c r="E164" s="53"/>
      <c r="F164" s="53"/>
      <c r="G164" s="53"/>
      <c r="H164" s="53"/>
      <c r="I164" s="54" t="str">
        <f>IFERROR(INDEX('Description Library'!$C$6:$C$808,MATCH($E164&amp;"|"&amp;$F164&amp;"|"&amp;$G164&amp;"|"&amp;$H164,'Description Library'!$K$6:$K$808,0)),"")</f>
        <v/>
      </c>
      <c r="J164" s="9" t="str">
        <f>IFERROR(INDEX('Description Library'!$H$6:$H$808,MATCH($E164&amp;"|"&amp;$F164&amp;"|"&amp;$G164&amp;"|"&amp;$H164,'Description Library'!$K$6:$K$808,0)),"")</f>
        <v/>
      </c>
      <c r="K164" s="55"/>
      <c r="L164" s="56">
        <f>IFERROR(INDEX('Price List Library'!$K$6:$K$437,MATCH(TRIM($H164)&amp;"|"&amp;TRIM($J164),'Price List Library'!$S$6:$S$437,0)),0)</f>
        <v>0</v>
      </c>
      <c r="M164" s="56">
        <f>IFERROR(INDEX('Price List Library'!$N$6:$N$437,MATCH(TRIM($H164)&amp;"|"&amp;TRIM($J164),'Price List Library'!$S$6:$S$437,0)),0)</f>
        <v>0</v>
      </c>
      <c r="N164" s="27">
        <f t="shared" si="13"/>
        <v>0</v>
      </c>
      <c r="O164" s="27" t="str">
        <f t="shared" si="14"/>
        <v/>
      </c>
      <c r="P164" s="9" t="str">
        <f>IFERROR(INDEX('Price List Library'!$P$6:$P$437,MATCH(TRIM($H164)&amp;"|"&amp;TRIM($J164),'Price List Library'!$S$6:$S$437,0)),"")</f>
        <v/>
      </c>
      <c r="Q164" s="53"/>
      <c r="R164" s="29" t="str">
        <f t="shared" si="15"/>
        <v>_NONE</v>
      </c>
      <c r="S164" s="29" t="str">
        <f t="shared" si="16"/>
        <v>_NONE</v>
      </c>
      <c r="T164" s="29" t="str">
        <f t="shared" si="17"/>
        <v>_NONE</v>
      </c>
    </row>
    <row r="165" spans="1:20" ht="15" customHeight="1" x14ac:dyDescent="0.25">
      <c r="A165" s="9" t="str">
        <f t="shared" si="12"/>
        <v/>
      </c>
      <c r="B165" s="52"/>
      <c r="C165" s="52"/>
      <c r="D165" s="53"/>
      <c r="E165" s="53"/>
      <c r="F165" s="53"/>
      <c r="G165" s="53"/>
      <c r="H165" s="53"/>
      <c r="I165" s="54" t="str">
        <f>IFERROR(INDEX('Description Library'!$C$6:$C$808,MATCH($E165&amp;"|"&amp;$F165&amp;"|"&amp;$G165&amp;"|"&amp;$H165,'Description Library'!$K$6:$K$808,0)),"")</f>
        <v/>
      </c>
      <c r="J165" s="9" t="str">
        <f>IFERROR(INDEX('Description Library'!$H$6:$H$808,MATCH($E165&amp;"|"&amp;$F165&amp;"|"&amp;$G165&amp;"|"&amp;$H165,'Description Library'!$K$6:$K$808,0)),"")</f>
        <v/>
      </c>
      <c r="K165" s="55"/>
      <c r="L165" s="56">
        <f>IFERROR(INDEX('Price List Library'!$K$6:$K$437,MATCH(TRIM($H165)&amp;"|"&amp;TRIM($J165),'Price List Library'!$S$6:$S$437,0)),0)</f>
        <v>0</v>
      </c>
      <c r="M165" s="56">
        <f>IFERROR(INDEX('Price List Library'!$N$6:$N$437,MATCH(TRIM($H165)&amp;"|"&amp;TRIM($J165),'Price List Library'!$S$6:$S$437,0)),0)</f>
        <v>0</v>
      </c>
      <c r="N165" s="27">
        <f t="shared" si="13"/>
        <v>0</v>
      </c>
      <c r="O165" s="27" t="str">
        <f t="shared" si="14"/>
        <v/>
      </c>
      <c r="P165" s="9" t="str">
        <f>IFERROR(INDEX('Price List Library'!$P$6:$P$437,MATCH(TRIM($H165)&amp;"|"&amp;TRIM($J165),'Price List Library'!$S$6:$S$437,0)),"")</f>
        <v/>
      </c>
      <c r="Q165" s="53"/>
      <c r="R165" s="29" t="str">
        <f t="shared" si="15"/>
        <v>_NONE</v>
      </c>
      <c r="S165" s="29" t="str">
        <f t="shared" si="16"/>
        <v>_NONE</v>
      </c>
      <c r="T165" s="29" t="str">
        <f t="shared" si="17"/>
        <v>_NONE</v>
      </c>
    </row>
    <row r="166" spans="1:20" ht="15" customHeight="1" x14ac:dyDescent="0.25">
      <c r="A166" s="9" t="str">
        <f t="shared" si="12"/>
        <v/>
      </c>
      <c r="B166" s="52"/>
      <c r="C166" s="52"/>
      <c r="D166" s="53"/>
      <c r="E166" s="53"/>
      <c r="F166" s="53"/>
      <c r="G166" s="53"/>
      <c r="H166" s="53"/>
      <c r="I166" s="54" t="str">
        <f>IFERROR(INDEX('Description Library'!$C$6:$C$808,MATCH($E166&amp;"|"&amp;$F166&amp;"|"&amp;$G166&amp;"|"&amp;$H166,'Description Library'!$K$6:$K$808,0)),"")</f>
        <v/>
      </c>
      <c r="J166" s="9" t="str">
        <f>IFERROR(INDEX('Description Library'!$H$6:$H$808,MATCH($E166&amp;"|"&amp;$F166&amp;"|"&amp;$G166&amp;"|"&amp;$H166,'Description Library'!$K$6:$K$808,0)),"")</f>
        <v/>
      </c>
      <c r="K166" s="55"/>
      <c r="L166" s="56">
        <f>IFERROR(INDEX('Price List Library'!$K$6:$K$437,MATCH(TRIM($H166)&amp;"|"&amp;TRIM($J166),'Price List Library'!$S$6:$S$437,0)),0)</f>
        <v>0</v>
      </c>
      <c r="M166" s="56">
        <f>IFERROR(INDEX('Price List Library'!$N$6:$N$437,MATCH(TRIM($H166)&amp;"|"&amp;TRIM($J166),'Price List Library'!$S$6:$S$437,0)),0)</f>
        <v>0</v>
      </c>
      <c r="N166" s="27">
        <f t="shared" si="13"/>
        <v>0</v>
      </c>
      <c r="O166" s="27" t="str">
        <f t="shared" si="14"/>
        <v/>
      </c>
      <c r="P166" s="9" t="str">
        <f>IFERROR(INDEX('Price List Library'!$P$6:$P$437,MATCH(TRIM($H166)&amp;"|"&amp;TRIM($J166),'Price List Library'!$S$6:$S$437,0)),"")</f>
        <v/>
      </c>
      <c r="Q166" s="53"/>
      <c r="R166" s="29" t="str">
        <f t="shared" si="15"/>
        <v>_NONE</v>
      </c>
      <c r="S166" s="29" t="str">
        <f t="shared" si="16"/>
        <v>_NONE</v>
      </c>
      <c r="T166" s="29" t="str">
        <f t="shared" si="17"/>
        <v>_NONE</v>
      </c>
    </row>
    <row r="167" spans="1:20" ht="15" customHeight="1" x14ac:dyDescent="0.25">
      <c r="A167" s="9" t="str">
        <f t="shared" si="12"/>
        <v/>
      </c>
      <c r="B167" s="52"/>
      <c r="C167" s="52"/>
      <c r="D167" s="53"/>
      <c r="E167" s="53"/>
      <c r="F167" s="53"/>
      <c r="G167" s="53"/>
      <c r="H167" s="53"/>
      <c r="I167" s="54" t="str">
        <f>IFERROR(INDEX('Description Library'!$C$6:$C$808,MATCH($E167&amp;"|"&amp;$F167&amp;"|"&amp;$G167&amp;"|"&amp;$H167,'Description Library'!$K$6:$K$808,0)),"")</f>
        <v/>
      </c>
      <c r="J167" s="9" t="str">
        <f>IFERROR(INDEX('Description Library'!$H$6:$H$808,MATCH($E167&amp;"|"&amp;$F167&amp;"|"&amp;$G167&amp;"|"&amp;$H167,'Description Library'!$K$6:$K$808,0)),"")</f>
        <v/>
      </c>
      <c r="K167" s="55"/>
      <c r="L167" s="56">
        <f>IFERROR(INDEX('Price List Library'!$K$6:$K$437,MATCH(TRIM($H167)&amp;"|"&amp;TRIM($J167),'Price List Library'!$S$6:$S$437,0)),0)</f>
        <v>0</v>
      </c>
      <c r="M167" s="56">
        <f>IFERROR(INDEX('Price List Library'!$N$6:$N$437,MATCH(TRIM($H167)&amp;"|"&amp;TRIM($J167),'Price List Library'!$S$6:$S$437,0)),0)</f>
        <v>0</v>
      </c>
      <c r="N167" s="27">
        <f t="shared" si="13"/>
        <v>0</v>
      </c>
      <c r="O167" s="27" t="str">
        <f t="shared" si="14"/>
        <v/>
      </c>
      <c r="P167" s="9" t="str">
        <f>IFERROR(INDEX('Price List Library'!$P$6:$P$437,MATCH(TRIM($H167)&amp;"|"&amp;TRIM($J167),'Price List Library'!$S$6:$S$437,0)),"")</f>
        <v/>
      </c>
      <c r="Q167" s="53"/>
      <c r="R167" s="29" t="str">
        <f t="shared" si="15"/>
        <v>_NONE</v>
      </c>
      <c r="S167" s="29" t="str">
        <f t="shared" si="16"/>
        <v>_NONE</v>
      </c>
      <c r="T167" s="29" t="str">
        <f t="shared" si="17"/>
        <v>_NONE</v>
      </c>
    </row>
    <row r="168" spans="1:20" ht="15" customHeight="1" x14ac:dyDescent="0.25">
      <c r="A168" s="9" t="str">
        <f t="shared" si="12"/>
        <v/>
      </c>
      <c r="B168" s="52"/>
      <c r="C168" s="52"/>
      <c r="D168" s="53"/>
      <c r="E168" s="53"/>
      <c r="F168" s="53"/>
      <c r="G168" s="53"/>
      <c r="H168" s="53"/>
      <c r="I168" s="54" t="str">
        <f>IFERROR(INDEX('Description Library'!$C$6:$C$808,MATCH($E168&amp;"|"&amp;$F168&amp;"|"&amp;$G168&amp;"|"&amp;$H168,'Description Library'!$K$6:$K$808,0)),"")</f>
        <v/>
      </c>
      <c r="J168" s="9" t="str">
        <f>IFERROR(INDEX('Description Library'!$H$6:$H$808,MATCH($E168&amp;"|"&amp;$F168&amp;"|"&amp;$G168&amp;"|"&amp;$H168,'Description Library'!$K$6:$K$808,0)),"")</f>
        <v/>
      </c>
      <c r="K168" s="55"/>
      <c r="L168" s="56">
        <f>IFERROR(INDEX('Price List Library'!$K$6:$K$437,MATCH(TRIM($H168)&amp;"|"&amp;TRIM($J168),'Price List Library'!$S$6:$S$437,0)),0)</f>
        <v>0</v>
      </c>
      <c r="M168" s="56">
        <f>IFERROR(INDEX('Price List Library'!$N$6:$N$437,MATCH(TRIM($H168)&amp;"|"&amp;TRIM($J168),'Price List Library'!$S$6:$S$437,0)),0)</f>
        <v>0</v>
      </c>
      <c r="N168" s="27">
        <f t="shared" si="13"/>
        <v>0</v>
      </c>
      <c r="O168" s="27" t="str">
        <f t="shared" si="14"/>
        <v/>
      </c>
      <c r="P168" s="9" t="str">
        <f>IFERROR(INDEX('Price List Library'!$P$6:$P$437,MATCH(TRIM($H168)&amp;"|"&amp;TRIM($J168),'Price List Library'!$S$6:$S$437,0)),"")</f>
        <v/>
      </c>
      <c r="Q168" s="53"/>
      <c r="R168" s="29" t="str">
        <f t="shared" si="15"/>
        <v>_NONE</v>
      </c>
      <c r="S168" s="29" t="str">
        <f t="shared" si="16"/>
        <v>_NONE</v>
      </c>
      <c r="T168" s="29" t="str">
        <f t="shared" si="17"/>
        <v>_NONE</v>
      </c>
    </row>
    <row r="169" spans="1:20" ht="15" customHeight="1" x14ac:dyDescent="0.25">
      <c r="A169" s="9" t="str">
        <f t="shared" si="12"/>
        <v/>
      </c>
      <c r="B169" s="52"/>
      <c r="C169" s="52"/>
      <c r="D169" s="53"/>
      <c r="E169" s="53"/>
      <c r="F169" s="53"/>
      <c r="G169" s="53"/>
      <c r="H169" s="53"/>
      <c r="I169" s="54" t="str">
        <f>IFERROR(INDEX('Description Library'!$C$6:$C$808,MATCH($E169&amp;"|"&amp;$F169&amp;"|"&amp;$G169&amp;"|"&amp;$H169,'Description Library'!$K$6:$K$808,0)),"")</f>
        <v/>
      </c>
      <c r="J169" s="9" t="str">
        <f>IFERROR(INDEX('Description Library'!$H$6:$H$808,MATCH($E169&amp;"|"&amp;$F169&amp;"|"&amp;$G169&amp;"|"&amp;$H169,'Description Library'!$K$6:$K$808,0)),"")</f>
        <v/>
      </c>
      <c r="K169" s="55"/>
      <c r="L169" s="56">
        <f>IFERROR(INDEX('Price List Library'!$K$6:$K$437,MATCH(TRIM($H169)&amp;"|"&amp;TRIM($J169),'Price List Library'!$S$6:$S$437,0)),0)</f>
        <v>0</v>
      </c>
      <c r="M169" s="56">
        <f>IFERROR(INDEX('Price List Library'!$N$6:$N$437,MATCH(TRIM($H169)&amp;"|"&amp;TRIM($J169),'Price List Library'!$S$6:$S$437,0)),0)</f>
        <v>0</v>
      </c>
      <c r="N169" s="27">
        <f t="shared" si="13"/>
        <v>0</v>
      </c>
      <c r="O169" s="27" t="str">
        <f t="shared" si="14"/>
        <v/>
      </c>
      <c r="P169" s="9" t="str">
        <f>IFERROR(INDEX('Price List Library'!$P$6:$P$437,MATCH(TRIM($H169)&amp;"|"&amp;TRIM($J169),'Price List Library'!$S$6:$S$437,0)),"")</f>
        <v/>
      </c>
      <c r="Q169" s="53"/>
      <c r="R169" s="29" t="str">
        <f t="shared" si="15"/>
        <v>_NONE</v>
      </c>
      <c r="S169" s="29" t="str">
        <f t="shared" si="16"/>
        <v>_NONE</v>
      </c>
      <c r="T169" s="29" t="str">
        <f t="shared" si="17"/>
        <v>_NONE</v>
      </c>
    </row>
    <row r="170" spans="1:20" ht="15" customHeight="1" x14ac:dyDescent="0.25">
      <c r="A170" s="9" t="str">
        <f t="shared" si="12"/>
        <v/>
      </c>
      <c r="B170" s="52"/>
      <c r="C170" s="52"/>
      <c r="D170" s="53"/>
      <c r="E170" s="53"/>
      <c r="F170" s="53"/>
      <c r="G170" s="53"/>
      <c r="H170" s="53"/>
      <c r="I170" s="54" t="str">
        <f>IFERROR(INDEX('Description Library'!$C$6:$C$808,MATCH($E170&amp;"|"&amp;$F170&amp;"|"&amp;$G170&amp;"|"&amp;$H170,'Description Library'!$K$6:$K$808,0)),"")</f>
        <v/>
      </c>
      <c r="J170" s="9" t="str">
        <f>IFERROR(INDEX('Description Library'!$H$6:$H$808,MATCH($E170&amp;"|"&amp;$F170&amp;"|"&amp;$G170&amp;"|"&amp;$H170,'Description Library'!$K$6:$K$808,0)),"")</f>
        <v/>
      </c>
      <c r="K170" s="55"/>
      <c r="L170" s="56">
        <f>IFERROR(INDEX('Price List Library'!$K$6:$K$437,MATCH(TRIM($H170)&amp;"|"&amp;TRIM($J170),'Price List Library'!$S$6:$S$437,0)),0)</f>
        <v>0</v>
      </c>
      <c r="M170" s="56">
        <f>IFERROR(INDEX('Price List Library'!$N$6:$N$437,MATCH(TRIM($H170)&amp;"|"&amp;TRIM($J170),'Price List Library'!$S$6:$S$437,0)),0)</f>
        <v>0</v>
      </c>
      <c r="N170" s="27">
        <f t="shared" si="13"/>
        <v>0</v>
      </c>
      <c r="O170" s="27" t="str">
        <f t="shared" si="14"/>
        <v/>
      </c>
      <c r="P170" s="9" t="str">
        <f>IFERROR(INDEX('Price List Library'!$P$6:$P$437,MATCH(TRIM($H170)&amp;"|"&amp;TRIM($J170),'Price List Library'!$S$6:$S$437,0)),"")</f>
        <v/>
      </c>
      <c r="Q170" s="53"/>
      <c r="R170" s="29" t="str">
        <f t="shared" si="15"/>
        <v>_NONE</v>
      </c>
      <c r="S170" s="29" t="str">
        <f t="shared" si="16"/>
        <v>_NONE</v>
      </c>
      <c r="T170" s="29" t="str">
        <f t="shared" si="17"/>
        <v>_NONE</v>
      </c>
    </row>
    <row r="171" spans="1:20" ht="15" customHeight="1" x14ac:dyDescent="0.25">
      <c r="A171" s="9" t="str">
        <f t="shared" si="12"/>
        <v/>
      </c>
      <c r="B171" s="52"/>
      <c r="C171" s="52"/>
      <c r="D171" s="53"/>
      <c r="E171" s="53"/>
      <c r="F171" s="53"/>
      <c r="G171" s="53"/>
      <c r="H171" s="53"/>
      <c r="I171" s="54" t="str">
        <f>IFERROR(INDEX('Description Library'!$C$6:$C$808,MATCH($E171&amp;"|"&amp;$F171&amp;"|"&amp;$G171&amp;"|"&amp;$H171,'Description Library'!$K$6:$K$808,0)),"")</f>
        <v/>
      </c>
      <c r="J171" s="9" t="str">
        <f>IFERROR(INDEX('Description Library'!$H$6:$H$808,MATCH($E171&amp;"|"&amp;$F171&amp;"|"&amp;$G171&amp;"|"&amp;$H171,'Description Library'!$K$6:$K$808,0)),"")</f>
        <v/>
      </c>
      <c r="K171" s="55"/>
      <c r="L171" s="56">
        <f>IFERROR(INDEX('Price List Library'!$K$6:$K$437,MATCH(TRIM($H171)&amp;"|"&amp;TRIM($J171),'Price List Library'!$S$6:$S$437,0)),0)</f>
        <v>0</v>
      </c>
      <c r="M171" s="56">
        <f>IFERROR(INDEX('Price List Library'!$N$6:$N$437,MATCH(TRIM($H171)&amp;"|"&amp;TRIM($J171),'Price List Library'!$S$6:$S$437,0)),0)</f>
        <v>0</v>
      </c>
      <c r="N171" s="27">
        <f t="shared" si="13"/>
        <v>0</v>
      </c>
      <c r="O171" s="27" t="str">
        <f t="shared" si="14"/>
        <v/>
      </c>
      <c r="P171" s="9" t="str">
        <f>IFERROR(INDEX('Price List Library'!$P$6:$P$437,MATCH(TRIM($H171)&amp;"|"&amp;TRIM($J171),'Price List Library'!$S$6:$S$437,0)),"")</f>
        <v/>
      </c>
      <c r="Q171" s="53"/>
      <c r="R171" s="29" t="str">
        <f t="shared" si="15"/>
        <v>_NONE</v>
      </c>
      <c r="S171" s="29" t="str">
        <f t="shared" si="16"/>
        <v>_NONE</v>
      </c>
      <c r="T171" s="29" t="str">
        <f t="shared" si="17"/>
        <v>_NONE</v>
      </c>
    </row>
    <row r="172" spans="1:20" ht="15" customHeight="1" x14ac:dyDescent="0.25">
      <c r="A172" s="9" t="str">
        <f t="shared" si="12"/>
        <v/>
      </c>
      <c r="B172" s="52"/>
      <c r="C172" s="52"/>
      <c r="D172" s="53"/>
      <c r="E172" s="53"/>
      <c r="F172" s="53"/>
      <c r="G172" s="53"/>
      <c r="H172" s="53"/>
      <c r="I172" s="54" t="str">
        <f>IFERROR(INDEX('Description Library'!$C$6:$C$808,MATCH($E172&amp;"|"&amp;$F172&amp;"|"&amp;$G172&amp;"|"&amp;$H172,'Description Library'!$K$6:$K$808,0)),"")</f>
        <v/>
      </c>
      <c r="J172" s="9" t="str">
        <f>IFERROR(INDEX('Description Library'!$H$6:$H$808,MATCH($E172&amp;"|"&amp;$F172&amp;"|"&amp;$G172&amp;"|"&amp;$H172,'Description Library'!$K$6:$K$808,0)),"")</f>
        <v/>
      </c>
      <c r="K172" s="55"/>
      <c r="L172" s="56">
        <f>IFERROR(INDEX('Price List Library'!$K$6:$K$437,MATCH(TRIM($H172)&amp;"|"&amp;TRIM($J172),'Price List Library'!$S$6:$S$437,0)),0)</f>
        <v>0</v>
      </c>
      <c r="M172" s="56">
        <f>IFERROR(INDEX('Price List Library'!$N$6:$N$437,MATCH(TRIM($H172)&amp;"|"&amp;TRIM($J172),'Price List Library'!$S$6:$S$437,0)),0)</f>
        <v>0</v>
      </c>
      <c r="N172" s="27">
        <f t="shared" si="13"/>
        <v>0</v>
      </c>
      <c r="O172" s="27" t="str">
        <f t="shared" si="14"/>
        <v/>
      </c>
      <c r="P172" s="9" t="str">
        <f>IFERROR(INDEX('Price List Library'!$P$6:$P$437,MATCH(TRIM($H172)&amp;"|"&amp;TRIM($J172),'Price List Library'!$S$6:$S$437,0)),"")</f>
        <v/>
      </c>
      <c r="Q172" s="53"/>
      <c r="R172" s="29" t="str">
        <f t="shared" si="15"/>
        <v>_NONE</v>
      </c>
      <c r="S172" s="29" t="str">
        <f t="shared" si="16"/>
        <v>_NONE</v>
      </c>
      <c r="T172" s="29" t="str">
        <f t="shared" si="17"/>
        <v>_NONE</v>
      </c>
    </row>
    <row r="173" spans="1:20" ht="15" customHeight="1" x14ac:dyDescent="0.25">
      <c r="A173" s="9" t="str">
        <f t="shared" si="12"/>
        <v/>
      </c>
      <c r="B173" s="52"/>
      <c r="C173" s="52"/>
      <c r="D173" s="53"/>
      <c r="E173" s="53"/>
      <c r="F173" s="53"/>
      <c r="G173" s="53"/>
      <c r="H173" s="53"/>
      <c r="I173" s="54" t="str">
        <f>IFERROR(INDEX('Description Library'!$C$6:$C$808,MATCH($E173&amp;"|"&amp;$F173&amp;"|"&amp;$G173&amp;"|"&amp;$H173,'Description Library'!$K$6:$K$808,0)),"")</f>
        <v/>
      </c>
      <c r="J173" s="9" t="str">
        <f>IFERROR(INDEX('Description Library'!$H$6:$H$808,MATCH($E173&amp;"|"&amp;$F173&amp;"|"&amp;$G173&amp;"|"&amp;$H173,'Description Library'!$K$6:$K$808,0)),"")</f>
        <v/>
      </c>
      <c r="K173" s="55"/>
      <c r="L173" s="56">
        <f>IFERROR(INDEX('Price List Library'!$K$6:$K$437,MATCH(TRIM($H173)&amp;"|"&amp;TRIM($J173),'Price List Library'!$S$6:$S$437,0)),0)</f>
        <v>0</v>
      </c>
      <c r="M173" s="56">
        <f>IFERROR(INDEX('Price List Library'!$N$6:$N$437,MATCH(TRIM($H173)&amp;"|"&amp;TRIM($J173),'Price List Library'!$S$6:$S$437,0)),0)</f>
        <v>0</v>
      </c>
      <c r="N173" s="27">
        <f t="shared" si="13"/>
        <v>0</v>
      </c>
      <c r="O173" s="27" t="str">
        <f t="shared" si="14"/>
        <v/>
      </c>
      <c r="P173" s="9" t="str">
        <f>IFERROR(INDEX('Price List Library'!$P$6:$P$437,MATCH(TRIM($H173)&amp;"|"&amp;TRIM($J173),'Price List Library'!$S$6:$S$437,0)),"")</f>
        <v/>
      </c>
      <c r="Q173" s="53"/>
      <c r="R173" s="29" t="str">
        <f t="shared" si="15"/>
        <v>_NONE</v>
      </c>
      <c r="S173" s="29" t="str">
        <f t="shared" si="16"/>
        <v>_NONE</v>
      </c>
      <c r="T173" s="29" t="str">
        <f t="shared" si="17"/>
        <v>_NONE</v>
      </c>
    </row>
    <row r="174" spans="1:20" ht="15" customHeight="1" x14ac:dyDescent="0.25">
      <c r="A174" s="9" t="str">
        <f t="shared" si="12"/>
        <v/>
      </c>
      <c r="B174" s="52"/>
      <c r="C174" s="52"/>
      <c r="D174" s="53"/>
      <c r="E174" s="53"/>
      <c r="F174" s="53"/>
      <c r="G174" s="53"/>
      <c r="H174" s="53"/>
      <c r="I174" s="54" t="str">
        <f>IFERROR(INDEX('Description Library'!$C$6:$C$808,MATCH($E174&amp;"|"&amp;$F174&amp;"|"&amp;$G174&amp;"|"&amp;$H174,'Description Library'!$K$6:$K$808,0)),"")</f>
        <v/>
      </c>
      <c r="J174" s="9" t="str">
        <f>IFERROR(INDEX('Description Library'!$H$6:$H$808,MATCH($E174&amp;"|"&amp;$F174&amp;"|"&amp;$G174&amp;"|"&amp;$H174,'Description Library'!$K$6:$K$808,0)),"")</f>
        <v/>
      </c>
      <c r="K174" s="55"/>
      <c r="L174" s="56">
        <f>IFERROR(INDEX('Price List Library'!$K$6:$K$437,MATCH(TRIM($H174)&amp;"|"&amp;TRIM($J174),'Price List Library'!$S$6:$S$437,0)),0)</f>
        <v>0</v>
      </c>
      <c r="M174" s="56">
        <f>IFERROR(INDEX('Price List Library'!$N$6:$N$437,MATCH(TRIM($H174)&amp;"|"&amp;TRIM($J174),'Price List Library'!$S$6:$S$437,0)),0)</f>
        <v>0</v>
      </c>
      <c r="N174" s="27">
        <f t="shared" si="13"/>
        <v>0</v>
      </c>
      <c r="O174" s="27" t="str">
        <f t="shared" si="14"/>
        <v/>
      </c>
      <c r="P174" s="9" t="str">
        <f>IFERROR(INDEX('Price List Library'!$P$6:$P$437,MATCH(TRIM($H174)&amp;"|"&amp;TRIM($J174),'Price List Library'!$S$6:$S$437,0)),"")</f>
        <v/>
      </c>
      <c r="Q174" s="53"/>
      <c r="R174" s="29" t="str">
        <f t="shared" si="15"/>
        <v>_NONE</v>
      </c>
      <c r="S174" s="29" t="str">
        <f t="shared" si="16"/>
        <v>_NONE</v>
      </c>
      <c r="T174" s="29" t="str">
        <f t="shared" si="17"/>
        <v>_NONE</v>
      </c>
    </row>
    <row r="175" spans="1:20" ht="15" customHeight="1" x14ac:dyDescent="0.25">
      <c r="A175" s="9" t="str">
        <f t="shared" si="12"/>
        <v/>
      </c>
      <c r="B175" s="52"/>
      <c r="C175" s="52"/>
      <c r="D175" s="53"/>
      <c r="E175" s="53"/>
      <c r="F175" s="53"/>
      <c r="G175" s="53"/>
      <c r="H175" s="53"/>
      <c r="I175" s="54" t="str">
        <f>IFERROR(INDEX('Description Library'!$C$6:$C$808,MATCH($E175&amp;"|"&amp;$F175&amp;"|"&amp;$G175&amp;"|"&amp;$H175,'Description Library'!$K$6:$K$808,0)),"")</f>
        <v/>
      </c>
      <c r="J175" s="9" t="str">
        <f>IFERROR(INDEX('Description Library'!$H$6:$H$808,MATCH($E175&amp;"|"&amp;$F175&amp;"|"&amp;$G175&amp;"|"&amp;$H175,'Description Library'!$K$6:$K$808,0)),"")</f>
        <v/>
      </c>
      <c r="K175" s="55"/>
      <c r="L175" s="56">
        <f>IFERROR(INDEX('Price List Library'!$K$6:$K$437,MATCH(TRIM($H175)&amp;"|"&amp;TRIM($J175),'Price List Library'!$S$6:$S$437,0)),0)</f>
        <v>0</v>
      </c>
      <c r="M175" s="56">
        <f>IFERROR(INDEX('Price List Library'!$N$6:$N$437,MATCH(TRIM($H175)&amp;"|"&amp;TRIM($J175),'Price List Library'!$S$6:$S$437,0)),0)</f>
        <v>0</v>
      </c>
      <c r="N175" s="27">
        <f t="shared" si="13"/>
        <v>0</v>
      </c>
      <c r="O175" s="27" t="str">
        <f t="shared" si="14"/>
        <v/>
      </c>
      <c r="P175" s="9" t="str">
        <f>IFERROR(INDEX('Price List Library'!$P$6:$P$437,MATCH(TRIM($H175)&amp;"|"&amp;TRIM($J175),'Price List Library'!$S$6:$S$437,0)),"")</f>
        <v/>
      </c>
      <c r="Q175" s="53"/>
      <c r="R175" s="29" t="str">
        <f t="shared" si="15"/>
        <v>_NONE</v>
      </c>
      <c r="S175" s="29" t="str">
        <f t="shared" si="16"/>
        <v>_NONE</v>
      </c>
      <c r="T175" s="29" t="str">
        <f t="shared" si="17"/>
        <v>_NONE</v>
      </c>
    </row>
    <row r="176" spans="1:20" ht="15" customHeight="1" x14ac:dyDescent="0.25">
      <c r="A176" s="9" t="str">
        <f t="shared" si="12"/>
        <v/>
      </c>
      <c r="B176" s="52"/>
      <c r="C176" s="52"/>
      <c r="D176" s="53"/>
      <c r="E176" s="53"/>
      <c r="F176" s="53"/>
      <c r="G176" s="53"/>
      <c r="H176" s="53"/>
      <c r="I176" s="54" t="str">
        <f>IFERROR(INDEX('Description Library'!$C$6:$C$808,MATCH($E176&amp;"|"&amp;$F176&amp;"|"&amp;$G176&amp;"|"&amp;$H176,'Description Library'!$K$6:$K$808,0)),"")</f>
        <v/>
      </c>
      <c r="J176" s="9" t="str">
        <f>IFERROR(INDEX('Description Library'!$H$6:$H$808,MATCH($E176&amp;"|"&amp;$F176&amp;"|"&amp;$G176&amp;"|"&amp;$H176,'Description Library'!$K$6:$K$808,0)),"")</f>
        <v/>
      </c>
      <c r="K176" s="55"/>
      <c r="L176" s="56">
        <f>IFERROR(INDEX('Price List Library'!$K$6:$K$437,MATCH(TRIM($H176)&amp;"|"&amp;TRIM($J176),'Price List Library'!$S$6:$S$437,0)),0)</f>
        <v>0</v>
      </c>
      <c r="M176" s="56">
        <f>IFERROR(INDEX('Price List Library'!$N$6:$N$437,MATCH(TRIM($H176)&amp;"|"&amp;TRIM($J176),'Price List Library'!$S$6:$S$437,0)),0)</f>
        <v>0</v>
      </c>
      <c r="N176" s="27">
        <f t="shared" si="13"/>
        <v>0</v>
      </c>
      <c r="O176" s="27" t="str">
        <f t="shared" si="14"/>
        <v/>
      </c>
      <c r="P176" s="9" t="str">
        <f>IFERROR(INDEX('Price List Library'!$P$6:$P$437,MATCH(TRIM($H176)&amp;"|"&amp;TRIM($J176),'Price List Library'!$S$6:$S$437,0)),"")</f>
        <v/>
      </c>
      <c r="Q176" s="53"/>
      <c r="R176" s="29" t="str">
        <f t="shared" si="15"/>
        <v>_NONE</v>
      </c>
      <c r="S176" s="29" t="str">
        <f t="shared" si="16"/>
        <v>_NONE</v>
      </c>
      <c r="T176" s="29" t="str">
        <f t="shared" si="17"/>
        <v>_NONE</v>
      </c>
    </row>
    <row r="177" spans="1:20" ht="15" customHeight="1" x14ac:dyDescent="0.25">
      <c r="A177" s="9" t="str">
        <f t="shared" si="12"/>
        <v/>
      </c>
      <c r="B177" s="52"/>
      <c r="C177" s="52"/>
      <c r="D177" s="53"/>
      <c r="E177" s="53"/>
      <c r="F177" s="53"/>
      <c r="G177" s="53"/>
      <c r="H177" s="53"/>
      <c r="I177" s="54" t="str">
        <f>IFERROR(INDEX('Description Library'!$C$6:$C$808,MATCH($E177&amp;"|"&amp;$F177&amp;"|"&amp;$G177&amp;"|"&amp;$H177,'Description Library'!$K$6:$K$808,0)),"")</f>
        <v/>
      </c>
      <c r="J177" s="9" t="str">
        <f>IFERROR(INDEX('Description Library'!$H$6:$H$808,MATCH($E177&amp;"|"&amp;$F177&amp;"|"&amp;$G177&amp;"|"&amp;$H177,'Description Library'!$K$6:$K$808,0)),"")</f>
        <v/>
      </c>
      <c r="K177" s="55"/>
      <c r="L177" s="56">
        <f>IFERROR(INDEX('Price List Library'!$K$6:$K$437,MATCH(TRIM($H177)&amp;"|"&amp;TRIM($J177),'Price List Library'!$S$6:$S$437,0)),0)</f>
        <v>0</v>
      </c>
      <c r="M177" s="56">
        <f>IFERROR(INDEX('Price List Library'!$N$6:$N$437,MATCH(TRIM($H177)&amp;"|"&amp;TRIM($J177),'Price List Library'!$S$6:$S$437,0)),0)</f>
        <v>0</v>
      </c>
      <c r="N177" s="27">
        <f t="shared" si="13"/>
        <v>0</v>
      </c>
      <c r="O177" s="27" t="str">
        <f t="shared" si="14"/>
        <v/>
      </c>
      <c r="P177" s="9" t="str">
        <f>IFERROR(INDEX('Price List Library'!$P$6:$P$437,MATCH(TRIM($H177)&amp;"|"&amp;TRIM($J177),'Price List Library'!$S$6:$S$437,0)),"")</f>
        <v/>
      </c>
      <c r="Q177" s="53"/>
      <c r="R177" s="29" t="str">
        <f t="shared" si="15"/>
        <v>_NONE</v>
      </c>
      <c r="S177" s="29" t="str">
        <f t="shared" si="16"/>
        <v>_NONE</v>
      </c>
      <c r="T177" s="29" t="str">
        <f t="shared" si="17"/>
        <v>_NONE</v>
      </c>
    </row>
    <row r="178" spans="1:20" ht="15" customHeight="1" x14ac:dyDescent="0.25">
      <c r="A178" s="9" t="str">
        <f t="shared" si="12"/>
        <v/>
      </c>
      <c r="B178" s="52"/>
      <c r="C178" s="52"/>
      <c r="D178" s="53"/>
      <c r="E178" s="53"/>
      <c r="F178" s="53"/>
      <c r="G178" s="53"/>
      <c r="H178" s="53"/>
      <c r="I178" s="54" t="str">
        <f>IFERROR(INDEX('Description Library'!$C$6:$C$808,MATCH($E178&amp;"|"&amp;$F178&amp;"|"&amp;$G178&amp;"|"&amp;$H178,'Description Library'!$K$6:$K$808,0)),"")</f>
        <v/>
      </c>
      <c r="J178" s="9" t="str">
        <f>IFERROR(INDEX('Description Library'!$H$6:$H$808,MATCH($E178&amp;"|"&amp;$F178&amp;"|"&amp;$G178&amp;"|"&amp;$H178,'Description Library'!$K$6:$K$808,0)),"")</f>
        <v/>
      </c>
      <c r="K178" s="55"/>
      <c r="L178" s="56">
        <f>IFERROR(INDEX('Price List Library'!$K$6:$K$437,MATCH(TRIM($H178)&amp;"|"&amp;TRIM($J178),'Price List Library'!$S$6:$S$437,0)),0)</f>
        <v>0</v>
      </c>
      <c r="M178" s="56">
        <f>IFERROR(INDEX('Price List Library'!$N$6:$N$437,MATCH(TRIM($H178)&amp;"|"&amp;TRIM($J178),'Price List Library'!$S$6:$S$437,0)),0)</f>
        <v>0</v>
      </c>
      <c r="N178" s="27">
        <f t="shared" si="13"/>
        <v>0</v>
      </c>
      <c r="O178" s="27" t="str">
        <f t="shared" si="14"/>
        <v/>
      </c>
      <c r="P178" s="9" t="str">
        <f>IFERROR(INDEX('Price List Library'!$P$6:$P$437,MATCH(TRIM($H178)&amp;"|"&amp;TRIM($J178),'Price List Library'!$S$6:$S$437,0)),"")</f>
        <v/>
      </c>
      <c r="Q178" s="53"/>
      <c r="R178" s="29" t="str">
        <f t="shared" si="15"/>
        <v>_NONE</v>
      </c>
      <c r="S178" s="29" t="str">
        <f t="shared" si="16"/>
        <v>_NONE</v>
      </c>
      <c r="T178" s="29" t="str">
        <f t="shared" si="17"/>
        <v>_NONE</v>
      </c>
    </row>
    <row r="179" spans="1:20" ht="15" customHeight="1" x14ac:dyDescent="0.25">
      <c r="A179" s="9" t="str">
        <f t="shared" si="12"/>
        <v/>
      </c>
      <c r="B179" s="52"/>
      <c r="C179" s="52"/>
      <c r="D179" s="53"/>
      <c r="E179" s="53"/>
      <c r="F179" s="53"/>
      <c r="G179" s="53"/>
      <c r="H179" s="53"/>
      <c r="I179" s="54" t="str">
        <f>IFERROR(INDEX('Description Library'!$C$6:$C$808,MATCH($E179&amp;"|"&amp;$F179&amp;"|"&amp;$G179&amp;"|"&amp;$H179,'Description Library'!$K$6:$K$808,0)),"")</f>
        <v/>
      </c>
      <c r="J179" s="9" t="str">
        <f>IFERROR(INDEX('Description Library'!$H$6:$H$808,MATCH($E179&amp;"|"&amp;$F179&amp;"|"&amp;$G179&amp;"|"&amp;$H179,'Description Library'!$K$6:$K$808,0)),"")</f>
        <v/>
      </c>
      <c r="K179" s="55"/>
      <c r="L179" s="56">
        <f>IFERROR(INDEX('Price List Library'!$K$6:$K$437,MATCH(TRIM($H179)&amp;"|"&amp;TRIM($J179),'Price List Library'!$S$6:$S$437,0)),0)</f>
        <v>0</v>
      </c>
      <c r="M179" s="56">
        <f>IFERROR(INDEX('Price List Library'!$N$6:$N$437,MATCH(TRIM($H179)&amp;"|"&amp;TRIM($J179),'Price List Library'!$S$6:$S$437,0)),0)</f>
        <v>0</v>
      </c>
      <c r="N179" s="27">
        <f t="shared" si="13"/>
        <v>0</v>
      </c>
      <c r="O179" s="27" t="str">
        <f t="shared" si="14"/>
        <v/>
      </c>
      <c r="P179" s="9" t="str">
        <f>IFERROR(INDEX('Price List Library'!$P$6:$P$437,MATCH(TRIM($H179)&amp;"|"&amp;TRIM($J179),'Price List Library'!$S$6:$S$437,0)),"")</f>
        <v/>
      </c>
      <c r="Q179" s="53"/>
      <c r="R179" s="29" t="str">
        <f t="shared" si="15"/>
        <v>_NONE</v>
      </c>
      <c r="S179" s="29" t="str">
        <f t="shared" si="16"/>
        <v>_NONE</v>
      </c>
      <c r="T179" s="29" t="str">
        <f t="shared" si="17"/>
        <v>_NONE</v>
      </c>
    </row>
    <row r="180" spans="1:20" ht="15" customHeight="1" x14ac:dyDescent="0.25">
      <c r="A180" s="9" t="str">
        <f t="shared" si="12"/>
        <v/>
      </c>
      <c r="B180" s="52"/>
      <c r="C180" s="52"/>
      <c r="D180" s="53"/>
      <c r="E180" s="53"/>
      <c r="F180" s="53"/>
      <c r="G180" s="53"/>
      <c r="H180" s="53"/>
      <c r="I180" s="54" t="str">
        <f>IFERROR(INDEX('Description Library'!$C$6:$C$808,MATCH($E180&amp;"|"&amp;$F180&amp;"|"&amp;$G180&amp;"|"&amp;$H180,'Description Library'!$K$6:$K$808,0)),"")</f>
        <v/>
      </c>
      <c r="J180" s="9" t="str">
        <f>IFERROR(INDEX('Description Library'!$H$6:$H$808,MATCH($E180&amp;"|"&amp;$F180&amp;"|"&amp;$G180&amp;"|"&amp;$H180,'Description Library'!$K$6:$K$808,0)),"")</f>
        <v/>
      </c>
      <c r="K180" s="55"/>
      <c r="L180" s="56">
        <f>IFERROR(INDEX('Price List Library'!$K$6:$K$437,MATCH(TRIM($H180)&amp;"|"&amp;TRIM($J180),'Price List Library'!$S$6:$S$437,0)),0)</f>
        <v>0</v>
      </c>
      <c r="M180" s="56">
        <f>IFERROR(INDEX('Price List Library'!$N$6:$N$437,MATCH(TRIM($H180)&amp;"|"&amp;TRIM($J180),'Price List Library'!$S$6:$S$437,0)),0)</f>
        <v>0</v>
      </c>
      <c r="N180" s="27">
        <f t="shared" si="13"/>
        <v>0</v>
      </c>
      <c r="O180" s="27" t="str">
        <f t="shared" si="14"/>
        <v/>
      </c>
      <c r="P180" s="9" t="str">
        <f>IFERROR(INDEX('Price List Library'!$P$6:$P$437,MATCH(TRIM($H180)&amp;"|"&amp;TRIM($J180),'Price List Library'!$S$6:$S$437,0)),"")</f>
        <v/>
      </c>
      <c r="Q180" s="53"/>
      <c r="R180" s="29" t="str">
        <f t="shared" si="15"/>
        <v>_NONE</v>
      </c>
      <c r="S180" s="29" t="str">
        <f t="shared" si="16"/>
        <v>_NONE</v>
      </c>
      <c r="T180" s="29" t="str">
        <f t="shared" si="17"/>
        <v>_NONE</v>
      </c>
    </row>
    <row r="181" spans="1:20" ht="15" customHeight="1" x14ac:dyDescent="0.25">
      <c r="A181" s="9" t="str">
        <f t="shared" si="12"/>
        <v/>
      </c>
      <c r="B181" s="52"/>
      <c r="C181" s="52"/>
      <c r="D181" s="53"/>
      <c r="E181" s="53"/>
      <c r="F181" s="53"/>
      <c r="G181" s="53"/>
      <c r="H181" s="53"/>
      <c r="I181" s="54" t="str">
        <f>IFERROR(INDEX('Description Library'!$C$6:$C$808,MATCH($E181&amp;"|"&amp;$F181&amp;"|"&amp;$G181&amp;"|"&amp;$H181,'Description Library'!$K$6:$K$808,0)),"")</f>
        <v/>
      </c>
      <c r="J181" s="9" t="str">
        <f>IFERROR(INDEX('Description Library'!$H$6:$H$808,MATCH($E181&amp;"|"&amp;$F181&amp;"|"&amp;$G181&amp;"|"&amp;$H181,'Description Library'!$K$6:$K$808,0)),"")</f>
        <v/>
      </c>
      <c r="K181" s="55"/>
      <c r="L181" s="56">
        <f>IFERROR(INDEX('Price List Library'!$K$6:$K$437,MATCH(TRIM($H181)&amp;"|"&amp;TRIM($J181),'Price List Library'!$S$6:$S$437,0)),0)</f>
        <v>0</v>
      </c>
      <c r="M181" s="56">
        <f>IFERROR(INDEX('Price List Library'!$N$6:$N$437,MATCH(TRIM($H181)&amp;"|"&amp;TRIM($J181),'Price List Library'!$S$6:$S$437,0)),0)</f>
        <v>0</v>
      </c>
      <c r="N181" s="27">
        <f t="shared" si="13"/>
        <v>0</v>
      </c>
      <c r="O181" s="27" t="str">
        <f t="shared" si="14"/>
        <v/>
      </c>
      <c r="P181" s="9" t="str">
        <f>IFERROR(INDEX('Price List Library'!$P$6:$P$437,MATCH(TRIM($H181)&amp;"|"&amp;TRIM($J181),'Price List Library'!$S$6:$S$437,0)),"")</f>
        <v/>
      </c>
      <c r="Q181" s="53"/>
      <c r="R181" s="29" t="str">
        <f t="shared" si="15"/>
        <v>_NONE</v>
      </c>
      <c r="S181" s="29" t="str">
        <f t="shared" si="16"/>
        <v>_NONE</v>
      </c>
      <c r="T181" s="29" t="str">
        <f t="shared" si="17"/>
        <v>_NONE</v>
      </c>
    </row>
    <row r="182" spans="1:20" ht="15" customHeight="1" x14ac:dyDescent="0.25">
      <c r="A182" s="9" t="str">
        <f t="shared" si="12"/>
        <v/>
      </c>
      <c r="B182" s="52"/>
      <c r="C182" s="52"/>
      <c r="D182" s="53"/>
      <c r="E182" s="53"/>
      <c r="F182" s="53"/>
      <c r="G182" s="53"/>
      <c r="H182" s="53"/>
      <c r="I182" s="54" t="str">
        <f>IFERROR(INDEX('Description Library'!$C$6:$C$808,MATCH($E182&amp;"|"&amp;$F182&amp;"|"&amp;$G182&amp;"|"&amp;$H182,'Description Library'!$K$6:$K$808,0)),"")</f>
        <v/>
      </c>
      <c r="J182" s="9" t="str">
        <f>IFERROR(INDEX('Description Library'!$H$6:$H$808,MATCH($E182&amp;"|"&amp;$F182&amp;"|"&amp;$G182&amp;"|"&amp;$H182,'Description Library'!$K$6:$K$808,0)),"")</f>
        <v/>
      </c>
      <c r="K182" s="55"/>
      <c r="L182" s="56">
        <f>IFERROR(INDEX('Price List Library'!$K$6:$K$437,MATCH(TRIM($H182)&amp;"|"&amp;TRIM($J182),'Price List Library'!$S$6:$S$437,0)),0)</f>
        <v>0</v>
      </c>
      <c r="M182" s="56">
        <f>IFERROR(INDEX('Price List Library'!$N$6:$N$437,MATCH(TRIM($H182)&amp;"|"&amp;TRIM($J182),'Price List Library'!$S$6:$S$437,0)),0)</f>
        <v>0</v>
      </c>
      <c r="N182" s="27">
        <f t="shared" si="13"/>
        <v>0</v>
      </c>
      <c r="O182" s="27" t="str">
        <f t="shared" si="14"/>
        <v/>
      </c>
      <c r="P182" s="9" t="str">
        <f>IFERROR(INDEX('Price List Library'!$P$6:$P$437,MATCH(TRIM($H182)&amp;"|"&amp;TRIM($J182),'Price List Library'!$S$6:$S$437,0)),"")</f>
        <v/>
      </c>
      <c r="Q182" s="53"/>
      <c r="R182" s="29" t="str">
        <f t="shared" si="15"/>
        <v>_NONE</v>
      </c>
      <c r="S182" s="29" t="str">
        <f t="shared" si="16"/>
        <v>_NONE</v>
      </c>
      <c r="T182" s="29" t="str">
        <f t="shared" si="17"/>
        <v>_NONE</v>
      </c>
    </row>
    <row r="183" spans="1:20" ht="15" customHeight="1" x14ac:dyDescent="0.25">
      <c r="A183" s="9" t="str">
        <f t="shared" si="12"/>
        <v/>
      </c>
      <c r="B183" s="52"/>
      <c r="C183" s="52"/>
      <c r="D183" s="53"/>
      <c r="E183" s="53"/>
      <c r="F183" s="53"/>
      <c r="G183" s="53"/>
      <c r="H183" s="53"/>
      <c r="I183" s="54" t="str">
        <f>IFERROR(INDEX('Description Library'!$C$6:$C$808,MATCH($E183&amp;"|"&amp;$F183&amp;"|"&amp;$G183&amp;"|"&amp;$H183,'Description Library'!$K$6:$K$808,0)),"")</f>
        <v/>
      </c>
      <c r="J183" s="9" t="str">
        <f>IFERROR(INDEX('Description Library'!$H$6:$H$808,MATCH($E183&amp;"|"&amp;$F183&amp;"|"&amp;$G183&amp;"|"&amp;$H183,'Description Library'!$K$6:$K$808,0)),"")</f>
        <v/>
      </c>
      <c r="K183" s="55"/>
      <c r="L183" s="56">
        <f>IFERROR(INDEX('Price List Library'!$K$6:$K$437,MATCH(TRIM($H183)&amp;"|"&amp;TRIM($J183),'Price List Library'!$S$6:$S$437,0)),0)</f>
        <v>0</v>
      </c>
      <c r="M183" s="56">
        <f>IFERROR(INDEX('Price List Library'!$N$6:$N$437,MATCH(TRIM($H183)&amp;"|"&amp;TRIM($J183),'Price List Library'!$S$6:$S$437,0)),0)</f>
        <v>0</v>
      </c>
      <c r="N183" s="27">
        <f t="shared" si="13"/>
        <v>0</v>
      </c>
      <c r="O183" s="27" t="str">
        <f t="shared" si="14"/>
        <v/>
      </c>
      <c r="P183" s="9" t="str">
        <f>IFERROR(INDEX('Price List Library'!$P$6:$P$437,MATCH(TRIM($H183)&amp;"|"&amp;TRIM($J183),'Price List Library'!$S$6:$S$437,0)),"")</f>
        <v/>
      </c>
      <c r="Q183" s="53"/>
      <c r="R183" s="29" t="str">
        <f t="shared" si="15"/>
        <v>_NONE</v>
      </c>
      <c r="S183" s="29" t="str">
        <f t="shared" si="16"/>
        <v>_NONE</v>
      </c>
      <c r="T183" s="29" t="str">
        <f t="shared" si="17"/>
        <v>_NONE</v>
      </c>
    </row>
    <row r="184" spans="1:20" ht="15" customHeight="1" x14ac:dyDescent="0.25">
      <c r="A184" s="9" t="str">
        <f t="shared" si="12"/>
        <v/>
      </c>
      <c r="B184" s="52"/>
      <c r="C184" s="52"/>
      <c r="D184" s="53"/>
      <c r="E184" s="53"/>
      <c r="F184" s="53"/>
      <c r="G184" s="53"/>
      <c r="H184" s="53"/>
      <c r="I184" s="54" t="str">
        <f>IFERROR(INDEX('Description Library'!$C$6:$C$808,MATCH($E184&amp;"|"&amp;$F184&amp;"|"&amp;$G184&amp;"|"&amp;$H184,'Description Library'!$K$6:$K$808,0)),"")</f>
        <v/>
      </c>
      <c r="J184" s="9" t="str">
        <f>IFERROR(INDEX('Description Library'!$H$6:$H$808,MATCH($E184&amp;"|"&amp;$F184&amp;"|"&amp;$G184&amp;"|"&amp;$H184,'Description Library'!$K$6:$K$808,0)),"")</f>
        <v/>
      </c>
      <c r="K184" s="55"/>
      <c r="L184" s="56">
        <f>IFERROR(INDEX('Price List Library'!$K$6:$K$437,MATCH(TRIM($H184)&amp;"|"&amp;TRIM($J184),'Price List Library'!$S$6:$S$437,0)),0)</f>
        <v>0</v>
      </c>
      <c r="M184" s="56">
        <f>IFERROR(INDEX('Price List Library'!$N$6:$N$437,MATCH(TRIM($H184)&amp;"|"&amp;TRIM($J184),'Price List Library'!$S$6:$S$437,0)),0)</f>
        <v>0</v>
      </c>
      <c r="N184" s="27">
        <f t="shared" si="13"/>
        <v>0</v>
      </c>
      <c r="O184" s="27" t="str">
        <f t="shared" si="14"/>
        <v/>
      </c>
      <c r="P184" s="9" t="str">
        <f>IFERROR(INDEX('Price List Library'!$P$6:$P$437,MATCH(TRIM($H184)&amp;"|"&amp;TRIM($J184),'Price List Library'!$S$6:$S$437,0)),"")</f>
        <v/>
      </c>
      <c r="Q184" s="53"/>
      <c r="R184" s="29" t="str">
        <f t="shared" si="15"/>
        <v>_NONE</v>
      </c>
      <c r="S184" s="29" t="str">
        <f t="shared" si="16"/>
        <v>_NONE</v>
      </c>
      <c r="T184" s="29" t="str">
        <f t="shared" si="17"/>
        <v>_NONE</v>
      </c>
    </row>
    <row r="185" spans="1:20" ht="15" customHeight="1" x14ac:dyDescent="0.25">
      <c r="A185" s="9" t="str">
        <f t="shared" si="12"/>
        <v/>
      </c>
      <c r="B185" s="52"/>
      <c r="C185" s="52"/>
      <c r="D185" s="53"/>
      <c r="E185" s="53"/>
      <c r="F185" s="53"/>
      <c r="G185" s="53"/>
      <c r="H185" s="53"/>
      <c r="I185" s="54" t="str">
        <f>IFERROR(INDEX('Description Library'!$C$6:$C$808,MATCH($E185&amp;"|"&amp;$F185&amp;"|"&amp;$G185&amp;"|"&amp;$H185,'Description Library'!$K$6:$K$808,0)),"")</f>
        <v/>
      </c>
      <c r="J185" s="9" t="str">
        <f>IFERROR(INDEX('Description Library'!$H$6:$H$808,MATCH($E185&amp;"|"&amp;$F185&amp;"|"&amp;$G185&amp;"|"&amp;$H185,'Description Library'!$K$6:$K$808,0)),"")</f>
        <v/>
      </c>
      <c r="K185" s="55"/>
      <c r="L185" s="56">
        <f>IFERROR(INDEX('Price List Library'!$K$6:$K$437,MATCH(TRIM($H185)&amp;"|"&amp;TRIM($J185),'Price List Library'!$S$6:$S$437,0)),0)</f>
        <v>0</v>
      </c>
      <c r="M185" s="56">
        <f>IFERROR(INDEX('Price List Library'!$N$6:$N$437,MATCH(TRIM($H185)&amp;"|"&amp;TRIM($J185),'Price List Library'!$S$6:$S$437,0)),0)</f>
        <v>0</v>
      </c>
      <c r="N185" s="27">
        <f t="shared" si="13"/>
        <v>0</v>
      </c>
      <c r="O185" s="27" t="str">
        <f t="shared" si="14"/>
        <v/>
      </c>
      <c r="P185" s="9" t="str">
        <f>IFERROR(INDEX('Price List Library'!$P$6:$P$437,MATCH(TRIM($H185)&amp;"|"&amp;TRIM($J185),'Price List Library'!$S$6:$S$437,0)),"")</f>
        <v/>
      </c>
      <c r="Q185" s="53"/>
      <c r="R185" s="29" t="str">
        <f t="shared" si="15"/>
        <v>_NONE</v>
      </c>
      <c r="S185" s="29" t="str">
        <f t="shared" si="16"/>
        <v>_NONE</v>
      </c>
      <c r="T185" s="29" t="str">
        <f t="shared" si="17"/>
        <v>_NONE</v>
      </c>
    </row>
    <row r="186" spans="1:20" ht="15" customHeight="1" x14ac:dyDescent="0.25">
      <c r="A186" s="9" t="str">
        <f t="shared" si="12"/>
        <v/>
      </c>
      <c r="B186" s="52"/>
      <c r="C186" s="52"/>
      <c r="D186" s="53"/>
      <c r="E186" s="53"/>
      <c r="F186" s="53"/>
      <c r="G186" s="53"/>
      <c r="H186" s="53"/>
      <c r="I186" s="54" t="str">
        <f>IFERROR(INDEX('Description Library'!$C$6:$C$808,MATCH($E186&amp;"|"&amp;$F186&amp;"|"&amp;$G186&amp;"|"&amp;$H186,'Description Library'!$K$6:$K$808,0)),"")</f>
        <v/>
      </c>
      <c r="J186" s="9" t="str">
        <f>IFERROR(INDEX('Description Library'!$H$6:$H$808,MATCH($E186&amp;"|"&amp;$F186&amp;"|"&amp;$G186&amp;"|"&amp;$H186,'Description Library'!$K$6:$K$808,0)),"")</f>
        <v/>
      </c>
      <c r="K186" s="55"/>
      <c r="L186" s="56">
        <f>IFERROR(INDEX('Price List Library'!$K$6:$K$437,MATCH(TRIM($H186)&amp;"|"&amp;TRIM($J186),'Price List Library'!$S$6:$S$437,0)),0)</f>
        <v>0</v>
      </c>
      <c r="M186" s="56">
        <f>IFERROR(INDEX('Price List Library'!$N$6:$N$437,MATCH(TRIM($H186)&amp;"|"&amp;TRIM($J186),'Price List Library'!$S$6:$S$437,0)),0)</f>
        <v>0</v>
      </c>
      <c r="N186" s="27">
        <f t="shared" si="13"/>
        <v>0</v>
      </c>
      <c r="O186" s="27" t="str">
        <f t="shared" si="14"/>
        <v/>
      </c>
      <c r="P186" s="9" t="str">
        <f>IFERROR(INDEX('Price List Library'!$P$6:$P$437,MATCH(TRIM($H186)&amp;"|"&amp;TRIM($J186),'Price List Library'!$S$6:$S$437,0)),"")</f>
        <v/>
      </c>
      <c r="Q186" s="53"/>
      <c r="R186" s="29" t="str">
        <f t="shared" si="15"/>
        <v>_NONE</v>
      </c>
      <c r="S186" s="29" t="str">
        <f t="shared" si="16"/>
        <v>_NONE</v>
      </c>
      <c r="T186" s="29" t="str">
        <f t="shared" si="17"/>
        <v>_NONE</v>
      </c>
    </row>
    <row r="187" spans="1:20" ht="15" customHeight="1" x14ac:dyDescent="0.25">
      <c r="A187" s="9" t="str">
        <f t="shared" si="12"/>
        <v/>
      </c>
      <c r="B187" s="52"/>
      <c r="C187" s="52"/>
      <c r="D187" s="53"/>
      <c r="E187" s="53"/>
      <c r="F187" s="53"/>
      <c r="G187" s="53"/>
      <c r="H187" s="53"/>
      <c r="I187" s="54" t="str">
        <f>IFERROR(INDEX('Description Library'!$C$6:$C$808,MATCH($E187&amp;"|"&amp;$F187&amp;"|"&amp;$G187&amp;"|"&amp;$H187,'Description Library'!$K$6:$K$808,0)),"")</f>
        <v/>
      </c>
      <c r="J187" s="9" t="str">
        <f>IFERROR(INDEX('Description Library'!$H$6:$H$808,MATCH($E187&amp;"|"&amp;$F187&amp;"|"&amp;$G187&amp;"|"&amp;$H187,'Description Library'!$K$6:$K$808,0)),"")</f>
        <v/>
      </c>
      <c r="K187" s="55"/>
      <c r="L187" s="56">
        <f>IFERROR(INDEX('Price List Library'!$K$6:$K$437,MATCH(TRIM($H187)&amp;"|"&amp;TRIM($J187),'Price List Library'!$S$6:$S$437,0)),0)</f>
        <v>0</v>
      </c>
      <c r="M187" s="56">
        <f>IFERROR(INDEX('Price List Library'!$N$6:$N$437,MATCH(TRIM($H187)&amp;"|"&amp;TRIM($J187),'Price List Library'!$S$6:$S$437,0)),0)</f>
        <v>0</v>
      </c>
      <c r="N187" s="27">
        <f t="shared" si="13"/>
        <v>0</v>
      </c>
      <c r="O187" s="27" t="str">
        <f t="shared" si="14"/>
        <v/>
      </c>
      <c r="P187" s="9" t="str">
        <f>IFERROR(INDEX('Price List Library'!$P$6:$P$437,MATCH(TRIM($H187)&amp;"|"&amp;TRIM($J187),'Price List Library'!$S$6:$S$437,0)),"")</f>
        <v/>
      </c>
      <c r="Q187" s="53"/>
      <c r="R187" s="29" t="str">
        <f t="shared" si="15"/>
        <v>_NONE</v>
      </c>
      <c r="S187" s="29" t="str">
        <f t="shared" si="16"/>
        <v>_NONE</v>
      </c>
      <c r="T187" s="29" t="str">
        <f t="shared" si="17"/>
        <v>_NONE</v>
      </c>
    </row>
    <row r="188" spans="1:20" ht="15" customHeight="1" x14ac:dyDescent="0.25">
      <c r="A188" s="9" t="str">
        <f t="shared" si="12"/>
        <v/>
      </c>
      <c r="B188" s="52"/>
      <c r="C188" s="52"/>
      <c r="D188" s="53"/>
      <c r="E188" s="53"/>
      <c r="F188" s="53"/>
      <c r="G188" s="53"/>
      <c r="H188" s="53"/>
      <c r="I188" s="54" t="str">
        <f>IFERROR(INDEX('Description Library'!$C$6:$C$808,MATCH($E188&amp;"|"&amp;$F188&amp;"|"&amp;$G188&amp;"|"&amp;$H188,'Description Library'!$K$6:$K$808,0)),"")</f>
        <v/>
      </c>
      <c r="J188" s="9" t="str">
        <f>IFERROR(INDEX('Description Library'!$H$6:$H$808,MATCH($E188&amp;"|"&amp;$F188&amp;"|"&amp;$G188&amp;"|"&amp;$H188,'Description Library'!$K$6:$K$808,0)),"")</f>
        <v/>
      </c>
      <c r="K188" s="55"/>
      <c r="L188" s="56">
        <f>IFERROR(INDEX('Price List Library'!$K$6:$K$437,MATCH(TRIM($H188)&amp;"|"&amp;TRIM($J188),'Price List Library'!$S$6:$S$437,0)),0)</f>
        <v>0</v>
      </c>
      <c r="M188" s="56">
        <f>IFERROR(INDEX('Price List Library'!$N$6:$N$437,MATCH(TRIM($H188)&amp;"|"&amp;TRIM($J188),'Price List Library'!$S$6:$S$437,0)),0)</f>
        <v>0</v>
      </c>
      <c r="N188" s="27">
        <f t="shared" si="13"/>
        <v>0</v>
      </c>
      <c r="O188" s="27" t="str">
        <f t="shared" si="14"/>
        <v/>
      </c>
      <c r="P188" s="9" t="str">
        <f>IFERROR(INDEX('Price List Library'!$P$6:$P$437,MATCH(TRIM($H188)&amp;"|"&amp;TRIM($J188),'Price List Library'!$S$6:$S$437,0)),"")</f>
        <v/>
      </c>
      <c r="Q188" s="53"/>
      <c r="R188" s="29" t="str">
        <f t="shared" si="15"/>
        <v>_NONE</v>
      </c>
      <c r="S188" s="29" t="str">
        <f t="shared" si="16"/>
        <v>_NONE</v>
      </c>
      <c r="T188" s="29" t="str">
        <f t="shared" si="17"/>
        <v>_NONE</v>
      </c>
    </row>
    <row r="189" spans="1:20" ht="15" customHeight="1" x14ac:dyDescent="0.25">
      <c r="A189" s="9" t="str">
        <f t="shared" si="12"/>
        <v/>
      </c>
      <c r="B189" s="52"/>
      <c r="C189" s="52"/>
      <c r="D189" s="53"/>
      <c r="E189" s="53"/>
      <c r="F189" s="53"/>
      <c r="G189" s="53"/>
      <c r="H189" s="53"/>
      <c r="I189" s="54" t="str">
        <f>IFERROR(INDEX('Description Library'!$C$6:$C$808,MATCH($E189&amp;"|"&amp;$F189&amp;"|"&amp;$G189&amp;"|"&amp;$H189,'Description Library'!$K$6:$K$808,0)),"")</f>
        <v/>
      </c>
      <c r="J189" s="9" t="str">
        <f>IFERROR(INDEX('Description Library'!$H$6:$H$808,MATCH($E189&amp;"|"&amp;$F189&amp;"|"&amp;$G189&amp;"|"&amp;$H189,'Description Library'!$K$6:$K$808,0)),"")</f>
        <v/>
      </c>
      <c r="K189" s="55"/>
      <c r="L189" s="56">
        <f>IFERROR(INDEX('Price List Library'!$K$6:$K$437,MATCH(TRIM($H189)&amp;"|"&amp;TRIM($J189),'Price List Library'!$S$6:$S$437,0)),0)</f>
        <v>0</v>
      </c>
      <c r="M189" s="56">
        <f>IFERROR(INDEX('Price List Library'!$N$6:$N$437,MATCH(TRIM($H189)&amp;"|"&amp;TRIM($J189),'Price List Library'!$S$6:$S$437,0)),0)</f>
        <v>0</v>
      </c>
      <c r="N189" s="27">
        <f t="shared" si="13"/>
        <v>0</v>
      </c>
      <c r="O189" s="27" t="str">
        <f t="shared" si="14"/>
        <v/>
      </c>
      <c r="P189" s="9" t="str">
        <f>IFERROR(INDEX('Price List Library'!$P$6:$P$437,MATCH(TRIM($H189)&amp;"|"&amp;TRIM($J189),'Price List Library'!$S$6:$S$437,0)),"")</f>
        <v/>
      </c>
      <c r="Q189" s="53"/>
      <c r="R189" s="29" t="str">
        <f t="shared" si="15"/>
        <v>_NONE</v>
      </c>
      <c r="S189" s="29" t="str">
        <f t="shared" si="16"/>
        <v>_NONE</v>
      </c>
      <c r="T189" s="29" t="str">
        <f t="shared" si="17"/>
        <v>_NONE</v>
      </c>
    </row>
    <row r="190" spans="1:20" ht="15" customHeight="1" x14ac:dyDescent="0.25">
      <c r="A190" s="9" t="str">
        <f t="shared" si="12"/>
        <v/>
      </c>
      <c r="B190" s="52"/>
      <c r="C190" s="52"/>
      <c r="D190" s="53"/>
      <c r="E190" s="53"/>
      <c r="F190" s="53"/>
      <c r="G190" s="53"/>
      <c r="H190" s="53"/>
      <c r="I190" s="54" t="str">
        <f>IFERROR(INDEX('Description Library'!$C$6:$C$808,MATCH($E190&amp;"|"&amp;$F190&amp;"|"&amp;$G190&amp;"|"&amp;$H190,'Description Library'!$K$6:$K$808,0)),"")</f>
        <v/>
      </c>
      <c r="J190" s="9" t="str">
        <f>IFERROR(INDEX('Description Library'!$H$6:$H$808,MATCH($E190&amp;"|"&amp;$F190&amp;"|"&amp;$G190&amp;"|"&amp;$H190,'Description Library'!$K$6:$K$808,0)),"")</f>
        <v/>
      </c>
      <c r="K190" s="55"/>
      <c r="L190" s="56">
        <f>IFERROR(INDEX('Price List Library'!$K$6:$K$437,MATCH(TRIM($H190)&amp;"|"&amp;TRIM($J190),'Price List Library'!$S$6:$S$437,0)),0)</f>
        <v>0</v>
      </c>
      <c r="M190" s="56">
        <f>IFERROR(INDEX('Price List Library'!$N$6:$N$437,MATCH(TRIM($H190)&amp;"|"&amp;TRIM($J190),'Price List Library'!$S$6:$S$437,0)),0)</f>
        <v>0</v>
      </c>
      <c r="N190" s="27">
        <f t="shared" si="13"/>
        <v>0</v>
      </c>
      <c r="O190" s="27" t="str">
        <f t="shared" si="14"/>
        <v/>
      </c>
      <c r="P190" s="9" t="str">
        <f>IFERROR(INDEX('Price List Library'!$P$6:$P$437,MATCH(TRIM($H190)&amp;"|"&amp;TRIM($J190),'Price List Library'!$S$6:$S$437,0)),"")</f>
        <v/>
      </c>
      <c r="Q190" s="53"/>
      <c r="R190" s="29" t="str">
        <f t="shared" si="15"/>
        <v>_NONE</v>
      </c>
      <c r="S190" s="29" t="str">
        <f t="shared" si="16"/>
        <v>_NONE</v>
      </c>
      <c r="T190" s="29" t="str">
        <f t="shared" si="17"/>
        <v>_NONE</v>
      </c>
    </row>
    <row r="191" spans="1:20" ht="15" customHeight="1" x14ac:dyDescent="0.25">
      <c r="A191" s="9" t="str">
        <f t="shared" si="12"/>
        <v/>
      </c>
      <c r="B191" s="52"/>
      <c r="C191" s="52"/>
      <c r="D191" s="53"/>
      <c r="E191" s="53"/>
      <c r="F191" s="53"/>
      <c r="G191" s="53"/>
      <c r="H191" s="53"/>
      <c r="I191" s="54" t="str">
        <f>IFERROR(INDEX('Description Library'!$C$6:$C$808,MATCH($E191&amp;"|"&amp;$F191&amp;"|"&amp;$G191&amp;"|"&amp;$H191,'Description Library'!$K$6:$K$808,0)),"")</f>
        <v/>
      </c>
      <c r="J191" s="9" t="str">
        <f>IFERROR(INDEX('Description Library'!$H$6:$H$808,MATCH($E191&amp;"|"&amp;$F191&amp;"|"&amp;$G191&amp;"|"&amp;$H191,'Description Library'!$K$6:$K$808,0)),"")</f>
        <v/>
      </c>
      <c r="K191" s="55"/>
      <c r="L191" s="56">
        <f>IFERROR(INDEX('Price List Library'!$K$6:$K$437,MATCH(TRIM($H191)&amp;"|"&amp;TRIM($J191),'Price List Library'!$S$6:$S$437,0)),0)</f>
        <v>0</v>
      </c>
      <c r="M191" s="56">
        <f>IFERROR(INDEX('Price List Library'!$N$6:$N$437,MATCH(TRIM($H191)&amp;"|"&amp;TRIM($J191),'Price List Library'!$S$6:$S$437,0)),0)</f>
        <v>0</v>
      </c>
      <c r="N191" s="27">
        <f t="shared" si="13"/>
        <v>0</v>
      </c>
      <c r="O191" s="27" t="str">
        <f t="shared" si="14"/>
        <v/>
      </c>
      <c r="P191" s="9" t="str">
        <f>IFERROR(INDEX('Price List Library'!$P$6:$P$437,MATCH(TRIM($H191)&amp;"|"&amp;TRIM($J191),'Price List Library'!$S$6:$S$437,0)),"")</f>
        <v/>
      </c>
      <c r="Q191" s="53"/>
      <c r="R191" s="29" t="str">
        <f t="shared" si="15"/>
        <v>_NONE</v>
      </c>
      <c r="S191" s="29" t="str">
        <f t="shared" si="16"/>
        <v>_NONE</v>
      </c>
      <c r="T191" s="29" t="str">
        <f t="shared" si="17"/>
        <v>_NONE</v>
      </c>
    </row>
    <row r="192" spans="1:20" ht="15" customHeight="1" x14ac:dyDescent="0.25">
      <c r="A192" s="9" t="str">
        <f t="shared" si="12"/>
        <v/>
      </c>
      <c r="B192" s="52"/>
      <c r="C192" s="52"/>
      <c r="D192" s="53"/>
      <c r="E192" s="53"/>
      <c r="F192" s="53"/>
      <c r="G192" s="53"/>
      <c r="H192" s="53"/>
      <c r="I192" s="54" t="str">
        <f>IFERROR(INDEX('Description Library'!$C$6:$C$808,MATCH($E192&amp;"|"&amp;$F192&amp;"|"&amp;$G192&amp;"|"&amp;$H192,'Description Library'!$K$6:$K$808,0)),"")</f>
        <v/>
      </c>
      <c r="J192" s="9" t="str">
        <f>IFERROR(INDEX('Description Library'!$H$6:$H$808,MATCH($E192&amp;"|"&amp;$F192&amp;"|"&amp;$G192&amp;"|"&amp;$H192,'Description Library'!$K$6:$K$808,0)),"")</f>
        <v/>
      </c>
      <c r="K192" s="55"/>
      <c r="L192" s="56">
        <f>IFERROR(INDEX('Price List Library'!$K$6:$K$437,MATCH(TRIM($H192)&amp;"|"&amp;TRIM($J192),'Price List Library'!$S$6:$S$437,0)),0)</f>
        <v>0</v>
      </c>
      <c r="M192" s="56">
        <f>IFERROR(INDEX('Price List Library'!$N$6:$N$437,MATCH(TRIM($H192)&amp;"|"&amp;TRIM($J192),'Price List Library'!$S$6:$S$437,0)),0)</f>
        <v>0</v>
      </c>
      <c r="N192" s="27">
        <f t="shared" si="13"/>
        <v>0</v>
      </c>
      <c r="O192" s="27" t="str">
        <f t="shared" si="14"/>
        <v/>
      </c>
      <c r="P192" s="9" t="str">
        <f>IFERROR(INDEX('Price List Library'!$P$6:$P$437,MATCH(TRIM($H192)&amp;"|"&amp;TRIM($J192),'Price List Library'!$S$6:$S$437,0)),"")</f>
        <v/>
      </c>
      <c r="Q192" s="53"/>
      <c r="R192" s="29" t="str">
        <f t="shared" si="15"/>
        <v>_NONE</v>
      </c>
      <c r="S192" s="29" t="str">
        <f t="shared" si="16"/>
        <v>_NONE</v>
      </c>
      <c r="T192" s="29" t="str">
        <f t="shared" si="17"/>
        <v>_NONE</v>
      </c>
    </row>
    <row r="193" spans="1:20" ht="15" customHeight="1" x14ac:dyDescent="0.25">
      <c r="A193" s="9" t="str">
        <f t="shared" si="12"/>
        <v/>
      </c>
      <c r="B193" s="52"/>
      <c r="C193" s="52"/>
      <c r="D193" s="53"/>
      <c r="E193" s="53"/>
      <c r="F193" s="53"/>
      <c r="G193" s="53"/>
      <c r="H193" s="53"/>
      <c r="I193" s="54" t="str">
        <f>IFERROR(INDEX('Description Library'!$C$6:$C$808,MATCH($E193&amp;"|"&amp;$F193&amp;"|"&amp;$G193&amp;"|"&amp;$H193,'Description Library'!$K$6:$K$808,0)),"")</f>
        <v/>
      </c>
      <c r="J193" s="9" t="str">
        <f>IFERROR(INDEX('Description Library'!$H$6:$H$808,MATCH($E193&amp;"|"&amp;$F193&amp;"|"&amp;$G193&amp;"|"&amp;$H193,'Description Library'!$K$6:$K$808,0)),"")</f>
        <v/>
      </c>
      <c r="K193" s="55"/>
      <c r="L193" s="56">
        <f>IFERROR(INDEX('Price List Library'!$K$6:$K$437,MATCH(TRIM($H193)&amp;"|"&amp;TRIM($J193),'Price List Library'!$S$6:$S$437,0)),0)</f>
        <v>0</v>
      </c>
      <c r="M193" s="56">
        <f>IFERROR(INDEX('Price List Library'!$N$6:$N$437,MATCH(TRIM($H193)&amp;"|"&amp;TRIM($J193),'Price List Library'!$S$6:$S$437,0)),0)</f>
        <v>0</v>
      </c>
      <c r="N193" s="27">
        <f t="shared" si="13"/>
        <v>0</v>
      </c>
      <c r="O193" s="27" t="str">
        <f t="shared" si="14"/>
        <v/>
      </c>
      <c r="P193" s="9" t="str">
        <f>IFERROR(INDEX('Price List Library'!$P$6:$P$437,MATCH(TRIM($H193)&amp;"|"&amp;TRIM($J193),'Price List Library'!$S$6:$S$437,0)),"")</f>
        <v/>
      </c>
      <c r="Q193" s="53"/>
      <c r="R193" s="29" t="str">
        <f t="shared" si="15"/>
        <v>_NONE</v>
      </c>
      <c r="S193" s="29" t="str">
        <f t="shared" si="16"/>
        <v>_NONE</v>
      </c>
      <c r="T193" s="29" t="str">
        <f t="shared" si="17"/>
        <v>_NONE</v>
      </c>
    </row>
    <row r="194" spans="1:20" ht="15" customHeight="1" x14ac:dyDescent="0.25">
      <c r="A194" s="9" t="str">
        <f t="shared" si="12"/>
        <v/>
      </c>
      <c r="B194" s="52"/>
      <c r="C194" s="52"/>
      <c r="D194" s="53"/>
      <c r="E194" s="53"/>
      <c r="F194" s="53"/>
      <c r="G194" s="53"/>
      <c r="H194" s="53"/>
      <c r="I194" s="54" t="str">
        <f>IFERROR(INDEX('Description Library'!$C$6:$C$808,MATCH($E194&amp;"|"&amp;$F194&amp;"|"&amp;$G194&amp;"|"&amp;$H194,'Description Library'!$K$6:$K$808,0)),"")</f>
        <v/>
      </c>
      <c r="J194" s="9" t="str">
        <f>IFERROR(INDEX('Description Library'!$H$6:$H$808,MATCH($E194&amp;"|"&amp;$F194&amp;"|"&amp;$G194&amp;"|"&amp;$H194,'Description Library'!$K$6:$K$808,0)),"")</f>
        <v/>
      </c>
      <c r="K194" s="55"/>
      <c r="L194" s="56">
        <f>IFERROR(INDEX('Price List Library'!$K$6:$K$437,MATCH(TRIM($H194)&amp;"|"&amp;TRIM($J194),'Price List Library'!$S$6:$S$437,0)),0)</f>
        <v>0</v>
      </c>
      <c r="M194" s="56">
        <f>IFERROR(INDEX('Price List Library'!$N$6:$N$437,MATCH(TRIM($H194)&amp;"|"&amp;TRIM($J194),'Price List Library'!$S$6:$S$437,0)),0)</f>
        <v>0</v>
      </c>
      <c r="N194" s="27">
        <f t="shared" si="13"/>
        <v>0</v>
      </c>
      <c r="O194" s="27" t="str">
        <f t="shared" si="14"/>
        <v/>
      </c>
      <c r="P194" s="9" t="str">
        <f>IFERROR(INDEX('Price List Library'!$P$6:$P$437,MATCH(TRIM($H194)&amp;"|"&amp;TRIM($J194),'Price List Library'!$S$6:$S$437,0)),"")</f>
        <v/>
      </c>
      <c r="Q194" s="53"/>
      <c r="R194" s="29" t="str">
        <f t="shared" si="15"/>
        <v>_NONE</v>
      </c>
      <c r="S194" s="29" t="str">
        <f t="shared" si="16"/>
        <v>_NONE</v>
      </c>
      <c r="T194" s="29" t="str">
        <f t="shared" si="17"/>
        <v>_NONE</v>
      </c>
    </row>
    <row r="195" spans="1:20" ht="15" customHeight="1" x14ac:dyDescent="0.25">
      <c r="A195" s="9" t="str">
        <f t="shared" si="12"/>
        <v/>
      </c>
      <c r="B195" s="52"/>
      <c r="C195" s="52"/>
      <c r="D195" s="53"/>
      <c r="E195" s="53"/>
      <c r="F195" s="53"/>
      <c r="G195" s="53"/>
      <c r="H195" s="53"/>
      <c r="I195" s="54" t="str">
        <f>IFERROR(INDEX('Description Library'!$C$6:$C$808,MATCH($E195&amp;"|"&amp;$F195&amp;"|"&amp;$G195&amp;"|"&amp;$H195,'Description Library'!$K$6:$K$808,0)),"")</f>
        <v/>
      </c>
      <c r="J195" s="9" t="str">
        <f>IFERROR(INDEX('Description Library'!$H$6:$H$808,MATCH($E195&amp;"|"&amp;$F195&amp;"|"&amp;$G195&amp;"|"&amp;$H195,'Description Library'!$K$6:$K$808,0)),"")</f>
        <v/>
      </c>
      <c r="K195" s="55"/>
      <c r="L195" s="56">
        <f>IFERROR(INDEX('Price List Library'!$K$6:$K$437,MATCH(TRIM($H195)&amp;"|"&amp;TRIM($J195),'Price List Library'!$S$6:$S$437,0)),0)</f>
        <v>0</v>
      </c>
      <c r="M195" s="56">
        <f>IFERROR(INDEX('Price List Library'!$N$6:$N$437,MATCH(TRIM($H195)&amp;"|"&amp;TRIM($J195),'Price List Library'!$S$6:$S$437,0)),0)</f>
        <v>0</v>
      </c>
      <c r="N195" s="27">
        <f t="shared" si="13"/>
        <v>0</v>
      </c>
      <c r="O195" s="27" t="str">
        <f t="shared" si="14"/>
        <v/>
      </c>
      <c r="P195" s="9" t="str">
        <f>IFERROR(INDEX('Price List Library'!$P$6:$P$437,MATCH(TRIM($H195)&amp;"|"&amp;TRIM($J195),'Price List Library'!$S$6:$S$437,0)),"")</f>
        <v/>
      </c>
      <c r="Q195" s="53"/>
      <c r="R195" s="29" t="str">
        <f t="shared" si="15"/>
        <v>_NONE</v>
      </c>
      <c r="S195" s="29" t="str">
        <f t="shared" si="16"/>
        <v>_NONE</v>
      </c>
      <c r="T195" s="29" t="str">
        <f t="shared" si="17"/>
        <v>_NONE</v>
      </c>
    </row>
    <row r="196" spans="1:20" ht="15" customHeight="1" x14ac:dyDescent="0.25">
      <c r="A196" s="9" t="str">
        <f t="shared" si="12"/>
        <v/>
      </c>
      <c r="B196" s="52"/>
      <c r="C196" s="52"/>
      <c r="D196" s="53"/>
      <c r="E196" s="53"/>
      <c r="F196" s="53"/>
      <c r="G196" s="53"/>
      <c r="H196" s="53"/>
      <c r="I196" s="54" t="str">
        <f>IFERROR(INDEX('Description Library'!$C$6:$C$808,MATCH($E196&amp;"|"&amp;$F196&amp;"|"&amp;$G196&amp;"|"&amp;$H196,'Description Library'!$K$6:$K$808,0)),"")</f>
        <v/>
      </c>
      <c r="J196" s="9" t="str">
        <f>IFERROR(INDEX('Description Library'!$H$6:$H$808,MATCH($E196&amp;"|"&amp;$F196&amp;"|"&amp;$G196&amp;"|"&amp;$H196,'Description Library'!$K$6:$K$808,0)),"")</f>
        <v/>
      </c>
      <c r="K196" s="55"/>
      <c r="L196" s="56">
        <f>IFERROR(INDEX('Price List Library'!$K$6:$K$437,MATCH(TRIM($H196)&amp;"|"&amp;TRIM($J196),'Price List Library'!$S$6:$S$437,0)),0)</f>
        <v>0</v>
      </c>
      <c r="M196" s="56">
        <f>IFERROR(INDEX('Price List Library'!$N$6:$N$437,MATCH(TRIM($H196)&amp;"|"&amp;TRIM($J196),'Price List Library'!$S$6:$S$437,0)),0)</f>
        <v>0</v>
      </c>
      <c r="N196" s="27">
        <f t="shared" si="13"/>
        <v>0</v>
      </c>
      <c r="O196" s="27" t="str">
        <f t="shared" si="14"/>
        <v/>
      </c>
      <c r="P196" s="9" t="str">
        <f>IFERROR(INDEX('Price List Library'!$P$6:$P$437,MATCH(TRIM($H196)&amp;"|"&amp;TRIM($J196),'Price List Library'!$S$6:$S$437,0)),"")</f>
        <v/>
      </c>
      <c r="Q196" s="53"/>
      <c r="R196" s="29" t="str">
        <f t="shared" si="15"/>
        <v>_NONE</v>
      </c>
      <c r="S196" s="29" t="str">
        <f t="shared" si="16"/>
        <v>_NONE</v>
      </c>
      <c r="T196" s="29" t="str">
        <f t="shared" si="17"/>
        <v>_NONE</v>
      </c>
    </row>
    <row r="197" spans="1:20" ht="15" customHeight="1" x14ac:dyDescent="0.25">
      <c r="A197" s="9" t="str">
        <f t="shared" si="12"/>
        <v/>
      </c>
      <c r="B197" s="52"/>
      <c r="C197" s="52"/>
      <c r="D197" s="53"/>
      <c r="E197" s="53"/>
      <c r="F197" s="53"/>
      <c r="G197" s="53"/>
      <c r="H197" s="53"/>
      <c r="I197" s="54" t="str">
        <f>IFERROR(INDEX('Description Library'!$C$6:$C$808,MATCH($E197&amp;"|"&amp;$F197&amp;"|"&amp;$G197&amp;"|"&amp;$H197,'Description Library'!$K$6:$K$808,0)),"")</f>
        <v/>
      </c>
      <c r="J197" s="9" t="str">
        <f>IFERROR(INDEX('Description Library'!$H$6:$H$808,MATCH($E197&amp;"|"&amp;$F197&amp;"|"&amp;$G197&amp;"|"&amp;$H197,'Description Library'!$K$6:$K$808,0)),"")</f>
        <v/>
      </c>
      <c r="K197" s="55"/>
      <c r="L197" s="56">
        <f>IFERROR(INDEX('Price List Library'!$K$6:$K$437,MATCH(TRIM($H197)&amp;"|"&amp;TRIM($J197),'Price List Library'!$S$6:$S$437,0)),0)</f>
        <v>0</v>
      </c>
      <c r="M197" s="56">
        <f>IFERROR(INDEX('Price List Library'!$N$6:$N$437,MATCH(TRIM($H197)&amp;"|"&amp;TRIM($J197),'Price List Library'!$S$6:$S$437,0)),0)</f>
        <v>0</v>
      </c>
      <c r="N197" s="27">
        <f t="shared" si="13"/>
        <v>0</v>
      </c>
      <c r="O197" s="27" t="str">
        <f t="shared" si="14"/>
        <v/>
      </c>
      <c r="P197" s="9" t="str">
        <f>IFERROR(INDEX('Price List Library'!$P$6:$P$437,MATCH(TRIM($H197)&amp;"|"&amp;TRIM($J197),'Price List Library'!$S$6:$S$437,0)),"")</f>
        <v/>
      </c>
      <c r="Q197" s="53"/>
      <c r="R197" s="29" t="str">
        <f t="shared" si="15"/>
        <v>_NONE</v>
      </c>
      <c r="S197" s="29" t="str">
        <f t="shared" si="16"/>
        <v>_NONE</v>
      </c>
      <c r="T197" s="29" t="str">
        <f t="shared" si="17"/>
        <v>_NONE</v>
      </c>
    </row>
    <row r="198" spans="1:20" ht="15" customHeight="1" x14ac:dyDescent="0.25">
      <c r="A198" s="9" t="str">
        <f t="shared" ref="A198:A261" si="18">IF($E198="","",ROW()-5)</f>
        <v/>
      </c>
      <c r="B198" s="52"/>
      <c r="C198" s="52"/>
      <c r="D198" s="53"/>
      <c r="E198" s="53"/>
      <c r="F198" s="53"/>
      <c r="G198" s="53"/>
      <c r="H198" s="53"/>
      <c r="I198" s="54" t="str">
        <f>IFERROR(INDEX('Description Library'!$C$6:$C$808,MATCH($E198&amp;"|"&amp;$F198&amp;"|"&amp;$G198&amp;"|"&amp;$H198,'Description Library'!$K$6:$K$808,0)),"")</f>
        <v/>
      </c>
      <c r="J198" s="9" t="str">
        <f>IFERROR(INDEX('Description Library'!$H$6:$H$808,MATCH($E198&amp;"|"&amp;$F198&amp;"|"&amp;$G198&amp;"|"&amp;$H198,'Description Library'!$K$6:$K$808,0)),"")</f>
        <v/>
      </c>
      <c r="K198" s="55"/>
      <c r="L198" s="56">
        <f>IFERROR(INDEX('Price List Library'!$K$6:$K$437,MATCH(TRIM($H198)&amp;"|"&amp;TRIM($J198),'Price List Library'!$S$6:$S$437,0)),0)</f>
        <v>0</v>
      </c>
      <c r="M198" s="56">
        <f>IFERROR(INDEX('Price List Library'!$N$6:$N$437,MATCH(TRIM($H198)&amp;"|"&amp;TRIM($J198),'Price List Library'!$S$6:$S$437,0)),0)</f>
        <v>0</v>
      </c>
      <c r="N198" s="27">
        <f t="shared" ref="N198:N261" si="19">L198+M198</f>
        <v>0</v>
      </c>
      <c r="O198" s="27" t="str">
        <f t="shared" ref="O198:O261" si="20">IF($K198="","",$K198*$N198)</f>
        <v/>
      </c>
      <c r="P198" s="9" t="str">
        <f>IFERROR(INDEX('Price List Library'!$P$6:$P$437,MATCH(TRIM($H198)&amp;"|"&amp;TRIM($J198),'Price List Library'!$S$6:$S$437,0)),"")</f>
        <v/>
      </c>
      <c r="Q198" s="53"/>
      <c r="R198" s="29" t="str">
        <f t="shared" ref="R198:R261" si="21">IFERROR(VLOOKUP($E198,_MAPSEC,2,0),"_NONE")</f>
        <v>_NONE</v>
      </c>
      <c r="S198" s="29" t="str">
        <f t="shared" ref="S198:S261" si="22">IFERROR(VLOOKUP($E198&amp;"|"&amp;$F198,_MAPSUB,2,0),"_NONE")</f>
        <v>_NONE</v>
      </c>
      <c r="T198" s="29" t="str">
        <f t="shared" ref="T198:T261" si="23">IFERROR(VLOOKUP($E198&amp;"|"&amp;$F198&amp;"|"&amp;$G198,_MAPSE,2,0),"_NONE")</f>
        <v>_NONE</v>
      </c>
    </row>
    <row r="199" spans="1:20" ht="15" customHeight="1" x14ac:dyDescent="0.25">
      <c r="A199" s="9" t="str">
        <f t="shared" si="18"/>
        <v/>
      </c>
      <c r="B199" s="52"/>
      <c r="C199" s="52"/>
      <c r="D199" s="53"/>
      <c r="E199" s="53"/>
      <c r="F199" s="53"/>
      <c r="G199" s="53"/>
      <c r="H199" s="53"/>
      <c r="I199" s="54" t="str">
        <f>IFERROR(INDEX('Description Library'!$C$6:$C$808,MATCH($E199&amp;"|"&amp;$F199&amp;"|"&amp;$G199&amp;"|"&amp;$H199,'Description Library'!$K$6:$K$808,0)),"")</f>
        <v/>
      </c>
      <c r="J199" s="9" t="str">
        <f>IFERROR(INDEX('Description Library'!$H$6:$H$808,MATCH($E199&amp;"|"&amp;$F199&amp;"|"&amp;$G199&amp;"|"&amp;$H199,'Description Library'!$K$6:$K$808,0)),"")</f>
        <v/>
      </c>
      <c r="K199" s="55"/>
      <c r="L199" s="56">
        <f>IFERROR(INDEX('Price List Library'!$K$6:$K$437,MATCH(TRIM($H199)&amp;"|"&amp;TRIM($J199),'Price List Library'!$S$6:$S$437,0)),0)</f>
        <v>0</v>
      </c>
      <c r="M199" s="56">
        <f>IFERROR(INDEX('Price List Library'!$N$6:$N$437,MATCH(TRIM($H199)&amp;"|"&amp;TRIM($J199),'Price List Library'!$S$6:$S$437,0)),0)</f>
        <v>0</v>
      </c>
      <c r="N199" s="27">
        <f t="shared" si="19"/>
        <v>0</v>
      </c>
      <c r="O199" s="27" t="str">
        <f t="shared" si="20"/>
        <v/>
      </c>
      <c r="P199" s="9" t="str">
        <f>IFERROR(INDEX('Price List Library'!$P$6:$P$437,MATCH(TRIM($H199)&amp;"|"&amp;TRIM($J199),'Price List Library'!$S$6:$S$437,0)),"")</f>
        <v/>
      </c>
      <c r="Q199" s="53"/>
      <c r="R199" s="29" t="str">
        <f t="shared" si="21"/>
        <v>_NONE</v>
      </c>
      <c r="S199" s="29" t="str">
        <f t="shared" si="22"/>
        <v>_NONE</v>
      </c>
      <c r="T199" s="29" t="str">
        <f t="shared" si="23"/>
        <v>_NONE</v>
      </c>
    </row>
    <row r="200" spans="1:20" ht="15" customHeight="1" x14ac:dyDescent="0.25">
      <c r="A200" s="9" t="str">
        <f t="shared" si="18"/>
        <v/>
      </c>
      <c r="B200" s="52"/>
      <c r="C200" s="52"/>
      <c r="D200" s="53"/>
      <c r="E200" s="53"/>
      <c r="F200" s="53"/>
      <c r="G200" s="53"/>
      <c r="H200" s="53"/>
      <c r="I200" s="54" t="str">
        <f>IFERROR(INDEX('Description Library'!$C$6:$C$808,MATCH($E200&amp;"|"&amp;$F200&amp;"|"&amp;$G200&amp;"|"&amp;$H200,'Description Library'!$K$6:$K$808,0)),"")</f>
        <v/>
      </c>
      <c r="J200" s="9" t="str">
        <f>IFERROR(INDEX('Description Library'!$H$6:$H$808,MATCH($E200&amp;"|"&amp;$F200&amp;"|"&amp;$G200&amp;"|"&amp;$H200,'Description Library'!$K$6:$K$808,0)),"")</f>
        <v/>
      </c>
      <c r="K200" s="55"/>
      <c r="L200" s="56">
        <f>IFERROR(INDEX('Price List Library'!$K$6:$K$437,MATCH(TRIM($H200)&amp;"|"&amp;TRIM($J200),'Price List Library'!$S$6:$S$437,0)),0)</f>
        <v>0</v>
      </c>
      <c r="M200" s="56">
        <f>IFERROR(INDEX('Price List Library'!$N$6:$N$437,MATCH(TRIM($H200)&amp;"|"&amp;TRIM($J200),'Price List Library'!$S$6:$S$437,0)),0)</f>
        <v>0</v>
      </c>
      <c r="N200" s="27">
        <f t="shared" si="19"/>
        <v>0</v>
      </c>
      <c r="O200" s="27" t="str">
        <f t="shared" si="20"/>
        <v/>
      </c>
      <c r="P200" s="9" t="str">
        <f>IFERROR(INDEX('Price List Library'!$P$6:$P$437,MATCH(TRIM($H200)&amp;"|"&amp;TRIM($J200),'Price List Library'!$S$6:$S$437,0)),"")</f>
        <v/>
      </c>
      <c r="Q200" s="53"/>
      <c r="R200" s="29" t="str">
        <f t="shared" si="21"/>
        <v>_NONE</v>
      </c>
      <c r="S200" s="29" t="str">
        <f t="shared" si="22"/>
        <v>_NONE</v>
      </c>
      <c r="T200" s="29" t="str">
        <f t="shared" si="23"/>
        <v>_NONE</v>
      </c>
    </row>
    <row r="201" spans="1:20" ht="15" customHeight="1" x14ac:dyDescent="0.25">
      <c r="A201" s="9" t="str">
        <f t="shared" si="18"/>
        <v/>
      </c>
      <c r="B201" s="52"/>
      <c r="C201" s="52"/>
      <c r="D201" s="53"/>
      <c r="E201" s="53"/>
      <c r="F201" s="53"/>
      <c r="G201" s="53"/>
      <c r="H201" s="53"/>
      <c r="I201" s="54" t="str">
        <f>IFERROR(INDEX('Description Library'!$C$6:$C$808,MATCH($E201&amp;"|"&amp;$F201&amp;"|"&amp;$G201&amp;"|"&amp;$H201,'Description Library'!$K$6:$K$808,0)),"")</f>
        <v/>
      </c>
      <c r="J201" s="9" t="str">
        <f>IFERROR(INDEX('Description Library'!$H$6:$H$808,MATCH($E201&amp;"|"&amp;$F201&amp;"|"&amp;$G201&amp;"|"&amp;$H201,'Description Library'!$K$6:$K$808,0)),"")</f>
        <v/>
      </c>
      <c r="K201" s="55"/>
      <c r="L201" s="56">
        <f>IFERROR(INDEX('Price List Library'!$K$6:$K$437,MATCH(TRIM($H201)&amp;"|"&amp;TRIM($J201),'Price List Library'!$S$6:$S$437,0)),0)</f>
        <v>0</v>
      </c>
      <c r="M201" s="56">
        <f>IFERROR(INDEX('Price List Library'!$N$6:$N$437,MATCH(TRIM($H201)&amp;"|"&amp;TRIM($J201),'Price List Library'!$S$6:$S$437,0)),0)</f>
        <v>0</v>
      </c>
      <c r="N201" s="27">
        <f t="shared" si="19"/>
        <v>0</v>
      </c>
      <c r="O201" s="27" t="str">
        <f t="shared" si="20"/>
        <v/>
      </c>
      <c r="P201" s="9" t="str">
        <f>IFERROR(INDEX('Price List Library'!$P$6:$P$437,MATCH(TRIM($H201)&amp;"|"&amp;TRIM($J201),'Price List Library'!$S$6:$S$437,0)),"")</f>
        <v/>
      </c>
      <c r="Q201" s="53"/>
      <c r="R201" s="29" t="str">
        <f t="shared" si="21"/>
        <v>_NONE</v>
      </c>
      <c r="S201" s="29" t="str">
        <f t="shared" si="22"/>
        <v>_NONE</v>
      </c>
      <c r="T201" s="29" t="str">
        <f t="shared" si="23"/>
        <v>_NONE</v>
      </c>
    </row>
    <row r="202" spans="1:20" ht="15" customHeight="1" x14ac:dyDescent="0.25">
      <c r="A202" s="9" t="str">
        <f t="shared" si="18"/>
        <v/>
      </c>
      <c r="B202" s="52"/>
      <c r="C202" s="52"/>
      <c r="D202" s="53"/>
      <c r="E202" s="53"/>
      <c r="F202" s="53"/>
      <c r="G202" s="53"/>
      <c r="H202" s="53"/>
      <c r="I202" s="54" t="str">
        <f>IFERROR(INDEX('Description Library'!$C$6:$C$808,MATCH($E202&amp;"|"&amp;$F202&amp;"|"&amp;$G202&amp;"|"&amp;$H202,'Description Library'!$K$6:$K$808,0)),"")</f>
        <v/>
      </c>
      <c r="J202" s="9" t="str">
        <f>IFERROR(INDEX('Description Library'!$H$6:$H$808,MATCH($E202&amp;"|"&amp;$F202&amp;"|"&amp;$G202&amp;"|"&amp;$H202,'Description Library'!$K$6:$K$808,0)),"")</f>
        <v/>
      </c>
      <c r="K202" s="55"/>
      <c r="L202" s="56">
        <f>IFERROR(INDEX('Price List Library'!$K$6:$K$437,MATCH(TRIM($H202)&amp;"|"&amp;TRIM($J202),'Price List Library'!$S$6:$S$437,0)),0)</f>
        <v>0</v>
      </c>
      <c r="M202" s="56">
        <f>IFERROR(INDEX('Price List Library'!$N$6:$N$437,MATCH(TRIM($H202)&amp;"|"&amp;TRIM($J202),'Price List Library'!$S$6:$S$437,0)),0)</f>
        <v>0</v>
      </c>
      <c r="N202" s="27">
        <f t="shared" si="19"/>
        <v>0</v>
      </c>
      <c r="O202" s="27" t="str">
        <f t="shared" si="20"/>
        <v/>
      </c>
      <c r="P202" s="9" t="str">
        <f>IFERROR(INDEX('Price List Library'!$P$6:$P$437,MATCH(TRIM($H202)&amp;"|"&amp;TRIM($J202),'Price List Library'!$S$6:$S$437,0)),"")</f>
        <v/>
      </c>
      <c r="Q202" s="53"/>
      <c r="R202" s="29" t="str">
        <f t="shared" si="21"/>
        <v>_NONE</v>
      </c>
      <c r="S202" s="29" t="str">
        <f t="shared" si="22"/>
        <v>_NONE</v>
      </c>
      <c r="T202" s="29" t="str">
        <f t="shared" si="23"/>
        <v>_NONE</v>
      </c>
    </row>
    <row r="203" spans="1:20" ht="15" customHeight="1" x14ac:dyDescent="0.25">
      <c r="A203" s="9" t="str">
        <f t="shared" si="18"/>
        <v/>
      </c>
      <c r="B203" s="52"/>
      <c r="C203" s="52"/>
      <c r="D203" s="53"/>
      <c r="E203" s="53"/>
      <c r="F203" s="53"/>
      <c r="G203" s="53"/>
      <c r="H203" s="53"/>
      <c r="I203" s="54" t="str">
        <f>IFERROR(INDEX('Description Library'!$C$6:$C$808,MATCH($E203&amp;"|"&amp;$F203&amp;"|"&amp;$G203&amp;"|"&amp;$H203,'Description Library'!$K$6:$K$808,0)),"")</f>
        <v/>
      </c>
      <c r="J203" s="9" t="str">
        <f>IFERROR(INDEX('Description Library'!$H$6:$H$808,MATCH($E203&amp;"|"&amp;$F203&amp;"|"&amp;$G203&amp;"|"&amp;$H203,'Description Library'!$K$6:$K$808,0)),"")</f>
        <v/>
      </c>
      <c r="K203" s="55"/>
      <c r="L203" s="56">
        <f>IFERROR(INDEX('Price List Library'!$K$6:$K$437,MATCH(TRIM($H203)&amp;"|"&amp;TRIM($J203),'Price List Library'!$S$6:$S$437,0)),0)</f>
        <v>0</v>
      </c>
      <c r="M203" s="56">
        <f>IFERROR(INDEX('Price List Library'!$N$6:$N$437,MATCH(TRIM($H203)&amp;"|"&amp;TRIM($J203),'Price List Library'!$S$6:$S$437,0)),0)</f>
        <v>0</v>
      </c>
      <c r="N203" s="27">
        <f t="shared" si="19"/>
        <v>0</v>
      </c>
      <c r="O203" s="27" t="str">
        <f t="shared" si="20"/>
        <v/>
      </c>
      <c r="P203" s="9" t="str">
        <f>IFERROR(INDEX('Price List Library'!$P$6:$P$437,MATCH(TRIM($H203)&amp;"|"&amp;TRIM($J203),'Price List Library'!$S$6:$S$437,0)),"")</f>
        <v/>
      </c>
      <c r="Q203" s="53"/>
      <c r="R203" s="29" t="str">
        <f t="shared" si="21"/>
        <v>_NONE</v>
      </c>
      <c r="S203" s="29" t="str">
        <f t="shared" si="22"/>
        <v>_NONE</v>
      </c>
      <c r="T203" s="29" t="str">
        <f t="shared" si="23"/>
        <v>_NONE</v>
      </c>
    </row>
    <row r="204" spans="1:20" ht="15" customHeight="1" x14ac:dyDescent="0.25">
      <c r="A204" s="9" t="str">
        <f t="shared" si="18"/>
        <v/>
      </c>
      <c r="B204" s="52"/>
      <c r="C204" s="52"/>
      <c r="D204" s="53"/>
      <c r="E204" s="53"/>
      <c r="F204" s="53"/>
      <c r="G204" s="53"/>
      <c r="H204" s="53"/>
      <c r="I204" s="54" t="str">
        <f>IFERROR(INDEX('Description Library'!$C$6:$C$808,MATCH($E204&amp;"|"&amp;$F204&amp;"|"&amp;$G204&amp;"|"&amp;$H204,'Description Library'!$K$6:$K$808,0)),"")</f>
        <v/>
      </c>
      <c r="J204" s="9" t="str">
        <f>IFERROR(INDEX('Description Library'!$H$6:$H$808,MATCH($E204&amp;"|"&amp;$F204&amp;"|"&amp;$G204&amp;"|"&amp;$H204,'Description Library'!$K$6:$K$808,0)),"")</f>
        <v/>
      </c>
      <c r="K204" s="55"/>
      <c r="L204" s="56">
        <f>IFERROR(INDEX('Price List Library'!$K$6:$K$437,MATCH(TRIM($H204)&amp;"|"&amp;TRIM($J204),'Price List Library'!$S$6:$S$437,0)),0)</f>
        <v>0</v>
      </c>
      <c r="M204" s="56">
        <f>IFERROR(INDEX('Price List Library'!$N$6:$N$437,MATCH(TRIM($H204)&amp;"|"&amp;TRIM($J204),'Price List Library'!$S$6:$S$437,0)),0)</f>
        <v>0</v>
      </c>
      <c r="N204" s="27">
        <f t="shared" si="19"/>
        <v>0</v>
      </c>
      <c r="O204" s="27" t="str">
        <f t="shared" si="20"/>
        <v/>
      </c>
      <c r="P204" s="9" t="str">
        <f>IFERROR(INDEX('Price List Library'!$P$6:$P$437,MATCH(TRIM($H204)&amp;"|"&amp;TRIM($J204),'Price List Library'!$S$6:$S$437,0)),"")</f>
        <v/>
      </c>
      <c r="Q204" s="53"/>
      <c r="R204" s="29" t="str">
        <f t="shared" si="21"/>
        <v>_NONE</v>
      </c>
      <c r="S204" s="29" t="str">
        <f t="shared" si="22"/>
        <v>_NONE</v>
      </c>
      <c r="T204" s="29" t="str">
        <f t="shared" si="23"/>
        <v>_NONE</v>
      </c>
    </row>
    <row r="205" spans="1:20" ht="15" customHeight="1" x14ac:dyDescent="0.25">
      <c r="A205" s="9" t="str">
        <f t="shared" si="18"/>
        <v/>
      </c>
      <c r="B205" s="52"/>
      <c r="C205" s="52"/>
      <c r="D205" s="53"/>
      <c r="E205" s="53"/>
      <c r="F205" s="53"/>
      <c r="G205" s="53"/>
      <c r="H205" s="53"/>
      <c r="I205" s="54" t="str">
        <f>IFERROR(INDEX('Description Library'!$C$6:$C$808,MATCH($E205&amp;"|"&amp;$F205&amp;"|"&amp;$G205&amp;"|"&amp;$H205,'Description Library'!$K$6:$K$808,0)),"")</f>
        <v/>
      </c>
      <c r="J205" s="9" t="str">
        <f>IFERROR(INDEX('Description Library'!$H$6:$H$808,MATCH($E205&amp;"|"&amp;$F205&amp;"|"&amp;$G205&amp;"|"&amp;$H205,'Description Library'!$K$6:$K$808,0)),"")</f>
        <v/>
      </c>
      <c r="K205" s="55"/>
      <c r="L205" s="56">
        <f>IFERROR(INDEX('Price List Library'!$K$6:$K$437,MATCH(TRIM($H205)&amp;"|"&amp;TRIM($J205),'Price List Library'!$S$6:$S$437,0)),0)</f>
        <v>0</v>
      </c>
      <c r="M205" s="56">
        <f>IFERROR(INDEX('Price List Library'!$N$6:$N$437,MATCH(TRIM($H205)&amp;"|"&amp;TRIM($J205),'Price List Library'!$S$6:$S$437,0)),0)</f>
        <v>0</v>
      </c>
      <c r="N205" s="27">
        <f t="shared" si="19"/>
        <v>0</v>
      </c>
      <c r="O205" s="27" t="str">
        <f t="shared" si="20"/>
        <v/>
      </c>
      <c r="P205" s="9" t="str">
        <f>IFERROR(INDEX('Price List Library'!$P$6:$P$437,MATCH(TRIM($H205)&amp;"|"&amp;TRIM($J205),'Price List Library'!$S$6:$S$437,0)),"")</f>
        <v/>
      </c>
      <c r="Q205" s="53"/>
      <c r="R205" s="29" t="str">
        <f t="shared" si="21"/>
        <v>_NONE</v>
      </c>
      <c r="S205" s="29" t="str">
        <f t="shared" si="22"/>
        <v>_NONE</v>
      </c>
      <c r="T205" s="29" t="str">
        <f t="shared" si="23"/>
        <v>_NONE</v>
      </c>
    </row>
    <row r="206" spans="1:20" ht="15" customHeight="1" x14ac:dyDescent="0.25">
      <c r="A206" s="9" t="str">
        <f t="shared" si="18"/>
        <v/>
      </c>
      <c r="B206" s="52"/>
      <c r="C206" s="52"/>
      <c r="D206" s="53"/>
      <c r="E206" s="53"/>
      <c r="F206" s="53"/>
      <c r="G206" s="53"/>
      <c r="H206" s="53"/>
      <c r="I206" s="54" t="str">
        <f>IFERROR(INDEX('Description Library'!$C$6:$C$808,MATCH($E206&amp;"|"&amp;$F206&amp;"|"&amp;$G206&amp;"|"&amp;$H206,'Description Library'!$K$6:$K$808,0)),"")</f>
        <v/>
      </c>
      <c r="J206" s="9" t="str">
        <f>IFERROR(INDEX('Description Library'!$H$6:$H$808,MATCH($E206&amp;"|"&amp;$F206&amp;"|"&amp;$G206&amp;"|"&amp;$H206,'Description Library'!$K$6:$K$808,0)),"")</f>
        <v/>
      </c>
      <c r="K206" s="55"/>
      <c r="L206" s="56">
        <f>IFERROR(INDEX('Price List Library'!$K$6:$K$437,MATCH(TRIM($H206)&amp;"|"&amp;TRIM($J206),'Price List Library'!$S$6:$S$437,0)),0)</f>
        <v>0</v>
      </c>
      <c r="M206" s="56">
        <f>IFERROR(INDEX('Price List Library'!$N$6:$N$437,MATCH(TRIM($H206)&amp;"|"&amp;TRIM($J206),'Price List Library'!$S$6:$S$437,0)),0)</f>
        <v>0</v>
      </c>
      <c r="N206" s="27">
        <f t="shared" si="19"/>
        <v>0</v>
      </c>
      <c r="O206" s="27" t="str">
        <f t="shared" si="20"/>
        <v/>
      </c>
      <c r="P206" s="9" t="str">
        <f>IFERROR(INDEX('Price List Library'!$P$6:$P$437,MATCH(TRIM($H206)&amp;"|"&amp;TRIM($J206),'Price List Library'!$S$6:$S$437,0)),"")</f>
        <v/>
      </c>
      <c r="Q206" s="53"/>
      <c r="R206" s="29" t="str">
        <f t="shared" si="21"/>
        <v>_NONE</v>
      </c>
      <c r="S206" s="29" t="str">
        <f t="shared" si="22"/>
        <v>_NONE</v>
      </c>
      <c r="T206" s="29" t="str">
        <f t="shared" si="23"/>
        <v>_NONE</v>
      </c>
    </row>
    <row r="207" spans="1:20" ht="15" customHeight="1" x14ac:dyDescent="0.25">
      <c r="A207" s="9" t="str">
        <f t="shared" si="18"/>
        <v/>
      </c>
      <c r="B207" s="52"/>
      <c r="C207" s="52"/>
      <c r="D207" s="53"/>
      <c r="E207" s="53"/>
      <c r="F207" s="53"/>
      <c r="G207" s="53"/>
      <c r="H207" s="53"/>
      <c r="I207" s="54" t="str">
        <f>IFERROR(INDEX('Description Library'!$C$6:$C$808,MATCH($E207&amp;"|"&amp;$F207&amp;"|"&amp;$G207&amp;"|"&amp;$H207,'Description Library'!$K$6:$K$808,0)),"")</f>
        <v/>
      </c>
      <c r="J207" s="9" t="str">
        <f>IFERROR(INDEX('Description Library'!$H$6:$H$808,MATCH($E207&amp;"|"&amp;$F207&amp;"|"&amp;$G207&amp;"|"&amp;$H207,'Description Library'!$K$6:$K$808,0)),"")</f>
        <v/>
      </c>
      <c r="K207" s="55"/>
      <c r="L207" s="56">
        <f>IFERROR(INDEX('Price List Library'!$K$6:$K$437,MATCH(TRIM($H207)&amp;"|"&amp;TRIM($J207),'Price List Library'!$S$6:$S$437,0)),0)</f>
        <v>0</v>
      </c>
      <c r="M207" s="56">
        <f>IFERROR(INDEX('Price List Library'!$N$6:$N$437,MATCH(TRIM($H207)&amp;"|"&amp;TRIM($J207),'Price List Library'!$S$6:$S$437,0)),0)</f>
        <v>0</v>
      </c>
      <c r="N207" s="27">
        <f t="shared" si="19"/>
        <v>0</v>
      </c>
      <c r="O207" s="27" t="str">
        <f t="shared" si="20"/>
        <v/>
      </c>
      <c r="P207" s="9" t="str">
        <f>IFERROR(INDEX('Price List Library'!$P$6:$P$437,MATCH(TRIM($H207)&amp;"|"&amp;TRIM($J207),'Price List Library'!$S$6:$S$437,0)),"")</f>
        <v/>
      </c>
      <c r="Q207" s="53"/>
      <c r="R207" s="29" t="str">
        <f t="shared" si="21"/>
        <v>_NONE</v>
      </c>
      <c r="S207" s="29" t="str">
        <f t="shared" si="22"/>
        <v>_NONE</v>
      </c>
      <c r="T207" s="29" t="str">
        <f t="shared" si="23"/>
        <v>_NONE</v>
      </c>
    </row>
    <row r="208" spans="1:20" ht="15" customHeight="1" x14ac:dyDescent="0.25">
      <c r="A208" s="9" t="str">
        <f t="shared" si="18"/>
        <v/>
      </c>
      <c r="B208" s="52"/>
      <c r="C208" s="52"/>
      <c r="D208" s="53"/>
      <c r="E208" s="53"/>
      <c r="F208" s="53"/>
      <c r="G208" s="53"/>
      <c r="H208" s="53"/>
      <c r="I208" s="54" t="str">
        <f>IFERROR(INDEX('Description Library'!$C$6:$C$808,MATCH($E208&amp;"|"&amp;$F208&amp;"|"&amp;$G208&amp;"|"&amp;$H208,'Description Library'!$K$6:$K$808,0)),"")</f>
        <v/>
      </c>
      <c r="J208" s="9" t="str">
        <f>IFERROR(INDEX('Description Library'!$H$6:$H$808,MATCH($E208&amp;"|"&amp;$F208&amp;"|"&amp;$G208&amp;"|"&amp;$H208,'Description Library'!$K$6:$K$808,0)),"")</f>
        <v/>
      </c>
      <c r="K208" s="55"/>
      <c r="L208" s="56">
        <f>IFERROR(INDEX('Price List Library'!$K$6:$K$437,MATCH(TRIM($H208)&amp;"|"&amp;TRIM($J208),'Price List Library'!$S$6:$S$437,0)),0)</f>
        <v>0</v>
      </c>
      <c r="M208" s="56">
        <f>IFERROR(INDEX('Price List Library'!$N$6:$N$437,MATCH(TRIM($H208)&amp;"|"&amp;TRIM($J208),'Price List Library'!$S$6:$S$437,0)),0)</f>
        <v>0</v>
      </c>
      <c r="N208" s="27">
        <f t="shared" si="19"/>
        <v>0</v>
      </c>
      <c r="O208" s="27" t="str">
        <f t="shared" si="20"/>
        <v/>
      </c>
      <c r="P208" s="9" t="str">
        <f>IFERROR(INDEX('Price List Library'!$P$6:$P$437,MATCH(TRIM($H208)&amp;"|"&amp;TRIM($J208),'Price List Library'!$S$6:$S$437,0)),"")</f>
        <v/>
      </c>
      <c r="Q208" s="53"/>
      <c r="R208" s="29" t="str">
        <f t="shared" si="21"/>
        <v>_NONE</v>
      </c>
      <c r="S208" s="29" t="str">
        <f t="shared" si="22"/>
        <v>_NONE</v>
      </c>
      <c r="T208" s="29" t="str">
        <f t="shared" si="23"/>
        <v>_NONE</v>
      </c>
    </row>
    <row r="209" spans="1:20" ht="15" customHeight="1" x14ac:dyDescent="0.25">
      <c r="A209" s="9" t="str">
        <f t="shared" si="18"/>
        <v/>
      </c>
      <c r="B209" s="52"/>
      <c r="C209" s="52"/>
      <c r="D209" s="53"/>
      <c r="E209" s="53"/>
      <c r="F209" s="53"/>
      <c r="G209" s="53"/>
      <c r="H209" s="53"/>
      <c r="I209" s="54" t="str">
        <f>IFERROR(INDEX('Description Library'!$C$6:$C$808,MATCH($E209&amp;"|"&amp;$F209&amp;"|"&amp;$G209&amp;"|"&amp;$H209,'Description Library'!$K$6:$K$808,0)),"")</f>
        <v/>
      </c>
      <c r="J209" s="9" t="str">
        <f>IFERROR(INDEX('Description Library'!$H$6:$H$808,MATCH($E209&amp;"|"&amp;$F209&amp;"|"&amp;$G209&amp;"|"&amp;$H209,'Description Library'!$K$6:$K$808,0)),"")</f>
        <v/>
      </c>
      <c r="K209" s="55"/>
      <c r="L209" s="56">
        <f>IFERROR(INDEX('Price List Library'!$K$6:$K$437,MATCH(TRIM($H209)&amp;"|"&amp;TRIM($J209),'Price List Library'!$S$6:$S$437,0)),0)</f>
        <v>0</v>
      </c>
      <c r="M209" s="56">
        <f>IFERROR(INDEX('Price List Library'!$N$6:$N$437,MATCH(TRIM($H209)&amp;"|"&amp;TRIM($J209),'Price List Library'!$S$6:$S$437,0)),0)</f>
        <v>0</v>
      </c>
      <c r="N209" s="27">
        <f t="shared" si="19"/>
        <v>0</v>
      </c>
      <c r="O209" s="27" t="str">
        <f t="shared" si="20"/>
        <v/>
      </c>
      <c r="P209" s="9" t="str">
        <f>IFERROR(INDEX('Price List Library'!$P$6:$P$437,MATCH(TRIM($H209)&amp;"|"&amp;TRIM($J209),'Price List Library'!$S$6:$S$437,0)),"")</f>
        <v/>
      </c>
      <c r="Q209" s="53"/>
      <c r="R209" s="29" t="str">
        <f t="shared" si="21"/>
        <v>_NONE</v>
      </c>
      <c r="S209" s="29" t="str">
        <f t="shared" si="22"/>
        <v>_NONE</v>
      </c>
      <c r="T209" s="29" t="str">
        <f t="shared" si="23"/>
        <v>_NONE</v>
      </c>
    </row>
    <row r="210" spans="1:20" ht="15" customHeight="1" x14ac:dyDescent="0.25">
      <c r="A210" s="9" t="str">
        <f t="shared" si="18"/>
        <v/>
      </c>
      <c r="B210" s="52"/>
      <c r="C210" s="52"/>
      <c r="D210" s="53"/>
      <c r="E210" s="53"/>
      <c r="F210" s="53"/>
      <c r="G210" s="53"/>
      <c r="H210" s="53"/>
      <c r="I210" s="54" t="str">
        <f>IFERROR(INDEX('Description Library'!$C$6:$C$808,MATCH($E210&amp;"|"&amp;$F210&amp;"|"&amp;$G210&amp;"|"&amp;$H210,'Description Library'!$K$6:$K$808,0)),"")</f>
        <v/>
      </c>
      <c r="J210" s="9" t="str">
        <f>IFERROR(INDEX('Description Library'!$H$6:$H$808,MATCH($E210&amp;"|"&amp;$F210&amp;"|"&amp;$G210&amp;"|"&amp;$H210,'Description Library'!$K$6:$K$808,0)),"")</f>
        <v/>
      </c>
      <c r="K210" s="55"/>
      <c r="L210" s="56">
        <f>IFERROR(INDEX('Price List Library'!$K$6:$K$437,MATCH(TRIM($H210)&amp;"|"&amp;TRIM($J210),'Price List Library'!$S$6:$S$437,0)),0)</f>
        <v>0</v>
      </c>
      <c r="M210" s="56">
        <f>IFERROR(INDEX('Price List Library'!$N$6:$N$437,MATCH(TRIM($H210)&amp;"|"&amp;TRIM($J210),'Price List Library'!$S$6:$S$437,0)),0)</f>
        <v>0</v>
      </c>
      <c r="N210" s="27">
        <f t="shared" si="19"/>
        <v>0</v>
      </c>
      <c r="O210" s="27" t="str">
        <f t="shared" si="20"/>
        <v/>
      </c>
      <c r="P210" s="9" t="str">
        <f>IFERROR(INDEX('Price List Library'!$P$6:$P$437,MATCH(TRIM($H210)&amp;"|"&amp;TRIM($J210),'Price List Library'!$S$6:$S$437,0)),"")</f>
        <v/>
      </c>
      <c r="Q210" s="53"/>
      <c r="R210" s="29" t="str">
        <f t="shared" si="21"/>
        <v>_NONE</v>
      </c>
      <c r="S210" s="29" t="str">
        <f t="shared" si="22"/>
        <v>_NONE</v>
      </c>
      <c r="T210" s="29" t="str">
        <f t="shared" si="23"/>
        <v>_NONE</v>
      </c>
    </row>
    <row r="211" spans="1:20" ht="15" customHeight="1" x14ac:dyDescent="0.25">
      <c r="A211" s="9" t="str">
        <f t="shared" si="18"/>
        <v/>
      </c>
      <c r="B211" s="52"/>
      <c r="C211" s="52"/>
      <c r="D211" s="53"/>
      <c r="E211" s="53"/>
      <c r="F211" s="53"/>
      <c r="G211" s="53"/>
      <c r="H211" s="53"/>
      <c r="I211" s="54" t="str">
        <f>IFERROR(INDEX('Description Library'!$C$6:$C$808,MATCH($E211&amp;"|"&amp;$F211&amp;"|"&amp;$G211&amp;"|"&amp;$H211,'Description Library'!$K$6:$K$808,0)),"")</f>
        <v/>
      </c>
      <c r="J211" s="9" t="str">
        <f>IFERROR(INDEX('Description Library'!$H$6:$H$808,MATCH($E211&amp;"|"&amp;$F211&amp;"|"&amp;$G211&amp;"|"&amp;$H211,'Description Library'!$K$6:$K$808,0)),"")</f>
        <v/>
      </c>
      <c r="K211" s="55"/>
      <c r="L211" s="56">
        <f>IFERROR(INDEX('Price List Library'!$K$6:$K$437,MATCH(TRIM($H211)&amp;"|"&amp;TRIM($J211),'Price List Library'!$S$6:$S$437,0)),0)</f>
        <v>0</v>
      </c>
      <c r="M211" s="56">
        <f>IFERROR(INDEX('Price List Library'!$N$6:$N$437,MATCH(TRIM($H211)&amp;"|"&amp;TRIM($J211),'Price List Library'!$S$6:$S$437,0)),0)</f>
        <v>0</v>
      </c>
      <c r="N211" s="27">
        <f t="shared" si="19"/>
        <v>0</v>
      </c>
      <c r="O211" s="27" t="str">
        <f t="shared" si="20"/>
        <v/>
      </c>
      <c r="P211" s="9" t="str">
        <f>IFERROR(INDEX('Price List Library'!$P$6:$P$437,MATCH(TRIM($H211)&amp;"|"&amp;TRIM($J211),'Price List Library'!$S$6:$S$437,0)),"")</f>
        <v/>
      </c>
      <c r="Q211" s="53"/>
      <c r="R211" s="29" t="str">
        <f t="shared" si="21"/>
        <v>_NONE</v>
      </c>
      <c r="S211" s="29" t="str">
        <f t="shared" si="22"/>
        <v>_NONE</v>
      </c>
      <c r="T211" s="29" t="str">
        <f t="shared" si="23"/>
        <v>_NONE</v>
      </c>
    </row>
    <row r="212" spans="1:20" ht="15" customHeight="1" x14ac:dyDescent="0.25">
      <c r="A212" s="9" t="str">
        <f t="shared" si="18"/>
        <v/>
      </c>
      <c r="B212" s="52"/>
      <c r="C212" s="52"/>
      <c r="D212" s="53"/>
      <c r="E212" s="53"/>
      <c r="F212" s="53"/>
      <c r="G212" s="53"/>
      <c r="H212" s="53"/>
      <c r="I212" s="54" t="str">
        <f>IFERROR(INDEX('Description Library'!$C$6:$C$808,MATCH($E212&amp;"|"&amp;$F212&amp;"|"&amp;$G212&amp;"|"&amp;$H212,'Description Library'!$K$6:$K$808,0)),"")</f>
        <v/>
      </c>
      <c r="J212" s="9" t="str">
        <f>IFERROR(INDEX('Description Library'!$H$6:$H$808,MATCH($E212&amp;"|"&amp;$F212&amp;"|"&amp;$G212&amp;"|"&amp;$H212,'Description Library'!$K$6:$K$808,0)),"")</f>
        <v/>
      </c>
      <c r="K212" s="55"/>
      <c r="L212" s="56">
        <f>IFERROR(INDEX('Price List Library'!$K$6:$K$437,MATCH(TRIM($H212)&amp;"|"&amp;TRIM($J212),'Price List Library'!$S$6:$S$437,0)),0)</f>
        <v>0</v>
      </c>
      <c r="M212" s="56">
        <f>IFERROR(INDEX('Price List Library'!$N$6:$N$437,MATCH(TRIM($H212)&amp;"|"&amp;TRIM($J212),'Price List Library'!$S$6:$S$437,0)),0)</f>
        <v>0</v>
      </c>
      <c r="N212" s="27">
        <f t="shared" si="19"/>
        <v>0</v>
      </c>
      <c r="O212" s="27" t="str">
        <f t="shared" si="20"/>
        <v/>
      </c>
      <c r="P212" s="9" t="str">
        <f>IFERROR(INDEX('Price List Library'!$P$6:$P$437,MATCH(TRIM($H212)&amp;"|"&amp;TRIM($J212),'Price List Library'!$S$6:$S$437,0)),"")</f>
        <v/>
      </c>
      <c r="Q212" s="53"/>
      <c r="R212" s="29" t="str">
        <f t="shared" si="21"/>
        <v>_NONE</v>
      </c>
      <c r="S212" s="29" t="str">
        <f t="shared" si="22"/>
        <v>_NONE</v>
      </c>
      <c r="T212" s="29" t="str">
        <f t="shared" si="23"/>
        <v>_NONE</v>
      </c>
    </row>
    <row r="213" spans="1:20" ht="15" customHeight="1" x14ac:dyDescent="0.25">
      <c r="A213" s="9" t="str">
        <f t="shared" si="18"/>
        <v/>
      </c>
      <c r="B213" s="52"/>
      <c r="C213" s="52"/>
      <c r="D213" s="53"/>
      <c r="E213" s="53"/>
      <c r="F213" s="53"/>
      <c r="G213" s="53"/>
      <c r="H213" s="53"/>
      <c r="I213" s="54" t="str">
        <f>IFERROR(INDEX('Description Library'!$C$6:$C$808,MATCH($E213&amp;"|"&amp;$F213&amp;"|"&amp;$G213&amp;"|"&amp;$H213,'Description Library'!$K$6:$K$808,0)),"")</f>
        <v/>
      </c>
      <c r="J213" s="9" t="str">
        <f>IFERROR(INDEX('Description Library'!$H$6:$H$808,MATCH($E213&amp;"|"&amp;$F213&amp;"|"&amp;$G213&amp;"|"&amp;$H213,'Description Library'!$K$6:$K$808,0)),"")</f>
        <v/>
      </c>
      <c r="K213" s="55"/>
      <c r="L213" s="56">
        <f>IFERROR(INDEX('Price List Library'!$K$6:$K$437,MATCH(TRIM($H213)&amp;"|"&amp;TRIM($J213),'Price List Library'!$S$6:$S$437,0)),0)</f>
        <v>0</v>
      </c>
      <c r="M213" s="56">
        <f>IFERROR(INDEX('Price List Library'!$N$6:$N$437,MATCH(TRIM($H213)&amp;"|"&amp;TRIM($J213),'Price List Library'!$S$6:$S$437,0)),0)</f>
        <v>0</v>
      </c>
      <c r="N213" s="27">
        <f t="shared" si="19"/>
        <v>0</v>
      </c>
      <c r="O213" s="27" t="str">
        <f t="shared" si="20"/>
        <v/>
      </c>
      <c r="P213" s="9" t="str">
        <f>IFERROR(INDEX('Price List Library'!$P$6:$P$437,MATCH(TRIM($H213)&amp;"|"&amp;TRIM($J213),'Price List Library'!$S$6:$S$437,0)),"")</f>
        <v/>
      </c>
      <c r="Q213" s="53"/>
      <c r="R213" s="29" t="str">
        <f t="shared" si="21"/>
        <v>_NONE</v>
      </c>
      <c r="S213" s="29" t="str">
        <f t="shared" si="22"/>
        <v>_NONE</v>
      </c>
      <c r="T213" s="29" t="str">
        <f t="shared" si="23"/>
        <v>_NONE</v>
      </c>
    </row>
    <row r="214" spans="1:20" ht="15" customHeight="1" x14ac:dyDescent="0.25">
      <c r="A214" s="9" t="str">
        <f t="shared" si="18"/>
        <v/>
      </c>
      <c r="B214" s="52"/>
      <c r="C214" s="52"/>
      <c r="D214" s="53"/>
      <c r="E214" s="53"/>
      <c r="F214" s="53"/>
      <c r="G214" s="53"/>
      <c r="H214" s="53"/>
      <c r="I214" s="54" t="str">
        <f>IFERROR(INDEX('Description Library'!$C$6:$C$808,MATCH($E214&amp;"|"&amp;$F214&amp;"|"&amp;$G214&amp;"|"&amp;$H214,'Description Library'!$K$6:$K$808,0)),"")</f>
        <v/>
      </c>
      <c r="J214" s="9" t="str">
        <f>IFERROR(INDEX('Description Library'!$H$6:$H$808,MATCH($E214&amp;"|"&amp;$F214&amp;"|"&amp;$G214&amp;"|"&amp;$H214,'Description Library'!$K$6:$K$808,0)),"")</f>
        <v/>
      </c>
      <c r="K214" s="55"/>
      <c r="L214" s="56">
        <f>IFERROR(INDEX('Price List Library'!$K$6:$K$437,MATCH(TRIM($H214)&amp;"|"&amp;TRIM($J214),'Price List Library'!$S$6:$S$437,0)),0)</f>
        <v>0</v>
      </c>
      <c r="M214" s="56">
        <f>IFERROR(INDEX('Price List Library'!$N$6:$N$437,MATCH(TRIM($H214)&amp;"|"&amp;TRIM($J214),'Price List Library'!$S$6:$S$437,0)),0)</f>
        <v>0</v>
      </c>
      <c r="N214" s="27">
        <f t="shared" si="19"/>
        <v>0</v>
      </c>
      <c r="O214" s="27" t="str">
        <f t="shared" si="20"/>
        <v/>
      </c>
      <c r="P214" s="9" t="str">
        <f>IFERROR(INDEX('Price List Library'!$P$6:$P$437,MATCH(TRIM($H214)&amp;"|"&amp;TRIM($J214),'Price List Library'!$S$6:$S$437,0)),"")</f>
        <v/>
      </c>
      <c r="Q214" s="53"/>
      <c r="R214" s="29" t="str">
        <f t="shared" si="21"/>
        <v>_NONE</v>
      </c>
      <c r="S214" s="29" t="str">
        <f t="shared" si="22"/>
        <v>_NONE</v>
      </c>
      <c r="T214" s="29" t="str">
        <f t="shared" si="23"/>
        <v>_NONE</v>
      </c>
    </row>
    <row r="215" spans="1:20" ht="15" customHeight="1" x14ac:dyDescent="0.25">
      <c r="A215" s="9" t="str">
        <f t="shared" si="18"/>
        <v/>
      </c>
      <c r="B215" s="52"/>
      <c r="C215" s="52"/>
      <c r="D215" s="53"/>
      <c r="E215" s="53"/>
      <c r="F215" s="53"/>
      <c r="G215" s="53"/>
      <c r="H215" s="53"/>
      <c r="I215" s="54" t="str">
        <f>IFERROR(INDEX('Description Library'!$C$6:$C$808,MATCH($E215&amp;"|"&amp;$F215&amp;"|"&amp;$G215&amp;"|"&amp;$H215,'Description Library'!$K$6:$K$808,0)),"")</f>
        <v/>
      </c>
      <c r="J215" s="9" t="str">
        <f>IFERROR(INDEX('Description Library'!$H$6:$H$808,MATCH($E215&amp;"|"&amp;$F215&amp;"|"&amp;$G215&amp;"|"&amp;$H215,'Description Library'!$K$6:$K$808,0)),"")</f>
        <v/>
      </c>
      <c r="K215" s="55"/>
      <c r="L215" s="56">
        <f>IFERROR(INDEX('Price List Library'!$K$6:$K$437,MATCH(TRIM($H215)&amp;"|"&amp;TRIM($J215),'Price List Library'!$S$6:$S$437,0)),0)</f>
        <v>0</v>
      </c>
      <c r="M215" s="56">
        <f>IFERROR(INDEX('Price List Library'!$N$6:$N$437,MATCH(TRIM($H215)&amp;"|"&amp;TRIM($J215),'Price List Library'!$S$6:$S$437,0)),0)</f>
        <v>0</v>
      </c>
      <c r="N215" s="27">
        <f t="shared" si="19"/>
        <v>0</v>
      </c>
      <c r="O215" s="27" t="str">
        <f t="shared" si="20"/>
        <v/>
      </c>
      <c r="P215" s="9" t="str">
        <f>IFERROR(INDEX('Price List Library'!$P$6:$P$437,MATCH(TRIM($H215)&amp;"|"&amp;TRIM($J215),'Price List Library'!$S$6:$S$437,0)),"")</f>
        <v/>
      </c>
      <c r="Q215" s="53"/>
      <c r="R215" s="29" t="str">
        <f t="shared" si="21"/>
        <v>_NONE</v>
      </c>
      <c r="S215" s="29" t="str">
        <f t="shared" si="22"/>
        <v>_NONE</v>
      </c>
      <c r="T215" s="29" t="str">
        <f t="shared" si="23"/>
        <v>_NONE</v>
      </c>
    </row>
    <row r="216" spans="1:20" ht="15" customHeight="1" x14ac:dyDescent="0.25">
      <c r="A216" s="9" t="str">
        <f t="shared" si="18"/>
        <v/>
      </c>
      <c r="B216" s="52"/>
      <c r="C216" s="52"/>
      <c r="D216" s="53"/>
      <c r="E216" s="53"/>
      <c r="F216" s="53"/>
      <c r="G216" s="53"/>
      <c r="H216" s="53"/>
      <c r="I216" s="54" t="str">
        <f>IFERROR(INDEX('Description Library'!$C$6:$C$808,MATCH($E216&amp;"|"&amp;$F216&amp;"|"&amp;$G216&amp;"|"&amp;$H216,'Description Library'!$K$6:$K$808,0)),"")</f>
        <v/>
      </c>
      <c r="J216" s="9" t="str">
        <f>IFERROR(INDEX('Description Library'!$H$6:$H$808,MATCH($E216&amp;"|"&amp;$F216&amp;"|"&amp;$G216&amp;"|"&amp;$H216,'Description Library'!$K$6:$K$808,0)),"")</f>
        <v/>
      </c>
      <c r="K216" s="55"/>
      <c r="L216" s="56">
        <f>IFERROR(INDEX('Price List Library'!$K$6:$K$437,MATCH(TRIM($H216)&amp;"|"&amp;TRIM($J216),'Price List Library'!$S$6:$S$437,0)),0)</f>
        <v>0</v>
      </c>
      <c r="M216" s="56">
        <f>IFERROR(INDEX('Price List Library'!$N$6:$N$437,MATCH(TRIM($H216)&amp;"|"&amp;TRIM($J216),'Price List Library'!$S$6:$S$437,0)),0)</f>
        <v>0</v>
      </c>
      <c r="N216" s="27">
        <f t="shared" si="19"/>
        <v>0</v>
      </c>
      <c r="O216" s="27" t="str">
        <f t="shared" si="20"/>
        <v/>
      </c>
      <c r="P216" s="9" t="str">
        <f>IFERROR(INDEX('Price List Library'!$P$6:$P$437,MATCH(TRIM($H216)&amp;"|"&amp;TRIM($J216),'Price List Library'!$S$6:$S$437,0)),"")</f>
        <v/>
      </c>
      <c r="Q216" s="53"/>
      <c r="R216" s="29" t="str">
        <f t="shared" si="21"/>
        <v>_NONE</v>
      </c>
      <c r="S216" s="29" t="str">
        <f t="shared" si="22"/>
        <v>_NONE</v>
      </c>
      <c r="T216" s="29" t="str">
        <f t="shared" si="23"/>
        <v>_NONE</v>
      </c>
    </row>
    <row r="217" spans="1:20" ht="15" customHeight="1" x14ac:dyDescent="0.25">
      <c r="A217" s="9" t="str">
        <f t="shared" si="18"/>
        <v/>
      </c>
      <c r="B217" s="52"/>
      <c r="C217" s="52"/>
      <c r="D217" s="53"/>
      <c r="E217" s="53"/>
      <c r="F217" s="53"/>
      <c r="G217" s="53"/>
      <c r="H217" s="53"/>
      <c r="I217" s="54" t="str">
        <f>IFERROR(INDEX('Description Library'!$C$6:$C$808,MATCH($E217&amp;"|"&amp;$F217&amp;"|"&amp;$G217&amp;"|"&amp;$H217,'Description Library'!$K$6:$K$808,0)),"")</f>
        <v/>
      </c>
      <c r="J217" s="9" t="str">
        <f>IFERROR(INDEX('Description Library'!$H$6:$H$808,MATCH($E217&amp;"|"&amp;$F217&amp;"|"&amp;$G217&amp;"|"&amp;$H217,'Description Library'!$K$6:$K$808,0)),"")</f>
        <v/>
      </c>
      <c r="K217" s="55"/>
      <c r="L217" s="56">
        <f>IFERROR(INDEX('Price List Library'!$K$6:$K$437,MATCH(TRIM($H217)&amp;"|"&amp;TRIM($J217),'Price List Library'!$S$6:$S$437,0)),0)</f>
        <v>0</v>
      </c>
      <c r="M217" s="56">
        <f>IFERROR(INDEX('Price List Library'!$N$6:$N$437,MATCH(TRIM($H217)&amp;"|"&amp;TRIM($J217),'Price List Library'!$S$6:$S$437,0)),0)</f>
        <v>0</v>
      </c>
      <c r="N217" s="27">
        <f t="shared" si="19"/>
        <v>0</v>
      </c>
      <c r="O217" s="27" t="str">
        <f t="shared" si="20"/>
        <v/>
      </c>
      <c r="P217" s="9" t="str">
        <f>IFERROR(INDEX('Price List Library'!$P$6:$P$437,MATCH(TRIM($H217)&amp;"|"&amp;TRIM($J217),'Price List Library'!$S$6:$S$437,0)),"")</f>
        <v/>
      </c>
      <c r="Q217" s="53"/>
      <c r="R217" s="29" t="str">
        <f t="shared" si="21"/>
        <v>_NONE</v>
      </c>
      <c r="S217" s="29" t="str">
        <f t="shared" si="22"/>
        <v>_NONE</v>
      </c>
      <c r="T217" s="29" t="str">
        <f t="shared" si="23"/>
        <v>_NONE</v>
      </c>
    </row>
    <row r="218" spans="1:20" ht="15" customHeight="1" x14ac:dyDescent="0.25">
      <c r="A218" s="9" t="str">
        <f t="shared" si="18"/>
        <v/>
      </c>
      <c r="B218" s="52"/>
      <c r="C218" s="52"/>
      <c r="D218" s="53"/>
      <c r="E218" s="53"/>
      <c r="F218" s="53"/>
      <c r="G218" s="53"/>
      <c r="H218" s="53"/>
      <c r="I218" s="54" t="str">
        <f>IFERROR(INDEX('Description Library'!$C$6:$C$808,MATCH($E218&amp;"|"&amp;$F218&amp;"|"&amp;$G218&amp;"|"&amp;$H218,'Description Library'!$K$6:$K$808,0)),"")</f>
        <v/>
      </c>
      <c r="J218" s="9" t="str">
        <f>IFERROR(INDEX('Description Library'!$H$6:$H$808,MATCH($E218&amp;"|"&amp;$F218&amp;"|"&amp;$G218&amp;"|"&amp;$H218,'Description Library'!$K$6:$K$808,0)),"")</f>
        <v/>
      </c>
      <c r="K218" s="55"/>
      <c r="L218" s="56">
        <f>IFERROR(INDEX('Price List Library'!$K$6:$K$437,MATCH(TRIM($H218)&amp;"|"&amp;TRIM($J218),'Price List Library'!$S$6:$S$437,0)),0)</f>
        <v>0</v>
      </c>
      <c r="M218" s="56">
        <f>IFERROR(INDEX('Price List Library'!$N$6:$N$437,MATCH(TRIM($H218)&amp;"|"&amp;TRIM($J218),'Price List Library'!$S$6:$S$437,0)),0)</f>
        <v>0</v>
      </c>
      <c r="N218" s="27">
        <f t="shared" si="19"/>
        <v>0</v>
      </c>
      <c r="O218" s="27" t="str">
        <f t="shared" si="20"/>
        <v/>
      </c>
      <c r="P218" s="9" t="str">
        <f>IFERROR(INDEX('Price List Library'!$P$6:$P$437,MATCH(TRIM($H218)&amp;"|"&amp;TRIM($J218),'Price List Library'!$S$6:$S$437,0)),"")</f>
        <v/>
      </c>
      <c r="Q218" s="53"/>
      <c r="R218" s="29" t="str">
        <f t="shared" si="21"/>
        <v>_NONE</v>
      </c>
      <c r="S218" s="29" t="str">
        <f t="shared" si="22"/>
        <v>_NONE</v>
      </c>
      <c r="T218" s="29" t="str">
        <f t="shared" si="23"/>
        <v>_NONE</v>
      </c>
    </row>
    <row r="219" spans="1:20" ht="15" customHeight="1" x14ac:dyDescent="0.25">
      <c r="A219" s="9" t="str">
        <f t="shared" si="18"/>
        <v/>
      </c>
      <c r="B219" s="52"/>
      <c r="C219" s="52"/>
      <c r="D219" s="53"/>
      <c r="E219" s="53"/>
      <c r="F219" s="53"/>
      <c r="G219" s="53"/>
      <c r="H219" s="53"/>
      <c r="I219" s="54" t="str">
        <f>IFERROR(INDEX('Description Library'!$C$6:$C$808,MATCH($E219&amp;"|"&amp;$F219&amp;"|"&amp;$G219&amp;"|"&amp;$H219,'Description Library'!$K$6:$K$808,0)),"")</f>
        <v/>
      </c>
      <c r="J219" s="9" t="str">
        <f>IFERROR(INDEX('Description Library'!$H$6:$H$808,MATCH($E219&amp;"|"&amp;$F219&amp;"|"&amp;$G219&amp;"|"&amp;$H219,'Description Library'!$K$6:$K$808,0)),"")</f>
        <v/>
      </c>
      <c r="K219" s="55"/>
      <c r="L219" s="56">
        <f>IFERROR(INDEX('Price List Library'!$K$6:$K$437,MATCH(TRIM($H219)&amp;"|"&amp;TRIM($J219),'Price List Library'!$S$6:$S$437,0)),0)</f>
        <v>0</v>
      </c>
      <c r="M219" s="56">
        <f>IFERROR(INDEX('Price List Library'!$N$6:$N$437,MATCH(TRIM($H219)&amp;"|"&amp;TRIM($J219),'Price List Library'!$S$6:$S$437,0)),0)</f>
        <v>0</v>
      </c>
      <c r="N219" s="27">
        <f t="shared" si="19"/>
        <v>0</v>
      </c>
      <c r="O219" s="27" t="str">
        <f t="shared" si="20"/>
        <v/>
      </c>
      <c r="P219" s="9" t="str">
        <f>IFERROR(INDEX('Price List Library'!$P$6:$P$437,MATCH(TRIM($H219)&amp;"|"&amp;TRIM($J219),'Price List Library'!$S$6:$S$437,0)),"")</f>
        <v/>
      </c>
      <c r="Q219" s="53"/>
      <c r="R219" s="29" t="str">
        <f t="shared" si="21"/>
        <v>_NONE</v>
      </c>
      <c r="S219" s="29" t="str">
        <f t="shared" si="22"/>
        <v>_NONE</v>
      </c>
      <c r="T219" s="29" t="str">
        <f t="shared" si="23"/>
        <v>_NONE</v>
      </c>
    </row>
    <row r="220" spans="1:20" ht="15" customHeight="1" x14ac:dyDescent="0.25">
      <c r="A220" s="9" t="str">
        <f t="shared" si="18"/>
        <v/>
      </c>
      <c r="B220" s="52"/>
      <c r="C220" s="52"/>
      <c r="D220" s="53"/>
      <c r="E220" s="53"/>
      <c r="F220" s="53"/>
      <c r="G220" s="53"/>
      <c r="H220" s="53"/>
      <c r="I220" s="54" t="str">
        <f>IFERROR(INDEX('Description Library'!$C$6:$C$808,MATCH($E220&amp;"|"&amp;$F220&amp;"|"&amp;$G220&amp;"|"&amp;$H220,'Description Library'!$K$6:$K$808,0)),"")</f>
        <v/>
      </c>
      <c r="J220" s="9" t="str">
        <f>IFERROR(INDEX('Description Library'!$H$6:$H$808,MATCH($E220&amp;"|"&amp;$F220&amp;"|"&amp;$G220&amp;"|"&amp;$H220,'Description Library'!$K$6:$K$808,0)),"")</f>
        <v/>
      </c>
      <c r="K220" s="55"/>
      <c r="L220" s="56">
        <f>IFERROR(INDEX('Price List Library'!$K$6:$K$437,MATCH(TRIM($H220)&amp;"|"&amp;TRIM($J220),'Price List Library'!$S$6:$S$437,0)),0)</f>
        <v>0</v>
      </c>
      <c r="M220" s="56">
        <f>IFERROR(INDEX('Price List Library'!$N$6:$N$437,MATCH(TRIM($H220)&amp;"|"&amp;TRIM($J220),'Price List Library'!$S$6:$S$437,0)),0)</f>
        <v>0</v>
      </c>
      <c r="N220" s="27">
        <f t="shared" si="19"/>
        <v>0</v>
      </c>
      <c r="O220" s="27" t="str">
        <f t="shared" si="20"/>
        <v/>
      </c>
      <c r="P220" s="9" t="str">
        <f>IFERROR(INDEX('Price List Library'!$P$6:$P$437,MATCH(TRIM($H220)&amp;"|"&amp;TRIM($J220),'Price List Library'!$S$6:$S$437,0)),"")</f>
        <v/>
      </c>
      <c r="Q220" s="53"/>
      <c r="R220" s="29" t="str">
        <f t="shared" si="21"/>
        <v>_NONE</v>
      </c>
      <c r="S220" s="29" t="str">
        <f t="shared" si="22"/>
        <v>_NONE</v>
      </c>
      <c r="T220" s="29" t="str">
        <f t="shared" si="23"/>
        <v>_NONE</v>
      </c>
    </row>
    <row r="221" spans="1:20" ht="15" customHeight="1" x14ac:dyDescent="0.25">
      <c r="A221" s="9" t="str">
        <f t="shared" si="18"/>
        <v/>
      </c>
      <c r="B221" s="52"/>
      <c r="C221" s="52"/>
      <c r="D221" s="53"/>
      <c r="E221" s="53"/>
      <c r="F221" s="53"/>
      <c r="G221" s="53"/>
      <c r="H221" s="53"/>
      <c r="I221" s="54" t="str">
        <f>IFERROR(INDEX('Description Library'!$C$6:$C$808,MATCH($E221&amp;"|"&amp;$F221&amp;"|"&amp;$G221&amp;"|"&amp;$H221,'Description Library'!$K$6:$K$808,0)),"")</f>
        <v/>
      </c>
      <c r="J221" s="9" t="str">
        <f>IFERROR(INDEX('Description Library'!$H$6:$H$808,MATCH($E221&amp;"|"&amp;$F221&amp;"|"&amp;$G221&amp;"|"&amp;$H221,'Description Library'!$K$6:$K$808,0)),"")</f>
        <v/>
      </c>
      <c r="K221" s="55"/>
      <c r="L221" s="56">
        <f>IFERROR(INDEX('Price List Library'!$K$6:$K$437,MATCH(TRIM($H221)&amp;"|"&amp;TRIM($J221),'Price List Library'!$S$6:$S$437,0)),0)</f>
        <v>0</v>
      </c>
      <c r="M221" s="56">
        <f>IFERROR(INDEX('Price List Library'!$N$6:$N$437,MATCH(TRIM($H221)&amp;"|"&amp;TRIM($J221),'Price List Library'!$S$6:$S$437,0)),0)</f>
        <v>0</v>
      </c>
      <c r="N221" s="27">
        <f t="shared" si="19"/>
        <v>0</v>
      </c>
      <c r="O221" s="27" t="str">
        <f t="shared" si="20"/>
        <v/>
      </c>
      <c r="P221" s="9" t="str">
        <f>IFERROR(INDEX('Price List Library'!$P$6:$P$437,MATCH(TRIM($H221)&amp;"|"&amp;TRIM($J221),'Price List Library'!$S$6:$S$437,0)),"")</f>
        <v/>
      </c>
      <c r="Q221" s="53"/>
      <c r="R221" s="29" t="str">
        <f t="shared" si="21"/>
        <v>_NONE</v>
      </c>
      <c r="S221" s="29" t="str">
        <f t="shared" si="22"/>
        <v>_NONE</v>
      </c>
      <c r="T221" s="29" t="str">
        <f t="shared" si="23"/>
        <v>_NONE</v>
      </c>
    </row>
    <row r="222" spans="1:20" ht="15" customHeight="1" x14ac:dyDescent="0.25">
      <c r="A222" s="9" t="str">
        <f t="shared" si="18"/>
        <v/>
      </c>
      <c r="B222" s="52"/>
      <c r="C222" s="52"/>
      <c r="D222" s="53"/>
      <c r="E222" s="53"/>
      <c r="F222" s="53"/>
      <c r="G222" s="53"/>
      <c r="H222" s="53"/>
      <c r="I222" s="54" t="str">
        <f>IFERROR(INDEX('Description Library'!$C$6:$C$808,MATCH($E222&amp;"|"&amp;$F222&amp;"|"&amp;$G222&amp;"|"&amp;$H222,'Description Library'!$K$6:$K$808,0)),"")</f>
        <v/>
      </c>
      <c r="J222" s="9" t="str">
        <f>IFERROR(INDEX('Description Library'!$H$6:$H$808,MATCH($E222&amp;"|"&amp;$F222&amp;"|"&amp;$G222&amp;"|"&amp;$H222,'Description Library'!$K$6:$K$808,0)),"")</f>
        <v/>
      </c>
      <c r="K222" s="55"/>
      <c r="L222" s="56">
        <f>IFERROR(INDEX('Price List Library'!$K$6:$K$437,MATCH(TRIM($H222)&amp;"|"&amp;TRIM($J222),'Price List Library'!$S$6:$S$437,0)),0)</f>
        <v>0</v>
      </c>
      <c r="M222" s="56">
        <f>IFERROR(INDEX('Price List Library'!$N$6:$N$437,MATCH(TRIM($H222)&amp;"|"&amp;TRIM($J222),'Price List Library'!$S$6:$S$437,0)),0)</f>
        <v>0</v>
      </c>
      <c r="N222" s="27">
        <f t="shared" si="19"/>
        <v>0</v>
      </c>
      <c r="O222" s="27" t="str">
        <f t="shared" si="20"/>
        <v/>
      </c>
      <c r="P222" s="9" t="str">
        <f>IFERROR(INDEX('Price List Library'!$P$6:$P$437,MATCH(TRIM($H222)&amp;"|"&amp;TRIM($J222),'Price List Library'!$S$6:$S$437,0)),"")</f>
        <v/>
      </c>
      <c r="Q222" s="53"/>
      <c r="R222" s="29" t="str">
        <f t="shared" si="21"/>
        <v>_NONE</v>
      </c>
      <c r="S222" s="29" t="str">
        <f t="shared" si="22"/>
        <v>_NONE</v>
      </c>
      <c r="T222" s="29" t="str">
        <f t="shared" si="23"/>
        <v>_NONE</v>
      </c>
    </row>
    <row r="223" spans="1:20" ht="15" customHeight="1" x14ac:dyDescent="0.25">
      <c r="A223" s="9" t="str">
        <f t="shared" si="18"/>
        <v/>
      </c>
      <c r="B223" s="52"/>
      <c r="C223" s="52"/>
      <c r="D223" s="53"/>
      <c r="E223" s="53"/>
      <c r="F223" s="53"/>
      <c r="G223" s="53"/>
      <c r="H223" s="53"/>
      <c r="I223" s="54" t="str">
        <f>IFERROR(INDEX('Description Library'!$C$6:$C$808,MATCH($E223&amp;"|"&amp;$F223&amp;"|"&amp;$G223&amp;"|"&amp;$H223,'Description Library'!$K$6:$K$808,0)),"")</f>
        <v/>
      </c>
      <c r="J223" s="9" t="str">
        <f>IFERROR(INDEX('Description Library'!$H$6:$H$808,MATCH($E223&amp;"|"&amp;$F223&amp;"|"&amp;$G223&amp;"|"&amp;$H223,'Description Library'!$K$6:$K$808,0)),"")</f>
        <v/>
      </c>
      <c r="K223" s="55"/>
      <c r="L223" s="56">
        <f>IFERROR(INDEX('Price List Library'!$K$6:$K$437,MATCH(TRIM($H223)&amp;"|"&amp;TRIM($J223),'Price List Library'!$S$6:$S$437,0)),0)</f>
        <v>0</v>
      </c>
      <c r="M223" s="56">
        <f>IFERROR(INDEX('Price List Library'!$N$6:$N$437,MATCH(TRIM($H223)&amp;"|"&amp;TRIM($J223),'Price List Library'!$S$6:$S$437,0)),0)</f>
        <v>0</v>
      </c>
      <c r="N223" s="27">
        <f t="shared" si="19"/>
        <v>0</v>
      </c>
      <c r="O223" s="27" t="str">
        <f t="shared" si="20"/>
        <v/>
      </c>
      <c r="P223" s="9" t="str">
        <f>IFERROR(INDEX('Price List Library'!$P$6:$P$437,MATCH(TRIM($H223)&amp;"|"&amp;TRIM($J223),'Price List Library'!$S$6:$S$437,0)),"")</f>
        <v/>
      </c>
      <c r="Q223" s="53"/>
      <c r="R223" s="29" t="str">
        <f t="shared" si="21"/>
        <v>_NONE</v>
      </c>
      <c r="S223" s="29" t="str">
        <f t="shared" si="22"/>
        <v>_NONE</v>
      </c>
      <c r="T223" s="29" t="str">
        <f t="shared" si="23"/>
        <v>_NONE</v>
      </c>
    </row>
    <row r="224" spans="1:20" ht="15" customHeight="1" x14ac:dyDescent="0.25">
      <c r="A224" s="9" t="str">
        <f t="shared" si="18"/>
        <v/>
      </c>
      <c r="B224" s="52"/>
      <c r="C224" s="52"/>
      <c r="D224" s="53"/>
      <c r="E224" s="53"/>
      <c r="F224" s="53"/>
      <c r="G224" s="53"/>
      <c r="H224" s="53"/>
      <c r="I224" s="54" t="str">
        <f>IFERROR(INDEX('Description Library'!$C$6:$C$808,MATCH($E224&amp;"|"&amp;$F224&amp;"|"&amp;$G224&amp;"|"&amp;$H224,'Description Library'!$K$6:$K$808,0)),"")</f>
        <v/>
      </c>
      <c r="J224" s="9" t="str">
        <f>IFERROR(INDEX('Description Library'!$H$6:$H$808,MATCH($E224&amp;"|"&amp;$F224&amp;"|"&amp;$G224&amp;"|"&amp;$H224,'Description Library'!$K$6:$K$808,0)),"")</f>
        <v/>
      </c>
      <c r="K224" s="55"/>
      <c r="L224" s="56">
        <f>IFERROR(INDEX('Price List Library'!$K$6:$K$437,MATCH(TRIM($H224)&amp;"|"&amp;TRIM($J224),'Price List Library'!$S$6:$S$437,0)),0)</f>
        <v>0</v>
      </c>
      <c r="M224" s="56">
        <f>IFERROR(INDEX('Price List Library'!$N$6:$N$437,MATCH(TRIM($H224)&amp;"|"&amp;TRIM($J224),'Price List Library'!$S$6:$S$437,0)),0)</f>
        <v>0</v>
      </c>
      <c r="N224" s="27">
        <f t="shared" si="19"/>
        <v>0</v>
      </c>
      <c r="O224" s="27" t="str">
        <f t="shared" si="20"/>
        <v/>
      </c>
      <c r="P224" s="9" t="str">
        <f>IFERROR(INDEX('Price List Library'!$P$6:$P$437,MATCH(TRIM($H224)&amp;"|"&amp;TRIM($J224),'Price List Library'!$S$6:$S$437,0)),"")</f>
        <v/>
      </c>
      <c r="Q224" s="53"/>
      <c r="R224" s="29" t="str">
        <f t="shared" si="21"/>
        <v>_NONE</v>
      </c>
      <c r="S224" s="29" t="str">
        <f t="shared" si="22"/>
        <v>_NONE</v>
      </c>
      <c r="T224" s="29" t="str">
        <f t="shared" si="23"/>
        <v>_NONE</v>
      </c>
    </row>
    <row r="225" spans="1:20" ht="15" customHeight="1" x14ac:dyDescent="0.25">
      <c r="A225" s="9" t="str">
        <f t="shared" si="18"/>
        <v/>
      </c>
      <c r="B225" s="52"/>
      <c r="C225" s="52"/>
      <c r="D225" s="53"/>
      <c r="E225" s="53"/>
      <c r="F225" s="53"/>
      <c r="G225" s="53"/>
      <c r="H225" s="53"/>
      <c r="I225" s="54" t="str">
        <f>IFERROR(INDEX('Description Library'!$C$6:$C$808,MATCH($E225&amp;"|"&amp;$F225&amp;"|"&amp;$G225&amp;"|"&amp;$H225,'Description Library'!$K$6:$K$808,0)),"")</f>
        <v/>
      </c>
      <c r="J225" s="9" t="str">
        <f>IFERROR(INDEX('Description Library'!$H$6:$H$808,MATCH($E225&amp;"|"&amp;$F225&amp;"|"&amp;$G225&amp;"|"&amp;$H225,'Description Library'!$K$6:$K$808,0)),"")</f>
        <v/>
      </c>
      <c r="K225" s="55"/>
      <c r="L225" s="56">
        <f>IFERROR(INDEX('Price List Library'!$K$6:$K$437,MATCH(TRIM($H225)&amp;"|"&amp;TRIM($J225),'Price List Library'!$S$6:$S$437,0)),0)</f>
        <v>0</v>
      </c>
      <c r="M225" s="56">
        <f>IFERROR(INDEX('Price List Library'!$N$6:$N$437,MATCH(TRIM($H225)&amp;"|"&amp;TRIM($J225),'Price List Library'!$S$6:$S$437,0)),0)</f>
        <v>0</v>
      </c>
      <c r="N225" s="27">
        <f t="shared" si="19"/>
        <v>0</v>
      </c>
      <c r="O225" s="27" t="str">
        <f t="shared" si="20"/>
        <v/>
      </c>
      <c r="P225" s="9" t="str">
        <f>IFERROR(INDEX('Price List Library'!$P$6:$P$437,MATCH(TRIM($H225)&amp;"|"&amp;TRIM($J225),'Price List Library'!$S$6:$S$437,0)),"")</f>
        <v/>
      </c>
      <c r="Q225" s="53"/>
      <c r="R225" s="29" t="str">
        <f t="shared" si="21"/>
        <v>_NONE</v>
      </c>
      <c r="S225" s="29" t="str">
        <f t="shared" si="22"/>
        <v>_NONE</v>
      </c>
      <c r="T225" s="29" t="str">
        <f t="shared" si="23"/>
        <v>_NONE</v>
      </c>
    </row>
    <row r="226" spans="1:20" ht="15" customHeight="1" x14ac:dyDescent="0.25">
      <c r="A226" s="9" t="str">
        <f t="shared" si="18"/>
        <v/>
      </c>
      <c r="B226" s="52"/>
      <c r="C226" s="52"/>
      <c r="D226" s="53"/>
      <c r="E226" s="53"/>
      <c r="F226" s="53"/>
      <c r="G226" s="53"/>
      <c r="H226" s="53"/>
      <c r="I226" s="54" t="str">
        <f>IFERROR(INDEX('Description Library'!$C$6:$C$808,MATCH($E226&amp;"|"&amp;$F226&amp;"|"&amp;$G226&amp;"|"&amp;$H226,'Description Library'!$K$6:$K$808,0)),"")</f>
        <v/>
      </c>
      <c r="J226" s="9" t="str">
        <f>IFERROR(INDEX('Description Library'!$H$6:$H$808,MATCH($E226&amp;"|"&amp;$F226&amp;"|"&amp;$G226&amp;"|"&amp;$H226,'Description Library'!$K$6:$K$808,0)),"")</f>
        <v/>
      </c>
      <c r="K226" s="55"/>
      <c r="L226" s="56">
        <f>IFERROR(INDEX('Price List Library'!$K$6:$K$437,MATCH(TRIM($H226)&amp;"|"&amp;TRIM($J226),'Price List Library'!$S$6:$S$437,0)),0)</f>
        <v>0</v>
      </c>
      <c r="M226" s="56">
        <f>IFERROR(INDEX('Price List Library'!$N$6:$N$437,MATCH(TRIM($H226)&amp;"|"&amp;TRIM($J226),'Price List Library'!$S$6:$S$437,0)),0)</f>
        <v>0</v>
      </c>
      <c r="N226" s="27">
        <f t="shared" si="19"/>
        <v>0</v>
      </c>
      <c r="O226" s="27" t="str">
        <f t="shared" si="20"/>
        <v/>
      </c>
      <c r="P226" s="9" t="str">
        <f>IFERROR(INDEX('Price List Library'!$P$6:$P$437,MATCH(TRIM($H226)&amp;"|"&amp;TRIM($J226),'Price List Library'!$S$6:$S$437,0)),"")</f>
        <v/>
      </c>
      <c r="Q226" s="53"/>
      <c r="R226" s="29" t="str">
        <f t="shared" si="21"/>
        <v>_NONE</v>
      </c>
      <c r="S226" s="29" t="str">
        <f t="shared" si="22"/>
        <v>_NONE</v>
      </c>
      <c r="T226" s="29" t="str">
        <f t="shared" si="23"/>
        <v>_NONE</v>
      </c>
    </row>
    <row r="227" spans="1:20" ht="15" customHeight="1" x14ac:dyDescent="0.25">
      <c r="A227" s="9" t="str">
        <f t="shared" si="18"/>
        <v/>
      </c>
      <c r="B227" s="52"/>
      <c r="C227" s="52"/>
      <c r="D227" s="53"/>
      <c r="E227" s="53"/>
      <c r="F227" s="53"/>
      <c r="G227" s="53"/>
      <c r="H227" s="53"/>
      <c r="I227" s="54" t="str">
        <f>IFERROR(INDEX('Description Library'!$C$6:$C$808,MATCH($E227&amp;"|"&amp;$F227&amp;"|"&amp;$G227&amp;"|"&amp;$H227,'Description Library'!$K$6:$K$808,0)),"")</f>
        <v/>
      </c>
      <c r="J227" s="9" t="str">
        <f>IFERROR(INDEX('Description Library'!$H$6:$H$808,MATCH($E227&amp;"|"&amp;$F227&amp;"|"&amp;$G227&amp;"|"&amp;$H227,'Description Library'!$K$6:$K$808,0)),"")</f>
        <v/>
      </c>
      <c r="K227" s="55"/>
      <c r="L227" s="56">
        <f>IFERROR(INDEX('Price List Library'!$K$6:$K$437,MATCH(TRIM($H227)&amp;"|"&amp;TRIM($J227),'Price List Library'!$S$6:$S$437,0)),0)</f>
        <v>0</v>
      </c>
      <c r="M227" s="56">
        <f>IFERROR(INDEX('Price List Library'!$N$6:$N$437,MATCH(TRIM($H227)&amp;"|"&amp;TRIM($J227),'Price List Library'!$S$6:$S$437,0)),0)</f>
        <v>0</v>
      </c>
      <c r="N227" s="27">
        <f t="shared" si="19"/>
        <v>0</v>
      </c>
      <c r="O227" s="27" t="str">
        <f t="shared" si="20"/>
        <v/>
      </c>
      <c r="P227" s="9" t="str">
        <f>IFERROR(INDEX('Price List Library'!$P$6:$P$437,MATCH(TRIM($H227)&amp;"|"&amp;TRIM($J227),'Price List Library'!$S$6:$S$437,0)),"")</f>
        <v/>
      </c>
      <c r="Q227" s="53"/>
      <c r="R227" s="29" t="str">
        <f t="shared" si="21"/>
        <v>_NONE</v>
      </c>
      <c r="S227" s="29" t="str">
        <f t="shared" si="22"/>
        <v>_NONE</v>
      </c>
      <c r="T227" s="29" t="str">
        <f t="shared" si="23"/>
        <v>_NONE</v>
      </c>
    </row>
    <row r="228" spans="1:20" ht="15" customHeight="1" x14ac:dyDescent="0.25">
      <c r="A228" s="9" t="str">
        <f t="shared" si="18"/>
        <v/>
      </c>
      <c r="B228" s="52"/>
      <c r="C228" s="52"/>
      <c r="D228" s="53"/>
      <c r="E228" s="53"/>
      <c r="F228" s="53"/>
      <c r="G228" s="53"/>
      <c r="H228" s="53"/>
      <c r="I228" s="54" t="str">
        <f>IFERROR(INDEX('Description Library'!$C$6:$C$808,MATCH($E228&amp;"|"&amp;$F228&amp;"|"&amp;$G228&amp;"|"&amp;$H228,'Description Library'!$K$6:$K$808,0)),"")</f>
        <v/>
      </c>
      <c r="J228" s="9" t="str">
        <f>IFERROR(INDEX('Description Library'!$H$6:$H$808,MATCH($E228&amp;"|"&amp;$F228&amp;"|"&amp;$G228&amp;"|"&amp;$H228,'Description Library'!$K$6:$K$808,0)),"")</f>
        <v/>
      </c>
      <c r="K228" s="55"/>
      <c r="L228" s="56">
        <f>IFERROR(INDEX('Price List Library'!$K$6:$K$437,MATCH(TRIM($H228)&amp;"|"&amp;TRIM($J228),'Price List Library'!$S$6:$S$437,0)),0)</f>
        <v>0</v>
      </c>
      <c r="M228" s="56">
        <f>IFERROR(INDEX('Price List Library'!$N$6:$N$437,MATCH(TRIM($H228)&amp;"|"&amp;TRIM($J228),'Price List Library'!$S$6:$S$437,0)),0)</f>
        <v>0</v>
      </c>
      <c r="N228" s="27">
        <f t="shared" si="19"/>
        <v>0</v>
      </c>
      <c r="O228" s="27" t="str">
        <f t="shared" si="20"/>
        <v/>
      </c>
      <c r="P228" s="9" t="str">
        <f>IFERROR(INDEX('Price List Library'!$P$6:$P$437,MATCH(TRIM($H228)&amp;"|"&amp;TRIM($J228),'Price List Library'!$S$6:$S$437,0)),"")</f>
        <v/>
      </c>
      <c r="Q228" s="53"/>
      <c r="R228" s="29" t="str">
        <f t="shared" si="21"/>
        <v>_NONE</v>
      </c>
      <c r="S228" s="29" t="str">
        <f t="shared" si="22"/>
        <v>_NONE</v>
      </c>
      <c r="T228" s="29" t="str">
        <f t="shared" si="23"/>
        <v>_NONE</v>
      </c>
    </row>
    <row r="229" spans="1:20" ht="15" customHeight="1" x14ac:dyDescent="0.25">
      <c r="A229" s="9" t="str">
        <f t="shared" si="18"/>
        <v/>
      </c>
      <c r="B229" s="52"/>
      <c r="C229" s="52"/>
      <c r="D229" s="53"/>
      <c r="E229" s="53"/>
      <c r="F229" s="53"/>
      <c r="G229" s="53"/>
      <c r="H229" s="53"/>
      <c r="I229" s="54" t="str">
        <f>IFERROR(INDEX('Description Library'!$C$6:$C$808,MATCH($E229&amp;"|"&amp;$F229&amp;"|"&amp;$G229&amp;"|"&amp;$H229,'Description Library'!$K$6:$K$808,0)),"")</f>
        <v/>
      </c>
      <c r="J229" s="9" t="str">
        <f>IFERROR(INDEX('Description Library'!$H$6:$H$808,MATCH($E229&amp;"|"&amp;$F229&amp;"|"&amp;$G229&amp;"|"&amp;$H229,'Description Library'!$K$6:$K$808,0)),"")</f>
        <v/>
      </c>
      <c r="K229" s="55"/>
      <c r="L229" s="56">
        <f>IFERROR(INDEX('Price List Library'!$K$6:$K$437,MATCH(TRIM($H229)&amp;"|"&amp;TRIM($J229),'Price List Library'!$S$6:$S$437,0)),0)</f>
        <v>0</v>
      </c>
      <c r="M229" s="56">
        <f>IFERROR(INDEX('Price List Library'!$N$6:$N$437,MATCH(TRIM($H229)&amp;"|"&amp;TRIM($J229),'Price List Library'!$S$6:$S$437,0)),0)</f>
        <v>0</v>
      </c>
      <c r="N229" s="27">
        <f t="shared" si="19"/>
        <v>0</v>
      </c>
      <c r="O229" s="27" t="str">
        <f t="shared" si="20"/>
        <v/>
      </c>
      <c r="P229" s="9" t="str">
        <f>IFERROR(INDEX('Price List Library'!$P$6:$P$437,MATCH(TRIM($H229)&amp;"|"&amp;TRIM($J229),'Price List Library'!$S$6:$S$437,0)),"")</f>
        <v/>
      </c>
      <c r="Q229" s="53"/>
      <c r="R229" s="29" t="str">
        <f t="shared" si="21"/>
        <v>_NONE</v>
      </c>
      <c r="S229" s="29" t="str">
        <f t="shared" si="22"/>
        <v>_NONE</v>
      </c>
      <c r="T229" s="29" t="str">
        <f t="shared" si="23"/>
        <v>_NONE</v>
      </c>
    </row>
    <row r="230" spans="1:20" ht="15" customHeight="1" x14ac:dyDescent="0.25">
      <c r="A230" s="9" t="str">
        <f t="shared" si="18"/>
        <v/>
      </c>
      <c r="B230" s="52"/>
      <c r="C230" s="52"/>
      <c r="D230" s="53"/>
      <c r="E230" s="53"/>
      <c r="F230" s="53"/>
      <c r="G230" s="53"/>
      <c r="H230" s="53"/>
      <c r="I230" s="54" t="str">
        <f>IFERROR(INDEX('Description Library'!$C$6:$C$808,MATCH($E230&amp;"|"&amp;$F230&amp;"|"&amp;$G230&amp;"|"&amp;$H230,'Description Library'!$K$6:$K$808,0)),"")</f>
        <v/>
      </c>
      <c r="J230" s="9" t="str">
        <f>IFERROR(INDEX('Description Library'!$H$6:$H$808,MATCH($E230&amp;"|"&amp;$F230&amp;"|"&amp;$G230&amp;"|"&amp;$H230,'Description Library'!$K$6:$K$808,0)),"")</f>
        <v/>
      </c>
      <c r="K230" s="55"/>
      <c r="L230" s="56">
        <f>IFERROR(INDEX('Price List Library'!$K$6:$K$437,MATCH(TRIM($H230)&amp;"|"&amp;TRIM($J230),'Price List Library'!$S$6:$S$437,0)),0)</f>
        <v>0</v>
      </c>
      <c r="M230" s="56">
        <f>IFERROR(INDEX('Price List Library'!$N$6:$N$437,MATCH(TRIM($H230)&amp;"|"&amp;TRIM($J230),'Price List Library'!$S$6:$S$437,0)),0)</f>
        <v>0</v>
      </c>
      <c r="N230" s="27">
        <f t="shared" si="19"/>
        <v>0</v>
      </c>
      <c r="O230" s="27" t="str">
        <f t="shared" si="20"/>
        <v/>
      </c>
      <c r="P230" s="9" t="str">
        <f>IFERROR(INDEX('Price List Library'!$P$6:$P$437,MATCH(TRIM($H230)&amp;"|"&amp;TRIM($J230),'Price List Library'!$S$6:$S$437,0)),"")</f>
        <v/>
      </c>
      <c r="Q230" s="53"/>
      <c r="R230" s="29" t="str">
        <f t="shared" si="21"/>
        <v>_NONE</v>
      </c>
      <c r="S230" s="29" t="str">
        <f t="shared" si="22"/>
        <v>_NONE</v>
      </c>
      <c r="T230" s="29" t="str">
        <f t="shared" si="23"/>
        <v>_NONE</v>
      </c>
    </row>
    <row r="231" spans="1:20" ht="15" customHeight="1" x14ac:dyDescent="0.25">
      <c r="A231" s="9" t="str">
        <f t="shared" si="18"/>
        <v/>
      </c>
      <c r="B231" s="52"/>
      <c r="C231" s="52"/>
      <c r="D231" s="53"/>
      <c r="E231" s="53"/>
      <c r="F231" s="53"/>
      <c r="G231" s="53"/>
      <c r="H231" s="53"/>
      <c r="I231" s="54" t="str">
        <f>IFERROR(INDEX('Description Library'!$C$6:$C$808,MATCH($E231&amp;"|"&amp;$F231&amp;"|"&amp;$G231&amp;"|"&amp;$H231,'Description Library'!$K$6:$K$808,0)),"")</f>
        <v/>
      </c>
      <c r="J231" s="9" t="str">
        <f>IFERROR(INDEX('Description Library'!$H$6:$H$808,MATCH($E231&amp;"|"&amp;$F231&amp;"|"&amp;$G231&amp;"|"&amp;$H231,'Description Library'!$K$6:$K$808,0)),"")</f>
        <v/>
      </c>
      <c r="K231" s="55"/>
      <c r="L231" s="56">
        <f>IFERROR(INDEX('Price List Library'!$K$6:$K$437,MATCH(TRIM($H231)&amp;"|"&amp;TRIM($J231),'Price List Library'!$S$6:$S$437,0)),0)</f>
        <v>0</v>
      </c>
      <c r="M231" s="56">
        <f>IFERROR(INDEX('Price List Library'!$N$6:$N$437,MATCH(TRIM($H231)&amp;"|"&amp;TRIM($J231),'Price List Library'!$S$6:$S$437,0)),0)</f>
        <v>0</v>
      </c>
      <c r="N231" s="27">
        <f t="shared" si="19"/>
        <v>0</v>
      </c>
      <c r="O231" s="27" t="str">
        <f t="shared" si="20"/>
        <v/>
      </c>
      <c r="P231" s="9" t="str">
        <f>IFERROR(INDEX('Price List Library'!$P$6:$P$437,MATCH(TRIM($H231)&amp;"|"&amp;TRIM($J231),'Price List Library'!$S$6:$S$437,0)),"")</f>
        <v/>
      </c>
      <c r="Q231" s="53"/>
      <c r="R231" s="29" t="str">
        <f t="shared" si="21"/>
        <v>_NONE</v>
      </c>
      <c r="S231" s="29" t="str">
        <f t="shared" si="22"/>
        <v>_NONE</v>
      </c>
      <c r="T231" s="29" t="str">
        <f t="shared" si="23"/>
        <v>_NONE</v>
      </c>
    </row>
    <row r="232" spans="1:20" ht="15" customHeight="1" x14ac:dyDescent="0.25">
      <c r="A232" s="9" t="str">
        <f t="shared" si="18"/>
        <v/>
      </c>
      <c r="B232" s="52"/>
      <c r="C232" s="52"/>
      <c r="D232" s="53"/>
      <c r="E232" s="53"/>
      <c r="F232" s="53"/>
      <c r="G232" s="53"/>
      <c r="H232" s="53"/>
      <c r="I232" s="54" t="str">
        <f>IFERROR(INDEX('Description Library'!$C$6:$C$808,MATCH($E232&amp;"|"&amp;$F232&amp;"|"&amp;$G232&amp;"|"&amp;$H232,'Description Library'!$K$6:$K$808,0)),"")</f>
        <v/>
      </c>
      <c r="J232" s="9" t="str">
        <f>IFERROR(INDEX('Description Library'!$H$6:$H$808,MATCH($E232&amp;"|"&amp;$F232&amp;"|"&amp;$G232&amp;"|"&amp;$H232,'Description Library'!$K$6:$K$808,0)),"")</f>
        <v/>
      </c>
      <c r="K232" s="55"/>
      <c r="L232" s="56">
        <f>IFERROR(INDEX('Price List Library'!$K$6:$K$437,MATCH(TRIM($H232)&amp;"|"&amp;TRIM($J232),'Price List Library'!$S$6:$S$437,0)),0)</f>
        <v>0</v>
      </c>
      <c r="M232" s="56">
        <f>IFERROR(INDEX('Price List Library'!$N$6:$N$437,MATCH(TRIM($H232)&amp;"|"&amp;TRIM($J232),'Price List Library'!$S$6:$S$437,0)),0)</f>
        <v>0</v>
      </c>
      <c r="N232" s="27">
        <f t="shared" si="19"/>
        <v>0</v>
      </c>
      <c r="O232" s="27" t="str">
        <f t="shared" si="20"/>
        <v/>
      </c>
      <c r="P232" s="9" t="str">
        <f>IFERROR(INDEX('Price List Library'!$P$6:$P$437,MATCH(TRIM($H232)&amp;"|"&amp;TRIM($J232),'Price List Library'!$S$6:$S$437,0)),"")</f>
        <v/>
      </c>
      <c r="Q232" s="53"/>
      <c r="R232" s="29" t="str">
        <f t="shared" si="21"/>
        <v>_NONE</v>
      </c>
      <c r="S232" s="29" t="str">
        <f t="shared" si="22"/>
        <v>_NONE</v>
      </c>
      <c r="T232" s="29" t="str">
        <f t="shared" si="23"/>
        <v>_NONE</v>
      </c>
    </row>
    <row r="233" spans="1:20" ht="15" customHeight="1" x14ac:dyDescent="0.25">
      <c r="A233" s="9" t="str">
        <f t="shared" si="18"/>
        <v/>
      </c>
      <c r="B233" s="52"/>
      <c r="C233" s="52"/>
      <c r="D233" s="53"/>
      <c r="E233" s="53"/>
      <c r="F233" s="53"/>
      <c r="G233" s="53"/>
      <c r="H233" s="53"/>
      <c r="I233" s="54" t="str">
        <f>IFERROR(INDEX('Description Library'!$C$6:$C$808,MATCH($E233&amp;"|"&amp;$F233&amp;"|"&amp;$G233&amp;"|"&amp;$H233,'Description Library'!$K$6:$K$808,0)),"")</f>
        <v/>
      </c>
      <c r="J233" s="9" t="str">
        <f>IFERROR(INDEX('Description Library'!$H$6:$H$808,MATCH($E233&amp;"|"&amp;$F233&amp;"|"&amp;$G233&amp;"|"&amp;$H233,'Description Library'!$K$6:$K$808,0)),"")</f>
        <v/>
      </c>
      <c r="K233" s="55"/>
      <c r="L233" s="56">
        <f>IFERROR(INDEX('Price List Library'!$K$6:$K$437,MATCH(TRIM($H233)&amp;"|"&amp;TRIM($J233),'Price List Library'!$S$6:$S$437,0)),0)</f>
        <v>0</v>
      </c>
      <c r="M233" s="56">
        <f>IFERROR(INDEX('Price List Library'!$N$6:$N$437,MATCH(TRIM($H233)&amp;"|"&amp;TRIM($J233),'Price List Library'!$S$6:$S$437,0)),0)</f>
        <v>0</v>
      </c>
      <c r="N233" s="27">
        <f t="shared" si="19"/>
        <v>0</v>
      </c>
      <c r="O233" s="27" t="str">
        <f t="shared" si="20"/>
        <v/>
      </c>
      <c r="P233" s="9" t="str">
        <f>IFERROR(INDEX('Price List Library'!$P$6:$P$437,MATCH(TRIM($H233)&amp;"|"&amp;TRIM($J233),'Price List Library'!$S$6:$S$437,0)),"")</f>
        <v/>
      </c>
      <c r="Q233" s="53"/>
      <c r="R233" s="29" t="str">
        <f t="shared" si="21"/>
        <v>_NONE</v>
      </c>
      <c r="S233" s="29" t="str">
        <f t="shared" si="22"/>
        <v>_NONE</v>
      </c>
      <c r="T233" s="29" t="str">
        <f t="shared" si="23"/>
        <v>_NONE</v>
      </c>
    </row>
    <row r="234" spans="1:20" ht="15" customHeight="1" x14ac:dyDescent="0.25">
      <c r="A234" s="9" t="str">
        <f t="shared" si="18"/>
        <v/>
      </c>
      <c r="B234" s="52"/>
      <c r="C234" s="52"/>
      <c r="D234" s="53"/>
      <c r="E234" s="53"/>
      <c r="F234" s="53"/>
      <c r="G234" s="53"/>
      <c r="H234" s="53"/>
      <c r="I234" s="54" t="str">
        <f>IFERROR(INDEX('Description Library'!$C$6:$C$808,MATCH($E234&amp;"|"&amp;$F234&amp;"|"&amp;$G234&amp;"|"&amp;$H234,'Description Library'!$K$6:$K$808,0)),"")</f>
        <v/>
      </c>
      <c r="J234" s="9" t="str">
        <f>IFERROR(INDEX('Description Library'!$H$6:$H$808,MATCH($E234&amp;"|"&amp;$F234&amp;"|"&amp;$G234&amp;"|"&amp;$H234,'Description Library'!$K$6:$K$808,0)),"")</f>
        <v/>
      </c>
      <c r="K234" s="55"/>
      <c r="L234" s="56">
        <f>IFERROR(INDEX('Price List Library'!$K$6:$K$437,MATCH(TRIM($H234)&amp;"|"&amp;TRIM($J234),'Price List Library'!$S$6:$S$437,0)),0)</f>
        <v>0</v>
      </c>
      <c r="M234" s="56">
        <f>IFERROR(INDEX('Price List Library'!$N$6:$N$437,MATCH(TRIM($H234)&amp;"|"&amp;TRIM($J234),'Price List Library'!$S$6:$S$437,0)),0)</f>
        <v>0</v>
      </c>
      <c r="N234" s="27">
        <f t="shared" si="19"/>
        <v>0</v>
      </c>
      <c r="O234" s="27" t="str">
        <f t="shared" si="20"/>
        <v/>
      </c>
      <c r="P234" s="9" t="str">
        <f>IFERROR(INDEX('Price List Library'!$P$6:$P$437,MATCH(TRIM($H234)&amp;"|"&amp;TRIM($J234),'Price List Library'!$S$6:$S$437,0)),"")</f>
        <v/>
      </c>
      <c r="Q234" s="53"/>
      <c r="R234" s="29" t="str">
        <f t="shared" si="21"/>
        <v>_NONE</v>
      </c>
      <c r="S234" s="29" t="str">
        <f t="shared" si="22"/>
        <v>_NONE</v>
      </c>
      <c r="T234" s="29" t="str">
        <f t="shared" si="23"/>
        <v>_NONE</v>
      </c>
    </row>
    <row r="235" spans="1:20" ht="15" customHeight="1" x14ac:dyDescent="0.25">
      <c r="A235" s="9" t="str">
        <f t="shared" si="18"/>
        <v/>
      </c>
      <c r="B235" s="52"/>
      <c r="C235" s="52"/>
      <c r="D235" s="53"/>
      <c r="E235" s="53"/>
      <c r="F235" s="53"/>
      <c r="G235" s="53"/>
      <c r="H235" s="53"/>
      <c r="I235" s="54" t="str">
        <f>IFERROR(INDEX('Description Library'!$C$6:$C$808,MATCH($E235&amp;"|"&amp;$F235&amp;"|"&amp;$G235&amp;"|"&amp;$H235,'Description Library'!$K$6:$K$808,0)),"")</f>
        <v/>
      </c>
      <c r="J235" s="9" t="str">
        <f>IFERROR(INDEX('Description Library'!$H$6:$H$808,MATCH($E235&amp;"|"&amp;$F235&amp;"|"&amp;$G235&amp;"|"&amp;$H235,'Description Library'!$K$6:$K$808,0)),"")</f>
        <v/>
      </c>
      <c r="K235" s="55"/>
      <c r="L235" s="56">
        <f>IFERROR(INDEX('Price List Library'!$K$6:$K$437,MATCH(TRIM($H235)&amp;"|"&amp;TRIM($J235),'Price List Library'!$S$6:$S$437,0)),0)</f>
        <v>0</v>
      </c>
      <c r="M235" s="56">
        <f>IFERROR(INDEX('Price List Library'!$N$6:$N$437,MATCH(TRIM($H235)&amp;"|"&amp;TRIM($J235),'Price List Library'!$S$6:$S$437,0)),0)</f>
        <v>0</v>
      </c>
      <c r="N235" s="27">
        <f t="shared" si="19"/>
        <v>0</v>
      </c>
      <c r="O235" s="27" t="str">
        <f t="shared" si="20"/>
        <v/>
      </c>
      <c r="P235" s="9" t="str">
        <f>IFERROR(INDEX('Price List Library'!$P$6:$P$437,MATCH(TRIM($H235)&amp;"|"&amp;TRIM($J235),'Price List Library'!$S$6:$S$437,0)),"")</f>
        <v/>
      </c>
      <c r="Q235" s="53"/>
      <c r="R235" s="29" t="str">
        <f t="shared" si="21"/>
        <v>_NONE</v>
      </c>
      <c r="S235" s="29" t="str">
        <f t="shared" si="22"/>
        <v>_NONE</v>
      </c>
      <c r="T235" s="29" t="str">
        <f t="shared" si="23"/>
        <v>_NONE</v>
      </c>
    </row>
    <row r="236" spans="1:20" ht="15" customHeight="1" x14ac:dyDescent="0.25">
      <c r="A236" s="9" t="str">
        <f t="shared" si="18"/>
        <v/>
      </c>
      <c r="B236" s="52"/>
      <c r="C236" s="52"/>
      <c r="D236" s="53"/>
      <c r="E236" s="53"/>
      <c r="F236" s="53"/>
      <c r="G236" s="53"/>
      <c r="H236" s="53"/>
      <c r="I236" s="54" t="str">
        <f>IFERROR(INDEX('Description Library'!$C$6:$C$808,MATCH($E236&amp;"|"&amp;$F236&amp;"|"&amp;$G236&amp;"|"&amp;$H236,'Description Library'!$K$6:$K$808,0)),"")</f>
        <v/>
      </c>
      <c r="J236" s="9" t="str">
        <f>IFERROR(INDEX('Description Library'!$H$6:$H$808,MATCH($E236&amp;"|"&amp;$F236&amp;"|"&amp;$G236&amp;"|"&amp;$H236,'Description Library'!$K$6:$K$808,0)),"")</f>
        <v/>
      </c>
      <c r="K236" s="55"/>
      <c r="L236" s="56">
        <f>IFERROR(INDEX('Price List Library'!$K$6:$K$437,MATCH(TRIM($H236)&amp;"|"&amp;TRIM($J236),'Price List Library'!$S$6:$S$437,0)),0)</f>
        <v>0</v>
      </c>
      <c r="M236" s="56">
        <f>IFERROR(INDEX('Price List Library'!$N$6:$N$437,MATCH(TRIM($H236)&amp;"|"&amp;TRIM($J236),'Price List Library'!$S$6:$S$437,0)),0)</f>
        <v>0</v>
      </c>
      <c r="N236" s="27">
        <f t="shared" si="19"/>
        <v>0</v>
      </c>
      <c r="O236" s="27" t="str">
        <f t="shared" si="20"/>
        <v/>
      </c>
      <c r="P236" s="9" t="str">
        <f>IFERROR(INDEX('Price List Library'!$P$6:$P$437,MATCH(TRIM($H236)&amp;"|"&amp;TRIM($J236),'Price List Library'!$S$6:$S$437,0)),"")</f>
        <v/>
      </c>
      <c r="Q236" s="53"/>
      <c r="R236" s="29" t="str">
        <f t="shared" si="21"/>
        <v>_NONE</v>
      </c>
      <c r="S236" s="29" t="str">
        <f t="shared" si="22"/>
        <v>_NONE</v>
      </c>
      <c r="T236" s="29" t="str">
        <f t="shared" si="23"/>
        <v>_NONE</v>
      </c>
    </row>
    <row r="237" spans="1:20" ht="15" customHeight="1" x14ac:dyDescent="0.25">
      <c r="A237" s="9" t="str">
        <f t="shared" si="18"/>
        <v/>
      </c>
      <c r="B237" s="52"/>
      <c r="C237" s="52"/>
      <c r="D237" s="53"/>
      <c r="E237" s="53"/>
      <c r="F237" s="53"/>
      <c r="G237" s="53"/>
      <c r="H237" s="53"/>
      <c r="I237" s="54" t="str">
        <f>IFERROR(INDEX('Description Library'!$C$6:$C$808,MATCH($E237&amp;"|"&amp;$F237&amp;"|"&amp;$G237&amp;"|"&amp;$H237,'Description Library'!$K$6:$K$808,0)),"")</f>
        <v/>
      </c>
      <c r="J237" s="9" t="str">
        <f>IFERROR(INDEX('Description Library'!$H$6:$H$808,MATCH($E237&amp;"|"&amp;$F237&amp;"|"&amp;$G237&amp;"|"&amp;$H237,'Description Library'!$K$6:$K$808,0)),"")</f>
        <v/>
      </c>
      <c r="K237" s="55"/>
      <c r="L237" s="56">
        <f>IFERROR(INDEX('Price List Library'!$K$6:$K$437,MATCH(TRIM($H237)&amp;"|"&amp;TRIM($J237),'Price List Library'!$S$6:$S$437,0)),0)</f>
        <v>0</v>
      </c>
      <c r="M237" s="56">
        <f>IFERROR(INDEX('Price List Library'!$N$6:$N$437,MATCH(TRIM($H237)&amp;"|"&amp;TRIM($J237),'Price List Library'!$S$6:$S$437,0)),0)</f>
        <v>0</v>
      </c>
      <c r="N237" s="27">
        <f t="shared" si="19"/>
        <v>0</v>
      </c>
      <c r="O237" s="27" t="str">
        <f t="shared" si="20"/>
        <v/>
      </c>
      <c r="P237" s="9" t="str">
        <f>IFERROR(INDEX('Price List Library'!$P$6:$P$437,MATCH(TRIM($H237)&amp;"|"&amp;TRIM($J237),'Price List Library'!$S$6:$S$437,0)),"")</f>
        <v/>
      </c>
      <c r="Q237" s="53"/>
      <c r="R237" s="29" t="str">
        <f t="shared" si="21"/>
        <v>_NONE</v>
      </c>
      <c r="S237" s="29" t="str">
        <f t="shared" si="22"/>
        <v>_NONE</v>
      </c>
      <c r="T237" s="29" t="str">
        <f t="shared" si="23"/>
        <v>_NONE</v>
      </c>
    </row>
    <row r="238" spans="1:20" ht="15" customHeight="1" x14ac:dyDescent="0.25">
      <c r="A238" s="9" t="str">
        <f t="shared" si="18"/>
        <v/>
      </c>
      <c r="B238" s="52"/>
      <c r="C238" s="52"/>
      <c r="D238" s="53"/>
      <c r="E238" s="53"/>
      <c r="F238" s="53"/>
      <c r="G238" s="53"/>
      <c r="H238" s="53"/>
      <c r="I238" s="54" t="str">
        <f>IFERROR(INDEX('Description Library'!$C$6:$C$808,MATCH($E238&amp;"|"&amp;$F238&amp;"|"&amp;$G238&amp;"|"&amp;$H238,'Description Library'!$K$6:$K$808,0)),"")</f>
        <v/>
      </c>
      <c r="J238" s="9" t="str">
        <f>IFERROR(INDEX('Description Library'!$H$6:$H$808,MATCH($E238&amp;"|"&amp;$F238&amp;"|"&amp;$G238&amp;"|"&amp;$H238,'Description Library'!$K$6:$K$808,0)),"")</f>
        <v/>
      </c>
      <c r="K238" s="55"/>
      <c r="L238" s="56">
        <f>IFERROR(INDEX('Price List Library'!$K$6:$K$437,MATCH(TRIM($H238)&amp;"|"&amp;TRIM($J238),'Price List Library'!$S$6:$S$437,0)),0)</f>
        <v>0</v>
      </c>
      <c r="M238" s="56">
        <f>IFERROR(INDEX('Price List Library'!$N$6:$N$437,MATCH(TRIM($H238)&amp;"|"&amp;TRIM($J238),'Price List Library'!$S$6:$S$437,0)),0)</f>
        <v>0</v>
      </c>
      <c r="N238" s="27">
        <f t="shared" si="19"/>
        <v>0</v>
      </c>
      <c r="O238" s="27" t="str">
        <f t="shared" si="20"/>
        <v/>
      </c>
      <c r="P238" s="9" t="str">
        <f>IFERROR(INDEX('Price List Library'!$P$6:$P$437,MATCH(TRIM($H238)&amp;"|"&amp;TRIM($J238),'Price List Library'!$S$6:$S$437,0)),"")</f>
        <v/>
      </c>
      <c r="Q238" s="53"/>
      <c r="R238" s="29" t="str">
        <f t="shared" si="21"/>
        <v>_NONE</v>
      </c>
      <c r="S238" s="29" t="str">
        <f t="shared" si="22"/>
        <v>_NONE</v>
      </c>
      <c r="T238" s="29" t="str">
        <f t="shared" si="23"/>
        <v>_NONE</v>
      </c>
    </row>
    <row r="239" spans="1:20" ht="15" customHeight="1" x14ac:dyDescent="0.25">
      <c r="A239" s="9" t="str">
        <f t="shared" si="18"/>
        <v/>
      </c>
      <c r="B239" s="52"/>
      <c r="C239" s="52"/>
      <c r="D239" s="53"/>
      <c r="E239" s="53"/>
      <c r="F239" s="53"/>
      <c r="G239" s="53"/>
      <c r="H239" s="53"/>
      <c r="I239" s="54" t="str">
        <f>IFERROR(INDEX('Description Library'!$C$6:$C$808,MATCH($E239&amp;"|"&amp;$F239&amp;"|"&amp;$G239&amp;"|"&amp;$H239,'Description Library'!$K$6:$K$808,0)),"")</f>
        <v/>
      </c>
      <c r="J239" s="9" t="str">
        <f>IFERROR(INDEX('Description Library'!$H$6:$H$808,MATCH($E239&amp;"|"&amp;$F239&amp;"|"&amp;$G239&amp;"|"&amp;$H239,'Description Library'!$K$6:$K$808,0)),"")</f>
        <v/>
      </c>
      <c r="K239" s="55"/>
      <c r="L239" s="56">
        <f>IFERROR(INDEX('Price List Library'!$K$6:$K$437,MATCH(TRIM($H239)&amp;"|"&amp;TRIM($J239),'Price List Library'!$S$6:$S$437,0)),0)</f>
        <v>0</v>
      </c>
      <c r="M239" s="56">
        <f>IFERROR(INDEX('Price List Library'!$N$6:$N$437,MATCH(TRIM($H239)&amp;"|"&amp;TRIM($J239),'Price List Library'!$S$6:$S$437,0)),0)</f>
        <v>0</v>
      </c>
      <c r="N239" s="27">
        <f t="shared" si="19"/>
        <v>0</v>
      </c>
      <c r="O239" s="27" t="str">
        <f t="shared" si="20"/>
        <v/>
      </c>
      <c r="P239" s="9" t="str">
        <f>IFERROR(INDEX('Price List Library'!$P$6:$P$437,MATCH(TRIM($H239)&amp;"|"&amp;TRIM($J239),'Price List Library'!$S$6:$S$437,0)),"")</f>
        <v/>
      </c>
      <c r="Q239" s="53"/>
      <c r="R239" s="29" t="str">
        <f t="shared" si="21"/>
        <v>_NONE</v>
      </c>
      <c r="S239" s="29" t="str">
        <f t="shared" si="22"/>
        <v>_NONE</v>
      </c>
      <c r="T239" s="29" t="str">
        <f t="shared" si="23"/>
        <v>_NONE</v>
      </c>
    </row>
    <row r="240" spans="1:20" ht="15" customHeight="1" x14ac:dyDescent="0.25">
      <c r="A240" s="9" t="str">
        <f t="shared" si="18"/>
        <v/>
      </c>
      <c r="B240" s="52"/>
      <c r="C240" s="52"/>
      <c r="D240" s="53"/>
      <c r="E240" s="53"/>
      <c r="F240" s="53"/>
      <c r="G240" s="53"/>
      <c r="H240" s="53"/>
      <c r="I240" s="54" t="str">
        <f>IFERROR(INDEX('Description Library'!$C$6:$C$808,MATCH($E240&amp;"|"&amp;$F240&amp;"|"&amp;$G240&amp;"|"&amp;$H240,'Description Library'!$K$6:$K$808,0)),"")</f>
        <v/>
      </c>
      <c r="J240" s="9" t="str">
        <f>IFERROR(INDEX('Description Library'!$H$6:$H$808,MATCH($E240&amp;"|"&amp;$F240&amp;"|"&amp;$G240&amp;"|"&amp;$H240,'Description Library'!$K$6:$K$808,0)),"")</f>
        <v/>
      </c>
      <c r="K240" s="55"/>
      <c r="L240" s="56">
        <f>IFERROR(INDEX('Price List Library'!$K$6:$K$437,MATCH(TRIM($H240)&amp;"|"&amp;TRIM($J240),'Price List Library'!$S$6:$S$437,0)),0)</f>
        <v>0</v>
      </c>
      <c r="M240" s="56">
        <f>IFERROR(INDEX('Price List Library'!$N$6:$N$437,MATCH(TRIM($H240)&amp;"|"&amp;TRIM($J240),'Price List Library'!$S$6:$S$437,0)),0)</f>
        <v>0</v>
      </c>
      <c r="N240" s="27">
        <f t="shared" si="19"/>
        <v>0</v>
      </c>
      <c r="O240" s="27" t="str">
        <f t="shared" si="20"/>
        <v/>
      </c>
      <c r="P240" s="9" t="str">
        <f>IFERROR(INDEX('Price List Library'!$P$6:$P$437,MATCH(TRIM($H240)&amp;"|"&amp;TRIM($J240),'Price List Library'!$S$6:$S$437,0)),"")</f>
        <v/>
      </c>
      <c r="Q240" s="53"/>
      <c r="R240" s="29" t="str">
        <f t="shared" si="21"/>
        <v>_NONE</v>
      </c>
      <c r="S240" s="29" t="str">
        <f t="shared" si="22"/>
        <v>_NONE</v>
      </c>
      <c r="T240" s="29" t="str">
        <f t="shared" si="23"/>
        <v>_NONE</v>
      </c>
    </row>
    <row r="241" spans="1:20" ht="15" customHeight="1" x14ac:dyDescent="0.25">
      <c r="A241" s="9" t="str">
        <f t="shared" si="18"/>
        <v/>
      </c>
      <c r="B241" s="52"/>
      <c r="C241" s="52"/>
      <c r="D241" s="53"/>
      <c r="E241" s="53"/>
      <c r="F241" s="53"/>
      <c r="G241" s="53"/>
      <c r="H241" s="53"/>
      <c r="I241" s="54" t="str">
        <f>IFERROR(INDEX('Description Library'!$C$6:$C$808,MATCH($E241&amp;"|"&amp;$F241&amp;"|"&amp;$G241&amp;"|"&amp;$H241,'Description Library'!$K$6:$K$808,0)),"")</f>
        <v/>
      </c>
      <c r="J241" s="9" t="str">
        <f>IFERROR(INDEX('Description Library'!$H$6:$H$808,MATCH($E241&amp;"|"&amp;$F241&amp;"|"&amp;$G241&amp;"|"&amp;$H241,'Description Library'!$K$6:$K$808,0)),"")</f>
        <v/>
      </c>
      <c r="K241" s="55"/>
      <c r="L241" s="56">
        <f>IFERROR(INDEX('Price List Library'!$K$6:$K$437,MATCH(TRIM($H241)&amp;"|"&amp;TRIM($J241),'Price List Library'!$S$6:$S$437,0)),0)</f>
        <v>0</v>
      </c>
      <c r="M241" s="56">
        <f>IFERROR(INDEX('Price List Library'!$N$6:$N$437,MATCH(TRIM($H241)&amp;"|"&amp;TRIM($J241),'Price List Library'!$S$6:$S$437,0)),0)</f>
        <v>0</v>
      </c>
      <c r="N241" s="27">
        <f t="shared" si="19"/>
        <v>0</v>
      </c>
      <c r="O241" s="27" t="str">
        <f t="shared" si="20"/>
        <v/>
      </c>
      <c r="P241" s="9" t="str">
        <f>IFERROR(INDEX('Price List Library'!$P$6:$P$437,MATCH(TRIM($H241)&amp;"|"&amp;TRIM($J241),'Price List Library'!$S$6:$S$437,0)),"")</f>
        <v/>
      </c>
      <c r="Q241" s="53"/>
      <c r="R241" s="29" t="str">
        <f t="shared" si="21"/>
        <v>_NONE</v>
      </c>
      <c r="S241" s="29" t="str">
        <f t="shared" si="22"/>
        <v>_NONE</v>
      </c>
      <c r="T241" s="29" t="str">
        <f t="shared" si="23"/>
        <v>_NONE</v>
      </c>
    </row>
    <row r="242" spans="1:20" ht="15" customHeight="1" x14ac:dyDescent="0.25">
      <c r="A242" s="9" t="str">
        <f t="shared" si="18"/>
        <v/>
      </c>
      <c r="B242" s="52"/>
      <c r="C242" s="52"/>
      <c r="D242" s="53"/>
      <c r="E242" s="53"/>
      <c r="F242" s="53"/>
      <c r="G242" s="53"/>
      <c r="H242" s="53"/>
      <c r="I242" s="54" t="str">
        <f>IFERROR(INDEX('Description Library'!$C$6:$C$808,MATCH($E242&amp;"|"&amp;$F242&amp;"|"&amp;$G242&amp;"|"&amp;$H242,'Description Library'!$K$6:$K$808,0)),"")</f>
        <v/>
      </c>
      <c r="J242" s="9" t="str">
        <f>IFERROR(INDEX('Description Library'!$H$6:$H$808,MATCH($E242&amp;"|"&amp;$F242&amp;"|"&amp;$G242&amp;"|"&amp;$H242,'Description Library'!$K$6:$K$808,0)),"")</f>
        <v/>
      </c>
      <c r="K242" s="55"/>
      <c r="L242" s="56">
        <f>IFERROR(INDEX('Price List Library'!$K$6:$K$437,MATCH(TRIM($H242)&amp;"|"&amp;TRIM($J242),'Price List Library'!$S$6:$S$437,0)),0)</f>
        <v>0</v>
      </c>
      <c r="M242" s="56">
        <f>IFERROR(INDEX('Price List Library'!$N$6:$N$437,MATCH(TRIM($H242)&amp;"|"&amp;TRIM($J242),'Price List Library'!$S$6:$S$437,0)),0)</f>
        <v>0</v>
      </c>
      <c r="N242" s="27">
        <f t="shared" si="19"/>
        <v>0</v>
      </c>
      <c r="O242" s="27" t="str">
        <f t="shared" si="20"/>
        <v/>
      </c>
      <c r="P242" s="9" t="str">
        <f>IFERROR(INDEX('Price List Library'!$P$6:$P$437,MATCH(TRIM($H242)&amp;"|"&amp;TRIM($J242),'Price List Library'!$S$6:$S$437,0)),"")</f>
        <v/>
      </c>
      <c r="Q242" s="53"/>
      <c r="R242" s="29" t="str">
        <f t="shared" si="21"/>
        <v>_NONE</v>
      </c>
      <c r="S242" s="29" t="str">
        <f t="shared" si="22"/>
        <v>_NONE</v>
      </c>
      <c r="T242" s="29" t="str">
        <f t="shared" si="23"/>
        <v>_NONE</v>
      </c>
    </row>
    <row r="243" spans="1:20" ht="15" customHeight="1" x14ac:dyDescent="0.25">
      <c r="A243" s="9" t="str">
        <f t="shared" si="18"/>
        <v/>
      </c>
      <c r="B243" s="52"/>
      <c r="C243" s="52"/>
      <c r="D243" s="53"/>
      <c r="E243" s="53"/>
      <c r="F243" s="53"/>
      <c r="G243" s="53"/>
      <c r="H243" s="53"/>
      <c r="I243" s="54" t="str">
        <f>IFERROR(INDEX('Description Library'!$C$6:$C$808,MATCH($E243&amp;"|"&amp;$F243&amp;"|"&amp;$G243&amp;"|"&amp;$H243,'Description Library'!$K$6:$K$808,0)),"")</f>
        <v/>
      </c>
      <c r="J243" s="9" t="str">
        <f>IFERROR(INDEX('Description Library'!$H$6:$H$808,MATCH($E243&amp;"|"&amp;$F243&amp;"|"&amp;$G243&amp;"|"&amp;$H243,'Description Library'!$K$6:$K$808,0)),"")</f>
        <v/>
      </c>
      <c r="K243" s="55"/>
      <c r="L243" s="56">
        <f>IFERROR(INDEX('Price List Library'!$K$6:$K$437,MATCH(TRIM($H243)&amp;"|"&amp;TRIM($J243),'Price List Library'!$S$6:$S$437,0)),0)</f>
        <v>0</v>
      </c>
      <c r="M243" s="56">
        <f>IFERROR(INDEX('Price List Library'!$N$6:$N$437,MATCH(TRIM($H243)&amp;"|"&amp;TRIM($J243),'Price List Library'!$S$6:$S$437,0)),0)</f>
        <v>0</v>
      </c>
      <c r="N243" s="27">
        <f t="shared" si="19"/>
        <v>0</v>
      </c>
      <c r="O243" s="27" t="str">
        <f t="shared" si="20"/>
        <v/>
      </c>
      <c r="P243" s="9" t="str">
        <f>IFERROR(INDEX('Price List Library'!$P$6:$P$437,MATCH(TRIM($H243)&amp;"|"&amp;TRIM($J243),'Price List Library'!$S$6:$S$437,0)),"")</f>
        <v/>
      </c>
      <c r="Q243" s="53"/>
      <c r="R243" s="29" t="str">
        <f t="shared" si="21"/>
        <v>_NONE</v>
      </c>
      <c r="S243" s="29" t="str">
        <f t="shared" si="22"/>
        <v>_NONE</v>
      </c>
      <c r="T243" s="29" t="str">
        <f t="shared" si="23"/>
        <v>_NONE</v>
      </c>
    </row>
    <row r="244" spans="1:20" ht="15" customHeight="1" x14ac:dyDescent="0.25">
      <c r="A244" s="9" t="str">
        <f t="shared" si="18"/>
        <v/>
      </c>
      <c r="B244" s="52"/>
      <c r="C244" s="52"/>
      <c r="D244" s="53"/>
      <c r="E244" s="53"/>
      <c r="F244" s="53"/>
      <c r="G244" s="53"/>
      <c r="H244" s="53"/>
      <c r="I244" s="54" t="str">
        <f>IFERROR(INDEX('Description Library'!$C$6:$C$808,MATCH($E244&amp;"|"&amp;$F244&amp;"|"&amp;$G244&amp;"|"&amp;$H244,'Description Library'!$K$6:$K$808,0)),"")</f>
        <v/>
      </c>
      <c r="J244" s="9" t="str">
        <f>IFERROR(INDEX('Description Library'!$H$6:$H$808,MATCH($E244&amp;"|"&amp;$F244&amp;"|"&amp;$G244&amp;"|"&amp;$H244,'Description Library'!$K$6:$K$808,0)),"")</f>
        <v/>
      </c>
      <c r="K244" s="55"/>
      <c r="L244" s="56">
        <f>IFERROR(INDEX('Price List Library'!$K$6:$K$437,MATCH(TRIM($H244)&amp;"|"&amp;TRIM($J244),'Price List Library'!$S$6:$S$437,0)),0)</f>
        <v>0</v>
      </c>
      <c r="M244" s="56">
        <f>IFERROR(INDEX('Price List Library'!$N$6:$N$437,MATCH(TRIM($H244)&amp;"|"&amp;TRIM($J244),'Price List Library'!$S$6:$S$437,0)),0)</f>
        <v>0</v>
      </c>
      <c r="N244" s="27">
        <f t="shared" si="19"/>
        <v>0</v>
      </c>
      <c r="O244" s="27" t="str">
        <f t="shared" si="20"/>
        <v/>
      </c>
      <c r="P244" s="9" t="str">
        <f>IFERROR(INDEX('Price List Library'!$P$6:$P$437,MATCH(TRIM($H244)&amp;"|"&amp;TRIM($J244),'Price List Library'!$S$6:$S$437,0)),"")</f>
        <v/>
      </c>
      <c r="Q244" s="53"/>
      <c r="R244" s="29" t="str">
        <f t="shared" si="21"/>
        <v>_NONE</v>
      </c>
      <c r="S244" s="29" t="str">
        <f t="shared" si="22"/>
        <v>_NONE</v>
      </c>
      <c r="T244" s="29" t="str">
        <f t="shared" si="23"/>
        <v>_NONE</v>
      </c>
    </row>
    <row r="245" spans="1:20" ht="15" customHeight="1" x14ac:dyDescent="0.25">
      <c r="A245" s="9" t="str">
        <f t="shared" si="18"/>
        <v/>
      </c>
      <c r="B245" s="52"/>
      <c r="C245" s="52"/>
      <c r="D245" s="53"/>
      <c r="E245" s="53"/>
      <c r="F245" s="53"/>
      <c r="G245" s="53"/>
      <c r="H245" s="53"/>
      <c r="I245" s="54" t="str">
        <f>IFERROR(INDEX('Description Library'!$C$6:$C$808,MATCH($E245&amp;"|"&amp;$F245&amp;"|"&amp;$G245&amp;"|"&amp;$H245,'Description Library'!$K$6:$K$808,0)),"")</f>
        <v/>
      </c>
      <c r="J245" s="9" t="str">
        <f>IFERROR(INDEX('Description Library'!$H$6:$H$808,MATCH($E245&amp;"|"&amp;$F245&amp;"|"&amp;$G245&amp;"|"&amp;$H245,'Description Library'!$K$6:$K$808,0)),"")</f>
        <v/>
      </c>
      <c r="K245" s="55"/>
      <c r="L245" s="56">
        <f>IFERROR(INDEX('Price List Library'!$K$6:$K$437,MATCH(TRIM($H245)&amp;"|"&amp;TRIM($J245),'Price List Library'!$S$6:$S$437,0)),0)</f>
        <v>0</v>
      </c>
      <c r="M245" s="56">
        <f>IFERROR(INDEX('Price List Library'!$N$6:$N$437,MATCH(TRIM($H245)&amp;"|"&amp;TRIM($J245),'Price List Library'!$S$6:$S$437,0)),0)</f>
        <v>0</v>
      </c>
      <c r="N245" s="27">
        <f t="shared" si="19"/>
        <v>0</v>
      </c>
      <c r="O245" s="27" t="str">
        <f t="shared" si="20"/>
        <v/>
      </c>
      <c r="P245" s="9" t="str">
        <f>IFERROR(INDEX('Price List Library'!$P$6:$P$437,MATCH(TRIM($H245)&amp;"|"&amp;TRIM($J245),'Price List Library'!$S$6:$S$437,0)),"")</f>
        <v/>
      </c>
      <c r="Q245" s="53"/>
      <c r="R245" s="29" t="str">
        <f t="shared" si="21"/>
        <v>_NONE</v>
      </c>
      <c r="S245" s="29" t="str">
        <f t="shared" si="22"/>
        <v>_NONE</v>
      </c>
      <c r="T245" s="29" t="str">
        <f t="shared" si="23"/>
        <v>_NONE</v>
      </c>
    </row>
    <row r="246" spans="1:20" ht="15" customHeight="1" x14ac:dyDescent="0.25">
      <c r="A246" s="9" t="str">
        <f t="shared" si="18"/>
        <v/>
      </c>
      <c r="B246" s="52"/>
      <c r="C246" s="52"/>
      <c r="D246" s="53"/>
      <c r="E246" s="53"/>
      <c r="F246" s="53"/>
      <c r="G246" s="53"/>
      <c r="H246" s="53"/>
      <c r="I246" s="54" t="str">
        <f>IFERROR(INDEX('Description Library'!$C$6:$C$808,MATCH($E246&amp;"|"&amp;$F246&amp;"|"&amp;$G246&amp;"|"&amp;$H246,'Description Library'!$K$6:$K$808,0)),"")</f>
        <v/>
      </c>
      <c r="J246" s="9" t="str">
        <f>IFERROR(INDEX('Description Library'!$H$6:$H$808,MATCH($E246&amp;"|"&amp;$F246&amp;"|"&amp;$G246&amp;"|"&amp;$H246,'Description Library'!$K$6:$K$808,0)),"")</f>
        <v/>
      </c>
      <c r="K246" s="55"/>
      <c r="L246" s="56">
        <f>IFERROR(INDEX('Price List Library'!$K$6:$K$437,MATCH(TRIM($H246)&amp;"|"&amp;TRIM($J246),'Price List Library'!$S$6:$S$437,0)),0)</f>
        <v>0</v>
      </c>
      <c r="M246" s="56">
        <f>IFERROR(INDEX('Price List Library'!$N$6:$N$437,MATCH(TRIM($H246)&amp;"|"&amp;TRIM($J246),'Price List Library'!$S$6:$S$437,0)),0)</f>
        <v>0</v>
      </c>
      <c r="N246" s="27">
        <f t="shared" si="19"/>
        <v>0</v>
      </c>
      <c r="O246" s="27" t="str">
        <f t="shared" si="20"/>
        <v/>
      </c>
      <c r="P246" s="9" t="str">
        <f>IFERROR(INDEX('Price List Library'!$P$6:$P$437,MATCH(TRIM($H246)&amp;"|"&amp;TRIM($J246),'Price List Library'!$S$6:$S$437,0)),"")</f>
        <v/>
      </c>
      <c r="Q246" s="53"/>
      <c r="R246" s="29" t="str">
        <f t="shared" si="21"/>
        <v>_NONE</v>
      </c>
      <c r="S246" s="29" t="str">
        <f t="shared" si="22"/>
        <v>_NONE</v>
      </c>
      <c r="T246" s="29" t="str">
        <f t="shared" si="23"/>
        <v>_NONE</v>
      </c>
    </row>
    <row r="247" spans="1:20" ht="15" customHeight="1" x14ac:dyDescent="0.25">
      <c r="A247" s="9" t="str">
        <f t="shared" si="18"/>
        <v/>
      </c>
      <c r="B247" s="52"/>
      <c r="C247" s="52"/>
      <c r="D247" s="53"/>
      <c r="E247" s="53"/>
      <c r="F247" s="53"/>
      <c r="G247" s="53"/>
      <c r="H247" s="53"/>
      <c r="I247" s="54" t="str">
        <f>IFERROR(INDEX('Description Library'!$C$6:$C$808,MATCH($E247&amp;"|"&amp;$F247&amp;"|"&amp;$G247&amp;"|"&amp;$H247,'Description Library'!$K$6:$K$808,0)),"")</f>
        <v/>
      </c>
      <c r="J247" s="9" t="str">
        <f>IFERROR(INDEX('Description Library'!$H$6:$H$808,MATCH($E247&amp;"|"&amp;$F247&amp;"|"&amp;$G247&amp;"|"&amp;$H247,'Description Library'!$K$6:$K$808,0)),"")</f>
        <v/>
      </c>
      <c r="K247" s="55"/>
      <c r="L247" s="56">
        <f>IFERROR(INDEX('Price List Library'!$K$6:$K$437,MATCH(TRIM($H247)&amp;"|"&amp;TRIM($J247),'Price List Library'!$S$6:$S$437,0)),0)</f>
        <v>0</v>
      </c>
      <c r="M247" s="56">
        <f>IFERROR(INDEX('Price List Library'!$N$6:$N$437,MATCH(TRIM($H247)&amp;"|"&amp;TRIM($J247),'Price List Library'!$S$6:$S$437,0)),0)</f>
        <v>0</v>
      </c>
      <c r="N247" s="27">
        <f t="shared" si="19"/>
        <v>0</v>
      </c>
      <c r="O247" s="27" t="str">
        <f t="shared" si="20"/>
        <v/>
      </c>
      <c r="P247" s="9" t="str">
        <f>IFERROR(INDEX('Price List Library'!$P$6:$P$437,MATCH(TRIM($H247)&amp;"|"&amp;TRIM($J247),'Price List Library'!$S$6:$S$437,0)),"")</f>
        <v/>
      </c>
      <c r="Q247" s="53"/>
      <c r="R247" s="29" t="str">
        <f t="shared" si="21"/>
        <v>_NONE</v>
      </c>
      <c r="S247" s="29" t="str">
        <f t="shared" si="22"/>
        <v>_NONE</v>
      </c>
      <c r="T247" s="29" t="str">
        <f t="shared" si="23"/>
        <v>_NONE</v>
      </c>
    </row>
    <row r="248" spans="1:20" ht="15" customHeight="1" x14ac:dyDescent="0.25">
      <c r="A248" s="9" t="str">
        <f t="shared" si="18"/>
        <v/>
      </c>
      <c r="B248" s="52"/>
      <c r="C248" s="52"/>
      <c r="D248" s="53"/>
      <c r="E248" s="53"/>
      <c r="F248" s="53"/>
      <c r="G248" s="53"/>
      <c r="H248" s="53"/>
      <c r="I248" s="54" t="str">
        <f>IFERROR(INDEX('Description Library'!$C$6:$C$808,MATCH($E248&amp;"|"&amp;$F248&amp;"|"&amp;$G248&amp;"|"&amp;$H248,'Description Library'!$K$6:$K$808,0)),"")</f>
        <v/>
      </c>
      <c r="J248" s="9" t="str">
        <f>IFERROR(INDEX('Description Library'!$H$6:$H$808,MATCH($E248&amp;"|"&amp;$F248&amp;"|"&amp;$G248&amp;"|"&amp;$H248,'Description Library'!$K$6:$K$808,0)),"")</f>
        <v/>
      </c>
      <c r="K248" s="55"/>
      <c r="L248" s="56">
        <f>IFERROR(INDEX('Price List Library'!$K$6:$K$437,MATCH(TRIM($H248)&amp;"|"&amp;TRIM($J248),'Price List Library'!$S$6:$S$437,0)),0)</f>
        <v>0</v>
      </c>
      <c r="M248" s="56">
        <f>IFERROR(INDEX('Price List Library'!$N$6:$N$437,MATCH(TRIM($H248)&amp;"|"&amp;TRIM($J248),'Price List Library'!$S$6:$S$437,0)),0)</f>
        <v>0</v>
      </c>
      <c r="N248" s="27">
        <f t="shared" si="19"/>
        <v>0</v>
      </c>
      <c r="O248" s="27" t="str">
        <f t="shared" si="20"/>
        <v/>
      </c>
      <c r="P248" s="9" t="str">
        <f>IFERROR(INDEX('Price List Library'!$P$6:$P$437,MATCH(TRIM($H248)&amp;"|"&amp;TRIM($J248),'Price List Library'!$S$6:$S$437,0)),"")</f>
        <v/>
      </c>
      <c r="Q248" s="53"/>
      <c r="R248" s="29" t="str">
        <f t="shared" si="21"/>
        <v>_NONE</v>
      </c>
      <c r="S248" s="29" t="str">
        <f t="shared" si="22"/>
        <v>_NONE</v>
      </c>
      <c r="T248" s="29" t="str">
        <f t="shared" si="23"/>
        <v>_NONE</v>
      </c>
    </row>
    <row r="249" spans="1:20" ht="15" customHeight="1" x14ac:dyDescent="0.25">
      <c r="A249" s="9" t="str">
        <f t="shared" si="18"/>
        <v/>
      </c>
      <c r="B249" s="52"/>
      <c r="C249" s="52"/>
      <c r="D249" s="53"/>
      <c r="E249" s="53"/>
      <c r="F249" s="53"/>
      <c r="G249" s="53"/>
      <c r="H249" s="53"/>
      <c r="I249" s="54" t="str">
        <f>IFERROR(INDEX('Description Library'!$C$6:$C$808,MATCH($E249&amp;"|"&amp;$F249&amp;"|"&amp;$G249&amp;"|"&amp;$H249,'Description Library'!$K$6:$K$808,0)),"")</f>
        <v/>
      </c>
      <c r="J249" s="9" t="str">
        <f>IFERROR(INDEX('Description Library'!$H$6:$H$808,MATCH($E249&amp;"|"&amp;$F249&amp;"|"&amp;$G249&amp;"|"&amp;$H249,'Description Library'!$K$6:$K$808,0)),"")</f>
        <v/>
      </c>
      <c r="K249" s="55"/>
      <c r="L249" s="56">
        <f>IFERROR(INDEX('Price List Library'!$K$6:$K$437,MATCH(TRIM($H249)&amp;"|"&amp;TRIM($J249),'Price List Library'!$S$6:$S$437,0)),0)</f>
        <v>0</v>
      </c>
      <c r="M249" s="56">
        <f>IFERROR(INDEX('Price List Library'!$N$6:$N$437,MATCH(TRIM($H249)&amp;"|"&amp;TRIM($J249),'Price List Library'!$S$6:$S$437,0)),0)</f>
        <v>0</v>
      </c>
      <c r="N249" s="27">
        <f t="shared" si="19"/>
        <v>0</v>
      </c>
      <c r="O249" s="27" t="str">
        <f t="shared" si="20"/>
        <v/>
      </c>
      <c r="P249" s="9" t="str">
        <f>IFERROR(INDEX('Price List Library'!$P$6:$P$437,MATCH(TRIM($H249)&amp;"|"&amp;TRIM($J249),'Price List Library'!$S$6:$S$437,0)),"")</f>
        <v/>
      </c>
      <c r="Q249" s="53"/>
      <c r="R249" s="29" t="str">
        <f t="shared" si="21"/>
        <v>_NONE</v>
      </c>
      <c r="S249" s="29" t="str">
        <f t="shared" si="22"/>
        <v>_NONE</v>
      </c>
      <c r="T249" s="29" t="str">
        <f t="shared" si="23"/>
        <v>_NONE</v>
      </c>
    </row>
    <row r="250" spans="1:20" ht="15" customHeight="1" x14ac:dyDescent="0.25">
      <c r="A250" s="9" t="str">
        <f t="shared" si="18"/>
        <v/>
      </c>
      <c r="B250" s="52"/>
      <c r="C250" s="52"/>
      <c r="D250" s="53"/>
      <c r="E250" s="53"/>
      <c r="F250" s="53"/>
      <c r="G250" s="53"/>
      <c r="H250" s="53"/>
      <c r="I250" s="54" t="str">
        <f>IFERROR(INDEX('Description Library'!$C$6:$C$808,MATCH($E250&amp;"|"&amp;$F250&amp;"|"&amp;$G250&amp;"|"&amp;$H250,'Description Library'!$K$6:$K$808,0)),"")</f>
        <v/>
      </c>
      <c r="J250" s="9" t="str">
        <f>IFERROR(INDEX('Description Library'!$H$6:$H$808,MATCH($E250&amp;"|"&amp;$F250&amp;"|"&amp;$G250&amp;"|"&amp;$H250,'Description Library'!$K$6:$K$808,0)),"")</f>
        <v/>
      </c>
      <c r="K250" s="55"/>
      <c r="L250" s="56">
        <f>IFERROR(INDEX('Price List Library'!$K$6:$K$437,MATCH(TRIM($H250)&amp;"|"&amp;TRIM($J250),'Price List Library'!$S$6:$S$437,0)),0)</f>
        <v>0</v>
      </c>
      <c r="M250" s="56">
        <f>IFERROR(INDEX('Price List Library'!$N$6:$N$437,MATCH(TRIM($H250)&amp;"|"&amp;TRIM($J250),'Price List Library'!$S$6:$S$437,0)),0)</f>
        <v>0</v>
      </c>
      <c r="N250" s="27">
        <f t="shared" si="19"/>
        <v>0</v>
      </c>
      <c r="O250" s="27" t="str">
        <f t="shared" si="20"/>
        <v/>
      </c>
      <c r="P250" s="9" t="str">
        <f>IFERROR(INDEX('Price List Library'!$P$6:$P$437,MATCH(TRIM($H250)&amp;"|"&amp;TRIM($J250),'Price List Library'!$S$6:$S$437,0)),"")</f>
        <v/>
      </c>
      <c r="Q250" s="53"/>
      <c r="R250" s="29" t="str">
        <f t="shared" si="21"/>
        <v>_NONE</v>
      </c>
      <c r="S250" s="29" t="str">
        <f t="shared" si="22"/>
        <v>_NONE</v>
      </c>
      <c r="T250" s="29" t="str">
        <f t="shared" si="23"/>
        <v>_NONE</v>
      </c>
    </row>
    <row r="251" spans="1:20" ht="15" customHeight="1" x14ac:dyDescent="0.25">
      <c r="A251" s="9" t="str">
        <f t="shared" si="18"/>
        <v/>
      </c>
      <c r="B251" s="52"/>
      <c r="C251" s="52"/>
      <c r="D251" s="53"/>
      <c r="E251" s="53"/>
      <c r="F251" s="53"/>
      <c r="G251" s="53"/>
      <c r="H251" s="53"/>
      <c r="I251" s="54" t="str">
        <f>IFERROR(INDEX('Description Library'!$C$6:$C$808,MATCH($E251&amp;"|"&amp;$F251&amp;"|"&amp;$G251&amp;"|"&amp;$H251,'Description Library'!$K$6:$K$808,0)),"")</f>
        <v/>
      </c>
      <c r="J251" s="9" t="str">
        <f>IFERROR(INDEX('Description Library'!$H$6:$H$808,MATCH($E251&amp;"|"&amp;$F251&amp;"|"&amp;$G251&amp;"|"&amp;$H251,'Description Library'!$K$6:$K$808,0)),"")</f>
        <v/>
      </c>
      <c r="K251" s="55"/>
      <c r="L251" s="56">
        <f>IFERROR(INDEX('Price List Library'!$K$6:$K$437,MATCH(TRIM($H251)&amp;"|"&amp;TRIM($J251),'Price List Library'!$S$6:$S$437,0)),0)</f>
        <v>0</v>
      </c>
      <c r="M251" s="56">
        <f>IFERROR(INDEX('Price List Library'!$N$6:$N$437,MATCH(TRIM($H251)&amp;"|"&amp;TRIM($J251),'Price List Library'!$S$6:$S$437,0)),0)</f>
        <v>0</v>
      </c>
      <c r="N251" s="27">
        <f t="shared" si="19"/>
        <v>0</v>
      </c>
      <c r="O251" s="27" t="str">
        <f t="shared" si="20"/>
        <v/>
      </c>
      <c r="P251" s="9" t="str">
        <f>IFERROR(INDEX('Price List Library'!$P$6:$P$437,MATCH(TRIM($H251)&amp;"|"&amp;TRIM($J251),'Price List Library'!$S$6:$S$437,0)),"")</f>
        <v/>
      </c>
      <c r="Q251" s="53"/>
      <c r="R251" s="29" t="str">
        <f t="shared" si="21"/>
        <v>_NONE</v>
      </c>
      <c r="S251" s="29" t="str">
        <f t="shared" si="22"/>
        <v>_NONE</v>
      </c>
      <c r="T251" s="29" t="str">
        <f t="shared" si="23"/>
        <v>_NONE</v>
      </c>
    </row>
    <row r="252" spans="1:20" ht="15" customHeight="1" x14ac:dyDescent="0.25">
      <c r="A252" s="9" t="str">
        <f t="shared" si="18"/>
        <v/>
      </c>
      <c r="B252" s="52"/>
      <c r="C252" s="52"/>
      <c r="D252" s="53"/>
      <c r="E252" s="53"/>
      <c r="F252" s="53"/>
      <c r="G252" s="53"/>
      <c r="H252" s="53"/>
      <c r="I252" s="54" t="str">
        <f>IFERROR(INDEX('Description Library'!$C$6:$C$808,MATCH($E252&amp;"|"&amp;$F252&amp;"|"&amp;$G252&amp;"|"&amp;$H252,'Description Library'!$K$6:$K$808,0)),"")</f>
        <v/>
      </c>
      <c r="J252" s="9" t="str">
        <f>IFERROR(INDEX('Description Library'!$H$6:$H$808,MATCH($E252&amp;"|"&amp;$F252&amp;"|"&amp;$G252&amp;"|"&amp;$H252,'Description Library'!$K$6:$K$808,0)),"")</f>
        <v/>
      </c>
      <c r="K252" s="55"/>
      <c r="L252" s="56">
        <f>IFERROR(INDEX('Price List Library'!$K$6:$K$437,MATCH(TRIM($H252)&amp;"|"&amp;TRIM($J252),'Price List Library'!$S$6:$S$437,0)),0)</f>
        <v>0</v>
      </c>
      <c r="M252" s="56">
        <f>IFERROR(INDEX('Price List Library'!$N$6:$N$437,MATCH(TRIM($H252)&amp;"|"&amp;TRIM($J252),'Price List Library'!$S$6:$S$437,0)),0)</f>
        <v>0</v>
      </c>
      <c r="N252" s="27">
        <f t="shared" si="19"/>
        <v>0</v>
      </c>
      <c r="O252" s="27" t="str">
        <f t="shared" si="20"/>
        <v/>
      </c>
      <c r="P252" s="9" t="str">
        <f>IFERROR(INDEX('Price List Library'!$P$6:$P$437,MATCH(TRIM($H252)&amp;"|"&amp;TRIM($J252),'Price List Library'!$S$6:$S$437,0)),"")</f>
        <v/>
      </c>
      <c r="Q252" s="53"/>
      <c r="R252" s="29" t="str">
        <f t="shared" si="21"/>
        <v>_NONE</v>
      </c>
      <c r="S252" s="29" t="str">
        <f t="shared" si="22"/>
        <v>_NONE</v>
      </c>
      <c r="T252" s="29" t="str">
        <f t="shared" si="23"/>
        <v>_NONE</v>
      </c>
    </row>
    <row r="253" spans="1:20" ht="15" customHeight="1" x14ac:dyDescent="0.25">
      <c r="A253" s="9" t="str">
        <f t="shared" si="18"/>
        <v/>
      </c>
      <c r="B253" s="52"/>
      <c r="C253" s="52"/>
      <c r="D253" s="53"/>
      <c r="E253" s="53"/>
      <c r="F253" s="53"/>
      <c r="G253" s="53"/>
      <c r="H253" s="53"/>
      <c r="I253" s="54" t="str">
        <f>IFERROR(INDEX('Description Library'!$C$6:$C$808,MATCH($E253&amp;"|"&amp;$F253&amp;"|"&amp;$G253&amp;"|"&amp;$H253,'Description Library'!$K$6:$K$808,0)),"")</f>
        <v/>
      </c>
      <c r="J253" s="9" t="str">
        <f>IFERROR(INDEX('Description Library'!$H$6:$H$808,MATCH($E253&amp;"|"&amp;$F253&amp;"|"&amp;$G253&amp;"|"&amp;$H253,'Description Library'!$K$6:$K$808,0)),"")</f>
        <v/>
      </c>
      <c r="K253" s="55"/>
      <c r="L253" s="56">
        <f>IFERROR(INDEX('Price List Library'!$K$6:$K$437,MATCH(TRIM($H253)&amp;"|"&amp;TRIM($J253),'Price List Library'!$S$6:$S$437,0)),0)</f>
        <v>0</v>
      </c>
      <c r="M253" s="56">
        <f>IFERROR(INDEX('Price List Library'!$N$6:$N$437,MATCH(TRIM($H253)&amp;"|"&amp;TRIM($J253),'Price List Library'!$S$6:$S$437,0)),0)</f>
        <v>0</v>
      </c>
      <c r="N253" s="27">
        <f t="shared" si="19"/>
        <v>0</v>
      </c>
      <c r="O253" s="27" t="str">
        <f t="shared" si="20"/>
        <v/>
      </c>
      <c r="P253" s="9" t="str">
        <f>IFERROR(INDEX('Price List Library'!$P$6:$P$437,MATCH(TRIM($H253)&amp;"|"&amp;TRIM($J253),'Price List Library'!$S$6:$S$437,0)),"")</f>
        <v/>
      </c>
      <c r="Q253" s="53"/>
      <c r="R253" s="29" t="str">
        <f t="shared" si="21"/>
        <v>_NONE</v>
      </c>
      <c r="S253" s="29" t="str">
        <f t="shared" si="22"/>
        <v>_NONE</v>
      </c>
      <c r="T253" s="29" t="str">
        <f t="shared" si="23"/>
        <v>_NONE</v>
      </c>
    </row>
    <row r="254" spans="1:20" ht="15" customHeight="1" x14ac:dyDescent="0.25">
      <c r="A254" s="9" t="str">
        <f t="shared" si="18"/>
        <v/>
      </c>
      <c r="B254" s="52"/>
      <c r="C254" s="52"/>
      <c r="D254" s="53"/>
      <c r="E254" s="53"/>
      <c r="F254" s="53"/>
      <c r="G254" s="53"/>
      <c r="H254" s="53"/>
      <c r="I254" s="54" t="str">
        <f>IFERROR(INDEX('Description Library'!$C$6:$C$808,MATCH($E254&amp;"|"&amp;$F254&amp;"|"&amp;$G254&amp;"|"&amp;$H254,'Description Library'!$K$6:$K$808,0)),"")</f>
        <v/>
      </c>
      <c r="J254" s="9" t="str">
        <f>IFERROR(INDEX('Description Library'!$H$6:$H$808,MATCH($E254&amp;"|"&amp;$F254&amp;"|"&amp;$G254&amp;"|"&amp;$H254,'Description Library'!$K$6:$K$808,0)),"")</f>
        <v/>
      </c>
      <c r="K254" s="55"/>
      <c r="L254" s="56">
        <f>IFERROR(INDEX('Price List Library'!$K$6:$K$437,MATCH(TRIM($H254)&amp;"|"&amp;TRIM($J254),'Price List Library'!$S$6:$S$437,0)),0)</f>
        <v>0</v>
      </c>
      <c r="M254" s="56">
        <f>IFERROR(INDEX('Price List Library'!$N$6:$N$437,MATCH(TRIM($H254)&amp;"|"&amp;TRIM($J254),'Price List Library'!$S$6:$S$437,0)),0)</f>
        <v>0</v>
      </c>
      <c r="N254" s="27">
        <f t="shared" si="19"/>
        <v>0</v>
      </c>
      <c r="O254" s="27" t="str">
        <f t="shared" si="20"/>
        <v/>
      </c>
      <c r="P254" s="9" t="str">
        <f>IFERROR(INDEX('Price List Library'!$P$6:$P$437,MATCH(TRIM($H254)&amp;"|"&amp;TRIM($J254),'Price List Library'!$S$6:$S$437,0)),"")</f>
        <v/>
      </c>
      <c r="Q254" s="53"/>
      <c r="R254" s="29" t="str">
        <f t="shared" si="21"/>
        <v>_NONE</v>
      </c>
      <c r="S254" s="29" t="str">
        <f t="shared" si="22"/>
        <v>_NONE</v>
      </c>
      <c r="T254" s="29" t="str">
        <f t="shared" si="23"/>
        <v>_NONE</v>
      </c>
    </row>
    <row r="255" spans="1:20" ht="15" customHeight="1" x14ac:dyDescent="0.25">
      <c r="A255" s="9" t="str">
        <f t="shared" si="18"/>
        <v/>
      </c>
      <c r="B255" s="52"/>
      <c r="C255" s="52"/>
      <c r="D255" s="53"/>
      <c r="E255" s="53"/>
      <c r="F255" s="53"/>
      <c r="G255" s="53"/>
      <c r="H255" s="53"/>
      <c r="I255" s="54" t="str">
        <f>IFERROR(INDEX('Description Library'!$C$6:$C$808,MATCH($E255&amp;"|"&amp;$F255&amp;"|"&amp;$G255&amp;"|"&amp;$H255,'Description Library'!$K$6:$K$808,0)),"")</f>
        <v/>
      </c>
      <c r="J255" s="9" t="str">
        <f>IFERROR(INDEX('Description Library'!$H$6:$H$808,MATCH($E255&amp;"|"&amp;$F255&amp;"|"&amp;$G255&amp;"|"&amp;$H255,'Description Library'!$K$6:$K$808,0)),"")</f>
        <v/>
      </c>
      <c r="K255" s="55"/>
      <c r="L255" s="56">
        <f>IFERROR(INDEX('Price List Library'!$K$6:$K$437,MATCH(TRIM($H255)&amp;"|"&amp;TRIM($J255),'Price List Library'!$S$6:$S$437,0)),0)</f>
        <v>0</v>
      </c>
      <c r="M255" s="56">
        <f>IFERROR(INDEX('Price List Library'!$N$6:$N$437,MATCH(TRIM($H255)&amp;"|"&amp;TRIM($J255),'Price List Library'!$S$6:$S$437,0)),0)</f>
        <v>0</v>
      </c>
      <c r="N255" s="27">
        <f t="shared" si="19"/>
        <v>0</v>
      </c>
      <c r="O255" s="27" t="str">
        <f t="shared" si="20"/>
        <v/>
      </c>
      <c r="P255" s="9" t="str">
        <f>IFERROR(INDEX('Price List Library'!$P$6:$P$437,MATCH(TRIM($H255)&amp;"|"&amp;TRIM($J255),'Price List Library'!$S$6:$S$437,0)),"")</f>
        <v/>
      </c>
      <c r="Q255" s="53"/>
      <c r="R255" s="29" t="str">
        <f t="shared" si="21"/>
        <v>_NONE</v>
      </c>
      <c r="S255" s="29" t="str">
        <f t="shared" si="22"/>
        <v>_NONE</v>
      </c>
      <c r="T255" s="29" t="str">
        <f t="shared" si="23"/>
        <v>_NONE</v>
      </c>
    </row>
    <row r="256" spans="1:20" ht="15" customHeight="1" x14ac:dyDescent="0.25">
      <c r="A256" s="9" t="str">
        <f t="shared" si="18"/>
        <v/>
      </c>
      <c r="B256" s="52"/>
      <c r="C256" s="52"/>
      <c r="D256" s="53"/>
      <c r="E256" s="53"/>
      <c r="F256" s="53"/>
      <c r="G256" s="53"/>
      <c r="H256" s="53"/>
      <c r="I256" s="54" t="str">
        <f>IFERROR(INDEX('Description Library'!$C$6:$C$808,MATCH($E256&amp;"|"&amp;$F256&amp;"|"&amp;$G256&amp;"|"&amp;$H256,'Description Library'!$K$6:$K$808,0)),"")</f>
        <v/>
      </c>
      <c r="J256" s="9" t="str">
        <f>IFERROR(INDEX('Description Library'!$H$6:$H$808,MATCH($E256&amp;"|"&amp;$F256&amp;"|"&amp;$G256&amp;"|"&amp;$H256,'Description Library'!$K$6:$K$808,0)),"")</f>
        <v/>
      </c>
      <c r="K256" s="55"/>
      <c r="L256" s="56">
        <f>IFERROR(INDEX('Price List Library'!$K$6:$K$437,MATCH(TRIM($H256)&amp;"|"&amp;TRIM($J256),'Price List Library'!$S$6:$S$437,0)),0)</f>
        <v>0</v>
      </c>
      <c r="M256" s="56">
        <f>IFERROR(INDEX('Price List Library'!$N$6:$N$437,MATCH(TRIM($H256)&amp;"|"&amp;TRIM($J256),'Price List Library'!$S$6:$S$437,0)),0)</f>
        <v>0</v>
      </c>
      <c r="N256" s="27">
        <f t="shared" si="19"/>
        <v>0</v>
      </c>
      <c r="O256" s="27" t="str">
        <f t="shared" si="20"/>
        <v/>
      </c>
      <c r="P256" s="9" t="str">
        <f>IFERROR(INDEX('Price List Library'!$P$6:$P$437,MATCH(TRIM($H256)&amp;"|"&amp;TRIM($J256),'Price List Library'!$S$6:$S$437,0)),"")</f>
        <v/>
      </c>
      <c r="Q256" s="53"/>
      <c r="R256" s="29" t="str">
        <f t="shared" si="21"/>
        <v>_NONE</v>
      </c>
      <c r="S256" s="29" t="str">
        <f t="shared" si="22"/>
        <v>_NONE</v>
      </c>
      <c r="T256" s="29" t="str">
        <f t="shared" si="23"/>
        <v>_NONE</v>
      </c>
    </row>
    <row r="257" spans="1:20" ht="15" customHeight="1" x14ac:dyDescent="0.25">
      <c r="A257" s="9" t="str">
        <f t="shared" si="18"/>
        <v/>
      </c>
      <c r="B257" s="52"/>
      <c r="C257" s="52"/>
      <c r="D257" s="53"/>
      <c r="E257" s="53"/>
      <c r="F257" s="53"/>
      <c r="G257" s="53"/>
      <c r="H257" s="53"/>
      <c r="I257" s="54" t="str">
        <f>IFERROR(INDEX('Description Library'!$C$6:$C$808,MATCH($E257&amp;"|"&amp;$F257&amp;"|"&amp;$G257&amp;"|"&amp;$H257,'Description Library'!$K$6:$K$808,0)),"")</f>
        <v/>
      </c>
      <c r="J257" s="9" t="str">
        <f>IFERROR(INDEX('Description Library'!$H$6:$H$808,MATCH($E257&amp;"|"&amp;$F257&amp;"|"&amp;$G257&amp;"|"&amp;$H257,'Description Library'!$K$6:$K$808,0)),"")</f>
        <v/>
      </c>
      <c r="K257" s="55"/>
      <c r="L257" s="56">
        <f>IFERROR(INDEX('Price List Library'!$K$6:$K$437,MATCH(TRIM($H257)&amp;"|"&amp;TRIM($J257),'Price List Library'!$S$6:$S$437,0)),0)</f>
        <v>0</v>
      </c>
      <c r="M257" s="56">
        <f>IFERROR(INDEX('Price List Library'!$N$6:$N$437,MATCH(TRIM($H257)&amp;"|"&amp;TRIM($J257),'Price List Library'!$S$6:$S$437,0)),0)</f>
        <v>0</v>
      </c>
      <c r="N257" s="27">
        <f t="shared" si="19"/>
        <v>0</v>
      </c>
      <c r="O257" s="27" t="str">
        <f t="shared" si="20"/>
        <v/>
      </c>
      <c r="P257" s="9" t="str">
        <f>IFERROR(INDEX('Price List Library'!$P$6:$P$437,MATCH(TRIM($H257)&amp;"|"&amp;TRIM($J257),'Price List Library'!$S$6:$S$437,0)),"")</f>
        <v/>
      </c>
      <c r="Q257" s="53"/>
      <c r="R257" s="29" t="str">
        <f t="shared" si="21"/>
        <v>_NONE</v>
      </c>
      <c r="S257" s="29" t="str">
        <f t="shared" si="22"/>
        <v>_NONE</v>
      </c>
      <c r="T257" s="29" t="str">
        <f t="shared" si="23"/>
        <v>_NONE</v>
      </c>
    </row>
    <row r="258" spans="1:20" ht="15" customHeight="1" x14ac:dyDescent="0.25">
      <c r="A258" s="9" t="str">
        <f t="shared" si="18"/>
        <v/>
      </c>
      <c r="B258" s="52"/>
      <c r="C258" s="52"/>
      <c r="D258" s="53"/>
      <c r="E258" s="53"/>
      <c r="F258" s="53"/>
      <c r="G258" s="53"/>
      <c r="H258" s="53"/>
      <c r="I258" s="54" t="str">
        <f>IFERROR(INDEX('Description Library'!$C$6:$C$808,MATCH($E258&amp;"|"&amp;$F258&amp;"|"&amp;$G258&amp;"|"&amp;$H258,'Description Library'!$K$6:$K$808,0)),"")</f>
        <v/>
      </c>
      <c r="J258" s="9" t="str">
        <f>IFERROR(INDEX('Description Library'!$H$6:$H$808,MATCH($E258&amp;"|"&amp;$F258&amp;"|"&amp;$G258&amp;"|"&amp;$H258,'Description Library'!$K$6:$K$808,0)),"")</f>
        <v/>
      </c>
      <c r="K258" s="55"/>
      <c r="L258" s="56">
        <f>IFERROR(INDEX('Price List Library'!$K$6:$K$437,MATCH(TRIM($H258)&amp;"|"&amp;TRIM($J258),'Price List Library'!$S$6:$S$437,0)),0)</f>
        <v>0</v>
      </c>
      <c r="M258" s="56">
        <f>IFERROR(INDEX('Price List Library'!$N$6:$N$437,MATCH(TRIM($H258)&amp;"|"&amp;TRIM($J258),'Price List Library'!$S$6:$S$437,0)),0)</f>
        <v>0</v>
      </c>
      <c r="N258" s="27">
        <f t="shared" si="19"/>
        <v>0</v>
      </c>
      <c r="O258" s="27" t="str">
        <f t="shared" si="20"/>
        <v/>
      </c>
      <c r="P258" s="9" t="str">
        <f>IFERROR(INDEX('Price List Library'!$P$6:$P$437,MATCH(TRIM($H258)&amp;"|"&amp;TRIM($J258),'Price List Library'!$S$6:$S$437,0)),"")</f>
        <v/>
      </c>
      <c r="Q258" s="53"/>
      <c r="R258" s="29" t="str">
        <f t="shared" si="21"/>
        <v>_NONE</v>
      </c>
      <c r="S258" s="29" t="str">
        <f t="shared" si="22"/>
        <v>_NONE</v>
      </c>
      <c r="T258" s="29" t="str">
        <f t="shared" si="23"/>
        <v>_NONE</v>
      </c>
    </row>
    <row r="259" spans="1:20" ht="15" customHeight="1" x14ac:dyDescent="0.25">
      <c r="A259" s="9" t="str">
        <f t="shared" si="18"/>
        <v/>
      </c>
      <c r="B259" s="52"/>
      <c r="C259" s="52"/>
      <c r="D259" s="53"/>
      <c r="E259" s="53"/>
      <c r="F259" s="53"/>
      <c r="G259" s="53"/>
      <c r="H259" s="53"/>
      <c r="I259" s="54" t="str">
        <f>IFERROR(INDEX('Description Library'!$C$6:$C$808,MATCH($E259&amp;"|"&amp;$F259&amp;"|"&amp;$G259&amp;"|"&amp;$H259,'Description Library'!$K$6:$K$808,0)),"")</f>
        <v/>
      </c>
      <c r="J259" s="9" t="str">
        <f>IFERROR(INDEX('Description Library'!$H$6:$H$808,MATCH($E259&amp;"|"&amp;$F259&amp;"|"&amp;$G259&amp;"|"&amp;$H259,'Description Library'!$K$6:$K$808,0)),"")</f>
        <v/>
      </c>
      <c r="K259" s="55"/>
      <c r="L259" s="56">
        <f>IFERROR(INDEX('Price List Library'!$K$6:$K$437,MATCH(TRIM($H259)&amp;"|"&amp;TRIM($J259),'Price List Library'!$S$6:$S$437,0)),0)</f>
        <v>0</v>
      </c>
      <c r="M259" s="56">
        <f>IFERROR(INDEX('Price List Library'!$N$6:$N$437,MATCH(TRIM($H259)&amp;"|"&amp;TRIM($J259),'Price List Library'!$S$6:$S$437,0)),0)</f>
        <v>0</v>
      </c>
      <c r="N259" s="27">
        <f t="shared" si="19"/>
        <v>0</v>
      </c>
      <c r="O259" s="27" t="str">
        <f t="shared" si="20"/>
        <v/>
      </c>
      <c r="P259" s="9" t="str">
        <f>IFERROR(INDEX('Price List Library'!$P$6:$P$437,MATCH(TRIM($H259)&amp;"|"&amp;TRIM($J259),'Price List Library'!$S$6:$S$437,0)),"")</f>
        <v/>
      </c>
      <c r="Q259" s="53"/>
      <c r="R259" s="29" t="str">
        <f t="shared" si="21"/>
        <v>_NONE</v>
      </c>
      <c r="S259" s="29" t="str">
        <f t="shared" si="22"/>
        <v>_NONE</v>
      </c>
      <c r="T259" s="29" t="str">
        <f t="shared" si="23"/>
        <v>_NONE</v>
      </c>
    </row>
    <row r="260" spans="1:20" ht="15" customHeight="1" x14ac:dyDescent="0.25">
      <c r="A260" s="9" t="str">
        <f t="shared" si="18"/>
        <v/>
      </c>
      <c r="B260" s="52"/>
      <c r="C260" s="52"/>
      <c r="D260" s="53"/>
      <c r="E260" s="53"/>
      <c r="F260" s="53"/>
      <c r="G260" s="53"/>
      <c r="H260" s="53"/>
      <c r="I260" s="54" t="str">
        <f>IFERROR(INDEX('Description Library'!$C$6:$C$808,MATCH($E260&amp;"|"&amp;$F260&amp;"|"&amp;$G260&amp;"|"&amp;$H260,'Description Library'!$K$6:$K$808,0)),"")</f>
        <v/>
      </c>
      <c r="J260" s="9" t="str">
        <f>IFERROR(INDEX('Description Library'!$H$6:$H$808,MATCH($E260&amp;"|"&amp;$F260&amp;"|"&amp;$G260&amp;"|"&amp;$H260,'Description Library'!$K$6:$K$808,0)),"")</f>
        <v/>
      </c>
      <c r="K260" s="55"/>
      <c r="L260" s="56">
        <f>IFERROR(INDEX('Price List Library'!$K$6:$K$437,MATCH(TRIM($H260)&amp;"|"&amp;TRIM($J260),'Price List Library'!$S$6:$S$437,0)),0)</f>
        <v>0</v>
      </c>
      <c r="M260" s="56">
        <f>IFERROR(INDEX('Price List Library'!$N$6:$N$437,MATCH(TRIM($H260)&amp;"|"&amp;TRIM($J260),'Price List Library'!$S$6:$S$437,0)),0)</f>
        <v>0</v>
      </c>
      <c r="N260" s="27">
        <f t="shared" si="19"/>
        <v>0</v>
      </c>
      <c r="O260" s="27" t="str">
        <f t="shared" si="20"/>
        <v/>
      </c>
      <c r="P260" s="9" t="str">
        <f>IFERROR(INDEX('Price List Library'!$P$6:$P$437,MATCH(TRIM($H260)&amp;"|"&amp;TRIM($J260),'Price List Library'!$S$6:$S$437,0)),"")</f>
        <v/>
      </c>
      <c r="Q260" s="53"/>
      <c r="R260" s="29" t="str">
        <f t="shared" si="21"/>
        <v>_NONE</v>
      </c>
      <c r="S260" s="29" t="str">
        <f t="shared" si="22"/>
        <v>_NONE</v>
      </c>
      <c r="T260" s="29" t="str">
        <f t="shared" si="23"/>
        <v>_NONE</v>
      </c>
    </row>
    <row r="261" spans="1:20" ht="15" customHeight="1" x14ac:dyDescent="0.25">
      <c r="A261" s="9" t="str">
        <f t="shared" si="18"/>
        <v/>
      </c>
      <c r="B261" s="52"/>
      <c r="C261" s="52"/>
      <c r="D261" s="53"/>
      <c r="E261" s="53"/>
      <c r="F261" s="53"/>
      <c r="G261" s="53"/>
      <c r="H261" s="53"/>
      <c r="I261" s="54" t="str">
        <f>IFERROR(INDEX('Description Library'!$C$6:$C$808,MATCH($E261&amp;"|"&amp;$F261&amp;"|"&amp;$G261&amp;"|"&amp;$H261,'Description Library'!$K$6:$K$808,0)),"")</f>
        <v/>
      </c>
      <c r="J261" s="9" t="str">
        <f>IFERROR(INDEX('Description Library'!$H$6:$H$808,MATCH($E261&amp;"|"&amp;$F261&amp;"|"&amp;$G261&amp;"|"&amp;$H261,'Description Library'!$K$6:$K$808,0)),"")</f>
        <v/>
      </c>
      <c r="K261" s="55"/>
      <c r="L261" s="56">
        <f>IFERROR(INDEX('Price List Library'!$K$6:$K$437,MATCH(TRIM($H261)&amp;"|"&amp;TRIM($J261),'Price List Library'!$S$6:$S$437,0)),0)</f>
        <v>0</v>
      </c>
      <c r="M261" s="56">
        <f>IFERROR(INDEX('Price List Library'!$N$6:$N$437,MATCH(TRIM($H261)&amp;"|"&amp;TRIM($J261),'Price List Library'!$S$6:$S$437,0)),0)</f>
        <v>0</v>
      </c>
      <c r="N261" s="27">
        <f t="shared" si="19"/>
        <v>0</v>
      </c>
      <c r="O261" s="27" t="str">
        <f t="shared" si="20"/>
        <v/>
      </c>
      <c r="P261" s="9" t="str">
        <f>IFERROR(INDEX('Price List Library'!$P$6:$P$437,MATCH(TRIM($H261)&amp;"|"&amp;TRIM($J261),'Price List Library'!$S$6:$S$437,0)),"")</f>
        <v/>
      </c>
      <c r="Q261" s="53"/>
      <c r="R261" s="29" t="str">
        <f t="shared" si="21"/>
        <v>_NONE</v>
      </c>
      <c r="S261" s="29" t="str">
        <f t="shared" si="22"/>
        <v>_NONE</v>
      </c>
      <c r="T261" s="29" t="str">
        <f t="shared" si="23"/>
        <v>_NONE</v>
      </c>
    </row>
    <row r="262" spans="1:20" ht="15" customHeight="1" x14ac:dyDescent="0.25">
      <c r="A262" s="9" t="str">
        <f t="shared" ref="A262:A305" si="24">IF($E262="","",ROW()-5)</f>
        <v/>
      </c>
      <c r="B262" s="52"/>
      <c r="C262" s="52"/>
      <c r="D262" s="53"/>
      <c r="E262" s="53"/>
      <c r="F262" s="53"/>
      <c r="G262" s="53"/>
      <c r="H262" s="53"/>
      <c r="I262" s="54" t="str">
        <f>IFERROR(INDEX('Description Library'!$C$6:$C$808,MATCH($E262&amp;"|"&amp;$F262&amp;"|"&amp;$G262&amp;"|"&amp;$H262,'Description Library'!$K$6:$K$808,0)),"")</f>
        <v/>
      </c>
      <c r="J262" s="9" t="str">
        <f>IFERROR(INDEX('Description Library'!$H$6:$H$808,MATCH($E262&amp;"|"&amp;$F262&amp;"|"&amp;$G262&amp;"|"&amp;$H262,'Description Library'!$K$6:$K$808,0)),"")</f>
        <v/>
      </c>
      <c r="K262" s="55"/>
      <c r="L262" s="56">
        <f>IFERROR(INDEX('Price List Library'!$K$6:$K$437,MATCH(TRIM($H262)&amp;"|"&amp;TRIM($J262),'Price List Library'!$S$6:$S$437,0)),0)</f>
        <v>0</v>
      </c>
      <c r="M262" s="56">
        <f>IFERROR(INDEX('Price List Library'!$N$6:$N$437,MATCH(TRIM($H262)&amp;"|"&amp;TRIM($J262),'Price List Library'!$S$6:$S$437,0)),0)</f>
        <v>0</v>
      </c>
      <c r="N262" s="27">
        <f t="shared" ref="N262:N325" si="25">L262+M262</f>
        <v>0</v>
      </c>
      <c r="O262" s="27" t="str">
        <f t="shared" ref="O262:O305" si="26">IF($K262="","",$K262*$N262)</f>
        <v/>
      </c>
      <c r="P262" s="9" t="str">
        <f>IFERROR(INDEX('Price List Library'!$P$6:$P$437,MATCH(TRIM($H262)&amp;"|"&amp;TRIM($J262),'Price List Library'!$S$6:$S$437,0)),"")</f>
        <v/>
      </c>
      <c r="Q262" s="53"/>
      <c r="R262" s="29" t="str">
        <f t="shared" ref="R262:R305" si="27">IFERROR(VLOOKUP($E262,_MAPSEC,2,0),"_NONE")</f>
        <v>_NONE</v>
      </c>
      <c r="S262" s="29" t="str">
        <f t="shared" ref="S262:S305" si="28">IFERROR(VLOOKUP($E262&amp;"|"&amp;$F262,_MAPSUB,2,0),"_NONE")</f>
        <v>_NONE</v>
      </c>
      <c r="T262" s="29" t="str">
        <f t="shared" ref="T262:T305" si="29">IFERROR(VLOOKUP($E262&amp;"|"&amp;$F262&amp;"|"&amp;$G262,_MAPSE,2,0),"_NONE")</f>
        <v>_NONE</v>
      </c>
    </row>
    <row r="263" spans="1:20" ht="15" customHeight="1" x14ac:dyDescent="0.25">
      <c r="A263" s="9" t="str">
        <f t="shared" si="24"/>
        <v/>
      </c>
      <c r="B263" s="52"/>
      <c r="C263" s="52"/>
      <c r="D263" s="53"/>
      <c r="E263" s="53"/>
      <c r="F263" s="53"/>
      <c r="G263" s="53"/>
      <c r="H263" s="53"/>
      <c r="I263" s="54" t="str">
        <f>IFERROR(INDEX('Description Library'!$C$6:$C$808,MATCH($E263&amp;"|"&amp;$F263&amp;"|"&amp;$G263&amp;"|"&amp;$H263,'Description Library'!$K$6:$K$808,0)),"")</f>
        <v/>
      </c>
      <c r="J263" s="9" t="str">
        <f>IFERROR(INDEX('Description Library'!$H$6:$H$808,MATCH($E263&amp;"|"&amp;$F263&amp;"|"&amp;$G263&amp;"|"&amp;$H263,'Description Library'!$K$6:$K$808,0)),"")</f>
        <v/>
      </c>
      <c r="K263" s="55"/>
      <c r="L263" s="56">
        <f>IFERROR(INDEX('Price List Library'!$K$6:$K$437,MATCH(TRIM($H263)&amp;"|"&amp;TRIM($J263),'Price List Library'!$S$6:$S$437,0)),0)</f>
        <v>0</v>
      </c>
      <c r="M263" s="56">
        <f>IFERROR(INDEX('Price List Library'!$N$6:$N$437,MATCH(TRIM($H263)&amp;"|"&amp;TRIM($J263),'Price List Library'!$S$6:$S$437,0)),0)</f>
        <v>0</v>
      </c>
      <c r="N263" s="27">
        <f t="shared" si="25"/>
        <v>0</v>
      </c>
      <c r="O263" s="27" t="str">
        <f t="shared" si="26"/>
        <v/>
      </c>
      <c r="P263" s="9" t="str">
        <f>IFERROR(INDEX('Price List Library'!$P$6:$P$437,MATCH(TRIM($H263)&amp;"|"&amp;TRIM($J263),'Price List Library'!$S$6:$S$437,0)),"")</f>
        <v/>
      </c>
      <c r="Q263" s="53"/>
      <c r="R263" s="29" t="str">
        <f t="shared" si="27"/>
        <v>_NONE</v>
      </c>
      <c r="S263" s="29" t="str">
        <f t="shared" si="28"/>
        <v>_NONE</v>
      </c>
      <c r="T263" s="29" t="str">
        <f t="shared" si="29"/>
        <v>_NONE</v>
      </c>
    </row>
    <row r="264" spans="1:20" ht="15" customHeight="1" x14ac:dyDescent="0.25">
      <c r="A264" s="9" t="str">
        <f t="shared" si="24"/>
        <v/>
      </c>
      <c r="B264" s="52"/>
      <c r="C264" s="52"/>
      <c r="D264" s="53"/>
      <c r="E264" s="53"/>
      <c r="F264" s="53"/>
      <c r="G264" s="53"/>
      <c r="H264" s="53"/>
      <c r="I264" s="54" t="str">
        <f>IFERROR(INDEX('Description Library'!$C$6:$C$808,MATCH($E264&amp;"|"&amp;$F264&amp;"|"&amp;$G264&amp;"|"&amp;$H264,'Description Library'!$K$6:$K$808,0)),"")</f>
        <v/>
      </c>
      <c r="J264" s="9" t="str">
        <f>IFERROR(INDEX('Description Library'!$H$6:$H$808,MATCH($E264&amp;"|"&amp;$F264&amp;"|"&amp;$G264&amp;"|"&amp;$H264,'Description Library'!$K$6:$K$808,0)),"")</f>
        <v/>
      </c>
      <c r="K264" s="55"/>
      <c r="L264" s="56">
        <f>IFERROR(INDEX('Price List Library'!$K$6:$K$437,MATCH(TRIM($H264)&amp;"|"&amp;TRIM($J264),'Price List Library'!$S$6:$S$437,0)),0)</f>
        <v>0</v>
      </c>
      <c r="M264" s="56">
        <f>IFERROR(INDEX('Price List Library'!$N$6:$N$437,MATCH(TRIM($H264)&amp;"|"&amp;TRIM($J264),'Price List Library'!$S$6:$S$437,0)),0)</f>
        <v>0</v>
      </c>
      <c r="N264" s="27">
        <f t="shared" si="25"/>
        <v>0</v>
      </c>
      <c r="O264" s="27" t="str">
        <f t="shared" si="26"/>
        <v/>
      </c>
      <c r="P264" s="9" t="str">
        <f>IFERROR(INDEX('Price List Library'!$P$6:$P$437,MATCH(TRIM($H264)&amp;"|"&amp;TRIM($J264),'Price List Library'!$S$6:$S$437,0)),"")</f>
        <v/>
      </c>
      <c r="Q264" s="53"/>
      <c r="R264" s="29" t="str">
        <f t="shared" si="27"/>
        <v>_NONE</v>
      </c>
      <c r="S264" s="29" t="str">
        <f t="shared" si="28"/>
        <v>_NONE</v>
      </c>
      <c r="T264" s="29" t="str">
        <f t="shared" si="29"/>
        <v>_NONE</v>
      </c>
    </row>
    <row r="265" spans="1:20" ht="15" customHeight="1" x14ac:dyDescent="0.25">
      <c r="A265" s="9" t="str">
        <f t="shared" si="24"/>
        <v/>
      </c>
      <c r="B265" s="52"/>
      <c r="C265" s="52"/>
      <c r="D265" s="53"/>
      <c r="E265" s="53"/>
      <c r="F265" s="53"/>
      <c r="G265" s="53"/>
      <c r="H265" s="53"/>
      <c r="I265" s="54" t="str">
        <f>IFERROR(INDEX('Description Library'!$C$6:$C$808,MATCH($E265&amp;"|"&amp;$F265&amp;"|"&amp;$G265&amp;"|"&amp;$H265,'Description Library'!$K$6:$K$808,0)),"")</f>
        <v/>
      </c>
      <c r="J265" s="9" t="str">
        <f>IFERROR(INDEX('Description Library'!$H$6:$H$808,MATCH($E265&amp;"|"&amp;$F265&amp;"|"&amp;$G265&amp;"|"&amp;$H265,'Description Library'!$K$6:$K$808,0)),"")</f>
        <v/>
      </c>
      <c r="K265" s="55"/>
      <c r="L265" s="56">
        <f>IFERROR(INDEX('Price List Library'!$K$6:$K$437,MATCH(TRIM($H265)&amp;"|"&amp;TRIM($J265),'Price List Library'!$S$6:$S$437,0)),0)</f>
        <v>0</v>
      </c>
      <c r="M265" s="56">
        <f>IFERROR(INDEX('Price List Library'!$N$6:$N$437,MATCH(TRIM($H265)&amp;"|"&amp;TRIM($J265),'Price List Library'!$S$6:$S$437,0)),0)</f>
        <v>0</v>
      </c>
      <c r="N265" s="27">
        <f t="shared" si="25"/>
        <v>0</v>
      </c>
      <c r="O265" s="27" t="str">
        <f t="shared" si="26"/>
        <v/>
      </c>
      <c r="P265" s="9" t="str">
        <f>IFERROR(INDEX('Price List Library'!$P$6:$P$437,MATCH(TRIM($H265)&amp;"|"&amp;TRIM($J265),'Price List Library'!$S$6:$S$437,0)),"")</f>
        <v/>
      </c>
      <c r="Q265" s="53"/>
      <c r="R265" s="29" t="str">
        <f t="shared" si="27"/>
        <v>_NONE</v>
      </c>
      <c r="S265" s="29" t="str">
        <f t="shared" si="28"/>
        <v>_NONE</v>
      </c>
      <c r="T265" s="29" t="str">
        <f t="shared" si="29"/>
        <v>_NONE</v>
      </c>
    </row>
    <row r="266" spans="1:20" ht="15" customHeight="1" x14ac:dyDescent="0.25">
      <c r="A266" s="9" t="str">
        <f t="shared" si="24"/>
        <v/>
      </c>
      <c r="B266" s="52"/>
      <c r="C266" s="52"/>
      <c r="D266" s="53"/>
      <c r="E266" s="53"/>
      <c r="F266" s="53"/>
      <c r="G266" s="53"/>
      <c r="H266" s="53"/>
      <c r="I266" s="54" t="str">
        <f>IFERROR(INDEX('Description Library'!$C$6:$C$808,MATCH($E266&amp;"|"&amp;$F266&amp;"|"&amp;$G266&amp;"|"&amp;$H266,'Description Library'!$K$6:$K$808,0)),"")</f>
        <v/>
      </c>
      <c r="J266" s="9" t="str">
        <f>IFERROR(INDEX('Description Library'!$H$6:$H$808,MATCH($E266&amp;"|"&amp;$F266&amp;"|"&amp;$G266&amp;"|"&amp;$H266,'Description Library'!$K$6:$K$808,0)),"")</f>
        <v/>
      </c>
      <c r="K266" s="55"/>
      <c r="L266" s="56">
        <f>IFERROR(INDEX('Price List Library'!$K$6:$K$437,MATCH(TRIM($H266)&amp;"|"&amp;TRIM($J266),'Price List Library'!$S$6:$S$437,0)),0)</f>
        <v>0</v>
      </c>
      <c r="M266" s="56">
        <f>IFERROR(INDEX('Price List Library'!$N$6:$N$437,MATCH(TRIM($H266)&amp;"|"&amp;TRIM($J266),'Price List Library'!$S$6:$S$437,0)),0)</f>
        <v>0</v>
      </c>
      <c r="N266" s="27">
        <f t="shared" si="25"/>
        <v>0</v>
      </c>
      <c r="O266" s="27" t="str">
        <f t="shared" si="26"/>
        <v/>
      </c>
      <c r="P266" s="9" t="str">
        <f>IFERROR(INDEX('Price List Library'!$P$6:$P$437,MATCH(TRIM($H266)&amp;"|"&amp;TRIM($J266),'Price List Library'!$S$6:$S$437,0)),"")</f>
        <v/>
      </c>
      <c r="Q266" s="53"/>
      <c r="R266" s="29" t="str">
        <f t="shared" si="27"/>
        <v>_NONE</v>
      </c>
      <c r="S266" s="29" t="str">
        <f t="shared" si="28"/>
        <v>_NONE</v>
      </c>
      <c r="T266" s="29" t="str">
        <f t="shared" si="29"/>
        <v>_NONE</v>
      </c>
    </row>
    <row r="267" spans="1:20" ht="15" customHeight="1" x14ac:dyDescent="0.25">
      <c r="A267" s="9" t="str">
        <f t="shared" si="24"/>
        <v/>
      </c>
      <c r="B267" s="52"/>
      <c r="C267" s="52"/>
      <c r="D267" s="53"/>
      <c r="E267" s="53"/>
      <c r="F267" s="53"/>
      <c r="G267" s="53"/>
      <c r="H267" s="53"/>
      <c r="I267" s="54" t="str">
        <f>IFERROR(INDEX('Description Library'!$C$6:$C$808,MATCH($E267&amp;"|"&amp;$F267&amp;"|"&amp;$G267&amp;"|"&amp;$H267,'Description Library'!$K$6:$K$808,0)),"")</f>
        <v/>
      </c>
      <c r="J267" s="9" t="str">
        <f>IFERROR(INDEX('Description Library'!$H$6:$H$808,MATCH($E267&amp;"|"&amp;$F267&amp;"|"&amp;$G267&amp;"|"&amp;$H267,'Description Library'!$K$6:$K$808,0)),"")</f>
        <v/>
      </c>
      <c r="K267" s="55"/>
      <c r="L267" s="56">
        <f>IFERROR(INDEX('Price List Library'!$K$6:$K$437,MATCH(TRIM($H267)&amp;"|"&amp;TRIM($J267),'Price List Library'!$S$6:$S$437,0)),0)</f>
        <v>0</v>
      </c>
      <c r="M267" s="56">
        <f>IFERROR(INDEX('Price List Library'!$N$6:$N$437,MATCH(TRIM($H267)&amp;"|"&amp;TRIM($J267),'Price List Library'!$S$6:$S$437,0)),0)</f>
        <v>0</v>
      </c>
      <c r="N267" s="27">
        <f t="shared" si="25"/>
        <v>0</v>
      </c>
      <c r="O267" s="27" t="str">
        <f t="shared" si="26"/>
        <v/>
      </c>
      <c r="P267" s="9" t="str">
        <f>IFERROR(INDEX('Price List Library'!$P$6:$P$437,MATCH(TRIM($H267)&amp;"|"&amp;TRIM($J267),'Price List Library'!$S$6:$S$437,0)),"")</f>
        <v/>
      </c>
      <c r="Q267" s="53"/>
      <c r="R267" s="29" t="str">
        <f t="shared" si="27"/>
        <v>_NONE</v>
      </c>
      <c r="S267" s="29" t="str">
        <f t="shared" si="28"/>
        <v>_NONE</v>
      </c>
      <c r="T267" s="29" t="str">
        <f t="shared" si="29"/>
        <v>_NONE</v>
      </c>
    </row>
    <row r="268" spans="1:20" ht="15" customHeight="1" x14ac:dyDescent="0.25">
      <c r="A268" s="9" t="str">
        <f t="shared" si="24"/>
        <v/>
      </c>
      <c r="B268" s="52"/>
      <c r="C268" s="52"/>
      <c r="D268" s="53"/>
      <c r="E268" s="53"/>
      <c r="F268" s="53"/>
      <c r="G268" s="53"/>
      <c r="H268" s="53"/>
      <c r="I268" s="54" t="str">
        <f>IFERROR(INDEX('Description Library'!$C$6:$C$808,MATCH($E268&amp;"|"&amp;$F268&amp;"|"&amp;$G268&amp;"|"&amp;$H268,'Description Library'!$K$6:$K$808,0)),"")</f>
        <v/>
      </c>
      <c r="J268" s="9" t="str">
        <f>IFERROR(INDEX('Description Library'!$H$6:$H$808,MATCH($E268&amp;"|"&amp;$F268&amp;"|"&amp;$G268&amp;"|"&amp;$H268,'Description Library'!$K$6:$K$808,0)),"")</f>
        <v/>
      </c>
      <c r="K268" s="55"/>
      <c r="L268" s="56">
        <f>IFERROR(INDEX('Price List Library'!$K$6:$K$437,MATCH(TRIM($H268)&amp;"|"&amp;TRIM($J268),'Price List Library'!$S$6:$S$437,0)),0)</f>
        <v>0</v>
      </c>
      <c r="M268" s="56">
        <f>IFERROR(INDEX('Price List Library'!$N$6:$N$437,MATCH(TRIM($H268)&amp;"|"&amp;TRIM($J268),'Price List Library'!$S$6:$S$437,0)),0)</f>
        <v>0</v>
      </c>
      <c r="N268" s="27">
        <f t="shared" si="25"/>
        <v>0</v>
      </c>
      <c r="O268" s="27" t="str">
        <f t="shared" si="26"/>
        <v/>
      </c>
      <c r="P268" s="9" t="str">
        <f>IFERROR(INDEX('Price List Library'!$P$6:$P$437,MATCH(TRIM($H268)&amp;"|"&amp;TRIM($J268),'Price List Library'!$S$6:$S$437,0)),"")</f>
        <v/>
      </c>
      <c r="Q268" s="53"/>
      <c r="R268" s="29" t="str">
        <f t="shared" si="27"/>
        <v>_NONE</v>
      </c>
      <c r="S268" s="29" t="str">
        <f t="shared" si="28"/>
        <v>_NONE</v>
      </c>
      <c r="T268" s="29" t="str">
        <f t="shared" si="29"/>
        <v>_NONE</v>
      </c>
    </row>
    <row r="269" spans="1:20" ht="15" customHeight="1" x14ac:dyDescent="0.25">
      <c r="A269" s="9" t="str">
        <f t="shared" si="24"/>
        <v/>
      </c>
      <c r="B269" s="52"/>
      <c r="C269" s="52"/>
      <c r="D269" s="53"/>
      <c r="E269" s="53"/>
      <c r="F269" s="53"/>
      <c r="G269" s="53"/>
      <c r="H269" s="53"/>
      <c r="I269" s="54" t="str">
        <f>IFERROR(INDEX('Description Library'!$C$6:$C$808,MATCH($E269&amp;"|"&amp;$F269&amp;"|"&amp;$G269&amp;"|"&amp;$H269,'Description Library'!$K$6:$K$808,0)),"")</f>
        <v/>
      </c>
      <c r="J269" s="9" t="str">
        <f>IFERROR(INDEX('Description Library'!$H$6:$H$808,MATCH($E269&amp;"|"&amp;$F269&amp;"|"&amp;$G269&amp;"|"&amp;$H269,'Description Library'!$K$6:$K$808,0)),"")</f>
        <v/>
      </c>
      <c r="K269" s="55"/>
      <c r="L269" s="56">
        <f>IFERROR(INDEX('Price List Library'!$K$6:$K$437,MATCH(TRIM($H269)&amp;"|"&amp;TRIM($J269),'Price List Library'!$S$6:$S$437,0)),0)</f>
        <v>0</v>
      </c>
      <c r="M269" s="56">
        <f>IFERROR(INDEX('Price List Library'!$N$6:$N$437,MATCH(TRIM($H269)&amp;"|"&amp;TRIM($J269),'Price List Library'!$S$6:$S$437,0)),0)</f>
        <v>0</v>
      </c>
      <c r="N269" s="27">
        <f t="shared" si="25"/>
        <v>0</v>
      </c>
      <c r="O269" s="27" t="str">
        <f t="shared" si="26"/>
        <v/>
      </c>
      <c r="P269" s="9" t="str">
        <f>IFERROR(INDEX('Price List Library'!$P$6:$P$437,MATCH(TRIM($H269)&amp;"|"&amp;TRIM($J269),'Price List Library'!$S$6:$S$437,0)),"")</f>
        <v/>
      </c>
      <c r="Q269" s="53"/>
      <c r="R269" s="29" t="str">
        <f t="shared" si="27"/>
        <v>_NONE</v>
      </c>
      <c r="S269" s="29" t="str">
        <f t="shared" si="28"/>
        <v>_NONE</v>
      </c>
      <c r="T269" s="29" t="str">
        <f t="shared" si="29"/>
        <v>_NONE</v>
      </c>
    </row>
    <row r="270" spans="1:20" ht="15" customHeight="1" x14ac:dyDescent="0.25">
      <c r="A270" s="9" t="str">
        <f t="shared" si="24"/>
        <v/>
      </c>
      <c r="B270" s="52"/>
      <c r="C270" s="52"/>
      <c r="D270" s="53"/>
      <c r="E270" s="53"/>
      <c r="F270" s="53"/>
      <c r="G270" s="53"/>
      <c r="H270" s="53"/>
      <c r="I270" s="54" t="str">
        <f>IFERROR(INDEX('Description Library'!$C$6:$C$808,MATCH($E270&amp;"|"&amp;$F270&amp;"|"&amp;$G270&amp;"|"&amp;$H270,'Description Library'!$K$6:$K$808,0)),"")</f>
        <v/>
      </c>
      <c r="J270" s="9" t="str">
        <f>IFERROR(INDEX('Description Library'!$H$6:$H$808,MATCH($E270&amp;"|"&amp;$F270&amp;"|"&amp;$G270&amp;"|"&amp;$H270,'Description Library'!$K$6:$K$808,0)),"")</f>
        <v/>
      </c>
      <c r="K270" s="55"/>
      <c r="L270" s="56">
        <f>IFERROR(INDEX('Price List Library'!$K$6:$K$437,MATCH(TRIM($H270)&amp;"|"&amp;TRIM($J270),'Price List Library'!$S$6:$S$437,0)),0)</f>
        <v>0</v>
      </c>
      <c r="M270" s="56">
        <f>IFERROR(INDEX('Price List Library'!$N$6:$N$437,MATCH(TRIM($H270)&amp;"|"&amp;TRIM($J270),'Price List Library'!$S$6:$S$437,0)),0)</f>
        <v>0</v>
      </c>
      <c r="N270" s="27">
        <f t="shared" si="25"/>
        <v>0</v>
      </c>
      <c r="O270" s="27" t="str">
        <f t="shared" si="26"/>
        <v/>
      </c>
      <c r="P270" s="9" t="str">
        <f>IFERROR(INDEX('Price List Library'!$P$6:$P$437,MATCH(TRIM($H270)&amp;"|"&amp;TRIM($J270),'Price List Library'!$S$6:$S$437,0)),"")</f>
        <v/>
      </c>
      <c r="Q270" s="53"/>
      <c r="R270" s="29" t="str">
        <f t="shared" si="27"/>
        <v>_NONE</v>
      </c>
      <c r="S270" s="29" t="str">
        <f t="shared" si="28"/>
        <v>_NONE</v>
      </c>
      <c r="T270" s="29" t="str">
        <f t="shared" si="29"/>
        <v>_NONE</v>
      </c>
    </row>
    <row r="271" spans="1:20" ht="15" customHeight="1" x14ac:dyDescent="0.25">
      <c r="A271" s="9" t="str">
        <f t="shared" si="24"/>
        <v/>
      </c>
      <c r="B271" s="52"/>
      <c r="C271" s="52"/>
      <c r="D271" s="53"/>
      <c r="E271" s="53"/>
      <c r="F271" s="53"/>
      <c r="G271" s="53"/>
      <c r="H271" s="53"/>
      <c r="I271" s="54" t="str">
        <f>IFERROR(INDEX('Description Library'!$C$6:$C$808,MATCH($E271&amp;"|"&amp;$F271&amp;"|"&amp;$G271&amp;"|"&amp;$H271,'Description Library'!$K$6:$K$808,0)),"")</f>
        <v/>
      </c>
      <c r="J271" s="9" t="str">
        <f>IFERROR(INDEX('Description Library'!$H$6:$H$808,MATCH($E271&amp;"|"&amp;$F271&amp;"|"&amp;$G271&amp;"|"&amp;$H271,'Description Library'!$K$6:$K$808,0)),"")</f>
        <v/>
      </c>
      <c r="K271" s="55"/>
      <c r="L271" s="56">
        <f>IFERROR(INDEX('Price List Library'!$K$6:$K$437,MATCH(TRIM($H271)&amp;"|"&amp;TRIM($J271),'Price List Library'!$S$6:$S$437,0)),0)</f>
        <v>0</v>
      </c>
      <c r="M271" s="56">
        <f>IFERROR(INDEX('Price List Library'!$N$6:$N$437,MATCH(TRIM($H271)&amp;"|"&amp;TRIM($J271),'Price List Library'!$S$6:$S$437,0)),0)</f>
        <v>0</v>
      </c>
      <c r="N271" s="27">
        <f t="shared" si="25"/>
        <v>0</v>
      </c>
      <c r="O271" s="27" t="str">
        <f t="shared" si="26"/>
        <v/>
      </c>
      <c r="P271" s="9" t="str">
        <f>IFERROR(INDEX('Price List Library'!$P$6:$P$437,MATCH(TRIM($H271)&amp;"|"&amp;TRIM($J271),'Price List Library'!$S$6:$S$437,0)),"")</f>
        <v/>
      </c>
      <c r="Q271" s="53"/>
      <c r="R271" s="29" t="str">
        <f t="shared" si="27"/>
        <v>_NONE</v>
      </c>
      <c r="S271" s="29" t="str">
        <f t="shared" si="28"/>
        <v>_NONE</v>
      </c>
      <c r="T271" s="29" t="str">
        <f t="shared" si="29"/>
        <v>_NONE</v>
      </c>
    </row>
    <row r="272" spans="1:20" ht="15" customHeight="1" x14ac:dyDescent="0.25">
      <c r="A272" s="9" t="str">
        <f t="shared" si="24"/>
        <v/>
      </c>
      <c r="B272" s="52"/>
      <c r="C272" s="52"/>
      <c r="D272" s="53"/>
      <c r="E272" s="53"/>
      <c r="F272" s="53"/>
      <c r="G272" s="53"/>
      <c r="H272" s="53"/>
      <c r="I272" s="54" t="str">
        <f>IFERROR(INDEX('Description Library'!$C$6:$C$808,MATCH($E272&amp;"|"&amp;$F272&amp;"|"&amp;$G272&amp;"|"&amp;$H272,'Description Library'!$K$6:$K$808,0)),"")</f>
        <v/>
      </c>
      <c r="J272" s="9" t="str">
        <f>IFERROR(INDEX('Description Library'!$H$6:$H$808,MATCH($E272&amp;"|"&amp;$F272&amp;"|"&amp;$G272&amp;"|"&amp;$H272,'Description Library'!$K$6:$K$808,0)),"")</f>
        <v/>
      </c>
      <c r="K272" s="55"/>
      <c r="L272" s="56">
        <f>IFERROR(INDEX('Price List Library'!$K$6:$K$437,MATCH(TRIM($H272)&amp;"|"&amp;TRIM($J272),'Price List Library'!$S$6:$S$437,0)),0)</f>
        <v>0</v>
      </c>
      <c r="M272" s="56">
        <f>IFERROR(INDEX('Price List Library'!$N$6:$N$437,MATCH(TRIM($H272)&amp;"|"&amp;TRIM($J272),'Price List Library'!$S$6:$S$437,0)),0)</f>
        <v>0</v>
      </c>
      <c r="N272" s="27">
        <f t="shared" si="25"/>
        <v>0</v>
      </c>
      <c r="O272" s="27" t="str">
        <f t="shared" si="26"/>
        <v/>
      </c>
      <c r="P272" s="9" t="str">
        <f>IFERROR(INDEX('Price List Library'!$P$6:$P$437,MATCH(TRIM($H272)&amp;"|"&amp;TRIM($J272),'Price List Library'!$S$6:$S$437,0)),"")</f>
        <v/>
      </c>
      <c r="Q272" s="53"/>
      <c r="R272" s="29" t="str">
        <f t="shared" si="27"/>
        <v>_NONE</v>
      </c>
      <c r="S272" s="29" t="str">
        <f t="shared" si="28"/>
        <v>_NONE</v>
      </c>
      <c r="T272" s="29" t="str">
        <f t="shared" si="29"/>
        <v>_NONE</v>
      </c>
    </row>
    <row r="273" spans="1:20" ht="15" customHeight="1" x14ac:dyDescent="0.25">
      <c r="A273" s="9" t="str">
        <f t="shared" si="24"/>
        <v/>
      </c>
      <c r="B273" s="52"/>
      <c r="C273" s="52"/>
      <c r="D273" s="53"/>
      <c r="E273" s="53"/>
      <c r="F273" s="53"/>
      <c r="G273" s="53"/>
      <c r="H273" s="53"/>
      <c r="I273" s="54" t="str">
        <f>IFERROR(INDEX('Description Library'!$C$6:$C$808,MATCH($E273&amp;"|"&amp;$F273&amp;"|"&amp;$G273&amp;"|"&amp;$H273,'Description Library'!$K$6:$K$808,0)),"")</f>
        <v/>
      </c>
      <c r="J273" s="9" t="str">
        <f>IFERROR(INDEX('Description Library'!$H$6:$H$808,MATCH($E273&amp;"|"&amp;$F273&amp;"|"&amp;$G273&amp;"|"&amp;$H273,'Description Library'!$K$6:$K$808,0)),"")</f>
        <v/>
      </c>
      <c r="K273" s="55"/>
      <c r="L273" s="56">
        <f>IFERROR(INDEX('Price List Library'!$K$6:$K$437,MATCH(TRIM($H273)&amp;"|"&amp;TRIM($J273),'Price List Library'!$S$6:$S$437,0)),0)</f>
        <v>0</v>
      </c>
      <c r="M273" s="56">
        <f>IFERROR(INDEX('Price List Library'!$N$6:$N$437,MATCH(TRIM($H273)&amp;"|"&amp;TRIM($J273),'Price List Library'!$S$6:$S$437,0)),0)</f>
        <v>0</v>
      </c>
      <c r="N273" s="27">
        <f t="shared" si="25"/>
        <v>0</v>
      </c>
      <c r="O273" s="27" t="str">
        <f t="shared" si="26"/>
        <v/>
      </c>
      <c r="P273" s="9" t="str">
        <f>IFERROR(INDEX('Price List Library'!$P$6:$P$437,MATCH(TRIM($H273)&amp;"|"&amp;TRIM($J273),'Price List Library'!$S$6:$S$437,0)),"")</f>
        <v/>
      </c>
      <c r="Q273" s="53"/>
      <c r="R273" s="29" t="str">
        <f t="shared" si="27"/>
        <v>_NONE</v>
      </c>
      <c r="S273" s="29" t="str">
        <f t="shared" si="28"/>
        <v>_NONE</v>
      </c>
      <c r="T273" s="29" t="str">
        <f t="shared" si="29"/>
        <v>_NONE</v>
      </c>
    </row>
    <row r="274" spans="1:20" ht="15" customHeight="1" x14ac:dyDescent="0.25">
      <c r="A274" s="9" t="str">
        <f t="shared" si="24"/>
        <v/>
      </c>
      <c r="B274" s="52"/>
      <c r="C274" s="52"/>
      <c r="D274" s="53"/>
      <c r="E274" s="53"/>
      <c r="F274" s="53"/>
      <c r="G274" s="53"/>
      <c r="H274" s="53"/>
      <c r="I274" s="54" t="str">
        <f>IFERROR(INDEX('Description Library'!$C$6:$C$808,MATCH($E274&amp;"|"&amp;$F274&amp;"|"&amp;$G274&amp;"|"&amp;$H274,'Description Library'!$K$6:$K$808,0)),"")</f>
        <v/>
      </c>
      <c r="J274" s="9" t="str">
        <f>IFERROR(INDEX('Description Library'!$H$6:$H$808,MATCH($E274&amp;"|"&amp;$F274&amp;"|"&amp;$G274&amp;"|"&amp;$H274,'Description Library'!$K$6:$K$808,0)),"")</f>
        <v/>
      </c>
      <c r="K274" s="55"/>
      <c r="L274" s="56">
        <f>IFERROR(INDEX('Price List Library'!$K$6:$K$437,MATCH(TRIM($H274)&amp;"|"&amp;TRIM($J274),'Price List Library'!$S$6:$S$437,0)),0)</f>
        <v>0</v>
      </c>
      <c r="M274" s="56">
        <f>IFERROR(INDEX('Price List Library'!$N$6:$N$437,MATCH(TRIM($H274)&amp;"|"&amp;TRIM($J274),'Price List Library'!$S$6:$S$437,0)),0)</f>
        <v>0</v>
      </c>
      <c r="N274" s="27">
        <f t="shared" si="25"/>
        <v>0</v>
      </c>
      <c r="O274" s="27" t="str">
        <f t="shared" si="26"/>
        <v/>
      </c>
      <c r="P274" s="9" t="str">
        <f>IFERROR(INDEX('Price List Library'!$P$6:$P$437,MATCH(TRIM($H274)&amp;"|"&amp;TRIM($J274),'Price List Library'!$S$6:$S$437,0)),"")</f>
        <v/>
      </c>
      <c r="Q274" s="53"/>
      <c r="R274" s="29" t="str">
        <f t="shared" si="27"/>
        <v>_NONE</v>
      </c>
      <c r="S274" s="29" t="str">
        <f t="shared" si="28"/>
        <v>_NONE</v>
      </c>
      <c r="T274" s="29" t="str">
        <f t="shared" si="29"/>
        <v>_NONE</v>
      </c>
    </row>
    <row r="275" spans="1:20" ht="15" customHeight="1" x14ac:dyDescent="0.25">
      <c r="A275" s="9" t="str">
        <f t="shared" si="24"/>
        <v/>
      </c>
      <c r="B275" s="52"/>
      <c r="C275" s="52"/>
      <c r="D275" s="53"/>
      <c r="E275" s="53"/>
      <c r="F275" s="53"/>
      <c r="G275" s="53"/>
      <c r="H275" s="53"/>
      <c r="I275" s="54" t="str">
        <f>IFERROR(INDEX('Description Library'!$C$6:$C$808,MATCH($E275&amp;"|"&amp;$F275&amp;"|"&amp;$G275&amp;"|"&amp;$H275,'Description Library'!$K$6:$K$808,0)),"")</f>
        <v/>
      </c>
      <c r="J275" s="9" t="str">
        <f>IFERROR(INDEX('Description Library'!$H$6:$H$808,MATCH($E275&amp;"|"&amp;$F275&amp;"|"&amp;$G275&amp;"|"&amp;$H275,'Description Library'!$K$6:$K$808,0)),"")</f>
        <v/>
      </c>
      <c r="K275" s="55"/>
      <c r="L275" s="56">
        <f>IFERROR(INDEX('Price List Library'!$K$6:$K$437,MATCH(TRIM($H275)&amp;"|"&amp;TRIM($J275),'Price List Library'!$S$6:$S$437,0)),0)</f>
        <v>0</v>
      </c>
      <c r="M275" s="56">
        <f>IFERROR(INDEX('Price List Library'!$N$6:$N$437,MATCH(TRIM($H275)&amp;"|"&amp;TRIM($J275),'Price List Library'!$S$6:$S$437,0)),0)</f>
        <v>0</v>
      </c>
      <c r="N275" s="27">
        <f t="shared" si="25"/>
        <v>0</v>
      </c>
      <c r="O275" s="27" t="str">
        <f t="shared" si="26"/>
        <v/>
      </c>
      <c r="P275" s="9" t="str">
        <f>IFERROR(INDEX('Price List Library'!$P$6:$P$437,MATCH(TRIM($H275)&amp;"|"&amp;TRIM($J275),'Price List Library'!$S$6:$S$437,0)),"")</f>
        <v/>
      </c>
      <c r="Q275" s="53"/>
      <c r="R275" s="29" t="str">
        <f t="shared" si="27"/>
        <v>_NONE</v>
      </c>
      <c r="S275" s="29" t="str">
        <f t="shared" si="28"/>
        <v>_NONE</v>
      </c>
      <c r="T275" s="29" t="str">
        <f t="shared" si="29"/>
        <v>_NONE</v>
      </c>
    </row>
    <row r="276" spans="1:20" ht="15" customHeight="1" x14ac:dyDescent="0.25">
      <c r="A276" s="9" t="str">
        <f t="shared" si="24"/>
        <v/>
      </c>
      <c r="B276" s="52"/>
      <c r="C276" s="52"/>
      <c r="D276" s="53"/>
      <c r="E276" s="53"/>
      <c r="F276" s="53"/>
      <c r="G276" s="53"/>
      <c r="H276" s="53"/>
      <c r="I276" s="54" t="str">
        <f>IFERROR(INDEX('Description Library'!$C$6:$C$808,MATCH($E276&amp;"|"&amp;$F276&amp;"|"&amp;$G276&amp;"|"&amp;$H276,'Description Library'!$K$6:$K$808,0)),"")</f>
        <v/>
      </c>
      <c r="J276" s="9" t="str">
        <f>IFERROR(INDEX('Description Library'!$H$6:$H$808,MATCH($E276&amp;"|"&amp;$F276&amp;"|"&amp;$G276&amp;"|"&amp;$H276,'Description Library'!$K$6:$K$808,0)),"")</f>
        <v/>
      </c>
      <c r="K276" s="55"/>
      <c r="L276" s="56">
        <f>IFERROR(INDEX('Price List Library'!$K$6:$K$437,MATCH(TRIM($H276)&amp;"|"&amp;TRIM($J276),'Price List Library'!$S$6:$S$437,0)),0)</f>
        <v>0</v>
      </c>
      <c r="M276" s="56">
        <f>IFERROR(INDEX('Price List Library'!$N$6:$N$437,MATCH(TRIM($H276)&amp;"|"&amp;TRIM($J276),'Price List Library'!$S$6:$S$437,0)),0)</f>
        <v>0</v>
      </c>
      <c r="N276" s="27">
        <f t="shared" si="25"/>
        <v>0</v>
      </c>
      <c r="O276" s="27" t="str">
        <f t="shared" si="26"/>
        <v/>
      </c>
      <c r="P276" s="9" t="str">
        <f>IFERROR(INDEX('Price List Library'!$P$6:$P$437,MATCH(TRIM($H276)&amp;"|"&amp;TRIM($J276),'Price List Library'!$S$6:$S$437,0)),"")</f>
        <v/>
      </c>
      <c r="Q276" s="53"/>
      <c r="R276" s="29" t="str">
        <f t="shared" si="27"/>
        <v>_NONE</v>
      </c>
      <c r="S276" s="29" t="str">
        <f t="shared" si="28"/>
        <v>_NONE</v>
      </c>
      <c r="T276" s="29" t="str">
        <f t="shared" si="29"/>
        <v>_NONE</v>
      </c>
    </row>
    <row r="277" spans="1:20" ht="15" customHeight="1" x14ac:dyDescent="0.25">
      <c r="A277" s="9" t="str">
        <f t="shared" si="24"/>
        <v/>
      </c>
      <c r="B277" s="52"/>
      <c r="C277" s="52"/>
      <c r="D277" s="53"/>
      <c r="E277" s="53"/>
      <c r="F277" s="53"/>
      <c r="G277" s="53"/>
      <c r="H277" s="53"/>
      <c r="I277" s="54" t="str">
        <f>IFERROR(INDEX('Description Library'!$C$6:$C$808,MATCH($E277&amp;"|"&amp;$F277&amp;"|"&amp;$G277&amp;"|"&amp;$H277,'Description Library'!$K$6:$K$808,0)),"")</f>
        <v/>
      </c>
      <c r="J277" s="9" t="str">
        <f>IFERROR(INDEX('Description Library'!$H$6:$H$808,MATCH($E277&amp;"|"&amp;$F277&amp;"|"&amp;$G277&amp;"|"&amp;$H277,'Description Library'!$K$6:$K$808,0)),"")</f>
        <v/>
      </c>
      <c r="K277" s="55"/>
      <c r="L277" s="56">
        <f>IFERROR(INDEX('Price List Library'!$K$6:$K$437,MATCH(TRIM($H277)&amp;"|"&amp;TRIM($J277),'Price List Library'!$S$6:$S$437,0)),0)</f>
        <v>0</v>
      </c>
      <c r="M277" s="56">
        <f>IFERROR(INDEX('Price List Library'!$N$6:$N$437,MATCH(TRIM($H277)&amp;"|"&amp;TRIM($J277),'Price List Library'!$S$6:$S$437,0)),0)</f>
        <v>0</v>
      </c>
      <c r="N277" s="27">
        <f t="shared" si="25"/>
        <v>0</v>
      </c>
      <c r="O277" s="27" t="str">
        <f t="shared" si="26"/>
        <v/>
      </c>
      <c r="P277" s="9" t="str">
        <f>IFERROR(INDEX('Price List Library'!$P$6:$P$437,MATCH(TRIM($H277)&amp;"|"&amp;TRIM($J277),'Price List Library'!$S$6:$S$437,0)),"")</f>
        <v/>
      </c>
      <c r="Q277" s="53"/>
      <c r="R277" s="29" t="str">
        <f t="shared" si="27"/>
        <v>_NONE</v>
      </c>
      <c r="S277" s="29" t="str">
        <f t="shared" si="28"/>
        <v>_NONE</v>
      </c>
      <c r="T277" s="29" t="str">
        <f t="shared" si="29"/>
        <v>_NONE</v>
      </c>
    </row>
    <row r="278" spans="1:20" ht="15" customHeight="1" x14ac:dyDescent="0.25">
      <c r="A278" s="9" t="str">
        <f t="shared" si="24"/>
        <v/>
      </c>
      <c r="B278" s="52"/>
      <c r="C278" s="52"/>
      <c r="D278" s="53"/>
      <c r="E278" s="53"/>
      <c r="F278" s="53"/>
      <c r="G278" s="53"/>
      <c r="H278" s="53"/>
      <c r="I278" s="54" t="str">
        <f>IFERROR(INDEX('Description Library'!$C$6:$C$808,MATCH($E278&amp;"|"&amp;$F278&amp;"|"&amp;$G278&amp;"|"&amp;$H278,'Description Library'!$K$6:$K$808,0)),"")</f>
        <v/>
      </c>
      <c r="J278" s="9" t="str">
        <f>IFERROR(INDEX('Description Library'!$H$6:$H$808,MATCH($E278&amp;"|"&amp;$F278&amp;"|"&amp;$G278&amp;"|"&amp;$H278,'Description Library'!$K$6:$K$808,0)),"")</f>
        <v/>
      </c>
      <c r="K278" s="55"/>
      <c r="L278" s="56">
        <f>IFERROR(INDEX('Price List Library'!$K$6:$K$437,MATCH(TRIM($H278)&amp;"|"&amp;TRIM($J278),'Price List Library'!$S$6:$S$437,0)),0)</f>
        <v>0</v>
      </c>
      <c r="M278" s="56">
        <f>IFERROR(INDEX('Price List Library'!$N$6:$N$437,MATCH(TRIM($H278)&amp;"|"&amp;TRIM($J278),'Price List Library'!$S$6:$S$437,0)),0)</f>
        <v>0</v>
      </c>
      <c r="N278" s="27">
        <f t="shared" si="25"/>
        <v>0</v>
      </c>
      <c r="O278" s="27" t="str">
        <f t="shared" si="26"/>
        <v/>
      </c>
      <c r="P278" s="9" t="str">
        <f>IFERROR(INDEX('Price List Library'!$P$6:$P$437,MATCH(TRIM($H278)&amp;"|"&amp;TRIM($J278),'Price List Library'!$S$6:$S$437,0)),"")</f>
        <v/>
      </c>
      <c r="Q278" s="53"/>
      <c r="R278" s="29" t="str">
        <f t="shared" si="27"/>
        <v>_NONE</v>
      </c>
      <c r="S278" s="29" t="str">
        <f t="shared" si="28"/>
        <v>_NONE</v>
      </c>
      <c r="T278" s="29" t="str">
        <f t="shared" si="29"/>
        <v>_NONE</v>
      </c>
    </row>
    <row r="279" spans="1:20" ht="15" customHeight="1" x14ac:dyDescent="0.25">
      <c r="A279" s="9" t="str">
        <f t="shared" si="24"/>
        <v/>
      </c>
      <c r="B279" s="52"/>
      <c r="C279" s="52"/>
      <c r="D279" s="53"/>
      <c r="E279" s="53"/>
      <c r="F279" s="53"/>
      <c r="G279" s="53"/>
      <c r="H279" s="53"/>
      <c r="I279" s="54" t="str">
        <f>IFERROR(INDEX('Description Library'!$C$6:$C$808,MATCH($E279&amp;"|"&amp;$F279&amp;"|"&amp;$G279&amp;"|"&amp;$H279,'Description Library'!$K$6:$K$808,0)),"")</f>
        <v/>
      </c>
      <c r="J279" s="9" t="str">
        <f>IFERROR(INDEX('Description Library'!$H$6:$H$808,MATCH($E279&amp;"|"&amp;$F279&amp;"|"&amp;$G279&amp;"|"&amp;$H279,'Description Library'!$K$6:$K$808,0)),"")</f>
        <v/>
      </c>
      <c r="K279" s="55"/>
      <c r="L279" s="56">
        <f>IFERROR(INDEX('Price List Library'!$K$6:$K$437,MATCH(TRIM($H279)&amp;"|"&amp;TRIM($J279),'Price List Library'!$S$6:$S$437,0)),0)</f>
        <v>0</v>
      </c>
      <c r="M279" s="56">
        <f>IFERROR(INDEX('Price List Library'!$N$6:$N$437,MATCH(TRIM($H279)&amp;"|"&amp;TRIM($J279),'Price List Library'!$S$6:$S$437,0)),0)</f>
        <v>0</v>
      </c>
      <c r="N279" s="27">
        <f t="shared" si="25"/>
        <v>0</v>
      </c>
      <c r="O279" s="27" t="str">
        <f t="shared" si="26"/>
        <v/>
      </c>
      <c r="P279" s="9" t="str">
        <f>IFERROR(INDEX('Price List Library'!$P$6:$P$437,MATCH(TRIM($H279)&amp;"|"&amp;TRIM($J279),'Price List Library'!$S$6:$S$437,0)),"")</f>
        <v/>
      </c>
      <c r="Q279" s="53"/>
      <c r="R279" s="29" t="str">
        <f t="shared" si="27"/>
        <v>_NONE</v>
      </c>
      <c r="S279" s="29" t="str">
        <f t="shared" si="28"/>
        <v>_NONE</v>
      </c>
      <c r="T279" s="29" t="str">
        <f t="shared" si="29"/>
        <v>_NONE</v>
      </c>
    </row>
    <row r="280" spans="1:20" ht="15" customHeight="1" x14ac:dyDescent="0.25">
      <c r="A280" s="9" t="str">
        <f t="shared" si="24"/>
        <v/>
      </c>
      <c r="B280" s="52"/>
      <c r="C280" s="52"/>
      <c r="D280" s="53"/>
      <c r="E280" s="53"/>
      <c r="F280" s="53"/>
      <c r="G280" s="53"/>
      <c r="H280" s="53"/>
      <c r="I280" s="54" t="str">
        <f>IFERROR(INDEX('Description Library'!$C$6:$C$808,MATCH($E280&amp;"|"&amp;$F280&amp;"|"&amp;$G280&amp;"|"&amp;$H280,'Description Library'!$K$6:$K$808,0)),"")</f>
        <v/>
      </c>
      <c r="J280" s="9" t="str">
        <f>IFERROR(INDEX('Description Library'!$H$6:$H$808,MATCH($E280&amp;"|"&amp;$F280&amp;"|"&amp;$G280&amp;"|"&amp;$H280,'Description Library'!$K$6:$K$808,0)),"")</f>
        <v/>
      </c>
      <c r="K280" s="55"/>
      <c r="L280" s="56">
        <f>IFERROR(INDEX('Price List Library'!$K$6:$K$437,MATCH(TRIM($H280)&amp;"|"&amp;TRIM($J280),'Price List Library'!$S$6:$S$437,0)),0)</f>
        <v>0</v>
      </c>
      <c r="M280" s="56">
        <f>IFERROR(INDEX('Price List Library'!$N$6:$N$437,MATCH(TRIM($H280)&amp;"|"&amp;TRIM($J280),'Price List Library'!$S$6:$S$437,0)),0)</f>
        <v>0</v>
      </c>
      <c r="N280" s="27">
        <f t="shared" si="25"/>
        <v>0</v>
      </c>
      <c r="O280" s="27" t="str">
        <f t="shared" si="26"/>
        <v/>
      </c>
      <c r="P280" s="9" t="str">
        <f>IFERROR(INDEX('Price List Library'!$P$6:$P$437,MATCH(TRIM($H280)&amp;"|"&amp;TRIM($J280),'Price List Library'!$S$6:$S$437,0)),"")</f>
        <v/>
      </c>
      <c r="Q280" s="53"/>
      <c r="R280" s="29" t="str">
        <f t="shared" si="27"/>
        <v>_NONE</v>
      </c>
      <c r="S280" s="29" t="str">
        <f t="shared" si="28"/>
        <v>_NONE</v>
      </c>
      <c r="T280" s="29" t="str">
        <f t="shared" si="29"/>
        <v>_NONE</v>
      </c>
    </row>
    <row r="281" spans="1:20" ht="15" customHeight="1" x14ac:dyDescent="0.25">
      <c r="A281" s="9" t="str">
        <f t="shared" si="24"/>
        <v/>
      </c>
      <c r="B281" s="52"/>
      <c r="C281" s="52"/>
      <c r="D281" s="53"/>
      <c r="E281" s="53"/>
      <c r="F281" s="53"/>
      <c r="G281" s="53"/>
      <c r="H281" s="53"/>
      <c r="I281" s="54" t="str">
        <f>IFERROR(INDEX('Description Library'!$C$6:$C$808,MATCH($E281&amp;"|"&amp;$F281&amp;"|"&amp;$G281&amp;"|"&amp;$H281,'Description Library'!$K$6:$K$808,0)),"")</f>
        <v/>
      </c>
      <c r="J281" s="9" t="str">
        <f>IFERROR(INDEX('Description Library'!$H$6:$H$808,MATCH($E281&amp;"|"&amp;$F281&amp;"|"&amp;$G281&amp;"|"&amp;$H281,'Description Library'!$K$6:$K$808,0)),"")</f>
        <v/>
      </c>
      <c r="K281" s="55"/>
      <c r="L281" s="56">
        <f>IFERROR(INDEX('Price List Library'!$K$6:$K$437,MATCH(TRIM($H281)&amp;"|"&amp;TRIM($J281),'Price List Library'!$S$6:$S$437,0)),0)</f>
        <v>0</v>
      </c>
      <c r="M281" s="56">
        <f>IFERROR(INDEX('Price List Library'!$N$6:$N$437,MATCH(TRIM($H281)&amp;"|"&amp;TRIM($J281),'Price List Library'!$S$6:$S$437,0)),0)</f>
        <v>0</v>
      </c>
      <c r="N281" s="27">
        <f t="shared" si="25"/>
        <v>0</v>
      </c>
      <c r="O281" s="27" t="str">
        <f t="shared" si="26"/>
        <v/>
      </c>
      <c r="P281" s="9" t="str">
        <f>IFERROR(INDEX('Price List Library'!$P$6:$P$437,MATCH(TRIM($H281)&amp;"|"&amp;TRIM($J281),'Price List Library'!$S$6:$S$437,0)),"")</f>
        <v/>
      </c>
      <c r="Q281" s="53"/>
      <c r="R281" s="29" t="str">
        <f t="shared" si="27"/>
        <v>_NONE</v>
      </c>
      <c r="S281" s="29" t="str">
        <f t="shared" si="28"/>
        <v>_NONE</v>
      </c>
      <c r="T281" s="29" t="str">
        <f t="shared" si="29"/>
        <v>_NONE</v>
      </c>
    </row>
    <row r="282" spans="1:20" ht="15" customHeight="1" x14ac:dyDescent="0.25">
      <c r="A282" s="9" t="str">
        <f t="shared" si="24"/>
        <v/>
      </c>
      <c r="B282" s="52"/>
      <c r="C282" s="52"/>
      <c r="D282" s="53"/>
      <c r="E282" s="53"/>
      <c r="F282" s="53"/>
      <c r="G282" s="53"/>
      <c r="H282" s="53"/>
      <c r="I282" s="54" t="str">
        <f>IFERROR(INDEX('Description Library'!$C$6:$C$808,MATCH($E282&amp;"|"&amp;$F282&amp;"|"&amp;$G282&amp;"|"&amp;$H282,'Description Library'!$K$6:$K$808,0)),"")</f>
        <v/>
      </c>
      <c r="J282" s="9" t="str">
        <f>IFERROR(INDEX('Description Library'!$H$6:$H$808,MATCH($E282&amp;"|"&amp;$F282&amp;"|"&amp;$G282&amp;"|"&amp;$H282,'Description Library'!$K$6:$K$808,0)),"")</f>
        <v/>
      </c>
      <c r="K282" s="55"/>
      <c r="L282" s="56">
        <f>IFERROR(INDEX('Price List Library'!$K$6:$K$437,MATCH(TRIM($H282)&amp;"|"&amp;TRIM($J282),'Price List Library'!$S$6:$S$437,0)),0)</f>
        <v>0</v>
      </c>
      <c r="M282" s="56">
        <f>IFERROR(INDEX('Price List Library'!$N$6:$N$437,MATCH(TRIM($H282)&amp;"|"&amp;TRIM($J282),'Price List Library'!$S$6:$S$437,0)),0)</f>
        <v>0</v>
      </c>
      <c r="N282" s="27">
        <f t="shared" si="25"/>
        <v>0</v>
      </c>
      <c r="O282" s="27" t="str">
        <f t="shared" si="26"/>
        <v/>
      </c>
      <c r="P282" s="9" t="str">
        <f>IFERROR(INDEX('Price List Library'!$P$6:$P$437,MATCH(TRIM($H282)&amp;"|"&amp;TRIM($J282),'Price List Library'!$S$6:$S$437,0)),"")</f>
        <v/>
      </c>
      <c r="Q282" s="53"/>
      <c r="R282" s="29" t="str">
        <f t="shared" si="27"/>
        <v>_NONE</v>
      </c>
      <c r="S282" s="29" t="str">
        <f t="shared" si="28"/>
        <v>_NONE</v>
      </c>
      <c r="T282" s="29" t="str">
        <f t="shared" si="29"/>
        <v>_NONE</v>
      </c>
    </row>
    <row r="283" spans="1:20" ht="15" customHeight="1" x14ac:dyDescent="0.25">
      <c r="A283" s="9" t="str">
        <f t="shared" si="24"/>
        <v/>
      </c>
      <c r="B283" s="52"/>
      <c r="C283" s="52"/>
      <c r="D283" s="53"/>
      <c r="E283" s="53"/>
      <c r="F283" s="53"/>
      <c r="G283" s="53"/>
      <c r="H283" s="53"/>
      <c r="I283" s="54" t="str">
        <f>IFERROR(INDEX('Description Library'!$C$6:$C$808,MATCH($E283&amp;"|"&amp;$F283&amp;"|"&amp;$G283&amp;"|"&amp;$H283,'Description Library'!$K$6:$K$808,0)),"")</f>
        <v/>
      </c>
      <c r="J283" s="9" t="str">
        <f>IFERROR(INDEX('Description Library'!$H$6:$H$808,MATCH($E283&amp;"|"&amp;$F283&amp;"|"&amp;$G283&amp;"|"&amp;$H283,'Description Library'!$K$6:$K$808,0)),"")</f>
        <v/>
      </c>
      <c r="K283" s="55"/>
      <c r="L283" s="56">
        <f>IFERROR(INDEX('Price List Library'!$K$6:$K$437,MATCH(TRIM($H283)&amp;"|"&amp;TRIM($J283),'Price List Library'!$S$6:$S$437,0)),0)</f>
        <v>0</v>
      </c>
      <c r="M283" s="56">
        <f>IFERROR(INDEX('Price List Library'!$N$6:$N$437,MATCH(TRIM($H283)&amp;"|"&amp;TRIM($J283),'Price List Library'!$S$6:$S$437,0)),0)</f>
        <v>0</v>
      </c>
      <c r="N283" s="27">
        <f t="shared" si="25"/>
        <v>0</v>
      </c>
      <c r="O283" s="27" t="str">
        <f t="shared" si="26"/>
        <v/>
      </c>
      <c r="P283" s="9" t="str">
        <f>IFERROR(INDEX('Price List Library'!$P$6:$P$437,MATCH(TRIM($H283)&amp;"|"&amp;TRIM($J283),'Price List Library'!$S$6:$S$437,0)),"")</f>
        <v/>
      </c>
      <c r="Q283" s="53"/>
      <c r="R283" s="29" t="str">
        <f t="shared" si="27"/>
        <v>_NONE</v>
      </c>
      <c r="S283" s="29" t="str">
        <f t="shared" si="28"/>
        <v>_NONE</v>
      </c>
      <c r="T283" s="29" t="str">
        <f t="shared" si="29"/>
        <v>_NONE</v>
      </c>
    </row>
    <row r="284" spans="1:20" ht="15" customHeight="1" x14ac:dyDescent="0.25">
      <c r="A284" s="9" t="str">
        <f t="shared" si="24"/>
        <v/>
      </c>
      <c r="B284" s="52"/>
      <c r="C284" s="52"/>
      <c r="D284" s="53"/>
      <c r="E284" s="53"/>
      <c r="F284" s="53"/>
      <c r="G284" s="53"/>
      <c r="H284" s="53"/>
      <c r="I284" s="54" t="str">
        <f>IFERROR(INDEX('Description Library'!$C$6:$C$808,MATCH($E284&amp;"|"&amp;$F284&amp;"|"&amp;$G284&amp;"|"&amp;$H284,'Description Library'!$K$6:$K$808,0)),"")</f>
        <v/>
      </c>
      <c r="J284" s="9" t="str">
        <f>IFERROR(INDEX('Description Library'!$H$6:$H$808,MATCH($E284&amp;"|"&amp;$F284&amp;"|"&amp;$G284&amp;"|"&amp;$H284,'Description Library'!$K$6:$K$808,0)),"")</f>
        <v/>
      </c>
      <c r="K284" s="55"/>
      <c r="L284" s="56">
        <f>IFERROR(INDEX('Price List Library'!$K$6:$K$437,MATCH(TRIM($H284)&amp;"|"&amp;TRIM($J284),'Price List Library'!$S$6:$S$437,0)),0)</f>
        <v>0</v>
      </c>
      <c r="M284" s="56">
        <f>IFERROR(INDEX('Price List Library'!$N$6:$N$437,MATCH(TRIM($H284)&amp;"|"&amp;TRIM($J284),'Price List Library'!$S$6:$S$437,0)),0)</f>
        <v>0</v>
      </c>
      <c r="N284" s="27">
        <f t="shared" si="25"/>
        <v>0</v>
      </c>
      <c r="O284" s="27" t="str">
        <f t="shared" si="26"/>
        <v/>
      </c>
      <c r="P284" s="9" t="str">
        <f>IFERROR(INDEX('Price List Library'!$P$6:$P$437,MATCH(TRIM($H284)&amp;"|"&amp;TRIM($J284),'Price List Library'!$S$6:$S$437,0)),"")</f>
        <v/>
      </c>
      <c r="Q284" s="53"/>
      <c r="R284" s="29" t="str">
        <f t="shared" si="27"/>
        <v>_NONE</v>
      </c>
      <c r="S284" s="29" t="str">
        <f t="shared" si="28"/>
        <v>_NONE</v>
      </c>
      <c r="T284" s="29" t="str">
        <f t="shared" si="29"/>
        <v>_NONE</v>
      </c>
    </row>
    <row r="285" spans="1:20" ht="15" customHeight="1" x14ac:dyDescent="0.25">
      <c r="A285" s="9" t="str">
        <f t="shared" si="24"/>
        <v/>
      </c>
      <c r="B285" s="52"/>
      <c r="C285" s="52"/>
      <c r="D285" s="53"/>
      <c r="E285" s="53"/>
      <c r="F285" s="53"/>
      <c r="G285" s="53"/>
      <c r="H285" s="53"/>
      <c r="I285" s="54" t="str">
        <f>IFERROR(INDEX('Description Library'!$C$6:$C$808,MATCH($E285&amp;"|"&amp;$F285&amp;"|"&amp;$G285&amp;"|"&amp;$H285,'Description Library'!$K$6:$K$808,0)),"")</f>
        <v/>
      </c>
      <c r="J285" s="9" t="str">
        <f>IFERROR(INDEX('Description Library'!$H$6:$H$808,MATCH($E285&amp;"|"&amp;$F285&amp;"|"&amp;$G285&amp;"|"&amp;$H285,'Description Library'!$K$6:$K$808,0)),"")</f>
        <v/>
      </c>
      <c r="K285" s="55"/>
      <c r="L285" s="56">
        <f>IFERROR(INDEX('Price List Library'!$K$6:$K$437,MATCH(TRIM($H285)&amp;"|"&amp;TRIM($J285),'Price List Library'!$S$6:$S$437,0)),0)</f>
        <v>0</v>
      </c>
      <c r="M285" s="56">
        <f>IFERROR(INDEX('Price List Library'!$N$6:$N$437,MATCH(TRIM($H285)&amp;"|"&amp;TRIM($J285),'Price List Library'!$S$6:$S$437,0)),0)</f>
        <v>0</v>
      </c>
      <c r="N285" s="27">
        <f t="shared" si="25"/>
        <v>0</v>
      </c>
      <c r="O285" s="27" t="str">
        <f t="shared" si="26"/>
        <v/>
      </c>
      <c r="P285" s="9" t="str">
        <f>IFERROR(INDEX('Price List Library'!$P$6:$P$437,MATCH(TRIM($H285)&amp;"|"&amp;TRIM($J285),'Price List Library'!$S$6:$S$437,0)),"")</f>
        <v/>
      </c>
      <c r="Q285" s="53"/>
      <c r="R285" s="29" t="str">
        <f t="shared" si="27"/>
        <v>_NONE</v>
      </c>
      <c r="S285" s="29" t="str">
        <f t="shared" si="28"/>
        <v>_NONE</v>
      </c>
      <c r="T285" s="29" t="str">
        <f t="shared" si="29"/>
        <v>_NONE</v>
      </c>
    </row>
    <row r="286" spans="1:20" ht="15" customHeight="1" x14ac:dyDescent="0.25">
      <c r="A286" s="9" t="str">
        <f t="shared" si="24"/>
        <v/>
      </c>
      <c r="B286" s="52"/>
      <c r="C286" s="52"/>
      <c r="D286" s="53"/>
      <c r="E286" s="53"/>
      <c r="F286" s="53"/>
      <c r="G286" s="53"/>
      <c r="H286" s="53"/>
      <c r="I286" s="54" t="str">
        <f>IFERROR(INDEX('Description Library'!$C$6:$C$808,MATCH($E286&amp;"|"&amp;$F286&amp;"|"&amp;$G286&amp;"|"&amp;$H286,'Description Library'!$K$6:$K$808,0)),"")</f>
        <v/>
      </c>
      <c r="J286" s="9" t="str">
        <f>IFERROR(INDEX('Description Library'!$H$6:$H$808,MATCH($E286&amp;"|"&amp;$F286&amp;"|"&amp;$G286&amp;"|"&amp;$H286,'Description Library'!$K$6:$K$808,0)),"")</f>
        <v/>
      </c>
      <c r="K286" s="55"/>
      <c r="L286" s="56">
        <f>IFERROR(INDEX('Price List Library'!$K$6:$K$437,MATCH(TRIM($H286)&amp;"|"&amp;TRIM($J286),'Price List Library'!$S$6:$S$437,0)),0)</f>
        <v>0</v>
      </c>
      <c r="M286" s="56">
        <f>IFERROR(INDEX('Price List Library'!$N$6:$N$437,MATCH(TRIM($H286)&amp;"|"&amp;TRIM($J286),'Price List Library'!$S$6:$S$437,0)),0)</f>
        <v>0</v>
      </c>
      <c r="N286" s="27">
        <f t="shared" si="25"/>
        <v>0</v>
      </c>
      <c r="O286" s="27" t="str">
        <f t="shared" si="26"/>
        <v/>
      </c>
      <c r="P286" s="9" t="str">
        <f>IFERROR(INDEX('Price List Library'!$P$6:$P$437,MATCH(TRIM($H286)&amp;"|"&amp;TRIM($J286),'Price List Library'!$S$6:$S$437,0)),"")</f>
        <v/>
      </c>
      <c r="Q286" s="53"/>
      <c r="R286" s="29" t="str">
        <f t="shared" si="27"/>
        <v>_NONE</v>
      </c>
      <c r="S286" s="29" t="str">
        <f t="shared" si="28"/>
        <v>_NONE</v>
      </c>
      <c r="T286" s="29" t="str">
        <f t="shared" si="29"/>
        <v>_NONE</v>
      </c>
    </row>
    <row r="287" spans="1:20" ht="15" customHeight="1" x14ac:dyDescent="0.25">
      <c r="A287" s="9" t="str">
        <f t="shared" si="24"/>
        <v/>
      </c>
      <c r="B287" s="52"/>
      <c r="C287" s="52"/>
      <c r="D287" s="53"/>
      <c r="E287" s="53"/>
      <c r="F287" s="53"/>
      <c r="G287" s="53"/>
      <c r="H287" s="53"/>
      <c r="I287" s="54" t="str">
        <f>IFERROR(INDEX('Description Library'!$C$6:$C$808,MATCH($E287&amp;"|"&amp;$F287&amp;"|"&amp;$G287&amp;"|"&amp;$H287,'Description Library'!$K$6:$K$808,0)),"")</f>
        <v/>
      </c>
      <c r="J287" s="9" t="str">
        <f>IFERROR(INDEX('Description Library'!$H$6:$H$808,MATCH($E287&amp;"|"&amp;$F287&amp;"|"&amp;$G287&amp;"|"&amp;$H287,'Description Library'!$K$6:$K$808,0)),"")</f>
        <v/>
      </c>
      <c r="K287" s="55"/>
      <c r="L287" s="56">
        <f>IFERROR(INDEX('Price List Library'!$K$6:$K$437,MATCH(TRIM($H287)&amp;"|"&amp;TRIM($J287),'Price List Library'!$S$6:$S$437,0)),0)</f>
        <v>0</v>
      </c>
      <c r="M287" s="56">
        <f>IFERROR(INDEX('Price List Library'!$N$6:$N$437,MATCH(TRIM($H287)&amp;"|"&amp;TRIM($J287),'Price List Library'!$S$6:$S$437,0)),0)</f>
        <v>0</v>
      </c>
      <c r="N287" s="27">
        <f t="shared" si="25"/>
        <v>0</v>
      </c>
      <c r="O287" s="27" t="str">
        <f t="shared" si="26"/>
        <v/>
      </c>
      <c r="P287" s="9" t="str">
        <f>IFERROR(INDEX('Price List Library'!$P$6:$P$437,MATCH(TRIM($H287)&amp;"|"&amp;TRIM($J287),'Price List Library'!$S$6:$S$437,0)),"")</f>
        <v/>
      </c>
      <c r="Q287" s="53"/>
      <c r="R287" s="29" t="str">
        <f t="shared" si="27"/>
        <v>_NONE</v>
      </c>
      <c r="S287" s="29" t="str">
        <f t="shared" si="28"/>
        <v>_NONE</v>
      </c>
      <c r="T287" s="29" t="str">
        <f t="shared" si="29"/>
        <v>_NONE</v>
      </c>
    </row>
    <row r="288" spans="1:20" ht="15" customHeight="1" x14ac:dyDescent="0.25">
      <c r="A288" s="9" t="str">
        <f t="shared" si="24"/>
        <v/>
      </c>
      <c r="B288" s="52"/>
      <c r="C288" s="52"/>
      <c r="D288" s="53"/>
      <c r="E288" s="53"/>
      <c r="F288" s="53"/>
      <c r="G288" s="53"/>
      <c r="H288" s="53"/>
      <c r="I288" s="54" t="str">
        <f>IFERROR(INDEX('Description Library'!$C$6:$C$808,MATCH($E288&amp;"|"&amp;$F288&amp;"|"&amp;$G288&amp;"|"&amp;$H288,'Description Library'!$K$6:$K$808,0)),"")</f>
        <v/>
      </c>
      <c r="J288" s="9" t="str">
        <f>IFERROR(INDEX('Description Library'!$H$6:$H$808,MATCH($E288&amp;"|"&amp;$F288&amp;"|"&amp;$G288&amp;"|"&amp;$H288,'Description Library'!$K$6:$K$808,0)),"")</f>
        <v/>
      </c>
      <c r="K288" s="55"/>
      <c r="L288" s="56">
        <f>IFERROR(INDEX('Price List Library'!$K$6:$K$437,MATCH(TRIM($H288)&amp;"|"&amp;TRIM($J288),'Price List Library'!$S$6:$S$437,0)),0)</f>
        <v>0</v>
      </c>
      <c r="M288" s="56">
        <f>IFERROR(INDEX('Price List Library'!$N$6:$N$437,MATCH(TRIM($H288)&amp;"|"&amp;TRIM($J288),'Price List Library'!$S$6:$S$437,0)),0)</f>
        <v>0</v>
      </c>
      <c r="N288" s="27">
        <f t="shared" si="25"/>
        <v>0</v>
      </c>
      <c r="O288" s="27" t="str">
        <f t="shared" si="26"/>
        <v/>
      </c>
      <c r="P288" s="9" t="str">
        <f>IFERROR(INDEX('Price List Library'!$P$6:$P$437,MATCH(TRIM($H288)&amp;"|"&amp;TRIM($J288),'Price List Library'!$S$6:$S$437,0)),"")</f>
        <v/>
      </c>
      <c r="Q288" s="53"/>
      <c r="R288" s="29" t="str">
        <f t="shared" si="27"/>
        <v>_NONE</v>
      </c>
      <c r="S288" s="29" t="str">
        <f t="shared" si="28"/>
        <v>_NONE</v>
      </c>
      <c r="T288" s="29" t="str">
        <f t="shared" si="29"/>
        <v>_NONE</v>
      </c>
    </row>
    <row r="289" spans="1:20" ht="15" customHeight="1" x14ac:dyDescent="0.25">
      <c r="A289" s="9" t="str">
        <f t="shared" si="24"/>
        <v/>
      </c>
      <c r="B289" s="52"/>
      <c r="C289" s="52"/>
      <c r="D289" s="53"/>
      <c r="E289" s="53"/>
      <c r="F289" s="53"/>
      <c r="G289" s="53"/>
      <c r="H289" s="53"/>
      <c r="I289" s="54" t="str">
        <f>IFERROR(INDEX('Description Library'!$C$6:$C$808,MATCH($E289&amp;"|"&amp;$F289&amp;"|"&amp;$G289&amp;"|"&amp;$H289,'Description Library'!$K$6:$K$808,0)),"")</f>
        <v/>
      </c>
      <c r="J289" s="9" t="str">
        <f>IFERROR(INDEX('Description Library'!$H$6:$H$808,MATCH($E289&amp;"|"&amp;$F289&amp;"|"&amp;$G289&amp;"|"&amp;$H289,'Description Library'!$K$6:$K$808,0)),"")</f>
        <v/>
      </c>
      <c r="K289" s="55"/>
      <c r="L289" s="56">
        <f>IFERROR(INDEX('Price List Library'!$K$6:$K$437,MATCH(TRIM($H289)&amp;"|"&amp;TRIM($J289),'Price List Library'!$S$6:$S$437,0)),0)</f>
        <v>0</v>
      </c>
      <c r="M289" s="56">
        <f>IFERROR(INDEX('Price List Library'!$N$6:$N$437,MATCH(TRIM($H289)&amp;"|"&amp;TRIM($J289),'Price List Library'!$S$6:$S$437,0)),0)</f>
        <v>0</v>
      </c>
      <c r="N289" s="27">
        <f t="shared" si="25"/>
        <v>0</v>
      </c>
      <c r="O289" s="27" t="str">
        <f t="shared" si="26"/>
        <v/>
      </c>
      <c r="P289" s="9" t="str">
        <f>IFERROR(INDEX('Price List Library'!$P$6:$P$437,MATCH(TRIM($H289)&amp;"|"&amp;TRIM($J289),'Price List Library'!$S$6:$S$437,0)),"")</f>
        <v/>
      </c>
      <c r="Q289" s="53"/>
      <c r="R289" s="29" t="str">
        <f t="shared" si="27"/>
        <v>_NONE</v>
      </c>
      <c r="S289" s="29" t="str">
        <f t="shared" si="28"/>
        <v>_NONE</v>
      </c>
      <c r="T289" s="29" t="str">
        <f t="shared" si="29"/>
        <v>_NONE</v>
      </c>
    </row>
    <row r="290" spans="1:20" ht="15" customHeight="1" x14ac:dyDescent="0.25">
      <c r="A290" s="9" t="str">
        <f t="shared" si="24"/>
        <v/>
      </c>
      <c r="B290" s="52"/>
      <c r="C290" s="52"/>
      <c r="D290" s="53"/>
      <c r="E290" s="53"/>
      <c r="F290" s="53"/>
      <c r="G290" s="53"/>
      <c r="H290" s="53"/>
      <c r="I290" s="54" t="str">
        <f>IFERROR(INDEX('Description Library'!$C$6:$C$808,MATCH($E290&amp;"|"&amp;$F290&amp;"|"&amp;$G290&amp;"|"&amp;$H290,'Description Library'!$K$6:$K$808,0)),"")</f>
        <v/>
      </c>
      <c r="J290" s="9" t="str">
        <f>IFERROR(INDEX('Description Library'!$H$6:$H$808,MATCH($E290&amp;"|"&amp;$F290&amp;"|"&amp;$G290&amp;"|"&amp;$H290,'Description Library'!$K$6:$K$808,0)),"")</f>
        <v/>
      </c>
      <c r="K290" s="55"/>
      <c r="L290" s="56">
        <f>IFERROR(INDEX('Price List Library'!$K$6:$K$437,MATCH(TRIM($H290)&amp;"|"&amp;TRIM($J290),'Price List Library'!$S$6:$S$437,0)),0)</f>
        <v>0</v>
      </c>
      <c r="M290" s="56">
        <f>IFERROR(INDEX('Price List Library'!$N$6:$N$437,MATCH(TRIM($H290)&amp;"|"&amp;TRIM($J290),'Price List Library'!$S$6:$S$437,0)),0)</f>
        <v>0</v>
      </c>
      <c r="N290" s="27">
        <f t="shared" si="25"/>
        <v>0</v>
      </c>
      <c r="O290" s="27" t="str">
        <f t="shared" si="26"/>
        <v/>
      </c>
      <c r="P290" s="9" t="str">
        <f>IFERROR(INDEX('Price List Library'!$P$6:$P$437,MATCH(TRIM($H290)&amp;"|"&amp;TRIM($J290),'Price List Library'!$S$6:$S$437,0)),"")</f>
        <v/>
      </c>
      <c r="Q290" s="53"/>
      <c r="R290" s="29" t="str">
        <f t="shared" si="27"/>
        <v>_NONE</v>
      </c>
      <c r="S290" s="29" t="str">
        <f t="shared" si="28"/>
        <v>_NONE</v>
      </c>
      <c r="T290" s="29" t="str">
        <f t="shared" si="29"/>
        <v>_NONE</v>
      </c>
    </row>
    <row r="291" spans="1:20" ht="15" customHeight="1" x14ac:dyDescent="0.25">
      <c r="A291" s="9" t="str">
        <f t="shared" si="24"/>
        <v/>
      </c>
      <c r="B291" s="52"/>
      <c r="C291" s="52"/>
      <c r="D291" s="53"/>
      <c r="E291" s="53"/>
      <c r="F291" s="53"/>
      <c r="G291" s="53"/>
      <c r="H291" s="53"/>
      <c r="I291" s="54" t="str">
        <f>IFERROR(INDEX('Description Library'!$C$6:$C$808,MATCH($E291&amp;"|"&amp;$F291&amp;"|"&amp;$G291&amp;"|"&amp;$H291,'Description Library'!$K$6:$K$808,0)),"")</f>
        <v/>
      </c>
      <c r="J291" s="9" t="str">
        <f>IFERROR(INDEX('Description Library'!$H$6:$H$808,MATCH($E291&amp;"|"&amp;$F291&amp;"|"&amp;$G291&amp;"|"&amp;$H291,'Description Library'!$K$6:$K$808,0)),"")</f>
        <v/>
      </c>
      <c r="K291" s="55"/>
      <c r="L291" s="56">
        <f>IFERROR(INDEX('Price List Library'!$K$6:$K$437,MATCH(TRIM($H291)&amp;"|"&amp;TRIM($J291),'Price List Library'!$S$6:$S$437,0)),0)</f>
        <v>0</v>
      </c>
      <c r="M291" s="56">
        <f>IFERROR(INDEX('Price List Library'!$N$6:$N$437,MATCH(TRIM($H291)&amp;"|"&amp;TRIM($J291),'Price List Library'!$S$6:$S$437,0)),0)</f>
        <v>0</v>
      </c>
      <c r="N291" s="27">
        <f t="shared" si="25"/>
        <v>0</v>
      </c>
      <c r="O291" s="27" t="str">
        <f t="shared" si="26"/>
        <v/>
      </c>
      <c r="P291" s="9" t="str">
        <f>IFERROR(INDEX('Price List Library'!$P$6:$P$437,MATCH(TRIM($H291)&amp;"|"&amp;TRIM($J291),'Price List Library'!$S$6:$S$437,0)),"")</f>
        <v/>
      </c>
      <c r="Q291" s="53"/>
      <c r="R291" s="29" t="str">
        <f t="shared" si="27"/>
        <v>_NONE</v>
      </c>
      <c r="S291" s="29" t="str">
        <f t="shared" si="28"/>
        <v>_NONE</v>
      </c>
      <c r="T291" s="29" t="str">
        <f t="shared" si="29"/>
        <v>_NONE</v>
      </c>
    </row>
    <row r="292" spans="1:20" ht="15" customHeight="1" x14ac:dyDescent="0.25">
      <c r="A292" s="9" t="str">
        <f t="shared" si="24"/>
        <v/>
      </c>
      <c r="B292" s="52"/>
      <c r="C292" s="52"/>
      <c r="D292" s="53"/>
      <c r="E292" s="53"/>
      <c r="F292" s="53"/>
      <c r="G292" s="53"/>
      <c r="H292" s="53"/>
      <c r="I292" s="54" t="str">
        <f>IFERROR(INDEX('Description Library'!$C$6:$C$808,MATCH($E292&amp;"|"&amp;$F292&amp;"|"&amp;$G292&amp;"|"&amp;$H292,'Description Library'!$K$6:$K$808,0)),"")</f>
        <v/>
      </c>
      <c r="J292" s="9" t="str">
        <f>IFERROR(INDEX('Description Library'!$H$6:$H$808,MATCH($E292&amp;"|"&amp;$F292&amp;"|"&amp;$G292&amp;"|"&amp;$H292,'Description Library'!$K$6:$K$808,0)),"")</f>
        <v/>
      </c>
      <c r="K292" s="55"/>
      <c r="L292" s="56">
        <f>IFERROR(INDEX('Price List Library'!$K$6:$K$437,MATCH(TRIM($H292)&amp;"|"&amp;TRIM($J292),'Price List Library'!$S$6:$S$437,0)),0)</f>
        <v>0</v>
      </c>
      <c r="M292" s="56">
        <f>IFERROR(INDEX('Price List Library'!$N$6:$N$437,MATCH(TRIM($H292)&amp;"|"&amp;TRIM($J292),'Price List Library'!$S$6:$S$437,0)),0)</f>
        <v>0</v>
      </c>
      <c r="N292" s="27">
        <f t="shared" si="25"/>
        <v>0</v>
      </c>
      <c r="O292" s="27" t="str">
        <f t="shared" si="26"/>
        <v/>
      </c>
      <c r="P292" s="9" t="str">
        <f>IFERROR(INDEX('Price List Library'!$P$6:$P$437,MATCH(TRIM($H292)&amp;"|"&amp;TRIM($J292),'Price List Library'!$S$6:$S$437,0)),"")</f>
        <v/>
      </c>
      <c r="Q292" s="53"/>
      <c r="R292" s="29" t="str">
        <f t="shared" si="27"/>
        <v>_NONE</v>
      </c>
      <c r="S292" s="29" t="str">
        <f t="shared" si="28"/>
        <v>_NONE</v>
      </c>
      <c r="T292" s="29" t="str">
        <f t="shared" si="29"/>
        <v>_NONE</v>
      </c>
    </row>
    <row r="293" spans="1:20" ht="15" customHeight="1" x14ac:dyDescent="0.25">
      <c r="A293" s="9" t="str">
        <f t="shared" si="24"/>
        <v/>
      </c>
      <c r="B293" s="52"/>
      <c r="C293" s="52"/>
      <c r="D293" s="53"/>
      <c r="E293" s="53"/>
      <c r="F293" s="53"/>
      <c r="G293" s="53"/>
      <c r="H293" s="53"/>
      <c r="I293" s="54" t="str">
        <f>IFERROR(INDEX('Description Library'!$C$6:$C$808,MATCH($E293&amp;"|"&amp;$F293&amp;"|"&amp;$G293&amp;"|"&amp;$H293,'Description Library'!$K$6:$K$808,0)),"")</f>
        <v/>
      </c>
      <c r="J293" s="9" t="str">
        <f>IFERROR(INDEX('Description Library'!$H$6:$H$808,MATCH($E293&amp;"|"&amp;$F293&amp;"|"&amp;$G293&amp;"|"&amp;$H293,'Description Library'!$K$6:$K$808,0)),"")</f>
        <v/>
      </c>
      <c r="K293" s="55"/>
      <c r="L293" s="56">
        <f>IFERROR(INDEX('Price List Library'!$K$6:$K$437,MATCH(TRIM($H293)&amp;"|"&amp;TRIM($J293),'Price List Library'!$S$6:$S$437,0)),0)</f>
        <v>0</v>
      </c>
      <c r="M293" s="56">
        <f>IFERROR(INDEX('Price List Library'!$N$6:$N$437,MATCH(TRIM($H293)&amp;"|"&amp;TRIM($J293),'Price List Library'!$S$6:$S$437,0)),0)</f>
        <v>0</v>
      </c>
      <c r="N293" s="27">
        <f t="shared" si="25"/>
        <v>0</v>
      </c>
      <c r="O293" s="27" t="str">
        <f t="shared" si="26"/>
        <v/>
      </c>
      <c r="P293" s="9" t="str">
        <f>IFERROR(INDEX('Price List Library'!$P$6:$P$437,MATCH(TRIM($H293)&amp;"|"&amp;TRIM($J293),'Price List Library'!$S$6:$S$437,0)),"")</f>
        <v/>
      </c>
      <c r="Q293" s="53"/>
      <c r="R293" s="29" t="str">
        <f t="shared" si="27"/>
        <v>_NONE</v>
      </c>
      <c r="S293" s="29" t="str">
        <f t="shared" si="28"/>
        <v>_NONE</v>
      </c>
      <c r="T293" s="29" t="str">
        <f t="shared" si="29"/>
        <v>_NONE</v>
      </c>
    </row>
    <row r="294" spans="1:20" ht="15" customHeight="1" x14ac:dyDescent="0.25">
      <c r="A294" s="9" t="str">
        <f t="shared" si="24"/>
        <v/>
      </c>
      <c r="B294" s="52"/>
      <c r="C294" s="52"/>
      <c r="D294" s="53"/>
      <c r="E294" s="53"/>
      <c r="F294" s="53"/>
      <c r="G294" s="53"/>
      <c r="H294" s="53"/>
      <c r="I294" s="54" t="str">
        <f>IFERROR(INDEX('Description Library'!$C$6:$C$808,MATCH($E294&amp;"|"&amp;$F294&amp;"|"&amp;$G294&amp;"|"&amp;$H294,'Description Library'!$K$6:$K$808,0)),"")</f>
        <v/>
      </c>
      <c r="J294" s="9" t="str">
        <f>IFERROR(INDEX('Description Library'!$H$6:$H$808,MATCH($E294&amp;"|"&amp;$F294&amp;"|"&amp;$G294&amp;"|"&amp;$H294,'Description Library'!$K$6:$K$808,0)),"")</f>
        <v/>
      </c>
      <c r="K294" s="55"/>
      <c r="L294" s="56">
        <f>IFERROR(INDEX('Price List Library'!$K$6:$K$437,MATCH(TRIM($H294)&amp;"|"&amp;TRIM($J294),'Price List Library'!$S$6:$S$437,0)),0)</f>
        <v>0</v>
      </c>
      <c r="M294" s="56">
        <f>IFERROR(INDEX('Price List Library'!$N$6:$N$437,MATCH(TRIM($H294)&amp;"|"&amp;TRIM($J294),'Price List Library'!$S$6:$S$437,0)),0)</f>
        <v>0</v>
      </c>
      <c r="N294" s="27">
        <f t="shared" si="25"/>
        <v>0</v>
      </c>
      <c r="O294" s="27" t="str">
        <f t="shared" si="26"/>
        <v/>
      </c>
      <c r="P294" s="9" t="str">
        <f>IFERROR(INDEX('Price List Library'!$P$6:$P$437,MATCH(TRIM($H294)&amp;"|"&amp;TRIM($J294),'Price List Library'!$S$6:$S$437,0)),"")</f>
        <v/>
      </c>
      <c r="Q294" s="53"/>
      <c r="R294" s="29" t="str">
        <f t="shared" si="27"/>
        <v>_NONE</v>
      </c>
      <c r="S294" s="29" t="str">
        <f t="shared" si="28"/>
        <v>_NONE</v>
      </c>
      <c r="T294" s="29" t="str">
        <f t="shared" si="29"/>
        <v>_NONE</v>
      </c>
    </row>
    <row r="295" spans="1:20" ht="15" customHeight="1" x14ac:dyDescent="0.25">
      <c r="A295" s="9" t="str">
        <f t="shared" si="24"/>
        <v/>
      </c>
      <c r="B295" s="52"/>
      <c r="C295" s="52"/>
      <c r="D295" s="53"/>
      <c r="E295" s="53"/>
      <c r="F295" s="53"/>
      <c r="G295" s="53"/>
      <c r="H295" s="53"/>
      <c r="I295" s="54" t="str">
        <f>IFERROR(INDEX('Description Library'!$C$6:$C$808,MATCH($E295&amp;"|"&amp;$F295&amp;"|"&amp;$G295&amp;"|"&amp;$H295,'Description Library'!$K$6:$K$808,0)),"")</f>
        <v/>
      </c>
      <c r="J295" s="9" t="str">
        <f>IFERROR(INDEX('Description Library'!$H$6:$H$808,MATCH($E295&amp;"|"&amp;$F295&amp;"|"&amp;$G295&amp;"|"&amp;$H295,'Description Library'!$K$6:$K$808,0)),"")</f>
        <v/>
      </c>
      <c r="K295" s="55"/>
      <c r="L295" s="56">
        <f>IFERROR(INDEX('Price List Library'!$K$6:$K$437,MATCH(TRIM($H295)&amp;"|"&amp;TRIM($J295),'Price List Library'!$S$6:$S$437,0)),0)</f>
        <v>0</v>
      </c>
      <c r="M295" s="56">
        <f>IFERROR(INDEX('Price List Library'!$N$6:$N$437,MATCH(TRIM($H295)&amp;"|"&amp;TRIM($J295),'Price List Library'!$S$6:$S$437,0)),0)</f>
        <v>0</v>
      </c>
      <c r="N295" s="27">
        <f t="shared" si="25"/>
        <v>0</v>
      </c>
      <c r="O295" s="27" t="str">
        <f t="shared" si="26"/>
        <v/>
      </c>
      <c r="P295" s="9" t="str">
        <f>IFERROR(INDEX('Price List Library'!$P$6:$P$437,MATCH(TRIM($H295)&amp;"|"&amp;TRIM($J295),'Price List Library'!$S$6:$S$437,0)),"")</f>
        <v/>
      </c>
      <c r="Q295" s="53"/>
      <c r="R295" s="29" t="str">
        <f t="shared" si="27"/>
        <v>_NONE</v>
      </c>
      <c r="S295" s="29" t="str">
        <f t="shared" si="28"/>
        <v>_NONE</v>
      </c>
      <c r="T295" s="29" t="str">
        <f t="shared" si="29"/>
        <v>_NONE</v>
      </c>
    </row>
    <row r="296" spans="1:20" ht="15" customHeight="1" x14ac:dyDescent="0.25">
      <c r="A296" s="9" t="str">
        <f t="shared" si="24"/>
        <v/>
      </c>
      <c r="B296" s="52"/>
      <c r="C296" s="52"/>
      <c r="D296" s="53"/>
      <c r="E296" s="53"/>
      <c r="F296" s="53"/>
      <c r="G296" s="53"/>
      <c r="H296" s="53"/>
      <c r="I296" s="54" t="str">
        <f>IFERROR(INDEX('Description Library'!$C$6:$C$808,MATCH($E296&amp;"|"&amp;$F296&amp;"|"&amp;$G296&amp;"|"&amp;$H296,'Description Library'!$K$6:$K$808,0)),"")</f>
        <v/>
      </c>
      <c r="J296" s="9" t="str">
        <f>IFERROR(INDEX('Description Library'!$H$6:$H$808,MATCH($E296&amp;"|"&amp;$F296&amp;"|"&amp;$G296&amp;"|"&amp;$H296,'Description Library'!$K$6:$K$808,0)),"")</f>
        <v/>
      </c>
      <c r="K296" s="55"/>
      <c r="L296" s="56">
        <f>IFERROR(INDEX('Price List Library'!$K$6:$K$437,MATCH(TRIM($H296)&amp;"|"&amp;TRIM($J296),'Price List Library'!$S$6:$S$437,0)),0)</f>
        <v>0</v>
      </c>
      <c r="M296" s="56">
        <f>IFERROR(INDEX('Price List Library'!$N$6:$N$437,MATCH(TRIM($H296)&amp;"|"&amp;TRIM($J296),'Price List Library'!$S$6:$S$437,0)),0)</f>
        <v>0</v>
      </c>
      <c r="N296" s="27">
        <f t="shared" si="25"/>
        <v>0</v>
      </c>
      <c r="O296" s="27" t="str">
        <f t="shared" si="26"/>
        <v/>
      </c>
      <c r="P296" s="9" t="str">
        <f>IFERROR(INDEX('Price List Library'!$P$6:$P$437,MATCH(TRIM($H296)&amp;"|"&amp;TRIM($J296),'Price List Library'!$S$6:$S$437,0)),"")</f>
        <v/>
      </c>
      <c r="Q296" s="53"/>
      <c r="R296" s="29" t="str">
        <f t="shared" si="27"/>
        <v>_NONE</v>
      </c>
      <c r="S296" s="29" t="str">
        <f t="shared" si="28"/>
        <v>_NONE</v>
      </c>
      <c r="T296" s="29" t="str">
        <f t="shared" si="29"/>
        <v>_NONE</v>
      </c>
    </row>
    <row r="297" spans="1:20" ht="15" customHeight="1" x14ac:dyDescent="0.25">
      <c r="A297" s="9" t="str">
        <f t="shared" si="24"/>
        <v/>
      </c>
      <c r="B297" s="52"/>
      <c r="C297" s="52"/>
      <c r="D297" s="53"/>
      <c r="E297" s="53"/>
      <c r="F297" s="53"/>
      <c r="G297" s="53"/>
      <c r="H297" s="53"/>
      <c r="I297" s="54" t="str">
        <f>IFERROR(INDEX('Description Library'!$C$6:$C$808,MATCH($E297&amp;"|"&amp;$F297&amp;"|"&amp;$G297&amp;"|"&amp;$H297,'Description Library'!$K$6:$K$808,0)),"")</f>
        <v/>
      </c>
      <c r="J297" s="9" t="str">
        <f>IFERROR(INDEX('Description Library'!$H$6:$H$808,MATCH($E297&amp;"|"&amp;$F297&amp;"|"&amp;$G297&amp;"|"&amp;$H297,'Description Library'!$K$6:$K$808,0)),"")</f>
        <v/>
      </c>
      <c r="K297" s="55"/>
      <c r="L297" s="56">
        <f>IFERROR(INDEX('Price List Library'!$K$6:$K$437,MATCH(TRIM($H297)&amp;"|"&amp;TRIM($J297),'Price List Library'!$S$6:$S$437,0)),0)</f>
        <v>0</v>
      </c>
      <c r="M297" s="56">
        <f>IFERROR(INDEX('Price List Library'!$N$6:$N$437,MATCH(TRIM($H297)&amp;"|"&amp;TRIM($J297),'Price List Library'!$S$6:$S$437,0)),0)</f>
        <v>0</v>
      </c>
      <c r="N297" s="27">
        <f t="shared" si="25"/>
        <v>0</v>
      </c>
      <c r="O297" s="27" t="str">
        <f t="shared" si="26"/>
        <v/>
      </c>
      <c r="P297" s="9" t="str">
        <f>IFERROR(INDEX('Price List Library'!$P$6:$P$437,MATCH(TRIM($H297)&amp;"|"&amp;TRIM($J297),'Price List Library'!$S$6:$S$437,0)),"")</f>
        <v/>
      </c>
      <c r="Q297" s="53"/>
      <c r="R297" s="29" t="str">
        <f t="shared" si="27"/>
        <v>_NONE</v>
      </c>
      <c r="S297" s="29" t="str">
        <f t="shared" si="28"/>
        <v>_NONE</v>
      </c>
      <c r="T297" s="29" t="str">
        <f t="shared" si="29"/>
        <v>_NONE</v>
      </c>
    </row>
    <row r="298" spans="1:20" ht="15" customHeight="1" x14ac:dyDescent="0.25">
      <c r="A298" s="9" t="str">
        <f t="shared" si="24"/>
        <v/>
      </c>
      <c r="B298" s="52"/>
      <c r="C298" s="52"/>
      <c r="D298" s="53"/>
      <c r="E298" s="53"/>
      <c r="F298" s="53"/>
      <c r="G298" s="53"/>
      <c r="H298" s="53"/>
      <c r="I298" s="54" t="str">
        <f>IFERROR(INDEX('Description Library'!$C$6:$C$808,MATCH($E298&amp;"|"&amp;$F298&amp;"|"&amp;$G298&amp;"|"&amp;$H298,'Description Library'!$K$6:$K$808,0)),"")</f>
        <v/>
      </c>
      <c r="J298" s="9" t="str">
        <f>IFERROR(INDEX('Description Library'!$H$6:$H$808,MATCH($E298&amp;"|"&amp;$F298&amp;"|"&amp;$G298&amp;"|"&amp;$H298,'Description Library'!$K$6:$K$808,0)),"")</f>
        <v/>
      </c>
      <c r="K298" s="55"/>
      <c r="L298" s="56">
        <f>IFERROR(INDEX('Price List Library'!$K$6:$K$437,MATCH(TRIM($H298)&amp;"|"&amp;TRIM($J298),'Price List Library'!$S$6:$S$437,0)),0)</f>
        <v>0</v>
      </c>
      <c r="M298" s="56">
        <f>IFERROR(INDEX('Price List Library'!$N$6:$N$437,MATCH(TRIM($H298)&amp;"|"&amp;TRIM($J298),'Price List Library'!$S$6:$S$437,0)),0)</f>
        <v>0</v>
      </c>
      <c r="N298" s="27">
        <f t="shared" si="25"/>
        <v>0</v>
      </c>
      <c r="O298" s="27" t="str">
        <f t="shared" si="26"/>
        <v/>
      </c>
      <c r="P298" s="9" t="str">
        <f>IFERROR(INDEX('Price List Library'!$P$6:$P$437,MATCH(TRIM($H298)&amp;"|"&amp;TRIM($J298),'Price List Library'!$S$6:$S$437,0)),"")</f>
        <v/>
      </c>
      <c r="Q298" s="53"/>
      <c r="R298" s="29" t="str">
        <f t="shared" si="27"/>
        <v>_NONE</v>
      </c>
      <c r="S298" s="29" t="str">
        <f t="shared" si="28"/>
        <v>_NONE</v>
      </c>
      <c r="T298" s="29" t="str">
        <f t="shared" si="29"/>
        <v>_NONE</v>
      </c>
    </row>
    <row r="299" spans="1:20" ht="15" customHeight="1" x14ac:dyDescent="0.25">
      <c r="A299" s="9" t="str">
        <f t="shared" si="24"/>
        <v/>
      </c>
      <c r="B299" s="52"/>
      <c r="C299" s="52"/>
      <c r="D299" s="53"/>
      <c r="E299" s="53"/>
      <c r="F299" s="53"/>
      <c r="G299" s="53"/>
      <c r="H299" s="53"/>
      <c r="I299" s="54" t="str">
        <f>IFERROR(INDEX('Description Library'!$C$6:$C$808,MATCH($E299&amp;"|"&amp;$F299&amp;"|"&amp;$G299&amp;"|"&amp;$H299,'Description Library'!$K$6:$K$808,0)),"")</f>
        <v/>
      </c>
      <c r="J299" s="9" t="str">
        <f>IFERROR(INDEX('Description Library'!$H$6:$H$808,MATCH($E299&amp;"|"&amp;$F299&amp;"|"&amp;$G299&amp;"|"&amp;$H299,'Description Library'!$K$6:$K$808,0)),"")</f>
        <v/>
      </c>
      <c r="K299" s="55"/>
      <c r="L299" s="56">
        <f>IFERROR(INDEX('Price List Library'!$K$6:$K$437,MATCH(TRIM($H299)&amp;"|"&amp;TRIM($J299),'Price List Library'!$S$6:$S$437,0)),0)</f>
        <v>0</v>
      </c>
      <c r="M299" s="56">
        <f>IFERROR(INDEX('Price List Library'!$N$6:$N$437,MATCH(TRIM($H299)&amp;"|"&amp;TRIM($J299),'Price List Library'!$S$6:$S$437,0)),0)</f>
        <v>0</v>
      </c>
      <c r="N299" s="27">
        <f t="shared" si="25"/>
        <v>0</v>
      </c>
      <c r="O299" s="27" t="str">
        <f t="shared" si="26"/>
        <v/>
      </c>
      <c r="P299" s="9" t="str">
        <f>IFERROR(INDEX('Price List Library'!$P$6:$P$437,MATCH(TRIM($H299)&amp;"|"&amp;TRIM($J299),'Price List Library'!$S$6:$S$437,0)),"")</f>
        <v/>
      </c>
      <c r="Q299" s="53"/>
      <c r="R299" s="29" t="str">
        <f t="shared" si="27"/>
        <v>_NONE</v>
      </c>
      <c r="S299" s="29" t="str">
        <f t="shared" si="28"/>
        <v>_NONE</v>
      </c>
      <c r="T299" s="29" t="str">
        <f t="shared" si="29"/>
        <v>_NONE</v>
      </c>
    </row>
    <row r="300" spans="1:20" ht="15" customHeight="1" x14ac:dyDescent="0.25">
      <c r="A300" s="9" t="str">
        <f t="shared" si="24"/>
        <v/>
      </c>
      <c r="B300" s="52"/>
      <c r="C300" s="52"/>
      <c r="D300" s="53"/>
      <c r="E300" s="53"/>
      <c r="F300" s="53"/>
      <c r="G300" s="53"/>
      <c r="H300" s="53"/>
      <c r="I300" s="54" t="str">
        <f>IFERROR(INDEX('Description Library'!$C$6:$C$808,MATCH($E300&amp;"|"&amp;$F300&amp;"|"&amp;$G300&amp;"|"&amp;$H300,'Description Library'!$K$6:$K$808,0)),"")</f>
        <v/>
      </c>
      <c r="J300" s="9" t="str">
        <f>IFERROR(INDEX('Description Library'!$H$6:$H$808,MATCH($E300&amp;"|"&amp;$F300&amp;"|"&amp;$G300&amp;"|"&amp;$H300,'Description Library'!$K$6:$K$808,0)),"")</f>
        <v/>
      </c>
      <c r="K300" s="55"/>
      <c r="L300" s="56">
        <f>IFERROR(INDEX('Price List Library'!$K$6:$K$437,MATCH(TRIM($H300)&amp;"|"&amp;TRIM($J300),'Price List Library'!$S$6:$S$437,0)),0)</f>
        <v>0</v>
      </c>
      <c r="M300" s="56">
        <f>IFERROR(INDEX('Price List Library'!$N$6:$N$437,MATCH(TRIM($H300)&amp;"|"&amp;TRIM($J300),'Price List Library'!$S$6:$S$437,0)),0)</f>
        <v>0</v>
      </c>
      <c r="N300" s="27">
        <f t="shared" si="25"/>
        <v>0</v>
      </c>
      <c r="O300" s="27" t="str">
        <f t="shared" si="26"/>
        <v/>
      </c>
      <c r="P300" s="9" t="str">
        <f>IFERROR(INDEX('Price List Library'!$P$6:$P$437,MATCH(TRIM($H300)&amp;"|"&amp;TRIM($J300),'Price List Library'!$S$6:$S$437,0)),"")</f>
        <v/>
      </c>
      <c r="Q300" s="53"/>
      <c r="R300" s="29" t="str">
        <f t="shared" si="27"/>
        <v>_NONE</v>
      </c>
      <c r="S300" s="29" t="str">
        <f t="shared" si="28"/>
        <v>_NONE</v>
      </c>
      <c r="T300" s="29" t="str">
        <f t="shared" si="29"/>
        <v>_NONE</v>
      </c>
    </row>
    <row r="301" spans="1:20" ht="15" customHeight="1" x14ac:dyDescent="0.25">
      <c r="A301" s="9" t="str">
        <f t="shared" si="24"/>
        <v/>
      </c>
      <c r="B301" s="52"/>
      <c r="C301" s="52"/>
      <c r="D301" s="53"/>
      <c r="E301" s="53"/>
      <c r="F301" s="53"/>
      <c r="G301" s="53"/>
      <c r="H301" s="53"/>
      <c r="I301" s="54" t="str">
        <f>IFERROR(INDEX('Description Library'!$C$6:$C$808,MATCH($E301&amp;"|"&amp;$F301&amp;"|"&amp;$G301&amp;"|"&amp;$H301,'Description Library'!$K$6:$K$808,0)),"")</f>
        <v/>
      </c>
      <c r="J301" s="9" t="str">
        <f>IFERROR(INDEX('Description Library'!$H$6:$H$808,MATCH($E301&amp;"|"&amp;$F301&amp;"|"&amp;$G301&amp;"|"&amp;$H301,'Description Library'!$K$6:$K$808,0)),"")</f>
        <v/>
      </c>
      <c r="K301" s="55"/>
      <c r="L301" s="56">
        <f>IFERROR(INDEX('Price List Library'!$K$6:$K$437,MATCH(TRIM($H301)&amp;"|"&amp;TRIM($J301),'Price List Library'!$S$6:$S$437,0)),0)</f>
        <v>0</v>
      </c>
      <c r="M301" s="56">
        <f>IFERROR(INDEX('Price List Library'!$N$6:$N$437,MATCH(TRIM($H301)&amp;"|"&amp;TRIM($J301),'Price List Library'!$S$6:$S$437,0)),0)</f>
        <v>0</v>
      </c>
      <c r="N301" s="27">
        <f t="shared" si="25"/>
        <v>0</v>
      </c>
      <c r="O301" s="27" t="str">
        <f t="shared" si="26"/>
        <v/>
      </c>
      <c r="P301" s="9" t="str">
        <f>IFERROR(INDEX('Price List Library'!$P$6:$P$437,MATCH(TRIM($H301)&amp;"|"&amp;TRIM($J301),'Price List Library'!$S$6:$S$437,0)),"")</f>
        <v/>
      </c>
      <c r="Q301" s="53"/>
      <c r="R301" s="29" t="str">
        <f t="shared" si="27"/>
        <v>_NONE</v>
      </c>
      <c r="S301" s="29" t="str">
        <f t="shared" si="28"/>
        <v>_NONE</v>
      </c>
      <c r="T301" s="29" t="str">
        <f t="shared" si="29"/>
        <v>_NONE</v>
      </c>
    </row>
    <row r="302" spans="1:20" ht="15" customHeight="1" x14ac:dyDescent="0.25">
      <c r="A302" s="9" t="str">
        <f t="shared" si="24"/>
        <v/>
      </c>
      <c r="B302" s="52"/>
      <c r="C302" s="52"/>
      <c r="D302" s="53"/>
      <c r="E302" s="53"/>
      <c r="F302" s="53"/>
      <c r="G302" s="53"/>
      <c r="H302" s="53"/>
      <c r="I302" s="54" t="str">
        <f>IFERROR(INDEX('Description Library'!$C$6:$C$808,MATCH($E302&amp;"|"&amp;$F302&amp;"|"&amp;$G302&amp;"|"&amp;$H302,'Description Library'!$K$6:$K$808,0)),"")</f>
        <v/>
      </c>
      <c r="J302" s="9" t="str">
        <f>IFERROR(INDEX('Description Library'!$H$6:$H$808,MATCH($E302&amp;"|"&amp;$F302&amp;"|"&amp;$G302&amp;"|"&amp;$H302,'Description Library'!$K$6:$K$808,0)),"")</f>
        <v/>
      </c>
      <c r="K302" s="55"/>
      <c r="L302" s="56">
        <f>IFERROR(INDEX('Price List Library'!$K$6:$K$437,MATCH(TRIM($H302)&amp;"|"&amp;TRIM($J302),'Price List Library'!$S$6:$S$437,0)),0)</f>
        <v>0</v>
      </c>
      <c r="M302" s="56">
        <f>IFERROR(INDEX('Price List Library'!$N$6:$N$437,MATCH(TRIM($H302)&amp;"|"&amp;TRIM($J302),'Price List Library'!$S$6:$S$437,0)),0)</f>
        <v>0</v>
      </c>
      <c r="N302" s="27">
        <f t="shared" si="25"/>
        <v>0</v>
      </c>
      <c r="O302" s="27" t="str">
        <f t="shared" si="26"/>
        <v/>
      </c>
      <c r="P302" s="9" t="str">
        <f>IFERROR(INDEX('Price List Library'!$P$6:$P$437,MATCH(TRIM($H302)&amp;"|"&amp;TRIM($J302),'Price List Library'!$S$6:$S$437,0)),"")</f>
        <v/>
      </c>
      <c r="Q302" s="53"/>
      <c r="R302" s="29" t="str">
        <f t="shared" si="27"/>
        <v>_NONE</v>
      </c>
      <c r="S302" s="29" t="str">
        <f t="shared" si="28"/>
        <v>_NONE</v>
      </c>
      <c r="T302" s="29" t="str">
        <f t="shared" si="29"/>
        <v>_NONE</v>
      </c>
    </row>
    <row r="303" spans="1:20" ht="15" customHeight="1" x14ac:dyDescent="0.25">
      <c r="A303" s="9" t="str">
        <f t="shared" si="24"/>
        <v/>
      </c>
      <c r="B303" s="52"/>
      <c r="C303" s="52"/>
      <c r="D303" s="53"/>
      <c r="E303" s="53"/>
      <c r="F303" s="53"/>
      <c r="G303" s="53"/>
      <c r="H303" s="53"/>
      <c r="I303" s="54" t="str">
        <f>IFERROR(INDEX('Description Library'!$C$6:$C$808,MATCH($E303&amp;"|"&amp;$F303&amp;"|"&amp;$G303&amp;"|"&amp;$H303,'Description Library'!$K$6:$K$808,0)),"")</f>
        <v/>
      </c>
      <c r="J303" s="9" t="str">
        <f>IFERROR(INDEX('Description Library'!$H$6:$H$808,MATCH($E303&amp;"|"&amp;$F303&amp;"|"&amp;$G303&amp;"|"&amp;$H303,'Description Library'!$K$6:$K$808,0)),"")</f>
        <v/>
      </c>
      <c r="K303" s="55"/>
      <c r="L303" s="56">
        <f>IFERROR(INDEX('Price List Library'!$K$6:$K$437,MATCH(TRIM($H303)&amp;"|"&amp;TRIM($J303),'Price List Library'!$S$6:$S$437,0)),0)</f>
        <v>0</v>
      </c>
      <c r="M303" s="56">
        <f>IFERROR(INDEX('Price List Library'!$N$6:$N$437,MATCH(TRIM($H303)&amp;"|"&amp;TRIM($J303),'Price List Library'!$S$6:$S$437,0)),0)</f>
        <v>0</v>
      </c>
      <c r="N303" s="27">
        <f t="shared" si="25"/>
        <v>0</v>
      </c>
      <c r="O303" s="27" t="str">
        <f t="shared" si="26"/>
        <v/>
      </c>
      <c r="P303" s="9" t="str">
        <f>IFERROR(INDEX('Price List Library'!$P$6:$P$437,MATCH(TRIM($H303)&amp;"|"&amp;TRIM($J303),'Price List Library'!$S$6:$S$437,0)),"")</f>
        <v/>
      </c>
      <c r="Q303" s="53"/>
      <c r="R303" s="29" t="str">
        <f t="shared" si="27"/>
        <v>_NONE</v>
      </c>
      <c r="S303" s="29" t="str">
        <f t="shared" si="28"/>
        <v>_NONE</v>
      </c>
      <c r="T303" s="29" t="str">
        <f t="shared" si="29"/>
        <v>_NONE</v>
      </c>
    </row>
    <row r="304" spans="1:20" ht="15" customHeight="1" x14ac:dyDescent="0.25">
      <c r="A304" s="9" t="str">
        <f t="shared" si="24"/>
        <v/>
      </c>
      <c r="B304" s="52"/>
      <c r="C304" s="52"/>
      <c r="D304" s="53"/>
      <c r="E304" s="53"/>
      <c r="F304" s="53"/>
      <c r="G304" s="53"/>
      <c r="H304" s="53"/>
      <c r="I304" s="54" t="str">
        <f>IFERROR(INDEX('Description Library'!$C$6:$C$808,MATCH($E304&amp;"|"&amp;$F304&amp;"|"&amp;$G304&amp;"|"&amp;$H304,'Description Library'!$K$6:$K$808,0)),"")</f>
        <v/>
      </c>
      <c r="J304" s="9" t="str">
        <f>IFERROR(INDEX('Description Library'!$H$6:$H$808,MATCH($E304&amp;"|"&amp;$F304&amp;"|"&amp;$G304&amp;"|"&amp;$H304,'Description Library'!$K$6:$K$808,0)),"")</f>
        <v/>
      </c>
      <c r="K304" s="55"/>
      <c r="L304" s="56">
        <f>IFERROR(INDEX('Price List Library'!$K$6:$K$437,MATCH(TRIM($H304)&amp;"|"&amp;TRIM($J304),'Price List Library'!$S$6:$S$437,0)),0)</f>
        <v>0</v>
      </c>
      <c r="M304" s="56">
        <f>IFERROR(INDEX('Price List Library'!$N$6:$N$437,MATCH(TRIM($H304)&amp;"|"&amp;TRIM($J304),'Price List Library'!$S$6:$S$437,0)),0)</f>
        <v>0</v>
      </c>
      <c r="N304" s="27">
        <f t="shared" si="25"/>
        <v>0</v>
      </c>
      <c r="O304" s="27" t="str">
        <f t="shared" si="26"/>
        <v/>
      </c>
      <c r="P304" s="9" t="str">
        <f>IFERROR(INDEX('Price List Library'!$P$6:$P$437,MATCH(TRIM($H304)&amp;"|"&amp;TRIM($J304),'Price List Library'!$S$6:$S$437,0)),"")</f>
        <v/>
      </c>
      <c r="Q304" s="53"/>
      <c r="R304" s="29" t="str">
        <f t="shared" si="27"/>
        <v>_NONE</v>
      </c>
      <c r="S304" s="29" t="str">
        <f t="shared" si="28"/>
        <v>_NONE</v>
      </c>
      <c r="T304" s="29" t="str">
        <f t="shared" si="29"/>
        <v>_NONE</v>
      </c>
    </row>
    <row r="305" spans="1:20" ht="15" customHeight="1" x14ac:dyDescent="0.25">
      <c r="A305" s="9" t="str">
        <f t="shared" si="24"/>
        <v/>
      </c>
      <c r="B305" s="52"/>
      <c r="C305" s="52"/>
      <c r="D305" s="53"/>
      <c r="E305" s="53"/>
      <c r="F305" s="53"/>
      <c r="G305" s="53"/>
      <c r="H305" s="53"/>
      <c r="I305" s="54" t="str">
        <f>IFERROR(INDEX('Description Library'!$C$6:$C$808,MATCH($E305&amp;"|"&amp;$F305&amp;"|"&amp;$G305&amp;"|"&amp;$H305,'Description Library'!$K$6:$K$808,0)),"")</f>
        <v/>
      </c>
      <c r="J305" s="9" t="str">
        <f>IFERROR(INDEX('Description Library'!$H$6:$H$808,MATCH($E305&amp;"|"&amp;$F305&amp;"|"&amp;$G305&amp;"|"&amp;$H305,'Description Library'!$K$6:$K$808,0)),"")</f>
        <v/>
      </c>
      <c r="K305" s="55"/>
      <c r="L305" s="56">
        <f>IFERROR(INDEX('Price List Library'!$K$6:$K$437,MATCH(TRIM($H305)&amp;"|"&amp;TRIM($J305),'Price List Library'!$S$6:$S$437,0)),0)</f>
        <v>0</v>
      </c>
      <c r="M305" s="56">
        <f>IFERROR(INDEX('Price List Library'!$N$6:$N$437,MATCH(TRIM($H305)&amp;"|"&amp;TRIM($J305),'Price List Library'!$S$6:$S$437,0)),0)</f>
        <v>0</v>
      </c>
      <c r="N305" s="27">
        <f t="shared" si="25"/>
        <v>0</v>
      </c>
      <c r="O305" s="27" t="str">
        <f t="shared" si="26"/>
        <v/>
      </c>
      <c r="P305" s="9" t="str">
        <f>IFERROR(INDEX('Price List Library'!$P$6:$P$437,MATCH(TRIM($H305)&amp;"|"&amp;TRIM($J305),'Price List Library'!$S$6:$S$437,0)),"")</f>
        <v/>
      </c>
      <c r="Q305" s="53"/>
      <c r="R305" s="29" t="str">
        <f t="shared" si="27"/>
        <v>_NONE</v>
      </c>
      <c r="S305" s="29" t="str">
        <f t="shared" si="28"/>
        <v>_NONE</v>
      </c>
      <c r="T305" s="29" t="str">
        <f t="shared" si="29"/>
        <v>_NONE</v>
      </c>
    </row>
  </sheetData>
  <dataValidations count="7">
    <dataValidation type="list" allowBlank="1" sqref="B6:B305" xr:uid="{00000000-0002-0000-0400-000000000000}">
      <formula1>_BUILDING</formula1>
      <formula2>0</formula2>
    </dataValidation>
    <dataValidation type="list" allowBlank="1" sqref="C6:C305" xr:uid="{00000000-0002-0000-0400-000001000000}">
      <formula1>_LEVEL</formula1>
      <formula2>0</formula2>
    </dataValidation>
    <dataValidation type="list" allowBlank="1" sqref="D6:D305" xr:uid="{00000000-0002-0000-0400-000002000000}">
      <formula1>"Civil and Structure,Architecture,MEP,External Works"</formula1>
      <formula2>0</formula2>
    </dataValidation>
    <dataValidation type="list" allowBlank="1" sqref="E6:E305" xr:uid="{00000000-0002-0000-0400-000003000000}">
      <formula1>_SECTION</formula1>
      <formula2>0</formula2>
    </dataValidation>
    <dataValidation type="list" allowBlank="1" sqref="F6:F305" xr:uid="{00000000-0002-0000-0400-000004000000}">
      <formula1>INDIRECT($R6)</formula1>
      <formula2>0</formula2>
    </dataValidation>
    <dataValidation type="list" allowBlank="1" sqref="G6:G305" xr:uid="{00000000-0002-0000-0400-000005000000}">
      <formula1>INDIRECT($S6)</formula1>
      <formula2>0</formula2>
    </dataValidation>
    <dataValidation type="list" allowBlank="1" sqref="H6:H305" xr:uid="{00000000-0002-0000-0400-000006000000}">
      <formula1>INDIRECT($T6)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showGridLines="0" zoomScaleNormal="100" workbookViewId="0"/>
  </sheetViews>
  <sheetFormatPr defaultColWidth="8.7109375" defaultRowHeight="15" x14ac:dyDescent="0.25"/>
  <cols>
    <col min="1" max="1" width="14" style="4" customWidth="1"/>
    <col min="2" max="2" width="30" style="4" customWidth="1"/>
    <col min="3" max="3" width="42" style="4" customWidth="1"/>
    <col min="4" max="4" width="3" style="4" customWidth="1"/>
    <col min="5" max="5" width="12" style="4" customWidth="1"/>
    <col min="6" max="6" width="30" style="4" customWidth="1"/>
    <col min="7" max="7" width="46" style="4" customWidth="1"/>
  </cols>
  <sheetData>
    <row r="1" spans="1:7" ht="18" customHeight="1" x14ac:dyDescent="0.3">
      <c r="A1" s="5" t="s">
        <v>3670</v>
      </c>
    </row>
    <row r="2" spans="1:7" ht="15" customHeight="1" x14ac:dyDescent="0.25">
      <c r="A2" s="6" t="s">
        <v>3671</v>
      </c>
    </row>
    <row r="3" spans="1:7" ht="15" customHeight="1" x14ac:dyDescent="0.25">
      <c r="A3" s="7" t="s">
        <v>3672</v>
      </c>
    </row>
    <row r="5" spans="1:7" ht="15" customHeight="1" x14ac:dyDescent="0.25">
      <c r="A5" s="8" t="s">
        <v>3673</v>
      </c>
      <c r="B5" s="8" t="s">
        <v>3674</v>
      </c>
      <c r="C5" s="8" t="s">
        <v>3666</v>
      </c>
      <c r="E5" s="57" t="s">
        <v>3675</v>
      </c>
      <c r="F5" s="57" t="s">
        <v>3676</v>
      </c>
      <c r="G5" s="57" t="s">
        <v>3666</v>
      </c>
    </row>
    <row r="6" spans="1:7" ht="15" customHeight="1" x14ac:dyDescent="0.25">
      <c r="A6" s="58" t="s">
        <v>3677</v>
      </c>
      <c r="B6" s="59" t="s">
        <v>3678</v>
      </c>
      <c r="C6" s="12" t="s">
        <v>3679</v>
      </c>
      <c r="E6" s="58" t="s">
        <v>3680</v>
      </c>
      <c r="F6" s="59" t="s">
        <v>3681</v>
      </c>
      <c r="G6" s="12" t="s">
        <v>3682</v>
      </c>
    </row>
    <row r="7" spans="1:7" ht="15" customHeight="1" x14ac:dyDescent="0.25">
      <c r="A7" s="58" t="s">
        <v>3683</v>
      </c>
      <c r="B7" s="59" t="s">
        <v>3684</v>
      </c>
      <c r="C7" s="12"/>
      <c r="E7" s="58" t="s">
        <v>3685</v>
      </c>
      <c r="F7" s="59" t="s">
        <v>3686</v>
      </c>
      <c r="G7" s="12"/>
    </row>
    <row r="8" spans="1:7" ht="15" customHeight="1" x14ac:dyDescent="0.25">
      <c r="A8" s="58" t="s">
        <v>3687</v>
      </c>
      <c r="B8" s="59" t="s">
        <v>3688</v>
      </c>
      <c r="C8" s="12"/>
      <c r="E8" s="58" t="s">
        <v>3689</v>
      </c>
      <c r="F8" s="59" t="s">
        <v>3690</v>
      </c>
      <c r="G8" s="12"/>
    </row>
    <row r="9" spans="1:7" ht="15" customHeight="1" x14ac:dyDescent="0.25">
      <c r="A9" s="58" t="s">
        <v>3691</v>
      </c>
      <c r="B9" s="59" t="s">
        <v>3692</v>
      </c>
      <c r="C9" s="12" t="s">
        <v>3693</v>
      </c>
      <c r="E9" s="58" t="s">
        <v>3694</v>
      </c>
      <c r="F9" s="59" t="s">
        <v>3695</v>
      </c>
      <c r="G9" s="12"/>
    </row>
    <row r="10" spans="1:7" ht="15" customHeight="1" x14ac:dyDescent="0.25">
      <c r="A10" s="58" t="s">
        <v>3696</v>
      </c>
      <c r="B10" s="59" t="s">
        <v>3697</v>
      </c>
      <c r="C10" s="12" t="s">
        <v>3698</v>
      </c>
      <c r="E10" s="58" t="s">
        <v>3699</v>
      </c>
      <c r="F10" s="59" t="s">
        <v>3700</v>
      </c>
      <c r="G10" s="12"/>
    </row>
    <row r="11" spans="1:7" ht="15" customHeight="1" x14ac:dyDescent="0.25">
      <c r="E11" s="58" t="s">
        <v>3701</v>
      </c>
      <c r="F11" s="59" t="s">
        <v>3702</v>
      </c>
      <c r="G11" s="12"/>
    </row>
    <row r="12" spans="1:7" ht="15" customHeight="1" x14ac:dyDescent="0.25">
      <c r="E12" s="58" t="s">
        <v>3703</v>
      </c>
      <c r="F12" s="59" t="s">
        <v>3704</v>
      </c>
      <c r="G12" s="12"/>
    </row>
    <row r="13" spans="1:7" ht="15" customHeight="1" x14ac:dyDescent="0.25">
      <c r="E13" s="58" t="s">
        <v>3705</v>
      </c>
      <c r="F13" s="59" t="s">
        <v>3706</v>
      </c>
      <c r="G13" s="12"/>
    </row>
    <row r="14" spans="1:7" ht="15" customHeight="1" x14ac:dyDescent="0.25">
      <c r="E14" s="58" t="s">
        <v>3707</v>
      </c>
      <c r="F14" s="59" t="s">
        <v>3708</v>
      </c>
      <c r="G14" s="12"/>
    </row>
    <row r="15" spans="1:7" ht="15" customHeight="1" x14ac:dyDescent="0.25">
      <c r="E15" s="58" t="s">
        <v>3709</v>
      </c>
      <c r="F15" s="59" t="s">
        <v>3710</v>
      </c>
      <c r="G15" s="12"/>
    </row>
    <row r="16" spans="1:7" ht="15" customHeight="1" x14ac:dyDescent="0.25">
      <c r="E16" s="58" t="s">
        <v>3711</v>
      </c>
      <c r="F16" s="59" t="s">
        <v>3712</v>
      </c>
      <c r="G16" s="12"/>
    </row>
    <row r="17" spans="5:7" ht="15" customHeight="1" x14ac:dyDescent="0.25">
      <c r="E17" s="58" t="s">
        <v>3713</v>
      </c>
      <c r="F17" s="59" t="s">
        <v>3714</v>
      </c>
      <c r="G17" s="12"/>
    </row>
    <row r="18" spans="5:7" ht="15" customHeight="1" x14ac:dyDescent="0.25">
      <c r="E18" s="58" t="s">
        <v>3715</v>
      </c>
      <c r="F18" s="59" t="s">
        <v>3716</v>
      </c>
      <c r="G18" s="12" t="s">
        <v>3717</v>
      </c>
    </row>
    <row r="19" spans="5:7" ht="15" customHeight="1" x14ac:dyDescent="0.25">
      <c r="E19" s="58" t="s">
        <v>3718</v>
      </c>
      <c r="F19" s="59" t="s">
        <v>3719</v>
      </c>
      <c r="G19" s="12"/>
    </row>
    <row r="20" spans="5:7" ht="15" customHeight="1" x14ac:dyDescent="0.25">
      <c r="E20" s="58" t="s">
        <v>3720</v>
      </c>
      <c r="F20" s="59" t="s">
        <v>3721</v>
      </c>
      <c r="G20" s="12"/>
    </row>
    <row r="21" spans="5:7" ht="15" customHeight="1" x14ac:dyDescent="0.25">
      <c r="E21" s="58" t="s">
        <v>3722</v>
      </c>
      <c r="F21" s="59" t="s">
        <v>3723</v>
      </c>
      <c r="G21" s="12" t="s">
        <v>3698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I524"/>
  <sheetViews>
    <sheetView showGridLines="0" zoomScaleNormal="100" workbookViewId="0"/>
  </sheetViews>
  <sheetFormatPr defaultColWidth="8.7109375" defaultRowHeight="15" x14ac:dyDescent="0.25"/>
  <cols>
    <col min="1" max="1" width="28" style="4" customWidth="1"/>
    <col min="3" max="3" width="28" style="4" customWidth="1"/>
    <col min="4" max="4" width="9" style="4" customWidth="1"/>
    <col min="6" max="6" width="50" style="4" customWidth="1"/>
    <col min="7" max="7" width="9" style="4" customWidth="1"/>
    <col min="9" max="9" width="70" style="4" customWidth="1"/>
    <col min="10" max="10" width="9" style="4" customWidth="1"/>
    <col min="11" max="11" width="6" style="4" customWidth="1"/>
  </cols>
  <sheetData>
    <row r="1" spans="1:685" ht="15" customHeight="1" x14ac:dyDescent="0.25">
      <c r="A1" s="60" t="s">
        <v>3724</v>
      </c>
    </row>
    <row r="2" spans="1:685" ht="15" customHeight="1" x14ac:dyDescent="0.25">
      <c r="A2" s="61" t="s">
        <v>3725</v>
      </c>
    </row>
    <row r="4" spans="1:685" ht="15" customHeight="1" x14ac:dyDescent="0.25">
      <c r="A4" s="62" t="s">
        <v>6</v>
      </c>
      <c r="C4" s="63" t="s">
        <v>6</v>
      </c>
      <c r="D4" s="63" t="s">
        <v>3726</v>
      </c>
      <c r="F4" s="63" t="s">
        <v>3727</v>
      </c>
      <c r="G4" s="63" t="s">
        <v>3726</v>
      </c>
      <c r="I4" s="63" t="s">
        <v>3728</v>
      </c>
      <c r="J4" s="63" t="s">
        <v>3726</v>
      </c>
      <c r="K4" s="29" t="s">
        <v>3729</v>
      </c>
      <c r="M4" s="64" t="s">
        <v>3730</v>
      </c>
      <c r="N4" s="64" t="s">
        <v>3731</v>
      </c>
      <c r="O4" s="64" t="s">
        <v>3732</v>
      </c>
      <c r="P4" s="64" t="s">
        <v>3733</v>
      </c>
      <c r="Q4" s="64" t="s">
        <v>3734</v>
      </c>
      <c r="R4" s="64" t="s">
        <v>3735</v>
      </c>
      <c r="S4" s="64" t="s">
        <v>3736</v>
      </c>
      <c r="T4" s="64" t="s">
        <v>3737</v>
      </c>
      <c r="U4" s="64" t="s">
        <v>3738</v>
      </c>
      <c r="V4" s="64" t="s">
        <v>3739</v>
      </c>
      <c r="W4" s="64" t="s">
        <v>3740</v>
      </c>
      <c r="X4" s="64" t="s">
        <v>3741</v>
      </c>
      <c r="Y4" s="64" t="s">
        <v>3742</v>
      </c>
      <c r="Z4" s="64" t="s">
        <v>3743</v>
      </c>
      <c r="AA4" s="64" t="s">
        <v>3744</v>
      </c>
      <c r="AB4" s="64" t="s">
        <v>3745</v>
      </c>
      <c r="AC4" s="64" t="s">
        <v>3746</v>
      </c>
      <c r="AD4" s="64" t="s">
        <v>3747</v>
      </c>
      <c r="AE4" s="64" t="s">
        <v>3748</v>
      </c>
      <c r="AF4" s="64" t="s">
        <v>3749</v>
      </c>
      <c r="AG4" s="64" t="s">
        <v>3750</v>
      </c>
      <c r="AH4" s="64" t="s">
        <v>3751</v>
      </c>
      <c r="AI4" s="64" t="s">
        <v>3752</v>
      </c>
      <c r="AJ4" s="64" t="s">
        <v>3753</v>
      </c>
      <c r="AK4" s="64" t="s">
        <v>3754</v>
      </c>
      <c r="AL4" s="64" t="s">
        <v>3755</v>
      </c>
      <c r="AM4" s="64" t="s">
        <v>3756</v>
      </c>
      <c r="AN4" s="64" t="s">
        <v>3757</v>
      </c>
      <c r="AO4" s="64" t="s">
        <v>3758</v>
      </c>
      <c r="AP4" s="64" t="s">
        <v>3759</v>
      </c>
      <c r="AQ4" s="64" t="s">
        <v>3760</v>
      </c>
      <c r="AR4" s="64" t="s">
        <v>3761</v>
      </c>
      <c r="AS4" s="64" t="s">
        <v>3762</v>
      </c>
      <c r="AT4" s="64" t="s">
        <v>3763</v>
      </c>
      <c r="AU4" s="64" t="s">
        <v>3764</v>
      </c>
      <c r="AV4" s="64" t="s">
        <v>3765</v>
      </c>
      <c r="AW4" s="64" t="s">
        <v>3766</v>
      </c>
      <c r="AX4" s="64" t="s">
        <v>3767</v>
      </c>
      <c r="AY4" s="64" t="s">
        <v>3768</v>
      </c>
      <c r="AZ4" s="64" t="s">
        <v>3769</v>
      </c>
      <c r="BA4" s="64" t="s">
        <v>3770</v>
      </c>
      <c r="BB4" s="64" t="s">
        <v>3771</v>
      </c>
      <c r="BC4" s="64" t="s">
        <v>3772</v>
      </c>
      <c r="BD4" s="64" t="s">
        <v>3773</v>
      </c>
      <c r="BE4" s="64" t="s">
        <v>3774</v>
      </c>
      <c r="BF4" s="64" t="s">
        <v>3775</v>
      </c>
      <c r="BG4" s="64" t="s">
        <v>3776</v>
      </c>
      <c r="BH4" s="64" t="s">
        <v>3777</v>
      </c>
      <c r="BI4" s="64" t="s">
        <v>3778</v>
      </c>
      <c r="BJ4" s="64" t="s">
        <v>3779</v>
      </c>
      <c r="BK4" s="64" t="s">
        <v>3780</v>
      </c>
      <c r="BL4" s="64" t="s">
        <v>3781</v>
      </c>
      <c r="BM4" s="64" t="s">
        <v>3782</v>
      </c>
      <c r="BN4" s="64" t="s">
        <v>3783</v>
      </c>
      <c r="BO4" s="64" t="s">
        <v>3784</v>
      </c>
      <c r="BP4" s="64" t="s">
        <v>3785</v>
      </c>
      <c r="BQ4" s="64" t="s">
        <v>3786</v>
      </c>
      <c r="BR4" s="64" t="s">
        <v>3787</v>
      </c>
      <c r="BS4" s="64" t="s">
        <v>3788</v>
      </c>
      <c r="BT4" s="64" t="s">
        <v>3789</v>
      </c>
      <c r="BU4" s="64" t="s">
        <v>3790</v>
      </c>
      <c r="BV4" s="64" t="s">
        <v>3791</v>
      </c>
      <c r="BW4" s="64" t="s">
        <v>3792</v>
      </c>
      <c r="BX4" s="64" t="s">
        <v>3793</v>
      </c>
      <c r="BY4" s="64" t="s">
        <v>3794</v>
      </c>
      <c r="BZ4" s="64" t="s">
        <v>3795</v>
      </c>
      <c r="CA4" s="64" t="s">
        <v>3796</v>
      </c>
      <c r="CB4" s="64" t="s">
        <v>3797</v>
      </c>
      <c r="CC4" s="64" t="s">
        <v>3798</v>
      </c>
      <c r="CD4" s="64" t="s">
        <v>3799</v>
      </c>
      <c r="CE4" s="64" t="s">
        <v>3800</v>
      </c>
      <c r="CF4" s="64" t="s">
        <v>3801</v>
      </c>
      <c r="CG4" s="64" t="s">
        <v>3802</v>
      </c>
      <c r="CH4" s="64" t="s">
        <v>3803</v>
      </c>
      <c r="CI4" s="64" t="s">
        <v>3804</v>
      </c>
      <c r="CJ4" s="64" t="s">
        <v>3805</v>
      </c>
      <c r="CK4" s="64" t="s">
        <v>3806</v>
      </c>
      <c r="CL4" s="64" t="s">
        <v>3807</v>
      </c>
      <c r="CM4" s="64" t="s">
        <v>3808</v>
      </c>
      <c r="CN4" s="64" t="s">
        <v>3809</v>
      </c>
      <c r="CO4" s="64" t="s">
        <v>3810</v>
      </c>
      <c r="CP4" s="64" t="s">
        <v>3811</v>
      </c>
      <c r="CQ4" s="64" t="s">
        <v>3812</v>
      </c>
      <c r="CR4" s="64" t="s">
        <v>3813</v>
      </c>
      <c r="CS4" s="64" t="s">
        <v>3814</v>
      </c>
      <c r="CT4" s="64" t="s">
        <v>3815</v>
      </c>
      <c r="CU4" s="64" t="s">
        <v>3816</v>
      </c>
      <c r="CV4" s="64" t="s">
        <v>3817</v>
      </c>
      <c r="CW4" s="64" t="s">
        <v>3818</v>
      </c>
      <c r="CX4" s="64" t="s">
        <v>3819</v>
      </c>
      <c r="CY4" s="64" t="s">
        <v>3820</v>
      </c>
      <c r="CZ4" s="64" t="s">
        <v>3821</v>
      </c>
      <c r="DA4" s="64" t="s">
        <v>3822</v>
      </c>
      <c r="DB4" s="64" t="s">
        <v>3823</v>
      </c>
      <c r="DC4" s="64" t="s">
        <v>3824</v>
      </c>
      <c r="DD4" s="64" t="s">
        <v>3825</v>
      </c>
      <c r="DE4" s="64" t="s">
        <v>3826</v>
      </c>
      <c r="DF4" s="64" t="s">
        <v>3827</v>
      </c>
      <c r="DG4" s="64" t="s">
        <v>3828</v>
      </c>
      <c r="DH4" s="64" t="s">
        <v>3829</v>
      </c>
      <c r="DI4" s="64" t="s">
        <v>3830</v>
      </c>
      <c r="DJ4" s="64" t="s">
        <v>3831</v>
      </c>
      <c r="DK4" s="64" t="s">
        <v>3832</v>
      </c>
      <c r="DL4" s="64" t="s">
        <v>3833</v>
      </c>
      <c r="DM4" s="64" t="s">
        <v>3834</v>
      </c>
      <c r="DN4" s="64" t="s">
        <v>3835</v>
      </c>
      <c r="DO4" s="64" t="s">
        <v>3836</v>
      </c>
      <c r="DP4" s="64" t="s">
        <v>3837</v>
      </c>
      <c r="DQ4" s="64" t="s">
        <v>3838</v>
      </c>
      <c r="DR4" s="64" t="s">
        <v>3839</v>
      </c>
      <c r="DS4" s="64" t="s">
        <v>3840</v>
      </c>
      <c r="DT4" s="64" t="s">
        <v>3841</v>
      </c>
      <c r="DU4" s="64" t="s">
        <v>3842</v>
      </c>
      <c r="DV4" s="64" t="s">
        <v>3843</v>
      </c>
      <c r="DW4" s="64" t="s">
        <v>3844</v>
      </c>
      <c r="DX4" s="64" t="s">
        <v>3845</v>
      </c>
      <c r="DY4" s="64" t="s">
        <v>3846</v>
      </c>
      <c r="DZ4" s="64" t="s">
        <v>3847</v>
      </c>
      <c r="EA4" s="64" t="s">
        <v>3848</v>
      </c>
      <c r="EB4" s="64" t="s">
        <v>3849</v>
      </c>
      <c r="EC4" s="64" t="s">
        <v>3850</v>
      </c>
      <c r="ED4" s="64" t="s">
        <v>3851</v>
      </c>
      <c r="EE4" s="64" t="s">
        <v>3852</v>
      </c>
      <c r="EF4" s="64" t="s">
        <v>3853</v>
      </c>
      <c r="EG4" s="64" t="s">
        <v>3854</v>
      </c>
      <c r="EH4" s="64" t="s">
        <v>3855</v>
      </c>
      <c r="EI4" s="64" t="s">
        <v>3856</v>
      </c>
      <c r="EJ4" s="64" t="s">
        <v>3857</v>
      </c>
      <c r="EK4" s="64" t="s">
        <v>3858</v>
      </c>
      <c r="EL4" s="64" t="s">
        <v>3859</v>
      </c>
      <c r="EM4" s="64" t="s">
        <v>3860</v>
      </c>
      <c r="EN4" s="64" t="s">
        <v>3861</v>
      </c>
      <c r="EO4" s="64" t="s">
        <v>3862</v>
      </c>
      <c r="EP4" s="64" t="s">
        <v>3863</v>
      </c>
      <c r="EQ4" s="64" t="s">
        <v>3864</v>
      </c>
      <c r="ER4" s="64" t="s">
        <v>3865</v>
      </c>
      <c r="ES4" s="64" t="s">
        <v>3866</v>
      </c>
      <c r="ET4" s="64" t="s">
        <v>3867</v>
      </c>
      <c r="EU4" s="64" t="s">
        <v>3868</v>
      </c>
      <c r="EV4" s="64" t="s">
        <v>3869</v>
      </c>
      <c r="EW4" s="64" t="s">
        <v>3870</v>
      </c>
      <c r="EX4" s="64" t="s">
        <v>3871</v>
      </c>
      <c r="EY4" s="64" t="s">
        <v>3872</v>
      </c>
      <c r="EZ4" s="64" t="s">
        <v>3873</v>
      </c>
      <c r="FA4" s="64" t="s">
        <v>3874</v>
      </c>
      <c r="FB4" s="64" t="s">
        <v>3875</v>
      </c>
      <c r="FC4" s="64" t="s">
        <v>3876</v>
      </c>
      <c r="FD4" s="64" t="s">
        <v>3877</v>
      </c>
      <c r="FE4" s="64" t="s">
        <v>3878</v>
      </c>
      <c r="FF4" s="64" t="s">
        <v>3879</v>
      </c>
      <c r="FG4" s="64" t="s">
        <v>3880</v>
      </c>
      <c r="FH4" s="64" t="s">
        <v>3881</v>
      </c>
      <c r="FI4" s="64" t="s">
        <v>3882</v>
      </c>
      <c r="FJ4" s="64" t="s">
        <v>3883</v>
      </c>
      <c r="FK4" s="64" t="s">
        <v>3884</v>
      </c>
      <c r="FL4" s="64" t="s">
        <v>3885</v>
      </c>
      <c r="FM4" s="64" t="s">
        <v>3886</v>
      </c>
      <c r="FN4" s="64" t="s">
        <v>3887</v>
      </c>
      <c r="FO4" s="64" t="s">
        <v>3888</v>
      </c>
      <c r="FP4" s="64" t="s">
        <v>3889</v>
      </c>
      <c r="FQ4" s="64" t="s">
        <v>3890</v>
      </c>
      <c r="FR4" s="64" t="s">
        <v>3891</v>
      </c>
      <c r="FS4" s="64" t="s">
        <v>3892</v>
      </c>
      <c r="FT4" s="64" t="s">
        <v>3893</v>
      </c>
      <c r="FU4" s="64" t="s">
        <v>3894</v>
      </c>
      <c r="FV4" s="64" t="s">
        <v>3895</v>
      </c>
      <c r="FW4" s="64" t="s">
        <v>3896</v>
      </c>
      <c r="FX4" s="64" t="s">
        <v>3897</v>
      </c>
      <c r="FY4" s="64" t="s">
        <v>3898</v>
      </c>
      <c r="FZ4" s="64" t="s">
        <v>3899</v>
      </c>
      <c r="GA4" s="64" t="s">
        <v>3900</v>
      </c>
      <c r="GB4" s="64" t="s">
        <v>3901</v>
      </c>
      <c r="GC4" s="64" t="s">
        <v>3902</v>
      </c>
      <c r="GD4" s="64" t="s">
        <v>3903</v>
      </c>
      <c r="GE4" s="64" t="s">
        <v>3904</v>
      </c>
      <c r="GF4" s="64" t="s">
        <v>3905</v>
      </c>
      <c r="GG4" s="64" t="s">
        <v>3906</v>
      </c>
      <c r="GH4" s="64" t="s">
        <v>3907</v>
      </c>
      <c r="GI4" s="64" t="s">
        <v>3908</v>
      </c>
      <c r="GJ4" s="64" t="s">
        <v>3909</v>
      </c>
      <c r="GK4" s="64" t="s">
        <v>3910</v>
      </c>
      <c r="GL4" s="64" t="s">
        <v>3911</v>
      </c>
      <c r="GM4" s="64" t="s">
        <v>3912</v>
      </c>
      <c r="GN4" s="64" t="s">
        <v>3913</v>
      </c>
      <c r="GO4" s="64" t="s">
        <v>3914</v>
      </c>
      <c r="GP4" s="64" t="s">
        <v>3915</v>
      </c>
      <c r="GQ4" s="64" t="s">
        <v>3916</v>
      </c>
      <c r="GR4" s="64" t="s">
        <v>3917</v>
      </c>
      <c r="GS4" s="64" t="s">
        <v>3918</v>
      </c>
      <c r="GT4" s="64" t="s">
        <v>3919</v>
      </c>
      <c r="GU4" s="64" t="s">
        <v>3920</v>
      </c>
      <c r="GV4" s="64" t="s">
        <v>3921</v>
      </c>
      <c r="GW4" s="64" t="s">
        <v>3922</v>
      </c>
      <c r="GX4" s="64" t="s">
        <v>3923</v>
      </c>
      <c r="GY4" s="64" t="s">
        <v>3924</v>
      </c>
      <c r="GZ4" s="64" t="s">
        <v>3925</v>
      </c>
      <c r="HA4" s="64" t="s">
        <v>3926</v>
      </c>
      <c r="HB4" s="64" t="s">
        <v>3927</v>
      </c>
      <c r="HC4" s="64" t="s">
        <v>3928</v>
      </c>
      <c r="HD4" s="64" t="s">
        <v>3929</v>
      </c>
      <c r="HE4" s="64" t="s">
        <v>3930</v>
      </c>
      <c r="HF4" s="64" t="s">
        <v>3931</v>
      </c>
      <c r="HG4" s="64" t="s">
        <v>3932</v>
      </c>
      <c r="HH4" s="64" t="s">
        <v>3933</v>
      </c>
      <c r="HI4" s="64" t="s">
        <v>3934</v>
      </c>
      <c r="HJ4" s="64" t="s">
        <v>3935</v>
      </c>
      <c r="HK4" s="64" t="s">
        <v>3936</v>
      </c>
      <c r="HL4" s="64" t="s">
        <v>3937</v>
      </c>
      <c r="HM4" s="64" t="s">
        <v>3938</v>
      </c>
      <c r="HN4" s="64" t="s">
        <v>3939</v>
      </c>
      <c r="HO4" s="64" t="s">
        <v>3940</v>
      </c>
      <c r="HP4" s="64" t="s">
        <v>3941</v>
      </c>
      <c r="HQ4" s="64" t="s">
        <v>3942</v>
      </c>
      <c r="HR4" s="64" t="s">
        <v>3943</v>
      </c>
      <c r="HS4" s="64" t="s">
        <v>3944</v>
      </c>
      <c r="HT4" s="64" t="s">
        <v>3945</v>
      </c>
      <c r="HU4" s="64" t="s">
        <v>3946</v>
      </c>
      <c r="HV4" s="64" t="s">
        <v>3947</v>
      </c>
      <c r="HW4" s="64" t="s">
        <v>3948</v>
      </c>
      <c r="HX4" s="64" t="s">
        <v>3949</v>
      </c>
      <c r="HY4" s="64" t="s">
        <v>3950</v>
      </c>
      <c r="HZ4" s="64" t="s">
        <v>3951</v>
      </c>
      <c r="IA4" s="64" t="s">
        <v>3952</v>
      </c>
      <c r="IB4" s="64" t="s">
        <v>3953</v>
      </c>
      <c r="IC4" s="64" t="s">
        <v>3954</v>
      </c>
      <c r="ID4" s="64" t="s">
        <v>3955</v>
      </c>
      <c r="IE4" s="64" t="s">
        <v>3956</v>
      </c>
      <c r="IF4" s="64" t="s">
        <v>3957</v>
      </c>
      <c r="IG4" s="64" t="s">
        <v>3958</v>
      </c>
      <c r="IH4" s="64" t="s">
        <v>3959</v>
      </c>
      <c r="II4" s="64" t="s">
        <v>3960</v>
      </c>
      <c r="IJ4" s="64" t="s">
        <v>3961</v>
      </c>
      <c r="IK4" s="64" t="s">
        <v>3962</v>
      </c>
      <c r="IL4" s="64" t="s">
        <v>3963</v>
      </c>
      <c r="IM4" s="64" t="s">
        <v>3964</v>
      </c>
      <c r="IN4" s="64" t="s">
        <v>3965</v>
      </c>
      <c r="IO4" s="64" t="s">
        <v>3966</v>
      </c>
      <c r="IP4" s="64" t="s">
        <v>3967</v>
      </c>
      <c r="IQ4" s="64" t="s">
        <v>3968</v>
      </c>
      <c r="IR4" s="64" t="s">
        <v>3969</v>
      </c>
      <c r="IS4" s="64" t="s">
        <v>3970</v>
      </c>
      <c r="IT4" s="64" t="s">
        <v>3971</v>
      </c>
      <c r="IU4" s="64" t="s">
        <v>3972</v>
      </c>
      <c r="IV4" s="64" t="s">
        <v>3973</v>
      </c>
      <c r="IW4" s="64" t="s">
        <v>3974</v>
      </c>
      <c r="IX4" s="64" t="s">
        <v>3975</v>
      </c>
      <c r="IY4" s="64" t="s">
        <v>3976</v>
      </c>
      <c r="IZ4" s="64" t="s">
        <v>3977</v>
      </c>
      <c r="JA4" s="64" t="s">
        <v>3978</v>
      </c>
      <c r="JB4" s="64" t="s">
        <v>3979</v>
      </c>
      <c r="JC4" s="64" t="s">
        <v>3980</v>
      </c>
      <c r="JD4" s="64" t="s">
        <v>3981</v>
      </c>
      <c r="JE4" s="64" t="s">
        <v>3982</v>
      </c>
      <c r="JF4" s="64" t="s">
        <v>3983</v>
      </c>
      <c r="JG4" s="64" t="s">
        <v>3984</v>
      </c>
      <c r="JH4" s="64" t="s">
        <v>3985</v>
      </c>
      <c r="JI4" s="64" t="s">
        <v>3986</v>
      </c>
      <c r="JJ4" s="64" t="s">
        <v>3987</v>
      </c>
      <c r="JK4" s="64" t="s">
        <v>3988</v>
      </c>
      <c r="JL4" s="64" t="s">
        <v>3989</v>
      </c>
      <c r="JM4" s="64" t="s">
        <v>3990</v>
      </c>
      <c r="JN4" s="64" t="s">
        <v>3991</v>
      </c>
      <c r="JO4" s="64" t="s">
        <v>3992</v>
      </c>
      <c r="JP4" s="64" t="s">
        <v>3993</v>
      </c>
      <c r="JQ4" s="64" t="s">
        <v>3994</v>
      </c>
      <c r="JR4" s="64" t="s">
        <v>3995</v>
      </c>
      <c r="JS4" s="64" t="s">
        <v>3996</v>
      </c>
      <c r="JT4" s="64" t="s">
        <v>3997</v>
      </c>
      <c r="JU4" s="64" t="s">
        <v>3998</v>
      </c>
      <c r="JV4" s="64" t="s">
        <v>3999</v>
      </c>
      <c r="JW4" s="64" t="s">
        <v>4000</v>
      </c>
      <c r="JX4" s="64" t="s">
        <v>4001</v>
      </c>
      <c r="JY4" s="64" t="s">
        <v>4002</v>
      </c>
      <c r="JZ4" s="64" t="s">
        <v>4003</v>
      </c>
      <c r="KA4" s="64" t="s">
        <v>4004</v>
      </c>
      <c r="KB4" s="64" t="s">
        <v>4005</v>
      </c>
      <c r="KC4" s="64" t="s">
        <v>4006</v>
      </c>
      <c r="KD4" s="64" t="s">
        <v>4007</v>
      </c>
      <c r="KE4" s="64" t="s">
        <v>4008</v>
      </c>
      <c r="KF4" s="64" t="s">
        <v>4009</v>
      </c>
      <c r="KG4" s="64" t="s">
        <v>4010</v>
      </c>
      <c r="KH4" s="64" t="s">
        <v>4011</v>
      </c>
      <c r="KI4" s="64" t="s">
        <v>4012</v>
      </c>
      <c r="KJ4" s="64" t="s">
        <v>4013</v>
      </c>
      <c r="KK4" s="64" t="s">
        <v>4014</v>
      </c>
      <c r="KL4" s="64" t="s">
        <v>4015</v>
      </c>
      <c r="KM4" s="64" t="s">
        <v>4016</v>
      </c>
      <c r="KN4" s="64" t="s">
        <v>4017</v>
      </c>
      <c r="KO4" s="64" t="s">
        <v>4018</v>
      </c>
      <c r="KP4" s="64" t="s">
        <v>4019</v>
      </c>
      <c r="KQ4" s="64" t="s">
        <v>4020</v>
      </c>
      <c r="KR4" s="64" t="s">
        <v>4021</v>
      </c>
      <c r="KS4" s="64" t="s">
        <v>4022</v>
      </c>
      <c r="KT4" s="64" t="s">
        <v>4023</v>
      </c>
      <c r="KU4" s="64" t="s">
        <v>4024</v>
      </c>
      <c r="KV4" s="64" t="s">
        <v>4025</v>
      </c>
      <c r="KW4" s="64" t="s">
        <v>4026</v>
      </c>
      <c r="KX4" s="64" t="s">
        <v>4027</v>
      </c>
      <c r="KY4" s="64" t="s">
        <v>4028</v>
      </c>
      <c r="KZ4" s="64" t="s">
        <v>4029</v>
      </c>
      <c r="LA4" s="64" t="s">
        <v>4030</v>
      </c>
      <c r="LB4" s="64" t="s">
        <v>4031</v>
      </c>
      <c r="LC4" s="64" t="s">
        <v>4032</v>
      </c>
      <c r="LD4" s="64" t="s">
        <v>4033</v>
      </c>
      <c r="LE4" s="64" t="s">
        <v>4034</v>
      </c>
      <c r="LF4" s="64" t="s">
        <v>4035</v>
      </c>
      <c r="LG4" s="64" t="s">
        <v>4036</v>
      </c>
      <c r="LH4" s="64" t="s">
        <v>4037</v>
      </c>
      <c r="LI4" s="64" t="s">
        <v>4038</v>
      </c>
      <c r="LJ4" s="64" t="s">
        <v>4039</v>
      </c>
      <c r="LK4" s="64" t="s">
        <v>4040</v>
      </c>
      <c r="LL4" s="64" t="s">
        <v>4041</v>
      </c>
      <c r="LM4" s="64" t="s">
        <v>4042</v>
      </c>
      <c r="LN4" s="64" t="s">
        <v>4043</v>
      </c>
      <c r="LO4" s="64" t="s">
        <v>4044</v>
      </c>
      <c r="LP4" s="64" t="s">
        <v>4045</v>
      </c>
      <c r="LQ4" s="64" t="s">
        <v>4046</v>
      </c>
      <c r="LR4" s="64" t="s">
        <v>4047</v>
      </c>
      <c r="LS4" s="64" t="s">
        <v>4048</v>
      </c>
      <c r="LT4" s="64" t="s">
        <v>4049</v>
      </c>
      <c r="LU4" s="64" t="s">
        <v>4050</v>
      </c>
      <c r="LV4" s="64" t="s">
        <v>4051</v>
      </c>
      <c r="LW4" s="64" t="s">
        <v>4052</v>
      </c>
      <c r="LX4" s="64" t="s">
        <v>4053</v>
      </c>
      <c r="LY4" s="64" t="s">
        <v>4054</v>
      </c>
      <c r="LZ4" s="64" t="s">
        <v>4055</v>
      </c>
      <c r="MA4" s="64" t="s">
        <v>4056</v>
      </c>
      <c r="MB4" s="64" t="s">
        <v>4057</v>
      </c>
      <c r="MC4" s="64" t="s">
        <v>4058</v>
      </c>
      <c r="MD4" s="64" t="s">
        <v>4059</v>
      </c>
      <c r="ME4" s="64" t="s">
        <v>4060</v>
      </c>
      <c r="MF4" s="64" t="s">
        <v>4061</v>
      </c>
      <c r="MG4" s="64" t="s">
        <v>4062</v>
      </c>
      <c r="MH4" s="64" t="s">
        <v>4063</v>
      </c>
      <c r="MI4" s="64" t="s">
        <v>4064</v>
      </c>
      <c r="MJ4" s="64" t="s">
        <v>4065</v>
      </c>
      <c r="MK4" s="64" t="s">
        <v>4066</v>
      </c>
      <c r="ML4" s="64" t="s">
        <v>4067</v>
      </c>
      <c r="MM4" s="64" t="s">
        <v>4068</v>
      </c>
      <c r="MN4" s="64" t="s">
        <v>4069</v>
      </c>
      <c r="MO4" s="64" t="s">
        <v>4070</v>
      </c>
      <c r="MP4" s="64" t="s">
        <v>4071</v>
      </c>
      <c r="MQ4" s="64" t="s">
        <v>4072</v>
      </c>
      <c r="MR4" s="64" t="s">
        <v>4073</v>
      </c>
      <c r="MS4" s="64" t="s">
        <v>4074</v>
      </c>
      <c r="MT4" s="64" t="s">
        <v>4075</v>
      </c>
      <c r="MU4" s="64" t="s">
        <v>4076</v>
      </c>
      <c r="MV4" s="64" t="s">
        <v>4077</v>
      </c>
      <c r="MW4" s="64" t="s">
        <v>4078</v>
      </c>
      <c r="MX4" s="64" t="s">
        <v>4079</v>
      </c>
      <c r="MY4" s="64" t="s">
        <v>4080</v>
      </c>
      <c r="MZ4" s="64" t="s">
        <v>4081</v>
      </c>
      <c r="NA4" s="64" t="s">
        <v>4082</v>
      </c>
      <c r="NB4" s="64" t="s">
        <v>4083</v>
      </c>
      <c r="NC4" s="64" t="s">
        <v>4084</v>
      </c>
      <c r="ND4" s="64" t="s">
        <v>4085</v>
      </c>
      <c r="NE4" s="64" t="s">
        <v>4086</v>
      </c>
      <c r="NF4" s="64" t="s">
        <v>4087</v>
      </c>
      <c r="NG4" s="64" t="s">
        <v>4088</v>
      </c>
      <c r="NH4" s="64" t="s">
        <v>4089</v>
      </c>
      <c r="NI4" s="64" t="s">
        <v>4090</v>
      </c>
      <c r="NJ4" s="64" t="s">
        <v>4091</v>
      </c>
      <c r="NK4" s="64" t="s">
        <v>4092</v>
      </c>
      <c r="NL4" s="64" t="s">
        <v>4093</v>
      </c>
      <c r="NM4" s="64" t="s">
        <v>4094</v>
      </c>
      <c r="NN4" s="64" t="s">
        <v>4095</v>
      </c>
      <c r="NO4" s="64" t="s">
        <v>4096</v>
      </c>
      <c r="NP4" s="64" t="s">
        <v>4097</v>
      </c>
      <c r="NQ4" s="64" t="s">
        <v>4098</v>
      </c>
      <c r="NR4" s="64" t="s">
        <v>4099</v>
      </c>
      <c r="NS4" s="64" t="s">
        <v>4100</v>
      </c>
      <c r="NT4" s="64" t="s">
        <v>4101</v>
      </c>
      <c r="NU4" s="64" t="s">
        <v>4102</v>
      </c>
      <c r="NV4" s="64" t="s">
        <v>4103</v>
      </c>
      <c r="NW4" s="64" t="s">
        <v>4104</v>
      </c>
      <c r="NX4" s="64" t="s">
        <v>4105</v>
      </c>
      <c r="NY4" s="64" t="s">
        <v>4106</v>
      </c>
      <c r="NZ4" s="64" t="s">
        <v>4107</v>
      </c>
      <c r="OA4" s="64" t="s">
        <v>4108</v>
      </c>
      <c r="OB4" s="64" t="s">
        <v>4109</v>
      </c>
      <c r="OC4" s="64" t="s">
        <v>4110</v>
      </c>
      <c r="OD4" s="64" t="s">
        <v>4111</v>
      </c>
      <c r="OE4" s="64" t="s">
        <v>4112</v>
      </c>
      <c r="OF4" s="64" t="s">
        <v>4113</v>
      </c>
      <c r="OG4" s="64" t="s">
        <v>4114</v>
      </c>
      <c r="OH4" s="64" t="s">
        <v>4115</v>
      </c>
      <c r="OI4" s="64" t="s">
        <v>4116</v>
      </c>
      <c r="OJ4" s="64" t="s">
        <v>4117</v>
      </c>
      <c r="OK4" s="64" t="s">
        <v>4118</v>
      </c>
      <c r="OL4" s="64" t="s">
        <v>4119</v>
      </c>
      <c r="OM4" s="64" t="s">
        <v>4120</v>
      </c>
      <c r="ON4" s="64" t="s">
        <v>4121</v>
      </c>
      <c r="OO4" s="64" t="s">
        <v>4122</v>
      </c>
      <c r="OP4" s="64" t="s">
        <v>4123</v>
      </c>
      <c r="OQ4" s="64" t="s">
        <v>4124</v>
      </c>
      <c r="OR4" s="64" t="s">
        <v>4125</v>
      </c>
      <c r="OS4" s="64" t="s">
        <v>4126</v>
      </c>
      <c r="OT4" s="64" t="s">
        <v>4127</v>
      </c>
      <c r="OU4" s="64" t="s">
        <v>4128</v>
      </c>
      <c r="OV4" s="64" t="s">
        <v>4129</v>
      </c>
      <c r="OW4" s="64" t="s">
        <v>4130</v>
      </c>
      <c r="OX4" s="64" t="s">
        <v>4131</v>
      </c>
      <c r="OY4" s="64" t="s">
        <v>4132</v>
      </c>
      <c r="OZ4" s="64" t="s">
        <v>4133</v>
      </c>
      <c r="PA4" s="64" t="s">
        <v>4134</v>
      </c>
      <c r="PB4" s="64" t="s">
        <v>4135</v>
      </c>
      <c r="PC4" s="64" t="s">
        <v>4136</v>
      </c>
      <c r="PD4" s="64" t="s">
        <v>4137</v>
      </c>
      <c r="PE4" s="64" t="s">
        <v>4138</v>
      </c>
      <c r="PF4" s="64" t="s">
        <v>4139</v>
      </c>
      <c r="PG4" s="64" t="s">
        <v>4140</v>
      </c>
      <c r="PH4" s="64" t="s">
        <v>4141</v>
      </c>
      <c r="PI4" s="64" t="s">
        <v>4142</v>
      </c>
      <c r="PJ4" s="64" t="s">
        <v>4143</v>
      </c>
      <c r="PK4" s="64" t="s">
        <v>4144</v>
      </c>
      <c r="PL4" s="64" t="s">
        <v>4145</v>
      </c>
      <c r="PM4" s="64" t="s">
        <v>4146</v>
      </c>
      <c r="PN4" s="64" t="s">
        <v>4147</v>
      </c>
      <c r="PO4" s="64" t="s">
        <v>4148</v>
      </c>
      <c r="PP4" s="64" t="s">
        <v>4149</v>
      </c>
      <c r="PQ4" s="64" t="s">
        <v>4150</v>
      </c>
      <c r="PR4" s="64" t="s">
        <v>4151</v>
      </c>
      <c r="PS4" s="64" t="s">
        <v>4152</v>
      </c>
      <c r="PT4" s="64" t="s">
        <v>4153</v>
      </c>
      <c r="PU4" s="64" t="s">
        <v>4154</v>
      </c>
      <c r="PV4" s="64" t="s">
        <v>4155</v>
      </c>
      <c r="PW4" s="64" t="s">
        <v>4156</v>
      </c>
      <c r="PX4" s="64" t="s">
        <v>4157</v>
      </c>
      <c r="PY4" s="64" t="s">
        <v>4158</v>
      </c>
      <c r="PZ4" s="64" t="s">
        <v>4159</v>
      </c>
      <c r="QA4" s="64" t="s">
        <v>4160</v>
      </c>
      <c r="QB4" s="64" t="s">
        <v>4161</v>
      </c>
      <c r="QC4" s="64" t="s">
        <v>4162</v>
      </c>
      <c r="QD4" s="64" t="s">
        <v>4163</v>
      </c>
      <c r="QE4" s="64" t="s">
        <v>4164</v>
      </c>
      <c r="QF4" s="64" t="s">
        <v>4165</v>
      </c>
      <c r="QG4" s="64" t="s">
        <v>4166</v>
      </c>
      <c r="QH4" s="64" t="s">
        <v>4167</v>
      </c>
      <c r="QI4" s="64" t="s">
        <v>4168</v>
      </c>
      <c r="QJ4" s="64" t="s">
        <v>4169</v>
      </c>
      <c r="QK4" s="64" t="s">
        <v>4170</v>
      </c>
      <c r="QL4" s="64" t="s">
        <v>4171</v>
      </c>
      <c r="QM4" s="64" t="s">
        <v>4172</v>
      </c>
      <c r="QN4" s="64" t="s">
        <v>4173</v>
      </c>
      <c r="QO4" s="64" t="s">
        <v>4174</v>
      </c>
      <c r="QP4" s="64" t="s">
        <v>4175</v>
      </c>
      <c r="QQ4" s="64" t="s">
        <v>4176</v>
      </c>
      <c r="QR4" s="64" t="s">
        <v>4177</v>
      </c>
      <c r="QS4" s="64" t="s">
        <v>4178</v>
      </c>
      <c r="QT4" s="64" t="s">
        <v>4179</v>
      </c>
      <c r="QU4" s="64" t="s">
        <v>4180</v>
      </c>
      <c r="QV4" s="64" t="s">
        <v>4181</v>
      </c>
      <c r="QW4" s="64" t="s">
        <v>4182</v>
      </c>
      <c r="QX4" s="64" t="s">
        <v>4183</v>
      </c>
      <c r="QY4" s="64" t="s">
        <v>4184</v>
      </c>
      <c r="QZ4" s="64" t="s">
        <v>4185</v>
      </c>
      <c r="RA4" s="64" t="s">
        <v>4186</v>
      </c>
      <c r="RB4" s="64" t="s">
        <v>4187</v>
      </c>
      <c r="RC4" s="64" t="s">
        <v>4188</v>
      </c>
      <c r="RD4" s="64" t="s">
        <v>4189</v>
      </c>
      <c r="RE4" s="64" t="s">
        <v>4190</v>
      </c>
      <c r="RF4" s="64" t="s">
        <v>4191</v>
      </c>
      <c r="RG4" s="64" t="s">
        <v>4192</v>
      </c>
      <c r="RH4" s="64" t="s">
        <v>4193</v>
      </c>
      <c r="RI4" s="64" t="s">
        <v>4194</v>
      </c>
      <c r="RJ4" s="64" t="s">
        <v>4195</v>
      </c>
      <c r="RK4" s="64" t="s">
        <v>4196</v>
      </c>
      <c r="RL4" s="64" t="s">
        <v>4197</v>
      </c>
      <c r="RM4" s="64" t="s">
        <v>4198</v>
      </c>
      <c r="RN4" s="64" t="s">
        <v>4199</v>
      </c>
      <c r="RO4" s="64" t="s">
        <v>4200</v>
      </c>
      <c r="RP4" s="64" t="s">
        <v>4201</v>
      </c>
      <c r="RQ4" s="64" t="s">
        <v>4202</v>
      </c>
      <c r="RR4" s="64" t="s">
        <v>4203</v>
      </c>
      <c r="RS4" s="64" t="s">
        <v>4204</v>
      </c>
      <c r="RT4" s="64" t="s">
        <v>4205</v>
      </c>
      <c r="RU4" s="64" t="s">
        <v>4206</v>
      </c>
      <c r="RV4" s="64" t="s">
        <v>4207</v>
      </c>
      <c r="RW4" s="64" t="s">
        <v>4208</v>
      </c>
      <c r="RX4" s="64" t="s">
        <v>4209</v>
      </c>
      <c r="RY4" s="64" t="s">
        <v>4210</v>
      </c>
      <c r="RZ4" s="64" t="s">
        <v>4211</v>
      </c>
      <c r="SA4" s="64" t="s">
        <v>4212</v>
      </c>
      <c r="SB4" s="64" t="s">
        <v>4213</v>
      </c>
      <c r="SC4" s="64" t="s">
        <v>4214</v>
      </c>
      <c r="SD4" s="64" t="s">
        <v>4215</v>
      </c>
      <c r="SE4" s="64" t="s">
        <v>4216</v>
      </c>
      <c r="SF4" s="64" t="s">
        <v>4217</v>
      </c>
      <c r="SG4" s="64" t="s">
        <v>4218</v>
      </c>
      <c r="SH4" s="64" t="s">
        <v>4219</v>
      </c>
      <c r="SI4" s="64" t="s">
        <v>4220</v>
      </c>
      <c r="SJ4" s="64" t="s">
        <v>4221</v>
      </c>
      <c r="SK4" s="64" t="s">
        <v>4222</v>
      </c>
      <c r="SL4" s="64" t="s">
        <v>4223</v>
      </c>
      <c r="SM4" s="64" t="s">
        <v>4224</v>
      </c>
      <c r="SN4" s="64" t="s">
        <v>4225</v>
      </c>
      <c r="SO4" s="64" t="s">
        <v>4226</v>
      </c>
      <c r="SP4" s="64" t="s">
        <v>4227</v>
      </c>
      <c r="SQ4" s="64" t="s">
        <v>4228</v>
      </c>
      <c r="SR4" s="64" t="s">
        <v>4229</v>
      </c>
      <c r="SS4" s="64" t="s">
        <v>4230</v>
      </c>
      <c r="ST4" s="64" t="s">
        <v>4231</v>
      </c>
      <c r="SU4" s="64" t="s">
        <v>4232</v>
      </c>
      <c r="SV4" s="64" t="s">
        <v>4233</v>
      </c>
      <c r="SW4" s="64" t="s">
        <v>4234</v>
      </c>
      <c r="SX4" s="64" t="s">
        <v>4235</v>
      </c>
      <c r="SY4" s="64" t="s">
        <v>4236</v>
      </c>
      <c r="SZ4" s="64" t="s">
        <v>4237</v>
      </c>
      <c r="TA4" s="64" t="s">
        <v>4238</v>
      </c>
      <c r="TB4" s="64" t="s">
        <v>4239</v>
      </c>
      <c r="TC4" s="64" t="s">
        <v>4240</v>
      </c>
      <c r="TD4" s="64" t="s">
        <v>4241</v>
      </c>
      <c r="TE4" s="64" t="s">
        <v>4242</v>
      </c>
      <c r="TF4" s="64" t="s">
        <v>4243</v>
      </c>
      <c r="TG4" s="64" t="s">
        <v>4244</v>
      </c>
      <c r="TH4" s="64" t="s">
        <v>4245</v>
      </c>
      <c r="TI4" s="64" t="s">
        <v>4246</v>
      </c>
      <c r="TJ4" s="64" t="s">
        <v>4247</v>
      </c>
      <c r="TK4" s="64" t="s">
        <v>4248</v>
      </c>
      <c r="TL4" s="64" t="s">
        <v>4249</v>
      </c>
      <c r="TM4" s="64" t="s">
        <v>4250</v>
      </c>
      <c r="TN4" s="64" t="s">
        <v>4251</v>
      </c>
      <c r="TO4" s="64" t="s">
        <v>4252</v>
      </c>
      <c r="TP4" s="64" t="s">
        <v>4253</v>
      </c>
      <c r="TQ4" s="64" t="s">
        <v>4254</v>
      </c>
      <c r="TR4" s="64" t="s">
        <v>4255</v>
      </c>
      <c r="TS4" s="64" t="s">
        <v>4256</v>
      </c>
      <c r="TT4" s="64" t="s">
        <v>4257</v>
      </c>
      <c r="TU4" s="64" t="s">
        <v>4258</v>
      </c>
      <c r="TV4" s="64" t="s">
        <v>4259</v>
      </c>
      <c r="TW4" s="64" t="s">
        <v>4260</v>
      </c>
      <c r="TX4" s="64" t="s">
        <v>4261</v>
      </c>
      <c r="TY4" s="64" t="s">
        <v>4262</v>
      </c>
      <c r="TZ4" s="64" t="s">
        <v>4263</v>
      </c>
      <c r="UA4" s="64" t="s">
        <v>4264</v>
      </c>
      <c r="UB4" s="64" t="s">
        <v>4265</v>
      </c>
      <c r="UC4" s="64" t="s">
        <v>4266</v>
      </c>
      <c r="UD4" s="64" t="s">
        <v>4267</v>
      </c>
      <c r="UE4" s="64" t="s">
        <v>4268</v>
      </c>
      <c r="UF4" s="64" t="s">
        <v>4269</v>
      </c>
      <c r="UG4" s="64" t="s">
        <v>4270</v>
      </c>
      <c r="UH4" s="64" t="s">
        <v>4271</v>
      </c>
      <c r="UI4" s="64" t="s">
        <v>4272</v>
      </c>
      <c r="UJ4" s="64" t="s">
        <v>4273</v>
      </c>
      <c r="UK4" s="64" t="s">
        <v>4274</v>
      </c>
      <c r="UL4" s="64" t="s">
        <v>4275</v>
      </c>
      <c r="UM4" s="64" t="s">
        <v>4276</v>
      </c>
      <c r="UN4" s="64" t="s">
        <v>4277</v>
      </c>
      <c r="UO4" s="64" t="s">
        <v>4278</v>
      </c>
      <c r="UP4" s="64" t="s">
        <v>4279</v>
      </c>
      <c r="UQ4" s="64" t="s">
        <v>4280</v>
      </c>
      <c r="UR4" s="64" t="s">
        <v>4281</v>
      </c>
      <c r="US4" s="64" t="s">
        <v>4282</v>
      </c>
      <c r="UT4" s="64" t="s">
        <v>4283</v>
      </c>
      <c r="UU4" s="64" t="s">
        <v>4284</v>
      </c>
      <c r="UV4" s="64" t="s">
        <v>4285</v>
      </c>
      <c r="UW4" s="64" t="s">
        <v>4286</v>
      </c>
      <c r="UX4" s="64" t="s">
        <v>4287</v>
      </c>
      <c r="UY4" s="64" t="s">
        <v>4288</v>
      </c>
      <c r="UZ4" s="64" t="s">
        <v>4289</v>
      </c>
      <c r="VA4" s="64" t="s">
        <v>4290</v>
      </c>
      <c r="VB4" s="64" t="s">
        <v>4291</v>
      </c>
      <c r="VC4" s="64" t="s">
        <v>4292</v>
      </c>
      <c r="VD4" s="64" t="s">
        <v>4293</v>
      </c>
      <c r="VE4" s="64" t="s">
        <v>4294</v>
      </c>
      <c r="VF4" s="64" t="s">
        <v>4295</v>
      </c>
      <c r="VG4" s="64" t="s">
        <v>4296</v>
      </c>
      <c r="VH4" s="64" t="s">
        <v>4297</v>
      </c>
      <c r="VI4" s="64" t="s">
        <v>4298</v>
      </c>
      <c r="VJ4" s="64" t="s">
        <v>4299</v>
      </c>
      <c r="VK4" s="64" t="s">
        <v>4300</v>
      </c>
      <c r="VL4" s="64" t="s">
        <v>4301</v>
      </c>
      <c r="VM4" s="64" t="s">
        <v>4302</v>
      </c>
      <c r="VN4" s="64" t="s">
        <v>4303</v>
      </c>
      <c r="VO4" s="64" t="s">
        <v>4304</v>
      </c>
      <c r="VP4" s="64" t="s">
        <v>4305</v>
      </c>
      <c r="VQ4" s="64" t="s">
        <v>4306</v>
      </c>
      <c r="VR4" s="64" t="s">
        <v>4307</v>
      </c>
      <c r="VS4" s="64" t="s">
        <v>4308</v>
      </c>
      <c r="VT4" s="64" t="s">
        <v>4309</v>
      </c>
      <c r="VU4" s="64" t="s">
        <v>4310</v>
      </c>
      <c r="VV4" s="64" t="s">
        <v>4311</v>
      </c>
      <c r="VW4" s="64" t="s">
        <v>4312</v>
      </c>
      <c r="VX4" s="64" t="s">
        <v>4313</v>
      </c>
      <c r="VY4" s="64" t="s">
        <v>4314</v>
      </c>
      <c r="VZ4" s="64" t="s">
        <v>4315</v>
      </c>
      <c r="WA4" s="64" t="s">
        <v>4316</v>
      </c>
      <c r="WB4" s="64" t="s">
        <v>4317</v>
      </c>
      <c r="WC4" s="64" t="s">
        <v>4318</v>
      </c>
      <c r="WD4" s="64" t="s">
        <v>4319</v>
      </c>
      <c r="WE4" s="64" t="s">
        <v>4320</v>
      </c>
      <c r="WF4" s="64" t="s">
        <v>4321</v>
      </c>
      <c r="WG4" s="64" t="s">
        <v>4322</v>
      </c>
      <c r="WH4" s="64" t="s">
        <v>4323</v>
      </c>
      <c r="WI4" s="64" t="s">
        <v>4324</v>
      </c>
      <c r="WJ4" s="64" t="s">
        <v>4325</v>
      </c>
      <c r="WK4" s="64" t="s">
        <v>4326</v>
      </c>
      <c r="WL4" s="64" t="s">
        <v>4327</v>
      </c>
      <c r="WM4" s="64" t="s">
        <v>4328</v>
      </c>
      <c r="WN4" s="64" t="s">
        <v>4329</v>
      </c>
      <c r="WO4" s="64" t="s">
        <v>4330</v>
      </c>
      <c r="WP4" s="64" t="s">
        <v>4331</v>
      </c>
      <c r="WQ4" s="64" t="s">
        <v>4332</v>
      </c>
      <c r="WR4" s="64" t="s">
        <v>4333</v>
      </c>
      <c r="WS4" s="64" t="s">
        <v>4334</v>
      </c>
      <c r="WT4" s="64" t="s">
        <v>4335</v>
      </c>
      <c r="WU4" s="64" t="s">
        <v>4336</v>
      </c>
      <c r="WV4" s="64" t="s">
        <v>4337</v>
      </c>
      <c r="WW4" s="64" t="s">
        <v>4338</v>
      </c>
      <c r="WX4" s="64" t="s">
        <v>4339</v>
      </c>
      <c r="WY4" s="64" t="s">
        <v>4340</v>
      </c>
      <c r="WZ4" s="64" t="s">
        <v>4341</v>
      </c>
      <c r="XA4" s="64" t="s">
        <v>4342</v>
      </c>
      <c r="XB4" s="64" t="s">
        <v>4343</v>
      </c>
      <c r="XC4" s="64" t="s">
        <v>4344</v>
      </c>
      <c r="XD4" s="64" t="s">
        <v>4345</v>
      </c>
      <c r="XE4" s="64" t="s">
        <v>4346</v>
      </c>
      <c r="XF4" s="64" t="s">
        <v>4347</v>
      </c>
      <c r="XG4" s="64" t="s">
        <v>4348</v>
      </c>
      <c r="XH4" s="64" t="s">
        <v>4349</v>
      </c>
      <c r="XI4" s="64" t="s">
        <v>4350</v>
      </c>
      <c r="XJ4" s="64" t="s">
        <v>4351</v>
      </c>
      <c r="XK4" s="64" t="s">
        <v>4352</v>
      </c>
      <c r="XL4" s="64" t="s">
        <v>4353</v>
      </c>
      <c r="XM4" s="64" t="s">
        <v>4354</v>
      </c>
      <c r="XN4" s="64" t="s">
        <v>4355</v>
      </c>
      <c r="XO4" s="64" t="s">
        <v>4356</v>
      </c>
      <c r="XP4" s="64" t="s">
        <v>4357</v>
      </c>
      <c r="XQ4" s="64" t="s">
        <v>4358</v>
      </c>
      <c r="XR4" s="64" t="s">
        <v>4359</v>
      </c>
      <c r="XS4" s="64" t="s">
        <v>4360</v>
      </c>
      <c r="XT4" s="64" t="s">
        <v>4361</v>
      </c>
      <c r="XU4" s="64" t="s">
        <v>4362</v>
      </c>
      <c r="XV4" s="64" t="s">
        <v>4363</v>
      </c>
      <c r="XW4" s="64" t="s">
        <v>4364</v>
      </c>
      <c r="XX4" s="64" t="s">
        <v>4365</v>
      </c>
      <c r="XY4" s="64" t="s">
        <v>4366</v>
      </c>
      <c r="XZ4" s="64" t="s">
        <v>4367</v>
      </c>
      <c r="YA4" s="64" t="s">
        <v>4368</v>
      </c>
      <c r="YB4" s="64" t="s">
        <v>4369</v>
      </c>
      <c r="YC4" s="64" t="s">
        <v>4370</v>
      </c>
      <c r="YD4" s="64" t="s">
        <v>4371</v>
      </c>
      <c r="YE4" s="64" t="s">
        <v>4372</v>
      </c>
      <c r="YF4" s="64" t="s">
        <v>4373</v>
      </c>
      <c r="YG4" s="64" t="s">
        <v>4374</v>
      </c>
      <c r="YH4" s="64" t="s">
        <v>4375</v>
      </c>
      <c r="YI4" s="64" t="s">
        <v>4376</v>
      </c>
      <c r="YJ4" s="64" t="s">
        <v>4377</v>
      </c>
      <c r="YK4" s="64" t="s">
        <v>4378</v>
      </c>
      <c r="YL4" s="64" t="s">
        <v>4379</v>
      </c>
      <c r="YM4" s="64" t="s">
        <v>4380</v>
      </c>
      <c r="YN4" s="64" t="s">
        <v>4381</v>
      </c>
      <c r="YO4" s="64" t="s">
        <v>4382</v>
      </c>
      <c r="YP4" s="64" t="s">
        <v>4383</v>
      </c>
      <c r="YQ4" s="64" t="s">
        <v>4384</v>
      </c>
      <c r="YR4" s="64" t="s">
        <v>4385</v>
      </c>
      <c r="YS4" s="64" t="s">
        <v>4386</v>
      </c>
      <c r="YT4" s="64" t="s">
        <v>4387</v>
      </c>
      <c r="YU4" s="64" t="s">
        <v>4388</v>
      </c>
      <c r="YV4" s="64" t="s">
        <v>4389</v>
      </c>
      <c r="YW4" s="64" t="s">
        <v>4390</v>
      </c>
      <c r="YX4" s="64" t="s">
        <v>4391</v>
      </c>
      <c r="YY4" s="64" t="s">
        <v>4392</v>
      </c>
      <c r="YZ4" s="64" t="s">
        <v>4393</v>
      </c>
      <c r="ZA4" s="64" t="s">
        <v>4394</v>
      </c>
      <c r="ZB4" s="64" t="s">
        <v>4395</v>
      </c>
      <c r="ZC4" s="64" t="s">
        <v>4396</v>
      </c>
      <c r="ZD4" s="64" t="s">
        <v>4397</v>
      </c>
      <c r="ZE4" s="64" t="s">
        <v>4398</v>
      </c>
      <c r="ZF4" s="64" t="s">
        <v>4399</v>
      </c>
      <c r="ZG4" s="64" t="s">
        <v>4400</v>
      </c>
      <c r="ZH4" s="64" t="s">
        <v>4401</v>
      </c>
      <c r="ZI4" s="64" t="s">
        <v>4402</v>
      </c>
    </row>
    <row r="5" spans="1:685" ht="15" customHeight="1" x14ac:dyDescent="0.25">
      <c r="A5" s="65" t="s">
        <v>15</v>
      </c>
      <c r="C5" s="65" t="s">
        <v>15</v>
      </c>
      <c r="D5" s="65" t="s">
        <v>3730</v>
      </c>
      <c r="F5" s="66" t="s">
        <v>4403</v>
      </c>
      <c r="G5" s="66" t="s">
        <v>3759</v>
      </c>
      <c r="I5" s="66" t="s">
        <v>20</v>
      </c>
      <c r="J5" s="66" t="s">
        <v>3883</v>
      </c>
      <c r="M5" s="65" t="s">
        <v>16</v>
      </c>
      <c r="N5" s="65" t="s">
        <v>227</v>
      </c>
      <c r="O5" s="65" t="s">
        <v>351</v>
      </c>
      <c r="P5" s="65" t="s">
        <v>408</v>
      </c>
      <c r="Q5" s="65" t="s">
        <v>439</v>
      </c>
      <c r="R5" s="65" t="s">
        <v>479</v>
      </c>
      <c r="S5" s="65" t="s">
        <v>510</v>
      </c>
      <c r="T5" s="65" t="s">
        <v>528</v>
      </c>
      <c r="U5" s="65" t="s">
        <v>536</v>
      </c>
      <c r="V5" s="65" t="s">
        <v>561</v>
      </c>
      <c r="W5" s="65" t="s">
        <v>351</v>
      </c>
      <c r="X5" s="65" t="s">
        <v>650</v>
      </c>
      <c r="Y5" s="65" t="s">
        <v>684</v>
      </c>
      <c r="Z5" s="65" t="s">
        <v>408</v>
      </c>
      <c r="AA5" s="65" t="s">
        <v>510</v>
      </c>
      <c r="AB5" s="65" t="s">
        <v>765</v>
      </c>
      <c r="AC5" s="65" t="s">
        <v>806</v>
      </c>
      <c r="AD5" s="65" t="s">
        <v>868</v>
      </c>
      <c r="AE5" s="65" t="s">
        <v>919</v>
      </c>
      <c r="AF5" s="65" t="s">
        <v>973</v>
      </c>
      <c r="AG5" s="65" t="s">
        <v>1001</v>
      </c>
      <c r="AH5" s="65" t="s">
        <v>1042</v>
      </c>
      <c r="AI5" s="65" t="s">
        <v>1138</v>
      </c>
      <c r="AJ5" s="65" t="s">
        <v>1205</v>
      </c>
      <c r="AK5" s="65" t="s">
        <v>1266</v>
      </c>
      <c r="AL5" s="65" t="s">
        <v>1317</v>
      </c>
      <c r="AM5" s="65" t="s">
        <v>1332</v>
      </c>
      <c r="AN5" s="65" t="s">
        <v>1360</v>
      </c>
      <c r="AO5" s="65" t="s">
        <v>1379</v>
      </c>
      <c r="AP5" s="65" t="s">
        <v>17</v>
      </c>
      <c r="AQ5" s="65" t="s">
        <v>43</v>
      </c>
      <c r="AR5" s="65" t="s">
        <v>66</v>
      </c>
      <c r="AS5" s="65" t="s">
        <v>103</v>
      </c>
      <c r="AT5" s="65" t="s">
        <v>118</v>
      </c>
      <c r="AU5" s="65" t="s">
        <v>118</v>
      </c>
      <c r="AV5" s="65" t="s">
        <v>118</v>
      </c>
      <c r="AW5" s="65" t="s">
        <v>121</v>
      </c>
      <c r="AX5" s="65" t="s">
        <v>118</v>
      </c>
      <c r="AY5" s="65" t="s">
        <v>118</v>
      </c>
      <c r="AZ5" s="65" t="s">
        <v>118</v>
      </c>
      <c r="BA5" s="65" t="s">
        <v>118</v>
      </c>
      <c r="BB5" s="65" t="s">
        <v>69</v>
      </c>
      <c r="BC5" s="65" t="s">
        <v>69</v>
      </c>
      <c r="BD5" s="65" t="s">
        <v>69</v>
      </c>
      <c r="BE5" s="65" t="s">
        <v>69</v>
      </c>
      <c r="BF5" s="65" t="s">
        <v>69</v>
      </c>
      <c r="BG5" s="65" t="s">
        <v>69</v>
      </c>
      <c r="BH5" s="65" t="s">
        <v>69</v>
      </c>
      <c r="BI5" s="65" t="s">
        <v>69</v>
      </c>
      <c r="BJ5" s="65" t="s">
        <v>282</v>
      </c>
      <c r="BK5" s="65" t="s">
        <v>325</v>
      </c>
      <c r="BL5" s="65" t="s">
        <v>99</v>
      </c>
      <c r="BM5" s="65" t="s">
        <v>352</v>
      </c>
      <c r="BN5" s="65" t="s">
        <v>368</v>
      </c>
      <c r="BO5" s="65" t="s">
        <v>378</v>
      </c>
      <c r="BP5" s="65" t="s">
        <v>388</v>
      </c>
      <c r="BQ5" s="65" t="s">
        <v>394</v>
      </c>
      <c r="BR5" s="65" t="s">
        <v>408</v>
      </c>
      <c r="BS5" s="65" t="s">
        <v>417</v>
      </c>
      <c r="BT5" s="65" t="s">
        <v>425</v>
      </c>
      <c r="BU5" s="65" t="s">
        <v>431</v>
      </c>
      <c r="BV5" s="65" t="s">
        <v>439</v>
      </c>
      <c r="BW5" s="65" t="s">
        <v>445</v>
      </c>
      <c r="BX5" s="65" t="s">
        <v>452</v>
      </c>
      <c r="BY5" s="65" t="s">
        <v>458</v>
      </c>
      <c r="BZ5" s="65" t="s">
        <v>465</v>
      </c>
      <c r="CA5" s="65" t="s">
        <v>479</v>
      </c>
      <c r="CB5" s="65" t="s">
        <v>491</v>
      </c>
      <c r="CC5" s="65" t="s">
        <v>498</v>
      </c>
      <c r="CD5" s="65" t="s">
        <v>510</v>
      </c>
      <c r="CE5" s="65" t="s">
        <v>516</v>
      </c>
      <c r="CF5" s="65" t="s">
        <v>138</v>
      </c>
      <c r="CG5" s="65" t="s">
        <v>408</v>
      </c>
      <c r="CH5" s="65" t="s">
        <v>537</v>
      </c>
      <c r="CI5" s="65" t="s">
        <v>550</v>
      </c>
      <c r="CJ5" s="65" t="s">
        <v>562</v>
      </c>
      <c r="CK5" s="65" t="s">
        <v>575</v>
      </c>
      <c r="CL5" s="65" t="s">
        <v>586</v>
      </c>
      <c r="CM5" s="65" t="s">
        <v>597</v>
      </c>
      <c r="CN5" s="65" t="s">
        <v>352</v>
      </c>
      <c r="CO5" s="65" t="s">
        <v>616</v>
      </c>
      <c r="CP5" s="65" t="s">
        <v>629</v>
      </c>
      <c r="CQ5" s="65" t="s">
        <v>635</v>
      </c>
      <c r="CR5" s="65" t="s">
        <v>550</v>
      </c>
      <c r="CS5" s="65" t="s">
        <v>650</v>
      </c>
      <c r="CT5" s="65" t="s">
        <v>656</v>
      </c>
      <c r="CU5" s="65" t="s">
        <v>439</v>
      </c>
      <c r="CV5" s="65" t="s">
        <v>445</v>
      </c>
      <c r="CW5" s="65" t="s">
        <v>465</v>
      </c>
      <c r="CX5" s="65" t="s">
        <v>676</v>
      </c>
      <c r="CY5" s="65" t="s">
        <v>685</v>
      </c>
      <c r="CZ5" s="65" t="s">
        <v>408</v>
      </c>
      <c r="DA5" s="65" t="s">
        <v>417</v>
      </c>
      <c r="DB5" s="65" t="s">
        <v>425</v>
      </c>
      <c r="DC5" s="65" t="s">
        <v>701</v>
      </c>
      <c r="DD5" s="65" t="s">
        <v>713</v>
      </c>
      <c r="DE5" s="65" t="s">
        <v>510</v>
      </c>
      <c r="DF5" s="65" t="s">
        <v>516</v>
      </c>
      <c r="DG5" s="65" t="s">
        <v>730</v>
      </c>
      <c r="DH5" s="65" t="s">
        <v>739</v>
      </c>
      <c r="DI5" s="65" t="s">
        <v>138</v>
      </c>
      <c r="DJ5" s="65" t="s">
        <v>713</v>
      </c>
      <c r="DK5" s="65" t="s">
        <v>765</v>
      </c>
      <c r="DL5" s="65" t="s">
        <v>775</v>
      </c>
      <c r="DM5" s="65" t="s">
        <v>782</v>
      </c>
      <c r="DN5" s="65" t="s">
        <v>789</v>
      </c>
      <c r="DO5" s="65" t="s">
        <v>807</v>
      </c>
      <c r="DP5" s="65" t="s">
        <v>829</v>
      </c>
      <c r="DQ5" s="65" t="s">
        <v>838</v>
      </c>
      <c r="DR5" s="65" t="s">
        <v>848</v>
      </c>
      <c r="DS5" s="65" t="s">
        <v>869</v>
      </c>
      <c r="DT5" s="65" t="s">
        <v>886</v>
      </c>
      <c r="DU5" s="65" t="s">
        <v>905</v>
      </c>
      <c r="DV5" s="65" t="s">
        <v>920</v>
      </c>
      <c r="DW5" s="65" t="s">
        <v>930</v>
      </c>
      <c r="DX5" s="65" t="s">
        <v>940</v>
      </c>
      <c r="DY5" s="65" t="s">
        <v>956</v>
      </c>
      <c r="DZ5" s="65" t="s">
        <v>974</v>
      </c>
      <c r="EA5" s="65" t="s">
        <v>990</v>
      </c>
      <c r="EB5" s="65" t="s">
        <v>1002</v>
      </c>
      <c r="EC5" s="65" t="s">
        <v>1015</v>
      </c>
      <c r="ED5" s="65" t="s">
        <v>1028</v>
      </c>
      <c r="EE5" s="65" t="s">
        <v>1043</v>
      </c>
      <c r="EF5" s="65" t="s">
        <v>1062</v>
      </c>
      <c r="EG5" s="65" t="s">
        <v>1081</v>
      </c>
      <c r="EH5" s="65" t="s">
        <v>1095</v>
      </c>
      <c r="EI5" s="65" t="s">
        <v>1111</v>
      </c>
      <c r="EJ5" s="65" t="s">
        <v>1124</v>
      </c>
      <c r="EK5" s="65" t="s">
        <v>1139</v>
      </c>
      <c r="EL5" s="65" t="s">
        <v>1152</v>
      </c>
      <c r="EM5" s="65" t="s">
        <v>1165</v>
      </c>
      <c r="EN5" s="65" t="s">
        <v>1181</v>
      </c>
      <c r="EO5" s="65" t="s">
        <v>1197</v>
      </c>
      <c r="EP5" s="65" t="s">
        <v>1206</v>
      </c>
      <c r="EQ5" s="65" t="s">
        <v>1220</v>
      </c>
      <c r="ER5" s="65" t="s">
        <v>1236</v>
      </c>
      <c r="ES5" s="65" t="s">
        <v>1255</v>
      </c>
      <c r="ET5" s="65" t="s">
        <v>1267</v>
      </c>
      <c r="EU5" s="65" t="s">
        <v>1280</v>
      </c>
      <c r="EV5" s="65" t="s">
        <v>1293</v>
      </c>
      <c r="EW5" s="65" t="s">
        <v>1303</v>
      </c>
      <c r="EX5" s="65" t="s">
        <v>1318</v>
      </c>
      <c r="EY5" s="65" t="s">
        <v>1333</v>
      </c>
      <c r="EZ5" s="65" t="s">
        <v>1345</v>
      </c>
      <c r="FA5" s="65" t="s">
        <v>1349</v>
      </c>
      <c r="FB5" s="65" t="s">
        <v>1361</v>
      </c>
      <c r="FC5" s="65" t="s">
        <v>1380</v>
      </c>
      <c r="FD5" s="65" t="s">
        <v>1389</v>
      </c>
      <c r="FE5" s="65" t="s">
        <v>1409</v>
      </c>
      <c r="FF5" s="65" t="s">
        <v>1426</v>
      </c>
      <c r="FG5" s="65" t="s">
        <v>1438</v>
      </c>
      <c r="FH5" s="65" t="s">
        <v>723</v>
      </c>
      <c r="FI5" s="65" t="s">
        <v>698</v>
      </c>
      <c r="FJ5" s="65" t="s">
        <v>19</v>
      </c>
      <c r="FK5" s="65" t="s">
        <v>23</v>
      </c>
      <c r="FL5" s="65" t="s">
        <v>26</v>
      </c>
      <c r="FM5" s="65" t="s">
        <v>29</v>
      </c>
      <c r="FN5" s="65" t="s">
        <v>32</v>
      </c>
      <c r="FO5" s="65" t="s">
        <v>36</v>
      </c>
      <c r="FP5" s="65" t="s">
        <v>39</v>
      </c>
      <c r="FQ5" s="65" t="s">
        <v>44</v>
      </c>
      <c r="FR5" s="65" t="s">
        <v>47</v>
      </c>
      <c r="FS5" s="65" t="s">
        <v>50</v>
      </c>
      <c r="FT5" s="65" t="s">
        <v>54</v>
      </c>
      <c r="FU5" s="65" t="s">
        <v>58</v>
      </c>
      <c r="FV5" s="65" t="s">
        <v>62</v>
      </c>
      <c r="FW5" s="65" t="s">
        <v>67</v>
      </c>
      <c r="FX5" s="65" t="s">
        <v>70</v>
      </c>
      <c r="FY5" s="65" t="s">
        <v>73</v>
      </c>
      <c r="FZ5" s="65" t="s">
        <v>76</v>
      </c>
      <c r="GA5" s="65" t="s">
        <v>79</v>
      </c>
      <c r="GB5" s="65" t="s">
        <v>82</v>
      </c>
      <c r="GC5" s="65" t="s">
        <v>85</v>
      </c>
      <c r="GD5" s="65" t="s">
        <v>88</v>
      </c>
      <c r="GE5" s="65" t="s">
        <v>91</v>
      </c>
      <c r="GF5" s="65" t="s">
        <v>94</v>
      </c>
      <c r="GG5" s="65" t="s">
        <v>97</v>
      </c>
      <c r="GH5" s="65" t="s">
        <v>100</v>
      </c>
      <c r="GI5" s="65" t="s">
        <v>104</v>
      </c>
      <c r="GJ5" s="65" t="s">
        <v>107</v>
      </c>
      <c r="GK5" s="65" t="s">
        <v>110</v>
      </c>
      <c r="GL5" s="65" t="s">
        <v>113</v>
      </c>
      <c r="GM5" s="65" t="s">
        <v>94</v>
      </c>
      <c r="GN5" s="65" t="s">
        <v>119</v>
      </c>
      <c r="GO5" s="65" t="s">
        <v>122</v>
      </c>
      <c r="GP5" s="65" t="s">
        <v>125</v>
      </c>
      <c r="GQ5" s="65" t="s">
        <v>128</v>
      </c>
      <c r="GR5" s="65" t="s">
        <v>70</v>
      </c>
      <c r="GS5" s="65" t="s">
        <v>131</v>
      </c>
      <c r="GT5" s="65" t="s">
        <v>73</v>
      </c>
      <c r="GU5" s="65" t="s">
        <v>76</v>
      </c>
      <c r="GV5" s="65" t="s">
        <v>136</v>
      </c>
      <c r="GW5" s="65" t="s">
        <v>139</v>
      </c>
      <c r="GX5" s="65" t="s">
        <v>142</v>
      </c>
      <c r="GY5" s="65" t="s">
        <v>119</v>
      </c>
      <c r="GZ5" s="65" t="s">
        <v>122</v>
      </c>
      <c r="HA5" s="65" t="s">
        <v>125</v>
      </c>
      <c r="HB5" s="65" t="s">
        <v>128</v>
      </c>
      <c r="HC5" s="65" t="s">
        <v>70</v>
      </c>
      <c r="HD5" s="65" t="s">
        <v>150</v>
      </c>
      <c r="HE5" s="65" t="s">
        <v>73</v>
      </c>
      <c r="HF5" s="65" t="s">
        <v>76</v>
      </c>
      <c r="HG5" s="65" t="s">
        <v>136</v>
      </c>
      <c r="HH5" s="65" t="s">
        <v>139</v>
      </c>
      <c r="HI5" s="65" t="s">
        <v>142</v>
      </c>
      <c r="HJ5" s="65" t="s">
        <v>119</v>
      </c>
      <c r="HK5" s="65" t="s">
        <v>128</v>
      </c>
      <c r="HL5" s="65" t="s">
        <v>70</v>
      </c>
      <c r="HM5" s="65" t="s">
        <v>150</v>
      </c>
      <c r="HN5" s="65" t="s">
        <v>73</v>
      </c>
      <c r="HO5" s="65" t="s">
        <v>76</v>
      </c>
      <c r="HP5" s="65" t="s">
        <v>139</v>
      </c>
      <c r="HQ5" s="65" t="s">
        <v>122</v>
      </c>
      <c r="HR5" s="65" t="s">
        <v>125</v>
      </c>
      <c r="HS5" s="65" t="s">
        <v>142</v>
      </c>
      <c r="HT5" s="65" t="s">
        <v>170</v>
      </c>
      <c r="HU5" s="65" t="s">
        <v>128</v>
      </c>
      <c r="HV5" s="65" t="s">
        <v>70</v>
      </c>
      <c r="HW5" s="65" t="s">
        <v>150</v>
      </c>
      <c r="HX5" s="65" t="s">
        <v>73</v>
      </c>
      <c r="HY5" s="65" t="s">
        <v>76</v>
      </c>
      <c r="HZ5" s="65" t="s">
        <v>139</v>
      </c>
      <c r="IA5" s="65" t="s">
        <v>119</v>
      </c>
      <c r="IB5" s="65" t="s">
        <v>122</v>
      </c>
      <c r="IC5" s="65" t="s">
        <v>125</v>
      </c>
      <c r="ID5" s="65" t="s">
        <v>128</v>
      </c>
      <c r="IE5" s="65" t="s">
        <v>70</v>
      </c>
      <c r="IF5" s="65" t="s">
        <v>150</v>
      </c>
      <c r="IG5" s="65" t="s">
        <v>73</v>
      </c>
      <c r="IH5" s="65" t="s">
        <v>76</v>
      </c>
      <c r="II5" s="65" t="s">
        <v>136</v>
      </c>
      <c r="IJ5" s="65" t="s">
        <v>139</v>
      </c>
      <c r="IK5" s="65" t="s">
        <v>142</v>
      </c>
      <c r="IL5" s="65" t="s">
        <v>119</v>
      </c>
      <c r="IM5" s="65" t="s">
        <v>122</v>
      </c>
      <c r="IN5" s="65" t="s">
        <v>125</v>
      </c>
      <c r="IO5" s="65" t="s">
        <v>128</v>
      </c>
      <c r="IP5" s="65" t="s">
        <v>70</v>
      </c>
      <c r="IQ5" s="65" t="s">
        <v>150</v>
      </c>
      <c r="IR5" s="65" t="s">
        <v>73</v>
      </c>
      <c r="IS5" s="65" t="s">
        <v>76</v>
      </c>
      <c r="IT5" s="65" t="s">
        <v>136</v>
      </c>
      <c r="IU5" s="65" t="s">
        <v>139</v>
      </c>
      <c r="IV5" s="65" t="s">
        <v>142</v>
      </c>
      <c r="IW5" s="65" t="s">
        <v>119</v>
      </c>
      <c r="IX5" s="65" t="s">
        <v>128</v>
      </c>
      <c r="IY5" s="65" t="s">
        <v>70</v>
      </c>
      <c r="IZ5" s="65" t="s">
        <v>150</v>
      </c>
      <c r="JA5" s="65" t="s">
        <v>73</v>
      </c>
      <c r="JB5" s="65" t="s">
        <v>76</v>
      </c>
      <c r="JC5" s="65" t="s">
        <v>136</v>
      </c>
      <c r="JD5" s="65" t="s">
        <v>139</v>
      </c>
      <c r="JE5" s="65" t="s">
        <v>119</v>
      </c>
      <c r="JF5" s="65" t="s">
        <v>70</v>
      </c>
      <c r="JG5" s="65" t="s">
        <v>150</v>
      </c>
      <c r="JH5" s="65" t="s">
        <v>73</v>
      </c>
      <c r="JI5" s="65" t="s">
        <v>76</v>
      </c>
      <c r="JJ5" s="65" t="s">
        <v>136</v>
      </c>
      <c r="JK5" s="65" t="s">
        <v>139</v>
      </c>
      <c r="JL5" s="65" t="s">
        <v>220</v>
      </c>
      <c r="JM5" s="65" t="s">
        <v>223</v>
      </c>
      <c r="JN5" s="65" t="s">
        <v>70</v>
      </c>
      <c r="JO5" s="65" t="s">
        <v>150</v>
      </c>
      <c r="JP5" s="65" t="s">
        <v>73</v>
      </c>
      <c r="JQ5" s="65" t="s">
        <v>76</v>
      </c>
      <c r="JR5" s="65" t="s">
        <v>233</v>
      </c>
      <c r="JS5" s="65" t="s">
        <v>236</v>
      </c>
      <c r="JT5" s="65" t="s">
        <v>70</v>
      </c>
      <c r="JU5" s="65" t="s">
        <v>150</v>
      </c>
      <c r="JV5" s="65" t="s">
        <v>73</v>
      </c>
      <c r="JW5" s="65" t="s">
        <v>76</v>
      </c>
      <c r="JX5" s="65" t="s">
        <v>70</v>
      </c>
      <c r="JY5" s="65" t="s">
        <v>150</v>
      </c>
      <c r="JZ5" s="65" t="s">
        <v>73</v>
      </c>
      <c r="KA5" s="65" t="s">
        <v>76</v>
      </c>
      <c r="KB5" s="65" t="s">
        <v>249</v>
      </c>
      <c r="KC5" s="65" t="s">
        <v>252</v>
      </c>
      <c r="KD5" s="65" t="s">
        <v>70</v>
      </c>
      <c r="KE5" s="65" t="s">
        <v>150</v>
      </c>
      <c r="KF5" s="65" t="s">
        <v>73</v>
      </c>
      <c r="KG5" s="65" t="s">
        <v>76</v>
      </c>
      <c r="KH5" s="65" t="s">
        <v>136</v>
      </c>
      <c r="KI5" s="65" t="s">
        <v>70</v>
      </c>
      <c r="KJ5" s="65" t="s">
        <v>150</v>
      </c>
      <c r="KK5" s="65" t="s">
        <v>73</v>
      </c>
      <c r="KL5" s="65" t="s">
        <v>76</v>
      </c>
      <c r="KM5" s="65" t="s">
        <v>70</v>
      </c>
      <c r="KN5" s="65" t="s">
        <v>150</v>
      </c>
      <c r="KO5" s="65" t="s">
        <v>73</v>
      </c>
      <c r="KP5" s="65" t="s">
        <v>76</v>
      </c>
      <c r="KQ5" s="65" t="s">
        <v>70</v>
      </c>
      <c r="KR5" s="65" t="s">
        <v>150</v>
      </c>
      <c r="KS5" s="65" t="s">
        <v>73</v>
      </c>
      <c r="KT5" s="65" t="s">
        <v>76</v>
      </c>
      <c r="KU5" s="65" t="s">
        <v>136</v>
      </c>
      <c r="KV5" s="65" t="s">
        <v>70</v>
      </c>
      <c r="KW5" s="65" t="s">
        <v>150</v>
      </c>
      <c r="KX5" s="65" t="s">
        <v>73</v>
      </c>
      <c r="KY5" s="65" t="s">
        <v>76</v>
      </c>
      <c r="KZ5" s="65" t="s">
        <v>283</v>
      </c>
      <c r="LA5" s="65" t="s">
        <v>286</v>
      </c>
      <c r="LB5" s="65" t="s">
        <v>289</v>
      </c>
      <c r="LC5" s="65" t="s">
        <v>292</v>
      </c>
      <c r="LD5" s="65" t="s">
        <v>295</v>
      </c>
      <c r="LE5" s="65" t="s">
        <v>298</v>
      </c>
      <c r="LF5" s="65" t="s">
        <v>301</v>
      </c>
      <c r="LG5" s="65" t="s">
        <v>304</v>
      </c>
      <c r="LH5" s="65" t="s">
        <v>307</v>
      </c>
      <c r="LI5" s="65" t="s">
        <v>310</v>
      </c>
      <c r="LJ5" s="65" t="s">
        <v>313</v>
      </c>
      <c r="LK5" s="65" t="s">
        <v>316</v>
      </c>
      <c r="LL5" s="65" t="s">
        <v>319</v>
      </c>
      <c r="LM5" s="65" t="s">
        <v>322</v>
      </c>
      <c r="LN5" s="65" t="s">
        <v>326</v>
      </c>
      <c r="LO5" s="65" t="s">
        <v>292</v>
      </c>
      <c r="LP5" s="65" t="s">
        <v>295</v>
      </c>
      <c r="LQ5" s="65" t="s">
        <v>298</v>
      </c>
      <c r="LR5" s="65" t="s">
        <v>332</v>
      </c>
      <c r="LS5" s="65" t="s">
        <v>335</v>
      </c>
      <c r="LT5" s="65" t="s">
        <v>310</v>
      </c>
      <c r="LU5" s="65" t="s">
        <v>319</v>
      </c>
      <c r="LV5" s="65" t="s">
        <v>100</v>
      </c>
      <c r="LW5" s="65" t="s">
        <v>97</v>
      </c>
      <c r="LX5" s="65" t="s">
        <v>343</v>
      </c>
      <c r="LY5" s="65" t="s">
        <v>346</v>
      </c>
      <c r="LZ5" s="65" t="s">
        <v>353</v>
      </c>
      <c r="MA5" s="65" t="s">
        <v>356</v>
      </c>
      <c r="MB5" s="65" t="s">
        <v>359</v>
      </c>
      <c r="MC5" s="65" t="s">
        <v>362</v>
      </c>
      <c r="MD5" s="65" t="s">
        <v>365</v>
      </c>
      <c r="ME5" s="65" t="s">
        <v>369</v>
      </c>
      <c r="MF5" s="65" t="s">
        <v>372</v>
      </c>
      <c r="MG5" s="65" t="s">
        <v>375</v>
      </c>
      <c r="MH5" s="65" t="s">
        <v>379</v>
      </c>
      <c r="MI5" s="65" t="s">
        <v>382</v>
      </c>
      <c r="MJ5" s="65" t="s">
        <v>385</v>
      </c>
      <c r="MK5" s="65" t="s">
        <v>389</v>
      </c>
      <c r="ML5" s="65" t="s">
        <v>392</v>
      </c>
      <c r="MM5" s="65" t="s">
        <v>395</v>
      </c>
      <c r="MN5" s="65" t="s">
        <v>398</v>
      </c>
      <c r="MO5" s="65" t="s">
        <v>401</v>
      </c>
      <c r="MP5" s="65" t="s">
        <v>404</v>
      </c>
      <c r="MQ5" s="65" t="s">
        <v>409</v>
      </c>
      <c r="MR5" s="65" t="s">
        <v>412</v>
      </c>
      <c r="MS5" s="65" t="s">
        <v>415</v>
      </c>
      <c r="MT5" s="65" t="s">
        <v>417</v>
      </c>
      <c r="MU5" s="65" t="s">
        <v>420</v>
      </c>
      <c r="MV5" s="65" t="s">
        <v>423</v>
      </c>
      <c r="MW5" s="65" t="s">
        <v>426</v>
      </c>
      <c r="MX5" s="65" t="s">
        <v>429</v>
      </c>
      <c r="MY5" s="65" t="s">
        <v>432</v>
      </c>
      <c r="MZ5" s="65" t="s">
        <v>435</v>
      </c>
      <c r="NA5" s="65" t="s">
        <v>440</v>
      </c>
      <c r="NB5" s="65" t="s">
        <v>443</v>
      </c>
      <c r="NC5" s="65" t="s">
        <v>446</v>
      </c>
      <c r="ND5" s="65" t="s">
        <v>449</v>
      </c>
      <c r="NE5" s="65" t="s">
        <v>453</v>
      </c>
      <c r="NF5" s="65" t="s">
        <v>456</v>
      </c>
      <c r="NG5" s="65" t="s">
        <v>459</v>
      </c>
      <c r="NH5" s="65" t="s">
        <v>462</v>
      </c>
      <c r="NI5" s="65" t="s">
        <v>466</v>
      </c>
      <c r="NJ5" s="65" t="s">
        <v>469</v>
      </c>
      <c r="NK5" s="65" t="s">
        <v>472</v>
      </c>
      <c r="NL5" s="65" t="s">
        <v>475</v>
      </c>
      <c r="NM5" s="65" t="s">
        <v>480</v>
      </c>
      <c r="NN5" s="65" t="s">
        <v>483</v>
      </c>
      <c r="NO5" s="65" t="s">
        <v>486</v>
      </c>
      <c r="NP5" s="65" t="s">
        <v>489</v>
      </c>
      <c r="NQ5" s="65" t="s">
        <v>492</v>
      </c>
      <c r="NR5" s="65" t="s">
        <v>495</v>
      </c>
      <c r="NS5" s="65" t="s">
        <v>499</v>
      </c>
      <c r="NT5" s="65" t="s">
        <v>502</v>
      </c>
      <c r="NU5" s="65" t="s">
        <v>435</v>
      </c>
      <c r="NV5" s="65" t="s">
        <v>506</v>
      </c>
      <c r="NW5" s="65" t="s">
        <v>511</v>
      </c>
      <c r="NX5" s="65" t="s">
        <v>514</v>
      </c>
      <c r="NY5" s="65" t="s">
        <v>517</v>
      </c>
      <c r="NZ5" s="65" t="s">
        <v>520</v>
      </c>
      <c r="OA5" s="65" t="s">
        <v>139</v>
      </c>
      <c r="OB5" s="65" t="s">
        <v>524</v>
      </c>
      <c r="OC5" s="65" t="s">
        <v>409</v>
      </c>
      <c r="OD5" s="65" t="s">
        <v>417</v>
      </c>
      <c r="OE5" s="65" t="s">
        <v>532</v>
      </c>
      <c r="OF5" s="65" t="s">
        <v>538</v>
      </c>
      <c r="OG5" s="65" t="s">
        <v>541</v>
      </c>
      <c r="OH5" s="65" t="s">
        <v>544</v>
      </c>
      <c r="OI5" s="65" t="s">
        <v>547</v>
      </c>
      <c r="OJ5" s="65" t="s">
        <v>551</v>
      </c>
      <c r="OK5" s="65" t="s">
        <v>554</v>
      </c>
      <c r="OL5" s="65" t="s">
        <v>557</v>
      </c>
      <c r="OM5" s="65" t="s">
        <v>563</v>
      </c>
      <c r="ON5" s="65" t="s">
        <v>566</v>
      </c>
      <c r="OO5" s="65" t="s">
        <v>569</v>
      </c>
      <c r="OP5" s="65" t="s">
        <v>572</v>
      </c>
      <c r="OQ5" s="65" t="s">
        <v>576</v>
      </c>
      <c r="OR5" s="65" t="s">
        <v>579</v>
      </c>
      <c r="OS5" s="65" t="s">
        <v>582</v>
      </c>
      <c r="OT5" s="65" t="s">
        <v>524</v>
      </c>
      <c r="OU5" s="65" t="s">
        <v>587</v>
      </c>
      <c r="OV5" s="65" t="s">
        <v>590</v>
      </c>
      <c r="OW5" s="65" t="s">
        <v>593</v>
      </c>
      <c r="OX5" s="65" t="s">
        <v>335</v>
      </c>
      <c r="OY5" s="65" t="s">
        <v>598</v>
      </c>
      <c r="OZ5" s="65" t="s">
        <v>601</v>
      </c>
      <c r="PA5" s="65" t="s">
        <v>604</v>
      </c>
      <c r="PB5" s="65" t="s">
        <v>607</v>
      </c>
      <c r="PC5" s="65" t="s">
        <v>611</v>
      </c>
      <c r="PD5" s="65" t="s">
        <v>613</v>
      </c>
      <c r="PE5" s="65" t="s">
        <v>617</v>
      </c>
      <c r="PF5" s="65" t="s">
        <v>620</v>
      </c>
      <c r="PG5" s="65" t="s">
        <v>623</v>
      </c>
      <c r="PH5" s="65" t="s">
        <v>626</v>
      </c>
      <c r="PI5" s="65" t="s">
        <v>630</v>
      </c>
      <c r="PJ5" s="65" t="s">
        <v>633</v>
      </c>
      <c r="PK5" s="65" t="s">
        <v>636</v>
      </c>
      <c r="PL5" s="65" t="s">
        <v>639</v>
      </c>
      <c r="PM5" s="65" t="s">
        <v>551</v>
      </c>
      <c r="PN5" s="65" t="s">
        <v>643</v>
      </c>
      <c r="PO5" s="65" t="s">
        <v>646</v>
      </c>
      <c r="PP5" s="65" t="s">
        <v>651</v>
      </c>
      <c r="PQ5" s="65" t="s">
        <v>654</v>
      </c>
      <c r="PR5" s="65" t="s">
        <v>657</v>
      </c>
      <c r="PS5" s="65" t="s">
        <v>659</v>
      </c>
      <c r="PT5" s="65" t="s">
        <v>662</v>
      </c>
      <c r="PU5" s="65" t="s">
        <v>446</v>
      </c>
      <c r="PV5" s="65" t="s">
        <v>666</v>
      </c>
      <c r="PW5" s="65" t="s">
        <v>466</v>
      </c>
      <c r="PX5" s="65" t="s">
        <v>469</v>
      </c>
      <c r="PY5" s="65" t="s">
        <v>472</v>
      </c>
      <c r="PZ5" s="65" t="s">
        <v>475</v>
      </c>
      <c r="QA5" s="65" t="s">
        <v>673</v>
      </c>
      <c r="QB5" s="65" t="s">
        <v>677</v>
      </c>
      <c r="QC5" s="65" t="s">
        <v>680</v>
      </c>
      <c r="QD5" s="65" t="s">
        <v>686</v>
      </c>
      <c r="QE5" s="65" t="s">
        <v>689</v>
      </c>
      <c r="QF5" s="65" t="s">
        <v>409</v>
      </c>
      <c r="QG5" s="65" t="s">
        <v>412</v>
      </c>
      <c r="QH5" s="65" t="s">
        <v>417</v>
      </c>
      <c r="QI5" s="65" t="s">
        <v>420</v>
      </c>
      <c r="QJ5" s="65" t="s">
        <v>426</v>
      </c>
      <c r="QK5" s="65" t="s">
        <v>699</v>
      </c>
      <c r="QL5" s="65" t="s">
        <v>702</v>
      </c>
      <c r="QM5" s="65" t="s">
        <v>705</v>
      </c>
      <c r="QN5" s="65" t="s">
        <v>708</v>
      </c>
      <c r="QO5" s="65" t="s">
        <v>711</v>
      </c>
      <c r="QP5" s="65" t="s">
        <v>714</v>
      </c>
      <c r="QQ5" s="65" t="s">
        <v>511</v>
      </c>
      <c r="QR5" s="65" t="s">
        <v>720</v>
      </c>
      <c r="QS5" s="65" t="s">
        <v>517</v>
      </c>
      <c r="QT5" s="65" t="s">
        <v>724</v>
      </c>
      <c r="QU5" s="65" t="s">
        <v>727</v>
      </c>
      <c r="QV5" s="65" t="s">
        <v>730</v>
      </c>
      <c r="QW5" s="65" t="s">
        <v>733</v>
      </c>
      <c r="QX5" s="65" t="s">
        <v>736</v>
      </c>
      <c r="QY5" s="65" t="s">
        <v>740</v>
      </c>
      <c r="QZ5" s="65" t="s">
        <v>743</v>
      </c>
      <c r="RA5" s="65" t="s">
        <v>746</v>
      </c>
      <c r="RB5" s="65" t="s">
        <v>749</v>
      </c>
      <c r="RC5" s="65" t="s">
        <v>752</v>
      </c>
      <c r="RD5" s="65" t="s">
        <v>139</v>
      </c>
      <c r="RE5" s="65" t="s">
        <v>755</v>
      </c>
      <c r="RF5" s="65" t="s">
        <v>714</v>
      </c>
      <c r="RG5" s="65" t="s">
        <v>544</v>
      </c>
      <c r="RH5" s="65" t="s">
        <v>761</v>
      </c>
      <c r="RI5" s="65" t="s">
        <v>766</v>
      </c>
      <c r="RJ5" s="65" t="s">
        <v>769</v>
      </c>
      <c r="RK5" s="65" t="s">
        <v>772</v>
      </c>
      <c r="RL5" s="65" t="s">
        <v>776</v>
      </c>
      <c r="RM5" s="65" t="s">
        <v>779</v>
      </c>
      <c r="RN5" s="65" t="s">
        <v>783</v>
      </c>
      <c r="RO5" s="65" t="s">
        <v>786</v>
      </c>
      <c r="RP5" s="65" t="s">
        <v>790</v>
      </c>
      <c r="RQ5" s="65" t="s">
        <v>793</v>
      </c>
      <c r="RR5" s="65" t="s">
        <v>796</v>
      </c>
      <c r="RS5" s="65" t="s">
        <v>799</v>
      </c>
      <c r="RT5" s="65" t="s">
        <v>802</v>
      </c>
      <c r="RU5" s="65" t="s">
        <v>809</v>
      </c>
      <c r="RV5" s="65" t="s">
        <v>711</v>
      </c>
      <c r="RW5" s="65" t="s">
        <v>813</v>
      </c>
      <c r="RX5" s="65" t="s">
        <v>816</v>
      </c>
      <c r="RY5" s="65" t="s">
        <v>819</v>
      </c>
      <c r="RZ5" s="65" t="s">
        <v>822</v>
      </c>
      <c r="SA5" s="65" t="s">
        <v>825</v>
      </c>
      <c r="SB5" s="65" t="s">
        <v>830</v>
      </c>
      <c r="SC5" s="65" t="s">
        <v>813</v>
      </c>
      <c r="SD5" s="65" t="s">
        <v>834</v>
      </c>
      <c r="SE5" s="65" t="s">
        <v>839</v>
      </c>
      <c r="SF5" s="65" t="s">
        <v>842</v>
      </c>
      <c r="SG5" s="65" t="s">
        <v>845</v>
      </c>
      <c r="SH5" s="65" t="s">
        <v>848</v>
      </c>
      <c r="SI5" s="65" t="s">
        <v>851</v>
      </c>
      <c r="SJ5" s="65" t="s">
        <v>854</v>
      </c>
      <c r="SK5" s="65" t="s">
        <v>857</v>
      </c>
      <c r="SL5" s="65" t="s">
        <v>860</v>
      </c>
      <c r="SM5" s="65" t="s">
        <v>863</v>
      </c>
      <c r="SN5" s="65" t="s">
        <v>870</v>
      </c>
      <c r="SO5" s="65" t="s">
        <v>873</v>
      </c>
      <c r="SP5" s="65" t="s">
        <v>876</v>
      </c>
      <c r="SQ5" s="65" t="s">
        <v>879</v>
      </c>
      <c r="SR5" s="65" t="s">
        <v>882</v>
      </c>
      <c r="SS5" s="65" t="s">
        <v>834</v>
      </c>
      <c r="ST5" s="65" t="s">
        <v>887</v>
      </c>
      <c r="SU5" s="65" t="s">
        <v>890</v>
      </c>
      <c r="SV5" s="65" t="s">
        <v>893</v>
      </c>
      <c r="SW5" s="65" t="s">
        <v>896</v>
      </c>
      <c r="SX5" s="65" t="s">
        <v>899</v>
      </c>
      <c r="SY5" s="65" t="s">
        <v>902</v>
      </c>
      <c r="SZ5" s="65" t="s">
        <v>906</v>
      </c>
      <c r="TA5" s="65" t="s">
        <v>909</v>
      </c>
      <c r="TB5" s="65" t="s">
        <v>912</v>
      </c>
      <c r="TC5" s="65" t="s">
        <v>915</v>
      </c>
      <c r="TD5" s="65" t="s">
        <v>921</v>
      </c>
      <c r="TE5" s="65" t="s">
        <v>924</v>
      </c>
      <c r="TF5" s="65" t="s">
        <v>927</v>
      </c>
      <c r="TG5" s="65" t="s">
        <v>931</v>
      </c>
      <c r="TH5" s="65" t="s">
        <v>934</v>
      </c>
      <c r="TI5" s="65" t="s">
        <v>937</v>
      </c>
      <c r="TJ5" s="65" t="s">
        <v>941</v>
      </c>
      <c r="TK5" s="65" t="s">
        <v>944</v>
      </c>
      <c r="TL5" s="65" t="s">
        <v>947</v>
      </c>
      <c r="TM5" s="65" t="s">
        <v>950</v>
      </c>
      <c r="TN5" s="65" t="s">
        <v>953</v>
      </c>
      <c r="TO5" s="65" t="s">
        <v>957</v>
      </c>
      <c r="TP5" s="65" t="s">
        <v>960</v>
      </c>
      <c r="TQ5" s="65" t="s">
        <v>963</v>
      </c>
      <c r="TR5" s="65" t="s">
        <v>966</v>
      </c>
      <c r="TS5" s="65" t="s">
        <v>969</v>
      </c>
      <c r="TT5" s="65" t="s">
        <v>975</v>
      </c>
      <c r="TU5" s="65" t="s">
        <v>978</v>
      </c>
      <c r="TV5" s="65" t="s">
        <v>981</v>
      </c>
      <c r="TW5" s="65" t="s">
        <v>984</v>
      </c>
      <c r="TX5" s="65" t="s">
        <v>987</v>
      </c>
      <c r="TY5" s="65" t="s">
        <v>991</v>
      </c>
      <c r="TZ5" s="65" t="s">
        <v>994</v>
      </c>
      <c r="UA5" s="65" t="s">
        <v>997</v>
      </c>
      <c r="UB5" s="65" t="s">
        <v>1003</v>
      </c>
      <c r="UC5" s="65" t="s">
        <v>1006</v>
      </c>
      <c r="UD5" s="65" t="s">
        <v>1009</v>
      </c>
      <c r="UE5" s="65" t="s">
        <v>1012</v>
      </c>
      <c r="UF5" s="65" t="s">
        <v>1016</v>
      </c>
      <c r="UG5" s="65" t="s">
        <v>1019</v>
      </c>
      <c r="UH5" s="65" t="s">
        <v>1022</v>
      </c>
      <c r="UI5" s="65" t="s">
        <v>1025</v>
      </c>
      <c r="UJ5" s="65" t="s">
        <v>1029</v>
      </c>
      <c r="UK5" s="65" t="s">
        <v>1032</v>
      </c>
      <c r="UL5" s="65" t="s">
        <v>1035</v>
      </c>
      <c r="UM5" s="65" t="s">
        <v>1038</v>
      </c>
      <c r="UN5" s="65" t="s">
        <v>1044</v>
      </c>
      <c r="UO5" s="65" t="s">
        <v>1047</v>
      </c>
      <c r="UP5" s="65" t="s">
        <v>1050</v>
      </c>
      <c r="UQ5" s="65" t="s">
        <v>1053</v>
      </c>
      <c r="UR5" s="65" t="s">
        <v>1056</v>
      </c>
      <c r="US5" s="65" t="s">
        <v>1059</v>
      </c>
      <c r="UT5" s="65" t="s">
        <v>1063</v>
      </c>
      <c r="UU5" s="65" t="s">
        <v>1066</v>
      </c>
      <c r="UV5" s="65" t="s">
        <v>1069</v>
      </c>
      <c r="UW5" s="65" t="s">
        <v>1072</v>
      </c>
      <c r="UX5" s="65" t="s">
        <v>1075</v>
      </c>
      <c r="UY5" s="65" t="s">
        <v>1078</v>
      </c>
      <c r="UZ5" s="65" t="s">
        <v>1083</v>
      </c>
      <c r="VA5" s="65" t="s">
        <v>1086</v>
      </c>
      <c r="VB5" s="65" t="s">
        <v>1089</v>
      </c>
      <c r="VC5" s="65" t="s">
        <v>1092</v>
      </c>
      <c r="VD5" s="65" t="s">
        <v>1096</v>
      </c>
      <c r="VE5" s="65" t="s">
        <v>1099</v>
      </c>
      <c r="VF5" s="65" t="s">
        <v>1102</v>
      </c>
      <c r="VG5" s="65" t="s">
        <v>1105</v>
      </c>
      <c r="VH5" s="65" t="s">
        <v>1108</v>
      </c>
      <c r="VI5" s="65" t="s">
        <v>1112</v>
      </c>
      <c r="VJ5" s="65" t="s">
        <v>1115</v>
      </c>
      <c r="VK5" s="65" t="s">
        <v>1118</v>
      </c>
      <c r="VL5" s="65" t="s">
        <v>1121</v>
      </c>
      <c r="VM5" s="65" t="s">
        <v>1125</v>
      </c>
      <c r="VN5" s="65" t="s">
        <v>1128</v>
      </c>
      <c r="VO5" s="65" t="s">
        <v>1131</v>
      </c>
      <c r="VP5" s="65" t="s">
        <v>1134</v>
      </c>
      <c r="VQ5" s="65" t="s">
        <v>1140</v>
      </c>
      <c r="VR5" s="65" t="s">
        <v>1143</v>
      </c>
      <c r="VS5" s="65" t="s">
        <v>1146</v>
      </c>
      <c r="VT5" s="65" t="s">
        <v>1149</v>
      </c>
      <c r="VU5" s="65" t="s">
        <v>1153</v>
      </c>
      <c r="VV5" s="65" t="s">
        <v>1156</v>
      </c>
      <c r="VW5" s="65" t="s">
        <v>1159</v>
      </c>
      <c r="VX5" s="65" t="s">
        <v>1162</v>
      </c>
      <c r="VY5" s="65" t="s">
        <v>1166</v>
      </c>
      <c r="VZ5" s="65" t="s">
        <v>1169</v>
      </c>
      <c r="WA5" s="65" t="s">
        <v>1172</v>
      </c>
      <c r="WB5" s="65" t="s">
        <v>1175</v>
      </c>
      <c r="WC5" s="65" t="s">
        <v>1178</v>
      </c>
      <c r="WD5" s="65" t="s">
        <v>1182</v>
      </c>
      <c r="WE5" s="65" t="s">
        <v>1185</v>
      </c>
      <c r="WF5" s="65" t="s">
        <v>1188</v>
      </c>
      <c r="WG5" s="65" t="s">
        <v>1191</v>
      </c>
      <c r="WH5" s="65" t="s">
        <v>1194</v>
      </c>
      <c r="WI5" s="65" t="s">
        <v>1198</v>
      </c>
      <c r="WJ5" s="65" t="s">
        <v>1201</v>
      </c>
      <c r="WK5" s="65" t="s">
        <v>1207</v>
      </c>
      <c r="WL5" s="65" t="s">
        <v>1210</v>
      </c>
      <c r="WM5" s="65" t="s">
        <v>966</v>
      </c>
      <c r="WN5" s="65" t="s">
        <v>1214</v>
      </c>
      <c r="WO5" s="65" t="s">
        <v>1217</v>
      </c>
      <c r="WP5" s="65" t="s">
        <v>1221</v>
      </c>
      <c r="WQ5" s="65" t="s">
        <v>1224</v>
      </c>
      <c r="WR5" s="65" t="s">
        <v>1227</v>
      </c>
      <c r="WS5" s="65" t="s">
        <v>1230</v>
      </c>
      <c r="WT5" s="65" t="s">
        <v>1233</v>
      </c>
      <c r="WU5" s="65" t="s">
        <v>1237</v>
      </c>
      <c r="WV5" s="65" t="s">
        <v>1240</v>
      </c>
      <c r="WW5" s="65" t="s">
        <v>1243</v>
      </c>
      <c r="WX5" s="65" t="s">
        <v>1246</v>
      </c>
      <c r="WY5" s="65" t="s">
        <v>1249</v>
      </c>
      <c r="WZ5" s="65" t="s">
        <v>1252</v>
      </c>
      <c r="XA5" s="65" t="s">
        <v>1256</v>
      </c>
      <c r="XB5" s="65" t="s">
        <v>1259</v>
      </c>
      <c r="XC5" s="65" t="s">
        <v>1262</v>
      </c>
      <c r="XD5" s="65" t="s">
        <v>1268</v>
      </c>
      <c r="XE5" s="65" t="s">
        <v>1271</v>
      </c>
      <c r="XF5" s="65" t="s">
        <v>1274</v>
      </c>
      <c r="XG5" s="65" t="s">
        <v>1277</v>
      </c>
      <c r="XH5" s="65" t="s">
        <v>1281</v>
      </c>
      <c r="XI5" s="65" t="s">
        <v>1284</v>
      </c>
      <c r="XJ5" s="65" t="s">
        <v>1287</v>
      </c>
      <c r="XK5" s="65" t="s">
        <v>1290</v>
      </c>
      <c r="XL5" s="65" t="s">
        <v>1294</v>
      </c>
      <c r="XM5" s="65" t="s">
        <v>1297</v>
      </c>
      <c r="XN5" s="65" t="s">
        <v>1300</v>
      </c>
      <c r="XO5" s="65" t="s">
        <v>1304</v>
      </c>
      <c r="XP5" s="65" t="s">
        <v>1307</v>
      </c>
      <c r="XQ5" s="65" t="s">
        <v>1310</v>
      </c>
      <c r="XR5" s="65" t="s">
        <v>1313</v>
      </c>
      <c r="XS5" s="65" t="s">
        <v>1319</v>
      </c>
      <c r="XT5" s="65" t="s">
        <v>1322</v>
      </c>
      <c r="XU5" s="65" t="s">
        <v>1325</v>
      </c>
      <c r="XV5" s="65" t="s">
        <v>1328</v>
      </c>
      <c r="XW5" s="65" t="s">
        <v>1334</v>
      </c>
      <c r="XX5" s="65" t="s">
        <v>1337</v>
      </c>
      <c r="XY5" s="65" t="s">
        <v>1340</v>
      </c>
      <c r="XZ5" s="65" t="s">
        <v>1343</v>
      </c>
      <c r="YA5" s="65" t="s">
        <v>1346</v>
      </c>
      <c r="YB5" s="65" t="s">
        <v>1350</v>
      </c>
      <c r="YC5" s="65" t="s">
        <v>1353</v>
      </c>
      <c r="YD5" s="65" t="s">
        <v>1356</v>
      </c>
      <c r="YE5" s="65" t="s">
        <v>1362</v>
      </c>
      <c r="YF5" s="65" t="s">
        <v>1365</v>
      </c>
      <c r="YG5" s="65" t="s">
        <v>1368</v>
      </c>
      <c r="YH5" s="65" t="s">
        <v>1371</v>
      </c>
      <c r="YI5" s="65" t="s">
        <v>1374</v>
      </c>
      <c r="YJ5" s="65" t="s">
        <v>1381</v>
      </c>
      <c r="YK5" s="65" t="s">
        <v>1384</v>
      </c>
      <c r="YL5" s="65" t="s">
        <v>32</v>
      </c>
      <c r="YM5" s="65" t="s">
        <v>1390</v>
      </c>
      <c r="YN5" s="65" t="s">
        <v>1393</v>
      </c>
      <c r="YO5" s="65" t="s">
        <v>1396</v>
      </c>
      <c r="YP5" s="65" t="s">
        <v>1399</v>
      </c>
      <c r="YQ5" s="65" t="s">
        <v>1402</v>
      </c>
      <c r="YR5" s="65" t="s">
        <v>1405</v>
      </c>
      <c r="YS5" s="65" t="s">
        <v>1410</v>
      </c>
      <c r="YT5" s="65" t="s">
        <v>1413</v>
      </c>
      <c r="YU5" s="65" t="s">
        <v>1416</v>
      </c>
      <c r="YV5" s="65" t="s">
        <v>1419</v>
      </c>
      <c r="YW5" s="65" t="s">
        <v>1422</v>
      </c>
      <c r="YX5" s="65" t="s">
        <v>1427</v>
      </c>
      <c r="YY5" s="65" t="s">
        <v>1430</v>
      </c>
      <c r="YZ5" s="65" t="s">
        <v>557</v>
      </c>
      <c r="ZA5" s="65" t="s">
        <v>1434</v>
      </c>
      <c r="ZB5" s="65" t="s">
        <v>1439</v>
      </c>
      <c r="ZC5" s="65" t="s">
        <v>1442</v>
      </c>
      <c r="ZD5" s="65" t="s">
        <v>1445</v>
      </c>
      <c r="ZE5" s="65" t="s">
        <v>1448</v>
      </c>
      <c r="ZF5" s="65" t="s">
        <v>1451</v>
      </c>
      <c r="ZG5" s="65" t="s">
        <v>1454</v>
      </c>
      <c r="ZH5" s="65" t="s">
        <v>2311</v>
      </c>
      <c r="ZI5" s="65" t="s">
        <v>2313</v>
      </c>
    </row>
    <row r="6" spans="1:685" ht="15" customHeight="1" x14ac:dyDescent="0.25">
      <c r="A6" s="65" t="s">
        <v>226</v>
      </c>
      <c r="C6" s="65" t="s">
        <v>226</v>
      </c>
      <c r="D6" s="65" t="s">
        <v>3731</v>
      </c>
      <c r="F6" s="66" t="s">
        <v>4404</v>
      </c>
      <c r="G6" s="66" t="s">
        <v>3760</v>
      </c>
      <c r="I6" s="66" t="s">
        <v>24</v>
      </c>
      <c r="J6" s="66" t="s">
        <v>3884</v>
      </c>
      <c r="M6" s="65" t="s">
        <v>42</v>
      </c>
      <c r="N6" s="65" t="s">
        <v>238</v>
      </c>
      <c r="O6" s="65" t="s">
        <v>367</v>
      </c>
      <c r="P6" s="65" t="s">
        <v>417</v>
      </c>
      <c r="Q6" s="65" t="s">
        <v>445</v>
      </c>
      <c r="R6" s="65" t="s">
        <v>491</v>
      </c>
      <c r="S6" s="65" t="s">
        <v>516</v>
      </c>
      <c r="U6" s="65" t="s">
        <v>549</v>
      </c>
      <c r="V6" s="65" t="s">
        <v>574</v>
      </c>
      <c r="W6" s="65" t="s">
        <v>615</v>
      </c>
      <c r="X6" s="65" t="s">
        <v>656</v>
      </c>
      <c r="Z6" s="65" t="s">
        <v>417</v>
      </c>
      <c r="AA6" s="65" t="s">
        <v>516</v>
      </c>
      <c r="AB6" s="65" t="s">
        <v>774</v>
      </c>
      <c r="AC6" s="65" t="s">
        <v>828</v>
      </c>
      <c r="AD6" s="65" t="s">
        <v>885</v>
      </c>
      <c r="AE6" s="65" t="s">
        <v>929</v>
      </c>
      <c r="AF6" s="65" t="s">
        <v>989</v>
      </c>
      <c r="AG6" s="65" t="s">
        <v>1014</v>
      </c>
      <c r="AH6" s="65" t="s">
        <v>1061</v>
      </c>
      <c r="AI6" s="65" t="s">
        <v>1151</v>
      </c>
      <c r="AJ6" s="65" t="s">
        <v>1219</v>
      </c>
      <c r="AK6" s="65" t="s">
        <v>1279</v>
      </c>
      <c r="AM6" s="65" t="s">
        <v>1345</v>
      </c>
      <c r="AO6" s="65" t="s">
        <v>1388</v>
      </c>
      <c r="AP6" s="65" t="s">
        <v>21</v>
      </c>
      <c r="AQ6" s="65" t="s">
        <v>46</v>
      </c>
      <c r="AR6" s="65" t="s">
        <v>69</v>
      </c>
      <c r="AS6" s="65" t="s">
        <v>106</v>
      </c>
      <c r="AT6" s="65" t="s">
        <v>121</v>
      </c>
      <c r="AU6" s="65" t="s">
        <v>121</v>
      </c>
      <c r="AV6" s="65" t="s">
        <v>127</v>
      </c>
      <c r="AW6" s="65" t="s">
        <v>124</v>
      </c>
      <c r="AX6" s="65" t="s">
        <v>121</v>
      </c>
      <c r="AY6" s="65" t="s">
        <v>121</v>
      </c>
      <c r="AZ6" s="65" t="s">
        <v>127</v>
      </c>
      <c r="BA6" s="65" t="s">
        <v>69</v>
      </c>
      <c r="BB6" s="65" t="s">
        <v>131</v>
      </c>
      <c r="BC6" s="65" t="s">
        <v>131</v>
      </c>
      <c r="BD6" s="65" t="s">
        <v>131</v>
      </c>
      <c r="BE6" s="65" t="s">
        <v>131</v>
      </c>
      <c r="BF6" s="65" t="s">
        <v>131</v>
      </c>
      <c r="BG6" s="65" t="s">
        <v>131</v>
      </c>
      <c r="BH6" s="65" t="s">
        <v>131</v>
      </c>
      <c r="BI6" s="65" t="s">
        <v>131</v>
      </c>
      <c r="BJ6" s="65" t="s">
        <v>285</v>
      </c>
      <c r="BK6" s="65" t="s">
        <v>291</v>
      </c>
      <c r="BL6" s="65" t="s">
        <v>96</v>
      </c>
      <c r="BM6" s="65" t="s">
        <v>355</v>
      </c>
      <c r="BN6" s="65" t="s">
        <v>371</v>
      </c>
      <c r="BO6" s="65" t="s">
        <v>381</v>
      </c>
      <c r="BP6" s="65" t="s">
        <v>391</v>
      </c>
      <c r="BQ6" s="65" t="s">
        <v>397</v>
      </c>
      <c r="BR6" s="65" t="s">
        <v>411</v>
      </c>
      <c r="BS6" s="65" t="s">
        <v>419</v>
      </c>
      <c r="BT6" s="65" t="s">
        <v>428</v>
      </c>
      <c r="BU6" s="65" t="s">
        <v>434</v>
      </c>
      <c r="BV6" s="65" t="s">
        <v>442</v>
      </c>
      <c r="BW6" s="65" t="s">
        <v>448</v>
      </c>
      <c r="BX6" s="65" t="s">
        <v>455</v>
      </c>
      <c r="BY6" s="65" t="s">
        <v>461</v>
      </c>
      <c r="BZ6" s="65" t="s">
        <v>468</v>
      </c>
      <c r="CA6" s="65" t="s">
        <v>482</v>
      </c>
      <c r="CB6" s="65" t="s">
        <v>494</v>
      </c>
      <c r="CC6" s="65" t="s">
        <v>501</v>
      </c>
      <c r="CD6" s="65" t="s">
        <v>513</v>
      </c>
      <c r="CE6" s="65" t="s">
        <v>519</v>
      </c>
      <c r="CF6" s="65" t="s">
        <v>523</v>
      </c>
      <c r="CG6" s="65" t="s">
        <v>417</v>
      </c>
      <c r="CH6" s="65" t="s">
        <v>540</v>
      </c>
      <c r="CI6" s="65" t="s">
        <v>553</v>
      </c>
      <c r="CJ6" s="65" t="s">
        <v>565</v>
      </c>
      <c r="CK6" s="65" t="s">
        <v>578</v>
      </c>
      <c r="CL6" s="65" t="s">
        <v>589</v>
      </c>
      <c r="CM6" s="65" t="s">
        <v>600</v>
      </c>
      <c r="CN6" s="65" t="s">
        <v>355</v>
      </c>
      <c r="CO6" s="65" t="s">
        <v>619</v>
      </c>
      <c r="CP6" s="65" t="s">
        <v>632</v>
      </c>
      <c r="CQ6" s="65" t="s">
        <v>638</v>
      </c>
      <c r="CR6" s="65" t="s">
        <v>642</v>
      </c>
      <c r="CS6" s="65" t="s">
        <v>653</v>
      </c>
      <c r="CU6" s="65" t="s">
        <v>661</v>
      </c>
      <c r="CV6" s="65" t="s">
        <v>451</v>
      </c>
      <c r="CW6" s="65" t="s">
        <v>468</v>
      </c>
      <c r="CX6" s="65" t="s">
        <v>679</v>
      </c>
      <c r="CY6" s="65" t="s">
        <v>688</v>
      </c>
      <c r="CZ6" s="65" t="s">
        <v>411</v>
      </c>
      <c r="DA6" s="65" t="s">
        <v>419</v>
      </c>
      <c r="DB6" s="65" t="s">
        <v>698</v>
      </c>
      <c r="DC6" s="65" t="s">
        <v>704</v>
      </c>
      <c r="DE6" s="65" t="s">
        <v>719</v>
      </c>
      <c r="DF6" s="65" t="s">
        <v>723</v>
      </c>
      <c r="DG6" s="65" t="s">
        <v>732</v>
      </c>
      <c r="DH6" s="65" t="s">
        <v>742</v>
      </c>
      <c r="DI6" s="65" t="s">
        <v>755</v>
      </c>
      <c r="DJ6" s="65" t="s">
        <v>543</v>
      </c>
      <c r="DK6" s="65" t="s">
        <v>768</v>
      </c>
      <c r="DL6" s="65" t="s">
        <v>778</v>
      </c>
      <c r="DM6" s="65" t="s">
        <v>785</v>
      </c>
      <c r="DN6" s="65" t="s">
        <v>792</v>
      </c>
      <c r="DO6" s="65" t="s">
        <v>710</v>
      </c>
      <c r="DP6" s="65" t="s">
        <v>812</v>
      </c>
      <c r="DQ6" s="65" t="s">
        <v>841</v>
      </c>
      <c r="DR6" s="65" t="s">
        <v>850</v>
      </c>
      <c r="DS6" s="65" t="s">
        <v>872</v>
      </c>
      <c r="DT6" s="65" t="s">
        <v>889</v>
      </c>
      <c r="DU6" s="65" t="s">
        <v>908</v>
      </c>
      <c r="DV6" s="65" t="s">
        <v>923</v>
      </c>
      <c r="DW6" s="65" t="s">
        <v>933</v>
      </c>
      <c r="DX6" s="65" t="s">
        <v>943</v>
      </c>
      <c r="DY6" s="65" t="s">
        <v>959</v>
      </c>
      <c r="DZ6" s="65" t="s">
        <v>977</v>
      </c>
      <c r="EA6" s="65" t="s">
        <v>993</v>
      </c>
      <c r="EB6" s="65" t="s">
        <v>1005</v>
      </c>
      <c r="EC6" s="65" t="s">
        <v>1018</v>
      </c>
      <c r="ED6" s="65" t="s">
        <v>1031</v>
      </c>
      <c r="EE6" s="65" t="s">
        <v>1046</v>
      </c>
      <c r="EF6" s="65" t="s">
        <v>1065</v>
      </c>
      <c r="EG6" s="65" t="s">
        <v>1085</v>
      </c>
      <c r="EH6" s="65" t="s">
        <v>1098</v>
      </c>
      <c r="EI6" s="65" t="s">
        <v>1114</v>
      </c>
      <c r="EJ6" s="65" t="s">
        <v>1127</v>
      </c>
      <c r="EK6" s="65" t="s">
        <v>1142</v>
      </c>
      <c r="EL6" s="65" t="s">
        <v>1155</v>
      </c>
      <c r="EM6" s="65" t="s">
        <v>1168</v>
      </c>
      <c r="EN6" s="65" t="s">
        <v>1184</v>
      </c>
      <c r="EO6" s="65" t="s">
        <v>1200</v>
      </c>
      <c r="EP6" s="65" t="s">
        <v>1209</v>
      </c>
      <c r="EQ6" s="65" t="s">
        <v>1223</v>
      </c>
      <c r="ER6" s="65" t="s">
        <v>1239</v>
      </c>
      <c r="ES6" s="65" t="s">
        <v>1258</v>
      </c>
      <c r="ET6" s="65" t="s">
        <v>1270</v>
      </c>
      <c r="EU6" s="65" t="s">
        <v>1283</v>
      </c>
      <c r="EV6" s="65" t="s">
        <v>1296</v>
      </c>
      <c r="EW6" s="65" t="s">
        <v>1306</v>
      </c>
      <c r="EX6" s="65" t="s">
        <v>1321</v>
      </c>
      <c r="EY6" s="65" t="s">
        <v>1336</v>
      </c>
      <c r="FA6" s="65" t="s">
        <v>1352</v>
      </c>
      <c r="FB6" s="65" t="s">
        <v>1364</v>
      </c>
      <c r="FC6" s="65" t="s">
        <v>1383</v>
      </c>
      <c r="FD6" s="65" t="s">
        <v>1392</v>
      </c>
      <c r="FE6" s="65" t="s">
        <v>1412</v>
      </c>
      <c r="FF6" s="65" t="s">
        <v>1429</v>
      </c>
      <c r="FG6" s="65" t="s">
        <v>1441</v>
      </c>
      <c r="FW6" s="65" t="s">
        <v>1477</v>
      </c>
      <c r="FX6" s="65" t="s">
        <v>1480</v>
      </c>
      <c r="FY6" s="65" t="s">
        <v>1487</v>
      </c>
      <c r="GC6" s="65" t="s">
        <v>1507</v>
      </c>
      <c r="GD6" s="65" t="s">
        <v>1510</v>
      </c>
      <c r="GE6" s="65" t="s">
        <v>1513</v>
      </c>
      <c r="GF6" s="65" t="s">
        <v>1516</v>
      </c>
      <c r="GM6" s="65" t="s">
        <v>1516</v>
      </c>
      <c r="GN6" s="65" t="s">
        <v>28</v>
      </c>
      <c r="GP6" s="65" t="s">
        <v>1532</v>
      </c>
      <c r="GR6" s="65" t="s">
        <v>1480</v>
      </c>
      <c r="GS6" s="65" t="s">
        <v>150</v>
      </c>
      <c r="GT6" s="65" t="s">
        <v>1487</v>
      </c>
      <c r="GW6" s="65" t="s">
        <v>1555</v>
      </c>
      <c r="GY6" s="65" t="s">
        <v>28</v>
      </c>
      <c r="HA6" s="65" t="s">
        <v>1532</v>
      </c>
      <c r="HC6" s="65" t="s">
        <v>1480</v>
      </c>
      <c r="HD6" s="65" t="s">
        <v>1541</v>
      </c>
      <c r="HE6" s="65" t="s">
        <v>1487</v>
      </c>
      <c r="HH6" s="65" t="s">
        <v>1555</v>
      </c>
      <c r="HJ6" s="65" t="s">
        <v>28</v>
      </c>
      <c r="HL6" s="65" t="s">
        <v>1480</v>
      </c>
      <c r="HM6" s="65" t="s">
        <v>1541</v>
      </c>
      <c r="HN6" s="65" t="s">
        <v>1487</v>
      </c>
      <c r="HP6" s="65" t="s">
        <v>1555</v>
      </c>
      <c r="HR6" s="65" t="s">
        <v>1532</v>
      </c>
      <c r="HV6" s="65" t="s">
        <v>1480</v>
      </c>
      <c r="HW6" s="65" t="s">
        <v>1541</v>
      </c>
      <c r="HX6" s="65" t="s">
        <v>1487</v>
      </c>
      <c r="HZ6" s="65" t="s">
        <v>1555</v>
      </c>
      <c r="IA6" s="65" t="s">
        <v>28</v>
      </c>
      <c r="IC6" s="65" t="s">
        <v>1532</v>
      </c>
      <c r="IE6" s="65" t="s">
        <v>1480</v>
      </c>
      <c r="IF6" s="65" t="s">
        <v>1541</v>
      </c>
      <c r="IG6" s="65" t="s">
        <v>1487</v>
      </c>
      <c r="IJ6" s="65" t="s">
        <v>1555</v>
      </c>
      <c r="IL6" s="65" t="s">
        <v>28</v>
      </c>
      <c r="IN6" s="65" t="s">
        <v>1532</v>
      </c>
      <c r="IP6" s="65" t="s">
        <v>1480</v>
      </c>
      <c r="IQ6" s="65" t="s">
        <v>1541</v>
      </c>
      <c r="IR6" s="65" t="s">
        <v>1487</v>
      </c>
      <c r="IU6" s="65" t="s">
        <v>1555</v>
      </c>
      <c r="IW6" s="65" t="s">
        <v>28</v>
      </c>
      <c r="IY6" s="65" t="s">
        <v>1480</v>
      </c>
      <c r="IZ6" s="65" t="s">
        <v>1541</v>
      </c>
      <c r="JA6" s="65" t="s">
        <v>1487</v>
      </c>
      <c r="JD6" s="65" t="s">
        <v>1555</v>
      </c>
      <c r="JE6" s="65" t="s">
        <v>28</v>
      </c>
      <c r="JF6" s="65" t="s">
        <v>1480</v>
      </c>
      <c r="JG6" s="65" t="s">
        <v>1541</v>
      </c>
      <c r="JH6" s="65" t="s">
        <v>1487</v>
      </c>
      <c r="JK6" s="65" t="s">
        <v>1555</v>
      </c>
      <c r="JN6" s="65" t="s">
        <v>1480</v>
      </c>
      <c r="JO6" s="65" t="s">
        <v>1541</v>
      </c>
      <c r="JP6" s="65" t="s">
        <v>1487</v>
      </c>
      <c r="JT6" s="65" t="s">
        <v>1480</v>
      </c>
      <c r="JU6" s="65" t="s">
        <v>1541</v>
      </c>
      <c r="JV6" s="65" t="s">
        <v>1487</v>
      </c>
      <c r="JX6" s="65" t="s">
        <v>1480</v>
      </c>
      <c r="JY6" s="65" t="s">
        <v>1541</v>
      </c>
      <c r="JZ6" s="65" t="s">
        <v>1487</v>
      </c>
      <c r="KD6" s="65" t="s">
        <v>1480</v>
      </c>
      <c r="KE6" s="65" t="s">
        <v>1541</v>
      </c>
      <c r="KF6" s="65" t="s">
        <v>1487</v>
      </c>
      <c r="KI6" s="65" t="s">
        <v>1480</v>
      </c>
      <c r="KJ6" s="65" t="s">
        <v>1541</v>
      </c>
      <c r="KK6" s="65" t="s">
        <v>1487</v>
      </c>
      <c r="KM6" s="65" t="s">
        <v>1480</v>
      </c>
      <c r="KN6" s="65" t="s">
        <v>1541</v>
      </c>
      <c r="KO6" s="65" t="s">
        <v>1487</v>
      </c>
      <c r="KQ6" s="65" t="s">
        <v>1480</v>
      </c>
      <c r="KR6" s="65" t="s">
        <v>1541</v>
      </c>
      <c r="KS6" s="65" t="s">
        <v>1487</v>
      </c>
      <c r="KV6" s="65" t="s">
        <v>1480</v>
      </c>
      <c r="KW6" s="65" t="s">
        <v>1541</v>
      </c>
      <c r="KX6" s="65" t="s">
        <v>1487</v>
      </c>
      <c r="LL6" s="65" t="s">
        <v>1889</v>
      </c>
      <c r="LU6" s="65" t="s">
        <v>1889</v>
      </c>
      <c r="MM6" s="65" t="s">
        <v>394</v>
      </c>
      <c r="MQ6" s="65" t="s">
        <v>1924</v>
      </c>
      <c r="MT6" s="65" t="s">
        <v>1929</v>
      </c>
      <c r="NM6" s="65" t="s">
        <v>1952</v>
      </c>
      <c r="NY6" s="65" t="s">
        <v>1982</v>
      </c>
      <c r="OA6" s="65" t="s">
        <v>1555</v>
      </c>
      <c r="OC6" s="65" t="s">
        <v>1924</v>
      </c>
      <c r="OD6" s="65" t="s">
        <v>1929</v>
      </c>
      <c r="PP6" s="65" t="s">
        <v>2032</v>
      </c>
      <c r="PR6" s="65" t="s">
        <v>2044</v>
      </c>
      <c r="PS6" s="65" t="s">
        <v>440</v>
      </c>
      <c r="QF6" s="65" t="s">
        <v>1924</v>
      </c>
      <c r="QH6" s="65" t="s">
        <v>1929</v>
      </c>
      <c r="QS6" s="65" t="s">
        <v>1982</v>
      </c>
      <c r="RD6" s="65" t="s">
        <v>1555</v>
      </c>
    </row>
    <row r="7" spans="1:685" ht="15" customHeight="1" x14ac:dyDescent="0.25">
      <c r="A7" s="65" t="s">
        <v>350</v>
      </c>
      <c r="C7" s="65" t="s">
        <v>350</v>
      </c>
      <c r="D7" s="65" t="s">
        <v>3732</v>
      </c>
      <c r="F7" s="66" t="s">
        <v>4405</v>
      </c>
      <c r="G7" s="66" t="s">
        <v>3761</v>
      </c>
      <c r="I7" s="66" t="s">
        <v>27</v>
      </c>
      <c r="J7" s="66" t="s">
        <v>3885</v>
      </c>
      <c r="M7" s="65" t="s">
        <v>65</v>
      </c>
      <c r="N7" s="65" t="s">
        <v>243</v>
      </c>
      <c r="O7" s="65" t="s">
        <v>377</v>
      </c>
      <c r="P7" s="65" t="s">
        <v>425</v>
      </c>
      <c r="Q7" s="65" t="s">
        <v>451</v>
      </c>
      <c r="R7" s="65" t="s">
        <v>497</v>
      </c>
      <c r="S7" s="65" t="s">
        <v>138</v>
      </c>
      <c r="V7" s="65" t="s">
        <v>585</v>
      </c>
      <c r="W7" s="65" t="s">
        <v>628</v>
      </c>
      <c r="X7" s="65" t="s">
        <v>439</v>
      </c>
      <c r="Z7" s="65" t="s">
        <v>425</v>
      </c>
      <c r="AA7" s="65" t="s">
        <v>729</v>
      </c>
      <c r="AB7" s="65" t="s">
        <v>781</v>
      </c>
      <c r="AC7" s="65" t="s">
        <v>837</v>
      </c>
      <c r="AD7" s="65" t="s">
        <v>904</v>
      </c>
      <c r="AE7" s="65" t="s">
        <v>939</v>
      </c>
      <c r="AG7" s="65" t="s">
        <v>1027</v>
      </c>
      <c r="AH7" s="65" t="s">
        <v>1080</v>
      </c>
      <c r="AI7" s="65" t="s">
        <v>1164</v>
      </c>
      <c r="AJ7" s="65" t="s">
        <v>1235</v>
      </c>
      <c r="AK7" s="65" t="s">
        <v>1292</v>
      </c>
      <c r="AM7" s="65" t="s">
        <v>1348</v>
      </c>
      <c r="AO7" s="65" t="s">
        <v>1408</v>
      </c>
      <c r="AP7" s="65" t="s">
        <v>25</v>
      </c>
      <c r="AQ7" s="65" t="s">
        <v>49</v>
      </c>
      <c r="AR7" s="65" t="s">
        <v>72</v>
      </c>
      <c r="AS7" s="65" t="s">
        <v>109</v>
      </c>
      <c r="AT7" s="65" t="s">
        <v>124</v>
      </c>
      <c r="AU7" s="65" t="s">
        <v>124</v>
      </c>
      <c r="AV7" s="65" t="s">
        <v>69</v>
      </c>
      <c r="AW7" s="65" t="s">
        <v>141</v>
      </c>
      <c r="AX7" s="65" t="s">
        <v>124</v>
      </c>
      <c r="AY7" s="65" t="s">
        <v>124</v>
      </c>
      <c r="AZ7" s="65" t="s">
        <v>69</v>
      </c>
      <c r="BA7" s="65" t="s">
        <v>131</v>
      </c>
      <c r="BB7" s="65" t="s">
        <v>72</v>
      </c>
      <c r="BC7" s="65" t="s">
        <v>72</v>
      </c>
      <c r="BD7" s="65" t="s">
        <v>72</v>
      </c>
      <c r="BE7" s="65" t="s">
        <v>72</v>
      </c>
      <c r="BF7" s="65" t="s">
        <v>72</v>
      </c>
      <c r="BG7" s="65" t="s">
        <v>72</v>
      </c>
      <c r="BH7" s="65" t="s">
        <v>72</v>
      </c>
      <c r="BI7" s="65" t="s">
        <v>72</v>
      </c>
      <c r="BJ7" s="65" t="s">
        <v>288</v>
      </c>
      <c r="BK7" s="65" t="s">
        <v>294</v>
      </c>
      <c r="BL7" s="65" t="s">
        <v>342</v>
      </c>
      <c r="BM7" s="65" t="s">
        <v>358</v>
      </c>
      <c r="BN7" s="65" t="s">
        <v>374</v>
      </c>
      <c r="BO7" s="65" t="s">
        <v>384</v>
      </c>
      <c r="BQ7" s="65" t="s">
        <v>400</v>
      </c>
      <c r="BR7" s="65" t="s">
        <v>414</v>
      </c>
      <c r="BS7" s="65" t="s">
        <v>422</v>
      </c>
      <c r="BZ7" s="65" t="s">
        <v>471</v>
      </c>
      <c r="CA7" s="65" t="s">
        <v>485</v>
      </c>
      <c r="CC7" s="65" t="s">
        <v>434</v>
      </c>
      <c r="CG7" s="65" t="s">
        <v>531</v>
      </c>
      <c r="CH7" s="65" t="s">
        <v>543</v>
      </c>
      <c r="CI7" s="65" t="s">
        <v>556</v>
      </c>
      <c r="CJ7" s="65" t="s">
        <v>568</v>
      </c>
      <c r="CK7" s="65" t="s">
        <v>581</v>
      </c>
      <c r="CL7" s="65" t="s">
        <v>592</v>
      </c>
      <c r="CM7" s="65" t="s">
        <v>603</v>
      </c>
      <c r="CO7" s="65" t="s">
        <v>622</v>
      </c>
      <c r="CR7" s="65" t="s">
        <v>645</v>
      </c>
      <c r="CW7" s="65" t="s">
        <v>471</v>
      </c>
      <c r="DC7" s="65" t="s">
        <v>707</v>
      </c>
      <c r="DF7" s="65" t="s">
        <v>726</v>
      </c>
      <c r="DG7" s="65" t="s">
        <v>735</v>
      </c>
      <c r="DH7" s="65" t="s">
        <v>745</v>
      </c>
      <c r="DJ7" s="65" t="s">
        <v>760</v>
      </c>
      <c r="DK7" s="65" t="s">
        <v>771</v>
      </c>
      <c r="DN7" s="65" t="s">
        <v>795</v>
      </c>
      <c r="DO7" s="65" t="s">
        <v>812</v>
      </c>
      <c r="DP7" s="65" t="s">
        <v>833</v>
      </c>
      <c r="DQ7" s="65" t="s">
        <v>844</v>
      </c>
      <c r="DR7" s="65" t="s">
        <v>853</v>
      </c>
      <c r="DS7" s="65" t="s">
        <v>875</v>
      </c>
      <c r="DT7" s="65" t="s">
        <v>892</v>
      </c>
      <c r="DU7" s="65" t="s">
        <v>911</v>
      </c>
      <c r="DV7" s="65" t="s">
        <v>926</v>
      </c>
      <c r="DW7" s="65" t="s">
        <v>936</v>
      </c>
      <c r="DX7" s="65" t="s">
        <v>946</v>
      </c>
      <c r="DY7" s="65" t="s">
        <v>962</v>
      </c>
      <c r="DZ7" s="65" t="s">
        <v>980</v>
      </c>
      <c r="EA7" s="65" t="s">
        <v>996</v>
      </c>
      <c r="EB7" s="65" t="s">
        <v>1008</v>
      </c>
      <c r="EC7" s="65" t="s">
        <v>1021</v>
      </c>
      <c r="ED7" s="65" t="s">
        <v>1034</v>
      </c>
      <c r="EE7" s="65" t="s">
        <v>1049</v>
      </c>
      <c r="EF7" s="65" t="s">
        <v>1068</v>
      </c>
      <c r="EG7" s="65" t="s">
        <v>1088</v>
      </c>
      <c r="EH7" s="65" t="s">
        <v>1101</v>
      </c>
      <c r="EI7" s="65" t="s">
        <v>1117</v>
      </c>
      <c r="EJ7" s="65" t="s">
        <v>1130</v>
      </c>
      <c r="EK7" s="65" t="s">
        <v>1145</v>
      </c>
      <c r="EL7" s="65" t="s">
        <v>1158</v>
      </c>
      <c r="EM7" s="65" t="s">
        <v>1171</v>
      </c>
      <c r="EN7" s="65" t="s">
        <v>1187</v>
      </c>
      <c r="EP7" s="65" t="s">
        <v>965</v>
      </c>
      <c r="EQ7" s="65" t="s">
        <v>1226</v>
      </c>
      <c r="ER7" s="65" t="s">
        <v>1242</v>
      </c>
      <c r="ES7" s="65" t="s">
        <v>1261</v>
      </c>
      <c r="ET7" s="65" t="s">
        <v>1273</v>
      </c>
      <c r="EU7" s="65" t="s">
        <v>1286</v>
      </c>
      <c r="EV7" s="65" t="s">
        <v>1299</v>
      </c>
      <c r="EW7" s="65" t="s">
        <v>1309</v>
      </c>
      <c r="EX7" s="65" t="s">
        <v>1324</v>
      </c>
      <c r="EY7" s="65" t="s">
        <v>1339</v>
      </c>
      <c r="FA7" s="65" t="s">
        <v>1355</v>
      </c>
      <c r="FB7" s="65" t="s">
        <v>1367</v>
      </c>
      <c r="FC7" s="65" t="s">
        <v>31</v>
      </c>
      <c r="FD7" s="65" t="s">
        <v>1395</v>
      </c>
      <c r="FE7" s="65" t="s">
        <v>1415</v>
      </c>
      <c r="FF7" s="65" t="s">
        <v>556</v>
      </c>
      <c r="FG7" s="65" t="s">
        <v>1444</v>
      </c>
      <c r="FX7" s="65" t="s">
        <v>1482</v>
      </c>
      <c r="FY7" s="65" t="s">
        <v>1489</v>
      </c>
      <c r="GN7" s="65" t="s">
        <v>1528</v>
      </c>
      <c r="GR7" s="65" t="s">
        <v>1482</v>
      </c>
      <c r="GS7" s="65" t="s">
        <v>1541</v>
      </c>
      <c r="GT7" s="65" t="s">
        <v>1489</v>
      </c>
      <c r="GW7" s="65" t="s">
        <v>1557</v>
      </c>
      <c r="GY7" s="65" t="s">
        <v>1528</v>
      </c>
      <c r="HC7" s="65" t="s">
        <v>1482</v>
      </c>
      <c r="HE7" s="65" t="s">
        <v>1489</v>
      </c>
      <c r="HH7" s="65" t="s">
        <v>1557</v>
      </c>
      <c r="HJ7" s="65" t="s">
        <v>1528</v>
      </c>
      <c r="HL7" s="65" t="s">
        <v>1482</v>
      </c>
      <c r="HN7" s="65" t="s">
        <v>1489</v>
      </c>
      <c r="HP7" s="65" t="s">
        <v>1557</v>
      </c>
      <c r="HV7" s="65" t="s">
        <v>1482</v>
      </c>
      <c r="HX7" s="65" t="s">
        <v>1489</v>
      </c>
      <c r="HZ7" s="65" t="s">
        <v>1557</v>
      </c>
      <c r="IA7" s="65" t="s">
        <v>1528</v>
      </c>
      <c r="IE7" s="65" t="s">
        <v>1482</v>
      </c>
      <c r="IG7" s="65" t="s">
        <v>1489</v>
      </c>
      <c r="IJ7" s="65" t="s">
        <v>1557</v>
      </c>
      <c r="IL7" s="65" t="s">
        <v>1528</v>
      </c>
      <c r="IP7" s="65" t="s">
        <v>1482</v>
      </c>
      <c r="IR7" s="65" t="s">
        <v>1489</v>
      </c>
      <c r="IU7" s="65" t="s">
        <v>1557</v>
      </c>
      <c r="IW7" s="65" t="s">
        <v>1528</v>
      </c>
      <c r="IY7" s="65" t="s">
        <v>1482</v>
      </c>
      <c r="JA7" s="65" t="s">
        <v>1489</v>
      </c>
      <c r="JD7" s="65" t="s">
        <v>1557</v>
      </c>
      <c r="JE7" s="65" t="s">
        <v>1528</v>
      </c>
      <c r="JF7" s="65" t="s">
        <v>1482</v>
      </c>
      <c r="JH7" s="65" t="s">
        <v>1489</v>
      </c>
      <c r="JK7" s="65" t="s">
        <v>1557</v>
      </c>
      <c r="JN7" s="65" t="s">
        <v>1482</v>
      </c>
      <c r="JP7" s="65" t="s">
        <v>1489</v>
      </c>
      <c r="JT7" s="65" t="s">
        <v>1482</v>
      </c>
      <c r="JV7" s="65" t="s">
        <v>1489</v>
      </c>
      <c r="JX7" s="65" t="s">
        <v>1482</v>
      </c>
      <c r="JZ7" s="65" t="s">
        <v>1489</v>
      </c>
      <c r="KD7" s="65" t="s">
        <v>1482</v>
      </c>
      <c r="KF7" s="65" t="s">
        <v>1489</v>
      </c>
      <c r="KI7" s="65" t="s">
        <v>1482</v>
      </c>
      <c r="KK7" s="65" t="s">
        <v>1489</v>
      </c>
      <c r="KM7" s="65" t="s">
        <v>1482</v>
      </c>
      <c r="KO7" s="65" t="s">
        <v>1489</v>
      </c>
      <c r="KQ7" s="65" t="s">
        <v>1482</v>
      </c>
      <c r="KS7" s="65" t="s">
        <v>1489</v>
      </c>
      <c r="KV7" s="65" t="s">
        <v>1482</v>
      </c>
      <c r="KX7" s="65" t="s">
        <v>1489</v>
      </c>
      <c r="MT7" s="65" t="s">
        <v>1931</v>
      </c>
      <c r="NM7" s="65" t="s">
        <v>1954</v>
      </c>
      <c r="OA7" s="65" t="s">
        <v>1557</v>
      </c>
      <c r="OD7" s="65" t="s">
        <v>1931</v>
      </c>
      <c r="PP7" s="65" t="s">
        <v>2034</v>
      </c>
      <c r="PR7" s="65" t="s">
        <v>2046</v>
      </c>
      <c r="QH7" s="65" t="s">
        <v>1931</v>
      </c>
      <c r="RD7" s="65" t="s">
        <v>1557</v>
      </c>
    </row>
    <row r="8" spans="1:685" ht="15" customHeight="1" x14ac:dyDescent="0.25">
      <c r="A8" s="65" t="s">
        <v>407</v>
      </c>
      <c r="C8" s="65" t="s">
        <v>407</v>
      </c>
      <c r="D8" s="65" t="s">
        <v>3733</v>
      </c>
      <c r="F8" s="66" t="s">
        <v>4406</v>
      </c>
      <c r="G8" s="66" t="s">
        <v>3762</v>
      </c>
      <c r="I8" s="66" t="s">
        <v>30</v>
      </c>
      <c r="J8" s="66" t="s">
        <v>3886</v>
      </c>
      <c r="M8" s="65" t="s">
        <v>102</v>
      </c>
      <c r="N8" s="65" t="s">
        <v>254</v>
      </c>
      <c r="O8" s="65" t="s">
        <v>387</v>
      </c>
      <c r="P8" s="65" t="s">
        <v>431</v>
      </c>
      <c r="Q8" s="65" t="s">
        <v>458</v>
      </c>
      <c r="V8" s="65" t="s">
        <v>596</v>
      </c>
      <c r="W8" s="65" t="s">
        <v>635</v>
      </c>
      <c r="X8" s="65" t="s">
        <v>664</v>
      </c>
      <c r="Z8" s="65" t="s">
        <v>701</v>
      </c>
      <c r="AA8" s="65" t="s">
        <v>738</v>
      </c>
      <c r="AB8" s="65" t="s">
        <v>788</v>
      </c>
      <c r="AC8" s="65" t="s">
        <v>848</v>
      </c>
      <c r="AE8" s="65" t="s">
        <v>955</v>
      </c>
      <c r="AH8" s="65" t="s">
        <v>1094</v>
      </c>
      <c r="AI8" s="65" t="s">
        <v>1180</v>
      </c>
      <c r="AJ8" s="65" t="s">
        <v>1254</v>
      </c>
      <c r="AK8" s="65" t="s">
        <v>1302</v>
      </c>
      <c r="AO8" s="65" t="s">
        <v>1425</v>
      </c>
      <c r="AP8" s="65" t="s">
        <v>28</v>
      </c>
      <c r="AQ8" s="65" t="s">
        <v>52</v>
      </c>
      <c r="AR8" s="65" t="s">
        <v>75</v>
      </c>
      <c r="AS8" s="65" t="s">
        <v>112</v>
      </c>
      <c r="AT8" s="65" t="s">
        <v>127</v>
      </c>
      <c r="AU8" s="65" t="s">
        <v>127</v>
      </c>
      <c r="AV8" s="65" t="s">
        <v>131</v>
      </c>
      <c r="AW8" s="65" t="s">
        <v>169</v>
      </c>
      <c r="AX8" s="65" t="s">
        <v>127</v>
      </c>
      <c r="AY8" s="65" t="s">
        <v>127</v>
      </c>
      <c r="AZ8" s="65" t="s">
        <v>131</v>
      </c>
      <c r="BA8" s="65" t="s">
        <v>72</v>
      </c>
      <c r="BB8" s="65" t="s">
        <v>75</v>
      </c>
      <c r="BC8" s="65" t="s">
        <v>75</v>
      </c>
      <c r="BD8" s="65" t="s">
        <v>75</v>
      </c>
      <c r="BE8" s="65" t="s">
        <v>75</v>
      </c>
      <c r="BF8" s="65" t="s">
        <v>75</v>
      </c>
      <c r="BG8" s="65" t="s">
        <v>75</v>
      </c>
      <c r="BH8" s="65" t="s">
        <v>75</v>
      </c>
      <c r="BI8" s="65" t="s">
        <v>75</v>
      </c>
      <c r="BJ8" s="65" t="s">
        <v>291</v>
      </c>
      <c r="BK8" s="65" t="s">
        <v>297</v>
      </c>
      <c r="BL8" s="65" t="s">
        <v>345</v>
      </c>
      <c r="BM8" s="65" t="s">
        <v>361</v>
      </c>
      <c r="BQ8" s="65" t="s">
        <v>403</v>
      </c>
      <c r="BZ8" s="65" t="s">
        <v>474</v>
      </c>
      <c r="CA8" s="65" t="s">
        <v>488</v>
      </c>
      <c r="CC8" s="65" t="s">
        <v>505</v>
      </c>
      <c r="CH8" s="65" t="s">
        <v>546</v>
      </c>
      <c r="CJ8" s="65" t="s">
        <v>571</v>
      </c>
      <c r="CK8" s="65" t="s">
        <v>523</v>
      </c>
      <c r="CL8" s="65" t="s">
        <v>334</v>
      </c>
      <c r="CM8" s="65" t="s">
        <v>606</v>
      </c>
      <c r="CO8" s="65" t="s">
        <v>625</v>
      </c>
      <c r="CW8" s="65" t="s">
        <v>474</v>
      </c>
      <c r="DC8" s="65" t="s">
        <v>710</v>
      </c>
      <c r="DH8" s="65" t="s">
        <v>748</v>
      </c>
      <c r="DN8" s="65" t="s">
        <v>798</v>
      </c>
      <c r="DO8" s="65" t="s">
        <v>815</v>
      </c>
      <c r="DR8" s="65" t="s">
        <v>856</v>
      </c>
      <c r="DS8" s="65" t="s">
        <v>878</v>
      </c>
      <c r="DT8" s="65" t="s">
        <v>895</v>
      </c>
      <c r="DU8" s="65" t="s">
        <v>914</v>
      </c>
      <c r="DX8" s="65" t="s">
        <v>949</v>
      </c>
      <c r="DY8" s="65" t="s">
        <v>965</v>
      </c>
      <c r="DZ8" s="65" t="s">
        <v>983</v>
      </c>
      <c r="EB8" s="65" t="s">
        <v>1011</v>
      </c>
      <c r="EC8" s="65" t="s">
        <v>1024</v>
      </c>
      <c r="ED8" s="65" t="s">
        <v>1037</v>
      </c>
      <c r="EE8" s="65" t="s">
        <v>1052</v>
      </c>
      <c r="EF8" s="65" t="s">
        <v>1071</v>
      </c>
      <c r="EG8" s="65" t="s">
        <v>1091</v>
      </c>
      <c r="EH8" s="65" t="s">
        <v>1104</v>
      </c>
      <c r="EI8" s="65" t="s">
        <v>1120</v>
      </c>
      <c r="EJ8" s="65" t="s">
        <v>1133</v>
      </c>
      <c r="EK8" s="65" t="s">
        <v>1148</v>
      </c>
      <c r="EL8" s="65" t="s">
        <v>1161</v>
      </c>
      <c r="EM8" s="65" t="s">
        <v>1174</v>
      </c>
      <c r="EN8" s="65" t="s">
        <v>1190</v>
      </c>
      <c r="EP8" s="65" t="s">
        <v>1213</v>
      </c>
      <c r="EQ8" s="65" t="s">
        <v>1229</v>
      </c>
      <c r="ER8" s="65" t="s">
        <v>1245</v>
      </c>
      <c r="ET8" s="65" t="s">
        <v>1276</v>
      </c>
      <c r="EU8" s="65" t="s">
        <v>1289</v>
      </c>
      <c r="EW8" s="65" t="s">
        <v>1312</v>
      </c>
      <c r="EX8" s="65" t="s">
        <v>1327</v>
      </c>
      <c r="EY8" s="65" t="s">
        <v>1342</v>
      </c>
      <c r="FB8" s="65" t="s">
        <v>1370</v>
      </c>
      <c r="FD8" s="65" t="s">
        <v>1398</v>
      </c>
      <c r="FE8" s="65" t="s">
        <v>1418</v>
      </c>
      <c r="FF8" s="65" t="s">
        <v>1433</v>
      </c>
      <c r="FG8" s="65" t="s">
        <v>1447</v>
      </c>
      <c r="FX8" s="65" t="s">
        <v>1484</v>
      </c>
      <c r="FY8" s="65" t="s">
        <v>1491</v>
      </c>
      <c r="GR8" s="65" t="s">
        <v>1484</v>
      </c>
      <c r="GT8" s="65" t="s">
        <v>1491</v>
      </c>
      <c r="HC8" s="65" t="s">
        <v>1484</v>
      </c>
      <c r="HE8" s="65" t="s">
        <v>1491</v>
      </c>
      <c r="HL8" s="65" t="s">
        <v>1484</v>
      </c>
      <c r="HN8" s="65" t="s">
        <v>1491</v>
      </c>
      <c r="HV8" s="65" t="s">
        <v>1484</v>
      </c>
      <c r="HX8" s="65" t="s">
        <v>1491</v>
      </c>
      <c r="IE8" s="65" t="s">
        <v>1484</v>
      </c>
      <c r="IG8" s="65" t="s">
        <v>1491</v>
      </c>
      <c r="IP8" s="65" t="s">
        <v>1484</v>
      </c>
      <c r="IR8" s="65" t="s">
        <v>1491</v>
      </c>
      <c r="IY8" s="65" t="s">
        <v>1484</v>
      </c>
      <c r="JA8" s="65" t="s">
        <v>1491</v>
      </c>
      <c r="JF8" s="65" t="s">
        <v>1484</v>
      </c>
      <c r="JH8" s="65" t="s">
        <v>1491</v>
      </c>
      <c r="JN8" s="65" t="s">
        <v>1484</v>
      </c>
      <c r="JP8" s="65" t="s">
        <v>1491</v>
      </c>
      <c r="JT8" s="65" t="s">
        <v>1484</v>
      </c>
      <c r="JV8" s="65" t="s">
        <v>1491</v>
      </c>
      <c r="JX8" s="65" t="s">
        <v>1484</v>
      </c>
      <c r="JZ8" s="65" t="s">
        <v>1491</v>
      </c>
      <c r="KD8" s="65" t="s">
        <v>1484</v>
      </c>
      <c r="KF8" s="65" t="s">
        <v>1491</v>
      </c>
      <c r="KI8" s="65" t="s">
        <v>1484</v>
      </c>
      <c r="KK8" s="65" t="s">
        <v>1491</v>
      </c>
      <c r="KM8" s="65" t="s">
        <v>1484</v>
      </c>
      <c r="KO8" s="65" t="s">
        <v>1491</v>
      </c>
      <c r="KQ8" s="65" t="s">
        <v>1484</v>
      </c>
      <c r="KS8" s="65" t="s">
        <v>1491</v>
      </c>
      <c r="KV8" s="65" t="s">
        <v>1484</v>
      </c>
      <c r="KX8" s="65" t="s">
        <v>1491</v>
      </c>
      <c r="NM8" s="65" t="s">
        <v>1956</v>
      </c>
      <c r="PP8" s="65" t="s">
        <v>2036</v>
      </c>
      <c r="PR8" s="65" t="s">
        <v>2048</v>
      </c>
    </row>
    <row r="9" spans="1:685" ht="15" customHeight="1" x14ac:dyDescent="0.25">
      <c r="A9" s="65" t="s">
        <v>438</v>
      </c>
      <c r="C9" s="65" t="s">
        <v>438</v>
      </c>
      <c r="D9" s="65" t="s">
        <v>3734</v>
      </c>
      <c r="F9" s="66" t="s">
        <v>4407</v>
      </c>
      <c r="G9" s="66" t="s">
        <v>3763</v>
      </c>
      <c r="I9" s="66" t="s">
        <v>33</v>
      </c>
      <c r="J9" s="66" t="s">
        <v>3887</v>
      </c>
      <c r="M9" s="65" t="s">
        <v>117</v>
      </c>
      <c r="N9" s="65" t="s">
        <v>260</v>
      </c>
      <c r="O9" s="65" t="s">
        <v>394</v>
      </c>
      <c r="Q9" s="65" t="s">
        <v>464</v>
      </c>
      <c r="W9" s="65" t="s">
        <v>550</v>
      </c>
      <c r="X9" s="65" t="s">
        <v>464</v>
      </c>
      <c r="Z9" s="65" t="s">
        <v>713</v>
      </c>
      <c r="AA9" s="65" t="s">
        <v>138</v>
      </c>
      <c r="AH9" s="65" t="s">
        <v>1110</v>
      </c>
      <c r="AI9" s="65" t="s">
        <v>1196</v>
      </c>
      <c r="AO9" s="65" t="s">
        <v>1437</v>
      </c>
      <c r="AP9" s="65" t="s">
        <v>31</v>
      </c>
      <c r="AQ9" s="65" t="s">
        <v>56</v>
      </c>
      <c r="AR9" s="65" t="s">
        <v>78</v>
      </c>
      <c r="AS9" s="65" t="s">
        <v>93</v>
      </c>
      <c r="AT9" s="65" t="s">
        <v>69</v>
      </c>
      <c r="AU9" s="65" t="s">
        <v>69</v>
      </c>
      <c r="AV9" s="65" t="s">
        <v>72</v>
      </c>
      <c r="AW9" s="65" t="s">
        <v>127</v>
      </c>
      <c r="AX9" s="65" t="s">
        <v>69</v>
      </c>
      <c r="AY9" s="65" t="s">
        <v>69</v>
      </c>
      <c r="AZ9" s="65" t="s">
        <v>72</v>
      </c>
      <c r="BA9" s="65" t="s">
        <v>75</v>
      </c>
      <c r="BB9" s="65" t="s">
        <v>232</v>
      </c>
      <c r="BD9" s="65" t="s">
        <v>248</v>
      </c>
      <c r="BE9" s="65" t="s">
        <v>135</v>
      </c>
      <c r="BH9" s="65" t="s">
        <v>135</v>
      </c>
      <c r="BJ9" s="65" t="s">
        <v>294</v>
      </c>
      <c r="BK9" s="65" t="s">
        <v>331</v>
      </c>
      <c r="BM9" s="65" t="s">
        <v>364</v>
      </c>
      <c r="CW9" s="65" t="s">
        <v>672</v>
      </c>
      <c r="DH9" s="65" t="s">
        <v>751</v>
      </c>
      <c r="DN9" s="65" t="s">
        <v>801</v>
      </c>
      <c r="DO9" s="65" t="s">
        <v>818</v>
      </c>
      <c r="DR9" s="65" t="s">
        <v>859</v>
      </c>
      <c r="DS9" s="65" t="s">
        <v>881</v>
      </c>
      <c r="DT9" s="65" t="s">
        <v>898</v>
      </c>
      <c r="DX9" s="65" t="s">
        <v>952</v>
      </c>
      <c r="DY9" s="65" t="s">
        <v>968</v>
      </c>
      <c r="DZ9" s="65" t="s">
        <v>986</v>
      </c>
      <c r="EE9" s="65" t="s">
        <v>1055</v>
      </c>
      <c r="EF9" s="65" t="s">
        <v>1074</v>
      </c>
      <c r="EH9" s="65" t="s">
        <v>1107</v>
      </c>
      <c r="EM9" s="65" t="s">
        <v>1177</v>
      </c>
      <c r="EN9" s="65" t="s">
        <v>1193</v>
      </c>
      <c r="EP9" s="65" t="s">
        <v>1216</v>
      </c>
      <c r="EQ9" s="65" t="s">
        <v>1232</v>
      </c>
      <c r="ER9" s="65" t="s">
        <v>1248</v>
      </c>
      <c r="FB9" s="65" t="s">
        <v>1373</v>
      </c>
      <c r="FD9" s="65" t="s">
        <v>1401</v>
      </c>
      <c r="FE9" s="65" t="s">
        <v>1421</v>
      </c>
      <c r="FG9" s="65" t="s">
        <v>1450</v>
      </c>
      <c r="FY9" s="65" t="s">
        <v>1493</v>
      </c>
      <c r="GT9" s="65" t="s">
        <v>1493</v>
      </c>
      <c r="HE9" s="65" t="s">
        <v>1493</v>
      </c>
      <c r="HN9" s="65" t="s">
        <v>1493</v>
      </c>
      <c r="HX9" s="65" t="s">
        <v>1493</v>
      </c>
      <c r="IG9" s="65" t="s">
        <v>1493</v>
      </c>
      <c r="IR9" s="65" t="s">
        <v>1493</v>
      </c>
      <c r="JA9" s="65" t="s">
        <v>1493</v>
      </c>
      <c r="JH9" s="65" t="s">
        <v>1493</v>
      </c>
      <c r="JP9" s="65" t="s">
        <v>1493</v>
      </c>
      <c r="JV9" s="65" t="s">
        <v>1493</v>
      </c>
      <c r="JZ9" s="65" t="s">
        <v>1493</v>
      </c>
      <c r="KF9" s="65" t="s">
        <v>1493</v>
      </c>
      <c r="KK9" s="65" t="s">
        <v>1493</v>
      </c>
      <c r="KO9" s="65" t="s">
        <v>1493</v>
      </c>
      <c r="KS9" s="65" t="s">
        <v>1493</v>
      </c>
      <c r="KX9" s="65" t="s">
        <v>1493</v>
      </c>
      <c r="NM9" s="65" t="s">
        <v>1958</v>
      </c>
      <c r="PP9" s="65" t="s">
        <v>2038</v>
      </c>
      <c r="PR9" s="65" t="s">
        <v>2050</v>
      </c>
    </row>
    <row r="10" spans="1:685" ht="15" customHeight="1" x14ac:dyDescent="0.25">
      <c r="A10" s="65" t="s">
        <v>478</v>
      </c>
      <c r="C10" s="65" t="s">
        <v>478</v>
      </c>
      <c r="D10" s="65" t="s">
        <v>3735</v>
      </c>
      <c r="F10" s="66" t="s">
        <v>4408</v>
      </c>
      <c r="G10" s="66" t="s">
        <v>3764</v>
      </c>
      <c r="I10" s="66" t="s">
        <v>37</v>
      </c>
      <c r="J10" s="66" t="s">
        <v>3888</v>
      </c>
      <c r="M10" s="65" t="s">
        <v>144</v>
      </c>
      <c r="N10" s="65" t="s">
        <v>265</v>
      </c>
      <c r="X10" s="65" t="s">
        <v>675</v>
      </c>
      <c r="Z10" s="65" t="s">
        <v>698</v>
      </c>
      <c r="AA10" s="65" t="s">
        <v>757</v>
      </c>
      <c r="AH10" s="65" t="s">
        <v>1123</v>
      </c>
      <c r="AP10" s="65" t="s">
        <v>34</v>
      </c>
      <c r="AQ10" s="65" t="s">
        <v>60</v>
      </c>
      <c r="AR10" s="65" t="s">
        <v>81</v>
      </c>
      <c r="AT10" s="65" t="s">
        <v>131</v>
      </c>
      <c r="AU10" s="65" t="s">
        <v>131</v>
      </c>
      <c r="AV10" s="65" t="s">
        <v>75</v>
      </c>
      <c r="AW10" s="65" t="s">
        <v>69</v>
      </c>
      <c r="AX10" s="65" t="s">
        <v>131</v>
      </c>
      <c r="AY10" s="65" t="s">
        <v>131</v>
      </c>
      <c r="AZ10" s="65" t="s">
        <v>75</v>
      </c>
      <c r="BA10" s="65" t="s">
        <v>135</v>
      </c>
      <c r="BB10" s="65" t="s">
        <v>235</v>
      </c>
      <c r="BD10" s="65" t="s">
        <v>251</v>
      </c>
      <c r="BJ10" s="65" t="s">
        <v>297</v>
      </c>
      <c r="BK10" s="65" t="s">
        <v>334</v>
      </c>
      <c r="DO10" s="65" t="s">
        <v>821</v>
      </c>
      <c r="DR10" s="65" t="s">
        <v>862</v>
      </c>
      <c r="DS10" s="65" t="s">
        <v>833</v>
      </c>
      <c r="DT10" s="65" t="s">
        <v>901</v>
      </c>
      <c r="EE10" s="65" t="s">
        <v>1058</v>
      </c>
      <c r="EF10" s="65" t="s">
        <v>1077</v>
      </c>
      <c r="ER10" s="65" t="s">
        <v>1251</v>
      </c>
      <c r="FD10" s="65" t="s">
        <v>1404</v>
      </c>
      <c r="FG10" s="65" t="s">
        <v>1453</v>
      </c>
      <c r="FY10" s="65" t="s">
        <v>1495</v>
      </c>
      <c r="GT10" s="65" t="s">
        <v>1495</v>
      </c>
      <c r="HE10" s="65" t="s">
        <v>1495</v>
      </c>
      <c r="HN10" s="65" t="s">
        <v>1495</v>
      </c>
      <c r="HX10" s="65" t="s">
        <v>1495</v>
      </c>
      <c r="IG10" s="65" t="s">
        <v>1495</v>
      </c>
      <c r="IR10" s="65" t="s">
        <v>1495</v>
      </c>
      <c r="JA10" s="65" t="s">
        <v>1495</v>
      </c>
      <c r="JH10" s="65" t="s">
        <v>1495</v>
      </c>
      <c r="JP10" s="65" t="s">
        <v>1495</v>
      </c>
      <c r="JV10" s="65" t="s">
        <v>1495</v>
      </c>
      <c r="JZ10" s="65" t="s">
        <v>1495</v>
      </c>
      <c r="KF10" s="65" t="s">
        <v>1495</v>
      </c>
      <c r="KK10" s="65" t="s">
        <v>1495</v>
      </c>
      <c r="KO10" s="65" t="s">
        <v>1495</v>
      </c>
      <c r="KS10" s="65" t="s">
        <v>1495</v>
      </c>
      <c r="KX10" s="65" t="s">
        <v>1495</v>
      </c>
      <c r="NM10" s="65" t="s">
        <v>1960</v>
      </c>
      <c r="PP10" s="65" t="s">
        <v>2040</v>
      </c>
      <c r="PR10" s="65" t="s">
        <v>2052</v>
      </c>
    </row>
    <row r="11" spans="1:685" ht="15" customHeight="1" x14ac:dyDescent="0.25">
      <c r="A11" s="65" t="s">
        <v>509</v>
      </c>
      <c r="C11" s="65" t="s">
        <v>509</v>
      </c>
      <c r="D11" s="65" t="s">
        <v>3736</v>
      </c>
      <c r="F11" s="66" t="s">
        <v>4409</v>
      </c>
      <c r="G11" s="66" t="s">
        <v>3765</v>
      </c>
      <c r="I11" s="66" t="s">
        <v>40</v>
      </c>
      <c r="J11" s="66" t="s">
        <v>3889</v>
      </c>
      <c r="M11" s="65" t="s">
        <v>157</v>
      </c>
      <c r="N11" s="65" t="s">
        <v>270</v>
      </c>
      <c r="AA11" s="65" t="s">
        <v>723</v>
      </c>
      <c r="AP11" s="65" t="s">
        <v>38</v>
      </c>
      <c r="AR11" s="65" t="s">
        <v>84</v>
      </c>
      <c r="AT11" s="65" t="s">
        <v>72</v>
      </c>
      <c r="AU11" s="65" t="s">
        <v>72</v>
      </c>
      <c r="AV11" s="65" t="s">
        <v>138</v>
      </c>
      <c r="AW11" s="65" t="s">
        <v>131</v>
      </c>
      <c r="AX11" s="65" t="s">
        <v>72</v>
      </c>
      <c r="AY11" s="65" t="s">
        <v>72</v>
      </c>
      <c r="AZ11" s="65" t="s">
        <v>135</v>
      </c>
      <c r="BA11" s="65" t="s">
        <v>138</v>
      </c>
      <c r="BJ11" s="65" t="s">
        <v>300</v>
      </c>
      <c r="BK11" s="65" t="s">
        <v>309</v>
      </c>
      <c r="DO11" s="65" t="s">
        <v>824</v>
      </c>
      <c r="FY11" s="65" t="s">
        <v>1497</v>
      </c>
      <c r="GT11" s="65" t="s">
        <v>1497</v>
      </c>
      <c r="HE11" s="65" t="s">
        <v>1497</v>
      </c>
      <c r="HN11" s="65" t="s">
        <v>1497</v>
      </c>
      <c r="HX11" s="65" t="s">
        <v>1497</v>
      </c>
      <c r="IG11" s="65" t="s">
        <v>1497</v>
      </c>
      <c r="IR11" s="65" t="s">
        <v>1497</v>
      </c>
      <c r="JA11" s="65" t="s">
        <v>1497</v>
      </c>
      <c r="JH11" s="65" t="s">
        <v>1497</v>
      </c>
      <c r="JP11" s="65" t="s">
        <v>1497</v>
      </c>
      <c r="JV11" s="65" t="s">
        <v>1497</v>
      </c>
      <c r="JZ11" s="65" t="s">
        <v>1497</v>
      </c>
      <c r="KF11" s="65" t="s">
        <v>1497</v>
      </c>
      <c r="KK11" s="65" t="s">
        <v>1497</v>
      </c>
      <c r="KO11" s="65" t="s">
        <v>1497</v>
      </c>
      <c r="KS11" s="65" t="s">
        <v>1497</v>
      </c>
      <c r="KX11" s="65" t="s">
        <v>1497</v>
      </c>
      <c r="NM11" s="65" t="s">
        <v>1962</v>
      </c>
    </row>
    <row r="12" spans="1:685" ht="15" customHeight="1" x14ac:dyDescent="0.25">
      <c r="A12" s="65" t="s">
        <v>527</v>
      </c>
      <c r="C12" s="65" t="s">
        <v>527</v>
      </c>
      <c r="D12" s="65" t="s">
        <v>3737</v>
      </c>
      <c r="F12" s="66" t="s">
        <v>4410</v>
      </c>
      <c r="G12" s="66" t="s">
        <v>3766</v>
      </c>
      <c r="I12" s="66" t="s">
        <v>45</v>
      </c>
      <c r="J12" s="66" t="s">
        <v>3890</v>
      </c>
      <c r="M12" s="65" t="s">
        <v>165</v>
      </c>
      <c r="N12" s="65" t="s">
        <v>276</v>
      </c>
      <c r="AR12" s="65" t="s">
        <v>87</v>
      </c>
      <c r="AT12" s="65" t="s">
        <v>75</v>
      </c>
      <c r="AU12" s="65" t="s">
        <v>75</v>
      </c>
      <c r="AW12" s="65" t="s">
        <v>72</v>
      </c>
      <c r="AX12" s="65" t="s">
        <v>75</v>
      </c>
      <c r="AY12" s="65" t="s">
        <v>75</v>
      </c>
      <c r="AZ12" s="65" t="s">
        <v>138</v>
      </c>
      <c r="BA12" s="65" t="s">
        <v>219</v>
      </c>
      <c r="BJ12" s="65" t="s">
        <v>303</v>
      </c>
      <c r="BK12" s="65" t="s">
        <v>318</v>
      </c>
      <c r="FY12" s="65" t="s">
        <v>1499</v>
      </c>
      <c r="GT12" s="65" t="s">
        <v>1499</v>
      </c>
      <c r="HE12" s="65" t="s">
        <v>1499</v>
      </c>
      <c r="HN12" s="65" t="s">
        <v>1499</v>
      </c>
      <c r="HX12" s="65" t="s">
        <v>1499</v>
      </c>
      <c r="IG12" s="65" t="s">
        <v>1499</v>
      </c>
      <c r="IR12" s="65" t="s">
        <v>1499</v>
      </c>
      <c r="JA12" s="65" t="s">
        <v>1499</v>
      </c>
      <c r="JH12" s="65" t="s">
        <v>1499</v>
      </c>
      <c r="JP12" s="65" t="s">
        <v>1499</v>
      </c>
      <c r="JV12" s="65" t="s">
        <v>1499</v>
      </c>
      <c r="JZ12" s="65" t="s">
        <v>1499</v>
      </c>
      <c r="KF12" s="65" t="s">
        <v>1499</v>
      </c>
      <c r="KK12" s="65" t="s">
        <v>1499</v>
      </c>
      <c r="KO12" s="65" t="s">
        <v>1499</v>
      </c>
      <c r="KS12" s="65" t="s">
        <v>1499</v>
      </c>
      <c r="KX12" s="65" t="s">
        <v>1499</v>
      </c>
      <c r="NM12" s="65" t="s">
        <v>1964</v>
      </c>
    </row>
    <row r="13" spans="1:685" ht="15" customHeight="1" x14ac:dyDescent="0.25">
      <c r="A13" s="65" t="s">
        <v>535</v>
      </c>
      <c r="C13" s="65" t="s">
        <v>535</v>
      </c>
      <c r="D13" s="65" t="s">
        <v>3738</v>
      </c>
      <c r="F13" s="66" t="s">
        <v>4411</v>
      </c>
      <c r="G13" s="66" t="s">
        <v>3767</v>
      </c>
      <c r="I13" s="66" t="s">
        <v>48</v>
      </c>
      <c r="J13" s="66" t="s">
        <v>3891</v>
      </c>
      <c r="M13" s="65" t="s">
        <v>178</v>
      </c>
      <c r="N13" s="65" t="s">
        <v>281</v>
      </c>
      <c r="AR13" s="65" t="s">
        <v>90</v>
      </c>
      <c r="AT13" s="65" t="s">
        <v>135</v>
      </c>
      <c r="AU13" s="65" t="s">
        <v>135</v>
      </c>
      <c r="AW13" s="65" t="s">
        <v>75</v>
      </c>
      <c r="AX13" s="65" t="s">
        <v>135</v>
      </c>
      <c r="AY13" s="65" t="s">
        <v>135</v>
      </c>
      <c r="BA13" s="65" t="s">
        <v>222</v>
      </c>
      <c r="BJ13" s="65" t="s">
        <v>306</v>
      </c>
      <c r="FY13" s="65" t="s">
        <v>1501</v>
      </c>
      <c r="GT13" s="65" t="s">
        <v>1501</v>
      </c>
      <c r="HE13" s="65" t="s">
        <v>1501</v>
      </c>
      <c r="HN13" s="65" t="s">
        <v>1501</v>
      </c>
      <c r="HX13" s="65" t="s">
        <v>1501</v>
      </c>
      <c r="IG13" s="65" t="s">
        <v>1501</v>
      </c>
      <c r="IR13" s="65" t="s">
        <v>1501</v>
      </c>
      <c r="JA13" s="65" t="s">
        <v>1501</v>
      </c>
      <c r="JH13" s="65" t="s">
        <v>1501</v>
      </c>
      <c r="JP13" s="65" t="s">
        <v>1501</v>
      </c>
      <c r="JV13" s="65" t="s">
        <v>1501</v>
      </c>
      <c r="JZ13" s="65" t="s">
        <v>1501</v>
      </c>
      <c r="KF13" s="65" t="s">
        <v>1501</v>
      </c>
      <c r="KK13" s="65" t="s">
        <v>1501</v>
      </c>
      <c r="KO13" s="65" t="s">
        <v>1501</v>
      </c>
      <c r="KS13" s="65" t="s">
        <v>1501</v>
      </c>
      <c r="KX13" s="65" t="s">
        <v>1501</v>
      </c>
      <c r="NM13" s="65" t="s">
        <v>1966</v>
      </c>
    </row>
    <row r="14" spans="1:685" ht="15" customHeight="1" x14ac:dyDescent="0.25">
      <c r="A14" s="65" t="s">
        <v>560</v>
      </c>
      <c r="C14" s="65" t="s">
        <v>560</v>
      </c>
      <c r="D14" s="65" t="s">
        <v>3739</v>
      </c>
      <c r="F14" s="66" t="s">
        <v>4412</v>
      </c>
      <c r="G14" s="66" t="s">
        <v>3768</v>
      </c>
      <c r="I14" s="66" t="s">
        <v>51</v>
      </c>
      <c r="J14" s="66" t="s">
        <v>3892</v>
      </c>
      <c r="M14" s="65" t="s">
        <v>190</v>
      </c>
      <c r="N14" s="65" t="s">
        <v>324</v>
      </c>
      <c r="AR14" s="65" t="s">
        <v>93</v>
      </c>
      <c r="AT14" s="65" t="s">
        <v>138</v>
      </c>
      <c r="AU14" s="65" t="s">
        <v>138</v>
      </c>
      <c r="AW14" s="65" t="s">
        <v>138</v>
      </c>
      <c r="AX14" s="65" t="s">
        <v>138</v>
      </c>
      <c r="AY14" s="65" t="s">
        <v>138</v>
      </c>
      <c r="BJ14" s="65" t="s">
        <v>309</v>
      </c>
      <c r="NM14" s="65" t="s">
        <v>1968</v>
      </c>
    </row>
    <row r="15" spans="1:685" ht="15" customHeight="1" x14ac:dyDescent="0.25">
      <c r="A15" s="65" t="s">
        <v>610</v>
      </c>
      <c r="C15" s="65" t="s">
        <v>610</v>
      </c>
      <c r="D15" s="65" t="s">
        <v>3740</v>
      </c>
      <c r="F15" s="66" t="s">
        <v>4413</v>
      </c>
      <c r="G15" s="66" t="s">
        <v>3769</v>
      </c>
      <c r="I15" s="66" t="s">
        <v>55</v>
      </c>
      <c r="J15" s="66" t="s">
        <v>3893</v>
      </c>
      <c r="M15" s="65" t="s">
        <v>202</v>
      </c>
      <c r="N15" s="65" t="s">
        <v>339</v>
      </c>
      <c r="AR15" s="65" t="s">
        <v>96</v>
      </c>
      <c r="AT15" s="65" t="s">
        <v>141</v>
      </c>
      <c r="AU15" s="65" t="s">
        <v>141</v>
      </c>
      <c r="AX15" s="65" t="s">
        <v>141</v>
      </c>
      <c r="AY15" s="65" t="s">
        <v>141</v>
      </c>
      <c r="BJ15" s="65" t="s">
        <v>312</v>
      </c>
    </row>
    <row r="16" spans="1:685" ht="15" customHeight="1" x14ac:dyDescent="0.25">
      <c r="A16" s="65" t="s">
        <v>649</v>
      </c>
      <c r="C16" s="65" t="s">
        <v>649</v>
      </c>
      <c r="D16" s="65" t="s">
        <v>3741</v>
      </c>
      <c r="F16" s="66" t="s">
        <v>4414</v>
      </c>
      <c r="G16" s="66" t="s">
        <v>3770</v>
      </c>
      <c r="I16" s="66" t="s">
        <v>59</v>
      </c>
      <c r="J16" s="66" t="s">
        <v>3894</v>
      </c>
      <c r="M16" s="65" t="s">
        <v>211</v>
      </c>
      <c r="AR16" s="65" t="s">
        <v>99</v>
      </c>
      <c r="BJ16" s="65" t="s">
        <v>315</v>
      </c>
    </row>
    <row r="17" spans="1:62" ht="15" customHeight="1" x14ac:dyDescent="0.25">
      <c r="A17" s="65" t="s">
        <v>683</v>
      </c>
      <c r="C17" s="65" t="s">
        <v>683</v>
      </c>
      <c r="D17" s="65" t="s">
        <v>3742</v>
      </c>
      <c r="F17" s="66" t="s">
        <v>4415</v>
      </c>
      <c r="G17" s="66" t="s">
        <v>3771</v>
      </c>
      <c r="I17" s="66" t="s">
        <v>63</v>
      </c>
      <c r="J17" s="66" t="s">
        <v>3895</v>
      </c>
      <c r="BJ17" s="65" t="s">
        <v>318</v>
      </c>
    </row>
    <row r="18" spans="1:62" ht="15" customHeight="1" x14ac:dyDescent="0.25">
      <c r="A18" s="65" t="s">
        <v>692</v>
      </c>
      <c r="C18" s="65" t="s">
        <v>692</v>
      </c>
      <c r="D18" s="65" t="s">
        <v>3743</v>
      </c>
      <c r="F18" s="66" t="s">
        <v>4416</v>
      </c>
      <c r="G18" s="66" t="s">
        <v>3772</v>
      </c>
      <c r="I18" s="66" t="s">
        <v>68</v>
      </c>
      <c r="J18" s="66" t="s">
        <v>3896</v>
      </c>
      <c r="BJ18" s="65" t="s">
        <v>321</v>
      </c>
    </row>
    <row r="19" spans="1:62" ht="15" customHeight="1" x14ac:dyDescent="0.25">
      <c r="A19" s="65" t="s">
        <v>717</v>
      </c>
      <c r="C19" s="65" t="s">
        <v>717</v>
      </c>
      <c r="D19" s="65" t="s">
        <v>3744</v>
      </c>
      <c r="F19" s="66" t="s">
        <v>4417</v>
      </c>
      <c r="G19" s="66" t="s">
        <v>3773</v>
      </c>
      <c r="I19" s="66" t="s">
        <v>71</v>
      </c>
      <c r="J19" s="66" t="s">
        <v>3897</v>
      </c>
    </row>
    <row r="20" spans="1:62" ht="15" customHeight="1" x14ac:dyDescent="0.25">
      <c r="A20" s="65" t="s">
        <v>764</v>
      </c>
      <c r="C20" s="65" t="s">
        <v>764</v>
      </c>
      <c r="D20" s="65" t="s">
        <v>3745</v>
      </c>
      <c r="F20" s="66" t="s">
        <v>4418</v>
      </c>
      <c r="G20" s="66" t="s">
        <v>3774</v>
      </c>
      <c r="I20" s="66" t="s">
        <v>74</v>
      </c>
      <c r="J20" s="66" t="s">
        <v>3898</v>
      </c>
    </row>
    <row r="21" spans="1:62" ht="15" customHeight="1" x14ac:dyDescent="0.25">
      <c r="A21" s="65" t="s">
        <v>805</v>
      </c>
      <c r="C21" s="65" t="s">
        <v>805</v>
      </c>
      <c r="D21" s="65" t="s">
        <v>3746</v>
      </c>
      <c r="F21" s="66" t="s">
        <v>4419</v>
      </c>
      <c r="G21" s="66" t="s">
        <v>3775</v>
      </c>
      <c r="I21" s="66" t="s">
        <v>77</v>
      </c>
      <c r="J21" s="66" t="s">
        <v>3899</v>
      </c>
    </row>
    <row r="22" spans="1:62" ht="15" customHeight="1" x14ac:dyDescent="0.25">
      <c r="A22" s="65" t="s">
        <v>867</v>
      </c>
      <c r="C22" s="65" t="s">
        <v>867</v>
      </c>
      <c r="D22" s="65" t="s">
        <v>3747</v>
      </c>
      <c r="F22" s="66" t="s">
        <v>4420</v>
      </c>
      <c r="G22" s="66" t="s">
        <v>3776</v>
      </c>
      <c r="I22" s="66" t="s">
        <v>80</v>
      </c>
      <c r="J22" s="66" t="s">
        <v>3900</v>
      </c>
    </row>
    <row r="23" spans="1:62" ht="15" customHeight="1" x14ac:dyDescent="0.25">
      <c r="A23" s="65" t="s">
        <v>918</v>
      </c>
      <c r="C23" s="65" t="s">
        <v>918</v>
      </c>
      <c r="D23" s="65" t="s">
        <v>3748</v>
      </c>
      <c r="F23" s="66" t="s">
        <v>4421</v>
      </c>
      <c r="G23" s="66" t="s">
        <v>3777</v>
      </c>
      <c r="I23" s="66" t="s">
        <v>83</v>
      </c>
      <c r="J23" s="66" t="s">
        <v>3901</v>
      </c>
    </row>
    <row r="24" spans="1:62" ht="15" customHeight="1" x14ac:dyDescent="0.25">
      <c r="A24" s="65" t="s">
        <v>972</v>
      </c>
      <c r="C24" s="65" t="s">
        <v>972</v>
      </c>
      <c r="D24" s="65" t="s">
        <v>3749</v>
      </c>
      <c r="F24" s="66" t="s">
        <v>4422</v>
      </c>
      <c r="G24" s="66" t="s">
        <v>3778</v>
      </c>
      <c r="I24" s="66" t="s">
        <v>86</v>
      </c>
      <c r="J24" s="66" t="s">
        <v>3902</v>
      </c>
    </row>
    <row r="25" spans="1:62" ht="15" customHeight="1" x14ac:dyDescent="0.25">
      <c r="A25" s="65" t="s">
        <v>1000</v>
      </c>
      <c r="C25" s="65" t="s">
        <v>1000</v>
      </c>
      <c r="D25" s="65" t="s">
        <v>3750</v>
      </c>
      <c r="F25" s="66" t="s">
        <v>4423</v>
      </c>
      <c r="G25" s="66" t="s">
        <v>3779</v>
      </c>
      <c r="I25" s="66" t="s">
        <v>89</v>
      </c>
      <c r="J25" s="66" t="s">
        <v>3903</v>
      </c>
    </row>
    <row r="26" spans="1:62" ht="15" customHeight="1" x14ac:dyDescent="0.25">
      <c r="A26" s="65" t="s">
        <v>1041</v>
      </c>
      <c r="C26" s="65" t="s">
        <v>1041</v>
      </c>
      <c r="D26" s="65" t="s">
        <v>3751</v>
      </c>
      <c r="F26" s="66" t="s">
        <v>4424</v>
      </c>
      <c r="G26" s="66" t="s">
        <v>3780</v>
      </c>
      <c r="I26" s="66" t="s">
        <v>92</v>
      </c>
      <c r="J26" s="66" t="s">
        <v>3904</v>
      </c>
    </row>
    <row r="27" spans="1:62" ht="15" customHeight="1" x14ac:dyDescent="0.25">
      <c r="A27" s="65" t="s">
        <v>1137</v>
      </c>
      <c r="C27" s="65" t="s">
        <v>1137</v>
      </c>
      <c r="D27" s="65" t="s">
        <v>3752</v>
      </c>
      <c r="F27" s="66" t="s">
        <v>4425</v>
      </c>
      <c r="G27" s="66" t="s">
        <v>3781</v>
      </c>
      <c r="I27" s="66" t="s">
        <v>95</v>
      </c>
      <c r="J27" s="66" t="s">
        <v>3905</v>
      </c>
    </row>
    <row r="28" spans="1:62" ht="15" customHeight="1" x14ac:dyDescent="0.25">
      <c r="A28" s="65" t="s">
        <v>1204</v>
      </c>
      <c r="C28" s="65" t="s">
        <v>1204</v>
      </c>
      <c r="D28" s="65" t="s">
        <v>3753</v>
      </c>
      <c r="F28" s="66" t="s">
        <v>4426</v>
      </c>
      <c r="G28" s="66" t="s">
        <v>3782</v>
      </c>
      <c r="I28" s="66" t="s">
        <v>98</v>
      </c>
      <c r="J28" s="66" t="s">
        <v>3906</v>
      </c>
    </row>
    <row r="29" spans="1:62" ht="15" customHeight="1" x14ac:dyDescent="0.25">
      <c r="A29" s="65" t="s">
        <v>1265</v>
      </c>
      <c r="C29" s="65" t="s">
        <v>1265</v>
      </c>
      <c r="D29" s="65" t="s">
        <v>3754</v>
      </c>
      <c r="F29" s="66" t="s">
        <v>4427</v>
      </c>
      <c r="G29" s="66" t="s">
        <v>3783</v>
      </c>
      <c r="I29" s="66" t="s">
        <v>101</v>
      </c>
      <c r="J29" s="66" t="s">
        <v>3907</v>
      </c>
    </row>
    <row r="30" spans="1:62" ht="15" customHeight="1" x14ac:dyDescent="0.25">
      <c r="A30" s="65" t="s">
        <v>1316</v>
      </c>
      <c r="C30" s="65" t="s">
        <v>1316</v>
      </c>
      <c r="D30" s="65" t="s">
        <v>3755</v>
      </c>
      <c r="F30" s="66" t="s">
        <v>4428</v>
      </c>
      <c r="G30" s="66" t="s">
        <v>3784</v>
      </c>
      <c r="I30" s="66" t="s">
        <v>105</v>
      </c>
      <c r="J30" s="66" t="s">
        <v>3908</v>
      </c>
    </row>
    <row r="31" spans="1:62" ht="15" customHeight="1" x14ac:dyDescent="0.25">
      <c r="A31" s="65" t="s">
        <v>1331</v>
      </c>
      <c r="C31" s="65" t="s">
        <v>1331</v>
      </c>
      <c r="D31" s="65" t="s">
        <v>3756</v>
      </c>
      <c r="F31" s="66" t="s">
        <v>4429</v>
      </c>
      <c r="G31" s="66" t="s">
        <v>3785</v>
      </c>
      <c r="I31" s="66" t="s">
        <v>108</v>
      </c>
      <c r="J31" s="66" t="s">
        <v>3909</v>
      </c>
    </row>
    <row r="32" spans="1:62" ht="15" customHeight="1" x14ac:dyDescent="0.25">
      <c r="A32" s="65" t="s">
        <v>1359</v>
      </c>
      <c r="C32" s="65" t="s">
        <v>1359</v>
      </c>
      <c r="D32" s="65" t="s">
        <v>3757</v>
      </c>
      <c r="F32" s="66" t="s">
        <v>4430</v>
      </c>
      <c r="G32" s="66" t="s">
        <v>3786</v>
      </c>
      <c r="I32" s="66" t="s">
        <v>111</v>
      </c>
      <c r="J32" s="66" t="s">
        <v>3910</v>
      </c>
    </row>
    <row r="33" spans="1:10" ht="15" customHeight="1" x14ac:dyDescent="0.25">
      <c r="A33" s="65" t="s">
        <v>1378</v>
      </c>
      <c r="C33" s="65" t="s">
        <v>1378</v>
      </c>
      <c r="D33" s="65" t="s">
        <v>3758</v>
      </c>
      <c r="F33" s="66" t="s">
        <v>4431</v>
      </c>
      <c r="G33" s="66" t="s">
        <v>3787</v>
      </c>
      <c r="I33" s="66" t="s">
        <v>114</v>
      </c>
      <c r="J33" s="66" t="s">
        <v>3911</v>
      </c>
    </row>
    <row r="34" spans="1:10" ht="15" customHeight="1" x14ac:dyDescent="0.25">
      <c r="F34" s="66" t="s">
        <v>4432</v>
      </c>
      <c r="G34" s="66" t="s">
        <v>3788</v>
      </c>
      <c r="I34" s="66" t="s">
        <v>115</v>
      </c>
      <c r="J34" s="66" t="s">
        <v>3912</v>
      </c>
    </row>
    <row r="35" spans="1:10" ht="15" customHeight="1" x14ac:dyDescent="0.25">
      <c r="F35" s="66" t="s">
        <v>4433</v>
      </c>
      <c r="G35" s="66" t="s">
        <v>3789</v>
      </c>
      <c r="I35" s="66" t="s">
        <v>120</v>
      </c>
      <c r="J35" s="66" t="s">
        <v>3913</v>
      </c>
    </row>
    <row r="36" spans="1:10" ht="15" customHeight="1" x14ac:dyDescent="0.25">
      <c r="F36" s="66" t="s">
        <v>4434</v>
      </c>
      <c r="G36" s="66" t="s">
        <v>3790</v>
      </c>
      <c r="I36" s="66" t="s">
        <v>123</v>
      </c>
      <c r="J36" s="66" t="s">
        <v>3914</v>
      </c>
    </row>
    <row r="37" spans="1:10" ht="15" customHeight="1" x14ac:dyDescent="0.25">
      <c r="F37" s="66" t="s">
        <v>4435</v>
      </c>
      <c r="G37" s="66" t="s">
        <v>3791</v>
      </c>
      <c r="I37" s="66" t="s">
        <v>126</v>
      </c>
      <c r="J37" s="66" t="s">
        <v>3915</v>
      </c>
    </row>
    <row r="38" spans="1:10" ht="15" customHeight="1" x14ac:dyDescent="0.25">
      <c r="F38" s="66" t="s">
        <v>4436</v>
      </c>
      <c r="G38" s="66" t="s">
        <v>3792</v>
      </c>
      <c r="I38" s="66" t="s">
        <v>129</v>
      </c>
      <c r="J38" s="66" t="s">
        <v>3916</v>
      </c>
    </row>
    <row r="39" spans="1:10" ht="15" customHeight="1" x14ac:dyDescent="0.25">
      <c r="F39" s="66" t="s">
        <v>4437</v>
      </c>
      <c r="G39" s="66" t="s">
        <v>3793</v>
      </c>
      <c r="I39" s="66" t="s">
        <v>130</v>
      </c>
      <c r="J39" s="66" t="s">
        <v>3917</v>
      </c>
    </row>
    <row r="40" spans="1:10" ht="15" customHeight="1" x14ac:dyDescent="0.25">
      <c r="F40" s="66" t="s">
        <v>4438</v>
      </c>
      <c r="G40" s="66" t="s">
        <v>3794</v>
      </c>
      <c r="I40" s="66" t="s">
        <v>132</v>
      </c>
      <c r="J40" s="66" t="s">
        <v>3918</v>
      </c>
    </row>
    <row r="41" spans="1:10" ht="15" customHeight="1" x14ac:dyDescent="0.25">
      <c r="F41" s="66" t="s">
        <v>4439</v>
      </c>
      <c r="G41" s="66" t="s">
        <v>3795</v>
      </c>
      <c r="I41" s="66" t="s">
        <v>133</v>
      </c>
      <c r="J41" s="66" t="s">
        <v>3919</v>
      </c>
    </row>
    <row r="42" spans="1:10" ht="15" customHeight="1" x14ac:dyDescent="0.25">
      <c r="F42" s="66" t="s">
        <v>4440</v>
      </c>
      <c r="G42" s="66" t="s">
        <v>3796</v>
      </c>
      <c r="I42" s="66" t="s">
        <v>134</v>
      </c>
      <c r="J42" s="66" t="s">
        <v>3920</v>
      </c>
    </row>
    <row r="43" spans="1:10" ht="15" customHeight="1" x14ac:dyDescent="0.25">
      <c r="F43" s="66" t="s">
        <v>4441</v>
      </c>
      <c r="G43" s="66" t="s">
        <v>3797</v>
      </c>
      <c r="I43" s="66" t="s">
        <v>137</v>
      </c>
      <c r="J43" s="66" t="s">
        <v>3921</v>
      </c>
    </row>
    <row r="44" spans="1:10" ht="15" customHeight="1" x14ac:dyDescent="0.25">
      <c r="F44" s="66" t="s">
        <v>4442</v>
      </c>
      <c r="G44" s="66" t="s">
        <v>3798</v>
      </c>
      <c r="I44" s="66" t="s">
        <v>140</v>
      </c>
      <c r="J44" s="66" t="s">
        <v>3922</v>
      </c>
    </row>
    <row r="45" spans="1:10" ht="15" customHeight="1" x14ac:dyDescent="0.25">
      <c r="F45" s="66" t="s">
        <v>4443</v>
      </c>
      <c r="G45" s="66" t="s">
        <v>3799</v>
      </c>
      <c r="I45" s="66" t="s">
        <v>143</v>
      </c>
      <c r="J45" s="66" t="s">
        <v>3923</v>
      </c>
    </row>
    <row r="46" spans="1:10" ht="15" customHeight="1" x14ac:dyDescent="0.25">
      <c r="F46" s="66" t="s">
        <v>4444</v>
      </c>
      <c r="G46" s="66" t="s">
        <v>3800</v>
      </c>
      <c r="I46" s="66" t="s">
        <v>145</v>
      </c>
      <c r="J46" s="66" t="s">
        <v>3924</v>
      </c>
    </row>
    <row r="47" spans="1:10" ht="15" customHeight="1" x14ac:dyDescent="0.25">
      <c r="F47" s="66" t="s">
        <v>4445</v>
      </c>
      <c r="G47" s="66" t="s">
        <v>3801</v>
      </c>
      <c r="I47" s="66" t="s">
        <v>146</v>
      </c>
      <c r="J47" s="66" t="s">
        <v>3925</v>
      </c>
    </row>
    <row r="48" spans="1:10" ht="15" customHeight="1" x14ac:dyDescent="0.25">
      <c r="F48" s="66" t="s">
        <v>4446</v>
      </c>
      <c r="G48" s="66" t="s">
        <v>3802</v>
      </c>
      <c r="I48" s="66" t="s">
        <v>147</v>
      </c>
      <c r="J48" s="66" t="s">
        <v>3926</v>
      </c>
    </row>
    <row r="49" spans="6:10" ht="15" customHeight="1" x14ac:dyDescent="0.25">
      <c r="F49" s="66" t="s">
        <v>4447</v>
      </c>
      <c r="G49" s="66" t="s">
        <v>3803</v>
      </c>
      <c r="I49" s="66" t="s">
        <v>148</v>
      </c>
      <c r="J49" s="66" t="s">
        <v>3927</v>
      </c>
    </row>
    <row r="50" spans="6:10" ht="15" customHeight="1" x14ac:dyDescent="0.25">
      <c r="F50" s="66" t="s">
        <v>4448</v>
      </c>
      <c r="G50" s="66" t="s">
        <v>3804</v>
      </c>
      <c r="I50" s="66" t="s">
        <v>149</v>
      </c>
      <c r="J50" s="66" t="s">
        <v>3928</v>
      </c>
    </row>
    <row r="51" spans="6:10" ht="15" customHeight="1" x14ac:dyDescent="0.25">
      <c r="F51" s="66" t="s">
        <v>4449</v>
      </c>
      <c r="G51" s="66" t="s">
        <v>3805</v>
      </c>
      <c r="I51" s="66" t="s">
        <v>151</v>
      </c>
      <c r="J51" s="66" t="s">
        <v>3929</v>
      </c>
    </row>
    <row r="52" spans="6:10" ht="15" customHeight="1" x14ac:dyDescent="0.25">
      <c r="F52" s="66" t="s">
        <v>4450</v>
      </c>
      <c r="G52" s="66" t="s">
        <v>3806</v>
      </c>
      <c r="I52" s="66" t="s">
        <v>152</v>
      </c>
      <c r="J52" s="66" t="s">
        <v>3930</v>
      </c>
    </row>
    <row r="53" spans="6:10" ht="15" customHeight="1" x14ac:dyDescent="0.25">
      <c r="F53" s="66" t="s">
        <v>4451</v>
      </c>
      <c r="G53" s="66" t="s">
        <v>3807</v>
      </c>
      <c r="I53" s="66" t="s">
        <v>153</v>
      </c>
      <c r="J53" s="66" t="s">
        <v>3931</v>
      </c>
    </row>
    <row r="54" spans="6:10" ht="15" customHeight="1" x14ac:dyDescent="0.25">
      <c r="F54" s="66" t="s">
        <v>4452</v>
      </c>
      <c r="G54" s="66" t="s">
        <v>3808</v>
      </c>
      <c r="I54" s="66" t="s">
        <v>154</v>
      </c>
      <c r="J54" s="66" t="s">
        <v>3932</v>
      </c>
    </row>
    <row r="55" spans="6:10" ht="15" customHeight="1" x14ac:dyDescent="0.25">
      <c r="F55" s="66" t="s">
        <v>4453</v>
      </c>
      <c r="G55" s="66" t="s">
        <v>3809</v>
      </c>
      <c r="I55" s="66" t="s">
        <v>155</v>
      </c>
      <c r="J55" s="66" t="s">
        <v>3933</v>
      </c>
    </row>
    <row r="56" spans="6:10" ht="15" customHeight="1" x14ac:dyDescent="0.25">
      <c r="F56" s="66" t="s">
        <v>4454</v>
      </c>
      <c r="G56" s="66" t="s">
        <v>3810</v>
      </c>
      <c r="I56" s="66" t="s">
        <v>156</v>
      </c>
      <c r="J56" s="66" t="s">
        <v>3934</v>
      </c>
    </row>
    <row r="57" spans="6:10" ht="15" customHeight="1" x14ac:dyDescent="0.25">
      <c r="F57" s="66" t="s">
        <v>4455</v>
      </c>
      <c r="G57" s="66" t="s">
        <v>3811</v>
      </c>
      <c r="I57" s="66" t="s">
        <v>158</v>
      </c>
      <c r="J57" s="66" t="s">
        <v>3935</v>
      </c>
    </row>
    <row r="58" spans="6:10" ht="15" customHeight="1" x14ac:dyDescent="0.25">
      <c r="F58" s="66" t="s">
        <v>4456</v>
      </c>
      <c r="G58" s="66" t="s">
        <v>3812</v>
      </c>
      <c r="I58" s="66" t="s">
        <v>159</v>
      </c>
      <c r="J58" s="66" t="s">
        <v>3936</v>
      </c>
    </row>
    <row r="59" spans="6:10" ht="15" customHeight="1" x14ac:dyDescent="0.25">
      <c r="F59" s="66" t="s">
        <v>4457</v>
      </c>
      <c r="G59" s="66" t="s">
        <v>3813</v>
      </c>
      <c r="I59" s="66" t="s">
        <v>160</v>
      </c>
      <c r="J59" s="66" t="s">
        <v>3937</v>
      </c>
    </row>
    <row r="60" spans="6:10" ht="15" customHeight="1" x14ac:dyDescent="0.25">
      <c r="F60" s="66" t="s">
        <v>4458</v>
      </c>
      <c r="G60" s="66" t="s">
        <v>3814</v>
      </c>
      <c r="I60" s="66" t="s">
        <v>161</v>
      </c>
      <c r="J60" s="66" t="s">
        <v>3938</v>
      </c>
    </row>
    <row r="61" spans="6:10" ht="15" customHeight="1" x14ac:dyDescent="0.25">
      <c r="F61" s="66" t="s">
        <v>4459</v>
      </c>
      <c r="G61" s="66" t="s">
        <v>3815</v>
      </c>
      <c r="I61" s="66" t="s">
        <v>162</v>
      </c>
      <c r="J61" s="66" t="s">
        <v>3939</v>
      </c>
    </row>
    <row r="62" spans="6:10" ht="15" customHeight="1" x14ac:dyDescent="0.25">
      <c r="F62" s="66" t="s">
        <v>4460</v>
      </c>
      <c r="G62" s="66" t="s">
        <v>3816</v>
      </c>
      <c r="I62" s="66" t="s">
        <v>163</v>
      </c>
      <c r="J62" s="66" t="s">
        <v>3940</v>
      </c>
    </row>
    <row r="63" spans="6:10" ht="15" customHeight="1" x14ac:dyDescent="0.25">
      <c r="F63" s="66" t="s">
        <v>4461</v>
      </c>
      <c r="G63" s="66" t="s">
        <v>3817</v>
      </c>
      <c r="I63" s="66" t="s">
        <v>164</v>
      </c>
      <c r="J63" s="66" t="s">
        <v>3941</v>
      </c>
    </row>
    <row r="64" spans="6:10" ht="15" customHeight="1" x14ac:dyDescent="0.25">
      <c r="F64" s="66" t="s">
        <v>4462</v>
      </c>
      <c r="G64" s="66" t="s">
        <v>3818</v>
      </c>
      <c r="I64" s="66" t="s">
        <v>166</v>
      </c>
      <c r="J64" s="66" t="s">
        <v>3942</v>
      </c>
    </row>
    <row r="65" spans="6:10" ht="15" customHeight="1" x14ac:dyDescent="0.25">
      <c r="F65" s="66" t="s">
        <v>4463</v>
      </c>
      <c r="G65" s="66" t="s">
        <v>3819</v>
      </c>
      <c r="I65" s="66" t="s">
        <v>167</v>
      </c>
      <c r="J65" s="66" t="s">
        <v>3943</v>
      </c>
    </row>
    <row r="66" spans="6:10" ht="15" customHeight="1" x14ac:dyDescent="0.25">
      <c r="F66" s="66" t="s">
        <v>4464</v>
      </c>
      <c r="G66" s="66" t="s">
        <v>3820</v>
      </c>
      <c r="I66" s="66" t="s">
        <v>168</v>
      </c>
      <c r="J66" s="66" t="s">
        <v>3944</v>
      </c>
    </row>
    <row r="67" spans="6:10" ht="15" customHeight="1" x14ac:dyDescent="0.25">
      <c r="F67" s="66" t="s">
        <v>4465</v>
      </c>
      <c r="G67" s="66" t="s">
        <v>3821</v>
      </c>
      <c r="I67" s="66" t="s">
        <v>171</v>
      </c>
      <c r="J67" s="66" t="s">
        <v>3945</v>
      </c>
    </row>
    <row r="68" spans="6:10" ht="15" customHeight="1" x14ac:dyDescent="0.25">
      <c r="F68" s="66" t="s">
        <v>4466</v>
      </c>
      <c r="G68" s="66" t="s">
        <v>3822</v>
      </c>
      <c r="I68" s="66" t="s">
        <v>172</v>
      </c>
      <c r="J68" s="66" t="s">
        <v>3946</v>
      </c>
    </row>
    <row r="69" spans="6:10" ht="15" customHeight="1" x14ac:dyDescent="0.25">
      <c r="F69" s="66" t="s">
        <v>4467</v>
      </c>
      <c r="G69" s="66" t="s">
        <v>3823</v>
      </c>
      <c r="I69" s="66" t="s">
        <v>173</v>
      </c>
      <c r="J69" s="66" t="s">
        <v>3947</v>
      </c>
    </row>
    <row r="70" spans="6:10" ht="15" customHeight="1" x14ac:dyDescent="0.25">
      <c r="F70" s="66" t="s">
        <v>4468</v>
      </c>
      <c r="G70" s="66" t="s">
        <v>3824</v>
      </c>
      <c r="I70" s="66" t="s">
        <v>174</v>
      </c>
      <c r="J70" s="66" t="s">
        <v>3948</v>
      </c>
    </row>
    <row r="71" spans="6:10" ht="15" customHeight="1" x14ac:dyDescent="0.25">
      <c r="F71" s="66" t="s">
        <v>4469</v>
      </c>
      <c r="G71" s="66" t="s">
        <v>3825</v>
      </c>
      <c r="I71" s="66" t="s">
        <v>175</v>
      </c>
      <c r="J71" s="66" t="s">
        <v>3949</v>
      </c>
    </row>
    <row r="72" spans="6:10" ht="15" customHeight="1" x14ac:dyDescent="0.25">
      <c r="F72" s="66" t="s">
        <v>4470</v>
      </c>
      <c r="G72" s="66" t="s">
        <v>3826</v>
      </c>
      <c r="I72" s="66" t="s">
        <v>176</v>
      </c>
      <c r="J72" s="66" t="s">
        <v>3950</v>
      </c>
    </row>
    <row r="73" spans="6:10" ht="15" customHeight="1" x14ac:dyDescent="0.25">
      <c r="F73" s="66" t="s">
        <v>4471</v>
      </c>
      <c r="G73" s="66" t="s">
        <v>3827</v>
      </c>
      <c r="I73" s="66" t="s">
        <v>177</v>
      </c>
      <c r="J73" s="66" t="s">
        <v>3951</v>
      </c>
    </row>
    <row r="74" spans="6:10" ht="15" customHeight="1" x14ac:dyDescent="0.25">
      <c r="F74" s="66" t="s">
        <v>4472</v>
      </c>
      <c r="G74" s="66" t="s">
        <v>3828</v>
      </c>
      <c r="I74" s="66" t="s">
        <v>179</v>
      </c>
      <c r="J74" s="66" t="s">
        <v>3952</v>
      </c>
    </row>
    <row r="75" spans="6:10" ht="15" customHeight="1" x14ac:dyDescent="0.25">
      <c r="F75" s="66" t="s">
        <v>4473</v>
      </c>
      <c r="G75" s="66" t="s">
        <v>3829</v>
      </c>
      <c r="I75" s="66" t="s">
        <v>180</v>
      </c>
      <c r="J75" s="66" t="s">
        <v>3953</v>
      </c>
    </row>
    <row r="76" spans="6:10" ht="15" customHeight="1" x14ac:dyDescent="0.25">
      <c r="F76" s="66" t="s">
        <v>4474</v>
      </c>
      <c r="G76" s="66" t="s">
        <v>3830</v>
      </c>
      <c r="I76" s="66" t="s">
        <v>181</v>
      </c>
      <c r="J76" s="66" t="s">
        <v>3954</v>
      </c>
    </row>
    <row r="77" spans="6:10" ht="15" customHeight="1" x14ac:dyDescent="0.25">
      <c r="F77" s="66" t="s">
        <v>4475</v>
      </c>
      <c r="G77" s="66" t="s">
        <v>3831</v>
      </c>
      <c r="I77" s="66" t="s">
        <v>182</v>
      </c>
      <c r="J77" s="66" t="s">
        <v>3955</v>
      </c>
    </row>
    <row r="78" spans="6:10" ht="15" customHeight="1" x14ac:dyDescent="0.25">
      <c r="F78" s="66" t="s">
        <v>4476</v>
      </c>
      <c r="G78" s="66" t="s">
        <v>3832</v>
      </c>
      <c r="I78" s="66" t="s">
        <v>183</v>
      </c>
      <c r="J78" s="66" t="s">
        <v>3956</v>
      </c>
    </row>
    <row r="79" spans="6:10" ht="15" customHeight="1" x14ac:dyDescent="0.25">
      <c r="F79" s="66" t="s">
        <v>4477</v>
      </c>
      <c r="G79" s="66" t="s">
        <v>3833</v>
      </c>
      <c r="I79" s="66" t="s">
        <v>184</v>
      </c>
      <c r="J79" s="66" t="s">
        <v>3957</v>
      </c>
    </row>
    <row r="80" spans="6:10" ht="15" customHeight="1" x14ac:dyDescent="0.25">
      <c r="F80" s="66" t="s">
        <v>4478</v>
      </c>
      <c r="G80" s="66" t="s">
        <v>3834</v>
      </c>
      <c r="I80" s="66" t="s">
        <v>185</v>
      </c>
      <c r="J80" s="66" t="s">
        <v>3958</v>
      </c>
    </row>
    <row r="81" spans="6:10" ht="15" customHeight="1" x14ac:dyDescent="0.25">
      <c r="F81" s="66" t="s">
        <v>4479</v>
      </c>
      <c r="G81" s="66" t="s">
        <v>3835</v>
      </c>
      <c r="I81" s="66" t="s">
        <v>186</v>
      </c>
      <c r="J81" s="66" t="s">
        <v>3959</v>
      </c>
    </row>
    <row r="82" spans="6:10" ht="15" customHeight="1" x14ac:dyDescent="0.25">
      <c r="F82" s="66" t="s">
        <v>4480</v>
      </c>
      <c r="G82" s="66" t="s">
        <v>3836</v>
      </c>
      <c r="I82" s="66" t="s">
        <v>187</v>
      </c>
      <c r="J82" s="66" t="s">
        <v>3960</v>
      </c>
    </row>
    <row r="83" spans="6:10" ht="15" customHeight="1" x14ac:dyDescent="0.25">
      <c r="F83" s="66" t="s">
        <v>4481</v>
      </c>
      <c r="G83" s="66" t="s">
        <v>3837</v>
      </c>
      <c r="I83" s="66" t="s">
        <v>188</v>
      </c>
      <c r="J83" s="66" t="s">
        <v>3961</v>
      </c>
    </row>
    <row r="84" spans="6:10" ht="15" customHeight="1" x14ac:dyDescent="0.25">
      <c r="F84" s="66" t="s">
        <v>4482</v>
      </c>
      <c r="G84" s="66" t="s">
        <v>3838</v>
      </c>
      <c r="I84" s="66" t="s">
        <v>189</v>
      </c>
      <c r="J84" s="66" t="s">
        <v>3962</v>
      </c>
    </row>
    <row r="85" spans="6:10" ht="15" customHeight="1" x14ac:dyDescent="0.25">
      <c r="F85" s="66" t="s">
        <v>4483</v>
      </c>
      <c r="G85" s="66" t="s">
        <v>3839</v>
      </c>
      <c r="I85" s="66" t="s">
        <v>191</v>
      </c>
      <c r="J85" s="66" t="s">
        <v>3963</v>
      </c>
    </row>
    <row r="86" spans="6:10" ht="15" customHeight="1" x14ac:dyDescent="0.25">
      <c r="F86" s="66" t="s">
        <v>4484</v>
      </c>
      <c r="G86" s="66" t="s">
        <v>3840</v>
      </c>
      <c r="I86" s="66" t="s">
        <v>192</v>
      </c>
      <c r="J86" s="66" t="s">
        <v>3964</v>
      </c>
    </row>
    <row r="87" spans="6:10" ht="15" customHeight="1" x14ac:dyDescent="0.25">
      <c r="F87" s="66" t="s">
        <v>4485</v>
      </c>
      <c r="G87" s="66" t="s">
        <v>3841</v>
      </c>
      <c r="I87" s="66" t="s">
        <v>193</v>
      </c>
      <c r="J87" s="66" t="s">
        <v>3965</v>
      </c>
    </row>
    <row r="88" spans="6:10" ht="15" customHeight="1" x14ac:dyDescent="0.25">
      <c r="F88" s="66" t="s">
        <v>4486</v>
      </c>
      <c r="G88" s="66" t="s">
        <v>3842</v>
      </c>
      <c r="I88" s="66" t="s">
        <v>194</v>
      </c>
      <c r="J88" s="66" t="s">
        <v>3966</v>
      </c>
    </row>
    <row r="89" spans="6:10" ht="15" customHeight="1" x14ac:dyDescent="0.25">
      <c r="F89" s="66" t="s">
        <v>4487</v>
      </c>
      <c r="G89" s="66" t="s">
        <v>3843</v>
      </c>
      <c r="I89" s="66" t="s">
        <v>195</v>
      </c>
      <c r="J89" s="66" t="s">
        <v>3967</v>
      </c>
    </row>
    <row r="90" spans="6:10" ht="15" customHeight="1" x14ac:dyDescent="0.25">
      <c r="F90" s="66" t="s">
        <v>4488</v>
      </c>
      <c r="G90" s="66" t="s">
        <v>3844</v>
      </c>
      <c r="I90" s="66" t="s">
        <v>196</v>
      </c>
      <c r="J90" s="66" t="s">
        <v>3968</v>
      </c>
    </row>
    <row r="91" spans="6:10" ht="15" customHeight="1" x14ac:dyDescent="0.25">
      <c r="F91" s="66" t="s">
        <v>4489</v>
      </c>
      <c r="G91" s="66" t="s">
        <v>3845</v>
      </c>
      <c r="I91" s="66" t="s">
        <v>197</v>
      </c>
      <c r="J91" s="66" t="s">
        <v>3969</v>
      </c>
    </row>
    <row r="92" spans="6:10" ht="15" customHeight="1" x14ac:dyDescent="0.25">
      <c r="F92" s="66" t="s">
        <v>4490</v>
      </c>
      <c r="G92" s="66" t="s">
        <v>3846</v>
      </c>
      <c r="I92" s="66" t="s">
        <v>198</v>
      </c>
      <c r="J92" s="66" t="s">
        <v>3970</v>
      </c>
    </row>
    <row r="93" spans="6:10" ht="15" customHeight="1" x14ac:dyDescent="0.25">
      <c r="F93" s="66" t="s">
        <v>4491</v>
      </c>
      <c r="G93" s="66" t="s">
        <v>3847</v>
      </c>
      <c r="I93" s="66" t="s">
        <v>199</v>
      </c>
      <c r="J93" s="66" t="s">
        <v>3971</v>
      </c>
    </row>
    <row r="94" spans="6:10" ht="15" customHeight="1" x14ac:dyDescent="0.25">
      <c r="F94" s="66" t="s">
        <v>4492</v>
      </c>
      <c r="G94" s="66" t="s">
        <v>3848</v>
      </c>
      <c r="I94" s="66" t="s">
        <v>200</v>
      </c>
      <c r="J94" s="66" t="s">
        <v>3972</v>
      </c>
    </row>
    <row r="95" spans="6:10" ht="15" customHeight="1" x14ac:dyDescent="0.25">
      <c r="F95" s="66" t="s">
        <v>4493</v>
      </c>
      <c r="G95" s="66" t="s">
        <v>3849</v>
      </c>
      <c r="I95" s="66" t="s">
        <v>201</v>
      </c>
      <c r="J95" s="66" t="s">
        <v>3973</v>
      </c>
    </row>
    <row r="96" spans="6:10" ht="15" customHeight="1" x14ac:dyDescent="0.25">
      <c r="F96" s="66" t="s">
        <v>4494</v>
      </c>
      <c r="G96" s="66" t="s">
        <v>3850</v>
      </c>
      <c r="I96" s="66" t="s">
        <v>203</v>
      </c>
      <c r="J96" s="66" t="s">
        <v>3974</v>
      </c>
    </row>
    <row r="97" spans="6:10" ht="15" customHeight="1" x14ac:dyDescent="0.25">
      <c r="F97" s="66" t="s">
        <v>4495</v>
      </c>
      <c r="G97" s="66" t="s">
        <v>3851</v>
      </c>
      <c r="I97" s="66" t="s">
        <v>204</v>
      </c>
      <c r="J97" s="66" t="s">
        <v>3975</v>
      </c>
    </row>
    <row r="98" spans="6:10" ht="15" customHeight="1" x14ac:dyDescent="0.25">
      <c r="F98" s="66" t="s">
        <v>4496</v>
      </c>
      <c r="G98" s="66" t="s">
        <v>3852</v>
      </c>
      <c r="I98" s="66" t="s">
        <v>205</v>
      </c>
      <c r="J98" s="66" t="s">
        <v>3976</v>
      </c>
    </row>
    <row r="99" spans="6:10" ht="15" customHeight="1" x14ac:dyDescent="0.25">
      <c r="F99" s="66" t="s">
        <v>4497</v>
      </c>
      <c r="G99" s="66" t="s">
        <v>3853</v>
      </c>
      <c r="I99" s="66" t="s">
        <v>206</v>
      </c>
      <c r="J99" s="66" t="s">
        <v>3977</v>
      </c>
    </row>
    <row r="100" spans="6:10" ht="15" customHeight="1" x14ac:dyDescent="0.25">
      <c r="F100" s="66" t="s">
        <v>4498</v>
      </c>
      <c r="G100" s="66" t="s">
        <v>3854</v>
      </c>
      <c r="I100" s="66" t="s">
        <v>207</v>
      </c>
      <c r="J100" s="66" t="s">
        <v>3978</v>
      </c>
    </row>
    <row r="101" spans="6:10" ht="15" customHeight="1" x14ac:dyDescent="0.25">
      <c r="F101" s="66" t="s">
        <v>4499</v>
      </c>
      <c r="G101" s="66" t="s">
        <v>3855</v>
      </c>
      <c r="I101" s="66" t="s">
        <v>208</v>
      </c>
      <c r="J101" s="66" t="s">
        <v>3979</v>
      </c>
    </row>
    <row r="102" spans="6:10" ht="15" customHeight="1" x14ac:dyDescent="0.25">
      <c r="F102" s="66" t="s">
        <v>4500</v>
      </c>
      <c r="G102" s="66" t="s">
        <v>3856</v>
      </c>
      <c r="I102" s="66" t="s">
        <v>209</v>
      </c>
      <c r="J102" s="66" t="s">
        <v>3980</v>
      </c>
    </row>
    <row r="103" spans="6:10" ht="15" customHeight="1" x14ac:dyDescent="0.25">
      <c r="F103" s="66" t="s">
        <v>4501</v>
      </c>
      <c r="G103" s="66" t="s">
        <v>3857</v>
      </c>
      <c r="I103" s="66" t="s">
        <v>210</v>
      </c>
      <c r="J103" s="66" t="s">
        <v>3981</v>
      </c>
    </row>
    <row r="104" spans="6:10" ht="15" customHeight="1" x14ac:dyDescent="0.25">
      <c r="F104" s="66" t="s">
        <v>4502</v>
      </c>
      <c r="G104" s="66" t="s">
        <v>3858</v>
      </c>
      <c r="I104" s="66" t="s">
        <v>212</v>
      </c>
      <c r="J104" s="66" t="s">
        <v>3982</v>
      </c>
    </row>
    <row r="105" spans="6:10" ht="15" customHeight="1" x14ac:dyDescent="0.25">
      <c r="F105" s="66" t="s">
        <v>4503</v>
      </c>
      <c r="G105" s="66" t="s">
        <v>3859</v>
      </c>
      <c r="I105" s="66" t="s">
        <v>213</v>
      </c>
      <c r="J105" s="66" t="s">
        <v>3983</v>
      </c>
    </row>
    <row r="106" spans="6:10" ht="15" customHeight="1" x14ac:dyDescent="0.25">
      <c r="F106" s="66" t="s">
        <v>4504</v>
      </c>
      <c r="G106" s="66" t="s">
        <v>3860</v>
      </c>
      <c r="I106" s="66" t="s">
        <v>214</v>
      </c>
      <c r="J106" s="66" t="s">
        <v>3984</v>
      </c>
    </row>
    <row r="107" spans="6:10" ht="15" customHeight="1" x14ac:dyDescent="0.25">
      <c r="F107" s="66" t="s">
        <v>4505</v>
      </c>
      <c r="G107" s="66" t="s">
        <v>3861</v>
      </c>
      <c r="I107" s="66" t="s">
        <v>215</v>
      </c>
      <c r="J107" s="66" t="s">
        <v>3985</v>
      </c>
    </row>
    <row r="108" spans="6:10" ht="15" customHeight="1" x14ac:dyDescent="0.25">
      <c r="F108" s="66" t="s">
        <v>4506</v>
      </c>
      <c r="G108" s="66" t="s">
        <v>3862</v>
      </c>
      <c r="I108" s="66" t="s">
        <v>216</v>
      </c>
      <c r="J108" s="66" t="s">
        <v>3986</v>
      </c>
    </row>
    <row r="109" spans="6:10" ht="15" customHeight="1" x14ac:dyDescent="0.25">
      <c r="F109" s="66" t="s">
        <v>4507</v>
      </c>
      <c r="G109" s="66" t="s">
        <v>3863</v>
      </c>
      <c r="I109" s="66" t="s">
        <v>217</v>
      </c>
      <c r="J109" s="66" t="s">
        <v>3987</v>
      </c>
    </row>
    <row r="110" spans="6:10" ht="15" customHeight="1" x14ac:dyDescent="0.25">
      <c r="F110" s="66" t="s">
        <v>4508</v>
      </c>
      <c r="G110" s="66" t="s">
        <v>3864</v>
      </c>
      <c r="I110" s="66" t="s">
        <v>218</v>
      </c>
      <c r="J110" s="66" t="s">
        <v>3988</v>
      </c>
    </row>
    <row r="111" spans="6:10" ht="15" customHeight="1" x14ac:dyDescent="0.25">
      <c r="F111" s="66" t="s">
        <v>4509</v>
      </c>
      <c r="G111" s="66" t="s">
        <v>3865</v>
      </c>
      <c r="I111" s="66" t="s">
        <v>221</v>
      </c>
      <c r="J111" s="66" t="s">
        <v>3989</v>
      </c>
    </row>
    <row r="112" spans="6:10" ht="15" customHeight="1" x14ac:dyDescent="0.25">
      <c r="F112" s="66" t="s">
        <v>4510</v>
      </c>
      <c r="G112" s="66" t="s">
        <v>3866</v>
      </c>
      <c r="I112" s="66" t="s">
        <v>224</v>
      </c>
      <c r="J112" s="66" t="s">
        <v>3990</v>
      </c>
    </row>
    <row r="113" spans="6:10" ht="15" customHeight="1" x14ac:dyDescent="0.25">
      <c r="F113" s="66" t="s">
        <v>4511</v>
      </c>
      <c r="G113" s="66" t="s">
        <v>3867</v>
      </c>
      <c r="I113" s="66" t="s">
        <v>228</v>
      </c>
      <c r="J113" s="66" t="s">
        <v>3991</v>
      </c>
    </row>
    <row r="114" spans="6:10" ht="15" customHeight="1" x14ac:dyDescent="0.25">
      <c r="F114" s="66" t="s">
        <v>4512</v>
      </c>
      <c r="G114" s="66" t="s">
        <v>3868</v>
      </c>
      <c r="I114" s="66" t="s">
        <v>229</v>
      </c>
      <c r="J114" s="66" t="s">
        <v>3992</v>
      </c>
    </row>
    <row r="115" spans="6:10" ht="15" customHeight="1" x14ac:dyDescent="0.25">
      <c r="F115" s="66" t="s">
        <v>4513</v>
      </c>
      <c r="G115" s="66" t="s">
        <v>3869</v>
      </c>
      <c r="I115" s="66" t="s">
        <v>230</v>
      </c>
      <c r="J115" s="66" t="s">
        <v>3993</v>
      </c>
    </row>
    <row r="116" spans="6:10" ht="15" customHeight="1" x14ac:dyDescent="0.25">
      <c r="F116" s="66" t="s">
        <v>4514</v>
      </c>
      <c r="G116" s="66" t="s">
        <v>3870</v>
      </c>
      <c r="I116" s="66" t="s">
        <v>231</v>
      </c>
      <c r="J116" s="66" t="s">
        <v>3994</v>
      </c>
    </row>
    <row r="117" spans="6:10" ht="15" customHeight="1" x14ac:dyDescent="0.25">
      <c r="F117" s="66" t="s">
        <v>4515</v>
      </c>
      <c r="G117" s="66" t="s">
        <v>3871</v>
      </c>
      <c r="I117" s="66" t="s">
        <v>234</v>
      </c>
      <c r="J117" s="66" t="s">
        <v>3995</v>
      </c>
    </row>
    <row r="118" spans="6:10" ht="15" customHeight="1" x14ac:dyDescent="0.25">
      <c r="F118" s="66" t="s">
        <v>4516</v>
      </c>
      <c r="G118" s="66" t="s">
        <v>3872</v>
      </c>
      <c r="I118" s="66" t="s">
        <v>237</v>
      </c>
      <c r="J118" s="66" t="s">
        <v>3996</v>
      </c>
    </row>
    <row r="119" spans="6:10" ht="15" customHeight="1" x14ac:dyDescent="0.25">
      <c r="F119" s="66" t="s">
        <v>4517</v>
      </c>
      <c r="G119" s="66" t="s">
        <v>3873</v>
      </c>
      <c r="I119" s="66" t="s">
        <v>239</v>
      </c>
      <c r="J119" s="66" t="s">
        <v>3997</v>
      </c>
    </row>
    <row r="120" spans="6:10" ht="15" customHeight="1" x14ac:dyDescent="0.25">
      <c r="F120" s="66" t="s">
        <v>4518</v>
      </c>
      <c r="G120" s="66" t="s">
        <v>3874</v>
      </c>
      <c r="I120" s="66" t="s">
        <v>240</v>
      </c>
      <c r="J120" s="66" t="s">
        <v>3998</v>
      </c>
    </row>
    <row r="121" spans="6:10" ht="15" customHeight="1" x14ac:dyDescent="0.25">
      <c r="F121" s="66" t="s">
        <v>4519</v>
      </c>
      <c r="G121" s="66" t="s">
        <v>3875</v>
      </c>
      <c r="I121" s="66" t="s">
        <v>241</v>
      </c>
      <c r="J121" s="66" t="s">
        <v>3999</v>
      </c>
    </row>
    <row r="122" spans="6:10" ht="15" customHeight="1" x14ac:dyDescent="0.25">
      <c r="F122" s="66" t="s">
        <v>4520</v>
      </c>
      <c r="G122" s="66" t="s">
        <v>3876</v>
      </c>
      <c r="I122" s="66" t="s">
        <v>242</v>
      </c>
      <c r="J122" s="66" t="s">
        <v>4000</v>
      </c>
    </row>
    <row r="123" spans="6:10" ht="15" customHeight="1" x14ac:dyDescent="0.25">
      <c r="F123" s="66" t="s">
        <v>4521</v>
      </c>
      <c r="G123" s="66" t="s">
        <v>3877</v>
      </c>
      <c r="I123" s="66" t="s">
        <v>244</v>
      </c>
      <c r="J123" s="66" t="s">
        <v>4001</v>
      </c>
    </row>
    <row r="124" spans="6:10" ht="15" customHeight="1" x14ac:dyDescent="0.25">
      <c r="F124" s="66" t="s">
        <v>4522</v>
      </c>
      <c r="G124" s="66" t="s">
        <v>3878</v>
      </c>
      <c r="I124" s="66" t="s">
        <v>245</v>
      </c>
      <c r="J124" s="66" t="s">
        <v>4002</v>
      </c>
    </row>
    <row r="125" spans="6:10" ht="15" customHeight="1" x14ac:dyDescent="0.25">
      <c r="F125" s="66" t="s">
        <v>4523</v>
      </c>
      <c r="G125" s="66" t="s">
        <v>3879</v>
      </c>
      <c r="I125" s="66" t="s">
        <v>246</v>
      </c>
      <c r="J125" s="66" t="s">
        <v>4003</v>
      </c>
    </row>
    <row r="126" spans="6:10" ht="15" customHeight="1" x14ac:dyDescent="0.25">
      <c r="F126" s="66" t="s">
        <v>4524</v>
      </c>
      <c r="G126" s="66" t="s">
        <v>3880</v>
      </c>
      <c r="I126" s="66" t="s">
        <v>247</v>
      </c>
      <c r="J126" s="66" t="s">
        <v>4004</v>
      </c>
    </row>
    <row r="127" spans="6:10" ht="15" customHeight="1" x14ac:dyDescent="0.25">
      <c r="F127" s="66" t="s">
        <v>4525</v>
      </c>
      <c r="G127" s="66" t="s">
        <v>3881</v>
      </c>
      <c r="I127" s="66" t="s">
        <v>250</v>
      </c>
      <c r="J127" s="66" t="s">
        <v>4005</v>
      </c>
    </row>
    <row r="128" spans="6:10" ht="15" customHeight="1" x14ac:dyDescent="0.25">
      <c r="F128" s="66" t="s">
        <v>4526</v>
      </c>
      <c r="G128" s="66" t="s">
        <v>3882</v>
      </c>
      <c r="I128" s="66" t="s">
        <v>253</v>
      </c>
      <c r="J128" s="66" t="s">
        <v>4006</v>
      </c>
    </row>
    <row r="129" spans="9:10" ht="15" customHeight="1" x14ac:dyDescent="0.25">
      <c r="I129" s="66" t="s">
        <v>255</v>
      </c>
      <c r="J129" s="66" t="s">
        <v>4007</v>
      </c>
    </row>
    <row r="130" spans="9:10" ht="15" customHeight="1" x14ac:dyDescent="0.25">
      <c r="I130" s="66" t="s">
        <v>256</v>
      </c>
      <c r="J130" s="66" t="s">
        <v>4008</v>
      </c>
    </row>
    <row r="131" spans="9:10" ht="15" customHeight="1" x14ac:dyDescent="0.25">
      <c r="I131" s="66" t="s">
        <v>257</v>
      </c>
      <c r="J131" s="66" t="s">
        <v>4009</v>
      </c>
    </row>
    <row r="132" spans="9:10" ht="15" customHeight="1" x14ac:dyDescent="0.25">
      <c r="I132" s="66" t="s">
        <v>258</v>
      </c>
      <c r="J132" s="66" t="s">
        <v>4010</v>
      </c>
    </row>
    <row r="133" spans="9:10" ht="15" customHeight="1" x14ac:dyDescent="0.25">
      <c r="I133" s="66" t="s">
        <v>259</v>
      </c>
      <c r="J133" s="66" t="s">
        <v>4011</v>
      </c>
    </row>
    <row r="134" spans="9:10" ht="15" customHeight="1" x14ac:dyDescent="0.25">
      <c r="I134" s="66" t="s">
        <v>261</v>
      </c>
      <c r="J134" s="66" t="s">
        <v>4012</v>
      </c>
    </row>
    <row r="135" spans="9:10" ht="15" customHeight="1" x14ac:dyDescent="0.25">
      <c r="I135" s="66" t="s">
        <v>262</v>
      </c>
      <c r="J135" s="66" t="s">
        <v>4013</v>
      </c>
    </row>
    <row r="136" spans="9:10" ht="15" customHeight="1" x14ac:dyDescent="0.25">
      <c r="I136" s="66" t="s">
        <v>263</v>
      </c>
      <c r="J136" s="66" t="s">
        <v>4014</v>
      </c>
    </row>
    <row r="137" spans="9:10" ht="15" customHeight="1" x14ac:dyDescent="0.25">
      <c r="I137" s="66" t="s">
        <v>264</v>
      </c>
      <c r="J137" s="66" t="s">
        <v>4015</v>
      </c>
    </row>
    <row r="138" spans="9:10" ht="15" customHeight="1" x14ac:dyDescent="0.25">
      <c r="I138" s="66" t="s">
        <v>266</v>
      </c>
      <c r="J138" s="66" t="s">
        <v>4016</v>
      </c>
    </row>
    <row r="139" spans="9:10" ht="15" customHeight="1" x14ac:dyDescent="0.25">
      <c r="I139" s="66" t="s">
        <v>267</v>
      </c>
      <c r="J139" s="66" t="s">
        <v>4017</v>
      </c>
    </row>
    <row r="140" spans="9:10" ht="15" customHeight="1" x14ac:dyDescent="0.25">
      <c r="I140" s="66" t="s">
        <v>268</v>
      </c>
      <c r="J140" s="66" t="s">
        <v>4018</v>
      </c>
    </row>
    <row r="141" spans="9:10" ht="15" customHeight="1" x14ac:dyDescent="0.25">
      <c r="I141" s="66" t="s">
        <v>269</v>
      </c>
      <c r="J141" s="66" t="s">
        <v>4019</v>
      </c>
    </row>
    <row r="142" spans="9:10" ht="15" customHeight="1" x14ac:dyDescent="0.25">
      <c r="I142" s="66" t="s">
        <v>271</v>
      </c>
      <c r="J142" s="66" t="s">
        <v>4020</v>
      </c>
    </row>
    <row r="143" spans="9:10" ht="15" customHeight="1" x14ac:dyDescent="0.25">
      <c r="I143" s="66" t="s">
        <v>272</v>
      </c>
      <c r="J143" s="66" t="s">
        <v>4021</v>
      </c>
    </row>
    <row r="144" spans="9:10" ht="15" customHeight="1" x14ac:dyDescent="0.25">
      <c r="I144" s="66" t="s">
        <v>273</v>
      </c>
      <c r="J144" s="66" t="s">
        <v>4022</v>
      </c>
    </row>
    <row r="145" spans="9:10" ht="15" customHeight="1" x14ac:dyDescent="0.25">
      <c r="I145" s="66" t="s">
        <v>274</v>
      </c>
      <c r="J145" s="66" t="s">
        <v>4023</v>
      </c>
    </row>
    <row r="146" spans="9:10" ht="15" customHeight="1" x14ac:dyDescent="0.25">
      <c r="I146" s="66" t="s">
        <v>275</v>
      </c>
      <c r="J146" s="66" t="s">
        <v>4024</v>
      </c>
    </row>
    <row r="147" spans="9:10" ht="15" customHeight="1" x14ac:dyDescent="0.25">
      <c r="I147" s="66" t="s">
        <v>277</v>
      </c>
      <c r="J147" s="66" t="s">
        <v>4025</v>
      </c>
    </row>
    <row r="148" spans="9:10" ht="15" customHeight="1" x14ac:dyDescent="0.25">
      <c r="I148" s="66" t="s">
        <v>278</v>
      </c>
      <c r="J148" s="66" t="s">
        <v>4026</v>
      </c>
    </row>
    <row r="149" spans="9:10" ht="15" customHeight="1" x14ac:dyDescent="0.25">
      <c r="I149" s="66" t="s">
        <v>279</v>
      </c>
      <c r="J149" s="66" t="s">
        <v>4027</v>
      </c>
    </row>
    <row r="150" spans="9:10" ht="15" customHeight="1" x14ac:dyDescent="0.25">
      <c r="I150" s="66" t="s">
        <v>280</v>
      </c>
      <c r="J150" s="66" t="s">
        <v>4028</v>
      </c>
    </row>
    <row r="151" spans="9:10" ht="15" customHeight="1" x14ac:dyDescent="0.25">
      <c r="I151" s="66" t="s">
        <v>284</v>
      </c>
      <c r="J151" s="66" t="s">
        <v>4029</v>
      </c>
    </row>
    <row r="152" spans="9:10" ht="15" customHeight="1" x14ac:dyDescent="0.25">
      <c r="I152" s="66" t="s">
        <v>287</v>
      </c>
      <c r="J152" s="66" t="s">
        <v>4030</v>
      </c>
    </row>
    <row r="153" spans="9:10" ht="15" customHeight="1" x14ac:dyDescent="0.25">
      <c r="I153" s="66" t="s">
        <v>290</v>
      </c>
      <c r="J153" s="66" t="s">
        <v>4031</v>
      </c>
    </row>
    <row r="154" spans="9:10" ht="15" customHeight="1" x14ac:dyDescent="0.25">
      <c r="I154" s="66" t="s">
        <v>293</v>
      </c>
      <c r="J154" s="66" t="s">
        <v>4032</v>
      </c>
    </row>
    <row r="155" spans="9:10" ht="15" customHeight="1" x14ac:dyDescent="0.25">
      <c r="I155" s="66" t="s">
        <v>296</v>
      </c>
      <c r="J155" s="66" t="s">
        <v>4033</v>
      </c>
    </row>
    <row r="156" spans="9:10" ht="15" customHeight="1" x14ac:dyDescent="0.25">
      <c r="I156" s="66" t="s">
        <v>299</v>
      </c>
      <c r="J156" s="66" t="s">
        <v>4034</v>
      </c>
    </row>
    <row r="157" spans="9:10" ht="15" customHeight="1" x14ac:dyDescent="0.25">
      <c r="I157" s="66" t="s">
        <v>302</v>
      </c>
      <c r="J157" s="66" t="s">
        <v>4035</v>
      </c>
    </row>
    <row r="158" spans="9:10" ht="15" customHeight="1" x14ac:dyDescent="0.25">
      <c r="I158" s="66" t="s">
        <v>305</v>
      </c>
      <c r="J158" s="66" t="s">
        <v>4036</v>
      </c>
    </row>
    <row r="159" spans="9:10" ht="15" customHeight="1" x14ac:dyDescent="0.25">
      <c r="I159" s="66" t="s">
        <v>308</v>
      </c>
      <c r="J159" s="66" t="s">
        <v>4037</v>
      </c>
    </row>
    <row r="160" spans="9:10" ht="15" customHeight="1" x14ac:dyDescent="0.25">
      <c r="I160" s="66" t="s">
        <v>311</v>
      </c>
      <c r="J160" s="66" t="s">
        <v>4038</v>
      </c>
    </row>
    <row r="161" spans="9:10" ht="15" customHeight="1" x14ac:dyDescent="0.25">
      <c r="I161" s="66" t="s">
        <v>314</v>
      </c>
      <c r="J161" s="66" t="s">
        <v>4039</v>
      </c>
    </row>
    <row r="162" spans="9:10" ht="15" customHeight="1" x14ac:dyDescent="0.25">
      <c r="I162" s="66" t="s">
        <v>317</v>
      </c>
      <c r="J162" s="66" t="s">
        <v>4040</v>
      </c>
    </row>
    <row r="163" spans="9:10" ht="15" customHeight="1" x14ac:dyDescent="0.25">
      <c r="I163" s="66" t="s">
        <v>320</v>
      </c>
      <c r="J163" s="66" t="s">
        <v>4041</v>
      </c>
    </row>
    <row r="164" spans="9:10" ht="15" customHeight="1" x14ac:dyDescent="0.25">
      <c r="I164" s="66" t="s">
        <v>323</v>
      </c>
      <c r="J164" s="66" t="s">
        <v>4042</v>
      </c>
    </row>
    <row r="165" spans="9:10" ht="15" customHeight="1" x14ac:dyDescent="0.25">
      <c r="I165" s="66" t="s">
        <v>327</v>
      </c>
      <c r="J165" s="66" t="s">
        <v>4043</v>
      </c>
    </row>
    <row r="166" spans="9:10" ht="15" customHeight="1" x14ac:dyDescent="0.25">
      <c r="I166" s="66" t="s">
        <v>328</v>
      </c>
      <c r="J166" s="66" t="s">
        <v>4044</v>
      </c>
    </row>
    <row r="167" spans="9:10" ht="15" customHeight="1" x14ac:dyDescent="0.25">
      <c r="I167" s="66" t="s">
        <v>329</v>
      </c>
      <c r="J167" s="66" t="s">
        <v>4045</v>
      </c>
    </row>
    <row r="168" spans="9:10" ht="15" customHeight="1" x14ac:dyDescent="0.25">
      <c r="I168" s="66" t="s">
        <v>330</v>
      </c>
      <c r="J168" s="66" t="s">
        <v>4046</v>
      </c>
    </row>
    <row r="169" spans="9:10" ht="15" customHeight="1" x14ac:dyDescent="0.25">
      <c r="I169" s="66" t="s">
        <v>333</v>
      </c>
      <c r="J169" s="66" t="s">
        <v>4047</v>
      </c>
    </row>
    <row r="170" spans="9:10" ht="15" customHeight="1" x14ac:dyDescent="0.25">
      <c r="I170" s="66" t="s">
        <v>336</v>
      </c>
      <c r="J170" s="66" t="s">
        <v>4048</v>
      </c>
    </row>
    <row r="171" spans="9:10" ht="15" customHeight="1" x14ac:dyDescent="0.25">
      <c r="I171" s="66" t="s">
        <v>337</v>
      </c>
      <c r="J171" s="66" t="s">
        <v>4049</v>
      </c>
    </row>
    <row r="172" spans="9:10" ht="15" customHeight="1" x14ac:dyDescent="0.25">
      <c r="I172" s="66" t="s">
        <v>338</v>
      </c>
      <c r="J172" s="66" t="s">
        <v>4050</v>
      </c>
    </row>
    <row r="173" spans="9:10" ht="15" customHeight="1" x14ac:dyDescent="0.25">
      <c r="I173" s="66" t="s">
        <v>340</v>
      </c>
      <c r="J173" s="66" t="s">
        <v>4051</v>
      </c>
    </row>
    <row r="174" spans="9:10" ht="15" customHeight="1" x14ac:dyDescent="0.25">
      <c r="I174" s="66" t="s">
        <v>341</v>
      </c>
      <c r="J174" s="66" t="s">
        <v>4052</v>
      </c>
    </row>
    <row r="175" spans="9:10" ht="15" customHeight="1" x14ac:dyDescent="0.25">
      <c r="I175" s="66" t="s">
        <v>344</v>
      </c>
      <c r="J175" s="66" t="s">
        <v>4053</v>
      </c>
    </row>
    <row r="176" spans="9:10" ht="15" customHeight="1" x14ac:dyDescent="0.25">
      <c r="I176" s="66" t="s">
        <v>347</v>
      </c>
      <c r="J176" s="66" t="s">
        <v>4054</v>
      </c>
    </row>
    <row r="177" spans="9:10" ht="15" customHeight="1" x14ac:dyDescent="0.25">
      <c r="I177" s="66" t="s">
        <v>354</v>
      </c>
      <c r="J177" s="66" t="s">
        <v>4055</v>
      </c>
    </row>
    <row r="178" spans="9:10" ht="15" customHeight="1" x14ac:dyDescent="0.25">
      <c r="I178" s="66" t="s">
        <v>357</v>
      </c>
      <c r="J178" s="66" t="s">
        <v>4056</v>
      </c>
    </row>
    <row r="179" spans="9:10" ht="15" customHeight="1" x14ac:dyDescent="0.25">
      <c r="I179" s="66" t="s">
        <v>360</v>
      </c>
      <c r="J179" s="66" t="s">
        <v>4057</v>
      </c>
    </row>
    <row r="180" spans="9:10" ht="15" customHeight="1" x14ac:dyDescent="0.25">
      <c r="I180" s="66" t="s">
        <v>363</v>
      </c>
      <c r="J180" s="66" t="s">
        <v>4058</v>
      </c>
    </row>
    <row r="181" spans="9:10" ht="15" customHeight="1" x14ac:dyDescent="0.25">
      <c r="I181" s="66" t="s">
        <v>366</v>
      </c>
      <c r="J181" s="66" t="s">
        <v>4059</v>
      </c>
    </row>
    <row r="182" spans="9:10" ht="15" customHeight="1" x14ac:dyDescent="0.25">
      <c r="I182" s="66" t="s">
        <v>370</v>
      </c>
      <c r="J182" s="66" t="s">
        <v>4060</v>
      </c>
    </row>
    <row r="183" spans="9:10" ht="15" customHeight="1" x14ac:dyDescent="0.25">
      <c r="I183" s="66" t="s">
        <v>373</v>
      </c>
      <c r="J183" s="66" t="s">
        <v>4061</v>
      </c>
    </row>
    <row r="184" spans="9:10" ht="15" customHeight="1" x14ac:dyDescent="0.25">
      <c r="I184" s="66" t="s">
        <v>376</v>
      </c>
      <c r="J184" s="66" t="s">
        <v>4062</v>
      </c>
    </row>
    <row r="185" spans="9:10" ht="15" customHeight="1" x14ac:dyDescent="0.25">
      <c r="I185" s="66" t="s">
        <v>380</v>
      </c>
      <c r="J185" s="66" t="s">
        <v>4063</v>
      </c>
    </row>
    <row r="186" spans="9:10" ht="15" customHeight="1" x14ac:dyDescent="0.25">
      <c r="I186" s="66" t="s">
        <v>383</v>
      </c>
      <c r="J186" s="66" t="s">
        <v>4064</v>
      </c>
    </row>
    <row r="187" spans="9:10" ht="15" customHeight="1" x14ac:dyDescent="0.25">
      <c r="I187" s="66" t="s">
        <v>386</v>
      </c>
      <c r="J187" s="66" t="s">
        <v>4065</v>
      </c>
    </row>
    <row r="188" spans="9:10" ht="15" customHeight="1" x14ac:dyDescent="0.25">
      <c r="I188" s="66" t="s">
        <v>390</v>
      </c>
      <c r="J188" s="66" t="s">
        <v>4066</v>
      </c>
    </row>
    <row r="189" spans="9:10" ht="15" customHeight="1" x14ac:dyDescent="0.25">
      <c r="I189" s="66" t="s">
        <v>393</v>
      </c>
      <c r="J189" s="66" t="s">
        <v>4067</v>
      </c>
    </row>
    <row r="190" spans="9:10" ht="15" customHeight="1" x14ac:dyDescent="0.25">
      <c r="I190" s="66" t="s">
        <v>396</v>
      </c>
      <c r="J190" s="66" t="s">
        <v>4068</v>
      </c>
    </row>
    <row r="191" spans="9:10" ht="15" customHeight="1" x14ac:dyDescent="0.25">
      <c r="I191" s="66" t="s">
        <v>399</v>
      </c>
      <c r="J191" s="66" t="s">
        <v>4069</v>
      </c>
    </row>
    <row r="192" spans="9:10" ht="15" customHeight="1" x14ac:dyDescent="0.25">
      <c r="I192" s="66" t="s">
        <v>402</v>
      </c>
      <c r="J192" s="66" t="s">
        <v>4070</v>
      </c>
    </row>
    <row r="193" spans="9:10" ht="15" customHeight="1" x14ac:dyDescent="0.25">
      <c r="I193" s="66" t="s">
        <v>405</v>
      </c>
      <c r="J193" s="66" t="s">
        <v>4071</v>
      </c>
    </row>
    <row r="194" spans="9:10" ht="15" customHeight="1" x14ac:dyDescent="0.25">
      <c r="I194" s="66" t="s">
        <v>410</v>
      </c>
      <c r="J194" s="66" t="s">
        <v>4072</v>
      </c>
    </row>
    <row r="195" spans="9:10" ht="15" customHeight="1" x14ac:dyDescent="0.25">
      <c r="I195" s="66" t="s">
        <v>413</v>
      </c>
      <c r="J195" s="66" t="s">
        <v>4073</v>
      </c>
    </row>
    <row r="196" spans="9:10" ht="15" customHeight="1" x14ac:dyDescent="0.25">
      <c r="I196" s="66" t="s">
        <v>416</v>
      </c>
      <c r="J196" s="66" t="s">
        <v>4074</v>
      </c>
    </row>
    <row r="197" spans="9:10" ht="15" customHeight="1" x14ac:dyDescent="0.25">
      <c r="I197" s="66" t="s">
        <v>418</v>
      </c>
      <c r="J197" s="66" t="s">
        <v>4075</v>
      </c>
    </row>
    <row r="198" spans="9:10" ht="15" customHeight="1" x14ac:dyDescent="0.25">
      <c r="I198" s="66" t="s">
        <v>421</v>
      </c>
      <c r="J198" s="66" t="s">
        <v>4076</v>
      </c>
    </row>
    <row r="199" spans="9:10" ht="15" customHeight="1" x14ac:dyDescent="0.25">
      <c r="I199" s="66" t="s">
        <v>424</v>
      </c>
      <c r="J199" s="66" t="s">
        <v>4077</v>
      </c>
    </row>
    <row r="200" spans="9:10" ht="15" customHeight="1" x14ac:dyDescent="0.25">
      <c r="I200" s="66" t="s">
        <v>427</v>
      </c>
      <c r="J200" s="66" t="s">
        <v>4078</v>
      </c>
    </row>
    <row r="201" spans="9:10" ht="15" customHeight="1" x14ac:dyDescent="0.25">
      <c r="I201" s="66" t="s">
        <v>430</v>
      </c>
      <c r="J201" s="66" t="s">
        <v>4079</v>
      </c>
    </row>
    <row r="202" spans="9:10" ht="15" customHeight="1" x14ac:dyDescent="0.25">
      <c r="I202" s="66" t="s">
        <v>433</v>
      </c>
      <c r="J202" s="66" t="s">
        <v>4080</v>
      </c>
    </row>
    <row r="203" spans="9:10" ht="15" customHeight="1" x14ac:dyDescent="0.25">
      <c r="I203" s="66" t="s">
        <v>436</v>
      </c>
      <c r="J203" s="66" t="s">
        <v>4081</v>
      </c>
    </row>
    <row r="204" spans="9:10" ht="15" customHeight="1" x14ac:dyDescent="0.25">
      <c r="I204" s="66" t="s">
        <v>441</v>
      </c>
      <c r="J204" s="66" t="s">
        <v>4082</v>
      </c>
    </row>
    <row r="205" spans="9:10" ht="15" customHeight="1" x14ac:dyDescent="0.25">
      <c r="I205" s="66" t="s">
        <v>444</v>
      </c>
      <c r="J205" s="66" t="s">
        <v>4083</v>
      </c>
    </row>
    <row r="206" spans="9:10" ht="15" customHeight="1" x14ac:dyDescent="0.25">
      <c r="I206" s="66" t="s">
        <v>447</v>
      </c>
      <c r="J206" s="66" t="s">
        <v>4084</v>
      </c>
    </row>
    <row r="207" spans="9:10" ht="15" customHeight="1" x14ac:dyDescent="0.25">
      <c r="I207" s="66" t="s">
        <v>450</v>
      </c>
      <c r="J207" s="66" t="s">
        <v>4085</v>
      </c>
    </row>
    <row r="208" spans="9:10" ht="15" customHeight="1" x14ac:dyDescent="0.25">
      <c r="I208" s="66" t="s">
        <v>454</v>
      </c>
      <c r="J208" s="66" t="s">
        <v>4086</v>
      </c>
    </row>
    <row r="209" spans="9:10" ht="15" customHeight="1" x14ac:dyDescent="0.25">
      <c r="I209" s="66" t="s">
        <v>457</v>
      </c>
      <c r="J209" s="66" t="s">
        <v>4087</v>
      </c>
    </row>
    <row r="210" spans="9:10" ht="15" customHeight="1" x14ac:dyDescent="0.25">
      <c r="I210" s="66" t="s">
        <v>460</v>
      </c>
      <c r="J210" s="66" t="s">
        <v>4088</v>
      </c>
    </row>
    <row r="211" spans="9:10" ht="15" customHeight="1" x14ac:dyDescent="0.25">
      <c r="I211" s="66" t="s">
        <v>463</v>
      </c>
      <c r="J211" s="66" t="s">
        <v>4089</v>
      </c>
    </row>
    <row r="212" spans="9:10" ht="15" customHeight="1" x14ac:dyDescent="0.25">
      <c r="I212" s="66" t="s">
        <v>467</v>
      </c>
      <c r="J212" s="66" t="s">
        <v>4090</v>
      </c>
    </row>
    <row r="213" spans="9:10" ht="15" customHeight="1" x14ac:dyDescent="0.25">
      <c r="I213" s="66" t="s">
        <v>470</v>
      </c>
      <c r="J213" s="66" t="s">
        <v>4091</v>
      </c>
    </row>
    <row r="214" spans="9:10" ht="15" customHeight="1" x14ac:dyDescent="0.25">
      <c r="I214" s="66" t="s">
        <v>473</v>
      </c>
      <c r="J214" s="66" t="s">
        <v>4092</v>
      </c>
    </row>
    <row r="215" spans="9:10" ht="15" customHeight="1" x14ac:dyDescent="0.25">
      <c r="I215" s="66" t="s">
        <v>476</v>
      </c>
      <c r="J215" s="66" t="s">
        <v>4093</v>
      </c>
    </row>
    <row r="216" spans="9:10" ht="15" customHeight="1" x14ac:dyDescent="0.25">
      <c r="I216" s="66" t="s">
        <v>481</v>
      </c>
      <c r="J216" s="66" t="s">
        <v>4094</v>
      </c>
    </row>
    <row r="217" spans="9:10" ht="15" customHeight="1" x14ac:dyDescent="0.25">
      <c r="I217" s="66" t="s">
        <v>484</v>
      </c>
      <c r="J217" s="66" t="s">
        <v>4095</v>
      </c>
    </row>
    <row r="218" spans="9:10" ht="15" customHeight="1" x14ac:dyDescent="0.25">
      <c r="I218" s="66" t="s">
        <v>487</v>
      </c>
      <c r="J218" s="66" t="s">
        <v>4096</v>
      </c>
    </row>
    <row r="219" spans="9:10" ht="15" customHeight="1" x14ac:dyDescent="0.25">
      <c r="I219" s="66" t="s">
        <v>490</v>
      </c>
      <c r="J219" s="66" t="s">
        <v>4097</v>
      </c>
    </row>
    <row r="220" spans="9:10" ht="15" customHeight="1" x14ac:dyDescent="0.25">
      <c r="I220" s="66" t="s">
        <v>493</v>
      </c>
      <c r="J220" s="66" t="s">
        <v>4098</v>
      </c>
    </row>
    <row r="221" spans="9:10" ht="15" customHeight="1" x14ac:dyDescent="0.25">
      <c r="I221" s="66" t="s">
        <v>496</v>
      </c>
      <c r="J221" s="66" t="s">
        <v>4099</v>
      </c>
    </row>
    <row r="222" spans="9:10" ht="15" customHeight="1" x14ac:dyDescent="0.25">
      <c r="I222" s="66" t="s">
        <v>500</v>
      </c>
      <c r="J222" s="66" t="s">
        <v>4100</v>
      </c>
    </row>
    <row r="223" spans="9:10" ht="15" customHeight="1" x14ac:dyDescent="0.25">
      <c r="I223" s="66" t="s">
        <v>503</v>
      </c>
      <c r="J223" s="66" t="s">
        <v>4101</v>
      </c>
    </row>
    <row r="224" spans="9:10" ht="15" customHeight="1" x14ac:dyDescent="0.25">
      <c r="I224" s="66" t="s">
        <v>504</v>
      </c>
      <c r="J224" s="66" t="s">
        <v>4102</v>
      </c>
    </row>
    <row r="225" spans="9:10" ht="15" customHeight="1" x14ac:dyDescent="0.25">
      <c r="I225" s="66" t="s">
        <v>507</v>
      </c>
      <c r="J225" s="66" t="s">
        <v>4103</v>
      </c>
    </row>
    <row r="226" spans="9:10" ht="15" customHeight="1" x14ac:dyDescent="0.25">
      <c r="I226" s="66" t="s">
        <v>512</v>
      </c>
      <c r="J226" s="66" t="s">
        <v>4104</v>
      </c>
    </row>
    <row r="227" spans="9:10" ht="15" customHeight="1" x14ac:dyDescent="0.25">
      <c r="I227" s="66" t="s">
        <v>515</v>
      </c>
      <c r="J227" s="66" t="s">
        <v>4105</v>
      </c>
    </row>
    <row r="228" spans="9:10" ht="15" customHeight="1" x14ac:dyDescent="0.25">
      <c r="I228" s="66" t="s">
        <v>518</v>
      </c>
      <c r="J228" s="66" t="s">
        <v>4106</v>
      </c>
    </row>
    <row r="229" spans="9:10" ht="15" customHeight="1" x14ac:dyDescent="0.25">
      <c r="I229" s="66" t="s">
        <v>521</v>
      </c>
      <c r="J229" s="66" t="s">
        <v>4107</v>
      </c>
    </row>
    <row r="230" spans="9:10" ht="15" customHeight="1" x14ac:dyDescent="0.25">
      <c r="I230" s="66" t="s">
        <v>522</v>
      </c>
      <c r="J230" s="66" t="s">
        <v>4108</v>
      </c>
    </row>
    <row r="231" spans="9:10" ht="15" customHeight="1" x14ac:dyDescent="0.25">
      <c r="I231" s="66" t="s">
        <v>525</v>
      </c>
      <c r="J231" s="66" t="s">
        <v>4109</v>
      </c>
    </row>
    <row r="232" spans="9:10" ht="15" customHeight="1" x14ac:dyDescent="0.25">
      <c r="I232" s="66" t="s">
        <v>529</v>
      </c>
      <c r="J232" s="66" t="s">
        <v>4110</v>
      </c>
    </row>
    <row r="233" spans="9:10" ht="15" customHeight="1" x14ac:dyDescent="0.25">
      <c r="I233" s="66" t="s">
        <v>530</v>
      </c>
      <c r="J233" s="66" t="s">
        <v>4111</v>
      </c>
    </row>
    <row r="234" spans="9:10" ht="15" customHeight="1" x14ac:dyDescent="0.25">
      <c r="I234" s="66" t="s">
        <v>533</v>
      </c>
      <c r="J234" s="66" t="s">
        <v>4112</v>
      </c>
    </row>
    <row r="235" spans="9:10" ht="15" customHeight="1" x14ac:dyDescent="0.25">
      <c r="I235" s="66" t="s">
        <v>539</v>
      </c>
      <c r="J235" s="66" t="s">
        <v>4113</v>
      </c>
    </row>
    <row r="236" spans="9:10" ht="15" customHeight="1" x14ac:dyDescent="0.25">
      <c r="I236" s="66" t="s">
        <v>542</v>
      </c>
      <c r="J236" s="66" t="s">
        <v>4114</v>
      </c>
    </row>
    <row r="237" spans="9:10" ht="15" customHeight="1" x14ac:dyDescent="0.25">
      <c r="I237" s="66" t="s">
        <v>545</v>
      </c>
      <c r="J237" s="66" t="s">
        <v>4115</v>
      </c>
    </row>
    <row r="238" spans="9:10" ht="15" customHeight="1" x14ac:dyDescent="0.25">
      <c r="I238" s="66" t="s">
        <v>548</v>
      </c>
      <c r="J238" s="66" t="s">
        <v>4116</v>
      </c>
    </row>
    <row r="239" spans="9:10" ht="15" customHeight="1" x14ac:dyDescent="0.25">
      <c r="I239" s="66" t="s">
        <v>552</v>
      </c>
      <c r="J239" s="66" t="s">
        <v>4117</v>
      </c>
    </row>
    <row r="240" spans="9:10" ht="15" customHeight="1" x14ac:dyDescent="0.25">
      <c r="I240" s="66" t="s">
        <v>555</v>
      </c>
      <c r="J240" s="66" t="s">
        <v>4118</v>
      </c>
    </row>
    <row r="241" spans="9:10" ht="15" customHeight="1" x14ac:dyDescent="0.25">
      <c r="I241" s="66" t="s">
        <v>558</v>
      </c>
      <c r="J241" s="66" t="s">
        <v>4119</v>
      </c>
    </row>
    <row r="242" spans="9:10" ht="15" customHeight="1" x14ac:dyDescent="0.25">
      <c r="I242" s="66" t="s">
        <v>564</v>
      </c>
      <c r="J242" s="66" t="s">
        <v>4120</v>
      </c>
    </row>
    <row r="243" spans="9:10" ht="15" customHeight="1" x14ac:dyDescent="0.25">
      <c r="I243" s="66" t="s">
        <v>567</v>
      </c>
      <c r="J243" s="66" t="s">
        <v>4121</v>
      </c>
    </row>
    <row r="244" spans="9:10" ht="15" customHeight="1" x14ac:dyDescent="0.25">
      <c r="I244" s="66" t="s">
        <v>570</v>
      </c>
      <c r="J244" s="66" t="s">
        <v>4122</v>
      </c>
    </row>
    <row r="245" spans="9:10" ht="15" customHeight="1" x14ac:dyDescent="0.25">
      <c r="I245" s="66" t="s">
        <v>573</v>
      </c>
      <c r="J245" s="66" t="s">
        <v>4123</v>
      </c>
    </row>
    <row r="246" spans="9:10" ht="15" customHeight="1" x14ac:dyDescent="0.25">
      <c r="I246" s="66" t="s">
        <v>577</v>
      </c>
      <c r="J246" s="66" t="s">
        <v>4124</v>
      </c>
    </row>
    <row r="247" spans="9:10" ht="15" customHeight="1" x14ac:dyDescent="0.25">
      <c r="I247" s="66" t="s">
        <v>580</v>
      </c>
      <c r="J247" s="66" t="s">
        <v>4125</v>
      </c>
    </row>
    <row r="248" spans="9:10" ht="15" customHeight="1" x14ac:dyDescent="0.25">
      <c r="I248" s="66" t="s">
        <v>583</v>
      </c>
      <c r="J248" s="66" t="s">
        <v>4126</v>
      </c>
    </row>
    <row r="249" spans="9:10" ht="15" customHeight="1" x14ac:dyDescent="0.25">
      <c r="I249" s="66" t="s">
        <v>584</v>
      </c>
      <c r="J249" s="66" t="s">
        <v>4127</v>
      </c>
    </row>
    <row r="250" spans="9:10" ht="15" customHeight="1" x14ac:dyDescent="0.25">
      <c r="I250" s="66" t="s">
        <v>588</v>
      </c>
      <c r="J250" s="66" t="s">
        <v>4128</v>
      </c>
    </row>
    <row r="251" spans="9:10" ht="15" customHeight="1" x14ac:dyDescent="0.25">
      <c r="I251" s="66" t="s">
        <v>591</v>
      </c>
      <c r="J251" s="66" t="s">
        <v>4129</v>
      </c>
    </row>
    <row r="252" spans="9:10" ht="15" customHeight="1" x14ac:dyDescent="0.25">
      <c r="I252" s="66" t="s">
        <v>594</v>
      </c>
      <c r="J252" s="66" t="s">
        <v>4130</v>
      </c>
    </row>
    <row r="253" spans="9:10" ht="15" customHeight="1" x14ac:dyDescent="0.25">
      <c r="I253" s="66" t="s">
        <v>595</v>
      </c>
      <c r="J253" s="66" t="s">
        <v>4131</v>
      </c>
    </row>
    <row r="254" spans="9:10" ht="15" customHeight="1" x14ac:dyDescent="0.25">
      <c r="I254" s="66" t="s">
        <v>599</v>
      </c>
      <c r="J254" s="66" t="s">
        <v>4132</v>
      </c>
    </row>
    <row r="255" spans="9:10" ht="15" customHeight="1" x14ac:dyDescent="0.25">
      <c r="I255" s="66" t="s">
        <v>602</v>
      </c>
      <c r="J255" s="66" t="s">
        <v>4133</v>
      </c>
    </row>
    <row r="256" spans="9:10" ht="15" customHeight="1" x14ac:dyDescent="0.25">
      <c r="I256" s="66" t="s">
        <v>605</v>
      </c>
      <c r="J256" s="66" t="s">
        <v>4134</v>
      </c>
    </row>
    <row r="257" spans="9:10" ht="15" customHeight="1" x14ac:dyDescent="0.25">
      <c r="I257" s="66" t="s">
        <v>608</v>
      </c>
      <c r="J257" s="66" t="s">
        <v>4135</v>
      </c>
    </row>
    <row r="258" spans="9:10" ht="15" customHeight="1" x14ac:dyDescent="0.25">
      <c r="I258" s="66" t="s">
        <v>612</v>
      </c>
      <c r="J258" s="66" t="s">
        <v>4136</v>
      </c>
    </row>
    <row r="259" spans="9:10" ht="15" customHeight="1" x14ac:dyDescent="0.25">
      <c r="I259" s="66" t="s">
        <v>614</v>
      </c>
      <c r="J259" s="66" t="s">
        <v>4137</v>
      </c>
    </row>
    <row r="260" spans="9:10" ht="15" customHeight="1" x14ac:dyDescent="0.25">
      <c r="I260" s="66" t="s">
        <v>618</v>
      </c>
      <c r="J260" s="66" t="s">
        <v>4138</v>
      </c>
    </row>
    <row r="261" spans="9:10" ht="15" customHeight="1" x14ac:dyDescent="0.25">
      <c r="I261" s="66" t="s">
        <v>621</v>
      </c>
      <c r="J261" s="66" t="s">
        <v>4139</v>
      </c>
    </row>
    <row r="262" spans="9:10" ht="15" customHeight="1" x14ac:dyDescent="0.25">
      <c r="I262" s="66" t="s">
        <v>624</v>
      </c>
      <c r="J262" s="66" t="s">
        <v>4140</v>
      </c>
    </row>
    <row r="263" spans="9:10" ht="15" customHeight="1" x14ac:dyDescent="0.25">
      <c r="I263" s="66" t="s">
        <v>627</v>
      </c>
      <c r="J263" s="66" t="s">
        <v>4141</v>
      </c>
    </row>
    <row r="264" spans="9:10" ht="15" customHeight="1" x14ac:dyDescent="0.25">
      <c r="I264" s="66" t="s">
        <v>631</v>
      </c>
      <c r="J264" s="66" t="s">
        <v>4142</v>
      </c>
    </row>
    <row r="265" spans="9:10" ht="15" customHeight="1" x14ac:dyDescent="0.25">
      <c r="I265" s="66" t="s">
        <v>634</v>
      </c>
      <c r="J265" s="66" t="s">
        <v>4143</v>
      </c>
    </row>
    <row r="266" spans="9:10" ht="15" customHeight="1" x14ac:dyDescent="0.25">
      <c r="I266" s="66" t="s">
        <v>637</v>
      </c>
      <c r="J266" s="66" t="s">
        <v>4144</v>
      </c>
    </row>
    <row r="267" spans="9:10" ht="15" customHeight="1" x14ac:dyDescent="0.25">
      <c r="I267" s="66" t="s">
        <v>640</v>
      </c>
      <c r="J267" s="66" t="s">
        <v>4145</v>
      </c>
    </row>
    <row r="268" spans="9:10" ht="15" customHeight="1" x14ac:dyDescent="0.25">
      <c r="I268" s="66" t="s">
        <v>641</v>
      </c>
      <c r="J268" s="66" t="s">
        <v>4146</v>
      </c>
    </row>
    <row r="269" spans="9:10" ht="15" customHeight="1" x14ac:dyDescent="0.25">
      <c r="I269" s="66" t="s">
        <v>644</v>
      </c>
      <c r="J269" s="66" t="s">
        <v>4147</v>
      </c>
    </row>
    <row r="270" spans="9:10" ht="15" customHeight="1" x14ac:dyDescent="0.25">
      <c r="I270" s="66" t="s">
        <v>647</v>
      </c>
      <c r="J270" s="66" t="s">
        <v>4148</v>
      </c>
    </row>
    <row r="271" spans="9:10" ht="15" customHeight="1" x14ac:dyDescent="0.25">
      <c r="I271" s="66" t="s">
        <v>652</v>
      </c>
      <c r="J271" s="66" t="s">
        <v>4149</v>
      </c>
    </row>
    <row r="272" spans="9:10" ht="15" customHeight="1" x14ac:dyDescent="0.25">
      <c r="I272" s="66" t="s">
        <v>655</v>
      </c>
      <c r="J272" s="66" t="s">
        <v>4150</v>
      </c>
    </row>
    <row r="273" spans="9:10" ht="15" customHeight="1" x14ac:dyDescent="0.25">
      <c r="I273" s="66" t="s">
        <v>658</v>
      </c>
      <c r="J273" s="66" t="s">
        <v>4151</v>
      </c>
    </row>
    <row r="274" spans="9:10" ht="15" customHeight="1" x14ac:dyDescent="0.25">
      <c r="I274" s="66" t="s">
        <v>660</v>
      </c>
      <c r="J274" s="66" t="s">
        <v>4152</v>
      </c>
    </row>
    <row r="275" spans="9:10" ht="15" customHeight="1" x14ac:dyDescent="0.25">
      <c r="I275" s="66" t="s">
        <v>663</v>
      </c>
      <c r="J275" s="66" t="s">
        <v>4153</v>
      </c>
    </row>
    <row r="276" spans="9:10" ht="15" customHeight="1" x14ac:dyDescent="0.25">
      <c r="I276" s="66" t="s">
        <v>665</v>
      </c>
      <c r="J276" s="66" t="s">
        <v>4154</v>
      </c>
    </row>
    <row r="277" spans="9:10" ht="15" customHeight="1" x14ac:dyDescent="0.25">
      <c r="I277" s="66" t="s">
        <v>667</v>
      </c>
      <c r="J277" s="66" t="s">
        <v>4155</v>
      </c>
    </row>
    <row r="278" spans="9:10" ht="15" customHeight="1" x14ac:dyDescent="0.25">
      <c r="I278" s="66" t="s">
        <v>668</v>
      </c>
      <c r="J278" s="66" t="s">
        <v>4156</v>
      </c>
    </row>
    <row r="279" spans="9:10" ht="15" customHeight="1" x14ac:dyDescent="0.25">
      <c r="I279" s="66" t="s">
        <v>669</v>
      </c>
      <c r="J279" s="66" t="s">
        <v>4157</v>
      </c>
    </row>
    <row r="280" spans="9:10" ht="15" customHeight="1" x14ac:dyDescent="0.25">
      <c r="I280" s="66" t="s">
        <v>670</v>
      </c>
      <c r="J280" s="66" t="s">
        <v>4158</v>
      </c>
    </row>
    <row r="281" spans="9:10" ht="15" customHeight="1" x14ac:dyDescent="0.25">
      <c r="I281" s="66" t="s">
        <v>671</v>
      </c>
      <c r="J281" s="66" t="s">
        <v>4159</v>
      </c>
    </row>
    <row r="282" spans="9:10" ht="15" customHeight="1" x14ac:dyDescent="0.25">
      <c r="I282" s="66" t="s">
        <v>674</v>
      </c>
      <c r="J282" s="66" t="s">
        <v>4160</v>
      </c>
    </row>
    <row r="283" spans="9:10" ht="15" customHeight="1" x14ac:dyDescent="0.25">
      <c r="I283" s="66" t="s">
        <v>678</v>
      </c>
      <c r="J283" s="66" t="s">
        <v>4161</v>
      </c>
    </row>
    <row r="284" spans="9:10" ht="15" customHeight="1" x14ac:dyDescent="0.25">
      <c r="I284" s="66" t="s">
        <v>681</v>
      </c>
      <c r="J284" s="66" t="s">
        <v>4162</v>
      </c>
    </row>
    <row r="285" spans="9:10" ht="15" customHeight="1" x14ac:dyDescent="0.25">
      <c r="I285" s="66" t="s">
        <v>687</v>
      </c>
      <c r="J285" s="66" t="s">
        <v>4163</v>
      </c>
    </row>
    <row r="286" spans="9:10" ht="15" customHeight="1" x14ac:dyDescent="0.25">
      <c r="I286" s="66" t="s">
        <v>690</v>
      </c>
      <c r="J286" s="66" t="s">
        <v>4164</v>
      </c>
    </row>
    <row r="287" spans="9:10" ht="15" customHeight="1" x14ac:dyDescent="0.25">
      <c r="I287" s="66" t="s">
        <v>693</v>
      </c>
      <c r="J287" s="66" t="s">
        <v>4165</v>
      </c>
    </row>
    <row r="288" spans="9:10" ht="15" customHeight="1" x14ac:dyDescent="0.25">
      <c r="I288" s="66" t="s">
        <v>694</v>
      </c>
      <c r="J288" s="66" t="s">
        <v>4166</v>
      </c>
    </row>
    <row r="289" spans="9:10" ht="15" customHeight="1" x14ac:dyDescent="0.25">
      <c r="I289" s="66" t="s">
        <v>695</v>
      </c>
      <c r="J289" s="66" t="s">
        <v>4167</v>
      </c>
    </row>
    <row r="290" spans="9:10" ht="15" customHeight="1" x14ac:dyDescent="0.25">
      <c r="I290" s="66" t="s">
        <v>696</v>
      </c>
      <c r="J290" s="66" t="s">
        <v>4168</v>
      </c>
    </row>
    <row r="291" spans="9:10" ht="15" customHeight="1" x14ac:dyDescent="0.25">
      <c r="I291" s="66" t="s">
        <v>697</v>
      </c>
      <c r="J291" s="66" t="s">
        <v>4169</v>
      </c>
    </row>
    <row r="292" spans="9:10" ht="15" customHeight="1" x14ac:dyDescent="0.25">
      <c r="I292" s="66" t="s">
        <v>700</v>
      </c>
      <c r="J292" s="66" t="s">
        <v>4170</v>
      </c>
    </row>
    <row r="293" spans="9:10" ht="15" customHeight="1" x14ac:dyDescent="0.25">
      <c r="I293" s="66" t="s">
        <v>703</v>
      </c>
      <c r="J293" s="66" t="s">
        <v>4171</v>
      </c>
    </row>
    <row r="294" spans="9:10" ht="15" customHeight="1" x14ac:dyDescent="0.25">
      <c r="I294" s="66" t="s">
        <v>706</v>
      </c>
      <c r="J294" s="66" t="s">
        <v>4172</v>
      </c>
    </row>
    <row r="295" spans="9:10" ht="15" customHeight="1" x14ac:dyDescent="0.25">
      <c r="I295" s="66" t="s">
        <v>709</v>
      </c>
      <c r="J295" s="66" t="s">
        <v>4173</v>
      </c>
    </row>
    <row r="296" spans="9:10" ht="15" customHeight="1" x14ac:dyDescent="0.25">
      <c r="I296" s="66" t="s">
        <v>712</v>
      </c>
      <c r="J296" s="66" t="s">
        <v>4174</v>
      </c>
    </row>
    <row r="297" spans="9:10" ht="15" customHeight="1" x14ac:dyDescent="0.25">
      <c r="I297" s="66" t="s">
        <v>715</v>
      </c>
      <c r="J297" s="66" t="s">
        <v>4175</v>
      </c>
    </row>
    <row r="298" spans="9:10" ht="15" customHeight="1" x14ac:dyDescent="0.25">
      <c r="I298" s="66" t="s">
        <v>718</v>
      </c>
      <c r="J298" s="66" t="s">
        <v>4176</v>
      </c>
    </row>
    <row r="299" spans="9:10" ht="15" customHeight="1" x14ac:dyDescent="0.25">
      <c r="I299" s="66" t="s">
        <v>721</v>
      </c>
      <c r="J299" s="66" t="s">
        <v>4177</v>
      </c>
    </row>
    <row r="300" spans="9:10" ht="15" customHeight="1" x14ac:dyDescent="0.25">
      <c r="I300" s="66" t="s">
        <v>722</v>
      </c>
      <c r="J300" s="66" t="s">
        <v>4178</v>
      </c>
    </row>
    <row r="301" spans="9:10" ht="15" customHeight="1" x14ac:dyDescent="0.25">
      <c r="I301" s="66" t="s">
        <v>725</v>
      </c>
      <c r="J301" s="66" t="s">
        <v>4179</v>
      </c>
    </row>
    <row r="302" spans="9:10" ht="15" customHeight="1" x14ac:dyDescent="0.25">
      <c r="I302" s="66" t="s">
        <v>728</v>
      </c>
      <c r="J302" s="66" t="s">
        <v>4180</v>
      </c>
    </row>
    <row r="303" spans="9:10" ht="15" customHeight="1" x14ac:dyDescent="0.25">
      <c r="I303" s="66" t="s">
        <v>731</v>
      </c>
      <c r="J303" s="66" t="s">
        <v>4181</v>
      </c>
    </row>
    <row r="304" spans="9:10" ht="15" customHeight="1" x14ac:dyDescent="0.25">
      <c r="I304" s="66" t="s">
        <v>734</v>
      </c>
      <c r="J304" s="66" t="s">
        <v>4182</v>
      </c>
    </row>
    <row r="305" spans="9:10" ht="15" customHeight="1" x14ac:dyDescent="0.25">
      <c r="I305" s="66" t="s">
        <v>737</v>
      </c>
      <c r="J305" s="66" t="s">
        <v>4183</v>
      </c>
    </row>
    <row r="306" spans="9:10" ht="15" customHeight="1" x14ac:dyDescent="0.25">
      <c r="I306" s="66" t="s">
        <v>741</v>
      </c>
      <c r="J306" s="66" t="s">
        <v>4184</v>
      </c>
    </row>
    <row r="307" spans="9:10" ht="15" customHeight="1" x14ac:dyDescent="0.25">
      <c r="I307" s="66" t="s">
        <v>744</v>
      </c>
      <c r="J307" s="66" t="s">
        <v>4185</v>
      </c>
    </row>
    <row r="308" spans="9:10" ht="15" customHeight="1" x14ac:dyDescent="0.25">
      <c r="I308" s="66" t="s">
        <v>747</v>
      </c>
      <c r="J308" s="66" t="s">
        <v>4186</v>
      </c>
    </row>
    <row r="309" spans="9:10" ht="15" customHeight="1" x14ac:dyDescent="0.25">
      <c r="I309" s="66" t="s">
        <v>750</v>
      </c>
      <c r="J309" s="66" t="s">
        <v>4187</v>
      </c>
    </row>
    <row r="310" spans="9:10" ht="15" customHeight="1" x14ac:dyDescent="0.25">
      <c r="I310" s="66" t="s">
        <v>753</v>
      </c>
      <c r="J310" s="66" t="s">
        <v>4188</v>
      </c>
    </row>
    <row r="311" spans="9:10" ht="15" customHeight="1" x14ac:dyDescent="0.25">
      <c r="I311" s="66" t="s">
        <v>754</v>
      </c>
      <c r="J311" s="66" t="s">
        <v>4189</v>
      </c>
    </row>
    <row r="312" spans="9:10" ht="15" customHeight="1" x14ac:dyDescent="0.25">
      <c r="I312" s="66" t="s">
        <v>756</v>
      </c>
      <c r="J312" s="66" t="s">
        <v>4190</v>
      </c>
    </row>
    <row r="313" spans="9:10" ht="15" customHeight="1" x14ac:dyDescent="0.25">
      <c r="I313" s="66" t="s">
        <v>758</v>
      </c>
      <c r="J313" s="66" t="s">
        <v>4191</v>
      </c>
    </row>
    <row r="314" spans="9:10" ht="15" customHeight="1" x14ac:dyDescent="0.25">
      <c r="I314" s="66" t="s">
        <v>759</v>
      </c>
      <c r="J314" s="66" t="s">
        <v>4192</v>
      </c>
    </row>
    <row r="315" spans="9:10" ht="15" customHeight="1" x14ac:dyDescent="0.25">
      <c r="I315" s="66" t="s">
        <v>762</v>
      </c>
      <c r="J315" s="66" t="s">
        <v>4193</v>
      </c>
    </row>
    <row r="316" spans="9:10" ht="15" customHeight="1" x14ac:dyDescent="0.25">
      <c r="I316" s="66" t="s">
        <v>767</v>
      </c>
      <c r="J316" s="66" t="s">
        <v>4194</v>
      </c>
    </row>
    <row r="317" spans="9:10" ht="15" customHeight="1" x14ac:dyDescent="0.25">
      <c r="I317" s="66" t="s">
        <v>770</v>
      </c>
      <c r="J317" s="66" t="s">
        <v>4195</v>
      </c>
    </row>
    <row r="318" spans="9:10" ht="15" customHeight="1" x14ac:dyDescent="0.25">
      <c r="I318" s="66" t="s">
        <v>773</v>
      </c>
      <c r="J318" s="66" t="s">
        <v>4196</v>
      </c>
    </row>
    <row r="319" spans="9:10" ht="15" customHeight="1" x14ac:dyDescent="0.25">
      <c r="I319" s="66" t="s">
        <v>777</v>
      </c>
      <c r="J319" s="66" t="s">
        <v>4197</v>
      </c>
    </row>
    <row r="320" spans="9:10" ht="15" customHeight="1" x14ac:dyDescent="0.25">
      <c r="I320" s="66" t="s">
        <v>780</v>
      </c>
      <c r="J320" s="66" t="s">
        <v>4198</v>
      </c>
    </row>
    <row r="321" spans="9:10" ht="15" customHeight="1" x14ac:dyDescent="0.25">
      <c r="I321" s="66" t="s">
        <v>784</v>
      </c>
      <c r="J321" s="66" t="s">
        <v>4199</v>
      </c>
    </row>
    <row r="322" spans="9:10" ht="15" customHeight="1" x14ac:dyDescent="0.25">
      <c r="I322" s="66" t="s">
        <v>787</v>
      </c>
      <c r="J322" s="66" t="s">
        <v>4200</v>
      </c>
    </row>
    <row r="323" spans="9:10" ht="15" customHeight="1" x14ac:dyDescent="0.25">
      <c r="I323" s="66" t="s">
        <v>791</v>
      </c>
      <c r="J323" s="66" t="s">
        <v>4201</v>
      </c>
    </row>
    <row r="324" spans="9:10" ht="15" customHeight="1" x14ac:dyDescent="0.25">
      <c r="I324" s="66" t="s">
        <v>794</v>
      </c>
      <c r="J324" s="66" t="s">
        <v>4202</v>
      </c>
    </row>
    <row r="325" spans="9:10" ht="15" customHeight="1" x14ac:dyDescent="0.25">
      <c r="I325" s="66" t="s">
        <v>797</v>
      </c>
      <c r="J325" s="66" t="s">
        <v>4203</v>
      </c>
    </row>
    <row r="326" spans="9:10" ht="15" customHeight="1" x14ac:dyDescent="0.25">
      <c r="I326" s="66" t="s">
        <v>800</v>
      </c>
      <c r="J326" s="66" t="s">
        <v>4204</v>
      </c>
    </row>
    <row r="327" spans="9:10" ht="15" customHeight="1" x14ac:dyDescent="0.25">
      <c r="I327" s="66" t="s">
        <v>803</v>
      </c>
      <c r="J327" s="66" t="s">
        <v>4205</v>
      </c>
    </row>
    <row r="328" spans="9:10" ht="15" customHeight="1" x14ac:dyDescent="0.25">
      <c r="I328" s="66" t="s">
        <v>810</v>
      </c>
      <c r="J328" s="66" t="s">
        <v>4206</v>
      </c>
    </row>
    <row r="329" spans="9:10" ht="15" customHeight="1" x14ac:dyDescent="0.25">
      <c r="I329" s="66" t="s">
        <v>811</v>
      </c>
      <c r="J329" s="66" t="s">
        <v>4207</v>
      </c>
    </row>
    <row r="330" spans="9:10" ht="15" customHeight="1" x14ac:dyDescent="0.25">
      <c r="I330" s="66" t="s">
        <v>814</v>
      </c>
      <c r="J330" s="66" t="s">
        <v>4208</v>
      </c>
    </row>
    <row r="331" spans="9:10" ht="15" customHeight="1" x14ac:dyDescent="0.25">
      <c r="I331" s="66" t="s">
        <v>817</v>
      </c>
      <c r="J331" s="66" t="s">
        <v>4209</v>
      </c>
    </row>
    <row r="332" spans="9:10" ht="15" customHeight="1" x14ac:dyDescent="0.25">
      <c r="I332" s="66" t="s">
        <v>820</v>
      </c>
      <c r="J332" s="66" t="s">
        <v>4210</v>
      </c>
    </row>
    <row r="333" spans="9:10" ht="15" customHeight="1" x14ac:dyDescent="0.25">
      <c r="I333" s="66" t="s">
        <v>823</v>
      </c>
      <c r="J333" s="66" t="s">
        <v>4211</v>
      </c>
    </row>
    <row r="334" spans="9:10" ht="15" customHeight="1" x14ac:dyDescent="0.25">
      <c r="I334" s="66" t="s">
        <v>826</v>
      </c>
      <c r="J334" s="66" t="s">
        <v>4212</v>
      </c>
    </row>
    <row r="335" spans="9:10" ht="15" customHeight="1" x14ac:dyDescent="0.25">
      <c r="I335" s="66" t="s">
        <v>831</v>
      </c>
      <c r="J335" s="66" t="s">
        <v>4213</v>
      </c>
    </row>
    <row r="336" spans="9:10" ht="15" customHeight="1" x14ac:dyDescent="0.25">
      <c r="I336" s="66" t="s">
        <v>832</v>
      </c>
      <c r="J336" s="66" t="s">
        <v>4214</v>
      </c>
    </row>
    <row r="337" spans="9:10" ht="15" customHeight="1" x14ac:dyDescent="0.25">
      <c r="I337" s="66" t="s">
        <v>835</v>
      </c>
      <c r="J337" s="66" t="s">
        <v>4215</v>
      </c>
    </row>
    <row r="338" spans="9:10" ht="15" customHeight="1" x14ac:dyDescent="0.25">
      <c r="I338" s="66" t="s">
        <v>840</v>
      </c>
      <c r="J338" s="66" t="s">
        <v>4216</v>
      </c>
    </row>
    <row r="339" spans="9:10" ht="15" customHeight="1" x14ac:dyDescent="0.25">
      <c r="I339" s="66" t="s">
        <v>843</v>
      </c>
      <c r="J339" s="66" t="s">
        <v>4217</v>
      </c>
    </row>
    <row r="340" spans="9:10" ht="15" customHeight="1" x14ac:dyDescent="0.25">
      <c r="I340" s="66" t="s">
        <v>846</v>
      </c>
      <c r="J340" s="66" t="s">
        <v>4218</v>
      </c>
    </row>
    <row r="341" spans="9:10" ht="15" customHeight="1" x14ac:dyDescent="0.25">
      <c r="I341" s="66" t="s">
        <v>849</v>
      </c>
      <c r="J341" s="66" t="s">
        <v>4219</v>
      </c>
    </row>
    <row r="342" spans="9:10" ht="15" customHeight="1" x14ac:dyDescent="0.25">
      <c r="I342" s="66" t="s">
        <v>852</v>
      </c>
      <c r="J342" s="66" t="s">
        <v>4220</v>
      </c>
    </row>
    <row r="343" spans="9:10" ht="15" customHeight="1" x14ac:dyDescent="0.25">
      <c r="I343" s="66" t="s">
        <v>855</v>
      </c>
      <c r="J343" s="66" t="s">
        <v>4221</v>
      </c>
    </row>
    <row r="344" spans="9:10" ht="15" customHeight="1" x14ac:dyDescent="0.25">
      <c r="I344" s="66" t="s">
        <v>858</v>
      </c>
      <c r="J344" s="66" t="s">
        <v>4222</v>
      </c>
    </row>
    <row r="345" spans="9:10" ht="15" customHeight="1" x14ac:dyDescent="0.25">
      <c r="I345" s="66" t="s">
        <v>861</v>
      </c>
      <c r="J345" s="66" t="s">
        <v>4223</v>
      </c>
    </row>
    <row r="346" spans="9:10" ht="15" customHeight="1" x14ac:dyDescent="0.25">
      <c r="I346" s="66" t="s">
        <v>864</v>
      </c>
      <c r="J346" s="66" t="s">
        <v>4224</v>
      </c>
    </row>
    <row r="347" spans="9:10" ht="15" customHeight="1" x14ac:dyDescent="0.25">
      <c r="I347" s="66" t="s">
        <v>871</v>
      </c>
      <c r="J347" s="66" t="s">
        <v>4225</v>
      </c>
    </row>
    <row r="348" spans="9:10" ht="15" customHeight="1" x14ac:dyDescent="0.25">
      <c r="I348" s="66" t="s">
        <v>874</v>
      </c>
      <c r="J348" s="66" t="s">
        <v>4226</v>
      </c>
    </row>
    <row r="349" spans="9:10" ht="15" customHeight="1" x14ac:dyDescent="0.25">
      <c r="I349" s="66" t="s">
        <v>877</v>
      </c>
      <c r="J349" s="66" t="s">
        <v>4227</v>
      </c>
    </row>
    <row r="350" spans="9:10" ht="15" customHeight="1" x14ac:dyDescent="0.25">
      <c r="I350" s="66" t="s">
        <v>880</v>
      </c>
      <c r="J350" s="66" t="s">
        <v>4228</v>
      </c>
    </row>
    <row r="351" spans="9:10" ht="15" customHeight="1" x14ac:dyDescent="0.25">
      <c r="I351" s="66" t="s">
        <v>883</v>
      </c>
      <c r="J351" s="66" t="s">
        <v>4229</v>
      </c>
    </row>
    <row r="352" spans="9:10" ht="15" customHeight="1" x14ac:dyDescent="0.25">
      <c r="I352" s="66" t="s">
        <v>884</v>
      </c>
      <c r="J352" s="66" t="s">
        <v>4230</v>
      </c>
    </row>
    <row r="353" spans="9:10" ht="15" customHeight="1" x14ac:dyDescent="0.25">
      <c r="I353" s="66" t="s">
        <v>888</v>
      </c>
      <c r="J353" s="66" t="s">
        <v>4231</v>
      </c>
    </row>
    <row r="354" spans="9:10" ht="15" customHeight="1" x14ac:dyDescent="0.25">
      <c r="I354" s="66" t="s">
        <v>891</v>
      </c>
      <c r="J354" s="66" t="s">
        <v>4232</v>
      </c>
    </row>
    <row r="355" spans="9:10" ht="15" customHeight="1" x14ac:dyDescent="0.25">
      <c r="I355" s="66" t="s">
        <v>894</v>
      </c>
      <c r="J355" s="66" t="s">
        <v>4233</v>
      </c>
    </row>
    <row r="356" spans="9:10" ht="15" customHeight="1" x14ac:dyDescent="0.25">
      <c r="I356" s="66" t="s">
        <v>897</v>
      </c>
      <c r="J356" s="66" t="s">
        <v>4234</v>
      </c>
    </row>
    <row r="357" spans="9:10" ht="15" customHeight="1" x14ac:dyDescent="0.25">
      <c r="I357" s="66" t="s">
        <v>900</v>
      </c>
      <c r="J357" s="66" t="s">
        <v>4235</v>
      </c>
    </row>
    <row r="358" spans="9:10" ht="15" customHeight="1" x14ac:dyDescent="0.25">
      <c r="I358" s="66" t="s">
        <v>903</v>
      </c>
      <c r="J358" s="66" t="s">
        <v>4236</v>
      </c>
    </row>
    <row r="359" spans="9:10" ht="15" customHeight="1" x14ac:dyDescent="0.25">
      <c r="I359" s="66" t="s">
        <v>907</v>
      </c>
      <c r="J359" s="66" t="s">
        <v>4237</v>
      </c>
    </row>
    <row r="360" spans="9:10" ht="15" customHeight="1" x14ac:dyDescent="0.25">
      <c r="I360" s="66" t="s">
        <v>910</v>
      </c>
      <c r="J360" s="66" t="s">
        <v>4238</v>
      </c>
    </row>
    <row r="361" spans="9:10" ht="15" customHeight="1" x14ac:dyDescent="0.25">
      <c r="I361" s="66" t="s">
        <v>913</v>
      </c>
      <c r="J361" s="66" t="s">
        <v>4239</v>
      </c>
    </row>
    <row r="362" spans="9:10" ht="15" customHeight="1" x14ac:dyDescent="0.25">
      <c r="I362" s="66" t="s">
        <v>916</v>
      </c>
      <c r="J362" s="66" t="s">
        <v>4240</v>
      </c>
    </row>
    <row r="363" spans="9:10" ht="15" customHeight="1" x14ac:dyDescent="0.25">
      <c r="I363" s="66" t="s">
        <v>922</v>
      </c>
      <c r="J363" s="66" t="s">
        <v>4241</v>
      </c>
    </row>
    <row r="364" spans="9:10" ht="15" customHeight="1" x14ac:dyDescent="0.25">
      <c r="I364" s="66" t="s">
        <v>925</v>
      </c>
      <c r="J364" s="66" t="s">
        <v>4242</v>
      </c>
    </row>
    <row r="365" spans="9:10" ht="15" customHeight="1" x14ac:dyDescent="0.25">
      <c r="I365" s="66" t="s">
        <v>928</v>
      </c>
      <c r="J365" s="66" t="s">
        <v>4243</v>
      </c>
    </row>
    <row r="366" spans="9:10" ht="15" customHeight="1" x14ac:dyDescent="0.25">
      <c r="I366" s="66" t="s">
        <v>932</v>
      </c>
      <c r="J366" s="66" t="s">
        <v>4244</v>
      </c>
    </row>
    <row r="367" spans="9:10" ht="15" customHeight="1" x14ac:dyDescent="0.25">
      <c r="I367" s="66" t="s">
        <v>935</v>
      </c>
      <c r="J367" s="66" t="s">
        <v>4245</v>
      </c>
    </row>
    <row r="368" spans="9:10" ht="15" customHeight="1" x14ac:dyDescent="0.25">
      <c r="I368" s="66" t="s">
        <v>938</v>
      </c>
      <c r="J368" s="66" t="s">
        <v>4246</v>
      </c>
    </row>
    <row r="369" spans="9:10" ht="15" customHeight="1" x14ac:dyDescent="0.25">
      <c r="I369" s="66" t="s">
        <v>942</v>
      </c>
      <c r="J369" s="66" t="s">
        <v>4247</v>
      </c>
    </row>
    <row r="370" spans="9:10" ht="15" customHeight="1" x14ac:dyDescent="0.25">
      <c r="I370" s="66" t="s">
        <v>945</v>
      </c>
      <c r="J370" s="66" t="s">
        <v>4248</v>
      </c>
    </row>
    <row r="371" spans="9:10" ht="15" customHeight="1" x14ac:dyDescent="0.25">
      <c r="I371" s="66" t="s">
        <v>948</v>
      </c>
      <c r="J371" s="66" t="s">
        <v>4249</v>
      </c>
    </row>
    <row r="372" spans="9:10" ht="15" customHeight="1" x14ac:dyDescent="0.25">
      <c r="I372" s="66" t="s">
        <v>951</v>
      </c>
      <c r="J372" s="66" t="s">
        <v>4250</v>
      </c>
    </row>
    <row r="373" spans="9:10" ht="15" customHeight="1" x14ac:dyDescent="0.25">
      <c r="I373" s="66" t="s">
        <v>954</v>
      </c>
      <c r="J373" s="66" t="s">
        <v>4251</v>
      </c>
    </row>
    <row r="374" spans="9:10" ht="15" customHeight="1" x14ac:dyDescent="0.25">
      <c r="I374" s="66" t="s">
        <v>958</v>
      </c>
      <c r="J374" s="66" t="s">
        <v>4252</v>
      </c>
    </row>
    <row r="375" spans="9:10" ht="15" customHeight="1" x14ac:dyDescent="0.25">
      <c r="I375" s="66" t="s">
        <v>961</v>
      </c>
      <c r="J375" s="66" t="s">
        <v>4253</v>
      </c>
    </row>
    <row r="376" spans="9:10" ht="15" customHeight="1" x14ac:dyDescent="0.25">
      <c r="I376" s="66" t="s">
        <v>964</v>
      </c>
      <c r="J376" s="66" t="s">
        <v>4254</v>
      </c>
    </row>
    <row r="377" spans="9:10" ht="15" customHeight="1" x14ac:dyDescent="0.25">
      <c r="I377" s="66" t="s">
        <v>967</v>
      </c>
      <c r="J377" s="66" t="s">
        <v>4255</v>
      </c>
    </row>
    <row r="378" spans="9:10" ht="15" customHeight="1" x14ac:dyDescent="0.25">
      <c r="I378" s="66" t="s">
        <v>970</v>
      </c>
      <c r="J378" s="66" t="s">
        <v>4256</v>
      </c>
    </row>
    <row r="379" spans="9:10" ht="15" customHeight="1" x14ac:dyDescent="0.25">
      <c r="I379" s="66" t="s">
        <v>976</v>
      </c>
      <c r="J379" s="66" t="s">
        <v>4257</v>
      </c>
    </row>
    <row r="380" spans="9:10" ht="15" customHeight="1" x14ac:dyDescent="0.25">
      <c r="I380" s="66" t="s">
        <v>979</v>
      </c>
      <c r="J380" s="66" t="s">
        <v>4258</v>
      </c>
    </row>
    <row r="381" spans="9:10" ht="15" customHeight="1" x14ac:dyDescent="0.25">
      <c r="I381" s="66" t="s">
        <v>982</v>
      </c>
      <c r="J381" s="66" t="s">
        <v>4259</v>
      </c>
    </row>
    <row r="382" spans="9:10" ht="15" customHeight="1" x14ac:dyDescent="0.25">
      <c r="I382" s="66" t="s">
        <v>985</v>
      </c>
      <c r="J382" s="66" t="s">
        <v>4260</v>
      </c>
    </row>
    <row r="383" spans="9:10" ht="15" customHeight="1" x14ac:dyDescent="0.25">
      <c r="I383" s="66" t="s">
        <v>988</v>
      </c>
      <c r="J383" s="66" t="s">
        <v>4261</v>
      </c>
    </row>
    <row r="384" spans="9:10" ht="15" customHeight="1" x14ac:dyDescent="0.25">
      <c r="I384" s="66" t="s">
        <v>992</v>
      </c>
      <c r="J384" s="66" t="s">
        <v>4262</v>
      </c>
    </row>
    <row r="385" spans="9:10" ht="15" customHeight="1" x14ac:dyDescent="0.25">
      <c r="I385" s="66" t="s">
        <v>995</v>
      </c>
      <c r="J385" s="66" t="s">
        <v>4263</v>
      </c>
    </row>
    <row r="386" spans="9:10" ht="15" customHeight="1" x14ac:dyDescent="0.25">
      <c r="I386" s="66" t="s">
        <v>998</v>
      </c>
      <c r="J386" s="66" t="s">
        <v>4264</v>
      </c>
    </row>
    <row r="387" spans="9:10" ht="15" customHeight="1" x14ac:dyDescent="0.25">
      <c r="I387" s="66" t="s">
        <v>1004</v>
      </c>
      <c r="J387" s="66" t="s">
        <v>4265</v>
      </c>
    </row>
    <row r="388" spans="9:10" ht="15" customHeight="1" x14ac:dyDescent="0.25">
      <c r="I388" s="66" t="s">
        <v>1007</v>
      </c>
      <c r="J388" s="66" t="s">
        <v>4266</v>
      </c>
    </row>
    <row r="389" spans="9:10" ht="15" customHeight="1" x14ac:dyDescent="0.25">
      <c r="I389" s="66" t="s">
        <v>1010</v>
      </c>
      <c r="J389" s="66" t="s">
        <v>4267</v>
      </c>
    </row>
    <row r="390" spans="9:10" ht="15" customHeight="1" x14ac:dyDescent="0.25">
      <c r="I390" s="66" t="s">
        <v>1013</v>
      </c>
      <c r="J390" s="66" t="s">
        <v>4268</v>
      </c>
    </row>
    <row r="391" spans="9:10" ht="15" customHeight="1" x14ac:dyDescent="0.25">
      <c r="I391" s="66" t="s">
        <v>1017</v>
      </c>
      <c r="J391" s="66" t="s">
        <v>4269</v>
      </c>
    </row>
    <row r="392" spans="9:10" ht="15" customHeight="1" x14ac:dyDescent="0.25">
      <c r="I392" s="66" t="s">
        <v>1020</v>
      </c>
      <c r="J392" s="66" t="s">
        <v>4270</v>
      </c>
    </row>
    <row r="393" spans="9:10" ht="15" customHeight="1" x14ac:dyDescent="0.25">
      <c r="I393" s="66" t="s">
        <v>1023</v>
      </c>
      <c r="J393" s="66" t="s">
        <v>4271</v>
      </c>
    </row>
    <row r="394" spans="9:10" ht="15" customHeight="1" x14ac:dyDescent="0.25">
      <c r="I394" s="66" t="s">
        <v>1026</v>
      </c>
      <c r="J394" s="66" t="s">
        <v>4272</v>
      </c>
    </row>
    <row r="395" spans="9:10" ht="15" customHeight="1" x14ac:dyDescent="0.25">
      <c r="I395" s="66" t="s">
        <v>1030</v>
      </c>
      <c r="J395" s="66" t="s">
        <v>4273</v>
      </c>
    </row>
    <row r="396" spans="9:10" ht="15" customHeight="1" x14ac:dyDescent="0.25">
      <c r="I396" s="66" t="s">
        <v>1033</v>
      </c>
      <c r="J396" s="66" t="s">
        <v>4274</v>
      </c>
    </row>
    <row r="397" spans="9:10" ht="15" customHeight="1" x14ac:dyDescent="0.25">
      <c r="I397" s="66" t="s">
        <v>1036</v>
      </c>
      <c r="J397" s="66" t="s">
        <v>4275</v>
      </c>
    </row>
    <row r="398" spans="9:10" ht="15" customHeight="1" x14ac:dyDescent="0.25">
      <c r="I398" s="66" t="s">
        <v>1039</v>
      </c>
      <c r="J398" s="66" t="s">
        <v>4276</v>
      </c>
    </row>
    <row r="399" spans="9:10" ht="15" customHeight="1" x14ac:dyDescent="0.25">
      <c r="I399" s="66" t="s">
        <v>1045</v>
      </c>
      <c r="J399" s="66" t="s">
        <v>4277</v>
      </c>
    </row>
    <row r="400" spans="9:10" ht="15" customHeight="1" x14ac:dyDescent="0.25">
      <c r="I400" s="66" t="s">
        <v>1048</v>
      </c>
      <c r="J400" s="66" t="s">
        <v>4278</v>
      </c>
    </row>
    <row r="401" spans="9:10" ht="15" customHeight="1" x14ac:dyDescent="0.25">
      <c r="I401" s="66" t="s">
        <v>1051</v>
      </c>
      <c r="J401" s="66" t="s">
        <v>4279</v>
      </c>
    </row>
    <row r="402" spans="9:10" ht="15" customHeight="1" x14ac:dyDescent="0.25">
      <c r="I402" s="66" t="s">
        <v>1054</v>
      </c>
      <c r="J402" s="66" t="s">
        <v>4280</v>
      </c>
    </row>
    <row r="403" spans="9:10" ht="15" customHeight="1" x14ac:dyDescent="0.25">
      <c r="I403" s="66" t="s">
        <v>1057</v>
      </c>
      <c r="J403" s="66" t="s">
        <v>4281</v>
      </c>
    </row>
    <row r="404" spans="9:10" ht="15" customHeight="1" x14ac:dyDescent="0.25">
      <c r="I404" s="66" t="s">
        <v>1060</v>
      </c>
      <c r="J404" s="66" t="s">
        <v>4282</v>
      </c>
    </row>
    <row r="405" spans="9:10" ht="15" customHeight="1" x14ac:dyDescent="0.25">
      <c r="I405" s="66" t="s">
        <v>1064</v>
      </c>
      <c r="J405" s="66" t="s">
        <v>4283</v>
      </c>
    </row>
    <row r="406" spans="9:10" ht="15" customHeight="1" x14ac:dyDescent="0.25">
      <c r="I406" s="66" t="s">
        <v>1067</v>
      </c>
      <c r="J406" s="66" t="s">
        <v>4284</v>
      </c>
    </row>
    <row r="407" spans="9:10" ht="15" customHeight="1" x14ac:dyDescent="0.25">
      <c r="I407" s="66" t="s">
        <v>1070</v>
      </c>
      <c r="J407" s="66" t="s">
        <v>4285</v>
      </c>
    </row>
    <row r="408" spans="9:10" ht="15" customHeight="1" x14ac:dyDescent="0.25">
      <c r="I408" s="66" t="s">
        <v>1073</v>
      </c>
      <c r="J408" s="66" t="s">
        <v>4286</v>
      </c>
    </row>
    <row r="409" spans="9:10" ht="15" customHeight="1" x14ac:dyDescent="0.25">
      <c r="I409" s="66" t="s">
        <v>1076</v>
      </c>
      <c r="J409" s="66" t="s">
        <v>4287</v>
      </c>
    </row>
    <row r="410" spans="9:10" ht="15" customHeight="1" x14ac:dyDescent="0.25">
      <c r="I410" s="66" t="s">
        <v>1079</v>
      </c>
      <c r="J410" s="66" t="s">
        <v>4288</v>
      </c>
    </row>
    <row r="411" spans="9:10" ht="15" customHeight="1" x14ac:dyDescent="0.25">
      <c r="I411" s="66" t="s">
        <v>1084</v>
      </c>
      <c r="J411" s="66" t="s">
        <v>4289</v>
      </c>
    </row>
    <row r="412" spans="9:10" ht="15" customHeight="1" x14ac:dyDescent="0.25">
      <c r="I412" s="66" t="s">
        <v>1087</v>
      </c>
      <c r="J412" s="66" t="s">
        <v>4290</v>
      </c>
    </row>
    <row r="413" spans="9:10" ht="15" customHeight="1" x14ac:dyDescent="0.25">
      <c r="I413" s="66" t="s">
        <v>1090</v>
      </c>
      <c r="J413" s="66" t="s">
        <v>4291</v>
      </c>
    </row>
    <row r="414" spans="9:10" ht="15" customHeight="1" x14ac:dyDescent="0.25">
      <c r="I414" s="66" t="s">
        <v>1093</v>
      </c>
      <c r="J414" s="66" t="s">
        <v>4292</v>
      </c>
    </row>
    <row r="415" spans="9:10" ht="15" customHeight="1" x14ac:dyDescent="0.25">
      <c r="I415" s="66" t="s">
        <v>1097</v>
      </c>
      <c r="J415" s="66" t="s">
        <v>4293</v>
      </c>
    </row>
    <row r="416" spans="9:10" ht="15" customHeight="1" x14ac:dyDescent="0.25">
      <c r="I416" s="66" t="s">
        <v>1100</v>
      </c>
      <c r="J416" s="66" t="s">
        <v>4294</v>
      </c>
    </row>
    <row r="417" spans="9:10" ht="15" customHeight="1" x14ac:dyDescent="0.25">
      <c r="I417" s="66" t="s">
        <v>1103</v>
      </c>
      <c r="J417" s="66" t="s">
        <v>4295</v>
      </c>
    </row>
    <row r="418" spans="9:10" ht="15" customHeight="1" x14ac:dyDescent="0.25">
      <c r="I418" s="66" t="s">
        <v>1106</v>
      </c>
      <c r="J418" s="66" t="s">
        <v>4296</v>
      </c>
    </row>
    <row r="419" spans="9:10" ht="15" customHeight="1" x14ac:dyDescent="0.25">
      <c r="I419" s="66" t="s">
        <v>1109</v>
      </c>
      <c r="J419" s="66" t="s">
        <v>4297</v>
      </c>
    </row>
    <row r="420" spans="9:10" ht="15" customHeight="1" x14ac:dyDescent="0.25">
      <c r="I420" s="66" t="s">
        <v>1113</v>
      </c>
      <c r="J420" s="66" t="s">
        <v>4298</v>
      </c>
    </row>
    <row r="421" spans="9:10" ht="15" customHeight="1" x14ac:dyDescent="0.25">
      <c r="I421" s="66" t="s">
        <v>1116</v>
      </c>
      <c r="J421" s="66" t="s">
        <v>4299</v>
      </c>
    </row>
    <row r="422" spans="9:10" ht="15" customHeight="1" x14ac:dyDescent="0.25">
      <c r="I422" s="66" t="s">
        <v>1119</v>
      </c>
      <c r="J422" s="66" t="s">
        <v>4300</v>
      </c>
    </row>
    <row r="423" spans="9:10" ht="15" customHeight="1" x14ac:dyDescent="0.25">
      <c r="I423" s="66" t="s">
        <v>1122</v>
      </c>
      <c r="J423" s="66" t="s">
        <v>4301</v>
      </c>
    </row>
    <row r="424" spans="9:10" ht="15" customHeight="1" x14ac:dyDescent="0.25">
      <c r="I424" s="66" t="s">
        <v>1126</v>
      </c>
      <c r="J424" s="66" t="s">
        <v>4302</v>
      </c>
    </row>
    <row r="425" spans="9:10" ht="15" customHeight="1" x14ac:dyDescent="0.25">
      <c r="I425" s="66" t="s">
        <v>1129</v>
      </c>
      <c r="J425" s="66" t="s">
        <v>4303</v>
      </c>
    </row>
    <row r="426" spans="9:10" ht="15" customHeight="1" x14ac:dyDescent="0.25">
      <c r="I426" s="66" t="s">
        <v>1132</v>
      </c>
      <c r="J426" s="66" t="s">
        <v>4304</v>
      </c>
    </row>
    <row r="427" spans="9:10" ht="15" customHeight="1" x14ac:dyDescent="0.25">
      <c r="I427" s="66" t="s">
        <v>1135</v>
      </c>
      <c r="J427" s="66" t="s">
        <v>4305</v>
      </c>
    </row>
    <row r="428" spans="9:10" ht="15" customHeight="1" x14ac:dyDescent="0.25">
      <c r="I428" s="66" t="s">
        <v>1141</v>
      </c>
      <c r="J428" s="66" t="s">
        <v>4306</v>
      </c>
    </row>
    <row r="429" spans="9:10" ht="15" customHeight="1" x14ac:dyDescent="0.25">
      <c r="I429" s="66" t="s">
        <v>1144</v>
      </c>
      <c r="J429" s="66" t="s">
        <v>4307</v>
      </c>
    </row>
    <row r="430" spans="9:10" ht="15" customHeight="1" x14ac:dyDescent="0.25">
      <c r="I430" s="66" t="s">
        <v>1147</v>
      </c>
      <c r="J430" s="66" t="s">
        <v>4308</v>
      </c>
    </row>
    <row r="431" spans="9:10" ht="15" customHeight="1" x14ac:dyDescent="0.25">
      <c r="I431" s="66" t="s">
        <v>1150</v>
      </c>
      <c r="J431" s="66" t="s">
        <v>4309</v>
      </c>
    </row>
    <row r="432" spans="9:10" ht="15" customHeight="1" x14ac:dyDescent="0.25">
      <c r="I432" s="66" t="s">
        <v>1154</v>
      </c>
      <c r="J432" s="66" t="s">
        <v>4310</v>
      </c>
    </row>
    <row r="433" spans="9:10" ht="15" customHeight="1" x14ac:dyDescent="0.25">
      <c r="I433" s="66" t="s">
        <v>1157</v>
      </c>
      <c r="J433" s="66" t="s">
        <v>4311</v>
      </c>
    </row>
    <row r="434" spans="9:10" ht="15" customHeight="1" x14ac:dyDescent="0.25">
      <c r="I434" s="66" t="s">
        <v>1160</v>
      </c>
      <c r="J434" s="66" t="s">
        <v>4312</v>
      </c>
    </row>
    <row r="435" spans="9:10" ht="15" customHeight="1" x14ac:dyDescent="0.25">
      <c r="I435" s="66" t="s">
        <v>1163</v>
      </c>
      <c r="J435" s="66" t="s">
        <v>4313</v>
      </c>
    </row>
    <row r="436" spans="9:10" ht="15" customHeight="1" x14ac:dyDescent="0.25">
      <c r="I436" s="66" t="s">
        <v>1167</v>
      </c>
      <c r="J436" s="66" t="s">
        <v>4314</v>
      </c>
    </row>
    <row r="437" spans="9:10" ht="15" customHeight="1" x14ac:dyDescent="0.25">
      <c r="I437" s="66" t="s">
        <v>1170</v>
      </c>
      <c r="J437" s="66" t="s">
        <v>4315</v>
      </c>
    </row>
    <row r="438" spans="9:10" ht="15" customHeight="1" x14ac:dyDescent="0.25">
      <c r="I438" s="66" t="s">
        <v>1173</v>
      </c>
      <c r="J438" s="66" t="s">
        <v>4316</v>
      </c>
    </row>
    <row r="439" spans="9:10" ht="15" customHeight="1" x14ac:dyDescent="0.25">
      <c r="I439" s="66" t="s">
        <v>1176</v>
      </c>
      <c r="J439" s="66" t="s">
        <v>4317</v>
      </c>
    </row>
    <row r="440" spans="9:10" ht="15" customHeight="1" x14ac:dyDescent="0.25">
      <c r="I440" s="66" t="s">
        <v>1179</v>
      </c>
      <c r="J440" s="66" t="s">
        <v>4318</v>
      </c>
    </row>
    <row r="441" spans="9:10" ht="15" customHeight="1" x14ac:dyDescent="0.25">
      <c r="I441" s="66" t="s">
        <v>1183</v>
      </c>
      <c r="J441" s="66" t="s">
        <v>4319</v>
      </c>
    </row>
    <row r="442" spans="9:10" ht="15" customHeight="1" x14ac:dyDescent="0.25">
      <c r="I442" s="66" t="s">
        <v>1186</v>
      </c>
      <c r="J442" s="66" t="s">
        <v>4320</v>
      </c>
    </row>
    <row r="443" spans="9:10" ht="15" customHeight="1" x14ac:dyDescent="0.25">
      <c r="I443" s="66" t="s">
        <v>1189</v>
      </c>
      <c r="J443" s="66" t="s">
        <v>4321</v>
      </c>
    </row>
    <row r="444" spans="9:10" ht="15" customHeight="1" x14ac:dyDescent="0.25">
      <c r="I444" s="66" t="s">
        <v>1192</v>
      </c>
      <c r="J444" s="66" t="s">
        <v>4322</v>
      </c>
    </row>
    <row r="445" spans="9:10" ht="15" customHeight="1" x14ac:dyDescent="0.25">
      <c r="I445" s="66" t="s">
        <v>1195</v>
      </c>
      <c r="J445" s="66" t="s">
        <v>4323</v>
      </c>
    </row>
    <row r="446" spans="9:10" ht="15" customHeight="1" x14ac:dyDescent="0.25">
      <c r="I446" s="66" t="s">
        <v>1199</v>
      </c>
      <c r="J446" s="66" t="s">
        <v>4324</v>
      </c>
    </row>
    <row r="447" spans="9:10" ht="15" customHeight="1" x14ac:dyDescent="0.25">
      <c r="I447" s="66" t="s">
        <v>1202</v>
      </c>
      <c r="J447" s="66" t="s">
        <v>4325</v>
      </c>
    </row>
    <row r="448" spans="9:10" ht="15" customHeight="1" x14ac:dyDescent="0.25">
      <c r="I448" s="66" t="s">
        <v>1208</v>
      </c>
      <c r="J448" s="66" t="s">
        <v>4326</v>
      </c>
    </row>
    <row r="449" spans="9:10" ht="15" customHeight="1" x14ac:dyDescent="0.25">
      <c r="I449" s="66" t="s">
        <v>1211</v>
      </c>
      <c r="J449" s="66" t="s">
        <v>4327</v>
      </c>
    </row>
    <row r="450" spans="9:10" ht="15" customHeight="1" x14ac:dyDescent="0.25">
      <c r="I450" s="66" t="s">
        <v>1212</v>
      </c>
      <c r="J450" s="66" t="s">
        <v>4328</v>
      </c>
    </row>
    <row r="451" spans="9:10" ht="15" customHeight="1" x14ac:dyDescent="0.25">
      <c r="I451" s="66" t="s">
        <v>1215</v>
      </c>
      <c r="J451" s="66" t="s">
        <v>4329</v>
      </c>
    </row>
    <row r="452" spans="9:10" ht="15" customHeight="1" x14ac:dyDescent="0.25">
      <c r="I452" s="66" t="s">
        <v>1218</v>
      </c>
      <c r="J452" s="66" t="s">
        <v>4330</v>
      </c>
    </row>
    <row r="453" spans="9:10" ht="15" customHeight="1" x14ac:dyDescent="0.25">
      <c r="I453" s="66" t="s">
        <v>1222</v>
      </c>
      <c r="J453" s="66" t="s">
        <v>4331</v>
      </c>
    </row>
    <row r="454" spans="9:10" ht="15" customHeight="1" x14ac:dyDescent="0.25">
      <c r="I454" s="66" t="s">
        <v>1225</v>
      </c>
      <c r="J454" s="66" t="s">
        <v>4332</v>
      </c>
    </row>
    <row r="455" spans="9:10" ht="15" customHeight="1" x14ac:dyDescent="0.25">
      <c r="I455" s="66" t="s">
        <v>1228</v>
      </c>
      <c r="J455" s="66" t="s">
        <v>4333</v>
      </c>
    </row>
    <row r="456" spans="9:10" ht="15" customHeight="1" x14ac:dyDescent="0.25">
      <c r="I456" s="66" t="s">
        <v>1231</v>
      </c>
      <c r="J456" s="66" t="s">
        <v>4334</v>
      </c>
    </row>
    <row r="457" spans="9:10" ht="15" customHeight="1" x14ac:dyDescent="0.25">
      <c r="I457" s="66" t="s">
        <v>1234</v>
      </c>
      <c r="J457" s="66" t="s">
        <v>4335</v>
      </c>
    </row>
    <row r="458" spans="9:10" ht="15" customHeight="1" x14ac:dyDescent="0.25">
      <c r="I458" s="66" t="s">
        <v>1238</v>
      </c>
      <c r="J458" s="66" t="s">
        <v>4336</v>
      </c>
    </row>
    <row r="459" spans="9:10" ht="15" customHeight="1" x14ac:dyDescent="0.25">
      <c r="I459" s="66" t="s">
        <v>1241</v>
      </c>
      <c r="J459" s="66" t="s">
        <v>4337</v>
      </c>
    </row>
    <row r="460" spans="9:10" ht="15" customHeight="1" x14ac:dyDescent="0.25">
      <c r="I460" s="66" t="s">
        <v>1244</v>
      </c>
      <c r="J460" s="66" t="s">
        <v>4338</v>
      </c>
    </row>
    <row r="461" spans="9:10" ht="15" customHeight="1" x14ac:dyDescent="0.25">
      <c r="I461" s="66" t="s">
        <v>1247</v>
      </c>
      <c r="J461" s="66" t="s">
        <v>4339</v>
      </c>
    </row>
    <row r="462" spans="9:10" ht="15" customHeight="1" x14ac:dyDescent="0.25">
      <c r="I462" s="66" t="s">
        <v>1250</v>
      </c>
      <c r="J462" s="66" t="s">
        <v>4340</v>
      </c>
    </row>
    <row r="463" spans="9:10" ht="15" customHeight="1" x14ac:dyDescent="0.25">
      <c r="I463" s="66" t="s">
        <v>1253</v>
      </c>
      <c r="J463" s="66" t="s">
        <v>4341</v>
      </c>
    </row>
    <row r="464" spans="9:10" ht="15" customHeight="1" x14ac:dyDescent="0.25">
      <c r="I464" s="66" t="s">
        <v>1257</v>
      </c>
      <c r="J464" s="66" t="s">
        <v>4342</v>
      </c>
    </row>
    <row r="465" spans="9:10" ht="15" customHeight="1" x14ac:dyDescent="0.25">
      <c r="I465" s="66" t="s">
        <v>1260</v>
      </c>
      <c r="J465" s="66" t="s">
        <v>4343</v>
      </c>
    </row>
    <row r="466" spans="9:10" ht="15" customHeight="1" x14ac:dyDescent="0.25">
      <c r="I466" s="66" t="s">
        <v>1263</v>
      </c>
      <c r="J466" s="66" t="s">
        <v>4344</v>
      </c>
    </row>
    <row r="467" spans="9:10" ht="15" customHeight="1" x14ac:dyDescent="0.25">
      <c r="I467" s="66" t="s">
        <v>1269</v>
      </c>
      <c r="J467" s="66" t="s">
        <v>4345</v>
      </c>
    </row>
    <row r="468" spans="9:10" ht="15" customHeight="1" x14ac:dyDescent="0.25">
      <c r="I468" s="66" t="s">
        <v>1272</v>
      </c>
      <c r="J468" s="66" t="s">
        <v>4346</v>
      </c>
    </row>
    <row r="469" spans="9:10" ht="15" customHeight="1" x14ac:dyDescent="0.25">
      <c r="I469" s="66" t="s">
        <v>1275</v>
      </c>
      <c r="J469" s="66" t="s">
        <v>4347</v>
      </c>
    </row>
    <row r="470" spans="9:10" ht="15" customHeight="1" x14ac:dyDescent="0.25">
      <c r="I470" s="66" t="s">
        <v>1278</v>
      </c>
      <c r="J470" s="66" t="s">
        <v>4348</v>
      </c>
    </row>
    <row r="471" spans="9:10" ht="15" customHeight="1" x14ac:dyDescent="0.25">
      <c r="I471" s="66" t="s">
        <v>1282</v>
      </c>
      <c r="J471" s="66" t="s">
        <v>4349</v>
      </c>
    </row>
    <row r="472" spans="9:10" ht="15" customHeight="1" x14ac:dyDescent="0.25">
      <c r="I472" s="66" t="s">
        <v>1285</v>
      </c>
      <c r="J472" s="66" t="s">
        <v>4350</v>
      </c>
    </row>
    <row r="473" spans="9:10" ht="15" customHeight="1" x14ac:dyDescent="0.25">
      <c r="I473" s="66" t="s">
        <v>1288</v>
      </c>
      <c r="J473" s="66" t="s">
        <v>4351</v>
      </c>
    </row>
    <row r="474" spans="9:10" ht="15" customHeight="1" x14ac:dyDescent="0.25">
      <c r="I474" s="66" t="s">
        <v>1291</v>
      </c>
      <c r="J474" s="66" t="s">
        <v>4352</v>
      </c>
    </row>
    <row r="475" spans="9:10" ht="15" customHeight="1" x14ac:dyDescent="0.25">
      <c r="I475" s="66" t="s">
        <v>1295</v>
      </c>
      <c r="J475" s="66" t="s">
        <v>4353</v>
      </c>
    </row>
    <row r="476" spans="9:10" ht="15" customHeight="1" x14ac:dyDescent="0.25">
      <c r="I476" s="66" t="s">
        <v>1298</v>
      </c>
      <c r="J476" s="66" t="s">
        <v>4354</v>
      </c>
    </row>
    <row r="477" spans="9:10" ht="15" customHeight="1" x14ac:dyDescent="0.25">
      <c r="I477" s="66" t="s">
        <v>1301</v>
      </c>
      <c r="J477" s="66" t="s">
        <v>4355</v>
      </c>
    </row>
    <row r="478" spans="9:10" ht="15" customHeight="1" x14ac:dyDescent="0.25">
      <c r="I478" s="66" t="s">
        <v>1305</v>
      </c>
      <c r="J478" s="66" t="s">
        <v>4356</v>
      </c>
    </row>
    <row r="479" spans="9:10" ht="15" customHeight="1" x14ac:dyDescent="0.25">
      <c r="I479" s="66" t="s">
        <v>1308</v>
      </c>
      <c r="J479" s="66" t="s">
        <v>4357</v>
      </c>
    </row>
    <row r="480" spans="9:10" ht="15" customHeight="1" x14ac:dyDescent="0.25">
      <c r="I480" s="66" t="s">
        <v>1311</v>
      </c>
      <c r="J480" s="66" t="s">
        <v>4358</v>
      </c>
    </row>
    <row r="481" spans="9:10" ht="15" customHeight="1" x14ac:dyDescent="0.25">
      <c r="I481" s="66" t="s">
        <v>1314</v>
      </c>
      <c r="J481" s="66" t="s">
        <v>4359</v>
      </c>
    </row>
    <row r="482" spans="9:10" ht="15" customHeight="1" x14ac:dyDescent="0.25">
      <c r="I482" s="66" t="s">
        <v>1320</v>
      </c>
      <c r="J482" s="66" t="s">
        <v>4360</v>
      </c>
    </row>
    <row r="483" spans="9:10" ht="15" customHeight="1" x14ac:dyDescent="0.25">
      <c r="I483" s="66" t="s">
        <v>1323</v>
      </c>
      <c r="J483" s="66" t="s">
        <v>4361</v>
      </c>
    </row>
    <row r="484" spans="9:10" ht="15" customHeight="1" x14ac:dyDescent="0.25">
      <c r="I484" s="66" t="s">
        <v>1326</v>
      </c>
      <c r="J484" s="66" t="s">
        <v>4362</v>
      </c>
    </row>
    <row r="485" spans="9:10" ht="15" customHeight="1" x14ac:dyDescent="0.25">
      <c r="I485" s="66" t="s">
        <v>1329</v>
      </c>
      <c r="J485" s="66" t="s">
        <v>4363</v>
      </c>
    </row>
    <row r="486" spans="9:10" ht="15" customHeight="1" x14ac:dyDescent="0.25">
      <c r="I486" s="66" t="s">
        <v>1335</v>
      </c>
      <c r="J486" s="66" t="s">
        <v>4364</v>
      </c>
    </row>
    <row r="487" spans="9:10" ht="15" customHeight="1" x14ac:dyDescent="0.25">
      <c r="I487" s="66" t="s">
        <v>1338</v>
      </c>
      <c r="J487" s="66" t="s">
        <v>4365</v>
      </c>
    </row>
    <row r="488" spans="9:10" ht="15" customHeight="1" x14ac:dyDescent="0.25">
      <c r="I488" s="66" t="s">
        <v>1341</v>
      </c>
      <c r="J488" s="66" t="s">
        <v>4366</v>
      </c>
    </row>
    <row r="489" spans="9:10" ht="15" customHeight="1" x14ac:dyDescent="0.25">
      <c r="I489" s="66" t="s">
        <v>1344</v>
      </c>
      <c r="J489" s="66" t="s">
        <v>4367</v>
      </c>
    </row>
    <row r="490" spans="9:10" ht="15" customHeight="1" x14ac:dyDescent="0.25">
      <c r="I490" s="66" t="s">
        <v>1347</v>
      </c>
      <c r="J490" s="66" t="s">
        <v>4368</v>
      </c>
    </row>
    <row r="491" spans="9:10" ht="15" customHeight="1" x14ac:dyDescent="0.25">
      <c r="I491" s="66" t="s">
        <v>1351</v>
      </c>
      <c r="J491" s="66" t="s">
        <v>4369</v>
      </c>
    </row>
    <row r="492" spans="9:10" ht="15" customHeight="1" x14ac:dyDescent="0.25">
      <c r="I492" s="66" t="s">
        <v>1354</v>
      </c>
      <c r="J492" s="66" t="s">
        <v>4370</v>
      </c>
    </row>
    <row r="493" spans="9:10" ht="15" customHeight="1" x14ac:dyDescent="0.25">
      <c r="I493" s="66" t="s">
        <v>1357</v>
      </c>
      <c r="J493" s="66" t="s">
        <v>4371</v>
      </c>
    </row>
    <row r="494" spans="9:10" ht="15" customHeight="1" x14ac:dyDescent="0.25">
      <c r="I494" s="66" t="s">
        <v>1363</v>
      </c>
      <c r="J494" s="66" t="s">
        <v>4372</v>
      </c>
    </row>
    <row r="495" spans="9:10" ht="15" customHeight="1" x14ac:dyDescent="0.25">
      <c r="I495" s="66" t="s">
        <v>1366</v>
      </c>
      <c r="J495" s="66" t="s">
        <v>4373</v>
      </c>
    </row>
    <row r="496" spans="9:10" ht="15" customHeight="1" x14ac:dyDescent="0.25">
      <c r="I496" s="66" t="s">
        <v>1369</v>
      </c>
      <c r="J496" s="66" t="s">
        <v>4374</v>
      </c>
    </row>
    <row r="497" spans="9:10" ht="15" customHeight="1" x14ac:dyDescent="0.25">
      <c r="I497" s="66" t="s">
        <v>1372</v>
      </c>
      <c r="J497" s="66" t="s">
        <v>4375</v>
      </c>
    </row>
    <row r="498" spans="9:10" ht="15" customHeight="1" x14ac:dyDescent="0.25">
      <c r="I498" s="66" t="s">
        <v>1375</v>
      </c>
      <c r="J498" s="66" t="s">
        <v>4376</v>
      </c>
    </row>
    <row r="499" spans="9:10" ht="15" customHeight="1" x14ac:dyDescent="0.25">
      <c r="I499" s="66" t="s">
        <v>1382</v>
      </c>
      <c r="J499" s="66" t="s">
        <v>4377</v>
      </c>
    </row>
    <row r="500" spans="9:10" ht="15" customHeight="1" x14ac:dyDescent="0.25">
      <c r="I500" s="66" t="s">
        <v>1385</v>
      </c>
      <c r="J500" s="66" t="s">
        <v>4378</v>
      </c>
    </row>
    <row r="501" spans="9:10" ht="15" customHeight="1" x14ac:dyDescent="0.25">
      <c r="I501" s="66" t="s">
        <v>1386</v>
      </c>
      <c r="J501" s="66" t="s">
        <v>4379</v>
      </c>
    </row>
    <row r="502" spans="9:10" ht="15" customHeight="1" x14ac:dyDescent="0.25">
      <c r="I502" s="66" t="s">
        <v>1391</v>
      </c>
      <c r="J502" s="66" t="s">
        <v>4380</v>
      </c>
    </row>
    <row r="503" spans="9:10" ht="15" customHeight="1" x14ac:dyDescent="0.25">
      <c r="I503" s="66" t="s">
        <v>1394</v>
      </c>
      <c r="J503" s="66" t="s">
        <v>4381</v>
      </c>
    </row>
    <row r="504" spans="9:10" ht="15" customHeight="1" x14ac:dyDescent="0.25">
      <c r="I504" s="66" t="s">
        <v>1397</v>
      </c>
      <c r="J504" s="66" t="s">
        <v>4382</v>
      </c>
    </row>
    <row r="505" spans="9:10" ht="15" customHeight="1" x14ac:dyDescent="0.25">
      <c r="I505" s="66" t="s">
        <v>1400</v>
      </c>
      <c r="J505" s="66" t="s">
        <v>4383</v>
      </c>
    </row>
    <row r="506" spans="9:10" ht="15" customHeight="1" x14ac:dyDescent="0.25">
      <c r="I506" s="66" t="s">
        <v>1403</v>
      </c>
      <c r="J506" s="66" t="s">
        <v>4384</v>
      </c>
    </row>
    <row r="507" spans="9:10" ht="15" customHeight="1" x14ac:dyDescent="0.25">
      <c r="I507" s="66" t="s">
        <v>1406</v>
      </c>
      <c r="J507" s="66" t="s">
        <v>4385</v>
      </c>
    </row>
    <row r="508" spans="9:10" ht="15" customHeight="1" x14ac:dyDescent="0.25">
      <c r="I508" s="66" t="s">
        <v>1411</v>
      </c>
      <c r="J508" s="66" t="s">
        <v>4386</v>
      </c>
    </row>
    <row r="509" spans="9:10" ht="15" customHeight="1" x14ac:dyDescent="0.25">
      <c r="I509" s="66" t="s">
        <v>1414</v>
      </c>
      <c r="J509" s="66" t="s">
        <v>4387</v>
      </c>
    </row>
    <row r="510" spans="9:10" ht="15" customHeight="1" x14ac:dyDescent="0.25">
      <c r="I510" s="66" t="s">
        <v>1417</v>
      </c>
      <c r="J510" s="66" t="s">
        <v>4388</v>
      </c>
    </row>
    <row r="511" spans="9:10" ht="15" customHeight="1" x14ac:dyDescent="0.25">
      <c r="I511" s="66" t="s">
        <v>1420</v>
      </c>
      <c r="J511" s="66" t="s">
        <v>4389</v>
      </c>
    </row>
    <row r="512" spans="9:10" ht="15" customHeight="1" x14ac:dyDescent="0.25">
      <c r="I512" s="66" t="s">
        <v>1423</v>
      </c>
      <c r="J512" s="66" t="s">
        <v>4390</v>
      </c>
    </row>
    <row r="513" spans="9:10" ht="15" customHeight="1" x14ac:dyDescent="0.25">
      <c r="I513" s="66" t="s">
        <v>1428</v>
      </c>
      <c r="J513" s="66" t="s">
        <v>4391</v>
      </c>
    </row>
    <row r="514" spans="9:10" ht="15" customHeight="1" x14ac:dyDescent="0.25">
      <c r="I514" s="66" t="s">
        <v>1431</v>
      </c>
      <c r="J514" s="66" t="s">
        <v>4392</v>
      </c>
    </row>
    <row r="515" spans="9:10" ht="15" customHeight="1" x14ac:dyDescent="0.25">
      <c r="I515" s="66" t="s">
        <v>1432</v>
      </c>
      <c r="J515" s="66" t="s">
        <v>4393</v>
      </c>
    </row>
    <row r="516" spans="9:10" ht="15" customHeight="1" x14ac:dyDescent="0.25">
      <c r="I516" s="66" t="s">
        <v>1435</v>
      </c>
      <c r="J516" s="66" t="s">
        <v>4394</v>
      </c>
    </row>
    <row r="517" spans="9:10" ht="15" customHeight="1" x14ac:dyDescent="0.25">
      <c r="I517" s="66" t="s">
        <v>1440</v>
      </c>
      <c r="J517" s="66" t="s">
        <v>4395</v>
      </c>
    </row>
    <row r="518" spans="9:10" ht="15" customHeight="1" x14ac:dyDescent="0.25">
      <c r="I518" s="66" t="s">
        <v>1443</v>
      </c>
      <c r="J518" s="66" t="s">
        <v>4396</v>
      </c>
    </row>
    <row r="519" spans="9:10" ht="15" customHeight="1" x14ac:dyDescent="0.25">
      <c r="I519" s="66" t="s">
        <v>1446</v>
      </c>
      <c r="J519" s="66" t="s">
        <v>4397</v>
      </c>
    </row>
    <row r="520" spans="9:10" ht="15" customHeight="1" x14ac:dyDescent="0.25">
      <c r="I520" s="66" t="s">
        <v>1449</v>
      </c>
      <c r="J520" s="66" t="s">
        <v>4398</v>
      </c>
    </row>
    <row r="521" spans="9:10" ht="15" customHeight="1" x14ac:dyDescent="0.25">
      <c r="I521" s="66" t="s">
        <v>1452</v>
      </c>
      <c r="J521" s="66" t="s">
        <v>4399</v>
      </c>
    </row>
    <row r="522" spans="9:10" ht="15" customHeight="1" x14ac:dyDescent="0.25">
      <c r="I522" s="66" t="s">
        <v>1455</v>
      </c>
      <c r="J522" s="66" t="s">
        <v>4400</v>
      </c>
    </row>
    <row r="523" spans="9:10" ht="15" customHeight="1" x14ac:dyDescent="0.25">
      <c r="I523" s="66" t="s">
        <v>4527</v>
      </c>
      <c r="J523" s="66" t="s">
        <v>4401</v>
      </c>
    </row>
    <row r="524" spans="9:10" ht="15" customHeight="1" x14ac:dyDescent="0.25">
      <c r="I524" s="66" t="s">
        <v>4528</v>
      </c>
      <c r="J524" s="66" t="s">
        <v>4402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showGridLines="0" zoomScaleNormal="100" workbookViewId="0"/>
  </sheetViews>
  <sheetFormatPr defaultColWidth="8.7109375" defaultRowHeight="15" x14ac:dyDescent="0.25"/>
  <cols>
    <col min="1" max="2" width="34" style="4" customWidth="1"/>
    <col min="3" max="3" width="66" style="4" customWidth="1"/>
  </cols>
  <sheetData>
    <row r="1" spans="1:3" ht="17.25" customHeight="1" x14ac:dyDescent="0.25">
      <c r="A1" s="67" t="s">
        <v>4529</v>
      </c>
    </row>
    <row r="2" spans="1:3" ht="15" customHeight="1" x14ac:dyDescent="0.25">
      <c r="A2" s="6" t="s">
        <v>4530</v>
      </c>
    </row>
    <row r="4" spans="1:3" ht="15" customHeight="1" x14ac:dyDescent="0.25">
      <c r="A4" s="8" t="s">
        <v>4531</v>
      </c>
      <c r="B4" s="8" t="s">
        <v>4532</v>
      </c>
      <c r="C4" s="8" t="s">
        <v>4533</v>
      </c>
    </row>
    <row r="5" spans="1:3" ht="15" customHeight="1" x14ac:dyDescent="0.25">
      <c r="A5" s="68" t="s">
        <v>692</v>
      </c>
      <c r="B5" s="69" t="s">
        <v>4534</v>
      </c>
      <c r="C5" s="12" t="s">
        <v>4535</v>
      </c>
    </row>
    <row r="6" spans="1:3" ht="15" customHeight="1" x14ac:dyDescent="0.25">
      <c r="A6" s="68" t="s">
        <v>717</v>
      </c>
      <c r="B6" s="69" t="s">
        <v>4536</v>
      </c>
      <c r="C6" s="12" t="s">
        <v>4537</v>
      </c>
    </row>
    <row r="7" spans="1:3" ht="15" customHeight="1" x14ac:dyDescent="0.25">
      <c r="A7" s="68" t="s">
        <v>764</v>
      </c>
      <c r="B7" s="69" t="s">
        <v>4538</v>
      </c>
      <c r="C7" s="12" t="s">
        <v>4539</v>
      </c>
    </row>
    <row r="8" spans="1:3" ht="15" customHeight="1" x14ac:dyDescent="0.25">
      <c r="A8" s="68" t="s">
        <v>350</v>
      </c>
      <c r="B8" s="69" t="s">
        <v>4540</v>
      </c>
      <c r="C8" s="12" t="s">
        <v>4541</v>
      </c>
    </row>
    <row r="9" spans="1:3" ht="15" customHeight="1" x14ac:dyDescent="0.25">
      <c r="A9" s="68" t="s">
        <v>478</v>
      </c>
      <c r="B9" s="69" t="s">
        <v>4542</v>
      </c>
      <c r="C9" s="12" t="s">
        <v>4543</v>
      </c>
    </row>
    <row r="10" spans="1:3" ht="15" customHeight="1" x14ac:dyDescent="0.25">
      <c r="A10" s="68" t="s">
        <v>649</v>
      </c>
      <c r="B10" s="69" t="s">
        <v>4544</v>
      </c>
      <c r="C10" s="12" t="s">
        <v>4545</v>
      </c>
    </row>
    <row r="11" spans="1:3" ht="15" customHeight="1" x14ac:dyDescent="0.25">
      <c r="A11" s="68" t="s">
        <v>550</v>
      </c>
      <c r="B11" s="69" t="s">
        <v>642</v>
      </c>
      <c r="C11" s="12" t="s">
        <v>4546</v>
      </c>
    </row>
    <row r="12" spans="1:3" ht="15" customHeight="1" x14ac:dyDescent="0.25">
      <c r="A12" s="68" t="s">
        <v>4547</v>
      </c>
      <c r="B12" s="69" t="s">
        <v>4548</v>
      </c>
      <c r="C12" s="12" t="s">
        <v>4549</v>
      </c>
    </row>
    <row r="14" spans="1:3" ht="15" customHeight="1" x14ac:dyDescent="0.25">
      <c r="A14" s="70" t="s">
        <v>4550</v>
      </c>
    </row>
    <row r="15" spans="1:3" ht="19.5" customHeight="1" x14ac:dyDescent="0.25">
      <c r="A15" s="1" t="s">
        <v>4551</v>
      </c>
      <c r="B15" s="1"/>
      <c r="C15" s="1"/>
    </row>
    <row r="16" spans="1:3" ht="19.5" customHeight="1" x14ac:dyDescent="0.25">
      <c r="A16" s="1" t="s">
        <v>4552</v>
      </c>
      <c r="B16" s="1"/>
      <c r="C16" s="1"/>
    </row>
    <row r="17" spans="1:3" ht="19.5" customHeight="1" x14ac:dyDescent="0.25">
      <c r="A17" s="1" t="s">
        <v>4553</v>
      </c>
      <c r="B17" s="1"/>
      <c r="C17" s="1"/>
    </row>
    <row r="18" spans="1:3" ht="19.5" customHeight="1" x14ac:dyDescent="0.25">
      <c r="A18" s="1" t="s">
        <v>4554</v>
      </c>
      <c r="B18" s="1"/>
      <c r="C18" s="1"/>
    </row>
    <row r="19" spans="1:3" ht="19.5" customHeight="1" x14ac:dyDescent="0.25">
      <c r="A19" s="1" t="s">
        <v>4555</v>
      </c>
      <c r="B19" s="1"/>
      <c r="C19" s="1"/>
    </row>
    <row r="20" spans="1:3" ht="19.5" customHeight="1" x14ac:dyDescent="0.25">
      <c r="A20" s="1" t="s">
        <v>4556</v>
      </c>
      <c r="B20" s="1"/>
      <c r="C20" s="1"/>
    </row>
    <row r="21" spans="1:3" ht="19.5" customHeight="1" x14ac:dyDescent="0.25">
      <c r="A21" s="1" t="s">
        <v>4557</v>
      </c>
      <c r="B21" s="1"/>
      <c r="C21" s="1"/>
    </row>
    <row r="22" spans="1:3" ht="19.5" customHeight="1" x14ac:dyDescent="0.25">
      <c r="A22" s="1" t="s">
        <v>4558</v>
      </c>
      <c r="B22" s="1"/>
      <c r="C22" s="1"/>
    </row>
  </sheetData>
  <mergeCells count="8">
    <mergeCell ref="A20:C20"/>
    <mergeCell ref="A21:C21"/>
    <mergeCell ref="A22:C22"/>
    <mergeCell ref="A15:C15"/>
    <mergeCell ref="A16:C16"/>
    <mergeCell ref="A17:C17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688</vt:i4>
      </vt:variant>
    </vt:vector>
  </HeadingPairs>
  <TitlesOfParts>
    <vt:vector size="696" baseType="lpstr">
      <vt:lpstr>Element Library</vt:lpstr>
      <vt:lpstr>Description Library</vt:lpstr>
      <vt:lpstr>Price List Library</vt:lpstr>
      <vt:lpstr>Preliminaries Library</vt:lpstr>
      <vt:lpstr>Entry Template</vt:lpstr>
      <vt:lpstr>Project Setup</vt:lpstr>
      <vt:lpstr>Validation Lists</vt:lpstr>
      <vt:lpstr>Naming Standard</vt:lpstr>
      <vt:lpstr>_B001</vt:lpstr>
      <vt:lpstr>_B002</vt:lpstr>
      <vt:lpstr>_B003</vt:lpstr>
      <vt:lpstr>_B004</vt:lpstr>
      <vt:lpstr>_B005</vt:lpstr>
      <vt:lpstr>_B006</vt:lpstr>
      <vt:lpstr>_B007</vt:lpstr>
      <vt:lpstr>_B008</vt:lpstr>
      <vt:lpstr>_B009</vt:lpstr>
      <vt:lpstr>_B010</vt:lpstr>
      <vt:lpstr>_B011</vt:lpstr>
      <vt:lpstr>_B012</vt:lpstr>
      <vt:lpstr>_B013</vt:lpstr>
      <vt:lpstr>_B014</vt:lpstr>
      <vt:lpstr>_B015</vt:lpstr>
      <vt:lpstr>_B016</vt:lpstr>
      <vt:lpstr>_B017</vt:lpstr>
      <vt:lpstr>_B018</vt:lpstr>
      <vt:lpstr>_B019</vt:lpstr>
      <vt:lpstr>_B020</vt:lpstr>
      <vt:lpstr>_B021</vt:lpstr>
      <vt:lpstr>_B022</vt:lpstr>
      <vt:lpstr>_B023</vt:lpstr>
      <vt:lpstr>_B024</vt:lpstr>
      <vt:lpstr>_B025</vt:lpstr>
      <vt:lpstr>_B026</vt:lpstr>
      <vt:lpstr>_B027</vt:lpstr>
      <vt:lpstr>_B028</vt:lpstr>
      <vt:lpstr>_B029</vt:lpstr>
      <vt:lpstr>_B030</vt:lpstr>
      <vt:lpstr>_B031</vt:lpstr>
      <vt:lpstr>_B032</vt:lpstr>
      <vt:lpstr>_B033</vt:lpstr>
      <vt:lpstr>_B034</vt:lpstr>
      <vt:lpstr>_B035</vt:lpstr>
      <vt:lpstr>_B036</vt:lpstr>
      <vt:lpstr>_B037</vt:lpstr>
      <vt:lpstr>_B038</vt:lpstr>
      <vt:lpstr>_B039</vt:lpstr>
      <vt:lpstr>_B040</vt:lpstr>
      <vt:lpstr>_B041</vt:lpstr>
      <vt:lpstr>_B042</vt:lpstr>
      <vt:lpstr>_B043</vt:lpstr>
      <vt:lpstr>_B044</vt:lpstr>
      <vt:lpstr>_B045</vt:lpstr>
      <vt:lpstr>_B046</vt:lpstr>
      <vt:lpstr>_B047</vt:lpstr>
      <vt:lpstr>_B048</vt:lpstr>
      <vt:lpstr>_B049</vt:lpstr>
      <vt:lpstr>_B050</vt:lpstr>
      <vt:lpstr>_B051</vt:lpstr>
      <vt:lpstr>_B052</vt:lpstr>
      <vt:lpstr>_B053</vt:lpstr>
      <vt:lpstr>_B054</vt:lpstr>
      <vt:lpstr>_B055</vt:lpstr>
      <vt:lpstr>_B056</vt:lpstr>
      <vt:lpstr>_B057</vt:lpstr>
      <vt:lpstr>_B058</vt:lpstr>
      <vt:lpstr>_B059</vt:lpstr>
      <vt:lpstr>_B060</vt:lpstr>
      <vt:lpstr>_B061</vt:lpstr>
      <vt:lpstr>_B062</vt:lpstr>
      <vt:lpstr>_B063</vt:lpstr>
      <vt:lpstr>_B064</vt:lpstr>
      <vt:lpstr>_B065</vt:lpstr>
      <vt:lpstr>_B066</vt:lpstr>
      <vt:lpstr>_B067</vt:lpstr>
      <vt:lpstr>_B068</vt:lpstr>
      <vt:lpstr>_B069</vt:lpstr>
      <vt:lpstr>_B070</vt:lpstr>
      <vt:lpstr>_B071</vt:lpstr>
      <vt:lpstr>_B072</vt:lpstr>
      <vt:lpstr>_B073</vt:lpstr>
      <vt:lpstr>_B074</vt:lpstr>
      <vt:lpstr>_B075</vt:lpstr>
      <vt:lpstr>_B076</vt:lpstr>
      <vt:lpstr>_B077</vt:lpstr>
      <vt:lpstr>_B078</vt:lpstr>
      <vt:lpstr>_B079</vt:lpstr>
      <vt:lpstr>_B080</vt:lpstr>
      <vt:lpstr>_B081</vt:lpstr>
      <vt:lpstr>_B082</vt:lpstr>
      <vt:lpstr>_B083</vt:lpstr>
      <vt:lpstr>_B084</vt:lpstr>
      <vt:lpstr>_B085</vt:lpstr>
      <vt:lpstr>_B086</vt:lpstr>
      <vt:lpstr>_B087</vt:lpstr>
      <vt:lpstr>_B088</vt:lpstr>
      <vt:lpstr>_B089</vt:lpstr>
      <vt:lpstr>_B090</vt:lpstr>
      <vt:lpstr>_B091</vt:lpstr>
      <vt:lpstr>_B092</vt:lpstr>
      <vt:lpstr>_B093</vt:lpstr>
      <vt:lpstr>_B094</vt:lpstr>
      <vt:lpstr>_B095</vt:lpstr>
      <vt:lpstr>_B096</vt:lpstr>
      <vt:lpstr>_B097</vt:lpstr>
      <vt:lpstr>_B098</vt:lpstr>
      <vt:lpstr>_B099</vt:lpstr>
      <vt:lpstr>_B100</vt:lpstr>
      <vt:lpstr>_B101</vt:lpstr>
      <vt:lpstr>_B102</vt:lpstr>
      <vt:lpstr>_B103</vt:lpstr>
      <vt:lpstr>_B104</vt:lpstr>
      <vt:lpstr>_B105</vt:lpstr>
      <vt:lpstr>_B106</vt:lpstr>
      <vt:lpstr>_B107</vt:lpstr>
      <vt:lpstr>_B108</vt:lpstr>
      <vt:lpstr>_B109</vt:lpstr>
      <vt:lpstr>_B110</vt:lpstr>
      <vt:lpstr>_B111</vt:lpstr>
      <vt:lpstr>_B112</vt:lpstr>
      <vt:lpstr>_B113</vt:lpstr>
      <vt:lpstr>_B114</vt:lpstr>
      <vt:lpstr>_B115</vt:lpstr>
      <vt:lpstr>_B116</vt:lpstr>
      <vt:lpstr>_B117</vt:lpstr>
      <vt:lpstr>_B118</vt:lpstr>
      <vt:lpstr>_B119</vt:lpstr>
      <vt:lpstr>_B120</vt:lpstr>
      <vt:lpstr>_B121</vt:lpstr>
      <vt:lpstr>_B122</vt:lpstr>
      <vt:lpstr>_B123</vt:lpstr>
      <vt:lpstr>_B124</vt:lpstr>
      <vt:lpstr>_BUILDING</vt:lpstr>
      <vt:lpstr>_D001</vt:lpstr>
      <vt:lpstr>_D002</vt:lpstr>
      <vt:lpstr>_D003</vt:lpstr>
      <vt:lpstr>_D004</vt:lpstr>
      <vt:lpstr>_D005</vt:lpstr>
      <vt:lpstr>_D006</vt:lpstr>
      <vt:lpstr>_D007</vt:lpstr>
      <vt:lpstr>_D008</vt:lpstr>
      <vt:lpstr>_D009</vt:lpstr>
      <vt:lpstr>_D010</vt:lpstr>
      <vt:lpstr>_D011</vt:lpstr>
      <vt:lpstr>_D012</vt:lpstr>
      <vt:lpstr>_D013</vt:lpstr>
      <vt:lpstr>_D014</vt:lpstr>
      <vt:lpstr>_D015</vt:lpstr>
      <vt:lpstr>_D016</vt:lpstr>
      <vt:lpstr>_D017</vt:lpstr>
      <vt:lpstr>_D018</vt:lpstr>
      <vt:lpstr>_D019</vt:lpstr>
      <vt:lpstr>_D020</vt:lpstr>
      <vt:lpstr>_D021</vt:lpstr>
      <vt:lpstr>_D022</vt:lpstr>
      <vt:lpstr>_D023</vt:lpstr>
      <vt:lpstr>_D024</vt:lpstr>
      <vt:lpstr>_D025</vt:lpstr>
      <vt:lpstr>_D026</vt:lpstr>
      <vt:lpstr>_D027</vt:lpstr>
      <vt:lpstr>_D028</vt:lpstr>
      <vt:lpstr>_D029</vt:lpstr>
      <vt:lpstr>_D030</vt:lpstr>
      <vt:lpstr>_D031</vt:lpstr>
      <vt:lpstr>_D032</vt:lpstr>
      <vt:lpstr>_D033</vt:lpstr>
      <vt:lpstr>_D034</vt:lpstr>
      <vt:lpstr>_D035</vt:lpstr>
      <vt:lpstr>_D036</vt:lpstr>
      <vt:lpstr>_D037</vt:lpstr>
      <vt:lpstr>_D038</vt:lpstr>
      <vt:lpstr>_D039</vt:lpstr>
      <vt:lpstr>_D040</vt:lpstr>
      <vt:lpstr>_D041</vt:lpstr>
      <vt:lpstr>_D042</vt:lpstr>
      <vt:lpstr>_D043</vt:lpstr>
      <vt:lpstr>_D044</vt:lpstr>
      <vt:lpstr>_D045</vt:lpstr>
      <vt:lpstr>_D046</vt:lpstr>
      <vt:lpstr>_D047</vt:lpstr>
      <vt:lpstr>_D048</vt:lpstr>
      <vt:lpstr>_D049</vt:lpstr>
      <vt:lpstr>_D050</vt:lpstr>
      <vt:lpstr>_D051</vt:lpstr>
      <vt:lpstr>_D052</vt:lpstr>
      <vt:lpstr>_D053</vt:lpstr>
      <vt:lpstr>_D054</vt:lpstr>
      <vt:lpstr>_D055</vt:lpstr>
      <vt:lpstr>_D056</vt:lpstr>
      <vt:lpstr>_D057</vt:lpstr>
      <vt:lpstr>_D058</vt:lpstr>
      <vt:lpstr>_D059</vt:lpstr>
      <vt:lpstr>_D060</vt:lpstr>
      <vt:lpstr>_D061</vt:lpstr>
      <vt:lpstr>_D062</vt:lpstr>
      <vt:lpstr>_D063</vt:lpstr>
      <vt:lpstr>_D064</vt:lpstr>
      <vt:lpstr>_D065</vt:lpstr>
      <vt:lpstr>_D066</vt:lpstr>
      <vt:lpstr>_D067</vt:lpstr>
      <vt:lpstr>_D068</vt:lpstr>
      <vt:lpstr>_D069</vt:lpstr>
      <vt:lpstr>_D070</vt:lpstr>
      <vt:lpstr>_D071</vt:lpstr>
      <vt:lpstr>_D072</vt:lpstr>
      <vt:lpstr>_D073</vt:lpstr>
      <vt:lpstr>_D074</vt:lpstr>
      <vt:lpstr>_D075</vt:lpstr>
      <vt:lpstr>_D076</vt:lpstr>
      <vt:lpstr>_D077</vt:lpstr>
      <vt:lpstr>_D078</vt:lpstr>
      <vt:lpstr>_D079</vt:lpstr>
      <vt:lpstr>_D080</vt:lpstr>
      <vt:lpstr>_D081</vt:lpstr>
      <vt:lpstr>_D082</vt:lpstr>
      <vt:lpstr>_D083</vt:lpstr>
      <vt:lpstr>_D084</vt:lpstr>
      <vt:lpstr>_D085</vt:lpstr>
      <vt:lpstr>_D086</vt:lpstr>
      <vt:lpstr>_D087</vt:lpstr>
      <vt:lpstr>_D088</vt:lpstr>
      <vt:lpstr>_D089</vt:lpstr>
      <vt:lpstr>_D090</vt:lpstr>
      <vt:lpstr>_D091</vt:lpstr>
      <vt:lpstr>_D092</vt:lpstr>
      <vt:lpstr>_D093</vt:lpstr>
      <vt:lpstr>_D094</vt:lpstr>
      <vt:lpstr>_D095</vt:lpstr>
      <vt:lpstr>_D096</vt:lpstr>
      <vt:lpstr>_D097</vt:lpstr>
      <vt:lpstr>_D098</vt:lpstr>
      <vt:lpstr>_D099</vt:lpstr>
      <vt:lpstr>_D100</vt:lpstr>
      <vt:lpstr>_D101</vt:lpstr>
      <vt:lpstr>_D102</vt:lpstr>
      <vt:lpstr>_D103</vt:lpstr>
      <vt:lpstr>_D104</vt:lpstr>
      <vt:lpstr>_D105</vt:lpstr>
      <vt:lpstr>_D106</vt:lpstr>
      <vt:lpstr>_D107</vt:lpstr>
      <vt:lpstr>_D108</vt:lpstr>
      <vt:lpstr>_D109</vt:lpstr>
      <vt:lpstr>_D110</vt:lpstr>
      <vt:lpstr>_D111</vt:lpstr>
      <vt:lpstr>_D112</vt:lpstr>
      <vt:lpstr>_D113</vt:lpstr>
      <vt:lpstr>_D114</vt:lpstr>
      <vt:lpstr>_D115</vt:lpstr>
      <vt:lpstr>_D116</vt:lpstr>
      <vt:lpstr>_D117</vt:lpstr>
      <vt:lpstr>_D118</vt:lpstr>
      <vt:lpstr>_D119</vt:lpstr>
      <vt:lpstr>_D120</vt:lpstr>
      <vt:lpstr>_D121</vt:lpstr>
      <vt:lpstr>_D122</vt:lpstr>
      <vt:lpstr>_D123</vt:lpstr>
      <vt:lpstr>_D124</vt:lpstr>
      <vt:lpstr>_D125</vt:lpstr>
      <vt:lpstr>_D126</vt:lpstr>
      <vt:lpstr>_D127</vt:lpstr>
      <vt:lpstr>_D128</vt:lpstr>
      <vt:lpstr>_D129</vt:lpstr>
      <vt:lpstr>_D130</vt:lpstr>
      <vt:lpstr>_D131</vt:lpstr>
      <vt:lpstr>_D132</vt:lpstr>
      <vt:lpstr>_D133</vt:lpstr>
      <vt:lpstr>_D134</vt:lpstr>
      <vt:lpstr>_D135</vt:lpstr>
      <vt:lpstr>_D136</vt:lpstr>
      <vt:lpstr>_D137</vt:lpstr>
      <vt:lpstr>_D138</vt:lpstr>
      <vt:lpstr>_D139</vt:lpstr>
      <vt:lpstr>_D140</vt:lpstr>
      <vt:lpstr>_D141</vt:lpstr>
      <vt:lpstr>_D142</vt:lpstr>
      <vt:lpstr>_D143</vt:lpstr>
      <vt:lpstr>_D144</vt:lpstr>
      <vt:lpstr>_D145</vt:lpstr>
      <vt:lpstr>_D146</vt:lpstr>
      <vt:lpstr>_D147</vt:lpstr>
      <vt:lpstr>_D148</vt:lpstr>
      <vt:lpstr>_D149</vt:lpstr>
      <vt:lpstr>_D150</vt:lpstr>
      <vt:lpstr>_D151</vt:lpstr>
      <vt:lpstr>_D152</vt:lpstr>
      <vt:lpstr>_D153</vt:lpstr>
      <vt:lpstr>_D154</vt:lpstr>
      <vt:lpstr>_D155</vt:lpstr>
      <vt:lpstr>_D156</vt:lpstr>
      <vt:lpstr>_D157</vt:lpstr>
      <vt:lpstr>_D158</vt:lpstr>
      <vt:lpstr>_D159</vt:lpstr>
      <vt:lpstr>_D160</vt:lpstr>
      <vt:lpstr>_D161</vt:lpstr>
      <vt:lpstr>_D162</vt:lpstr>
      <vt:lpstr>_D163</vt:lpstr>
      <vt:lpstr>_D164</vt:lpstr>
      <vt:lpstr>_D165</vt:lpstr>
      <vt:lpstr>_D166</vt:lpstr>
      <vt:lpstr>_D167</vt:lpstr>
      <vt:lpstr>_D168</vt:lpstr>
      <vt:lpstr>_D169</vt:lpstr>
      <vt:lpstr>_D170</vt:lpstr>
      <vt:lpstr>_D171</vt:lpstr>
      <vt:lpstr>_D172</vt:lpstr>
      <vt:lpstr>_D173</vt:lpstr>
      <vt:lpstr>_D174</vt:lpstr>
      <vt:lpstr>_D175</vt:lpstr>
      <vt:lpstr>_D176</vt:lpstr>
      <vt:lpstr>_D177</vt:lpstr>
      <vt:lpstr>_D178</vt:lpstr>
      <vt:lpstr>_D179</vt:lpstr>
      <vt:lpstr>_D180</vt:lpstr>
      <vt:lpstr>_D181</vt:lpstr>
      <vt:lpstr>_D182</vt:lpstr>
      <vt:lpstr>_D183</vt:lpstr>
      <vt:lpstr>_D184</vt:lpstr>
      <vt:lpstr>_D185</vt:lpstr>
      <vt:lpstr>_D186</vt:lpstr>
      <vt:lpstr>_D187</vt:lpstr>
      <vt:lpstr>_D188</vt:lpstr>
      <vt:lpstr>_D189</vt:lpstr>
      <vt:lpstr>_D190</vt:lpstr>
      <vt:lpstr>_D191</vt:lpstr>
      <vt:lpstr>_D192</vt:lpstr>
      <vt:lpstr>_D193</vt:lpstr>
      <vt:lpstr>_D194</vt:lpstr>
      <vt:lpstr>_D195</vt:lpstr>
      <vt:lpstr>_D196</vt:lpstr>
      <vt:lpstr>_D197</vt:lpstr>
      <vt:lpstr>_D198</vt:lpstr>
      <vt:lpstr>_D199</vt:lpstr>
      <vt:lpstr>_D200</vt:lpstr>
      <vt:lpstr>_D201</vt:lpstr>
      <vt:lpstr>_D202</vt:lpstr>
      <vt:lpstr>_D203</vt:lpstr>
      <vt:lpstr>_D204</vt:lpstr>
      <vt:lpstr>_D205</vt:lpstr>
      <vt:lpstr>_D206</vt:lpstr>
      <vt:lpstr>_D207</vt:lpstr>
      <vt:lpstr>_D208</vt:lpstr>
      <vt:lpstr>_D209</vt:lpstr>
      <vt:lpstr>_D210</vt:lpstr>
      <vt:lpstr>_D211</vt:lpstr>
      <vt:lpstr>_D212</vt:lpstr>
      <vt:lpstr>_D213</vt:lpstr>
      <vt:lpstr>_D214</vt:lpstr>
      <vt:lpstr>_D215</vt:lpstr>
      <vt:lpstr>_D216</vt:lpstr>
      <vt:lpstr>_D217</vt:lpstr>
      <vt:lpstr>_D218</vt:lpstr>
      <vt:lpstr>_D219</vt:lpstr>
      <vt:lpstr>_D220</vt:lpstr>
      <vt:lpstr>_D221</vt:lpstr>
      <vt:lpstr>_D222</vt:lpstr>
      <vt:lpstr>_D223</vt:lpstr>
      <vt:lpstr>_D224</vt:lpstr>
      <vt:lpstr>_D225</vt:lpstr>
      <vt:lpstr>_D226</vt:lpstr>
      <vt:lpstr>_D227</vt:lpstr>
      <vt:lpstr>_D228</vt:lpstr>
      <vt:lpstr>_D229</vt:lpstr>
      <vt:lpstr>_D230</vt:lpstr>
      <vt:lpstr>_D231</vt:lpstr>
      <vt:lpstr>_D232</vt:lpstr>
      <vt:lpstr>_D233</vt:lpstr>
      <vt:lpstr>_D234</vt:lpstr>
      <vt:lpstr>_D235</vt:lpstr>
      <vt:lpstr>_D236</vt:lpstr>
      <vt:lpstr>_D237</vt:lpstr>
      <vt:lpstr>_D238</vt:lpstr>
      <vt:lpstr>_D239</vt:lpstr>
      <vt:lpstr>_D240</vt:lpstr>
      <vt:lpstr>_D241</vt:lpstr>
      <vt:lpstr>_D242</vt:lpstr>
      <vt:lpstr>_D243</vt:lpstr>
      <vt:lpstr>_D244</vt:lpstr>
      <vt:lpstr>_D245</vt:lpstr>
      <vt:lpstr>_D246</vt:lpstr>
      <vt:lpstr>_D247</vt:lpstr>
      <vt:lpstr>_D248</vt:lpstr>
      <vt:lpstr>_D249</vt:lpstr>
      <vt:lpstr>_D250</vt:lpstr>
      <vt:lpstr>_D251</vt:lpstr>
      <vt:lpstr>_D252</vt:lpstr>
      <vt:lpstr>_D253</vt:lpstr>
      <vt:lpstr>_D254</vt:lpstr>
      <vt:lpstr>_D255</vt:lpstr>
      <vt:lpstr>_D256</vt:lpstr>
      <vt:lpstr>_D257</vt:lpstr>
      <vt:lpstr>_D258</vt:lpstr>
      <vt:lpstr>_D259</vt:lpstr>
      <vt:lpstr>_D260</vt:lpstr>
      <vt:lpstr>_D261</vt:lpstr>
      <vt:lpstr>_D262</vt:lpstr>
      <vt:lpstr>_D263</vt:lpstr>
      <vt:lpstr>_D264</vt:lpstr>
      <vt:lpstr>_D265</vt:lpstr>
      <vt:lpstr>_D266</vt:lpstr>
      <vt:lpstr>_D267</vt:lpstr>
      <vt:lpstr>_D268</vt:lpstr>
      <vt:lpstr>_D269</vt:lpstr>
      <vt:lpstr>_D270</vt:lpstr>
      <vt:lpstr>_D271</vt:lpstr>
      <vt:lpstr>_D272</vt:lpstr>
      <vt:lpstr>_D273</vt:lpstr>
      <vt:lpstr>_D274</vt:lpstr>
      <vt:lpstr>_D275</vt:lpstr>
      <vt:lpstr>_D276</vt:lpstr>
      <vt:lpstr>_D277</vt:lpstr>
      <vt:lpstr>_D278</vt:lpstr>
      <vt:lpstr>_D279</vt:lpstr>
      <vt:lpstr>_D280</vt:lpstr>
      <vt:lpstr>_D281</vt:lpstr>
      <vt:lpstr>_D282</vt:lpstr>
      <vt:lpstr>_D283</vt:lpstr>
      <vt:lpstr>_D284</vt:lpstr>
      <vt:lpstr>_D285</vt:lpstr>
      <vt:lpstr>_D286</vt:lpstr>
      <vt:lpstr>_D287</vt:lpstr>
      <vt:lpstr>_D288</vt:lpstr>
      <vt:lpstr>_D289</vt:lpstr>
      <vt:lpstr>_D290</vt:lpstr>
      <vt:lpstr>_D291</vt:lpstr>
      <vt:lpstr>_D292</vt:lpstr>
      <vt:lpstr>_D293</vt:lpstr>
      <vt:lpstr>_D294</vt:lpstr>
      <vt:lpstr>_D295</vt:lpstr>
      <vt:lpstr>_D296</vt:lpstr>
      <vt:lpstr>_D297</vt:lpstr>
      <vt:lpstr>_D298</vt:lpstr>
      <vt:lpstr>_D299</vt:lpstr>
      <vt:lpstr>_D300</vt:lpstr>
      <vt:lpstr>_D301</vt:lpstr>
      <vt:lpstr>_D302</vt:lpstr>
      <vt:lpstr>_D303</vt:lpstr>
      <vt:lpstr>_D304</vt:lpstr>
      <vt:lpstr>_D305</vt:lpstr>
      <vt:lpstr>_D306</vt:lpstr>
      <vt:lpstr>_D307</vt:lpstr>
      <vt:lpstr>_D308</vt:lpstr>
      <vt:lpstr>_D309</vt:lpstr>
      <vt:lpstr>_D310</vt:lpstr>
      <vt:lpstr>_D311</vt:lpstr>
      <vt:lpstr>_D312</vt:lpstr>
      <vt:lpstr>_D313</vt:lpstr>
      <vt:lpstr>_D314</vt:lpstr>
      <vt:lpstr>_D315</vt:lpstr>
      <vt:lpstr>_D316</vt:lpstr>
      <vt:lpstr>_D317</vt:lpstr>
      <vt:lpstr>_D318</vt:lpstr>
      <vt:lpstr>_D319</vt:lpstr>
      <vt:lpstr>_D320</vt:lpstr>
      <vt:lpstr>_D321</vt:lpstr>
      <vt:lpstr>_D322</vt:lpstr>
      <vt:lpstr>_D323</vt:lpstr>
      <vt:lpstr>_D324</vt:lpstr>
      <vt:lpstr>_D325</vt:lpstr>
      <vt:lpstr>_D326</vt:lpstr>
      <vt:lpstr>_D327</vt:lpstr>
      <vt:lpstr>_D328</vt:lpstr>
      <vt:lpstr>_D329</vt:lpstr>
      <vt:lpstr>_D330</vt:lpstr>
      <vt:lpstr>_D331</vt:lpstr>
      <vt:lpstr>_D332</vt:lpstr>
      <vt:lpstr>_D333</vt:lpstr>
      <vt:lpstr>_D334</vt:lpstr>
      <vt:lpstr>_D335</vt:lpstr>
      <vt:lpstr>_D336</vt:lpstr>
      <vt:lpstr>_D337</vt:lpstr>
      <vt:lpstr>_D338</vt:lpstr>
      <vt:lpstr>_D339</vt:lpstr>
      <vt:lpstr>_D340</vt:lpstr>
      <vt:lpstr>_D341</vt:lpstr>
      <vt:lpstr>_D342</vt:lpstr>
      <vt:lpstr>_D343</vt:lpstr>
      <vt:lpstr>_D344</vt:lpstr>
      <vt:lpstr>_D345</vt:lpstr>
      <vt:lpstr>_D346</vt:lpstr>
      <vt:lpstr>_D347</vt:lpstr>
      <vt:lpstr>_D348</vt:lpstr>
      <vt:lpstr>_D349</vt:lpstr>
      <vt:lpstr>_D350</vt:lpstr>
      <vt:lpstr>_D351</vt:lpstr>
      <vt:lpstr>_D352</vt:lpstr>
      <vt:lpstr>_D353</vt:lpstr>
      <vt:lpstr>_D354</vt:lpstr>
      <vt:lpstr>_D355</vt:lpstr>
      <vt:lpstr>_D356</vt:lpstr>
      <vt:lpstr>_D357</vt:lpstr>
      <vt:lpstr>_D358</vt:lpstr>
      <vt:lpstr>_D359</vt:lpstr>
      <vt:lpstr>_D360</vt:lpstr>
      <vt:lpstr>_D361</vt:lpstr>
      <vt:lpstr>_D362</vt:lpstr>
      <vt:lpstr>_D363</vt:lpstr>
      <vt:lpstr>_D364</vt:lpstr>
      <vt:lpstr>_D365</vt:lpstr>
      <vt:lpstr>_D366</vt:lpstr>
      <vt:lpstr>_D367</vt:lpstr>
      <vt:lpstr>_D368</vt:lpstr>
      <vt:lpstr>_D369</vt:lpstr>
      <vt:lpstr>_D370</vt:lpstr>
      <vt:lpstr>_D371</vt:lpstr>
      <vt:lpstr>_D372</vt:lpstr>
      <vt:lpstr>_D373</vt:lpstr>
      <vt:lpstr>_D374</vt:lpstr>
      <vt:lpstr>_D375</vt:lpstr>
      <vt:lpstr>_D376</vt:lpstr>
      <vt:lpstr>_D377</vt:lpstr>
      <vt:lpstr>_D378</vt:lpstr>
      <vt:lpstr>_D379</vt:lpstr>
      <vt:lpstr>_D380</vt:lpstr>
      <vt:lpstr>_D381</vt:lpstr>
      <vt:lpstr>_D382</vt:lpstr>
      <vt:lpstr>_D383</vt:lpstr>
      <vt:lpstr>_D384</vt:lpstr>
      <vt:lpstr>_D385</vt:lpstr>
      <vt:lpstr>_D386</vt:lpstr>
      <vt:lpstr>_D387</vt:lpstr>
      <vt:lpstr>_D388</vt:lpstr>
      <vt:lpstr>_D389</vt:lpstr>
      <vt:lpstr>_D390</vt:lpstr>
      <vt:lpstr>_D391</vt:lpstr>
      <vt:lpstr>_D392</vt:lpstr>
      <vt:lpstr>_D393</vt:lpstr>
      <vt:lpstr>_D394</vt:lpstr>
      <vt:lpstr>_D395</vt:lpstr>
      <vt:lpstr>_D396</vt:lpstr>
      <vt:lpstr>_D397</vt:lpstr>
      <vt:lpstr>_D398</vt:lpstr>
      <vt:lpstr>_D399</vt:lpstr>
      <vt:lpstr>_D400</vt:lpstr>
      <vt:lpstr>_D401</vt:lpstr>
      <vt:lpstr>_D402</vt:lpstr>
      <vt:lpstr>_D403</vt:lpstr>
      <vt:lpstr>_D404</vt:lpstr>
      <vt:lpstr>_D405</vt:lpstr>
      <vt:lpstr>_D406</vt:lpstr>
      <vt:lpstr>_D407</vt:lpstr>
      <vt:lpstr>_D408</vt:lpstr>
      <vt:lpstr>_D409</vt:lpstr>
      <vt:lpstr>_D410</vt:lpstr>
      <vt:lpstr>_D411</vt:lpstr>
      <vt:lpstr>_D412</vt:lpstr>
      <vt:lpstr>_D413</vt:lpstr>
      <vt:lpstr>_D414</vt:lpstr>
      <vt:lpstr>_D415</vt:lpstr>
      <vt:lpstr>_D416</vt:lpstr>
      <vt:lpstr>_D417</vt:lpstr>
      <vt:lpstr>_D418</vt:lpstr>
      <vt:lpstr>_D419</vt:lpstr>
      <vt:lpstr>_D420</vt:lpstr>
      <vt:lpstr>_D421</vt:lpstr>
      <vt:lpstr>_D422</vt:lpstr>
      <vt:lpstr>_D423</vt:lpstr>
      <vt:lpstr>_D424</vt:lpstr>
      <vt:lpstr>_D425</vt:lpstr>
      <vt:lpstr>_D426</vt:lpstr>
      <vt:lpstr>_D427</vt:lpstr>
      <vt:lpstr>_D428</vt:lpstr>
      <vt:lpstr>_D429</vt:lpstr>
      <vt:lpstr>_D430</vt:lpstr>
      <vt:lpstr>_D431</vt:lpstr>
      <vt:lpstr>_D432</vt:lpstr>
      <vt:lpstr>_D433</vt:lpstr>
      <vt:lpstr>_D434</vt:lpstr>
      <vt:lpstr>_D435</vt:lpstr>
      <vt:lpstr>_D436</vt:lpstr>
      <vt:lpstr>_D437</vt:lpstr>
      <vt:lpstr>_D438</vt:lpstr>
      <vt:lpstr>_D439</vt:lpstr>
      <vt:lpstr>_D440</vt:lpstr>
      <vt:lpstr>_D441</vt:lpstr>
      <vt:lpstr>_D442</vt:lpstr>
      <vt:lpstr>_D443</vt:lpstr>
      <vt:lpstr>_D444</vt:lpstr>
      <vt:lpstr>_D445</vt:lpstr>
      <vt:lpstr>_D446</vt:lpstr>
      <vt:lpstr>_D447</vt:lpstr>
      <vt:lpstr>_D448</vt:lpstr>
      <vt:lpstr>_D449</vt:lpstr>
      <vt:lpstr>_D450</vt:lpstr>
      <vt:lpstr>_D451</vt:lpstr>
      <vt:lpstr>_D452</vt:lpstr>
      <vt:lpstr>_D453</vt:lpstr>
      <vt:lpstr>_D454</vt:lpstr>
      <vt:lpstr>_D455</vt:lpstr>
      <vt:lpstr>_D456</vt:lpstr>
      <vt:lpstr>_D457</vt:lpstr>
      <vt:lpstr>_D458</vt:lpstr>
      <vt:lpstr>_D459</vt:lpstr>
      <vt:lpstr>_D460</vt:lpstr>
      <vt:lpstr>_D461</vt:lpstr>
      <vt:lpstr>_D462</vt:lpstr>
      <vt:lpstr>_D463</vt:lpstr>
      <vt:lpstr>_D464</vt:lpstr>
      <vt:lpstr>_D465</vt:lpstr>
      <vt:lpstr>_D466</vt:lpstr>
      <vt:lpstr>_D467</vt:lpstr>
      <vt:lpstr>_D468</vt:lpstr>
      <vt:lpstr>_D469</vt:lpstr>
      <vt:lpstr>_D470</vt:lpstr>
      <vt:lpstr>_D471</vt:lpstr>
      <vt:lpstr>_D472</vt:lpstr>
      <vt:lpstr>_D473</vt:lpstr>
      <vt:lpstr>_D474</vt:lpstr>
      <vt:lpstr>_D475</vt:lpstr>
      <vt:lpstr>_D476</vt:lpstr>
      <vt:lpstr>_D477</vt:lpstr>
      <vt:lpstr>_D478</vt:lpstr>
      <vt:lpstr>_D479</vt:lpstr>
      <vt:lpstr>_D480</vt:lpstr>
      <vt:lpstr>_D481</vt:lpstr>
      <vt:lpstr>_D482</vt:lpstr>
      <vt:lpstr>_D483</vt:lpstr>
      <vt:lpstr>_D484</vt:lpstr>
      <vt:lpstr>_D485</vt:lpstr>
      <vt:lpstr>_D486</vt:lpstr>
      <vt:lpstr>_D487</vt:lpstr>
      <vt:lpstr>_D488</vt:lpstr>
      <vt:lpstr>_D489</vt:lpstr>
      <vt:lpstr>_D490</vt:lpstr>
      <vt:lpstr>_D491</vt:lpstr>
      <vt:lpstr>_D492</vt:lpstr>
      <vt:lpstr>_D493</vt:lpstr>
      <vt:lpstr>_D494</vt:lpstr>
      <vt:lpstr>_D495</vt:lpstr>
      <vt:lpstr>_D496</vt:lpstr>
      <vt:lpstr>_D497</vt:lpstr>
      <vt:lpstr>_D498</vt:lpstr>
      <vt:lpstr>_D499</vt:lpstr>
      <vt:lpstr>_D500</vt:lpstr>
      <vt:lpstr>_D501</vt:lpstr>
      <vt:lpstr>_D502</vt:lpstr>
      <vt:lpstr>_D503</vt:lpstr>
      <vt:lpstr>_D504</vt:lpstr>
      <vt:lpstr>_D505</vt:lpstr>
      <vt:lpstr>_D506</vt:lpstr>
      <vt:lpstr>_D507</vt:lpstr>
      <vt:lpstr>_D508</vt:lpstr>
      <vt:lpstr>_D509</vt:lpstr>
      <vt:lpstr>_D510</vt:lpstr>
      <vt:lpstr>_D511</vt:lpstr>
      <vt:lpstr>_D512</vt:lpstr>
      <vt:lpstr>_D513</vt:lpstr>
      <vt:lpstr>_D514</vt:lpstr>
      <vt:lpstr>_D515</vt:lpstr>
      <vt:lpstr>_D516</vt:lpstr>
      <vt:lpstr>_D517</vt:lpstr>
      <vt:lpstr>_D518</vt:lpstr>
      <vt:lpstr>_D519</vt:lpstr>
      <vt:lpstr>_D520</vt:lpstr>
      <vt:lpstr>_LEVEL</vt:lpstr>
      <vt:lpstr>_MAPSE</vt:lpstr>
      <vt:lpstr>_MAPSEC</vt:lpstr>
      <vt:lpstr>_MAPSUB</vt:lpstr>
      <vt:lpstr>_MONTHS</vt:lpstr>
      <vt:lpstr>_NONE</vt:lpstr>
      <vt:lpstr>_PRELIMTOTAL</vt:lpstr>
      <vt:lpstr>_S001</vt:lpstr>
      <vt:lpstr>_S002</vt:lpstr>
      <vt:lpstr>_S003</vt:lpstr>
      <vt:lpstr>_S004</vt:lpstr>
      <vt:lpstr>_S005</vt:lpstr>
      <vt:lpstr>_S006</vt:lpstr>
      <vt:lpstr>_S007</vt:lpstr>
      <vt:lpstr>_S008</vt:lpstr>
      <vt:lpstr>_S009</vt:lpstr>
      <vt:lpstr>_S010</vt:lpstr>
      <vt:lpstr>_S011</vt:lpstr>
      <vt:lpstr>_S012</vt:lpstr>
      <vt:lpstr>_S013</vt:lpstr>
      <vt:lpstr>_S014</vt:lpstr>
      <vt:lpstr>_S015</vt:lpstr>
      <vt:lpstr>_S016</vt:lpstr>
      <vt:lpstr>_S017</vt:lpstr>
      <vt:lpstr>_S018</vt:lpstr>
      <vt:lpstr>_S019</vt:lpstr>
      <vt:lpstr>_S020</vt:lpstr>
      <vt:lpstr>_S021</vt:lpstr>
      <vt:lpstr>_S022</vt:lpstr>
      <vt:lpstr>_S023</vt:lpstr>
      <vt:lpstr>_S024</vt:lpstr>
      <vt:lpstr>_S025</vt:lpstr>
      <vt:lpstr>_S026</vt:lpstr>
      <vt:lpstr>_S027</vt:lpstr>
      <vt:lpstr>_S028</vt:lpstr>
      <vt:lpstr>_S029</vt:lpstr>
      <vt:lpstr>_SECTION</vt:lpstr>
      <vt:lpstr>_STDLAB</vt:lpstr>
      <vt:lpstr>_STDMAT</vt:lpstr>
      <vt:lpstr>_STDPRE</vt:lpstr>
      <vt:lpstr>'Element Library'!Print_Titles</vt:lpstr>
      <vt:lpstr>'Preliminaries Library'!Print_Titles</vt:lpstr>
      <vt:lpstr>'Price List Library'!Print_Titles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Pouth Liheng</cp:lastModifiedBy>
  <cp:revision>0</cp:revision>
  <dcterms:created xsi:type="dcterms:W3CDTF">2026-07-22T02:17:55Z</dcterms:created>
  <dcterms:modified xsi:type="dcterms:W3CDTF">2026-07-24T00:56:27Z</dcterms:modified>
  <dc:language>en-US</dc:language>
</cp:coreProperties>
</file>